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KiNESYS_IFP_\"/>
    </mc:Choice>
  </mc:AlternateContent>
  <xr:revisionPtr revIDLastSave="0" documentId="13_ncr:1_{54910DF5-EC59-44E9-86D5-0D671D4F4814}" xr6:coauthVersionLast="47" xr6:coauthVersionMax="47" xr10:uidLastSave="{00000000-0000-0000-0000-000000000000}"/>
  <bookViews>
    <workbookView xWindow="-98" yWindow="-98" windowWidth="28996" windowHeight="17475" activeTab="1" xr2:uid="{76070208-56F5-46DC-81AF-8F2B8890FBF8}"/>
  </bookViews>
  <sheets>
    <sheet name="Globiom data" sheetId="1" r:id="rId1"/>
    <sheet name="Veda" sheetId="2" r:id="rId2"/>
  </sheets>
  <definedNames>
    <definedName name="_xlnm._FilterDatabase" localSheetId="0" hidden="1">'Globiom data'!$D$1:$E$2025</definedName>
    <definedName name="_xlnm._FilterDatabase" localSheetId="1" hidden="1">Veda!$D$5:$F$215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" i="2" l="1"/>
  <c r="Q5" i="2"/>
  <c r="AC5" i="2" s="1"/>
  <c r="AG12" i="2"/>
  <c r="AG11" i="2"/>
  <c r="AG10" i="2"/>
  <c r="AG9" i="2"/>
  <c r="AG8" i="2"/>
  <c r="AG7" i="2"/>
  <c r="AG6" i="2"/>
  <c r="AC12" i="2" l="1"/>
  <c r="AB12" i="2"/>
  <c r="AA12" i="2"/>
  <c r="Z12" i="2"/>
  <c r="Y12" i="2"/>
  <c r="X12" i="2"/>
  <c r="W12" i="2"/>
  <c r="V12" i="2"/>
  <c r="U12" i="2"/>
  <c r="AC11" i="2"/>
  <c r="AB11" i="2"/>
  <c r="AA11" i="2"/>
  <c r="Z11" i="2"/>
  <c r="Y11" i="2"/>
  <c r="X11" i="2"/>
  <c r="W11" i="2"/>
  <c r="V11" i="2"/>
  <c r="U11" i="2"/>
  <c r="AC10" i="2"/>
  <c r="AB10" i="2"/>
  <c r="AA10" i="2"/>
  <c r="Z10" i="2"/>
  <c r="Y10" i="2"/>
  <c r="X10" i="2"/>
  <c r="W10" i="2"/>
  <c r="V10" i="2"/>
  <c r="U10" i="2"/>
  <c r="AC9" i="2"/>
  <c r="AB9" i="2"/>
  <c r="AA9" i="2"/>
  <c r="Z9" i="2"/>
  <c r="Y9" i="2"/>
  <c r="X9" i="2"/>
  <c r="W9" i="2"/>
  <c r="V9" i="2"/>
  <c r="U9" i="2"/>
  <c r="AC8" i="2"/>
  <c r="AB8" i="2"/>
  <c r="AA8" i="2"/>
  <c r="Z8" i="2"/>
  <c r="Y8" i="2"/>
  <c r="X8" i="2"/>
  <c r="W8" i="2"/>
  <c r="V8" i="2"/>
  <c r="U8" i="2"/>
  <c r="AC7" i="2"/>
  <c r="AC6" i="2" s="1"/>
  <c r="AB7" i="2"/>
  <c r="AB6" i="2" s="1"/>
  <c r="AA7" i="2"/>
  <c r="AA6" i="2" s="1"/>
  <c r="Z7" i="2"/>
  <c r="Z6" i="2" s="1"/>
  <c r="Y7" i="2"/>
  <c r="Y6" i="2" s="1"/>
  <c r="X7" i="2"/>
  <c r="X6" i="2" s="1"/>
  <c r="W7" i="2"/>
  <c r="W6" i="2" s="1"/>
  <c r="V7" i="2"/>
  <c r="V6" i="2" s="1"/>
  <c r="U7" i="2"/>
  <c r="U6" i="2" s="1"/>
  <c r="P5" i="2"/>
  <c r="AB5" i="2" s="1"/>
  <c r="O5" i="2"/>
  <c r="AA5" i="2" s="1"/>
  <c r="N5" i="2"/>
  <c r="Z5" i="2" s="1"/>
  <c r="M5" i="2"/>
  <c r="Y5" i="2" s="1"/>
  <c r="L5" i="2"/>
  <c r="X5" i="2" s="1"/>
  <c r="K5" i="2"/>
  <c r="W5" i="2" s="1"/>
  <c r="J5" i="2"/>
  <c r="V5" i="2" s="1"/>
  <c r="I5" i="2"/>
  <c r="U5" i="2" s="1"/>
  <c r="H5" i="2"/>
  <c r="G5" i="2"/>
  <c r="E12" i="2"/>
  <c r="T12" i="2" s="1"/>
  <c r="AF12" i="2" s="1"/>
  <c r="D12" i="2"/>
  <c r="E11" i="2"/>
  <c r="T11" i="2" s="1"/>
  <c r="AF11" i="2" s="1"/>
  <c r="D11" i="2"/>
  <c r="E10" i="2"/>
  <c r="T10" i="2" s="1"/>
  <c r="AF10" i="2" s="1"/>
  <c r="D10" i="2"/>
  <c r="E9" i="2"/>
  <c r="T9" i="2" s="1"/>
  <c r="AF9" i="2" s="1"/>
  <c r="D9" i="2"/>
  <c r="E8" i="2"/>
  <c r="T8" i="2" s="1"/>
  <c r="AF8" i="2" s="1"/>
  <c r="D8" i="2"/>
  <c r="E7" i="2"/>
  <c r="T7" i="2" s="1"/>
  <c r="AF7" i="2" s="1"/>
  <c r="D7" i="2"/>
  <c r="E6" i="2"/>
  <c r="T6" i="2" s="1"/>
  <c r="AF6" i="2" s="1"/>
  <c r="D6" i="2"/>
  <c r="B19" i="2"/>
  <c r="E19" i="2" s="1"/>
  <c r="A19" i="2"/>
  <c r="D19" i="2" s="1"/>
  <c r="B18" i="2"/>
  <c r="E18" i="2" s="1"/>
  <c r="A18" i="2"/>
  <c r="D18" i="2" s="1"/>
  <c r="B17" i="2"/>
  <c r="E17" i="2" s="1"/>
  <c r="A17" i="2"/>
  <c r="D17" i="2" s="1"/>
  <c r="B16" i="2"/>
  <c r="B23" i="2" s="1"/>
  <c r="B30" i="2" s="1"/>
  <c r="B37" i="2" s="1"/>
  <c r="A16" i="2"/>
  <c r="A23" i="2" s="1"/>
  <c r="A30" i="2" s="1"/>
  <c r="A37" i="2" s="1"/>
  <c r="B15" i="2"/>
  <c r="E15" i="2" s="1"/>
  <c r="A15" i="2"/>
  <c r="D15" i="2" s="1"/>
  <c r="B14" i="2"/>
  <c r="B21" i="2" s="1"/>
  <c r="A14" i="2"/>
  <c r="A21" i="2" s="1"/>
  <c r="B13" i="2"/>
  <c r="E13" i="2" s="1"/>
  <c r="A13" i="2"/>
  <c r="D13" i="2" s="1"/>
  <c r="G19" i="2" l="1"/>
  <c r="Q19" i="2"/>
  <c r="P19" i="2"/>
  <c r="M19" i="2"/>
  <c r="J19" i="2"/>
  <c r="N19" i="2"/>
  <c r="L19" i="2"/>
  <c r="O19" i="2"/>
  <c r="K19" i="2"/>
  <c r="I19" i="2"/>
  <c r="H19" i="2"/>
  <c r="Q18" i="2"/>
  <c r="P18" i="2"/>
  <c r="M18" i="2"/>
  <c r="L18" i="2"/>
  <c r="K18" i="2"/>
  <c r="H18" i="2"/>
  <c r="I18" i="2"/>
  <c r="J18" i="2"/>
  <c r="G18" i="2"/>
  <c r="N18" i="2"/>
  <c r="O18" i="2"/>
  <c r="L7" i="2"/>
  <c r="K7" i="2"/>
  <c r="J7" i="2"/>
  <c r="M7" i="2"/>
  <c r="I7" i="2"/>
  <c r="H7" i="2"/>
  <c r="G7" i="2"/>
  <c r="P7" i="2"/>
  <c r="Q7" i="2"/>
  <c r="O7" i="2"/>
  <c r="N7" i="2"/>
  <c r="G6" i="2"/>
  <c r="Q6" i="2"/>
  <c r="J6" i="2"/>
  <c r="P6" i="2"/>
  <c r="I6" i="2"/>
  <c r="H6" i="2"/>
  <c r="O6" i="2"/>
  <c r="N6" i="2"/>
  <c r="M6" i="2"/>
  <c r="L6" i="2"/>
  <c r="K6" i="2"/>
  <c r="O13" i="2"/>
  <c r="L13" i="2"/>
  <c r="J13" i="2"/>
  <c r="M13" i="2"/>
  <c r="I13" i="2"/>
  <c r="N13" i="2"/>
  <c r="H13" i="2"/>
  <c r="G13" i="2"/>
  <c r="K13" i="2"/>
  <c r="Q13" i="2"/>
  <c r="P13" i="2"/>
  <c r="Q8" i="2"/>
  <c r="P8" i="2"/>
  <c r="O8" i="2"/>
  <c r="K8" i="2"/>
  <c r="N8" i="2"/>
  <c r="J8" i="2"/>
  <c r="M8" i="2"/>
  <c r="L8" i="2"/>
  <c r="I8" i="2"/>
  <c r="H8" i="2"/>
  <c r="G8" i="2"/>
  <c r="H9" i="2"/>
  <c r="P9" i="2"/>
  <c r="O9" i="2"/>
  <c r="I9" i="2"/>
  <c r="Q9" i="2"/>
  <c r="N9" i="2"/>
  <c r="M9" i="2"/>
  <c r="J9" i="2"/>
  <c r="L9" i="2"/>
  <c r="G9" i="2"/>
  <c r="K9" i="2"/>
  <c r="Q15" i="2"/>
  <c r="L15" i="2"/>
  <c r="I15" i="2"/>
  <c r="K15" i="2"/>
  <c r="O15" i="2"/>
  <c r="J15" i="2"/>
  <c r="M15" i="2"/>
  <c r="H15" i="2"/>
  <c r="N15" i="2"/>
  <c r="G15" i="2"/>
  <c r="P15" i="2"/>
  <c r="K10" i="2"/>
  <c r="J10" i="2"/>
  <c r="I10" i="2"/>
  <c r="H10" i="2"/>
  <c r="G10" i="2"/>
  <c r="N10" i="2"/>
  <c r="M10" i="2"/>
  <c r="L10" i="2"/>
  <c r="Q10" i="2"/>
  <c r="P10" i="2"/>
  <c r="O10" i="2"/>
  <c r="P11" i="2"/>
  <c r="O11" i="2"/>
  <c r="I11" i="2"/>
  <c r="N11" i="2"/>
  <c r="M11" i="2"/>
  <c r="L11" i="2"/>
  <c r="J11" i="2"/>
  <c r="Q11" i="2"/>
  <c r="K11" i="2"/>
  <c r="H11" i="2"/>
  <c r="G11" i="2"/>
  <c r="M17" i="2"/>
  <c r="L17" i="2"/>
  <c r="K17" i="2"/>
  <c r="G17" i="2"/>
  <c r="P17" i="2"/>
  <c r="Q17" i="2"/>
  <c r="O17" i="2"/>
  <c r="N17" i="2"/>
  <c r="J17" i="2"/>
  <c r="I17" i="2"/>
  <c r="H17" i="2"/>
  <c r="N12" i="2"/>
  <c r="Q12" i="2"/>
  <c r="P12" i="2"/>
  <c r="O12" i="2"/>
  <c r="G12" i="2"/>
  <c r="M12" i="2"/>
  <c r="I12" i="2"/>
  <c r="L12" i="2"/>
  <c r="H12" i="2"/>
  <c r="K12" i="2"/>
  <c r="J12" i="2"/>
  <c r="B22" i="2"/>
  <c r="B29" i="2" s="1"/>
  <c r="A25" i="2"/>
  <c r="D25" i="2" s="1"/>
  <c r="B25" i="2"/>
  <c r="E25" i="2" s="1"/>
  <c r="A26" i="2"/>
  <c r="D26" i="2" s="1"/>
  <c r="E22" i="2"/>
  <c r="B26" i="2"/>
  <c r="E26" i="2" s="1"/>
  <c r="D23" i="2"/>
  <c r="E23" i="2"/>
  <c r="D30" i="2"/>
  <c r="A20" i="2"/>
  <c r="D20" i="2" s="1"/>
  <c r="B20" i="2"/>
  <c r="E20" i="2" s="1"/>
  <c r="A22" i="2"/>
  <c r="A29" i="2" s="1"/>
  <c r="A36" i="2" s="1"/>
  <c r="A24" i="2"/>
  <c r="B24" i="2"/>
  <c r="E30" i="2"/>
  <c r="D14" i="2"/>
  <c r="E14" i="2"/>
  <c r="B36" i="2"/>
  <c r="E29" i="2"/>
  <c r="A32" i="2"/>
  <c r="A44" i="2"/>
  <c r="D37" i="2"/>
  <c r="B44" i="2"/>
  <c r="E37" i="2"/>
  <c r="B32" i="2"/>
  <c r="D16" i="2"/>
  <c r="A33" i="2"/>
  <c r="E16" i="2"/>
  <c r="A28" i="2"/>
  <c r="D21" i="2"/>
  <c r="B28" i="2"/>
  <c r="E21" i="2"/>
  <c r="B27" i="2"/>
  <c r="B33" i="2"/>
  <c r="D22" i="2"/>
  <c r="H16" i="2" l="1"/>
  <c r="G16" i="2"/>
  <c r="Q16" i="2"/>
  <c r="N16" i="2"/>
  <c r="K16" i="2"/>
  <c r="P16" i="2"/>
  <c r="O16" i="2"/>
  <c r="M16" i="2"/>
  <c r="L16" i="2"/>
  <c r="J16" i="2"/>
  <c r="I16" i="2"/>
  <c r="L20" i="2"/>
  <c r="K20" i="2"/>
  <c r="J20" i="2"/>
  <c r="G20" i="2"/>
  <c r="O20" i="2"/>
  <c r="P20" i="2"/>
  <c r="N20" i="2"/>
  <c r="M20" i="2"/>
  <c r="Q20" i="2"/>
  <c r="I20" i="2"/>
  <c r="H20" i="2"/>
  <c r="N30" i="2"/>
  <c r="M30" i="2"/>
  <c r="L30" i="2"/>
  <c r="I30" i="2"/>
  <c r="H30" i="2"/>
  <c r="G30" i="2"/>
  <c r="Q30" i="2"/>
  <c r="P30" i="2"/>
  <c r="O30" i="2"/>
  <c r="K30" i="2"/>
  <c r="J30" i="2"/>
  <c r="K23" i="2"/>
  <c r="J23" i="2"/>
  <c r="I23" i="2"/>
  <c r="Q23" i="2"/>
  <c r="O23" i="2"/>
  <c r="N23" i="2"/>
  <c r="P23" i="2"/>
  <c r="M23" i="2"/>
  <c r="L23" i="2"/>
  <c r="H23" i="2"/>
  <c r="G23" i="2"/>
  <c r="Q37" i="2"/>
  <c r="P37" i="2"/>
  <c r="O37" i="2"/>
  <c r="L37" i="2"/>
  <c r="K37" i="2"/>
  <c r="J37" i="2"/>
  <c r="G37" i="2"/>
  <c r="N37" i="2"/>
  <c r="M37" i="2"/>
  <c r="I37" i="2"/>
  <c r="H37" i="2"/>
  <c r="J26" i="2"/>
  <c r="I26" i="2"/>
  <c r="H26" i="2"/>
  <c r="P26" i="2"/>
  <c r="O26" i="2"/>
  <c r="N26" i="2"/>
  <c r="M26" i="2"/>
  <c r="Q26" i="2"/>
  <c r="L26" i="2"/>
  <c r="G26" i="2"/>
  <c r="K26" i="2"/>
  <c r="Q22" i="2"/>
  <c r="P22" i="2"/>
  <c r="O22" i="2"/>
  <c r="L22" i="2"/>
  <c r="I22" i="2"/>
  <c r="K22" i="2"/>
  <c r="M22" i="2"/>
  <c r="N22" i="2"/>
  <c r="J22" i="2"/>
  <c r="H22" i="2"/>
  <c r="G22" i="2"/>
  <c r="P25" i="2"/>
  <c r="O25" i="2"/>
  <c r="N25" i="2"/>
  <c r="K25" i="2"/>
  <c r="J25" i="2"/>
  <c r="I25" i="2"/>
  <c r="H25" i="2"/>
  <c r="Q25" i="2"/>
  <c r="M25" i="2"/>
  <c r="L25" i="2"/>
  <c r="G25" i="2"/>
  <c r="N14" i="2"/>
  <c r="M14" i="2"/>
  <c r="L14" i="2"/>
  <c r="Q14" i="2"/>
  <c r="K14" i="2"/>
  <c r="P14" i="2"/>
  <c r="O14" i="2"/>
  <c r="J14" i="2"/>
  <c r="I14" i="2"/>
  <c r="H14" i="2"/>
  <c r="G14" i="2"/>
  <c r="Q21" i="2"/>
  <c r="P21" i="2"/>
  <c r="O21" i="2"/>
  <c r="L21" i="2"/>
  <c r="K21" i="2"/>
  <c r="J21" i="2"/>
  <c r="G21" i="2"/>
  <c r="H21" i="2"/>
  <c r="I21" i="2"/>
  <c r="N21" i="2"/>
  <c r="M21" i="2"/>
  <c r="A27" i="2"/>
  <c r="A31" i="2"/>
  <c r="D24" i="2"/>
  <c r="D29" i="2"/>
  <c r="B31" i="2"/>
  <c r="E24" i="2"/>
  <c r="D33" i="2"/>
  <c r="A40" i="2"/>
  <c r="B39" i="2"/>
  <c r="E32" i="2"/>
  <c r="B51" i="2"/>
  <c r="E44" i="2"/>
  <c r="B35" i="2"/>
  <c r="E28" i="2"/>
  <c r="A43" i="2"/>
  <c r="D36" i="2"/>
  <c r="A51" i="2"/>
  <c r="D44" i="2"/>
  <c r="A35" i="2"/>
  <c r="D28" i="2"/>
  <c r="B43" i="2"/>
  <c r="E36" i="2"/>
  <c r="E33" i="2"/>
  <c r="B40" i="2"/>
  <c r="E27" i="2"/>
  <c r="B34" i="2"/>
  <c r="A39" i="2"/>
  <c r="D32" i="2"/>
  <c r="D27" i="2"/>
  <c r="A34" i="2"/>
  <c r="O44" i="2" l="1"/>
  <c r="N44" i="2"/>
  <c r="M44" i="2"/>
  <c r="J44" i="2"/>
  <c r="I44" i="2"/>
  <c r="H44" i="2"/>
  <c r="G44" i="2"/>
  <c r="Q44" i="2"/>
  <c r="P44" i="2"/>
  <c r="L44" i="2"/>
  <c r="K44" i="2"/>
  <c r="L36" i="2"/>
  <c r="K36" i="2"/>
  <c r="J36" i="2"/>
  <c r="G36" i="2"/>
  <c r="Q36" i="2"/>
  <c r="P36" i="2"/>
  <c r="O36" i="2"/>
  <c r="H36" i="2"/>
  <c r="I36" i="2"/>
  <c r="N36" i="2"/>
  <c r="M36" i="2"/>
  <c r="O27" i="2"/>
  <c r="N27" i="2"/>
  <c r="M27" i="2"/>
  <c r="J27" i="2"/>
  <c r="I27" i="2"/>
  <c r="H27" i="2"/>
  <c r="L27" i="2"/>
  <c r="K27" i="2"/>
  <c r="G27" i="2"/>
  <c r="P27" i="2"/>
  <c r="Q27" i="2"/>
  <c r="O28" i="2"/>
  <c r="N28" i="2"/>
  <c r="M28" i="2"/>
  <c r="J28" i="2"/>
  <c r="I28" i="2"/>
  <c r="H28" i="2"/>
  <c r="G28" i="2"/>
  <c r="K28" i="2"/>
  <c r="L28" i="2"/>
  <c r="Q28" i="2"/>
  <c r="P28" i="2"/>
  <c r="H32" i="2"/>
  <c r="G32" i="2"/>
  <c r="Q32" i="2"/>
  <c r="N32" i="2"/>
  <c r="M32" i="2"/>
  <c r="L32" i="2"/>
  <c r="K32" i="2"/>
  <c r="P32" i="2"/>
  <c r="O32" i="2"/>
  <c r="J32" i="2"/>
  <c r="I32" i="2"/>
  <c r="P24" i="2"/>
  <c r="O24" i="2"/>
  <c r="N24" i="2"/>
  <c r="K24" i="2"/>
  <c r="J24" i="2"/>
  <c r="I24" i="2"/>
  <c r="L24" i="2"/>
  <c r="G24" i="2"/>
  <c r="M24" i="2"/>
  <c r="H24" i="2"/>
  <c r="Q24" i="2"/>
  <c r="M33" i="2"/>
  <c r="L33" i="2"/>
  <c r="K33" i="2"/>
  <c r="H33" i="2"/>
  <c r="G33" i="2"/>
  <c r="Q33" i="2"/>
  <c r="P33" i="2"/>
  <c r="O33" i="2"/>
  <c r="N33" i="2"/>
  <c r="J33" i="2"/>
  <c r="I33" i="2"/>
  <c r="I29" i="2"/>
  <c r="H29" i="2"/>
  <c r="G29" i="2"/>
  <c r="O29" i="2"/>
  <c r="N29" i="2"/>
  <c r="M29" i="2"/>
  <c r="L29" i="2"/>
  <c r="P29" i="2"/>
  <c r="Q29" i="2"/>
  <c r="K29" i="2"/>
  <c r="J29" i="2"/>
  <c r="B38" i="2"/>
  <c r="E31" i="2"/>
  <c r="A38" i="2"/>
  <c r="D31" i="2"/>
  <c r="D34" i="2"/>
  <c r="A41" i="2"/>
  <c r="B47" i="2"/>
  <c r="E40" i="2"/>
  <c r="A47" i="2"/>
  <c r="D40" i="2"/>
  <c r="A46" i="2"/>
  <c r="D39" i="2"/>
  <c r="B50" i="2"/>
  <c r="E43" i="2"/>
  <c r="B42" i="2"/>
  <c r="E35" i="2"/>
  <c r="A50" i="2"/>
  <c r="D43" i="2"/>
  <c r="A42" i="2"/>
  <c r="D35" i="2"/>
  <c r="E34" i="2"/>
  <c r="B41" i="2"/>
  <c r="A58" i="2"/>
  <c r="D51" i="2"/>
  <c r="B46" i="2"/>
  <c r="E39" i="2"/>
  <c r="B58" i="2"/>
  <c r="E51" i="2"/>
  <c r="G51" i="2" l="1"/>
  <c r="Q51" i="2"/>
  <c r="P51" i="2"/>
  <c r="M51" i="2"/>
  <c r="L51" i="2"/>
  <c r="K51" i="2"/>
  <c r="J51" i="2"/>
  <c r="I51" i="2"/>
  <c r="H51" i="2"/>
  <c r="N51" i="2"/>
  <c r="O51" i="2"/>
  <c r="Q34" i="2"/>
  <c r="P34" i="2"/>
  <c r="M34" i="2"/>
  <c r="L34" i="2"/>
  <c r="K34" i="2"/>
  <c r="H34" i="2"/>
  <c r="G34" i="2"/>
  <c r="O34" i="2"/>
  <c r="N34" i="2"/>
  <c r="J34" i="2"/>
  <c r="I34" i="2"/>
  <c r="G35" i="2"/>
  <c r="Q35" i="2"/>
  <c r="P35" i="2"/>
  <c r="M35" i="2"/>
  <c r="L35" i="2"/>
  <c r="K35" i="2"/>
  <c r="J35" i="2"/>
  <c r="I35" i="2"/>
  <c r="H35" i="2"/>
  <c r="O35" i="2"/>
  <c r="N35" i="2"/>
  <c r="Q31" i="2"/>
  <c r="N31" i="2"/>
  <c r="M31" i="2"/>
  <c r="L31" i="2"/>
  <c r="I31" i="2"/>
  <c r="H31" i="2"/>
  <c r="G31" i="2"/>
  <c r="K31" i="2"/>
  <c r="J31" i="2"/>
  <c r="P31" i="2"/>
  <c r="O31" i="2"/>
  <c r="O43" i="2"/>
  <c r="N43" i="2"/>
  <c r="M43" i="2"/>
  <c r="J43" i="2"/>
  <c r="I43" i="2"/>
  <c r="H43" i="2"/>
  <c r="G43" i="2"/>
  <c r="L43" i="2"/>
  <c r="K43" i="2"/>
  <c r="P43" i="2"/>
  <c r="Q43" i="2"/>
  <c r="K39" i="2"/>
  <c r="J39" i="2"/>
  <c r="I39" i="2"/>
  <c r="Q39" i="2"/>
  <c r="P39" i="2"/>
  <c r="O39" i="2"/>
  <c r="N39" i="2"/>
  <c r="H39" i="2"/>
  <c r="G39" i="2"/>
  <c r="L39" i="2"/>
  <c r="M39" i="2"/>
  <c r="P40" i="2"/>
  <c r="O40" i="2"/>
  <c r="N40" i="2"/>
  <c r="K40" i="2"/>
  <c r="J40" i="2"/>
  <c r="I40" i="2"/>
  <c r="G40" i="2"/>
  <c r="H40" i="2"/>
  <c r="Q40" i="2"/>
  <c r="M40" i="2"/>
  <c r="L40" i="2"/>
  <c r="A45" i="2"/>
  <c r="D38" i="2"/>
  <c r="B45" i="2"/>
  <c r="E38" i="2"/>
  <c r="A65" i="2"/>
  <c r="D58" i="2"/>
  <c r="E41" i="2"/>
  <c r="B48" i="2"/>
  <c r="B57" i="2"/>
  <c r="E50" i="2"/>
  <c r="A53" i="2"/>
  <c r="D46" i="2"/>
  <c r="B49" i="2"/>
  <c r="E42" i="2"/>
  <c r="D41" i="2"/>
  <c r="A48" i="2"/>
  <c r="B53" i="2"/>
  <c r="E46" i="2"/>
  <c r="A49" i="2"/>
  <c r="D42" i="2"/>
  <c r="B65" i="2"/>
  <c r="E58" i="2"/>
  <c r="A57" i="2"/>
  <c r="D50" i="2"/>
  <c r="A54" i="2"/>
  <c r="D47" i="2"/>
  <c r="B54" i="2"/>
  <c r="E47" i="2"/>
  <c r="N46" i="2" l="1"/>
  <c r="M46" i="2"/>
  <c r="L46" i="2"/>
  <c r="I46" i="2"/>
  <c r="H46" i="2"/>
  <c r="G46" i="2"/>
  <c r="Q46" i="2"/>
  <c r="P46" i="2"/>
  <c r="O46" i="2"/>
  <c r="K46" i="2"/>
  <c r="J46" i="2"/>
  <c r="J42" i="2"/>
  <c r="I42" i="2"/>
  <c r="H42" i="2"/>
  <c r="P42" i="2"/>
  <c r="O42" i="2"/>
  <c r="N42" i="2"/>
  <c r="M42" i="2"/>
  <c r="Q42" i="2"/>
  <c r="L42" i="2"/>
  <c r="K42" i="2"/>
  <c r="G42" i="2"/>
  <c r="Q38" i="2"/>
  <c r="P38" i="2"/>
  <c r="O38" i="2"/>
  <c r="L38" i="2"/>
  <c r="K38" i="2"/>
  <c r="J38" i="2"/>
  <c r="I38" i="2"/>
  <c r="N38" i="2"/>
  <c r="M38" i="2"/>
  <c r="H38" i="2"/>
  <c r="G38" i="2"/>
  <c r="P41" i="2"/>
  <c r="O41" i="2"/>
  <c r="N41" i="2"/>
  <c r="K41" i="2"/>
  <c r="J41" i="2"/>
  <c r="I41" i="2"/>
  <c r="H41" i="2"/>
  <c r="L41" i="2"/>
  <c r="M41" i="2"/>
  <c r="Q41" i="2"/>
  <c r="G41" i="2"/>
  <c r="Q47" i="2"/>
  <c r="N47" i="2"/>
  <c r="M47" i="2"/>
  <c r="L47" i="2"/>
  <c r="I47" i="2"/>
  <c r="H47" i="2"/>
  <c r="G47" i="2"/>
  <c r="K47" i="2"/>
  <c r="O47" i="2"/>
  <c r="P47" i="2"/>
  <c r="J47" i="2"/>
  <c r="Q50" i="2"/>
  <c r="P50" i="2"/>
  <c r="M50" i="2"/>
  <c r="L50" i="2"/>
  <c r="K50" i="2"/>
  <c r="H50" i="2"/>
  <c r="G50" i="2"/>
  <c r="O50" i="2"/>
  <c r="N50" i="2"/>
  <c r="J50" i="2"/>
  <c r="I50" i="2"/>
  <c r="J58" i="2"/>
  <c r="I58" i="2"/>
  <c r="H58" i="2"/>
  <c r="P58" i="2"/>
  <c r="O58" i="2"/>
  <c r="N58" i="2"/>
  <c r="M58" i="2"/>
  <c r="L58" i="2"/>
  <c r="K58" i="2"/>
  <c r="G58" i="2"/>
  <c r="Q58" i="2"/>
  <c r="B52" i="2"/>
  <c r="E45" i="2"/>
  <c r="A52" i="2"/>
  <c r="D45" i="2"/>
  <c r="A56" i="2"/>
  <c r="D49" i="2"/>
  <c r="A64" i="2"/>
  <c r="D57" i="2"/>
  <c r="B60" i="2"/>
  <c r="E53" i="2"/>
  <c r="A60" i="2"/>
  <c r="D53" i="2"/>
  <c r="B55" i="2"/>
  <c r="E48" i="2"/>
  <c r="A72" i="2"/>
  <c r="D65" i="2"/>
  <c r="A61" i="2"/>
  <c r="D54" i="2"/>
  <c r="A55" i="2"/>
  <c r="D48" i="2"/>
  <c r="B72" i="2"/>
  <c r="E65" i="2"/>
  <c r="B64" i="2"/>
  <c r="E57" i="2"/>
  <c r="B61" i="2"/>
  <c r="E54" i="2"/>
  <c r="B56" i="2"/>
  <c r="E49" i="2"/>
  <c r="Q54" i="2" l="1"/>
  <c r="P54" i="2"/>
  <c r="O54" i="2"/>
  <c r="L54" i="2"/>
  <c r="K54" i="2"/>
  <c r="J54" i="2"/>
  <c r="I54" i="2"/>
  <c r="N54" i="2"/>
  <c r="M54" i="2"/>
  <c r="H54" i="2"/>
  <c r="G54" i="2"/>
  <c r="H48" i="2"/>
  <c r="G48" i="2"/>
  <c r="Q48" i="2"/>
  <c r="N48" i="2"/>
  <c r="M48" i="2"/>
  <c r="L48" i="2"/>
  <c r="K48" i="2"/>
  <c r="P48" i="2"/>
  <c r="O48" i="2"/>
  <c r="J48" i="2"/>
  <c r="I48" i="2"/>
  <c r="I45" i="2"/>
  <c r="H45" i="2"/>
  <c r="G45" i="2"/>
  <c r="O45" i="2"/>
  <c r="N45" i="2"/>
  <c r="M45" i="2"/>
  <c r="L45" i="2"/>
  <c r="K45" i="2"/>
  <c r="Q45" i="2"/>
  <c r="J45" i="2"/>
  <c r="P45" i="2"/>
  <c r="Q53" i="2"/>
  <c r="P53" i="2"/>
  <c r="O53" i="2"/>
  <c r="L53" i="2"/>
  <c r="K53" i="2"/>
  <c r="J53" i="2"/>
  <c r="G53" i="2"/>
  <c r="H53" i="2"/>
  <c r="N53" i="2"/>
  <c r="M53" i="2"/>
  <c r="I53" i="2"/>
  <c r="M65" i="2"/>
  <c r="L65" i="2"/>
  <c r="K65" i="2"/>
  <c r="H65" i="2"/>
  <c r="G65" i="2"/>
  <c r="Q65" i="2"/>
  <c r="P65" i="2"/>
  <c r="O65" i="2"/>
  <c r="N65" i="2"/>
  <c r="J65" i="2"/>
  <c r="I65" i="2"/>
  <c r="P57" i="2"/>
  <c r="O57" i="2"/>
  <c r="N57" i="2"/>
  <c r="K57" i="2"/>
  <c r="J57" i="2"/>
  <c r="I57" i="2"/>
  <c r="H57" i="2"/>
  <c r="Q57" i="2"/>
  <c r="G57" i="2"/>
  <c r="M57" i="2"/>
  <c r="L57" i="2"/>
  <c r="M49" i="2"/>
  <c r="L49" i="2"/>
  <c r="K49" i="2"/>
  <c r="H49" i="2"/>
  <c r="G49" i="2"/>
  <c r="Q49" i="2"/>
  <c r="P49" i="2"/>
  <c r="J49" i="2"/>
  <c r="I49" i="2"/>
  <c r="O49" i="2"/>
  <c r="N49" i="2"/>
  <c r="A59" i="2"/>
  <c r="D52" i="2"/>
  <c r="B59" i="2"/>
  <c r="E52" i="2"/>
  <c r="A71" i="2"/>
  <c r="D64" i="2"/>
  <c r="A68" i="2"/>
  <c r="D61" i="2"/>
  <c r="B62" i="2"/>
  <c r="E55" i="2"/>
  <c r="A67" i="2"/>
  <c r="D60" i="2"/>
  <c r="B63" i="2"/>
  <c r="E56" i="2"/>
  <c r="B79" i="2"/>
  <c r="E72" i="2"/>
  <c r="B68" i="2"/>
  <c r="E61" i="2"/>
  <c r="B71" i="2"/>
  <c r="E64" i="2"/>
  <c r="A62" i="2"/>
  <c r="D55" i="2"/>
  <c r="A79" i="2"/>
  <c r="D72" i="2"/>
  <c r="B67" i="2"/>
  <c r="E60" i="2"/>
  <c r="A63" i="2"/>
  <c r="D56" i="2"/>
  <c r="L52" i="2" l="1"/>
  <c r="K52" i="2"/>
  <c r="J52" i="2"/>
  <c r="G52" i="2"/>
  <c r="Q52" i="2"/>
  <c r="P52" i="2"/>
  <c r="O52" i="2"/>
  <c r="N52" i="2"/>
  <c r="M52" i="2"/>
  <c r="I52" i="2"/>
  <c r="H52" i="2"/>
  <c r="H64" i="2"/>
  <c r="G64" i="2"/>
  <c r="Q64" i="2"/>
  <c r="N64" i="2"/>
  <c r="M64" i="2"/>
  <c r="L64" i="2"/>
  <c r="K64" i="2"/>
  <c r="P64" i="2"/>
  <c r="O64" i="2"/>
  <c r="J64" i="2"/>
  <c r="I64" i="2"/>
  <c r="K55" i="2"/>
  <c r="J55" i="2"/>
  <c r="I55" i="2"/>
  <c r="Q55" i="2"/>
  <c r="P55" i="2"/>
  <c r="O55" i="2"/>
  <c r="N55" i="2"/>
  <c r="G55" i="2"/>
  <c r="H55" i="2"/>
  <c r="M55" i="2"/>
  <c r="L55" i="2"/>
  <c r="O60" i="2"/>
  <c r="N60" i="2"/>
  <c r="M60" i="2"/>
  <c r="J60" i="2"/>
  <c r="I60" i="2"/>
  <c r="H60" i="2"/>
  <c r="G60" i="2"/>
  <c r="Q60" i="2"/>
  <c r="P60" i="2"/>
  <c r="L60" i="2"/>
  <c r="K60" i="2"/>
  <c r="P56" i="2"/>
  <c r="O56" i="2"/>
  <c r="N56" i="2"/>
  <c r="K56" i="2"/>
  <c r="J56" i="2"/>
  <c r="I56" i="2"/>
  <c r="Q56" i="2"/>
  <c r="M56" i="2"/>
  <c r="L56" i="2"/>
  <c r="H56" i="2"/>
  <c r="G56" i="2"/>
  <c r="P72" i="2"/>
  <c r="O72" i="2"/>
  <c r="N72" i="2"/>
  <c r="K72" i="2"/>
  <c r="J72" i="2"/>
  <c r="I72" i="2"/>
  <c r="M72" i="2"/>
  <c r="L72" i="2"/>
  <c r="Q72" i="2"/>
  <c r="H72" i="2"/>
  <c r="G72" i="2"/>
  <c r="I61" i="2"/>
  <c r="H61" i="2"/>
  <c r="G61" i="2"/>
  <c r="O61" i="2"/>
  <c r="N61" i="2"/>
  <c r="M61" i="2"/>
  <c r="L61" i="2"/>
  <c r="Q61" i="2"/>
  <c r="P61" i="2"/>
  <c r="K61" i="2"/>
  <c r="J61" i="2"/>
  <c r="B66" i="2"/>
  <c r="E59" i="2"/>
  <c r="A66" i="2"/>
  <c r="D59" i="2"/>
  <c r="A69" i="2"/>
  <c r="D62" i="2"/>
  <c r="B74" i="2"/>
  <c r="E67" i="2"/>
  <c r="A70" i="2"/>
  <c r="D63" i="2"/>
  <c r="B78" i="2"/>
  <c r="E71" i="2"/>
  <c r="B75" i="2"/>
  <c r="E68" i="2"/>
  <c r="B86" i="2"/>
  <c r="E79" i="2"/>
  <c r="B70" i="2"/>
  <c r="E63" i="2"/>
  <c r="B69" i="2"/>
  <c r="E62" i="2"/>
  <c r="A74" i="2"/>
  <c r="D67" i="2"/>
  <c r="A75" i="2"/>
  <c r="D68" i="2"/>
  <c r="A86" i="2"/>
  <c r="D79" i="2"/>
  <c r="A78" i="2"/>
  <c r="D71" i="2"/>
  <c r="O59" i="2" l="1"/>
  <c r="N59" i="2"/>
  <c r="M59" i="2"/>
  <c r="J59" i="2"/>
  <c r="I59" i="2"/>
  <c r="H59" i="2"/>
  <c r="K59" i="2"/>
  <c r="Q59" i="2"/>
  <c r="P59" i="2"/>
  <c r="L59" i="2"/>
  <c r="G59" i="2"/>
  <c r="K71" i="2"/>
  <c r="J71" i="2"/>
  <c r="I71" i="2"/>
  <c r="Q71" i="2"/>
  <c r="P71" i="2"/>
  <c r="O71" i="2"/>
  <c r="N71" i="2"/>
  <c r="H71" i="2"/>
  <c r="G71" i="2"/>
  <c r="M71" i="2"/>
  <c r="L71" i="2"/>
  <c r="Q63" i="2"/>
  <c r="N63" i="2"/>
  <c r="M63" i="2"/>
  <c r="L63" i="2"/>
  <c r="I63" i="2"/>
  <c r="H63" i="2"/>
  <c r="G63" i="2"/>
  <c r="K63" i="2"/>
  <c r="J63" i="2"/>
  <c r="P63" i="2"/>
  <c r="O63" i="2"/>
  <c r="Q79" i="2"/>
  <c r="N79" i="2"/>
  <c r="M79" i="2"/>
  <c r="L79" i="2"/>
  <c r="I79" i="2"/>
  <c r="H79" i="2"/>
  <c r="G79" i="2"/>
  <c r="P79" i="2"/>
  <c r="O79" i="2"/>
  <c r="K79" i="2"/>
  <c r="J79" i="2"/>
  <c r="L68" i="2"/>
  <c r="K68" i="2"/>
  <c r="J68" i="2"/>
  <c r="G68" i="2"/>
  <c r="Q68" i="2"/>
  <c r="P68" i="2"/>
  <c r="O68" i="2"/>
  <c r="N68" i="2"/>
  <c r="M68" i="2"/>
  <c r="I68" i="2"/>
  <c r="H68" i="2"/>
  <c r="G67" i="2"/>
  <c r="Q67" i="2"/>
  <c r="P67" i="2"/>
  <c r="M67" i="2"/>
  <c r="L67" i="2"/>
  <c r="K67" i="2"/>
  <c r="J67" i="2"/>
  <c r="H67" i="2"/>
  <c r="O67" i="2"/>
  <c r="N67" i="2"/>
  <c r="I67" i="2"/>
  <c r="N62" i="2"/>
  <c r="M62" i="2"/>
  <c r="L62" i="2"/>
  <c r="I62" i="2"/>
  <c r="H62" i="2"/>
  <c r="G62" i="2"/>
  <c r="Q62" i="2"/>
  <c r="K62" i="2"/>
  <c r="J62" i="2"/>
  <c r="O62" i="2"/>
  <c r="P62" i="2"/>
  <c r="A73" i="2"/>
  <c r="D66" i="2"/>
  <c r="B73" i="2"/>
  <c r="E66" i="2"/>
  <c r="B85" i="2"/>
  <c r="E78" i="2"/>
  <c r="B76" i="2"/>
  <c r="E69" i="2"/>
  <c r="B93" i="2"/>
  <c r="E86" i="2"/>
  <c r="A77" i="2"/>
  <c r="D70" i="2"/>
  <c r="B77" i="2"/>
  <c r="E70" i="2"/>
  <c r="B82" i="2"/>
  <c r="E75" i="2"/>
  <c r="B81" i="2"/>
  <c r="E74" i="2"/>
  <c r="A93" i="2"/>
  <c r="D86" i="2"/>
  <c r="A81" i="2"/>
  <c r="D74" i="2"/>
  <c r="A85" i="2"/>
  <c r="D78" i="2"/>
  <c r="A82" i="2"/>
  <c r="D75" i="2"/>
  <c r="A76" i="2"/>
  <c r="D69" i="2"/>
  <c r="Q66" i="2" l="1"/>
  <c r="P66" i="2"/>
  <c r="M66" i="2"/>
  <c r="L66" i="2"/>
  <c r="K66" i="2"/>
  <c r="H66" i="2"/>
  <c r="G66" i="2"/>
  <c r="J66" i="2"/>
  <c r="I66" i="2"/>
  <c r="O66" i="2"/>
  <c r="N66" i="2"/>
  <c r="Q70" i="2"/>
  <c r="P70" i="2"/>
  <c r="O70" i="2"/>
  <c r="L70" i="2"/>
  <c r="K70" i="2"/>
  <c r="J70" i="2"/>
  <c r="I70" i="2"/>
  <c r="H70" i="2"/>
  <c r="G70" i="2"/>
  <c r="N70" i="2"/>
  <c r="M70" i="2"/>
  <c r="Q69" i="2"/>
  <c r="P69" i="2"/>
  <c r="O69" i="2"/>
  <c r="L69" i="2"/>
  <c r="K69" i="2"/>
  <c r="J69" i="2"/>
  <c r="G69" i="2"/>
  <c r="N69" i="2"/>
  <c r="M69" i="2"/>
  <c r="I69" i="2"/>
  <c r="H69" i="2"/>
  <c r="O75" i="2"/>
  <c r="N75" i="2"/>
  <c r="M75" i="2"/>
  <c r="J75" i="2"/>
  <c r="I75" i="2"/>
  <c r="H75" i="2"/>
  <c r="Q75" i="2"/>
  <c r="P75" i="2"/>
  <c r="L75" i="2"/>
  <c r="K75" i="2"/>
  <c r="G75" i="2"/>
  <c r="N78" i="2"/>
  <c r="M78" i="2"/>
  <c r="L78" i="2"/>
  <c r="I78" i="2"/>
  <c r="H78" i="2"/>
  <c r="G78" i="2"/>
  <c r="Q78" i="2"/>
  <c r="O78" i="2"/>
  <c r="K78" i="2"/>
  <c r="J78" i="2"/>
  <c r="P78" i="2"/>
  <c r="J74" i="2"/>
  <c r="I74" i="2"/>
  <c r="H74" i="2"/>
  <c r="P74" i="2"/>
  <c r="O74" i="2"/>
  <c r="N74" i="2"/>
  <c r="M74" i="2"/>
  <c r="G74" i="2"/>
  <c r="L74" i="2"/>
  <c r="Q74" i="2"/>
  <c r="K74" i="2"/>
  <c r="Q86" i="2"/>
  <c r="P86" i="2"/>
  <c r="O86" i="2"/>
  <c r="L86" i="2"/>
  <c r="K86" i="2"/>
  <c r="J86" i="2"/>
  <c r="I86" i="2"/>
  <c r="G86" i="2"/>
  <c r="M86" i="2"/>
  <c r="H86" i="2"/>
  <c r="N86" i="2"/>
  <c r="B80" i="2"/>
  <c r="E73" i="2"/>
  <c r="A80" i="2"/>
  <c r="D73" i="2"/>
  <c r="B88" i="2"/>
  <c r="E81" i="2"/>
  <c r="A89" i="2"/>
  <c r="D82" i="2"/>
  <c r="A92" i="2"/>
  <c r="D85" i="2"/>
  <c r="A88" i="2"/>
  <c r="D81" i="2"/>
  <c r="B89" i="2"/>
  <c r="E82" i="2"/>
  <c r="A83" i="2"/>
  <c r="D76" i="2"/>
  <c r="A100" i="2"/>
  <c r="D93" i="2"/>
  <c r="B84" i="2"/>
  <c r="E77" i="2"/>
  <c r="A84" i="2"/>
  <c r="D77" i="2"/>
  <c r="B92" i="2"/>
  <c r="E85" i="2"/>
  <c r="B100" i="2"/>
  <c r="E93" i="2"/>
  <c r="B83" i="2"/>
  <c r="E76" i="2"/>
  <c r="M81" i="2" l="1"/>
  <c r="L81" i="2"/>
  <c r="K81" i="2"/>
  <c r="H81" i="2"/>
  <c r="G81" i="2"/>
  <c r="Q81" i="2"/>
  <c r="P81" i="2"/>
  <c r="O81" i="2"/>
  <c r="N81" i="2"/>
  <c r="J81" i="2"/>
  <c r="I81" i="2"/>
  <c r="P73" i="2"/>
  <c r="O73" i="2"/>
  <c r="N73" i="2"/>
  <c r="K73" i="2"/>
  <c r="J73" i="2"/>
  <c r="I73" i="2"/>
  <c r="H73" i="2"/>
  <c r="Q73" i="2"/>
  <c r="M73" i="2"/>
  <c r="L73" i="2"/>
  <c r="G73" i="2"/>
  <c r="Q82" i="2"/>
  <c r="P82" i="2"/>
  <c r="M82" i="2"/>
  <c r="L82" i="2"/>
  <c r="K82" i="2"/>
  <c r="H82" i="2"/>
  <c r="G82" i="2"/>
  <c r="I82" i="2"/>
  <c r="O82" i="2"/>
  <c r="N82" i="2"/>
  <c r="J82" i="2"/>
  <c r="M93" i="2"/>
  <c r="L93" i="2"/>
  <c r="K93" i="2"/>
  <c r="J93" i="2"/>
  <c r="I93" i="2"/>
  <c r="H93" i="2"/>
  <c r="Q93" i="2"/>
  <c r="P93" i="2"/>
  <c r="O93" i="2"/>
  <c r="N93" i="2"/>
  <c r="G93" i="2"/>
  <c r="Q85" i="2"/>
  <c r="P85" i="2"/>
  <c r="O85" i="2"/>
  <c r="L85" i="2"/>
  <c r="K85" i="2"/>
  <c r="J85" i="2"/>
  <c r="G85" i="2"/>
  <c r="N85" i="2"/>
  <c r="M85" i="2"/>
  <c r="I85" i="2"/>
  <c r="H85" i="2"/>
  <c r="I77" i="2"/>
  <c r="H77" i="2"/>
  <c r="G77" i="2"/>
  <c r="O77" i="2"/>
  <c r="N77" i="2"/>
  <c r="M77" i="2"/>
  <c r="L77" i="2"/>
  <c r="Q77" i="2"/>
  <c r="P77" i="2"/>
  <c r="K77" i="2"/>
  <c r="J77" i="2"/>
  <c r="O76" i="2"/>
  <c r="N76" i="2"/>
  <c r="M76" i="2"/>
  <c r="J76" i="2"/>
  <c r="I76" i="2"/>
  <c r="H76" i="2"/>
  <c r="G76" i="2"/>
  <c r="K76" i="2"/>
  <c r="L76" i="2"/>
  <c r="Q76" i="2"/>
  <c r="P76" i="2"/>
  <c r="A87" i="2"/>
  <c r="D80" i="2"/>
  <c r="B87" i="2"/>
  <c r="E80" i="2"/>
  <c r="B90" i="2"/>
  <c r="E83" i="2"/>
  <c r="B99" i="2"/>
  <c r="E92" i="2"/>
  <c r="A96" i="2"/>
  <c r="D89" i="2"/>
  <c r="B91" i="2"/>
  <c r="E84" i="2"/>
  <c r="B96" i="2"/>
  <c r="E89" i="2"/>
  <c r="A107" i="2"/>
  <c r="D100" i="2"/>
  <c r="A91" i="2"/>
  <c r="D84" i="2"/>
  <c r="B107" i="2"/>
  <c r="E100" i="2"/>
  <c r="A90" i="2"/>
  <c r="D83" i="2"/>
  <c r="A95" i="2"/>
  <c r="D88" i="2"/>
  <c r="A99" i="2"/>
  <c r="D92" i="2"/>
  <c r="B95" i="2"/>
  <c r="E88" i="2"/>
  <c r="H80" i="2" l="1"/>
  <c r="G80" i="2"/>
  <c r="Q80" i="2"/>
  <c r="N80" i="2"/>
  <c r="M80" i="2"/>
  <c r="L80" i="2"/>
  <c r="K80" i="2"/>
  <c r="J80" i="2"/>
  <c r="I80" i="2"/>
  <c r="P80" i="2"/>
  <c r="O80" i="2"/>
  <c r="O92" i="2"/>
  <c r="N92" i="2"/>
  <c r="Q92" i="2"/>
  <c r="P92" i="2"/>
  <c r="M92" i="2"/>
  <c r="J92" i="2"/>
  <c r="I92" i="2"/>
  <c r="H92" i="2"/>
  <c r="G92" i="2"/>
  <c r="L92" i="2"/>
  <c r="K92" i="2"/>
  <c r="L84" i="2"/>
  <c r="K84" i="2"/>
  <c r="J84" i="2"/>
  <c r="G84" i="2"/>
  <c r="Q84" i="2"/>
  <c r="P84" i="2"/>
  <c r="O84" i="2"/>
  <c r="H84" i="2"/>
  <c r="N84" i="2"/>
  <c r="M84" i="2"/>
  <c r="I84" i="2"/>
  <c r="P100" i="2"/>
  <c r="O100" i="2"/>
  <c r="N100" i="2"/>
  <c r="M100" i="2"/>
  <c r="L100" i="2"/>
  <c r="K100" i="2"/>
  <c r="H100" i="2"/>
  <c r="G100" i="2"/>
  <c r="J100" i="2"/>
  <c r="I100" i="2"/>
  <c r="Q100" i="2"/>
  <c r="P89" i="2"/>
  <c r="O89" i="2"/>
  <c r="N89" i="2"/>
  <c r="K89" i="2"/>
  <c r="J89" i="2"/>
  <c r="I89" i="2"/>
  <c r="H89" i="2"/>
  <c r="M89" i="2"/>
  <c r="L89" i="2"/>
  <c r="G89" i="2"/>
  <c r="Q89" i="2"/>
  <c r="P88" i="2"/>
  <c r="O88" i="2"/>
  <c r="N88" i="2"/>
  <c r="K88" i="2"/>
  <c r="J88" i="2"/>
  <c r="I88" i="2"/>
  <c r="G88" i="2"/>
  <c r="Q88" i="2"/>
  <c r="M88" i="2"/>
  <c r="H88" i="2"/>
  <c r="L88" i="2"/>
  <c r="G83" i="2"/>
  <c r="Q83" i="2"/>
  <c r="P83" i="2"/>
  <c r="M83" i="2"/>
  <c r="L83" i="2"/>
  <c r="K83" i="2"/>
  <c r="J83" i="2"/>
  <c r="O83" i="2"/>
  <c r="N83" i="2"/>
  <c r="I83" i="2"/>
  <c r="H83" i="2"/>
  <c r="B94" i="2"/>
  <c r="E87" i="2"/>
  <c r="A94" i="2"/>
  <c r="D87" i="2"/>
  <c r="A106" i="2"/>
  <c r="D99" i="2"/>
  <c r="B114" i="2"/>
  <c r="E107" i="2"/>
  <c r="A98" i="2"/>
  <c r="D91" i="2"/>
  <c r="B103" i="2"/>
  <c r="E96" i="2"/>
  <c r="B98" i="2"/>
  <c r="E91" i="2"/>
  <c r="A102" i="2"/>
  <c r="D95" i="2"/>
  <c r="A114" i="2"/>
  <c r="D107" i="2"/>
  <c r="A103" i="2"/>
  <c r="D96" i="2"/>
  <c r="B106" i="2"/>
  <c r="E99" i="2"/>
  <c r="B102" i="2"/>
  <c r="E95" i="2"/>
  <c r="A97" i="2"/>
  <c r="D90" i="2"/>
  <c r="B97" i="2"/>
  <c r="E90" i="2"/>
  <c r="K87" i="2" l="1"/>
  <c r="J87" i="2"/>
  <c r="I87" i="2"/>
  <c r="Q87" i="2"/>
  <c r="P87" i="2"/>
  <c r="O87" i="2"/>
  <c r="N87" i="2"/>
  <c r="M87" i="2"/>
  <c r="L87" i="2"/>
  <c r="H87" i="2"/>
  <c r="G87" i="2"/>
  <c r="K99" i="2"/>
  <c r="J99" i="2"/>
  <c r="I99" i="2"/>
  <c r="H99" i="2"/>
  <c r="G99" i="2"/>
  <c r="Q99" i="2"/>
  <c r="P99" i="2"/>
  <c r="O99" i="2"/>
  <c r="L99" i="2"/>
  <c r="N99" i="2"/>
  <c r="M99" i="2"/>
  <c r="L96" i="2"/>
  <c r="K96" i="2"/>
  <c r="J96" i="2"/>
  <c r="I96" i="2"/>
  <c r="H96" i="2"/>
  <c r="G96" i="2"/>
  <c r="P96" i="2"/>
  <c r="O96" i="2"/>
  <c r="N96" i="2"/>
  <c r="Q96" i="2"/>
  <c r="M96" i="2"/>
  <c r="Q107" i="2"/>
  <c r="P107" i="2"/>
  <c r="O107" i="2"/>
  <c r="N107" i="2"/>
  <c r="K107" i="2"/>
  <c r="J107" i="2"/>
  <c r="I107" i="2"/>
  <c r="H107" i="2"/>
  <c r="M107" i="2"/>
  <c r="L107" i="2"/>
  <c r="G107" i="2"/>
  <c r="J90" i="2"/>
  <c r="I90" i="2"/>
  <c r="H90" i="2"/>
  <c r="P90" i="2"/>
  <c r="O90" i="2"/>
  <c r="N90" i="2"/>
  <c r="M90" i="2"/>
  <c r="K90" i="2"/>
  <c r="G90" i="2"/>
  <c r="L90" i="2"/>
  <c r="Q90" i="2"/>
  <c r="O91" i="2"/>
  <c r="N91" i="2"/>
  <c r="M91" i="2"/>
  <c r="J91" i="2"/>
  <c r="I91" i="2"/>
  <c r="H91" i="2"/>
  <c r="P91" i="2"/>
  <c r="Q91" i="2"/>
  <c r="L91" i="2"/>
  <c r="K91" i="2"/>
  <c r="G91" i="2"/>
  <c r="G95" i="2"/>
  <c r="N95" i="2"/>
  <c r="M95" i="2"/>
  <c r="P95" i="2"/>
  <c r="O95" i="2"/>
  <c r="L95" i="2"/>
  <c r="I95" i="2"/>
  <c r="H95" i="2"/>
  <c r="K95" i="2"/>
  <c r="J95" i="2"/>
  <c r="Q95" i="2"/>
  <c r="A101" i="2"/>
  <c r="D94" i="2"/>
  <c r="B101" i="2"/>
  <c r="E94" i="2"/>
  <c r="A104" i="2"/>
  <c r="D97" i="2"/>
  <c r="A110" i="2"/>
  <c r="D103" i="2"/>
  <c r="B104" i="2"/>
  <c r="E97" i="2"/>
  <c r="B113" i="2"/>
  <c r="E106" i="2"/>
  <c r="B109" i="2"/>
  <c r="E102" i="2"/>
  <c r="A121" i="2"/>
  <c r="D114" i="2"/>
  <c r="B121" i="2"/>
  <c r="E114" i="2"/>
  <c r="A109" i="2"/>
  <c r="D102" i="2"/>
  <c r="A113" i="2"/>
  <c r="D106" i="2"/>
  <c r="B105" i="2"/>
  <c r="E98" i="2"/>
  <c r="A105" i="2"/>
  <c r="D98" i="2"/>
  <c r="B110" i="2"/>
  <c r="E103" i="2"/>
  <c r="Q97" i="2" l="1"/>
  <c r="P97" i="2"/>
  <c r="O97" i="2"/>
  <c r="N97" i="2"/>
  <c r="M97" i="2"/>
  <c r="L97" i="2"/>
  <c r="H97" i="2"/>
  <c r="G97" i="2"/>
  <c r="K97" i="2"/>
  <c r="J97" i="2"/>
  <c r="I97" i="2"/>
  <c r="J102" i="2"/>
  <c r="I102" i="2"/>
  <c r="H102" i="2"/>
  <c r="G102" i="2"/>
  <c r="Q102" i="2"/>
  <c r="P102" i="2"/>
  <c r="O102" i="2"/>
  <c r="N102" i="2"/>
  <c r="M102" i="2"/>
  <c r="L102" i="2"/>
  <c r="K102" i="2"/>
  <c r="O103" i="2"/>
  <c r="N103" i="2"/>
  <c r="M103" i="2"/>
  <c r="L103" i="2"/>
  <c r="K103" i="2"/>
  <c r="J103" i="2"/>
  <c r="G103" i="2"/>
  <c r="Q103" i="2"/>
  <c r="H103" i="2"/>
  <c r="P103" i="2"/>
  <c r="I103" i="2"/>
  <c r="N106" i="2"/>
  <c r="M106" i="2"/>
  <c r="L106" i="2"/>
  <c r="K106" i="2"/>
  <c r="J106" i="2"/>
  <c r="I106" i="2"/>
  <c r="Q106" i="2"/>
  <c r="P106" i="2"/>
  <c r="O106" i="2"/>
  <c r="H106" i="2"/>
  <c r="G106" i="2"/>
  <c r="Q94" i="2"/>
  <c r="P94" i="2"/>
  <c r="O94" i="2"/>
  <c r="N94" i="2"/>
  <c r="M94" i="2"/>
  <c r="I94" i="2"/>
  <c r="H94" i="2"/>
  <c r="L94" i="2"/>
  <c r="K94" i="2"/>
  <c r="J94" i="2"/>
  <c r="G94" i="2"/>
  <c r="Q98" i="2"/>
  <c r="N98" i="2"/>
  <c r="M98" i="2"/>
  <c r="L98" i="2"/>
  <c r="K98" i="2"/>
  <c r="P98" i="2"/>
  <c r="O98" i="2"/>
  <c r="H98" i="2"/>
  <c r="G98" i="2"/>
  <c r="J98" i="2"/>
  <c r="I98" i="2"/>
  <c r="Q114" i="2"/>
  <c r="N114" i="2"/>
  <c r="M114" i="2"/>
  <c r="L114" i="2"/>
  <c r="K114" i="2"/>
  <c r="O114" i="2"/>
  <c r="J114" i="2"/>
  <c r="I114" i="2"/>
  <c r="H114" i="2"/>
  <c r="G114" i="2"/>
  <c r="P114" i="2"/>
  <c r="B108" i="2"/>
  <c r="E101" i="2"/>
  <c r="A108" i="2"/>
  <c r="D101" i="2"/>
  <c r="B112" i="2"/>
  <c r="E105" i="2"/>
  <c r="B128" i="2"/>
  <c r="E121" i="2"/>
  <c r="A128" i="2"/>
  <c r="D121" i="2"/>
  <c r="B116" i="2"/>
  <c r="E109" i="2"/>
  <c r="A117" i="2"/>
  <c r="D110" i="2"/>
  <c r="B117" i="2"/>
  <c r="E110" i="2"/>
  <c r="B120" i="2"/>
  <c r="E113" i="2"/>
  <c r="A111" i="2"/>
  <c r="D104" i="2"/>
  <c r="A120" i="2"/>
  <c r="D113" i="2"/>
  <c r="B111" i="2"/>
  <c r="E104" i="2"/>
  <c r="A112" i="2"/>
  <c r="D105" i="2"/>
  <c r="A116" i="2"/>
  <c r="D109" i="2"/>
  <c r="Q101" i="2" l="1"/>
  <c r="P101" i="2"/>
  <c r="M101" i="2"/>
  <c r="L101" i="2"/>
  <c r="K101" i="2"/>
  <c r="J101" i="2"/>
  <c r="O101" i="2"/>
  <c r="N101" i="2"/>
  <c r="I101" i="2"/>
  <c r="H101" i="2"/>
  <c r="G101" i="2"/>
  <c r="M109" i="2"/>
  <c r="L109" i="2"/>
  <c r="K109" i="2"/>
  <c r="J109" i="2"/>
  <c r="I109" i="2"/>
  <c r="H109" i="2"/>
  <c r="O109" i="2"/>
  <c r="N109" i="2"/>
  <c r="G109" i="2"/>
  <c r="Q109" i="2"/>
  <c r="P109" i="2"/>
  <c r="Q104" i="2"/>
  <c r="P104" i="2"/>
  <c r="O104" i="2"/>
  <c r="L104" i="2"/>
  <c r="K104" i="2"/>
  <c r="J104" i="2"/>
  <c r="I104" i="2"/>
  <c r="H104" i="2"/>
  <c r="G104" i="2"/>
  <c r="M104" i="2"/>
  <c r="N104" i="2"/>
  <c r="Q110" i="2"/>
  <c r="P110" i="2"/>
  <c r="O110" i="2"/>
  <c r="N110" i="2"/>
  <c r="M110" i="2"/>
  <c r="J110" i="2"/>
  <c r="I110" i="2"/>
  <c r="H110" i="2"/>
  <c r="G110" i="2"/>
  <c r="L110" i="2"/>
  <c r="K110" i="2"/>
  <c r="I121" i="2"/>
  <c r="H121" i="2"/>
  <c r="G121" i="2"/>
  <c r="Q121" i="2"/>
  <c r="P121" i="2"/>
  <c r="O121" i="2"/>
  <c r="N121" i="2"/>
  <c r="K121" i="2"/>
  <c r="J121" i="2"/>
  <c r="M121" i="2"/>
  <c r="L121" i="2"/>
  <c r="I105" i="2"/>
  <c r="H105" i="2"/>
  <c r="G105" i="2"/>
  <c r="Q105" i="2"/>
  <c r="P105" i="2"/>
  <c r="O105" i="2"/>
  <c r="N105" i="2"/>
  <c r="M105" i="2"/>
  <c r="L105" i="2"/>
  <c r="K105" i="2"/>
  <c r="J105" i="2"/>
  <c r="Q113" i="2"/>
  <c r="P113" i="2"/>
  <c r="O113" i="2"/>
  <c r="N113" i="2"/>
  <c r="M113" i="2"/>
  <c r="L113" i="2"/>
  <c r="I113" i="2"/>
  <c r="H113" i="2"/>
  <c r="G113" i="2"/>
  <c r="K113" i="2"/>
  <c r="J113" i="2"/>
  <c r="A115" i="2"/>
  <c r="D108" i="2"/>
  <c r="B115" i="2"/>
  <c r="E108" i="2"/>
  <c r="A135" i="2"/>
  <c r="D128" i="2"/>
  <c r="A123" i="2"/>
  <c r="D116" i="2"/>
  <c r="B118" i="2"/>
  <c r="E111" i="2"/>
  <c r="A118" i="2"/>
  <c r="D111" i="2"/>
  <c r="A124" i="2"/>
  <c r="D117" i="2"/>
  <c r="A119" i="2"/>
  <c r="D112" i="2"/>
  <c r="A127" i="2"/>
  <c r="D120" i="2"/>
  <c r="B127" i="2"/>
  <c r="E120" i="2"/>
  <c r="B123" i="2"/>
  <c r="E116" i="2"/>
  <c r="B124" i="2"/>
  <c r="E117" i="2"/>
  <c r="B135" i="2"/>
  <c r="E128" i="2"/>
  <c r="B119" i="2"/>
  <c r="E112" i="2"/>
  <c r="Q120" i="2" l="1"/>
  <c r="P120" i="2"/>
  <c r="O120" i="2"/>
  <c r="L120" i="2"/>
  <c r="K120" i="2"/>
  <c r="J120" i="2"/>
  <c r="I120" i="2"/>
  <c r="N120" i="2"/>
  <c r="M120" i="2"/>
  <c r="G120" i="2"/>
  <c r="H120" i="2"/>
  <c r="H108" i="2"/>
  <c r="G108" i="2"/>
  <c r="P108" i="2"/>
  <c r="O108" i="2"/>
  <c r="N108" i="2"/>
  <c r="M108" i="2"/>
  <c r="J108" i="2"/>
  <c r="I108" i="2"/>
  <c r="Q108" i="2"/>
  <c r="L108" i="2"/>
  <c r="K108" i="2"/>
  <c r="L112" i="2"/>
  <c r="K112" i="2"/>
  <c r="J112" i="2"/>
  <c r="I112" i="2"/>
  <c r="H112" i="2"/>
  <c r="G112" i="2"/>
  <c r="Q112" i="2"/>
  <c r="P112" i="2"/>
  <c r="O112" i="2"/>
  <c r="N112" i="2"/>
  <c r="M112" i="2"/>
  <c r="Q117" i="2"/>
  <c r="P117" i="2"/>
  <c r="M117" i="2"/>
  <c r="L117" i="2"/>
  <c r="K117" i="2"/>
  <c r="J117" i="2"/>
  <c r="I117" i="2"/>
  <c r="H117" i="2"/>
  <c r="G117" i="2"/>
  <c r="O117" i="2"/>
  <c r="N117" i="2"/>
  <c r="G111" i="2"/>
  <c r="O111" i="2"/>
  <c r="N111" i="2"/>
  <c r="M111" i="2"/>
  <c r="L111" i="2"/>
  <c r="Q111" i="2"/>
  <c r="P111" i="2"/>
  <c r="K111" i="2"/>
  <c r="H111" i="2"/>
  <c r="J111" i="2"/>
  <c r="I111" i="2"/>
  <c r="P116" i="2"/>
  <c r="O116" i="2"/>
  <c r="N116" i="2"/>
  <c r="M116" i="2"/>
  <c r="L116" i="2"/>
  <c r="K116" i="2"/>
  <c r="H116" i="2"/>
  <c r="G116" i="2"/>
  <c r="Q116" i="2"/>
  <c r="J116" i="2"/>
  <c r="I116" i="2"/>
  <c r="L128" i="2"/>
  <c r="K128" i="2"/>
  <c r="J128" i="2"/>
  <c r="I128" i="2"/>
  <c r="H128" i="2"/>
  <c r="G128" i="2"/>
  <c r="Q128" i="2"/>
  <c r="P128" i="2"/>
  <c r="O128" i="2"/>
  <c r="N128" i="2"/>
  <c r="M128" i="2"/>
  <c r="E115" i="2"/>
  <c r="B122" i="2"/>
  <c r="A122" i="2"/>
  <c r="D115" i="2"/>
  <c r="B130" i="2"/>
  <c r="E123" i="2"/>
  <c r="A126" i="2"/>
  <c r="D119" i="2"/>
  <c r="B131" i="2"/>
  <c r="E124" i="2"/>
  <c r="B134" i="2"/>
  <c r="E127" i="2"/>
  <c r="A131" i="2"/>
  <c r="D124" i="2"/>
  <c r="A130" i="2"/>
  <c r="D123" i="2"/>
  <c r="B126" i="2"/>
  <c r="E119" i="2"/>
  <c r="A134" i="2"/>
  <c r="D127" i="2"/>
  <c r="A125" i="2"/>
  <c r="D118" i="2"/>
  <c r="A142" i="2"/>
  <c r="D135" i="2"/>
  <c r="B125" i="2"/>
  <c r="E118" i="2"/>
  <c r="B142" i="2"/>
  <c r="E135" i="2"/>
  <c r="Q123" i="2" l="1"/>
  <c r="P123" i="2"/>
  <c r="O123" i="2"/>
  <c r="N123" i="2"/>
  <c r="K123" i="2"/>
  <c r="J123" i="2"/>
  <c r="I123" i="2"/>
  <c r="H123" i="2"/>
  <c r="M123" i="2"/>
  <c r="L123" i="2"/>
  <c r="G123" i="2"/>
  <c r="H124" i="2"/>
  <c r="G124" i="2"/>
  <c r="P124" i="2"/>
  <c r="O124" i="2"/>
  <c r="N124" i="2"/>
  <c r="M124" i="2"/>
  <c r="Q124" i="2"/>
  <c r="L124" i="2"/>
  <c r="K124" i="2"/>
  <c r="J124" i="2"/>
  <c r="I124" i="2"/>
  <c r="O119" i="2"/>
  <c r="N119" i="2"/>
  <c r="M119" i="2"/>
  <c r="L119" i="2"/>
  <c r="K119" i="2"/>
  <c r="J119" i="2"/>
  <c r="G119" i="2"/>
  <c r="Q119" i="2"/>
  <c r="P119" i="2"/>
  <c r="I119" i="2"/>
  <c r="H119" i="2"/>
  <c r="G127" i="2"/>
  <c r="O127" i="2"/>
  <c r="N127" i="2"/>
  <c r="M127" i="2"/>
  <c r="L127" i="2"/>
  <c r="K127" i="2"/>
  <c r="J127" i="2"/>
  <c r="I127" i="2"/>
  <c r="H127" i="2"/>
  <c r="Q127" i="2"/>
  <c r="P127" i="2"/>
  <c r="K115" i="2"/>
  <c r="J115" i="2"/>
  <c r="I115" i="2"/>
  <c r="H115" i="2"/>
  <c r="G115" i="2"/>
  <c r="Q115" i="2"/>
  <c r="P115" i="2"/>
  <c r="O115" i="2"/>
  <c r="N115" i="2"/>
  <c r="M115" i="2"/>
  <c r="L115" i="2"/>
  <c r="O135" i="2"/>
  <c r="N135" i="2"/>
  <c r="M135" i="2"/>
  <c r="L135" i="2"/>
  <c r="K135" i="2"/>
  <c r="J135" i="2"/>
  <c r="G135" i="2"/>
  <c r="I135" i="2"/>
  <c r="H135" i="2"/>
  <c r="P135" i="2"/>
  <c r="Q135" i="2"/>
  <c r="J118" i="2"/>
  <c r="I118" i="2"/>
  <c r="H118" i="2"/>
  <c r="G118" i="2"/>
  <c r="Q118" i="2"/>
  <c r="P118" i="2"/>
  <c r="O118" i="2"/>
  <c r="M118" i="2"/>
  <c r="L118" i="2"/>
  <c r="K118" i="2"/>
  <c r="N118" i="2"/>
  <c r="A129" i="2"/>
  <c r="D122" i="2"/>
  <c r="B129" i="2"/>
  <c r="E122" i="2"/>
  <c r="E142" i="2"/>
  <c r="B149" i="2"/>
  <c r="D142" i="2"/>
  <c r="A149" i="2"/>
  <c r="A132" i="2"/>
  <c r="D125" i="2"/>
  <c r="A141" i="2"/>
  <c r="D134" i="2"/>
  <c r="A133" i="2"/>
  <c r="D126" i="2"/>
  <c r="B133" i="2"/>
  <c r="E126" i="2"/>
  <c r="B137" i="2"/>
  <c r="E130" i="2"/>
  <c r="A137" i="2"/>
  <c r="D130" i="2"/>
  <c r="A138" i="2"/>
  <c r="D131" i="2"/>
  <c r="B141" i="2"/>
  <c r="E134" i="2"/>
  <c r="B138" i="2"/>
  <c r="E131" i="2"/>
  <c r="B132" i="2"/>
  <c r="E125" i="2"/>
  <c r="N122" i="2" l="1"/>
  <c r="M122" i="2"/>
  <c r="L122" i="2"/>
  <c r="K122" i="2"/>
  <c r="J122" i="2"/>
  <c r="I122" i="2"/>
  <c r="O122" i="2"/>
  <c r="H122" i="2"/>
  <c r="G122" i="2"/>
  <c r="Q122" i="2"/>
  <c r="P122" i="2"/>
  <c r="Q126" i="2"/>
  <c r="P126" i="2"/>
  <c r="O126" i="2"/>
  <c r="N126" i="2"/>
  <c r="M126" i="2"/>
  <c r="J126" i="2"/>
  <c r="I126" i="2"/>
  <c r="H126" i="2"/>
  <c r="G126" i="2"/>
  <c r="K126" i="2"/>
  <c r="L126" i="2"/>
  <c r="Q130" i="2"/>
  <c r="N130" i="2"/>
  <c r="M130" i="2"/>
  <c r="L130" i="2"/>
  <c r="K130" i="2"/>
  <c r="P130" i="2"/>
  <c r="I130" i="2"/>
  <c r="H130" i="2"/>
  <c r="G130" i="2"/>
  <c r="O130" i="2"/>
  <c r="J130" i="2"/>
  <c r="J134" i="2"/>
  <c r="I134" i="2"/>
  <c r="H134" i="2"/>
  <c r="G134" i="2"/>
  <c r="Q134" i="2"/>
  <c r="P134" i="2"/>
  <c r="O134" i="2"/>
  <c r="N134" i="2"/>
  <c r="K134" i="2"/>
  <c r="M134" i="2"/>
  <c r="L134" i="2"/>
  <c r="M125" i="2"/>
  <c r="L125" i="2"/>
  <c r="K125" i="2"/>
  <c r="J125" i="2"/>
  <c r="I125" i="2"/>
  <c r="H125" i="2"/>
  <c r="Q125" i="2"/>
  <c r="P125" i="2"/>
  <c r="G125" i="2"/>
  <c r="N125" i="2"/>
  <c r="O125" i="2"/>
  <c r="Q142" i="2"/>
  <c r="P142" i="2"/>
  <c r="O142" i="2"/>
  <c r="N142" i="2"/>
  <c r="M142" i="2"/>
  <c r="J142" i="2"/>
  <c r="I142" i="2"/>
  <c r="H142" i="2"/>
  <c r="G142" i="2"/>
  <c r="L142" i="2"/>
  <c r="K142" i="2"/>
  <c r="K131" i="2"/>
  <c r="J131" i="2"/>
  <c r="I131" i="2"/>
  <c r="H131" i="2"/>
  <c r="G131" i="2"/>
  <c r="Q131" i="2"/>
  <c r="P131" i="2"/>
  <c r="M131" i="2"/>
  <c r="L131" i="2"/>
  <c r="O131" i="2"/>
  <c r="N131" i="2"/>
  <c r="B136" i="2"/>
  <c r="E129" i="2"/>
  <c r="A136" i="2"/>
  <c r="D129" i="2"/>
  <c r="E137" i="2"/>
  <c r="B144" i="2"/>
  <c r="B140" i="2"/>
  <c r="E133" i="2"/>
  <c r="A140" i="2"/>
  <c r="D133" i="2"/>
  <c r="D149" i="2"/>
  <c r="A156" i="2"/>
  <c r="E138" i="2"/>
  <c r="B145" i="2"/>
  <c r="E141" i="2"/>
  <c r="B148" i="2"/>
  <c r="D141" i="2"/>
  <c r="A148" i="2"/>
  <c r="D137" i="2"/>
  <c r="A144" i="2"/>
  <c r="B156" i="2"/>
  <c r="E149" i="2"/>
  <c r="B139" i="2"/>
  <c r="E132" i="2"/>
  <c r="D138" i="2"/>
  <c r="A145" i="2"/>
  <c r="A139" i="2"/>
  <c r="D132" i="2"/>
  <c r="I137" i="2" l="1"/>
  <c r="H137" i="2"/>
  <c r="G137" i="2"/>
  <c r="Q137" i="2"/>
  <c r="P137" i="2"/>
  <c r="O137" i="2"/>
  <c r="N137" i="2"/>
  <c r="M137" i="2"/>
  <c r="L137" i="2"/>
  <c r="J137" i="2"/>
  <c r="K137" i="2"/>
  <c r="M141" i="2"/>
  <c r="L141" i="2"/>
  <c r="K141" i="2"/>
  <c r="J141" i="2"/>
  <c r="I141" i="2"/>
  <c r="H141" i="2"/>
  <c r="P141" i="2"/>
  <c r="O141" i="2"/>
  <c r="N141" i="2"/>
  <c r="G141" i="2"/>
  <c r="Q141" i="2"/>
  <c r="Q149" i="2"/>
  <c r="P149" i="2"/>
  <c r="M149" i="2"/>
  <c r="L149" i="2"/>
  <c r="K149" i="2"/>
  <c r="J149" i="2"/>
  <c r="N149" i="2"/>
  <c r="I149" i="2"/>
  <c r="H149" i="2"/>
  <c r="O149" i="2"/>
  <c r="G149" i="2"/>
  <c r="N138" i="2"/>
  <c r="M138" i="2"/>
  <c r="L138" i="2"/>
  <c r="K138" i="2"/>
  <c r="J138" i="2"/>
  <c r="I138" i="2"/>
  <c r="Q138" i="2"/>
  <c r="P138" i="2"/>
  <c r="G138" i="2"/>
  <c r="O138" i="2"/>
  <c r="H138" i="2"/>
  <c r="Q129" i="2"/>
  <c r="P129" i="2"/>
  <c r="O129" i="2"/>
  <c r="N129" i="2"/>
  <c r="M129" i="2"/>
  <c r="L129" i="2"/>
  <c r="I129" i="2"/>
  <c r="H129" i="2"/>
  <c r="G129" i="2"/>
  <c r="K129" i="2"/>
  <c r="J129" i="2"/>
  <c r="P132" i="2"/>
  <c r="O132" i="2"/>
  <c r="N132" i="2"/>
  <c r="M132" i="2"/>
  <c r="L132" i="2"/>
  <c r="K132" i="2"/>
  <c r="H132" i="2"/>
  <c r="G132" i="2"/>
  <c r="Q132" i="2"/>
  <c r="J132" i="2"/>
  <c r="I132" i="2"/>
  <c r="Q133" i="2"/>
  <c r="P133" i="2"/>
  <c r="M133" i="2"/>
  <c r="L133" i="2"/>
  <c r="K133" i="2"/>
  <c r="J133" i="2"/>
  <c r="O133" i="2"/>
  <c r="N133" i="2"/>
  <c r="G133" i="2"/>
  <c r="I133" i="2"/>
  <c r="H133" i="2"/>
  <c r="D136" i="2"/>
  <c r="A143" i="2"/>
  <c r="B143" i="2"/>
  <c r="E136" i="2"/>
  <c r="A155" i="2"/>
  <c r="D148" i="2"/>
  <c r="A163" i="2"/>
  <c r="D156" i="2"/>
  <c r="D145" i="2"/>
  <c r="A152" i="2"/>
  <c r="E148" i="2"/>
  <c r="B155" i="2"/>
  <c r="B151" i="2"/>
  <c r="E144" i="2"/>
  <c r="E139" i="2"/>
  <c r="B146" i="2"/>
  <c r="B152" i="2"/>
  <c r="E145" i="2"/>
  <c r="A151" i="2"/>
  <c r="D144" i="2"/>
  <c r="B163" i="2"/>
  <c r="E156" i="2"/>
  <c r="D140" i="2"/>
  <c r="A147" i="2"/>
  <c r="D139" i="2"/>
  <c r="A146" i="2"/>
  <c r="E140" i="2"/>
  <c r="B147" i="2"/>
  <c r="L144" i="2" l="1"/>
  <c r="K144" i="2"/>
  <c r="J144" i="2"/>
  <c r="I144" i="2"/>
  <c r="H144" i="2"/>
  <c r="G144" i="2"/>
  <c r="Q144" i="2"/>
  <c r="N144" i="2"/>
  <c r="M144" i="2"/>
  <c r="P144" i="2"/>
  <c r="O144" i="2"/>
  <c r="Q136" i="2"/>
  <c r="P136" i="2"/>
  <c r="O136" i="2"/>
  <c r="L136" i="2"/>
  <c r="K136" i="2"/>
  <c r="J136" i="2"/>
  <c r="I136" i="2"/>
  <c r="N136" i="2"/>
  <c r="M136" i="2"/>
  <c r="H136" i="2"/>
  <c r="G136" i="2"/>
  <c r="Q139" i="2"/>
  <c r="P139" i="2"/>
  <c r="O139" i="2"/>
  <c r="N139" i="2"/>
  <c r="K139" i="2"/>
  <c r="J139" i="2"/>
  <c r="I139" i="2"/>
  <c r="H139" i="2"/>
  <c r="G139" i="2"/>
  <c r="M139" i="2"/>
  <c r="L139" i="2"/>
  <c r="Q145" i="2"/>
  <c r="P145" i="2"/>
  <c r="O145" i="2"/>
  <c r="N145" i="2"/>
  <c r="M145" i="2"/>
  <c r="L145" i="2"/>
  <c r="I145" i="2"/>
  <c r="H145" i="2"/>
  <c r="G145" i="2"/>
  <c r="K145" i="2"/>
  <c r="J145" i="2"/>
  <c r="H156" i="2"/>
  <c r="G156" i="2"/>
  <c r="P156" i="2"/>
  <c r="O156" i="2"/>
  <c r="N156" i="2"/>
  <c r="M156" i="2"/>
  <c r="Q156" i="2"/>
  <c r="J156" i="2"/>
  <c r="I156" i="2"/>
  <c r="L156" i="2"/>
  <c r="K156" i="2"/>
  <c r="H140" i="2"/>
  <c r="G140" i="2"/>
  <c r="P140" i="2"/>
  <c r="O140" i="2"/>
  <c r="N140" i="2"/>
  <c r="M140" i="2"/>
  <c r="L140" i="2"/>
  <c r="K140" i="2"/>
  <c r="J140" i="2"/>
  <c r="I140" i="2"/>
  <c r="Q140" i="2"/>
  <c r="P148" i="2"/>
  <c r="O148" i="2"/>
  <c r="N148" i="2"/>
  <c r="M148" i="2"/>
  <c r="L148" i="2"/>
  <c r="K148" i="2"/>
  <c r="H148" i="2"/>
  <c r="G148" i="2"/>
  <c r="J148" i="2"/>
  <c r="I148" i="2"/>
  <c r="Q148" i="2"/>
  <c r="E143" i="2"/>
  <c r="B150" i="2"/>
  <c r="A150" i="2"/>
  <c r="D143" i="2"/>
  <c r="A153" i="2"/>
  <c r="D146" i="2"/>
  <c r="E146" i="2"/>
  <c r="B153" i="2"/>
  <c r="B170" i="2"/>
  <c r="E163" i="2"/>
  <c r="D147" i="2"/>
  <c r="A154" i="2"/>
  <c r="B158" i="2"/>
  <c r="E151" i="2"/>
  <c r="B162" i="2"/>
  <c r="E155" i="2"/>
  <c r="A159" i="2"/>
  <c r="D152" i="2"/>
  <c r="A170" i="2"/>
  <c r="D163" i="2"/>
  <c r="A158" i="2"/>
  <c r="D151" i="2"/>
  <c r="B154" i="2"/>
  <c r="E147" i="2"/>
  <c r="B159" i="2"/>
  <c r="E152" i="2"/>
  <c r="A162" i="2"/>
  <c r="D155" i="2"/>
  <c r="K163" i="2" l="1"/>
  <c r="J163" i="2"/>
  <c r="I163" i="2"/>
  <c r="H163" i="2"/>
  <c r="G163" i="2"/>
  <c r="Q163" i="2"/>
  <c r="P163" i="2"/>
  <c r="O163" i="2"/>
  <c r="N163" i="2"/>
  <c r="M163" i="2"/>
  <c r="L163" i="2"/>
  <c r="G143" i="2"/>
  <c r="O143" i="2"/>
  <c r="N143" i="2"/>
  <c r="M143" i="2"/>
  <c r="L143" i="2"/>
  <c r="I143" i="2"/>
  <c r="H143" i="2"/>
  <c r="Q143" i="2"/>
  <c r="P143" i="2"/>
  <c r="K143" i="2"/>
  <c r="J143" i="2"/>
  <c r="O151" i="2"/>
  <c r="N151" i="2"/>
  <c r="M151" i="2"/>
  <c r="L151" i="2"/>
  <c r="K151" i="2"/>
  <c r="J151" i="2"/>
  <c r="G151" i="2"/>
  <c r="Q151" i="2"/>
  <c r="P151" i="2"/>
  <c r="I151" i="2"/>
  <c r="H151" i="2"/>
  <c r="Q155" i="2"/>
  <c r="P155" i="2"/>
  <c r="O155" i="2"/>
  <c r="N155" i="2"/>
  <c r="K155" i="2"/>
  <c r="J155" i="2"/>
  <c r="I155" i="2"/>
  <c r="H155" i="2"/>
  <c r="M155" i="2"/>
  <c r="L155" i="2"/>
  <c r="G155" i="2"/>
  <c r="K147" i="2"/>
  <c r="J147" i="2"/>
  <c r="I147" i="2"/>
  <c r="H147" i="2"/>
  <c r="G147" i="2"/>
  <c r="Q147" i="2"/>
  <c r="P147" i="2"/>
  <c r="O147" i="2"/>
  <c r="N147" i="2"/>
  <c r="M147" i="2"/>
  <c r="L147" i="2"/>
  <c r="Q146" i="2"/>
  <c r="N146" i="2"/>
  <c r="M146" i="2"/>
  <c r="L146" i="2"/>
  <c r="K146" i="2"/>
  <c r="P146" i="2"/>
  <c r="O146" i="2"/>
  <c r="J146" i="2"/>
  <c r="G146" i="2"/>
  <c r="I146" i="2"/>
  <c r="H146" i="2"/>
  <c r="Q152" i="2"/>
  <c r="P152" i="2"/>
  <c r="O152" i="2"/>
  <c r="L152" i="2"/>
  <c r="K152" i="2"/>
  <c r="J152" i="2"/>
  <c r="I152" i="2"/>
  <c r="H152" i="2"/>
  <c r="G152" i="2"/>
  <c r="N152" i="2"/>
  <c r="M152" i="2"/>
  <c r="A157" i="2"/>
  <c r="D150" i="2"/>
  <c r="B157" i="2"/>
  <c r="E150" i="2"/>
  <c r="B161" i="2"/>
  <c r="E154" i="2"/>
  <c r="A169" i="2"/>
  <c r="D162" i="2"/>
  <c r="B166" i="2"/>
  <c r="E159" i="2"/>
  <c r="B169" i="2"/>
  <c r="E162" i="2"/>
  <c r="B177" i="2"/>
  <c r="E170" i="2"/>
  <c r="B165" i="2"/>
  <c r="E158" i="2"/>
  <c r="A177" i="2"/>
  <c r="D170" i="2"/>
  <c r="B160" i="2"/>
  <c r="E153" i="2"/>
  <c r="A165" i="2"/>
  <c r="D158" i="2"/>
  <c r="A161" i="2"/>
  <c r="D154" i="2"/>
  <c r="A166" i="2"/>
  <c r="D159" i="2"/>
  <c r="A160" i="2"/>
  <c r="D153" i="2"/>
  <c r="N170" i="2" l="1"/>
  <c r="M170" i="2"/>
  <c r="L170" i="2"/>
  <c r="K170" i="2"/>
  <c r="J170" i="2"/>
  <c r="I170" i="2"/>
  <c r="H170" i="2"/>
  <c r="G170" i="2"/>
  <c r="Q170" i="2"/>
  <c r="P170" i="2"/>
  <c r="O170" i="2"/>
  <c r="J150" i="2"/>
  <c r="I150" i="2"/>
  <c r="H150" i="2"/>
  <c r="G150" i="2"/>
  <c r="Q150" i="2"/>
  <c r="P150" i="2"/>
  <c r="O150" i="2"/>
  <c r="N150" i="2"/>
  <c r="M150" i="2"/>
  <c r="L150" i="2"/>
  <c r="K150" i="2"/>
  <c r="I153" i="2"/>
  <c r="H153" i="2"/>
  <c r="G153" i="2"/>
  <c r="Q153" i="2"/>
  <c r="P153" i="2"/>
  <c r="O153" i="2"/>
  <c r="N153" i="2"/>
  <c r="L153" i="2"/>
  <c r="K153" i="2"/>
  <c r="J153" i="2"/>
  <c r="M153" i="2"/>
  <c r="G159" i="2"/>
  <c r="O159" i="2"/>
  <c r="N159" i="2"/>
  <c r="M159" i="2"/>
  <c r="L159" i="2"/>
  <c r="Q159" i="2"/>
  <c r="P159" i="2"/>
  <c r="K159" i="2"/>
  <c r="J159" i="2"/>
  <c r="I159" i="2"/>
  <c r="H159" i="2"/>
  <c r="N154" i="2"/>
  <c r="M154" i="2"/>
  <c r="L154" i="2"/>
  <c r="K154" i="2"/>
  <c r="J154" i="2"/>
  <c r="I154" i="2"/>
  <c r="P154" i="2"/>
  <c r="O154" i="2"/>
  <c r="H154" i="2"/>
  <c r="Q154" i="2"/>
  <c r="G154" i="2"/>
  <c r="Q162" i="2"/>
  <c r="N162" i="2"/>
  <c r="M162" i="2"/>
  <c r="L162" i="2"/>
  <c r="K162" i="2"/>
  <c r="J162" i="2"/>
  <c r="I162" i="2"/>
  <c r="H162" i="2"/>
  <c r="G162" i="2"/>
  <c r="P162" i="2"/>
  <c r="O162" i="2"/>
  <c r="Q158" i="2"/>
  <c r="P158" i="2"/>
  <c r="O158" i="2"/>
  <c r="N158" i="2"/>
  <c r="M158" i="2"/>
  <c r="J158" i="2"/>
  <c r="I158" i="2"/>
  <c r="H158" i="2"/>
  <c r="G158" i="2"/>
  <c r="L158" i="2"/>
  <c r="K158" i="2"/>
  <c r="B164" i="2"/>
  <c r="E157" i="2"/>
  <c r="A164" i="2"/>
  <c r="D157" i="2"/>
  <c r="B167" i="2"/>
  <c r="E160" i="2"/>
  <c r="B173" i="2"/>
  <c r="E166" i="2"/>
  <c r="A184" i="2"/>
  <c r="D177" i="2"/>
  <c r="A176" i="2"/>
  <c r="D169" i="2"/>
  <c r="A168" i="2"/>
  <c r="D161" i="2"/>
  <c r="A173" i="2"/>
  <c r="D166" i="2"/>
  <c r="B184" i="2"/>
  <c r="E177" i="2"/>
  <c r="A167" i="2"/>
  <c r="D160" i="2"/>
  <c r="A172" i="2"/>
  <c r="D165" i="2"/>
  <c r="B172" i="2"/>
  <c r="E165" i="2"/>
  <c r="B176" i="2"/>
  <c r="E169" i="2"/>
  <c r="B168" i="2"/>
  <c r="E161" i="2"/>
  <c r="Q177" i="2" l="1"/>
  <c r="P177" i="2"/>
  <c r="O177" i="2"/>
  <c r="N177" i="2"/>
  <c r="M177" i="2"/>
  <c r="L177" i="2"/>
  <c r="I177" i="2"/>
  <c r="H177" i="2"/>
  <c r="G177" i="2"/>
  <c r="K177" i="2"/>
  <c r="J177" i="2"/>
  <c r="I169" i="2"/>
  <c r="H169" i="2"/>
  <c r="G169" i="2"/>
  <c r="Q169" i="2"/>
  <c r="P169" i="2"/>
  <c r="O169" i="2"/>
  <c r="N169" i="2"/>
  <c r="M169" i="2"/>
  <c r="J169" i="2"/>
  <c r="L169" i="2"/>
  <c r="K169" i="2"/>
  <c r="Q161" i="2"/>
  <c r="P161" i="2"/>
  <c r="O161" i="2"/>
  <c r="N161" i="2"/>
  <c r="M161" i="2"/>
  <c r="L161" i="2"/>
  <c r="I161" i="2"/>
  <c r="H161" i="2"/>
  <c r="G161" i="2"/>
  <c r="J161" i="2"/>
  <c r="K161" i="2"/>
  <c r="Q165" i="2"/>
  <c r="P165" i="2"/>
  <c r="M165" i="2"/>
  <c r="L165" i="2"/>
  <c r="K165" i="2"/>
  <c r="J165" i="2"/>
  <c r="O165" i="2"/>
  <c r="H165" i="2"/>
  <c r="G165" i="2"/>
  <c r="N165" i="2"/>
  <c r="I165" i="2"/>
  <c r="J166" i="2"/>
  <c r="I166" i="2"/>
  <c r="H166" i="2"/>
  <c r="G166" i="2"/>
  <c r="Q166" i="2"/>
  <c r="P166" i="2"/>
  <c r="O166" i="2"/>
  <c r="L166" i="2"/>
  <c r="K166" i="2"/>
  <c r="M166" i="2"/>
  <c r="N166" i="2"/>
  <c r="L160" i="2"/>
  <c r="K160" i="2"/>
  <c r="J160" i="2"/>
  <c r="I160" i="2"/>
  <c r="H160" i="2"/>
  <c r="G160" i="2"/>
  <c r="Q160" i="2"/>
  <c r="P160" i="2"/>
  <c r="O160" i="2"/>
  <c r="N160" i="2"/>
  <c r="M160" i="2"/>
  <c r="M157" i="2"/>
  <c r="L157" i="2"/>
  <c r="K157" i="2"/>
  <c r="J157" i="2"/>
  <c r="I157" i="2"/>
  <c r="H157" i="2"/>
  <c r="Q157" i="2"/>
  <c r="N157" i="2"/>
  <c r="G157" i="2"/>
  <c r="O157" i="2"/>
  <c r="P157" i="2"/>
  <c r="A171" i="2"/>
  <c r="D164" i="2"/>
  <c r="B171" i="2"/>
  <c r="E164" i="2"/>
  <c r="A191" i="2"/>
  <c r="D184" i="2"/>
  <c r="B183" i="2"/>
  <c r="E176" i="2"/>
  <c r="B179" i="2"/>
  <c r="E172" i="2"/>
  <c r="A179" i="2"/>
  <c r="D172" i="2"/>
  <c r="A174" i="2"/>
  <c r="D167" i="2"/>
  <c r="B191" i="2"/>
  <c r="E184" i="2"/>
  <c r="B180" i="2"/>
  <c r="E173" i="2"/>
  <c r="A180" i="2"/>
  <c r="D173" i="2"/>
  <c r="B174" i="2"/>
  <c r="E167" i="2"/>
  <c r="A175" i="2"/>
  <c r="D168" i="2"/>
  <c r="B175" i="2"/>
  <c r="E168" i="2"/>
  <c r="A183" i="2"/>
  <c r="D176" i="2"/>
  <c r="M173" i="2" l="1"/>
  <c r="L173" i="2"/>
  <c r="K173" i="2"/>
  <c r="J173" i="2"/>
  <c r="I173" i="2"/>
  <c r="H173" i="2"/>
  <c r="Q173" i="2"/>
  <c r="P173" i="2"/>
  <c r="O173" i="2"/>
  <c r="N173" i="2"/>
  <c r="G173" i="2"/>
  <c r="O167" i="2"/>
  <c r="N167" i="2"/>
  <c r="M167" i="2"/>
  <c r="L167" i="2"/>
  <c r="K167" i="2"/>
  <c r="J167" i="2"/>
  <c r="G167" i="2"/>
  <c r="Q167" i="2"/>
  <c r="P167" i="2"/>
  <c r="I167" i="2"/>
  <c r="H167" i="2"/>
  <c r="L176" i="2"/>
  <c r="K176" i="2"/>
  <c r="J176" i="2"/>
  <c r="I176" i="2"/>
  <c r="H176" i="2"/>
  <c r="G176" i="2"/>
  <c r="Q176" i="2"/>
  <c r="O176" i="2"/>
  <c r="N176" i="2"/>
  <c r="M176" i="2"/>
  <c r="P176" i="2"/>
  <c r="H172" i="2"/>
  <c r="G172" i="2"/>
  <c r="P172" i="2"/>
  <c r="O172" i="2"/>
  <c r="N172" i="2"/>
  <c r="M172" i="2"/>
  <c r="Q172" i="2"/>
  <c r="L172" i="2"/>
  <c r="K172" i="2"/>
  <c r="I172" i="2"/>
  <c r="J172" i="2"/>
  <c r="P164" i="2"/>
  <c r="O164" i="2"/>
  <c r="N164" i="2"/>
  <c r="M164" i="2"/>
  <c r="L164" i="2"/>
  <c r="K164" i="2"/>
  <c r="H164" i="2"/>
  <c r="G164" i="2"/>
  <c r="Q164" i="2"/>
  <c r="J164" i="2"/>
  <c r="I164" i="2"/>
  <c r="Q168" i="2"/>
  <c r="P168" i="2"/>
  <c r="O168" i="2"/>
  <c r="L168" i="2"/>
  <c r="K168" i="2"/>
  <c r="J168" i="2"/>
  <c r="I168" i="2"/>
  <c r="N168" i="2"/>
  <c r="M168" i="2"/>
  <c r="H168" i="2"/>
  <c r="G168" i="2"/>
  <c r="Q184" i="2"/>
  <c r="P184" i="2"/>
  <c r="O184" i="2"/>
  <c r="L184" i="2"/>
  <c r="K184" i="2"/>
  <c r="J184" i="2"/>
  <c r="I184" i="2"/>
  <c r="M184" i="2"/>
  <c r="H184" i="2"/>
  <c r="G184" i="2"/>
  <c r="N184" i="2"/>
  <c r="B178" i="2"/>
  <c r="E171" i="2"/>
  <c r="A178" i="2"/>
  <c r="D171" i="2"/>
  <c r="B182" i="2"/>
  <c r="E175" i="2"/>
  <c r="B186" i="2"/>
  <c r="E179" i="2"/>
  <c r="B190" i="2"/>
  <c r="E183" i="2"/>
  <c r="B187" i="2"/>
  <c r="E180" i="2"/>
  <c r="A186" i="2"/>
  <c r="D179" i="2"/>
  <c r="A198" i="2"/>
  <c r="D191" i="2"/>
  <c r="A182" i="2"/>
  <c r="D175" i="2"/>
  <c r="B198" i="2"/>
  <c r="E191" i="2"/>
  <c r="A190" i="2"/>
  <c r="D183" i="2"/>
  <c r="B181" i="2"/>
  <c r="E174" i="2"/>
  <c r="A181" i="2"/>
  <c r="D174" i="2"/>
  <c r="A187" i="2"/>
  <c r="D180" i="2"/>
  <c r="G175" i="2" l="1"/>
  <c r="O175" i="2"/>
  <c r="N175" i="2"/>
  <c r="M175" i="2"/>
  <c r="L175" i="2"/>
  <c r="K175" i="2"/>
  <c r="J175" i="2"/>
  <c r="I175" i="2"/>
  <c r="H175" i="2"/>
  <c r="Q175" i="2"/>
  <c r="P175" i="2"/>
  <c r="K179" i="2"/>
  <c r="J179" i="2"/>
  <c r="I179" i="2"/>
  <c r="H179" i="2"/>
  <c r="G179" i="2"/>
  <c r="Q179" i="2"/>
  <c r="P179" i="2"/>
  <c r="M179" i="2"/>
  <c r="L179" i="2"/>
  <c r="O179" i="2"/>
  <c r="N179" i="2"/>
  <c r="G191" i="2"/>
  <c r="O191" i="2"/>
  <c r="N191" i="2"/>
  <c r="M191" i="2"/>
  <c r="L191" i="2"/>
  <c r="Q191" i="2"/>
  <c r="P191" i="2"/>
  <c r="I191" i="2"/>
  <c r="H191" i="2"/>
  <c r="K191" i="2"/>
  <c r="J191" i="2"/>
  <c r="Q171" i="2"/>
  <c r="P171" i="2"/>
  <c r="O171" i="2"/>
  <c r="N171" i="2"/>
  <c r="K171" i="2"/>
  <c r="J171" i="2"/>
  <c r="I171" i="2"/>
  <c r="H171" i="2"/>
  <c r="M171" i="2"/>
  <c r="L171" i="2"/>
  <c r="G171" i="2"/>
  <c r="Q174" i="2"/>
  <c r="P174" i="2"/>
  <c r="O174" i="2"/>
  <c r="N174" i="2"/>
  <c r="M174" i="2"/>
  <c r="J174" i="2"/>
  <c r="I174" i="2"/>
  <c r="H174" i="2"/>
  <c r="G174" i="2"/>
  <c r="L174" i="2"/>
  <c r="K174" i="2"/>
  <c r="P180" i="2"/>
  <c r="O180" i="2"/>
  <c r="N180" i="2"/>
  <c r="M180" i="2"/>
  <c r="L180" i="2"/>
  <c r="K180" i="2"/>
  <c r="H180" i="2"/>
  <c r="G180" i="2"/>
  <c r="Q180" i="2"/>
  <c r="J180" i="2"/>
  <c r="I180" i="2"/>
  <c r="O183" i="2"/>
  <c r="N183" i="2"/>
  <c r="M183" i="2"/>
  <c r="L183" i="2"/>
  <c r="K183" i="2"/>
  <c r="J183" i="2"/>
  <c r="G183" i="2"/>
  <c r="I183" i="2"/>
  <c r="H183" i="2"/>
  <c r="Q183" i="2"/>
  <c r="P183" i="2"/>
  <c r="A185" i="2"/>
  <c r="D178" i="2"/>
  <c r="E178" i="2"/>
  <c r="B185" i="2"/>
  <c r="A194" i="2"/>
  <c r="D187" i="2"/>
  <c r="A188" i="2"/>
  <c r="D181" i="2"/>
  <c r="A197" i="2"/>
  <c r="D190" i="2"/>
  <c r="A189" i="2"/>
  <c r="D182" i="2"/>
  <c r="B205" i="2"/>
  <c r="E198" i="2"/>
  <c r="B188" i="2"/>
  <c r="E181" i="2"/>
  <c r="A205" i="2"/>
  <c r="D198" i="2"/>
  <c r="A193" i="2"/>
  <c r="D186" i="2"/>
  <c r="B194" i="2"/>
  <c r="E187" i="2"/>
  <c r="B197" i="2"/>
  <c r="E190" i="2"/>
  <c r="B193" i="2"/>
  <c r="E186" i="2"/>
  <c r="B189" i="2"/>
  <c r="E182" i="2"/>
  <c r="L198" i="2" l="1"/>
  <c r="J198" i="2"/>
  <c r="I198" i="2"/>
  <c r="H198" i="2"/>
  <c r="G198" i="2"/>
  <c r="Q198" i="2"/>
  <c r="P198" i="2"/>
  <c r="O198" i="2"/>
  <c r="K198" i="2"/>
  <c r="M198" i="2"/>
  <c r="N198" i="2"/>
  <c r="Q178" i="2"/>
  <c r="N178" i="2"/>
  <c r="M178" i="2"/>
  <c r="L178" i="2"/>
  <c r="K178" i="2"/>
  <c r="H178" i="2"/>
  <c r="G178" i="2"/>
  <c r="P178" i="2"/>
  <c r="O178" i="2"/>
  <c r="J178" i="2"/>
  <c r="I178" i="2"/>
  <c r="J182" i="2"/>
  <c r="I182" i="2"/>
  <c r="H182" i="2"/>
  <c r="G182" i="2"/>
  <c r="Q182" i="2"/>
  <c r="P182" i="2"/>
  <c r="O182" i="2"/>
  <c r="N182" i="2"/>
  <c r="M182" i="2"/>
  <c r="L182" i="2"/>
  <c r="K182" i="2"/>
  <c r="Q190" i="2"/>
  <c r="P190" i="2"/>
  <c r="O190" i="2"/>
  <c r="N190" i="2"/>
  <c r="M190" i="2"/>
  <c r="J190" i="2"/>
  <c r="I190" i="2"/>
  <c r="H190" i="2"/>
  <c r="G190" i="2"/>
  <c r="L190" i="2"/>
  <c r="K190" i="2"/>
  <c r="Q181" i="2"/>
  <c r="P181" i="2"/>
  <c r="M181" i="2"/>
  <c r="L181" i="2"/>
  <c r="K181" i="2"/>
  <c r="J181" i="2"/>
  <c r="O181" i="2"/>
  <c r="N181" i="2"/>
  <c r="I181" i="2"/>
  <c r="H181" i="2"/>
  <c r="G181" i="2"/>
  <c r="Q187" i="2"/>
  <c r="P187" i="2"/>
  <c r="O187" i="2"/>
  <c r="N187" i="2"/>
  <c r="K187" i="2"/>
  <c r="J187" i="2"/>
  <c r="I187" i="2"/>
  <c r="H187" i="2"/>
  <c r="G187" i="2"/>
  <c r="M187" i="2"/>
  <c r="L187" i="2"/>
  <c r="N186" i="2"/>
  <c r="M186" i="2"/>
  <c r="L186" i="2"/>
  <c r="K186" i="2"/>
  <c r="J186" i="2"/>
  <c r="I186" i="2"/>
  <c r="Q186" i="2"/>
  <c r="P186" i="2"/>
  <c r="O186" i="2"/>
  <c r="H186" i="2"/>
  <c r="G186" i="2"/>
  <c r="B192" i="2"/>
  <c r="E185" i="2"/>
  <c r="A192" i="2"/>
  <c r="D185" i="2"/>
  <c r="A200" i="2"/>
  <c r="D193" i="2"/>
  <c r="B195" i="2"/>
  <c r="E188" i="2"/>
  <c r="B212" i="2"/>
  <c r="E212" i="2" s="1"/>
  <c r="E205" i="2"/>
  <c r="A196" i="2"/>
  <c r="D189" i="2"/>
  <c r="A204" i="2"/>
  <c r="D197" i="2"/>
  <c r="B200" i="2"/>
  <c r="E193" i="2"/>
  <c r="B204" i="2"/>
  <c r="E197" i="2"/>
  <c r="A212" i="2"/>
  <c r="D212" i="2" s="1"/>
  <c r="D205" i="2"/>
  <c r="B196" i="2"/>
  <c r="E189" i="2"/>
  <c r="B201" i="2"/>
  <c r="E194" i="2"/>
  <c r="A195" i="2"/>
  <c r="D188" i="2"/>
  <c r="A201" i="2"/>
  <c r="D194" i="2"/>
  <c r="G197" i="2" l="1"/>
  <c r="Q197" i="2"/>
  <c r="P197" i="2"/>
  <c r="O197" i="2"/>
  <c r="M197" i="2"/>
  <c r="L197" i="2"/>
  <c r="K197" i="2"/>
  <c r="J197" i="2"/>
  <c r="N197" i="2"/>
  <c r="I197" i="2"/>
  <c r="H197" i="2"/>
  <c r="Q194" i="2"/>
  <c r="N194" i="2"/>
  <c r="M194" i="2"/>
  <c r="L194" i="2"/>
  <c r="K194" i="2"/>
  <c r="P194" i="2"/>
  <c r="O194" i="2"/>
  <c r="J194" i="2"/>
  <c r="I194" i="2"/>
  <c r="H194" i="2"/>
  <c r="G194" i="2"/>
  <c r="M189" i="2"/>
  <c r="L189" i="2"/>
  <c r="K189" i="2"/>
  <c r="J189" i="2"/>
  <c r="I189" i="2"/>
  <c r="H189" i="2"/>
  <c r="O189" i="2"/>
  <c r="N189" i="2"/>
  <c r="G189" i="2"/>
  <c r="Q189" i="2"/>
  <c r="P189" i="2"/>
  <c r="H188" i="2"/>
  <c r="G188" i="2"/>
  <c r="P188" i="2"/>
  <c r="O188" i="2"/>
  <c r="N188" i="2"/>
  <c r="M188" i="2"/>
  <c r="K188" i="2"/>
  <c r="J188" i="2"/>
  <c r="I188" i="2"/>
  <c r="Q188" i="2"/>
  <c r="L188" i="2"/>
  <c r="O205" i="2"/>
  <c r="M205" i="2"/>
  <c r="L205" i="2"/>
  <c r="K205" i="2"/>
  <c r="J205" i="2"/>
  <c r="I205" i="2"/>
  <c r="H205" i="2"/>
  <c r="G205" i="2"/>
  <c r="Q205" i="2"/>
  <c r="P205" i="2"/>
  <c r="N205" i="2"/>
  <c r="I185" i="2"/>
  <c r="H185" i="2"/>
  <c r="G185" i="2"/>
  <c r="Q185" i="2"/>
  <c r="P185" i="2"/>
  <c r="O185" i="2"/>
  <c r="N185" i="2"/>
  <c r="M185" i="2"/>
  <c r="L185" i="2"/>
  <c r="K185" i="2"/>
  <c r="J185" i="2"/>
  <c r="P212" i="2"/>
  <c r="O212" i="2"/>
  <c r="N212" i="2"/>
  <c r="M212" i="2"/>
  <c r="L212" i="2"/>
  <c r="K212" i="2"/>
  <c r="J212" i="2"/>
  <c r="H212" i="2"/>
  <c r="G212" i="2"/>
  <c r="Q212" i="2"/>
  <c r="I212" i="2"/>
  <c r="Q193" i="2"/>
  <c r="P193" i="2"/>
  <c r="O193" i="2"/>
  <c r="N193" i="2"/>
  <c r="M193" i="2"/>
  <c r="L193" i="2"/>
  <c r="I193" i="2"/>
  <c r="H193" i="2"/>
  <c r="G193" i="2"/>
  <c r="K193" i="2"/>
  <c r="J193" i="2"/>
  <c r="A199" i="2"/>
  <c r="D192" i="2"/>
  <c r="B199" i="2"/>
  <c r="E192" i="2"/>
  <c r="B207" i="2"/>
  <c r="E200" i="2"/>
  <c r="B211" i="2"/>
  <c r="E211" i="2" s="1"/>
  <c r="E204" i="2"/>
  <c r="A203" i="2"/>
  <c r="D196" i="2"/>
  <c r="B208" i="2"/>
  <c r="E201" i="2"/>
  <c r="A208" i="2"/>
  <c r="D201" i="2"/>
  <c r="B203" i="2"/>
  <c r="E196" i="2"/>
  <c r="A202" i="2"/>
  <c r="D195" i="2"/>
  <c r="A211" i="2"/>
  <c r="D211" i="2" s="1"/>
  <c r="D204" i="2"/>
  <c r="B202" i="2"/>
  <c r="E195" i="2"/>
  <c r="A207" i="2"/>
  <c r="D200" i="2"/>
  <c r="J204" i="2" l="1"/>
  <c r="H204" i="2"/>
  <c r="G204" i="2"/>
  <c r="P204" i="2"/>
  <c r="O204" i="2"/>
  <c r="N204" i="2"/>
  <c r="M204" i="2"/>
  <c r="I204" i="2"/>
  <c r="Q204" i="2"/>
  <c r="L204" i="2"/>
  <c r="K204" i="2"/>
  <c r="Q200" i="2"/>
  <c r="P200" i="2"/>
  <c r="O200" i="2"/>
  <c r="N200" i="2"/>
  <c r="L200" i="2"/>
  <c r="K200" i="2"/>
  <c r="J200" i="2"/>
  <c r="I200" i="2"/>
  <c r="H200" i="2"/>
  <c r="G200" i="2"/>
  <c r="M200" i="2"/>
  <c r="M211" i="2"/>
  <c r="K211" i="2"/>
  <c r="J211" i="2"/>
  <c r="I211" i="2"/>
  <c r="H211" i="2"/>
  <c r="G211" i="2"/>
  <c r="Q211" i="2"/>
  <c r="P211" i="2"/>
  <c r="O211" i="2"/>
  <c r="N211" i="2"/>
  <c r="L211" i="2"/>
  <c r="M195" i="2"/>
  <c r="K195" i="2"/>
  <c r="J195" i="2"/>
  <c r="I195" i="2"/>
  <c r="H195" i="2"/>
  <c r="G195" i="2"/>
  <c r="Q195" i="2"/>
  <c r="P195" i="2"/>
  <c r="O195" i="2"/>
  <c r="N195" i="2"/>
  <c r="L195" i="2"/>
  <c r="L192" i="2"/>
  <c r="K192" i="2"/>
  <c r="J192" i="2"/>
  <c r="I192" i="2"/>
  <c r="H192" i="2"/>
  <c r="G192" i="2"/>
  <c r="Q192" i="2"/>
  <c r="P192" i="2"/>
  <c r="M192" i="2"/>
  <c r="O192" i="2"/>
  <c r="N192" i="2"/>
  <c r="K201" i="2"/>
  <c r="I201" i="2"/>
  <c r="H201" i="2"/>
  <c r="G201" i="2"/>
  <c r="Q201" i="2"/>
  <c r="P201" i="2"/>
  <c r="O201" i="2"/>
  <c r="N201" i="2"/>
  <c r="M201" i="2"/>
  <c r="L201" i="2"/>
  <c r="J201" i="2"/>
  <c r="P196" i="2"/>
  <c r="O196" i="2"/>
  <c r="N196" i="2"/>
  <c r="M196" i="2"/>
  <c r="L196" i="2"/>
  <c r="K196" i="2"/>
  <c r="H196" i="2"/>
  <c r="G196" i="2"/>
  <c r="J196" i="2"/>
  <c r="I196" i="2"/>
  <c r="Q196" i="2"/>
  <c r="B206" i="2"/>
  <c r="E199" i="2"/>
  <c r="A206" i="2"/>
  <c r="D199" i="2"/>
  <c r="B215" i="2"/>
  <c r="E215" i="2" s="1"/>
  <c r="E208" i="2"/>
  <c r="A210" i="2"/>
  <c r="D210" i="2" s="1"/>
  <c r="D203" i="2"/>
  <c r="B209" i="2"/>
  <c r="E209" i="2" s="1"/>
  <c r="E202" i="2"/>
  <c r="A214" i="2"/>
  <c r="D214" i="2" s="1"/>
  <c r="D207" i="2"/>
  <c r="A209" i="2"/>
  <c r="D209" i="2" s="1"/>
  <c r="D202" i="2"/>
  <c r="B210" i="2"/>
  <c r="E210" i="2" s="1"/>
  <c r="E203" i="2"/>
  <c r="A215" i="2"/>
  <c r="D215" i="2" s="1"/>
  <c r="D208" i="2"/>
  <c r="B214" i="2"/>
  <c r="E214" i="2" s="1"/>
  <c r="E207" i="2"/>
  <c r="P202" i="2" l="1"/>
  <c r="N202" i="2"/>
  <c r="M202" i="2"/>
  <c r="L202" i="2"/>
  <c r="K202" i="2"/>
  <c r="J202" i="2"/>
  <c r="I202" i="2"/>
  <c r="H202" i="2"/>
  <c r="G202" i="2"/>
  <c r="Q202" i="2"/>
  <c r="O202" i="2"/>
  <c r="Q209" i="2"/>
  <c r="P209" i="2"/>
  <c r="O209" i="2"/>
  <c r="N209" i="2"/>
  <c r="M209" i="2"/>
  <c r="L209" i="2"/>
  <c r="K209" i="2"/>
  <c r="I209" i="2"/>
  <c r="H209" i="2"/>
  <c r="G209" i="2"/>
  <c r="J209" i="2"/>
  <c r="I207" i="2"/>
  <c r="G207" i="2"/>
  <c r="Q207" i="2"/>
  <c r="O207" i="2"/>
  <c r="N207" i="2"/>
  <c r="M207" i="2"/>
  <c r="L207" i="2"/>
  <c r="P207" i="2"/>
  <c r="K207" i="2"/>
  <c r="J207" i="2"/>
  <c r="H207" i="2"/>
  <c r="L214" i="2"/>
  <c r="J214" i="2"/>
  <c r="I214" i="2"/>
  <c r="H214" i="2"/>
  <c r="G214" i="2"/>
  <c r="Q214" i="2"/>
  <c r="P214" i="2"/>
  <c r="O214" i="2"/>
  <c r="N214" i="2"/>
  <c r="K214" i="2"/>
  <c r="M214" i="2"/>
  <c r="Q203" i="2"/>
  <c r="P203" i="2"/>
  <c r="O203" i="2"/>
  <c r="N203" i="2"/>
  <c r="M203" i="2"/>
  <c r="K203" i="2"/>
  <c r="J203" i="2"/>
  <c r="I203" i="2"/>
  <c r="H203" i="2"/>
  <c r="L203" i="2"/>
  <c r="G203" i="2"/>
  <c r="Q199" i="2"/>
  <c r="O199" i="2"/>
  <c r="N199" i="2"/>
  <c r="M199" i="2"/>
  <c r="L199" i="2"/>
  <c r="K199" i="2"/>
  <c r="J199" i="2"/>
  <c r="I199" i="2"/>
  <c r="G199" i="2"/>
  <c r="P199" i="2"/>
  <c r="H199" i="2"/>
  <c r="N208" i="2"/>
  <c r="L208" i="2"/>
  <c r="K208" i="2"/>
  <c r="J208" i="2"/>
  <c r="I208" i="2"/>
  <c r="H208" i="2"/>
  <c r="G208" i="2"/>
  <c r="Q208" i="2"/>
  <c r="P208" i="2"/>
  <c r="O208" i="2"/>
  <c r="M208" i="2"/>
  <c r="H210" i="2"/>
  <c r="Q210" i="2"/>
  <c r="P210" i="2"/>
  <c r="N210" i="2"/>
  <c r="M210" i="2"/>
  <c r="L210" i="2"/>
  <c r="K210" i="2"/>
  <c r="G210" i="2"/>
  <c r="O210" i="2"/>
  <c r="J210" i="2"/>
  <c r="I210" i="2"/>
  <c r="Q215" i="2"/>
  <c r="O215" i="2"/>
  <c r="N215" i="2"/>
  <c r="M215" i="2"/>
  <c r="L215" i="2"/>
  <c r="K215" i="2"/>
  <c r="J215" i="2"/>
  <c r="I215" i="2"/>
  <c r="G215" i="2"/>
  <c r="P215" i="2"/>
  <c r="H215" i="2"/>
  <c r="A213" i="2"/>
  <c r="D213" i="2" s="1"/>
  <c r="D206" i="2"/>
  <c r="E206" i="2"/>
  <c r="B213" i="2"/>
  <c r="E213" i="2" s="1"/>
  <c r="G213" i="2" l="1"/>
  <c r="Q213" i="2"/>
  <c r="P213" i="2"/>
  <c r="O213" i="2"/>
  <c r="M213" i="2"/>
  <c r="L213" i="2"/>
  <c r="K213" i="2"/>
  <c r="J213" i="2"/>
  <c r="N213" i="2"/>
  <c r="I213" i="2"/>
  <c r="H213" i="2"/>
  <c r="Q206" i="2"/>
  <c r="P206" i="2"/>
  <c r="O206" i="2"/>
  <c r="N206" i="2"/>
  <c r="M206" i="2"/>
  <c r="L206" i="2"/>
  <c r="J206" i="2"/>
  <c r="I206" i="2"/>
  <c r="H206" i="2"/>
  <c r="G206" i="2"/>
  <c r="K206" i="2"/>
  <c r="Q1" i="2" l="1"/>
  <c r="N1" i="2"/>
  <c r="P1" i="2"/>
  <c r="H1" i="2"/>
  <c r="G1" i="2"/>
  <c r="M1" i="2"/>
  <c r="K1" i="2"/>
  <c r="O1" i="2"/>
  <c r="I1" i="2"/>
  <c r="L1" i="2"/>
  <c r="J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U6" authorId="0" shapeId="0" xr:uid="{0430EB35-863A-489C-8294-567127C27B91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21-02-2022
assumption
</t>
        </r>
      </text>
    </comment>
  </commentList>
</comments>
</file>

<file path=xl/sharedStrings.xml><?xml version="1.0" encoding="utf-8"?>
<sst xmlns="http://schemas.openxmlformats.org/spreadsheetml/2006/main" count="15023" uniqueCount="94">
  <si>
    <t>ActiveReg</t>
  </si>
  <si>
    <t>Region</t>
  </si>
  <si>
    <t>Variable</t>
  </si>
  <si>
    <t>BIOscen</t>
  </si>
  <si>
    <t>SDGscen</t>
  </si>
  <si>
    <t>MAF</t>
  </si>
  <si>
    <t>Energy Crops</t>
  </si>
  <si>
    <t>BIO00</t>
  </si>
  <si>
    <t>scenBASE</t>
  </si>
  <si>
    <t>BIO03</t>
  </si>
  <si>
    <t>BIO05</t>
  </si>
  <si>
    <t>BIO08</t>
  </si>
  <si>
    <t>BIO13</t>
  </si>
  <si>
    <t>BIO30</t>
  </si>
  <si>
    <t>BIO60</t>
  </si>
  <si>
    <t>Forest industry residues</t>
  </si>
  <si>
    <t>Fuelwood</t>
  </si>
  <si>
    <t>Logging residues</t>
  </si>
  <si>
    <t>Other Solid</t>
  </si>
  <si>
    <t>Roundwood harvest</t>
  </si>
  <si>
    <t>SSA</t>
  </si>
  <si>
    <t>REF</t>
  </si>
  <si>
    <t>EAS</t>
  </si>
  <si>
    <t>OCE</t>
  </si>
  <si>
    <t>SEA</t>
  </si>
  <si>
    <t>SAS</t>
  </si>
  <si>
    <t>SAM</t>
  </si>
  <si>
    <t>NAM</t>
  </si>
  <si>
    <t>China</t>
  </si>
  <si>
    <t>EUR</t>
  </si>
  <si>
    <t>India</t>
  </si>
  <si>
    <t>Russia</t>
  </si>
  <si>
    <t>scenSDGs</t>
  </si>
  <si>
    <t>Unit</t>
  </si>
  <si>
    <t>SSPscen</t>
  </si>
  <si>
    <t>GHGscen</t>
  </si>
  <si>
    <t>World</t>
  </si>
  <si>
    <t>SSP2</t>
  </si>
  <si>
    <t>GHG000</t>
  </si>
  <si>
    <t>TF - step 3 - Bio potential from Globium.sql</t>
  </si>
  <si>
    <t>Price|Primary Energy|Biomass</t>
  </si>
  <si>
    <t>US$2000/GJ</t>
  </si>
  <si>
    <t>MinBIOBSL-01</t>
  </si>
  <si>
    <t>MinBIOBSL-02</t>
  </si>
  <si>
    <t>MinBIOBSL-03</t>
  </si>
  <si>
    <t>MinBIOBSL-04</t>
  </si>
  <si>
    <t>MinBIOBSL-05</t>
  </si>
  <si>
    <t>MinBIOBSL-06</t>
  </si>
  <si>
    <t>MinBIOBSL-07</t>
  </si>
  <si>
    <t>\I:</t>
  </si>
  <si>
    <t>region</t>
  </si>
  <si>
    <t>process</t>
  </si>
  <si>
    <t>comm-out</t>
  </si>
  <si>
    <t>BIOBSL</t>
  </si>
  <si>
    <t>EJ</t>
  </si>
  <si>
    <t>~FI_T: ACT_BND~UP</t>
  </si>
  <si>
    <t>~FI_Process</t>
  </si>
  <si>
    <t>Sets</t>
  </si>
  <si>
    <t>TechName</t>
  </si>
  <si>
    <t>TechDesc</t>
  </si>
  <si>
    <t>Tact</t>
  </si>
  <si>
    <t>Tcap</t>
  </si>
  <si>
    <t>PJ</t>
  </si>
  <si>
    <t>PJ-a</t>
  </si>
  <si>
    <t>MIN</t>
  </si>
  <si>
    <t>GLOBAL potential</t>
  </si>
  <si>
    <t>*2010</t>
  </si>
  <si>
    <t>~FI_T: COST~USD00</t>
  </si>
  <si>
    <t>Germany</t>
  </si>
  <si>
    <t>Africa_north</t>
  </si>
  <si>
    <t>Africa_other</t>
  </si>
  <si>
    <t>Arg-Chi</t>
  </si>
  <si>
    <t>Asia_central</t>
  </si>
  <si>
    <t>Asia_east</t>
  </si>
  <si>
    <t>Asia_other</t>
  </si>
  <si>
    <t>Australia_NZ</t>
  </si>
  <si>
    <t>Brazil</t>
  </si>
  <si>
    <t>Canada</t>
  </si>
  <si>
    <t>EU_north</t>
  </si>
  <si>
    <t>EU_northeast</t>
  </si>
  <si>
    <t>EU_northwest</t>
  </si>
  <si>
    <t>EU_south</t>
  </si>
  <si>
    <t>EU_southeast</t>
  </si>
  <si>
    <t>EU_southwest</t>
  </si>
  <si>
    <t>Europe_other</t>
  </si>
  <si>
    <t>France</t>
  </si>
  <si>
    <t>LatAm_other</t>
  </si>
  <si>
    <t>Mexico</t>
  </si>
  <si>
    <t>MidEast_other</t>
  </si>
  <si>
    <t>Nor-Ice</t>
  </si>
  <si>
    <t>SaudiArabia</t>
  </si>
  <si>
    <t>SouthAfrica</t>
  </si>
  <si>
    <t>UK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</si>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</sst>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2" applyNumberFormat="0" applyAlignment="0" applyProtection="0"/>
    <xf numFmtId="0" fontId="5" fillId="5" borderId="3" applyNumberFormat="0" applyAlignment="0" applyProtection="0"/>
  </cellStyleXfs>
  <cellXfs count="15">
    <xf numFmtId="0" fontId="0" fillId="0" borderId="0" xfId="0"/>
    <xf numFmtId="2" fontId="0" fillId="0" borderId="0" xfId="0" applyNumberFormat="1"/>
    <xf numFmtId="1" fontId="0" fillId="0" borderId="0" xfId="0" applyNumberFormat="1"/>
    <xf numFmtId="2" fontId="2" fillId="2" borderId="0" xfId="2" applyNumberFormat="1"/>
    <xf numFmtId="1" fontId="2" fillId="2" borderId="0" xfId="2" applyNumberFormat="1"/>
    <xf numFmtId="0" fontId="6" fillId="0" borderId="0" xfId="0" applyFont="1"/>
    <xf numFmtId="0" fontId="7" fillId="0" borderId="0" xfId="0" applyFont="1"/>
    <xf numFmtId="0" fontId="2" fillId="2" borderId="0" xfId="2"/>
    <xf numFmtId="0" fontId="3" fillId="3" borderId="0" xfId="3"/>
    <xf numFmtId="0" fontId="4" fillId="4" borderId="2" xfId="4"/>
    <xf numFmtId="1" fontId="5" fillId="5" borderId="3" xfId="5" applyNumberFormat="1"/>
    <xf numFmtId="2" fontId="0" fillId="6" borderId="0" xfId="0" applyNumberFormat="1" applyFill="1"/>
    <xf numFmtId="0" fontId="1" fillId="0" borderId="1" xfId="1"/>
    <xf numFmtId="1" fontId="1" fillId="0" borderId="1" xfId="1" applyNumberFormat="1"/>
    <xf numFmtId="11" fontId="0" fillId="0" borderId="0" xfId="0" applyNumberFormat="1"/>
  </cellXfs>
  <cellStyles count="6">
    <cellStyle name="Check Cell" xfId="5" builtinId="23"/>
    <cellStyle name="Good" xfId="2" builtinId="26"/>
    <cellStyle name="Heading 3" xfId="1" builtinId="18"/>
    <cellStyle name="Input" xfId="4" builtinId="20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77C5A-19A2-42D1-9D82-558BF6C9B369}">
  <dimension ref="A1:AI2929"/>
  <sheetViews>
    <sheetView workbookViewId="0">
      <selection activeCell="I13" sqref="I13"/>
    </sheetView>
  </sheetViews>
  <sheetFormatPr defaultRowHeight="14.25" x14ac:dyDescent="0.45"/>
  <cols>
    <col min="1" max="1" width="9.86328125" bestFit="1" customWidth="1"/>
    <col min="2" max="2" width="7.1328125" bestFit="1" customWidth="1"/>
    <col min="3" max="3" width="22.73046875" bestFit="1" customWidth="1"/>
    <col min="4" max="4" width="8.1328125" bestFit="1" customWidth="1"/>
    <col min="5" max="5" width="9.3984375" bestFit="1" customWidth="1"/>
    <col min="6" max="6" width="5.1328125" bestFit="1" customWidth="1"/>
    <col min="7" max="8" width="5.3984375" bestFit="1" customWidth="1"/>
    <col min="9" max="11" width="5.73046875" bestFit="1" customWidth="1"/>
    <col min="12" max="12" width="5.59765625" bestFit="1" customWidth="1"/>
    <col min="13" max="14" width="5.3984375" bestFit="1" customWidth="1"/>
    <col min="15" max="15" width="5.73046875" bestFit="1" customWidth="1"/>
    <col min="16" max="16" width="5.59765625" customWidth="1"/>
    <col min="19" max="19" width="13.265625" customWidth="1"/>
    <col min="20" max="20" width="11.1328125" bestFit="1" customWidth="1"/>
    <col min="23" max="23" width="8.1328125" bestFit="1" customWidth="1"/>
    <col min="24" max="24" width="9.3984375" bestFit="1" customWidth="1"/>
    <col min="25" max="27" width="5" bestFit="1" customWidth="1"/>
    <col min="28" max="35" width="5.59765625" bestFit="1" customWidth="1"/>
  </cols>
  <sheetData>
    <row r="1" spans="1:3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66</v>
      </c>
      <c r="G1" s="4">
        <v>2018</v>
      </c>
      <c r="H1" s="4">
        <v>2020</v>
      </c>
      <c r="I1" s="4">
        <v>2030</v>
      </c>
      <c r="J1" s="4">
        <v>2040</v>
      </c>
      <c r="K1" s="4">
        <v>2050</v>
      </c>
      <c r="L1" s="4">
        <v>2060</v>
      </c>
      <c r="M1" s="4">
        <v>2070</v>
      </c>
      <c r="N1" s="4">
        <v>2080</v>
      </c>
      <c r="O1" s="4">
        <v>2090</v>
      </c>
      <c r="P1" s="4">
        <v>2100</v>
      </c>
      <c r="Q1" s="6" t="s">
        <v>39</v>
      </c>
    </row>
    <row r="2" spans="1:35" x14ac:dyDescent="0.45">
      <c r="A2" s="3" t="s">
        <v>69</v>
      </c>
      <c r="B2" s="3" t="s">
        <v>5</v>
      </c>
      <c r="C2" s="3" t="s">
        <v>6</v>
      </c>
      <c r="D2" s="3" t="s">
        <v>7</v>
      </c>
      <c r="E2" s="3" t="s">
        <v>8</v>
      </c>
      <c r="F2" s="3">
        <v>6.4071508432126604E-5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</row>
    <row r="3" spans="1:35" x14ac:dyDescent="0.45">
      <c r="A3" s="3" t="s">
        <v>69</v>
      </c>
      <c r="B3" s="3" t="s">
        <v>5</v>
      </c>
      <c r="C3" s="3" t="s">
        <v>6</v>
      </c>
      <c r="D3" s="3" t="s">
        <v>9</v>
      </c>
      <c r="E3" s="3" t="s">
        <v>8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</row>
    <row r="4" spans="1:35" x14ac:dyDescent="0.45">
      <c r="A4" s="3" t="s">
        <v>69</v>
      </c>
      <c r="B4" s="3" t="s">
        <v>5</v>
      </c>
      <c r="C4" s="3" t="s">
        <v>6</v>
      </c>
      <c r="D4" s="3" t="s">
        <v>10</v>
      </c>
      <c r="E4" s="3" t="s">
        <v>8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6.4023558817463799E-5</v>
      </c>
      <c r="N4" s="3">
        <v>3.4740868636123001E-3</v>
      </c>
      <c r="O4" s="3">
        <v>1.3888269601204799E-2</v>
      </c>
      <c r="P4" s="3">
        <v>1.62917488929233E-2</v>
      </c>
      <c r="R4" s="7" t="s">
        <v>1</v>
      </c>
      <c r="S4" s="7" t="s">
        <v>2</v>
      </c>
      <c r="T4" s="7" t="s">
        <v>33</v>
      </c>
      <c r="U4" s="7" t="s">
        <v>34</v>
      </c>
      <c r="V4" s="7" t="s">
        <v>35</v>
      </c>
      <c r="W4" s="7" t="s">
        <v>3</v>
      </c>
      <c r="X4" s="7" t="s">
        <v>4</v>
      </c>
      <c r="Y4" s="7">
        <v>2000</v>
      </c>
      <c r="Z4" s="7">
        <v>2010</v>
      </c>
      <c r="AA4" s="7">
        <v>2020</v>
      </c>
      <c r="AB4" s="7">
        <v>2030</v>
      </c>
      <c r="AC4" s="7">
        <v>2040</v>
      </c>
      <c r="AD4" s="7">
        <v>2050</v>
      </c>
      <c r="AE4" s="7">
        <v>2060</v>
      </c>
      <c r="AF4" s="7">
        <v>2070</v>
      </c>
      <c r="AG4" s="7">
        <v>2080</v>
      </c>
      <c r="AH4" s="7">
        <v>2090</v>
      </c>
      <c r="AI4" s="7">
        <v>2100</v>
      </c>
    </row>
    <row r="5" spans="1:35" x14ac:dyDescent="0.45">
      <c r="A5" s="3" t="s">
        <v>69</v>
      </c>
      <c r="B5" s="3" t="s">
        <v>5</v>
      </c>
      <c r="C5" s="3" t="s">
        <v>6</v>
      </c>
      <c r="D5" s="3" t="s">
        <v>11</v>
      </c>
      <c r="E5" s="3" t="s">
        <v>8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9.0464527799640707E-3</v>
      </c>
      <c r="M5" s="3">
        <v>1.5881334301460201E-2</v>
      </c>
      <c r="N5" s="3">
        <v>1.6081828828629598E-2</v>
      </c>
      <c r="O5" s="3">
        <v>1.526106138933E-2</v>
      </c>
      <c r="P5" s="3">
        <v>3.7680706525198102E-2</v>
      </c>
      <c r="R5" s="7" t="s">
        <v>36</v>
      </c>
      <c r="S5" s="7" t="s">
        <v>40</v>
      </c>
      <c r="T5" s="7" t="s">
        <v>41</v>
      </c>
      <c r="U5" s="7" t="s">
        <v>37</v>
      </c>
      <c r="V5" s="7" t="s">
        <v>38</v>
      </c>
      <c r="W5" s="7" t="s">
        <v>9</v>
      </c>
      <c r="X5" s="7" t="s">
        <v>8</v>
      </c>
      <c r="Y5" s="3">
        <v>0</v>
      </c>
      <c r="Z5" s="3">
        <v>0</v>
      </c>
      <c r="AA5" s="3">
        <v>0.17647058823529399</v>
      </c>
      <c r="AB5" s="3">
        <v>0.52941176470588203</v>
      </c>
      <c r="AC5" s="3">
        <v>0.88235294117647101</v>
      </c>
      <c r="AD5" s="3">
        <v>1.23529411764706</v>
      </c>
      <c r="AE5" s="3">
        <v>1.5882352941176501</v>
      </c>
      <c r="AF5" s="3">
        <v>1.9411764705882399</v>
      </c>
      <c r="AG5" s="3">
        <v>2.2941176470588198</v>
      </c>
      <c r="AH5" s="3">
        <v>2.6470588235294099</v>
      </c>
      <c r="AI5" s="3">
        <v>3</v>
      </c>
    </row>
    <row r="6" spans="1:35" x14ac:dyDescent="0.45">
      <c r="A6" s="3" t="s">
        <v>69</v>
      </c>
      <c r="B6" s="3" t="s">
        <v>5</v>
      </c>
      <c r="C6" s="3" t="s">
        <v>6</v>
      </c>
      <c r="D6" s="3" t="s">
        <v>12</v>
      </c>
      <c r="E6" s="3" t="s">
        <v>8</v>
      </c>
      <c r="F6" s="3">
        <v>0</v>
      </c>
      <c r="G6" s="3">
        <v>0</v>
      </c>
      <c r="H6" s="3">
        <v>0</v>
      </c>
      <c r="I6" s="3">
        <v>0</v>
      </c>
      <c r="J6" s="3">
        <v>3.6353819104038699E-3</v>
      </c>
      <c r="K6" s="3">
        <v>1.60484770077296E-2</v>
      </c>
      <c r="L6" s="3">
        <v>2.04840712968354E-2</v>
      </c>
      <c r="M6" s="3">
        <v>4.6575265883043802E-2</v>
      </c>
      <c r="N6" s="3">
        <v>6.8856656472309902E-2</v>
      </c>
      <c r="O6" s="3">
        <v>8.1296583304814596E-2</v>
      </c>
      <c r="P6" s="3">
        <v>7.2241498844633503E-2</v>
      </c>
      <c r="R6" s="7" t="s">
        <v>36</v>
      </c>
      <c r="S6" s="7" t="s">
        <v>40</v>
      </c>
      <c r="T6" s="7" t="s">
        <v>41</v>
      </c>
      <c r="U6" s="7" t="s">
        <v>37</v>
      </c>
      <c r="V6" s="7" t="s">
        <v>38</v>
      </c>
      <c r="W6" s="7" t="s">
        <v>10</v>
      </c>
      <c r="X6" s="7" t="s">
        <v>8</v>
      </c>
      <c r="Y6" s="3">
        <v>0</v>
      </c>
      <c r="Z6" s="3">
        <v>0</v>
      </c>
      <c r="AA6" s="3">
        <v>0.29411764705882398</v>
      </c>
      <c r="AB6" s="3">
        <v>0.88235294117647101</v>
      </c>
      <c r="AC6" s="3">
        <v>1.47058823529412</v>
      </c>
      <c r="AD6" s="3">
        <v>2.0588235294117698</v>
      </c>
      <c r="AE6" s="3">
        <v>2.6470588235294099</v>
      </c>
      <c r="AF6" s="3">
        <v>3.2352941176470602</v>
      </c>
      <c r="AG6" s="3">
        <v>3.8235294117647101</v>
      </c>
      <c r="AH6" s="3">
        <v>4.4117647058823497</v>
      </c>
      <c r="AI6" s="3">
        <v>5</v>
      </c>
    </row>
    <row r="7" spans="1:35" x14ac:dyDescent="0.45">
      <c r="A7" s="3" t="s">
        <v>69</v>
      </c>
      <c r="B7" s="3" t="s">
        <v>5</v>
      </c>
      <c r="C7" s="3" t="s">
        <v>6</v>
      </c>
      <c r="D7" s="3" t="s">
        <v>13</v>
      </c>
      <c r="E7" s="3" t="s">
        <v>8</v>
      </c>
      <c r="F7" s="3">
        <v>0</v>
      </c>
      <c r="G7" s="3">
        <v>0</v>
      </c>
      <c r="H7" s="3">
        <v>0</v>
      </c>
      <c r="I7" s="3">
        <v>1.7695883084881701E-2</v>
      </c>
      <c r="J7" s="3">
        <v>5.5775114366557701E-2</v>
      </c>
      <c r="K7" s="3">
        <v>7.0503190321822604E-2</v>
      </c>
      <c r="L7" s="3">
        <v>7.9824900676592495E-2</v>
      </c>
      <c r="M7" s="3">
        <v>6.56717463219227E-2</v>
      </c>
      <c r="N7" s="3">
        <v>5.3771487241073598E-2</v>
      </c>
      <c r="O7" s="3">
        <v>3.8182843889424702E-2</v>
      </c>
      <c r="P7" s="3">
        <v>2.2599707306103101E-2</v>
      </c>
      <c r="R7" s="7" t="s">
        <v>36</v>
      </c>
      <c r="S7" s="7" t="s">
        <v>40</v>
      </c>
      <c r="T7" s="7" t="s">
        <v>41</v>
      </c>
      <c r="U7" s="7" t="s">
        <v>37</v>
      </c>
      <c r="V7" s="7" t="s">
        <v>38</v>
      </c>
      <c r="W7" s="7" t="s">
        <v>11</v>
      </c>
      <c r="X7" s="7" t="s">
        <v>8</v>
      </c>
      <c r="Y7" s="3">
        <v>0</v>
      </c>
      <c r="Z7" s="3">
        <v>0</v>
      </c>
      <c r="AA7" s="3">
        <v>0.47058823529411797</v>
      </c>
      <c r="AB7" s="3">
        <v>1.4117647058823499</v>
      </c>
      <c r="AC7" s="3">
        <v>2.3529411764705901</v>
      </c>
      <c r="AD7" s="3">
        <v>3.29411764705883</v>
      </c>
      <c r="AE7" s="3">
        <v>4.2352941176470598</v>
      </c>
      <c r="AF7" s="3">
        <v>5.1764705882352899</v>
      </c>
      <c r="AG7" s="3">
        <v>6.1176470588235299</v>
      </c>
      <c r="AH7" s="3">
        <v>7.0588235294117601</v>
      </c>
      <c r="AI7" s="3">
        <v>8</v>
      </c>
    </row>
    <row r="8" spans="1:35" x14ac:dyDescent="0.45">
      <c r="A8" s="3" t="s">
        <v>69</v>
      </c>
      <c r="B8" s="3" t="s">
        <v>5</v>
      </c>
      <c r="C8" s="3" t="s">
        <v>6</v>
      </c>
      <c r="D8" s="3" t="s">
        <v>14</v>
      </c>
      <c r="E8" s="3" t="s">
        <v>8</v>
      </c>
      <c r="F8" s="3">
        <v>0</v>
      </c>
      <c r="G8" s="3">
        <v>2.5886496304960998E-4</v>
      </c>
      <c r="H8" s="3">
        <v>2.5886496304960998E-4</v>
      </c>
      <c r="I8" s="3">
        <v>4.4229961139590698E-2</v>
      </c>
      <c r="J8" s="3">
        <v>3.0516485466592001E-2</v>
      </c>
      <c r="K8" s="3">
        <v>2.77517500001725E-2</v>
      </c>
      <c r="L8" s="3">
        <v>2.4963624481781799E-2</v>
      </c>
      <c r="M8" s="3">
        <v>2.1425754835338599E-2</v>
      </c>
      <c r="N8" s="3">
        <v>1.91953703058017E-2</v>
      </c>
      <c r="O8" s="3">
        <v>1.3072809401260699E-2</v>
      </c>
      <c r="P8" s="3">
        <v>1.3278536033177499E-2</v>
      </c>
      <c r="R8" s="7" t="s">
        <v>36</v>
      </c>
      <c r="S8" s="7" t="s">
        <v>40</v>
      </c>
      <c r="T8" s="7" t="s">
        <v>41</v>
      </c>
      <c r="U8" s="7" t="s">
        <v>37</v>
      </c>
      <c r="V8" s="7" t="s">
        <v>38</v>
      </c>
      <c r="W8" s="7" t="s">
        <v>12</v>
      </c>
      <c r="X8" s="7" t="s">
        <v>8</v>
      </c>
      <c r="Y8" s="3">
        <v>0</v>
      </c>
      <c r="Z8" s="3">
        <v>0</v>
      </c>
      <c r="AA8" s="3">
        <v>0.76470588235294101</v>
      </c>
      <c r="AB8" s="3">
        <v>2.2941176470588198</v>
      </c>
      <c r="AC8" s="3">
        <v>3.8235294117647101</v>
      </c>
      <c r="AD8" s="3">
        <v>5.3529411764705896</v>
      </c>
      <c r="AE8" s="3">
        <v>6.8823529411764701</v>
      </c>
      <c r="AF8" s="3">
        <v>8.4117647058823604</v>
      </c>
      <c r="AG8" s="3">
        <v>9.9411764705882408</v>
      </c>
      <c r="AH8" s="3">
        <v>11.4705882352941</v>
      </c>
      <c r="AI8" s="3">
        <v>13</v>
      </c>
    </row>
    <row r="9" spans="1:35" x14ac:dyDescent="0.45">
      <c r="A9" s="3" t="s">
        <v>69</v>
      </c>
      <c r="B9" s="3" t="s">
        <v>5</v>
      </c>
      <c r="C9" s="3" t="s">
        <v>15</v>
      </c>
      <c r="D9" s="3" t="s">
        <v>7</v>
      </c>
      <c r="E9" s="3" t="s">
        <v>8</v>
      </c>
      <c r="F9" s="3">
        <v>2.36178099389888E-2</v>
      </c>
      <c r="G9" s="3">
        <v>3.4055773883019197E-2</v>
      </c>
      <c r="H9" s="3">
        <v>3.4055773883019197E-2</v>
      </c>
      <c r="I9" s="3">
        <v>4.3091372602455102E-2</v>
      </c>
      <c r="J9" s="3">
        <v>4.9896480061433497E-2</v>
      </c>
      <c r="K9" s="3">
        <v>5.4067604473033999E-2</v>
      </c>
      <c r="L9" s="3">
        <v>5.5259588264150797E-2</v>
      </c>
      <c r="M9" s="3">
        <v>5.6533038693537097E-2</v>
      </c>
      <c r="N9" s="3">
        <v>5.7383392191765303E-2</v>
      </c>
      <c r="O9" s="3">
        <v>5.8151683332342198E-2</v>
      </c>
      <c r="P9" s="3">
        <v>5.8717806813878497E-2</v>
      </c>
      <c r="R9" s="7" t="s">
        <v>36</v>
      </c>
      <c r="S9" s="7" t="s">
        <v>40</v>
      </c>
      <c r="T9" s="7" t="s">
        <v>41</v>
      </c>
      <c r="U9" s="7" t="s">
        <v>37</v>
      </c>
      <c r="V9" s="7" t="s">
        <v>38</v>
      </c>
      <c r="W9" s="7" t="s">
        <v>13</v>
      </c>
      <c r="X9" s="7" t="s">
        <v>8</v>
      </c>
      <c r="Y9" s="3">
        <v>0</v>
      </c>
      <c r="Z9" s="3">
        <v>0</v>
      </c>
      <c r="AA9" s="3">
        <v>1.76470588235294</v>
      </c>
      <c r="AB9" s="3">
        <v>5.2941176470588198</v>
      </c>
      <c r="AC9" s="3">
        <v>8.8235294117647101</v>
      </c>
      <c r="AD9" s="3">
        <v>12.352941176470599</v>
      </c>
      <c r="AE9" s="3">
        <v>15.882352941176499</v>
      </c>
      <c r="AF9" s="3">
        <v>19.411764705882401</v>
      </c>
      <c r="AG9" s="3">
        <v>22.9411764705882</v>
      </c>
      <c r="AH9" s="3">
        <v>26.470588235294102</v>
      </c>
      <c r="AI9" s="3">
        <v>30</v>
      </c>
    </row>
    <row r="10" spans="1:35" x14ac:dyDescent="0.45">
      <c r="A10" s="3" t="s">
        <v>69</v>
      </c>
      <c r="B10" s="3" t="s">
        <v>5</v>
      </c>
      <c r="C10" s="3" t="s">
        <v>15</v>
      </c>
      <c r="D10" s="3" t="s">
        <v>9</v>
      </c>
      <c r="E10" s="3" t="s">
        <v>8</v>
      </c>
      <c r="F10" s="3">
        <v>0</v>
      </c>
      <c r="G10" s="3">
        <v>-6.8632825756406696E-5</v>
      </c>
      <c r="H10" s="3">
        <v>-6.8632825756406696E-5</v>
      </c>
      <c r="I10" s="3">
        <v>-1.3729261138971399E-4</v>
      </c>
      <c r="J10" s="3">
        <v>-3.6402577381601498E-4</v>
      </c>
      <c r="K10" s="3">
        <v>-4.3118212939410899E-5</v>
      </c>
      <c r="L10" s="3">
        <v>1.52766126673779E-2</v>
      </c>
      <c r="M10" s="3">
        <v>1.90652614881563E-2</v>
      </c>
      <c r="N10" s="3">
        <v>2.2729610757337398E-2</v>
      </c>
      <c r="O10" s="3">
        <v>2.5645681422878399E-2</v>
      </c>
      <c r="P10" s="3">
        <v>2.8016924734515499E-2</v>
      </c>
      <c r="R10" s="7" t="s">
        <v>36</v>
      </c>
      <c r="S10" s="7" t="s">
        <v>40</v>
      </c>
      <c r="T10" s="7" t="s">
        <v>41</v>
      </c>
      <c r="U10" s="7" t="s">
        <v>37</v>
      </c>
      <c r="V10" s="7" t="s">
        <v>38</v>
      </c>
      <c r="W10" s="7" t="s">
        <v>14</v>
      </c>
      <c r="X10" s="7" t="s">
        <v>8</v>
      </c>
      <c r="Y10" s="3">
        <v>0</v>
      </c>
      <c r="Z10" s="3">
        <v>0</v>
      </c>
      <c r="AA10" s="3">
        <v>3.52941176470588</v>
      </c>
      <c r="AB10" s="3">
        <v>10.588235294117601</v>
      </c>
      <c r="AC10" s="3">
        <v>17.647058823529399</v>
      </c>
      <c r="AD10" s="3">
        <v>24.705882352941199</v>
      </c>
      <c r="AE10" s="3">
        <v>31.764705882352899</v>
      </c>
      <c r="AF10" s="3">
        <v>38.823529411764703</v>
      </c>
      <c r="AG10" s="3">
        <v>45.882352941176499</v>
      </c>
      <c r="AH10" s="3">
        <v>52.941176470588204</v>
      </c>
      <c r="AI10" s="3">
        <v>60</v>
      </c>
    </row>
    <row r="11" spans="1:35" x14ac:dyDescent="0.45">
      <c r="A11" s="3" t="s">
        <v>69</v>
      </c>
      <c r="B11" s="3" t="s">
        <v>5</v>
      </c>
      <c r="C11" s="3" t="s">
        <v>15</v>
      </c>
      <c r="D11" s="3" t="s">
        <v>10</v>
      </c>
      <c r="E11" s="3" t="s">
        <v>8</v>
      </c>
      <c r="F11" s="3">
        <v>0</v>
      </c>
      <c r="G11" s="3">
        <v>0</v>
      </c>
      <c r="H11" s="3">
        <v>0</v>
      </c>
      <c r="I11" s="3">
        <v>2.0985699722995999E-5</v>
      </c>
      <c r="J11" s="3">
        <v>-1.5515526948399499E-4</v>
      </c>
      <c r="K11" s="3">
        <v>1.04573480591114E-2</v>
      </c>
      <c r="L11" s="3">
        <v>-2.4028373386941701E-5</v>
      </c>
      <c r="M11" s="3">
        <v>1.00807107512424E-4</v>
      </c>
      <c r="N11" s="3">
        <v>6.3389294405746796E-5</v>
      </c>
      <c r="O11" s="3">
        <v>4.3239899945191101E-4</v>
      </c>
      <c r="P11" s="3">
        <v>7.9730719108749004E-4</v>
      </c>
      <c r="R11" s="7" t="s">
        <v>36</v>
      </c>
      <c r="S11" s="7" t="s">
        <v>40</v>
      </c>
      <c r="T11" s="7" t="s">
        <v>41</v>
      </c>
      <c r="U11" s="7" t="s">
        <v>37</v>
      </c>
      <c r="V11" s="7" t="s">
        <v>38</v>
      </c>
      <c r="W11" s="7" t="s">
        <v>9</v>
      </c>
      <c r="X11" s="7" t="s">
        <v>32</v>
      </c>
      <c r="Y11" s="3">
        <v>0</v>
      </c>
      <c r="Z11" s="3">
        <v>0</v>
      </c>
      <c r="AA11" s="3">
        <v>0.17647058823529399</v>
      </c>
      <c r="AB11" s="3">
        <v>0.52941176470588203</v>
      </c>
      <c r="AC11" s="3">
        <v>0.88235294117647101</v>
      </c>
      <c r="AD11" s="3">
        <v>1.23529411764706</v>
      </c>
      <c r="AE11" s="3">
        <v>1.5882352941176501</v>
      </c>
      <c r="AF11" s="3">
        <v>1.9411764705882399</v>
      </c>
      <c r="AG11" s="3">
        <v>2.2941176470588198</v>
      </c>
      <c r="AH11" s="3">
        <v>2.6470588235294099</v>
      </c>
      <c r="AI11" s="3">
        <v>3</v>
      </c>
    </row>
    <row r="12" spans="1:35" x14ac:dyDescent="0.45">
      <c r="A12" s="3" t="s">
        <v>69</v>
      </c>
      <c r="B12" s="3" t="s">
        <v>5</v>
      </c>
      <c r="C12" s="3" t="s">
        <v>15</v>
      </c>
      <c r="D12" s="3" t="s">
        <v>11</v>
      </c>
      <c r="E12" s="3" t="s">
        <v>8</v>
      </c>
      <c r="F12" s="3">
        <v>0</v>
      </c>
      <c r="G12" s="3">
        <v>0</v>
      </c>
      <c r="H12" s="3">
        <v>0</v>
      </c>
      <c r="I12" s="3">
        <v>7.5248304290474703E-5</v>
      </c>
      <c r="J12" s="3">
        <v>7.85490621100874E-3</v>
      </c>
      <c r="K12" s="3">
        <v>3.5295423212687598E-4</v>
      </c>
      <c r="L12" s="3">
        <v>5.3011819179070397E-4</v>
      </c>
      <c r="M12" s="3">
        <v>6.5939918833896104E-4</v>
      </c>
      <c r="N12" s="3">
        <v>5.1401555360945704E-4</v>
      </c>
      <c r="O12" s="3">
        <v>-3.8830812751170001E-4</v>
      </c>
      <c r="P12" s="3">
        <v>-1.05137412415629E-3</v>
      </c>
      <c r="R12" s="7" t="s">
        <v>36</v>
      </c>
      <c r="S12" s="7" t="s">
        <v>40</v>
      </c>
      <c r="T12" s="7" t="s">
        <v>41</v>
      </c>
      <c r="U12" s="7" t="s">
        <v>37</v>
      </c>
      <c r="V12" s="7" t="s">
        <v>38</v>
      </c>
      <c r="W12" s="7" t="s">
        <v>10</v>
      </c>
      <c r="X12" s="7" t="s">
        <v>32</v>
      </c>
      <c r="Y12" s="3">
        <v>0</v>
      </c>
      <c r="Z12" s="3">
        <v>0</v>
      </c>
      <c r="AA12" s="3">
        <v>0.29411764705882398</v>
      </c>
      <c r="AB12" s="3">
        <v>0.88235294117647001</v>
      </c>
      <c r="AC12" s="3">
        <v>1.47058823529412</v>
      </c>
      <c r="AD12" s="3">
        <v>2.0588235294117601</v>
      </c>
      <c r="AE12" s="3">
        <v>2.6470588235294099</v>
      </c>
      <c r="AF12" s="3">
        <v>3.2352941176470602</v>
      </c>
      <c r="AG12" s="3">
        <v>3.8235294117647101</v>
      </c>
      <c r="AH12" s="3">
        <v>4.4117647058823497</v>
      </c>
      <c r="AI12" s="3">
        <v>5</v>
      </c>
    </row>
    <row r="13" spans="1:35" x14ac:dyDescent="0.45">
      <c r="A13" s="3" t="s">
        <v>69</v>
      </c>
      <c r="B13" s="3" t="s">
        <v>5</v>
      </c>
      <c r="C13" s="3" t="s">
        <v>15</v>
      </c>
      <c r="D13" s="3" t="s">
        <v>12</v>
      </c>
      <c r="E13" s="3" t="s">
        <v>8</v>
      </c>
      <c r="F13" s="3">
        <v>0</v>
      </c>
      <c r="G13" s="3">
        <v>-3.2851227831295897E-5</v>
      </c>
      <c r="H13" s="3">
        <v>-3.2851227831295897E-5</v>
      </c>
      <c r="I13" s="3">
        <v>6.9046614739414602E-3</v>
      </c>
      <c r="J13" s="3">
        <v>7.7851049093717595E-4</v>
      </c>
      <c r="K13" s="3">
        <v>1.35624787657301E-3</v>
      </c>
      <c r="L13" s="3">
        <v>1.0467327337693999E-3</v>
      </c>
      <c r="M13" s="3">
        <v>-3.3000246385377102E-4</v>
      </c>
      <c r="N13" s="3">
        <v>-1.1242942274482699E-3</v>
      </c>
      <c r="O13" s="3">
        <v>-1.40149488987285E-3</v>
      </c>
      <c r="P13" s="3">
        <v>-1.9448032979963001E-3</v>
      </c>
      <c r="R13" s="7" t="s">
        <v>36</v>
      </c>
      <c r="S13" s="7" t="s">
        <v>40</v>
      </c>
      <c r="T13" s="7" t="s">
        <v>41</v>
      </c>
      <c r="U13" s="7" t="s">
        <v>37</v>
      </c>
      <c r="V13" s="7" t="s">
        <v>38</v>
      </c>
      <c r="W13" s="7" t="s">
        <v>11</v>
      </c>
      <c r="X13" s="7" t="s">
        <v>32</v>
      </c>
      <c r="Y13" s="3">
        <v>0</v>
      </c>
      <c r="Z13" s="3">
        <v>0</v>
      </c>
      <c r="AA13" s="3">
        <v>0.47058823529411797</v>
      </c>
      <c r="AB13" s="3">
        <v>1.4117647058823499</v>
      </c>
      <c r="AC13" s="3">
        <v>2.3529411764705901</v>
      </c>
      <c r="AD13" s="3">
        <v>3.2941176470588198</v>
      </c>
      <c r="AE13" s="3">
        <v>4.2352941176470598</v>
      </c>
      <c r="AF13" s="3">
        <v>5.1764705882352997</v>
      </c>
      <c r="AG13" s="3">
        <v>6.1176470588235299</v>
      </c>
      <c r="AH13" s="3">
        <v>7.0588235294117698</v>
      </c>
      <c r="AI13" s="3">
        <v>8</v>
      </c>
    </row>
    <row r="14" spans="1:35" x14ac:dyDescent="0.45">
      <c r="A14" s="3" t="s">
        <v>69</v>
      </c>
      <c r="B14" s="3" t="s">
        <v>5</v>
      </c>
      <c r="C14" s="3" t="s">
        <v>15</v>
      </c>
      <c r="D14" s="3" t="s">
        <v>13</v>
      </c>
      <c r="E14" s="3" t="s">
        <v>8</v>
      </c>
      <c r="F14" s="3">
        <v>0</v>
      </c>
      <c r="G14" s="3">
        <v>2.2129542521761802E-3</v>
      </c>
      <c r="H14" s="3">
        <v>2.2129542521761802E-3</v>
      </c>
      <c r="I14" s="3">
        <v>-1.74972014547341E-3</v>
      </c>
      <c r="J14" s="3">
        <v>-8.9239168615112797E-4</v>
      </c>
      <c r="K14" s="3">
        <v>-2.90028061662966E-3</v>
      </c>
      <c r="L14" s="3">
        <v>-4.4813402039765296E-3</v>
      </c>
      <c r="M14" s="3">
        <v>-4.8467242658965402E-3</v>
      </c>
      <c r="N14" s="3">
        <v>-5.7086527785082698E-3</v>
      </c>
      <c r="O14" s="3">
        <v>-6.3128986209988703E-3</v>
      </c>
      <c r="P14" s="3">
        <v>-6.7615529519769301E-3</v>
      </c>
      <c r="R14" s="7" t="s">
        <v>36</v>
      </c>
      <c r="S14" s="7" t="s">
        <v>40</v>
      </c>
      <c r="T14" s="7" t="s">
        <v>41</v>
      </c>
      <c r="U14" s="7" t="s">
        <v>37</v>
      </c>
      <c r="V14" s="7" t="s">
        <v>38</v>
      </c>
      <c r="W14" s="7" t="s">
        <v>12</v>
      </c>
      <c r="X14" s="7" t="s">
        <v>32</v>
      </c>
      <c r="Y14" s="3">
        <v>0</v>
      </c>
      <c r="Z14" s="3">
        <v>0</v>
      </c>
      <c r="AA14" s="3">
        <v>0.76470588235294101</v>
      </c>
      <c r="AB14" s="3">
        <v>2.29411764705883</v>
      </c>
      <c r="AC14" s="3">
        <v>3.8235294117647101</v>
      </c>
      <c r="AD14" s="3">
        <v>5.3529411764705896</v>
      </c>
      <c r="AE14" s="3">
        <v>6.8823529411764701</v>
      </c>
      <c r="AF14" s="3">
        <v>8.4117647058823604</v>
      </c>
      <c r="AG14" s="3">
        <v>9.9411764705882408</v>
      </c>
      <c r="AH14" s="3">
        <v>11.4705882352941</v>
      </c>
      <c r="AI14" s="3">
        <v>13</v>
      </c>
    </row>
    <row r="15" spans="1:35" x14ac:dyDescent="0.45">
      <c r="A15" s="3" t="s">
        <v>69</v>
      </c>
      <c r="B15" s="3" t="s">
        <v>5</v>
      </c>
      <c r="C15" s="3" t="s">
        <v>15</v>
      </c>
      <c r="D15" s="3" t="s">
        <v>14</v>
      </c>
      <c r="E15" s="3" t="s">
        <v>8</v>
      </c>
      <c r="F15" s="3">
        <v>0</v>
      </c>
      <c r="G15" s="3">
        <v>-6.4832181859590698E-4</v>
      </c>
      <c r="H15" s="3">
        <v>-6.4832181859590698E-4</v>
      </c>
      <c r="I15" s="3">
        <v>-1.79046818918382E-3</v>
      </c>
      <c r="J15" s="3">
        <v>-3.3129377283047899E-3</v>
      </c>
      <c r="K15" s="3">
        <v>-2.6993612117903799E-3</v>
      </c>
      <c r="L15" s="3">
        <v>-3.6826181467283499E-3</v>
      </c>
      <c r="M15" s="3">
        <v>-4.3918584482643304E-3</v>
      </c>
      <c r="N15" s="3">
        <v>-4.9632330156430997E-3</v>
      </c>
      <c r="O15" s="3">
        <v>-5.5011216453248997E-3</v>
      </c>
      <c r="P15" s="3">
        <v>-6.0962117524552802E-3</v>
      </c>
      <c r="R15" s="7" t="s">
        <v>36</v>
      </c>
      <c r="S15" s="7" t="s">
        <v>40</v>
      </c>
      <c r="T15" s="7" t="s">
        <v>41</v>
      </c>
      <c r="U15" s="7" t="s">
        <v>37</v>
      </c>
      <c r="V15" s="7" t="s">
        <v>38</v>
      </c>
      <c r="W15" s="7" t="s">
        <v>13</v>
      </c>
      <c r="X15" s="7" t="s">
        <v>32</v>
      </c>
      <c r="Y15" s="3">
        <v>0</v>
      </c>
      <c r="Z15" s="3">
        <v>0</v>
      </c>
      <c r="AA15" s="3">
        <v>1.76470588235294</v>
      </c>
      <c r="AB15" s="3">
        <v>5.2941176470588198</v>
      </c>
      <c r="AC15" s="3">
        <v>8.8235294117646994</v>
      </c>
      <c r="AD15" s="3">
        <v>12.352941176470599</v>
      </c>
      <c r="AE15" s="3">
        <v>15.882352941176499</v>
      </c>
      <c r="AF15" s="3">
        <v>19.411764705882302</v>
      </c>
      <c r="AG15" s="3">
        <v>22.9411764705882</v>
      </c>
      <c r="AH15" s="3">
        <v>26.470588235294102</v>
      </c>
      <c r="AI15" s="3">
        <v>30</v>
      </c>
    </row>
    <row r="16" spans="1:35" x14ac:dyDescent="0.45">
      <c r="A16" s="3" t="s">
        <v>69</v>
      </c>
      <c r="B16" s="3" t="s">
        <v>5</v>
      </c>
      <c r="C16" s="3" t="s">
        <v>16</v>
      </c>
      <c r="D16" s="3" t="s">
        <v>7</v>
      </c>
      <c r="E16" s="3" t="s">
        <v>8</v>
      </c>
      <c r="F16" s="3">
        <v>3.7121776826473503E-2</v>
      </c>
      <c r="G16" s="3">
        <v>4.4967495621504101E-2</v>
      </c>
      <c r="H16" s="3">
        <v>4.4967495621504101E-2</v>
      </c>
      <c r="I16" s="3">
        <v>2.45875587098041E-2</v>
      </c>
      <c r="J16" s="3">
        <v>1.67044419129872E-2</v>
      </c>
      <c r="K16" s="3">
        <v>1.7522482493291199E-2</v>
      </c>
      <c r="L16" s="3">
        <v>1.7730428248344799E-2</v>
      </c>
      <c r="M16" s="3">
        <v>1.8194877692433501E-2</v>
      </c>
      <c r="N16" s="3">
        <v>1.8332160694612E-2</v>
      </c>
      <c r="O16" s="3">
        <v>1.8332160694612E-2</v>
      </c>
      <c r="P16" s="3">
        <v>1.8332160694612E-2</v>
      </c>
      <c r="R16" s="7" t="s">
        <v>36</v>
      </c>
      <c r="S16" s="7" t="s">
        <v>40</v>
      </c>
      <c r="T16" s="7" t="s">
        <v>41</v>
      </c>
      <c r="U16" s="7" t="s">
        <v>37</v>
      </c>
      <c r="V16" s="7" t="s">
        <v>38</v>
      </c>
      <c r="W16" s="7" t="s">
        <v>14</v>
      </c>
      <c r="X16" s="7" t="s">
        <v>32</v>
      </c>
      <c r="Y16" s="3">
        <v>0</v>
      </c>
      <c r="Z16" s="3">
        <v>0</v>
      </c>
      <c r="AA16" s="3">
        <v>3.52941176470588</v>
      </c>
      <c r="AB16" s="3">
        <v>10.588235294117601</v>
      </c>
      <c r="AC16" s="3">
        <v>17.647058823529399</v>
      </c>
      <c r="AD16" s="3">
        <v>24.705882352941199</v>
      </c>
      <c r="AE16" s="3">
        <v>31.764705882352899</v>
      </c>
      <c r="AF16" s="3">
        <v>38.823529411764703</v>
      </c>
      <c r="AG16" s="3">
        <v>45.882352941176499</v>
      </c>
      <c r="AH16" s="3">
        <v>52.941176470588204</v>
      </c>
      <c r="AI16" s="3">
        <v>60</v>
      </c>
    </row>
    <row r="17" spans="1:35" x14ac:dyDescent="0.45">
      <c r="A17" s="3" t="s">
        <v>69</v>
      </c>
      <c r="B17" s="3" t="s">
        <v>5</v>
      </c>
      <c r="C17" s="3" t="s">
        <v>16</v>
      </c>
      <c r="D17" s="3" t="s">
        <v>9</v>
      </c>
      <c r="E17" s="3" t="s">
        <v>8</v>
      </c>
      <c r="F17" s="3">
        <v>0</v>
      </c>
      <c r="G17" s="3">
        <v>1.9983977853473001E-5</v>
      </c>
      <c r="H17" s="3">
        <v>1.9983977853473001E-5</v>
      </c>
      <c r="I17" s="3">
        <v>0</v>
      </c>
      <c r="J17" s="3">
        <v>-1.4403700101779299E-4</v>
      </c>
      <c r="K17" s="3">
        <v>0</v>
      </c>
      <c r="L17" s="3">
        <v>-1.68384223167645E-4</v>
      </c>
      <c r="M17" s="3">
        <v>-2.8880601726421698E-4</v>
      </c>
      <c r="N17" s="3">
        <v>-2.2064241136801599E-4</v>
      </c>
      <c r="O17" s="3">
        <v>-2.2064241136801599E-4</v>
      </c>
      <c r="P17" s="3">
        <v>-2.2064241136801599E-4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x14ac:dyDescent="0.45">
      <c r="A18" s="3" t="s">
        <v>69</v>
      </c>
      <c r="B18" s="3" t="s">
        <v>5</v>
      </c>
      <c r="C18" s="3" t="s">
        <v>16</v>
      </c>
      <c r="D18" s="3" t="s">
        <v>10</v>
      </c>
      <c r="E18" s="3" t="s">
        <v>8</v>
      </c>
      <c r="F18" s="3">
        <v>0</v>
      </c>
      <c r="G18" s="3">
        <v>0</v>
      </c>
      <c r="H18" s="3">
        <v>0</v>
      </c>
      <c r="I18" s="3">
        <v>0</v>
      </c>
      <c r="J18" s="3">
        <v>-1.4110585503734199E-4</v>
      </c>
      <c r="K18" s="3">
        <v>-8.9410640824287595E-5</v>
      </c>
      <c r="L18" s="3">
        <v>0</v>
      </c>
      <c r="M18" s="3">
        <v>-2.4977702779014499E-5</v>
      </c>
      <c r="N18" s="3">
        <v>-2.3042431085371399E-4</v>
      </c>
      <c r="O18" s="3">
        <v>-2.3042431085371399E-4</v>
      </c>
      <c r="P18" s="3">
        <v>-2.3042431085371399E-4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x14ac:dyDescent="0.45">
      <c r="A19" s="3" t="s">
        <v>69</v>
      </c>
      <c r="B19" s="3" t="s">
        <v>5</v>
      </c>
      <c r="C19" s="3" t="s">
        <v>16</v>
      </c>
      <c r="D19" s="3" t="s">
        <v>11</v>
      </c>
      <c r="E19" s="3" t="s">
        <v>8</v>
      </c>
      <c r="F19" s="3">
        <v>0</v>
      </c>
      <c r="G19" s="3">
        <v>1.1796119636642301E-16</v>
      </c>
      <c r="H19" s="3">
        <v>1.1796119636642301E-16</v>
      </c>
      <c r="I19" s="3">
        <v>0</v>
      </c>
      <c r="J19" s="3">
        <v>-7.8770431904823205E-5</v>
      </c>
      <c r="K19" s="3">
        <v>0</v>
      </c>
      <c r="L19" s="3">
        <v>-1.20343812394855E-6</v>
      </c>
      <c r="M19" s="3">
        <v>3.2996328102270398E-4</v>
      </c>
      <c r="N19" s="3">
        <v>5.1226974241221101E-4</v>
      </c>
      <c r="O19" s="3">
        <v>5.1226974241221101E-4</v>
      </c>
      <c r="P19" s="3">
        <v>5.1226974241221101E-4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x14ac:dyDescent="0.45">
      <c r="A20" s="3" t="s">
        <v>69</v>
      </c>
      <c r="B20" s="3" t="s">
        <v>5</v>
      </c>
      <c r="C20" s="3" t="s">
        <v>16</v>
      </c>
      <c r="D20" s="3" t="s">
        <v>12</v>
      </c>
      <c r="E20" s="3" t="s">
        <v>8</v>
      </c>
      <c r="F20" s="3">
        <v>0</v>
      </c>
      <c r="G20" s="3">
        <v>3.8286014355196101E-5</v>
      </c>
      <c r="H20" s="3">
        <v>3.8286014355196101E-5</v>
      </c>
      <c r="I20" s="3">
        <v>0</v>
      </c>
      <c r="J20" s="3">
        <v>-3.4155326478926102E-4</v>
      </c>
      <c r="K20" s="3">
        <v>1.2766369911053701E-4</v>
      </c>
      <c r="L20" s="3">
        <v>8.0529097188672405E-4</v>
      </c>
      <c r="M20" s="3">
        <v>1.9179392987664701E-4</v>
      </c>
      <c r="N20" s="3">
        <v>1.09553418191702E-5</v>
      </c>
      <c r="O20" s="3">
        <v>1.3953947362786001E-5</v>
      </c>
      <c r="P20" s="3">
        <v>1.5470799470073499E-5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x14ac:dyDescent="0.45">
      <c r="A21" s="3" t="s">
        <v>69</v>
      </c>
      <c r="B21" s="3" t="s">
        <v>5</v>
      </c>
      <c r="C21" s="3" t="s">
        <v>16</v>
      </c>
      <c r="D21" s="3" t="s">
        <v>13</v>
      </c>
      <c r="E21" s="3" t="s">
        <v>8</v>
      </c>
      <c r="F21" s="3">
        <v>0</v>
      </c>
      <c r="G21" s="3">
        <v>-5.8269992208787002E-5</v>
      </c>
      <c r="H21" s="3">
        <v>-5.8269992208787002E-5</v>
      </c>
      <c r="I21" s="3">
        <v>1.23087587685107E-3</v>
      </c>
      <c r="J21" s="3">
        <v>2.3331853343740599E-3</v>
      </c>
      <c r="K21" s="3">
        <v>8.4772357153463005E-4</v>
      </c>
      <c r="L21" s="3">
        <v>4.2714369941982597E-5</v>
      </c>
      <c r="M21" s="3">
        <v>5.9986136500406201E-6</v>
      </c>
      <c r="N21" s="3">
        <v>4.5307789985765704E-6</v>
      </c>
      <c r="O21" s="3">
        <v>1.53217384176244E-6</v>
      </c>
      <c r="P21" s="3">
        <v>1.5321738388446301E-8</v>
      </c>
      <c r="S21" s="8">
        <v>1</v>
      </c>
      <c r="T21" s="8" t="s">
        <v>69</v>
      </c>
      <c r="V21" s="8">
        <v>1</v>
      </c>
      <c r="W21" s="8" t="s">
        <v>7</v>
      </c>
      <c r="X21" s="8" t="s">
        <v>42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x14ac:dyDescent="0.45">
      <c r="A22" s="3" t="s">
        <v>69</v>
      </c>
      <c r="B22" s="3" t="s">
        <v>5</v>
      </c>
      <c r="C22" s="3" t="s">
        <v>16</v>
      </c>
      <c r="D22" s="3" t="s">
        <v>14</v>
      </c>
      <c r="E22" s="3" t="s">
        <v>8</v>
      </c>
      <c r="F22" s="3">
        <v>0</v>
      </c>
      <c r="G22" s="3">
        <v>-6.9175403295665405E-5</v>
      </c>
      <c r="H22" s="3">
        <v>-6.9175403295665405E-5</v>
      </c>
      <c r="I22" s="3">
        <v>2.6296149249404399E-3</v>
      </c>
      <c r="J22" s="3">
        <v>7.6512863719638293E-5</v>
      </c>
      <c r="K22" s="3">
        <v>3.88950122155035E-7</v>
      </c>
      <c r="L22" s="3">
        <v>3.88950126620213E-9</v>
      </c>
      <c r="M22" s="3">
        <v>3.8895085069379201E-11</v>
      </c>
      <c r="N22" s="3">
        <v>3.8905684229817398E-13</v>
      </c>
      <c r="O22" s="3">
        <v>3.91353616180368E-15</v>
      </c>
      <c r="P22" s="3">
        <v>0</v>
      </c>
      <c r="S22" s="8">
        <v>2</v>
      </c>
      <c r="T22" s="8" t="s">
        <v>70</v>
      </c>
      <c r="V22" s="8">
        <v>2</v>
      </c>
      <c r="W22" s="8" t="s">
        <v>9</v>
      </c>
      <c r="X22" s="8" t="s">
        <v>43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x14ac:dyDescent="0.45">
      <c r="A23" s="3" t="s">
        <v>69</v>
      </c>
      <c r="B23" s="3" t="s">
        <v>5</v>
      </c>
      <c r="C23" s="3" t="s">
        <v>17</v>
      </c>
      <c r="D23" s="3" t="s">
        <v>7</v>
      </c>
      <c r="E23" s="3" t="s">
        <v>8</v>
      </c>
      <c r="F23" s="3">
        <v>6.1997424191724201E-3</v>
      </c>
      <c r="G23" s="3">
        <v>7.2236026937381103E-3</v>
      </c>
      <c r="H23" s="3">
        <v>7.2236026937381103E-3</v>
      </c>
      <c r="I23" s="3">
        <v>8.8610978669897995E-3</v>
      </c>
      <c r="J23" s="3">
        <v>1.0219680532514999E-2</v>
      </c>
      <c r="K23" s="3">
        <v>1.07236329409904E-2</v>
      </c>
      <c r="L23" s="3">
        <v>1.08552725641189E-2</v>
      </c>
      <c r="M23" s="3">
        <v>1.1147475723727601E-2</v>
      </c>
      <c r="N23" s="3">
        <v>1.1232825823390099E-2</v>
      </c>
      <c r="O23" s="3">
        <v>1.1232825823390099E-2</v>
      </c>
      <c r="P23" s="3">
        <v>1.1232825823390099E-2</v>
      </c>
      <c r="S23" s="8">
        <v>3</v>
      </c>
      <c r="T23" s="8" t="s">
        <v>71</v>
      </c>
      <c r="V23" s="8">
        <v>3</v>
      </c>
      <c r="W23" s="8" t="s">
        <v>10</v>
      </c>
      <c r="X23" s="8" t="s">
        <v>44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x14ac:dyDescent="0.45">
      <c r="A24" s="3" t="s">
        <v>69</v>
      </c>
      <c r="B24" s="3" t="s">
        <v>5</v>
      </c>
      <c r="C24" s="3" t="s">
        <v>17</v>
      </c>
      <c r="D24" s="3" t="s">
        <v>9</v>
      </c>
      <c r="E24" s="3" t="s">
        <v>8</v>
      </c>
      <c r="F24" s="3">
        <v>0</v>
      </c>
      <c r="G24" s="3">
        <v>1.25503912354451E-5</v>
      </c>
      <c r="H24" s="3">
        <v>1.25503912354451E-5</v>
      </c>
      <c r="I24" s="3">
        <v>1.0408340855860799E-17</v>
      </c>
      <c r="J24" s="3">
        <v>-8.8978292916267604E-5</v>
      </c>
      <c r="K24" s="3">
        <v>0</v>
      </c>
      <c r="L24" s="3">
        <v>1.3754180886310299E-4</v>
      </c>
      <c r="M24" s="3">
        <v>2.5058630917567901E-5</v>
      </c>
      <c r="N24" s="3">
        <v>1.22559961393161E-5</v>
      </c>
      <c r="O24" s="3">
        <v>-4.0196066066620198E-5</v>
      </c>
      <c r="P24" s="3">
        <v>5.83085650027779E-4</v>
      </c>
      <c r="S24" s="8">
        <v>4</v>
      </c>
      <c r="T24" s="8" t="s">
        <v>72</v>
      </c>
      <c r="V24" s="8">
        <v>4</v>
      </c>
      <c r="W24" s="8" t="s">
        <v>11</v>
      </c>
      <c r="X24" s="8" t="s">
        <v>45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x14ac:dyDescent="0.45">
      <c r="A25" s="3" t="s">
        <v>69</v>
      </c>
      <c r="B25" s="3" t="s">
        <v>5</v>
      </c>
      <c r="C25" s="3" t="s">
        <v>17</v>
      </c>
      <c r="D25" s="3" t="s">
        <v>10</v>
      </c>
      <c r="E25" s="3" t="s">
        <v>8</v>
      </c>
      <c r="F25" s="3">
        <v>0</v>
      </c>
      <c r="G25" s="3">
        <v>0</v>
      </c>
      <c r="H25" s="3">
        <v>0</v>
      </c>
      <c r="I25" s="3">
        <v>-1.0408340855860799E-17</v>
      </c>
      <c r="J25" s="3">
        <v>-8.7167588973566899E-5</v>
      </c>
      <c r="K25" s="3">
        <v>3.2171726628539701E-4</v>
      </c>
      <c r="L25" s="3">
        <v>7.1973886058522896E-5</v>
      </c>
      <c r="M25" s="3">
        <v>4.1461938311444296E-3</v>
      </c>
      <c r="N25" s="3">
        <v>7.2180524696218102E-3</v>
      </c>
      <c r="O25" s="3">
        <v>7.4233482653918402E-3</v>
      </c>
      <c r="P25" s="3">
        <v>6.8000665492974396E-3</v>
      </c>
      <c r="S25" s="8">
        <v>5</v>
      </c>
      <c r="T25" s="8" t="s">
        <v>73</v>
      </c>
      <c r="V25" s="8">
        <v>5</v>
      </c>
      <c r="W25" s="8" t="s">
        <v>12</v>
      </c>
      <c r="X25" s="8" t="s">
        <v>46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x14ac:dyDescent="0.45">
      <c r="A26" s="3" t="s">
        <v>69</v>
      </c>
      <c r="B26" s="3" t="s">
        <v>5</v>
      </c>
      <c r="C26" s="3" t="s">
        <v>17</v>
      </c>
      <c r="D26" s="3" t="s">
        <v>11</v>
      </c>
      <c r="E26" s="3" t="s">
        <v>8</v>
      </c>
      <c r="F26" s="3">
        <v>0</v>
      </c>
      <c r="G26" s="3">
        <v>0</v>
      </c>
      <c r="H26" s="3">
        <v>0</v>
      </c>
      <c r="I26" s="3">
        <v>0</v>
      </c>
      <c r="J26" s="3">
        <v>-4.8645449630782198E-5</v>
      </c>
      <c r="K26" s="3">
        <v>4.6079141006813602E-3</v>
      </c>
      <c r="L26" s="3">
        <v>7.3023755824035202E-3</v>
      </c>
      <c r="M26" s="3">
        <v>3.50245591291239E-3</v>
      </c>
      <c r="N26" s="3">
        <v>4.7198976141740701E-4</v>
      </c>
      <c r="O26" s="3">
        <v>3.3298057811591302E-4</v>
      </c>
      <c r="P26" s="3">
        <v>3.7159060006956802E-4</v>
      </c>
      <c r="S26" s="8">
        <v>6</v>
      </c>
      <c r="T26" s="8" t="s">
        <v>74</v>
      </c>
      <c r="V26" s="8">
        <v>6</v>
      </c>
      <c r="W26" s="8" t="s">
        <v>13</v>
      </c>
      <c r="X26" s="8" t="s">
        <v>47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x14ac:dyDescent="0.45">
      <c r="A27" s="3" t="s">
        <v>69</v>
      </c>
      <c r="B27" s="3" t="s">
        <v>5</v>
      </c>
      <c r="C27" s="3" t="s">
        <v>17</v>
      </c>
      <c r="D27" s="3" t="s">
        <v>12</v>
      </c>
      <c r="E27" s="3" t="s">
        <v>8</v>
      </c>
      <c r="F27" s="3">
        <v>0</v>
      </c>
      <c r="G27" s="3">
        <v>2.4044485163417201E-5</v>
      </c>
      <c r="H27" s="3">
        <v>2.4044485163417201E-5</v>
      </c>
      <c r="I27" s="3">
        <v>0</v>
      </c>
      <c r="J27" s="3">
        <v>7.1595735053813503E-3</v>
      </c>
      <c r="K27" s="3">
        <v>2.7806306678218101E-3</v>
      </c>
      <c r="L27" s="3">
        <v>6.0293444878994603E-4</v>
      </c>
      <c r="M27" s="3">
        <v>2.2347184951790301E-4</v>
      </c>
      <c r="N27" s="3">
        <v>1.61635068525234E-4</v>
      </c>
      <c r="O27" s="3">
        <v>1.7197467936791799E-4</v>
      </c>
      <c r="P27" s="3">
        <v>2.2932953286479099E-4</v>
      </c>
      <c r="S27" s="8">
        <v>7</v>
      </c>
      <c r="T27" s="8" t="s">
        <v>75</v>
      </c>
      <c r="V27" s="8">
        <v>7</v>
      </c>
      <c r="W27" s="8" t="s">
        <v>14</v>
      </c>
      <c r="X27" s="8" t="s">
        <v>48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x14ac:dyDescent="0.45">
      <c r="A28" s="3" t="s">
        <v>69</v>
      </c>
      <c r="B28" s="3" t="s">
        <v>5</v>
      </c>
      <c r="C28" s="3" t="s">
        <v>17</v>
      </c>
      <c r="D28" s="3" t="s">
        <v>13</v>
      </c>
      <c r="E28" s="3" t="s">
        <v>8</v>
      </c>
      <c r="F28" s="3">
        <v>0</v>
      </c>
      <c r="G28" s="3">
        <v>-3.6594876398862399E-5</v>
      </c>
      <c r="H28" s="3">
        <v>-3.6594876398862399E-5</v>
      </c>
      <c r="I28" s="3">
        <v>8.4844768078226798E-3</v>
      </c>
      <c r="J28" s="3">
        <v>1.8886257253381E-3</v>
      </c>
      <c r="K28" s="3">
        <v>7.9494949009275401E-4</v>
      </c>
      <c r="L28" s="3">
        <v>2.9133913222205101E-4</v>
      </c>
      <c r="M28" s="3">
        <v>2.83378863048744E-4</v>
      </c>
      <c r="N28" s="3">
        <v>2.325134338572E-4</v>
      </c>
      <c r="O28" s="3">
        <v>2.08473124055131E-4</v>
      </c>
      <c r="P28" s="3">
        <v>1.16184521396254E-4</v>
      </c>
      <c r="S28" s="8">
        <v>8</v>
      </c>
      <c r="T28" s="8" t="s">
        <v>76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x14ac:dyDescent="0.45">
      <c r="A29" s="3" t="s">
        <v>69</v>
      </c>
      <c r="B29" s="3" t="s">
        <v>5</v>
      </c>
      <c r="C29" s="3" t="s">
        <v>17</v>
      </c>
      <c r="D29" s="3" t="s">
        <v>14</v>
      </c>
      <c r="E29" s="3" t="s">
        <v>8</v>
      </c>
      <c r="F29" s="3">
        <v>0</v>
      </c>
      <c r="G29" s="3">
        <v>-4.19337284943569E-5</v>
      </c>
      <c r="H29" s="3">
        <v>-4.19337284943569E-5</v>
      </c>
      <c r="I29" s="3">
        <v>1.7562754710804601E-3</v>
      </c>
      <c r="J29" s="3">
        <v>2.2217376740626599E-4</v>
      </c>
      <c r="K29" s="3">
        <v>1.00560852218025E-4</v>
      </c>
      <c r="L29" s="3">
        <v>7.1897134008895594E-5</v>
      </c>
      <c r="M29" s="3">
        <v>7.1627490858851301E-6</v>
      </c>
      <c r="N29" s="3">
        <v>5.9890800771476798E-6</v>
      </c>
      <c r="O29" s="3">
        <v>6.14177340842181E-6</v>
      </c>
      <c r="P29" s="3">
        <v>2.6921495856029001E-6</v>
      </c>
      <c r="S29" s="8">
        <v>9</v>
      </c>
      <c r="T29" s="8" t="s">
        <v>77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x14ac:dyDescent="0.45">
      <c r="A30" s="3" t="s">
        <v>69</v>
      </c>
      <c r="B30" s="3" t="s">
        <v>5</v>
      </c>
      <c r="C30" s="3" t="s">
        <v>18</v>
      </c>
      <c r="D30" s="3" t="s">
        <v>7</v>
      </c>
      <c r="E30" s="3" t="s">
        <v>8</v>
      </c>
      <c r="F30" s="3">
        <v>3.8901597945623201E-2</v>
      </c>
      <c r="G30" s="3">
        <v>2.9220312404678501E-2</v>
      </c>
      <c r="H30" s="3">
        <v>2.9220312404678501E-2</v>
      </c>
      <c r="I30" s="3">
        <v>1.07133094586694E-2</v>
      </c>
      <c r="J30" s="3">
        <v>4.3775884540630198E-3</v>
      </c>
      <c r="K30" s="3">
        <v>3.2932251798061E-18</v>
      </c>
      <c r="L30" s="3">
        <v>1.31729007192244E-17</v>
      </c>
      <c r="M30" s="3">
        <v>0</v>
      </c>
      <c r="N30" s="3">
        <v>0</v>
      </c>
      <c r="O30" s="3">
        <v>0</v>
      </c>
      <c r="P30" s="3">
        <v>0</v>
      </c>
      <c r="S30" s="8">
        <v>10</v>
      </c>
      <c r="T30" s="8" t="s">
        <v>28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x14ac:dyDescent="0.45">
      <c r="A31" s="3" t="s">
        <v>69</v>
      </c>
      <c r="B31" s="3" t="s">
        <v>5</v>
      </c>
      <c r="C31" s="3" t="s">
        <v>18</v>
      </c>
      <c r="D31" s="3" t="s">
        <v>9</v>
      </c>
      <c r="E31" s="3" t="s">
        <v>8</v>
      </c>
      <c r="F31" s="3">
        <v>0</v>
      </c>
      <c r="G31" s="3">
        <v>1.1796119636642301E-16</v>
      </c>
      <c r="H31" s="3">
        <v>1.1796119636642301E-16</v>
      </c>
      <c r="I31" s="3">
        <v>1.21430643318376E-17</v>
      </c>
      <c r="J31" s="3">
        <v>1.21430643318376E-17</v>
      </c>
      <c r="K31" s="3">
        <v>-3.2932251798061E-18</v>
      </c>
      <c r="L31" s="3">
        <v>-1.31729007192244E-17</v>
      </c>
      <c r="M31" s="3">
        <v>0</v>
      </c>
      <c r="N31" s="3">
        <v>3.2932251798061E-18</v>
      </c>
      <c r="O31" s="3">
        <v>3.2932251798061E-18</v>
      </c>
      <c r="P31" s="3">
        <v>0</v>
      </c>
      <c r="S31" s="8">
        <v>11</v>
      </c>
      <c r="T31" s="8" t="s">
        <v>78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x14ac:dyDescent="0.45">
      <c r="A32" s="3" t="s">
        <v>69</v>
      </c>
      <c r="B32" s="3" t="s">
        <v>5</v>
      </c>
      <c r="C32" s="3" t="s">
        <v>18</v>
      </c>
      <c r="D32" s="3" t="s">
        <v>10</v>
      </c>
      <c r="E32" s="3" t="s">
        <v>8</v>
      </c>
      <c r="F32" s="3">
        <v>0</v>
      </c>
      <c r="G32" s="3">
        <v>0</v>
      </c>
      <c r="H32" s="3">
        <v>0</v>
      </c>
      <c r="I32" s="3">
        <v>-1.21430643318376E-17</v>
      </c>
      <c r="J32" s="3">
        <v>1.21430643318376E-17</v>
      </c>
      <c r="K32" s="3">
        <v>0</v>
      </c>
      <c r="L32" s="3">
        <v>3.2932251798061E-18</v>
      </c>
      <c r="M32" s="3">
        <v>0</v>
      </c>
      <c r="N32" s="3">
        <v>6.5864503596122E-18</v>
      </c>
      <c r="O32" s="3">
        <v>3.2932251798061E-18</v>
      </c>
      <c r="P32" s="3">
        <v>0</v>
      </c>
      <c r="S32" s="8">
        <v>12</v>
      </c>
      <c r="T32" s="8" t="s">
        <v>79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x14ac:dyDescent="0.45">
      <c r="A33" s="3" t="s">
        <v>69</v>
      </c>
      <c r="B33" s="3" t="s">
        <v>5</v>
      </c>
      <c r="C33" s="3" t="s">
        <v>18</v>
      </c>
      <c r="D33" s="3" t="s">
        <v>11</v>
      </c>
      <c r="E33" s="3" t="s">
        <v>8</v>
      </c>
      <c r="F33" s="3">
        <v>0</v>
      </c>
      <c r="G33" s="3">
        <v>0</v>
      </c>
      <c r="H33" s="3">
        <v>0</v>
      </c>
      <c r="I33" s="3">
        <v>0</v>
      </c>
      <c r="J33" s="3">
        <v>-2.4286128663675299E-17</v>
      </c>
      <c r="K33" s="3">
        <v>6.5864503596122E-18</v>
      </c>
      <c r="L33" s="3">
        <v>3.2932251798061E-18</v>
      </c>
      <c r="M33" s="3">
        <v>9.8796755394182997E-18</v>
      </c>
      <c r="N33" s="3">
        <v>-9.8796755394182997E-18</v>
      </c>
      <c r="O33" s="3">
        <v>-6.5864503596122E-18</v>
      </c>
      <c r="P33" s="3">
        <v>1.31729007192244E-17</v>
      </c>
      <c r="S33" s="8">
        <v>13</v>
      </c>
      <c r="T33" s="8" t="s">
        <v>80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x14ac:dyDescent="0.45">
      <c r="A34" s="3" t="s">
        <v>69</v>
      </c>
      <c r="B34" s="3" t="s">
        <v>5</v>
      </c>
      <c r="C34" s="3" t="s">
        <v>18</v>
      </c>
      <c r="D34" s="3" t="s">
        <v>12</v>
      </c>
      <c r="E34" s="3" t="s">
        <v>8</v>
      </c>
      <c r="F34" s="3">
        <v>0</v>
      </c>
      <c r="G34" s="3">
        <v>0</v>
      </c>
      <c r="H34" s="3">
        <v>0</v>
      </c>
      <c r="I34" s="3">
        <v>0</v>
      </c>
      <c r="J34" s="3">
        <v>2.4286128663675299E-17</v>
      </c>
      <c r="K34" s="3">
        <v>-6.5864503596122E-18</v>
      </c>
      <c r="L34" s="3">
        <v>-6.5864503596122E-18</v>
      </c>
      <c r="M34" s="3">
        <v>-6.5864503596122E-18</v>
      </c>
      <c r="N34" s="3">
        <v>6.5864503596122E-18</v>
      </c>
      <c r="O34" s="3">
        <v>1.31729007192244E-17</v>
      </c>
      <c r="P34" s="3">
        <v>-1.31729007192244E-17</v>
      </c>
      <c r="S34" s="8">
        <v>14</v>
      </c>
      <c r="T34" s="8" t="s">
        <v>81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x14ac:dyDescent="0.45">
      <c r="A35" s="3" t="s">
        <v>69</v>
      </c>
      <c r="B35" s="3" t="s">
        <v>5</v>
      </c>
      <c r="C35" s="3" t="s">
        <v>18</v>
      </c>
      <c r="D35" s="3" t="s">
        <v>13</v>
      </c>
      <c r="E35" s="3" t="s">
        <v>8</v>
      </c>
      <c r="F35" s="3">
        <v>0</v>
      </c>
      <c r="G35" s="3">
        <v>0</v>
      </c>
      <c r="H35" s="3">
        <v>0</v>
      </c>
      <c r="I35" s="3">
        <v>0</v>
      </c>
      <c r="J35" s="3">
        <v>-1.21430643318376E-17</v>
      </c>
      <c r="K35" s="3">
        <v>0</v>
      </c>
      <c r="L35" s="3">
        <v>6.5864503596122E-18</v>
      </c>
      <c r="M35" s="3">
        <v>1.64661258990304E-17</v>
      </c>
      <c r="N35" s="3">
        <v>-6.5864503596122E-18</v>
      </c>
      <c r="O35" s="3">
        <v>3.6225476977867098E-17</v>
      </c>
      <c r="P35" s="3">
        <v>2.30525762586427E-17</v>
      </c>
      <c r="S35" s="8">
        <v>15</v>
      </c>
      <c r="T35" s="8" t="s">
        <v>82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x14ac:dyDescent="0.45">
      <c r="A36" s="3" t="s">
        <v>69</v>
      </c>
      <c r="B36" s="3" t="s">
        <v>5</v>
      </c>
      <c r="C36" s="3" t="s">
        <v>18</v>
      </c>
      <c r="D36" s="3" t="s">
        <v>14</v>
      </c>
      <c r="E36" s="3" t="s">
        <v>8</v>
      </c>
      <c r="F36" s="3">
        <v>0</v>
      </c>
      <c r="G36" s="3">
        <v>-1.1796119636642301E-16</v>
      </c>
      <c r="H36" s="3">
        <v>-1.1796119636642301E-16</v>
      </c>
      <c r="I36" s="3">
        <v>-1.21430643318376E-17</v>
      </c>
      <c r="J36" s="3">
        <v>-2.3418766925686899E-17</v>
      </c>
      <c r="K36" s="3">
        <v>0</v>
      </c>
      <c r="L36" s="3">
        <v>-6.5864503596122E-18</v>
      </c>
      <c r="M36" s="3">
        <v>-1.9759351078836501E-17</v>
      </c>
      <c r="N36" s="3">
        <v>9.8796755394182997E-18</v>
      </c>
      <c r="O36" s="3">
        <v>-3.2932251798060998E-17</v>
      </c>
      <c r="P36" s="3">
        <v>-2.30525762586427E-17</v>
      </c>
      <c r="S36" s="8">
        <v>16</v>
      </c>
      <c r="T36" s="8" t="s">
        <v>83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x14ac:dyDescent="0.45">
      <c r="A37" s="3" t="s">
        <v>69</v>
      </c>
      <c r="B37" s="3" t="s">
        <v>5</v>
      </c>
      <c r="C37" s="3" t="s">
        <v>19</v>
      </c>
      <c r="D37" s="3" t="s">
        <v>7</v>
      </c>
      <c r="E37" s="3" t="s">
        <v>8</v>
      </c>
      <c r="F37" s="3">
        <v>6.1957207272651598E-4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S37" s="8">
        <v>17</v>
      </c>
      <c r="T37" s="8" t="s">
        <v>84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x14ac:dyDescent="0.45">
      <c r="A38" s="3" t="s">
        <v>69</v>
      </c>
      <c r="B38" s="3" t="s">
        <v>5</v>
      </c>
      <c r="C38" s="3" t="s">
        <v>19</v>
      </c>
      <c r="D38" s="3" t="s">
        <v>9</v>
      </c>
      <c r="E38" s="3" t="s">
        <v>8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S38" s="8">
        <v>18</v>
      </c>
      <c r="T38" s="8" t="s">
        <v>85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x14ac:dyDescent="0.45">
      <c r="A39" s="3" t="s">
        <v>69</v>
      </c>
      <c r="B39" s="3" t="s">
        <v>5</v>
      </c>
      <c r="C39" s="3" t="s">
        <v>19</v>
      </c>
      <c r="D39" s="3" t="s">
        <v>10</v>
      </c>
      <c r="E39" s="3" t="s">
        <v>8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S39" s="8">
        <v>19</v>
      </c>
      <c r="T39" s="8" t="s">
        <v>68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x14ac:dyDescent="0.45">
      <c r="A40" s="3" t="s">
        <v>69</v>
      </c>
      <c r="B40" s="3" t="s">
        <v>5</v>
      </c>
      <c r="C40" s="3" t="s">
        <v>19</v>
      </c>
      <c r="D40" s="3" t="s">
        <v>11</v>
      </c>
      <c r="E40" s="3" t="s">
        <v>8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S40" s="8">
        <v>20</v>
      </c>
      <c r="T40" s="8" t="s">
        <v>30</v>
      </c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x14ac:dyDescent="0.45">
      <c r="A41" s="3" t="s">
        <v>69</v>
      </c>
      <c r="B41" s="3" t="s">
        <v>5</v>
      </c>
      <c r="C41" s="3" t="s">
        <v>19</v>
      </c>
      <c r="D41" s="3" t="s">
        <v>12</v>
      </c>
      <c r="E41" s="3" t="s">
        <v>8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S41" s="8">
        <v>21</v>
      </c>
      <c r="T41" s="8" t="s">
        <v>86</v>
      </c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x14ac:dyDescent="0.45">
      <c r="A42" s="3" t="s">
        <v>69</v>
      </c>
      <c r="B42" s="3" t="s">
        <v>5</v>
      </c>
      <c r="C42" s="3" t="s">
        <v>19</v>
      </c>
      <c r="D42" s="3" t="s">
        <v>13</v>
      </c>
      <c r="E42" s="3" t="s">
        <v>8</v>
      </c>
      <c r="F42" s="3">
        <v>0</v>
      </c>
      <c r="G42" s="3">
        <v>0</v>
      </c>
      <c r="H42" s="3">
        <v>0</v>
      </c>
      <c r="I42" s="3">
        <v>9.9568792876666198E-3</v>
      </c>
      <c r="J42" s="3">
        <v>8.2027221833313405E-3</v>
      </c>
      <c r="K42" s="3">
        <v>6.8955667146523899E-3</v>
      </c>
      <c r="L42" s="3">
        <v>6.6553837612419496E-3</v>
      </c>
      <c r="M42" s="3">
        <v>6.6274771248903399E-3</v>
      </c>
      <c r="N42" s="3">
        <v>6.5501878250590201E-3</v>
      </c>
      <c r="O42" s="3">
        <v>6.4925354571989001E-3</v>
      </c>
      <c r="P42" s="3">
        <v>6.3447213777290496E-3</v>
      </c>
      <c r="S42" s="8">
        <v>22</v>
      </c>
      <c r="T42" s="8" t="s">
        <v>87</v>
      </c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x14ac:dyDescent="0.45">
      <c r="A43" s="3" t="s">
        <v>69</v>
      </c>
      <c r="B43" s="3" t="s">
        <v>5</v>
      </c>
      <c r="C43" s="3" t="s">
        <v>19</v>
      </c>
      <c r="D43" s="3" t="s">
        <v>14</v>
      </c>
      <c r="E43" s="3" t="s">
        <v>8</v>
      </c>
      <c r="F43" s="3">
        <v>0</v>
      </c>
      <c r="G43" s="3">
        <v>0</v>
      </c>
      <c r="H43" s="3">
        <v>0</v>
      </c>
      <c r="I43" s="3">
        <v>6.6487775502314002E-3</v>
      </c>
      <c r="J43" s="3">
        <v>4.0282101309964497E-3</v>
      </c>
      <c r="K43" s="3">
        <v>1.0359861179763501E-3</v>
      </c>
      <c r="L43" s="3">
        <v>9.6956427404045397E-4</v>
      </c>
      <c r="M43" s="3">
        <v>1.0034197931029401E-3</v>
      </c>
      <c r="N43" s="3">
        <v>9.7223733503803403E-4</v>
      </c>
      <c r="O43" s="3">
        <v>1.00863253192582E-3</v>
      </c>
      <c r="P43" s="3">
        <v>1.2353515662315499E-3</v>
      </c>
      <c r="S43" s="8">
        <v>23</v>
      </c>
      <c r="T43" s="8" t="s">
        <v>88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x14ac:dyDescent="0.45">
      <c r="A44" s="3" t="s">
        <v>70</v>
      </c>
      <c r="B44" s="3" t="s">
        <v>5</v>
      </c>
      <c r="C44" s="3" t="s">
        <v>6</v>
      </c>
      <c r="D44" s="3" t="s">
        <v>7</v>
      </c>
      <c r="E44" s="3" t="s">
        <v>8</v>
      </c>
      <c r="F44" s="3">
        <v>4.6667822833340198E-4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S44" s="8">
        <v>24</v>
      </c>
      <c r="T44" s="8" t="s">
        <v>89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x14ac:dyDescent="0.45">
      <c r="A45" s="3" t="s">
        <v>70</v>
      </c>
      <c r="B45" s="3" t="s">
        <v>5</v>
      </c>
      <c r="C45" s="3" t="s">
        <v>6</v>
      </c>
      <c r="D45" s="3" t="s">
        <v>9</v>
      </c>
      <c r="E45" s="3" t="s">
        <v>8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S45" s="8">
        <v>25</v>
      </c>
      <c r="T45" s="8" t="s">
        <v>31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x14ac:dyDescent="0.45">
      <c r="A46" s="3" t="s">
        <v>70</v>
      </c>
      <c r="B46" s="3" t="s">
        <v>5</v>
      </c>
      <c r="C46" s="3" t="s">
        <v>6</v>
      </c>
      <c r="D46" s="3" t="s">
        <v>10</v>
      </c>
      <c r="E46" s="3" t="s">
        <v>8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4.6632897728925398E-4</v>
      </c>
      <c r="N46" s="3">
        <v>2.5304238065573501E-2</v>
      </c>
      <c r="O46" s="3">
        <v>0.101158115529196</v>
      </c>
      <c r="P46" s="3">
        <v>0.118664359492273</v>
      </c>
      <c r="S46" s="8">
        <v>26</v>
      </c>
      <c r="T46" s="8" t="s">
        <v>90</v>
      </c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x14ac:dyDescent="0.45">
      <c r="A47" s="3" t="s">
        <v>70</v>
      </c>
      <c r="B47" s="3" t="s">
        <v>5</v>
      </c>
      <c r="C47" s="3" t="s">
        <v>6</v>
      </c>
      <c r="D47" s="3" t="s">
        <v>11</v>
      </c>
      <c r="E47" s="3" t="s">
        <v>8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6.5891730339511304E-2</v>
      </c>
      <c r="M47" s="3">
        <v>0.11567501900204499</v>
      </c>
      <c r="N47" s="3">
        <v>0.117135362811948</v>
      </c>
      <c r="O47" s="3">
        <v>0.11115713155410401</v>
      </c>
      <c r="P47" s="3">
        <v>0.27445530460951301</v>
      </c>
      <c r="S47" s="8">
        <v>27</v>
      </c>
      <c r="T47" s="8" t="s">
        <v>91</v>
      </c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x14ac:dyDescent="0.45">
      <c r="A48" s="3" t="s">
        <v>70</v>
      </c>
      <c r="B48" s="3" t="s">
        <v>5</v>
      </c>
      <c r="C48" s="3" t="s">
        <v>6</v>
      </c>
      <c r="D48" s="3" t="s">
        <v>12</v>
      </c>
      <c r="E48" s="3" t="s">
        <v>8</v>
      </c>
      <c r="F48" s="3">
        <v>0</v>
      </c>
      <c r="G48" s="3">
        <v>0</v>
      </c>
      <c r="H48" s="3">
        <v>0</v>
      </c>
      <c r="I48" s="3">
        <v>0</v>
      </c>
      <c r="J48" s="3">
        <v>2.6479064263951298E-2</v>
      </c>
      <c r="K48" s="3">
        <v>0.11689243785091299</v>
      </c>
      <c r="L48" s="3">
        <v>0.14920001629099999</v>
      </c>
      <c r="M48" s="3">
        <v>0.33924068744973301</v>
      </c>
      <c r="N48" s="3">
        <v>0.501531854607418</v>
      </c>
      <c r="O48" s="3">
        <v>0.59214066274778399</v>
      </c>
      <c r="P48" s="3">
        <v>0.52618606176061999</v>
      </c>
      <c r="S48" s="8">
        <v>28</v>
      </c>
      <c r="T48" s="8" t="s">
        <v>92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x14ac:dyDescent="0.45">
      <c r="A49" s="3" t="s">
        <v>70</v>
      </c>
      <c r="B49" s="3" t="s">
        <v>5</v>
      </c>
      <c r="C49" s="3" t="s">
        <v>6</v>
      </c>
      <c r="D49" s="3" t="s">
        <v>13</v>
      </c>
      <c r="E49" s="3" t="s">
        <v>8</v>
      </c>
      <c r="F49" s="3">
        <v>0</v>
      </c>
      <c r="G49" s="3">
        <v>0</v>
      </c>
      <c r="H49" s="3">
        <v>0</v>
      </c>
      <c r="I49" s="3">
        <v>0.12889166446886299</v>
      </c>
      <c r="J49" s="3">
        <v>0.40624970746945299</v>
      </c>
      <c r="K49" s="3">
        <v>0.513524728172983</v>
      </c>
      <c r="L49" s="3">
        <v>0.58142135461201205</v>
      </c>
      <c r="M49" s="3">
        <v>0.47833389559638101</v>
      </c>
      <c r="N49" s="3">
        <v>0.39165587036395999</v>
      </c>
      <c r="O49" s="3">
        <v>0.278112727093417</v>
      </c>
      <c r="P49" s="3">
        <v>0.16460969352139199</v>
      </c>
      <c r="S49" s="8">
        <v>29</v>
      </c>
      <c r="T49" s="8" t="s">
        <v>93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x14ac:dyDescent="0.45">
      <c r="A50" s="3" t="s">
        <v>70</v>
      </c>
      <c r="B50" s="3" t="s">
        <v>5</v>
      </c>
      <c r="C50" s="3" t="s">
        <v>6</v>
      </c>
      <c r="D50" s="3" t="s">
        <v>14</v>
      </c>
      <c r="E50" s="3" t="s">
        <v>8</v>
      </c>
      <c r="F50" s="3">
        <v>0</v>
      </c>
      <c r="G50" s="3">
        <v>1.8854970842704401E-3</v>
      </c>
      <c r="H50" s="3">
        <v>1.8854970842704401E-3</v>
      </c>
      <c r="I50" s="3">
        <v>0.32215816997262298</v>
      </c>
      <c r="J50" s="3">
        <v>0.22227320256706001</v>
      </c>
      <c r="K50" s="3">
        <v>0.20213567372074001</v>
      </c>
      <c r="L50" s="3">
        <v>0.18182777854027801</v>
      </c>
      <c r="M50" s="3">
        <v>0.15605896523965701</v>
      </c>
      <c r="N50" s="3">
        <v>0.139813493169195</v>
      </c>
      <c r="O50" s="3">
        <v>9.5218540658885506E-2</v>
      </c>
      <c r="P50" s="3">
        <v>9.6716993597692993E-2</v>
      </c>
      <c r="S50" s="8">
        <v>30</v>
      </c>
      <c r="T50" s="8" t="s">
        <v>49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x14ac:dyDescent="0.45">
      <c r="A51" s="3" t="s">
        <v>70</v>
      </c>
      <c r="B51" s="3" t="s">
        <v>5</v>
      </c>
      <c r="C51" s="3" t="s">
        <v>15</v>
      </c>
      <c r="D51" s="3" t="s">
        <v>7</v>
      </c>
      <c r="E51" s="3" t="s">
        <v>8</v>
      </c>
      <c r="F51" s="3">
        <v>0.1720252569224</v>
      </c>
      <c r="G51" s="3">
        <v>0.248052349775509</v>
      </c>
      <c r="H51" s="3">
        <v>0.248052349775509</v>
      </c>
      <c r="I51" s="3">
        <v>0.31386502229569502</v>
      </c>
      <c r="J51" s="3">
        <v>0.36343144534844302</v>
      </c>
      <c r="K51" s="3">
        <v>0.39381270213789399</v>
      </c>
      <c r="L51" s="3">
        <v>0.40249476531157102</v>
      </c>
      <c r="M51" s="3">
        <v>0.41177020777888801</v>
      </c>
      <c r="N51" s="3">
        <v>0.41796393528306602</v>
      </c>
      <c r="O51" s="3">
        <v>0.42355994444692902</v>
      </c>
      <c r="P51" s="3">
        <v>0.42768342319507102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x14ac:dyDescent="0.45">
      <c r="A52" s="3" t="s">
        <v>70</v>
      </c>
      <c r="B52" s="3" t="s">
        <v>5</v>
      </c>
      <c r="C52" s="3" t="s">
        <v>15</v>
      </c>
      <c r="D52" s="3" t="s">
        <v>9</v>
      </c>
      <c r="E52" s="3" t="s">
        <v>8</v>
      </c>
      <c r="F52" s="3">
        <v>0</v>
      </c>
      <c r="G52" s="3">
        <v>-4.99901536787556E-4</v>
      </c>
      <c r="H52" s="3">
        <v>-4.99901536787556E-4</v>
      </c>
      <c r="I52" s="3">
        <v>-9.9999944147549603E-4</v>
      </c>
      <c r="J52" s="3">
        <v>-2.6514578374897701E-3</v>
      </c>
      <c r="K52" s="3">
        <v>-3.1406051950189101E-4</v>
      </c>
      <c r="L52" s="3">
        <v>0.111270402539372</v>
      </c>
      <c r="M52" s="3">
        <v>0.13886581839150999</v>
      </c>
      <c r="N52" s="3">
        <v>0.16555587246988099</v>
      </c>
      <c r="O52" s="3">
        <v>0.186795682881576</v>
      </c>
      <c r="P52" s="3">
        <v>0.20406712934353199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x14ac:dyDescent="0.45">
      <c r="A53" s="3" t="s">
        <v>70</v>
      </c>
      <c r="B53" s="3" t="s">
        <v>5</v>
      </c>
      <c r="C53" s="3" t="s">
        <v>15</v>
      </c>
      <c r="D53" s="3" t="s">
        <v>10</v>
      </c>
      <c r="E53" s="3" t="s">
        <v>8</v>
      </c>
      <c r="F53" s="3">
        <v>0</v>
      </c>
      <c r="G53" s="3">
        <v>0</v>
      </c>
      <c r="H53" s="3">
        <v>0</v>
      </c>
      <c r="I53" s="3">
        <v>1.52853731818114E-4</v>
      </c>
      <c r="J53" s="3">
        <v>-1.1301058465961701E-3</v>
      </c>
      <c r="K53" s="3">
        <v>7.6168281108312405E-2</v>
      </c>
      <c r="L53" s="3">
        <v>-1.7501568164002301E-4</v>
      </c>
      <c r="M53" s="3">
        <v>7.3424964525614601E-4</v>
      </c>
      <c r="N53" s="3">
        <v>4.6170917982857302E-4</v>
      </c>
      <c r="O53" s="3">
        <v>3.1494685225199599E-3</v>
      </c>
      <c r="P53" s="3">
        <v>5.8073536347026397E-3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x14ac:dyDescent="0.45">
      <c r="A54" s="3" t="s">
        <v>70</v>
      </c>
      <c r="B54" s="3" t="s">
        <v>5</v>
      </c>
      <c r="C54" s="3" t="s">
        <v>15</v>
      </c>
      <c r="D54" s="3" t="s">
        <v>11</v>
      </c>
      <c r="E54" s="3" t="s">
        <v>8</v>
      </c>
      <c r="F54" s="3">
        <v>0</v>
      </c>
      <c r="G54" s="3">
        <v>0</v>
      </c>
      <c r="H54" s="3">
        <v>0</v>
      </c>
      <c r="I54" s="3">
        <v>5.4808675791628804E-4</v>
      </c>
      <c r="J54" s="3">
        <v>5.7212851764865597E-2</v>
      </c>
      <c r="K54" s="3">
        <v>2.5708159486558199E-3</v>
      </c>
      <c r="L54" s="3">
        <v>3.8612266919588701E-3</v>
      </c>
      <c r="M54" s="3">
        <v>4.8028718615934496E-3</v>
      </c>
      <c r="N54" s="3">
        <v>3.7439397598761901E-3</v>
      </c>
      <c r="O54" s="3">
        <v>-2.82832343781303E-3</v>
      </c>
      <c r="P54" s="3">
        <v>-7.6579032643910904E-3</v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x14ac:dyDescent="0.45">
      <c r="A55" s="3" t="s">
        <v>70</v>
      </c>
      <c r="B55" s="3" t="s">
        <v>5</v>
      </c>
      <c r="C55" s="3" t="s">
        <v>15</v>
      </c>
      <c r="D55" s="3" t="s">
        <v>12</v>
      </c>
      <c r="E55" s="3" t="s">
        <v>8</v>
      </c>
      <c r="F55" s="3">
        <v>0</v>
      </c>
      <c r="G55" s="3">
        <v>-2.3927878675006299E-4</v>
      </c>
      <c r="H55" s="3">
        <v>-2.3927878675006299E-4</v>
      </c>
      <c r="I55" s="3">
        <v>5.0291545536411998E-2</v>
      </c>
      <c r="J55" s="3">
        <v>5.6704439389686501E-3</v>
      </c>
      <c r="K55" s="3">
        <v>9.8785149859631997E-3</v>
      </c>
      <c r="L55" s="3">
        <v>7.6240967270429002E-3</v>
      </c>
      <c r="M55" s="3">
        <v>-2.40364194546905E-3</v>
      </c>
      <c r="N55" s="3">
        <v>-8.1890320835329398E-3</v>
      </c>
      <c r="O55" s="3">
        <v>-1.0208081067999799E-2</v>
      </c>
      <c r="P55" s="3">
        <v>-1.41653814585515E-2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x14ac:dyDescent="0.45">
      <c r="A56" s="3" t="s">
        <v>70</v>
      </c>
      <c r="B56" s="3" t="s">
        <v>5</v>
      </c>
      <c r="C56" s="3" t="s">
        <v>15</v>
      </c>
      <c r="D56" s="3" t="s">
        <v>13</v>
      </c>
      <c r="E56" s="3" t="s">
        <v>8</v>
      </c>
      <c r="F56" s="3">
        <v>0</v>
      </c>
      <c r="G56" s="3">
        <v>1.6118515000820802E-2</v>
      </c>
      <c r="H56" s="3">
        <v>1.6118515000820802E-2</v>
      </c>
      <c r="I56" s="3">
        <v>-1.27444525273477E-2</v>
      </c>
      <c r="J56" s="3">
        <v>-6.4999214356509204E-3</v>
      </c>
      <c r="K56" s="3">
        <v>-2.1124800288918399E-2</v>
      </c>
      <c r="L56" s="3">
        <v>-3.2640778376030501E-2</v>
      </c>
      <c r="M56" s="3">
        <v>-3.5302129588929199E-2</v>
      </c>
      <c r="N56" s="3">
        <v>-4.1580166130581603E-2</v>
      </c>
      <c r="O56" s="3">
        <v>-4.5981317065713199E-2</v>
      </c>
      <c r="P56" s="3">
        <v>-4.9249184694220002E-2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x14ac:dyDescent="0.45">
      <c r="A57" s="3" t="s">
        <v>70</v>
      </c>
      <c r="B57" s="3" t="s">
        <v>5</v>
      </c>
      <c r="C57" s="3" t="s">
        <v>15</v>
      </c>
      <c r="D57" s="3" t="s">
        <v>14</v>
      </c>
      <c r="E57" s="3" t="s">
        <v>8</v>
      </c>
      <c r="F57" s="3">
        <v>0</v>
      </c>
      <c r="G57" s="3">
        <v>-4.7221875229101996E-3</v>
      </c>
      <c r="H57" s="3">
        <v>-4.7221875229101996E-3</v>
      </c>
      <c r="I57" s="3">
        <v>-1.3041249423693099E-2</v>
      </c>
      <c r="J57" s="3">
        <v>-2.4130474643998399E-2</v>
      </c>
      <c r="K57" s="3">
        <v>-1.9661361793670298E-2</v>
      </c>
      <c r="L57" s="3">
        <v>-2.6823119267813101E-2</v>
      </c>
      <c r="M57" s="3">
        <v>-3.1989019298621399E-2</v>
      </c>
      <c r="N57" s="3">
        <v>-3.6150745428443397E-2</v>
      </c>
      <c r="O57" s="3">
        <v>-4.0068569729497697E-2</v>
      </c>
      <c r="P57" s="3">
        <v>-4.4403032951766397E-2</v>
      </c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x14ac:dyDescent="0.45">
      <c r="A58" s="3" t="s">
        <v>70</v>
      </c>
      <c r="B58" s="3" t="s">
        <v>5</v>
      </c>
      <c r="C58" s="3" t="s">
        <v>16</v>
      </c>
      <c r="D58" s="3" t="s">
        <v>7</v>
      </c>
      <c r="E58" s="3" t="s">
        <v>8</v>
      </c>
      <c r="F58" s="3">
        <v>0.27038422328262302</v>
      </c>
      <c r="G58" s="3">
        <v>0.32753015658222201</v>
      </c>
      <c r="H58" s="3">
        <v>0.32753015658222201</v>
      </c>
      <c r="I58" s="3">
        <v>0.179088624858742</v>
      </c>
      <c r="J58" s="3">
        <v>0.121670295393611</v>
      </c>
      <c r="K58" s="3">
        <v>0.12762866500380199</v>
      </c>
      <c r="L58" s="3">
        <v>0.129143281389972</v>
      </c>
      <c r="M58" s="3">
        <v>0.132526196027409</v>
      </c>
      <c r="N58" s="3">
        <v>0.13352612547818599</v>
      </c>
      <c r="O58" s="3">
        <v>0.13352612547818599</v>
      </c>
      <c r="P58" s="3">
        <v>0.13352612547818599</v>
      </c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x14ac:dyDescent="0.45">
      <c r="A59" s="3" t="s">
        <v>70</v>
      </c>
      <c r="B59" s="3" t="s">
        <v>5</v>
      </c>
      <c r="C59" s="3" t="s">
        <v>16</v>
      </c>
      <c r="D59" s="3" t="s">
        <v>9</v>
      </c>
      <c r="E59" s="3" t="s">
        <v>8</v>
      </c>
      <c r="F59" s="3">
        <v>0</v>
      </c>
      <c r="G59" s="3">
        <v>1.4555748113209699E-4</v>
      </c>
      <c r="H59" s="3">
        <v>1.4555748113209699E-4</v>
      </c>
      <c r="I59" s="3">
        <v>0</v>
      </c>
      <c r="J59" s="3">
        <v>-1.04912361351141E-3</v>
      </c>
      <c r="K59" s="3">
        <v>0</v>
      </c>
      <c r="L59" s="3">
        <v>-1.22646169678398E-3</v>
      </c>
      <c r="M59" s="3">
        <v>-2.1035790129971298E-3</v>
      </c>
      <c r="N59" s="3">
        <v>-1.6070951371702799E-3</v>
      </c>
      <c r="O59" s="3">
        <v>-1.6070951371702799E-3</v>
      </c>
      <c r="P59" s="3">
        <v>-1.6070951371702799E-3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x14ac:dyDescent="0.45">
      <c r="A60" s="3" t="s">
        <v>70</v>
      </c>
      <c r="B60" s="3" t="s">
        <v>5</v>
      </c>
      <c r="C60" s="3" t="s">
        <v>16</v>
      </c>
      <c r="D60" s="3" t="s">
        <v>10</v>
      </c>
      <c r="E60" s="3" t="s">
        <v>8</v>
      </c>
      <c r="F60" s="3">
        <v>0</v>
      </c>
      <c r="G60" s="3">
        <v>0</v>
      </c>
      <c r="H60" s="3">
        <v>0</v>
      </c>
      <c r="I60" s="3">
        <v>0</v>
      </c>
      <c r="J60" s="3">
        <v>-1.02777399889148E-3</v>
      </c>
      <c r="K60" s="3">
        <v>-6.5124109725359103E-4</v>
      </c>
      <c r="L60" s="3">
        <v>0</v>
      </c>
      <c r="M60" s="3">
        <v>-1.8193032076180301E-4</v>
      </c>
      <c r="N60" s="3">
        <v>-1.6783436473650801E-3</v>
      </c>
      <c r="O60" s="3">
        <v>-1.6783436473650801E-3</v>
      </c>
      <c r="P60" s="3">
        <v>-1.6783436473650801E-3</v>
      </c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x14ac:dyDescent="0.45">
      <c r="A61" s="3" t="s">
        <v>70</v>
      </c>
      <c r="B61" s="3" t="s">
        <v>5</v>
      </c>
      <c r="C61" s="3" t="s">
        <v>16</v>
      </c>
      <c r="D61" s="3" t="s">
        <v>11</v>
      </c>
      <c r="E61" s="3" t="s">
        <v>8</v>
      </c>
      <c r="F61" s="3">
        <v>0</v>
      </c>
      <c r="G61" s="3">
        <v>8.3266726846886701E-16</v>
      </c>
      <c r="H61" s="3">
        <v>8.3266726846886701E-16</v>
      </c>
      <c r="I61" s="3">
        <v>0</v>
      </c>
      <c r="J61" s="3">
        <v>-5.7374091083468902E-4</v>
      </c>
      <c r="K61" s="3">
        <v>0</v>
      </c>
      <c r="L61" s="3">
        <v>-8.76549320180664E-6</v>
      </c>
      <c r="M61" s="3">
        <v>2.4033565491263001E-3</v>
      </c>
      <c r="N61" s="3">
        <v>3.7312237789904898E-3</v>
      </c>
      <c r="O61" s="3">
        <v>3.7312237789904898E-3</v>
      </c>
      <c r="P61" s="3">
        <v>3.7312237789904898E-3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x14ac:dyDescent="0.45">
      <c r="A62" s="3" t="s">
        <v>70</v>
      </c>
      <c r="B62" s="3" t="s">
        <v>5</v>
      </c>
      <c r="C62" s="3" t="s">
        <v>16</v>
      </c>
      <c r="D62" s="3" t="s">
        <v>12</v>
      </c>
      <c r="E62" s="3" t="s">
        <v>8</v>
      </c>
      <c r="F62" s="3">
        <v>0</v>
      </c>
      <c r="G62" s="3">
        <v>2.7886419075273699E-4</v>
      </c>
      <c r="H62" s="3">
        <v>2.7886419075273699E-4</v>
      </c>
      <c r="I62" s="3">
        <v>0</v>
      </c>
      <c r="J62" s="3">
        <v>-2.4877746192318302E-3</v>
      </c>
      <c r="K62" s="3">
        <v>9.2986524558738603E-4</v>
      </c>
      <c r="L62" s="3">
        <v>5.8655051714771303E-3</v>
      </c>
      <c r="M62" s="3">
        <v>1.3969711903185601E-3</v>
      </c>
      <c r="N62" s="3">
        <v>7.9795522784864597E-5</v>
      </c>
      <c r="O62" s="3">
        <v>1.0163649323818899E-4</v>
      </c>
      <c r="P62" s="3">
        <v>1.1268480271917099E-4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x14ac:dyDescent="0.45">
      <c r="A63" s="3" t="s">
        <v>70</v>
      </c>
      <c r="B63" s="3" t="s">
        <v>5</v>
      </c>
      <c r="C63" s="3" t="s">
        <v>16</v>
      </c>
      <c r="D63" s="3" t="s">
        <v>13</v>
      </c>
      <c r="E63" s="3" t="s">
        <v>8</v>
      </c>
      <c r="F63" s="3">
        <v>0</v>
      </c>
      <c r="G63" s="3">
        <v>-4.2442167188566599E-4</v>
      </c>
      <c r="H63" s="3">
        <v>-4.2442167188566599E-4</v>
      </c>
      <c r="I63" s="3">
        <v>8.9653418120425304E-3</v>
      </c>
      <c r="J63" s="3">
        <v>1.6994243227044001E-2</v>
      </c>
      <c r="K63" s="3">
        <v>6.1745718832159902E-3</v>
      </c>
      <c r="L63" s="3">
        <v>3.1111904459091299E-4</v>
      </c>
      <c r="M63" s="3">
        <v>4.3692156766139703E-5</v>
      </c>
      <c r="N63" s="3">
        <v>3.3000876173611097E-5</v>
      </c>
      <c r="O63" s="3">
        <v>1.11599085376446E-5</v>
      </c>
      <c r="P63" s="3">
        <v>1.11599085167446E-7</v>
      </c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x14ac:dyDescent="0.45">
      <c r="A64" s="3" t="s">
        <v>70</v>
      </c>
      <c r="B64" s="3" t="s">
        <v>5</v>
      </c>
      <c r="C64" s="3" t="s">
        <v>16</v>
      </c>
      <c r="D64" s="3" t="s">
        <v>14</v>
      </c>
      <c r="E64" s="3" t="s">
        <v>8</v>
      </c>
      <c r="F64" s="3">
        <v>0</v>
      </c>
      <c r="G64" s="3">
        <v>-5.0385351374188103E-4</v>
      </c>
      <c r="H64" s="3">
        <v>-5.0385351374188103E-4</v>
      </c>
      <c r="I64" s="3">
        <v>1.9153350130195299E-2</v>
      </c>
      <c r="J64" s="3">
        <v>5.5729744092447597E-4</v>
      </c>
      <c r="K64" s="3">
        <v>2.8329995400422401E-6</v>
      </c>
      <c r="L64" s="3">
        <v>2.8329995710452099E-8</v>
      </c>
      <c r="M64" s="3">
        <v>2.8330046641933398E-10</v>
      </c>
      <c r="N64" s="3">
        <v>2.83378875920448E-12</v>
      </c>
      <c r="O64" s="3">
        <v>2.85049761572509E-14</v>
      </c>
      <c r="P64" s="3">
        <v>0</v>
      </c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x14ac:dyDescent="0.45">
      <c r="A65" s="3" t="s">
        <v>70</v>
      </c>
      <c r="B65" s="3" t="s">
        <v>5</v>
      </c>
      <c r="C65" s="3" t="s">
        <v>17</v>
      </c>
      <c r="D65" s="3" t="s">
        <v>7</v>
      </c>
      <c r="E65" s="3" t="s">
        <v>8</v>
      </c>
      <c r="F65" s="3">
        <v>4.5157120209957199E-2</v>
      </c>
      <c r="G65" s="3">
        <v>5.2614620598003002E-2</v>
      </c>
      <c r="H65" s="3">
        <v>5.2614620598003002E-2</v>
      </c>
      <c r="I65" s="3">
        <v>6.4541659075130903E-2</v>
      </c>
      <c r="J65" s="3">
        <v>7.4437179984606805E-2</v>
      </c>
      <c r="K65" s="3">
        <v>7.8107822722802797E-2</v>
      </c>
      <c r="L65" s="3">
        <v>7.9066647442298493E-2</v>
      </c>
      <c r="M65" s="3">
        <v>8.1194970251867504E-2</v>
      </c>
      <c r="N65" s="3">
        <v>8.1816635548553507E-2</v>
      </c>
      <c r="O65" s="3">
        <v>8.1816635548553604E-2</v>
      </c>
      <c r="P65" s="3">
        <v>8.1816635548553604E-2</v>
      </c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x14ac:dyDescent="0.45">
      <c r="A66" s="3" t="s">
        <v>70</v>
      </c>
      <c r="B66" s="3" t="s">
        <v>5</v>
      </c>
      <c r="C66" s="3" t="s">
        <v>17</v>
      </c>
      <c r="D66" s="3" t="s">
        <v>9</v>
      </c>
      <c r="E66" s="3" t="s">
        <v>8</v>
      </c>
      <c r="F66" s="3">
        <v>0</v>
      </c>
      <c r="G66" s="3">
        <v>9.1413398716107304E-5</v>
      </c>
      <c r="H66" s="3">
        <v>9.1413398716107304E-5</v>
      </c>
      <c r="I66" s="3">
        <v>8.3266726846886704E-17</v>
      </c>
      <c r="J66" s="3">
        <v>-6.4809200086621299E-4</v>
      </c>
      <c r="K66" s="3">
        <v>0</v>
      </c>
      <c r="L66" s="3">
        <v>1.0018145233774299E-3</v>
      </c>
      <c r="M66" s="3">
        <v>1.82519777780166E-4</v>
      </c>
      <c r="N66" s="3">
        <v>8.9269110478601394E-5</v>
      </c>
      <c r="O66" s="3">
        <v>-2.9277645176427298E-4</v>
      </c>
      <c r="P66" s="3">
        <v>4.2470262489582898E-3</v>
      </c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x14ac:dyDescent="0.45">
      <c r="A67" s="3" t="s">
        <v>70</v>
      </c>
      <c r="B67" s="3" t="s">
        <v>5</v>
      </c>
      <c r="C67" s="3" t="s">
        <v>17</v>
      </c>
      <c r="D67" s="3" t="s">
        <v>10</v>
      </c>
      <c r="E67" s="3" t="s">
        <v>8</v>
      </c>
      <c r="F67" s="3">
        <v>0</v>
      </c>
      <c r="G67" s="3">
        <v>0</v>
      </c>
      <c r="H67" s="3">
        <v>0</v>
      </c>
      <c r="I67" s="3">
        <v>-8.3266726846886704E-17</v>
      </c>
      <c r="J67" s="3">
        <v>-6.3490336010071902E-4</v>
      </c>
      <c r="K67" s="3">
        <v>2.3432949766335198E-3</v>
      </c>
      <c r="L67" s="3">
        <v>5.2423684807800797E-4</v>
      </c>
      <c r="M67" s="3">
        <v>3.0199669693981301E-2</v>
      </c>
      <c r="N67" s="3">
        <v>5.2574194380159402E-2</v>
      </c>
      <c r="O67" s="3">
        <v>5.4069509233808301E-2</v>
      </c>
      <c r="P67" s="3">
        <v>4.95297065330857E-2</v>
      </c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x14ac:dyDescent="0.45">
      <c r="A68" s="3" t="s">
        <v>70</v>
      </c>
      <c r="B68" s="3" t="s">
        <v>5</v>
      </c>
      <c r="C68" s="3" t="s">
        <v>17</v>
      </c>
      <c r="D68" s="3" t="s">
        <v>11</v>
      </c>
      <c r="E68" s="3" t="s">
        <v>8</v>
      </c>
      <c r="F68" s="3">
        <v>0</v>
      </c>
      <c r="G68" s="3">
        <v>0</v>
      </c>
      <c r="H68" s="3">
        <v>0</v>
      </c>
      <c r="I68" s="3">
        <v>0</v>
      </c>
      <c r="J68" s="3">
        <v>-3.5431930362969698E-4</v>
      </c>
      <c r="K68" s="3">
        <v>3.3562705817929903E-2</v>
      </c>
      <c r="L68" s="3">
        <v>5.3188379403167098E-2</v>
      </c>
      <c r="M68" s="3">
        <v>2.5510869967815899E-2</v>
      </c>
      <c r="N68" s="3">
        <v>3.4378361153010501E-3</v>
      </c>
      <c r="O68" s="3">
        <v>2.4253336633892901E-3</v>
      </c>
      <c r="P68" s="3">
        <v>2.7065578312318898E-3</v>
      </c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x14ac:dyDescent="0.45">
      <c r="A69" s="3" t="s">
        <v>70</v>
      </c>
      <c r="B69" s="3" t="s">
        <v>5</v>
      </c>
      <c r="C69" s="3" t="s">
        <v>17</v>
      </c>
      <c r="D69" s="3" t="s">
        <v>12</v>
      </c>
      <c r="E69" s="3" t="s">
        <v>8</v>
      </c>
      <c r="F69" s="3">
        <v>0</v>
      </c>
      <c r="G69" s="3">
        <v>1.7513303513275901E-4</v>
      </c>
      <c r="H69" s="3">
        <v>1.7513303513275901E-4</v>
      </c>
      <c r="I69" s="3">
        <v>0</v>
      </c>
      <c r="J69" s="3">
        <v>5.2148250616787198E-2</v>
      </c>
      <c r="K69" s="3">
        <v>2.0253304869250401E-2</v>
      </c>
      <c r="L69" s="3">
        <v>4.3915991249143197E-3</v>
      </c>
      <c r="M69" s="3">
        <v>1.6277039415403E-3</v>
      </c>
      <c r="N69" s="3">
        <v>1.17730281776982E-3</v>
      </c>
      <c r="O69" s="3">
        <v>1.2526135352446399E-3</v>
      </c>
      <c r="P69" s="3">
        <v>1.67036960297634E-3</v>
      </c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x14ac:dyDescent="0.45">
      <c r="A70" s="3" t="s">
        <v>70</v>
      </c>
      <c r="B70" s="3" t="s">
        <v>5</v>
      </c>
      <c r="C70" s="3" t="s">
        <v>17</v>
      </c>
      <c r="D70" s="3" t="s">
        <v>13</v>
      </c>
      <c r="E70" s="3" t="s">
        <v>8</v>
      </c>
      <c r="F70" s="3">
        <v>0</v>
      </c>
      <c r="G70" s="3">
        <v>-2.66546433848866E-4</v>
      </c>
      <c r="H70" s="3">
        <v>-2.66546433848866E-4</v>
      </c>
      <c r="I70" s="3">
        <v>6.1798460843246701E-2</v>
      </c>
      <c r="J70" s="3">
        <v>1.37562003619651E-2</v>
      </c>
      <c r="K70" s="3">
        <v>5.7901808265374E-3</v>
      </c>
      <c r="L70" s="3">
        <v>2.12202948543982E-3</v>
      </c>
      <c r="M70" s="3">
        <v>2.0640492005087599E-3</v>
      </c>
      <c r="N70" s="3">
        <v>1.6935602115742401E-3</v>
      </c>
      <c r="O70" s="3">
        <v>1.5184575885589201E-3</v>
      </c>
      <c r="P70" s="3">
        <v>8.4625425453197E-4</v>
      </c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x14ac:dyDescent="0.45">
      <c r="A71" s="3" t="s">
        <v>70</v>
      </c>
      <c r="B71" s="3" t="s">
        <v>5</v>
      </c>
      <c r="C71" s="3" t="s">
        <v>17</v>
      </c>
      <c r="D71" s="3" t="s">
        <v>14</v>
      </c>
      <c r="E71" s="3" t="s">
        <v>8</v>
      </c>
      <c r="F71" s="3">
        <v>0</v>
      </c>
      <c r="G71" s="3">
        <v>-3.0543307938334801E-4</v>
      </c>
      <c r="H71" s="3">
        <v>-3.0543307938334801E-4</v>
      </c>
      <c r="I71" s="3">
        <v>1.2792199612055201E-2</v>
      </c>
      <c r="J71" s="3">
        <v>1.61824908906508E-3</v>
      </c>
      <c r="K71" s="3">
        <v>7.3245599332999499E-4</v>
      </c>
      <c r="L71" s="3">
        <v>5.2367780847650802E-4</v>
      </c>
      <c r="M71" s="3">
        <v>5.2171380621357497E-5</v>
      </c>
      <c r="N71" s="3">
        <v>4.3622716994568003E-5</v>
      </c>
      <c r="O71" s="3">
        <v>4.4734890799452698E-5</v>
      </c>
      <c r="P71" s="3">
        <v>1.9608834406464902E-5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x14ac:dyDescent="0.45">
      <c r="A72" s="3" t="s">
        <v>70</v>
      </c>
      <c r="B72" s="3" t="s">
        <v>5</v>
      </c>
      <c r="C72" s="3" t="s">
        <v>18</v>
      </c>
      <c r="D72" s="3" t="s">
        <v>7</v>
      </c>
      <c r="E72" s="3" t="s">
        <v>8</v>
      </c>
      <c r="F72" s="3">
        <v>0.28334792254553398</v>
      </c>
      <c r="G72" s="3">
        <v>0.21283225505467099</v>
      </c>
      <c r="H72" s="3">
        <v>0.21283225505467099</v>
      </c>
      <c r="I72" s="3">
        <v>7.8032629480787596E-2</v>
      </c>
      <c r="J72" s="3">
        <v>3.18850808121528E-2</v>
      </c>
      <c r="K72" s="3">
        <v>2.39868941753249E-17</v>
      </c>
      <c r="L72" s="3">
        <v>9.5947576701300104E-17</v>
      </c>
      <c r="M72" s="3">
        <v>0</v>
      </c>
      <c r="N72" s="3">
        <v>0</v>
      </c>
      <c r="O72" s="3">
        <v>0</v>
      </c>
      <c r="P72" s="3">
        <v>0</v>
      </c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x14ac:dyDescent="0.45">
      <c r="A73" s="3" t="s">
        <v>70</v>
      </c>
      <c r="B73" s="3" t="s">
        <v>5</v>
      </c>
      <c r="C73" s="3" t="s">
        <v>18</v>
      </c>
      <c r="D73" s="3" t="s">
        <v>9</v>
      </c>
      <c r="E73" s="3" t="s">
        <v>8</v>
      </c>
      <c r="F73" s="3">
        <v>0</v>
      </c>
      <c r="G73" s="3">
        <v>8.6042284408449602E-16</v>
      </c>
      <c r="H73" s="3">
        <v>8.6042284408449602E-16</v>
      </c>
      <c r="I73" s="3">
        <v>8.3266726846886704E-17</v>
      </c>
      <c r="J73" s="3">
        <v>9.0205620750794006E-17</v>
      </c>
      <c r="K73" s="3">
        <v>-2.39868941753249E-17</v>
      </c>
      <c r="L73" s="3">
        <v>-9.5947576701300104E-17</v>
      </c>
      <c r="M73" s="3">
        <v>0</v>
      </c>
      <c r="N73" s="3">
        <v>2.39868941753249E-17</v>
      </c>
      <c r="O73" s="3">
        <v>2.39868941753249E-17</v>
      </c>
      <c r="P73" s="3">
        <v>0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x14ac:dyDescent="0.45">
      <c r="A74" s="3" t="s">
        <v>70</v>
      </c>
      <c r="B74" s="3" t="s">
        <v>5</v>
      </c>
      <c r="C74" s="3" t="s">
        <v>18</v>
      </c>
      <c r="D74" s="3" t="s">
        <v>10</v>
      </c>
      <c r="E74" s="3" t="s">
        <v>8</v>
      </c>
      <c r="F74" s="3">
        <v>0</v>
      </c>
      <c r="G74" s="3">
        <v>0</v>
      </c>
      <c r="H74" s="3">
        <v>0</v>
      </c>
      <c r="I74" s="3">
        <v>-8.3266726846886704E-17</v>
      </c>
      <c r="J74" s="3">
        <v>9.0205620750794006E-17</v>
      </c>
      <c r="K74" s="3">
        <v>0</v>
      </c>
      <c r="L74" s="3">
        <v>2.39868941753249E-17</v>
      </c>
      <c r="M74" s="3">
        <v>0</v>
      </c>
      <c r="N74" s="3">
        <v>4.7973788350649898E-17</v>
      </c>
      <c r="O74" s="3">
        <v>2.39868941753249E-17</v>
      </c>
      <c r="P74" s="3">
        <v>0</v>
      </c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x14ac:dyDescent="0.45">
      <c r="A75" s="3" t="s">
        <v>70</v>
      </c>
      <c r="B75" s="3" t="s">
        <v>5</v>
      </c>
      <c r="C75" s="3" t="s">
        <v>18</v>
      </c>
      <c r="D75" s="3" t="s">
        <v>11</v>
      </c>
      <c r="E75" s="3" t="s">
        <v>8</v>
      </c>
      <c r="F75" s="3">
        <v>0</v>
      </c>
      <c r="G75" s="3">
        <v>0</v>
      </c>
      <c r="H75" s="3">
        <v>0</v>
      </c>
      <c r="I75" s="3">
        <v>0</v>
      </c>
      <c r="J75" s="3">
        <v>-1.8041124150158801E-16</v>
      </c>
      <c r="K75" s="3">
        <v>4.7973788350649898E-17</v>
      </c>
      <c r="L75" s="3">
        <v>2.39868941753249E-17</v>
      </c>
      <c r="M75" s="3">
        <v>7.1960682525974801E-17</v>
      </c>
      <c r="N75" s="3">
        <v>-7.1960682525974801E-17</v>
      </c>
      <c r="O75" s="3">
        <v>-4.7973788350649898E-17</v>
      </c>
      <c r="P75" s="3">
        <v>9.5947576701300104E-17</v>
      </c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x14ac:dyDescent="0.45">
      <c r="A76" s="3" t="s">
        <v>70</v>
      </c>
      <c r="B76" s="3" t="s">
        <v>5</v>
      </c>
      <c r="C76" s="3" t="s">
        <v>18</v>
      </c>
      <c r="D76" s="3" t="s">
        <v>12</v>
      </c>
      <c r="E76" s="3" t="s">
        <v>8</v>
      </c>
      <c r="F76" s="3">
        <v>0</v>
      </c>
      <c r="G76" s="3">
        <v>0</v>
      </c>
      <c r="H76" s="3">
        <v>0</v>
      </c>
      <c r="I76" s="3">
        <v>0</v>
      </c>
      <c r="J76" s="3">
        <v>1.8041124150158801E-16</v>
      </c>
      <c r="K76" s="3">
        <v>-4.7973788350649898E-17</v>
      </c>
      <c r="L76" s="3">
        <v>-4.7973788350649898E-17</v>
      </c>
      <c r="M76" s="3">
        <v>-4.7973788350649898E-17</v>
      </c>
      <c r="N76" s="3">
        <v>4.7973788350649898E-17</v>
      </c>
      <c r="O76" s="3">
        <v>9.5947576701300104E-17</v>
      </c>
      <c r="P76" s="3">
        <v>-9.5947576701300104E-17</v>
      </c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x14ac:dyDescent="0.45">
      <c r="A77" s="3" t="s">
        <v>70</v>
      </c>
      <c r="B77" s="3" t="s">
        <v>5</v>
      </c>
      <c r="C77" s="3" t="s">
        <v>18</v>
      </c>
      <c r="D77" s="3" t="s">
        <v>13</v>
      </c>
      <c r="E77" s="3" t="s">
        <v>8</v>
      </c>
      <c r="F77" s="3">
        <v>0</v>
      </c>
      <c r="G77" s="3">
        <v>0</v>
      </c>
      <c r="H77" s="3">
        <v>0</v>
      </c>
      <c r="I77" s="3">
        <v>0</v>
      </c>
      <c r="J77" s="3">
        <v>-9.0205620750794006E-17</v>
      </c>
      <c r="K77" s="3">
        <v>0</v>
      </c>
      <c r="L77" s="3">
        <v>4.7973788350649898E-17</v>
      </c>
      <c r="M77" s="3">
        <v>1.1993447087662399E-16</v>
      </c>
      <c r="N77" s="3">
        <v>-4.7973788350649898E-17</v>
      </c>
      <c r="O77" s="3">
        <v>2.6385583592857401E-16</v>
      </c>
      <c r="P77" s="3">
        <v>1.6790825922727401E-16</v>
      </c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x14ac:dyDescent="0.45">
      <c r="A78" s="3" t="s">
        <v>70</v>
      </c>
      <c r="B78" s="3" t="s">
        <v>5</v>
      </c>
      <c r="C78" s="3" t="s">
        <v>18</v>
      </c>
      <c r="D78" s="3" t="s">
        <v>14</v>
      </c>
      <c r="E78" s="3" t="s">
        <v>8</v>
      </c>
      <c r="F78" s="3">
        <v>0</v>
      </c>
      <c r="G78" s="3">
        <v>-8.6042284408449602E-16</v>
      </c>
      <c r="H78" s="3">
        <v>-8.6042284408449602E-16</v>
      </c>
      <c r="I78" s="3">
        <v>-8.3266726846886704E-17</v>
      </c>
      <c r="J78" s="3">
        <v>-1.7347234759768101E-16</v>
      </c>
      <c r="K78" s="3">
        <v>0</v>
      </c>
      <c r="L78" s="3">
        <v>-4.7973788350649898E-17</v>
      </c>
      <c r="M78" s="3">
        <v>-1.4392136505194901E-16</v>
      </c>
      <c r="N78" s="3">
        <v>7.1960682525974801E-17</v>
      </c>
      <c r="O78" s="3">
        <v>-2.3986894175324902E-16</v>
      </c>
      <c r="P78" s="3">
        <v>-1.6790825922727401E-16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x14ac:dyDescent="0.45">
      <c r="A79" s="3" t="s">
        <v>70</v>
      </c>
      <c r="B79" s="3" t="s">
        <v>5</v>
      </c>
      <c r="C79" s="3" t="s">
        <v>19</v>
      </c>
      <c r="D79" s="3" t="s">
        <v>7</v>
      </c>
      <c r="E79" s="3" t="s">
        <v>8</v>
      </c>
      <c r="F79" s="3">
        <v>4.5127827376057802E-3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x14ac:dyDescent="0.45">
      <c r="A80" s="3" t="s">
        <v>70</v>
      </c>
      <c r="B80" s="3" t="s">
        <v>5</v>
      </c>
      <c r="C80" s="3" t="s">
        <v>19</v>
      </c>
      <c r="D80" s="3" t="s">
        <v>9</v>
      </c>
      <c r="E80" s="3" t="s">
        <v>8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x14ac:dyDescent="0.45">
      <c r="A81" s="3" t="s">
        <v>70</v>
      </c>
      <c r="B81" s="3" t="s">
        <v>5</v>
      </c>
      <c r="C81" s="3" t="s">
        <v>19</v>
      </c>
      <c r="D81" s="3" t="s">
        <v>10</v>
      </c>
      <c r="E81" s="3" t="s">
        <v>8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x14ac:dyDescent="0.45">
      <c r="A82" s="3" t="s">
        <v>70</v>
      </c>
      <c r="B82" s="3" t="s">
        <v>5</v>
      </c>
      <c r="C82" s="3" t="s">
        <v>19</v>
      </c>
      <c r="D82" s="3" t="s">
        <v>11</v>
      </c>
      <c r="E82" s="3" t="s">
        <v>8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x14ac:dyDescent="0.45">
      <c r="A83" s="3" t="s">
        <v>70</v>
      </c>
      <c r="B83" s="3" t="s">
        <v>5</v>
      </c>
      <c r="C83" s="3" t="s">
        <v>19</v>
      </c>
      <c r="D83" s="3" t="s">
        <v>12</v>
      </c>
      <c r="E83" s="3" t="s">
        <v>8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x14ac:dyDescent="0.45">
      <c r="A84" s="3" t="s">
        <v>70</v>
      </c>
      <c r="B84" s="3" t="s">
        <v>5</v>
      </c>
      <c r="C84" s="3" t="s">
        <v>19</v>
      </c>
      <c r="D84" s="3" t="s">
        <v>13</v>
      </c>
      <c r="E84" s="3" t="s">
        <v>8</v>
      </c>
      <c r="F84" s="3">
        <v>0</v>
      </c>
      <c r="G84" s="3">
        <v>0</v>
      </c>
      <c r="H84" s="3">
        <v>0</v>
      </c>
      <c r="I84" s="3">
        <v>7.2523012168820497E-2</v>
      </c>
      <c r="J84" s="3">
        <v>5.9746242123881702E-2</v>
      </c>
      <c r="K84" s="3">
        <v>5.0225301955513002E-2</v>
      </c>
      <c r="L84" s="3">
        <v>4.8475879194658102E-2</v>
      </c>
      <c r="M84" s="3">
        <v>4.8272615373811598E-2</v>
      </c>
      <c r="N84" s="3">
        <v>4.7709662598123197E-2</v>
      </c>
      <c r="O84" s="3">
        <v>4.7289739522319699E-2</v>
      </c>
      <c r="P84" s="3">
        <v>4.6213104768155898E-2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x14ac:dyDescent="0.45">
      <c r="A85" s="3" t="s">
        <v>70</v>
      </c>
      <c r="B85" s="3" t="s">
        <v>5</v>
      </c>
      <c r="C85" s="3" t="s">
        <v>19</v>
      </c>
      <c r="D85" s="3" t="s">
        <v>14</v>
      </c>
      <c r="E85" s="3" t="s">
        <v>8</v>
      </c>
      <c r="F85" s="3">
        <v>0</v>
      </c>
      <c r="G85" s="3">
        <v>0</v>
      </c>
      <c r="H85" s="3">
        <v>0</v>
      </c>
      <c r="I85" s="3">
        <v>4.8427761475474597E-2</v>
      </c>
      <c r="J85" s="3">
        <v>2.9340310744822101E-2</v>
      </c>
      <c r="K85" s="3">
        <v>7.5458215039116896E-3</v>
      </c>
      <c r="L85" s="3">
        <v>7.0620241155065601E-3</v>
      </c>
      <c r="M85" s="3">
        <v>7.3086178674255497E-3</v>
      </c>
      <c r="N85" s="3">
        <v>7.0814939141909299E-3</v>
      </c>
      <c r="O85" s="3">
        <v>7.3465859405700299E-3</v>
      </c>
      <c r="P85" s="3">
        <v>8.9979414314640804E-3</v>
      </c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x14ac:dyDescent="0.45">
      <c r="A86" s="3" t="s">
        <v>70</v>
      </c>
      <c r="B86" s="3" t="s">
        <v>20</v>
      </c>
      <c r="C86" s="3" t="s">
        <v>6</v>
      </c>
      <c r="D86" s="3" t="s">
        <v>10</v>
      </c>
      <c r="E86" s="3" t="s">
        <v>8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0.53577047977213599</v>
      </c>
      <c r="M86" s="3">
        <v>2.8823990859917101</v>
      </c>
      <c r="N86" s="3">
        <v>5.7280096134106104</v>
      </c>
      <c r="O86" s="3">
        <v>7.7521559296887403</v>
      </c>
      <c r="P86" s="3">
        <v>8.5380764701344596</v>
      </c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x14ac:dyDescent="0.45">
      <c r="A87" s="3" t="s">
        <v>70</v>
      </c>
      <c r="B87" s="3" t="s">
        <v>20</v>
      </c>
      <c r="C87" s="3" t="s">
        <v>6</v>
      </c>
      <c r="D87" s="3" t="s">
        <v>11</v>
      </c>
      <c r="E87" s="3" t="s">
        <v>8</v>
      </c>
      <c r="F87" s="3">
        <v>0</v>
      </c>
      <c r="G87" s="3">
        <v>0</v>
      </c>
      <c r="H87" s="3">
        <v>0</v>
      </c>
      <c r="I87" s="3">
        <v>0</v>
      </c>
      <c r="J87" s="3">
        <v>1.90241100830803E-2</v>
      </c>
      <c r="K87" s="3">
        <v>2.64166556611152</v>
      </c>
      <c r="L87" s="3">
        <v>5.4092791970379102</v>
      </c>
      <c r="M87" s="3">
        <v>6.1668120521852403</v>
      </c>
      <c r="N87" s="3">
        <v>6.0299507147881899</v>
      </c>
      <c r="O87" s="3">
        <v>5.7316006071281604</v>
      </c>
      <c r="P87" s="3">
        <v>4.6583450937164699</v>
      </c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x14ac:dyDescent="0.45">
      <c r="A88" s="3" t="s">
        <v>70</v>
      </c>
      <c r="B88" s="3" t="s">
        <v>20</v>
      </c>
      <c r="C88" s="3" t="s">
        <v>6</v>
      </c>
      <c r="D88" s="3" t="s">
        <v>12</v>
      </c>
      <c r="E88" s="3" t="s">
        <v>8</v>
      </c>
      <c r="F88" s="3">
        <v>0</v>
      </c>
      <c r="G88" s="3">
        <v>0</v>
      </c>
      <c r="H88" s="3">
        <v>0</v>
      </c>
      <c r="I88" s="3">
        <v>0</v>
      </c>
      <c r="J88" s="3">
        <v>3.3358922273923701</v>
      </c>
      <c r="K88" s="3">
        <v>4.5643425062347296</v>
      </c>
      <c r="L88" s="3">
        <v>4.7901130203454203</v>
      </c>
      <c r="M88" s="3">
        <v>4.3989201505283999</v>
      </c>
      <c r="N88" s="3">
        <v>3.1140242717806799</v>
      </c>
      <c r="O88" s="3">
        <v>1.9405901524373901</v>
      </c>
      <c r="P88" s="3">
        <v>1.6136966993072801</v>
      </c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x14ac:dyDescent="0.45">
      <c r="A89" s="3" t="s">
        <v>70</v>
      </c>
      <c r="B89" s="3" t="s">
        <v>20</v>
      </c>
      <c r="C89" s="3" t="s">
        <v>6</v>
      </c>
      <c r="D89" s="3" t="s">
        <v>13</v>
      </c>
      <c r="E89" s="3" t="s">
        <v>8</v>
      </c>
      <c r="F89" s="3">
        <v>0</v>
      </c>
      <c r="G89" s="3">
        <v>0</v>
      </c>
      <c r="H89" s="3">
        <v>0</v>
      </c>
      <c r="I89" s="3">
        <v>4.3659394394499502</v>
      </c>
      <c r="J89" s="3">
        <v>5.7823602885922396</v>
      </c>
      <c r="K89" s="3">
        <v>5.2127162467327501</v>
      </c>
      <c r="L89" s="3">
        <v>3.8040884174896998</v>
      </c>
      <c r="M89" s="3">
        <v>2.67602491568833</v>
      </c>
      <c r="N89" s="3">
        <v>2.3962670101497698</v>
      </c>
      <c r="O89" s="3">
        <v>2.3111269721970702</v>
      </c>
      <c r="P89" s="3">
        <v>1.8559269681075601</v>
      </c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x14ac:dyDescent="0.45">
      <c r="A90" s="3" t="s">
        <v>70</v>
      </c>
      <c r="B90" s="3" t="s">
        <v>20</v>
      </c>
      <c r="C90" s="3" t="s">
        <v>6</v>
      </c>
      <c r="D90" s="3" t="s">
        <v>14</v>
      </c>
      <c r="E90" s="3" t="s">
        <v>8</v>
      </c>
      <c r="F90" s="3">
        <v>0</v>
      </c>
      <c r="G90" s="3">
        <v>2.8897353517582198</v>
      </c>
      <c r="H90" s="3">
        <v>2.8897353517582198</v>
      </c>
      <c r="I90" s="3">
        <v>4.3121902397602296</v>
      </c>
      <c r="J90" s="3">
        <v>3.5443843895735898</v>
      </c>
      <c r="K90" s="3">
        <v>2.60524624848561</v>
      </c>
      <c r="L90" s="3">
        <v>2.54294991301138</v>
      </c>
      <c r="M90" s="3">
        <v>2.4128246179832802</v>
      </c>
      <c r="N90" s="3">
        <v>2.07540485123431</v>
      </c>
      <c r="O90" s="3">
        <v>1.59539645993712</v>
      </c>
      <c r="P90" s="3">
        <v>1.3852514131212801</v>
      </c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x14ac:dyDescent="0.45">
      <c r="A91" s="3" t="s">
        <v>70</v>
      </c>
      <c r="B91" s="3" t="s">
        <v>20</v>
      </c>
      <c r="C91" s="3" t="s">
        <v>15</v>
      </c>
      <c r="D91" s="3" t="s">
        <v>7</v>
      </c>
      <c r="E91" s="3" t="s">
        <v>8</v>
      </c>
      <c r="F91" s="3">
        <v>0.16470374382010999</v>
      </c>
      <c r="G91" s="3">
        <v>0.32470576995207201</v>
      </c>
      <c r="H91" s="3">
        <v>0.32470576995207201</v>
      </c>
      <c r="I91" s="3">
        <v>0.47830712578307</v>
      </c>
      <c r="J91" s="3">
        <v>0.63474500721358496</v>
      </c>
      <c r="K91" s="3">
        <v>0.79313213323524301</v>
      </c>
      <c r="L91" s="3">
        <v>0.80444112130911305</v>
      </c>
      <c r="M91" s="3">
        <v>0.82778092492209099</v>
      </c>
      <c r="N91" s="3">
        <v>1.0723415213235901</v>
      </c>
      <c r="O91" s="3">
        <v>1.30304398316003</v>
      </c>
      <c r="P91" s="3">
        <v>1.30304398316003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x14ac:dyDescent="0.45">
      <c r="A92" s="3" t="s">
        <v>70</v>
      </c>
      <c r="B92" s="3" t="s">
        <v>20</v>
      </c>
      <c r="C92" s="3" t="s">
        <v>15</v>
      </c>
      <c r="D92" s="3" t="s">
        <v>9</v>
      </c>
      <c r="E92" s="3" t="s">
        <v>8</v>
      </c>
      <c r="F92" s="3">
        <v>0</v>
      </c>
      <c r="G92" s="3">
        <v>-2.1225787050105401E-4</v>
      </c>
      <c r="H92" s="3">
        <v>-2.1225787050105401E-4</v>
      </c>
      <c r="I92" s="3">
        <v>4.9005093089404296E-3</v>
      </c>
      <c r="J92" s="3">
        <v>7.5313017111517194E-2</v>
      </c>
      <c r="K92" s="3">
        <v>8.0142002252845707E-2</v>
      </c>
      <c r="L92" s="3">
        <v>0.51281383993167395</v>
      </c>
      <c r="M92" s="3">
        <v>0.78885573709245105</v>
      </c>
      <c r="N92" s="3">
        <v>0.85555464482452903</v>
      </c>
      <c r="O92" s="3">
        <v>0.91764264103279003</v>
      </c>
      <c r="P92" s="3">
        <v>1.2162778610294001</v>
      </c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x14ac:dyDescent="0.45">
      <c r="A93" s="3" t="s">
        <v>70</v>
      </c>
      <c r="B93" s="3" t="s">
        <v>20</v>
      </c>
      <c r="C93" s="3" t="s">
        <v>15</v>
      </c>
      <c r="D93" s="3" t="s">
        <v>10</v>
      </c>
      <c r="E93" s="3" t="s">
        <v>8</v>
      </c>
      <c r="F93" s="3">
        <v>0</v>
      </c>
      <c r="G93" s="3">
        <v>8.1481738606448099E-5</v>
      </c>
      <c r="H93" s="3">
        <v>8.1481738606448099E-5</v>
      </c>
      <c r="I93" s="3">
        <v>8.7355036961134207E-3</v>
      </c>
      <c r="J93" s="3">
        <v>0.1761672991813</v>
      </c>
      <c r="K93" s="3">
        <v>0.260074199869606</v>
      </c>
      <c r="L93" s="3">
        <v>4.77442417137839E-2</v>
      </c>
      <c r="M93" s="3">
        <v>7.8857203368519799E-2</v>
      </c>
      <c r="N93" s="3">
        <v>0.108491007437323</v>
      </c>
      <c r="O93" s="3">
        <v>0.16915818686134901</v>
      </c>
      <c r="P93" s="3">
        <v>0.20235141927862599</v>
      </c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x14ac:dyDescent="0.45">
      <c r="A94" s="3" t="s">
        <v>70</v>
      </c>
      <c r="B94" s="3" t="s">
        <v>20</v>
      </c>
      <c r="C94" s="3" t="s">
        <v>15</v>
      </c>
      <c r="D94" s="3" t="s">
        <v>11</v>
      </c>
      <c r="E94" s="3" t="s">
        <v>8</v>
      </c>
      <c r="F94" s="3">
        <v>0</v>
      </c>
      <c r="G94" s="3">
        <v>-5.4302122513005799E-5</v>
      </c>
      <c r="H94" s="3">
        <v>-5.4302122513005799E-5</v>
      </c>
      <c r="I94" s="3">
        <v>0.11016264867491</v>
      </c>
      <c r="J94" s="3">
        <v>3.7708651907267E-2</v>
      </c>
      <c r="K94" s="3">
        <v>6.0427996799029098E-2</v>
      </c>
      <c r="L94" s="3">
        <v>0.12884215461248</v>
      </c>
      <c r="M94" s="3">
        <v>0.115028293765175</v>
      </c>
      <c r="N94" s="3">
        <v>8.8018658505077493E-2</v>
      </c>
      <c r="O94" s="3">
        <v>1.03144158004409E-2</v>
      </c>
      <c r="P94" s="3">
        <v>-6.1347304086211397E-2</v>
      </c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x14ac:dyDescent="0.45">
      <c r="A95" s="3" t="s">
        <v>70</v>
      </c>
      <c r="B95" s="3" t="s">
        <v>20</v>
      </c>
      <c r="C95" s="3" t="s">
        <v>15</v>
      </c>
      <c r="D95" s="3" t="s">
        <v>12</v>
      </c>
      <c r="E95" s="3" t="s">
        <v>8</v>
      </c>
      <c r="F95" s="3">
        <v>0</v>
      </c>
      <c r="G95" s="3">
        <v>1.1240979171028801E-3</v>
      </c>
      <c r="H95" s="3">
        <v>1.1240979171028801E-3</v>
      </c>
      <c r="I95" s="3">
        <v>2.4753189190520501E-2</v>
      </c>
      <c r="J95" s="3">
        <v>5.5027331291622003E-2</v>
      </c>
      <c r="K95" s="3">
        <v>7.3065197352906397E-2</v>
      </c>
      <c r="L95" s="3">
        <v>-1.93403322232302E-2</v>
      </c>
      <c r="M95" s="3">
        <v>-7.9232614052704403E-2</v>
      </c>
      <c r="N95" s="3">
        <v>-0.12642741542453401</v>
      </c>
      <c r="O95" s="3">
        <v>-0.17073176752729899</v>
      </c>
      <c r="P95" s="3">
        <v>-0.232972282219643</v>
      </c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x14ac:dyDescent="0.45">
      <c r="A96" s="3" t="s">
        <v>70</v>
      </c>
      <c r="B96" s="3" t="s">
        <v>20</v>
      </c>
      <c r="C96" s="3" t="s">
        <v>15</v>
      </c>
      <c r="D96" s="3" t="s">
        <v>13</v>
      </c>
      <c r="E96" s="3" t="s">
        <v>8</v>
      </c>
      <c r="F96" s="3">
        <v>0</v>
      </c>
      <c r="G96" s="3">
        <v>0.105003258593626</v>
      </c>
      <c r="H96" s="3">
        <v>0.105003258593626</v>
      </c>
      <c r="I96" s="3">
        <v>7.7598027961727203E-3</v>
      </c>
      <c r="J96" s="3">
        <v>-9.2933590040047101E-2</v>
      </c>
      <c r="K96" s="3">
        <v>-6.0895425005234302E-2</v>
      </c>
      <c r="L96" s="3">
        <v>-4.9070483444872998E-2</v>
      </c>
      <c r="M96" s="3">
        <v>-7.4586791187471801E-2</v>
      </c>
      <c r="N96" s="3">
        <v>-0.106602921227992</v>
      </c>
      <c r="O96" s="3">
        <v>-0.135602901486854</v>
      </c>
      <c r="P96" s="3">
        <v>-0.15496466336739401</v>
      </c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x14ac:dyDescent="0.45">
      <c r="A97" s="3" t="s">
        <v>70</v>
      </c>
      <c r="B97" s="3" t="s">
        <v>20</v>
      </c>
      <c r="C97" s="3" t="s">
        <v>15</v>
      </c>
      <c r="D97" s="3" t="s">
        <v>14</v>
      </c>
      <c r="E97" s="3" t="s">
        <v>8</v>
      </c>
      <c r="F97" s="3">
        <v>0</v>
      </c>
      <c r="G97" s="3">
        <v>7.7478926439715004E-2</v>
      </c>
      <c r="H97" s="3">
        <v>7.7478926439715004E-2</v>
      </c>
      <c r="I97" s="3">
        <v>2.6498415712472401E-2</v>
      </c>
      <c r="J97" s="3">
        <v>4.5616744386384198E-3</v>
      </c>
      <c r="K97" s="3">
        <v>-5.3414791417556E-2</v>
      </c>
      <c r="L97" s="3">
        <v>4.3855456435772003E-2</v>
      </c>
      <c r="M97" s="3">
        <v>2.6074111054492002E-2</v>
      </c>
      <c r="N97" s="3">
        <v>-2.2638550183871099E-3</v>
      </c>
      <c r="O97" s="3">
        <v>-3.7807724346276703E-2</v>
      </c>
      <c r="P97" s="3">
        <v>-5.2412731723987499E-2</v>
      </c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x14ac:dyDescent="0.45">
      <c r="A98" s="3" t="s">
        <v>70</v>
      </c>
      <c r="B98" s="3" t="s">
        <v>20</v>
      </c>
      <c r="C98" s="3" t="s">
        <v>16</v>
      </c>
      <c r="D98" s="3" t="s">
        <v>7</v>
      </c>
      <c r="E98" s="3" t="s">
        <v>8</v>
      </c>
      <c r="F98" s="3">
        <v>4.0913887324558997</v>
      </c>
      <c r="G98" s="3">
        <v>4.0913887324558997</v>
      </c>
      <c r="H98" s="3">
        <v>4.0913887324558997</v>
      </c>
      <c r="I98" s="3">
        <v>4.0913887324558997</v>
      </c>
      <c r="J98" s="3">
        <v>4.0913887324558997</v>
      </c>
      <c r="K98" s="3">
        <v>4.0913887324558997</v>
      </c>
      <c r="L98" s="3">
        <v>4.0913887324558997</v>
      </c>
      <c r="M98" s="3">
        <v>3.9481901268199402</v>
      </c>
      <c r="N98" s="3">
        <v>1.9270440929867301</v>
      </c>
      <c r="O98" s="3">
        <v>0</v>
      </c>
      <c r="P98" s="3">
        <v>0</v>
      </c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x14ac:dyDescent="0.45">
      <c r="A99" s="3" t="s">
        <v>70</v>
      </c>
      <c r="B99" s="3" t="s">
        <v>20</v>
      </c>
      <c r="C99" s="3" t="s">
        <v>16</v>
      </c>
      <c r="D99" s="3" t="s">
        <v>9</v>
      </c>
      <c r="E99" s="3" t="s">
        <v>8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9.3258734068513102E-15</v>
      </c>
      <c r="N99" s="3">
        <v>0</v>
      </c>
      <c r="O99" s="3">
        <v>0</v>
      </c>
      <c r="P99" s="3">
        <v>0</v>
      </c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x14ac:dyDescent="0.45">
      <c r="A100" s="3" t="s">
        <v>70</v>
      </c>
      <c r="B100" s="3" t="s">
        <v>20</v>
      </c>
      <c r="C100" s="3" t="s">
        <v>16</v>
      </c>
      <c r="D100" s="3" t="s">
        <v>10</v>
      </c>
      <c r="E100" s="3" t="s">
        <v>8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-9.3258734068513102E-15</v>
      </c>
      <c r="N100" s="3">
        <v>0</v>
      </c>
      <c r="O100" s="3">
        <v>0</v>
      </c>
      <c r="P100" s="3">
        <v>0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x14ac:dyDescent="0.45">
      <c r="A101" s="3" t="s">
        <v>70</v>
      </c>
      <c r="B101" s="3" t="s">
        <v>20</v>
      </c>
      <c r="C101" s="3" t="s">
        <v>16</v>
      </c>
      <c r="D101" s="3" t="s">
        <v>11</v>
      </c>
      <c r="E101" s="3" t="s">
        <v>8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x14ac:dyDescent="0.45">
      <c r="A102" s="3" t="s">
        <v>70</v>
      </c>
      <c r="B102" s="3" t="s">
        <v>20</v>
      </c>
      <c r="C102" s="3" t="s">
        <v>16</v>
      </c>
      <c r="D102" s="3" t="s">
        <v>12</v>
      </c>
      <c r="E102" s="3" t="s">
        <v>8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9.3258734068513102E-15</v>
      </c>
      <c r="N102" s="3">
        <v>0</v>
      </c>
      <c r="O102" s="3">
        <v>0</v>
      </c>
      <c r="P102" s="3">
        <v>0</v>
      </c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x14ac:dyDescent="0.45">
      <c r="A103" s="3" t="s">
        <v>70</v>
      </c>
      <c r="B103" s="3" t="s">
        <v>20</v>
      </c>
      <c r="C103" s="3" t="s">
        <v>16</v>
      </c>
      <c r="D103" s="3" t="s">
        <v>13</v>
      </c>
      <c r="E103" s="3" t="s">
        <v>8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-9.3258734068513102E-15</v>
      </c>
      <c r="N103" s="3">
        <v>0</v>
      </c>
      <c r="O103" s="3">
        <v>0</v>
      </c>
      <c r="P103" s="3">
        <v>0</v>
      </c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x14ac:dyDescent="0.45">
      <c r="A104" s="3" t="s">
        <v>70</v>
      </c>
      <c r="B104" s="3" t="s">
        <v>20</v>
      </c>
      <c r="C104" s="3" t="s">
        <v>16</v>
      </c>
      <c r="D104" s="3" t="s">
        <v>14</v>
      </c>
      <c r="E104" s="3" t="s">
        <v>8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x14ac:dyDescent="0.45">
      <c r="A105" s="3" t="s">
        <v>70</v>
      </c>
      <c r="B105" s="3" t="s">
        <v>20</v>
      </c>
      <c r="C105" s="3" t="s">
        <v>17</v>
      </c>
      <c r="D105" s="3" t="s">
        <v>10</v>
      </c>
      <c r="E105" s="3" t="s">
        <v>8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1.5412918686422901</v>
      </c>
      <c r="O105" s="3">
        <v>1.75357429815671</v>
      </c>
      <c r="P105" s="3">
        <v>1.2756242169818399</v>
      </c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x14ac:dyDescent="0.45">
      <c r="A106" s="3" t="s">
        <v>70</v>
      </c>
      <c r="B106" s="3" t="s">
        <v>20</v>
      </c>
      <c r="C106" s="3" t="s">
        <v>17</v>
      </c>
      <c r="D106" s="3" t="s">
        <v>11</v>
      </c>
      <c r="E106" s="3" t="s">
        <v>8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0.183093948528157</v>
      </c>
      <c r="M106" s="3">
        <v>2.4397469731392798</v>
      </c>
      <c r="N106" s="3">
        <v>1.71088406089524</v>
      </c>
      <c r="O106" s="3">
        <v>2.28246720054387</v>
      </c>
      <c r="P106" s="3">
        <v>2.7478699952313401</v>
      </c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x14ac:dyDescent="0.45">
      <c r="A107" s="3" t="s">
        <v>70</v>
      </c>
      <c r="B107" s="3" t="s">
        <v>20</v>
      </c>
      <c r="C107" s="3" t="s">
        <v>17</v>
      </c>
      <c r="D107" s="3" t="s">
        <v>12</v>
      </c>
      <c r="E107" s="3" t="s">
        <v>8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2.2904986631341901</v>
      </c>
      <c r="L107" s="3">
        <v>3.3667729580593702</v>
      </c>
      <c r="M107" s="3">
        <v>2.31103014306413</v>
      </c>
      <c r="N107" s="3">
        <v>2.6701744175436999</v>
      </c>
      <c r="O107" s="3">
        <v>2.60665938571608</v>
      </c>
      <c r="P107" s="3">
        <v>1.9319168072283801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x14ac:dyDescent="0.45">
      <c r="A108" s="3" t="s">
        <v>70</v>
      </c>
      <c r="B108" s="3" t="s">
        <v>20</v>
      </c>
      <c r="C108" s="3" t="s">
        <v>17</v>
      </c>
      <c r="D108" s="3" t="s">
        <v>13</v>
      </c>
      <c r="E108" s="3" t="s">
        <v>8</v>
      </c>
      <c r="F108" s="3">
        <v>0</v>
      </c>
      <c r="G108" s="3">
        <v>0</v>
      </c>
      <c r="H108" s="3">
        <v>0</v>
      </c>
      <c r="I108" s="3">
        <v>1.9689581005279799</v>
      </c>
      <c r="J108" s="3">
        <v>4.2612744989947</v>
      </c>
      <c r="K108" s="3">
        <v>3.8924025311558599</v>
      </c>
      <c r="L108" s="3">
        <v>3.8150425866540001</v>
      </c>
      <c r="M108" s="3">
        <v>2.6898677016528398</v>
      </c>
      <c r="N108" s="3">
        <v>1.5183522877797799</v>
      </c>
      <c r="O108" s="3">
        <v>0.72085272771304398</v>
      </c>
      <c r="P108" s="3">
        <v>0.50883271756478299</v>
      </c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x14ac:dyDescent="0.45">
      <c r="A109" s="3" t="s">
        <v>70</v>
      </c>
      <c r="B109" s="3" t="s">
        <v>20</v>
      </c>
      <c r="C109" s="3" t="s">
        <v>17</v>
      </c>
      <c r="D109" s="3" t="s">
        <v>14</v>
      </c>
      <c r="E109" s="3" t="s">
        <v>8</v>
      </c>
      <c r="F109" s="3">
        <v>0</v>
      </c>
      <c r="G109" s="3">
        <v>0</v>
      </c>
      <c r="H109" s="3">
        <v>0</v>
      </c>
      <c r="I109" s="3">
        <v>2.2912165720366899</v>
      </c>
      <c r="J109" s="3">
        <v>2.6639983260565701</v>
      </c>
      <c r="K109" s="3">
        <v>1.4689685429328401</v>
      </c>
      <c r="L109" s="3">
        <v>0.28741541618031402</v>
      </c>
      <c r="M109" s="3">
        <v>0.21168027808041401</v>
      </c>
      <c r="N109" s="3">
        <v>0.211622462940801</v>
      </c>
      <c r="O109" s="3">
        <v>0.21162246251724701</v>
      </c>
      <c r="P109" s="3">
        <v>0.21162246251302799</v>
      </c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x14ac:dyDescent="0.45">
      <c r="A110" s="3" t="s">
        <v>70</v>
      </c>
      <c r="B110" s="3" t="s">
        <v>20</v>
      </c>
      <c r="C110" s="3" t="s">
        <v>18</v>
      </c>
      <c r="D110" s="3" t="s">
        <v>7</v>
      </c>
      <c r="E110" s="3" t="s">
        <v>8</v>
      </c>
      <c r="F110" s="3">
        <v>4.1084481612124204</v>
      </c>
      <c r="G110" s="3">
        <v>5.0845510331495198</v>
      </c>
      <c r="H110" s="3">
        <v>5.0845510331495198</v>
      </c>
      <c r="I110" s="3">
        <v>5.9197020332736399</v>
      </c>
      <c r="J110" s="3">
        <v>6.3658258671938999</v>
      </c>
      <c r="K110" s="3">
        <v>5.86475312253088</v>
      </c>
      <c r="L110" s="3">
        <v>4.4665105541460202</v>
      </c>
      <c r="M110" s="3">
        <v>1.9652227741469299</v>
      </c>
      <c r="N110" s="3">
        <v>0.95919163380642902</v>
      </c>
      <c r="O110" s="3">
        <v>0</v>
      </c>
      <c r="P110" s="3">
        <v>0</v>
      </c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x14ac:dyDescent="0.45">
      <c r="A111" s="3" t="s">
        <v>70</v>
      </c>
      <c r="B111" s="3" t="s">
        <v>20</v>
      </c>
      <c r="C111" s="3" t="s">
        <v>18</v>
      </c>
      <c r="D111" s="3" t="s">
        <v>9</v>
      </c>
      <c r="E111" s="3" t="s">
        <v>8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4.3665996079747402E-16</v>
      </c>
      <c r="P111" s="3">
        <v>4.3665996079747402E-16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x14ac:dyDescent="0.45">
      <c r="A112" s="3" t="s">
        <v>70</v>
      </c>
      <c r="B112" s="3" t="s">
        <v>20</v>
      </c>
      <c r="C112" s="3" t="s">
        <v>18</v>
      </c>
      <c r="D112" s="3" t="s">
        <v>10</v>
      </c>
      <c r="E112" s="3" t="s">
        <v>8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-9.9920072216264108E-16</v>
      </c>
      <c r="O112" s="3">
        <v>0</v>
      </c>
      <c r="P112" s="3">
        <v>-4.3665996079747402E-16</v>
      </c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x14ac:dyDescent="0.45">
      <c r="A113" s="3" t="s">
        <v>70</v>
      </c>
      <c r="B113" s="3" t="s">
        <v>20</v>
      </c>
      <c r="C113" s="3" t="s">
        <v>18</v>
      </c>
      <c r="D113" s="3" t="s">
        <v>11</v>
      </c>
      <c r="E113" s="3" t="s">
        <v>8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-9.9920072216264108E-16</v>
      </c>
      <c r="O113" s="3">
        <v>-4.3665996079747402E-16</v>
      </c>
      <c r="P113" s="3">
        <v>0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x14ac:dyDescent="0.45">
      <c r="A114" s="3" t="s">
        <v>70</v>
      </c>
      <c r="B114" s="3" t="s">
        <v>20</v>
      </c>
      <c r="C114" s="3" t="s">
        <v>18</v>
      </c>
      <c r="D114" s="3" t="s">
        <v>12</v>
      </c>
      <c r="E114" s="3" t="s">
        <v>8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-1.06581410364015E-14</v>
      </c>
      <c r="L114" s="3">
        <v>0</v>
      </c>
      <c r="M114" s="3">
        <v>0</v>
      </c>
      <c r="N114" s="3">
        <v>1.9984014443252802E-15</v>
      </c>
      <c r="O114" s="3">
        <v>1.74663984318989E-15</v>
      </c>
      <c r="P114" s="3">
        <v>2.6199597647848399E-15</v>
      </c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x14ac:dyDescent="0.45">
      <c r="A115" s="3" t="s">
        <v>70</v>
      </c>
      <c r="B115" s="3" t="s">
        <v>20</v>
      </c>
      <c r="C115" s="3" t="s">
        <v>18</v>
      </c>
      <c r="D115" s="3" t="s">
        <v>13</v>
      </c>
      <c r="E115" s="3" t="s">
        <v>8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1.06581410364015E-14</v>
      </c>
      <c r="L115" s="3">
        <v>-9.7699626167013807E-15</v>
      </c>
      <c r="M115" s="3">
        <v>0</v>
      </c>
      <c r="N115" s="3">
        <v>-1.9984014443252802E-15</v>
      </c>
      <c r="O115" s="3">
        <v>9.60651913754438E-15</v>
      </c>
      <c r="P115" s="3">
        <v>-2.6199597647848399E-15</v>
      </c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x14ac:dyDescent="0.45">
      <c r="A116" s="3" t="s">
        <v>70</v>
      </c>
      <c r="B116" s="3" t="s">
        <v>20</v>
      </c>
      <c r="C116" s="3" t="s">
        <v>18</v>
      </c>
      <c r="D116" s="3" t="s">
        <v>14</v>
      </c>
      <c r="E116" s="3" t="s">
        <v>8</v>
      </c>
      <c r="F116" s="3">
        <v>0</v>
      </c>
      <c r="G116" s="3">
        <v>0</v>
      </c>
      <c r="H116" s="3">
        <v>0</v>
      </c>
      <c r="I116" s="3">
        <v>0</v>
      </c>
      <c r="J116" s="3">
        <v>1.06581410364015E-14</v>
      </c>
      <c r="K116" s="3">
        <v>0</v>
      </c>
      <c r="L116" s="3">
        <v>0</v>
      </c>
      <c r="M116" s="3">
        <v>-9.9920072216264104E-15</v>
      </c>
      <c r="N116" s="3">
        <v>1.18793863634892E-14</v>
      </c>
      <c r="O116" s="3">
        <v>-1.13531589807343E-14</v>
      </c>
      <c r="P116" s="3">
        <v>0</v>
      </c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x14ac:dyDescent="0.45">
      <c r="A117" s="3" t="s">
        <v>70</v>
      </c>
      <c r="B117" s="3" t="s">
        <v>20</v>
      </c>
      <c r="C117" s="3" t="s">
        <v>19</v>
      </c>
      <c r="D117" s="3" t="s">
        <v>10</v>
      </c>
      <c r="E117" s="3" t="s">
        <v>8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1.0171830777797499</v>
      </c>
      <c r="N117" s="3">
        <v>1.9123679529616</v>
      </c>
      <c r="O117" s="3">
        <v>1.75744348225197</v>
      </c>
      <c r="P117" s="3">
        <v>2.4164758851071002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x14ac:dyDescent="0.45">
      <c r="A118" s="3" t="s">
        <v>70</v>
      </c>
      <c r="B118" s="3" t="s">
        <v>20</v>
      </c>
      <c r="C118" s="3" t="s">
        <v>19</v>
      </c>
      <c r="D118" s="3" t="s">
        <v>11</v>
      </c>
      <c r="E118" s="3" t="s">
        <v>8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0.48206636380839701</v>
      </c>
      <c r="L118" s="3">
        <v>2.87116613150758</v>
      </c>
      <c r="M118" s="3">
        <v>4.5381807977426298</v>
      </c>
      <c r="N118" s="3">
        <v>6.3925496970501596</v>
      </c>
      <c r="O118" s="3">
        <v>8.6838503563146201</v>
      </c>
      <c r="P118" s="3">
        <v>10.470651792352401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x14ac:dyDescent="0.45">
      <c r="A119" s="3" t="s">
        <v>70</v>
      </c>
      <c r="B119" s="3" t="s">
        <v>20</v>
      </c>
      <c r="C119" s="3" t="s">
        <v>19</v>
      </c>
      <c r="D119" s="3" t="s">
        <v>12</v>
      </c>
      <c r="E119" s="3" t="s">
        <v>8</v>
      </c>
      <c r="F119" s="3">
        <v>0</v>
      </c>
      <c r="G119" s="3">
        <v>0</v>
      </c>
      <c r="H119" s="3">
        <v>0</v>
      </c>
      <c r="I119" s="3">
        <v>0</v>
      </c>
      <c r="J119" s="3">
        <v>1.4105728416807</v>
      </c>
      <c r="K119" s="3">
        <v>5.7074485053462096</v>
      </c>
      <c r="L119" s="3">
        <v>7.3378042368395597</v>
      </c>
      <c r="M119" s="3">
        <v>8.8522721438190306</v>
      </c>
      <c r="N119" s="3">
        <v>10.0164054228767</v>
      </c>
      <c r="O119" s="3">
        <v>9.5619254527698097</v>
      </c>
      <c r="P119" s="3">
        <v>7.0387172659277999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x14ac:dyDescent="0.45">
      <c r="A120" s="3" t="s">
        <v>70</v>
      </c>
      <c r="B120" s="3" t="s">
        <v>20</v>
      </c>
      <c r="C120" s="3" t="s">
        <v>19</v>
      </c>
      <c r="D120" s="3" t="s">
        <v>13</v>
      </c>
      <c r="E120" s="3" t="s">
        <v>8</v>
      </c>
      <c r="F120" s="3">
        <v>0</v>
      </c>
      <c r="G120" s="3">
        <v>0</v>
      </c>
      <c r="H120" s="3">
        <v>0</v>
      </c>
      <c r="I120" s="3">
        <v>6.9261443965734202</v>
      </c>
      <c r="J120" s="3">
        <v>12.3716744536741</v>
      </c>
      <c r="K120" s="3">
        <v>13.9810266234129</v>
      </c>
      <c r="L120" s="3">
        <v>13.6483584863223</v>
      </c>
      <c r="M120" s="3">
        <v>9.50077528260503</v>
      </c>
      <c r="N120" s="3">
        <v>5.3651673572067002</v>
      </c>
      <c r="O120" s="3">
        <v>2.72052584700829</v>
      </c>
      <c r="P120" s="3">
        <v>2.1218365237502601</v>
      </c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x14ac:dyDescent="0.45">
      <c r="A121" s="3" t="s">
        <v>70</v>
      </c>
      <c r="B121" s="3" t="s">
        <v>20</v>
      </c>
      <c r="C121" s="3" t="s">
        <v>19</v>
      </c>
      <c r="D121" s="3" t="s">
        <v>14</v>
      </c>
      <c r="E121" s="3" t="s">
        <v>8</v>
      </c>
      <c r="F121" s="3">
        <v>0</v>
      </c>
      <c r="G121" s="3">
        <v>0</v>
      </c>
      <c r="H121" s="3">
        <v>0</v>
      </c>
      <c r="I121" s="3">
        <v>7.2387843596048702</v>
      </c>
      <c r="J121" s="3">
        <v>9.4018592393955203</v>
      </c>
      <c r="K121" s="3">
        <v>5.0284814124730204</v>
      </c>
      <c r="L121" s="3">
        <v>0.93687695398485704</v>
      </c>
      <c r="M121" s="3">
        <v>0.68223135376358701</v>
      </c>
      <c r="N121" s="3">
        <v>0.72535072692028602</v>
      </c>
      <c r="O121" s="3">
        <v>0.76211522770954698</v>
      </c>
      <c r="P121" s="3">
        <v>0.767586646926119</v>
      </c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x14ac:dyDescent="0.45">
      <c r="A122" s="3" t="s">
        <v>71</v>
      </c>
      <c r="B122" s="3" t="s">
        <v>27</v>
      </c>
      <c r="C122" s="3" t="s">
        <v>6</v>
      </c>
      <c r="D122" s="3" t="s">
        <v>7</v>
      </c>
      <c r="E122" s="3" t="s">
        <v>8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x14ac:dyDescent="0.45">
      <c r="A123" s="3" t="s">
        <v>71</v>
      </c>
      <c r="B123" s="3" t="s">
        <v>27</v>
      </c>
      <c r="C123" s="3" t="s">
        <v>6</v>
      </c>
      <c r="D123" s="3" t="s">
        <v>9</v>
      </c>
      <c r="E123" s="3" t="s">
        <v>8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3.9537626647800604E-3</v>
      </c>
      <c r="P123" s="3">
        <v>2.15938732833834E-2</v>
      </c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x14ac:dyDescent="0.45">
      <c r="A124" s="3" t="s">
        <v>71</v>
      </c>
      <c r="B124" s="3" t="s">
        <v>27</v>
      </c>
      <c r="C124" s="3" t="s">
        <v>6</v>
      </c>
      <c r="D124" s="3" t="s">
        <v>10</v>
      </c>
      <c r="E124" s="3" t="s">
        <v>8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2.33803571978409E-3</v>
      </c>
      <c r="M124" s="3">
        <v>2.56307030372343E-2</v>
      </c>
      <c r="N124" s="3">
        <v>5.8451642432906403E-2</v>
      </c>
      <c r="O124" s="3">
        <v>8.2480038640983494E-2</v>
      </c>
      <c r="P124" s="3">
        <v>8.34062537246167E-2</v>
      </c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x14ac:dyDescent="0.45">
      <c r="A125" s="3" t="s">
        <v>71</v>
      </c>
      <c r="B125" s="3" t="s">
        <v>27</v>
      </c>
      <c r="C125" s="3" t="s">
        <v>6</v>
      </c>
      <c r="D125" s="3" t="s">
        <v>11</v>
      </c>
      <c r="E125" s="3" t="s">
        <v>8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2.52660826521326E-2</v>
      </c>
      <c r="L125" s="3">
        <v>6.1620653210614801E-2</v>
      </c>
      <c r="M125" s="3">
        <v>7.3435123746603298E-2</v>
      </c>
      <c r="N125" s="3">
        <v>0.154110426630406</v>
      </c>
      <c r="O125" s="3">
        <v>0.29220052840899902</v>
      </c>
      <c r="P125" s="3">
        <v>0.48438879625279702</v>
      </c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x14ac:dyDescent="0.45">
      <c r="A126" s="3" t="s">
        <v>71</v>
      </c>
      <c r="B126" s="3" t="s">
        <v>27</v>
      </c>
      <c r="C126" s="3" t="s">
        <v>6</v>
      </c>
      <c r="D126" s="3" t="s">
        <v>12</v>
      </c>
      <c r="E126" s="3" t="s">
        <v>8</v>
      </c>
      <c r="F126" s="3">
        <v>0</v>
      </c>
      <c r="G126" s="3">
        <v>0</v>
      </c>
      <c r="H126" s="3">
        <v>0</v>
      </c>
      <c r="I126" s="3">
        <v>0</v>
      </c>
      <c r="J126" s="3">
        <v>3.2566560244371497E-2</v>
      </c>
      <c r="K126" s="3">
        <v>6.24751180345548E-2</v>
      </c>
      <c r="L126" s="3">
        <v>0.20486723283726599</v>
      </c>
      <c r="M126" s="3">
        <v>0.408454991533585</v>
      </c>
      <c r="N126" s="3">
        <v>0.53718495525895305</v>
      </c>
      <c r="O126" s="3">
        <v>0.59344463186348995</v>
      </c>
      <c r="P126" s="3">
        <v>0.58800203967790399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x14ac:dyDescent="0.45">
      <c r="A127" s="3" t="s">
        <v>71</v>
      </c>
      <c r="B127" s="3" t="s">
        <v>27</v>
      </c>
      <c r="C127" s="3" t="s">
        <v>6</v>
      </c>
      <c r="D127" s="3" t="s">
        <v>13</v>
      </c>
      <c r="E127" s="3" t="s">
        <v>8</v>
      </c>
      <c r="F127" s="3">
        <v>0</v>
      </c>
      <c r="G127" s="3">
        <v>0</v>
      </c>
      <c r="H127" s="3">
        <v>0</v>
      </c>
      <c r="I127" s="3">
        <v>5.4587818380680497E-2</v>
      </c>
      <c r="J127" s="3">
        <v>0.32657423597816998</v>
      </c>
      <c r="K127" s="3">
        <v>0.582783903519975</v>
      </c>
      <c r="L127" s="3">
        <v>0.65391614188582403</v>
      </c>
      <c r="M127" s="3">
        <v>0.63594959690471098</v>
      </c>
      <c r="N127" s="3">
        <v>0.59627785543734102</v>
      </c>
      <c r="O127" s="3">
        <v>0.56208788659390796</v>
      </c>
      <c r="P127" s="3">
        <v>0.516359247439651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x14ac:dyDescent="0.45">
      <c r="A128" s="3" t="s">
        <v>71</v>
      </c>
      <c r="B128" s="3" t="s">
        <v>27</v>
      </c>
      <c r="C128" s="3" t="s">
        <v>6</v>
      </c>
      <c r="D128" s="3" t="s">
        <v>14</v>
      </c>
      <c r="E128" s="3" t="s">
        <v>8</v>
      </c>
      <c r="F128" s="3">
        <v>0</v>
      </c>
      <c r="G128" s="3">
        <v>2.7942301030593E-2</v>
      </c>
      <c r="H128" s="3">
        <v>2.7942301030593E-2</v>
      </c>
      <c r="I128" s="3">
        <v>0.33835272697369301</v>
      </c>
      <c r="J128" s="3">
        <v>0.34506629604813699</v>
      </c>
      <c r="K128" s="3">
        <v>0.28798387393196201</v>
      </c>
      <c r="L128" s="3">
        <v>0.26476105784330201</v>
      </c>
      <c r="M128" s="3">
        <v>0.27449345769795203</v>
      </c>
      <c r="N128" s="3">
        <v>0.27432915756700599</v>
      </c>
      <c r="O128" s="3">
        <v>0.248554792696321</v>
      </c>
      <c r="P128" s="3">
        <v>0.21800631068889101</v>
      </c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x14ac:dyDescent="0.45">
      <c r="A129" s="3" t="s">
        <v>71</v>
      </c>
      <c r="B129" s="3" t="s">
        <v>27</v>
      </c>
      <c r="C129" s="3" t="s">
        <v>15</v>
      </c>
      <c r="D129" s="3" t="s">
        <v>7</v>
      </c>
      <c r="E129" s="3" t="s">
        <v>8</v>
      </c>
      <c r="F129" s="3">
        <v>0.162428427670641</v>
      </c>
      <c r="G129" s="3">
        <v>0.185775030185896</v>
      </c>
      <c r="H129" s="3">
        <v>0.185775030185896</v>
      </c>
      <c r="I129" s="3">
        <v>0.20610070235972799</v>
      </c>
      <c r="J129" s="3">
        <v>0.230192489719758</v>
      </c>
      <c r="K129" s="3">
        <v>0.25161030401362</v>
      </c>
      <c r="L129" s="3">
        <v>0.26778683573588102</v>
      </c>
      <c r="M129" s="3">
        <v>0.27369198505151698</v>
      </c>
      <c r="N129" s="3">
        <v>0.279233704229224</v>
      </c>
      <c r="O129" s="3">
        <v>0.284594748834258</v>
      </c>
      <c r="P129" s="3">
        <v>0.28062728294915101</v>
      </c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x14ac:dyDescent="0.45">
      <c r="A130" s="3" t="s">
        <v>71</v>
      </c>
      <c r="B130" s="3" t="s">
        <v>27</v>
      </c>
      <c r="C130" s="3" t="s">
        <v>15</v>
      </c>
      <c r="D130" s="3" t="s">
        <v>9</v>
      </c>
      <c r="E130" s="3" t="s">
        <v>8</v>
      </c>
      <c r="F130" s="3">
        <v>0</v>
      </c>
      <c r="G130" s="3">
        <v>5.2120854635895298E-4</v>
      </c>
      <c r="H130" s="3">
        <v>5.2120854635895298E-4</v>
      </c>
      <c r="I130" s="3">
        <v>-3.0601737816435298E-4</v>
      </c>
      <c r="J130" s="3">
        <v>-3.0034553555373399E-3</v>
      </c>
      <c r="K130" s="3">
        <v>-4.90889816132545E-4</v>
      </c>
      <c r="L130" s="3">
        <v>3.5763475363659899E-3</v>
      </c>
      <c r="M130" s="3">
        <v>1.5361743473942001E-2</v>
      </c>
      <c r="N130" s="3">
        <v>2.9439409375598601E-2</v>
      </c>
      <c r="O130" s="3">
        <v>3.8933484188265102E-2</v>
      </c>
      <c r="P130" s="3">
        <v>5.0673107847009E-2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x14ac:dyDescent="0.45">
      <c r="A131" s="3" t="s">
        <v>71</v>
      </c>
      <c r="B131" s="3" t="s">
        <v>27</v>
      </c>
      <c r="C131" s="3" t="s">
        <v>15</v>
      </c>
      <c r="D131" s="3" t="s">
        <v>10</v>
      </c>
      <c r="E131" s="3" t="s">
        <v>8</v>
      </c>
      <c r="F131" s="3">
        <v>0</v>
      </c>
      <c r="G131" s="3">
        <v>-1.6599720728962301E-3</v>
      </c>
      <c r="H131" s="3">
        <v>-1.6599720728962301E-3</v>
      </c>
      <c r="I131" s="3">
        <v>-2.2488225334388299E-4</v>
      </c>
      <c r="J131" s="3">
        <v>3.7635369790222899E-3</v>
      </c>
      <c r="K131" s="3">
        <v>1.0504043996820099E-3</v>
      </c>
      <c r="L131" s="3">
        <v>2.5649078915079799E-4</v>
      </c>
      <c r="M131" s="3">
        <v>4.6247940815707404E-3</v>
      </c>
      <c r="N131" s="3">
        <v>6.3662354038360198E-3</v>
      </c>
      <c r="O131" s="3">
        <v>6.6096581315514E-3</v>
      </c>
      <c r="P131" s="3">
        <v>1.3013294791698301E-2</v>
      </c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x14ac:dyDescent="0.45">
      <c r="A132" s="3" t="s">
        <v>71</v>
      </c>
      <c r="B132" s="3" t="s">
        <v>27</v>
      </c>
      <c r="C132" s="3" t="s">
        <v>15</v>
      </c>
      <c r="D132" s="3" t="s">
        <v>11</v>
      </c>
      <c r="E132" s="3" t="s">
        <v>8</v>
      </c>
      <c r="F132" s="3">
        <v>0</v>
      </c>
      <c r="G132" s="3">
        <v>-3.4932639822410398E-4</v>
      </c>
      <c r="H132" s="3">
        <v>-3.4932639822410398E-4</v>
      </c>
      <c r="I132" s="3">
        <v>3.4607400224698202E-3</v>
      </c>
      <c r="J132" s="3">
        <v>-1.5864318466098401E-3</v>
      </c>
      <c r="K132" s="3">
        <v>-1.23954174407909E-3</v>
      </c>
      <c r="L132" s="3">
        <v>-2.08861083362161E-3</v>
      </c>
      <c r="M132" s="3">
        <v>4.8141933202520701E-3</v>
      </c>
      <c r="N132" s="3">
        <v>1.1604719673403201E-2</v>
      </c>
      <c r="O132" s="3">
        <v>2.1366915888038299E-2</v>
      </c>
      <c r="P132" s="3">
        <v>2.41766042675041E-2</v>
      </c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x14ac:dyDescent="0.45">
      <c r="A133" s="3" t="s">
        <v>71</v>
      </c>
      <c r="B133" s="3" t="s">
        <v>27</v>
      </c>
      <c r="C133" s="3" t="s">
        <v>15</v>
      </c>
      <c r="D133" s="3" t="s">
        <v>12</v>
      </c>
      <c r="E133" s="3" t="s">
        <v>8</v>
      </c>
      <c r="F133" s="3">
        <v>0</v>
      </c>
      <c r="G133" s="3">
        <v>1.9184503988543501E-3</v>
      </c>
      <c r="H133" s="3">
        <v>1.9184503988543501E-3</v>
      </c>
      <c r="I133" s="3">
        <v>-4.0186547526660499E-4</v>
      </c>
      <c r="J133" s="3">
        <v>-2.3724430507765502E-3</v>
      </c>
      <c r="K133" s="3">
        <v>2.9406206354600198E-3</v>
      </c>
      <c r="L133" s="3">
        <v>1.32812130056436E-2</v>
      </c>
      <c r="M133" s="3">
        <v>1.23002830446809E-2</v>
      </c>
      <c r="N133" s="3">
        <v>4.68828469143501E-3</v>
      </c>
      <c r="O133" s="3">
        <v>-2.6411390397884601E-3</v>
      </c>
      <c r="P133" s="3">
        <v>-7.7808699486825996E-3</v>
      </c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x14ac:dyDescent="0.45">
      <c r="A134" s="3" t="s">
        <v>71</v>
      </c>
      <c r="B134" s="3" t="s">
        <v>27</v>
      </c>
      <c r="C134" s="3" t="s">
        <v>15</v>
      </c>
      <c r="D134" s="3" t="s">
        <v>13</v>
      </c>
      <c r="E134" s="3" t="s">
        <v>8</v>
      </c>
      <c r="F134" s="3">
        <v>0</v>
      </c>
      <c r="G134" s="3">
        <v>6.3962095584310695E-4</v>
      </c>
      <c r="H134" s="3">
        <v>6.3962095584310695E-4</v>
      </c>
      <c r="I134" s="3">
        <v>4.9887110692813097E-3</v>
      </c>
      <c r="J134" s="3">
        <v>1.6043310488028501E-2</v>
      </c>
      <c r="K134" s="3">
        <v>5.4284359571932202E-3</v>
      </c>
      <c r="L134" s="3">
        <v>-7.5242142566221996E-3</v>
      </c>
      <c r="M134" s="3">
        <v>-1.6284979388774198E-2</v>
      </c>
      <c r="N134" s="3">
        <v>-2.08866175497316E-2</v>
      </c>
      <c r="O134" s="3">
        <v>-2.6044665171000798E-2</v>
      </c>
      <c r="P134" s="3">
        <v>-3.29286444806796E-2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x14ac:dyDescent="0.45">
      <c r="A135" s="3" t="s">
        <v>71</v>
      </c>
      <c r="B135" s="3" t="s">
        <v>27</v>
      </c>
      <c r="C135" s="3" t="s">
        <v>15</v>
      </c>
      <c r="D135" s="3" t="s">
        <v>14</v>
      </c>
      <c r="E135" s="3" t="s">
        <v>8</v>
      </c>
      <c r="F135" s="3">
        <v>0</v>
      </c>
      <c r="G135" s="3">
        <v>-1.0919397025918899E-3</v>
      </c>
      <c r="H135" s="3">
        <v>-1.0919397025918899E-3</v>
      </c>
      <c r="I135" s="3">
        <v>2.5353615160141302E-3</v>
      </c>
      <c r="J135" s="3">
        <v>-1.09955938176105E-2</v>
      </c>
      <c r="K135" s="3">
        <v>-1.3500523096121601E-2</v>
      </c>
      <c r="L135" s="3">
        <v>-1.9003683474716E-2</v>
      </c>
      <c r="M135" s="3">
        <v>-2.57443556033214E-2</v>
      </c>
      <c r="N135" s="3">
        <v>-3.4198045591654402E-2</v>
      </c>
      <c r="O135" s="3">
        <v>-3.6252906907324203E-2</v>
      </c>
      <c r="P135" s="3">
        <v>-3.4752833498017201E-2</v>
      </c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x14ac:dyDescent="0.45">
      <c r="A136" s="3" t="s">
        <v>71</v>
      </c>
      <c r="B136" s="3" t="s">
        <v>27</v>
      </c>
      <c r="C136" s="3" t="s">
        <v>16</v>
      </c>
      <c r="D136" s="3" t="s">
        <v>7</v>
      </c>
      <c r="E136" s="3" t="s">
        <v>8</v>
      </c>
      <c r="F136" s="3">
        <v>9.3635567521425198E-2</v>
      </c>
      <c r="G136" s="3">
        <v>6.0876906322308903E-2</v>
      </c>
      <c r="H136" s="3">
        <v>6.0876906322308903E-2</v>
      </c>
      <c r="I136" s="3">
        <v>4.3466655043585697E-2</v>
      </c>
      <c r="J136" s="3">
        <v>4.1249889700222003E-2</v>
      </c>
      <c r="K136" s="3">
        <v>3.5443487980333602E-2</v>
      </c>
      <c r="L136" s="3">
        <v>3.5443487980333602E-2</v>
      </c>
      <c r="M136" s="3">
        <v>3.5443487980333602E-2</v>
      </c>
      <c r="N136" s="3">
        <v>3.5443487980333602E-2</v>
      </c>
      <c r="O136" s="3">
        <v>3.5443487980333602E-2</v>
      </c>
      <c r="P136" s="3">
        <v>3.5443487980333602E-2</v>
      </c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x14ac:dyDescent="0.45">
      <c r="A137" s="3" t="s">
        <v>71</v>
      </c>
      <c r="B137" s="3" t="s">
        <v>27</v>
      </c>
      <c r="C137" s="3" t="s">
        <v>16</v>
      </c>
      <c r="D137" s="3" t="s">
        <v>9</v>
      </c>
      <c r="E137" s="3" t="s">
        <v>8</v>
      </c>
      <c r="F137" s="3">
        <v>0</v>
      </c>
      <c r="G137" s="3">
        <v>-5.23334776634174E-5</v>
      </c>
      <c r="H137" s="3">
        <v>-5.23334776634174E-5</v>
      </c>
      <c r="I137" s="3">
        <v>-2.5750004362307101E-5</v>
      </c>
      <c r="J137" s="3">
        <v>2.5165339018293199E-5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x14ac:dyDescent="0.45">
      <c r="A138" s="3" t="s">
        <v>71</v>
      </c>
      <c r="B138" s="3" t="s">
        <v>27</v>
      </c>
      <c r="C138" s="3" t="s">
        <v>16</v>
      </c>
      <c r="D138" s="3" t="s">
        <v>10</v>
      </c>
      <c r="E138" s="3" t="s">
        <v>8</v>
      </c>
      <c r="F138" s="3">
        <v>0</v>
      </c>
      <c r="G138" s="3">
        <v>-1.01829458037939E-6</v>
      </c>
      <c r="H138" s="3">
        <v>-1.01829458037939E-6</v>
      </c>
      <c r="I138" s="3">
        <v>2.7548368759094901E-7</v>
      </c>
      <c r="J138" s="3">
        <v>-1.2315118997852099E-5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x14ac:dyDescent="0.45">
      <c r="A139" s="3" t="s">
        <v>71</v>
      </c>
      <c r="B139" s="3" t="s">
        <v>27</v>
      </c>
      <c r="C139" s="3" t="s">
        <v>16</v>
      </c>
      <c r="D139" s="3" t="s">
        <v>11</v>
      </c>
      <c r="E139" s="3" t="s">
        <v>8</v>
      </c>
      <c r="F139" s="3">
        <v>0</v>
      </c>
      <c r="G139" s="3">
        <v>-2.08002054449055E-5</v>
      </c>
      <c r="H139" s="3">
        <v>-2.08002054449055E-5</v>
      </c>
      <c r="I139" s="3">
        <v>4.3053600695813799E-6</v>
      </c>
      <c r="J139" s="3">
        <v>2.9735181284386298E-5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x14ac:dyDescent="0.45">
      <c r="A140" s="3" t="s">
        <v>71</v>
      </c>
      <c r="B140" s="3" t="s">
        <v>27</v>
      </c>
      <c r="C140" s="3" t="s">
        <v>16</v>
      </c>
      <c r="D140" s="3" t="s">
        <v>12</v>
      </c>
      <c r="E140" s="3" t="s">
        <v>8</v>
      </c>
      <c r="F140" s="3">
        <v>0</v>
      </c>
      <c r="G140" s="3">
        <v>-5.2416535405996898E-6</v>
      </c>
      <c r="H140" s="3">
        <v>-5.2416535405996898E-6</v>
      </c>
      <c r="I140" s="3">
        <v>5.30936289445047E-5</v>
      </c>
      <c r="J140" s="3">
        <v>5.5357569340204504E-4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x14ac:dyDescent="0.45">
      <c r="A141" s="3" t="s">
        <v>71</v>
      </c>
      <c r="B141" s="3" t="s">
        <v>27</v>
      </c>
      <c r="C141" s="3" t="s">
        <v>16</v>
      </c>
      <c r="D141" s="3" t="s">
        <v>13</v>
      </c>
      <c r="E141" s="3" t="s">
        <v>8</v>
      </c>
      <c r="F141" s="3">
        <v>0</v>
      </c>
      <c r="G141" s="3">
        <v>2.8564569421529702E-4</v>
      </c>
      <c r="H141" s="3">
        <v>2.8564569421529702E-4</v>
      </c>
      <c r="I141" s="3">
        <v>-1.3865710599064601E-3</v>
      </c>
      <c r="J141" s="3">
        <v>-2.7373455879526501E-3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x14ac:dyDescent="0.45">
      <c r="A142" s="3" t="s">
        <v>71</v>
      </c>
      <c r="B142" s="3" t="s">
        <v>27</v>
      </c>
      <c r="C142" s="3" t="s">
        <v>16</v>
      </c>
      <c r="D142" s="3" t="s">
        <v>14</v>
      </c>
      <c r="E142" s="3" t="s">
        <v>8</v>
      </c>
      <c r="F142" s="3">
        <v>0</v>
      </c>
      <c r="G142" s="3">
        <v>3.3250533500705898E-3</v>
      </c>
      <c r="H142" s="3">
        <v>3.3250533500705898E-3</v>
      </c>
      <c r="I142" s="3">
        <v>-2.9779295255438001E-3</v>
      </c>
      <c r="J142" s="3">
        <v>-1.4137266539681699E-3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x14ac:dyDescent="0.45">
      <c r="A143" s="3" t="s">
        <v>71</v>
      </c>
      <c r="B143" s="3" t="s">
        <v>27</v>
      </c>
      <c r="C143" s="3" t="s">
        <v>17</v>
      </c>
      <c r="D143" s="3" t="s">
        <v>7</v>
      </c>
      <c r="E143" s="3" t="s">
        <v>8</v>
      </c>
      <c r="F143" s="3">
        <v>5.2405359408690599E-3</v>
      </c>
      <c r="G143" s="3">
        <v>6.2273122298157702E-3</v>
      </c>
      <c r="H143" s="3">
        <v>6.2273122298157702E-3</v>
      </c>
      <c r="I143" s="3">
        <v>8.6976861144941898E-3</v>
      </c>
      <c r="J143" s="3">
        <v>1.1915862086173E-2</v>
      </c>
      <c r="K143" s="3">
        <v>1.7848383049339601E-2</v>
      </c>
      <c r="L143" s="3">
        <v>8.1321432469487606E-5</v>
      </c>
      <c r="M143" s="3">
        <v>0</v>
      </c>
      <c r="N143" s="3">
        <v>0</v>
      </c>
      <c r="O143" s="3">
        <v>0</v>
      </c>
      <c r="P143" s="3">
        <v>0</v>
      </c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x14ac:dyDescent="0.45">
      <c r="A144" s="3" t="s">
        <v>71</v>
      </c>
      <c r="B144" s="3" t="s">
        <v>27</v>
      </c>
      <c r="C144" s="3" t="s">
        <v>17</v>
      </c>
      <c r="D144" s="3" t="s">
        <v>9</v>
      </c>
      <c r="E144" s="3" t="s">
        <v>8</v>
      </c>
      <c r="F144" s="3">
        <v>0</v>
      </c>
      <c r="G144" s="3">
        <v>2.1340223006830101E-4</v>
      </c>
      <c r="H144" s="3">
        <v>2.1340223006830101E-4</v>
      </c>
      <c r="I144" s="3">
        <v>4.4885264497739898E-4</v>
      </c>
      <c r="J144" s="3">
        <v>7.9866068739319399E-4</v>
      </c>
      <c r="K144" s="3">
        <v>2.20910531779388E-3</v>
      </c>
      <c r="L144" s="3">
        <v>4.3471192772391197E-3</v>
      </c>
      <c r="M144" s="3">
        <v>0</v>
      </c>
      <c r="N144" s="3">
        <v>0</v>
      </c>
      <c r="O144" s="3">
        <v>0</v>
      </c>
      <c r="P144" s="3">
        <v>8.1207319788089295E-4</v>
      </c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x14ac:dyDescent="0.45">
      <c r="A145" s="3" t="s">
        <v>71</v>
      </c>
      <c r="B145" s="3" t="s">
        <v>27</v>
      </c>
      <c r="C145" s="3" t="s">
        <v>17</v>
      </c>
      <c r="D145" s="3" t="s">
        <v>10</v>
      </c>
      <c r="E145" s="3" t="s">
        <v>8</v>
      </c>
      <c r="F145" s="3">
        <v>0</v>
      </c>
      <c r="G145" s="3">
        <v>3.1087393015887998E-5</v>
      </c>
      <c r="H145" s="3">
        <v>3.1087393015887998E-5</v>
      </c>
      <c r="I145" s="3">
        <v>3.8716130127341303E-4</v>
      </c>
      <c r="J145" s="3">
        <v>1.4212996148125E-3</v>
      </c>
      <c r="K145" s="3">
        <v>2.6990186228608398E-3</v>
      </c>
      <c r="L145" s="3">
        <v>3.5991638547319101E-3</v>
      </c>
      <c r="M145" s="3">
        <v>2.1837123606545199E-2</v>
      </c>
      <c r="N145" s="3">
        <v>3.53953520945825E-2</v>
      </c>
      <c r="O145" s="3">
        <v>7.9391699376791205E-2</v>
      </c>
      <c r="P145" s="3">
        <v>0.18329682135764799</v>
      </c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x14ac:dyDescent="0.45">
      <c r="A146" s="3" t="s">
        <v>71</v>
      </c>
      <c r="B146" s="3" t="s">
        <v>27</v>
      </c>
      <c r="C146" s="3" t="s">
        <v>17</v>
      </c>
      <c r="D146" s="3" t="s">
        <v>11</v>
      </c>
      <c r="E146" s="3" t="s">
        <v>8</v>
      </c>
      <c r="F146" s="3">
        <v>0</v>
      </c>
      <c r="G146" s="3">
        <v>5.9590796342755597E-5</v>
      </c>
      <c r="H146" s="3">
        <v>5.9590796342755597E-5</v>
      </c>
      <c r="I146" s="3">
        <v>5.0970087122603595E-4</v>
      </c>
      <c r="J146" s="3">
        <v>4.19270468998564E-3</v>
      </c>
      <c r="K146" s="3">
        <v>2.5565256519910502E-2</v>
      </c>
      <c r="L146" s="3">
        <v>3.3482764772207303E-2</v>
      </c>
      <c r="M146" s="3">
        <v>0.152008442175387</v>
      </c>
      <c r="N146" s="3">
        <v>0.164805536382123</v>
      </c>
      <c r="O146" s="3">
        <v>0.14931240754466499</v>
      </c>
      <c r="P146" s="3">
        <v>7.8001801817979194E-2</v>
      </c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x14ac:dyDescent="0.45">
      <c r="A147" s="3" t="s">
        <v>71</v>
      </c>
      <c r="B147" s="3" t="s">
        <v>27</v>
      </c>
      <c r="C147" s="3" t="s">
        <v>17</v>
      </c>
      <c r="D147" s="3" t="s">
        <v>12</v>
      </c>
      <c r="E147" s="3" t="s">
        <v>8</v>
      </c>
      <c r="F147" s="3">
        <v>0</v>
      </c>
      <c r="G147" s="3">
        <v>-1.11407345045444E-4</v>
      </c>
      <c r="H147" s="3">
        <v>-1.11407345045444E-4</v>
      </c>
      <c r="I147" s="3">
        <v>2.3299463830423199E-3</v>
      </c>
      <c r="J147" s="3">
        <v>2.2557486748576099E-2</v>
      </c>
      <c r="K147" s="3">
        <v>0.1101813181614</v>
      </c>
      <c r="L147" s="3">
        <v>0.160149660193177</v>
      </c>
      <c r="M147" s="3">
        <v>8.2054525137134807E-2</v>
      </c>
      <c r="N147" s="3">
        <v>0.124459976891709</v>
      </c>
      <c r="O147" s="3">
        <v>0.171097996555099</v>
      </c>
      <c r="P147" s="3">
        <v>0.207556788653874</v>
      </c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x14ac:dyDescent="0.45">
      <c r="A148" s="3" t="s">
        <v>71</v>
      </c>
      <c r="B148" s="3" t="s">
        <v>27</v>
      </c>
      <c r="C148" s="3" t="s">
        <v>17</v>
      </c>
      <c r="D148" s="3" t="s">
        <v>13</v>
      </c>
      <c r="E148" s="3" t="s">
        <v>8</v>
      </c>
      <c r="F148" s="3">
        <v>0</v>
      </c>
      <c r="G148" s="3">
        <v>1.6074304600430401E-3</v>
      </c>
      <c r="H148" s="3">
        <v>1.6074304600430401E-3</v>
      </c>
      <c r="I148" s="3">
        <v>0.126432363216191</v>
      </c>
      <c r="J148" s="3">
        <v>0.19851801608499101</v>
      </c>
      <c r="K148" s="3">
        <v>0.2033114139402</v>
      </c>
      <c r="L148" s="3">
        <v>0.27270042406127598</v>
      </c>
      <c r="M148" s="3">
        <v>0.30988547130439398</v>
      </c>
      <c r="N148" s="3">
        <v>0.29687014252837601</v>
      </c>
      <c r="O148" s="3">
        <v>0.24441694240102699</v>
      </c>
      <c r="P148" s="3">
        <v>0.180172188041201</v>
      </c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x14ac:dyDescent="0.45">
      <c r="A149" s="3" t="s">
        <v>71</v>
      </c>
      <c r="B149" s="3" t="s">
        <v>27</v>
      </c>
      <c r="C149" s="3" t="s">
        <v>17</v>
      </c>
      <c r="D149" s="3" t="s">
        <v>14</v>
      </c>
      <c r="E149" s="3" t="s">
        <v>8</v>
      </c>
      <c r="F149" s="3">
        <v>0</v>
      </c>
      <c r="G149" s="3">
        <v>6.8749968114782904E-3</v>
      </c>
      <c r="H149" s="3">
        <v>6.8749968114782904E-3</v>
      </c>
      <c r="I149" s="3">
        <v>0.13795392590842001</v>
      </c>
      <c r="J149" s="3">
        <v>0.21273613220022899</v>
      </c>
      <c r="K149" s="3">
        <v>0.21891513598672399</v>
      </c>
      <c r="L149" s="3">
        <v>0.168006765007854</v>
      </c>
      <c r="M149" s="3">
        <v>8.8769477651295295E-2</v>
      </c>
      <c r="N149" s="3">
        <v>3.3542545987677398E-2</v>
      </c>
      <c r="O149" s="3">
        <v>1.0864546898659601E-2</v>
      </c>
      <c r="P149" s="3">
        <v>5.24555261700044E-3</v>
      </c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x14ac:dyDescent="0.45">
      <c r="A150" s="3" t="s">
        <v>71</v>
      </c>
      <c r="B150" s="3" t="s">
        <v>27</v>
      </c>
      <c r="C150" s="3" t="s">
        <v>18</v>
      </c>
      <c r="D150" s="3" t="s">
        <v>7</v>
      </c>
      <c r="E150" s="3" t="s">
        <v>8</v>
      </c>
      <c r="F150" s="3">
        <v>0.11471283081351399</v>
      </c>
      <c r="G150" s="3">
        <v>8.2327047178399795E-2</v>
      </c>
      <c r="H150" s="3">
        <v>8.2327047178399795E-2</v>
      </c>
      <c r="I150" s="3">
        <v>5.4884698118933102E-2</v>
      </c>
      <c r="J150" s="3">
        <v>2.74423490594666E-2</v>
      </c>
      <c r="K150" s="3">
        <v>3.4464906470035402E-17</v>
      </c>
      <c r="L150" s="3">
        <v>3.9388464537183297E-17</v>
      </c>
      <c r="M150" s="3">
        <v>1.9694232268591599E-17</v>
      </c>
      <c r="N150" s="3">
        <v>1.9694232268591599E-17</v>
      </c>
      <c r="O150" s="3">
        <v>0</v>
      </c>
      <c r="P150" s="3">
        <v>3.4464906470035402E-17</v>
      </c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x14ac:dyDescent="0.45">
      <c r="A151" s="3" t="s">
        <v>71</v>
      </c>
      <c r="B151" s="3" t="s">
        <v>27</v>
      </c>
      <c r="C151" s="3" t="s">
        <v>18</v>
      </c>
      <c r="D151" s="3" t="s">
        <v>9</v>
      </c>
      <c r="E151" s="3" t="s">
        <v>8</v>
      </c>
      <c r="F151" s="3">
        <v>0</v>
      </c>
      <c r="G151" s="3">
        <v>0</v>
      </c>
      <c r="H151" s="3">
        <v>0</v>
      </c>
      <c r="I151" s="3">
        <v>0</v>
      </c>
      <c r="J151" s="3">
        <v>-8.6736173798840404E-17</v>
      </c>
      <c r="K151" s="3">
        <v>-3.4464906470035402E-17</v>
      </c>
      <c r="L151" s="3">
        <v>-3.9388464537183297E-17</v>
      </c>
      <c r="M151" s="3">
        <v>1.47706742014438E-17</v>
      </c>
      <c r="N151" s="3">
        <v>0</v>
      </c>
      <c r="O151" s="3">
        <v>1.9694232268591599E-17</v>
      </c>
      <c r="P151" s="3">
        <v>-3.4464906470035402E-17</v>
      </c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x14ac:dyDescent="0.45">
      <c r="A152" s="3" t="s">
        <v>71</v>
      </c>
      <c r="B152" s="3" t="s">
        <v>27</v>
      </c>
      <c r="C152" s="3" t="s">
        <v>18</v>
      </c>
      <c r="D152" s="3" t="s">
        <v>10</v>
      </c>
      <c r="E152" s="3" t="s">
        <v>8</v>
      </c>
      <c r="F152" s="3">
        <v>0</v>
      </c>
      <c r="G152" s="3">
        <v>0</v>
      </c>
      <c r="H152" s="3">
        <v>0</v>
      </c>
      <c r="I152" s="3">
        <v>9.0205620750794006E-17</v>
      </c>
      <c r="J152" s="3">
        <v>0</v>
      </c>
      <c r="K152" s="3">
        <v>0</v>
      </c>
      <c r="L152" s="3">
        <v>3.4464906470035402E-17</v>
      </c>
      <c r="M152" s="3">
        <v>0</v>
      </c>
      <c r="N152" s="3">
        <v>-1.9694232268591599E-17</v>
      </c>
      <c r="O152" s="3">
        <v>5.4159138738627001E-17</v>
      </c>
      <c r="P152" s="3">
        <v>3.4464906470035402E-17</v>
      </c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x14ac:dyDescent="0.45">
      <c r="A153" s="3" t="s">
        <v>71</v>
      </c>
      <c r="B153" s="3" t="s">
        <v>27</v>
      </c>
      <c r="C153" s="3" t="s">
        <v>18</v>
      </c>
      <c r="D153" s="3" t="s">
        <v>11</v>
      </c>
      <c r="E153" s="3" t="s">
        <v>8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-3.4464906470035402E-17</v>
      </c>
      <c r="M153" s="3">
        <v>-3.4464906470035402E-17</v>
      </c>
      <c r="N153" s="3">
        <v>3.4464906470035402E-17</v>
      </c>
      <c r="O153" s="3">
        <v>-7.3853371007218594E-17</v>
      </c>
      <c r="P153" s="3">
        <v>7.8776929074366495E-17</v>
      </c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x14ac:dyDescent="0.45">
      <c r="A154" s="3" t="s">
        <v>71</v>
      </c>
      <c r="B154" s="3" t="s">
        <v>27</v>
      </c>
      <c r="C154" s="3" t="s">
        <v>18</v>
      </c>
      <c r="D154" s="3" t="s">
        <v>12</v>
      </c>
      <c r="E154" s="3" t="s">
        <v>8</v>
      </c>
      <c r="F154" s="3">
        <v>0</v>
      </c>
      <c r="G154" s="3">
        <v>0</v>
      </c>
      <c r="H154" s="3">
        <v>0</v>
      </c>
      <c r="I154" s="3">
        <v>0</v>
      </c>
      <c r="J154" s="3">
        <v>8.6736173798840404E-17</v>
      </c>
      <c r="K154" s="3">
        <v>0</v>
      </c>
      <c r="L154" s="3">
        <v>0</v>
      </c>
      <c r="M154" s="3">
        <v>7.3853371007218594E-17</v>
      </c>
      <c r="N154" s="3">
        <v>-3.4464906470035402E-17</v>
      </c>
      <c r="O154" s="3">
        <v>1.96942322685916E-16</v>
      </c>
      <c r="P154" s="3">
        <v>1.62477416215881E-16</v>
      </c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x14ac:dyDescent="0.45">
      <c r="A155" s="3" t="s">
        <v>71</v>
      </c>
      <c r="B155" s="3" t="s">
        <v>27</v>
      </c>
      <c r="C155" s="3" t="s">
        <v>18</v>
      </c>
      <c r="D155" s="3" t="s">
        <v>13</v>
      </c>
      <c r="E155" s="3" t="s">
        <v>8</v>
      </c>
      <c r="F155" s="3">
        <v>0</v>
      </c>
      <c r="G155" s="3">
        <v>0</v>
      </c>
      <c r="H155" s="3">
        <v>0</v>
      </c>
      <c r="I155" s="3">
        <v>8.3266726846886704E-17</v>
      </c>
      <c r="J155" s="3">
        <v>-2.6367796834847502E-16</v>
      </c>
      <c r="K155" s="3">
        <v>0</v>
      </c>
      <c r="L155" s="3">
        <v>3.4957262276750199E-16</v>
      </c>
      <c r="M155" s="3">
        <v>2.4617790335739901E-17</v>
      </c>
      <c r="N155" s="3">
        <v>1.1324183554440199E-16</v>
      </c>
      <c r="O155" s="3">
        <v>3.9880820343898098E-16</v>
      </c>
      <c r="P155" s="3">
        <v>-2.7571925176028302E-16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x14ac:dyDescent="0.45">
      <c r="A156" s="3" t="s">
        <v>71</v>
      </c>
      <c r="B156" s="3" t="s">
        <v>27</v>
      </c>
      <c r="C156" s="3" t="s">
        <v>18</v>
      </c>
      <c r="D156" s="3" t="s">
        <v>14</v>
      </c>
      <c r="E156" s="3" t="s">
        <v>8</v>
      </c>
      <c r="F156" s="3">
        <v>0</v>
      </c>
      <c r="G156" s="3">
        <v>-8.3266726846886704E-17</v>
      </c>
      <c r="H156" s="3">
        <v>-8.3266726846886704E-17</v>
      </c>
      <c r="I156" s="3">
        <v>-8.3266726846886704E-17</v>
      </c>
      <c r="J156" s="3">
        <v>8.6736173798840404E-17</v>
      </c>
      <c r="K156" s="3">
        <v>0</v>
      </c>
      <c r="L156" s="3">
        <v>-2.5110146142454298E-16</v>
      </c>
      <c r="M156" s="3">
        <v>1.9694232268591501E-17</v>
      </c>
      <c r="N156" s="3">
        <v>4.7758513251334696E-16</v>
      </c>
      <c r="O156" s="3">
        <v>-5.9575052612489699E-16</v>
      </c>
      <c r="P156" s="3">
        <v>0</v>
      </c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x14ac:dyDescent="0.45">
      <c r="A157" s="3" t="s">
        <v>71</v>
      </c>
      <c r="B157" s="3" t="s">
        <v>27</v>
      </c>
      <c r="C157" s="3" t="s">
        <v>19</v>
      </c>
      <c r="D157" s="3" t="s">
        <v>7</v>
      </c>
      <c r="E157" s="3" t="s">
        <v>8</v>
      </c>
      <c r="F157" s="3">
        <v>1.98185357821643E-3</v>
      </c>
      <c r="G157" s="3">
        <v>2.1578629406192101E-3</v>
      </c>
      <c r="H157" s="3">
        <v>2.1578629406192101E-3</v>
      </c>
      <c r="I157" s="3">
        <v>1.2045534208155999E-3</v>
      </c>
      <c r="J157" s="3">
        <v>8.5400838034064403E-4</v>
      </c>
      <c r="K157" s="3">
        <v>1.09183394338376E-3</v>
      </c>
      <c r="L157" s="3">
        <v>2.3055369996412001E-3</v>
      </c>
      <c r="M157" s="3">
        <v>0</v>
      </c>
      <c r="N157" s="3">
        <v>0</v>
      </c>
      <c r="O157" s="3">
        <v>0</v>
      </c>
      <c r="P157" s="3">
        <v>0</v>
      </c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x14ac:dyDescent="0.45">
      <c r="A158" s="3" t="s">
        <v>71</v>
      </c>
      <c r="B158" s="3" t="s">
        <v>27</v>
      </c>
      <c r="C158" s="3" t="s">
        <v>19</v>
      </c>
      <c r="D158" s="3" t="s">
        <v>9</v>
      </c>
      <c r="E158" s="3" t="s">
        <v>8</v>
      </c>
      <c r="F158" s="3">
        <v>0</v>
      </c>
      <c r="G158" s="3">
        <v>-3.8305441208404603E-5</v>
      </c>
      <c r="H158" s="3">
        <v>-3.8305441208404603E-5</v>
      </c>
      <c r="I158" s="3">
        <v>-6.4253577344316502E-5</v>
      </c>
      <c r="J158" s="3">
        <v>-6.6449410548366096E-5</v>
      </c>
      <c r="K158" s="3">
        <v>-7.3200930548050294E-5</v>
      </c>
      <c r="L158" s="3">
        <v>-2.3145852067053E-4</v>
      </c>
      <c r="M158" s="3">
        <v>0</v>
      </c>
      <c r="N158" s="3">
        <v>0</v>
      </c>
      <c r="O158" s="3">
        <v>0</v>
      </c>
      <c r="P158" s="3">
        <v>5.7561089066303396E-3</v>
      </c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x14ac:dyDescent="0.45">
      <c r="A159" s="3" t="s">
        <v>71</v>
      </c>
      <c r="B159" s="3" t="s">
        <v>27</v>
      </c>
      <c r="C159" s="3" t="s">
        <v>19</v>
      </c>
      <c r="D159" s="3" t="s">
        <v>10</v>
      </c>
      <c r="E159" s="3" t="s">
        <v>8</v>
      </c>
      <c r="F159" s="3">
        <v>0</v>
      </c>
      <c r="G159" s="3">
        <v>9.3522287010383704E-6</v>
      </c>
      <c r="H159" s="3">
        <v>9.3522287010383704E-6</v>
      </c>
      <c r="I159" s="3">
        <v>-5.5723423006989403E-5</v>
      </c>
      <c r="J159" s="3">
        <v>-2.1211409626475499E-4</v>
      </c>
      <c r="K159" s="3">
        <v>-2.43389337583257E-4</v>
      </c>
      <c r="L159" s="3">
        <v>-4.0154802762396599E-4</v>
      </c>
      <c r="M159" s="3">
        <v>5.5612739447869998E-3</v>
      </c>
      <c r="N159" s="3">
        <v>7.6181817917664501E-3</v>
      </c>
      <c r="O159" s="3">
        <v>1.01192329874224E-2</v>
      </c>
      <c r="P159" s="3">
        <v>1.25415048972678E-2</v>
      </c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x14ac:dyDescent="0.45">
      <c r="A160" s="3" t="s">
        <v>71</v>
      </c>
      <c r="B160" s="3" t="s">
        <v>27</v>
      </c>
      <c r="C160" s="3" t="s">
        <v>19</v>
      </c>
      <c r="D160" s="3" t="s">
        <v>11</v>
      </c>
      <c r="E160" s="3" t="s">
        <v>8</v>
      </c>
      <c r="F160" s="3">
        <v>0</v>
      </c>
      <c r="G160" s="3">
        <v>2.9117268801962E-6</v>
      </c>
      <c r="H160" s="3">
        <v>2.9117268801962E-6</v>
      </c>
      <c r="I160" s="3">
        <v>-2.0568740219140201E-5</v>
      </c>
      <c r="J160" s="3">
        <v>-4.35739908906785E-4</v>
      </c>
      <c r="K160" s="3">
        <v>-7.7524367525245302E-4</v>
      </c>
      <c r="L160" s="3">
        <v>8.2711155880636896E-4</v>
      </c>
      <c r="M160" s="3">
        <v>3.12199104622705E-2</v>
      </c>
      <c r="N160" s="3">
        <v>6.9911075175402099E-2</v>
      </c>
      <c r="O160" s="3">
        <v>0.121883418468271</v>
      </c>
      <c r="P160" s="3">
        <v>0.20320172988409599</v>
      </c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x14ac:dyDescent="0.45">
      <c r="A161" s="3" t="s">
        <v>71</v>
      </c>
      <c r="B161" s="3" t="s">
        <v>27</v>
      </c>
      <c r="C161" s="3" t="s">
        <v>19</v>
      </c>
      <c r="D161" s="3" t="s">
        <v>12</v>
      </c>
      <c r="E161" s="3" t="s">
        <v>8</v>
      </c>
      <c r="F161" s="3">
        <v>0</v>
      </c>
      <c r="G161" s="3">
        <v>1.5780778028723499E-4</v>
      </c>
      <c r="H161" s="3">
        <v>1.5780778028723499E-4</v>
      </c>
      <c r="I161" s="3">
        <v>2.3563375493984099E-4</v>
      </c>
      <c r="J161" s="3">
        <v>1.39244725868489E-4</v>
      </c>
      <c r="K161" s="3">
        <v>6.3248495624378398E-2</v>
      </c>
      <c r="L161" s="3">
        <v>0.15868663082745399</v>
      </c>
      <c r="M161" s="3">
        <v>0.265888730864491</v>
      </c>
      <c r="N161" s="3">
        <v>0.43640734753598398</v>
      </c>
      <c r="O161" s="3">
        <v>0.62106464527113603</v>
      </c>
      <c r="P161" s="3">
        <v>0.75101575649629504</v>
      </c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x14ac:dyDescent="0.45">
      <c r="A162" s="3" t="s">
        <v>71</v>
      </c>
      <c r="B162" s="3" t="s">
        <v>27</v>
      </c>
      <c r="C162" s="3" t="s">
        <v>19</v>
      </c>
      <c r="D162" s="3" t="s">
        <v>13</v>
      </c>
      <c r="E162" s="3" t="s">
        <v>8</v>
      </c>
      <c r="F162" s="3">
        <v>0</v>
      </c>
      <c r="G162" s="3">
        <v>9.7722149334546204E-4</v>
      </c>
      <c r="H162" s="3">
        <v>9.7722149334546204E-4</v>
      </c>
      <c r="I162" s="3">
        <v>8.0771602344357304E-2</v>
      </c>
      <c r="J162" s="3">
        <v>0.37618093054209401</v>
      </c>
      <c r="K162" s="3">
        <v>0.715592994180409</v>
      </c>
      <c r="L162" s="3">
        <v>0.98382279837012798</v>
      </c>
      <c r="M162" s="3">
        <v>1.10427217192608</v>
      </c>
      <c r="N162" s="3">
        <v>1.0388716514384999</v>
      </c>
      <c r="O162" s="3">
        <v>0.84844782452837497</v>
      </c>
      <c r="P162" s="3">
        <v>0.64074688926245504</v>
      </c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x14ac:dyDescent="0.45">
      <c r="A163" s="3" t="s">
        <v>71</v>
      </c>
      <c r="B163" s="3" t="s">
        <v>27</v>
      </c>
      <c r="C163" s="3" t="s">
        <v>19</v>
      </c>
      <c r="D163" s="3" t="s">
        <v>14</v>
      </c>
      <c r="E163" s="3" t="s">
        <v>8</v>
      </c>
      <c r="F163" s="3">
        <v>0</v>
      </c>
      <c r="G163" s="3">
        <v>4.1783085486850396E-3</v>
      </c>
      <c r="H163" s="3">
        <v>4.1783085486850396E-3</v>
      </c>
      <c r="I163" s="3">
        <v>0.49042810741686299</v>
      </c>
      <c r="J163" s="3">
        <v>0.78401898937777403</v>
      </c>
      <c r="K163" s="3">
        <v>0.77208681213598696</v>
      </c>
      <c r="L163" s="3">
        <v>0.58025525095424202</v>
      </c>
      <c r="M163" s="3">
        <v>0.33728213081324898</v>
      </c>
      <c r="N163" s="3">
        <v>0.18590797694486599</v>
      </c>
      <c r="O163" s="3">
        <v>0.122833173036976</v>
      </c>
      <c r="P163" s="3">
        <v>0.102276255574131</v>
      </c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x14ac:dyDescent="0.45">
      <c r="A164" s="3" t="s">
        <v>71</v>
      </c>
      <c r="B164" s="3" t="s">
        <v>26</v>
      </c>
      <c r="C164" s="3" t="s">
        <v>6</v>
      </c>
      <c r="D164" s="3" t="s">
        <v>10</v>
      </c>
      <c r="E164" s="3" t="s">
        <v>8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2.0208569745362601E-2</v>
      </c>
      <c r="M164" s="3">
        <v>0.10129560029780001</v>
      </c>
      <c r="N164" s="3">
        <v>0.21459316323806099</v>
      </c>
      <c r="O164" s="3">
        <v>0.31222977248074901</v>
      </c>
      <c r="P164" s="3">
        <v>0.38044630591782203</v>
      </c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x14ac:dyDescent="0.45">
      <c r="A165" s="3" t="s">
        <v>71</v>
      </c>
      <c r="B165" s="3" t="s">
        <v>26</v>
      </c>
      <c r="C165" s="3" t="s">
        <v>6</v>
      </c>
      <c r="D165" s="3" t="s">
        <v>11</v>
      </c>
      <c r="E165" s="3" t="s">
        <v>8</v>
      </c>
      <c r="F165" s="3">
        <v>0</v>
      </c>
      <c r="G165" s="3">
        <v>0</v>
      </c>
      <c r="H165" s="3">
        <v>0</v>
      </c>
      <c r="I165" s="3">
        <v>0</v>
      </c>
      <c r="J165" s="3">
        <v>1.2972571111303E-4</v>
      </c>
      <c r="K165" s="3">
        <v>8.39610640145005E-2</v>
      </c>
      <c r="L165" s="3">
        <v>0.196388136914626</v>
      </c>
      <c r="M165" s="3">
        <v>0.26055357864331202</v>
      </c>
      <c r="N165" s="3">
        <v>0.30067890226558602</v>
      </c>
      <c r="O165" s="3">
        <v>0.30485373432837498</v>
      </c>
      <c r="P165" s="3">
        <v>0.30084293359111403</v>
      </c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x14ac:dyDescent="0.45">
      <c r="A166" s="3" t="s">
        <v>71</v>
      </c>
      <c r="B166" s="3" t="s">
        <v>26</v>
      </c>
      <c r="C166" s="3" t="s">
        <v>6</v>
      </c>
      <c r="D166" s="3" t="s">
        <v>12</v>
      </c>
      <c r="E166" s="3" t="s">
        <v>8</v>
      </c>
      <c r="F166" s="3">
        <v>0</v>
      </c>
      <c r="G166" s="3">
        <v>0</v>
      </c>
      <c r="H166" s="3">
        <v>0</v>
      </c>
      <c r="I166" s="3">
        <v>7.5859341365671902E-5</v>
      </c>
      <c r="J166" s="3">
        <v>0.11300591385884599</v>
      </c>
      <c r="K166" s="3">
        <v>0.19900974590300299</v>
      </c>
      <c r="L166" s="3">
        <v>0.24452762169206099</v>
      </c>
      <c r="M166" s="3">
        <v>0.24917098439364799</v>
      </c>
      <c r="N166" s="3">
        <v>0.225206004139576</v>
      </c>
      <c r="O166" s="3">
        <v>0.21881390070104201</v>
      </c>
      <c r="P166" s="3">
        <v>0.203021307765371</v>
      </c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x14ac:dyDescent="0.45">
      <c r="A167" s="3" t="s">
        <v>71</v>
      </c>
      <c r="B167" s="3" t="s">
        <v>26</v>
      </c>
      <c r="C167" s="3" t="s">
        <v>6</v>
      </c>
      <c r="D167" s="3" t="s">
        <v>13</v>
      </c>
      <c r="E167" s="3" t="s">
        <v>8</v>
      </c>
      <c r="F167" s="3">
        <v>0</v>
      </c>
      <c r="G167" s="3">
        <v>0</v>
      </c>
      <c r="H167" s="3">
        <v>0</v>
      </c>
      <c r="I167" s="3">
        <v>0.18432739062696599</v>
      </c>
      <c r="J167" s="3">
        <v>0.27631221428887398</v>
      </c>
      <c r="K167" s="3">
        <v>0.26659327889429502</v>
      </c>
      <c r="L167" s="3">
        <v>0.21320373531290501</v>
      </c>
      <c r="M167" s="3">
        <v>0.190262266160689</v>
      </c>
      <c r="N167" s="3">
        <v>0.17806392455855499</v>
      </c>
      <c r="O167" s="3">
        <v>0.154328638602347</v>
      </c>
      <c r="P167" s="3">
        <v>0.101069649028417</v>
      </c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x14ac:dyDescent="0.45">
      <c r="A168" s="3" t="s">
        <v>71</v>
      </c>
      <c r="B168" s="3" t="s">
        <v>26</v>
      </c>
      <c r="C168" s="3" t="s">
        <v>6</v>
      </c>
      <c r="D168" s="3" t="s">
        <v>14</v>
      </c>
      <c r="E168" s="3" t="s">
        <v>8</v>
      </c>
      <c r="F168" s="3">
        <v>0</v>
      </c>
      <c r="G168" s="3">
        <v>8.7906929702216405E-2</v>
      </c>
      <c r="H168" s="3">
        <v>8.7906929702216405E-2</v>
      </c>
      <c r="I168" s="3">
        <v>0.143957057146857</v>
      </c>
      <c r="J168" s="3">
        <v>0.12527478682728199</v>
      </c>
      <c r="K168" s="3">
        <v>9.5210965342045401E-2</v>
      </c>
      <c r="L168" s="3">
        <v>9.6171026820050506E-2</v>
      </c>
      <c r="M168" s="3">
        <v>8.7843499455025301E-2</v>
      </c>
      <c r="N168" s="3">
        <v>7.9908473466776195E-2</v>
      </c>
      <c r="O168" s="3">
        <v>6.0625008434739898E-2</v>
      </c>
      <c r="P168" s="3">
        <v>5.0637718694785498E-2</v>
      </c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x14ac:dyDescent="0.45">
      <c r="A169" s="3" t="s">
        <v>71</v>
      </c>
      <c r="B169" s="3" t="s">
        <v>26</v>
      </c>
      <c r="C169" s="3" t="s">
        <v>15</v>
      </c>
      <c r="D169" s="3" t="s">
        <v>7</v>
      </c>
      <c r="E169" s="3" t="s">
        <v>8</v>
      </c>
      <c r="F169" s="3">
        <v>2.0648478197308501E-2</v>
      </c>
      <c r="G169" s="3">
        <v>2.4080861995751102E-2</v>
      </c>
      <c r="H169" s="3">
        <v>2.4080861995751102E-2</v>
      </c>
      <c r="I169" s="3">
        <v>2.8400597170329001E-2</v>
      </c>
      <c r="J169" s="3">
        <v>3.2121790335682902E-2</v>
      </c>
      <c r="K169" s="3">
        <v>3.61038799521088E-2</v>
      </c>
      <c r="L169" s="3">
        <v>3.5921600407432197E-2</v>
      </c>
      <c r="M169" s="3">
        <v>3.5094525367961697E-2</v>
      </c>
      <c r="N169" s="3">
        <v>3.3738814294989899E-2</v>
      </c>
      <c r="O169" s="3">
        <v>3.2362278965513899E-2</v>
      </c>
      <c r="P169" s="3">
        <v>3.3411053605361E-2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x14ac:dyDescent="0.45">
      <c r="A170" s="3" t="s">
        <v>71</v>
      </c>
      <c r="B170" s="3" t="s">
        <v>26</v>
      </c>
      <c r="C170" s="3" t="s">
        <v>15</v>
      </c>
      <c r="D170" s="3" t="s">
        <v>9</v>
      </c>
      <c r="E170" s="3" t="s">
        <v>8</v>
      </c>
      <c r="F170" s="3">
        <v>0</v>
      </c>
      <c r="G170" s="3">
        <v>-1.4484220501829E-4</v>
      </c>
      <c r="H170" s="3">
        <v>-1.4484220501829E-4</v>
      </c>
      <c r="I170" s="3">
        <v>5.0847478872063202E-5</v>
      </c>
      <c r="J170" s="3">
        <v>6.6246640079094298E-4</v>
      </c>
      <c r="K170" s="3">
        <v>-1.89641997142671E-4</v>
      </c>
      <c r="L170" s="3">
        <v>6.79325841528925E-3</v>
      </c>
      <c r="M170" s="3">
        <v>1.1378117926930401E-2</v>
      </c>
      <c r="N170" s="3">
        <v>1.6713024894675001E-2</v>
      </c>
      <c r="O170" s="3">
        <v>2.2105078709397999E-2</v>
      </c>
      <c r="P170" s="3">
        <v>2.4956660937491701E-2</v>
      </c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x14ac:dyDescent="0.45">
      <c r="A171" s="3" t="s">
        <v>71</v>
      </c>
      <c r="B171" s="3" t="s">
        <v>26</v>
      </c>
      <c r="C171" s="3" t="s">
        <v>15</v>
      </c>
      <c r="D171" s="3" t="s">
        <v>10</v>
      </c>
      <c r="E171" s="3" t="s">
        <v>8</v>
      </c>
      <c r="F171" s="3">
        <v>0</v>
      </c>
      <c r="G171" s="3">
        <v>4.1878746118602399E-4</v>
      </c>
      <c r="H171" s="3">
        <v>4.1878746118602399E-4</v>
      </c>
      <c r="I171" s="3">
        <v>1.69258054334917E-5</v>
      </c>
      <c r="J171" s="3">
        <v>3.04955668320058E-3</v>
      </c>
      <c r="K171" s="3">
        <v>3.7886019490273801E-3</v>
      </c>
      <c r="L171" s="3">
        <v>5.6426450096824798E-4</v>
      </c>
      <c r="M171" s="3">
        <v>1.3317468890561E-3</v>
      </c>
      <c r="N171" s="3">
        <v>2.4302056045896699E-3</v>
      </c>
      <c r="O171" s="3">
        <v>3.4796187751234102E-3</v>
      </c>
      <c r="P171" s="3">
        <v>4.0092180991834203E-3</v>
      </c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x14ac:dyDescent="0.45">
      <c r="A172" s="3" t="s">
        <v>71</v>
      </c>
      <c r="B172" s="3" t="s">
        <v>26</v>
      </c>
      <c r="C172" s="3" t="s">
        <v>15</v>
      </c>
      <c r="D172" s="3" t="s">
        <v>11</v>
      </c>
      <c r="E172" s="3" t="s">
        <v>8</v>
      </c>
      <c r="F172" s="3">
        <v>0</v>
      </c>
      <c r="G172" s="3">
        <v>7.3294842786304103E-5</v>
      </c>
      <c r="H172" s="3">
        <v>7.3294842786304103E-5</v>
      </c>
      <c r="I172" s="3">
        <v>-8.6612695959004495E-4</v>
      </c>
      <c r="J172" s="3">
        <v>4.82636677643498E-4</v>
      </c>
      <c r="K172" s="3">
        <v>1.04868078884642E-3</v>
      </c>
      <c r="L172" s="3">
        <v>2.5756965714111798E-3</v>
      </c>
      <c r="M172" s="3">
        <v>2.1578195679878998E-3</v>
      </c>
      <c r="N172" s="3">
        <v>8.0581015959569496E-4</v>
      </c>
      <c r="O172" s="3">
        <v>-1.2676147850344201E-3</v>
      </c>
      <c r="P172" s="3">
        <v>-2.8498876132135101E-3</v>
      </c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x14ac:dyDescent="0.45">
      <c r="A173" s="3" t="s">
        <v>71</v>
      </c>
      <c r="B173" s="3" t="s">
        <v>26</v>
      </c>
      <c r="C173" s="3" t="s">
        <v>15</v>
      </c>
      <c r="D173" s="3" t="s">
        <v>12</v>
      </c>
      <c r="E173" s="3" t="s">
        <v>8</v>
      </c>
      <c r="F173" s="3">
        <v>0</v>
      </c>
      <c r="G173" s="3">
        <v>-4.9936979665516799E-4</v>
      </c>
      <c r="H173" s="3">
        <v>-4.9936979665516799E-4</v>
      </c>
      <c r="I173" s="3">
        <v>5.4022058743853603E-3</v>
      </c>
      <c r="J173" s="3">
        <v>2.3574577604121702E-3</v>
      </c>
      <c r="K173" s="3">
        <v>2.49998615161112E-3</v>
      </c>
      <c r="L173" s="3">
        <v>4.4134812473577801E-4</v>
      </c>
      <c r="M173" s="3">
        <v>-1.09632322934149E-3</v>
      </c>
      <c r="N173" s="3">
        <v>-2.0966350972009299E-3</v>
      </c>
      <c r="O173" s="3">
        <v>-2.70511205056436E-3</v>
      </c>
      <c r="P173" s="3">
        <v>-3.8288639358998698E-3</v>
      </c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x14ac:dyDescent="0.45">
      <c r="A174" s="3" t="s">
        <v>71</v>
      </c>
      <c r="B174" s="3" t="s">
        <v>26</v>
      </c>
      <c r="C174" s="3" t="s">
        <v>15</v>
      </c>
      <c r="D174" s="3" t="s">
        <v>13</v>
      </c>
      <c r="E174" s="3" t="s">
        <v>8</v>
      </c>
      <c r="F174" s="3">
        <v>0</v>
      </c>
      <c r="G174" s="3">
        <v>4.0066359870111496E-3</v>
      </c>
      <c r="H174" s="3">
        <v>4.0066359870111496E-3</v>
      </c>
      <c r="I174" s="3">
        <v>9.8605713720669591E-4</v>
      </c>
      <c r="J174" s="3">
        <v>-2.0037410775052599E-3</v>
      </c>
      <c r="K174" s="3">
        <v>-4.4411395818481601E-3</v>
      </c>
      <c r="L174" s="3">
        <v>-5.3337455733167803E-3</v>
      </c>
      <c r="M174" s="3">
        <v>-6.5392285844506097E-3</v>
      </c>
      <c r="N174" s="3">
        <v>-8.1223969460599496E-3</v>
      </c>
      <c r="O174" s="3">
        <v>-8.8131619426308708E-3</v>
      </c>
      <c r="P174" s="3">
        <v>-9.5196936242366009E-3</v>
      </c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x14ac:dyDescent="0.45">
      <c r="A175" s="3" t="s">
        <v>71</v>
      </c>
      <c r="B175" s="3" t="s">
        <v>26</v>
      </c>
      <c r="C175" s="3" t="s">
        <v>15</v>
      </c>
      <c r="D175" s="3" t="s">
        <v>14</v>
      </c>
      <c r="E175" s="3" t="s">
        <v>8</v>
      </c>
      <c r="F175" s="3">
        <v>0</v>
      </c>
      <c r="G175" s="3">
        <v>1.4928251744850999E-3</v>
      </c>
      <c r="H175" s="3">
        <v>1.4928251744850999E-3</v>
      </c>
      <c r="I175" s="3">
        <v>-8.9162179304434796E-4</v>
      </c>
      <c r="J175" s="3">
        <v>-1.44063185563656E-3</v>
      </c>
      <c r="K175" s="3">
        <v>-2.2013305251914598E-3</v>
      </c>
      <c r="L175" s="3">
        <v>-3.7915027772532799E-3</v>
      </c>
      <c r="M175" s="3">
        <v>-3.25839520926404E-3</v>
      </c>
      <c r="N175" s="3">
        <v>-3.4265943869783199E-3</v>
      </c>
      <c r="O175" s="3">
        <v>-4.4881190827229496E-3</v>
      </c>
      <c r="P175" s="3">
        <v>-4.87068534072375E-3</v>
      </c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x14ac:dyDescent="0.45">
      <c r="A176" s="3" t="s">
        <v>71</v>
      </c>
      <c r="B176" s="3" t="s">
        <v>26</v>
      </c>
      <c r="C176" s="3" t="s">
        <v>16</v>
      </c>
      <c r="D176" s="3" t="s">
        <v>7</v>
      </c>
      <c r="E176" s="3" t="s">
        <v>8</v>
      </c>
      <c r="F176" s="3">
        <v>3.4514152890838798E-2</v>
      </c>
      <c r="G176" s="3">
        <v>3.5198012007737103E-2</v>
      </c>
      <c r="H176" s="3">
        <v>3.5198012007737103E-2</v>
      </c>
      <c r="I176" s="3">
        <v>3.4153826716917399E-2</v>
      </c>
      <c r="J176" s="3">
        <v>2.3768962891849599E-2</v>
      </c>
      <c r="K176" s="3">
        <v>1.0615831422061101E-2</v>
      </c>
      <c r="L176" s="3">
        <v>1.0615831422061101E-2</v>
      </c>
      <c r="M176" s="3">
        <v>1.0615831422061101E-2</v>
      </c>
      <c r="N176" s="3">
        <v>1.0615831422061101E-2</v>
      </c>
      <c r="O176" s="3">
        <v>1.0615831422061101E-2</v>
      </c>
      <c r="P176" s="3">
        <v>1.0615831422061101E-2</v>
      </c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x14ac:dyDescent="0.45">
      <c r="A177" s="3" t="s">
        <v>71</v>
      </c>
      <c r="B177" s="3" t="s">
        <v>26</v>
      </c>
      <c r="C177" s="3" t="s">
        <v>16</v>
      </c>
      <c r="D177" s="3" t="s">
        <v>9</v>
      </c>
      <c r="E177" s="3" t="s">
        <v>8</v>
      </c>
      <c r="F177" s="3">
        <v>0</v>
      </c>
      <c r="G177" s="3">
        <v>1.34417140001536E-5</v>
      </c>
      <c r="H177" s="3">
        <v>1.34417140001536E-5</v>
      </c>
      <c r="I177" s="3">
        <v>6.6138198644705202E-6</v>
      </c>
      <c r="J177" s="3">
        <v>-6.4636501317105701E-6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x14ac:dyDescent="0.45">
      <c r="A178" s="3" t="s">
        <v>71</v>
      </c>
      <c r="B178" s="3" t="s">
        <v>26</v>
      </c>
      <c r="C178" s="3" t="s">
        <v>16</v>
      </c>
      <c r="D178" s="3" t="s">
        <v>10</v>
      </c>
      <c r="E178" s="3" t="s">
        <v>8</v>
      </c>
      <c r="F178" s="3">
        <v>0</v>
      </c>
      <c r="G178" s="3">
        <v>2.6154624400975802E-7</v>
      </c>
      <c r="H178" s="3">
        <v>2.6154624400975802E-7</v>
      </c>
      <c r="I178" s="3">
        <v>-7.0757249642783306E-8</v>
      </c>
      <c r="J178" s="3">
        <v>3.1631054313620301E-6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x14ac:dyDescent="0.45">
      <c r="A179" s="3" t="s">
        <v>71</v>
      </c>
      <c r="B179" s="3" t="s">
        <v>26</v>
      </c>
      <c r="C179" s="3" t="s">
        <v>16</v>
      </c>
      <c r="D179" s="3" t="s">
        <v>11</v>
      </c>
      <c r="E179" s="3" t="s">
        <v>8</v>
      </c>
      <c r="F179" s="3">
        <v>0</v>
      </c>
      <c r="G179" s="3">
        <v>5.3424772289700798E-6</v>
      </c>
      <c r="H179" s="3">
        <v>5.3424772289700798E-6</v>
      </c>
      <c r="I179" s="3">
        <v>-1.10582023806621E-6</v>
      </c>
      <c r="J179" s="3">
        <v>-7.6374019157936201E-6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x14ac:dyDescent="0.45">
      <c r="A180" s="3" t="s">
        <v>71</v>
      </c>
      <c r="B180" s="3" t="s">
        <v>26</v>
      </c>
      <c r="C180" s="3" t="s">
        <v>16</v>
      </c>
      <c r="D180" s="3" t="s">
        <v>12</v>
      </c>
      <c r="E180" s="3" t="s">
        <v>8</v>
      </c>
      <c r="F180" s="3">
        <v>0</v>
      </c>
      <c r="G180" s="3">
        <v>1.3463047159739699E-6</v>
      </c>
      <c r="H180" s="3">
        <v>1.3463047159739699E-6</v>
      </c>
      <c r="I180" s="3">
        <v>-1.3636956826858199E-5</v>
      </c>
      <c r="J180" s="3">
        <v>-1.42184438725088E-4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x14ac:dyDescent="0.45">
      <c r="A181" s="3" t="s">
        <v>71</v>
      </c>
      <c r="B181" s="3" t="s">
        <v>26</v>
      </c>
      <c r="C181" s="3" t="s">
        <v>16</v>
      </c>
      <c r="D181" s="3" t="s">
        <v>13</v>
      </c>
      <c r="E181" s="3" t="s">
        <v>8</v>
      </c>
      <c r="F181" s="3">
        <v>0</v>
      </c>
      <c r="G181" s="3">
        <v>-7.3367333845081304E-5</v>
      </c>
      <c r="H181" s="3">
        <v>-7.3367333845081304E-5</v>
      </c>
      <c r="I181" s="3">
        <v>3.5613707439696002E-4</v>
      </c>
      <c r="J181" s="3">
        <v>7.0307990516707596E-4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x14ac:dyDescent="0.45">
      <c r="A182" s="3" t="s">
        <v>71</v>
      </c>
      <c r="B182" s="3" t="s">
        <v>26</v>
      </c>
      <c r="C182" s="3" t="s">
        <v>16</v>
      </c>
      <c r="D182" s="3" t="s">
        <v>14</v>
      </c>
      <c r="E182" s="3" t="s">
        <v>8</v>
      </c>
      <c r="F182" s="3">
        <v>0</v>
      </c>
      <c r="G182" s="3">
        <v>-8.54031074604571E-4</v>
      </c>
      <c r="H182" s="3">
        <v>-8.54031074604571E-4</v>
      </c>
      <c r="I182" s="3">
        <v>7.6487324714440098E-4</v>
      </c>
      <c r="J182" s="3">
        <v>3.6311191622240301E-4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x14ac:dyDescent="0.45">
      <c r="A183" s="3" t="s">
        <v>71</v>
      </c>
      <c r="B183" s="3" t="s">
        <v>26</v>
      </c>
      <c r="C183" s="3" t="s">
        <v>17</v>
      </c>
      <c r="D183" s="3" t="s">
        <v>10</v>
      </c>
      <c r="E183" s="3" t="s">
        <v>8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2.4796347092452799E-2</v>
      </c>
      <c r="N183" s="3">
        <v>2.8329425149889401E-2</v>
      </c>
      <c r="O183" s="3">
        <v>3.2580532541118902E-2</v>
      </c>
      <c r="P183" s="3">
        <v>3.3279342946482597E-2</v>
      </c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x14ac:dyDescent="0.45">
      <c r="A184" s="3" t="s">
        <v>71</v>
      </c>
      <c r="B184" s="3" t="s">
        <v>26</v>
      </c>
      <c r="C184" s="3" t="s">
        <v>17</v>
      </c>
      <c r="D184" s="3" t="s">
        <v>11</v>
      </c>
      <c r="E184" s="3" t="s">
        <v>8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2.0918262321212501E-2</v>
      </c>
      <c r="L184" s="3">
        <v>2.4282782914539801E-2</v>
      </c>
      <c r="M184" s="3">
        <v>1.230692740996E-2</v>
      </c>
      <c r="N184" s="3">
        <v>2.9623275260480302E-2</v>
      </c>
      <c r="O184" s="3">
        <v>5.3317934100463302E-2</v>
      </c>
      <c r="P184" s="3">
        <v>7.5036973421915801E-2</v>
      </c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x14ac:dyDescent="0.45">
      <c r="A185" s="3" t="s">
        <v>71</v>
      </c>
      <c r="B185" s="3" t="s">
        <v>26</v>
      </c>
      <c r="C185" s="3" t="s">
        <v>17</v>
      </c>
      <c r="D185" s="3" t="s">
        <v>12</v>
      </c>
      <c r="E185" s="3" t="s">
        <v>8</v>
      </c>
      <c r="F185" s="3">
        <v>0</v>
      </c>
      <c r="G185" s="3">
        <v>0</v>
      </c>
      <c r="H185" s="3">
        <v>0</v>
      </c>
      <c r="I185" s="3">
        <v>0</v>
      </c>
      <c r="J185" s="3">
        <v>1.9365286386702599E-2</v>
      </c>
      <c r="K185" s="3">
        <v>1.5091625585401201E-2</v>
      </c>
      <c r="L185" s="3">
        <v>4.1465080262181903E-2</v>
      </c>
      <c r="M185" s="3">
        <v>6.7120451999790498E-2</v>
      </c>
      <c r="N185" s="3">
        <v>8.4630287397937001E-2</v>
      </c>
      <c r="O185" s="3">
        <v>8.3643214149112702E-2</v>
      </c>
      <c r="P185" s="3">
        <v>6.1388106477736598E-2</v>
      </c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x14ac:dyDescent="0.45">
      <c r="A186" s="3" t="s">
        <v>71</v>
      </c>
      <c r="B186" s="3" t="s">
        <v>26</v>
      </c>
      <c r="C186" s="3" t="s">
        <v>17</v>
      </c>
      <c r="D186" s="3" t="s">
        <v>13</v>
      </c>
      <c r="E186" s="3" t="s">
        <v>8</v>
      </c>
      <c r="F186" s="3">
        <v>0</v>
      </c>
      <c r="G186" s="3">
        <v>0</v>
      </c>
      <c r="H186" s="3">
        <v>0</v>
      </c>
      <c r="I186" s="3">
        <v>2.90560088537779E-2</v>
      </c>
      <c r="J186" s="3">
        <v>6.08130215939486E-2</v>
      </c>
      <c r="K186" s="3">
        <v>0.106362376001677</v>
      </c>
      <c r="L186" s="3">
        <v>0.113308891489259</v>
      </c>
      <c r="M186" s="3">
        <v>8.1812757893684099E-2</v>
      </c>
      <c r="N186" s="3">
        <v>4.3629005672355899E-2</v>
      </c>
      <c r="O186" s="3">
        <v>1.6660223718275601E-2</v>
      </c>
      <c r="P186" s="3">
        <v>7.8727253890929806E-3</v>
      </c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x14ac:dyDescent="0.45">
      <c r="A187" s="3" t="s">
        <v>71</v>
      </c>
      <c r="B187" s="3" t="s">
        <v>26</v>
      </c>
      <c r="C187" s="3" t="s">
        <v>17</v>
      </c>
      <c r="D187" s="3" t="s">
        <v>14</v>
      </c>
      <c r="E187" s="3" t="s">
        <v>8</v>
      </c>
      <c r="F187" s="3">
        <v>0</v>
      </c>
      <c r="G187" s="3">
        <v>2.7042659660286498E-3</v>
      </c>
      <c r="H187" s="3">
        <v>2.7042659660286498E-3</v>
      </c>
      <c r="I187" s="3">
        <v>5.8210307044976997E-2</v>
      </c>
      <c r="J187" s="3">
        <v>8.6198863518551799E-2</v>
      </c>
      <c r="K187" s="3">
        <v>4.7068911786746298E-2</v>
      </c>
      <c r="L187" s="3">
        <v>1.1524507544286799E-2</v>
      </c>
      <c r="M187" s="3">
        <v>4.5619296147583199E-3</v>
      </c>
      <c r="N187" s="3">
        <v>4.3864205299830299E-3</v>
      </c>
      <c r="O187" s="3">
        <v>4.3842518998252799E-3</v>
      </c>
      <c r="P187" s="3">
        <v>4.3727118321566496E-3</v>
      </c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x14ac:dyDescent="0.45">
      <c r="A188" s="3" t="s">
        <v>71</v>
      </c>
      <c r="B188" s="3" t="s">
        <v>26</v>
      </c>
      <c r="C188" s="3" t="s">
        <v>18</v>
      </c>
      <c r="D188" s="3" t="s">
        <v>7</v>
      </c>
      <c r="E188" s="3" t="s">
        <v>8</v>
      </c>
      <c r="F188" s="3">
        <v>1.31455192997691E-2</v>
      </c>
      <c r="G188" s="3">
        <v>7.73392735929885E-3</v>
      </c>
      <c r="H188" s="3">
        <v>7.73392735929885E-3</v>
      </c>
      <c r="I188" s="3">
        <v>5.1559515728659003E-3</v>
      </c>
      <c r="J188" s="3">
        <v>2.5779757864329402E-3</v>
      </c>
      <c r="K188" s="3">
        <v>0</v>
      </c>
      <c r="L188" s="3">
        <v>5.0584109718122796E-18</v>
      </c>
      <c r="M188" s="3">
        <v>0</v>
      </c>
      <c r="N188" s="3">
        <v>0</v>
      </c>
      <c r="O188" s="3">
        <v>0</v>
      </c>
      <c r="P188" s="3">
        <v>0</v>
      </c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x14ac:dyDescent="0.45">
      <c r="A189" s="3" t="s">
        <v>71</v>
      </c>
      <c r="B189" s="3" t="s">
        <v>26</v>
      </c>
      <c r="C189" s="3" t="s">
        <v>18</v>
      </c>
      <c r="D189" s="3" t="s">
        <v>9</v>
      </c>
      <c r="E189" s="3" t="s">
        <v>8</v>
      </c>
      <c r="F189" s="3">
        <v>0</v>
      </c>
      <c r="G189" s="3">
        <v>0</v>
      </c>
      <c r="H189" s="3">
        <v>0</v>
      </c>
      <c r="I189" s="3">
        <v>2.2551405187698501E-17</v>
      </c>
      <c r="J189" s="3">
        <v>2.2551405187698501E-17</v>
      </c>
      <c r="K189" s="3">
        <v>0</v>
      </c>
      <c r="L189" s="3">
        <v>-5.0584109718122796E-18</v>
      </c>
      <c r="M189" s="3">
        <v>0</v>
      </c>
      <c r="N189" s="3">
        <v>0</v>
      </c>
      <c r="O189" s="3">
        <v>0</v>
      </c>
      <c r="P189" s="3">
        <v>1.8969041144296001E-17</v>
      </c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x14ac:dyDescent="0.45">
      <c r="A190" s="3" t="s">
        <v>71</v>
      </c>
      <c r="B190" s="3" t="s">
        <v>26</v>
      </c>
      <c r="C190" s="3" t="s">
        <v>18</v>
      </c>
      <c r="D190" s="3" t="s">
        <v>10</v>
      </c>
      <c r="E190" s="3" t="s">
        <v>8</v>
      </c>
      <c r="F190" s="3">
        <v>0</v>
      </c>
      <c r="G190" s="3">
        <v>0</v>
      </c>
      <c r="H190" s="3">
        <v>0</v>
      </c>
      <c r="I190" s="3">
        <v>-2.2551405187698501E-17</v>
      </c>
      <c r="J190" s="3">
        <v>0</v>
      </c>
      <c r="K190" s="3">
        <v>0</v>
      </c>
      <c r="L190" s="3">
        <v>7.5876164577184206E-18</v>
      </c>
      <c r="M190" s="3">
        <v>1.39106301724838E-17</v>
      </c>
      <c r="N190" s="3">
        <v>0</v>
      </c>
      <c r="O190" s="3">
        <v>0</v>
      </c>
      <c r="P190" s="3">
        <v>-1.8969041144296001E-17</v>
      </c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x14ac:dyDescent="0.45">
      <c r="A191" s="3" t="s">
        <v>71</v>
      </c>
      <c r="B191" s="3" t="s">
        <v>26</v>
      </c>
      <c r="C191" s="3" t="s">
        <v>18</v>
      </c>
      <c r="D191" s="3" t="s">
        <v>11</v>
      </c>
      <c r="E191" s="3" t="s">
        <v>8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1.7704438401343E-17</v>
      </c>
      <c r="L191" s="3">
        <v>2.1498246630202199E-17</v>
      </c>
      <c r="M191" s="3">
        <v>3.79380822885921E-17</v>
      </c>
      <c r="N191" s="3">
        <v>1.0622663040805801E-16</v>
      </c>
      <c r="O191" s="3">
        <v>2.7821260344967502E-17</v>
      </c>
      <c r="P191" s="3">
        <v>0</v>
      </c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x14ac:dyDescent="0.45">
      <c r="A192" s="3" t="s">
        <v>71</v>
      </c>
      <c r="B192" s="3" t="s">
        <v>26</v>
      </c>
      <c r="C192" s="3" t="s">
        <v>18</v>
      </c>
      <c r="D192" s="3" t="s">
        <v>12</v>
      </c>
      <c r="E192" s="3" t="s">
        <v>8</v>
      </c>
      <c r="F192" s="3">
        <v>0</v>
      </c>
      <c r="G192" s="3">
        <v>0</v>
      </c>
      <c r="H192" s="3">
        <v>0</v>
      </c>
      <c r="I192" s="3">
        <v>0</v>
      </c>
      <c r="J192" s="3">
        <v>-2.2551405187698501E-17</v>
      </c>
      <c r="K192" s="3">
        <v>-1.7704438401343E-17</v>
      </c>
      <c r="L192" s="3">
        <v>-2.9085863087920598E-17</v>
      </c>
      <c r="M192" s="3">
        <v>-5.18487124610759E-17</v>
      </c>
      <c r="N192" s="3">
        <v>-9.86390139503396E-17</v>
      </c>
      <c r="O192" s="3">
        <v>-2.7821260344967502E-17</v>
      </c>
      <c r="P192" s="3">
        <v>1.08755835893964E-16</v>
      </c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x14ac:dyDescent="0.45">
      <c r="A193" s="3" t="s">
        <v>71</v>
      </c>
      <c r="B193" s="3" t="s">
        <v>26</v>
      </c>
      <c r="C193" s="3" t="s">
        <v>18</v>
      </c>
      <c r="D193" s="3" t="s">
        <v>13</v>
      </c>
      <c r="E193" s="3" t="s">
        <v>8</v>
      </c>
      <c r="F193" s="3">
        <v>0</v>
      </c>
      <c r="G193" s="3">
        <v>0</v>
      </c>
      <c r="H193" s="3">
        <v>0</v>
      </c>
      <c r="I193" s="3">
        <v>0</v>
      </c>
      <c r="J193" s="3">
        <v>1.36609473733174E-16</v>
      </c>
      <c r="K193" s="3">
        <v>0</v>
      </c>
      <c r="L193" s="3">
        <v>0</v>
      </c>
      <c r="M193" s="3">
        <v>0</v>
      </c>
      <c r="N193" s="3">
        <v>1.5175232915436899E-16</v>
      </c>
      <c r="O193" s="3">
        <v>0</v>
      </c>
      <c r="P193" s="3">
        <v>-1.08755835893964E-16</v>
      </c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x14ac:dyDescent="0.45">
      <c r="A194" s="3" t="s">
        <v>71</v>
      </c>
      <c r="B194" s="3" t="s">
        <v>26</v>
      </c>
      <c r="C194" s="3" t="s">
        <v>18</v>
      </c>
      <c r="D194" s="3" t="s">
        <v>14</v>
      </c>
      <c r="E194" s="3" t="s">
        <v>8</v>
      </c>
      <c r="F194" s="3">
        <v>0</v>
      </c>
      <c r="G194" s="3">
        <v>0</v>
      </c>
      <c r="H194" s="3">
        <v>0</v>
      </c>
      <c r="I194" s="3">
        <v>-9.1072982488782397E-17</v>
      </c>
      <c r="J194" s="3">
        <v>-1.5959455978986601E-16</v>
      </c>
      <c r="K194" s="3">
        <v>0</v>
      </c>
      <c r="L194" s="3">
        <v>2.6050816504833198E-16</v>
      </c>
      <c r="M194" s="3">
        <v>0</v>
      </c>
      <c r="N194" s="3">
        <v>-1.5933994561208699E-16</v>
      </c>
      <c r="O194" s="3">
        <v>3.5155956254095398E-16</v>
      </c>
      <c r="P194" s="3">
        <v>0</v>
      </c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x14ac:dyDescent="0.45">
      <c r="A195" s="3" t="s">
        <v>71</v>
      </c>
      <c r="B195" s="3" t="s">
        <v>26</v>
      </c>
      <c r="C195" s="3" t="s">
        <v>19</v>
      </c>
      <c r="D195" s="3" t="s">
        <v>10</v>
      </c>
      <c r="E195" s="3" t="s">
        <v>8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4.1030997818056701E-4</v>
      </c>
      <c r="M195" s="3">
        <v>3.8665633866566498E-3</v>
      </c>
      <c r="N195" s="3">
        <v>7.3081771936452803E-3</v>
      </c>
      <c r="O195" s="3">
        <v>1.3255943282859201E-2</v>
      </c>
      <c r="P195" s="3">
        <v>3.2597396192893202E-2</v>
      </c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x14ac:dyDescent="0.45">
      <c r="A196" s="3" t="s">
        <v>71</v>
      </c>
      <c r="B196" s="3" t="s">
        <v>26</v>
      </c>
      <c r="C196" s="3" t="s">
        <v>19</v>
      </c>
      <c r="D196" s="3" t="s">
        <v>11</v>
      </c>
      <c r="E196" s="3" t="s">
        <v>8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1.57234308665259E-3</v>
      </c>
      <c r="L196" s="3">
        <v>5.1930535690019597E-3</v>
      </c>
      <c r="M196" s="3">
        <v>4.2299493050948003E-2</v>
      </c>
      <c r="N196" s="3">
        <v>0.110988389594814</v>
      </c>
      <c r="O196" s="3">
        <v>0.20542510319414001</v>
      </c>
      <c r="P196" s="3">
        <v>0.29278489251165302</v>
      </c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x14ac:dyDescent="0.45">
      <c r="A197" s="3" t="s">
        <v>71</v>
      </c>
      <c r="B197" s="3" t="s">
        <v>26</v>
      </c>
      <c r="C197" s="3" t="s">
        <v>19</v>
      </c>
      <c r="D197" s="3" t="s">
        <v>12</v>
      </c>
      <c r="E197" s="3" t="s">
        <v>8</v>
      </c>
      <c r="F197" s="3">
        <v>0</v>
      </c>
      <c r="G197" s="3">
        <v>0</v>
      </c>
      <c r="H197" s="3">
        <v>0</v>
      </c>
      <c r="I197" s="3">
        <v>0</v>
      </c>
      <c r="J197" s="3">
        <v>1.2527183419086801E-3</v>
      </c>
      <c r="K197" s="3">
        <v>5.2952833332762503E-2</v>
      </c>
      <c r="L197" s="3">
        <v>0.15676956325190899</v>
      </c>
      <c r="M197" s="3">
        <v>0.25967472411675602</v>
      </c>
      <c r="N197" s="3">
        <v>0.32885593763654503</v>
      </c>
      <c r="O197" s="3">
        <v>0.32709180745391703</v>
      </c>
      <c r="P197" s="3">
        <v>0.24349220693206899</v>
      </c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x14ac:dyDescent="0.45">
      <c r="A198" s="3" t="s">
        <v>71</v>
      </c>
      <c r="B198" s="3" t="s">
        <v>26</v>
      </c>
      <c r="C198" s="3" t="s">
        <v>19</v>
      </c>
      <c r="D198" s="3" t="s">
        <v>13</v>
      </c>
      <c r="E198" s="3" t="s">
        <v>8</v>
      </c>
      <c r="F198" s="3">
        <v>0</v>
      </c>
      <c r="G198" s="3">
        <v>0</v>
      </c>
      <c r="H198" s="3">
        <v>0</v>
      </c>
      <c r="I198" s="3">
        <v>4.7654054002397098E-2</v>
      </c>
      <c r="J198" s="3">
        <v>0.23387394030563399</v>
      </c>
      <c r="K198" s="3">
        <v>0.41508586837772699</v>
      </c>
      <c r="L198" s="3">
        <v>0.44521225314548002</v>
      </c>
      <c r="M198" s="3">
        <v>0.32502344747745898</v>
      </c>
      <c r="N198" s="3">
        <v>0.18235221269445501</v>
      </c>
      <c r="O198" s="3">
        <v>7.97519022767572E-2</v>
      </c>
      <c r="P198" s="3">
        <v>4.7566371196717798E-2</v>
      </c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x14ac:dyDescent="0.45">
      <c r="A199" s="3" t="s">
        <v>71</v>
      </c>
      <c r="B199" s="3" t="s">
        <v>26</v>
      </c>
      <c r="C199" s="3" t="s">
        <v>19</v>
      </c>
      <c r="D199" s="3" t="s">
        <v>14</v>
      </c>
      <c r="E199" s="3" t="s">
        <v>8</v>
      </c>
      <c r="F199" s="3">
        <v>0</v>
      </c>
      <c r="G199" s="3">
        <v>5.7915706127786197E-4</v>
      </c>
      <c r="H199" s="3">
        <v>5.7915706127786197E-4</v>
      </c>
      <c r="I199" s="3">
        <v>0.222128317720482</v>
      </c>
      <c r="J199" s="3">
        <v>0.33353745057427903</v>
      </c>
      <c r="K199" s="3">
        <v>0.18365043358852001</v>
      </c>
      <c r="L199" s="3">
        <v>4.9772173094232999E-2</v>
      </c>
      <c r="M199" s="3">
        <v>2.3589289934810201E-2</v>
      </c>
      <c r="N199" s="3">
        <v>2.3155990436303099E-2</v>
      </c>
      <c r="O199" s="3">
        <v>2.4945428201526499E-2</v>
      </c>
      <c r="P199" s="3">
        <v>2.5857366455736001E-2</v>
      </c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x14ac:dyDescent="0.45">
      <c r="A200" s="3" t="s">
        <v>72</v>
      </c>
      <c r="B200" s="3" t="s">
        <v>21</v>
      </c>
      <c r="C200" s="3" t="s">
        <v>6</v>
      </c>
      <c r="D200" s="3" t="s">
        <v>11</v>
      </c>
      <c r="E200" s="3" t="s">
        <v>8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1.2578210614509801E-3</v>
      </c>
      <c r="M200" s="3">
        <v>6.0777933274403801E-3</v>
      </c>
      <c r="N200" s="3">
        <v>1.50742335745502E-2</v>
      </c>
      <c r="O200" s="3">
        <v>2.35239093868806E-2</v>
      </c>
      <c r="P200" s="3">
        <v>2.8864047758256201E-2</v>
      </c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x14ac:dyDescent="0.45">
      <c r="A201" s="3" t="s">
        <v>72</v>
      </c>
      <c r="B201" s="3" t="s">
        <v>21</v>
      </c>
      <c r="C201" s="3" t="s">
        <v>6</v>
      </c>
      <c r="D201" s="3" t="s">
        <v>12</v>
      </c>
      <c r="E201" s="3" t="s">
        <v>8</v>
      </c>
      <c r="F201" s="3">
        <v>0</v>
      </c>
      <c r="G201" s="3">
        <v>0</v>
      </c>
      <c r="H201" s="3">
        <v>0</v>
      </c>
      <c r="I201" s="3">
        <v>0</v>
      </c>
      <c r="J201" s="3">
        <v>9.3365889668736899E-5</v>
      </c>
      <c r="K201" s="3">
        <v>5.8713381772702898E-3</v>
      </c>
      <c r="L201" s="3">
        <v>1.6269805365768102E-2</v>
      </c>
      <c r="M201" s="3">
        <v>2.4308042226264901E-2</v>
      </c>
      <c r="N201" s="3">
        <v>2.6600930928912501E-2</v>
      </c>
      <c r="O201" s="3">
        <v>2.7438707347719998E-2</v>
      </c>
      <c r="P201" s="3">
        <v>2.8205616445885599E-2</v>
      </c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x14ac:dyDescent="0.45">
      <c r="A202" s="3" t="s">
        <v>72</v>
      </c>
      <c r="B202" s="3" t="s">
        <v>21</v>
      </c>
      <c r="C202" s="3" t="s">
        <v>6</v>
      </c>
      <c r="D202" s="3" t="s">
        <v>13</v>
      </c>
      <c r="E202" s="3" t="s">
        <v>8</v>
      </c>
      <c r="F202" s="3">
        <v>0</v>
      </c>
      <c r="G202" s="3">
        <v>0</v>
      </c>
      <c r="H202" s="3">
        <v>0</v>
      </c>
      <c r="I202" s="3">
        <v>6.2452000696063504E-3</v>
      </c>
      <c r="J202" s="3">
        <v>2.1408357343315899E-2</v>
      </c>
      <c r="K202" s="3">
        <v>3.1192722948590001E-2</v>
      </c>
      <c r="L202" s="3">
        <v>3.3297043055636397E-2</v>
      </c>
      <c r="M202" s="3">
        <v>3.3827125442541101E-2</v>
      </c>
      <c r="N202" s="3">
        <v>3.5847595587520702E-2</v>
      </c>
      <c r="O202" s="3">
        <v>3.7485613533379397E-2</v>
      </c>
      <c r="P202" s="3">
        <v>3.7052705214371401E-2</v>
      </c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x14ac:dyDescent="0.45">
      <c r="A203" s="3" t="s">
        <v>72</v>
      </c>
      <c r="B203" s="3" t="s">
        <v>21</v>
      </c>
      <c r="C203" s="3" t="s">
        <v>6</v>
      </c>
      <c r="D203" s="3" t="s">
        <v>14</v>
      </c>
      <c r="E203" s="3" t="s">
        <v>8</v>
      </c>
      <c r="F203" s="3">
        <v>0</v>
      </c>
      <c r="G203" s="3">
        <v>0</v>
      </c>
      <c r="H203" s="3">
        <v>0</v>
      </c>
      <c r="I203" s="3">
        <v>1.34771539495837E-2</v>
      </c>
      <c r="J203" s="3">
        <v>1.62039642258212E-2</v>
      </c>
      <c r="K203" s="3">
        <v>1.6572143707573001E-2</v>
      </c>
      <c r="L203" s="3">
        <v>1.8214815403121799E-2</v>
      </c>
      <c r="M203" s="3">
        <v>2.0268091581201401E-2</v>
      </c>
      <c r="N203" s="3">
        <v>2.2524907828754999E-2</v>
      </c>
      <c r="O203" s="3">
        <v>2.3540734216984101E-2</v>
      </c>
      <c r="P203" s="3">
        <v>2.41768987706245E-2</v>
      </c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x14ac:dyDescent="0.45">
      <c r="A204" s="3" t="s">
        <v>72</v>
      </c>
      <c r="B204" s="3" t="s">
        <v>21</v>
      </c>
      <c r="C204" s="3" t="s">
        <v>15</v>
      </c>
      <c r="D204" s="3" t="s">
        <v>7</v>
      </c>
      <c r="E204" s="3" t="s">
        <v>8</v>
      </c>
      <c r="F204" s="3">
        <v>7.1866015202067196E-3</v>
      </c>
      <c r="G204" s="3">
        <v>6.5425268400630503E-3</v>
      </c>
      <c r="H204" s="3">
        <v>6.5425268400630503E-3</v>
      </c>
      <c r="I204" s="3">
        <v>7.1238906866178198E-3</v>
      </c>
      <c r="J204" s="3">
        <v>7.8608535409379308E-3</v>
      </c>
      <c r="K204" s="3">
        <v>8.2489719088678897E-3</v>
      </c>
      <c r="L204" s="3">
        <v>8.5526983037549804E-3</v>
      </c>
      <c r="M204" s="3">
        <v>8.1553123940634499E-3</v>
      </c>
      <c r="N204" s="3">
        <v>8.4715671562289093E-3</v>
      </c>
      <c r="O204" s="3">
        <v>8.7405979012214995E-3</v>
      </c>
      <c r="P204" s="3">
        <v>8.5339175759251897E-3</v>
      </c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x14ac:dyDescent="0.45">
      <c r="A205" s="3" t="s">
        <v>72</v>
      </c>
      <c r="B205" s="3" t="s">
        <v>21</v>
      </c>
      <c r="C205" s="3" t="s">
        <v>15</v>
      </c>
      <c r="D205" s="3" t="s">
        <v>9</v>
      </c>
      <c r="E205" s="3" t="s">
        <v>8</v>
      </c>
      <c r="F205" s="3">
        <v>0</v>
      </c>
      <c r="G205" s="3">
        <v>1.2373285499843801E-6</v>
      </c>
      <c r="H205" s="3">
        <v>1.2373285499843801E-6</v>
      </c>
      <c r="I205" s="3">
        <v>2.86534859401843E-4</v>
      </c>
      <c r="J205" s="3">
        <v>2.64258893654069E-4</v>
      </c>
      <c r="K205" s="3">
        <v>-1.6734179977596599E-4</v>
      </c>
      <c r="L205" s="3">
        <v>-1.4259190196918099E-5</v>
      </c>
      <c r="M205" s="3">
        <v>3.7920652900081498E-4</v>
      </c>
      <c r="N205" s="3">
        <v>1.6015584149223E-3</v>
      </c>
      <c r="O205" s="3">
        <v>1.3895505726800399E-3</v>
      </c>
      <c r="P205" s="3">
        <v>1.6538194507202E-3</v>
      </c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x14ac:dyDescent="0.45">
      <c r="A206" s="3" t="s">
        <v>72</v>
      </c>
      <c r="B206" s="3" t="s">
        <v>21</v>
      </c>
      <c r="C206" s="3" t="s">
        <v>15</v>
      </c>
      <c r="D206" s="3" t="s">
        <v>10</v>
      </c>
      <c r="E206" s="3" t="s">
        <v>8</v>
      </c>
      <c r="F206" s="3">
        <v>0</v>
      </c>
      <c r="G206" s="3">
        <v>-9.8772730942643694E-6</v>
      </c>
      <c r="H206" s="3">
        <v>-9.8772730942643694E-6</v>
      </c>
      <c r="I206" s="3">
        <v>9.4570338006270106E-5</v>
      </c>
      <c r="J206" s="3">
        <v>1.9814742035911802E-5</v>
      </c>
      <c r="K206" s="3">
        <v>4.3720458058060801E-7</v>
      </c>
      <c r="L206" s="3">
        <v>1.38060900785188E-3</v>
      </c>
      <c r="M206" s="3">
        <v>1.5199007012575299E-3</v>
      </c>
      <c r="N206" s="3">
        <v>7.1819449859848006E-5</v>
      </c>
      <c r="O206" s="3">
        <v>9.5088860392686007E-5</v>
      </c>
      <c r="P206" s="3">
        <v>7.7331746994509606E-5</v>
      </c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x14ac:dyDescent="0.45">
      <c r="A207" s="3" t="s">
        <v>72</v>
      </c>
      <c r="B207" s="3" t="s">
        <v>21</v>
      </c>
      <c r="C207" s="3" t="s">
        <v>15</v>
      </c>
      <c r="D207" s="3" t="s">
        <v>11</v>
      </c>
      <c r="E207" s="3" t="s">
        <v>8</v>
      </c>
      <c r="F207" s="3">
        <v>0</v>
      </c>
      <c r="G207" s="3">
        <v>-8.9251370756406697E-7</v>
      </c>
      <c r="H207" s="3">
        <v>-8.9251370756406697E-7</v>
      </c>
      <c r="I207" s="3">
        <v>-4.0147962444743599E-5</v>
      </c>
      <c r="J207" s="3">
        <v>1.7301312901238099E-3</v>
      </c>
      <c r="K207" s="3">
        <v>1.81796583568769E-3</v>
      </c>
      <c r="L207" s="3">
        <v>1.3917166286745201E-4</v>
      </c>
      <c r="M207" s="3">
        <v>6.2956766104835195E-5</v>
      </c>
      <c r="N207" s="3">
        <v>-1.93515648000218E-5</v>
      </c>
      <c r="O207" s="3">
        <v>6.2044231947918998E-4</v>
      </c>
      <c r="P207" s="3">
        <v>1.0463490988199E-3</v>
      </c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x14ac:dyDescent="0.45">
      <c r="A208" s="3" t="s">
        <v>72</v>
      </c>
      <c r="B208" s="3" t="s">
        <v>21</v>
      </c>
      <c r="C208" s="3" t="s">
        <v>15</v>
      </c>
      <c r="D208" s="3" t="s">
        <v>12</v>
      </c>
      <c r="E208" s="3" t="s">
        <v>8</v>
      </c>
      <c r="F208" s="3">
        <v>0</v>
      </c>
      <c r="G208" s="3">
        <v>-6.5640107410874098E-7</v>
      </c>
      <c r="H208" s="3">
        <v>-6.5640107410874098E-7</v>
      </c>
      <c r="I208" s="3">
        <v>2.0683222573079098E-3</v>
      </c>
      <c r="J208" s="3">
        <v>1.3344853211642001E-4</v>
      </c>
      <c r="K208" s="3">
        <v>1.8160260094828899E-4</v>
      </c>
      <c r="L208" s="3">
        <v>6.6569449207167799E-4</v>
      </c>
      <c r="M208" s="3">
        <v>1.3791327079709999E-3</v>
      </c>
      <c r="N208" s="3">
        <v>2.3649556432729399E-3</v>
      </c>
      <c r="O208" s="3">
        <v>2.1758580969095599E-3</v>
      </c>
      <c r="P208" s="3">
        <v>2.3964679859410599E-3</v>
      </c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x14ac:dyDescent="0.45">
      <c r="A209" s="3" t="s">
        <v>72</v>
      </c>
      <c r="B209" s="3" t="s">
        <v>21</v>
      </c>
      <c r="C209" s="3" t="s">
        <v>15</v>
      </c>
      <c r="D209" s="3" t="s">
        <v>13</v>
      </c>
      <c r="E209" s="3" t="s">
        <v>8</v>
      </c>
      <c r="F209" s="3">
        <v>0</v>
      </c>
      <c r="G209" s="3">
        <v>-1.67143706704741E-4</v>
      </c>
      <c r="H209" s="3">
        <v>-1.67143706704741E-4</v>
      </c>
      <c r="I209" s="3">
        <v>2.0749306437672601E-5</v>
      </c>
      <c r="J209" s="3">
        <v>1.09995502989893E-3</v>
      </c>
      <c r="K209" s="3">
        <v>1.7424788278736199E-3</v>
      </c>
      <c r="L209" s="3">
        <v>1.9943752732247901E-3</v>
      </c>
      <c r="M209" s="3">
        <v>2.2715467468524702E-3</v>
      </c>
      <c r="N209" s="3">
        <v>2.42062781256376E-3</v>
      </c>
      <c r="O209" s="3">
        <v>2.7679284686328099E-3</v>
      </c>
      <c r="P209" s="3">
        <v>3.12229719350699E-3</v>
      </c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x14ac:dyDescent="0.45">
      <c r="A210" s="3" t="s">
        <v>72</v>
      </c>
      <c r="B210" s="3" t="s">
        <v>21</v>
      </c>
      <c r="C210" s="3" t="s">
        <v>15</v>
      </c>
      <c r="D210" s="3" t="s">
        <v>14</v>
      </c>
      <c r="E210" s="3" t="s">
        <v>8</v>
      </c>
      <c r="F210" s="3">
        <v>0</v>
      </c>
      <c r="G210" s="3">
        <v>2.4080163627261202E-3</v>
      </c>
      <c r="H210" s="3">
        <v>2.4080163627261202E-3</v>
      </c>
      <c r="I210" s="3">
        <v>1.65975536994507E-3</v>
      </c>
      <c r="J210" s="3">
        <v>8.6454313518192995E-4</v>
      </c>
      <c r="K210" s="3">
        <v>9.4896664989250503E-4</v>
      </c>
      <c r="L210" s="3">
        <v>9.2961337236465401E-4</v>
      </c>
      <c r="M210" s="3">
        <v>8.9426007426728201E-4</v>
      </c>
      <c r="N210" s="3">
        <v>7.4255393948910995E-4</v>
      </c>
      <c r="O210" s="3">
        <v>5.2686477957398397E-4</v>
      </c>
      <c r="P210" s="3">
        <v>-1.2343187592331E-4</v>
      </c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x14ac:dyDescent="0.45">
      <c r="A211" s="3" t="s">
        <v>72</v>
      </c>
      <c r="B211" s="3" t="s">
        <v>21</v>
      </c>
      <c r="C211" s="3" t="s">
        <v>16</v>
      </c>
      <c r="D211" s="3" t="s">
        <v>7</v>
      </c>
      <c r="E211" s="3" t="s">
        <v>8</v>
      </c>
      <c r="F211" s="3">
        <v>8.5764182235280196E-3</v>
      </c>
      <c r="G211" s="3">
        <v>3.11112369436974E-3</v>
      </c>
      <c r="H211" s="3">
        <v>3.11112369436974E-3</v>
      </c>
      <c r="I211" s="3">
        <v>3.11112369436974E-3</v>
      </c>
      <c r="J211" s="3">
        <v>3.1587672625597199E-3</v>
      </c>
      <c r="K211" s="3">
        <v>3.1922477371707099E-3</v>
      </c>
      <c r="L211" s="3">
        <v>3.1922477371707099E-3</v>
      </c>
      <c r="M211" s="3">
        <v>3.2003626857552499E-3</v>
      </c>
      <c r="N211" s="3">
        <v>3.2004037660501201E-3</v>
      </c>
      <c r="O211" s="3">
        <v>3.2004037660501201E-3</v>
      </c>
      <c r="P211" s="3">
        <v>3.2004037660501201E-3</v>
      </c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x14ac:dyDescent="0.45">
      <c r="A212" s="3" t="s">
        <v>72</v>
      </c>
      <c r="B212" s="3" t="s">
        <v>21</v>
      </c>
      <c r="C212" s="3" t="s">
        <v>16</v>
      </c>
      <c r="D212" s="3" t="s">
        <v>9</v>
      </c>
      <c r="E212" s="3" t="s">
        <v>8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-3.5503796560034201E-6</v>
      </c>
      <c r="L212" s="3">
        <v>3.2420744578384201E-6</v>
      </c>
      <c r="M212" s="3">
        <v>4.1080294907111501E-8</v>
      </c>
      <c r="N212" s="3">
        <v>9.6141955594348702E-4</v>
      </c>
      <c r="O212" s="3">
        <v>9.6141955594348702E-4</v>
      </c>
      <c r="P212" s="3">
        <v>9.6141955594348702E-4</v>
      </c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x14ac:dyDescent="0.45">
      <c r="A213" s="3" t="s">
        <v>72</v>
      </c>
      <c r="B213" s="3" t="s">
        <v>21</v>
      </c>
      <c r="C213" s="3" t="s">
        <v>16</v>
      </c>
      <c r="D213" s="3" t="s">
        <v>10</v>
      </c>
      <c r="E213" s="3" t="s">
        <v>8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7.7174240828265499E-6</v>
      </c>
      <c r="L213" s="3">
        <v>9.6633351036506205E-4</v>
      </c>
      <c r="M213" s="3">
        <v>9.6141955594345005E-4</v>
      </c>
      <c r="N213" s="3">
        <v>0</v>
      </c>
      <c r="O213" s="3">
        <v>0</v>
      </c>
      <c r="P213" s="3">
        <v>1.8214596497756499E-17</v>
      </c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x14ac:dyDescent="0.45">
      <c r="A214" s="3" t="s">
        <v>72</v>
      </c>
      <c r="B214" s="3" t="s">
        <v>21</v>
      </c>
      <c r="C214" s="3" t="s">
        <v>16</v>
      </c>
      <c r="D214" s="3" t="s">
        <v>11</v>
      </c>
      <c r="E214" s="3" t="s">
        <v>8</v>
      </c>
      <c r="F214" s="3">
        <v>0</v>
      </c>
      <c r="G214" s="3">
        <v>0</v>
      </c>
      <c r="H214" s="3">
        <v>0</v>
      </c>
      <c r="I214" s="3">
        <v>0</v>
      </c>
      <c r="J214" s="3">
        <v>1.0030560594338901E-3</v>
      </c>
      <c r="K214" s="3">
        <v>9.6540854039609599E-4</v>
      </c>
      <c r="L214" s="3">
        <v>0</v>
      </c>
      <c r="M214" s="3">
        <v>0</v>
      </c>
      <c r="N214" s="3">
        <v>0</v>
      </c>
      <c r="O214" s="3">
        <v>0</v>
      </c>
      <c r="P214" s="3">
        <v>-1.8214596497756499E-17</v>
      </c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x14ac:dyDescent="0.45">
      <c r="A215" s="3" t="s">
        <v>72</v>
      </c>
      <c r="B215" s="3" t="s">
        <v>21</v>
      </c>
      <c r="C215" s="3" t="s">
        <v>16</v>
      </c>
      <c r="D215" s="3" t="s">
        <v>12</v>
      </c>
      <c r="E215" s="3" t="s">
        <v>8</v>
      </c>
      <c r="F215" s="3">
        <v>0</v>
      </c>
      <c r="G215" s="3">
        <v>0</v>
      </c>
      <c r="H215" s="3">
        <v>0</v>
      </c>
      <c r="I215" s="3">
        <v>1.0442990342708E-3</v>
      </c>
      <c r="J215" s="3">
        <v>0</v>
      </c>
      <c r="K215" s="3">
        <v>-1.8214596497756499E-17</v>
      </c>
      <c r="L215" s="3">
        <v>1.8214596497756499E-17</v>
      </c>
      <c r="M215" s="3">
        <v>1.8214596497756499E-17</v>
      </c>
      <c r="N215" s="3">
        <v>1.8214596497756499E-17</v>
      </c>
      <c r="O215" s="3">
        <v>1.8214596497756499E-17</v>
      </c>
      <c r="P215" s="3">
        <v>1.8214596497756499E-17</v>
      </c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x14ac:dyDescent="0.45">
      <c r="A216" s="3" t="s">
        <v>72</v>
      </c>
      <c r="B216" s="3" t="s">
        <v>21</v>
      </c>
      <c r="C216" s="3" t="s">
        <v>16</v>
      </c>
      <c r="D216" s="3" t="s">
        <v>13</v>
      </c>
      <c r="E216" s="3" t="s">
        <v>8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-1.8214596497756499E-17</v>
      </c>
      <c r="N216" s="3">
        <v>0</v>
      </c>
      <c r="O216" s="3">
        <v>-1.8214596497756499E-17</v>
      </c>
      <c r="P216" s="3">
        <v>0</v>
      </c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x14ac:dyDescent="0.45">
      <c r="A217" s="3" t="s">
        <v>72</v>
      </c>
      <c r="B217" s="3" t="s">
        <v>21</v>
      </c>
      <c r="C217" s="3" t="s">
        <v>16</v>
      </c>
      <c r="D217" s="3" t="s">
        <v>14</v>
      </c>
      <c r="E217" s="3" t="s">
        <v>8</v>
      </c>
      <c r="F217" s="3">
        <v>0</v>
      </c>
      <c r="G217" s="3">
        <v>1.0442990342708E-3</v>
      </c>
      <c r="H217" s="3">
        <v>1.0442990342708E-3</v>
      </c>
      <c r="I217" s="3">
        <v>6.4005933530734302E-6</v>
      </c>
      <c r="J217" s="3">
        <v>0</v>
      </c>
      <c r="K217" s="3">
        <v>0</v>
      </c>
      <c r="L217" s="3">
        <v>0</v>
      </c>
      <c r="M217" s="3">
        <v>1.8214596497756499E-17</v>
      </c>
      <c r="N217" s="3">
        <v>-1.8214596497756499E-17</v>
      </c>
      <c r="O217" s="3">
        <v>0</v>
      </c>
      <c r="P217" s="3">
        <v>0</v>
      </c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x14ac:dyDescent="0.45">
      <c r="A218" s="3" t="s">
        <v>72</v>
      </c>
      <c r="B218" s="3" t="s">
        <v>21</v>
      </c>
      <c r="C218" s="3" t="s">
        <v>17</v>
      </c>
      <c r="D218" s="3" t="s">
        <v>10</v>
      </c>
      <c r="E218" s="3" t="s">
        <v>8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6.5930310714613404E-3</v>
      </c>
      <c r="M218" s="3">
        <v>6.6743946504949402E-3</v>
      </c>
      <c r="N218" s="3">
        <v>1.5782965432753701E-3</v>
      </c>
      <c r="O218" s="3">
        <v>-1.1528739771723401E-4</v>
      </c>
      <c r="P218" s="3">
        <v>-5.5067309996156098E-5</v>
      </c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x14ac:dyDescent="0.45">
      <c r="A219" s="3" t="s">
        <v>72</v>
      </c>
      <c r="B219" s="3" t="s">
        <v>21</v>
      </c>
      <c r="C219" s="3" t="s">
        <v>17</v>
      </c>
      <c r="D219" s="3" t="s">
        <v>11</v>
      </c>
      <c r="E219" s="3" t="s">
        <v>8</v>
      </c>
      <c r="F219" s="3">
        <v>0</v>
      </c>
      <c r="G219" s="3">
        <v>0</v>
      </c>
      <c r="H219" s="3">
        <v>0</v>
      </c>
      <c r="I219" s="3">
        <v>0</v>
      </c>
      <c r="J219" s="3">
        <v>4.5833062877150199E-3</v>
      </c>
      <c r="K219" s="3">
        <v>6.3373811370297604E-3</v>
      </c>
      <c r="L219" s="3">
        <v>-1.79843946227997E-4</v>
      </c>
      <c r="M219" s="3">
        <v>2.23793445467582E-4</v>
      </c>
      <c r="N219" s="3">
        <v>1.52828513914648E-3</v>
      </c>
      <c r="O219" s="3">
        <v>2.2071724641278601E-3</v>
      </c>
      <c r="P219" s="3">
        <v>2.7155893433016098E-3</v>
      </c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x14ac:dyDescent="0.45">
      <c r="A220" s="3" t="s">
        <v>72</v>
      </c>
      <c r="B220" s="3" t="s">
        <v>21</v>
      </c>
      <c r="C220" s="3" t="s">
        <v>17</v>
      </c>
      <c r="D220" s="3" t="s">
        <v>12</v>
      </c>
      <c r="E220" s="3" t="s">
        <v>8</v>
      </c>
      <c r="F220" s="3">
        <v>0</v>
      </c>
      <c r="G220" s="3">
        <v>0</v>
      </c>
      <c r="H220" s="3">
        <v>0</v>
      </c>
      <c r="I220" s="3">
        <v>3.9984999446499997E-3</v>
      </c>
      <c r="J220" s="3">
        <v>1.86700601491673E-3</v>
      </c>
      <c r="K220" s="3">
        <v>8.3152754242619704E-4</v>
      </c>
      <c r="L220" s="3">
        <v>2.3129866146797901E-3</v>
      </c>
      <c r="M220" s="3">
        <v>2.4382298186957298E-3</v>
      </c>
      <c r="N220" s="3">
        <v>2.1643291007279199E-3</v>
      </c>
      <c r="O220" s="3">
        <v>2.83856097422932E-3</v>
      </c>
      <c r="P220" s="3">
        <v>3.6658059376649598E-3</v>
      </c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x14ac:dyDescent="0.45">
      <c r="A221" s="3" t="s">
        <v>72</v>
      </c>
      <c r="B221" s="3" t="s">
        <v>21</v>
      </c>
      <c r="C221" s="3" t="s">
        <v>17</v>
      </c>
      <c r="D221" s="3" t="s">
        <v>13</v>
      </c>
      <c r="E221" s="3" t="s">
        <v>8</v>
      </c>
      <c r="F221" s="3">
        <v>0</v>
      </c>
      <c r="G221" s="3">
        <v>0</v>
      </c>
      <c r="H221" s="3">
        <v>0</v>
      </c>
      <c r="I221" s="3">
        <v>3.7669379642490401E-3</v>
      </c>
      <c r="J221" s="3">
        <v>2.7041535653920599E-3</v>
      </c>
      <c r="K221" s="3">
        <v>3.6028699438922498E-3</v>
      </c>
      <c r="L221" s="3">
        <v>4.41719118668411E-3</v>
      </c>
      <c r="M221" s="3">
        <v>6.8037152776034499E-3</v>
      </c>
      <c r="N221" s="3">
        <v>9.1078350294940304E-3</v>
      </c>
      <c r="O221" s="3">
        <v>1.13242372311202E-2</v>
      </c>
      <c r="P221" s="3">
        <v>1.36348857626952E-2</v>
      </c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x14ac:dyDescent="0.45">
      <c r="A222" s="3" t="s">
        <v>72</v>
      </c>
      <c r="B222" s="3" t="s">
        <v>21</v>
      </c>
      <c r="C222" s="3" t="s">
        <v>17</v>
      </c>
      <c r="D222" s="3" t="s">
        <v>14</v>
      </c>
      <c r="E222" s="3" t="s">
        <v>8</v>
      </c>
      <c r="F222" s="3">
        <v>0</v>
      </c>
      <c r="G222" s="3">
        <v>5.1262395894781897E-3</v>
      </c>
      <c r="H222" s="3">
        <v>5.1262395894781897E-3</v>
      </c>
      <c r="I222" s="3">
        <v>1.6110307266845999E-3</v>
      </c>
      <c r="J222" s="3">
        <v>3.2632117074034299E-3</v>
      </c>
      <c r="K222" s="3">
        <v>5.5866763757991596E-3</v>
      </c>
      <c r="L222" s="3">
        <v>8.0202719131942397E-3</v>
      </c>
      <c r="M222" s="3">
        <v>1.0402620553099901E-2</v>
      </c>
      <c r="N222" s="3">
        <v>1.24929715164835E-2</v>
      </c>
      <c r="O222" s="3">
        <v>1.36701202969816E-2</v>
      </c>
      <c r="P222" s="3">
        <v>1.33048385753552E-2</v>
      </c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x14ac:dyDescent="0.45">
      <c r="A223" s="3" t="s">
        <v>72</v>
      </c>
      <c r="B223" s="3" t="s">
        <v>21</v>
      </c>
      <c r="C223" s="3" t="s">
        <v>18</v>
      </c>
      <c r="D223" s="3" t="s">
        <v>7</v>
      </c>
      <c r="E223" s="3" t="s">
        <v>8</v>
      </c>
      <c r="F223" s="3">
        <v>1.06585194979358E-3</v>
      </c>
      <c r="G223" s="3">
        <v>7.0770454134133399E-6</v>
      </c>
      <c r="H223" s="3">
        <v>7.0770454134133399E-6</v>
      </c>
      <c r="I223" s="3">
        <v>4.71803027560957E-6</v>
      </c>
      <c r="J223" s="3">
        <v>2.3590151378047901E-6</v>
      </c>
      <c r="K223" s="3">
        <v>0</v>
      </c>
      <c r="L223" s="3">
        <v>1.0075743520316999E-18</v>
      </c>
      <c r="M223" s="3">
        <v>1.0075743520316999E-18</v>
      </c>
      <c r="N223" s="3">
        <v>1.0075743520316999E-18</v>
      </c>
      <c r="O223" s="3">
        <v>0</v>
      </c>
      <c r="P223" s="3">
        <v>0</v>
      </c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x14ac:dyDescent="0.45">
      <c r="A224" s="3" t="s">
        <v>72</v>
      </c>
      <c r="B224" s="3" t="s">
        <v>21</v>
      </c>
      <c r="C224" s="3" t="s">
        <v>18</v>
      </c>
      <c r="D224" s="3" t="s">
        <v>9</v>
      </c>
      <c r="E224" s="3" t="s">
        <v>8</v>
      </c>
      <c r="F224" s="3">
        <v>0</v>
      </c>
      <c r="G224" s="3">
        <v>0</v>
      </c>
      <c r="H224" s="3">
        <v>0</v>
      </c>
      <c r="I224" s="3">
        <v>-2.0150913815179801E-18</v>
      </c>
      <c r="J224" s="3">
        <v>-5.0821976835258001E-19</v>
      </c>
      <c r="K224" s="3">
        <v>5.0378717601584996E-19</v>
      </c>
      <c r="L224" s="3">
        <v>0</v>
      </c>
      <c r="M224" s="3">
        <v>0</v>
      </c>
      <c r="N224" s="3">
        <v>-1.0075743520316999E-18</v>
      </c>
      <c r="O224" s="3">
        <v>0</v>
      </c>
      <c r="P224" s="3">
        <v>2.0151487040634099E-18</v>
      </c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x14ac:dyDescent="0.45">
      <c r="A225" s="3" t="s">
        <v>72</v>
      </c>
      <c r="B225" s="3" t="s">
        <v>21</v>
      </c>
      <c r="C225" s="3" t="s">
        <v>18</v>
      </c>
      <c r="D225" s="3" t="s">
        <v>10</v>
      </c>
      <c r="E225" s="3" t="s">
        <v>8</v>
      </c>
      <c r="F225" s="3">
        <v>0</v>
      </c>
      <c r="G225" s="3">
        <v>0</v>
      </c>
      <c r="H225" s="3">
        <v>0</v>
      </c>
      <c r="I225" s="3">
        <v>1.5068716131653999E-18</v>
      </c>
      <c r="J225" s="3">
        <v>2.5228876333969301E-18</v>
      </c>
      <c r="K225" s="3">
        <v>-5.0378717601584996E-19</v>
      </c>
      <c r="L225" s="3">
        <v>-1.0075743520316999E-18</v>
      </c>
      <c r="M225" s="3">
        <v>-1.0075743520316999E-18</v>
      </c>
      <c r="N225" s="3">
        <v>1.5113615280475501E-18</v>
      </c>
      <c r="O225" s="3">
        <v>0</v>
      </c>
      <c r="P225" s="3">
        <v>5.0378717601585198E-19</v>
      </c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x14ac:dyDescent="0.45">
      <c r="A226" s="3" t="s">
        <v>72</v>
      </c>
      <c r="B226" s="3" t="s">
        <v>21</v>
      </c>
      <c r="C226" s="3" t="s">
        <v>18</v>
      </c>
      <c r="D226" s="3" t="s">
        <v>11</v>
      </c>
      <c r="E226" s="3" t="s">
        <v>8</v>
      </c>
      <c r="F226" s="3">
        <v>0</v>
      </c>
      <c r="G226" s="3">
        <v>-1.5068716131653999E-18</v>
      </c>
      <c r="H226" s="3">
        <v>-1.5068716131653999E-18</v>
      </c>
      <c r="I226" s="3">
        <v>-1.5068716131653999E-18</v>
      </c>
      <c r="J226" s="3">
        <v>5.0821976835258001E-19</v>
      </c>
      <c r="K226" s="3">
        <v>1.0075743520316999E-18</v>
      </c>
      <c r="L226" s="3">
        <v>2.0151487040634099E-18</v>
      </c>
      <c r="M226" s="3">
        <v>6.0454461121902103E-18</v>
      </c>
      <c r="N226" s="3">
        <v>-1.5113615280475501E-18</v>
      </c>
      <c r="O226" s="3">
        <v>1.05795306963329E-17</v>
      </c>
      <c r="P226" s="3">
        <v>-2.5189358800792598E-18</v>
      </c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x14ac:dyDescent="0.45">
      <c r="A227" s="3" t="s">
        <v>72</v>
      </c>
      <c r="B227" s="3" t="s">
        <v>21</v>
      </c>
      <c r="C227" s="3" t="s">
        <v>18</v>
      </c>
      <c r="D227" s="3" t="s">
        <v>12</v>
      </c>
      <c r="E227" s="3" t="s">
        <v>8</v>
      </c>
      <c r="F227" s="3">
        <v>0</v>
      </c>
      <c r="G227" s="3">
        <v>0</v>
      </c>
      <c r="H227" s="3">
        <v>0</v>
      </c>
      <c r="I227" s="3">
        <v>1.5068716131653999E-18</v>
      </c>
      <c r="J227" s="3">
        <v>-4.0293357300887098E-18</v>
      </c>
      <c r="K227" s="3">
        <v>0</v>
      </c>
      <c r="L227" s="3">
        <v>-2.0151487040634099E-18</v>
      </c>
      <c r="M227" s="3">
        <v>3.0227230560951001E-18</v>
      </c>
      <c r="N227" s="3">
        <v>0</v>
      </c>
      <c r="O227" s="3">
        <v>4.0302974081267997E-18</v>
      </c>
      <c r="P227" s="3">
        <v>5.5416589361743599E-18</v>
      </c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x14ac:dyDescent="0.45">
      <c r="A228" s="3" t="s">
        <v>72</v>
      </c>
      <c r="B228" s="3" t="s">
        <v>21</v>
      </c>
      <c r="C228" s="3" t="s">
        <v>18</v>
      </c>
      <c r="D228" s="3" t="s">
        <v>13</v>
      </c>
      <c r="E228" s="3" t="s">
        <v>8</v>
      </c>
      <c r="F228" s="3">
        <v>0</v>
      </c>
      <c r="G228" s="3">
        <v>-5.0821976835258001E-19</v>
      </c>
      <c r="H228" s="3">
        <v>-5.0821976835258001E-19</v>
      </c>
      <c r="I228" s="3">
        <v>-5.0821976835258001E-19</v>
      </c>
      <c r="J228" s="3">
        <v>-6.5526468799592697E-18</v>
      </c>
      <c r="K228" s="3">
        <v>5.0378717601584996E-19</v>
      </c>
      <c r="L228" s="3">
        <v>0</v>
      </c>
      <c r="M228" s="3">
        <v>-3.0227230560951001E-18</v>
      </c>
      <c r="N228" s="3">
        <v>1.30984665764121E-17</v>
      </c>
      <c r="O228" s="3">
        <v>-1.05795306963329E-17</v>
      </c>
      <c r="P228" s="3">
        <v>-1.5113615280475601E-18</v>
      </c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x14ac:dyDescent="0.45">
      <c r="A229" s="3" t="s">
        <v>72</v>
      </c>
      <c r="B229" s="3" t="s">
        <v>21</v>
      </c>
      <c r="C229" s="3" t="s">
        <v>18</v>
      </c>
      <c r="D229" s="3" t="s">
        <v>14</v>
      </c>
      <c r="E229" s="3" t="s">
        <v>8</v>
      </c>
      <c r="F229" s="3">
        <v>0</v>
      </c>
      <c r="G229" s="3">
        <v>-1.01643953670516E-18</v>
      </c>
      <c r="H229" s="3">
        <v>-1.01643953670516E-18</v>
      </c>
      <c r="I229" s="3">
        <v>-8.0586714601774103E-18</v>
      </c>
      <c r="J229" s="3">
        <v>-3.0311074017495099E-18</v>
      </c>
      <c r="K229" s="3">
        <v>8.5643819922694497E-18</v>
      </c>
      <c r="L229" s="3">
        <v>0</v>
      </c>
      <c r="M229" s="3">
        <v>-6.0454461121902103E-18</v>
      </c>
      <c r="N229" s="3">
        <v>-1.30984665764121E-17</v>
      </c>
      <c r="O229" s="3">
        <v>-4.0302974081267997E-18</v>
      </c>
      <c r="P229" s="3">
        <v>2.01514870406341E-17</v>
      </c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x14ac:dyDescent="0.45">
      <c r="A230" s="3" t="s">
        <v>72</v>
      </c>
      <c r="B230" s="3" t="s">
        <v>21</v>
      </c>
      <c r="C230" s="3" t="s">
        <v>19</v>
      </c>
      <c r="D230" s="3" t="s">
        <v>12</v>
      </c>
      <c r="E230" s="3" t="s">
        <v>8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4.8882080556091902E-4</v>
      </c>
      <c r="N230" s="3">
        <v>2.0426409970076302E-3</v>
      </c>
      <c r="O230" s="3">
        <v>4.8754554133748802E-3</v>
      </c>
      <c r="P230" s="3">
        <v>6.70140307712186E-3</v>
      </c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x14ac:dyDescent="0.45">
      <c r="A231" s="3" t="s">
        <v>72</v>
      </c>
      <c r="B231" s="3" t="s">
        <v>21</v>
      </c>
      <c r="C231" s="3" t="s">
        <v>19</v>
      </c>
      <c r="D231" s="3" t="s">
        <v>13</v>
      </c>
      <c r="E231" s="3" t="s">
        <v>8</v>
      </c>
      <c r="F231" s="3">
        <v>0</v>
      </c>
      <c r="G231" s="3">
        <v>0</v>
      </c>
      <c r="H231" s="3">
        <v>0</v>
      </c>
      <c r="I231" s="3">
        <v>0</v>
      </c>
      <c r="J231" s="3">
        <v>6.2867645730283503E-4</v>
      </c>
      <c r="K231" s="3">
        <v>3.9269869187415502E-3</v>
      </c>
      <c r="L231" s="3">
        <v>9.6620290947480106E-3</v>
      </c>
      <c r="M231" s="3">
        <v>1.6208077596476599E-2</v>
      </c>
      <c r="N231" s="3">
        <v>2.28229092301847E-2</v>
      </c>
      <c r="O231" s="3">
        <v>2.8788191051411699E-2</v>
      </c>
      <c r="P231" s="3">
        <v>3.5005296983042299E-2</v>
      </c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x14ac:dyDescent="0.45">
      <c r="A232" s="3" t="s">
        <v>72</v>
      </c>
      <c r="B232" s="3" t="s">
        <v>21</v>
      </c>
      <c r="C232" s="3" t="s">
        <v>19</v>
      </c>
      <c r="D232" s="3" t="s">
        <v>14</v>
      </c>
      <c r="E232" s="3" t="s">
        <v>8</v>
      </c>
      <c r="F232" s="3">
        <v>0</v>
      </c>
      <c r="G232" s="3">
        <v>0</v>
      </c>
      <c r="H232" s="3">
        <v>0</v>
      </c>
      <c r="I232" s="3">
        <v>1.66609502974214E-3</v>
      </c>
      <c r="J232" s="3">
        <v>8.2450966883794007E-3</v>
      </c>
      <c r="K232" s="3">
        <v>1.4912443296884801E-2</v>
      </c>
      <c r="L232" s="3">
        <v>2.22219003194657E-2</v>
      </c>
      <c r="M232" s="3">
        <v>2.9846745951260099E-2</v>
      </c>
      <c r="N232" s="3">
        <v>3.5607797410010703E-2</v>
      </c>
      <c r="O232" s="3">
        <v>3.8864680070219801E-2</v>
      </c>
      <c r="P232" s="3">
        <v>3.85355745488681E-2</v>
      </c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x14ac:dyDescent="0.45">
      <c r="A233" s="3" t="s">
        <v>73</v>
      </c>
      <c r="B233" s="3" t="s">
        <v>22</v>
      </c>
      <c r="C233" s="3" t="s">
        <v>6</v>
      </c>
      <c r="D233" s="3" t="s">
        <v>10</v>
      </c>
      <c r="E233" s="3" t="s">
        <v>8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5.49423489706495E-5</v>
      </c>
      <c r="M233" s="3">
        <v>3.6202423373672299E-2</v>
      </c>
      <c r="N233" s="3">
        <v>0.122597104437417</v>
      </c>
      <c r="O233" s="3">
        <v>0.27619067308254702</v>
      </c>
      <c r="P233" s="3">
        <v>0.43355264192510401</v>
      </c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x14ac:dyDescent="0.45">
      <c r="A234" s="3" t="s">
        <v>73</v>
      </c>
      <c r="B234" s="3" t="s">
        <v>22</v>
      </c>
      <c r="C234" s="3" t="s">
        <v>6</v>
      </c>
      <c r="D234" s="3" t="s">
        <v>11</v>
      </c>
      <c r="E234" s="3" t="s">
        <v>8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3.2449336028128703E-2</v>
      </c>
      <c r="L234" s="3">
        <v>0.163822192811964</v>
      </c>
      <c r="M234" s="3">
        <v>0.35261878123311702</v>
      </c>
      <c r="N234" s="3">
        <v>0.480378610165895</v>
      </c>
      <c r="O234" s="3">
        <v>0.51761500285866702</v>
      </c>
      <c r="P234" s="3">
        <v>0.49726904935021199</v>
      </c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x14ac:dyDescent="0.45">
      <c r="A235" s="3" t="s">
        <v>73</v>
      </c>
      <c r="B235" s="3" t="s">
        <v>22</v>
      </c>
      <c r="C235" s="3" t="s">
        <v>6</v>
      </c>
      <c r="D235" s="3" t="s">
        <v>12</v>
      </c>
      <c r="E235" s="3" t="s">
        <v>8</v>
      </c>
      <c r="F235" s="3">
        <v>0</v>
      </c>
      <c r="G235" s="3">
        <v>0</v>
      </c>
      <c r="H235" s="3">
        <v>0</v>
      </c>
      <c r="I235" s="3">
        <v>0</v>
      </c>
      <c r="J235" s="3">
        <v>6.7106342581820494E-2</v>
      </c>
      <c r="K235" s="3">
        <v>0.26990927980500701</v>
      </c>
      <c r="L235" s="3">
        <v>0.38447271807101602</v>
      </c>
      <c r="M235" s="3">
        <v>0.371859124557405</v>
      </c>
      <c r="N235" s="3">
        <v>0.32301739940409602</v>
      </c>
      <c r="O235" s="3">
        <v>0.268579404187621</v>
      </c>
      <c r="P235" s="3">
        <v>0.213983438207141</v>
      </c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x14ac:dyDescent="0.45">
      <c r="A236" s="3" t="s">
        <v>73</v>
      </c>
      <c r="B236" s="3" t="s">
        <v>22</v>
      </c>
      <c r="C236" s="3" t="s">
        <v>6</v>
      </c>
      <c r="D236" s="3" t="s">
        <v>13</v>
      </c>
      <c r="E236" s="3" t="s">
        <v>8</v>
      </c>
      <c r="F236" s="3">
        <v>0</v>
      </c>
      <c r="G236" s="3">
        <v>0</v>
      </c>
      <c r="H236" s="3">
        <v>0</v>
      </c>
      <c r="I236" s="3">
        <v>0.200891354438753</v>
      </c>
      <c r="J236" s="3">
        <v>0.410704120220096</v>
      </c>
      <c r="K236" s="3">
        <v>0.403734973832935</v>
      </c>
      <c r="L236" s="3">
        <v>0.331389235709731</v>
      </c>
      <c r="M236" s="3">
        <v>0.26419942364348598</v>
      </c>
      <c r="N236" s="3">
        <v>0.210840601676098</v>
      </c>
      <c r="O236" s="3">
        <v>0.18438783561396899</v>
      </c>
      <c r="P236" s="3">
        <v>0.19389455032908601</v>
      </c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x14ac:dyDescent="0.45">
      <c r="A237" s="3" t="s">
        <v>73</v>
      </c>
      <c r="B237" s="3" t="s">
        <v>22</v>
      </c>
      <c r="C237" s="3" t="s">
        <v>6</v>
      </c>
      <c r="D237" s="3" t="s">
        <v>14</v>
      </c>
      <c r="E237" s="3" t="s">
        <v>8</v>
      </c>
      <c r="F237" s="3">
        <v>0</v>
      </c>
      <c r="G237" s="3">
        <v>4.66901381721214E-2</v>
      </c>
      <c r="H237" s="3">
        <v>4.66901381721214E-2</v>
      </c>
      <c r="I237" s="3">
        <v>0.12662554960150599</v>
      </c>
      <c r="J237" s="3">
        <v>0.114893050554216</v>
      </c>
      <c r="K237" s="3">
        <v>0.100217257874368</v>
      </c>
      <c r="L237" s="3">
        <v>0.122068757540572</v>
      </c>
      <c r="M237" s="3">
        <v>0.121760298778712</v>
      </c>
      <c r="N237" s="3">
        <v>0.140551124477619</v>
      </c>
      <c r="O237" s="3">
        <v>0.14565842482576799</v>
      </c>
      <c r="P237" s="3">
        <v>0.13525100512101901</v>
      </c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x14ac:dyDescent="0.45">
      <c r="A238" s="3" t="s">
        <v>73</v>
      </c>
      <c r="B238" s="3" t="s">
        <v>22</v>
      </c>
      <c r="C238" s="3" t="s">
        <v>15</v>
      </c>
      <c r="D238" s="3" t="s">
        <v>7</v>
      </c>
      <c r="E238" s="3" t="s">
        <v>8</v>
      </c>
      <c r="F238" s="3">
        <v>3.0523482699647098E-2</v>
      </c>
      <c r="G238" s="3">
        <v>3.7010006107028599E-2</v>
      </c>
      <c r="H238" s="3">
        <v>3.7010006107028599E-2</v>
      </c>
      <c r="I238" s="3">
        <v>5.1893562697047799E-2</v>
      </c>
      <c r="J238" s="3">
        <v>4.4971900180250199E-2</v>
      </c>
      <c r="K238" s="3">
        <v>4.9167387039823797E-2</v>
      </c>
      <c r="L238" s="3">
        <v>4.5763860456157802E-2</v>
      </c>
      <c r="M238" s="3">
        <v>4.9693086903302298E-2</v>
      </c>
      <c r="N238" s="3">
        <v>4.6633545638720499E-2</v>
      </c>
      <c r="O238" s="3">
        <v>5.3896908712244201E-2</v>
      </c>
      <c r="P238" s="3">
        <v>3.0341528829958601E-2</v>
      </c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x14ac:dyDescent="0.45">
      <c r="A239" s="3" t="s">
        <v>73</v>
      </c>
      <c r="B239" s="3" t="s">
        <v>22</v>
      </c>
      <c r="C239" s="3" t="s">
        <v>15</v>
      </c>
      <c r="D239" s="3" t="s">
        <v>9</v>
      </c>
      <c r="E239" s="3" t="s">
        <v>8</v>
      </c>
      <c r="F239" s="3">
        <v>0</v>
      </c>
      <c r="G239" s="3">
        <v>4.3031267485603798E-2</v>
      </c>
      <c r="H239" s="3">
        <v>4.3031267485603798E-2</v>
      </c>
      <c r="I239" s="3">
        <v>3.6155459187359698E-2</v>
      </c>
      <c r="J239" s="3">
        <v>4.5546512974002702E-2</v>
      </c>
      <c r="K239" s="3">
        <v>4.1327845123489901E-2</v>
      </c>
      <c r="L239" s="3">
        <v>4.5504571473483101E-2</v>
      </c>
      <c r="M239" s="3">
        <v>0.115886841322813</v>
      </c>
      <c r="N239" s="3">
        <v>0.115329796954494</v>
      </c>
      <c r="O239" s="3">
        <v>0.103896965687318</v>
      </c>
      <c r="P239" s="3">
        <v>0.12250511586800999</v>
      </c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x14ac:dyDescent="0.45">
      <c r="A240" s="3" t="s">
        <v>73</v>
      </c>
      <c r="B240" s="3" t="s">
        <v>22</v>
      </c>
      <c r="C240" s="3" t="s">
        <v>15</v>
      </c>
      <c r="D240" s="3" t="s">
        <v>10</v>
      </c>
      <c r="E240" s="3" t="s">
        <v>8</v>
      </c>
      <c r="F240" s="3">
        <v>0</v>
      </c>
      <c r="G240" s="3">
        <v>-3.1884760817961499E-4</v>
      </c>
      <c r="H240" s="3">
        <v>-3.1884760817961499E-4</v>
      </c>
      <c r="I240" s="3">
        <v>1.4575544135523001E-3</v>
      </c>
      <c r="J240" s="3">
        <v>1.73095422701471E-3</v>
      </c>
      <c r="K240" s="3">
        <v>7.7970968801466506E-2</v>
      </c>
      <c r="L240" s="3">
        <v>7.7795220753243896E-2</v>
      </c>
      <c r="M240" s="3">
        <v>2.41499305321413E-3</v>
      </c>
      <c r="N240" s="3">
        <v>4.6712388089141504E-3</v>
      </c>
      <c r="O240" s="3">
        <v>5.5380793993543304E-3</v>
      </c>
      <c r="P240" s="3">
        <v>4.65049754391783E-3</v>
      </c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x14ac:dyDescent="0.45">
      <c r="A241" s="3" t="s">
        <v>73</v>
      </c>
      <c r="B241" s="3" t="s">
        <v>22</v>
      </c>
      <c r="C241" s="3" t="s">
        <v>15</v>
      </c>
      <c r="D241" s="3" t="s">
        <v>11</v>
      </c>
      <c r="E241" s="3" t="s">
        <v>8</v>
      </c>
      <c r="F241" s="3">
        <v>0</v>
      </c>
      <c r="G241" s="3">
        <v>2.35870513225497E-3</v>
      </c>
      <c r="H241" s="3">
        <v>2.35870513225497E-3</v>
      </c>
      <c r="I241" s="3">
        <v>1.60692603930966E-3</v>
      </c>
      <c r="J241" s="3">
        <v>7.7055917822612993E-2</v>
      </c>
      <c r="K241" s="3">
        <v>5.3777682564642203E-3</v>
      </c>
      <c r="L241" s="3">
        <v>7.0015624573626402E-3</v>
      </c>
      <c r="M241" s="3">
        <v>8.6792279324516292E-3</v>
      </c>
      <c r="N241" s="3">
        <v>7.3629793498435903E-3</v>
      </c>
      <c r="O241" s="3">
        <v>7.0846639908037096E-3</v>
      </c>
      <c r="P241" s="3">
        <v>1.4323272520572201E-3</v>
      </c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x14ac:dyDescent="0.45">
      <c r="A242" s="3" t="s">
        <v>73</v>
      </c>
      <c r="B242" s="3" t="s">
        <v>22</v>
      </c>
      <c r="C242" s="3" t="s">
        <v>15</v>
      </c>
      <c r="D242" s="3" t="s">
        <v>12</v>
      </c>
      <c r="E242" s="3" t="s">
        <v>8</v>
      </c>
      <c r="F242" s="3">
        <v>0</v>
      </c>
      <c r="G242" s="3">
        <v>-9.8667563632816291E-4</v>
      </c>
      <c r="H242" s="3">
        <v>-9.8667563632816291E-4</v>
      </c>
      <c r="I242" s="3">
        <v>6.7482096871971597E-2</v>
      </c>
      <c r="J242" s="3">
        <v>2.4429421257222699E-3</v>
      </c>
      <c r="K242" s="3">
        <v>8.6207264736296602E-3</v>
      </c>
      <c r="L242" s="3">
        <v>1.74291289131366E-2</v>
      </c>
      <c r="M242" s="3">
        <v>1.39396235810955E-2</v>
      </c>
      <c r="N242" s="3">
        <v>1.16941983381646E-2</v>
      </c>
      <c r="O242" s="3">
        <v>4.6414860318970998E-3</v>
      </c>
      <c r="P242" s="3">
        <v>6.5881104541179701E-3</v>
      </c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x14ac:dyDescent="0.45">
      <c r="A243" s="3" t="s">
        <v>73</v>
      </c>
      <c r="B243" s="3" t="s">
        <v>22</v>
      </c>
      <c r="C243" s="3" t="s">
        <v>15</v>
      </c>
      <c r="D243" s="3" t="s">
        <v>13</v>
      </c>
      <c r="E243" s="3" t="s">
        <v>8</v>
      </c>
      <c r="F243" s="3">
        <v>0</v>
      </c>
      <c r="G243" s="3">
        <v>5.5830155918775597E-2</v>
      </c>
      <c r="H243" s="3">
        <v>5.5830155918775597E-2</v>
      </c>
      <c r="I243" s="3">
        <v>9.1500388537963107E-3</v>
      </c>
      <c r="J243" s="3">
        <v>2.18233769600664E-2</v>
      </c>
      <c r="K243" s="3">
        <v>2.4603031871689801E-2</v>
      </c>
      <c r="L243" s="3">
        <v>1.1998202331595599E-2</v>
      </c>
      <c r="M243" s="3">
        <v>6.1919291276567598E-3</v>
      </c>
      <c r="N243" s="3">
        <v>-9.6664130965076799E-4</v>
      </c>
      <c r="O243" s="3">
        <v>-3.1291604033777702E-3</v>
      </c>
      <c r="P243" s="3">
        <v>-4.0142708118902099E-3</v>
      </c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x14ac:dyDescent="0.45">
      <c r="A244" s="3" t="s">
        <v>73</v>
      </c>
      <c r="B244" s="3" t="s">
        <v>22</v>
      </c>
      <c r="C244" s="3" t="s">
        <v>15</v>
      </c>
      <c r="D244" s="3" t="s">
        <v>14</v>
      </c>
      <c r="E244" s="3" t="s">
        <v>8</v>
      </c>
      <c r="F244" s="3">
        <v>0</v>
      </c>
      <c r="G244" s="3">
        <v>4.9930733204785497E-3</v>
      </c>
      <c r="H244" s="3">
        <v>4.9930733204785497E-3</v>
      </c>
      <c r="I244" s="3">
        <v>2.0660095710677201E-2</v>
      </c>
      <c r="J244" s="3">
        <v>1.39621357528337E-2</v>
      </c>
      <c r="K244" s="3">
        <v>1.21758550414885E-3</v>
      </c>
      <c r="L244" s="3">
        <v>1.03636653124684E-4</v>
      </c>
      <c r="M244" s="3">
        <v>-1.8457123767556499E-3</v>
      </c>
      <c r="N244" s="3">
        <v>-5.2961861013181601E-3</v>
      </c>
      <c r="O244" s="3">
        <v>-4.8959227693497797E-3</v>
      </c>
      <c r="P244" s="3">
        <v>-7.5097776277730502E-3</v>
      </c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x14ac:dyDescent="0.45">
      <c r="A245" s="3" t="s">
        <v>73</v>
      </c>
      <c r="B245" s="3" t="s">
        <v>22</v>
      </c>
      <c r="C245" s="3" t="s">
        <v>16</v>
      </c>
      <c r="D245" s="3" t="s">
        <v>7</v>
      </c>
      <c r="E245" s="3" t="s">
        <v>8</v>
      </c>
      <c r="F245" s="3">
        <v>0.14597150899084799</v>
      </c>
      <c r="G245" s="3">
        <v>9.8617003680116902E-2</v>
      </c>
      <c r="H245" s="3">
        <v>9.8617003680116902E-2</v>
      </c>
      <c r="I245" s="3">
        <v>4.8293401103617802E-2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x14ac:dyDescent="0.45">
      <c r="A246" s="3" t="s">
        <v>73</v>
      </c>
      <c r="B246" s="3" t="s">
        <v>22</v>
      </c>
      <c r="C246" s="3" t="s">
        <v>16</v>
      </c>
      <c r="D246" s="3" t="s">
        <v>9</v>
      </c>
      <c r="E246" s="3" t="s">
        <v>8</v>
      </c>
      <c r="F246" s="3">
        <v>0</v>
      </c>
      <c r="G246" s="3">
        <v>0</v>
      </c>
      <c r="H246" s="3">
        <v>0</v>
      </c>
      <c r="I246" s="3">
        <v>-1.2634471832141E-4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x14ac:dyDescent="0.45">
      <c r="A247" s="3" t="s">
        <v>73</v>
      </c>
      <c r="B247" s="3" t="s">
        <v>22</v>
      </c>
      <c r="C247" s="3" t="s">
        <v>16</v>
      </c>
      <c r="D247" s="3" t="s">
        <v>10</v>
      </c>
      <c r="E247" s="3" t="s">
        <v>8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x14ac:dyDescent="0.45">
      <c r="A248" s="3" t="s">
        <v>73</v>
      </c>
      <c r="B248" s="3" t="s">
        <v>22</v>
      </c>
      <c r="C248" s="3" t="s">
        <v>16</v>
      </c>
      <c r="D248" s="3" t="s">
        <v>11</v>
      </c>
      <c r="E248" s="3" t="s">
        <v>8</v>
      </c>
      <c r="F248" s="3">
        <v>0</v>
      </c>
      <c r="G248" s="3">
        <v>-3.0934060800638699E-5</v>
      </c>
      <c r="H248" s="3">
        <v>-3.0934060800638699E-5</v>
      </c>
      <c r="I248" s="3">
        <v>1.26344718321326E-4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x14ac:dyDescent="0.45">
      <c r="A249" s="3" t="s">
        <v>73</v>
      </c>
      <c r="B249" s="3" t="s">
        <v>22</v>
      </c>
      <c r="C249" s="3" t="s">
        <v>16</v>
      </c>
      <c r="D249" s="3" t="s">
        <v>12</v>
      </c>
      <c r="E249" s="3" t="s">
        <v>8</v>
      </c>
      <c r="F249" s="3">
        <v>0</v>
      </c>
      <c r="G249" s="3">
        <v>-5.5358001434108197E-5</v>
      </c>
      <c r="H249" s="3">
        <v>-5.5358001434108197E-5</v>
      </c>
      <c r="I249" s="3">
        <v>8.3266726846886704E-17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x14ac:dyDescent="0.45">
      <c r="A250" s="3" t="s">
        <v>73</v>
      </c>
      <c r="B250" s="3" t="s">
        <v>22</v>
      </c>
      <c r="C250" s="3" t="s">
        <v>16</v>
      </c>
      <c r="D250" s="3" t="s">
        <v>13</v>
      </c>
      <c r="E250" s="3" t="s">
        <v>8</v>
      </c>
      <c r="F250" s="3">
        <v>0</v>
      </c>
      <c r="G250" s="3">
        <v>-2.4986105073580801E-4</v>
      </c>
      <c r="H250" s="3">
        <v>-2.4986105073580801E-4</v>
      </c>
      <c r="I250" s="3">
        <v>-3.1688360528753202E-4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x14ac:dyDescent="0.45">
      <c r="A251" s="3" t="s">
        <v>73</v>
      </c>
      <c r="B251" s="3" t="s">
        <v>22</v>
      </c>
      <c r="C251" s="3" t="s">
        <v>16</v>
      </c>
      <c r="D251" s="3" t="s">
        <v>14</v>
      </c>
      <c r="E251" s="3" t="s">
        <v>8</v>
      </c>
      <c r="F251" s="3">
        <v>0</v>
      </c>
      <c r="G251" s="3">
        <v>4.2123000766089201E-3</v>
      </c>
      <c r="H251" s="3">
        <v>4.2123000766089201E-3</v>
      </c>
      <c r="I251" s="3">
        <v>-5.25061708547228E-4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x14ac:dyDescent="0.45">
      <c r="A252" s="3" t="s">
        <v>73</v>
      </c>
      <c r="B252" s="3" t="s">
        <v>22</v>
      </c>
      <c r="C252" s="3" t="s">
        <v>17</v>
      </c>
      <c r="D252" s="3" t="s">
        <v>10</v>
      </c>
      <c r="E252" s="3" t="s">
        <v>8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1.9152073454240501E-8</v>
      </c>
      <c r="M252" s="3">
        <v>1.36189889079201E-2</v>
      </c>
      <c r="N252" s="3">
        <v>9.6627189714556694E-2</v>
      </c>
      <c r="O252" s="3">
        <v>9.7888363620212193E-2</v>
      </c>
      <c r="P252" s="3">
        <v>0.1033815387312</v>
      </c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x14ac:dyDescent="0.45">
      <c r="A253" s="3" t="s">
        <v>73</v>
      </c>
      <c r="B253" s="3" t="s">
        <v>22</v>
      </c>
      <c r="C253" s="3" t="s">
        <v>17</v>
      </c>
      <c r="D253" s="3" t="s">
        <v>11</v>
      </c>
      <c r="E253" s="3" t="s">
        <v>8</v>
      </c>
      <c r="F253" s="3">
        <v>0</v>
      </c>
      <c r="G253" s="3">
        <v>0</v>
      </c>
      <c r="H253" s="3">
        <v>0</v>
      </c>
      <c r="I253" s="3">
        <v>0</v>
      </c>
      <c r="J253" s="3">
        <v>5.8455628414322604E-9</v>
      </c>
      <c r="K253" s="3">
        <v>1.86921717354195E-2</v>
      </c>
      <c r="L253" s="3">
        <v>9.9591276743121598E-2</v>
      </c>
      <c r="M253" s="3">
        <v>9.4748168172342204E-2</v>
      </c>
      <c r="N253" s="3">
        <v>1.42901228195179E-2</v>
      </c>
      <c r="O253" s="3">
        <v>2.7388941947964599E-2</v>
      </c>
      <c r="P253" s="3">
        <v>4.3976362881584199E-2</v>
      </c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x14ac:dyDescent="0.45">
      <c r="A254" s="3" t="s">
        <v>73</v>
      </c>
      <c r="B254" s="3" t="s">
        <v>22</v>
      </c>
      <c r="C254" s="3" t="s">
        <v>17</v>
      </c>
      <c r="D254" s="3" t="s">
        <v>12</v>
      </c>
      <c r="E254" s="3" t="s">
        <v>8</v>
      </c>
      <c r="F254" s="3">
        <v>0</v>
      </c>
      <c r="G254" s="3">
        <v>0</v>
      </c>
      <c r="H254" s="3">
        <v>0</v>
      </c>
      <c r="I254" s="3">
        <v>0</v>
      </c>
      <c r="J254" s="3">
        <v>9.6472737071547507E-2</v>
      </c>
      <c r="K254" s="3">
        <v>9.3063737078897896E-2</v>
      </c>
      <c r="L254" s="3">
        <v>2.6122400427014601E-2</v>
      </c>
      <c r="M254" s="3">
        <v>4.1542091822075897E-2</v>
      </c>
      <c r="N254" s="3">
        <v>4.74230714179825E-2</v>
      </c>
      <c r="O254" s="3">
        <v>3.7615846387009398E-2</v>
      </c>
      <c r="P254" s="3">
        <v>1.6994073587924902E-2</v>
      </c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x14ac:dyDescent="0.45">
      <c r="A255" s="3" t="s">
        <v>73</v>
      </c>
      <c r="B255" s="3" t="s">
        <v>22</v>
      </c>
      <c r="C255" s="3" t="s">
        <v>17</v>
      </c>
      <c r="D255" s="3" t="s">
        <v>13</v>
      </c>
      <c r="E255" s="3" t="s">
        <v>8</v>
      </c>
      <c r="F255" s="3">
        <v>0</v>
      </c>
      <c r="G255" s="3">
        <v>0</v>
      </c>
      <c r="H255" s="3">
        <v>0</v>
      </c>
      <c r="I255" s="3">
        <v>0.101938258591734</v>
      </c>
      <c r="J255" s="3">
        <v>4.9787921014855498E-2</v>
      </c>
      <c r="K255" s="3">
        <v>4.89946972561573E-2</v>
      </c>
      <c r="L255" s="3">
        <v>3.8836900696636402E-2</v>
      </c>
      <c r="M255" s="3">
        <v>1.52178638850838E-2</v>
      </c>
      <c r="N255" s="3">
        <v>6.7886700307086302E-3</v>
      </c>
      <c r="O255" s="3">
        <v>2.2377315152349001E-3</v>
      </c>
      <c r="P255" s="3">
        <v>7.7896327554130595E-4</v>
      </c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x14ac:dyDescent="0.45">
      <c r="A256" s="3" t="s">
        <v>73</v>
      </c>
      <c r="B256" s="3" t="s">
        <v>22</v>
      </c>
      <c r="C256" s="3" t="s">
        <v>17</v>
      </c>
      <c r="D256" s="3" t="s">
        <v>14</v>
      </c>
      <c r="E256" s="3" t="s">
        <v>8</v>
      </c>
      <c r="F256" s="3">
        <v>0</v>
      </c>
      <c r="G256" s="3">
        <v>5.9275745098649302E-2</v>
      </c>
      <c r="H256" s="3">
        <v>5.9275745098649302E-2</v>
      </c>
      <c r="I256" s="3">
        <v>4.2648645637015398E-2</v>
      </c>
      <c r="J256" s="3">
        <v>1.6679459336679501E-2</v>
      </c>
      <c r="K256" s="3">
        <v>4.3500345340535297E-3</v>
      </c>
      <c r="L256" s="3">
        <v>5.8086098627824201E-4</v>
      </c>
      <c r="M256" s="3">
        <v>9.18977844360791E-6</v>
      </c>
      <c r="N256" s="3">
        <v>7.7206366935755905E-6</v>
      </c>
      <c r="O256" s="3">
        <v>5.9069007245782201E-6</v>
      </c>
      <c r="P256" s="3">
        <v>5.8635230161252502E-6</v>
      </c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x14ac:dyDescent="0.45">
      <c r="A257" s="3" t="s">
        <v>73</v>
      </c>
      <c r="B257" s="3" t="s">
        <v>22</v>
      </c>
      <c r="C257" s="3" t="s">
        <v>18</v>
      </c>
      <c r="D257" s="3" t="s">
        <v>7</v>
      </c>
      <c r="E257" s="3" t="s">
        <v>8</v>
      </c>
      <c r="F257" s="3">
        <v>0.457291407629003</v>
      </c>
      <c r="G257" s="3">
        <v>0.30284828181408702</v>
      </c>
      <c r="H257" s="3">
        <v>0.30284828181408702</v>
      </c>
      <c r="I257" s="3">
        <v>0.13710714362788001</v>
      </c>
      <c r="J257" s="3">
        <v>4.2674362093695498E-3</v>
      </c>
      <c r="K257" s="3">
        <v>4.69130831317049E-4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x14ac:dyDescent="0.45">
      <c r="A258" s="3" t="s">
        <v>73</v>
      </c>
      <c r="B258" s="3" t="s">
        <v>22</v>
      </c>
      <c r="C258" s="3" t="s">
        <v>18</v>
      </c>
      <c r="D258" s="3" t="s">
        <v>9</v>
      </c>
      <c r="E258" s="3" t="s">
        <v>8</v>
      </c>
      <c r="F258" s="3">
        <v>0</v>
      </c>
      <c r="G258" s="3">
        <v>0</v>
      </c>
      <c r="H258" s="3">
        <v>0</v>
      </c>
      <c r="I258" s="3">
        <v>0</v>
      </c>
      <c r="J258" s="3">
        <v>-1.6479873021779701E-17</v>
      </c>
      <c r="K258" s="3">
        <v>-1.8539857149502101E-17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x14ac:dyDescent="0.45">
      <c r="A259" s="3" t="s">
        <v>73</v>
      </c>
      <c r="B259" s="3" t="s">
        <v>22</v>
      </c>
      <c r="C259" s="3" t="s">
        <v>18</v>
      </c>
      <c r="D259" s="3" t="s">
        <v>10</v>
      </c>
      <c r="E259" s="3" t="s">
        <v>8</v>
      </c>
      <c r="F259" s="3">
        <v>0</v>
      </c>
      <c r="G259" s="3">
        <v>0</v>
      </c>
      <c r="H259" s="3">
        <v>0</v>
      </c>
      <c r="I259" s="3">
        <v>0</v>
      </c>
      <c r="J259" s="3">
        <v>1.6479873021779701E-17</v>
      </c>
      <c r="K259" s="3">
        <v>3.6266562669640099E-17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x14ac:dyDescent="0.45">
      <c r="A260" s="3" t="s">
        <v>73</v>
      </c>
      <c r="B260" s="3" t="s">
        <v>22</v>
      </c>
      <c r="C260" s="3" t="s">
        <v>18</v>
      </c>
      <c r="D260" s="3" t="s">
        <v>11</v>
      </c>
      <c r="E260" s="3" t="s">
        <v>8</v>
      </c>
      <c r="F260" s="3">
        <v>0</v>
      </c>
      <c r="G260" s="3">
        <v>0</v>
      </c>
      <c r="H260" s="3">
        <v>0</v>
      </c>
      <c r="I260" s="3">
        <v>0</v>
      </c>
      <c r="J260" s="3">
        <v>1.5612511283791301E-17</v>
      </c>
      <c r="K260" s="3">
        <v>-7.1665763601291806E-17</v>
      </c>
      <c r="L260" s="3">
        <v>0</v>
      </c>
      <c r="M260" s="3">
        <v>0</v>
      </c>
      <c r="N260" s="3">
        <v>7.1533454405944999E-17</v>
      </c>
      <c r="O260" s="3">
        <v>0</v>
      </c>
      <c r="P260" s="3">
        <v>0</v>
      </c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x14ac:dyDescent="0.45">
      <c r="A261" s="3" t="s">
        <v>73</v>
      </c>
      <c r="B261" s="3" t="s">
        <v>22</v>
      </c>
      <c r="C261" s="3" t="s">
        <v>18</v>
      </c>
      <c r="D261" s="3" t="s">
        <v>12</v>
      </c>
      <c r="E261" s="3" t="s">
        <v>8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3.5399200931651701E-17</v>
      </c>
      <c r="L261" s="3">
        <v>0</v>
      </c>
      <c r="M261" s="3">
        <v>0</v>
      </c>
      <c r="N261" s="3">
        <v>0</v>
      </c>
      <c r="O261" s="3">
        <v>0</v>
      </c>
      <c r="P261" s="3">
        <v>7.1533454405944999E-17</v>
      </c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x14ac:dyDescent="0.45">
      <c r="A262" s="3" t="s">
        <v>73</v>
      </c>
      <c r="B262" s="3" t="s">
        <v>22</v>
      </c>
      <c r="C262" s="3" t="s">
        <v>18</v>
      </c>
      <c r="D262" s="3" t="s">
        <v>13</v>
      </c>
      <c r="E262" s="3" t="s">
        <v>8</v>
      </c>
      <c r="F262" s="3">
        <v>0</v>
      </c>
      <c r="G262" s="3">
        <v>0</v>
      </c>
      <c r="H262" s="3">
        <v>0</v>
      </c>
      <c r="I262" s="3">
        <v>0</v>
      </c>
      <c r="J262" s="3">
        <v>1.04950770296597E-16</v>
      </c>
      <c r="K262" s="3">
        <v>7.1719973709916106E-17</v>
      </c>
      <c r="L262" s="3">
        <v>0</v>
      </c>
      <c r="M262" s="3">
        <v>1.4306690881189E-16</v>
      </c>
      <c r="N262" s="3">
        <v>-7.1533454405944999E-17</v>
      </c>
      <c r="O262" s="3">
        <v>1.4306690881189E-16</v>
      </c>
      <c r="P262" s="3">
        <v>-7.1533454405944999E-17</v>
      </c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x14ac:dyDescent="0.45">
      <c r="A263" s="3" t="s">
        <v>73</v>
      </c>
      <c r="B263" s="3" t="s">
        <v>22</v>
      </c>
      <c r="C263" s="3" t="s">
        <v>18</v>
      </c>
      <c r="D263" s="3" t="s">
        <v>14</v>
      </c>
      <c r="E263" s="3" t="s">
        <v>8</v>
      </c>
      <c r="F263" s="3">
        <v>0</v>
      </c>
      <c r="G263" s="3">
        <v>0</v>
      </c>
      <c r="H263" s="3">
        <v>0</v>
      </c>
      <c r="I263" s="3">
        <v>0</v>
      </c>
      <c r="J263" s="3">
        <v>-1.76941794549634E-16</v>
      </c>
      <c r="K263" s="3">
        <v>-3.5453411040276001E-17</v>
      </c>
      <c r="L263" s="3">
        <v>3.57667272029725E-17</v>
      </c>
      <c r="M263" s="3">
        <v>-1.4306690881189E-16</v>
      </c>
      <c r="N263" s="3">
        <v>1.07300181608918E-16</v>
      </c>
      <c r="O263" s="3">
        <v>-1.4306690881189E-16</v>
      </c>
      <c r="P263" s="3">
        <v>0</v>
      </c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x14ac:dyDescent="0.45">
      <c r="A264" s="3" t="s">
        <v>73</v>
      </c>
      <c r="B264" s="3" t="s">
        <v>22</v>
      </c>
      <c r="C264" s="3" t="s">
        <v>19</v>
      </c>
      <c r="D264" s="3" t="s">
        <v>11</v>
      </c>
      <c r="E264" s="3" t="s">
        <v>8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1.2070155573956E-3</v>
      </c>
      <c r="L264" s="3">
        <v>3.8607855618888001E-3</v>
      </c>
      <c r="M264" s="3">
        <v>4.5144446023344499E-3</v>
      </c>
      <c r="N264" s="3">
        <v>1.3995280193884199E-2</v>
      </c>
      <c r="O264" s="3">
        <v>6.1206557122825099E-2</v>
      </c>
      <c r="P264" s="3">
        <v>0.13916976509147699</v>
      </c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x14ac:dyDescent="0.45">
      <c r="A265" s="3" t="s">
        <v>73</v>
      </c>
      <c r="B265" s="3" t="s">
        <v>22</v>
      </c>
      <c r="C265" s="3" t="s">
        <v>19</v>
      </c>
      <c r="D265" s="3" t="s">
        <v>12</v>
      </c>
      <c r="E265" s="3" t="s">
        <v>8</v>
      </c>
      <c r="F265" s="3">
        <v>0</v>
      </c>
      <c r="G265" s="3">
        <v>0</v>
      </c>
      <c r="H265" s="3">
        <v>0</v>
      </c>
      <c r="I265" s="3">
        <v>0</v>
      </c>
      <c r="J265" s="3">
        <v>1.85924787158466E-3</v>
      </c>
      <c r="K265" s="3">
        <v>1.0895689934056299E-2</v>
      </c>
      <c r="L265" s="3">
        <v>3.5326934011370902E-2</v>
      </c>
      <c r="M265" s="3">
        <v>0.112098816862981</v>
      </c>
      <c r="N265" s="3">
        <v>0.132151073088909</v>
      </c>
      <c r="O265" s="3">
        <v>0.107837748388804</v>
      </c>
      <c r="P265" s="3">
        <v>4.1757515103268202E-2</v>
      </c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x14ac:dyDescent="0.45">
      <c r="A266" s="3" t="s">
        <v>73</v>
      </c>
      <c r="B266" s="3" t="s">
        <v>22</v>
      </c>
      <c r="C266" s="3" t="s">
        <v>19</v>
      </c>
      <c r="D266" s="3" t="s">
        <v>13</v>
      </c>
      <c r="E266" s="3" t="s">
        <v>8</v>
      </c>
      <c r="F266" s="3">
        <v>0</v>
      </c>
      <c r="G266" s="3">
        <v>0</v>
      </c>
      <c r="H266" s="3">
        <v>0</v>
      </c>
      <c r="I266" s="3">
        <v>1.02651692423454E-2</v>
      </c>
      <c r="J266" s="3">
        <v>0.10771957897732699</v>
      </c>
      <c r="K266" s="3">
        <v>0.116799146165733</v>
      </c>
      <c r="L266" s="3">
        <v>0.101998583945411</v>
      </c>
      <c r="M266" s="3">
        <v>4.0295214550913998E-2</v>
      </c>
      <c r="N266" s="3">
        <v>2.9122649847247301E-2</v>
      </c>
      <c r="O266" s="3">
        <v>2.2070913911068999E-2</v>
      </c>
      <c r="P266" s="3">
        <v>1.89135658139046E-2</v>
      </c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x14ac:dyDescent="0.45">
      <c r="A267" s="3" t="s">
        <v>73</v>
      </c>
      <c r="B267" s="3" t="s">
        <v>22</v>
      </c>
      <c r="C267" s="3" t="s">
        <v>19</v>
      </c>
      <c r="D267" s="3" t="s">
        <v>14</v>
      </c>
      <c r="E267" s="3" t="s">
        <v>8</v>
      </c>
      <c r="F267" s="3">
        <v>0</v>
      </c>
      <c r="G267" s="3">
        <v>0</v>
      </c>
      <c r="H267" s="3">
        <v>0</v>
      </c>
      <c r="I267" s="3">
        <v>0.108312478173315</v>
      </c>
      <c r="J267" s="3">
        <v>3.0001558059440801E-2</v>
      </c>
      <c r="K267" s="3">
        <v>1.40490399335381E-2</v>
      </c>
      <c r="L267" s="3">
        <v>1.04156957426815E-2</v>
      </c>
      <c r="M267" s="3">
        <v>1.2174587981161E-2</v>
      </c>
      <c r="N267" s="3">
        <v>1.76586582614527E-2</v>
      </c>
      <c r="O267" s="3">
        <v>1.8293888057139301E-2</v>
      </c>
      <c r="P267" s="3">
        <v>2.15421565540872E-2</v>
      </c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x14ac:dyDescent="0.45">
      <c r="A268" s="3" t="s">
        <v>74</v>
      </c>
      <c r="B268" s="3" t="s">
        <v>25</v>
      </c>
      <c r="C268" s="3" t="s">
        <v>6</v>
      </c>
      <c r="D268" s="3" t="s">
        <v>10</v>
      </c>
      <c r="E268" s="3" t="s">
        <v>8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1.5764523822097601E-2</v>
      </c>
      <c r="M268" s="3">
        <v>0.14059182132246201</v>
      </c>
      <c r="N268" s="3">
        <v>0.32070919852381202</v>
      </c>
      <c r="O268" s="3">
        <v>0.51241820775621005</v>
      </c>
      <c r="P268" s="3">
        <v>0.663392965639516</v>
      </c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x14ac:dyDescent="0.45">
      <c r="A269" s="3" t="s">
        <v>74</v>
      </c>
      <c r="B269" s="3" t="s">
        <v>25</v>
      </c>
      <c r="C269" s="3" t="s">
        <v>6</v>
      </c>
      <c r="D269" s="3" t="s">
        <v>11</v>
      </c>
      <c r="E269" s="3" t="s">
        <v>8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0.151448226308425</v>
      </c>
      <c r="L269" s="3">
        <v>0.39158326848863301</v>
      </c>
      <c r="M269" s="3">
        <v>0.57537052977362801</v>
      </c>
      <c r="N269" s="3">
        <v>0.70489540773127501</v>
      </c>
      <c r="O269" s="3">
        <v>0.81747148883013698</v>
      </c>
      <c r="P269" s="3">
        <v>0.84589006421803903</v>
      </c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x14ac:dyDescent="0.45">
      <c r="A270" s="3" t="s">
        <v>74</v>
      </c>
      <c r="B270" s="3" t="s">
        <v>25</v>
      </c>
      <c r="C270" s="3" t="s">
        <v>6</v>
      </c>
      <c r="D270" s="3" t="s">
        <v>12</v>
      </c>
      <c r="E270" s="3" t="s">
        <v>8</v>
      </c>
      <c r="F270" s="3">
        <v>0</v>
      </c>
      <c r="G270" s="3">
        <v>0</v>
      </c>
      <c r="H270" s="3">
        <v>0</v>
      </c>
      <c r="I270" s="3">
        <v>0</v>
      </c>
      <c r="J270" s="3">
        <v>0.32041453000779302</v>
      </c>
      <c r="K270" s="3">
        <v>0.573966806726385</v>
      </c>
      <c r="L270" s="3">
        <v>0.74039586010199199</v>
      </c>
      <c r="M270" s="3">
        <v>0.76824600005049704</v>
      </c>
      <c r="N270" s="3">
        <v>0.73800139529932196</v>
      </c>
      <c r="O270" s="3">
        <v>0.66170774333012605</v>
      </c>
      <c r="P270" s="3">
        <v>0.52421462488376203</v>
      </c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x14ac:dyDescent="0.45">
      <c r="A271" s="3" t="s">
        <v>74</v>
      </c>
      <c r="B271" s="3" t="s">
        <v>25</v>
      </c>
      <c r="C271" s="3" t="s">
        <v>6</v>
      </c>
      <c r="D271" s="3" t="s">
        <v>13</v>
      </c>
      <c r="E271" s="3" t="s">
        <v>8</v>
      </c>
      <c r="F271" s="3">
        <v>0</v>
      </c>
      <c r="G271" s="3">
        <v>0</v>
      </c>
      <c r="H271" s="3">
        <v>0</v>
      </c>
      <c r="I271" s="3">
        <v>0.63033498002328303</v>
      </c>
      <c r="J271" s="3">
        <v>0.81580026525602201</v>
      </c>
      <c r="K271" s="3">
        <v>0.79377465569016903</v>
      </c>
      <c r="L271" s="3">
        <v>0.68517993637865404</v>
      </c>
      <c r="M271" s="3">
        <v>0.593618071817819</v>
      </c>
      <c r="N271" s="3">
        <v>0.52558490483361597</v>
      </c>
      <c r="O271" s="3">
        <v>0.36173926948618002</v>
      </c>
      <c r="P271" s="3">
        <v>0.27544694485291099</v>
      </c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x14ac:dyDescent="0.45">
      <c r="A272" s="3" t="s">
        <v>74</v>
      </c>
      <c r="B272" s="3" t="s">
        <v>25</v>
      </c>
      <c r="C272" s="3" t="s">
        <v>6</v>
      </c>
      <c r="D272" s="3" t="s">
        <v>14</v>
      </c>
      <c r="E272" s="3" t="s">
        <v>8</v>
      </c>
      <c r="F272" s="3">
        <v>0</v>
      </c>
      <c r="G272" s="3">
        <v>0.40816728958531501</v>
      </c>
      <c r="H272" s="3">
        <v>0.40816728958531501</v>
      </c>
      <c r="I272" s="3">
        <v>0.37101159737157902</v>
      </c>
      <c r="J272" s="3">
        <v>0.32721543413297099</v>
      </c>
      <c r="K272" s="3">
        <v>0.27416363201182697</v>
      </c>
      <c r="L272" s="3">
        <v>0.23283370555400601</v>
      </c>
      <c r="M272" s="3">
        <v>0.21453222860621499</v>
      </c>
      <c r="N272" s="3">
        <v>0.15936917907811399</v>
      </c>
      <c r="O272" s="3">
        <v>0.14276277396467299</v>
      </c>
      <c r="P272" s="3">
        <v>0.12917697280701701</v>
      </c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x14ac:dyDescent="0.45">
      <c r="A273" s="3" t="s">
        <v>74</v>
      </c>
      <c r="B273" s="3" t="s">
        <v>25</v>
      </c>
      <c r="C273" s="3" t="s">
        <v>15</v>
      </c>
      <c r="D273" s="3" t="s">
        <v>7</v>
      </c>
      <c r="E273" s="3" t="s">
        <v>8</v>
      </c>
      <c r="F273" s="3">
        <v>7.4507610836846094E-2</v>
      </c>
      <c r="G273" s="3">
        <v>0.137723627164658</v>
      </c>
      <c r="H273" s="3">
        <v>0.137723627164658</v>
      </c>
      <c r="I273" s="3">
        <v>0.24841387810697099</v>
      </c>
      <c r="J273" s="3">
        <v>0.34225953924478197</v>
      </c>
      <c r="K273" s="3">
        <v>0.44997088929099699</v>
      </c>
      <c r="L273" s="3">
        <v>0.52739456839922105</v>
      </c>
      <c r="M273" s="3">
        <v>0.57296813124559998</v>
      </c>
      <c r="N273" s="3">
        <v>0.600658925086623</v>
      </c>
      <c r="O273" s="3">
        <v>0.60150068369353704</v>
      </c>
      <c r="P273" s="3">
        <v>0.60225627768366896</v>
      </c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x14ac:dyDescent="0.45">
      <c r="A274" s="3" t="s">
        <v>74</v>
      </c>
      <c r="B274" s="3" t="s">
        <v>25</v>
      </c>
      <c r="C274" s="3" t="s">
        <v>15</v>
      </c>
      <c r="D274" s="3" t="s">
        <v>9</v>
      </c>
      <c r="E274" s="3" t="s">
        <v>8</v>
      </c>
      <c r="F274" s="3">
        <v>0</v>
      </c>
      <c r="G274" s="3">
        <v>-5.4503931764135504E-4</v>
      </c>
      <c r="H274" s="3">
        <v>-5.4503931764135504E-4</v>
      </c>
      <c r="I274" s="3">
        <v>-1.3072137664860699E-3</v>
      </c>
      <c r="J274" s="3">
        <v>-2.1612011919087699E-3</v>
      </c>
      <c r="K274" s="3">
        <v>-5.1332845743770096E-3</v>
      </c>
      <c r="L274" s="3">
        <v>3.6095287717996902E-2</v>
      </c>
      <c r="M274" s="3">
        <v>4.1318625008401097E-2</v>
      </c>
      <c r="N274" s="3">
        <v>4.1030366359732201E-2</v>
      </c>
      <c r="O274" s="3">
        <v>5.7202727949649299E-2</v>
      </c>
      <c r="P274" s="3">
        <v>6.7312441604767001E-2</v>
      </c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x14ac:dyDescent="0.45">
      <c r="A275" s="3" t="s">
        <v>74</v>
      </c>
      <c r="B275" s="3" t="s">
        <v>25</v>
      </c>
      <c r="C275" s="3" t="s">
        <v>15</v>
      </c>
      <c r="D275" s="3" t="s">
        <v>10</v>
      </c>
      <c r="E275" s="3" t="s">
        <v>8</v>
      </c>
      <c r="F275" s="3">
        <v>0</v>
      </c>
      <c r="G275" s="3">
        <v>-5.4610444774116897E-5</v>
      </c>
      <c r="H275" s="3">
        <v>-5.4610444774116897E-5</v>
      </c>
      <c r="I275" s="3">
        <v>-1.0832828232264201E-3</v>
      </c>
      <c r="J275" s="3">
        <v>-2.34395849674907E-3</v>
      </c>
      <c r="K275" s="3">
        <v>-6.0870867925503199E-3</v>
      </c>
      <c r="L275" s="3">
        <v>2.1466411651656098E-3</v>
      </c>
      <c r="M275" s="3">
        <v>-1.1913556034758299E-3</v>
      </c>
      <c r="N275" s="3">
        <v>-1.57991249407929E-3</v>
      </c>
      <c r="O275" s="3">
        <v>6.8772934618388504E-4</v>
      </c>
      <c r="P275" s="3">
        <v>4.2794421669848396E-3</v>
      </c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x14ac:dyDescent="0.45">
      <c r="A276" s="3" t="s">
        <v>74</v>
      </c>
      <c r="B276" s="3" t="s">
        <v>25</v>
      </c>
      <c r="C276" s="3" t="s">
        <v>15</v>
      </c>
      <c r="D276" s="3" t="s">
        <v>11</v>
      </c>
      <c r="E276" s="3" t="s">
        <v>8</v>
      </c>
      <c r="F276" s="3">
        <v>0</v>
      </c>
      <c r="G276" s="3">
        <v>0</v>
      </c>
      <c r="H276" s="3">
        <v>0</v>
      </c>
      <c r="I276" s="3">
        <v>-4.2972248304240501E-4</v>
      </c>
      <c r="J276" s="3">
        <v>-3.7399572355459299E-3</v>
      </c>
      <c r="K276" s="3">
        <v>-7.2949892240128404E-3</v>
      </c>
      <c r="L276" s="3">
        <v>-1.54011234718898E-3</v>
      </c>
      <c r="M276" s="3">
        <v>6.9202332659419304E-3</v>
      </c>
      <c r="N276" s="3">
        <v>8.4145007518898805E-4</v>
      </c>
      <c r="O276" s="3">
        <v>-1.78479581200164E-3</v>
      </c>
      <c r="P276" s="3">
        <v>-6.6756669876318897E-3</v>
      </c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x14ac:dyDescent="0.45">
      <c r="A277" s="3" t="s">
        <v>74</v>
      </c>
      <c r="B277" s="3" t="s">
        <v>25</v>
      </c>
      <c r="C277" s="3" t="s">
        <v>15</v>
      </c>
      <c r="D277" s="3" t="s">
        <v>12</v>
      </c>
      <c r="E277" s="3" t="s">
        <v>8</v>
      </c>
      <c r="F277" s="3">
        <v>0</v>
      </c>
      <c r="G277" s="3">
        <v>-1.15964015225484E-4</v>
      </c>
      <c r="H277" s="3">
        <v>-1.15964015225484E-4</v>
      </c>
      <c r="I277" s="3">
        <v>-3.89776955961307E-3</v>
      </c>
      <c r="J277" s="3">
        <v>-8.0364859884710597E-3</v>
      </c>
      <c r="K277" s="3">
        <v>-1.21654141111991E-2</v>
      </c>
      <c r="L277" s="3">
        <v>-4.7862373100180197E-2</v>
      </c>
      <c r="M277" s="3">
        <v>-2.5411908498214199E-2</v>
      </c>
      <c r="N277" s="3">
        <v>-1.6414552197888999E-2</v>
      </c>
      <c r="O277" s="3">
        <v>-2.3198395206375101E-2</v>
      </c>
      <c r="P277" s="3">
        <v>-2.5733310677832601E-2</v>
      </c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x14ac:dyDescent="0.45">
      <c r="A278" s="3" t="s">
        <v>74</v>
      </c>
      <c r="B278" s="3" t="s">
        <v>25</v>
      </c>
      <c r="C278" s="3" t="s">
        <v>15</v>
      </c>
      <c r="D278" s="3" t="s">
        <v>13</v>
      </c>
      <c r="E278" s="3" t="s">
        <v>8</v>
      </c>
      <c r="F278" s="3">
        <v>0</v>
      </c>
      <c r="G278" s="3">
        <v>-3.7863386616562001E-3</v>
      </c>
      <c r="H278" s="3">
        <v>-3.7863386616562001E-3</v>
      </c>
      <c r="I278" s="3">
        <v>-1.6842520633387301E-2</v>
      </c>
      <c r="J278" s="3">
        <v>-1.40932703826714E-2</v>
      </c>
      <c r="K278" s="3">
        <v>-2.2664728282519499E-2</v>
      </c>
      <c r="L278" s="3">
        <v>-3.5755790372721502E-2</v>
      </c>
      <c r="M278" s="3">
        <v>-4.0712130843833703E-2</v>
      </c>
      <c r="N278" s="3">
        <v>-4.5952947117419998E-2</v>
      </c>
      <c r="O278" s="3">
        <v>-3.5976315674293199E-2</v>
      </c>
      <c r="P278" s="3">
        <v>-3.1908383991441899E-2</v>
      </c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x14ac:dyDescent="0.45">
      <c r="A279" s="3" t="s">
        <v>74</v>
      </c>
      <c r="B279" s="3" t="s">
        <v>25</v>
      </c>
      <c r="C279" s="3" t="s">
        <v>15</v>
      </c>
      <c r="D279" s="3" t="s">
        <v>14</v>
      </c>
      <c r="E279" s="3" t="s">
        <v>8</v>
      </c>
      <c r="F279" s="3">
        <v>0</v>
      </c>
      <c r="G279" s="3">
        <v>-1.2428425967378901E-2</v>
      </c>
      <c r="H279" s="3">
        <v>-1.2428425967378901E-2</v>
      </c>
      <c r="I279" s="3">
        <v>-2.61016948563116E-2</v>
      </c>
      <c r="J279" s="3">
        <v>-3.1456649909784098E-2</v>
      </c>
      <c r="K279" s="3">
        <v>-4.0315113335863899E-2</v>
      </c>
      <c r="L279" s="3">
        <v>-5.3307883663689597E-2</v>
      </c>
      <c r="M279" s="3">
        <v>-5.8260405718035903E-2</v>
      </c>
      <c r="N279" s="3">
        <v>-5.3650458264648301E-2</v>
      </c>
      <c r="O279" s="3">
        <v>-5.7334333327678198E-2</v>
      </c>
      <c r="P279" s="3">
        <v>-6.2988100022554602E-2</v>
      </c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x14ac:dyDescent="0.45">
      <c r="A280" s="3" t="s">
        <v>74</v>
      </c>
      <c r="B280" s="3" t="s">
        <v>25</v>
      </c>
      <c r="C280" s="3" t="s">
        <v>16</v>
      </c>
      <c r="D280" s="3" t="s">
        <v>7</v>
      </c>
      <c r="E280" s="3" t="s">
        <v>8</v>
      </c>
      <c r="F280" s="3">
        <v>0.732078448887445</v>
      </c>
      <c r="G280" s="3">
        <v>0.732078448887445</v>
      </c>
      <c r="H280" s="3">
        <v>0.732078448887445</v>
      </c>
      <c r="I280" s="3">
        <v>0.732078448887445</v>
      </c>
      <c r="J280" s="3">
        <v>0.732078448887445</v>
      </c>
      <c r="K280" s="3">
        <v>0.68010087901643701</v>
      </c>
      <c r="L280" s="3">
        <v>0.42606965725249302</v>
      </c>
      <c r="M280" s="3">
        <v>0.222551848461783</v>
      </c>
      <c r="N280" s="3">
        <v>0</v>
      </c>
      <c r="O280" s="3">
        <v>0</v>
      </c>
      <c r="P280" s="3">
        <v>0</v>
      </c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x14ac:dyDescent="0.45">
      <c r="A281" s="3" t="s">
        <v>74</v>
      </c>
      <c r="B281" s="3" t="s">
        <v>25</v>
      </c>
      <c r="C281" s="3" t="s">
        <v>16</v>
      </c>
      <c r="D281" s="3" t="s">
        <v>9</v>
      </c>
      <c r="E281" s="3" t="s">
        <v>8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2.4980018054066002E-16</v>
      </c>
      <c r="N281" s="3">
        <v>0</v>
      </c>
      <c r="O281" s="3">
        <v>0</v>
      </c>
      <c r="P281" s="3">
        <v>0</v>
      </c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x14ac:dyDescent="0.45">
      <c r="A282" s="3" t="s">
        <v>74</v>
      </c>
      <c r="B282" s="3" t="s">
        <v>25</v>
      </c>
      <c r="C282" s="3" t="s">
        <v>16</v>
      </c>
      <c r="D282" s="3" t="s">
        <v>10</v>
      </c>
      <c r="E282" s="3" t="s">
        <v>8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x14ac:dyDescent="0.45">
      <c r="A283" s="3" t="s">
        <v>74</v>
      </c>
      <c r="B283" s="3" t="s">
        <v>25</v>
      </c>
      <c r="C283" s="3" t="s">
        <v>16</v>
      </c>
      <c r="D283" s="3" t="s">
        <v>11</v>
      </c>
      <c r="E283" s="3" t="s">
        <v>8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x14ac:dyDescent="0.45">
      <c r="A284" s="3" t="s">
        <v>74</v>
      </c>
      <c r="B284" s="3" t="s">
        <v>25</v>
      </c>
      <c r="C284" s="3" t="s">
        <v>16</v>
      </c>
      <c r="D284" s="3" t="s">
        <v>12</v>
      </c>
      <c r="E284" s="3" t="s">
        <v>8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x14ac:dyDescent="0.45">
      <c r="A285" s="3" t="s">
        <v>74</v>
      </c>
      <c r="B285" s="3" t="s">
        <v>25</v>
      </c>
      <c r="C285" s="3" t="s">
        <v>16</v>
      </c>
      <c r="D285" s="3" t="s">
        <v>13</v>
      </c>
      <c r="E285" s="3" t="s">
        <v>8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x14ac:dyDescent="0.45">
      <c r="A286" s="3" t="s">
        <v>74</v>
      </c>
      <c r="B286" s="3" t="s">
        <v>25</v>
      </c>
      <c r="C286" s="3" t="s">
        <v>16</v>
      </c>
      <c r="D286" s="3" t="s">
        <v>14</v>
      </c>
      <c r="E286" s="3" t="s">
        <v>8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x14ac:dyDescent="0.45">
      <c r="A287" s="3" t="s">
        <v>74</v>
      </c>
      <c r="B287" s="3" t="s">
        <v>25</v>
      </c>
      <c r="C287" s="3" t="s">
        <v>17</v>
      </c>
      <c r="D287" s="3" t="s">
        <v>10</v>
      </c>
      <c r="E287" s="3" t="s">
        <v>8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0.11959530854735601</v>
      </c>
      <c r="O287" s="3">
        <v>0.13758652624394799</v>
      </c>
      <c r="P287" s="3">
        <v>0.13646749016095699</v>
      </c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x14ac:dyDescent="0.45">
      <c r="A288" s="3" t="s">
        <v>74</v>
      </c>
      <c r="B288" s="3" t="s">
        <v>25</v>
      </c>
      <c r="C288" s="3" t="s">
        <v>17</v>
      </c>
      <c r="D288" s="3" t="s">
        <v>11</v>
      </c>
      <c r="E288" s="3" t="s">
        <v>8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0.13409433121007699</v>
      </c>
      <c r="N288" s="3">
        <v>2.39444574825377E-2</v>
      </c>
      <c r="O288" s="3">
        <v>7.8402370147533096E-3</v>
      </c>
      <c r="P288" s="3">
        <v>8.2332189750544404E-3</v>
      </c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x14ac:dyDescent="0.45">
      <c r="A289" s="3" t="s">
        <v>74</v>
      </c>
      <c r="B289" s="3" t="s">
        <v>25</v>
      </c>
      <c r="C289" s="3" t="s">
        <v>17</v>
      </c>
      <c r="D289" s="3" t="s">
        <v>12</v>
      </c>
      <c r="E289" s="3" t="s">
        <v>8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1.42259119972714E-2</v>
      </c>
      <c r="N289" s="3">
        <v>4.0919084124187701E-3</v>
      </c>
      <c r="O289" s="3">
        <v>2.2426634857693199E-3</v>
      </c>
      <c r="P289" s="3">
        <v>1.5561216978063901E-3</v>
      </c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x14ac:dyDescent="0.45">
      <c r="A290" s="3" t="s">
        <v>74</v>
      </c>
      <c r="B290" s="3" t="s">
        <v>25</v>
      </c>
      <c r="C290" s="3" t="s">
        <v>17</v>
      </c>
      <c r="D290" s="3" t="s">
        <v>13</v>
      </c>
      <c r="E290" s="3" t="s">
        <v>8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8.7808323934068802E-5</v>
      </c>
      <c r="N290" s="3">
        <v>8.8791573008395504E-5</v>
      </c>
      <c r="O290" s="3">
        <v>5.1039270849789798E-5</v>
      </c>
      <c r="P290" s="3">
        <v>3.8449034212184603E-5</v>
      </c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x14ac:dyDescent="0.45">
      <c r="A291" s="3" t="s">
        <v>74</v>
      </c>
      <c r="B291" s="3" t="s">
        <v>25</v>
      </c>
      <c r="C291" s="3" t="s">
        <v>17</v>
      </c>
      <c r="D291" s="3" t="s">
        <v>14</v>
      </c>
      <c r="E291" s="3" t="s">
        <v>8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1.10851931192646E-6</v>
      </c>
      <c r="N291" s="3">
        <v>1.25270237599784E-7</v>
      </c>
      <c r="O291" s="3">
        <v>1.2527023784958399E-7</v>
      </c>
      <c r="P291" s="3">
        <v>6.9756440515544902E-7</v>
      </c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x14ac:dyDescent="0.45">
      <c r="A292" s="3" t="s">
        <v>74</v>
      </c>
      <c r="B292" s="3" t="s">
        <v>25</v>
      </c>
      <c r="C292" s="3" t="s">
        <v>18</v>
      </c>
      <c r="D292" s="3" t="s">
        <v>7</v>
      </c>
      <c r="E292" s="3" t="s">
        <v>8</v>
      </c>
      <c r="F292" s="3">
        <v>2.15255925902304</v>
      </c>
      <c r="G292" s="3">
        <v>2.2946367401515002</v>
      </c>
      <c r="H292" s="3">
        <v>2.2946367401515002</v>
      </c>
      <c r="I292" s="3">
        <v>2.3802072437789299</v>
      </c>
      <c r="J292" s="3">
        <v>2.0911574150846999</v>
      </c>
      <c r="K292" s="3">
        <v>1.3455782449923299</v>
      </c>
      <c r="L292" s="3">
        <v>0.84297797479605696</v>
      </c>
      <c r="M292" s="3">
        <v>0.44031839233333597</v>
      </c>
      <c r="N292" s="3">
        <v>0</v>
      </c>
      <c r="O292" s="3">
        <v>0</v>
      </c>
      <c r="P292" s="3">
        <v>2.21446879953479E-16</v>
      </c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x14ac:dyDescent="0.45">
      <c r="A293" s="3" t="s">
        <v>74</v>
      </c>
      <c r="B293" s="3" t="s">
        <v>25</v>
      </c>
      <c r="C293" s="3" t="s">
        <v>18</v>
      </c>
      <c r="D293" s="3" t="s">
        <v>9</v>
      </c>
      <c r="E293" s="3" t="s">
        <v>8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-1.1072343997674E-16</v>
      </c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x14ac:dyDescent="0.45">
      <c r="A294" s="3" t="s">
        <v>74</v>
      </c>
      <c r="B294" s="3" t="s">
        <v>25</v>
      </c>
      <c r="C294" s="3" t="s">
        <v>18</v>
      </c>
      <c r="D294" s="3" t="s">
        <v>10</v>
      </c>
      <c r="E294" s="3" t="s">
        <v>8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2.21446879953479E-16</v>
      </c>
      <c r="P294" s="3">
        <v>-1.1072343997674E-16</v>
      </c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x14ac:dyDescent="0.45">
      <c r="A295" s="3" t="s">
        <v>74</v>
      </c>
      <c r="B295" s="3" t="s">
        <v>25</v>
      </c>
      <c r="C295" s="3" t="s">
        <v>18</v>
      </c>
      <c r="D295" s="3" t="s">
        <v>11</v>
      </c>
      <c r="E295" s="3" t="s">
        <v>8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-1.1072343997674E-16</v>
      </c>
      <c r="P295" s="3">
        <v>0</v>
      </c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x14ac:dyDescent="0.45">
      <c r="A296" s="3" t="s">
        <v>74</v>
      </c>
      <c r="B296" s="3" t="s">
        <v>25</v>
      </c>
      <c r="C296" s="3" t="s">
        <v>18</v>
      </c>
      <c r="D296" s="3" t="s">
        <v>12</v>
      </c>
      <c r="E296" s="3" t="s">
        <v>8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-1.1072343997674E-16</v>
      </c>
      <c r="P296" s="3">
        <v>0</v>
      </c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x14ac:dyDescent="0.45">
      <c r="A297" s="3" t="s">
        <v>74</v>
      </c>
      <c r="B297" s="3" t="s">
        <v>25</v>
      </c>
      <c r="C297" s="3" t="s">
        <v>18</v>
      </c>
      <c r="D297" s="3" t="s">
        <v>13</v>
      </c>
      <c r="E297" s="3" t="s">
        <v>8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3.3217031993022E-16</v>
      </c>
      <c r="O297" s="3">
        <v>1.1072343997674E-16</v>
      </c>
      <c r="P297" s="3">
        <v>0</v>
      </c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x14ac:dyDescent="0.45">
      <c r="A298" s="3" t="s">
        <v>74</v>
      </c>
      <c r="B298" s="3" t="s">
        <v>25</v>
      </c>
      <c r="C298" s="3" t="s">
        <v>18</v>
      </c>
      <c r="D298" s="3" t="s">
        <v>14</v>
      </c>
      <c r="E298" s="3" t="s">
        <v>8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-3.3217031993022E-16</v>
      </c>
      <c r="O298" s="3">
        <v>3.3217031993021901E-16</v>
      </c>
      <c r="P298" s="3">
        <v>0</v>
      </c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x14ac:dyDescent="0.45">
      <c r="A299" s="3" t="s">
        <v>74</v>
      </c>
      <c r="B299" s="3" t="s">
        <v>25</v>
      </c>
      <c r="C299" s="3" t="s">
        <v>19</v>
      </c>
      <c r="D299" s="3" t="s">
        <v>7</v>
      </c>
      <c r="E299" s="3" t="s">
        <v>8</v>
      </c>
      <c r="F299" s="3">
        <v>8.2109786543142299E-2</v>
      </c>
      <c r="G299" s="3">
        <v>0.13005126233223199</v>
      </c>
      <c r="H299" s="3">
        <v>0.13005126233223199</v>
      </c>
      <c r="I299" s="3">
        <v>0.13051850350682301</v>
      </c>
      <c r="J299" s="3">
        <v>0.14783033448591401</v>
      </c>
      <c r="K299" s="3">
        <v>0.15749914337214499</v>
      </c>
      <c r="L299" s="3">
        <v>0.11048765278495599</v>
      </c>
      <c r="M299" s="3">
        <v>8.9278898033242099E-2</v>
      </c>
      <c r="N299" s="3">
        <v>8.8231635346094198E-2</v>
      </c>
      <c r="O299" s="3">
        <v>8.7389876739179098E-2</v>
      </c>
      <c r="P299" s="3">
        <v>8.6634282749047095E-2</v>
      </c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x14ac:dyDescent="0.45">
      <c r="A300" s="3" t="s">
        <v>74</v>
      </c>
      <c r="B300" s="3" t="s">
        <v>25</v>
      </c>
      <c r="C300" s="3" t="s">
        <v>19</v>
      </c>
      <c r="D300" s="3" t="s">
        <v>9</v>
      </c>
      <c r="E300" s="3" t="s">
        <v>8</v>
      </c>
      <c r="F300" s="3">
        <v>0</v>
      </c>
      <c r="G300" s="3">
        <v>5.4503931764085501E-4</v>
      </c>
      <c r="H300" s="3">
        <v>5.4503931764085501E-4</v>
      </c>
      <c r="I300" s="3">
        <v>1.3072137664853201E-3</v>
      </c>
      <c r="J300" s="3">
        <v>2.1612011919083501E-3</v>
      </c>
      <c r="K300" s="3">
        <v>5.13328457437753E-3</v>
      </c>
      <c r="L300" s="3">
        <v>8.6498637988675804E-3</v>
      </c>
      <c r="M300" s="3">
        <v>9.1146619305951491E-3</v>
      </c>
      <c r="N300" s="3">
        <v>7.1328396909105399E-3</v>
      </c>
      <c r="O300" s="3">
        <v>6.6560611772113901E-3</v>
      </c>
      <c r="P300" s="3">
        <v>1.8747387510371302E-2</v>
      </c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x14ac:dyDescent="0.45">
      <c r="A301" s="3" t="s">
        <v>74</v>
      </c>
      <c r="B301" s="3" t="s">
        <v>25</v>
      </c>
      <c r="C301" s="3" t="s">
        <v>19</v>
      </c>
      <c r="D301" s="3" t="s">
        <v>10</v>
      </c>
      <c r="E301" s="3" t="s">
        <v>8</v>
      </c>
      <c r="F301" s="3">
        <v>0</v>
      </c>
      <c r="G301" s="3">
        <v>5.4610444774588803E-5</v>
      </c>
      <c r="H301" s="3">
        <v>5.4610444774588803E-5</v>
      </c>
      <c r="I301" s="3">
        <v>1.08328282322695E-3</v>
      </c>
      <c r="J301" s="3">
        <v>2.3439584967487599E-3</v>
      </c>
      <c r="K301" s="3">
        <v>6.0870867925482703E-3</v>
      </c>
      <c r="L301" s="3">
        <v>1.27331684300225E-2</v>
      </c>
      <c r="M301" s="3">
        <v>3.5698686873936902E-2</v>
      </c>
      <c r="N301" s="3">
        <v>3.8643159716523899E-2</v>
      </c>
      <c r="O301" s="3">
        <v>3.9965004497012797E-2</v>
      </c>
      <c r="P301" s="3">
        <v>2.85759972255215E-2</v>
      </c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x14ac:dyDescent="0.45">
      <c r="A302" s="3" t="s">
        <v>74</v>
      </c>
      <c r="B302" s="3" t="s">
        <v>25</v>
      </c>
      <c r="C302" s="3" t="s">
        <v>19</v>
      </c>
      <c r="D302" s="3" t="s">
        <v>11</v>
      </c>
      <c r="E302" s="3" t="s">
        <v>8</v>
      </c>
      <c r="F302" s="3">
        <v>0</v>
      </c>
      <c r="G302" s="3">
        <v>4.9960036108132005E-16</v>
      </c>
      <c r="H302" s="3">
        <v>4.9960036108132005E-16</v>
      </c>
      <c r="I302" s="3">
        <v>4.2972248304265498E-4</v>
      </c>
      <c r="J302" s="3">
        <v>3.7399572355464599E-3</v>
      </c>
      <c r="K302" s="3">
        <v>7.2949892240136401E-3</v>
      </c>
      <c r="L302" s="3">
        <v>3.7092722317283E-2</v>
      </c>
      <c r="M302" s="3">
        <v>2.8360754907174199E-2</v>
      </c>
      <c r="N302" s="3">
        <v>2.65062105881761E-2</v>
      </c>
      <c r="O302" s="3">
        <v>2.64313016780937E-2</v>
      </c>
      <c r="P302" s="3">
        <v>2.7299158726049901E-2</v>
      </c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x14ac:dyDescent="0.45">
      <c r="A303" s="3" t="s">
        <v>74</v>
      </c>
      <c r="B303" s="3" t="s">
        <v>25</v>
      </c>
      <c r="C303" s="3" t="s">
        <v>19</v>
      </c>
      <c r="D303" s="3" t="s">
        <v>12</v>
      </c>
      <c r="E303" s="3" t="s">
        <v>8</v>
      </c>
      <c r="F303" s="3">
        <v>0</v>
      </c>
      <c r="G303" s="3">
        <v>1.15964015224984E-4</v>
      </c>
      <c r="H303" s="3">
        <v>1.15964015224984E-4</v>
      </c>
      <c r="I303" s="3">
        <v>3.89776955961257E-3</v>
      </c>
      <c r="J303" s="3">
        <v>8.0364859884722896E-3</v>
      </c>
      <c r="K303" s="3">
        <v>1.21654141111986E-2</v>
      </c>
      <c r="L303" s="3">
        <v>0.121722921203022</v>
      </c>
      <c r="M303" s="3">
        <v>6.1613072829300897E-2</v>
      </c>
      <c r="N303" s="3">
        <v>2.9250827097272E-2</v>
      </c>
      <c r="O303" s="3">
        <v>2.4640000191157901E-2</v>
      </c>
      <c r="P303" s="3">
        <v>2.3704915558497901E-2</v>
      </c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x14ac:dyDescent="0.45">
      <c r="A304" s="3" t="s">
        <v>74</v>
      </c>
      <c r="B304" s="3" t="s">
        <v>25</v>
      </c>
      <c r="C304" s="3" t="s">
        <v>19</v>
      </c>
      <c r="D304" s="3" t="s">
        <v>13</v>
      </c>
      <c r="E304" s="3" t="s">
        <v>8</v>
      </c>
      <c r="F304" s="3">
        <v>0</v>
      </c>
      <c r="G304" s="3">
        <v>3.7863386616569798E-3</v>
      </c>
      <c r="H304" s="3">
        <v>3.7863386616569798E-3</v>
      </c>
      <c r="I304" s="3">
        <v>1.68425206333877E-2</v>
      </c>
      <c r="J304" s="3">
        <v>1.4093270382670201E-2</v>
      </c>
      <c r="K304" s="3">
        <v>2.2664728282519801E-2</v>
      </c>
      <c r="L304" s="3">
        <v>4.7990816750401198E-2</v>
      </c>
      <c r="M304" s="3">
        <v>5.51722674929448E-2</v>
      </c>
      <c r="N304" s="3">
        <v>6.03699047883079E-2</v>
      </c>
      <c r="O304" s="3">
        <v>4.5145534127307797E-2</v>
      </c>
      <c r="P304" s="3">
        <v>3.7303737116470399E-2</v>
      </c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x14ac:dyDescent="0.45">
      <c r="A305" s="3" t="s">
        <v>74</v>
      </c>
      <c r="B305" s="3" t="s">
        <v>25</v>
      </c>
      <c r="C305" s="3" t="s">
        <v>19</v>
      </c>
      <c r="D305" s="3" t="s">
        <v>14</v>
      </c>
      <c r="E305" s="3" t="s">
        <v>8</v>
      </c>
      <c r="F305" s="3">
        <v>0</v>
      </c>
      <c r="G305" s="3">
        <v>1.2428425967378399E-2</v>
      </c>
      <c r="H305" s="3">
        <v>1.2428425967378399E-2</v>
      </c>
      <c r="I305" s="3">
        <v>2.6101694856310399E-2</v>
      </c>
      <c r="J305" s="3">
        <v>3.1456649909785299E-2</v>
      </c>
      <c r="K305" s="3">
        <v>4.03151133358653E-2</v>
      </c>
      <c r="L305" s="3">
        <v>6.2411121587510401E-2</v>
      </c>
      <c r="M305" s="3">
        <v>7.3097438714413196E-2</v>
      </c>
      <c r="N305" s="3">
        <v>6.3999943421483393E-2</v>
      </c>
      <c r="O305" s="3">
        <v>6.79555665374144E-2</v>
      </c>
      <c r="P305" s="3">
        <v>7.33382854556653E-2</v>
      </c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x14ac:dyDescent="0.45">
      <c r="A306" s="3" t="s">
        <v>74</v>
      </c>
      <c r="B306" s="3" t="s">
        <v>24</v>
      </c>
      <c r="C306" s="3" t="s">
        <v>6</v>
      </c>
      <c r="D306" s="3" t="s">
        <v>10</v>
      </c>
      <c r="E306" s="3" t="s">
        <v>8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1.8043896095811501E-3</v>
      </c>
      <c r="L306" s="3">
        <v>0</v>
      </c>
      <c r="M306" s="3">
        <v>0.66337577503825695</v>
      </c>
      <c r="N306" s="3">
        <v>2.3641074034297498</v>
      </c>
      <c r="O306" s="3">
        <v>4.5706302051038001</v>
      </c>
      <c r="P306" s="3">
        <v>6.5629328637320103</v>
      </c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x14ac:dyDescent="0.45">
      <c r="A307" s="3" t="s">
        <v>74</v>
      </c>
      <c r="B307" s="3" t="s">
        <v>24</v>
      </c>
      <c r="C307" s="3" t="s">
        <v>6</v>
      </c>
      <c r="D307" s="3" t="s">
        <v>11</v>
      </c>
      <c r="E307" s="3" t="s">
        <v>8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0.77126292560001897</v>
      </c>
      <c r="L307" s="3">
        <v>3.01355516242239</v>
      </c>
      <c r="M307" s="3">
        <v>4.7592137993727199</v>
      </c>
      <c r="N307" s="3">
        <v>5.2302526677549004</v>
      </c>
      <c r="O307" s="3">
        <v>4.5679215617532103</v>
      </c>
      <c r="P307" s="3">
        <v>3.7236807381701702</v>
      </c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x14ac:dyDescent="0.45">
      <c r="A308" s="3" t="s">
        <v>74</v>
      </c>
      <c r="B308" s="3" t="s">
        <v>24</v>
      </c>
      <c r="C308" s="3" t="s">
        <v>6</v>
      </c>
      <c r="D308" s="3" t="s">
        <v>12</v>
      </c>
      <c r="E308" s="3" t="s">
        <v>8</v>
      </c>
      <c r="F308" s="3">
        <v>0</v>
      </c>
      <c r="G308" s="3">
        <v>0</v>
      </c>
      <c r="H308" s="3">
        <v>0</v>
      </c>
      <c r="I308" s="3">
        <v>0</v>
      </c>
      <c r="J308" s="3">
        <v>1.8193433559690999</v>
      </c>
      <c r="K308" s="3">
        <v>3.6401205819215399</v>
      </c>
      <c r="L308" s="3">
        <v>3.6990365991759999</v>
      </c>
      <c r="M308" s="3">
        <v>3.3605508675818898</v>
      </c>
      <c r="N308" s="3">
        <v>2.68094586523695</v>
      </c>
      <c r="O308" s="3">
        <v>2.2830696447102898</v>
      </c>
      <c r="P308" s="3">
        <v>2.0144196129253999</v>
      </c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x14ac:dyDescent="0.45">
      <c r="A309" s="3" t="s">
        <v>74</v>
      </c>
      <c r="B309" s="3" t="s">
        <v>24</v>
      </c>
      <c r="C309" s="3" t="s">
        <v>6</v>
      </c>
      <c r="D309" s="3" t="s">
        <v>13</v>
      </c>
      <c r="E309" s="3" t="s">
        <v>8</v>
      </c>
      <c r="F309" s="3">
        <v>0</v>
      </c>
      <c r="G309" s="3">
        <v>0</v>
      </c>
      <c r="H309" s="3">
        <v>0</v>
      </c>
      <c r="I309" s="3">
        <v>2.8631362283975399</v>
      </c>
      <c r="J309" s="3">
        <v>3.5286585210655699</v>
      </c>
      <c r="K309" s="3">
        <v>3.1955048820844301</v>
      </c>
      <c r="L309" s="3">
        <v>2.9289973231394701</v>
      </c>
      <c r="M309" s="3">
        <v>2.4033452770901298</v>
      </c>
      <c r="N309" s="3">
        <v>2.2447894021657002</v>
      </c>
      <c r="O309" s="3">
        <v>2.3381059783020999</v>
      </c>
      <c r="P309" s="3">
        <v>2.5004305910720999</v>
      </c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x14ac:dyDescent="0.45">
      <c r="A310" s="3" t="s">
        <v>74</v>
      </c>
      <c r="B310" s="3" t="s">
        <v>24</v>
      </c>
      <c r="C310" s="3" t="s">
        <v>6</v>
      </c>
      <c r="D310" s="3" t="s">
        <v>14</v>
      </c>
      <c r="E310" s="3" t="s">
        <v>8</v>
      </c>
      <c r="F310" s="3">
        <v>0</v>
      </c>
      <c r="G310" s="3">
        <v>1.3273226376318501</v>
      </c>
      <c r="H310" s="3">
        <v>1.3273226376318501</v>
      </c>
      <c r="I310" s="3">
        <v>1.2083586773556001</v>
      </c>
      <c r="J310" s="3">
        <v>1.3233460396030201</v>
      </c>
      <c r="K310" s="3">
        <v>1.52667009877792</v>
      </c>
      <c r="L310" s="3">
        <v>1.8214590901946399</v>
      </c>
      <c r="M310" s="3">
        <v>1.9419057255192</v>
      </c>
      <c r="N310" s="3">
        <v>2.0779265293839999</v>
      </c>
      <c r="O310" s="3">
        <v>2.1399188849196999</v>
      </c>
      <c r="P310" s="3">
        <v>2.1305023278764001</v>
      </c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x14ac:dyDescent="0.45">
      <c r="A311" s="3" t="s">
        <v>74</v>
      </c>
      <c r="B311" s="3" t="s">
        <v>24</v>
      </c>
      <c r="C311" s="3" t="s">
        <v>15</v>
      </c>
      <c r="D311" s="3" t="s">
        <v>7</v>
      </c>
      <c r="E311" s="3" t="s">
        <v>8</v>
      </c>
      <c r="F311" s="3">
        <v>0.36914141723791299</v>
      </c>
      <c r="G311" s="3">
        <v>0.59445892519721799</v>
      </c>
      <c r="H311" s="3">
        <v>0.59445892519721799</v>
      </c>
      <c r="I311" s="3">
        <v>0.71709953608715304</v>
      </c>
      <c r="J311" s="3">
        <v>1.07617841897905</v>
      </c>
      <c r="K311" s="3">
        <v>1.2375200602735901</v>
      </c>
      <c r="L311" s="3">
        <v>1.32531658274213</v>
      </c>
      <c r="M311" s="3">
        <v>1.2791846342941899</v>
      </c>
      <c r="N311" s="3">
        <v>1.29794559657355</v>
      </c>
      <c r="O311" s="3">
        <v>1.204431091395</v>
      </c>
      <c r="P311" s="3">
        <v>1.5067384558753001</v>
      </c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x14ac:dyDescent="0.45">
      <c r="A312" s="3" t="s">
        <v>74</v>
      </c>
      <c r="B312" s="3" t="s">
        <v>24</v>
      </c>
      <c r="C312" s="3" t="s">
        <v>15</v>
      </c>
      <c r="D312" s="3" t="s">
        <v>9</v>
      </c>
      <c r="E312" s="3" t="s">
        <v>8</v>
      </c>
      <c r="F312" s="3">
        <v>0</v>
      </c>
      <c r="G312" s="3">
        <v>7.3054081069897997E-2</v>
      </c>
      <c r="H312" s="3">
        <v>7.3054081069897997E-2</v>
      </c>
      <c r="I312" s="3">
        <v>0.215580075932048</v>
      </c>
      <c r="J312" s="3">
        <v>0.1648220371679</v>
      </c>
      <c r="K312" s="3">
        <v>0.28366733834010999</v>
      </c>
      <c r="L312" s="3">
        <v>0.29279537264768002</v>
      </c>
      <c r="M312" s="3">
        <v>0.70317755808023996</v>
      </c>
      <c r="N312" s="3">
        <v>0.83623886914295997</v>
      </c>
      <c r="O312" s="3">
        <v>1.0234440638245501</v>
      </c>
      <c r="P312" s="3">
        <v>0.78315100256596004</v>
      </c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x14ac:dyDescent="0.45">
      <c r="A313" s="3" t="s">
        <v>74</v>
      </c>
      <c r="B313" s="3" t="s">
        <v>24</v>
      </c>
      <c r="C313" s="3" t="s">
        <v>15</v>
      </c>
      <c r="D313" s="3" t="s">
        <v>10</v>
      </c>
      <c r="E313" s="3" t="s">
        <v>8</v>
      </c>
      <c r="F313" s="3">
        <v>0</v>
      </c>
      <c r="G313" s="3">
        <v>8.0001208696099894E-3</v>
      </c>
      <c r="H313" s="3">
        <v>8.0001208696099894E-3</v>
      </c>
      <c r="I313" s="3">
        <v>4.5476859111039901E-3</v>
      </c>
      <c r="J313" s="3">
        <v>1.59172438068E-3</v>
      </c>
      <c r="K313" s="3">
        <v>0.19392393605283001</v>
      </c>
      <c r="L313" s="3">
        <v>0.24544870054439999</v>
      </c>
      <c r="M313" s="3">
        <v>3.9141475818380102E-2</v>
      </c>
      <c r="N313" s="3">
        <v>5.1281252978200097E-2</v>
      </c>
      <c r="O313" s="3">
        <v>7.0644662055189905E-2</v>
      </c>
      <c r="P313" s="3">
        <v>0.100407274618</v>
      </c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x14ac:dyDescent="0.45">
      <c r="A314" s="3" t="s">
        <v>74</v>
      </c>
      <c r="B314" s="3" t="s">
        <v>24</v>
      </c>
      <c r="C314" s="3" t="s">
        <v>15</v>
      </c>
      <c r="D314" s="3" t="s">
        <v>11</v>
      </c>
      <c r="E314" s="3" t="s">
        <v>8</v>
      </c>
      <c r="F314" s="3">
        <v>0</v>
      </c>
      <c r="G314" s="3">
        <v>-2.2754412144077901E-2</v>
      </c>
      <c r="H314" s="3">
        <v>-2.2754412144077901E-2</v>
      </c>
      <c r="I314" s="3">
        <v>3.1667730271980302E-3</v>
      </c>
      <c r="J314" s="3">
        <v>0.17870151856512001</v>
      </c>
      <c r="K314" s="3">
        <v>2.876535992468E-2</v>
      </c>
      <c r="L314" s="3">
        <v>6.2066826083610097E-2</v>
      </c>
      <c r="M314" s="3">
        <v>0.12672744873260999</v>
      </c>
      <c r="N314" s="3">
        <v>0.11157232367368</v>
      </c>
      <c r="O314" s="3">
        <v>9.4192700011139802E-2</v>
      </c>
      <c r="P314" s="3">
        <v>3.3962006150239699E-2</v>
      </c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x14ac:dyDescent="0.45">
      <c r="A315" s="3" t="s">
        <v>74</v>
      </c>
      <c r="B315" s="3" t="s">
        <v>24</v>
      </c>
      <c r="C315" s="3" t="s">
        <v>15</v>
      </c>
      <c r="D315" s="3" t="s">
        <v>12</v>
      </c>
      <c r="E315" s="3" t="s">
        <v>8</v>
      </c>
      <c r="F315" s="3">
        <v>0</v>
      </c>
      <c r="G315" s="3">
        <v>1.8241418729355901E-2</v>
      </c>
      <c r="H315" s="3">
        <v>1.8241418729355901E-2</v>
      </c>
      <c r="I315" s="3">
        <v>0.15741909615154701</v>
      </c>
      <c r="J315" s="3">
        <v>6.8432915915190004E-2</v>
      </c>
      <c r="K315" s="3">
        <v>0.11219685258287</v>
      </c>
      <c r="L315" s="3">
        <v>0.12510924997586001</v>
      </c>
      <c r="M315" s="3">
        <v>3.8872966427080199E-2</v>
      </c>
      <c r="N315" s="3">
        <v>4.2829175591800901E-3</v>
      </c>
      <c r="O315" s="3">
        <v>-1.7683213561429802E-2</v>
      </c>
      <c r="P315" s="3">
        <v>-7.7617241690996997E-3</v>
      </c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x14ac:dyDescent="0.45">
      <c r="A316" s="3" t="s">
        <v>74</v>
      </c>
      <c r="B316" s="3" t="s">
        <v>24</v>
      </c>
      <c r="C316" s="3" t="s">
        <v>15</v>
      </c>
      <c r="D316" s="3" t="s">
        <v>13</v>
      </c>
      <c r="E316" s="3" t="s">
        <v>8</v>
      </c>
      <c r="F316" s="3">
        <v>0</v>
      </c>
      <c r="G316" s="3">
        <v>0.115581092381179</v>
      </c>
      <c r="H316" s="3">
        <v>0.115581092381179</v>
      </c>
      <c r="I316" s="3">
        <v>0.1205032552522</v>
      </c>
      <c r="J316" s="3">
        <v>8.4797901106039797E-2</v>
      </c>
      <c r="K316" s="3">
        <v>6.0165797649600599E-3</v>
      </c>
      <c r="L316" s="3">
        <v>-4.9242746948780197E-2</v>
      </c>
      <c r="M316" s="3">
        <v>-9.2609994867870193E-2</v>
      </c>
      <c r="N316" s="3">
        <v>-0.11527929707961</v>
      </c>
      <c r="O316" s="3">
        <v>-0.13475339058225999</v>
      </c>
      <c r="P316" s="3">
        <v>-0.15795956485455001</v>
      </c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x14ac:dyDescent="0.45">
      <c r="A317" s="3" t="s">
        <v>74</v>
      </c>
      <c r="B317" s="3" t="s">
        <v>24</v>
      </c>
      <c r="C317" s="3" t="s">
        <v>15</v>
      </c>
      <c r="D317" s="3" t="s">
        <v>14</v>
      </c>
      <c r="E317" s="3" t="s">
        <v>8</v>
      </c>
      <c r="F317" s="3">
        <v>0</v>
      </c>
      <c r="G317" s="3">
        <v>5.9923890494133901E-2</v>
      </c>
      <c r="H317" s="3">
        <v>5.9923890494133901E-2</v>
      </c>
      <c r="I317" s="3">
        <v>-3.4711391118710001E-2</v>
      </c>
      <c r="J317" s="3">
        <v>-8.2216794134549701E-2</v>
      </c>
      <c r="K317" s="3">
        <v>-0.11881428278613999</v>
      </c>
      <c r="L317" s="3">
        <v>-0.10417629940740999</v>
      </c>
      <c r="M317" s="3">
        <v>-0.10457079490432</v>
      </c>
      <c r="N317" s="3">
        <v>-0.12117656221416</v>
      </c>
      <c r="O317" s="3">
        <v>-0.14392515693663999</v>
      </c>
      <c r="P317" s="3">
        <v>-0.14993249338657</v>
      </c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x14ac:dyDescent="0.45">
      <c r="A318" s="3" t="s">
        <v>74</v>
      </c>
      <c r="B318" s="3" t="s">
        <v>24</v>
      </c>
      <c r="C318" s="3" t="s">
        <v>16</v>
      </c>
      <c r="D318" s="3" t="s">
        <v>7</v>
      </c>
      <c r="E318" s="3" t="s">
        <v>8</v>
      </c>
      <c r="F318" s="3">
        <v>1.6741254628772599</v>
      </c>
      <c r="G318" s="3">
        <v>1.4468891120314</v>
      </c>
      <c r="H318" s="3">
        <v>1.4468891120314</v>
      </c>
      <c r="I318" s="3">
        <v>1.0429105184084</v>
      </c>
      <c r="J318" s="3">
        <v>0.69179813027122405</v>
      </c>
      <c r="K318" s="3">
        <v>0.28249720141234602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x14ac:dyDescent="0.45">
      <c r="A319" s="3" t="s">
        <v>74</v>
      </c>
      <c r="B319" s="3" t="s">
        <v>24</v>
      </c>
      <c r="C319" s="3" t="s">
        <v>16</v>
      </c>
      <c r="D319" s="3" t="s">
        <v>9</v>
      </c>
      <c r="E319" s="3" t="s">
        <v>8</v>
      </c>
      <c r="F319" s="3">
        <v>0</v>
      </c>
      <c r="G319" s="3">
        <v>1.7388856311995E-4</v>
      </c>
      <c r="H319" s="3">
        <v>1.7388856311995E-4</v>
      </c>
      <c r="I319" s="3">
        <v>1.9782457422399301E-3</v>
      </c>
      <c r="J319" s="3">
        <v>7.4552041988995598E-4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x14ac:dyDescent="0.45">
      <c r="A320" s="3" t="s">
        <v>74</v>
      </c>
      <c r="B320" s="3" t="s">
        <v>24</v>
      </c>
      <c r="C320" s="3" t="s">
        <v>16</v>
      </c>
      <c r="D320" s="3" t="s">
        <v>10</v>
      </c>
      <c r="E320" s="3" t="s">
        <v>8</v>
      </c>
      <c r="F320" s="3">
        <v>0</v>
      </c>
      <c r="G320" s="3">
        <v>4.0914956030091398E-5</v>
      </c>
      <c r="H320" s="3">
        <v>4.0914956030091398E-5</v>
      </c>
      <c r="I320" s="3">
        <v>5.8702377288999397E-4</v>
      </c>
      <c r="J320" s="3">
        <v>5.1762050402104397E-4</v>
      </c>
      <c r="K320" s="3">
        <v>9.9920072216264108E-16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x14ac:dyDescent="0.45">
      <c r="A321" s="3" t="s">
        <v>74</v>
      </c>
      <c r="B321" s="3" t="s">
        <v>24</v>
      </c>
      <c r="C321" s="3" t="s">
        <v>16</v>
      </c>
      <c r="D321" s="3" t="s">
        <v>11</v>
      </c>
      <c r="E321" s="3" t="s">
        <v>8</v>
      </c>
      <c r="F321" s="3">
        <v>0</v>
      </c>
      <c r="G321" s="3">
        <v>3.8408553683000302E-4</v>
      </c>
      <c r="H321" s="3">
        <v>3.8408553683000302E-4</v>
      </c>
      <c r="I321" s="3">
        <v>-1.5574147021899501E-3</v>
      </c>
      <c r="J321" s="3">
        <v>-1.81371964495103E-3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x14ac:dyDescent="0.45">
      <c r="A322" s="3" t="s">
        <v>74</v>
      </c>
      <c r="B322" s="3" t="s">
        <v>24</v>
      </c>
      <c r="C322" s="3" t="s">
        <v>16</v>
      </c>
      <c r="D322" s="3" t="s">
        <v>12</v>
      </c>
      <c r="E322" s="3" t="s">
        <v>8</v>
      </c>
      <c r="F322" s="3">
        <v>0</v>
      </c>
      <c r="G322" s="3">
        <v>7.1802590498992703E-4</v>
      </c>
      <c r="H322" s="3">
        <v>7.1802590498992703E-4</v>
      </c>
      <c r="I322" s="3">
        <v>-1.73366885553006E-3</v>
      </c>
      <c r="J322" s="3">
        <v>1.5775820866042001E-2</v>
      </c>
      <c r="K322" s="3">
        <v>-1.179721860406E-2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x14ac:dyDescent="0.45">
      <c r="A323" s="3" t="s">
        <v>74</v>
      </c>
      <c r="B323" s="3" t="s">
        <v>24</v>
      </c>
      <c r="C323" s="3" t="s">
        <v>16</v>
      </c>
      <c r="D323" s="3" t="s">
        <v>13</v>
      </c>
      <c r="E323" s="3" t="s">
        <v>8</v>
      </c>
      <c r="F323" s="3">
        <v>0</v>
      </c>
      <c r="G323" s="3">
        <v>3.8515875152500502E-3</v>
      </c>
      <c r="H323" s="3">
        <v>3.8515875152500502E-3</v>
      </c>
      <c r="I323" s="3">
        <v>-1.22857780191099E-2</v>
      </c>
      <c r="J323" s="3">
        <v>-1.7238141304032999E-2</v>
      </c>
      <c r="K323" s="3">
        <v>-5.9128519124601597E-4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x14ac:dyDescent="0.45">
      <c r="A324" s="3" t="s">
        <v>74</v>
      </c>
      <c r="B324" s="3" t="s">
        <v>24</v>
      </c>
      <c r="C324" s="3" t="s">
        <v>16</v>
      </c>
      <c r="D324" s="3" t="s">
        <v>14</v>
      </c>
      <c r="E324" s="3" t="s">
        <v>8</v>
      </c>
      <c r="F324" s="3">
        <v>0</v>
      </c>
      <c r="G324" s="3">
        <v>-5.3820962569269999E-2</v>
      </c>
      <c r="H324" s="3">
        <v>-5.3820962569269999E-2</v>
      </c>
      <c r="I324" s="3">
        <v>-5.6522844286831998E-2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x14ac:dyDescent="0.45">
      <c r="A325" s="3" t="s">
        <v>74</v>
      </c>
      <c r="B325" s="3" t="s">
        <v>24</v>
      </c>
      <c r="C325" s="3" t="s">
        <v>17</v>
      </c>
      <c r="D325" s="3" t="s">
        <v>10</v>
      </c>
      <c r="E325" s="3" t="s">
        <v>8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1.0651636585190701E-2</v>
      </c>
      <c r="N325" s="3">
        <v>1.0550375718579199</v>
      </c>
      <c r="O325" s="3">
        <v>1.31040335986356</v>
      </c>
      <c r="P325" s="3">
        <v>1.3649129024768301</v>
      </c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x14ac:dyDescent="0.45">
      <c r="A326" s="3" t="s">
        <v>74</v>
      </c>
      <c r="B326" s="3" t="s">
        <v>24</v>
      </c>
      <c r="C326" s="3" t="s">
        <v>17</v>
      </c>
      <c r="D326" s="3" t="s">
        <v>11</v>
      </c>
      <c r="E326" s="3" t="s">
        <v>8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1.3187788067080399E-2</v>
      </c>
      <c r="L326" s="3">
        <v>1.12496676312553</v>
      </c>
      <c r="M326" s="3">
        <v>1.24653018499214</v>
      </c>
      <c r="N326" s="3">
        <v>0.46517987046983</v>
      </c>
      <c r="O326" s="3">
        <v>0.49041558819233999</v>
      </c>
      <c r="P326" s="3">
        <v>0.65924519205925003</v>
      </c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x14ac:dyDescent="0.45">
      <c r="A327" s="3" t="s">
        <v>74</v>
      </c>
      <c r="B327" s="3" t="s">
        <v>24</v>
      </c>
      <c r="C327" s="3" t="s">
        <v>17</v>
      </c>
      <c r="D327" s="3" t="s">
        <v>12</v>
      </c>
      <c r="E327" s="3" t="s">
        <v>8</v>
      </c>
      <c r="F327" s="3">
        <v>0</v>
      </c>
      <c r="G327" s="3">
        <v>0</v>
      </c>
      <c r="H327" s="3">
        <v>0</v>
      </c>
      <c r="I327" s="3">
        <v>0</v>
      </c>
      <c r="J327" s="3">
        <v>0.80613258106864205</v>
      </c>
      <c r="K327" s="3">
        <v>1.1359251988174901</v>
      </c>
      <c r="L327" s="3">
        <v>0.53849471805924998</v>
      </c>
      <c r="M327" s="3">
        <v>0.80352225481950001</v>
      </c>
      <c r="N327" s="3">
        <v>0.55866421126528998</v>
      </c>
      <c r="O327" s="3">
        <v>0.27830820188480998</v>
      </c>
      <c r="P327" s="3">
        <v>5.6150638181290201E-2</v>
      </c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x14ac:dyDescent="0.45">
      <c r="A328" s="3" t="s">
        <v>74</v>
      </c>
      <c r="B328" s="3" t="s">
        <v>24</v>
      </c>
      <c r="C328" s="3" t="s">
        <v>17</v>
      </c>
      <c r="D328" s="3" t="s">
        <v>13</v>
      </c>
      <c r="E328" s="3" t="s">
        <v>8</v>
      </c>
      <c r="F328" s="3">
        <v>0</v>
      </c>
      <c r="G328" s="3">
        <v>0</v>
      </c>
      <c r="H328" s="3">
        <v>0</v>
      </c>
      <c r="I328" s="3">
        <v>0.85798059222366396</v>
      </c>
      <c r="J328" s="3">
        <v>1.13747905929218</v>
      </c>
      <c r="K328" s="3">
        <v>1.0744010149065899</v>
      </c>
      <c r="L328" s="3">
        <v>0.56481598013723</v>
      </c>
      <c r="M328" s="3">
        <v>0.16768786367458999</v>
      </c>
      <c r="N328" s="3">
        <v>0.14951028705082001</v>
      </c>
      <c r="O328" s="3">
        <v>0.14926479070887</v>
      </c>
      <c r="P328" s="3">
        <v>0.14807247392771999</v>
      </c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x14ac:dyDescent="0.45">
      <c r="A329" s="3" t="s">
        <v>74</v>
      </c>
      <c r="B329" s="3" t="s">
        <v>24</v>
      </c>
      <c r="C329" s="3" t="s">
        <v>17</v>
      </c>
      <c r="D329" s="3" t="s">
        <v>14</v>
      </c>
      <c r="E329" s="3" t="s">
        <v>8</v>
      </c>
      <c r="F329" s="3">
        <v>0</v>
      </c>
      <c r="G329" s="3">
        <v>9.0800054716860604E-2</v>
      </c>
      <c r="H329" s="3">
        <v>9.0800054716860604E-2</v>
      </c>
      <c r="I329" s="3">
        <v>1.3361441732547199</v>
      </c>
      <c r="J329" s="3">
        <v>0.37609497773111</v>
      </c>
      <c r="K329" s="3">
        <v>9.6741723221930101E-2</v>
      </c>
      <c r="L329" s="3">
        <v>9.1978263691079795E-2</v>
      </c>
      <c r="M329" s="3">
        <v>9.1863784941669899E-2</v>
      </c>
      <c r="N329" s="3">
        <v>9.1863784369229998E-2</v>
      </c>
      <c r="O329" s="3">
        <v>9.1863784363510198E-2</v>
      </c>
      <c r="P329" s="3">
        <v>9.1863784363449802E-2</v>
      </c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x14ac:dyDescent="0.45">
      <c r="A330" s="3" t="s">
        <v>74</v>
      </c>
      <c r="B330" s="3" t="s">
        <v>24</v>
      </c>
      <c r="C330" s="3" t="s">
        <v>18</v>
      </c>
      <c r="D330" s="3" t="s">
        <v>7</v>
      </c>
      <c r="E330" s="3" t="s">
        <v>8</v>
      </c>
      <c r="F330" s="3">
        <v>3.3334159892036501</v>
      </c>
      <c r="G330" s="3">
        <v>2.3756371419807198</v>
      </c>
      <c r="H330" s="3">
        <v>2.3756371419807198</v>
      </c>
      <c r="I330" s="3">
        <v>1.58805865154356</v>
      </c>
      <c r="J330" s="3">
        <v>0.82495202823050096</v>
      </c>
      <c r="K330" s="3">
        <v>0.29229657308236401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x14ac:dyDescent="0.45">
      <c r="A331" s="3" t="s">
        <v>74</v>
      </c>
      <c r="B331" s="3" t="s">
        <v>24</v>
      </c>
      <c r="C331" s="3" t="s">
        <v>18</v>
      </c>
      <c r="D331" s="3" t="s">
        <v>9</v>
      </c>
      <c r="E331" s="3" t="s">
        <v>8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-9.9920072216264108E-16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x14ac:dyDescent="0.45">
      <c r="A332" s="3" t="s">
        <v>74</v>
      </c>
      <c r="B332" s="3" t="s">
        <v>24</v>
      </c>
      <c r="C332" s="3" t="s">
        <v>18</v>
      </c>
      <c r="D332" s="3" t="s">
        <v>10</v>
      </c>
      <c r="E332" s="3" t="s">
        <v>8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9.9920072216264108E-16</v>
      </c>
      <c r="L332" s="3">
        <v>0</v>
      </c>
      <c r="M332" s="3">
        <v>4.4408920985006301E-16</v>
      </c>
      <c r="N332" s="3">
        <v>0</v>
      </c>
      <c r="O332" s="3">
        <v>0</v>
      </c>
      <c r="P332" s="3">
        <v>4.4408920985006301E-16</v>
      </c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x14ac:dyDescent="0.45">
      <c r="A333" s="3" t="s">
        <v>74</v>
      </c>
      <c r="B333" s="3" t="s">
        <v>24</v>
      </c>
      <c r="C333" s="3" t="s">
        <v>18</v>
      </c>
      <c r="D333" s="3" t="s">
        <v>11</v>
      </c>
      <c r="E333" s="3" t="s">
        <v>8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2.2204460492503101E-16</v>
      </c>
      <c r="M333" s="3">
        <v>4.4408920985006202E-16</v>
      </c>
      <c r="N333" s="3">
        <v>0</v>
      </c>
      <c r="O333" s="3">
        <v>0</v>
      </c>
      <c r="P333" s="3">
        <v>-4.4408920985006301E-16</v>
      </c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x14ac:dyDescent="0.45">
      <c r="A334" s="3" t="s">
        <v>74</v>
      </c>
      <c r="B334" s="3" t="s">
        <v>24</v>
      </c>
      <c r="C334" s="3" t="s">
        <v>18</v>
      </c>
      <c r="D334" s="3" t="s">
        <v>12</v>
      </c>
      <c r="E334" s="3" t="s">
        <v>8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-1.9984014443252802E-15</v>
      </c>
      <c r="L334" s="3">
        <v>-2.2204460492503101E-16</v>
      </c>
      <c r="M334" s="3">
        <v>-8.8817841970012504E-16</v>
      </c>
      <c r="N334" s="3">
        <v>0</v>
      </c>
      <c r="O334" s="3">
        <v>2.2204460492503099E-15</v>
      </c>
      <c r="P334" s="3">
        <v>4.4408920985006301E-16</v>
      </c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x14ac:dyDescent="0.45">
      <c r="A335" s="3" t="s">
        <v>74</v>
      </c>
      <c r="B335" s="3" t="s">
        <v>24</v>
      </c>
      <c r="C335" s="3" t="s">
        <v>18</v>
      </c>
      <c r="D335" s="3" t="s">
        <v>13</v>
      </c>
      <c r="E335" s="3" t="s">
        <v>8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9.9920072216264108E-16</v>
      </c>
      <c r="L335" s="3">
        <v>1.7763568394002501E-15</v>
      </c>
      <c r="M335" s="3">
        <v>4.4408920985006301E-16</v>
      </c>
      <c r="N335" s="3">
        <v>1.33226762955019E-15</v>
      </c>
      <c r="O335" s="3">
        <v>-2.2204460492503099E-15</v>
      </c>
      <c r="P335" s="3">
        <v>-4.4408920985006301E-16</v>
      </c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x14ac:dyDescent="0.45">
      <c r="A336" s="3" t="s">
        <v>74</v>
      </c>
      <c r="B336" s="3" t="s">
        <v>24</v>
      </c>
      <c r="C336" s="3" t="s">
        <v>18</v>
      </c>
      <c r="D336" s="3" t="s">
        <v>14</v>
      </c>
      <c r="E336" s="3" t="s">
        <v>8</v>
      </c>
      <c r="F336" s="3">
        <v>0</v>
      </c>
      <c r="G336" s="3">
        <v>0</v>
      </c>
      <c r="H336" s="3">
        <v>0</v>
      </c>
      <c r="I336" s="3">
        <v>0</v>
      </c>
      <c r="J336" s="3">
        <v>1.9984014443252802E-15</v>
      </c>
      <c r="K336" s="3">
        <v>2.9976021664879199E-15</v>
      </c>
      <c r="L336" s="3">
        <v>-1.7763568394002501E-15</v>
      </c>
      <c r="M336" s="3">
        <v>-4.4408920985006301E-16</v>
      </c>
      <c r="N336" s="3">
        <v>-1.33226762955019E-15</v>
      </c>
      <c r="O336" s="3">
        <v>0</v>
      </c>
      <c r="P336" s="3">
        <v>3.1086244689504399E-15</v>
      </c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x14ac:dyDescent="0.45">
      <c r="A337" s="3" t="s">
        <v>74</v>
      </c>
      <c r="B337" s="3" t="s">
        <v>24</v>
      </c>
      <c r="C337" s="3" t="s">
        <v>19</v>
      </c>
      <c r="D337" s="3" t="s">
        <v>11</v>
      </c>
      <c r="E337" s="3" t="s">
        <v>8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6.12171650742536E-2</v>
      </c>
      <c r="L337" s="3">
        <v>9.06902083407298E-2</v>
      </c>
      <c r="M337" s="3">
        <v>0.17689041598699401</v>
      </c>
      <c r="N337" s="3">
        <v>0.71887758862458595</v>
      </c>
      <c r="O337" s="3">
        <v>1.3548719108299001</v>
      </c>
      <c r="P337" s="3">
        <v>1.9478178328629401</v>
      </c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x14ac:dyDescent="0.45">
      <c r="A338" s="3" t="s">
        <v>74</v>
      </c>
      <c r="B338" s="3" t="s">
        <v>24</v>
      </c>
      <c r="C338" s="3" t="s">
        <v>19</v>
      </c>
      <c r="D338" s="3" t="s">
        <v>12</v>
      </c>
      <c r="E338" s="3" t="s">
        <v>8</v>
      </c>
      <c r="F338" s="3">
        <v>0</v>
      </c>
      <c r="G338" s="3">
        <v>0</v>
      </c>
      <c r="H338" s="3">
        <v>0</v>
      </c>
      <c r="I338" s="3">
        <v>0</v>
      </c>
      <c r="J338" s="3">
        <v>5.8261108011549601E-2</v>
      </c>
      <c r="K338" s="3">
        <v>0.24700521368959399</v>
      </c>
      <c r="L338" s="3">
        <v>1.5488446064893999</v>
      </c>
      <c r="M338" s="3">
        <v>2.4661093535957899</v>
      </c>
      <c r="N338" s="3">
        <v>1.75110580142206</v>
      </c>
      <c r="O338" s="3">
        <v>0.95853163822764997</v>
      </c>
      <c r="P338" s="3">
        <v>0.25549121510353001</v>
      </c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x14ac:dyDescent="0.45">
      <c r="A339" s="3" t="s">
        <v>74</v>
      </c>
      <c r="B339" s="3" t="s">
        <v>24</v>
      </c>
      <c r="C339" s="3" t="s">
        <v>19</v>
      </c>
      <c r="D339" s="3" t="s">
        <v>13</v>
      </c>
      <c r="E339" s="3" t="s">
        <v>8</v>
      </c>
      <c r="F339" s="3">
        <v>0</v>
      </c>
      <c r="G339" s="3">
        <v>0</v>
      </c>
      <c r="H339" s="3">
        <v>0</v>
      </c>
      <c r="I339" s="3">
        <v>0.54831108540733497</v>
      </c>
      <c r="J339" s="3">
        <v>3.2757008318473799</v>
      </c>
      <c r="K339" s="3">
        <v>3.41453644022695</v>
      </c>
      <c r="L339" s="3">
        <v>1.90461535786203</v>
      </c>
      <c r="M339" s="3">
        <v>0.78222286652473905</v>
      </c>
      <c r="N339" s="3">
        <v>0.74832442471653005</v>
      </c>
      <c r="O339" s="3">
        <v>0.78092474153549896</v>
      </c>
      <c r="P339" s="3">
        <v>0.82139684487513998</v>
      </c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x14ac:dyDescent="0.45">
      <c r="A340" s="3" t="s">
        <v>74</v>
      </c>
      <c r="B340" s="3" t="s">
        <v>24</v>
      </c>
      <c r="C340" s="3" t="s">
        <v>19</v>
      </c>
      <c r="D340" s="3" t="s">
        <v>14</v>
      </c>
      <c r="E340" s="3" t="s">
        <v>8</v>
      </c>
      <c r="F340" s="3">
        <v>0</v>
      </c>
      <c r="G340" s="3">
        <v>0</v>
      </c>
      <c r="H340" s="3">
        <v>0</v>
      </c>
      <c r="I340" s="3">
        <v>4.2975016414135103</v>
      </c>
      <c r="J340" s="3">
        <v>1.38266859626789</v>
      </c>
      <c r="K340" s="3">
        <v>0.58888878086334995</v>
      </c>
      <c r="L340" s="3">
        <v>0.56583144987081102</v>
      </c>
      <c r="M340" s="3">
        <v>0.55817842396093997</v>
      </c>
      <c r="N340" s="3">
        <v>0.59101010473023996</v>
      </c>
      <c r="O340" s="3">
        <v>0.62345373735024001</v>
      </c>
      <c r="P340" s="3">
        <v>0.62895039762706995</v>
      </c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x14ac:dyDescent="0.45">
      <c r="A341" s="3" t="s">
        <v>75</v>
      </c>
      <c r="B341" s="3" t="s">
        <v>23</v>
      </c>
      <c r="C341" s="3" t="s">
        <v>6</v>
      </c>
      <c r="D341" s="3" t="s">
        <v>10</v>
      </c>
      <c r="E341" s="3" t="s">
        <v>8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5.8718492083265697E-2</v>
      </c>
      <c r="N341" s="3">
        <v>0.191633134188572</v>
      </c>
      <c r="O341" s="3">
        <v>0.270533713076968</v>
      </c>
      <c r="P341" s="3">
        <v>0.26282325356295999</v>
      </c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x14ac:dyDescent="0.45">
      <c r="A342" s="3" t="s">
        <v>75</v>
      </c>
      <c r="B342" s="3" t="s">
        <v>23</v>
      </c>
      <c r="C342" s="3" t="s">
        <v>6</v>
      </c>
      <c r="D342" s="3" t="s">
        <v>11</v>
      </c>
      <c r="E342" s="3" t="s">
        <v>8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7.0240475091158203E-2</v>
      </c>
      <c r="L342" s="3">
        <v>0.201177642412432</v>
      </c>
      <c r="M342" s="3">
        <v>0.23601612950662099</v>
      </c>
      <c r="N342" s="3">
        <v>0.59583558069217801</v>
      </c>
      <c r="O342" s="3">
        <v>1.08004628745596</v>
      </c>
      <c r="P342" s="3">
        <v>1.4682204125862801</v>
      </c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x14ac:dyDescent="0.45">
      <c r="A343" s="3" t="s">
        <v>75</v>
      </c>
      <c r="B343" s="3" t="s">
        <v>23</v>
      </c>
      <c r="C343" s="3" t="s">
        <v>6</v>
      </c>
      <c r="D343" s="3" t="s">
        <v>12</v>
      </c>
      <c r="E343" s="3" t="s">
        <v>8</v>
      </c>
      <c r="F343" s="3">
        <v>0</v>
      </c>
      <c r="G343" s="3">
        <v>0</v>
      </c>
      <c r="H343" s="3">
        <v>0</v>
      </c>
      <c r="I343" s="3">
        <v>0</v>
      </c>
      <c r="J343" s="3">
        <v>0.13587495345217801</v>
      </c>
      <c r="K343" s="3">
        <v>0.323986670437588</v>
      </c>
      <c r="L343" s="3">
        <v>0.820479729751038</v>
      </c>
      <c r="M343" s="3">
        <v>1.34966742370993</v>
      </c>
      <c r="N343" s="3">
        <v>1.36100662393288</v>
      </c>
      <c r="O343" s="3">
        <v>1.3280913511896</v>
      </c>
      <c r="P343" s="3">
        <v>1.0258766876705501</v>
      </c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x14ac:dyDescent="0.45">
      <c r="A344" s="3" t="s">
        <v>75</v>
      </c>
      <c r="B344" s="3" t="s">
        <v>23</v>
      </c>
      <c r="C344" s="3" t="s">
        <v>6</v>
      </c>
      <c r="D344" s="3" t="s">
        <v>13</v>
      </c>
      <c r="E344" s="3" t="s">
        <v>8</v>
      </c>
      <c r="F344" s="3">
        <v>0</v>
      </c>
      <c r="G344" s="3">
        <v>0</v>
      </c>
      <c r="H344" s="3">
        <v>0</v>
      </c>
      <c r="I344" s="3">
        <v>0.249907886591443</v>
      </c>
      <c r="J344" s="3">
        <v>1.1189515810442201</v>
      </c>
      <c r="K344" s="3">
        <v>1.7585945516985999</v>
      </c>
      <c r="L344" s="3">
        <v>1.6609952924778499</v>
      </c>
      <c r="M344" s="3">
        <v>1.15388838208096</v>
      </c>
      <c r="N344" s="3">
        <v>0.74448412241941997</v>
      </c>
      <c r="O344" s="3">
        <v>0.25927923173210998</v>
      </c>
      <c r="P344" s="3">
        <v>0.18468455561753</v>
      </c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x14ac:dyDescent="0.45">
      <c r="A345" s="3" t="s">
        <v>75</v>
      </c>
      <c r="B345" s="3" t="s">
        <v>23</v>
      </c>
      <c r="C345" s="3" t="s">
        <v>6</v>
      </c>
      <c r="D345" s="3" t="s">
        <v>14</v>
      </c>
      <c r="E345" s="3" t="s">
        <v>8</v>
      </c>
      <c r="F345" s="3">
        <v>0</v>
      </c>
      <c r="G345" s="3">
        <v>0.106365726665197</v>
      </c>
      <c r="H345" s="3">
        <v>0.106365726665197</v>
      </c>
      <c r="I345" s="3">
        <v>1.0453482799407201</v>
      </c>
      <c r="J345" s="3">
        <v>1.27045500154969</v>
      </c>
      <c r="K345" s="3">
        <v>0.56911436956429995</v>
      </c>
      <c r="L345" s="3">
        <v>0.17909248533919001</v>
      </c>
      <c r="M345" s="3">
        <v>0.14263714083526999</v>
      </c>
      <c r="N345" s="3">
        <v>8.6245261386200103E-2</v>
      </c>
      <c r="O345" s="3">
        <v>5.8320420522870002E-2</v>
      </c>
      <c r="P345" s="3">
        <v>4.6476319577139602E-2</v>
      </c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x14ac:dyDescent="0.45">
      <c r="A346" s="3" t="s">
        <v>75</v>
      </c>
      <c r="B346" s="3" t="s">
        <v>23</v>
      </c>
      <c r="C346" s="3" t="s">
        <v>15</v>
      </c>
      <c r="D346" s="3" t="s">
        <v>7</v>
      </c>
      <c r="E346" s="3" t="s">
        <v>8</v>
      </c>
      <c r="F346" s="3">
        <v>0.12112817720002</v>
      </c>
      <c r="G346" s="3">
        <v>0.160860302831008</v>
      </c>
      <c r="H346" s="3">
        <v>0.160860302831008</v>
      </c>
      <c r="I346" s="3">
        <v>0.20144465299676101</v>
      </c>
      <c r="J346" s="3">
        <v>0.24126432438829001</v>
      </c>
      <c r="K346" s="3">
        <v>0.28069360526238002</v>
      </c>
      <c r="L346" s="3">
        <v>0.31611061364954401</v>
      </c>
      <c r="M346" s="3">
        <v>0.35144712512744097</v>
      </c>
      <c r="N346" s="3">
        <v>0.387022522512046</v>
      </c>
      <c r="O346" s="3">
        <v>0.39035333934059102</v>
      </c>
      <c r="P346" s="3">
        <v>0.37909119825779802</v>
      </c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x14ac:dyDescent="0.45">
      <c r="A347" s="3" t="s">
        <v>75</v>
      </c>
      <c r="B347" s="3" t="s">
        <v>23</v>
      </c>
      <c r="C347" s="3" t="s">
        <v>15</v>
      </c>
      <c r="D347" s="3" t="s">
        <v>9</v>
      </c>
      <c r="E347" s="3" t="s">
        <v>8</v>
      </c>
      <c r="F347" s="3">
        <v>0</v>
      </c>
      <c r="G347" s="3">
        <v>-1.75198604915699E-3</v>
      </c>
      <c r="H347" s="3">
        <v>-1.75198604915699E-3</v>
      </c>
      <c r="I347" s="3">
        <v>2.0669689622939999E-3</v>
      </c>
      <c r="J347" s="3">
        <v>-4.620594867803E-3</v>
      </c>
      <c r="K347" s="3">
        <v>-4.3979854816140196E-3</v>
      </c>
      <c r="L347" s="3">
        <v>-6.9904137425040296E-3</v>
      </c>
      <c r="M347" s="3">
        <v>-1.0678634126082999E-2</v>
      </c>
      <c r="N347" s="3">
        <v>-1.8790439803470001E-2</v>
      </c>
      <c r="O347" s="3">
        <v>-3.9666780693290403E-3</v>
      </c>
      <c r="P347" s="3">
        <v>2.1237294044237E-2</v>
      </c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x14ac:dyDescent="0.45">
      <c r="A348" s="3" t="s">
        <v>75</v>
      </c>
      <c r="B348" s="3" t="s">
        <v>23</v>
      </c>
      <c r="C348" s="3" t="s">
        <v>15</v>
      </c>
      <c r="D348" s="3" t="s">
        <v>10</v>
      </c>
      <c r="E348" s="3" t="s">
        <v>8</v>
      </c>
      <c r="F348" s="3">
        <v>0</v>
      </c>
      <c r="G348" s="3">
        <v>1.7337555582760101E-3</v>
      </c>
      <c r="H348" s="3">
        <v>1.7337555582760101E-3</v>
      </c>
      <c r="I348" s="3">
        <v>-3.4935226339239999E-3</v>
      </c>
      <c r="J348" s="3">
        <v>-1.9695251088309999E-3</v>
      </c>
      <c r="K348" s="3">
        <v>-6.0791695384300199E-3</v>
      </c>
      <c r="L348" s="3">
        <v>-7.7823991714779904E-3</v>
      </c>
      <c r="M348" s="3">
        <v>-6.7705381245309901E-3</v>
      </c>
      <c r="N348" s="3">
        <v>-1.0016764403086E-2</v>
      </c>
      <c r="O348" s="3">
        <v>-7.6756784419819701E-3</v>
      </c>
      <c r="P348" s="3">
        <v>8.8406098897703101E-4</v>
      </c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x14ac:dyDescent="0.45">
      <c r="A349" s="3" t="s">
        <v>75</v>
      </c>
      <c r="B349" s="3" t="s">
        <v>23</v>
      </c>
      <c r="C349" s="3" t="s">
        <v>15</v>
      </c>
      <c r="D349" s="3" t="s">
        <v>11</v>
      </c>
      <c r="E349" s="3" t="s">
        <v>8</v>
      </c>
      <c r="F349" s="3">
        <v>0</v>
      </c>
      <c r="G349" s="3">
        <v>-1.85668555835702E-3</v>
      </c>
      <c r="H349" s="3">
        <v>-1.85668555835702E-3</v>
      </c>
      <c r="I349" s="3">
        <v>1.399474715193E-3</v>
      </c>
      <c r="J349" s="3">
        <v>-1.54203999131702E-3</v>
      </c>
      <c r="K349" s="3">
        <v>-3.1221405070039898E-3</v>
      </c>
      <c r="L349" s="3">
        <v>-9.2827595120499908E-3</v>
      </c>
      <c r="M349" s="3">
        <v>-2.3062906374289901E-3</v>
      </c>
      <c r="N349" s="3">
        <v>3.8620222148348003E-2</v>
      </c>
      <c r="O349" s="3">
        <v>5.7817223596951003E-2</v>
      </c>
      <c r="P349" s="3">
        <v>5.5018878351263997E-2</v>
      </c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x14ac:dyDescent="0.45">
      <c r="A350" s="3" t="s">
        <v>75</v>
      </c>
      <c r="B350" s="3" t="s">
        <v>23</v>
      </c>
      <c r="C350" s="3" t="s">
        <v>15</v>
      </c>
      <c r="D350" s="3" t="s">
        <v>12</v>
      </c>
      <c r="E350" s="3" t="s">
        <v>8</v>
      </c>
      <c r="F350" s="3">
        <v>0</v>
      </c>
      <c r="G350" s="3">
        <v>1.7773441040280201E-3</v>
      </c>
      <c r="H350" s="3">
        <v>1.7773441040280201E-3</v>
      </c>
      <c r="I350" s="3">
        <v>-3.6637368912400001E-3</v>
      </c>
      <c r="J350" s="3">
        <v>-7.6252294654999796E-3</v>
      </c>
      <c r="K350" s="3">
        <v>8.9270554175013798E-5</v>
      </c>
      <c r="L350" s="3">
        <v>4.1437793563156002E-2</v>
      </c>
      <c r="M350" s="3">
        <v>5.8052272693659E-2</v>
      </c>
      <c r="N350" s="3">
        <v>3.1450140411902E-2</v>
      </c>
      <c r="O350" s="3">
        <v>2.1782829111911001E-2</v>
      </c>
      <c r="P350" s="3">
        <v>1.7027370918099999E-2</v>
      </c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x14ac:dyDescent="0.45">
      <c r="A351" s="3" t="s">
        <v>75</v>
      </c>
      <c r="B351" s="3" t="s">
        <v>23</v>
      </c>
      <c r="C351" s="3" t="s">
        <v>15</v>
      </c>
      <c r="D351" s="3" t="s">
        <v>13</v>
      </c>
      <c r="E351" s="3" t="s">
        <v>8</v>
      </c>
      <c r="F351" s="3">
        <v>0</v>
      </c>
      <c r="G351" s="3">
        <v>-1.7398159474290001E-3</v>
      </c>
      <c r="H351" s="3">
        <v>-1.7398159474290001E-3</v>
      </c>
      <c r="I351" s="3">
        <v>1.303190895206E-2</v>
      </c>
      <c r="J351" s="3">
        <v>2.8381515234738999E-2</v>
      </c>
      <c r="K351" s="3">
        <v>1.4949921813135999E-2</v>
      </c>
      <c r="L351" s="3">
        <v>-2.0696396335731001E-2</v>
      </c>
      <c r="M351" s="3">
        <v>-3.7985252104217999E-2</v>
      </c>
      <c r="N351" s="3">
        <v>-3.8770626387089002E-2</v>
      </c>
      <c r="O351" s="3">
        <v>-4.7201742038070003E-2</v>
      </c>
      <c r="P351" s="3">
        <v>-4.7726676301684999E-2</v>
      </c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x14ac:dyDescent="0.45">
      <c r="A352" s="3" t="s">
        <v>75</v>
      </c>
      <c r="B352" s="3" t="s">
        <v>23</v>
      </c>
      <c r="C352" s="3" t="s">
        <v>15</v>
      </c>
      <c r="D352" s="3" t="s">
        <v>14</v>
      </c>
      <c r="E352" s="3" t="s">
        <v>8</v>
      </c>
      <c r="F352" s="3">
        <v>0</v>
      </c>
      <c r="G352" s="3">
        <v>8.1074426565999602E-4</v>
      </c>
      <c r="H352" s="3">
        <v>8.1074426565999602E-4</v>
      </c>
      <c r="I352" s="3">
        <v>-4.8320323179759902E-3</v>
      </c>
      <c r="J352" s="3">
        <v>-2.2850314598348E-2</v>
      </c>
      <c r="K352" s="3">
        <v>-2.9111168956591001E-2</v>
      </c>
      <c r="L352" s="3">
        <v>-3.6687006622250003E-2</v>
      </c>
      <c r="M352" s="3">
        <v>-3.7345190996918E-2</v>
      </c>
      <c r="N352" s="3">
        <v>-4.5495319871209999E-2</v>
      </c>
      <c r="O352" s="3">
        <v>-4.2102872226452003E-2</v>
      </c>
      <c r="P352" s="3">
        <v>-4.2136299640222002E-2</v>
      </c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x14ac:dyDescent="0.45">
      <c r="A353" s="3" t="s">
        <v>75</v>
      </c>
      <c r="B353" s="3" t="s">
        <v>23</v>
      </c>
      <c r="C353" s="3" t="s">
        <v>16</v>
      </c>
      <c r="D353" s="3" t="s">
        <v>7</v>
      </c>
      <c r="E353" s="3" t="s">
        <v>8</v>
      </c>
      <c r="F353" s="3">
        <v>0.105568408000302</v>
      </c>
      <c r="G353" s="3">
        <v>0.105243164705484</v>
      </c>
      <c r="H353" s="3">
        <v>0.105243164705484</v>
      </c>
      <c r="I353" s="3">
        <v>0.10262792337490401</v>
      </c>
      <c r="J353" s="3">
        <v>0.114514362800892</v>
      </c>
      <c r="K353" s="3">
        <v>9.5548328755563794E-2</v>
      </c>
      <c r="L353" s="3">
        <v>5.6498813683199998E-2</v>
      </c>
      <c r="M353" s="3">
        <v>5.6498813683199998E-2</v>
      </c>
      <c r="N353" s="3">
        <v>5.6498813683199998E-2</v>
      </c>
      <c r="O353" s="3">
        <v>5.6498813683199998E-2</v>
      </c>
      <c r="P353" s="3">
        <v>5.6498813683199998E-2</v>
      </c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x14ac:dyDescent="0.45">
      <c r="A354" s="3" t="s">
        <v>75</v>
      </c>
      <c r="B354" s="3" t="s">
        <v>23</v>
      </c>
      <c r="C354" s="3" t="s">
        <v>16</v>
      </c>
      <c r="D354" s="3" t="s">
        <v>9</v>
      </c>
      <c r="E354" s="3" t="s">
        <v>8</v>
      </c>
      <c r="F354" s="3">
        <v>0</v>
      </c>
      <c r="G354" s="3">
        <v>-1.7388856312100501E-4</v>
      </c>
      <c r="H354" s="3">
        <v>-1.7388856312100501E-4</v>
      </c>
      <c r="I354" s="3">
        <v>-4.0951607319400502E-4</v>
      </c>
      <c r="J354" s="3">
        <v>-7.4552041989099595E-4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x14ac:dyDescent="0.45">
      <c r="A355" s="3" t="s">
        <v>75</v>
      </c>
      <c r="B355" s="3" t="s">
        <v>23</v>
      </c>
      <c r="C355" s="3" t="s">
        <v>16</v>
      </c>
      <c r="D355" s="3" t="s">
        <v>10</v>
      </c>
      <c r="E355" s="3" t="s">
        <v>8</v>
      </c>
      <c r="F355" s="3">
        <v>0</v>
      </c>
      <c r="G355" s="3">
        <v>-4.09149560289951E-5</v>
      </c>
      <c r="H355" s="3">
        <v>-4.09149560289951E-5</v>
      </c>
      <c r="I355" s="3">
        <v>-5.87023772887996E-4</v>
      </c>
      <c r="J355" s="3">
        <v>-5.1762050402100201E-4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x14ac:dyDescent="0.45">
      <c r="A356" s="3" t="s">
        <v>75</v>
      </c>
      <c r="B356" s="3" t="s">
        <v>23</v>
      </c>
      <c r="C356" s="3" t="s">
        <v>16</v>
      </c>
      <c r="D356" s="3" t="s">
        <v>11</v>
      </c>
      <c r="E356" s="3" t="s">
        <v>8</v>
      </c>
      <c r="F356" s="3">
        <v>0</v>
      </c>
      <c r="G356" s="3">
        <v>0</v>
      </c>
      <c r="H356" s="3">
        <v>0</v>
      </c>
      <c r="I356" s="3">
        <v>-1.1314966857009501E-5</v>
      </c>
      <c r="J356" s="3">
        <v>1.813719644951E-3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x14ac:dyDescent="0.45">
      <c r="A357" s="3" t="s">
        <v>75</v>
      </c>
      <c r="B357" s="3" t="s">
        <v>23</v>
      </c>
      <c r="C357" s="3" t="s">
        <v>16</v>
      </c>
      <c r="D357" s="3" t="s">
        <v>12</v>
      </c>
      <c r="E357" s="3" t="s">
        <v>8</v>
      </c>
      <c r="F357" s="3">
        <v>0</v>
      </c>
      <c r="G357" s="3">
        <v>-3.0686217021000397E-5</v>
      </c>
      <c r="H357" s="3">
        <v>-3.0686217021000397E-5</v>
      </c>
      <c r="I357" s="3">
        <v>1.7336688555259999E-3</v>
      </c>
      <c r="J357" s="3">
        <v>-1.57758208660418E-2</v>
      </c>
      <c r="K357" s="3">
        <v>1.17972186040592E-2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x14ac:dyDescent="0.45">
      <c r="A358" s="3" t="s">
        <v>75</v>
      </c>
      <c r="B358" s="3" t="s">
        <v>23</v>
      </c>
      <c r="C358" s="3" t="s">
        <v>16</v>
      </c>
      <c r="D358" s="3" t="s">
        <v>13</v>
      </c>
      <c r="E358" s="3" t="s">
        <v>8</v>
      </c>
      <c r="F358" s="3">
        <v>0</v>
      </c>
      <c r="G358" s="3">
        <v>-7.4924616978799797E-4</v>
      </c>
      <c r="H358" s="3">
        <v>-7.4924616978799797E-4</v>
      </c>
      <c r="I358" s="3">
        <v>1.6220289250401001E-2</v>
      </c>
      <c r="J358" s="3">
        <v>1.7238141304032801E-2</v>
      </c>
      <c r="K358" s="3">
        <v>5.9128519124700097E-4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x14ac:dyDescent="0.45">
      <c r="A359" s="3" t="s">
        <v>75</v>
      </c>
      <c r="B359" s="3" t="s">
        <v>23</v>
      </c>
      <c r="C359" s="3" t="s">
        <v>16</v>
      </c>
      <c r="D359" s="3" t="s">
        <v>14</v>
      </c>
      <c r="E359" s="3" t="s">
        <v>8</v>
      </c>
      <c r="F359" s="3">
        <v>0</v>
      </c>
      <c r="G359" s="3">
        <v>1.5199230568600001E-3</v>
      </c>
      <c r="H359" s="3">
        <v>1.5199230568600001E-3</v>
      </c>
      <c r="I359" s="3">
        <v>6.3042150287293E-2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x14ac:dyDescent="0.45">
      <c r="A360" s="3" t="s">
        <v>75</v>
      </c>
      <c r="B360" s="3" t="s">
        <v>23</v>
      </c>
      <c r="C360" s="3" t="s">
        <v>17</v>
      </c>
      <c r="D360" s="3" t="s">
        <v>7</v>
      </c>
      <c r="E360" s="3" t="s">
        <v>8</v>
      </c>
      <c r="F360" s="3">
        <v>0</v>
      </c>
      <c r="G360" s="3">
        <v>1.3184626049948699E-2</v>
      </c>
      <c r="H360" s="3">
        <v>1.3184626049948699E-2</v>
      </c>
      <c r="I360" s="3">
        <v>2.1788543913681901E-2</v>
      </c>
      <c r="J360" s="3">
        <v>4.55435256328438E-2</v>
      </c>
      <c r="K360" s="3">
        <v>6.7832689414937003E-2</v>
      </c>
      <c r="L360" s="3">
        <v>2.2613728377283999E-2</v>
      </c>
      <c r="M360" s="3">
        <v>0</v>
      </c>
      <c r="N360" s="3">
        <v>0</v>
      </c>
      <c r="O360" s="3">
        <v>0</v>
      </c>
      <c r="P360" s="3">
        <v>0</v>
      </c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x14ac:dyDescent="0.45">
      <c r="A361" s="3" t="s">
        <v>75</v>
      </c>
      <c r="B361" s="3" t="s">
        <v>23</v>
      </c>
      <c r="C361" s="3" t="s">
        <v>17</v>
      </c>
      <c r="D361" s="3" t="s">
        <v>9</v>
      </c>
      <c r="E361" s="3" t="s">
        <v>8</v>
      </c>
      <c r="F361" s="3">
        <v>0</v>
      </c>
      <c r="G361" s="3">
        <v>6.1678918357520101E-4</v>
      </c>
      <c r="H361" s="3">
        <v>6.1678918357520101E-4</v>
      </c>
      <c r="I361" s="3">
        <v>1.3058847487683999E-3</v>
      </c>
      <c r="J361" s="3">
        <v>4.4518704139863002E-3</v>
      </c>
      <c r="K361" s="3">
        <v>9.5491262995267001E-3</v>
      </c>
      <c r="L361" s="3">
        <v>1.8808982747975999E-2</v>
      </c>
      <c r="M361" s="3">
        <v>3.8266675022381098E-3</v>
      </c>
      <c r="N361" s="3">
        <v>0</v>
      </c>
      <c r="O361" s="3">
        <v>0</v>
      </c>
      <c r="P361" s="3">
        <v>0</v>
      </c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x14ac:dyDescent="0.45">
      <c r="A362" s="3" t="s">
        <v>75</v>
      </c>
      <c r="B362" s="3" t="s">
        <v>23</v>
      </c>
      <c r="C362" s="3" t="s">
        <v>17</v>
      </c>
      <c r="D362" s="3" t="s">
        <v>10</v>
      </c>
      <c r="E362" s="3" t="s">
        <v>8</v>
      </c>
      <c r="F362" s="3">
        <v>0</v>
      </c>
      <c r="G362" s="3">
        <v>1.18447034648798E-4</v>
      </c>
      <c r="H362" s="3">
        <v>1.18447034648798E-4</v>
      </c>
      <c r="I362" s="3">
        <v>1.3192261173439999E-3</v>
      </c>
      <c r="J362" s="3">
        <v>3.9773457959474002E-3</v>
      </c>
      <c r="K362" s="3">
        <v>6.8574426249803904E-3</v>
      </c>
      <c r="L362" s="3">
        <v>1.51361659178219E-2</v>
      </c>
      <c r="M362" s="3">
        <v>1.92707915794279E-2</v>
      </c>
      <c r="N362" s="3">
        <v>7.6416200746156501E-2</v>
      </c>
      <c r="O362" s="3">
        <v>0.160947839055949</v>
      </c>
      <c r="P362" s="3">
        <v>0.369344985847605</v>
      </c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x14ac:dyDescent="0.45">
      <c r="A363" s="3" t="s">
        <v>75</v>
      </c>
      <c r="B363" s="3" t="s">
        <v>23</v>
      </c>
      <c r="C363" s="3" t="s">
        <v>17</v>
      </c>
      <c r="D363" s="3" t="s">
        <v>11</v>
      </c>
      <c r="E363" s="3" t="s">
        <v>8</v>
      </c>
      <c r="F363" s="3">
        <v>0</v>
      </c>
      <c r="G363" s="3">
        <v>7.8783625060301106E-5</v>
      </c>
      <c r="H363" s="3">
        <v>7.8783625060301106E-5</v>
      </c>
      <c r="I363" s="3">
        <v>1.521311505249E-3</v>
      </c>
      <c r="J363" s="3">
        <v>4.8330389493137001E-3</v>
      </c>
      <c r="K363" s="3">
        <v>1.37749565982608E-2</v>
      </c>
      <c r="L363" s="3">
        <v>7.9032648227681093E-2</v>
      </c>
      <c r="M363" s="3">
        <v>0.314798398804922</v>
      </c>
      <c r="N363" s="3">
        <v>0.47054353217855999</v>
      </c>
      <c r="O363" s="3">
        <v>0.85109989438598099</v>
      </c>
      <c r="P363" s="3">
        <v>0.99610130979278499</v>
      </c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x14ac:dyDescent="0.45">
      <c r="A364" s="3" t="s">
        <v>75</v>
      </c>
      <c r="B364" s="3" t="s">
        <v>23</v>
      </c>
      <c r="C364" s="3" t="s">
        <v>17</v>
      </c>
      <c r="D364" s="3" t="s">
        <v>12</v>
      </c>
      <c r="E364" s="3" t="s">
        <v>8</v>
      </c>
      <c r="F364" s="3">
        <v>0</v>
      </c>
      <c r="G364" s="3">
        <v>3.0386131563269999E-4</v>
      </c>
      <c r="H364" s="3">
        <v>3.0386131563269999E-4</v>
      </c>
      <c r="I364" s="3">
        <v>6.2129275496432997E-3</v>
      </c>
      <c r="J364" s="3">
        <v>5.2491562037130797E-2</v>
      </c>
      <c r="K364" s="3">
        <v>0.24443955563867001</v>
      </c>
      <c r="L364" s="3">
        <v>0.701471439652254</v>
      </c>
      <c r="M364" s="3">
        <v>1.0325317960366001</v>
      </c>
      <c r="N364" s="3">
        <v>1.0313115610025001</v>
      </c>
      <c r="O364" s="3">
        <v>0.67918020139660995</v>
      </c>
      <c r="P364" s="3">
        <v>0.35357098117274999</v>
      </c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x14ac:dyDescent="0.45">
      <c r="A365" s="3" t="s">
        <v>75</v>
      </c>
      <c r="B365" s="3" t="s">
        <v>23</v>
      </c>
      <c r="C365" s="3" t="s">
        <v>17</v>
      </c>
      <c r="D365" s="3" t="s">
        <v>13</v>
      </c>
      <c r="E365" s="3" t="s">
        <v>8</v>
      </c>
      <c r="F365" s="3">
        <v>0</v>
      </c>
      <c r="G365" s="3">
        <v>7.6988307429454996E-3</v>
      </c>
      <c r="H365" s="3">
        <v>7.6988307429454996E-3</v>
      </c>
      <c r="I365" s="3">
        <v>0.23955522517592501</v>
      </c>
      <c r="J365" s="3">
        <v>1.2167736246298499</v>
      </c>
      <c r="K365" s="3">
        <v>1.2942648772476599</v>
      </c>
      <c r="L365" s="3">
        <v>0.88454527942987304</v>
      </c>
      <c r="M365" s="3">
        <v>0.35990876935232002</v>
      </c>
      <c r="N365" s="3">
        <v>0.15233820972208001</v>
      </c>
      <c r="O365" s="3">
        <v>3.9669396599500098E-2</v>
      </c>
      <c r="P365" s="3">
        <v>1.1880054624900001E-2</v>
      </c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x14ac:dyDescent="0.45">
      <c r="A366" s="3" t="s">
        <v>75</v>
      </c>
      <c r="B366" s="3" t="s">
        <v>23</v>
      </c>
      <c r="C366" s="3" t="s">
        <v>17</v>
      </c>
      <c r="D366" s="3" t="s">
        <v>14</v>
      </c>
      <c r="E366" s="3" t="s">
        <v>8</v>
      </c>
      <c r="F366" s="3">
        <v>0</v>
      </c>
      <c r="G366" s="3">
        <v>1.5424253277717E-3</v>
      </c>
      <c r="H366" s="3">
        <v>1.5424253277717E-3</v>
      </c>
      <c r="I366" s="3">
        <v>1.1637599815322599</v>
      </c>
      <c r="J366" s="3">
        <v>0.38766782801346</v>
      </c>
      <c r="K366" s="3">
        <v>9.3727806668549907E-2</v>
      </c>
      <c r="L366" s="3">
        <v>9.2938653071199494E-3</v>
      </c>
      <c r="M366" s="3">
        <v>5.7603098810998798E-4</v>
      </c>
      <c r="N366" s="3">
        <v>4.4702725215994799E-4</v>
      </c>
      <c r="O366" s="3">
        <v>1.60756187259858E-4</v>
      </c>
      <c r="P366" s="3">
        <v>1.6168366179991601E-4</v>
      </c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x14ac:dyDescent="0.45">
      <c r="A367" s="3" t="s">
        <v>75</v>
      </c>
      <c r="B367" s="3" t="s">
        <v>23</v>
      </c>
      <c r="C367" s="3" t="s">
        <v>18</v>
      </c>
      <c r="D367" s="3" t="s">
        <v>7</v>
      </c>
      <c r="E367" s="3" t="s">
        <v>8</v>
      </c>
      <c r="F367" s="3">
        <v>0.18240283033996099</v>
      </c>
      <c r="G367" s="3">
        <v>0.13609931968160399</v>
      </c>
      <c r="H367" s="3">
        <v>0.13609931968160399</v>
      </c>
      <c r="I367" s="3">
        <v>9.6950060697128304E-2</v>
      </c>
      <c r="J367" s="3">
        <v>5.5598571366434202E-2</v>
      </c>
      <c r="K367" s="3">
        <v>1.0426886537197699E-2</v>
      </c>
      <c r="L367" s="3">
        <v>3.4694469519536099E-17</v>
      </c>
      <c r="M367" s="3">
        <v>0</v>
      </c>
      <c r="N367" s="3">
        <v>2.7755575615628901E-17</v>
      </c>
      <c r="O367" s="3">
        <v>2.7755575615628901E-17</v>
      </c>
      <c r="P367" s="3">
        <v>2.7755575615628901E-17</v>
      </c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x14ac:dyDescent="0.45">
      <c r="A368" s="3" t="s">
        <v>75</v>
      </c>
      <c r="B368" s="3" t="s">
        <v>23</v>
      </c>
      <c r="C368" s="3" t="s">
        <v>18</v>
      </c>
      <c r="D368" s="3" t="s">
        <v>9</v>
      </c>
      <c r="E368" s="3" t="s">
        <v>8</v>
      </c>
      <c r="F368" s="3">
        <v>0</v>
      </c>
      <c r="G368" s="3">
        <v>0</v>
      </c>
      <c r="H368" s="3">
        <v>0</v>
      </c>
      <c r="I368" s="3">
        <v>9.7144514654701197E-17</v>
      </c>
      <c r="J368" s="3">
        <v>-1.0408340855860799E-16</v>
      </c>
      <c r="K368" s="3">
        <v>1.00613961606655E-16</v>
      </c>
      <c r="L368" s="3">
        <v>-6.9388939039071999E-18</v>
      </c>
      <c r="M368" s="3">
        <v>2.7755575615628901E-17</v>
      </c>
      <c r="N368" s="3">
        <v>5.5511151231257802E-17</v>
      </c>
      <c r="O368" s="3">
        <v>-2.7755575615628901E-17</v>
      </c>
      <c r="P368" s="3">
        <v>0</v>
      </c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x14ac:dyDescent="0.45">
      <c r="A369" s="3" t="s">
        <v>75</v>
      </c>
      <c r="B369" s="3" t="s">
        <v>23</v>
      </c>
      <c r="C369" s="3" t="s">
        <v>18</v>
      </c>
      <c r="D369" s="3" t="s">
        <v>10</v>
      </c>
      <c r="E369" s="3" t="s">
        <v>8</v>
      </c>
      <c r="F369" s="3">
        <v>0</v>
      </c>
      <c r="G369" s="3">
        <v>0</v>
      </c>
      <c r="H369" s="3">
        <v>0</v>
      </c>
      <c r="I369" s="3">
        <v>0</v>
      </c>
      <c r="J369" s="3">
        <v>2.0122792321330999E-16</v>
      </c>
      <c r="K369" s="3">
        <v>-1.00613961606655E-16</v>
      </c>
      <c r="L369" s="3">
        <v>-2.7755575615628901E-17</v>
      </c>
      <c r="M369" s="3">
        <v>-6.9388939039071999E-18</v>
      </c>
      <c r="N369" s="3">
        <v>-8.3266726846886704E-17</v>
      </c>
      <c r="O369" s="3">
        <v>1.3877787807814501E-16</v>
      </c>
      <c r="P369" s="3">
        <v>-2.7755575615628901E-17</v>
      </c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x14ac:dyDescent="0.45">
      <c r="A370" s="3" t="s">
        <v>75</v>
      </c>
      <c r="B370" s="3" t="s">
        <v>23</v>
      </c>
      <c r="C370" s="3" t="s">
        <v>18</v>
      </c>
      <c r="D370" s="3" t="s">
        <v>11</v>
      </c>
      <c r="E370" s="3" t="s">
        <v>8</v>
      </c>
      <c r="F370" s="3">
        <v>0</v>
      </c>
      <c r="G370" s="3">
        <v>0</v>
      </c>
      <c r="H370" s="3">
        <v>0</v>
      </c>
      <c r="I370" s="3">
        <v>0</v>
      </c>
      <c r="J370" s="3">
        <v>-9.7144514654701197E-17</v>
      </c>
      <c r="K370" s="3">
        <v>1.00613961606655E-16</v>
      </c>
      <c r="L370" s="3">
        <v>2.0816681711721701E-17</v>
      </c>
      <c r="M370" s="3">
        <v>-2.0816681711721701E-17</v>
      </c>
      <c r="N370" s="3">
        <v>0</v>
      </c>
      <c r="O370" s="3">
        <v>3.9551695252271202E-16</v>
      </c>
      <c r="P370" s="3">
        <v>2.0122792321330999E-16</v>
      </c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x14ac:dyDescent="0.45">
      <c r="A371" s="3" t="s">
        <v>75</v>
      </c>
      <c r="B371" s="3" t="s">
        <v>23</v>
      </c>
      <c r="C371" s="3" t="s">
        <v>18</v>
      </c>
      <c r="D371" s="3" t="s">
        <v>12</v>
      </c>
      <c r="E371" s="3" t="s">
        <v>8</v>
      </c>
      <c r="F371" s="3">
        <v>0</v>
      </c>
      <c r="G371" s="3">
        <v>0</v>
      </c>
      <c r="H371" s="3">
        <v>0</v>
      </c>
      <c r="I371" s="3">
        <v>-9.7144514654701197E-17</v>
      </c>
      <c r="J371" s="3">
        <v>0</v>
      </c>
      <c r="K371" s="3">
        <v>-1.00613961606655E-16</v>
      </c>
      <c r="L371" s="3">
        <v>-2.0816681711721701E-17</v>
      </c>
      <c r="M371" s="3">
        <v>2.0122792321330999E-16</v>
      </c>
      <c r="N371" s="3">
        <v>0</v>
      </c>
      <c r="O371" s="3">
        <v>-5.3429483060085698E-16</v>
      </c>
      <c r="P371" s="3">
        <v>-2.0122792321330999E-16</v>
      </c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x14ac:dyDescent="0.45">
      <c r="A372" s="3" t="s">
        <v>75</v>
      </c>
      <c r="B372" s="3" t="s">
        <v>23</v>
      </c>
      <c r="C372" s="3" t="s">
        <v>18</v>
      </c>
      <c r="D372" s="3" t="s">
        <v>13</v>
      </c>
      <c r="E372" s="3" t="s">
        <v>8</v>
      </c>
      <c r="F372" s="3">
        <v>0</v>
      </c>
      <c r="G372" s="3">
        <v>0</v>
      </c>
      <c r="H372" s="3">
        <v>0</v>
      </c>
      <c r="I372" s="3">
        <v>9.7144514654701197E-17</v>
      </c>
      <c r="J372" s="3">
        <v>3.9551695252271202E-16</v>
      </c>
      <c r="K372" s="3">
        <v>1.2004286453759499E-15</v>
      </c>
      <c r="L372" s="3">
        <v>7.0082828429462997E-16</v>
      </c>
      <c r="M372" s="3">
        <v>-2.0122792321330999E-16</v>
      </c>
      <c r="N372" s="3">
        <v>1.5751289161869401E-15</v>
      </c>
      <c r="O372" s="3">
        <v>6.3837823915946501E-16</v>
      </c>
      <c r="P372" s="3">
        <v>3.4694469519536099E-17</v>
      </c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x14ac:dyDescent="0.45">
      <c r="A373" s="3" t="s">
        <v>75</v>
      </c>
      <c r="B373" s="3" t="s">
        <v>23</v>
      </c>
      <c r="C373" s="3" t="s">
        <v>18</v>
      </c>
      <c r="D373" s="3" t="s">
        <v>14</v>
      </c>
      <c r="E373" s="3" t="s">
        <v>8</v>
      </c>
      <c r="F373" s="3">
        <v>0</v>
      </c>
      <c r="G373" s="3">
        <v>0</v>
      </c>
      <c r="H373" s="3">
        <v>0</v>
      </c>
      <c r="I373" s="3">
        <v>1.94289029309402E-16</v>
      </c>
      <c r="J373" s="3">
        <v>4.02455846426619E-16</v>
      </c>
      <c r="K373" s="3">
        <v>-1.0998146837693E-15</v>
      </c>
      <c r="L373" s="3">
        <v>-7.0082828429462997E-16</v>
      </c>
      <c r="M373" s="3">
        <v>7.4940054162198096E-16</v>
      </c>
      <c r="N373" s="3">
        <v>-1.5751289161869401E-15</v>
      </c>
      <c r="O373" s="3">
        <v>-5.4817261840867104E-16</v>
      </c>
      <c r="P373" s="3">
        <v>-3.4694469519536099E-17</v>
      </c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x14ac:dyDescent="0.45">
      <c r="A374" s="3" t="s">
        <v>75</v>
      </c>
      <c r="B374" s="3" t="s">
        <v>23</v>
      </c>
      <c r="C374" s="3" t="s">
        <v>19</v>
      </c>
      <c r="D374" s="3" t="s">
        <v>7</v>
      </c>
      <c r="E374" s="3" t="s">
        <v>8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7.1627900825244097E-3</v>
      </c>
      <c r="L374" s="3">
        <v>2.36585210440621E-2</v>
      </c>
      <c r="M374" s="3">
        <v>1.2461021233265399E-2</v>
      </c>
      <c r="N374" s="3">
        <v>0</v>
      </c>
      <c r="O374" s="3">
        <v>0</v>
      </c>
      <c r="P374" s="3">
        <v>0</v>
      </c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x14ac:dyDescent="0.45">
      <c r="A375" s="3" t="s">
        <v>75</v>
      </c>
      <c r="B375" s="3" t="s">
        <v>23</v>
      </c>
      <c r="C375" s="3" t="s">
        <v>19</v>
      </c>
      <c r="D375" s="3" t="s">
        <v>9</v>
      </c>
      <c r="E375" s="3" t="s">
        <v>8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-1.4120347854972399E-3</v>
      </c>
      <c r="L375" s="3">
        <v>-5.5674131238031997E-3</v>
      </c>
      <c r="M375" s="3">
        <v>2.23104956123387E-2</v>
      </c>
      <c r="N375" s="3">
        <v>2.62505877240473E-2</v>
      </c>
      <c r="O375" s="3">
        <v>2.07145427351095E-2</v>
      </c>
      <c r="P375" s="3">
        <v>1.8310220751512198E-2</v>
      </c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x14ac:dyDescent="0.45">
      <c r="A376" s="3" t="s">
        <v>75</v>
      </c>
      <c r="B376" s="3" t="s">
        <v>23</v>
      </c>
      <c r="C376" s="3" t="s">
        <v>19</v>
      </c>
      <c r="D376" s="3" t="s">
        <v>10</v>
      </c>
      <c r="E376" s="3" t="s">
        <v>8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9.9635128713897007E-4</v>
      </c>
      <c r="L376" s="3">
        <v>-2.3232018729787002E-3</v>
      </c>
      <c r="M376" s="3">
        <v>-5.5724660459218001E-3</v>
      </c>
      <c r="N376" s="3">
        <v>5.6540558676356004E-3</v>
      </c>
      <c r="O376" s="3">
        <v>8.9455784192557005E-3</v>
      </c>
      <c r="P376" s="3">
        <v>1.9292732945451099E-2</v>
      </c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x14ac:dyDescent="0.45">
      <c r="A377" s="3" t="s">
        <v>75</v>
      </c>
      <c r="B377" s="3" t="s">
        <v>23</v>
      </c>
      <c r="C377" s="3" t="s">
        <v>19</v>
      </c>
      <c r="D377" s="3" t="s">
        <v>11</v>
      </c>
      <c r="E377" s="3" t="s">
        <v>8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-6.7471065841661401E-3</v>
      </c>
      <c r="L377" s="3">
        <v>-1.4365785927529601E-2</v>
      </c>
      <c r="M377" s="3">
        <v>6.0806974122031999E-3</v>
      </c>
      <c r="N377" s="3">
        <v>0.49877129292889599</v>
      </c>
      <c r="O377" s="3">
        <v>1.7809044388114299</v>
      </c>
      <c r="P377" s="3">
        <v>2.7886717679856399</v>
      </c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x14ac:dyDescent="0.45">
      <c r="A378" s="3" t="s">
        <v>75</v>
      </c>
      <c r="B378" s="3" t="s">
        <v>23</v>
      </c>
      <c r="C378" s="3" t="s">
        <v>19</v>
      </c>
      <c r="D378" s="3" t="s">
        <v>12</v>
      </c>
      <c r="E378" s="3" t="s">
        <v>8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0.131391228745487</v>
      </c>
      <c r="L378" s="3">
        <v>1.4317597363494301</v>
      </c>
      <c r="M378" s="3">
        <v>2.8824620582635498</v>
      </c>
      <c r="N378" s="3">
        <v>2.9255809464430098</v>
      </c>
      <c r="O378" s="3">
        <v>1.90229370873056</v>
      </c>
      <c r="P378" s="3">
        <v>0.94296156487937999</v>
      </c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x14ac:dyDescent="0.45">
      <c r="A379" s="3" t="s">
        <v>75</v>
      </c>
      <c r="B379" s="3" t="s">
        <v>23</v>
      </c>
      <c r="C379" s="3" t="s">
        <v>19</v>
      </c>
      <c r="D379" s="3" t="s">
        <v>13</v>
      </c>
      <c r="E379" s="3" t="s">
        <v>8</v>
      </c>
      <c r="F379" s="3">
        <v>0</v>
      </c>
      <c r="G379" s="3">
        <v>0</v>
      </c>
      <c r="H379" s="3">
        <v>0</v>
      </c>
      <c r="I379" s="3">
        <v>9.0643639171263904E-2</v>
      </c>
      <c r="J379" s="3">
        <v>3.0363478175902099</v>
      </c>
      <c r="K379" s="3">
        <v>3.7061289461804301</v>
      </c>
      <c r="L379" s="3">
        <v>2.5878281765326601</v>
      </c>
      <c r="M379" s="3">
        <v>1.0616368288504701</v>
      </c>
      <c r="N379" s="3">
        <v>0.46225386200785001</v>
      </c>
      <c r="O379" s="3">
        <v>0.17363499847378999</v>
      </c>
      <c r="P379" s="3">
        <v>9.3643637067619703E-2</v>
      </c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x14ac:dyDescent="0.45">
      <c r="A380" s="3" t="s">
        <v>75</v>
      </c>
      <c r="B380" s="3" t="s">
        <v>23</v>
      </c>
      <c r="C380" s="3" t="s">
        <v>19</v>
      </c>
      <c r="D380" s="3" t="s">
        <v>14</v>
      </c>
      <c r="E380" s="3" t="s">
        <v>8</v>
      </c>
      <c r="F380" s="3">
        <v>0</v>
      </c>
      <c r="G380" s="3">
        <v>0</v>
      </c>
      <c r="H380" s="3">
        <v>0</v>
      </c>
      <c r="I380" s="3">
        <v>3.41782814536954</v>
      </c>
      <c r="J380" s="3">
        <v>1.14530886705256</v>
      </c>
      <c r="K380" s="3">
        <v>0.33886688976653001</v>
      </c>
      <c r="L380" s="3">
        <v>0.12608606916632101</v>
      </c>
      <c r="M380" s="3">
        <v>0.10730284729046</v>
      </c>
      <c r="N380" s="3">
        <v>0.1189953821775</v>
      </c>
      <c r="O380" s="3">
        <v>0.11337101594981</v>
      </c>
      <c r="P380" s="3">
        <v>0.11448150408758</v>
      </c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x14ac:dyDescent="0.45">
      <c r="A381" s="3" t="s">
        <v>76</v>
      </c>
      <c r="B381" s="3" t="s">
        <v>26</v>
      </c>
      <c r="C381" s="3" t="s">
        <v>6</v>
      </c>
      <c r="D381" s="3" t="s">
        <v>10</v>
      </c>
      <c r="E381" s="3" t="s">
        <v>8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0.61189518700115297</v>
      </c>
      <c r="M381" s="3">
        <v>3.0671289986190202</v>
      </c>
      <c r="N381" s="3">
        <v>6.4976653668850002</v>
      </c>
      <c r="O381" s="3">
        <v>9.4540037927858602</v>
      </c>
      <c r="P381" s="3">
        <v>11.5195318835914</v>
      </c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x14ac:dyDescent="0.45">
      <c r="A382" s="3" t="s">
        <v>76</v>
      </c>
      <c r="B382" s="3" t="s">
        <v>26</v>
      </c>
      <c r="C382" s="3" t="s">
        <v>6</v>
      </c>
      <c r="D382" s="3" t="s">
        <v>11</v>
      </c>
      <c r="E382" s="3" t="s">
        <v>8</v>
      </c>
      <c r="F382" s="3">
        <v>0</v>
      </c>
      <c r="G382" s="3">
        <v>0</v>
      </c>
      <c r="H382" s="3">
        <v>0</v>
      </c>
      <c r="I382" s="3">
        <v>0</v>
      </c>
      <c r="J382" s="3">
        <v>3.9279641884889301E-3</v>
      </c>
      <c r="K382" s="3">
        <v>2.5422566571173699</v>
      </c>
      <c r="L382" s="3">
        <v>5.9464354616070301</v>
      </c>
      <c r="M382" s="3">
        <v>7.8893005658827198</v>
      </c>
      <c r="N382" s="3">
        <v>9.1042550485950304</v>
      </c>
      <c r="O382" s="3">
        <v>9.2306647687260295</v>
      </c>
      <c r="P382" s="3">
        <v>9.1092217523189003</v>
      </c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x14ac:dyDescent="0.45">
      <c r="A383" s="3" t="s">
        <v>76</v>
      </c>
      <c r="B383" s="3" t="s">
        <v>26</v>
      </c>
      <c r="C383" s="3" t="s">
        <v>6</v>
      </c>
      <c r="D383" s="3" t="s">
        <v>12</v>
      </c>
      <c r="E383" s="3" t="s">
        <v>8</v>
      </c>
      <c r="F383" s="3">
        <v>0</v>
      </c>
      <c r="G383" s="3">
        <v>0</v>
      </c>
      <c r="H383" s="3">
        <v>0</v>
      </c>
      <c r="I383" s="3">
        <v>2.29694463564815E-3</v>
      </c>
      <c r="J383" s="3">
        <v>3.4217055271198702</v>
      </c>
      <c r="K383" s="3">
        <v>6.0258151476709099</v>
      </c>
      <c r="L383" s="3">
        <v>7.4040506917391502</v>
      </c>
      <c r="M383" s="3">
        <v>7.5446470488491899</v>
      </c>
      <c r="N383" s="3">
        <v>6.8190115259587403</v>
      </c>
      <c r="O383" s="3">
        <v>6.6254650564096096</v>
      </c>
      <c r="P383" s="3">
        <v>6.1472812101815304</v>
      </c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x14ac:dyDescent="0.45">
      <c r="A384" s="3" t="s">
        <v>76</v>
      </c>
      <c r="B384" s="3" t="s">
        <v>26</v>
      </c>
      <c r="C384" s="3" t="s">
        <v>6</v>
      </c>
      <c r="D384" s="3" t="s">
        <v>13</v>
      </c>
      <c r="E384" s="3" t="s">
        <v>8</v>
      </c>
      <c r="F384" s="3">
        <v>0</v>
      </c>
      <c r="G384" s="3">
        <v>0</v>
      </c>
      <c r="H384" s="3">
        <v>0</v>
      </c>
      <c r="I384" s="3">
        <v>5.5812481822472702</v>
      </c>
      <c r="J384" s="3">
        <v>8.3664562194853893</v>
      </c>
      <c r="K384" s="3">
        <v>8.0721766209956201</v>
      </c>
      <c r="L384" s="3">
        <v>6.4555948853615099</v>
      </c>
      <c r="M384" s="3">
        <v>5.7609502502458803</v>
      </c>
      <c r="N384" s="3">
        <v>5.3915967230149802</v>
      </c>
      <c r="O384" s="3">
        <v>4.6729161126747796</v>
      </c>
      <c r="P384" s="3">
        <v>3.0602874212103002</v>
      </c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x14ac:dyDescent="0.45">
      <c r="A385" s="3" t="s">
        <v>76</v>
      </c>
      <c r="B385" s="3" t="s">
        <v>26</v>
      </c>
      <c r="C385" s="3" t="s">
        <v>6</v>
      </c>
      <c r="D385" s="3" t="s">
        <v>14</v>
      </c>
      <c r="E385" s="3" t="s">
        <v>8</v>
      </c>
      <c r="F385" s="3">
        <v>0</v>
      </c>
      <c r="G385" s="3">
        <v>2.6617335054688098</v>
      </c>
      <c r="H385" s="3">
        <v>2.6617335054688098</v>
      </c>
      <c r="I385" s="3">
        <v>4.3588750472173299</v>
      </c>
      <c r="J385" s="3">
        <v>3.7931946732549</v>
      </c>
      <c r="K385" s="3">
        <v>2.88289236579448</v>
      </c>
      <c r="L385" s="3">
        <v>2.91196206271113</v>
      </c>
      <c r="M385" s="3">
        <v>2.6598129013164402</v>
      </c>
      <c r="N385" s="3">
        <v>2.4195482872384</v>
      </c>
      <c r="O385" s="3">
        <v>1.83566434144279</v>
      </c>
      <c r="P385" s="3">
        <v>1.53325924300842</v>
      </c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x14ac:dyDescent="0.45">
      <c r="A386" s="3" t="s">
        <v>76</v>
      </c>
      <c r="B386" s="3" t="s">
        <v>26</v>
      </c>
      <c r="C386" s="3" t="s">
        <v>15</v>
      </c>
      <c r="D386" s="3" t="s">
        <v>7</v>
      </c>
      <c r="E386" s="3" t="s">
        <v>8</v>
      </c>
      <c r="F386" s="3">
        <v>0.62521517292091999</v>
      </c>
      <c r="G386" s="3">
        <v>0.72914430559443399</v>
      </c>
      <c r="H386" s="3">
        <v>0.72914430559443399</v>
      </c>
      <c r="I386" s="3">
        <v>0.85994154635662801</v>
      </c>
      <c r="J386" s="3">
        <v>0.97261553647431997</v>
      </c>
      <c r="K386" s="3">
        <v>1.09318920899053</v>
      </c>
      <c r="L386" s="3">
        <v>1.0876699675260499</v>
      </c>
      <c r="M386" s="3">
        <v>1.06262696634795</v>
      </c>
      <c r="N386" s="3">
        <v>1.02157739723107</v>
      </c>
      <c r="O386" s="3">
        <v>0.97989729055074903</v>
      </c>
      <c r="P386" s="3">
        <v>1.01165313287198</v>
      </c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x14ac:dyDescent="0.45">
      <c r="A387" s="3" t="s">
        <v>76</v>
      </c>
      <c r="B387" s="3" t="s">
        <v>26</v>
      </c>
      <c r="C387" s="3" t="s">
        <v>15</v>
      </c>
      <c r="D387" s="3" t="s">
        <v>9</v>
      </c>
      <c r="E387" s="3" t="s">
        <v>8</v>
      </c>
      <c r="F387" s="3">
        <v>0</v>
      </c>
      <c r="G387" s="3">
        <v>-4.38567643539767E-3</v>
      </c>
      <c r="H387" s="3">
        <v>-4.38567643539767E-3</v>
      </c>
      <c r="I387" s="3">
        <v>1.5396105704164099E-3</v>
      </c>
      <c r="J387" s="3">
        <v>2.0058816992081899E-2</v>
      </c>
      <c r="K387" s="3">
        <v>-5.7421691276056102E-3</v>
      </c>
      <c r="L387" s="3">
        <v>0.205693039178315</v>
      </c>
      <c r="M387" s="3">
        <v>0.344517978478806</v>
      </c>
      <c r="N387" s="3">
        <v>0.506053601127752</v>
      </c>
      <c r="O387" s="3">
        <v>0.66931957288398403</v>
      </c>
      <c r="P387" s="3">
        <v>0.75566261757713804</v>
      </c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x14ac:dyDescent="0.45">
      <c r="A388" s="3" t="s">
        <v>76</v>
      </c>
      <c r="B388" s="3" t="s">
        <v>26</v>
      </c>
      <c r="C388" s="3" t="s">
        <v>15</v>
      </c>
      <c r="D388" s="3" t="s">
        <v>10</v>
      </c>
      <c r="E388" s="3" t="s">
        <v>8</v>
      </c>
      <c r="F388" s="3">
        <v>0</v>
      </c>
      <c r="G388" s="3">
        <v>1.26804635412145E-2</v>
      </c>
      <c r="H388" s="3">
        <v>1.26804635412145E-2</v>
      </c>
      <c r="I388" s="3">
        <v>5.1249638204842196E-4</v>
      </c>
      <c r="J388" s="3">
        <v>9.2337512275743605E-2</v>
      </c>
      <c r="K388" s="3">
        <v>0.114715060357254</v>
      </c>
      <c r="L388" s="3">
        <v>1.7085362135403501E-2</v>
      </c>
      <c r="M388" s="3">
        <v>4.0323957706318601E-2</v>
      </c>
      <c r="N388" s="3">
        <v>7.3584183918452797E-2</v>
      </c>
      <c r="O388" s="3">
        <v>0.1053593603073</v>
      </c>
      <c r="P388" s="3">
        <v>0.121395095716321</v>
      </c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x14ac:dyDescent="0.45">
      <c r="A389" s="3" t="s">
        <v>76</v>
      </c>
      <c r="B389" s="3" t="s">
        <v>26</v>
      </c>
      <c r="C389" s="3" t="s">
        <v>15</v>
      </c>
      <c r="D389" s="3" t="s">
        <v>11</v>
      </c>
      <c r="E389" s="3" t="s">
        <v>8</v>
      </c>
      <c r="F389" s="3">
        <v>0</v>
      </c>
      <c r="G389" s="3">
        <v>2.21929419538636E-3</v>
      </c>
      <c r="H389" s="3">
        <v>2.21929419538636E-3</v>
      </c>
      <c r="I389" s="3">
        <v>-2.6225454081267099E-2</v>
      </c>
      <c r="J389" s="3">
        <v>1.4613753662010299E-2</v>
      </c>
      <c r="K389" s="3">
        <v>3.1753000607227501E-2</v>
      </c>
      <c r="L389" s="3">
        <v>7.7989504209398097E-2</v>
      </c>
      <c r="M389" s="3">
        <v>6.5336608414442193E-2</v>
      </c>
      <c r="N389" s="3">
        <v>2.4399121981722099E-2</v>
      </c>
      <c r="O389" s="3">
        <v>-3.8382102034314497E-2</v>
      </c>
      <c r="P389" s="3">
        <v>-8.62917334572737E-2</v>
      </c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x14ac:dyDescent="0.45">
      <c r="A390" s="3" t="s">
        <v>76</v>
      </c>
      <c r="B390" s="3" t="s">
        <v>26</v>
      </c>
      <c r="C390" s="3" t="s">
        <v>15</v>
      </c>
      <c r="D390" s="3" t="s">
        <v>12</v>
      </c>
      <c r="E390" s="3" t="s">
        <v>8</v>
      </c>
      <c r="F390" s="3">
        <v>0</v>
      </c>
      <c r="G390" s="3">
        <v>-1.51204156928106E-2</v>
      </c>
      <c r="H390" s="3">
        <v>-1.51204156928106E-2</v>
      </c>
      <c r="I390" s="3">
        <v>0.16357336592236099</v>
      </c>
      <c r="J390" s="3">
        <v>7.1381452291335398E-2</v>
      </c>
      <c r="K390" s="3">
        <v>7.5697068769125603E-2</v>
      </c>
      <c r="L390" s="3">
        <v>1.33635777653081E-2</v>
      </c>
      <c r="M390" s="3">
        <v>-3.3195565835902899E-2</v>
      </c>
      <c r="N390" s="3">
        <v>-6.3484004115102993E-2</v>
      </c>
      <c r="O390" s="3">
        <v>-8.1908074885853402E-2</v>
      </c>
      <c r="P390" s="3">
        <v>-0.115934152865868</v>
      </c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x14ac:dyDescent="0.45">
      <c r="A391" s="3" t="s">
        <v>76</v>
      </c>
      <c r="B391" s="3" t="s">
        <v>26</v>
      </c>
      <c r="C391" s="3" t="s">
        <v>15</v>
      </c>
      <c r="D391" s="3" t="s">
        <v>13</v>
      </c>
      <c r="E391" s="3" t="s">
        <v>8</v>
      </c>
      <c r="F391" s="3">
        <v>0</v>
      </c>
      <c r="G391" s="3">
        <v>0.121316911954164</v>
      </c>
      <c r="H391" s="3">
        <v>0.121316911954164</v>
      </c>
      <c r="I391" s="3">
        <v>2.9856819357706999E-2</v>
      </c>
      <c r="J391" s="3">
        <v>-6.0671266535491798E-2</v>
      </c>
      <c r="K391" s="3">
        <v>-0.13447324423129001</v>
      </c>
      <c r="L391" s="3">
        <v>-0.161500456792603</v>
      </c>
      <c r="M391" s="3">
        <v>-0.19800127114111599</v>
      </c>
      <c r="N391" s="3">
        <v>-0.245938018416542</v>
      </c>
      <c r="O391" s="3">
        <v>-0.266853688455368</v>
      </c>
      <c r="P391" s="3">
        <v>-0.28824675787521598</v>
      </c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x14ac:dyDescent="0.45">
      <c r="A392" s="3" t="s">
        <v>76</v>
      </c>
      <c r="B392" s="3" t="s">
        <v>26</v>
      </c>
      <c r="C392" s="3" t="s">
        <v>15</v>
      </c>
      <c r="D392" s="3" t="s">
        <v>14</v>
      </c>
      <c r="E392" s="3" t="s">
        <v>8</v>
      </c>
      <c r="F392" s="3">
        <v>0</v>
      </c>
      <c r="G392" s="3">
        <v>4.52012463430869E-2</v>
      </c>
      <c r="H392" s="3">
        <v>4.52012463430869E-2</v>
      </c>
      <c r="I392" s="3">
        <v>-2.69974120219156E-2</v>
      </c>
      <c r="J392" s="3">
        <v>-4.3620885090437399E-2</v>
      </c>
      <c r="K392" s="3">
        <v>-6.6654076480225699E-2</v>
      </c>
      <c r="L392" s="3">
        <v>-0.11480289452127999</v>
      </c>
      <c r="M392" s="3">
        <v>-9.86609330110466E-2</v>
      </c>
      <c r="N392" s="3">
        <v>-0.103753835111381</v>
      </c>
      <c r="O392" s="3">
        <v>-0.135895736314363</v>
      </c>
      <c r="P392" s="3">
        <v>-0.14747945821697001</v>
      </c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x14ac:dyDescent="0.45">
      <c r="A393" s="3" t="s">
        <v>76</v>
      </c>
      <c r="B393" s="3" t="s">
        <v>26</v>
      </c>
      <c r="C393" s="3" t="s">
        <v>16</v>
      </c>
      <c r="D393" s="3" t="s">
        <v>7</v>
      </c>
      <c r="E393" s="3" t="s">
        <v>8</v>
      </c>
      <c r="F393" s="3">
        <v>1.04505387087933</v>
      </c>
      <c r="G393" s="3">
        <v>1.0657604378204699</v>
      </c>
      <c r="H393" s="3">
        <v>1.0657604378204699</v>
      </c>
      <c r="I393" s="3">
        <v>1.03414355637657</v>
      </c>
      <c r="J393" s="3">
        <v>0.71970031411398305</v>
      </c>
      <c r="K393" s="3">
        <v>0.3214367090311</v>
      </c>
      <c r="L393" s="3">
        <v>0.3214367090311</v>
      </c>
      <c r="M393" s="3">
        <v>0.3214367090311</v>
      </c>
      <c r="N393" s="3">
        <v>0.3214367090311</v>
      </c>
      <c r="O393" s="3">
        <v>0.3214367090311</v>
      </c>
      <c r="P393" s="3">
        <v>0.3214367090311</v>
      </c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x14ac:dyDescent="0.45">
      <c r="A394" s="3" t="s">
        <v>76</v>
      </c>
      <c r="B394" s="3" t="s">
        <v>26</v>
      </c>
      <c r="C394" s="3" t="s">
        <v>16</v>
      </c>
      <c r="D394" s="3" t="s">
        <v>9</v>
      </c>
      <c r="E394" s="3" t="s">
        <v>8</v>
      </c>
      <c r="F394" s="3">
        <v>0</v>
      </c>
      <c r="G394" s="3">
        <v>4.0700159414464E-4</v>
      </c>
      <c r="H394" s="3">
        <v>4.0700159414464E-4</v>
      </c>
      <c r="I394" s="3">
        <v>2.0025982015359201E-4</v>
      </c>
      <c r="J394" s="3">
        <v>-1.95712831530748E-4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x14ac:dyDescent="0.45">
      <c r="A395" s="3" t="s">
        <v>76</v>
      </c>
      <c r="B395" s="3" t="s">
        <v>26</v>
      </c>
      <c r="C395" s="3" t="s">
        <v>16</v>
      </c>
      <c r="D395" s="3" t="s">
        <v>10</v>
      </c>
      <c r="E395" s="3" t="s">
        <v>8</v>
      </c>
      <c r="F395" s="3">
        <v>0</v>
      </c>
      <c r="G395" s="3">
        <v>7.9193574755720403E-6</v>
      </c>
      <c r="H395" s="3">
        <v>7.9193574755720403E-6</v>
      </c>
      <c r="I395" s="3">
        <v>-2.1424584248919098E-6</v>
      </c>
      <c r="J395" s="3">
        <v>9.5775654280094699E-5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x14ac:dyDescent="0.45">
      <c r="A396" s="3" t="s">
        <v>76</v>
      </c>
      <c r="B396" s="3" t="s">
        <v>26</v>
      </c>
      <c r="C396" s="3" t="s">
        <v>16</v>
      </c>
      <c r="D396" s="3" t="s">
        <v>11</v>
      </c>
      <c r="E396" s="3" t="s">
        <v>8</v>
      </c>
      <c r="F396" s="3">
        <v>0</v>
      </c>
      <c r="G396" s="3">
        <v>1.61764842552481E-4</v>
      </c>
      <c r="H396" s="3">
        <v>1.61764842552481E-4</v>
      </c>
      <c r="I396" s="3">
        <v>-3.3483125717825897E-5</v>
      </c>
      <c r="J396" s="3">
        <v>-2.3125285620673199E-4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x14ac:dyDescent="0.45">
      <c r="A397" s="3" t="s">
        <v>76</v>
      </c>
      <c r="B397" s="3" t="s">
        <v>26</v>
      </c>
      <c r="C397" s="3" t="s">
        <v>16</v>
      </c>
      <c r="D397" s="3" t="s">
        <v>12</v>
      </c>
      <c r="E397" s="3" t="s">
        <v>8</v>
      </c>
      <c r="F397" s="3">
        <v>0</v>
      </c>
      <c r="G397" s="3">
        <v>4.0764754078104197E-5</v>
      </c>
      <c r="H397" s="3">
        <v>4.0764754078104197E-5</v>
      </c>
      <c r="I397" s="3">
        <v>-4.1291335076354402E-4</v>
      </c>
      <c r="J397" s="3">
        <v>-4.3052019424732997E-3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x14ac:dyDescent="0.45">
      <c r="A398" s="3" t="s">
        <v>76</v>
      </c>
      <c r="B398" s="3" t="s">
        <v>26</v>
      </c>
      <c r="C398" s="3" t="s">
        <v>16</v>
      </c>
      <c r="D398" s="3" t="s">
        <v>13</v>
      </c>
      <c r="E398" s="3" t="s">
        <v>8</v>
      </c>
      <c r="F398" s="3">
        <v>0</v>
      </c>
      <c r="G398" s="3">
        <v>-2.2214891518095299E-3</v>
      </c>
      <c r="H398" s="3">
        <v>-2.2214891518095299E-3</v>
      </c>
      <c r="I398" s="3">
        <v>1.07834727782345E-2</v>
      </c>
      <c r="J398" s="3">
        <v>2.1288553097513901E-2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x14ac:dyDescent="0.45">
      <c r="A399" s="3" t="s">
        <v>76</v>
      </c>
      <c r="B399" s="3" t="s">
        <v>26</v>
      </c>
      <c r="C399" s="3" t="s">
        <v>16</v>
      </c>
      <c r="D399" s="3" t="s">
        <v>14</v>
      </c>
      <c r="E399" s="3" t="s">
        <v>8</v>
      </c>
      <c r="F399" s="3">
        <v>0</v>
      </c>
      <c r="G399" s="3">
        <v>-2.58592028374438E-2</v>
      </c>
      <c r="H399" s="3">
        <v>-2.58592028374438E-2</v>
      </c>
      <c r="I399" s="3">
        <v>2.3159593404724E-2</v>
      </c>
      <c r="J399" s="3">
        <v>1.09946639806233E-2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x14ac:dyDescent="0.45">
      <c r="A400" s="3" t="s">
        <v>76</v>
      </c>
      <c r="B400" s="3" t="s">
        <v>26</v>
      </c>
      <c r="C400" s="3" t="s">
        <v>17</v>
      </c>
      <c r="D400" s="3" t="s">
        <v>10</v>
      </c>
      <c r="E400" s="3" t="s">
        <v>8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0.75080847542729801</v>
      </c>
      <c r="N400" s="3">
        <v>0.85778652908895903</v>
      </c>
      <c r="O400" s="3">
        <v>0.98650578952624501</v>
      </c>
      <c r="P400" s="3">
        <v>1.0076650664595601</v>
      </c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x14ac:dyDescent="0.45">
      <c r="A401" s="3" t="s">
        <v>76</v>
      </c>
      <c r="B401" s="3" t="s">
        <v>26</v>
      </c>
      <c r="C401" s="3" t="s">
        <v>17</v>
      </c>
      <c r="D401" s="3" t="s">
        <v>11</v>
      </c>
      <c r="E401" s="3" t="s">
        <v>8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0.63338396512275696</v>
      </c>
      <c r="L401" s="3">
        <v>0.73525826813203499</v>
      </c>
      <c r="M401" s="3">
        <v>0.37264139638853799</v>
      </c>
      <c r="N401" s="3">
        <v>0.89696301042075699</v>
      </c>
      <c r="O401" s="3">
        <v>1.61441347250242</v>
      </c>
      <c r="P401" s="3">
        <v>2.2720441605987598</v>
      </c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x14ac:dyDescent="0.45">
      <c r="A402" s="3" t="s">
        <v>76</v>
      </c>
      <c r="B402" s="3" t="s">
        <v>26</v>
      </c>
      <c r="C402" s="3" t="s">
        <v>17</v>
      </c>
      <c r="D402" s="3" t="s">
        <v>12</v>
      </c>
      <c r="E402" s="3" t="s">
        <v>8</v>
      </c>
      <c r="F402" s="3">
        <v>0</v>
      </c>
      <c r="G402" s="3">
        <v>0</v>
      </c>
      <c r="H402" s="3">
        <v>0</v>
      </c>
      <c r="I402" s="3">
        <v>0</v>
      </c>
      <c r="J402" s="3">
        <v>0.58636141420356902</v>
      </c>
      <c r="K402" s="3">
        <v>0.45695925917021202</v>
      </c>
      <c r="L402" s="3">
        <v>1.25552096762652</v>
      </c>
      <c r="M402" s="3">
        <v>2.03233984619018</v>
      </c>
      <c r="N402" s="3">
        <v>2.56252006875477</v>
      </c>
      <c r="O402" s="3">
        <v>2.5326324825582298</v>
      </c>
      <c r="P402" s="3">
        <v>1.85877018344958</v>
      </c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x14ac:dyDescent="0.45">
      <c r="A403" s="3" t="s">
        <v>76</v>
      </c>
      <c r="B403" s="3" t="s">
        <v>26</v>
      </c>
      <c r="C403" s="3" t="s">
        <v>17</v>
      </c>
      <c r="D403" s="3" t="s">
        <v>13</v>
      </c>
      <c r="E403" s="3" t="s">
        <v>8</v>
      </c>
      <c r="F403" s="3">
        <v>0</v>
      </c>
      <c r="G403" s="3">
        <v>0</v>
      </c>
      <c r="H403" s="3">
        <v>0</v>
      </c>
      <c r="I403" s="3">
        <v>0.87978675359593606</v>
      </c>
      <c r="J403" s="3">
        <v>1.84135719099436</v>
      </c>
      <c r="K403" s="3">
        <v>3.22054587600728</v>
      </c>
      <c r="L403" s="3">
        <v>3.4308793853471098</v>
      </c>
      <c r="M403" s="3">
        <v>2.47720810632448</v>
      </c>
      <c r="N403" s="3">
        <v>1.32104245480741</v>
      </c>
      <c r="O403" s="3">
        <v>0.50445483455921702</v>
      </c>
      <c r="P403" s="3">
        <v>0.23837821453313099</v>
      </c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x14ac:dyDescent="0.45">
      <c r="A404" s="3" t="s">
        <v>76</v>
      </c>
      <c r="B404" s="3" t="s">
        <v>26</v>
      </c>
      <c r="C404" s="3" t="s">
        <v>17</v>
      </c>
      <c r="D404" s="3" t="s">
        <v>14</v>
      </c>
      <c r="E404" s="3" t="s">
        <v>8</v>
      </c>
      <c r="F404" s="3">
        <v>0</v>
      </c>
      <c r="G404" s="3">
        <v>8.1882456296229505E-2</v>
      </c>
      <c r="H404" s="3">
        <v>8.1882456296229505E-2</v>
      </c>
      <c r="I404" s="3">
        <v>1.7625496095711799</v>
      </c>
      <c r="J404" s="3">
        <v>2.6100149776346702</v>
      </c>
      <c r="K404" s="3">
        <v>1.42519935564966</v>
      </c>
      <c r="L404" s="3">
        <v>0.34895050900501201</v>
      </c>
      <c r="M404" s="3">
        <v>0.13813064506206399</v>
      </c>
      <c r="N404" s="3">
        <v>0.13281640632066999</v>
      </c>
      <c r="O404" s="3">
        <v>0.13275074237845899</v>
      </c>
      <c r="P404" s="3">
        <v>0.13240132072452299</v>
      </c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x14ac:dyDescent="0.45">
      <c r="A405" s="3" t="s">
        <v>76</v>
      </c>
      <c r="B405" s="3" t="s">
        <v>26</v>
      </c>
      <c r="C405" s="3" t="s">
        <v>18</v>
      </c>
      <c r="D405" s="3" t="s">
        <v>7</v>
      </c>
      <c r="E405" s="3" t="s">
        <v>8</v>
      </c>
      <c r="F405" s="3">
        <v>0.39803311622314602</v>
      </c>
      <c r="G405" s="3">
        <v>0.234175549650538</v>
      </c>
      <c r="H405" s="3">
        <v>0.234175549650538</v>
      </c>
      <c r="I405" s="3">
        <v>0.15611703310035799</v>
      </c>
      <c r="J405" s="3">
        <v>7.8058516550178703E-2</v>
      </c>
      <c r="K405" s="3">
        <v>0</v>
      </c>
      <c r="L405" s="3">
        <v>1.5316360170595699E-16</v>
      </c>
      <c r="M405" s="3">
        <v>0</v>
      </c>
      <c r="N405" s="3">
        <v>0</v>
      </c>
      <c r="O405" s="3">
        <v>0</v>
      </c>
      <c r="P405" s="3">
        <v>0</v>
      </c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x14ac:dyDescent="0.45">
      <c r="A406" s="3" t="s">
        <v>76</v>
      </c>
      <c r="B406" s="3" t="s">
        <v>26</v>
      </c>
      <c r="C406" s="3" t="s">
        <v>18</v>
      </c>
      <c r="D406" s="3" t="s">
        <v>9</v>
      </c>
      <c r="E406" s="3" t="s">
        <v>8</v>
      </c>
      <c r="F406" s="3">
        <v>0</v>
      </c>
      <c r="G406" s="3">
        <v>0</v>
      </c>
      <c r="H406" s="3">
        <v>0</v>
      </c>
      <c r="I406" s="3">
        <v>6.9388939039072303E-16</v>
      </c>
      <c r="J406" s="3">
        <v>6.8001160258290799E-16</v>
      </c>
      <c r="K406" s="3">
        <v>0</v>
      </c>
      <c r="L406" s="3">
        <v>-1.5316360170595699E-16</v>
      </c>
      <c r="M406" s="3">
        <v>0</v>
      </c>
      <c r="N406" s="3">
        <v>0</v>
      </c>
      <c r="O406" s="3">
        <v>0</v>
      </c>
      <c r="P406" s="3">
        <v>5.7436350639733702E-16</v>
      </c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x14ac:dyDescent="0.45">
      <c r="A407" s="3" t="s">
        <v>76</v>
      </c>
      <c r="B407" s="3" t="s">
        <v>26</v>
      </c>
      <c r="C407" s="3" t="s">
        <v>18</v>
      </c>
      <c r="D407" s="3" t="s">
        <v>10</v>
      </c>
      <c r="E407" s="3" t="s">
        <v>8</v>
      </c>
      <c r="F407" s="3">
        <v>0</v>
      </c>
      <c r="G407" s="3">
        <v>0</v>
      </c>
      <c r="H407" s="3">
        <v>0</v>
      </c>
      <c r="I407" s="3">
        <v>-6.9388939039072303E-16</v>
      </c>
      <c r="J407" s="3">
        <v>0</v>
      </c>
      <c r="K407" s="3">
        <v>0</v>
      </c>
      <c r="L407" s="3">
        <v>2.2974540255893499E-16</v>
      </c>
      <c r="M407" s="3">
        <v>4.2119990469138099E-16</v>
      </c>
      <c r="N407" s="3">
        <v>0</v>
      </c>
      <c r="O407" s="3">
        <v>0</v>
      </c>
      <c r="P407" s="3">
        <v>-5.7436350639733702E-16</v>
      </c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x14ac:dyDescent="0.45">
      <c r="A408" s="3" t="s">
        <v>76</v>
      </c>
      <c r="B408" s="3" t="s">
        <v>26</v>
      </c>
      <c r="C408" s="3" t="s">
        <v>18</v>
      </c>
      <c r="D408" s="3" t="s">
        <v>11</v>
      </c>
      <c r="E408" s="3" t="s">
        <v>8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5.3607260597084902E-16</v>
      </c>
      <c r="L408" s="3">
        <v>6.5094530725031597E-16</v>
      </c>
      <c r="M408" s="3">
        <v>1.1487270127946701E-15</v>
      </c>
      <c r="N408" s="3">
        <v>3.21643563582509E-15</v>
      </c>
      <c r="O408" s="3">
        <v>8.4239980938276E-16</v>
      </c>
      <c r="P408" s="3">
        <v>0</v>
      </c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x14ac:dyDescent="0.45">
      <c r="A409" s="3" t="s">
        <v>76</v>
      </c>
      <c r="B409" s="3" t="s">
        <v>26</v>
      </c>
      <c r="C409" s="3" t="s">
        <v>18</v>
      </c>
      <c r="D409" s="3" t="s">
        <v>12</v>
      </c>
      <c r="E409" s="3" t="s">
        <v>8</v>
      </c>
      <c r="F409" s="3">
        <v>0</v>
      </c>
      <c r="G409" s="3">
        <v>0</v>
      </c>
      <c r="H409" s="3">
        <v>0</v>
      </c>
      <c r="I409" s="3">
        <v>0</v>
      </c>
      <c r="J409" s="3">
        <v>-6.8001160258290799E-16</v>
      </c>
      <c r="K409" s="3">
        <v>-5.3607260597084902E-16</v>
      </c>
      <c r="L409" s="3">
        <v>-8.8069070980925096E-16</v>
      </c>
      <c r="M409" s="3">
        <v>-1.5699269174860601E-15</v>
      </c>
      <c r="N409" s="3">
        <v>-2.9866902332661598E-15</v>
      </c>
      <c r="O409" s="3">
        <v>-8.4239980938276E-16</v>
      </c>
      <c r="P409" s="3">
        <v>3.2930174366780701E-15</v>
      </c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x14ac:dyDescent="0.45">
      <c r="A410" s="3" t="s">
        <v>76</v>
      </c>
      <c r="B410" s="3" t="s">
        <v>26</v>
      </c>
      <c r="C410" s="3" t="s">
        <v>18</v>
      </c>
      <c r="D410" s="3" t="s">
        <v>13</v>
      </c>
      <c r="E410" s="3" t="s">
        <v>8</v>
      </c>
      <c r="F410" s="3">
        <v>0</v>
      </c>
      <c r="G410" s="3">
        <v>0</v>
      </c>
      <c r="H410" s="3">
        <v>0</v>
      </c>
      <c r="I410" s="3">
        <v>0</v>
      </c>
      <c r="J410" s="3">
        <v>4.1355807667287097E-15</v>
      </c>
      <c r="K410" s="3">
        <v>0</v>
      </c>
      <c r="L410" s="3">
        <v>0</v>
      </c>
      <c r="M410" s="3">
        <v>0</v>
      </c>
      <c r="N410" s="3">
        <v>4.5949080511787001E-15</v>
      </c>
      <c r="O410" s="3">
        <v>0</v>
      </c>
      <c r="P410" s="3">
        <v>-3.2930174366780701E-15</v>
      </c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x14ac:dyDescent="0.45">
      <c r="A411" s="3" t="s">
        <v>76</v>
      </c>
      <c r="B411" s="3" t="s">
        <v>26</v>
      </c>
      <c r="C411" s="3" t="s">
        <v>18</v>
      </c>
      <c r="D411" s="3" t="s">
        <v>14</v>
      </c>
      <c r="E411" s="3" t="s">
        <v>8</v>
      </c>
      <c r="F411" s="3">
        <v>0</v>
      </c>
      <c r="G411" s="3">
        <v>0</v>
      </c>
      <c r="H411" s="3">
        <v>0</v>
      </c>
      <c r="I411" s="3">
        <v>-2.7478019859472601E-15</v>
      </c>
      <c r="J411" s="3">
        <v>-4.8294701571194302E-15</v>
      </c>
      <c r="K411" s="3">
        <v>0</v>
      </c>
      <c r="L411" s="3">
        <v>7.8879254878567608E-15</v>
      </c>
      <c r="M411" s="3">
        <v>0</v>
      </c>
      <c r="N411" s="3">
        <v>-4.8246534537376397E-15</v>
      </c>
      <c r="O411" s="3">
        <v>1.0644870318564E-14</v>
      </c>
      <c r="P411" s="3">
        <v>0</v>
      </c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x14ac:dyDescent="0.45">
      <c r="A412" s="3" t="s">
        <v>76</v>
      </c>
      <c r="B412" s="3" t="s">
        <v>26</v>
      </c>
      <c r="C412" s="3" t="s">
        <v>19</v>
      </c>
      <c r="D412" s="3" t="s">
        <v>10</v>
      </c>
      <c r="E412" s="3" t="s">
        <v>8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1.24237738736979E-2</v>
      </c>
      <c r="M412" s="3">
        <v>0.117075654355648</v>
      </c>
      <c r="N412" s="3">
        <v>0.22128426241393601</v>
      </c>
      <c r="O412" s="3">
        <v>0.40137664348082602</v>
      </c>
      <c r="P412" s="3">
        <v>0.98701640395794399</v>
      </c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x14ac:dyDescent="0.45">
      <c r="A413" s="3" t="s">
        <v>76</v>
      </c>
      <c r="B413" s="3" t="s">
        <v>26</v>
      </c>
      <c r="C413" s="3" t="s">
        <v>19</v>
      </c>
      <c r="D413" s="3" t="s">
        <v>11</v>
      </c>
      <c r="E413" s="3" t="s">
        <v>8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4.7608968826606E-2</v>
      </c>
      <c r="L413" s="3">
        <v>0.15724044426452499</v>
      </c>
      <c r="M413" s="3">
        <v>1.28078614848056</v>
      </c>
      <c r="N413" s="3">
        <v>3.36061691954525</v>
      </c>
      <c r="O413" s="3">
        <v>6.2200657205121797</v>
      </c>
      <c r="P413" s="3">
        <v>8.8652323648803595</v>
      </c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x14ac:dyDescent="0.45">
      <c r="A414" s="3" t="s">
        <v>76</v>
      </c>
      <c r="B414" s="3" t="s">
        <v>26</v>
      </c>
      <c r="C414" s="3" t="s">
        <v>19</v>
      </c>
      <c r="D414" s="3" t="s">
        <v>12</v>
      </c>
      <c r="E414" s="3" t="s">
        <v>8</v>
      </c>
      <c r="F414" s="3">
        <v>0</v>
      </c>
      <c r="G414" s="3">
        <v>0</v>
      </c>
      <c r="H414" s="3">
        <v>0</v>
      </c>
      <c r="I414" s="3">
        <v>0</v>
      </c>
      <c r="J414" s="3">
        <v>3.7931052703909701E-2</v>
      </c>
      <c r="K414" s="3">
        <v>1.60335858809736</v>
      </c>
      <c r="L414" s="3">
        <v>4.7468248585048398</v>
      </c>
      <c r="M414" s="3">
        <v>7.8626897338619299</v>
      </c>
      <c r="N414" s="3">
        <v>9.9574273682940806</v>
      </c>
      <c r="O414" s="3">
        <v>9.9040112789025301</v>
      </c>
      <c r="P414" s="3">
        <v>7.3726993731563804</v>
      </c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x14ac:dyDescent="0.45">
      <c r="A415" s="3" t="s">
        <v>76</v>
      </c>
      <c r="B415" s="3" t="s">
        <v>26</v>
      </c>
      <c r="C415" s="3" t="s">
        <v>19</v>
      </c>
      <c r="D415" s="3" t="s">
        <v>13</v>
      </c>
      <c r="E415" s="3" t="s">
        <v>8</v>
      </c>
      <c r="F415" s="3">
        <v>0</v>
      </c>
      <c r="G415" s="3">
        <v>0</v>
      </c>
      <c r="H415" s="3">
        <v>0</v>
      </c>
      <c r="I415" s="3">
        <v>1.4429168740084199</v>
      </c>
      <c r="J415" s="3">
        <v>7.0814679238174199</v>
      </c>
      <c r="K415" s="3">
        <v>12.568383030214701</v>
      </c>
      <c r="L415" s="3">
        <v>13.480579691008201</v>
      </c>
      <c r="M415" s="3">
        <v>9.8413834170336507</v>
      </c>
      <c r="N415" s="3">
        <v>5.5214417790429096</v>
      </c>
      <c r="O415" s="3">
        <v>2.4148074689220702</v>
      </c>
      <c r="P415" s="3">
        <v>1.44026192675318</v>
      </c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x14ac:dyDescent="0.45">
      <c r="A416" s="3" t="s">
        <v>76</v>
      </c>
      <c r="B416" s="3" t="s">
        <v>26</v>
      </c>
      <c r="C416" s="3" t="s">
        <v>19</v>
      </c>
      <c r="D416" s="3" t="s">
        <v>14</v>
      </c>
      <c r="E416" s="3" t="s">
        <v>8</v>
      </c>
      <c r="F416" s="3">
        <v>0</v>
      </c>
      <c r="G416" s="3">
        <v>1.75362938980369E-2</v>
      </c>
      <c r="H416" s="3">
        <v>1.75362938980369E-2</v>
      </c>
      <c r="I416" s="3">
        <v>6.7258222735439297</v>
      </c>
      <c r="J416" s="3">
        <v>10.0991788762226</v>
      </c>
      <c r="K416" s="3">
        <v>5.5607506033066896</v>
      </c>
      <c r="L416" s="3">
        <v>1.50705139189468</v>
      </c>
      <c r="M416" s="3">
        <v>0.71425999750415103</v>
      </c>
      <c r="N416" s="3">
        <v>0.70114012405405601</v>
      </c>
      <c r="O416" s="3">
        <v>0.75532250161838399</v>
      </c>
      <c r="P416" s="3">
        <v>0.782935075671087</v>
      </c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x14ac:dyDescent="0.45">
      <c r="A417" s="3" t="s">
        <v>77</v>
      </c>
      <c r="B417" s="3" t="s">
        <v>27</v>
      </c>
      <c r="C417" s="3" t="s">
        <v>6</v>
      </c>
      <c r="D417" s="3" t="s">
        <v>7</v>
      </c>
      <c r="E417" s="3" t="s">
        <v>8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x14ac:dyDescent="0.45">
      <c r="A418" s="3" t="s">
        <v>77</v>
      </c>
      <c r="B418" s="3" t="s">
        <v>27</v>
      </c>
      <c r="C418" s="3" t="s">
        <v>6</v>
      </c>
      <c r="D418" s="3" t="s">
        <v>9</v>
      </c>
      <c r="E418" s="3" t="s">
        <v>8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5.8149040747106102E-3</v>
      </c>
      <c r="P418" s="3">
        <v>3.1758684673430099E-2</v>
      </c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x14ac:dyDescent="0.45">
      <c r="A419" s="3" t="s">
        <v>77</v>
      </c>
      <c r="B419" s="3" t="s">
        <v>27</v>
      </c>
      <c r="C419" s="3" t="s">
        <v>6</v>
      </c>
      <c r="D419" s="3" t="s">
        <v>10</v>
      </c>
      <c r="E419" s="3" t="s">
        <v>8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3.4386114156267199E-3</v>
      </c>
      <c r="M419" s="3">
        <v>3.7695757728847298E-2</v>
      </c>
      <c r="N419" s="3">
        <v>8.5966387609546099E-2</v>
      </c>
      <c r="O419" s="3">
        <v>0.12130559000117</v>
      </c>
      <c r="P419" s="3">
        <v>0.12266779919795701</v>
      </c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x14ac:dyDescent="0.45">
      <c r="A420" s="3" t="s">
        <v>77</v>
      </c>
      <c r="B420" s="3" t="s">
        <v>27</v>
      </c>
      <c r="C420" s="3" t="s">
        <v>6</v>
      </c>
      <c r="D420" s="3" t="s">
        <v>11</v>
      </c>
      <c r="E420" s="3" t="s">
        <v>8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3.7159500815417197E-2</v>
      </c>
      <c r="L420" s="3">
        <v>9.0627136179066897E-2</v>
      </c>
      <c r="M420" s="3">
        <v>0.10800299272003799</v>
      </c>
      <c r="N420" s="3">
        <v>0.22665430976707099</v>
      </c>
      <c r="O420" s="3">
        <v>0.42974710101183999</v>
      </c>
      <c r="P420" s="3">
        <v>0.71240350620065296</v>
      </c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x14ac:dyDescent="0.45">
      <c r="A421" s="3" t="s">
        <v>77</v>
      </c>
      <c r="B421" s="3" t="s">
        <v>27</v>
      </c>
      <c r="C421" s="3" t="s">
        <v>6</v>
      </c>
      <c r="D421" s="3" t="s">
        <v>12</v>
      </c>
      <c r="E421" s="3" t="s">
        <v>8</v>
      </c>
      <c r="F421" s="3">
        <v>0</v>
      </c>
      <c r="G421" s="3">
        <v>0</v>
      </c>
      <c r="H421" s="3">
        <v>0</v>
      </c>
      <c r="I421" s="3">
        <v>0</v>
      </c>
      <c r="J421" s="3">
        <v>4.78965076865175E-2</v>
      </c>
      <c r="K421" s="3">
        <v>9.1883820357580206E-2</v>
      </c>
      <c r="L421" s="3">
        <v>0.301303696757521</v>
      </c>
      <c r="M421" s="3">
        <v>0.60072563681225699</v>
      </c>
      <c r="N421" s="3">
        <v>0.79005222367900496</v>
      </c>
      <c r="O421" s="3">
        <v>0.87279482875336001</v>
      </c>
      <c r="P421" s="3">
        <v>0.86479026344172105</v>
      </c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x14ac:dyDescent="0.45">
      <c r="A422" s="3" t="s">
        <v>77</v>
      </c>
      <c r="B422" s="3" t="s">
        <v>27</v>
      </c>
      <c r="C422" s="3" t="s">
        <v>6</v>
      </c>
      <c r="D422" s="3" t="s">
        <v>13</v>
      </c>
      <c r="E422" s="3" t="s">
        <v>8</v>
      </c>
      <c r="F422" s="3">
        <v>0</v>
      </c>
      <c r="G422" s="3">
        <v>0</v>
      </c>
      <c r="H422" s="3">
        <v>0</v>
      </c>
      <c r="I422" s="3">
        <v>8.0283758648178494E-2</v>
      </c>
      <c r="J422" s="3">
        <v>0.48030142840923401</v>
      </c>
      <c r="K422" s="3">
        <v>0.85711581158920402</v>
      </c>
      <c r="L422" s="3">
        <v>0.961731889433591</v>
      </c>
      <c r="M422" s="3">
        <v>0.93530801312209799</v>
      </c>
      <c r="N422" s="3">
        <v>0.87696172613718903</v>
      </c>
      <c r="O422" s="3">
        <v>0.82667762817832202</v>
      </c>
      <c r="P422" s="3">
        <v>0.75942330041663098</v>
      </c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x14ac:dyDescent="0.45">
      <c r="A423" s="3" t="s">
        <v>77</v>
      </c>
      <c r="B423" s="3" t="s">
        <v>27</v>
      </c>
      <c r="C423" s="3" t="s">
        <v>6</v>
      </c>
      <c r="D423" s="3" t="s">
        <v>14</v>
      </c>
      <c r="E423" s="3" t="s">
        <v>8</v>
      </c>
      <c r="F423" s="3">
        <v>0</v>
      </c>
      <c r="G423" s="3">
        <v>4.1095486475950099E-2</v>
      </c>
      <c r="H423" s="3">
        <v>4.1095486475950099E-2</v>
      </c>
      <c r="I423" s="3">
        <v>0.49762436888159001</v>
      </c>
      <c r="J423" s="3">
        <v>0.50749819376101302</v>
      </c>
      <c r="K423" s="3">
        <v>0.423545554945712</v>
      </c>
      <c r="L423" s="3">
        <v>0.38939114069542802</v>
      </c>
      <c r="M423" s="3">
        <v>0.40370484042142502</v>
      </c>
      <c r="N423" s="3">
        <v>0.40346319984208001</v>
      </c>
      <c r="O423" s="3">
        <v>0.36555615482779302</v>
      </c>
      <c r="P423" s="3">
        <v>0.32062768856359197</v>
      </c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x14ac:dyDescent="0.45">
      <c r="A424" s="3" t="s">
        <v>77</v>
      </c>
      <c r="B424" s="3" t="s">
        <v>27</v>
      </c>
      <c r="C424" s="3" t="s">
        <v>15</v>
      </c>
      <c r="D424" s="3" t="s">
        <v>7</v>
      </c>
      <c r="E424" s="3" t="s">
        <v>8</v>
      </c>
      <c r="F424" s="3">
        <v>0.238887815478774</v>
      </c>
      <c r="G424" s="3">
        <v>0.27322428572417801</v>
      </c>
      <c r="H424" s="3">
        <v>0.27322428572417801</v>
      </c>
      <c r="I424" s="3">
        <v>0.30311779324239402</v>
      </c>
      <c r="J424" s="3">
        <v>0.33855022668986101</v>
      </c>
      <c r="K424" s="3">
        <v>0.37004997671739498</v>
      </c>
      <c r="L424" s="3">
        <v>0.39384123284523298</v>
      </c>
      <c r="M424" s="3">
        <v>0.40252609325001798</v>
      </c>
      <c r="N424" s="3">
        <v>0.41067644726959701</v>
      </c>
      <c r="O424" s="3">
        <v>0.41856107838218598</v>
      </c>
      <c r="P424" s="3">
        <v>0.41272602061630198</v>
      </c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x14ac:dyDescent="0.45">
      <c r="A425" s="3" t="s">
        <v>77</v>
      </c>
      <c r="B425" s="3" t="s">
        <v>27</v>
      </c>
      <c r="C425" s="3" t="s">
        <v>15</v>
      </c>
      <c r="D425" s="3" t="s">
        <v>9</v>
      </c>
      <c r="E425" s="3" t="s">
        <v>8</v>
      </c>
      <c r="F425" s="3">
        <v>0</v>
      </c>
      <c r="G425" s="3">
        <v>7.6655529351693497E-4</v>
      </c>
      <c r="H425" s="3">
        <v>7.6655529351693497E-4</v>
      </c>
      <c r="I425" s="3">
        <v>-4.5006791001173102E-4</v>
      </c>
      <c r="J425" s="3">
        <v>-4.4172617999307896E-3</v>
      </c>
      <c r="K425" s="3">
        <v>-7.2196472931729304E-4</v>
      </c>
      <c r="L425" s="3">
        <v>5.2598295914538804E-3</v>
      </c>
      <c r="M425" s="3">
        <v>2.2592925346026999E-2</v>
      </c>
      <c r="N425" s="3">
        <v>4.3297323600167199E-2</v>
      </c>
      <c r="O425" s="3">
        <v>5.7260512338217703E-2</v>
      </c>
      <c r="P425" s="3">
        <v>7.45262895829924E-2</v>
      </c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x14ac:dyDescent="0.45">
      <c r="A426" s="3" t="s">
        <v>77</v>
      </c>
      <c r="B426" s="3" t="s">
        <v>27</v>
      </c>
      <c r="C426" s="3" t="s">
        <v>15</v>
      </c>
      <c r="D426" s="3" t="s">
        <v>10</v>
      </c>
      <c r="E426" s="3" t="s">
        <v>8</v>
      </c>
      <c r="F426" s="3">
        <v>0</v>
      </c>
      <c r="G426" s="3">
        <v>-2.4413651473253499E-3</v>
      </c>
      <c r="H426" s="3">
        <v>-2.4413651473253499E-3</v>
      </c>
      <c r="I426" s="3">
        <v>-3.3074032059338099E-4</v>
      </c>
      <c r="J426" s="3">
        <v>5.53513409127665E-3</v>
      </c>
      <c r="K426" s="3">
        <v>1.5448577321584599E-3</v>
      </c>
      <c r="L426" s="3">
        <v>3.7722783621912899E-4</v>
      </c>
      <c r="M426" s="3">
        <v>6.80180785487766E-3</v>
      </c>
      <c r="N426" s="3">
        <v>9.3629919974957398E-3</v>
      </c>
      <c r="O426" s="3">
        <v>9.7210002876437808E-3</v>
      </c>
      <c r="P426" s="3">
        <v>1.9138999309121701E-2</v>
      </c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x14ac:dyDescent="0.45">
      <c r="A427" s="3" t="s">
        <v>77</v>
      </c>
      <c r="B427" s="3" t="s">
        <v>27</v>
      </c>
      <c r="C427" s="3" t="s">
        <v>15</v>
      </c>
      <c r="D427" s="3" t="s">
        <v>11</v>
      </c>
      <c r="E427" s="3" t="s">
        <v>8</v>
      </c>
      <c r="F427" s="3">
        <v>0</v>
      </c>
      <c r="G427" s="3">
        <v>-5.1376363951533E-4</v>
      </c>
      <c r="H427" s="3">
        <v>-5.1376363951533E-4</v>
      </c>
      <c r="I427" s="3">
        <v>5.0898025411176802E-3</v>
      </c>
      <c r="J427" s="3">
        <v>-2.3332075775002199E-3</v>
      </c>
      <c r="K427" s="3">
        <v>-1.82302706296117E-3</v>
      </c>
      <c r="L427" s="3">
        <v>-3.0717755911599501E-3</v>
      </c>
      <c r="M427" s="3">
        <v>7.0803623605807404E-3</v>
      </c>
      <c r="N427" s="3">
        <v>1.7067370359849399E-2</v>
      </c>
      <c r="O427" s="3">
        <v>3.1424892386216201E-2</v>
      </c>
      <c r="P427" s="3">
        <v>3.5557175932712501E-2</v>
      </c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x14ac:dyDescent="0.45">
      <c r="A428" s="3" t="s">
        <v>77</v>
      </c>
      <c r="B428" s="3" t="s">
        <v>27</v>
      </c>
      <c r="C428" s="3" t="s">
        <v>15</v>
      </c>
      <c r="D428" s="3" t="s">
        <v>12</v>
      </c>
      <c r="E428" s="3" t="s">
        <v>8</v>
      </c>
      <c r="F428" s="3">
        <v>0</v>
      </c>
      <c r="G428" s="3">
        <v>2.8215161068725898E-3</v>
      </c>
      <c r="H428" s="3">
        <v>2.8215161068725898E-3</v>
      </c>
      <c r="I428" s="3">
        <v>-5.9103425970141699E-4</v>
      </c>
      <c r="J428" s="3">
        <v>-3.4892151938884499E-3</v>
      </c>
      <c r="K428" s="3">
        <v>4.3248491032695201E-3</v>
      </c>
      <c r="L428" s="3">
        <v>1.95330337633993E-2</v>
      </c>
      <c r="M428" s="3">
        <v>1.8090353938983301E-2</v>
      </c>
      <c r="N428" s="3">
        <v>6.8951851861206396E-3</v>
      </c>
      <c r="O428" s="3">
        <v>-3.88439354267545E-3</v>
      </c>
      <c r="P428" s="3">
        <v>-1.1443532706813199E-2</v>
      </c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x14ac:dyDescent="0.45">
      <c r="A429" s="3" t="s">
        <v>77</v>
      </c>
      <c r="B429" s="3" t="s">
        <v>27</v>
      </c>
      <c r="C429" s="3" t="s">
        <v>15</v>
      </c>
      <c r="D429" s="3" t="s">
        <v>13</v>
      </c>
      <c r="E429" s="3" t="s">
        <v>8</v>
      </c>
      <c r="F429" s="3">
        <v>0</v>
      </c>
      <c r="G429" s="3">
        <v>9.4070757851349995E-4</v>
      </c>
      <c r="H429" s="3">
        <v>9.4070757851349995E-4</v>
      </c>
      <c r="I429" s="3">
        <v>7.3370302630270702E-3</v>
      </c>
      <c r="J429" s="3">
        <v>2.3595324109792901E-2</v>
      </c>
      <c r="K429" s="3">
        <v>7.9837453694364107E-3</v>
      </c>
      <c r="L429" s="3">
        <v>-1.10660623434922E-2</v>
      </c>
      <c r="M429" s="3">
        <v>-2.3950752999896699E-2</v>
      </c>
      <c r="N429" s="3">
        <v>-3.0718504825481802E-2</v>
      </c>
      <c r="O429" s="3">
        <v>-3.8304582866445502E-2</v>
      </c>
      <c r="P429" s="3">
        <v>-4.8429034618356903E-2</v>
      </c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x14ac:dyDescent="0.45">
      <c r="A430" s="3" t="s">
        <v>77</v>
      </c>
      <c r="B430" s="3" t="s">
        <v>27</v>
      </c>
      <c r="C430" s="3" t="s">
        <v>15</v>
      </c>
      <c r="D430" s="3" t="s">
        <v>14</v>
      </c>
      <c r="E430" s="3" t="s">
        <v>8</v>
      </c>
      <c r="F430" s="3">
        <v>0</v>
      </c>
      <c r="G430" s="3">
        <v>-1.6059448085999899E-3</v>
      </c>
      <c r="H430" s="3">
        <v>-1.6059448085999899E-3</v>
      </c>
      <c r="I430" s="3">
        <v>3.72882372067096E-3</v>
      </c>
      <c r="J430" s="3">
        <v>-1.6171512737333901E-2</v>
      </c>
      <c r="K430" s="3">
        <v>-1.98555789556298E-2</v>
      </c>
      <c r="L430" s="3">
        <v>-2.7949223522192299E-2</v>
      </c>
      <c r="M430" s="3">
        <v>-3.7862909585363397E-2</v>
      </c>
      <c r="N430" s="3">
        <v>-5.0295976647630199E-2</v>
      </c>
      <c r="O430" s="3">
        <v>-5.3318115923690797E-2</v>
      </c>
      <c r="P430" s="3">
        <v>-5.1111918000419601E-2</v>
      </c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x14ac:dyDescent="0.45">
      <c r="A431" s="3" t="s">
        <v>77</v>
      </c>
      <c r="B431" s="3" t="s">
        <v>27</v>
      </c>
      <c r="C431" s="3" t="s">
        <v>16</v>
      </c>
      <c r="D431" s="3" t="s">
        <v>7</v>
      </c>
      <c r="E431" s="3" t="s">
        <v>8</v>
      </c>
      <c r="F431" s="3">
        <v>0.13771232349589299</v>
      </c>
      <c r="G431" s="3">
        <v>8.9533287817887094E-2</v>
      </c>
      <c r="H431" s="3">
        <v>8.9533287817887094E-2</v>
      </c>
      <c r="I431" s="3">
        <v>6.3927567473513705E-2</v>
      </c>
      <c r="J431" s="3">
        <v>6.06673116309897E-2</v>
      </c>
      <c r="K431" s="3">
        <v>5.21276819457911E-2</v>
      </c>
      <c r="L431" s="3">
        <v>5.21276819457911E-2</v>
      </c>
      <c r="M431" s="3">
        <v>5.21276819457911E-2</v>
      </c>
      <c r="N431" s="3">
        <v>5.21276819457911E-2</v>
      </c>
      <c r="O431" s="3">
        <v>5.21276819457911E-2</v>
      </c>
      <c r="P431" s="3">
        <v>5.21276819457911E-2</v>
      </c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x14ac:dyDescent="0.45">
      <c r="A432" s="3" t="s">
        <v>77</v>
      </c>
      <c r="B432" s="3" t="s">
        <v>27</v>
      </c>
      <c r="C432" s="3" t="s">
        <v>16</v>
      </c>
      <c r="D432" s="3" t="s">
        <v>9</v>
      </c>
      <c r="E432" s="3" t="s">
        <v>8</v>
      </c>
      <c r="F432" s="3">
        <v>0</v>
      </c>
      <c r="G432" s="3">
        <v>-7.6968239702296395E-5</v>
      </c>
      <c r="H432" s="3">
        <v>-7.6968239702296395E-5</v>
      </c>
      <c r="I432" s="3">
        <v>-3.7871217365675898E-5</v>
      </c>
      <c r="J432" s="3">
        <v>3.7011334469434803E-5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x14ac:dyDescent="0.45">
      <c r="A433" s="3" t="s">
        <v>77</v>
      </c>
      <c r="B433" s="3" t="s">
        <v>27</v>
      </c>
      <c r="C433" s="3" t="s">
        <v>16</v>
      </c>
      <c r="D433" s="3" t="s">
        <v>10</v>
      </c>
      <c r="E433" s="3" t="s">
        <v>8</v>
      </c>
      <c r="F433" s="3">
        <v>0</v>
      </c>
      <c r="G433" s="3">
        <v>-1.4976329655441701E-6</v>
      </c>
      <c r="H433" s="3">
        <v>-1.4976329655441701E-6</v>
      </c>
      <c r="I433" s="3">
        <v>4.0516119791111899E-7</v>
      </c>
      <c r="J433" s="3">
        <v>-1.8112173570519799E-5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x14ac:dyDescent="0.45">
      <c r="A434" s="3" t="s">
        <v>77</v>
      </c>
      <c r="B434" s="3" t="s">
        <v>27</v>
      </c>
      <c r="C434" s="3" t="s">
        <v>16</v>
      </c>
      <c r="D434" s="3" t="s">
        <v>11</v>
      </c>
      <c r="E434" s="3" t="s">
        <v>8</v>
      </c>
      <c r="F434" s="3">
        <v>0</v>
      </c>
      <c r="G434" s="3">
        <v>-3.0591416240996503E-5</v>
      </c>
      <c r="H434" s="3">
        <v>-3.0591416240996503E-5</v>
      </c>
      <c r="I434" s="3">
        <v>6.3320077440809398E-6</v>
      </c>
      <c r="J434" s="3">
        <v>4.37323232254302E-5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x14ac:dyDescent="0.45">
      <c r="A435" s="3" t="s">
        <v>77</v>
      </c>
      <c r="B435" s="3" t="s">
        <v>27</v>
      </c>
      <c r="C435" s="3" t="s">
        <v>16</v>
      </c>
      <c r="D435" s="3" t="s">
        <v>12</v>
      </c>
      <c r="E435" s="3" t="s">
        <v>8</v>
      </c>
      <c r="F435" s="3">
        <v>0</v>
      </c>
      <c r="G435" s="3">
        <v>-7.7090394936946104E-6</v>
      </c>
      <c r="H435" s="3">
        <v>-7.7090394936946104E-6</v>
      </c>
      <c r="I435" s="3">
        <v>7.8086214440942201E-5</v>
      </c>
      <c r="J435" s="3">
        <v>8.1415851889617098E-4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x14ac:dyDescent="0.45">
      <c r="A436" s="3" t="s">
        <v>77</v>
      </c>
      <c r="B436" s="3" t="s">
        <v>27</v>
      </c>
      <c r="C436" s="3" t="s">
        <v>16</v>
      </c>
      <c r="D436" s="3" t="s">
        <v>13</v>
      </c>
      <c r="E436" s="3" t="s">
        <v>8</v>
      </c>
      <c r="F436" s="3">
        <v>0</v>
      </c>
      <c r="G436" s="3">
        <v>4.2010673175003899E-4</v>
      </c>
      <c r="H436" s="3">
        <v>4.2010673175003899E-4</v>
      </c>
      <c r="I436" s="3">
        <v>-2.0392669944376699E-3</v>
      </c>
      <c r="J436" s="3">
        <v>-4.0258870758906303E-3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x14ac:dyDescent="0.45">
      <c r="A437" s="3" t="s">
        <v>77</v>
      </c>
      <c r="B437" s="3" t="s">
        <v>27</v>
      </c>
      <c r="C437" s="3" t="s">
        <v>16</v>
      </c>
      <c r="D437" s="3" t="s">
        <v>14</v>
      </c>
      <c r="E437" s="3" t="s">
        <v>8</v>
      </c>
      <c r="F437" s="3">
        <v>0</v>
      </c>
      <c r="G437" s="3">
        <v>4.8902445374857002E-3</v>
      </c>
      <c r="H437" s="3">
        <v>4.8902445374857002E-3</v>
      </c>
      <c r="I437" s="3">
        <v>-4.3797202817809798E-3</v>
      </c>
      <c r="J437" s="3">
        <v>-2.07920545001752E-3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x14ac:dyDescent="0.45">
      <c r="A438" s="3" t="s">
        <v>77</v>
      </c>
      <c r="B438" s="3" t="s">
        <v>27</v>
      </c>
      <c r="C438" s="3" t="s">
        <v>17</v>
      </c>
      <c r="D438" s="3" t="s">
        <v>7</v>
      </c>
      <c r="E438" s="3" t="s">
        <v>8</v>
      </c>
      <c r="F438" s="3">
        <v>7.7073958099915501E-3</v>
      </c>
      <c r="G438" s="3">
        <v>9.1586739847130498E-3</v>
      </c>
      <c r="H438" s="3">
        <v>9.1586739847130498E-3</v>
      </c>
      <c r="I438" s="3">
        <v>1.2791918664784E-2</v>
      </c>
      <c r="J438" s="3">
        <v>1.7524975794780399E-2</v>
      </c>
      <c r="K438" s="3">
        <v>2.6250092410737499E-2</v>
      </c>
      <c r="L438" s="3">
        <v>1.19601597040836E-4</v>
      </c>
      <c r="M438" s="3">
        <v>0</v>
      </c>
      <c r="N438" s="3">
        <v>0</v>
      </c>
      <c r="O438" s="3">
        <v>0</v>
      </c>
      <c r="P438" s="3">
        <v>0</v>
      </c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x14ac:dyDescent="0.45">
      <c r="A439" s="3" t="s">
        <v>77</v>
      </c>
      <c r="B439" s="3" t="s">
        <v>27</v>
      </c>
      <c r="C439" s="3" t="s">
        <v>17</v>
      </c>
      <c r="D439" s="3" t="s">
        <v>9</v>
      </c>
      <c r="E439" s="3" t="s">
        <v>8</v>
      </c>
      <c r="F439" s="3">
        <v>0</v>
      </c>
      <c r="G439" s="3">
        <v>3.1385634454756197E-4</v>
      </c>
      <c r="H439" s="3">
        <v>3.1385634454756197E-4</v>
      </c>
      <c r="I439" s="3">
        <v>6.6013954187836902E-4</v>
      </c>
      <c r="J439" s="3">
        <v>1.1746115483368799E-3</v>
      </c>
      <c r="K439" s="3">
        <v>3.2489900388644201E-3</v>
      </c>
      <c r="L439" s="3">
        <v>6.39342412321477E-3</v>
      </c>
      <c r="M439" s="3">
        <v>0</v>
      </c>
      <c r="N439" s="3">
        <v>0</v>
      </c>
      <c r="O439" s="3">
        <v>0</v>
      </c>
      <c r="P439" s="3">
        <v>1.19433768480475E-3</v>
      </c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x14ac:dyDescent="0.45">
      <c r="A440" s="3" t="s">
        <v>77</v>
      </c>
      <c r="B440" s="3" t="s">
        <v>27</v>
      </c>
      <c r="C440" s="3" t="s">
        <v>17</v>
      </c>
      <c r="D440" s="3" t="s">
        <v>10</v>
      </c>
      <c r="E440" s="3" t="s">
        <v>8</v>
      </c>
      <c r="F440" s="3">
        <v>0</v>
      </c>
      <c r="G440" s="3">
        <v>4.5721057040299897E-5</v>
      </c>
      <c r="H440" s="3">
        <v>4.5721057040299897E-5</v>
      </c>
      <c r="I440" s="3">
        <v>5.6940843930758595E-4</v>
      </c>
      <c r="J440" s="3">
        <v>2.0903432052661098E-3</v>
      </c>
      <c r="K440" s="3">
        <v>3.9695185873445402E-3</v>
      </c>
      <c r="L440" s="3">
        <v>5.2933861586747302E-3</v>
      </c>
      <c r="M440" s="3">
        <v>3.2116439403608601E-2</v>
      </c>
      <c r="N440" s="3">
        <v>5.20568872163331E-2</v>
      </c>
      <c r="O440" s="3">
        <v>0.116763487175572</v>
      </c>
      <c r="P440" s="3">
        <v>0.26957951798388502</v>
      </c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x14ac:dyDescent="0.45">
      <c r="A441" s="3" t="s">
        <v>77</v>
      </c>
      <c r="B441" s="3" t="s">
        <v>27</v>
      </c>
      <c r="C441" s="3" t="s">
        <v>17</v>
      </c>
      <c r="D441" s="3" t="s">
        <v>11</v>
      </c>
      <c r="E441" s="3" t="s">
        <v>8</v>
      </c>
      <c r="F441" s="3">
        <v>0</v>
      </c>
      <c r="G441" s="3">
        <v>8.7641771610490193E-5</v>
      </c>
      <c r="H441" s="3">
        <v>8.7641771610490193E-5</v>
      </c>
      <c r="I441" s="3">
        <v>7.4963064914790496E-4</v>
      </c>
      <c r="J441" s="3">
        <v>6.1663224763168697E-3</v>
      </c>
      <c r="K441" s="3">
        <v>3.7599503792400499E-2</v>
      </c>
      <c r="L441" s="3">
        <v>4.9243994092223901E-2</v>
      </c>
      <c r="M441" s="3">
        <v>0.22356286523466301</v>
      </c>
      <c r="N441" s="3">
        <v>0.24238389258415</v>
      </c>
      <c r="O441" s="3">
        <v>0.219597735284047</v>
      </c>
      <c r="P441" s="3">
        <v>0.11471932781058</v>
      </c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x14ac:dyDescent="0.45">
      <c r="A442" s="3" t="s">
        <v>77</v>
      </c>
      <c r="B442" s="3" t="s">
        <v>27</v>
      </c>
      <c r="C442" s="3" t="s">
        <v>17</v>
      </c>
      <c r="D442" s="3" t="s">
        <v>12</v>
      </c>
      <c r="E442" s="3" t="s">
        <v>8</v>
      </c>
      <c r="F442" s="3">
        <v>0</v>
      </c>
      <c r="G442" s="3">
        <v>-1.6384975011986101E-4</v>
      </c>
      <c r="H442" s="3">
        <v>-1.6384975011986101E-4</v>
      </c>
      <c r="I442" s="3">
        <v>3.4267142125901299E-3</v>
      </c>
      <c r="J442" s="3">
        <v>3.3175896666225897E-2</v>
      </c>
      <c r="K442" s="3">
        <v>0.16204659972157201</v>
      </c>
      <c r="L442" s="3">
        <v>0.23553637144596401</v>
      </c>
      <c r="M442" s="3">
        <v>0.12067977595587701</v>
      </c>
      <c r="N442" s="3">
        <v>0.18304660348302501</v>
      </c>
      <c r="O442" s="3">
        <v>0.25163838138433398</v>
      </c>
      <c r="P442" s="3">
        <v>0.30525929814363301</v>
      </c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x14ac:dyDescent="0.45">
      <c r="A443" s="3" t="s">
        <v>77</v>
      </c>
      <c r="B443" s="3" t="s">
        <v>27</v>
      </c>
      <c r="C443" s="3" t="s">
        <v>17</v>
      </c>
      <c r="D443" s="3" t="s">
        <v>13</v>
      </c>
      <c r="E443" s="3" t="s">
        <v>8</v>
      </c>
      <c r="F443" s="3">
        <v>0</v>
      </c>
      <c r="G443" s="3">
        <v>2.36409079765494E-3</v>
      </c>
      <c r="H443" s="3">
        <v>2.36409079765494E-3</v>
      </c>
      <c r="I443" s="3">
        <v>0.185947444592508</v>
      </c>
      <c r="J443" s="3">
        <v>0.29196573454423402</v>
      </c>
      <c r="K443" s="3">
        <v>0.29901551246040903</v>
      </c>
      <c r="L443" s="3">
        <v>0.40106777808764399</v>
      </c>
      <c r="M443" s="3">
        <v>0.45575681763431602</v>
      </c>
      <c r="N443" s="3">
        <v>0.43661482689027298</v>
      </c>
      <c r="O443" s="3">
        <v>0.35947050817100601</v>
      </c>
      <c r="P443" s="3">
        <v>0.26498403652880498</v>
      </c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x14ac:dyDescent="0.45">
      <c r="A444" s="3" t="s">
        <v>77</v>
      </c>
      <c r="B444" s="3" t="s">
        <v>27</v>
      </c>
      <c r="C444" s="3" t="s">
        <v>17</v>
      </c>
      <c r="D444" s="3" t="s">
        <v>14</v>
      </c>
      <c r="E444" s="3" t="s">
        <v>8</v>
      </c>
      <c r="F444" s="3">
        <v>0</v>
      </c>
      <c r="G444" s="3">
        <v>1.01112409525247E-2</v>
      </c>
      <c r="H444" s="3">
        <v>1.01112409525247E-2</v>
      </c>
      <c r="I444" s="3">
        <v>0.202892513764941</v>
      </c>
      <c r="J444" s="3">
        <v>0.31287669666891799</v>
      </c>
      <c r="K444" s="3">
        <v>0.32196432213915899</v>
      </c>
      <c r="L444" s="3">
        <v>0.24709202480100301</v>
      </c>
      <c r="M444" s="3">
        <v>0.13055563549694299</v>
      </c>
      <c r="N444" s="3">
        <v>4.9331915918317502E-2</v>
      </c>
      <c r="O444" s="3">
        <v>1.5978778542695998E-2</v>
      </c>
      <c r="P444" s="3">
        <v>7.7147739692163802E-3</v>
      </c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x14ac:dyDescent="0.45">
      <c r="A445" s="3" t="s">
        <v>77</v>
      </c>
      <c r="B445" s="3" t="s">
        <v>27</v>
      </c>
      <c r="C445" s="3" t="s">
        <v>18</v>
      </c>
      <c r="D445" s="3" t="s">
        <v>7</v>
      </c>
      <c r="E445" s="3" t="s">
        <v>8</v>
      </c>
      <c r="F445" s="3">
        <v>0.16871121609324</v>
      </c>
      <c r="G445" s="3">
        <v>0.12108058138163399</v>
      </c>
      <c r="H445" s="3">
        <v>0.12108058138163399</v>
      </c>
      <c r="I445" s="3">
        <v>8.0720387587756001E-2</v>
      </c>
      <c r="J445" s="3">
        <v>4.0360193793878098E-2</v>
      </c>
      <c r="K445" s="3">
        <v>5.0688456050327199E-17</v>
      </c>
      <c r="L445" s="3">
        <v>5.7929664057516801E-17</v>
      </c>
      <c r="M445" s="3">
        <v>2.8964832028758302E-17</v>
      </c>
      <c r="N445" s="3">
        <v>2.8964832028758302E-17</v>
      </c>
      <c r="O445" s="3">
        <v>0</v>
      </c>
      <c r="P445" s="3">
        <v>5.0688456050327199E-17</v>
      </c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x14ac:dyDescent="0.45">
      <c r="A446" s="3" t="s">
        <v>77</v>
      </c>
      <c r="B446" s="3" t="s">
        <v>27</v>
      </c>
      <c r="C446" s="3" t="s">
        <v>18</v>
      </c>
      <c r="D446" s="3" t="s">
        <v>9</v>
      </c>
      <c r="E446" s="3" t="s">
        <v>8</v>
      </c>
      <c r="F446" s="3">
        <v>0</v>
      </c>
      <c r="G446" s="3">
        <v>0</v>
      </c>
      <c r="H446" s="3">
        <v>0</v>
      </c>
      <c r="I446" s="3">
        <v>0</v>
      </c>
      <c r="J446" s="3">
        <v>-1.3183898417423699E-16</v>
      </c>
      <c r="K446" s="3">
        <v>-5.0688456050327199E-17</v>
      </c>
      <c r="L446" s="3">
        <v>-5.7929664057516801E-17</v>
      </c>
      <c r="M446" s="3">
        <v>2.1723624021568799E-17</v>
      </c>
      <c r="N446" s="3">
        <v>0</v>
      </c>
      <c r="O446" s="3">
        <v>2.8964832028758302E-17</v>
      </c>
      <c r="P446" s="3">
        <v>-5.0688456050327199E-17</v>
      </c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x14ac:dyDescent="0.45">
      <c r="A447" s="3" t="s">
        <v>77</v>
      </c>
      <c r="B447" s="3" t="s">
        <v>27</v>
      </c>
      <c r="C447" s="3" t="s">
        <v>18</v>
      </c>
      <c r="D447" s="3" t="s">
        <v>10</v>
      </c>
      <c r="E447" s="3" t="s">
        <v>8</v>
      </c>
      <c r="F447" s="3">
        <v>0</v>
      </c>
      <c r="G447" s="3">
        <v>0</v>
      </c>
      <c r="H447" s="3">
        <v>0</v>
      </c>
      <c r="I447" s="3">
        <v>1.3877787807814501E-16</v>
      </c>
      <c r="J447" s="3">
        <v>0</v>
      </c>
      <c r="K447" s="3">
        <v>0</v>
      </c>
      <c r="L447" s="3">
        <v>5.0688456050327199E-17</v>
      </c>
      <c r="M447" s="3">
        <v>0</v>
      </c>
      <c r="N447" s="3">
        <v>-2.8964832028758302E-17</v>
      </c>
      <c r="O447" s="3">
        <v>7.9653288079085495E-17</v>
      </c>
      <c r="P447" s="3">
        <v>5.0688456050327199E-17</v>
      </c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x14ac:dyDescent="0.45">
      <c r="A448" s="3" t="s">
        <v>77</v>
      </c>
      <c r="B448" s="3" t="s">
        <v>27</v>
      </c>
      <c r="C448" s="3" t="s">
        <v>18</v>
      </c>
      <c r="D448" s="3" t="s">
        <v>11</v>
      </c>
      <c r="E448" s="3" t="s">
        <v>8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-5.0688456050327199E-17</v>
      </c>
      <c r="M448" s="3">
        <v>-5.0688456050327199E-17</v>
      </c>
      <c r="N448" s="3">
        <v>5.0688456050327199E-17</v>
      </c>
      <c r="O448" s="3">
        <v>-1.08618120107844E-16</v>
      </c>
      <c r="P448" s="3">
        <v>1.1585932811503301E-16</v>
      </c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x14ac:dyDescent="0.45">
      <c r="A449" s="3" t="s">
        <v>77</v>
      </c>
      <c r="B449" s="3" t="s">
        <v>27</v>
      </c>
      <c r="C449" s="3" t="s">
        <v>18</v>
      </c>
      <c r="D449" s="3" t="s">
        <v>12</v>
      </c>
      <c r="E449" s="3" t="s">
        <v>8</v>
      </c>
      <c r="F449" s="3">
        <v>0</v>
      </c>
      <c r="G449" s="3">
        <v>0</v>
      </c>
      <c r="H449" s="3">
        <v>0</v>
      </c>
      <c r="I449" s="3">
        <v>0</v>
      </c>
      <c r="J449" s="3">
        <v>1.3183898417423699E-16</v>
      </c>
      <c r="K449" s="3">
        <v>0</v>
      </c>
      <c r="L449" s="3">
        <v>0</v>
      </c>
      <c r="M449" s="3">
        <v>1.08618120107844E-16</v>
      </c>
      <c r="N449" s="3">
        <v>-5.0688456050327199E-17</v>
      </c>
      <c r="O449" s="3">
        <v>2.8964832028758298E-16</v>
      </c>
      <c r="P449" s="3">
        <v>2.3895986423725701E-16</v>
      </c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x14ac:dyDescent="0.45">
      <c r="A450" s="3" t="s">
        <v>77</v>
      </c>
      <c r="B450" s="3" t="s">
        <v>27</v>
      </c>
      <c r="C450" s="3" t="s">
        <v>18</v>
      </c>
      <c r="D450" s="3" t="s">
        <v>13</v>
      </c>
      <c r="E450" s="3" t="s">
        <v>8</v>
      </c>
      <c r="F450" s="3">
        <v>0</v>
      </c>
      <c r="G450" s="3">
        <v>0</v>
      </c>
      <c r="H450" s="3">
        <v>0</v>
      </c>
      <c r="I450" s="3">
        <v>1.2490009027033001E-16</v>
      </c>
      <c r="J450" s="3">
        <v>-3.8857805861880499E-16</v>
      </c>
      <c r="K450" s="3">
        <v>0</v>
      </c>
      <c r="L450" s="3">
        <v>5.1412576851046101E-16</v>
      </c>
      <c r="M450" s="3">
        <v>3.6206040035948501E-17</v>
      </c>
      <c r="N450" s="3">
        <v>1.66547784165361E-16</v>
      </c>
      <c r="O450" s="3">
        <v>5.8653784858235804E-16</v>
      </c>
      <c r="P450" s="3">
        <v>-4.05507648402617E-16</v>
      </c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x14ac:dyDescent="0.45">
      <c r="A451" s="3" t="s">
        <v>77</v>
      </c>
      <c r="B451" s="3" t="s">
        <v>27</v>
      </c>
      <c r="C451" s="3" t="s">
        <v>18</v>
      </c>
      <c r="D451" s="3" t="s">
        <v>14</v>
      </c>
      <c r="E451" s="3" t="s">
        <v>8</v>
      </c>
      <c r="F451" s="3">
        <v>0</v>
      </c>
      <c r="G451" s="3">
        <v>-1.2490009027033001E-16</v>
      </c>
      <c r="H451" s="3">
        <v>-1.2490009027033001E-16</v>
      </c>
      <c r="I451" s="3">
        <v>-1.2490009027033001E-16</v>
      </c>
      <c r="J451" s="3">
        <v>1.3183898417423699E-16</v>
      </c>
      <c r="K451" s="3">
        <v>0</v>
      </c>
      <c r="L451" s="3">
        <v>-3.6930160836666898E-16</v>
      </c>
      <c r="M451" s="3">
        <v>2.8964832028758197E-17</v>
      </c>
      <c r="N451" s="3">
        <v>7.0239717669738999E-16</v>
      </c>
      <c r="O451" s="3">
        <v>-8.7618616886994102E-16</v>
      </c>
      <c r="P451" s="3">
        <v>0</v>
      </c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x14ac:dyDescent="0.45">
      <c r="A452" s="3" t="s">
        <v>77</v>
      </c>
      <c r="B452" s="3" t="s">
        <v>27</v>
      </c>
      <c r="C452" s="3" t="s">
        <v>19</v>
      </c>
      <c r="D452" s="3" t="s">
        <v>7</v>
      </c>
      <c r="E452" s="3" t="s">
        <v>8</v>
      </c>
      <c r="F452" s="3">
        <v>2.91476485174701E-3</v>
      </c>
      <c r="G452" s="3">
        <v>3.1736265097165798E-3</v>
      </c>
      <c r="H452" s="3">
        <v>3.1736265097165798E-3</v>
      </c>
      <c r="I452" s="3">
        <v>1.77156880388947E-3</v>
      </c>
      <c r="J452" s="3">
        <v>1.25601287475258E-3</v>
      </c>
      <c r="K452" s="3">
        <v>1.60578926571526E-3</v>
      </c>
      <c r="L452" s="3">
        <v>3.3908146821846402E-3</v>
      </c>
      <c r="M452" s="3">
        <v>0</v>
      </c>
      <c r="N452" s="3">
        <v>0</v>
      </c>
      <c r="O452" s="3">
        <v>0</v>
      </c>
      <c r="P452" s="3">
        <v>0</v>
      </c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x14ac:dyDescent="0.45">
      <c r="A453" s="3" t="s">
        <v>77</v>
      </c>
      <c r="B453" s="3" t="s">
        <v>27</v>
      </c>
      <c r="C453" s="3" t="s">
        <v>19</v>
      </c>
      <c r="D453" s="3" t="s">
        <v>9</v>
      </c>
      <c r="E453" s="3" t="s">
        <v>8</v>
      </c>
      <c r="F453" s="3">
        <v>0</v>
      </c>
      <c r="G453" s="3">
        <v>-5.6336832797405802E-5</v>
      </c>
      <c r="H453" s="3">
        <v>-5.6336832797405802E-5</v>
      </c>
      <c r="I453" s="3">
        <v>-9.4499447840525099E-5</v>
      </c>
      <c r="J453" s="3">
        <v>-9.7728918228152202E-5</v>
      </c>
      <c r="K453" s="3">
        <v>-1.07658558544293E-4</v>
      </c>
      <c r="L453" s="3">
        <v>-3.4041221213474798E-4</v>
      </c>
      <c r="M453" s="3">
        <v>0</v>
      </c>
      <c r="N453" s="3">
        <v>0</v>
      </c>
      <c r="O453" s="3">
        <v>0</v>
      </c>
      <c r="P453" s="3">
        <v>8.4656627049981802E-3</v>
      </c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x14ac:dyDescent="0.45">
      <c r="A454" s="3" t="s">
        <v>77</v>
      </c>
      <c r="B454" s="3" t="s">
        <v>27</v>
      </c>
      <c r="C454" s="3" t="s">
        <v>19</v>
      </c>
      <c r="D454" s="3" t="s">
        <v>10</v>
      </c>
      <c r="E454" s="3" t="s">
        <v>8</v>
      </c>
      <c r="F454" s="3">
        <v>0</v>
      </c>
      <c r="G454" s="3">
        <v>1.37545718830647E-5</v>
      </c>
      <c r="H454" s="3">
        <v>1.37545718830647E-5</v>
      </c>
      <c r="I454" s="3">
        <v>-8.1953922623271706E-5</v>
      </c>
      <c r="J454" s="3">
        <v>-3.1196185184830601E-4</v>
      </c>
      <c r="K454" s="3">
        <v>-3.5795918239132002E-4</v>
      </c>
      <c r="L454" s="3">
        <v>-5.9056738099693004E-4</v>
      </c>
      <c r="M454" s="3">
        <v>8.1791137364394008E-3</v>
      </c>
      <c r="N454" s="3">
        <v>1.1204262900614201E-2</v>
      </c>
      <c r="O454" s="3">
        <v>1.4882625519147499E-2</v>
      </c>
      <c r="P454" s="3">
        <v>1.8445125343451201E-2</v>
      </c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x14ac:dyDescent="0.45">
      <c r="A455" s="3" t="s">
        <v>77</v>
      </c>
      <c r="B455" s="3" t="s">
        <v>27</v>
      </c>
      <c r="C455" s="3" t="s">
        <v>19</v>
      </c>
      <c r="D455" s="3" t="s">
        <v>11</v>
      </c>
      <c r="E455" s="3" t="s">
        <v>8</v>
      </c>
      <c r="F455" s="3">
        <v>0</v>
      </c>
      <c r="G455" s="3">
        <v>4.2823542877067903E-6</v>
      </c>
      <c r="H455" s="3">
        <v>4.2823542877067903E-6</v>
      </c>
      <c r="I455" s="3">
        <v>-3.0250994167500199E-5</v>
      </c>
      <c r="J455" s="3">
        <v>-6.4085429163134695E-4</v>
      </c>
      <c r="K455" s="3">
        <v>-1.14017152477964E-3</v>
      </c>
      <c r="L455" s="3">
        <v>1.2164550028222101E-3</v>
      </c>
      <c r="M455" s="3">
        <v>4.5915953978804498E-2</v>
      </c>
      <c r="N455" s="3">
        <v>0.102820080609836</v>
      </c>
      <c r="O455" s="3">
        <v>0.17925719037316801</v>
      </c>
      <c r="P455" s="3">
        <v>0.29885419719724199</v>
      </c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x14ac:dyDescent="0.45">
      <c r="A456" s="3" t="s">
        <v>77</v>
      </c>
      <c r="B456" s="3" t="s">
        <v>27</v>
      </c>
      <c r="C456" s="3" t="s">
        <v>19</v>
      </c>
      <c r="D456" s="3" t="s">
        <v>12</v>
      </c>
      <c r="E456" s="3" t="s">
        <v>8</v>
      </c>
      <c r="F456" s="3">
        <v>0</v>
      </c>
      <c r="G456" s="3">
        <v>2.32092106283351E-4</v>
      </c>
      <c r="H456" s="3">
        <v>2.32092106283351E-4</v>
      </c>
      <c r="I456" s="3">
        <v>3.4655284039798598E-4</v>
      </c>
      <c r="J456" s="3">
        <v>2.04790927651617E-4</v>
      </c>
      <c r="K456" s="3">
        <v>9.3021247380809302E-2</v>
      </c>
      <c r="L456" s="3">
        <v>0.23338465518440199</v>
      </c>
      <c r="M456" s="3">
        <v>0.39104963944758298</v>
      </c>
      <c r="N456" s="3">
        <v>0.64183591140309504</v>
      </c>
      <c r="O456" s="3">
        <v>0.91341631823687597</v>
      </c>
      <c r="P456" s="3">
        <v>1.1045388792615101</v>
      </c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x14ac:dyDescent="0.45">
      <c r="A457" s="3" t="s">
        <v>77</v>
      </c>
      <c r="B457" s="3" t="s">
        <v>27</v>
      </c>
      <c r="C457" s="3" t="s">
        <v>19</v>
      </c>
      <c r="D457" s="3" t="s">
        <v>13</v>
      </c>
      <c r="E457" s="3" t="s">
        <v>8</v>
      </c>
      <c r="F457" s="3">
        <v>0</v>
      </c>
      <c r="G457" s="3">
        <v>1.43722568230215E-3</v>
      </c>
      <c r="H457" s="3">
        <v>1.43722568230215E-3</v>
      </c>
      <c r="I457" s="3">
        <v>0.118792947228975</v>
      </c>
      <c r="J457" s="3">
        <v>0.55325931556878905</v>
      </c>
      <c r="K457" s="3">
        <v>1.0524416791025299</v>
      </c>
      <c r="L457" s="3">
        <v>1.44693439745299</v>
      </c>
      <c r="M457" s="3">
        <v>1.62408249977232</v>
      </c>
      <c r="N457" s="3">
        <v>1.5278962120977699</v>
      </c>
      <c r="O457" s="3">
        <v>1.24783481719276</v>
      </c>
      <c r="P457" s="3">
        <v>0.94236351878689595</v>
      </c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x14ac:dyDescent="0.45">
      <c r="A458" s="3" t="s">
        <v>77</v>
      </c>
      <c r="B458" s="3" t="s">
        <v>27</v>
      </c>
      <c r="C458" s="3" t="s">
        <v>19</v>
      </c>
      <c r="D458" s="3" t="s">
        <v>14</v>
      </c>
      <c r="E458" s="3" t="s">
        <v>8</v>
      </c>
      <c r="F458" s="3">
        <v>0</v>
      </c>
      <c r="G458" s="3">
        <v>6.1451496878096902E-3</v>
      </c>
      <c r="H458" s="3">
        <v>6.1451496878096902E-3</v>
      </c>
      <c r="I458" s="3">
        <v>0.72128568200984</v>
      </c>
      <c r="J458" s="3">
        <v>1.1530776130278699</v>
      </c>
      <c r="K458" s="3">
        <v>1.13552864209911</v>
      </c>
      <c r="L458" s="3">
        <v>0.85339685490042905</v>
      </c>
      <c r="M458" s="3">
        <v>0.496049814588995</v>
      </c>
      <c r="N458" s="3">
        <v>0.27341981406414001</v>
      </c>
      <c r="O458" s="3">
        <v>0.180654019717716</v>
      </c>
      <c r="P458" s="3">
        <v>0.150420413592843</v>
      </c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x14ac:dyDescent="0.45">
      <c r="A459" s="3" t="s">
        <v>28</v>
      </c>
      <c r="B459" s="3" t="s">
        <v>22</v>
      </c>
      <c r="C459" s="3" t="s">
        <v>6</v>
      </c>
      <c r="D459" s="3" t="s">
        <v>10</v>
      </c>
      <c r="E459" s="3" t="s">
        <v>8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6.2723648733211204E-4</v>
      </c>
      <c r="M459" s="3">
        <v>0.41329650616035102</v>
      </c>
      <c r="N459" s="3">
        <v>1.3996011926154099</v>
      </c>
      <c r="O459" s="3">
        <v>3.1530662751738698</v>
      </c>
      <c r="P459" s="3">
        <v>4.9495524179341297</v>
      </c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x14ac:dyDescent="0.45">
      <c r="A460" s="3" t="s">
        <v>28</v>
      </c>
      <c r="B460" s="3" t="s">
        <v>22</v>
      </c>
      <c r="C460" s="3" t="s">
        <v>6</v>
      </c>
      <c r="D460" s="3" t="s">
        <v>11</v>
      </c>
      <c r="E460" s="3" t="s">
        <v>8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0.370450261553537</v>
      </c>
      <c r="L460" s="3">
        <v>1.8702377799921299</v>
      </c>
      <c r="M460" s="3">
        <v>4.0255899110928803</v>
      </c>
      <c r="N460" s="3">
        <v>5.4841301414124102</v>
      </c>
      <c r="O460" s="3">
        <v>5.9092307166719502</v>
      </c>
      <c r="P460" s="3">
        <v>5.6769558931677198</v>
      </c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x14ac:dyDescent="0.45">
      <c r="A461" s="3" t="s">
        <v>28</v>
      </c>
      <c r="B461" s="3" t="s">
        <v>22</v>
      </c>
      <c r="C461" s="3" t="s">
        <v>6</v>
      </c>
      <c r="D461" s="3" t="s">
        <v>12</v>
      </c>
      <c r="E461" s="3" t="s">
        <v>8</v>
      </c>
      <c r="F461" s="3">
        <v>0</v>
      </c>
      <c r="G461" s="3">
        <v>0</v>
      </c>
      <c r="H461" s="3">
        <v>0</v>
      </c>
      <c r="I461" s="3">
        <v>0</v>
      </c>
      <c r="J461" s="3">
        <v>0.76610387774305</v>
      </c>
      <c r="K461" s="3">
        <v>3.0813562167440698</v>
      </c>
      <c r="L461" s="3">
        <v>4.3892429369323098</v>
      </c>
      <c r="M461" s="3">
        <v>4.2452427943039197</v>
      </c>
      <c r="N461" s="3">
        <v>3.6876526531039602</v>
      </c>
      <c r="O461" s="3">
        <v>3.0661740025419899</v>
      </c>
      <c r="P461" s="3">
        <v>2.4428919156695601</v>
      </c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x14ac:dyDescent="0.45">
      <c r="A462" s="3" t="s">
        <v>28</v>
      </c>
      <c r="B462" s="3" t="s">
        <v>22</v>
      </c>
      <c r="C462" s="3" t="s">
        <v>6</v>
      </c>
      <c r="D462" s="3" t="s">
        <v>13</v>
      </c>
      <c r="E462" s="3" t="s">
        <v>8</v>
      </c>
      <c r="F462" s="3">
        <v>0</v>
      </c>
      <c r="G462" s="3">
        <v>0</v>
      </c>
      <c r="H462" s="3">
        <v>0</v>
      </c>
      <c r="I462" s="3">
        <v>2.2934292008677502</v>
      </c>
      <c r="J462" s="3">
        <v>4.6887076094488496</v>
      </c>
      <c r="K462" s="3">
        <v>4.6091459783667696</v>
      </c>
      <c r="L462" s="3">
        <v>3.7832277658402398</v>
      </c>
      <c r="M462" s="3">
        <v>3.0161709782345598</v>
      </c>
      <c r="N462" s="3">
        <v>2.4070124568745999</v>
      </c>
      <c r="O462" s="3">
        <v>2.10502063497613</v>
      </c>
      <c r="P462" s="3">
        <v>2.21355182186011</v>
      </c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x14ac:dyDescent="0.45">
      <c r="A463" s="3" t="s">
        <v>28</v>
      </c>
      <c r="B463" s="3" t="s">
        <v>22</v>
      </c>
      <c r="C463" s="3" t="s">
        <v>6</v>
      </c>
      <c r="D463" s="3" t="s">
        <v>14</v>
      </c>
      <c r="E463" s="3" t="s">
        <v>8</v>
      </c>
      <c r="F463" s="3">
        <v>0</v>
      </c>
      <c r="G463" s="3">
        <v>0.53302705124196703</v>
      </c>
      <c r="H463" s="3">
        <v>0.53302705124196703</v>
      </c>
      <c r="I463" s="3">
        <v>1.44559099540821</v>
      </c>
      <c r="J463" s="3">
        <v>1.3116496618481801</v>
      </c>
      <c r="K463" s="3">
        <v>1.14410690436179</v>
      </c>
      <c r="L463" s="3">
        <v>1.39356944373903</v>
      </c>
      <c r="M463" s="3">
        <v>1.3900479963691901</v>
      </c>
      <c r="N463" s="3">
        <v>1.60456906665958</v>
      </c>
      <c r="O463" s="3">
        <v>1.66287536753933</v>
      </c>
      <c r="P463" s="3">
        <v>1.5440614926304801</v>
      </c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x14ac:dyDescent="0.45">
      <c r="A464" s="3" t="s">
        <v>28</v>
      </c>
      <c r="B464" s="3" t="s">
        <v>22</v>
      </c>
      <c r="C464" s="3" t="s">
        <v>15</v>
      </c>
      <c r="D464" s="3" t="s">
        <v>7</v>
      </c>
      <c r="E464" s="3" t="s">
        <v>8</v>
      </c>
      <c r="F464" s="3">
        <v>0.34846420708908499</v>
      </c>
      <c r="G464" s="3">
        <v>0.42251608570856097</v>
      </c>
      <c r="H464" s="3">
        <v>0.42251608570856097</v>
      </c>
      <c r="I464" s="3">
        <v>0.59243073132226598</v>
      </c>
      <c r="J464" s="3">
        <v>0.51341118874949099</v>
      </c>
      <c r="K464" s="3">
        <v>0.56130798402216397</v>
      </c>
      <c r="L464" s="3">
        <v>0.52245241816311205</v>
      </c>
      <c r="M464" s="3">
        <v>0.56730951366072002</v>
      </c>
      <c r="N464" s="3">
        <v>0.53238097580972399</v>
      </c>
      <c r="O464" s="3">
        <v>0.61530146293502996</v>
      </c>
      <c r="P464" s="3">
        <v>0.34638697325729301</v>
      </c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x14ac:dyDescent="0.45">
      <c r="A465" s="3" t="s">
        <v>28</v>
      </c>
      <c r="B465" s="3" t="s">
        <v>22</v>
      </c>
      <c r="C465" s="3" t="s">
        <v>15</v>
      </c>
      <c r="D465" s="3" t="s">
        <v>9</v>
      </c>
      <c r="E465" s="3" t="s">
        <v>8</v>
      </c>
      <c r="F465" s="3">
        <v>0</v>
      </c>
      <c r="G465" s="3">
        <v>0.49125640910506602</v>
      </c>
      <c r="H465" s="3">
        <v>0.49125640910506602</v>
      </c>
      <c r="I465" s="3">
        <v>0.41276035050255599</v>
      </c>
      <c r="J465" s="3">
        <v>0.51997112142586599</v>
      </c>
      <c r="K465" s="3">
        <v>0.47180968578739202</v>
      </c>
      <c r="L465" s="3">
        <v>0.51949230608665697</v>
      </c>
      <c r="M465" s="3">
        <v>1.32299504191504</v>
      </c>
      <c r="N465" s="3">
        <v>1.3166356750619901</v>
      </c>
      <c r="O465" s="3">
        <v>1.1861154286830999</v>
      </c>
      <c r="P465" s="3">
        <v>1.3985510266099499</v>
      </c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x14ac:dyDescent="0.45">
      <c r="A466" s="3" t="s">
        <v>28</v>
      </c>
      <c r="B466" s="3" t="s">
        <v>22</v>
      </c>
      <c r="C466" s="3" t="s">
        <v>15</v>
      </c>
      <c r="D466" s="3" t="s">
        <v>10</v>
      </c>
      <c r="E466" s="3" t="s">
        <v>8</v>
      </c>
      <c r="F466" s="3">
        <v>0</v>
      </c>
      <c r="G466" s="3">
        <v>-3.64004920604444E-3</v>
      </c>
      <c r="H466" s="3">
        <v>-3.64004920604444E-3</v>
      </c>
      <c r="I466" s="3">
        <v>1.6639829340757702E-2</v>
      </c>
      <c r="J466" s="3">
        <v>1.97610344192851E-2</v>
      </c>
      <c r="K466" s="3">
        <v>0.89013734398286304</v>
      </c>
      <c r="L466" s="3">
        <v>0.888130957461576</v>
      </c>
      <c r="M466" s="3">
        <v>2.7570203822895802E-2</v>
      </c>
      <c r="N466" s="3">
        <v>5.33281062219957E-2</v>
      </c>
      <c r="O466" s="3">
        <v>6.3224189247405194E-2</v>
      </c>
      <c r="P466" s="3">
        <v>5.3091318417272299E-2</v>
      </c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x14ac:dyDescent="0.45">
      <c r="A467" s="3" t="s">
        <v>28</v>
      </c>
      <c r="B467" s="3" t="s">
        <v>22</v>
      </c>
      <c r="C467" s="3" t="s">
        <v>15</v>
      </c>
      <c r="D467" s="3" t="s">
        <v>11</v>
      </c>
      <c r="E467" s="3" t="s">
        <v>8</v>
      </c>
      <c r="F467" s="3">
        <v>0</v>
      </c>
      <c r="G467" s="3">
        <v>2.6927605927409101E-2</v>
      </c>
      <c r="H467" s="3">
        <v>2.6927605927409101E-2</v>
      </c>
      <c r="I467" s="3">
        <v>1.8345095598980302E-2</v>
      </c>
      <c r="J467" s="3">
        <v>0.87969087832460702</v>
      </c>
      <c r="K467" s="3">
        <v>6.1394034548335502E-2</v>
      </c>
      <c r="L467" s="3">
        <v>7.99317015721073E-2</v>
      </c>
      <c r="M467" s="3">
        <v>9.9084377408288293E-2</v>
      </c>
      <c r="N467" s="3">
        <v>8.4057733064196505E-2</v>
      </c>
      <c r="O467" s="3">
        <v>8.0880410808316802E-2</v>
      </c>
      <c r="P467" s="3">
        <v>1.6351829346982601E-2</v>
      </c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x14ac:dyDescent="0.45">
      <c r="A468" s="3" t="s">
        <v>28</v>
      </c>
      <c r="B468" s="3" t="s">
        <v>22</v>
      </c>
      <c r="C468" s="3" t="s">
        <v>15</v>
      </c>
      <c r="D468" s="3" t="s">
        <v>12</v>
      </c>
      <c r="E468" s="3" t="s">
        <v>8</v>
      </c>
      <c r="F468" s="3">
        <v>0</v>
      </c>
      <c r="G468" s="3">
        <v>-1.1264151822072001E-2</v>
      </c>
      <c r="H468" s="3">
        <v>-1.1264151822072001E-2</v>
      </c>
      <c r="I468" s="3">
        <v>0.77039358878507802</v>
      </c>
      <c r="J468" s="3">
        <v>2.7889277877657801E-2</v>
      </c>
      <c r="K468" s="3">
        <v>9.8416509175080796E-2</v>
      </c>
      <c r="L468" s="3">
        <v>0.198975577155873</v>
      </c>
      <c r="M468" s="3">
        <v>0.15913845500870399</v>
      </c>
      <c r="N468" s="3">
        <v>0.133504082464945</v>
      </c>
      <c r="O468" s="3">
        <v>5.2988440596222701E-2</v>
      </c>
      <c r="P468" s="3">
        <v>7.5211623398272004E-2</v>
      </c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x14ac:dyDescent="0.45">
      <c r="A469" s="3" t="s">
        <v>28</v>
      </c>
      <c r="B469" s="3" t="s">
        <v>22</v>
      </c>
      <c r="C469" s="3" t="s">
        <v>15</v>
      </c>
      <c r="D469" s="3" t="s">
        <v>13</v>
      </c>
      <c r="E469" s="3" t="s">
        <v>8</v>
      </c>
      <c r="F469" s="3">
        <v>0</v>
      </c>
      <c r="G469" s="3">
        <v>0.63737192788033403</v>
      </c>
      <c r="H469" s="3">
        <v>0.63737192788033403</v>
      </c>
      <c r="I469" s="3">
        <v>0.10445928026618399</v>
      </c>
      <c r="J469" s="3">
        <v>0.249141483074723</v>
      </c>
      <c r="K469" s="3">
        <v>0.28087476378490001</v>
      </c>
      <c r="L469" s="3">
        <v>0.136974673012074</v>
      </c>
      <c r="M469" s="3">
        <v>7.0688711869883097E-2</v>
      </c>
      <c r="N469" s="3">
        <v>-1.1035434613458701E-2</v>
      </c>
      <c r="O469" s="3">
        <v>-3.5723328479492202E-2</v>
      </c>
      <c r="P469" s="3">
        <v>-4.5827984613379599E-2</v>
      </c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x14ac:dyDescent="0.45">
      <c r="A470" s="3" t="s">
        <v>28</v>
      </c>
      <c r="B470" s="3" t="s">
        <v>22</v>
      </c>
      <c r="C470" s="3" t="s">
        <v>15</v>
      </c>
      <c r="D470" s="3" t="s">
        <v>14</v>
      </c>
      <c r="E470" s="3" t="s">
        <v>8</v>
      </c>
      <c r="F470" s="3">
        <v>0</v>
      </c>
      <c r="G470" s="3">
        <v>5.7002254712511503E-2</v>
      </c>
      <c r="H470" s="3">
        <v>5.7002254712511503E-2</v>
      </c>
      <c r="I470" s="3">
        <v>0.23586115454279299</v>
      </c>
      <c r="J470" s="3">
        <v>0.15939545995639601</v>
      </c>
      <c r="K470" s="3">
        <v>1.3900280365821201E-2</v>
      </c>
      <c r="L470" s="3">
        <v>1.1831436311453599E-3</v>
      </c>
      <c r="M470" s="3">
        <v>-2.1071144017524201E-2</v>
      </c>
      <c r="N470" s="3">
        <v>-6.0462670939362098E-2</v>
      </c>
      <c r="O470" s="3">
        <v>-5.5893158149040098E-2</v>
      </c>
      <c r="P470" s="3">
        <v>-8.5733621298317103E-2</v>
      </c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x14ac:dyDescent="0.45">
      <c r="A471" s="3" t="s">
        <v>28</v>
      </c>
      <c r="B471" s="3" t="s">
        <v>22</v>
      </c>
      <c r="C471" s="3" t="s">
        <v>16</v>
      </c>
      <c r="D471" s="3" t="s">
        <v>7</v>
      </c>
      <c r="E471" s="3" t="s">
        <v>8</v>
      </c>
      <c r="F471" s="3">
        <v>1.6664496197441201</v>
      </c>
      <c r="G471" s="3">
        <v>1.12583797632275</v>
      </c>
      <c r="H471" s="3">
        <v>1.12583797632275</v>
      </c>
      <c r="I471" s="3">
        <v>0.55133032782664304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x14ac:dyDescent="0.45">
      <c r="A472" s="3" t="s">
        <v>28</v>
      </c>
      <c r="B472" s="3" t="s">
        <v>22</v>
      </c>
      <c r="C472" s="3" t="s">
        <v>16</v>
      </c>
      <c r="D472" s="3" t="s">
        <v>9</v>
      </c>
      <c r="E472" s="3" t="s">
        <v>8</v>
      </c>
      <c r="F472" s="3">
        <v>0</v>
      </c>
      <c r="G472" s="3">
        <v>0</v>
      </c>
      <c r="H472" s="3">
        <v>0</v>
      </c>
      <c r="I472" s="3">
        <v>-1.4423849507275699E-3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x14ac:dyDescent="0.45">
      <c r="A473" s="3" t="s">
        <v>28</v>
      </c>
      <c r="B473" s="3" t="s">
        <v>22</v>
      </c>
      <c r="C473" s="3" t="s">
        <v>16</v>
      </c>
      <c r="D473" s="3" t="s">
        <v>10</v>
      </c>
      <c r="E473" s="3" t="s">
        <v>8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x14ac:dyDescent="0.45">
      <c r="A474" s="3" t="s">
        <v>28</v>
      </c>
      <c r="B474" s="3" t="s">
        <v>22</v>
      </c>
      <c r="C474" s="3" t="s">
        <v>16</v>
      </c>
      <c r="D474" s="3" t="s">
        <v>11</v>
      </c>
      <c r="E474" s="3" t="s">
        <v>8</v>
      </c>
      <c r="F474" s="3">
        <v>0</v>
      </c>
      <c r="G474" s="3">
        <v>-3.5315147602932301E-4</v>
      </c>
      <c r="H474" s="3">
        <v>-3.5315147602932301E-4</v>
      </c>
      <c r="I474" s="3">
        <v>1.44238495072668E-3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x14ac:dyDescent="0.45">
      <c r="A475" s="3" t="s">
        <v>28</v>
      </c>
      <c r="B475" s="3" t="s">
        <v>22</v>
      </c>
      <c r="C475" s="3" t="s">
        <v>16</v>
      </c>
      <c r="D475" s="3" t="s">
        <v>12</v>
      </c>
      <c r="E475" s="3" t="s">
        <v>8</v>
      </c>
      <c r="F475" s="3">
        <v>0</v>
      </c>
      <c r="G475" s="3">
        <v>-6.3198168654565701E-4</v>
      </c>
      <c r="H475" s="3">
        <v>-6.3198168654565701E-4</v>
      </c>
      <c r="I475" s="3">
        <v>8.8817841970012504E-16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x14ac:dyDescent="0.45">
      <c r="A476" s="3" t="s">
        <v>28</v>
      </c>
      <c r="B476" s="3" t="s">
        <v>22</v>
      </c>
      <c r="C476" s="3" t="s">
        <v>16</v>
      </c>
      <c r="D476" s="3" t="s">
        <v>13</v>
      </c>
      <c r="E476" s="3" t="s">
        <v>8</v>
      </c>
      <c r="F476" s="3">
        <v>0</v>
      </c>
      <c r="G476" s="3">
        <v>-2.8524802947242898E-3</v>
      </c>
      <c r="H476" s="3">
        <v>-2.8524802947242898E-3</v>
      </c>
      <c r="I476" s="3">
        <v>-3.6176276260023702E-3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x14ac:dyDescent="0.45">
      <c r="A477" s="3" t="s">
        <v>28</v>
      </c>
      <c r="B477" s="3" t="s">
        <v>22</v>
      </c>
      <c r="C477" s="3" t="s">
        <v>16</v>
      </c>
      <c r="D477" s="3" t="s">
        <v>14</v>
      </c>
      <c r="E477" s="3" t="s">
        <v>8</v>
      </c>
      <c r="F477" s="3">
        <v>0</v>
      </c>
      <c r="G477" s="3">
        <v>4.80887394358109E-2</v>
      </c>
      <c r="H477" s="3">
        <v>4.80887394358109E-2</v>
      </c>
      <c r="I477" s="3">
        <v>-5.9942442919158597E-3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x14ac:dyDescent="0.45">
      <c r="A478" s="3" t="s">
        <v>28</v>
      </c>
      <c r="B478" s="3" t="s">
        <v>22</v>
      </c>
      <c r="C478" s="3" t="s">
        <v>17</v>
      </c>
      <c r="D478" s="3" t="s">
        <v>10</v>
      </c>
      <c r="E478" s="3" t="s">
        <v>8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2.1864517086777201E-7</v>
      </c>
      <c r="M478" s="3">
        <v>0.155478004192761</v>
      </c>
      <c r="N478" s="3">
        <v>1.1031217301923</v>
      </c>
      <c r="O478" s="3">
        <v>1.11751962735758</v>
      </c>
      <c r="P478" s="3">
        <v>1.1802311772907099</v>
      </c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x14ac:dyDescent="0.45">
      <c r="A479" s="3" t="s">
        <v>28</v>
      </c>
      <c r="B479" s="3" t="s">
        <v>22</v>
      </c>
      <c r="C479" s="3" t="s">
        <v>17</v>
      </c>
      <c r="D479" s="3" t="s">
        <v>11</v>
      </c>
      <c r="E479" s="3" t="s">
        <v>8</v>
      </c>
      <c r="F479" s="3">
        <v>0</v>
      </c>
      <c r="G479" s="3">
        <v>0</v>
      </c>
      <c r="H479" s="3">
        <v>0</v>
      </c>
      <c r="I479" s="3">
        <v>0</v>
      </c>
      <c r="J479" s="3">
        <v>6.6734502106886295E-8</v>
      </c>
      <c r="K479" s="3">
        <v>0.213394810371074</v>
      </c>
      <c r="L479" s="3">
        <v>1.1369605370648801</v>
      </c>
      <c r="M479" s="3">
        <v>1.0816703198714701</v>
      </c>
      <c r="N479" s="3">
        <v>0.163139847654622</v>
      </c>
      <c r="O479" s="3">
        <v>0.31267945512052597</v>
      </c>
      <c r="P479" s="3">
        <v>0.50204586983025601</v>
      </c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x14ac:dyDescent="0.45">
      <c r="A480" s="3" t="s">
        <v>28</v>
      </c>
      <c r="B480" s="3" t="s">
        <v>22</v>
      </c>
      <c r="C480" s="3" t="s">
        <v>17</v>
      </c>
      <c r="D480" s="3" t="s">
        <v>12</v>
      </c>
      <c r="E480" s="3" t="s">
        <v>8</v>
      </c>
      <c r="F480" s="3">
        <v>0</v>
      </c>
      <c r="G480" s="3">
        <v>0</v>
      </c>
      <c r="H480" s="3">
        <v>0</v>
      </c>
      <c r="I480" s="3">
        <v>0</v>
      </c>
      <c r="J480" s="3">
        <v>1.10135845768803</v>
      </c>
      <c r="K480" s="3">
        <v>1.0624404059344199</v>
      </c>
      <c r="L480" s="3">
        <v>0.29822027982961502</v>
      </c>
      <c r="M480" s="3">
        <v>0.47425558315365401</v>
      </c>
      <c r="N480" s="3">
        <v>0.54139441236131702</v>
      </c>
      <c r="O480" s="3">
        <v>0.42943251968378998</v>
      </c>
      <c r="P480" s="3">
        <v>0.19400886970536499</v>
      </c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x14ac:dyDescent="0.45">
      <c r="A481" s="3" t="s">
        <v>28</v>
      </c>
      <c r="B481" s="3" t="s">
        <v>22</v>
      </c>
      <c r="C481" s="3" t="s">
        <v>17</v>
      </c>
      <c r="D481" s="3" t="s">
        <v>13</v>
      </c>
      <c r="E481" s="3" t="s">
        <v>8</v>
      </c>
      <c r="F481" s="3">
        <v>0</v>
      </c>
      <c r="G481" s="3">
        <v>0</v>
      </c>
      <c r="H481" s="3">
        <v>0</v>
      </c>
      <c r="I481" s="3">
        <v>1.16375430686425</v>
      </c>
      <c r="J481" s="3">
        <v>0.56839216513311397</v>
      </c>
      <c r="K481" s="3">
        <v>0.55933651146348295</v>
      </c>
      <c r="L481" s="3">
        <v>0.44337240085671398</v>
      </c>
      <c r="M481" s="3">
        <v>0.173731186722236</v>
      </c>
      <c r="N481" s="3">
        <v>7.7501264934871195E-2</v>
      </c>
      <c r="O481" s="3">
        <v>2.5546538899494899E-2</v>
      </c>
      <c r="P481" s="3">
        <v>8.8928521962585699E-3</v>
      </c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x14ac:dyDescent="0.45">
      <c r="A482" s="3" t="s">
        <v>28</v>
      </c>
      <c r="B482" s="3" t="s">
        <v>22</v>
      </c>
      <c r="C482" s="3" t="s">
        <v>17</v>
      </c>
      <c r="D482" s="3" t="s">
        <v>14</v>
      </c>
      <c r="E482" s="3" t="s">
        <v>8</v>
      </c>
      <c r="F482" s="3">
        <v>0</v>
      </c>
      <c r="G482" s="3">
        <v>0.67670769153922095</v>
      </c>
      <c r="H482" s="3">
        <v>0.67670769153922095</v>
      </c>
      <c r="I482" s="3">
        <v>0.48688829618704399</v>
      </c>
      <c r="J482" s="3">
        <v>0.19041714962945</v>
      </c>
      <c r="K482" s="3">
        <v>4.9661152681526301E-2</v>
      </c>
      <c r="L482" s="3">
        <v>6.6312637061816098E-3</v>
      </c>
      <c r="M482" s="3">
        <v>1.04912958006409E-4</v>
      </c>
      <c r="N482" s="3">
        <v>8.8140844546558101E-5</v>
      </c>
      <c r="O482" s="3">
        <v>6.7434751715556005E-5</v>
      </c>
      <c r="P482" s="3">
        <v>6.6939540243948797E-5</v>
      </c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x14ac:dyDescent="0.45">
      <c r="A483" s="3" t="s">
        <v>28</v>
      </c>
      <c r="B483" s="3" t="s">
        <v>22</v>
      </c>
      <c r="C483" s="3" t="s">
        <v>18</v>
      </c>
      <c r="D483" s="3" t="s">
        <v>7</v>
      </c>
      <c r="E483" s="3" t="s">
        <v>8</v>
      </c>
      <c r="F483" s="3">
        <v>5.2205604889881796</v>
      </c>
      <c r="G483" s="3">
        <v>3.4573966355371799</v>
      </c>
      <c r="H483" s="3">
        <v>3.4573966355371799</v>
      </c>
      <c r="I483" s="3">
        <v>1.5652516641258301</v>
      </c>
      <c r="J483" s="3">
        <v>4.8718188210495401E-2</v>
      </c>
      <c r="K483" s="3">
        <v>5.3557225027217699E-3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x14ac:dyDescent="0.45">
      <c r="A484" s="3" t="s">
        <v>28</v>
      </c>
      <c r="B484" s="3" t="s">
        <v>22</v>
      </c>
      <c r="C484" s="3" t="s">
        <v>18</v>
      </c>
      <c r="D484" s="3" t="s">
        <v>9</v>
      </c>
      <c r="E484" s="3" t="s">
        <v>8</v>
      </c>
      <c r="F484" s="3">
        <v>0</v>
      </c>
      <c r="G484" s="3">
        <v>0</v>
      </c>
      <c r="H484" s="3">
        <v>0</v>
      </c>
      <c r="I484" s="3">
        <v>0</v>
      </c>
      <c r="J484" s="3">
        <v>-1.8735013540549499E-16</v>
      </c>
      <c r="K484" s="3">
        <v>-2.1163626406917E-16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x14ac:dyDescent="0.45">
      <c r="A485" s="3" t="s">
        <v>28</v>
      </c>
      <c r="B485" s="3" t="s">
        <v>22</v>
      </c>
      <c r="C485" s="3" t="s">
        <v>18</v>
      </c>
      <c r="D485" s="3" t="s">
        <v>10</v>
      </c>
      <c r="E485" s="3" t="s">
        <v>8</v>
      </c>
      <c r="F485" s="3">
        <v>0</v>
      </c>
      <c r="G485" s="3">
        <v>0</v>
      </c>
      <c r="H485" s="3">
        <v>0</v>
      </c>
      <c r="I485" s="3">
        <v>0</v>
      </c>
      <c r="J485" s="3">
        <v>1.8735013540549499E-16</v>
      </c>
      <c r="K485" s="3">
        <v>4.1459891075845699E-16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x14ac:dyDescent="0.45">
      <c r="A486" s="3" t="s">
        <v>28</v>
      </c>
      <c r="B486" s="3" t="s">
        <v>22</v>
      </c>
      <c r="C486" s="3" t="s">
        <v>18</v>
      </c>
      <c r="D486" s="3" t="s">
        <v>11</v>
      </c>
      <c r="E486" s="3" t="s">
        <v>8</v>
      </c>
      <c r="F486" s="3">
        <v>0</v>
      </c>
      <c r="G486" s="3">
        <v>0</v>
      </c>
      <c r="H486" s="3">
        <v>0</v>
      </c>
      <c r="I486" s="3">
        <v>0</v>
      </c>
      <c r="J486" s="3">
        <v>1.8735013540549499E-16</v>
      </c>
      <c r="K486" s="3">
        <v>-8.1878948066105305E-16</v>
      </c>
      <c r="L486" s="3">
        <v>0</v>
      </c>
      <c r="M486" s="3">
        <v>0</v>
      </c>
      <c r="N486" s="3">
        <v>8.1664496529418002E-16</v>
      </c>
      <c r="O486" s="3">
        <v>0</v>
      </c>
      <c r="P486" s="3">
        <v>0</v>
      </c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x14ac:dyDescent="0.45">
      <c r="A487" s="3" t="s">
        <v>28</v>
      </c>
      <c r="B487" s="3" t="s">
        <v>22</v>
      </c>
      <c r="C487" s="3" t="s">
        <v>18</v>
      </c>
      <c r="D487" s="3" t="s">
        <v>12</v>
      </c>
      <c r="E487" s="3" t="s">
        <v>8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4.04190569902596E-16</v>
      </c>
      <c r="L487" s="3">
        <v>0</v>
      </c>
      <c r="M487" s="3">
        <v>0</v>
      </c>
      <c r="N487" s="3">
        <v>0</v>
      </c>
      <c r="O487" s="3">
        <v>0</v>
      </c>
      <c r="P487" s="3">
        <v>8.1664496529418002E-16</v>
      </c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x14ac:dyDescent="0.45">
      <c r="A488" s="3" t="s">
        <v>28</v>
      </c>
      <c r="B488" s="3" t="s">
        <v>22</v>
      </c>
      <c r="C488" s="3" t="s">
        <v>18</v>
      </c>
      <c r="D488" s="3" t="s">
        <v>13</v>
      </c>
      <c r="E488" s="3" t="s">
        <v>8</v>
      </c>
      <c r="F488" s="3">
        <v>0</v>
      </c>
      <c r="G488" s="3">
        <v>0</v>
      </c>
      <c r="H488" s="3">
        <v>0</v>
      </c>
      <c r="I488" s="3">
        <v>0</v>
      </c>
      <c r="J488" s="3">
        <v>1.1934897514720399E-15</v>
      </c>
      <c r="K488" s="3">
        <v>8.1878948066105305E-16</v>
      </c>
      <c r="L488" s="3">
        <v>0</v>
      </c>
      <c r="M488" s="3">
        <v>1.63328993058836E-15</v>
      </c>
      <c r="N488" s="3">
        <v>-8.1664496529418002E-16</v>
      </c>
      <c r="O488" s="3">
        <v>1.63328993058836E-15</v>
      </c>
      <c r="P488" s="3">
        <v>-8.1664496529418002E-16</v>
      </c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x14ac:dyDescent="0.45">
      <c r="A489" s="3" t="s">
        <v>28</v>
      </c>
      <c r="B489" s="3" t="s">
        <v>22</v>
      </c>
      <c r="C489" s="3" t="s">
        <v>18</v>
      </c>
      <c r="D489" s="3" t="s">
        <v>14</v>
      </c>
      <c r="E489" s="3" t="s">
        <v>8</v>
      </c>
      <c r="F489" s="3">
        <v>0</v>
      </c>
      <c r="G489" s="3">
        <v>0</v>
      </c>
      <c r="H489" s="3">
        <v>0</v>
      </c>
      <c r="I489" s="3">
        <v>0</v>
      </c>
      <c r="J489" s="3">
        <v>-2.0261570199409099E-15</v>
      </c>
      <c r="K489" s="3">
        <v>-4.04190569902596E-16</v>
      </c>
      <c r="L489" s="3">
        <v>4.0832248264709001E-16</v>
      </c>
      <c r="M489" s="3">
        <v>-1.63328993058836E-15</v>
      </c>
      <c r="N489" s="3">
        <v>1.22496744794127E-15</v>
      </c>
      <c r="O489" s="3">
        <v>-1.63328993058836E-15</v>
      </c>
      <c r="P489" s="3">
        <v>0</v>
      </c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x14ac:dyDescent="0.45">
      <c r="A490" s="3" t="s">
        <v>28</v>
      </c>
      <c r="B490" s="3" t="s">
        <v>22</v>
      </c>
      <c r="C490" s="3" t="s">
        <v>19</v>
      </c>
      <c r="D490" s="3" t="s">
        <v>11</v>
      </c>
      <c r="E490" s="3" t="s">
        <v>8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1.37796110388448E-2</v>
      </c>
      <c r="L490" s="3">
        <v>4.4075756125303497E-2</v>
      </c>
      <c r="M490" s="3">
        <v>5.1538101804426702E-2</v>
      </c>
      <c r="N490" s="3">
        <v>0.15977384572199499</v>
      </c>
      <c r="O490" s="3">
        <v>0.69875035579424905</v>
      </c>
      <c r="P490" s="3">
        <v>1.58879910004295</v>
      </c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x14ac:dyDescent="0.45">
      <c r="A491" s="3" t="s">
        <v>28</v>
      </c>
      <c r="B491" s="3" t="s">
        <v>22</v>
      </c>
      <c r="C491" s="3" t="s">
        <v>19</v>
      </c>
      <c r="D491" s="3" t="s">
        <v>12</v>
      </c>
      <c r="E491" s="3" t="s">
        <v>8</v>
      </c>
      <c r="F491" s="3">
        <v>0</v>
      </c>
      <c r="G491" s="3">
        <v>0</v>
      </c>
      <c r="H491" s="3">
        <v>0</v>
      </c>
      <c r="I491" s="3">
        <v>0</v>
      </c>
      <c r="J491" s="3">
        <v>2.1225668831076901E-2</v>
      </c>
      <c r="K491" s="3">
        <v>0.124388097875979</v>
      </c>
      <c r="L491" s="3">
        <v>0.40330168645215297</v>
      </c>
      <c r="M491" s="3">
        <v>1.2797499459075401</v>
      </c>
      <c r="N491" s="3">
        <v>1.5086718430210799</v>
      </c>
      <c r="O491" s="3">
        <v>1.23110445345777</v>
      </c>
      <c r="P491" s="3">
        <v>0.47671491270028199</v>
      </c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x14ac:dyDescent="0.45">
      <c r="A492" s="3" t="s">
        <v>28</v>
      </c>
      <c r="B492" s="3" t="s">
        <v>22</v>
      </c>
      <c r="C492" s="3" t="s">
        <v>19</v>
      </c>
      <c r="D492" s="3" t="s">
        <v>13</v>
      </c>
      <c r="E492" s="3" t="s">
        <v>8</v>
      </c>
      <c r="F492" s="3">
        <v>0</v>
      </c>
      <c r="G492" s="3">
        <v>0</v>
      </c>
      <c r="H492" s="3">
        <v>0</v>
      </c>
      <c r="I492" s="3">
        <v>0.11718990574789501</v>
      </c>
      <c r="J492" s="3">
        <v>1.22975539998711</v>
      </c>
      <c r="K492" s="3">
        <v>1.3334101569541701</v>
      </c>
      <c r="L492" s="3">
        <v>1.16444299716683</v>
      </c>
      <c r="M492" s="3">
        <v>0.460020900175036</v>
      </c>
      <c r="N492" s="3">
        <v>0.33247192619574301</v>
      </c>
      <c r="O492" s="3">
        <v>0.25196743082797102</v>
      </c>
      <c r="P492" s="3">
        <v>0.21592230412965599</v>
      </c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x14ac:dyDescent="0.45">
      <c r="A493" s="3" t="s">
        <v>28</v>
      </c>
      <c r="B493" s="3" t="s">
        <v>22</v>
      </c>
      <c r="C493" s="3" t="s">
        <v>19</v>
      </c>
      <c r="D493" s="3" t="s">
        <v>14</v>
      </c>
      <c r="E493" s="3" t="s">
        <v>8</v>
      </c>
      <c r="F493" s="3">
        <v>0</v>
      </c>
      <c r="G493" s="3">
        <v>0</v>
      </c>
      <c r="H493" s="3">
        <v>0</v>
      </c>
      <c r="I493" s="3">
        <v>1.23652409510119</v>
      </c>
      <c r="J493" s="3">
        <v>0.34250577640476898</v>
      </c>
      <c r="K493" s="3">
        <v>0.16038758122643201</v>
      </c>
      <c r="L493" s="3">
        <v>0.11890835636185899</v>
      </c>
      <c r="M493" s="3">
        <v>0.13898833856008899</v>
      </c>
      <c r="N493" s="3">
        <v>0.201595945321317</v>
      </c>
      <c r="O493" s="3">
        <v>0.20884789783445001</v>
      </c>
      <c r="P493" s="3">
        <v>0.24593099602935301</v>
      </c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x14ac:dyDescent="0.45">
      <c r="A494" s="3" t="s">
        <v>78</v>
      </c>
      <c r="B494" s="3" t="s">
        <v>29</v>
      </c>
      <c r="C494" s="3" t="s">
        <v>6</v>
      </c>
      <c r="D494" s="3" t="s">
        <v>7</v>
      </c>
      <c r="E494" s="3" t="s">
        <v>8</v>
      </c>
      <c r="F494" s="3">
        <v>0</v>
      </c>
      <c r="G494" s="3">
        <v>0</v>
      </c>
      <c r="H494" s="3">
        <v>0</v>
      </c>
      <c r="I494" s="3">
        <v>0</v>
      </c>
      <c r="J494" s="3">
        <v>5.30350212621514E-4</v>
      </c>
      <c r="K494" s="3">
        <v>7.2819677054693905E-4</v>
      </c>
      <c r="L494" s="3">
        <v>1.7971020093213001E-4</v>
      </c>
      <c r="M494" s="3">
        <v>1.7971020093213101E-4</v>
      </c>
      <c r="N494" s="3">
        <v>1.4516667398802599E-4</v>
      </c>
      <c r="O494" s="3">
        <v>1.1612790003221E-4</v>
      </c>
      <c r="P494" s="3">
        <v>9.3045762210456698E-5</v>
      </c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x14ac:dyDescent="0.45">
      <c r="A495" s="3" t="s">
        <v>78</v>
      </c>
      <c r="B495" s="3" t="s">
        <v>29</v>
      </c>
      <c r="C495" s="3" t="s">
        <v>6</v>
      </c>
      <c r="D495" s="3" t="s">
        <v>9</v>
      </c>
      <c r="E495" s="3" t="s">
        <v>8</v>
      </c>
      <c r="F495" s="3">
        <v>0</v>
      </c>
      <c r="G495" s="3">
        <v>0</v>
      </c>
      <c r="H495" s="3">
        <v>0</v>
      </c>
      <c r="I495" s="3">
        <v>0</v>
      </c>
      <c r="J495" s="3">
        <v>4.9950568328176203E-4</v>
      </c>
      <c r="K495" s="3">
        <v>1.20322003061875E-3</v>
      </c>
      <c r="L495" s="3">
        <v>1.5018886871679799E-3</v>
      </c>
      <c r="M495" s="3">
        <v>1.5018886871679699E-3</v>
      </c>
      <c r="N495" s="3">
        <v>1.4553735844034001E-3</v>
      </c>
      <c r="O495" s="3">
        <v>1.4835561816335201E-3</v>
      </c>
      <c r="P495" s="3">
        <v>1.50663831945527E-3</v>
      </c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x14ac:dyDescent="0.45">
      <c r="A496" s="3" t="s">
        <v>78</v>
      </c>
      <c r="B496" s="3" t="s">
        <v>29</v>
      </c>
      <c r="C496" s="3" t="s">
        <v>6</v>
      </c>
      <c r="D496" s="3" t="s">
        <v>10</v>
      </c>
      <c r="E496" s="3" t="s">
        <v>8</v>
      </c>
      <c r="F496" s="3">
        <v>0</v>
      </c>
      <c r="G496" s="3">
        <v>0</v>
      </c>
      <c r="H496" s="3">
        <v>0</v>
      </c>
      <c r="I496" s="3">
        <v>5.9717787275262598E-5</v>
      </c>
      <c r="J496" s="3">
        <v>1.2878432163081E-3</v>
      </c>
      <c r="K496" s="3">
        <v>1.2985300534782999E-3</v>
      </c>
      <c r="L496" s="3">
        <v>1.3242275348448499E-3</v>
      </c>
      <c r="M496" s="3">
        <v>1.3242275348448499E-3</v>
      </c>
      <c r="N496" s="3">
        <v>9.3233725035546094E-3</v>
      </c>
      <c r="O496" s="3">
        <v>2.1102267237558401E-2</v>
      </c>
      <c r="P496" s="3">
        <v>6.5517498040257902E-2</v>
      </c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x14ac:dyDescent="0.45">
      <c r="A497" s="3" t="s">
        <v>78</v>
      </c>
      <c r="B497" s="3" t="s">
        <v>29</v>
      </c>
      <c r="C497" s="3" t="s">
        <v>6</v>
      </c>
      <c r="D497" s="3" t="s">
        <v>11</v>
      </c>
      <c r="E497" s="3" t="s">
        <v>8</v>
      </c>
      <c r="F497" s="3">
        <v>0</v>
      </c>
      <c r="G497" s="3">
        <v>0</v>
      </c>
      <c r="H497" s="3">
        <v>0</v>
      </c>
      <c r="I497" s="3">
        <v>9.8082896058070894E-4</v>
      </c>
      <c r="J497" s="3">
        <v>1.3389567571677899E-3</v>
      </c>
      <c r="K497" s="3">
        <v>1.44650776971635E-3</v>
      </c>
      <c r="L497" s="3">
        <v>1.5451028714703999E-2</v>
      </c>
      <c r="M497" s="3">
        <v>6.3636651684352202E-2</v>
      </c>
      <c r="N497" s="3">
        <v>0.10581827671312</v>
      </c>
      <c r="O497" s="3">
        <v>0.146987181673852</v>
      </c>
      <c r="P497" s="3">
        <v>0.21113606772990301</v>
      </c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x14ac:dyDescent="0.45">
      <c r="A498" s="3" t="s">
        <v>78</v>
      </c>
      <c r="B498" s="3" t="s">
        <v>29</v>
      </c>
      <c r="C498" s="3" t="s">
        <v>6</v>
      </c>
      <c r="D498" s="3" t="s">
        <v>12</v>
      </c>
      <c r="E498" s="3" t="s">
        <v>8</v>
      </c>
      <c r="F498" s="3">
        <v>0</v>
      </c>
      <c r="G498" s="3">
        <v>0</v>
      </c>
      <c r="H498" s="3">
        <v>0</v>
      </c>
      <c r="I498" s="3">
        <v>1.71047631323475E-3</v>
      </c>
      <c r="J498" s="3">
        <v>8.5492855851281805E-3</v>
      </c>
      <c r="K498" s="3">
        <v>6.2762062730480697E-2</v>
      </c>
      <c r="L498" s="3">
        <v>0.10546153718268</v>
      </c>
      <c r="M498" s="3">
        <v>0.23225982905423501</v>
      </c>
      <c r="N498" s="3">
        <v>0.37750458889992999</v>
      </c>
      <c r="O498" s="3">
        <v>0.51488118719959297</v>
      </c>
      <c r="P498" s="3">
        <v>0.58372972066559403</v>
      </c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x14ac:dyDescent="0.45">
      <c r="A499" s="3" t="s">
        <v>78</v>
      </c>
      <c r="B499" s="3" t="s">
        <v>29</v>
      </c>
      <c r="C499" s="3" t="s">
        <v>6</v>
      </c>
      <c r="D499" s="3" t="s">
        <v>13</v>
      </c>
      <c r="E499" s="3" t="s">
        <v>8</v>
      </c>
      <c r="F499" s="3">
        <v>0</v>
      </c>
      <c r="G499" s="3">
        <v>2.0125741506381E-4</v>
      </c>
      <c r="H499" s="3">
        <v>2.0125741506381E-4</v>
      </c>
      <c r="I499" s="3">
        <v>5.9689775746582699E-2</v>
      </c>
      <c r="J499" s="3">
        <v>0.26692832307066</v>
      </c>
      <c r="K499" s="3">
        <v>0.429804091193629</v>
      </c>
      <c r="L499" s="3">
        <v>0.5787481401465</v>
      </c>
      <c r="M499" s="3">
        <v>0.58344161008561002</v>
      </c>
      <c r="N499" s="3">
        <v>0.56275779191697906</v>
      </c>
      <c r="O499" s="3">
        <v>0.55113653725988199</v>
      </c>
      <c r="P499" s="3">
        <v>0.54947006565462497</v>
      </c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x14ac:dyDescent="0.45">
      <c r="A500" s="3" t="s">
        <v>78</v>
      </c>
      <c r="B500" s="3" t="s">
        <v>29</v>
      </c>
      <c r="C500" s="3" t="s">
        <v>6</v>
      </c>
      <c r="D500" s="3" t="s">
        <v>14</v>
      </c>
      <c r="E500" s="3" t="s">
        <v>8</v>
      </c>
      <c r="F500" s="3">
        <v>0</v>
      </c>
      <c r="G500" s="3">
        <v>7.6209688838413201E-3</v>
      </c>
      <c r="H500" s="3">
        <v>7.6209688838413201E-3</v>
      </c>
      <c r="I500" s="3">
        <v>0.1850518134203</v>
      </c>
      <c r="J500" s="3">
        <v>0.19509349245290999</v>
      </c>
      <c r="K500" s="3">
        <v>0.202955981256322</v>
      </c>
      <c r="L500" s="3">
        <v>0.23186876469127299</v>
      </c>
      <c r="M500" s="3">
        <v>0.29991823442785998</v>
      </c>
      <c r="N500" s="3">
        <v>0.384937590454696</v>
      </c>
      <c r="O500" s="3">
        <v>0.45303842719364201</v>
      </c>
      <c r="P500" s="3">
        <v>0.49847093792029701</v>
      </c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x14ac:dyDescent="0.45">
      <c r="A501" s="3" t="s">
        <v>78</v>
      </c>
      <c r="B501" s="3" t="s">
        <v>29</v>
      </c>
      <c r="C501" s="3" t="s">
        <v>15</v>
      </c>
      <c r="D501" s="3" t="s">
        <v>7</v>
      </c>
      <c r="E501" s="3" t="s">
        <v>8</v>
      </c>
      <c r="F501" s="3">
        <v>0.32310598093385801</v>
      </c>
      <c r="G501" s="3">
        <v>0.357004844586438</v>
      </c>
      <c r="H501" s="3">
        <v>0.357004844586438</v>
      </c>
      <c r="I501" s="3">
        <v>0.38374035872238199</v>
      </c>
      <c r="J501" s="3">
        <v>0.404933092904672</v>
      </c>
      <c r="K501" s="3">
        <v>0.42496421474811402</v>
      </c>
      <c r="L501" s="3">
        <v>0.44211560478101097</v>
      </c>
      <c r="M501" s="3">
        <v>0.46093379525632699</v>
      </c>
      <c r="N501" s="3">
        <v>0.46928342053867</v>
      </c>
      <c r="O501" s="3">
        <v>0.478017533022076</v>
      </c>
      <c r="P501" s="3">
        <v>0.48524638521647201</v>
      </c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x14ac:dyDescent="0.45">
      <c r="A502" s="3" t="s">
        <v>78</v>
      </c>
      <c r="B502" s="3" t="s">
        <v>29</v>
      </c>
      <c r="C502" s="3" t="s">
        <v>15</v>
      </c>
      <c r="D502" s="3" t="s">
        <v>9</v>
      </c>
      <c r="E502" s="3" t="s">
        <v>8</v>
      </c>
      <c r="F502" s="3">
        <v>0</v>
      </c>
      <c r="G502" s="3">
        <v>-3.93007556267588E-4</v>
      </c>
      <c r="H502" s="3">
        <v>-3.93007556267588E-4</v>
      </c>
      <c r="I502" s="3">
        <v>-1.18293104045197E-3</v>
      </c>
      <c r="J502" s="3">
        <v>-2.43671304490362E-3</v>
      </c>
      <c r="K502" s="3">
        <v>-7.7220217406448498E-4</v>
      </c>
      <c r="L502" s="3">
        <v>-5.24450132486715E-3</v>
      </c>
      <c r="M502" s="3">
        <v>-7.5635777833240603E-3</v>
      </c>
      <c r="N502" s="3">
        <v>-7.9086611127596705E-3</v>
      </c>
      <c r="O502" s="3">
        <v>-1.2286834799652899E-2</v>
      </c>
      <c r="P502" s="3">
        <v>-1.70098652448805E-2</v>
      </c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x14ac:dyDescent="0.45">
      <c r="A503" s="3" t="s">
        <v>78</v>
      </c>
      <c r="B503" s="3" t="s">
        <v>29</v>
      </c>
      <c r="C503" s="3" t="s">
        <v>15</v>
      </c>
      <c r="D503" s="3" t="s">
        <v>10</v>
      </c>
      <c r="E503" s="3" t="s">
        <v>8</v>
      </c>
      <c r="F503" s="3">
        <v>0</v>
      </c>
      <c r="G503" s="3">
        <v>-7.2108341869214801E-6</v>
      </c>
      <c r="H503" s="3">
        <v>-7.2108341869214801E-6</v>
      </c>
      <c r="I503" s="3">
        <v>-4.73589926189455E-4</v>
      </c>
      <c r="J503" s="3">
        <v>-1.61678028373202E-3</v>
      </c>
      <c r="K503" s="3">
        <v>-2.3964973567262601E-3</v>
      </c>
      <c r="L503" s="3">
        <v>-6.6852352930668602E-4</v>
      </c>
      <c r="M503" s="3">
        <v>-5.3434676152232501E-3</v>
      </c>
      <c r="N503" s="3">
        <v>4.2838204767861E-3</v>
      </c>
      <c r="O503" s="3">
        <v>2.3378977302190899E-3</v>
      </c>
      <c r="P503" s="3">
        <v>3.1085616951457801E-3</v>
      </c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x14ac:dyDescent="0.45">
      <c r="A504" s="3" t="s">
        <v>78</v>
      </c>
      <c r="B504" s="3" t="s">
        <v>29</v>
      </c>
      <c r="C504" s="3" t="s">
        <v>15</v>
      </c>
      <c r="D504" s="3" t="s">
        <v>11</v>
      </c>
      <c r="E504" s="3" t="s">
        <v>8</v>
      </c>
      <c r="F504" s="3">
        <v>0</v>
      </c>
      <c r="G504" s="3">
        <v>2.8279402695508E-5</v>
      </c>
      <c r="H504" s="3">
        <v>2.8279402695508E-5</v>
      </c>
      <c r="I504" s="3">
        <v>-5.9698833054949696E-4</v>
      </c>
      <c r="J504" s="3">
        <v>7.3208251908690703E-4</v>
      </c>
      <c r="K504" s="3">
        <v>-1.45508900421792E-3</v>
      </c>
      <c r="L504" s="3">
        <v>3.9311725308710504E-3</v>
      </c>
      <c r="M504" s="3">
        <v>1.01304812670364E-2</v>
      </c>
      <c r="N504" s="3">
        <v>5.9682227421802301E-3</v>
      </c>
      <c r="O504" s="3">
        <v>6.7660086833662998E-3</v>
      </c>
      <c r="P504" s="3">
        <v>7.6843667675081696E-3</v>
      </c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x14ac:dyDescent="0.45">
      <c r="A505" s="3" t="s">
        <v>78</v>
      </c>
      <c r="B505" s="3" t="s">
        <v>29</v>
      </c>
      <c r="C505" s="3" t="s">
        <v>15</v>
      </c>
      <c r="D505" s="3" t="s">
        <v>12</v>
      </c>
      <c r="E505" s="3" t="s">
        <v>8</v>
      </c>
      <c r="F505" s="3">
        <v>0</v>
      </c>
      <c r="G505" s="3">
        <v>1.21450799485112E-5</v>
      </c>
      <c r="H505" s="3">
        <v>1.21450799485112E-5</v>
      </c>
      <c r="I505" s="3">
        <v>-2.0166830504228499E-3</v>
      </c>
      <c r="J505" s="3">
        <v>-3.2910187339568698E-4</v>
      </c>
      <c r="K505" s="3">
        <v>1.60463907586261E-2</v>
      </c>
      <c r="L505" s="3">
        <v>1.6127400581903501E-2</v>
      </c>
      <c r="M505" s="3">
        <v>1.5662451165617298E-2</v>
      </c>
      <c r="N505" s="3">
        <v>9.4305454570691206E-3</v>
      </c>
      <c r="O505" s="3">
        <v>1.17474072175646E-2</v>
      </c>
      <c r="P505" s="3">
        <v>1.16886558770967E-2</v>
      </c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x14ac:dyDescent="0.45">
      <c r="A506" s="3" t="s">
        <v>78</v>
      </c>
      <c r="B506" s="3" t="s">
        <v>29</v>
      </c>
      <c r="C506" s="3" t="s">
        <v>15</v>
      </c>
      <c r="D506" s="3" t="s">
        <v>13</v>
      </c>
      <c r="E506" s="3" t="s">
        <v>8</v>
      </c>
      <c r="F506" s="3">
        <v>0</v>
      </c>
      <c r="G506" s="3">
        <v>-2.6013743021275301E-3</v>
      </c>
      <c r="H506" s="3">
        <v>-2.6013743021275301E-3</v>
      </c>
      <c r="I506" s="3">
        <v>2.0757361960652101E-2</v>
      </c>
      <c r="J506" s="3">
        <v>2.18597493541254E-2</v>
      </c>
      <c r="K506" s="3">
        <v>2.20312671316886E-3</v>
      </c>
      <c r="L506" s="3">
        <v>-7.7117283635341803E-4</v>
      </c>
      <c r="M506" s="3">
        <v>1.50501309221984E-3</v>
      </c>
      <c r="N506" s="3">
        <v>8.7365459672480404E-3</v>
      </c>
      <c r="O506" s="3">
        <v>9.1164692657337305E-3</v>
      </c>
      <c r="P506" s="3">
        <v>7.6309927623543503E-3</v>
      </c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x14ac:dyDescent="0.45">
      <c r="A507" s="3" t="s">
        <v>78</v>
      </c>
      <c r="B507" s="3" t="s">
        <v>29</v>
      </c>
      <c r="C507" s="3" t="s">
        <v>15</v>
      </c>
      <c r="D507" s="3" t="s">
        <v>14</v>
      </c>
      <c r="E507" s="3" t="s">
        <v>8</v>
      </c>
      <c r="F507" s="3">
        <v>0</v>
      </c>
      <c r="G507" s="3">
        <v>6.2368018129033698E-3</v>
      </c>
      <c r="H507" s="3">
        <v>6.2368018129033698E-3</v>
      </c>
      <c r="I507" s="3">
        <v>-1.15835123960824E-2</v>
      </c>
      <c r="J507" s="3">
        <v>-2.03908456426143E-2</v>
      </c>
      <c r="K507" s="3">
        <v>-2.3283631608443701E-2</v>
      </c>
      <c r="L507" s="3">
        <v>-3.06456261439878E-2</v>
      </c>
      <c r="M507" s="3">
        <v>-3.6019437826142198E-2</v>
      </c>
      <c r="N507" s="3">
        <v>-3.5222834529695803E-2</v>
      </c>
      <c r="O507" s="3">
        <v>-3.0311491998512501E-2</v>
      </c>
      <c r="P507" s="3">
        <v>-3.0370223943041098E-2</v>
      </c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x14ac:dyDescent="0.45">
      <c r="A508" s="3" t="s">
        <v>78</v>
      </c>
      <c r="B508" s="3" t="s">
        <v>29</v>
      </c>
      <c r="C508" s="3" t="s">
        <v>16</v>
      </c>
      <c r="D508" s="3" t="s">
        <v>7</v>
      </c>
      <c r="E508" s="3" t="s">
        <v>8</v>
      </c>
      <c r="F508" s="3">
        <v>0.13793085276133399</v>
      </c>
      <c r="G508" s="3">
        <v>0.14724148514260299</v>
      </c>
      <c r="H508" s="3">
        <v>0.14724148514260299</v>
      </c>
      <c r="I508" s="3">
        <v>0.14236688547988099</v>
      </c>
      <c r="J508" s="3">
        <v>0.137810558776362</v>
      </c>
      <c r="K508" s="3">
        <v>0.13591813037369899</v>
      </c>
      <c r="L508" s="3">
        <v>0.13553861226903199</v>
      </c>
      <c r="M508" s="3">
        <v>0.13459413886323801</v>
      </c>
      <c r="N508" s="3">
        <v>0.13434309598762401</v>
      </c>
      <c r="O508" s="3">
        <v>0.13434309598762401</v>
      </c>
      <c r="P508" s="3">
        <v>0.13434309598762401</v>
      </c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x14ac:dyDescent="0.45">
      <c r="A509" s="3" t="s">
        <v>78</v>
      </c>
      <c r="B509" s="3" t="s">
        <v>29</v>
      </c>
      <c r="C509" s="3" t="s">
        <v>16</v>
      </c>
      <c r="D509" s="3" t="s">
        <v>9</v>
      </c>
      <c r="E509" s="3" t="s">
        <v>8</v>
      </c>
      <c r="F509" s="3">
        <v>0</v>
      </c>
      <c r="G509" s="3">
        <v>-3.6472403087572902E-5</v>
      </c>
      <c r="H509" s="3">
        <v>-3.6472403087572902E-5</v>
      </c>
      <c r="I509" s="3">
        <v>0</v>
      </c>
      <c r="J509" s="3">
        <v>2.6287937262389798E-4</v>
      </c>
      <c r="K509" s="3">
        <v>4.2357620466587601E-5</v>
      </c>
      <c r="L509" s="3">
        <v>2.6863565411069901E-4</v>
      </c>
      <c r="M509" s="3">
        <v>5.2660462691203602E-4</v>
      </c>
      <c r="N509" s="3">
        <v>-1.1067475634320499E-2</v>
      </c>
      <c r="O509" s="3">
        <v>-1.10674756343207E-2</v>
      </c>
      <c r="P509" s="3">
        <v>-1.10674756343207E-2</v>
      </c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x14ac:dyDescent="0.45">
      <c r="A510" s="3" t="s">
        <v>78</v>
      </c>
      <c r="B510" s="3" t="s">
        <v>29</v>
      </c>
      <c r="C510" s="3" t="s">
        <v>16</v>
      </c>
      <c r="D510" s="3" t="s">
        <v>10</v>
      </c>
      <c r="E510" s="3" t="s">
        <v>8</v>
      </c>
      <c r="F510" s="3">
        <v>0</v>
      </c>
      <c r="G510" s="3">
        <v>-2.2204460492503101E-16</v>
      </c>
      <c r="H510" s="3">
        <v>-2.2204460492503101E-16</v>
      </c>
      <c r="I510" s="3">
        <v>0</v>
      </c>
      <c r="J510" s="3">
        <v>2.5752979014861998E-4</v>
      </c>
      <c r="K510" s="3">
        <v>7.1109444717582001E-5</v>
      </c>
      <c r="L510" s="3">
        <v>-1.1528791859481099E-2</v>
      </c>
      <c r="M510" s="3">
        <v>-1.14245798191824E-2</v>
      </c>
      <c r="N510" s="3">
        <v>4.2054331766472298E-4</v>
      </c>
      <c r="O510" s="3">
        <v>4.2054331766450099E-4</v>
      </c>
      <c r="P510" s="3">
        <v>4.2054331766472298E-4</v>
      </c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x14ac:dyDescent="0.45">
      <c r="A511" s="3" t="s">
        <v>78</v>
      </c>
      <c r="B511" s="3" t="s">
        <v>29</v>
      </c>
      <c r="C511" s="3" t="s">
        <v>16</v>
      </c>
      <c r="D511" s="3" t="s">
        <v>11</v>
      </c>
      <c r="E511" s="3" t="s">
        <v>8</v>
      </c>
      <c r="F511" s="3">
        <v>0</v>
      </c>
      <c r="G511" s="3">
        <v>2.2204460492503101E-16</v>
      </c>
      <c r="H511" s="3">
        <v>2.2204460492503101E-16</v>
      </c>
      <c r="I511" s="3">
        <v>0</v>
      </c>
      <c r="J511" s="3">
        <v>-1.18231458113885E-2</v>
      </c>
      <c r="K511" s="3">
        <v>-1.15177565532081E-2</v>
      </c>
      <c r="L511" s="3">
        <v>2.1963735480912098E-6</v>
      </c>
      <c r="M511" s="3">
        <v>-6.0221012442043798E-4</v>
      </c>
      <c r="N511" s="3">
        <v>-9.3493440954674201E-4</v>
      </c>
      <c r="O511" s="3">
        <v>-9.3493440954651996E-4</v>
      </c>
      <c r="P511" s="3">
        <v>-9.3493440954674201E-4</v>
      </c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x14ac:dyDescent="0.45">
      <c r="A512" s="3" t="s">
        <v>78</v>
      </c>
      <c r="B512" s="3" t="s">
        <v>29</v>
      </c>
      <c r="C512" s="3" t="s">
        <v>16</v>
      </c>
      <c r="D512" s="3" t="s">
        <v>12</v>
      </c>
      <c r="E512" s="3" t="s">
        <v>8</v>
      </c>
      <c r="F512" s="3">
        <v>0</v>
      </c>
      <c r="G512" s="3">
        <v>-6.9875124883656006E-5</v>
      </c>
      <c r="H512" s="3">
        <v>-6.9875124883656006E-5</v>
      </c>
      <c r="I512" s="3">
        <v>-1.24589555014157E-2</v>
      </c>
      <c r="J512" s="3">
        <v>6.2336279796804095E-4</v>
      </c>
      <c r="K512" s="3">
        <v>-2.32996750084064E-4</v>
      </c>
      <c r="L512" s="3">
        <v>-1.4697222517355299E-3</v>
      </c>
      <c r="M512" s="3">
        <v>-3.5003969537526802E-4</v>
      </c>
      <c r="N512" s="3">
        <v>-1.9994399799716501E-5</v>
      </c>
      <c r="O512" s="3">
        <v>-2.54671015255253E-5</v>
      </c>
      <c r="P512" s="3">
        <v>-2.82354813689739E-5</v>
      </c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x14ac:dyDescent="0.45">
      <c r="A513" s="3" t="s">
        <v>78</v>
      </c>
      <c r="B513" s="3" t="s">
        <v>29</v>
      </c>
      <c r="C513" s="3" t="s">
        <v>16</v>
      </c>
      <c r="D513" s="3" t="s">
        <v>13</v>
      </c>
      <c r="E513" s="3" t="s">
        <v>8</v>
      </c>
      <c r="F513" s="3">
        <v>0</v>
      </c>
      <c r="G513" s="3">
        <v>1.06347527971229E-4</v>
      </c>
      <c r="H513" s="3">
        <v>1.06347527971229E-4</v>
      </c>
      <c r="I513" s="3">
        <v>-2.2464497038804702E-3</v>
      </c>
      <c r="J513" s="3">
        <v>-4.2582551190390996E-3</v>
      </c>
      <c r="K513" s="3">
        <v>-1.54716523579805E-3</v>
      </c>
      <c r="L513" s="3">
        <v>-7.7957238022327596E-5</v>
      </c>
      <c r="M513" s="3">
        <v>-1.0947963244106699E-5</v>
      </c>
      <c r="N513" s="3">
        <v>-8.2690442887861597E-6</v>
      </c>
      <c r="O513" s="3">
        <v>-2.7963432689404002E-6</v>
      </c>
      <c r="P513" s="3">
        <v>-2.7963432625011099E-8</v>
      </c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x14ac:dyDescent="0.45">
      <c r="A514" s="3" t="s">
        <v>78</v>
      </c>
      <c r="B514" s="3" t="s">
        <v>29</v>
      </c>
      <c r="C514" s="3" t="s">
        <v>16</v>
      </c>
      <c r="D514" s="3" t="s">
        <v>14</v>
      </c>
      <c r="E514" s="3" t="s">
        <v>8</v>
      </c>
      <c r="F514" s="3">
        <v>0</v>
      </c>
      <c r="G514" s="3">
        <v>-1.23327047013377E-2</v>
      </c>
      <c r="H514" s="3">
        <v>-1.23327047013377E-2</v>
      </c>
      <c r="I514" s="3">
        <v>-4.8756254477788502E-3</v>
      </c>
      <c r="J514" s="3">
        <v>-1.3964226879296899E-4</v>
      </c>
      <c r="K514" s="3">
        <v>-7.0986596063804498E-7</v>
      </c>
      <c r="L514" s="3">
        <v>-7.0986596739652796E-9</v>
      </c>
      <c r="M514" s="3">
        <v>-7.0986508338144499E-11</v>
      </c>
      <c r="N514" s="3">
        <v>-7.0984884636970896E-13</v>
      </c>
      <c r="O514" s="3">
        <v>-7.1331829332166308E-15</v>
      </c>
      <c r="P514" s="3">
        <v>0</v>
      </c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x14ac:dyDescent="0.45">
      <c r="A515" s="3" t="s">
        <v>78</v>
      </c>
      <c r="B515" s="3" t="s">
        <v>29</v>
      </c>
      <c r="C515" s="3" t="s">
        <v>17</v>
      </c>
      <c r="D515" s="3" t="s">
        <v>7</v>
      </c>
      <c r="E515" s="3" t="s">
        <v>8</v>
      </c>
      <c r="F515" s="3">
        <v>2.4442649363608002E-2</v>
      </c>
      <c r="G515" s="3">
        <v>5.6029601294071599E-2</v>
      </c>
      <c r="H515" s="3">
        <v>5.6029601294071599E-2</v>
      </c>
      <c r="I515" s="3">
        <v>7.4433619562515499E-2</v>
      </c>
      <c r="J515" s="3">
        <v>9.8410630264311696E-2</v>
      </c>
      <c r="K515" s="3">
        <v>0.130508806123109</v>
      </c>
      <c r="L515" s="3">
        <v>0.105054145279905</v>
      </c>
      <c r="M515" s="3">
        <v>8.5121758715325596E-2</v>
      </c>
      <c r="N515" s="3">
        <v>6.8787983794003096E-2</v>
      </c>
      <c r="O515" s="3">
        <v>5.5948884929212399E-2</v>
      </c>
      <c r="P515" s="3">
        <v>4.8694498616928102E-2</v>
      </c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x14ac:dyDescent="0.45">
      <c r="A516" s="3" t="s">
        <v>78</v>
      </c>
      <c r="B516" s="3" t="s">
        <v>29</v>
      </c>
      <c r="C516" s="3" t="s">
        <v>17</v>
      </c>
      <c r="D516" s="3" t="s">
        <v>9</v>
      </c>
      <c r="E516" s="3" t="s">
        <v>8</v>
      </c>
      <c r="F516" s="3">
        <v>0</v>
      </c>
      <c r="G516" s="3">
        <v>1.74466036329048E-3</v>
      </c>
      <c r="H516" s="3">
        <v>1.74466036329048E-3</v>
      </c>
      <c r="I516" s="3">
        <v>5.5848406864818202E-4</v>
      </c>
      <c r="J516" s="3">
        <v>9.9386518778497197E-3</v>
      </c>
      <c r="K516" s="3">
        <v>1.3631287295698E-2</v>
      </c>
      <c r="L516" s="3">
        <v>1.8818924997205801E-2</v>
      </c>
      <c r="M516" s="3">
        <v>2.2939758367531898E-2</v>
      </c>
      <c r="N516" s="3">
        <v>6.9243111758298698E-2</v>
      </c>
      <c r="O516" s="3">
        <v>7.7114104467629202E-2</v>
      </c>
      <c r="P516" s="3">
        <v>8.1132670631013898E-2</v>
      </c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x14ac:dyDescent="0.45">
      <c r="A517" s="3" t="s">
        <v>78</v>
      </c>
      <c r="B517" s="3" t="s">
        <v>29</v>
      </c>
      <c r="C517" s="3" t="s">
        <v>17</v>
      </c>
      <c r="D517" s="3" t="s">
        <v>10</v>
      </c>
      <c r="E517" s="3" t="s">
        <v>8</v>
      </c>
      <c r="F517" s="3">
        <v>0</v>
      </c>
      <c r="G517" s="3">
        <v>5.0449035457460201E-4</v>
      </c>
      <c r="H517" s="3">
        <v>5.0449035457460201E-4</v>
      </c>
      <c r="I517" s="3">
        <v>4.4143360845405998E-3</v>
      </c>
      <c r="J517" s="3">
        <v>3.44883947915363E-3</v>
      </c>
      <c r="K517" s="3">
        <v>8.5033418933361804E-3</v>
      </c>
      <c r="L517" s="3">
        <v>5.3969808834444903E-2</v>
      </c>
      <c r="M517" s="3">
        <v>5.7707670934960799E-2</v>
      </c>
      <c r="N517" s="3">
        <v>5.4954217207051903E-2</v>
      </c>
      <c r="O517" s="3">
        <v>5.6538086431175499E-2</v>
      </c>
      <c r="P517" s="3">
        <v>0.142249990237237</v>
      </c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x14ac:dyDescent="0.45">
      <c r="A518" s="3" t="s">
        <v>78</v>
      </c>
      <c r="B518" s="3" t="s">
        <v>29</v>
      </c>
      <c r="C518" s="3" t="s">
        <v>17</v>
      </c>
      <c r="D518" s="3" t="s">
        <v>11</v>
      </c>
      <c r="E518" s="3" t="s">
        <v>8</v>
      </c>
      <c r="F518" s="3">
        <v>0</v>
      </c>
      <c r="G518" s="3">
        <v>4.7937606092994501E-4</v>
      </c>
      <c r="H518" s="3">
        <v>4.7937606092994501E-4</v>
      </c>
      <c r="I518" s="3">
        <v>2.8471863676331598E-3</v>
      </c>
      <c r="J518" s="3">
        <v>4.9532215894023103E-2</v>
      </c>
      <c r="K518" s="3">
        <v>6.3460500340379006E-2</v>
      </c>
      <c r="L518" s="3">
        <v>4.89492806972118E-2</v>
      </c>
      <c r="M518" s="3">
        <v>0.110274951567881</v>
      </c>
      <c r="N518" s="3">
        <v>8.9595322445754702E-2</v>
      </c>
      <c r="O518" s="3">
        <v>9.4817320188997606E-2</v>
      </c>
      <c r="P518" s="3">
        <v>1.57727529606164E-2</v>
      </c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x14ac:dyDescent="0.45">
      <c r="A519" s="3" t="s">
        <v>78</v>
      </c>
      <c r="B519" s="3" t="s">
        <v>29</v>
      </c>
      <c r="C519" s="3" t="s">
        <v>17</v>
      </c>
      <c r="D519" s="3" t="s">
        <v>12</v>
      </c>
      <c r="E519" s="3" t="s">
        <v>8</v>
      </c>
      <c r="F519" s="3">
        <v>0</v>
      </c>
      <c r="G519" s="3">
        <v>7.3114560567436699E-4</v>
      </c>
      <c r="H519" s="3">
        <v>7.3114560567436699E-4</v>
      </c>
      <c r="I519" s="3">
        <v>4.5024516201130502E-2</v>
      </c>
      <c r="J519" s="3">
        <v>3.7695480896170003E-2</v>
      </c>
      <c r="K519" s="3">
        <v>5.1614017076600301E-2</v>
      </c>
      <c r="L519" s="3">
        <v>5.4709430961032403E-2</v>
      </c>
      <c r="M519" s="3">
        <v>1.6911927118836802E-2</v>
      </c>
      <c r="N519" s="3">
        <v>2.1130173267928799E-2</v>
      </c>
      <c r="O519" s="3">
        <v>2.53098766988686E-2</v>
      </c>
      <c r="P519" s="3">
        <v>2.4144169142472999E-2</v>
      </c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x14ac:dyDescent="0.45">
      <c r="A520" s="3" t="s">
        <v>78</v>
      </c>
      <c r="B520" s="3" t="s">
        <v>29</v>
      </c>
      <c r="C520" s="3" t="s">
        <v>17</v>
      </c>
      <c r="D520" s="3" t="s">
        <v>13</v>
      </c>
      <c r="E520" s="3" t="s">
        <v>8</v>
      </c>
      <c r="F520" s="3">
        <v>0</v>
      </c>
      <c r="G520" s="3">
        <v>8.6561554701940595E-3</v>
      </c>
      <c r="H520" s="3">
        <v>8.6561554701940595E-3</v>
      </c>
      <c r="I520" s="3">
        <v>0.11875711157343199</v>
      </c>
      <c r="J520" s="3">
        <v>9.3788559490467299E-2</v>
      </c>
      <c r="K520" s="3">
        <v>4.1971704221974403E-2</v>
      </c>
      <c r="L520" s="3">
        <v>3.1929224927289397E-2</v>
      </c>
      <c r="M520" s="3">
        <v>2.1442168089802802E-2</v>
      </c>
      <c r="N520" s="3">
        <v>1.06966211561231E-2</v>
      </c>
      <c r="O520" s="3">
        <v>4.68125258991653E-3</v>
      </c>
      <c r="P520" s="3">
        <v>2.41565631434026E-3</v>
      </c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x14ac:dyDescent="0.45">
      <c r="A521" s="3" t="s">
        <v>78</v>
      </c>
      <c r="B521" s="3" t="s">
        <v>29</v>
      </c>
      <c r="C521" s="3" t="s">
        <v>17</v>
      </c>
      <c r="D521" s="3" t="s">
        <v>14</v>
      </c>
      <c r="E521" s="3" t="s">
        <v>8</v>
      </c>
      <c r="F521" s="3">
        <v>0</v>
      </c>
      <c r="G521" s="3">
        <v>4.13998056866147E-2</v>
      </c>
      <c r="H521" s="3">
        <v>4.13998056866147E-2</v>
      </c>
      <c r="I521" s="3">
        <v>5.8639835822099598E-2</v>
      </c>
      <c r="J521" s="3">
        <v>2.11147935757331E-2</v>
      </c>
      <c r="K521" s="3">
        <v>4.71595160321825E-3</v>
      </c>
      <c r="L521" s="3">
        <v>9.7891194301952299E-4</v>
      </c>
      <c r="M521" s="3">
        <v>1.16536727666761E-5</v>
      </c>
      <c r="N521" s="3">
        <v>2.45894055234119E-6</v>
      </c>
      <c r="O521" s="3">
        <v>3.6326493701999098E-7</v>
      </c>
      <c r="P521" s="3">
        <v>1.5066813913167099E-7</v>
      </c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x14ac:dyDescent="0.45">
      <c r="A522" s="3" t="s">
        <v>78</v>
      </c>
      <c r="B522" s="3" t="s">
        <v>29</v>
      </c>
      <c r="C522" s="3" t="s">
        <v>18</v>
      </c>
      <c r="D522" s="3" t="s">
        <v>7</v>
      </c>
      <c r="E522" s="3" t="s">
        <v>8</v>
      </c>
      <c r="F522" s="3">
        <v>0.24962789428586599</v>
      </c>
      <c r="G522" s="3">
        <v>0.18657290482757299</v>
      </c>
      <c r="H522" s="3">
        <v>0.18657290482757299</v>
      </c>
      <c r="I522" s="3">
        <v>0.12438193655171501</v>
      </c>
      <c r="J522" s="3">
        <v>6.2190968275857697E-2</v>
      </c>
      <c r="K522" s="3">
        <v>0</v>
      </c>
      <c r="L522" s="3">
        <v>1.4424976300122301E-16</v>
      </c>
      <c r="M522" s="3">
        <v>0</v>
      </c>
      <c r="N522" s="3">
        <v>2.40416271668705E-17</v>
      </c>
      <c r="O522" s="3">
        <v>0</v>
      </c>
      <c r="P522" s="3">
        <v>9.61665086674819E-17</v>
      </c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x14ac:dyDescent="0.45">
      <c r="A523" s="3" t="s">
        <v>78</v>
      </c>
      <c r="B523" s="3" t="s">
        <v>29</v>
      </c>
      <c r="C523" s="3" t="s">
        <v>18</v>
      </c>
      <c r="D523" s="3" t="s">
        <v>9</v>
      </c>
      <c r="E523" s="3" t="s">
        <v>8</v>
      </c>
      <c r="F523" s="3">
        <v>0</v>
      </c>
      <c r="G523" s="3">
        <v>0</v>
      </c>
      <c r="H523" s="3">
        <v>0</v>
      </c>
      <c r="I523" s="3">
        <v>0</v>
      </c>
      <c r="J523" s="3">
        <v>-2.1510571102112401E-16</v>
      </c>
      <c r="K523" s="3">
        <v>0</v>
      </c>
      <c r="L523" s="3">
        <v>-4.8083254333740901E-17</v>
      </c>
      <c r="M523" s="3">
        <v>2.40416271668705E-17</v>
      </c>
      <c r="N523" s="3">
        <v>-2.40416271668705E-17</v>
      </c>
      <c r="O523" s="3">
        <v>2.40416271668705E-17</v>
      </c>
      <c r="P523" s="3">
        <v>-9.61665086674819E-17</v>
      </c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x14ac:dyDescent="0.45">
      <c r="A524" s="3" t="s">
        <v>78</v>
      </c>
      <c r="B524" s="3" t="s">
        <v>29</v>
      </c>
      <c r="C524" s="3" t="s">
        <v>18</v>
      </c>
      <c r="D524" s="3" t="s">
        <v>10</v>
      </c>
      <c r="E524" s="3" t="s">
        <v>8</v>
      </c>
      <c r="F524" s="3">
        <v>0</v>
      </c>
      <c r="G524" s="3">
        <v>0</v>
      </c>
      <c r="H524" s="3">
        <v>0</v>
      </c>
      <c r="I524" s="3">
        <v>0</v>
      </c>
      <c r="J524" s="3">
        <v>2.1510571102112401E-16</v>
      </c>
      <c r="K524" s="3">
        <v>1.4424976300122301E-16</v>
      </c>
      <c r="L524" s="3">
        <v>-9.61665086674819E-17</v>
      </c>
      <c r="M524" s="3">
        <v>-2.40416271668705E-17</v>
      </c>
      <c r="N524" s="3">
        <v>0</v>
      </c>
      <c r="O524" s="3">
        <v>-2.40416271668705E-17</v>
      </c>
      <c r="P524" s="3">
        <v>0</v>
      </c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x14ac:dyDescent="0.45">
      <c r="A525" s="3" t="s">
        <v>78</v>
      </c>
      <c r="B525" s="3" t="s">
        <v>29</v>
      </c>
      <c r="C525" s="3" t="s">
        <v>18</v>
      </c>
      <c r="D525" s="3" t="s">
        <v>11</v>
      </c>
      <c r="E525" s="3" t="s">
        <v>8</v>
      </c>
      <c r="F525" s="3">
        <v>0</v>
      </c>
      <c r="G525" s="3">
        <v>2.2204460492503101E-16</v>
      </c>
      <c r="H525" s="3">
        <v>2.2204460492503101E-16</v>
      </c>
      <c r="I525" s="3">
        <v>0</v>
      </c>
      <c r="J525" s="3">
        <v>0</v>
      </c>
      <c r="K525" s="3">
        <v>-4.8083254333740901E-17</v>
      </c>
      <c r="L525" s="3">
        <v>4.8083254333740901E-17</v>
      </c>
      <c r="M525" s="3">
        <v>1.20208135834352E-16</v>
      </c>
      <c r="N525" s="3">
        <v>2.40416271668705E-17</v>
      </c>
      <c r="O525" s="3">
        <v>1.4424976300122301E-16</v>
      </c>
      <c r="P525" s="3">
        <v>0</v>
      </c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x14ac:dyDescent="0.45">
      <c r="A526" s="3" t="s">
        <v>78</v>
      </c>
      <c r="B526" s="3" t="s">
        <v>29</v>
      </c>
      <c r="C526" s="3" t="s">
        <v>18</v>
      </c>
      <c r="D526" s="3" t="s">
        <v>12</v>
      </c>
      <c r="E526" s="3" t="s">
        <v>8</v>
      </c>
      <c r="F526" s="3">
        <v>0</v>
      </c>
      <c r="G526" s="3">
        <v>0</v>
      </c>
      <c r="H526" s="3">
        <v>0</v>
      </c>
      <c r="I526" s="3">
        <v>2.2204460492503101E-16</v>
      </c>
      <c r="J526" s="3">
        <v>2.2204460492503101E-16</v>
      </c>
      <c r="K526" s="3">
        <v>-9.61665086674819E-17</v>
      </c>
      <c r="L526" s="3">
        <v>-4.8083254333740901E-17</v>
      </c>
      <c r="M526" s="3">
        <v>9.61665086674819E-17</v>
      </c>
      <c r="N526" s="3">
        <v>9.6166508667481703E-17</v>
      </c>
      <c r="O526" s="3">
        <v>7.2124881500611394E-17</v>
      </c>
      <c r="P526" s="3">
        <v>0</v>
      </c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x14ac:dyDescent="0.45">
      <c r="A527" s="3" t="s">
        <v>78</v>
      </c>
      <c r="B527" s="3" t="s">
        <v>29</v>
      </c>
      <c r="C527" s="3" t="s">
        <v>18</v>
      </c>
      <c r="D527" s="3" t="s">
        <v>13</v>
      </c>
      <c r="E527" s="3" t="s">
        <v>8</v>
      </c>
      <c r="F527" s="3">
        <v>0</v>
      </c>
      <c r="G527" s="3">
        <v>0</v>
      </c>
      <c r="H527" s="3">
        <v>0</v>
      </c>
      <c r="I527" s="3">
        <v>-2.2204460492503101E-16</v>
      </c>
      <c r="J527" s="3">
        <v>2.1510571102112401E-16</v>
      </c>
      <c r="K527" s="3">
        <v>4.8083254333740901E-17</v>
      </c>
      <c r="L527" s="3">
        <v>9.61665086674819E-17</v>
      </c>
      <c r="M527" s="3">
        <v>-4.8083254333740901E-17</v>
      </c>
      <c r="N527" s="3">
        <v>-2.4041627166870299E-17</v>
      </c>
      <c r="O527" s="3">
        <v>-1.6829139016809301E-16</v>
      </c>
      <c r="P527" s="3">
        <v>1.4424976300122301E-16</v>
      </c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x14ac:dyDescent="0.45">
      <c r="A528" s="3" t="s">
        <v>78</v>
      </c>
      <c r="B528" s="3" t="s">
        <v>29</v>
      </c>
      <c r="C528" s="3" t="s">
        <v>18</v>
      </c>
      <c r="D528" s="3" t="s">
        <v>14</v>
      </c>
      <c r="E528" s="3" t="s">
        <v>8</v>
      </c>
      <c r="F528" s="3">
        <v>0</v>
      </c>
      <c r="G528" s="3">
        <v>0</v>
      </c>
      <c r="H528" s="3">
        <v>0</v>
      </c>
      <c r="I528" s="3">
        <v>0</v>
      </c>
      <c r="J528" s="3">
        <v>-4.3715031594615499E-16</v>
      </c>
      <c r="K528" s="3">
        <v>-4.8083254333740901E-17</v>
      </c>
      <c r="L528" s="3">
        <v>1.4424976300122301E-16</v>
      </c>
      <c r="M528" s="3">
        <v>1.2020813583435301E-16</v>
      </c>
      <c r="N528" s="3">
        <v>-9.61665086674819E-17</v>
      </c>
      <c r="O528" s="3">
        <v>-4.8083254333740901E-17</v>
      </c>
      <c r="P528" s="3">
        <v>2.40416271668704E-16</v>
      </c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x14ac:dyDescent="0.45">
      <c r="A529" s="3" t="s">
        <v>78</v>
      </c>
      <c r="B529" s="3" t="s">
        <v>29</v>
      </c>
      <c r="C529" s="3" t="s">
        <v>19</v>
      </c>
      <c r="D529" s="3" t="s">
        <v>7</v>
      </c>
      <c r="E529" s="3" t="s">
        <v>8</v>
      </c>
      <c r="F529" s="3">
        <v>9.0048471586646403E-3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4.8199349898882899E-4</v>
      </c>
      <c r="O529" s="3">
        <v>0</v>
      </c>
      <c r="P529" s="3">
        <v>1.5069750517287201E-3</v>
      </c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x14ac:dyDescent="0.45">
      <c r="A530" s="3" t="s">
        <v>78</v>
      </c>
      <c r="B530" s="3" t="s">
        <v>29</v>
      </c>
      <c r="C530" s="3" t="s">
        <v>19</v>
      </c>
      <c r="D530" s="3" t="s">
        <v>9</v>
      </c>
      <c r="E530" s="3" t="s">
        <v>8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2.8327626031302601E-3</v>
      </c>
      <c r="O530" s="3">
        <v>3.4099312447957199E-3</v>
      </c>
      <c r="P530" s="3">
        <v>1.85609756256359E-3</v>
      </c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x14ac:dyDescent="0.45">
      <c r="A531" s="3" t="s">
        <v>78</v>
      </c>
      <c r="B531" s="3" t="s">
        <v>29</v>
      </c>
      <c r="C531" s="3" t="s">
        <v>19</v>
      </c>
      <c r="D531" s="3" t="s">
        <v>10</v>
      </c>
      <c r="E531" s="3" t="s">
        <v>8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1.64153452610908E-3</v>
      </c>
      <c r="M531" s="3">
        <v>2.77267379670139E-3</v>
      </c>
      <c r="N531" s="3">
        <v>1.8857699493274101E-2</v>
      </c>
      <c r="O531" s="3">
        <v>2.55692790470489E-2</v>
      </c>
      <c r="P531" s="3">
        <v>3.37512906879456E-2</v>
      </c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x14ac:dyDescent="0.45">
      <c r="A532" s="3" t="s">
        <v>78</v>
      </c>
      <c r="B532" s="3" t="s">
        <v>29</v>
      </c>
      <c r="C532" s="3" t="s">
        <v>19</v>
      </c>
      <c r="D532" s="3" t="s">
        <v>11</v>
      </c>
      <c r="E532" s="3" t="s">
        <v>8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2.2407724663449601E-2</v>
      </c>
      <c r="M532" s="3">
        <v>3.9667197497585301E-2</v>
      </c>
      <c r="N532" s="3">
        <v>4.3838279172657799E-2</v>
      </c>
      <c r="O532" s="3">
        <v>4.59898738511779E-2</v>
      </c>
      <c r="P532" s="3">
        <v>4.4325346290518701E-2</v>
      </c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x14ac:dyDescent="0.45">
      <c r="A533" s="3" t="s">
        <v>78</v>
      </c>
      <c r="B533" s="3" t="s">
        <v>29</v>
      </c>
      <c r="C533" s="3" t="s">
        <v>19</v>
      </c>
      <c r="D533" s="3" t="s">
        <v>12</v>
      </c>
      <c r="E533" s="3" t="s">
        <v>8</v>
      </c>
      <c r="F533" s="3">
        <v>0</v>
      </c>
      <c r="G533" s="3">
        <v>0</v>
      </c>
      <c r="H533" s="3">
        <v>0</v>
      </c>
      <c r="I533" s="3">
        <v>0</v>
      </c>
      <c r="J533" s="3">
        <v>1.8792019633073202E-2</v>
      </c>
      <c r="K533" s="3">
        <v>3.2358354590275203E-2</v>
      </c>
      <c r="L533" s="3">
        <v>5.5272557373673599E-2</v>
      </c>
      <c r="M533" s="3">
        <v>4.9503848092459002E-2</v>
      </c>
      <c r="N533" s="3">
        <v>4.8898199876296698E-2</v>
      </c>
      <c r="O533" s="3">
        <v>5.1156840542845201E-2</v>
      </c>
      <c r="P533" s="3">
        <v>4.8276226757088203E-2</v>
      </c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x14ac:dyDescent="0.45">
      <c r="A534" s="3" t="s">
        <v>78</v>
      </c>
      <c r="B534" s="3" t="s">
        <v>29</v>
      </c>
      <c r="C534" s="3" t="s">
        <v>19</v>
      </c>
      <c r="D534" s="3" t="s">
        <v>13</v>
      </c>
      <c r="E534" s="3" t="s">
        <v>8</v>
      </c>
      <c r="F534" s="3">
        <v>0</v>
      </c>
      <c r="G534" s="3">
        <v>0</v>
      </c>
      <c r="H534" s="3">
        <v>0</v>
      </c>
      <c r="I534" s="3">
        <v>4.3151849292166498E-2</v>
      </c>
      <c r="J534" s="3">
        <v>0.16360629895686299</v>
      </c>
      <c r="K534" s="3">
        <v>0.17035831593787401</v>
      </c>
      <c r="L534" s="3">
        <v>0.111863309203676</v>
      </c>
      <c r="M534" s="3">
        <v>7.2725609768617097E-2</v>
      </c>
      <c r="N534" s="3">
        <v>2.7386413277297701E-2</v>
      </c>
      <c r="O534" s="3">
        <v>1.29460388758345E-2</v>
      </c>
      <c r="P534" s="3">
        <v>5.8620251096161398E-3</v>
      </c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x14ac:dyDescent="0.45">
      <c r="A535" s="3" t="s">
        <v>78</v>
      </c>
      <c r="B535" s="3" t="s">
        <v>29</v>
      </c>
      <c r="C535" s="3" t="s">
        <v>19</v>
      </c>
      <c r="D535" s="3" t="s">
        <v>14</v>
      </c>
      <c r="E535" s="3" t="s">
        <v>8</v>
      </c>
      <c r="F535" s="3">
        <v>0</v>
      </c>
      <c r="G535" s="3">
        <v>1.7990193314432999E-2</v>
      </c>
      <c r="H535" s="3">
        <v>1.7990193314432999E-2</v>
      </c>
      <c r="I535" s="3">
        <v>0.26630818555589703</v>
      </c>
      <c r="J535" s="3">
        <v>0.12092598806487601</v>
      </c>
      <c r="K535" s="3">
        <v>7.0224612141081999E-2</v>
      </c>
      <c r="L535" s="3">
        <v>6.7575457022124294E-2</v>
      </c>
      <c r="M535" s="3">
        <v>7.5612662825423796E-2</v>
      </c>
      <c r="N535" s="3">
        <v>7.2102391047299097E-2</v>
      </c>
      <c r="O535" s="3">
        <v>5.9529571101178798E-2</v>
      </c>
      <c r="P535" s="3">
        <v>6.0594943645602403E-2</v>
      </c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x14ac:dyDescent="0.45">
      <c r="A536" s="3" t="s">
        <v>79</v>
      </c>
      <c r="B536" s="3" t="s">
        <v>29</v>
      </c>
      <c r="C536" s="3" t="s">
        <v>6</v>
      </c>
      <c r="D536" s="3" t="s">
        <v>7</v>
      </c>
      <c r="E536" s="3" t="s">
        <v>8</v>
      </c>
      <c r="F536" s="3">
        <v>0</v>
      </c>
      <c r="G536" s="3">
        <v>0</v>
      </c>
      <c r="H536" s="3">
        <v>0</v>
      </c>
      <c r="I536" s="3">
        <v>0</v>
      </c>
      <c r="J536" s="3">
        <v>5.3862117249036095E-4</v>
      </c>
      <c r="K536" s="3">
        <v>7.3955320281090696E-4</v>
      </c>
      <c r="L536" s="3">
        <v>1.82512831768431E-4</v>
      </c>
      <c r="M536" s="3">
        <v>1.8251283176843201E-4</v>
      </c>
      <c r="N536" s="3">
        <v>1.4743058886215101E-4</v>
      </c>
      <c r="O536" s="3">
        <v>1.17938947106316E-4</v>
      </c>
      <c r="P536" s="3">
        <v>9.4496836890722898E-5</v>
      </c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x14ac:dyDescent="0.45">
      <c r="A537" s="3" t="s">
        <v>79</v>
      </c>
      <c r="B537" s="3" t="s">
        <v>29</v>
      </c>
      <c r="C537" s="3" t="s">
        <v>6</v>
      </c>
      <c r="D537" s="3" t="s">
        <v>9</v>
      </c>
      <c r="E537" s="3" t="s">
        <v>8</v>
      </c>
      <c r="F537" s="3">
        <v>0</v>
      </c>
      <c r="G537" s="3">
        <v>0</v>
      </c>
      <c r="H537" s="3">
        <v>0</v>
      </c>
      <c r="I537" s="3">
        <v>0</v>
      </c>
      <c r="J537" s="3">
        <v>5.0729561409043004E-4</v>
      </c>
      <c r="K537" s="3">
        <v>1.22198458345535E-3</v>
      </c>
      <c r="L537" s="3">
        <v>1.5253110612208499E-3</v>
      </c>
      <c r="M537" s="3">
        <v>1.5253110612208499E-3</v>
      </c>
      <c r="N537" s="3">
        <v>1.4780705424215299E-3</v>
      </c>
      <c r="O537" s="3">
        <v>1.50669265513622E-3</v>
      </c>
      <c r="P537" s="3">
        <v>1.53013476535181E-3</v>
      </c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x14ac:dyDescent="0.45">
      <c r="A538" s="3" t="s">
        <v>79</v>
      </c>
      <c r="B538" s="3" t="s">
        <v>29</v>
      </c>
      <c r="C538" s="3" t="s">
        <v>6</v>
      </c>
      <c r="D538" s="3" t="s">
        <v>10</v>
      </c>
      <c r="E538" s="3" t="s">
        <v>8</v>
      </c>
      <c r="F538" s="3">
        <v>0</v>
      </c>
      <c r="G538" s="3">
        <v>0</v>
      </c>
      <c r="H538" s="3">
        <v>0</v>
      </c>
      <c r="I538" s="3">
        <v>6.0649102866838503E-5</v>
      </c>
      <c r="J538" s="3">
        <v>1.30792749138889E-3</v>
      </c>
      <c r="K538" s="3">
        <v>1.31878099277315E-3</v>
      </c>
      <c r="L538" s="3">
        <v>1.34487923354746E-3</v>
      </c>
      <c r="M538" s="3">
        <v>1.34487923354746E-3</v>
      </c>
      <c r="N538" s="3">
        <v>9.4687731048630104E-3</v>
      </c>
      <c r="O538" s="3">
        <v>2.14313629960022E-2</v>
      </c>
      <c r="P538" s="3">
        <v>6.65392617429999E-2</v>
      </c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x14ac:dyDescent="0.45">
      <c r="A539" s="3" t="s">
        <v>79</v>
      </c>
      <c r="B539" s="3" t="s">
        <v>29</v>
      </c>
      <c r="C539" s="3" t="s">
        <v>6</v>
      </c>
      <c r="D539" s="3" t="s">
        <v>11</v>
      </c>
      <c r="E539" s="3" t="s">
        <v>8</v>
      </c>
      <c r="F539" s="3">
        <v>0</v>
      </c>
      <c r="G539" s="3">
        <v>0</v>
      </c>
      <c r="H539" s="3">
        <v>0</v>
      </c>
      <c r="I539" s="3">
        <v>9.9612526249235689E-4</v>
      </c>
      <c r="J539" s="3">
        <v>1.3598381622112899E-3</v>
      </c>
      <c r="K539" s="3">
        <v>1.46906646287527E-3</v>
      </c>
      <c r="L539" s="3">
        <v>1.5691991828115402E-2</v>
      </c>
      <c r="M539" s="3">
        <v>6.4629083062228601E-2</v>
      </c>
      <c r="N539" s="3">
        <v>0.107468542328662</v>
      </c>
      <c r="O539" s="3">
        <v>0.14927948787441001</v>
      </c>
      <c r="P539" s="3">
        <v>0.21442879374660101</v>
      </c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x14ac:dyDescent="0.45">
      <c r="A540" s="3" t="s">
        <v>79</v>
      </c>
      <c r="B540" s="3" t="s">
        <v>29</v>
      </c>
      <c r="C540" s="3" t="s">
        <v>6</v>
      </c>
      <c r="D540" s="3" t="s">
        <v>12</v>
      </c>
      <c r="E540" s="3" t="s">
        <v>8</v>
      </c>
      <c r="F540" s="3">
        <v>0</v>
      </c>
      <c r="G540" s="3">
        <v>0</v>
      </c>
      <c r="H540" s="3">
        <v>0</v>
      </c>
      <c r="I540" s="3">
        <v>1.73715166964396E-3</v>
      </c>
      <c r="J540" s="3">
        <v>8.6826140844840707E-3</v>
      </c>
      <c r="K540" s="3">
        <v>6.3740854649058196E-2</v>
      </c>
      <c r="L540" s="3">
        <v>0.107106239345489</v>
      </c>
      <c r="M540" s="3">
        <v>0.23588198603567001</v>
      </c>
      <c r="N540" s="3">
        <v>0.38339187852627599</v>
      </c>
      <c r="O540" s="3">
        <v>0.52291090329134604</v>
      </c>
      <c r="P540" s="3">
        <v>0.59283314888901895</v>
      </c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x14ac:dyDescent="0.45">
      <c r="A541" s="3" t="s">
        <v>79</v>
      </c>
      <c r="B541" s="3" t="s">
        <v>29</v>
      </c>
      <c r="C541" s="3" t="s">
        <v>6</v>
      </c>
      <c r="D541" s="3" t="s">
        <v>13</v>
      </c>
      <c r="E541" s="3" t="s">
        <v>8</v>
      </c>
      <c r="F541" s="3">
        <v>0</v>
      </c>
      <c r="G541" s="3">
        <v>2.0439608072979099E-4</v>
      </c>
      <c r="H541" s="3">
        <v>2.0439608072979099E-4</v>
      </c>
      <c r="I541" s="3">
        <v>6.06206544905359E-2</v>
      </c>
      <c r="J541" s="3">
        <v>0.27109114491071001</v>
      </c>
      <c r="K541" s="3">
        <v>0.43650700618287203</v>
      </c>
      <c r="L541" s="3">
        <v>0.58777387922871904</v>
      </c>
      <c r="M541" s="3">
        <v>0.59254054514397503</v>
      </c>
      <c r="N541" s="3">
        <v>0.57153415704714206</v>
      </c>
      <c r="O541" s="3">
        <v>0.55973166567399002</v>
      </c>
      <c r="P541" s="3">
        <v>0.55803920497805004</v>
      </c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x14ac:dyDescent="0.45">
      <c r="A542" s="3" t="s">
        <v>79</v>
      </c>
      <c r="B542" s="3" t="s">
        <v>29</v>
      </c>
      <c r="C542" s="3" t="s">
        <v>6</v>
      </c>
      <c r="D542" s="3" t="s">
        <v>14</v>
      </c>
      <c r="E542" s="3" t="s">
        <v>8</v>
      </c>
      <c r="F542" s="3">
        <v>0</v>
      </c>
      <c r="G542" s="3">
        <v>7.7398200246533702E-3</v>
      </c>
      <c r="H542" s="3">
        <v>7.7398200246533702E-3</v>
      </c>
      <c r="I542" s="3">
        <v>0.18793774819704101</v>
      </c>
      <c r="J542" s="3">
        <v>0.198136030022142</v>
      </c>
      <c r="K542" s="3">
        <v>0.206121136537048</v>
      </c>
      <c r="L542" s="3">
        <v>0.23548482291461401</v>
      </c>
      <c r="M542" s="3">
        <v>0.30459554316056803</v>
      </c>
      <c r="N542" s="3">
        <v>0.39094079981879498</v>
      </c>
      <c r="O542" s="3">
        <v>0.46010368814987301</v>
      </c>
      <c r="P542" s="3">
        <v>0.50624473158570504</v>
      </c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x14ac:dyDescent="0.45">
      <c r="A543" s="3" t="s">
        <v>79</v>
      </c>
      <c r="B543" s="3" t="s">
        <v>29</v>
      </c>
      <c r="C543" s="3" t="s">
        <v>15</v>
      </c>
      <c r="D543" s="3" t="s">
        <v>7</v>
      </c>
      <c r="E543" s="3" t="s">
        <v>8</v>
      </c>
      <c r="F543" s="3">
        <v>0.32814490905736798</v>
      </c>
      <c r="G543" s="3">
        <v>0.36257243496782499</v>
      </c>
      <c r="H543" s="3">
        <v>0.36257243496782499</v>
      </c>
      <c r="I543" s="3">
        <v>0.38972489692283102</v>
      </c>
      <c r="J543" s="3">
        <v>0.41124813772086499</v>
      </c>
      <c r="K543" s="3">
        <v>0.431591650510803</v>
      </c>
      <c r="L543" s="3">
        <v>0.44901052126734398</v>
      </c>
      <c r="M543" s="3">
        <v>0.46812218668529598</v>
      </c>
      <c r="N543" s="3">
        <v>0.47660202670874102</v>
      </c>
      <c r="O543" s="3">
        <v>0.48547235011866502</v>
      </c>
      <c r="P543" s="3">
        <v>0.49281393828445302</v>
      </c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x14ac:dyDescent="0.45">
      <c r="A544" s="3" t="s">
        <v>79</v>
      </c>
      <c r="B544" s="3" t="s">
        <v>29</v>
      </c>
      <c r="C544" s="3" t="s">
        <v>15</v>
      </c>
      <c r="D544" s="3" t="s">
        <v>9</v>
      </c>
      <c r="E544" s="3" t="s">
        <v>8</v>
      </c>
      <c r="F544" s="3">
        <v>0</v>
      </c>
      <c r="G544" s="3">
        <v>-3.9913661900520302E-4</v>
      </c>
      <c r="H544" s="3">
        <v>-3.9913661900520302E-4</v>
      </c>
      <c r="I544" s="3">
        <v>-1.2013791808134801E-3</v>
      </c>
      <c r="J544" s="3">
        <v>-2.4747142662224198E-3</v>
      </c>
      <c r="K544" s="3">
        <v>-7.8424488290162997E-4</v>
      </c>
      <c r="L544" s="3">
        <v>-5.3262907895600996E-3</v>
      </c>
      <c r="M544" s="3">
        <v>-7.6815338938750997E-3</v>
      </c>
      <c r="N544" s="3">
        <v>-8.0319988943297598E-3</v>
      </c>
      <c r="O544" s="3">
        <v>-1.2478451424148501E-2</v>
      </c>
      <c r="P544" s="3">
        <v>-1.7275138849880901E-2</v>
      </c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x14ac:dyDescent="0.45">
      <c r="A545" s="3" t="s">
        <v>79</v>
      </c>
      <c r="B545" s="3" t="s">
        <v>29</v>
      </c>
      <c r="C545" s="3" t="s">
        <v>15</v>
      </c>
      <c r="D545" s="3" t="s">
        <v>10</v>
      </c>
      <c r="E545" s="3" t="s">
        <v>8</v>
      </c>
      <c r="F545" s="3">
        <v>0</v>
      </c>
      <c r="G545" s="3">
        <v>-7.3232891624752703E-6</v>
      </c>
      <c r="H545" s="3">
        <v>-7.3232891624752703E-6</v>
      </c>
      <c r="I545" s="3">
        <v>-4.8097569351934798E-4</v>
      </c>
      <c r="J545" s="3">
        <v>-1.64199442436069E-3</v>
      </c>
      <c r="K545" s="3">
        <v>-2.4338714031422702E-3</v>
      </c>
      <c r="L545" s="3">
        <v>-6.7894934068690705E-4</v>
      </c>
      <c r="M545" s="3">
        <v>-5.4268004868884799E-3</v>
      </c>
      <c r="N545" s="3">
        <v>4.3506278550158898E-3</v>
      </c>
      <c r="O545" s="3">
        <v>2.37435789907342E-3</v>
      </c>
      <c r="P545" s="3">
        <v>3.1570405840356001E-3</v>
      </c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x14ac:dyDescent="0.45">
      <c r="A546" s="3" t="s">
        <v>79</v>
      </c>
      <c r="B546" s="3" t="s">
        <v>29</v>
      </c>
      <c r="C546" s="3" t="s">
        <v>15</v>
      </c>
      <c r="D546" s="3" t="s">
        <v>11</v>
      </c>
      <c r="E546" s="3" t="s">
        <v>8</v>
      </c>
      <c r="F546" s="3">
        <v>0</v>
      </c>
      <c r="G546" s="3">
        <v>2.8720427888429E-5</v>
      </c>
      <c r="H546" s="3">
        <v>2.8720427888429E-5</v>
      </c>
      <c r="I546" s="3">
        <v>-6.0629853050164805E-4</v>
      </c>
      <c r="J546" s="3">
        <v>7.43499550685922E-4</v>
      </c>
      <c r="K546" s="3">
        <v>-1.4777815241284701E-3</v>
      </c>
      <c r="L546" s="3">
        <v>3.9924802657725399E-3</v>
      </c>
      <c r="M546" s="3">
        <v>1.0288468955205E-2</v>
      </c>
      <c r="N546" s="3">
        <v>6.0612988447519799E-3</v>
      </c>
      <c r="O546" s="3">
        <v>6.8715264807774901E-3</v>
      </c>
      <c r="P546" s="3">
        <v>7.8042066160441403E-3</v>
      </c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x14ac:dyDescent="0.45">
      <c r="A547" s="3" t="s">
        <v>79</v>
      </c>
      <c r="B547" s="3" t="s">
        <v>29</v>
      </c>
      <c r="C547" s="3" t="s">
        <v>15</v>
      </c>
      <c r="D547" s="3" t="s">
        <v>12</v>
      </c>
      <c r="E547" s="3" t="s">
        <v>8</v>
      </c>
      <c r="F547" s="3">
        <v>0</v>
      </c>
      <c r="G547" s="3">
        <v>1.23344858664054E-5</v>
      </c>
      <c r="H547" s="3">
        <v>1.23344858664054E-5</v>
      </c>
      <c r="I547" s="3">
        <v>-2.04813378652374E-3</v>
      </c>
      <c r="J547" s="3">
        <v>-3.3423430913875901E-4</v>
      </c>
      <c r="K547" s="3">
        <v>1.6296638709594899E-2</v>
      </c>
      <c r="L547" s="3">
        <v>1.6378911903719401E-2</v>
      </c>
      <c r="M547" s="3">
        <v>1.59067114712713E-2</v>
      </c>
      <c r="N547" s="3">
        <v>9.5776174505565696E-3</v>
      </c>
      <c r="O547" s="3">
        <v>1.19306113180763E-2</v>
      </c>
      <c r="P547" s="3">
        <v>1.18709437340249E-2</v>
      </c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x14ac:dyDescent="0.45">
      <c r="A548" s="3" t="s">
        <v>79</v>
      </c>
      <c r="B548" s="3" t="s">
        <v>29</v>
      </c>
      <c r="C548" s="3" t="s">
        <v>15</v>
      </c>
      <c r="D548" s="3" t="s">
        <v>13</v>
      </c>
      <c r="E548" s="3" t="s">
        <v>8</v>
      </c>
      <c r="F548" s="3">
        <v>0</v>
      </c>
      <c r="G548" s="3">
        <v>-2.6419434617972501E-3</v>
      </c>
      <c r="H548" s="3">
        <v>-2.6419434617972501E-3</v>
      </c>
      <c r="I548" s="3">
        <v>2.1081078824855898E-2</v>
      </c>
      <c r="J548" s="3">
        <v>2.22006582579935E-2</v>
      </c>
      <c r="K548" s="3">
        <v>2.2374850903260101E-3</v>
      </c>
      <c r="L548" s="3">
        <v>-7.8319949238114795E-4</v>
      </c>
      <c r="M548" s="3">
        <v>1.5284841922432199E-3</v>
      </c>
      <c r="N548" s="3">
        <v>8.8727948446271597E-3</v>
      </c>
      <c r="O548" s="3">
        <v>9.2586431531915293E-3</v>
      </c>
      <c r="P548" s="3">
        <v>7.7500002283548697E-3</v>
      </c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x14ac:dyDescent="0.45">
      <c r="A549" s="3" t="s">
        <v>79</v>
      </c>
      <c r="B549" s="3" t="s">
        <v>29</v>
      </c>
      <c r="C549" s="3" t="s">
        <v>15</v>
      </c>
      <c r="D549" s="3" t="s">
        <v>14</v>
      </c>
      <c r="E549" s="3" t="s">
        <v>8</v>
      </c>
      <c r="F549" s="3">
        <v>0</v>
      </c>
      <c r="G549" s="3">
        <v>6.3340664811863999E-3</v>
      </c>
      <c r="H549" s="3">
        <v>6.3340664811863999E-3</v>
      </c>
      <c r="I549" s="3">
        <v>-1.17641605110226E-2</v>
      </c>
      <c r="J549" s="3">
        <v>-2.0708846582348599E-2</v>
      </c>
      <c r="K549" s="3">
        <v>-2.36467463542313E-2</v>
      </c>
      <c r="L549" s="3">
        <v>-3.1123553253208099E-2</v>
      </c>
      <c r="M549" s="3">
        <v>-3.6581171031236703E-2</v>
      </c>
      <c r="N549" s="3">
        <v>-3.57721444836262E-2</v>
      </c>
      <c r="O549" s="3">
        <v>-3.07842081922995E-2</v>
      </c>
      <c r="P549" s="3">
        <v>-3.08438560779263E-2</v>
      </c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x14ac:dyDescent="0.45">
      <c r="A550" s="3" t="s">
        <v>79</v>
      </c>
      <c r="B550" s="3" t="s">
        <v>29</v>
      </c>
      <c r="C550" s="3" t="s">
        <v>16</v>
      </c>
      <c r="D550" s="3" t="s">
        <v>7</v>
      </c>
      <c r="E550" s="3" t="s">
        <v>8</v>
      </c>
      <c r="F550" s="3">
        <v>0.140081922980059</v>
      </c>
      <c r="G550" s="3">
        <v>0.14953775727686799</v>
      </c>
      <c r="H550" s="3">
        <v>0.14953775727686799</v>
      </c>
      <c r="I550" s="3">
        <v>0.14458713686930999</v>
      </c>
      <c r="J550" s="3">
        <v>0.139959752976753</v>
      </c>
      <c r="K550" s="3">
        <v>0.138037811623967</v>
      </c>
      <c r="L550" s="3">
        <v>0.13765237482833201</v>
      </c>
      <c r="M550" s="3">
        <v>0.13669317209567</v>
      </c>
      <c r="N550" s="3">
        <v>0.13643821413621099</v>
      </c>
      <c r="O550" s="3">
        <v>0.13643821413621099</v>
      </c>
      <c r="P550" s="3">
        <v>0.13643821413621099</v>
      </c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x14ac:dyDescent="0.45">
      <c r="A551" s="3" t="s">
        <v>79</v>
      </c>
      <c r="B551" s="3" t="s">
        <v>29</v>
      </c>
      <c r="C551" s="3" t="s">
        <v>16</v>
      </c>
      <c r="D551" s="3" t="s">
        <v>9</v>
      </c>
      <c r="E551" s="3" t="s">
        <v>8</v>
      </c>
      <c r="F551" s="3">
        <v>0</v>
      </c>
      <c r="G551" s="3">
        <v>-3.7041200412590799E-5</v>
      </c>
      <c r="H551" s="3">
        <v>-3.7041200412590799E-5</v>
      </c>
      <c r="I551" s="3">
        <v>0</v>
      </c>
      <c r="J551" s="3">
        <v>2.66979049949517E-4</v>
      </c>
      <c r="K551" s="3">
        <v>4.3018199402306001E-5</v>
      </c>
      <c r="L551" s="3">
        <v>2.7282510225573597E-4</v>
      </c>
      <c r="M551" s="3">
        <v>5.3481717332434797E-4</v>
      </c>
      <c r="N551" s="3">
        <v>-1.1240076011660599E-2</v>
      </c>
      <c r="O551" s="3">
        <v>-1.1240076011660801E-2</v>
      </c>
      <c r="P551" s="3">
        <v>-1.1240076011660801E-2</v>
      </c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x14ac:dyDescent="0.45">
      <c r="A552" s="3" t="s">
        <v>79</v>
      </c>
      <c r="B552" s="3" t="s">
        <v>29</v>
      </c>
      <c r="C552" s="3" t="s">
        <v>16</v>
      </c>
      <c r="D552" s="3" t="s">
        <v>10</v>
      </c>
      <c r="E552" s="3" t="s">
        <v>8</v>
      </c>
      <c r="F552" s="3">
        <v>0</v>
      </c>
      <c r="G552" s="3">
        <v>-1.94289029309402E-16</v>
      </c>
      <c r="H552" s="3">
        <v>-1.94289029309402E-16</v>
      </c>
      <c r="I552" s="3">
        <v>0</v>
      </c>
      <c r="J552" s="3">
        <v>2.61546039239613E-4</v>
      </c>
      <c r="K552" s="3">
        <v>7.2218416392461098E-5</v>
      </c>
      <c r="L552" s="3">
        <v>-1.1708586592351499E-2</v>
      </c>
      <c r="M552" s="3">
        <v>-1.16027493361433E-2</v>
      </c>
      <c r="N552" s="3">
        <v>4.2710180830116102E-4</v>
      </c>
      <c r="O552" s="3">
        <v>4.2710180830093897E-4</v>
      </c>
      <c r="P552" s="3">
        <v>4.2710180830116102E-4</v>
      </c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x14ac:dyDescent="0.45">
      <c r="A553" s="3" t="s">
        <v>79</v>
      </c>
      <c r="B553" s="3" t="s">
        <v>29</v>
      </c>
      <c r="C553" s="3" t="s">
        <v>16</v>
      </c>
      <c r="D553" s="3" t="s">
        <v>11</v>
      </c>
      <c r="E553" s="3" t="s">
        <v>8</v>
      </c>
      <c r="F553" s="3">
        <v>0</v>
      </c>
      <c r="G553" s="3">
        <v>1.94289029309402E-16</v>
      </c>
      <c r="H553" s="3">
        <v>1.94289029309402E-16</v>
      </c>
      <c r="I553" s="3">
        <v>0</v>
      </c>
      <c r="J553" s="3">
        <v>-1.2007531076449701E-2</v>
      </c>
      <c r="K553" s="3">
        <v>-1.16973791873914E-2</v>
      </c>
      <c r="L553" s="3">
        <v>2.2306266077298802E-6</v>
      </c>
      <c r="M553" s="3">
        <v>-6.1160175970811903E-4</v>
      </c>
      <c r="N553" s="3">
        <v>-9.4951497310141698E-4</v>
      </c>
      <c r="O553" s="3">
        <v>-9.4951497310119504E-4</v>
      </c>
      <c r="P553" s="3">
        <v>-9.4951497310141698E-4</v>
      </c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x14ac:dyDescent="0.45">
      <c r="A554" s="3" t="s">
        <v>79</v>
      </c>
      <c r="B554" s="3" t="s">
        <v>29</v>
      </c>
      <c r="C554" s="3" t="s">
        <v>16</v>
      </c>
      <c r="D554" s="3" t="s">
        <v>12</v>
      </c>
      <c r="E554" s="3" t="s">
        <v>8</v>
      </c>
      <c r="F554" s="3">
        <v>0</v>
      </c>
      <c r="G554" s="3">
        <v>-7.0964846995535998E-5</v>
      </c>
      <c r="H554" s="3">
        <v>-7.0964846995535998E-5</v>
      </c>
      <c r="I554" s="3">
        <v>-1.2653256396385801E-2</v>
      </c>
      <c r="J554" s="3">
        <v>6.3308431511469E-4</v>
      </c>
      <c r="K554" s="3">
        <v>-2.3663039955501599E-4</v>
      </c>
      <c r="L554" s="3">
        <v>-1.4926429812330601E-3</v>
      </c>
      <c r="M554" s="3">
        <v>-3.5549866230703798E-4</v>
      </c>
      <c r="N554" s="3">
        <v>-2.0306218055682301E-5</v>
      </c>
      <c r="O554" s="3">
        <v>-2.5864268095240901E-5</v>
      </c>
      <c r="P554" s="3">
        <v>-2.8675821596477201E-5</v>
      </c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x14ac:dyDescent="0.45">
      <c r="A555" s="3" t="s">
        <v>79</v>
      </c>
      <c r="B555" s="3" t="s">
        <v>29</v>
      </c>
      <c r="C555" s="3" t="s">
        <v>16</v>
      </c>
      <c r="D555" s="3" t="s">
        <v>13</v>
      </c>
      <c r="E555" s="3" t="s">
        <v>8</v>
      </c>
      <c r="F555" s="3">
        <v>0</v>
      </c>
      <c r="G555" s="3">
        <v>1.0800604740812699E-4</v>
      </c>
      <c r="H555" s="3">
        <v>1.0800604740812699E-4</v>
      </c>
      <c r="I555" s="3">
        <v>-2.2814837151922101E-3</v>
      </c>
      <c r="J555" s="3">
        <v>-4.3246637983659101E-3</v>
      </c>
      <c r="K555" s="3">
        <v>-1.5712937102875799E-3</v>
      </c>
      <c r="L555" s="3">
        <v>-7.9173002948629306E-5</v>
      </c>
      <c r="M555" s="3">
        <v>-1.11186997923118E-5</v>
      </c>
      <c r="N555" s="3">
        <v>-8.3980023467544706E-6</v>
      </c>
      <c r="O555" s="3">
        <v>-2.83995302416407E-6</v>
      </c>
      <c r="P555" s="3">
        <v>-2.83995301719742E-8</v>
      </c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x14ac:dyDescent="0.45">
      <c r="A556" s="3" t="s">
        <v>79</v>
      </c>
      <c r="B556" s="3" t="s">
        <v>29</v>
      </c>
      <c r="C556" s="3" t="s">
        <v>16</v>
      </c>
      <c r="D556" s="3" t="s">
        <v>14</v>
      </c>
      <c r="E556" s="3" t="s">
        <v>8</v>
      </c>
      <c r="F556" s="3">
        <v>0</v>
      </c>
      <c r="G556" s="3">
        <v>-1.2525036679776801E-2</v>
      </c>
      <c r="H556" s="3">
        <v>-1.2525036679776801E-2</v>
      </c>
      <c r="I556" s="3">
        <v>-4.9516621900189796E-3</v>
      </c>
      <c r="J556" s="3">
        <v>-1.41820029023271E-4</v>
      </c>
      <c r="K556" s="3">
        <v>-7.2093651880267295E-7</v>
      </c>
      <c r="L556" s="3">
        <v>-7.2093652575544503E-9</v>
      </c>
      <c r="M556" s="3">
        <v>-7.2093567227149397E-11</v>
      </c>
      <c r="N556" s="3">
        <v>-7.20923321040345E-13</v>
      </c>
      <c r="O556" s="3">
        <v>-7.2442052356791496E-15</v>
      </c>
      <c r="P556" s="3">
        <v>0</v>
      </c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x14ac:dyDescent="0.45">
      <c r="A557" s="3" t="s">
        <v>79</v>
      </c>
      <c r="B557" s="3" t="s">
        <v>29</v>
      </c>
      <c r="C557" s="3" t="s">
        <v>17</v>
      </c>
      <c r="D557" s="3" t="s">
        <v>7</v>
      </c>
      <c r="E557" s="3" t="s">
        <v>8</v>
      </c>
      <c r="F557" s="3">
        <v>2.48238393153861E-2</v>
      </c>
      <c r="G557" s="3">
        <v>5.6903398593935103E-2</v>
      </c>
      <c r="H557" s="3">
        <v>5.6903398593935103E-2</v>
      </c>
      <c r="I557" s="3">
        <v>7.5594432673632195E-2</v>
      </c>
      <c r="J557" s="3">
        <v>9.99453715620678E-2</v>
      </c>
      <c r="K557" s="3">
        <v>0.13254412744906699</v>
      </c>
      <c r="L557" s="3">
        <v>0.10669249405207</v>
      </c>
      <c r="M557" s="3">
        <v>8.6449256345278502E-2</v>
      </c>
      <c r="N557" s="3">
        <v>6.9860751636608001E-2</v>
      </c>
      <c r="O557" s="3">
        <v>5.6821423434795099E-2</v>
      </c>
      <c r="P557" s="3">
        <v>4.9453902939410502E-2</v>
      </c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x14ac:dyDescent="0.45">
      <c r="A558" s="3" t="s">
        <v>79</v>
      </c>
      <c r="B558" s="3" t="s">
        <v>29</v>
      </c>
      <c r="C558" s="3" t="s">
        <v>17</v>
      </c>
      <c r="D558" s="3" t="s">
        <v>9</v>
      </c>
      <c r="E558" s="3" t="s">
        <v>8</v>
      </c>
      <c r="F558" s="3">
        <v>0</v>
      </c>
      <c r="G558" s="3">
        <v>1.7718688295192599E-3</v>
      </c>
      <c r="H558" s="3">
        <v>1.7718688295192599E-3</v>
      </c>
      <c r="I558" s="3">
        <v>5.6719378386887998E-4</v>
      </c>
      <c r="J558" s="3">
        <v>1.00936479330522E-2</v>
      </c>
      <c r="K558" s="3">
        <v>1.38438710328218E-2</v>
      </c>
      <c r="L558" s="3">
        <v>1.9112411394915201E-2</v>
      </c>
      <c r="M558" s="3">
        <v>2.32975103139694E-2</v>
      </c>
      <c r="N558" s="3">
        <v>7.0322977448775303E-2</v>
      </c>
      <c r="O558" s="3">
        <v>7.8316720490391095E-2</v>
      </c>
      <c r="P558" s="3">
        <v>8.2397957316814305E-2</v>
      </c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x14ac:dyDescent="0.45">
      <c r="A559" s="3" t="s">
        <v>79</v>
      </c>
      <c r="B559" s="3" t="s">
        <v>29</v>
      </c>
      <c r="C559" s="3" t="s">
        <v>17</v>
      </c>
      <c r="D559" s="3" t="s">
        <v>10</v>
      </c>
      <c r="E559" s="3" t="s">
        <v>8</v>
      </c>
      <c r="F559" s="3">
        <v>0</v>
      </c>
      <c r="G559" s="3">
        <v>5.1235802272595098E-4</v>
      </c>
      <c r="H559" s="3">
        <v>5.1235802272595098E-4</v>
      </c>
      <c r="I559" s="3">
        <v>4.4831788901696801E-3</v>
      </c>
      <c r="J559" s="3">
        <v>3.5026250952377202E-3</v>
      </c>
      <c r="K559" s="3">
        <v>8.6359538879712296E-3</v>
      </c>
      <c r="L559" s="3">
        <v>5.4811483094916201E-2</v>
      </c>
      <c r="M559" s="3">
        <v>5.8607638200116302E-2</v>
      </c>
      <c r="N559" s="3">
        <v>5.58112435913663E-2</v>
      </c>
      <c r="O559" s="3">
        <v>5.7419813698940898E-2</v>
      </c>
      <c r="P559" s="3">
        <v>0.14446841861266899</v>
      </c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x14ac:dyDescent="0.45">
      <c r="A560" s="3" t="s">
        <v>79</v>
      </c>
      <c r="B560" s="3" t="s">
        <v>29</v>
      </c>
      <c r="C560" s="3" t="s">
        <v>17</v>
      </c>
      <c r="D560" s="3" t="s">
        <v>11</v>
      </c>
      <c r="E560" s="3" t="s">
        <v>8</v>
      </c>
      <c r="F560" s="3">
        <v>0</v>
      </c>
      <c r="G560" s="3">
        <v>4.8685206464914999E-4</v>
      </c>
      <c r="H560" s="3">
        <v>4.8685206464914999E-4</v>
      </c>
      <c r="I560" s="3">
        <v>2.8915890352014802E-3</v>
      </c>
      <c r="J560" s="3">
        <v>5.0304684651694499E-2</v>
      </c>
      <c r="K560" s="3">
        <v>6.4450184588788595E-2</v>
      </c>
      <c r="L560" s="3">
        <v>4.9712658417481501E-2</v>
      </c>
      <c r="M560" s="3">
        <v>0.111994720274013</v>
      </c>
      <c r="N560" s="3">
        <v>9.09925865530362E-2</v>
      </c>
      <c r="O560" s="3">
        <v>9.6296022811323906E-2</v>
      </c>
      <c r="P560" s="3">
        <v>1.6018733453607398E-2</v>
      </c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x14ac:dyDescent="0.45">
      <c r="A561" s="3" t="s">
        <v>79</v>
      </c>
      <c r="B561" s="3" t="s">
        <v>29</v>
      </c>
      <c r="C561" s="3" t="s">
        <v>17</v>
      </c>
      <c r="D561" s="3" t="s">
        <v>12</v>
      </c>
      <c r="E561" s="3" t="s">
        <v>8</v>
      </c>
      <c r="F561" s="3">
        <v>0</v>
      </c>
      <c r="G561" s="3">
        <v>7.4254802584673696E-4</v>
      </c>
      <c r="H561" s="3">
        <v>7.4254802584673696E-4</v>
      </c>
      <c r="I561" s="3">
        <v>4.5726686121593099E-2</v>
      </c>
      <c r="J561" s="3">
        <v>3.8283352461617202E-2</v>
      </c>
      <c r="K561" s="3">
        <v>5.2418952105852699E-2</v>
      </c>
      <c r="L561" s="3">
        <v>5.5562639835389997E-2</v>
      </c>
      <c r="M561" s="3">
        <v>1.7175673351375001E-2</v>
      </c>
      <c r="N561" s="3">
        <v>2.1459704228719699E-2</v>
      </c>
      <c r="O561" s="3">
        <v>2.5704591303444799E-2</v>
      </c>
      <c r="P561" s="3">
        <v>2.4520704211737802E-2</v>
      </c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x14ac:dyDescent="0.45">
      <c r="A562" s="3" t="s">
        <v>79</v>
      </c>
      <c r="B562" s="3" t="s">
        <v>29</v>
      </c>
      <c r="C562" s="3" t="s">
        <v>17</v>
      </c>
      <c r="D562" s="3" t="s">
        <v>13</v>
      </c>
      <c r="E562" s="3" t="s">
        <v>8</v>
      </c>
      <c r="F562" s="3">
        <v>0</v>
      </c>
      <c r="G562" s="3">
        <v>8.7911506352918098E-3</v>
      </c>
      <c r="H562" s="3">
        <v>8.7911506352918098E-3</v>
      </c>
      <c r="I562" s="3">
        <v>0.120609161936736</v>
      </c>
      <c r="J562" s="3">
        <v>9.5251218302025403E-2</v>
      </c>
      <c r="K562" s="3">
        <v>4.2626264685957399E-2</v>
      </c>
      <c r="L562" s="3">
        <v>3.2427170118471002E-2</v>
      </c>
      <c r="M562" s="3">
        <v>2.1776564697084701E-2</v>
      </c>
      <c r="N562" s="3">
        <v>1.0863437954172901E-2</v>
      </c>
      <c r="O562" s="3">
        <v>4.7542580330853798E-3</v>
      </c>
      <c r="P562" s="3">
        <v>2.4533291500577498E-3</v>
      </c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x14ac:dyDescent="0.45">
      <c r="A563" s="3" t="s">
        <v>79</v>
      </c>
      <c r="B563" s="3" t="s">
        <v>29</v>
      </c>
      <c r="C563" s="3" t="s">
        <v>17</v>
      </c>
      <c r="D563" s="3" t="s">
        <v>14</v>
      </c>
      <c r="E563" s="3" t="s">
        <v>8</v>
      </c>
      <c r="F563" s="3">
        <v>0</v>
      </c>
      <c r="G563" s="3">
        <v>4.2045447233017501E-2</v>
      </c>
      <c r="H563" s="3">
        <v>4.2045447233017501E-2</v>
      </c>
      <c r="I563" s="3">
        <v>5.9554340459333402E-2</v>
      </c>
      <c r="J563" s="3">
        <v>2.1444084685923501E-2</v>
      </c>
      <c r="K563" s="3">
        <v>4.7894981872024798E-3</v>
      </c>
      <c r="L563" s="3">
        <v>9.941783485062361E-4</v>
      </c>
      <c r="M563" s="3">
        <v>1.18354150521749E-5</v>
      </c>
      <c r="N563" s="3">
        <v>2.49728841789088E-6</v>
      </c>
      <c r="O563" s="3">
        <v>3.6893015531447299E-7</v>
      </c>
      <c r="P563" s="3">
        <v>1.5301785089016901E-7</v>
      </c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x14ac:dyDescent="0.45">
      <c r="A564" s="3" t="s">
        <v>79</v>
      </c>
      <c r="B564" s="3" t="s">
        <v>29</v>
      </c>
      <c r="C564" s="3" t="s">
        <v>18</v>
      </c>
      <c r="D564" s="3" t="s">
        <v>7</v>
      </c>
      <c r="E564" s="3" t="s">
        <v>8</v>
      </c>
      <c r="F564" s="3">
        <v>0.25352091110125902</v>
      </c>
      <c r="G564" s="3">
        <v>0.18948256145015699</v>
      </c>
      <c r="H564" s="3">
        <v>0.18948256145015699</v>
      </c>
      <c r="I564" s="3">
        <v>0.126321707633438</v>
      </c>
      <c r="J564" s="3">
        <v>6.3160853816719001E-2</v>
      </c>
      <c r="K564" s="3">
        <v>0</v>
      </c>
      <c r="L564" s="3">
        <v>1.4649937839211001E-16</v>
      </c>
      <c r="M564" s="3">
        <v>0</v>
      </c>
      <c r="N564" s="3">
        <v>2.4416563065351799E-17</v>
      </c>
      <c r="O564" s="3">
        <v>0</v>
      </c>
      <c r="P564" s="3">
        <v>9.7666252261406802E-17</v>
      </c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x14ac:dyDescent="0.45">
      <c r="A565" s="3" t="s">
        <v>79</v>
      </c>
      <c r="B565" s="3" t="s">
        <v>29</v>
      </c>
      <c r="C565" s="3" t="s">
        <v>18</v>
      </c>
      <c r="D565" s="3" t="s">
        <v>9</v>
      </c>
      <c r="E565" s="3" t="s">
        <v>8</v>
      </c>
      <c r="F565" s="3">
        <v>0</v>
      </c>
      <c r="G565" s="3">
        <v>0</v>
      </c>
      <c r="H565" s="3">
        <v>0</v>
      </c>
      <c r="I565" s="3">
        <v>0</v>
      </c>
      <c r="J565" s="3">
        <v>-2.08166817117217E-16</v>
      </c>
      <c r="K565" s="3">
        <v>0</v>
      </c>
      <c r="L565" s="3">
        <v>-4.8833126130703303E-17</v>
      </c>
      <c r="M565" s="3">
        <v>2.4416563065351799E-17</v>
      </c>
      <c r="N565" s="3">
        <v>-2.4416563065351799E-17</v>
      </c>
      <c r="O565" s="3">
        <v>2.4416563065351799E-17</v>
      </c>
      <c r="P565" s="3">
        <v>-9.7666252261406802E-17</v>
      </c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x14ac:dyDescent="0.45">
      <c r="A566" s="3" t="s">
        <v>79</v>
      </c>
      <c r="B566" s="3" t="s">
        <v>29</v>
      </c>
      <c r="C566" s="3" t="s">
        <v>18</v>
      </c>
      <c r="D566" s="3" t="s">
        <v>10</v>
      </c>
      <c r="E566" s="3" t="s">
        <v>8</v>
      </c>
      <c r="F566" s="3">
        <v>0</v>
      </c>
      <c r="G566" s="3">
        <v>0</v>
      </c>
      <c r="H566" s="3">
        <v>0</v>
      </c>
      <c r="I566" s="3">
        <v>0</v>
      </c>
      <c r="J566" s="3">
        <v>2.08166817117217E-16</v>
      </c>
      <c r="K566" s="3">
        <v>1.4649937839211001E-16</v>
      </c>
      <c r="L566" s="3">
        <v>-9.7666252261406802E-17</v>
      </c>
      <c r="M566" s="3">
        <v>-2.4416563065351799E-17</v>
      </c>
      <c r="N566" s="3">
        <v>0</v>
      </c>
      <c r="O566" s="3">
        <v>-2.4416563065351799E-17</v>
      </c>
      <c r="P566" s="3">
        <v>0</v>
      </c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x14ac:dyDescent="0.45">
      <c r="A567" s="3" t="s">
        <v>79</v>
      </c>
      <c r="B567" s="3" t="s">
        <v>29</v>
      </c>
      <c r="C567" s="3" t="s">
        <v>18</v>
      </c>
      <c r="D567" s="3" t="s">
        <v>11</v>
      </c>
      <c r="E567" s="3" t="s">
        <v>8</v>
      </c>
      <c r="F567" s="3">
        <v>0</v>
      </c>
      <c r="G567" s="3">
        <v>2.2204460492503101E-16</v>
      </c>
      <c r="H567" s="3">
        <v>2.2204460492503101E-16</v>
      </c>
      <c r="I567" s="3">
        <v>0</v>
      </c>
      <c r="J567" s="3">
        <v>0</v>
      </c>
      <c r="K567" s="3">
        <v>-4.8833126130703303E-17</v>
      </c>
      <c r="L567" s="3">
        <v>4.8833126130703303E-17</v>
      </c>
      <c r="M567" s="3">
        <v>1.2208281532675801E-16</v>
      </c>
      <c r="N567" s="3">
        <v>2.4416563065351799E-17</v>
      </c>
      <c r="O567" s="3">
        <v>1.4649937839211001E-16</v>
      </c>
      <c r="P567" s="3">
        <v>0</v>
      </c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x14ac:dyDescent="0.45">
      <c r="A568" s="3" t="s">
        <v>79</v>
      </c>
      <c r="B568" s="3" t="s">
        <v>29</v>
      </c>
      <c r="C568" s="3" t="s">
        <v>18</v>
      </c>
      <c r="D568" s="3" t="s">
        <v>12</v>
      </c>
      <c r="E568" s="3" t="s">
        <v>8</v>
      </c>
      <c r="F568" s="3">
        <v>0</v>
      </c>
      <c r="G568" s="3">
        <v>0</v>
      </c>
      <c r="H568" s="3">
        <v>0</v>
      </c>
      <c r="I568" s="3">
        <v>2.2204460492503101E-16</v>
      </c>
      <c r="J568" s="3">
        <v>2.2204460492503101E-16</v>
      </c>
      <c r="K568" s="3">
        <v>-9.7666252261406802E-17</v>
      </c>
      <c r="L568" s="3">
        <v>-4.8833126130703303E-17</v>
      </c>
      <c r="M568" s="3">
        <v>9.7666252261406802E-17</v>
      </c>
      <c r="N568" s="3">
        <v>9.7666252261406605E-17</v>
      </c>
      <c r="O568" s="3">
        <v>7.3249689196055102E-17</v>
      </c>
      <c r="P568" s="3">
        <v>0</v>
      </c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x14ac:dyDescent="0.45">
      <c r="A569" s="3" t="s">
        <v>79</v>
      </c>
      <c r="B569" s="3" t="s">
        <v>29</v>
      </c>
      <c r="C569" s="3" t="s">
        <v>18</v>
      </c>
      <c r="D569" s="3" t="s">
        <v>13</v>
      </c>
      <c r="E569" s="3" t="s">
        <v>8</v>
      </c>
      <c r="F569" s="3">
        <v>0</v>
      </c>
      <c r="G569" s="3">
        <v>0</v>
      </c>
      <c r="H569" s="3">
        <v>0</v>
      </c>
      <c r="I569" s="3">
        <v>-2.2204460492503101E-16</v>
      </c>
      <c r="J569" s="3">
        <v>2.2204460492503101E-16</v>
      </c>
      <c r="K569" s="3">
        <v>4.8833126130703303E-17</v>
      </c>
      <c r="L569" s="3">
        <v>9.7666252261406802E-17</v>
      </c>
      <c r="M569" s="3">
        <v>-4.8833126130703303E-17</v>
      </c>
      <c r="N569" s="3">
        <v>-2.44165630653515E-17</v>
      </c>
      <c r="O569" s="3">
        <v>-1.70915941457462E-16</v>
      </c>
      <c r="P569" s="3">
        <v>1.4649937839211001E-16</v>
      </c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x14ac:dyDescent="0.45">
      <c r="A570" s="3" t="s">
        <v>79</v>
      </c>
      <c r="B570" s="3" t="s">
        <v>29</v>
      </c>
      <c r="C570" s="3" t="s">
        <v>18</v>
      </c>
      <c r="D570" s="3" t="s">
        <v>14</v>
      </c>
      <c r="E570" s="3" t="s">
        <v>8</v>
      </c>
      <c r="F570" s="3">
        <v>0</v>
      </c>
      <c r="G570" s="3">
        <v>0</v>
      </c>
      <c r="H570" s="3">
        <v>0</v>
      </c>
      <c r="I570" s="3">
        <v>0</v>
      </c>
      <c r="J570" s="3">
        <v>-4.4408920985006301E-16</v>
      </c>
      <c r="K570" s="3">
        <v>-4.8833126130703303E-17</v>
      </c>
      <c r="L570" s="3">
        <v>1.4649937839211099E-16</v>
      </c>
      <c r="M570" s="3">
        <v>1.22082815326759E-16</v>
      </c>
      <c r="N570" s="3">
        <v>-9.7666252261406802E-17</v>
      </c>
      <c r="O570" s="3">
        <v>-4.8833126130703303E-17</v>
      </c>
      <c r="P570" s="3">
        <v>2.4416563065351701E-16</v>
      </c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x14ac:dyDescent="0.45">
      <c r="A571" s="3" t="s">
        <v>79</v>
      </c>
      <c r="B571" s="3" t="s">
        <v>29</v>
      </c>
      <c r="C571" s="3" t="s">
        <v>19</v>
      </c>
      <c r="D571" s="3" t="s">
        <v>7</v>
      </c>
      <c r="E571" s="3" t="s">
        <v>8</v>
      </c>
      <c r="F571" s="3">
        <v>9.1452802681495204E-3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4.8951032238647805E-4</v>
      </c>
      <c r="O571" s="3">
        <v>0</v>
      </c>
      <c r="P571" s="3">
        <v>1.53047674905923E-3</v>
      </c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x14ac:dyDescent="0.45">
      <c r="A572" s="3" t="s">
        <v>79</v>
      </c>
      <c r="B572" s="3" t="s">
        <v>29</v>
      </c>
      <c r="C572" s="3" t="s">
        <v>19</v>
      </c>
      <c r="D572" s="3" t="s">
        <v>9</v>
      </c>
      <c r="E572" s="3" t="s">
        <v>8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2.8769403280578098E-3</v>
      </c>
      <c r="O572" s="3">
        <v>3.463110076085E-3</v>
      </c>
      <c r="P572" s="3">
        <v>1.88504392307647E-3</v>
      </c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x14ac:dyDescent="0.45">
      <c r="A573" s="3" t="s">
        <v>79</v>
      </c>
      <c r="B573" s="3" t="s">
        <v>29</v>
      </c>
      <c r="C573" s="3" t="s">
        <v>19</v>
      </c>
      <c r="D573" s="3" t="s">
        <v>10</v>
      </c>
      <c r="E573" s="3" t="s">
        <v>8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1.6671347160697101E-3</v>
      </c>
      <c r="M573" s="3">
        <v>2.8159144198899098E-3</v>
      </c>
      <c r="N573" s="3">
        <v>1.91517905900923E-2</v>
      </c>
      <c r="O573" s="3">
        <v>2.59680391037822E-2</v>
      </c>
      <c r="P573" s="3">
        <v>3.42776515041728E-2</v>
      </c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x14ac:dyDescent="0.45">
      <c r="A574" s="3" t="s">
        <v>79</v>
      </c>
      <c r="B574" s="3" t="s">
        <v>29</v>
      </c>
      <c r="C574" s="3" t="s">
        <v>19</v>
      </c>
      <c r="D574" s="3" t="s">
        <v>11</v>
      </c>
      <c r="E574" s="3" t="s">
        <v>8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2.2757179395498098E-2</v>
      </c>
      <c r="M574" s="3">
        <v>4.0285818534787202E-2</v>
      </c>
      <c r="N574" s="3">
        <v>4.4521949394951202E-2</v>
      </c>
      <c r="O574" s="3">
        <v>4.6707098794138098E-2</v>
      </c>
      <c r="P574" s="3">
        <v>4.5016612460714901E-2</v>
      </c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x14ac:dyDescent="0.45">
      <c r="A575" s="3" t="s">
        <v>79</v>
      </c>
      <c r="B575" s="3" t="s">
        <v>29</v>
      </c>
      <c r="C575" s="3" t="s">
        <v>19</v>
      </c>
      <c r="D575" s="3" t="s">
        <v>12</v>
      </c>
      <c r="E575" s="3" t="s">
        <v>8</v>
      </c>
      <c r="F575" s="3">
        <v>0</v>
      </c>
      <c r="G575" s="3">
        <v>0</v>
      </c>
      <c r="H575" s="3">
        <v>0</v>
      </c>
      <c r="I575" s="3">
        <v>0</v>
      </c>
      <c r="J575" s="3">
        <v>1.9085086434105399E-2</v>
      </c>
      <c r="K575" s="3">
        <v>3.2862992178549502E-2</v>
      </c>
      <c r="L575" s="3">
        <v>5.61345483619047E-2</v>
      </c>
      <c r="M575" s="3">
        <v>5.0275874446332497E-2</v>
      </c>
      <c r="N575" s="3">
        <v>4.9660780976880398E-2</v>
      </c>
      <c r="O575" s="3">
        <v>5.1954645776212401E-2</v>
      </c>
      <c r="P575" s="3">
        <v>4.9029108012954098E-2</v>
      </c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x14ac:dyDescent="0.45">
      <c r="A576" s="3" t="s">
        <v>79</v>
      </c>
      <c r="B576" s="3" t="s">
        <v>29</v>
      </c>
      <c r="C576" s="3" t="s">
        <v>19</v>
      </c>
      <c r="D576" s="3" t="s">
        <v>13</v>
      </c>
      <c r="E576" s="3" t="s">
        <v>8</v>
      </c>
      <c r="F576" s="3">
        <v>0</v>
      </c>
      <c r="G576" s="3">
        <v>0</v>
      </c>
      <c r="H576" s="3">
        <v>0</v>
      </c>
      <c r="I576" s="3">
        <v>4.3824814448525699E-2</v>
      </c>
      <c r="J576" s="3">
        <v>0.16615778493868899</v>
      </c>
      <c r="K576" s="3">
        <v>0.17301510151260099</v>
      </c>
      <c r="L576" s="3">
        <v>0.113607848791295</v>
      </c>
      <c r="M576" s="3">
        <v>7.3859785989383295E-2</v>
      </c>
      <c r="N576" s="3">
        <v>2.7813512050481101E-2</v>
      </c>
      <c r="O576" s="3">
        <v>1.3147935972232801E-2</v>
      </c>
      <c r="P576" s="3">
        <v>5.9534450304117598E-3</v>
      </c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x14ac:dyDescent="0.45">
      <c r="A577" s="3" t="s">
        <v>79</v>
      </c>
      <c r="B577" s="3" t="s">
        <v>29</v>
      </c>
      <c r="C577" s="3" t="s">
        <v>19</v>
      </c>
      <c r="D577" s="3" t="s">
        <v>14</v>
      </c>
      <c r="E577" s="3" t="s">
        <v>8</v>
      </c>
      <c r="F577" s="3">
        <v>0</v>
      </c>
      <c r="G577" s="3">
        <v>1.8270755409809498E-2</v>
      </c>
      <c r="H577" s="3">
        <v>1.8270755409809498E-2</v>
      </c>
      <c r="I577" s="3">
        <v>0.27046133617799301</v>
      </c>
      <c r="J577" s="3">
        <v>0.122811862663552</v>
      </c>
      <c r="K577" s="3">
        <v>7.1319784604487305E-2</v>
      </c>
      <c r="L577" s="3">
        <v>6.8629315170660302E-2</v>
      </c>
      <c r="M577" s="3">
        <v>7.6791863445923897E-2</v>
      </c>
      <c r="N577" s="3">
        <v>7.3226847997834299E-2</v>
      </c>
      <c r="O577" s="3">
        <v>6.0457951408888599E-2</v>
      </c>
      <c r="P577" s="3">
        <v>6.15399387360549E-2</v>
      </c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x14ac:dyDescent="0.45">
      <c r="A578" s="3" t="s">
        <v>79</v>
      </c>
      <c r="B578" s="3" t="s">
        <v>21</v>
      </c>
      <c r="C578" s="3" t="s">
        <v>6</v>
      </c>
      <c r="D578" s="3" t="s">
        <v>11</v>
      </c>
      <c r="E578" s="3" t="s">
        <v>8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1.10119101199589E-2</v>
      </c>
      <c r="M578" s="3">
        <v>5.3209566845901897E-2</v>
      </c>
      <c r="N578" s="3">
        <v>0.13197116055500399</v>
      </c>
      <c r="O578" s="3">
        <v>0.20594596781482</v>
      </c>
      <c r="P578" s="3">
        <v>0.25269754924079502</v>
      </c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x14ac:dyDescent="0.45">
      <c r="A579" s="3" t="s">
        <v>79</v>
      </c>
      <c r="B579" s="3" t="s">
        <v>21</v>
      </c>
      <c r="C579" s="3" t="s">
        <v>6</v>
      </c>
      <c r="D579" s="3" t="s">
        <v>12</v>
      </c>
      <c r="E579" s="3" t="s">
        <v>8</v>
      </c>
      <c r="F579" s="3">
        <v>0</v>
      </c>
      <c r="G579" s="3">
        <v>0</v>
      </c>
      <c r="H579" s="3">
        <v>0</v>
      </c>
      <c r="I579" s="3">
        <v>0</v>
      </c>
      <c r="J579" s="3">
        <v>8.1739511033159505E-4</v>
      </c>
      <c r="K579" s="3">
        <v>5.1402103425903997E-2</v>
      </c>
      <c r="L579" s="3">
        <v>0.142438093817882</v>
      </c>
      <c r="M579" s="3">
        <v>0.21281085552742299</v>
      </c>
      <c r="N579" s="3">
        <v>0.23288452505200399</v>
      </c>
      <c r="O579" s="3">
        <v>0.24021904894198101</v>
      </c>
      <c r="P579" s="3">
        <v>0.246933147089961</v>
      </c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x14ac:dyDescent="0.45">
      <c r="A580" s="3" t="s">
        <v>79</v>
      </c>
      <c r="B580" s="3" t="s">
        <v>21</v>
      </c>
      <c r="C580" s="3" t="s">
        <v>6</v>
      </c>
      <c r="D580" s="3" t="s">
        <v>13</v>
      </c>
      <c r="E580" s="3" t="s">
        <v>8</v>
      </c>
      <c r="F580" s="3">
        <v>0</v>
      </c>
      <c r="G580" s="3">
        <v>0</v>
      </c>
      <c r="H580" s="3">
        <v>0</v>
      </c>
      <c r="I580" s="3">
        <v>5.4675171179224401E-2</v>
      </c>
      <c r="J580" s="3">
        <v>0.187424836573023</v>
      </c>
      <c r="K580" s="3">
        <v>0.27308452055208199</v>
      </c>
      <c r="L580" s="3">
        <v>0.29150731898708798</v>
      </c>
      <c r="M580" s="3">
        <v>0.29614805826206397</v>
      </c>
      <c r="N580" s="3">
        <v>0.31383677116285702</v>
      </c>
      <c r="O580" s="3">
        <v>0.32817721031392999</v>
      </c>
      <c r="P580" s="3">
        <v>0.324387205801205</v>
      </c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x14ac:dyDescent="0.45">
      <c r="A581" s="3" t="s">
        <v>79</v>
      </c>
      <c r="B581" s="3" t="s">
        <v>21</v>
      </c>
      <c r="C581" s="3" t="s">
        <v>6</v>
      </c>
      <c r="D581" s="3" t="s">
        <v>14</v>
      </c>
      <c r="E581" s="3" t="s">
        <v>8</v>
      </c>
      <c r="F581" s="3">
        <v>0</v>
      </c>
      <c r="G581" s="3">
        <v>0</v>
      </c>
      <c r="H581" s="3">
        <v>0</v>
      </c>
      <c r="I581" s="3">
        <v>0.11798912620724</v>
      </c>
      <c r="J581" s="3">
        <v>0.14186167103604799</v>
      </c>
      <c r="K581" s="3">
        <v>0.145084990699965</v>
      </c>
      <c r="L581" s="3">
        <v>0.15946617227051199</v>
      </c>
      <c r="M581" s="3">
        <v>0.17744209382042</v>
      </c>
      <c r="N581" s="3">
        <v>0.19719995798486201</v>
      </c>
      <c r="O581" s="3">
        <v>0.206093265011982</v>
      </c>
      <c r="P581" s="3">
        <v>0.21166272723589399</v>
      </c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x14ac:dyDescent="0.45">
      <c r="A582" s="3" t="s">
        <v>79</v>
      </c>
      <c r="B582" s="3" t="s">
        <v>21</v>
      </c>
      <c r="C582" s="3" t="s">
        <v>15</v>
      </c>
      <c r="D582" s="3" t="s">
        <v>7</v>
      </c>
      <c r="E582" s="3" t="s">
        <v>8</v>
      </c>
      <c r="F582" s="3">
        <v>6.2916906413687301E-2</v>
      </c>
      <c r="G582" s="3">
        <v>5.72781930023364E-2</v>
      </c>
      <c r="H582" s="3">
        <v>5.72781930023364E-2</v>
      </c>
      <c r="I582" s="3">
        <v>6.2367888684383199E-2</v>
      </c>
      <c r="J582" s="3">
        <v>6.8819814925910605E-2</v>
      </c>
      <c r="K582" s="3">
        <v>7.2217694572336302E-2</v>
      </c>
      <c r="L582" s="3">
        <v>7.4876743513445296E-2</v>
      </c>
      <c r="M582" s="3">
        <v>7.1397728847071906E-2</v>
      </c>
      <c r="N582" s="3">
        <v>7.4166460523386601E-2</v>
      </c>
      <c r="O582" s="3">
        <v>7.6521757690971304E-2</v>
      </c>
      <c r="P582" s="3">
        <v>7.4712322918825499E-2</v>
      </c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x14ac:dyDescent="0.45">
      <c r="A583" s="3" t="s">
        <v>79</v>
      </c>
      <c r="B583" s="3" t="s">
        <v>21</v>
      </c>
      <c r="C583" s="3" t="s">
        <v>15</v>
      </c>
      <c r="D583" s="3" t="s">
        <v>9</v>
      </c>
      <c r="E583" s="3" t="s">
        <v>8</v>
      </c>
      <c r="F583" s="3">
        <v>0</v>
      </c>
      <c r="G583" s="3">
        <v>1.0832503285943E-5</v>
      </c>
      <c r="H583" s="3">
        <v>1.0832503285943E-5</v>
      </c>
      <c r="I583" s="3">
        <v>2.5085413296612401E-3</v>
      </c>
      <c r="J583" s="3">
        <v>2.3135207975938099E-3</v>
      </c>
      <c r="K583" s="3">
        <v>-1.4650357788725101E-3</v>
      </c>
      <c r="L583" s="3">
        <v>-1.2483565877861901E-4</v>
      </c>
      <c r="M583" s="3">
        <v>3.3198587161845801E-3</v>
      </c>
      <c r="N583" s="3">
        <v>1.40212450383393E-2</v>
      </c>
      <c r="O583" s="3">
        <v>1.2165169182203501E-2</v>
      </c>
      <c r="P583" s="3">
        <v>1.4478777390610899E-2</v>
      </c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x14ac:dyDescent="0.45">
      <c r="A584" s="3" t="s">
        <v>79</v>
      </c>
      <c r="B584" s="3" t="s">
        <v>21</v>
      </c>
      <c r="C584" s="3" t="s">
        <v>15</v>
      </c>
      <c r="D584" s="3" t="s">
        <v>10</v>
      </c>
      <c r="E584" s="3" t="s">
        <v>8</v>
      </c>
      <c r="F584" s="3">
        <v>0</v>
      </c>
      <c r="G584" s="3">
        <v>-8.6473065905624799E-5</v>
      </c>
      <c r="H584" s="3">
        <v>-8.6473065905624799E-5</v>
      </c>
      <c r="I584" s="3">
        <v>8.2793975554666698E-4</v>
      </c>
      <c r="J584" s="3">
        <v>1.7347313146270899E-4</v>
      </c>
      <c r="K584" s="3">
        <v>3.8276172127649196E-6</v>
      </c>
      <c r="L584" s="3">
        <v>1.2086888009120099E-2</v>
      </c>
      <c r="M584" s="3">
        <v>1.33063520928829E-2</v>
      </c>
      <c r="N584" s="3">
        <v>6.2876139616331605E-4</v>
      </c>
      <c r="O584" s="3">
        <v>8.3247928989652097E-4</v>
      </c>
      <c r="P584" s="3">
        <v>6.7702018468396297E-4</v>
      </c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x14ac:dyDescent="0.45">
      <c r="A585" s="3" t="s">
        <v>79</v>
      </c>
      <c r="B585" s="3" t="s">
        <v>21</v>
      </c>
      <c r="C585" s="3" t="s">
        <v>15</v>
      </c>
      <c r="D585" s="3" t="s">
        <v>11</v>
      </c>
      <c r="E585" s="3" t="s">
        <v>8</v>
      </c>
      <c r="F585" s="3">
        <v>0</v>
      </c>
      <c r="G585" s="3">
        <v>-7.8137352201648696E-6</v>
      </c>
      <c r="H585" s="3">
        <v>-7.8137352201648696E-6</v>
      </c>
      <c r="I585" s="3">
        <v>-3.5148541194803001E-4</v>
      </c>
      <c r="J585" s="3">
        <v>1.5146868538354801E-2</v>
      </c>
      <c r="K585" s="3">
        <v>1.59158381086855E-2</v>
      </c>
      <c r="L585" s="3">
        <v>1.21841324629571E-3</v>
      </c>
      <c r="M585" s="3">
        <v>5.5117080722910704E-4</v>
      </c>
      <c r="N585" s="3">
        <v>-1.6941813012144599E-4</v>
      </c>
      <c r="O585" s="3">
        <v>5.4318179796116499E-3</v>
      </c>
      <c r="P585" s="3">
        <v>9.1605257563527696E-3</v>
      </c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x14ac:dyDescent="0.45">
      <c r="A586" s="3" t="s">
        <v>79</v>
      </c>
      <c r="B586" s="3" t="s">
        <v>21</v>
      </c>
      <c r="C586" s="3" t="s">
        <v>15</v>
      </c>
      <c r="D586" s="3" t="s">
        <v>12</v>
      </c>
      <c r="E586" s="3" t="s">
        <v>8</v>
      </c>
      <c r="F586" s="3">
        <v>0</v>
      </c>
      <c r="G586" s="3">
        <v>-5.7466279205012299E-6</v>
      </c>
      <c r="H586" s="3">
        <v>-5.7466279205012299E-6</v>
      </c>
      <c r="I586" s="3">
        <v>1.8107646226174098E-2</v>
      </c>
      <c r="J586" s="3">
        <v>1.1683086619739499E-3</v>
      </c>
      <c r="K586" s="3">
        <v>1.58988554133957E-3</v>
      </c>
      <c r="L586" s="3">
        <v>5.8279894801480702E-3</v>
      </c>
      <c r="M586" s="3">
        <v>1.20739633713503E-2</v>
      </c>
      <c r="N586" s="3">
        <v>2.0704597640755999E-2</v>
      </c>
      <c r="O586" s="3">
        <v>1.9049095718999098E-2</v>
      </c>
      <c r="P586" s="3">
        <v>2.0980480352348001E-2</v>
      </c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x14ac:dyDescent="0.45">
      <c r="A587" s="3" t="s">
        <v>79</v>
      </c>
      <c r="B587" s="3" t="s">
        <v>21</v>
      </c>
      <c r="C587" s="3" t="s">
        <v>15</v>
      </c>
      <c r="D587" s="3" t="s">
        <v>13</v>
      </c>
      <c r="E587" s="3" t="s">
        <v>8</v>
      </c>
      <c r="F587" s="3">
        <v>0</v>
      </c>
      <c r="G587" s="3">
        <v>-1.4633015233710201E-3</v>
      </c>
      <c r="H587" s="3">
        <v>-1.4633015233710201E-3</v>
      </c>
      <c r="I587" s="3">
        <v>1.8165501003741799E-4</v>
      </c>
      <c r="J587" s="3">
        <v>9.6298323318508693E-3</v>
      </c>
      <c r="K587" s="3">
        <v>1.5254968156075299E-2</v>
      </c>
      <c r="L587" s="3">
        <v>1.7460258797769999E-2</v>
      </c>
      <c r="M587" s="3">
        <v>1.9886826017024201E-2</v>
      </c>
      <c r="N587" s="3">
        <v>2.1191993617180899E-2</v>
      </c>
      <c r="O587" s="3">
        <v>2.4232524362327802E-2</v>
      </c>
      <c r="P587" s="3">
        <v>2.7334934289489798E-2</v>
      </c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x14ac:dyDescent="0.45">
      <c r="A588" s="3" t="s">
        <v>79</v>
      </c>
      <c r="B588" s="3" t="s">
        <v>21</v>
      </c>
      <c r="C588" s="3" t="s">
        <v>15</v>
      </c>
      <c r="D588" s="3" t="s">
        <v>14</v>
      </c>
      <c r="E588" s="3" t="s">
        <v>8</v>
      </c>
      <c r="F588" s="3">
        <v>0</v>
      </c>
      <c r="G588" s="3">
        <v>2.10815835148613E-2</v>
      </c>
      <c r="H588" s="3">
        <v>2.10815835148613E-2</v>
      </c>
      <c r="I588" s="3">
        <v>1.45307448850239E-2</v>
      </c>
      <c r="J588" s="3">
        <v>7.5688598253145899E-3</v>
      </c>
      <c r="K588" s="3">
        <v>8.3079666700763104E-3</v>
      </c>
      <c r="L588" s="3">
        <v>8.1385335454492898E-3</v>
      </c>
      <c r="M588" s="3">
        <v>7.8290242257028995E-3</v>
      </c>
      <c r="N588" s="3">
        <v>6.5008747996657098E-3</v>
      </c>
      <c r="O588" s="3">
        <v>4.6125699241734196E-3</v>
      </c>
      <c r="P588" s="3">
        <v>-1.08061533175272E-3</v>
      </c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x14ac:dyDescent="0.45">
      <c r="A589" s="3" t="s">
        <v>79</v>
      </c>
      <c r="B589" s="3" t="s">
        <v>21</v>
      </c>
      <c r="C589" s="3" t="s">
        <v>16</v>
      </c>
      <c r="D589" s="3" t="s">
        <v>7</v>
      </c>
      <c r="E589" s="3" t="s">
        <v>8</v>
      </c>
      <c r="F589" s="3">
        <v>7.50844055033726E-2</v>
      </c>
      <c r="G589" s="3">
        <v>2.7237113087415998E-2</v>
      </c>
      <c r="H589" s="3">
        <v>2.7237113087415998E-2</v>
      </c>
      <c r="I589" s="3">
        <v>2.7237113087415998E-2</v>
      </c>
      <c r="J589" s="3">
        <v>2.7654220660807301E-2</v>
      </c>
      <c r="K589" s="3">
        <v>2.7947333877375899E-2</v>
      </c>
      <c r="L589" s="3">
        <v>2.7947333877375899E-2</v>
      </c>
      <c r="M589" s="3">
        <v>2.80183782311237E-2</v>
      </c>
      <c r="N589" s="3">
        <v>2.8018737878873799E-2</v>
      </c>
      <c r="O589" s="3">
        <v>2.8018737878873799E-2</v>
      </c>
      <c r="P589" s="3">
        <v>2.8018737878873799E-2</v>
      </c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x14ac:dyDescent="0.45">
      <c r="A590" s="3" t="s">
        <v>79</v>
      </c>
      <c r="B590" s="3" t="s">
        <v>21</v>
      </c>
      <c r="C590" s="3" t="s">
        <v>16</v>
      </c>
      <c r="D590" s="3" t="s">
        <v>9</v>
      </c>
      <c r="E590" s="3" t="s">
        <v>8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-3.1082689630385802E-5</v>
      </c>
      <c r="L590" s="3">
        <v>2.8383554406968101E-5</v>
      </c>
      <c r="M590" s="3">
        <v>3.5964775044888798E-7</v>
      </c>
      <c r="N590" s="3">
        <v>8.4169887610305704E-3</v>
      </c>
      <c r="O590" s="3">
        <v>8.4169887610305704E-3</v>
      </c>
      <c r="P590" s="3">
        <v>8.4169887610305704E-3</v>
      </c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x14ac:dyDescent="0.45">
      <c r="A591" s="3" t="s">
        <v>79</v>
      </c>
      <c r="B591" s="3" t="s">
        <v>21</v>
      </c>
      <c r="C591" s="3" t="s">
        <v>16</v>
      </c>
      <c r="D591" s="3" t="s">
        <v>10</v>
      </c>
      <c r="E591" s="3" t="s">
        <v>8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6.7564125742700099E-5</v>
      </c>
      <c r="L591" s="3">
        <v>8.4600092081214707E-3</v>
      </c>
      <c r="M591" s="3">
        <v>8.4169887610302495E-3</v>
      </c>
      <c r="N591" s="3">
        <v>0</v>
      </c>
      <c r="O591" s="3">
        <v>0</v>
      </c>
      <c r="P591" s="3">
        <v>1.6653345369377299E-16</v>
      </c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x14ac:dyDescent="0.45">
      <c r="A592" s="3" t="s">
        <v>79</v>
      </c>
      <c r="B592" s="3" t="s">
        <v>21</v>
      </c>
      <c r="C592" s="3" t="s">
        <v>16</v>
      </c>
      <c r="D592" s="3" t="s">
        <v>11</v>
      </c>
      <c r="E592" s="3" t="s">
        <v>8</v>
      </c>
      <c r="F592" s="3">
        <v>0</v>
      </c>
      <c r="G592" s="3">
        <v>0</v>
      </c>
      <c r="H592" s="3">
        <v>0</v>
      </c>
      <c r="I592" s="3">
        <v>0</v>
      </c>
      <c r="J592" s="3">
        <v>8.7815059790971196E-3</v>
      </c>
      <c r="K592" s="3">
        <v>8.4519113264162893E-3</v>
      </c>
      <c r="L592" s="3">
        <v>0</v>
      </c>
      <c r="M592" s="3">
        <v>0</v>
      </c>
      <c r="N592" s="3">
        <v>0</v>
      </c>
      <c r="O592" s="3">
        <v>0</v>
      </c>
      <c r="P592" s="3">
        <v>-1.6653345369377299E-16</v>
      </c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x14ac:dyDescent="0.45">
      <c r="A593" s="3" t="s">
        <v>79</v>
      </c>
      <c r="B593" s="3" t="s">
        <v>21</v>
      </c>
      <c r="C593" s="3" t="s">
        <v>16</v>
      </c>
      <c r="D593" s="3" t="s">
        <v>12</v>
      </c>
      <c r="E593" s="3" t="s">
        <v>8</v>
      </c>
      <c r="F593" s="3">
        <v>0</v>
      </c>
      <c r="G593" s="3">
        <v>0</v>
      </c>
      <c r="H593" s="3">
        <v>0</v>
      </c>
      <c r="I593" s="3">
        <v>9.1425779518146694E-3</v>
      </c>
      <c r="J593" s="3">
        <v>0</v>
      </c>
      <c r="K593" s="3">
        <v>-1.6653345369377299E-16</v>
      </c>
      <c r="L593" s="3">
        <v>1.6653345369377299E-16</v>
      </c>
      <c r="M593" s="3">
        <v>1.6653345369377299E-16</v>
      </c>
      <c r="N593" s="3">
        <v>1.6653345369377299E-16</v>
      </c>
      <c r="O593" s="3">
        <v>1.6653345369377299E-16</v>
      </c>
      <c r="P593" s="3">
        <v>1.6653345369377299E-16</v>
      </c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x14ac:dyDescent="0.45">
      <c r="A594" s="3" t="s">
        <v>79</v>
      </c>
      <c r="B594" s="3" t="s">
        <v>21</v>
      </c>
      <c r="C594" s="3" t="s">
        <v>16</v>
      </c>
      <c r="D594" s="3" t="s">
        <v>13</v>
      </c>
      <c r="E594" s="3" t="s">
        <v>8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-1.6653345369377299E-16</v>
      </c>
      <c r="N594" s="3">
        <v>0</v>
      </c>
      <c r="O594" s="3">
        <v>-1.6653345369377299E-16</v>
      </c>
      <c r="P594" s="3">
        <v>0</v>
      </c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x14ac:dyDescent="0.45">
      <c r="A595" s="3" t="s">
        <v>79</v>
      </c>
      <c r="B595" s="3" t="s">
        <v>21</v>
      </c>
      <c r="C595" s="3" t="s">
        <v>16</v>
      </c>
      <c r="D595" s="3" t="s">
        <v>14</v>
      </c>
      <c r="E595" s="3" t="s">
        <v>8</v>
      </c>
      <c r="F595" s="3">
        <v>0</v>
      </c>
      <c r="G595" s="3">
        <v>9.1425779518146694E-3</v>
      </c>
      <c r="H595" s="3">
        <v>9.1425779518146694E-3</v>
      </c>
      <c r="I595" s="3">
        <v>5.6035600673708101E-5</v>
      </c>
      <c r="J595" s="3">
        <v>0</v>
      </c>
      <c r="K595" s="3">
        <v>0</v>
      </c>
      <c r="L595" s="3">
        <v>0</v>
      </c>
      <c r="M595" s="3">
        <v>1.6653345369377299E-16</v>
      </c>
      <c r="N595" s="3">
        <v>-1.6653345369377299E-16</v>
      </c>
      <c r="O595" s="3">
        <v>0</v>
      </c>
      <c r="P595" s="3">
        <v>0</v>
      </c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x14ac:dyDescent="0.45">
      <c r="A596" s="3" t="s">
        <v>79</v>
      </c>
      <c r="B596" s="3" t="s">
        <v>21</v>
      </c>
      <c r="C596" s="3" t="s">
        <v>17</v>
      </c>
      <c r="D596" s="3" t="s">
        <v>10</v>
      </c>
      <c r="E596" s="3" t="s">
        <v>8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5.7720344969639299E-2</v>
      </c>
      <c r="M596" s="3">
        <v>5.8432662839657E-2</v>
      </c>
      <c r="N596" s="3">
        <v>1.38175931456746E-2</v>
      </c>
      <c r="O596" s="3">
        <v>-1.00931245352311E-3</v>
      </c>
      <c r="P596" s="3">
        <v>-4.8210058394638399E-4</v>
      </c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x14ac:dyDescent="0.45">
      <c r="A597" s="3" t="s">
        <v>79</v>
      </c>
      <c r="B597" s="3" t="s">
        <v>21</v>
      </c>
      <c r="C597" s="3" t="s">
        <v>17</v>
      </c>
      <c r="D597" s="3" t="s">
        <v>11</v>
      </c>
      <c r="E597" s="3" t="s">
        <v>8</v>
      </c>
      <c r="F597" s="3">
        <v>0</v>
      </c>
      <c r="G597" s="3">
        <v>0</v>
      </c>
      <c r="H597" s="3">
        <v>0</v>
      </c>
      <c r="I597" s="3">
        <v>0</v>
      </c>
      <c r="J597" s="3">
        <v>4.0125705030203997E-2</v>
      </c>
      <c r="K597" s="3">
        <v>5.5482193465890103E-2</v>
      </c>
      <c r="L597" s="3">
        <v>-1.5744889572741399E-3</v>
      </c>
      <c r="M597" s="3">
        <v>1.9592558770498698E-3</v>
      </c>
      <c r="N597" s="3">
        <v>1.33797557583716E-2</v>
      </c>
      <c r="O597" s="3">
        <v>1.93232452048358E-2</v>
      </c>
      <c r="P597" s="3">
        <v>2.3774308355641101E-2</v>
      </c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x14ac:dyDescent="0.45">
      <c r="A598" s="3" t="s">
        <v>79</v>
      </c>
      <c r="B598" s="3" t="s">
        <v>21</v>
      </c>
      <c r="C598" s="3" t="s">
        <v>17</v>
      </c>
      <c r="D598" s="3" t="s">
        <v>12</v>
      </c>
      <c r="E598" s="3" t="s">
        <v>8</v>
      </c>
      <c r="F598" s="3">
        <v>0</v>
      </c>
      <c r="G598" s="3">
        <v>0</v>
      </c>
      <c r="H598" s="3">
        <v>0</v>
      </c>
      <c r="I598" s="3">
        <v>3.5005871148598398E-2</v>
      </c>
      <c r="J598" s="3">
        <v>1.6345172663883599E-2</v>
      </c>
      <c r="K598" s="3">
        <v>7.2798165336051103E-3</v>
      </c>
      <c r="L598" s="3">
        <v>2.02496217388346E-2</v>
      </c>
      <c r="M598" s="3">
        <v>2.1346094796908799E-2</v>
      </c>
      <c r="N598" s="3">
        <v>1.8948162228841801E-2</v>
      </c>
      <c r="O598" s="3">
        <v>2.4850894357086099E-2</v>
      </c>
      <c r="P598" s="3">
        <v>3.2093217978248399E-2</v>
      </c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x14ac:dyDescent="0.45">
      <c r="A599" s="3" t="s">
        <v>79</v>
      </c>
      <c r="B599" s="3" t="s">
        <v>21</v>
      </c>
      <c r="C599" s="3" t="s">
        <v>17</v>
      </c>
      <c r="D599" s="3" t="s">
        <v>13</v>
      </c>
      <c r="E599" s="3" t="s">
        <v>8</v>
      </c>
      <c r="F599" s="3">
        <v>0</v>
      </c>
      <c r="G599" s="3">
        <v>0</v>
      </c>
      <c r="H599" s="3">
        <v>0</v>
      </c>
      <c r="I599" s="3">
        <v>3.2978603683039003E-2</v>
      </c>
      <c r="J599" s="3">
        <v>2.3674190968239101E-2</v>
      </c>
      <c r="K599" s="3">
        <v>3.15422290276135E-2</v>
      </c>
      <c r="L599" s="3">
        <v>3.8671408693322799E-2</v>
      </c>
      <c r="M599" s="3">
        <v>5.9564832721383097E-2</v>
      </c>
      <c r="N599" s="3">
        <v>7.9736827284880005E-2</v>
      </c>
      <c r="O599" s="3">
        <v>9.9140876542754497E-2</v>
      </c>
      <c r="P599" s="3">
        <v>0.11937002894633</v>
      </c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x14ac:dyDescent="0.45">
      <c r="A600" s="3" t="s">
        <v>79</v>
      </c>
      <c r="B600" s="3" t="s">
        <v>21</v>
      </c>
      <c r="C600" s="3" t="s">
        <v>17</v>
      </c>
      <c r="D600" s="3" t="s">
        <v>14</v>
      </c>
      <c r="E600" s="3" t="s">
        <v>8</v>
      </c>
      <c r="F600" s="3">
        <v>0</v>
      </c>
      <c r="G600" s="3">
        <v>4.4878950864116002E-2</v>
      </c>
      <c r="H600" s="3">
        <v>4.4878950864116002E-2</v>
      </c>
      <c r="I600" s="3">
        <v>1.4104172768643199E-2</v>
      </c>
      <c r="J600" s="3">
        <v>2.8568605762469602E-2</v>
      </c>
      <c r="K600" s="3">
        <v>4.8909960251922201E-2</v>
      </c>
      <c r="L600" s="3">
        <v>7.0215483070258197E-2</v>
      </c>
      <c r="M600" s="3">
        <v>9.1072352064632295E-2</v>
      </c>
      <c r="N600" s="3">
        <v>0.109372854126027</v>
      </c>
      <c r="O600" s="3">
        <v>0.11967849851849</v>
      </c>
      <c r="P600" s="3">
        <v>0.116480548022755</v>
      </c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x14ac:dyDescent="0.45">
      <c r="A601" s="3" t="s">
        <v>79</v>
      </c>
      <c r="B601" s="3" t="s">
        <v>21</v>
      </c>
      <c r="C601" s="3" t="s">
        <v>18</v>
      </c>
      <c r="D601" s="3" t="s">
        <v>7</v>
      </c>
      <c r="E601" s="3" t="s">
        <v>8</v>
      </c>
      <c r="F601" s="3">
        <v>9.3312683592452293E-3</v>
      </c>
      <c r="G601" s="3">
        <v>6.1957769984766705E-5</v>
      </c>
      <c r="H601" s="3">
        <v>6.1957769984766705E-5</v>
      </c>
      <c r="I601" s="3">
        <v>4.1305179989850401E-5</v>
      </c>
      <c r="J601" s="3">
        <v>2.0652589994925201E-5</v>
      </c>
      <c r="K601" s="3">
        <v>0</v>
      </c>
      <c r="L601" s="3">
        <v>8.8210625054645695E-18</v>
      </c>
      <c r="M601" s="3">
        <v>8.8210625054645695E-18</v>
      </c>
      <c r="N601" s="3">
        <v>8.8210625054645695E-18</v>
      </c>
      <c r="O601" s="3">
        <v>0</v>
      </c>
      <c r="P601" s="3">
        <v>0</v>
      </c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x14ac:dyDescent="0.45">
      <c r="A602" s="3" t="s">
        <v>79</v>
      </c>
      <c r="B602" s="3" t="s">
        <v>21</v>
      </c>
      <c r="C602" s="3" t="s">
        <v>18</v>
      </c>
      <c r="D602" s="3" t="s">
        <v>9</v>
      </c>
      <c r="E602" s="3" t="s">
        <v>8</v>
      </c>
      <c r="F602" s="3">
        <v>0</v>
      </c>
      <c r="G602" s="3">
        <v>0</v>
      </c>
      <c r="H602" s="3">
        <v>0</v>
      </c>
      <c r="I602" s="3">
        <v>-1.76453903572016E-17</v>
      </c>
      <c r="J602" s="3">
        <v>-4.4520051707686003E-18</v>
      </c>
      <c r="K602" s="3">
        <v>4.4105312527322801E-18</v>
      </c>
      <c r="L602" s="3">
        <v>0</v>
      </c>
      <c r="M602" s="3">
        <v>0</v>
      </c>
      <c r="N602" s="3">
        <v>-8.8210625054645695E-18</v>
      </c>
      <c r="O602" s="3">
        <v>0</v>
      </c>
      <c r="P602" s="3">
        <v>1.7642125010929201E-17</v>
      </c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x14ac:dyDescent="0.45">
      <c r="A603" s="3" t="s">
        <v>79</v>
      </c>
      <c r="B603" s="3" t="s">
        <v>21</v>
      </c>
      <c r="C603" s="3" t="s">
        <v>18</v>
      </c>
      <c r="D603" s="3" t="s">
        <v>10</v>
      </c>
      <c r="E603" s="3" t="s">
        <v>8</v>
      </c>
      <c r="F603" s="3">
        <v>0</v>
      </c>
      <c r="G603" s="3">
        <v>0</v>
      </c>
      <c r="H603" s="3">
        <v>0</v>
      </c>
      <c r="I603" s="3">
        <v>1.31866089228549E-17</v>
      </c>
      <c r="J603" s="3">
        <v>2.2087231132603099E-17</v>
      </c>
      <c r="K603" s="3">
        <v>-4.4105312527322801E-18</v>
      </c>
      <c r="L603" s="3">
        <v>-8.8210625054645695E-18</v>
      </c>
      <c r="M603" s="3">
        <v>-8.8210625054645695E-18</v>
      </c>
      <c r="N603" s="3">
        <v>1.32315937581969E-17</v>
      </c>
      <c r="O603" s="3">
        <v>0</v>
      </c>
      <c r="P603" s="3">
        <v>4.4105312527323002E-18</v>
      </c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x14ac:dyDescent="0.45">
      <c r="A604" s="3" t="s">
        <v>79</v>
      </c>
      <c r="B604" s="3" t="s">
        <v>21</v>
      </c>
      <c r="C604" s="3" t="s">
        <v>18</v>
      </c>
      <c r="D604" s="3" t="s">
        <v>11</v>
      </c>
      <c r="E604" s="3" t="s">
        <v>8</v>
      </c>
      <c r="F604" s="3">
        <v>0</v>
      </c>
      <c r="G604" s="3">
        <v>-1.3200161450011E-17</v>
      </c>
      <c r="H604" s="3">
        <v>-1.3200161450011E-17</v>
      </c>
      <c r="I604" s="3">
        <v>-1.31866089228549E-17</v>
      </c>
      <c r="J604" s="3">
        <v>4.4520051707686003E-18</v>
      </c>
      <c r="K604" s="3">
        <v>8.8210625054645695E-18</v>
      </c>
      <c r="L604" s="3">
        <v>1.7642125010929201E-17</v>
      </c>
      <c r="M604" s="3">
        <v>5.2926375032787497E-17</v>
      </c>
      <c r="N604" s="3">
        <v>-1.32315937581969E-17</v>
      </c>
      <c r="O604" s="3">
        <v>9.2621156307377998E-17</v>
      </c>
      <c r="P604" s="3">
        <v>-2.2052656263661501E-17</v>
      </c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x14ac:dyDescent="0.45">
      <c r="A605" s="3" t="s">
        <v>79</v>
      </c>
      <c r="B605" s="3" t="s">
        <v>21</v>
      </c>
      <c r="C605" s="3" t="s">
        <v>18</v>
      </c>
      <c r="D605" s="3" t="s">
        <v>12</v>
      </c>
      <c r="E605" s="3" t="s">
        <v>8</v>
      </c>
      <c r="F605" s="3">
        <v>0</v>
      </c>
      <c r="G605" s="3">
        <v>0</v>
      </c>
      <c r="H605" s="3">
        <v>0</v>
      </c>
      <c r="I605" s="3">
        <v>1.31866089228549E-17</v>
      </c>
      <c r="J605" s="3">
        <v>-3.5277228187247101E-17</v>
      </c>
      <c r="K605" s="3">
        <v>0</v>
      </c>
      <c r="L605" s="3">
        <v>-1.7642125010929201E-17</v>
      </c>
      <c r="M605" s="3">
        <v>2.6463187516393601E-17</v>
      </c>
      <c r="N605" s="3">
        <v>0</v>
      </c>
      <c r="O605" s="3">
        <v>3.5284250021858303E-17</v>
      </c>
      <c r="P605" s="3">
        <v>4.85158437800552E-17</v>
      </c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x14ac:dyDescent="0.45">
      <c r="A606" s="3" t="s">
        <v>79</v>
      </c>
      <c r="B606" s="3" t="s">
        <v>21</v>
      </c>
      <c r="C606" s="3" t="s">
        <v>18</v>
      </c>
      <c r="D606" s="3" t="s">
        <v>13</v>
      </c>
      <c r="E606" s="3" t="s">
        <v>8</v>
      </c>
      <c r="F606" s="3">
        <v>0</v>
      </c>
      <c r="G606" s="3">
        <v>-4.4452289071905697E-18</v>
      </c>
      <c r="H606" s="3">
        <v>-4.4452289071905697E-18</v>
      </c>
      <c r="I606" s="3">
        <v>-4.4452289071905697E-18</v>
      </c>
      <c r="J606" s="3">
        <v>-5.7367847451639303E-17</v>
      </c>
      <c r="K606" s="3">
        <v>4.4105312527322901E-18</v>
      </c>
      <c r="L606" s="3">
        <v>0</v>
      </c>
      <c r="M606" s="3">
        <v>-2.6463187516393601E-17</v>
      </c>
      <c r="N606" s="3">
        <v>1.1467381257104001E-16</v>
      </c>
      <c r="O606" s="3">
        <v>-9.2621156307377998E-17</v>
      </c>
      <c r="P606" s="3">
        <v>-1.32315937581969E-17</v>
      </c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x14ac:dyDescent="0.45">
      <c r="A607" s="3" t="s">
        <v>79</v>
      </c>
      <c r="B607" s="3" t="s">
        <v>21</v>
      </c>
      <c r="C607" s="3" t="s">
        <v>18</v>
      </c>
      <c r="D607" s="3" t="s">
        <v>14</v>
      </c>
      <c r="E607" s="3" t="s">
        <v>8</v>
      </c>
      <c r="F607" s="3">
        <v>0</v>
      </c>
      <c r="G607" s="3">
        <v>-8.9040103415372098E-18</v>
      </c>
      <c r="H607" s="3">
        <v>-8.9040103415372098E-18</v>
      </c>
      <c r="I607" s="3">
        <v>-7.0547680110916204E-17</v>
      </c>
      <c r="J607" s="3">
        <v>-2.6535848171582699E-17</v>
      </c>
      <c r="K607" s="3">
        <v>7.4979031296448798E-17</v>
      </c>
      <c r="L607" s="3">
        <v>0</v>
      </c>
      <c r="M607" s="3">
        <v>-5.2926375032787497E-17</v>
      </c>
      <c r="N607" s="3">
        <v>-1.1467381257104001E-16</v>
      </c>
      <c r="O607" s="3">
        <v>-3.5284250021858198E-17</v>
      </c>
      <c r="P607" s="3">
        <v>1.7642125010929201E-16</v>
      </c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x14ac:dyDescent="0.45">
      <c r="A608" s="3" t="s">
        <v>79</v>
      </c>
      <c r="B608" s="3" t="s">
        <v>21</v>
      </c>
      <c r="C608" s="3" t="s">
        <v>19</v>
      </c>
      <c r="D608" s="3" t="s">
        <v>12</v>
      </c>
      <c r="E608" s="3" t="s">
        <v>8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4.2795044069251402E-3</v>
      </c>
      <c r="N608" s="3">
        <v>1.7882813188422501E-2</v>
      </c>
      <c r="O608" s="3">
        <v>4.26833978626645E-2</v>
      </c>
      <c r="P608" s="3">
        <v>5.8669114888054097E-2</v>
      </c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x14ac:dyDescent="0.45">
      <c r="A609" s="3" t="s">
        <v>79</v>
      </c>
      <c r="B609" s="3" t="s">
        <v>21</v>
      </c>
      <c r="C609" s="3" t="s">
        <v>19</v>
      </c>
      <c r="D609" s="3" t="s">
        <v>13</v>
      </c>
      <c r="E609" s="3" t="s">
        <v>8</v>
      </c>
      <c r="F609" s="3">
        <v>0</v>
      </c>
      <c r="G609" s="3">
        <v>0</v>
      </c>
      <c r="H609" s="3">
        <v>0</v>
      </c>
      <c r="I609" s="3">
        <v>0</v>
      </c>
      <c r="J609" s="3">
        <v>5.5039058054624397E-3</v>
      </c>
      <c r="K609" s="3">
        <v>3.4379792417811597E-2</v>
      </c>
      <c r="L609" s="3">
        <v>8.4588658298547004E-2</v>
      </c>
      <c r="M609" s="3">
        <v>0.141897682571659</v>
      </c>
      <c r="N609" s="3">
        <v>0.199808886034119</v>
      </c>
      <c r="O609" s="3">
        <v>0.25203344266525102</v>
      </c>
      <c r="P609" s="3">
        <v>0.30646265666362599</v>
      </c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x14ac:dyDescent="0.45">
      <c r="A610" s="3" t="s">
        <v>79</v>
      </c>
      <c r="B610" s="3" t="s">
        <v>21</v>
      </c>
      <c r="C610" s="3" t="s">
        <v>19</v>
      </c>
      <c r="D610" s="3" t="s">
        <v>14</v>
      </c>
      <c r="E610" s="3" t="s">
        <v>8</v>
      </c>
      <c r="F610" s="3">
        <v>0</v>
      </c>
      <c r="G610" s="3">
        <v>0</v>
      </c>
      <c r="H610" s="3">
        <v>0</v>
      </c>
      <c r="I610" s="3">
        <v>1.45862470275909E-2</v>
      </c>
      <c r="J610" s="3">
        <v>7.2183767982122393E-2</v>
      </c>
      <c r="K610" s="3">
        <v>0.13055472696954701</v>
      </c>
      <c r="L610" s="3">
        <v>0.19454720270811601</v>
      </c>
      <c r="M610" s="3">
        <v>0.26130082716962899</v>
      </c>
      <c r="N610" s="3">
        <v>0.31173739784291599</v>
      </c>
      <c r="O610" s="3">
        <v>0.34025059437351202</v>
      </c>
      <c r="P610" s="3">
        <v>0.337369357501133</v>
      </c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x14ac:dyDescent="0.45">
      <c r="A611" s="3" t="s">
        <v>80</v>
      </c>
      <c r="B611" s="3" t="s">
        <v>29</v>
      </c>
      <c r="C611" s="3" t="s">
        <v>6</v>
      </c>
      <c r="D611" s="3" t="s">
        <v>7</v>
      </c>
      <c r="E611" s="3" t="s">
        <v>8</v>
      </c>
      <c r="F611" s="3">
        <v>0</v>
      </c>
      <c r="G611" s="3">
        <v>0</v>
      </c>
      <c r="H611" s="3">
        <v>0</v>
      </c>
      <c r="I611" s="3">
        <v>0</v>
      </c>
      <c r="J611" s="3">
        <v>7.9398550917322695E-5</v>
      </c>
      <c r="K611" s="3">
        <v>1.09018092174053E-4</v>
      </c>
      <c r="L611" s="3">
        <v>2.6904353386683599E-5</v>
      </c>
      <c r="M611" s="3">
        <v>2.6904353386683799E-5</v>
      </c>
      <c r="N611" s="3">
        <v>2.1732853653746501E-5</v>
      </c>
      <c r="O611" s="3">
        <v>1.7385468628461402E-5</v>
      </c>
      <c r="P611" s="3">
        <v>1.39298495837133E-5</v>
      </c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x14ac:dyDescent="0.45">
      <c r="A612" s="3" t="s">
        <v>80</v>
      </c>
      <c r="B612" s="3" t="s">
        <v>29</v>
      </c>
      <c r="C612" s="3" t="s">
        <v>6</v>
      </c>
      <c r="D612" s="3" t="s">
        <v>9</v>
      </c>
      <c r="E612" s="3" t="s">
        <v>8</v>
      </c>
      <c r="F612" s="3">
        <v>0</v>
      </c>
      <c r="G612" s="3">
        <v>0</v>
      </c>
      <c r="H612" s="3">
        <v>0</v>
      </c>
      <c r="I612" s="3">
        <v>0</v>
      </c>
      <c r="J612" s="3">
        <v>7.47808268643847E-5</v>
      </c>
      <c r="K612" s="3">
        <v>1.8013366374193101E-4</v>
      </c>
      <c r="L612" s="3">
        <v>2.2484724727612999E-4</v>
      </c>
      <c r="M612" s="3">
        <v>2.2484724727612901E-4</v>
      </c>
      <c r="N612" s="3">
        <v>2.1788348697702E-4</v>
      </c>
      <c r="O612" s="3">
        <v>2.2210269407434101E-4</v>
      </c>
      <c r="P612" s="3">
        <v>2.25558313119089E-4</v>
      </c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x14ac:dyDescent="0.45">
      <c r="A613" s="3" t="s">
        <v>80</v>
      </c>
      <c r="B613" s="3" t="s">
        <v>29</v>
      </c>
      <c r="C613" s="3" t="s">
        <v>6</v>
      </c>
      <c r="D613" s="3" t="s">
        <v>10</v>
      </c>
      <c r="E613" s="3" t="s">
        <v>8</v>
      </c>
      <c r="F613" s="3">
        <v>0</v>
      </c>
      <c r="G613" s="3">
        <v>0</v>
      </c>
      <c r="H613" s="3">
        <v>0</v>
      </c>
      <c r="I613" s="3">
        <v>8.9403297308161398E-6</v>
      </c>
      <c r="J613" s="3">
        <v>1.92802572243975E-4</v>
      </c>
      <c r="K613" s="3">
        <v>1.9440249502143499E-4</v>
      </c>
      <c r="L613" s="3">
        <v>1.9824965626351999E-4</v>
      </c>
      <c r="M613" s="3">
        <v>1.9824965626351999E-4</v>
      </c>
      <c r="N613" s="3">
        <v>1.3957989434670701E-3</v>
      </c>
      <c r="O613" s="3">
        <v>3.1592132893664901E-3</v>
      </c>
      <c r="P613" s="3">
        <v>9.8086024674367799E-3</v>
      </c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x14ac:dyDescent="0.45">
      <c r="A614" s="3" t="s">
        <v>80</v>
      </c>
      <c r="B614" s="3" t="s">
        <v>29</v>
      </c>
      <c r="C614" s="3" t="s">
        <v>6</v>
      </c>
      <c r="D614" s="3" t="s">
        <v>11</v>
      </c>
      <c r="E614" s="3" t="s">
        <v>8</v>
      </c>
      <c r="F614" s="3">
        <v>0</v>
      </c>
      <c r="G614" s="3">
        <v>0</v>
      </c>
      <c r="H614" s="3">
        <v>0</v>
      </c>
      <c r="I614" s="3">
        <v>1.46839571880079E-4</v>
      </c>
      <c r="J614" s="3">
        <v>2.00454763154681E-4</v>
      </c>
      <c r="K614" s="3">
        <v>2.16556188859473E-4</v>
      </c>
      <c r="L614" s="3">
        <v>2.3131682818895E-3</v>
      </c>
      <c r="M614" s="3">
        <v>9.5270215957730005E-3</v>
      </c>
      <c r="N614" s="3">
        <v>1.5842018409043201E-2</v>
      </c>
      <c r="O614" s="3">
        <v>2.2005401243524798E-2</v>
      </c>
      <c r="P614" s="3">
        <v>3.1609109273799001E-2</v>
      </c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x14ac:dyDescent="0.45">
      <c r="A615" s="3" t="s">
        <v>80</v>
      </c>
      <c r="B615" s="3" t="s">
        <v>29</v>
      </c>
      <c r="C615" s="3" t="s">
        <v>6</v>
      </c>
      <c r="D615" s="3" t="s">
        <v>12</v>
      </c>
      <c r="E615" s="3" t="s">
        <v>8</v>
      </c>
      <c r="F615" s="3">
        <v>0</v>
      </c>
      <c r="G615" s="3">
        <v>0</v>
      </c>
      <c r="H615" s="3">
        <v>0</v>
      </c>
      <c r="I615" s="3">
        <v>2.5607483021066401E-4</v>
      </c>
      <c r="J615" s="3">
        <v>1.2799106527783401E-3</v>
      </c>
      <c r="K615" s="3">
        <v>9.3960871793570093E-3</v>
      </c>
      <c r="L615" s="3">
        <v>1.57886110546239E-2</v>
      </c>
      <c r="M615" s="3">
        <v>3.4771540435625102E-2</v>
      </c>
      <c r="N615" s="3">
        <v>5.6516084296707202E-2</v>
      </c>
      <c r="O615" s="3">
        <v>7.7082688354483897E-2</v>
      </c>
      <c r="P615" s="3">
        <v>8.7389979008639707E-2</v>
      </c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x14ac:dyDescent="0.45">
      <c r="A616" s="3" t="s">
        <v>80</v>
      </c>
      <c r="B616" s="3" t="s">
        <v>29</v>
      </c>
      <c r="C616" s="3" t="s">
        <v>6</v>
      </c>
      <c r="D616" s="3" t="s">
        <v>13</v>
      </c>
      <c r="E616" s="3" t="s">
        <v>8</v>
      </c>
      <c r="F616" s="3">
        <v>0</v>
      </c>
      <c r="G616" s="3">
        <v>3.0130179525046299E-5</v>
      </c>
      <c r="H616" s="3">
        <v>3.0130179525046299E-5</v>
      </c>
      <c r="I616" s="3">
        <v>8.9361361343336006E-3</v>
      </c>
      <c r="J616" s="3">
        <v>3.9961748946683903E-2</v>
      </c>
      <c r="K616" s="3">
        <v>6.4345825092494105E-2</v>
      </c>
      <c r="L616" s="3">
        <v>8.66441882743645E-2</v>
      </c>
      <c r="M616" s="3">
        <v>8.7346846071176404E-2</v>
      </c>
      <c r="N616" s="3">
        <v>8.4250278650360305E-2</v>
      </c>
      <c r="O616" s="3">
        <v>8.2510464547045803E-2</v>
      </c>
      <c r="P616" s="3">
        <v>8.2260977646780101E-2</v>
      </c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x14ac:dyDescent="0.45">
      <c r="A617" s="3" t="s">
        <v>80</v>
      </c>
      <c r="B617" s="3" t="s">
        <v>29</v>
      </c>
      <c r="C617" s="3" t="s">
        <v>6</v>
      </c>
      <c r="D617" s="3" t="s">
        <v>14</v>
      </c>
      <c r="E617" s="3" t="s">
        <v>8</v>
      </c>
      <c r="F617" s="3">
        <v>0</v>
      </c>
      <c r="G617" s="3">
        <v>1.1409326734725599E-3</v>
      </c>
      <c r="H617" s="3">
        <v>1.1409326734725599E-3</v>
      </c>
      <c r="I617" s="3">
        <v>2.7704044385252601E-2</v>
      </c>
      <c r="J617" s="3">
        <v>2.92073807561859E-2</v>
      </c>
      <c r="K617" s="3">
        <v>3.0384471295112601E-2</v>
      </c>
      <c r="L617" s="3">
        <v>3.4712994322140797E-2</v>
      </c>
      <c r="M617" s="3">
        <v>4.4900657415684303E-2</v>
      </c>
      <c r="N617" s="3">
        <v>5.7628876444932101E-2</v>
      </c>
      <c r="O617" s="3">
        <v>6.7824229675021705E-2</v>
      </c>
      <c r="P617" s="3">
        <v>7.4625915486367794E-2</v>
      </c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x14ac:dyDescent="0.45">
      <c r="A618" s="3" t="s">
        <v>80</v>
      </c>
      <c r="B618" s="3" t="s">
        <v>29</v>
      </c>
      <c r="C618" s="3" t="s">
        <v>15</v>
      </c>
      <c r="D618" s="3" t="s">
        <v>7</v>
      </c>
      <c r="E618" s="3" t="s">
        <v>8</v>
      </c>
      <c r="F618" s="3">
        <v>4.8372087100824003E-2</v>
      </c>
      <c r="G618" s="3">
        <v>5.3447074510472897E-2</v>
      </c>
      <c r="H618" s="3">
        <v>5.3447074510472897E-2</v>
      </c>
      <c r="I618" s="3">
        <v>5.7449639287303601E-2</v>
      </c>
      <c r="J618" s="3">
        <v>6.0622396352361399E-2</v>
      </c>
      <c r="K618" s="3">
        <v>6.3621248827136698E-2</v>
      </c>
      <c r="L618" s="3">
        <v>6.6188977626750897E-2</v>
      </c>
      <c r="M618" s="3">
        <v>6.9006242556731406E-2</v>
      </c>
      <c r="N618" s="3">
        <v>7.0256262133123706E-2</v>
      </c>
      <c r="O618" s="3">
        <v>7.1563843158317306E-2</v>
      </c>
      <c r="P618" s="3">
        <v>7.2646072174863699E-2</v>
      </c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x14ac:dyDescent="0.45">
      <c r="A619" s="3" t="s">
        <v>80</v>
      </c>
      <c r="B619" s="3" t="s">
        <v>29</v>
      </c>
      <c r="C619" s="3" t="s">
        <v>15</v>
      </c>
      <c r="D619" s="3" t="s">
        <v>9</v>
      </c>
      <c r="E619" s="3" t="s">
        <v>8</v>
      </c>
      <c r="F619" s="3">
        <v>0</v>
      </c>
      <c r="G619" s="3">
        <v>-5.8837028296766798E-5</v>
      </c>
      <c r="H619" s="3">
        <v>-5.8837028296766798E-5</v>
      </c>
      <c r="I619" s="3">
        <v>-1.7709620588770401E-4</v>
      </c>
      <c r="J619" s="3">
        <v>-3.6479948562734998E-4</v>
      </c>
      <c r="K619" s="3">
        <v>-1.15606126247905E-4</v>
      </c>
      <c r="L619" s="3">
        <v>-7.8515251916304297E-4</v>
      </c>
      <c r="M619" s="3">
        <v>-1.13234067122919E-3</v>
      </c>
      <c r="N619" s="3">
        <v>-1.18400297973942E-3</v>
      </c>
      <c r="O619" s="3">
        <v>-1.83945788129471E-3</v>
      </c>
      <c r="P619" s="3">
        <v>-2.54654117147732E-3</v>
      </c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x14ac:dyDescent="0.45">
      <c r="A620" s="3" t="s">
        <v>80</v>
      </c>
      <c r="B620" s="3" t="s">
        <v>29</v>
      </c>
      <c r="C620" s="3" t="s">
        <v>15</v>
      </c>
      <c r="D620" s="3" t="s">
        <v>10</v>
      </c>
      <c r="E620" s="3" t="s">
        <v>8</v>
      </c>
      <c r="F620" s="3">
        <v>0</v>
      </c>
      <c r="G620" s="3">
        <v>-1.0795315467451699E-6</v>
      </c>
      <c r="H620" s="3">
        <v>-1.0795315467451699E-6</v>
      </c>
      <c r="I620" s="3">
        <v>-7.0900987637234598E-5</v>
      </c>
      <c r="J620" s="3">
        <v>-2.4204762933061099E-4</v>
      </c>
      <c r="K620" s="3">
        <v>-3.5877880855503301E-4</v>
      </c>
      <c r="L620" s="3">
        <v>-1.00084431415057E-4</v>
      </c>
      <c r="M620" s="3">
        <v>-7.99968729012557E-4</v>
      </c>
      <c r="N620" s="3">
        <v>6.4132931438930197E-4</v>
      </c>
      <c r="O620" s="3">
        <v>3.5000587829454898E-4</v>
      </c>
      <c r="P620" s="3">
        <v>4.6538171977279801E-4</v>
      </c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x14ac:dyDescent="0.45">
      <c r="A621" s="3" t="s">
        <v>80</v>
      </c>
      <c r="B621" s="3" t="s">
        <v>29</v>
      </c>
      <c r="C621" s="3" t="s">
        <v>15</v>
      </c>
      <c r="D621" s="3" t="s">
        <v>11</v>
      </c>
      <c r="E621" s="3" t="s">
        <v>8</v>
      </c>
      <c r="F621" s="3">
        <v>0</v>
      </c>
      <c r="G621" s="3">
        <v>4.23369981080585E-6</v>
      </c>
      <c r="H621" s="3">
        <v>4.23369981080585E-6</v>
      </c>
      <c r="I621" s="3">
        <v>-8.9374921009056904E-5</v>
      </c>
      <c r="J621" s="3">
        <v>1.0959982627344E-4</v>
      </c>
      <c r="K621" s="3">
        <v>-2.1784088257371901E-4</v>
      </c>
      <c r="L621" s="3">
        <v>5.8853450970500199E-4</v>
      </c>
      <c r="M621" s="3">
        <v>1.51663092340797E-3</v>
      </c>
      <c r="N621" s="3">
        <v>8.9350060771842298E-4</v>
      </c>
      <c r="O621" s="3">
        <v>1.0129368710872801E-3</v>
      </c>
      <c r="P621" s="3">
        <v>1.1504239491892099E-3</v>
      </c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x14ac:dyDescent="0.45">
      <c r="A622" s="3" t="s">
        <v>80</v>
      </c>
      <c r="B622" s="3" t="s">
        <v>29</v>
      </c>
      <c r="C622" s="3" t="s">
        <v>15</v>
      </c>
      <c r="D622" s="3" t="s">
        <v>12</v>
      </c>
      <c r="E622" s="3" t="s">
        <v>8</v>
      </c>
      <c r="F622" s="3">
        <v>0</v>
      </c>
      <c r="G622" s="3">
        <v>1.8182358104759699E-6</v>
      </c>
      <c r="H622" s="3">
        <v>1.8182358104759699E-6</v>
      </c>
      <c r="I622" s="3">
        <v>-3.0191693724721701E-4</v>
      </c>
      <c r="J622" s="3">
        <v>-4.9269730132903097E-5</v>
      </c>
      <c r="K622" s="3">
        <v>2.4022997320777102E-3</v>
      </c>
      <c r="L622" s="3">
        <v>2.41442768531547E-3</v>
      </c>
      <c r="M622" s="3">
        <v>2.3448202654928101E-3</v>
      </c>
      <c r="N622" s="3">
        <v>1.4118437700817699E-3</v>
      </c>
      <c r="O622" s="3">
        <v>1.7587003604653401E-3</v>
      </c>
      <c r="P622" s="3">
        <v>1.7499047171591199E-3</v>
      </c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x14ac:dyDescent="0.45">
      <c r="A623" s="3" t="s">
        <v>80</v>
      </c>
      <c r="B623" s="3" t="s">
        <v>29</v>
      </c>
      <c r="C623" s="3" t="s">
        <v>15</v>
      </c>
      <c r="D623" s="3" t="s">
        <v>13</v>
      </c>
      <c r="E623" s="3" t="s">
        <v>8</v>
      </c>
      <c r="F623" s="3">
        <v>0</v>
      </c>
      <c r="G623" s="3">
        <v>-3.8945086674244101E-4</v>
      </c>
      <c r="H623" s="3">
        <v>-3.8945086674244101E-4</v>
      </c>
      <c r="I623" s="3">
        <v>3.1075776370402099E-3</v>
      </c>
      <c r="J623" s="3">
        <v>3.2726156807861601E-3</v>
      </c>
      <c r="K623" s="3">
        <v>3.2982935492417698E-4</v>
      </c>
      <c r="L623" s="3">
        <v>-1.15452024447404E-4</v>
      </c>
      <c r="M623" s="3">
        <v>2.25315000899479E-4</v>
      </c>
      <c r="N623" s="3">
        <v>1.3079453412364599E-3</v>
      </c>
      <c r="O623" s="3">
        <v>1.3648235297270099E-3</v>
      </c>
      <c r="P623" s="3">
        <v>1.14243334493373E-3</v>
      </c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x14ac:dyDescent="0.45">
      <c r="A624" s="3" t="s">
        <v>80</v>
      </c>
      <c r="B624" s="3" t="s">
        <v>29</v>
      </c>
      <c r="C624" s="3" t="s">
        <v>15</v>
      </c>
      <c r="D624" s="3" t="s">
        <v>14</v>
      </c>
      <c r="E624" s="3" t="s">
        <v>8</v>
      </c>
      <c r="F624" s="3">
        <v>0</v>
      </c>
      <c r="G624" s="3">
        <v>9.3370948953772797E-4</v>
      </c>
      <c r="H624" s="3">
        <v>9.3370948953772797E-4</v>
      </c>
      <c r="I624" s="3">
        <v>-1.7341637221858499E-3</v>
      </c>
      <c r="J624" s="3">
        <v>-3.0527066030569998E-3</v>
      </c>
      <c r="K624" s="3">
        <v>-3.4857846113894599E-3</v>
      </c>
      <c r="L624" s="3">
        <v>-4.58794632278789E-3</v>
      </c>
      <c r="M624" s="3">
        <v>-5.3924578517954803E-3</v>
      </c>
      <c r="N624" s="3">
        <v>-5.2731986417705297E-3</v>
      </c>
      <c r="O624" s="3">
        <v>-4.5379232129043297E-3</v>
      </c>
      <c r="P624" s="3">
        <v>-4.5467159524510397E-3</v>
      </c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x14ac:dyDescent="0.45">
      <c r="A625" s="3" t="s">
        <v>80</v>
      </c>
      <c r="B625" s="3" t="s">
        <v>29</v>
      </c>
      <c r="C625" s="3" t="s">
        <v>16</v>
      </c>
      <c r="D625" s="3" t="s">
        <v>7</v>
      </c>
      <c r="E625" s="3" t="s">
        <v>8</v>
      </c>
      <c r="F625" s="3">
        <v>2.0649581305732499E-2</v>
      </c>
      <c r="G625" s="3">
        <v>2.2043472929802299E-2</v>
      </c>
      <c r="H625" s="3">
        <v>2.2043472929802299E-2</v>
      </c>
      <c r="I625" s="3">
        <v>2.1313698263343402E-2</v>
      </c>
      <c r="J625" s="3">
        <v>2.0631572133937098E-2</v>
      </c>
      <c r="K625" s="3">
        <v>2.0348257317971501E-2</v>
      </c>
      <c r="L625" s="3">
        <v>2.0291439790910401E-2</v>
      </c>
      <c r="M625" s="3">
        <v>2.0150042996838698E-2</v>
      </c>
      <c r="N625" s="3">
        <v>2.0112459452856699E-2</v>
      </c>
      <c r="O625" s="3">
        <v>2.0112459452856699E-2</v>
      </c>
      <c r="P625" s="3">
        <v>2.0112459452856699E-2</v>
      </c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x14ac:dyDescent="0.45">
      <c r="A626" s="3" t="s">
        <v>80</v>
      </c>
      <c r="B626" s="3" t="s">
        <v>29</v>
      </c>
      <c r="C626" s="3" t="s">
        <v>16</v>
      </c>
      <c r="D626" s="3" t="s">
        <v>9</v>
      </c>
      <c r="E626" s="3" t="s">
        <v>8</v>
      </c>
      <c r="F626" s="3">
        <v>0</v>
      </c>
      <c r="G626" s="3">
        <v>-5.46027112784814E-6</v>
      </c>
      <c r="H626" s="3">
        <v>-5.46027112784814E-6</v>
      </c>
      <c r="I626" s="3">
        <v>0</v>
      </c>
      <c r="J626" s="3">
        <v>3.9355581945038597E-5</v>
      </c>
      <c r="K626" s="3">
        <v>6.3413450307296696E-6</v>
      </c>
      <c r="L626" s="3">
        <v>4.0217352899107897E-5</v>
      </c>
      <c r="M626" s="3">
        <v>7.8837800547865795E-5</v>
      </c>
      <c r="N626" s="3">
        <v>-1.6569080331545699E-3</v>
      </c>
      <c r="O626" s="3">
        <v>-1.65690803315461E-3</v>
      </c>
      <c r="P626" s="3">
        <v>-1.65690803315461E-3</v>
      </c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x14ac:dyDescent="0.45">
      <c r="A627" s="3" t="s">
        <v>80</v>
      </c>
      <c r="B627" s="3" t="s">
        <v>29</v>
      </c>
      <c r="C627" s="3" t="s">
        <v>16</v>
      </c>
      <c r="D627" s="3" t="s">
        <v>10</v>
      </c>
      <c r="E627" s="3" t="s">
        <v>8</v>
      </c>
      <c r="F627" s="3">
        <v>0</v>
      </c>
      <c r="G627" s="3">
        <v>-3.4694469519536099E-17</v>
      </c>
      <c r="H627" s="3">
        <v>-3.4694469519536099E-17</v>
      </c>
      <c r="I627" s="3">
        <v>0</v>
      </c>
      <c r="J627" s="3">
        <v>3.8554697762389199E-5</v>
      </c>
      <c r="K627" s="3">
        <v>1.06457709127747E-5</v>
      </c>
      <c r="L627" s="3">
        <v>-1.7259715291629001E-3</v>
      </c>
      <c r="M627" s="3">
        <v>-1.7103699798640801E-3</v>
      </c>
      <c r="N627" s="3">
        <v>6.2959397820344E-5</v>
      </c>
      <c r="O627" s="3">
        <v>6.2959397820312694E-5</v>
      </c>
      <c r="P627" s="3">
        <v>6.2959397820344E-5</v>
      </c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x14ac:dyDescent="0.45">
      <c r="A628" s="3" t="s">
        <v>80</v>
      </c>
      <c r="B628" s="3" t="s">
        <v>29</v>
      </c>
      <c r="C628" s="3" t="s">
        <v>16</v>
      </c>
      <c r="D628" s="3" t="s">
        <v>11</v>
      </c>
      <c r="E628" s="3" t="s">
        <v>8</v>
      </c>
      <c r="F628" s="3">
        <v>0</v>
      </c>
      <c r="G628" s="3">
        <v>3.4694469519536099E-17</v>
      </c>
      <c r="H628" s="3">
        <v>3.4694469519536099E-17</v>
      </c>
      <c r="I628" s="3">
        <v>0</v>
      </c>
      <c r="J628" s="3">
        <v>-1.7700391597248E-3</v>
      </c>
      <c r="K628" s="3">
        <v>-1.7243194371939501E-3</v>
      </c>
      <c r="L628" s="3">
        <v>3.2881834086465098E-7</v>
      </c>
      <c r="M628" s="3">
        <v>-9.0156674002969005E-5</v>
      </c>
      <c r="N628" s="3">
        <v>-1.3996871417063E-4</v>
      </c>
      <c r="O628" s="3">
        <v>-1.3996871417059801E-4</v>
      </c>
      <c r="P628" s="3">
        <v>-1.3996871417063E-4</v>
      </c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x14ac:dyDescent="0.45">
      <c r="A629" s="3" t="s">
        <v>80</v>
      </c>
      <c r="B629" s="3" t="s">
        <v>29</v>
      </c>
      <c r="C629" s="3" t="s">
        <v>16</v>
      </c>
      <c r="D629" s="3" t="s">
        <v>12</v>
      </c>
      <c r="E629" s="3" t="s">
        <v>8</v>
      </c>
      <c r="F629" s="3">
        <v>0</v>
      </c>
      <c r="G629" s="3">
        <v>-1.04609813080039E-5</v>
      </c>
      <c r="H629" s="3">
        <v>-1.04609813080039E-5</v>
      </c>
      <c r="I629" s="3">
        <v>-1.86522601332824E-3</v>
      </c>
      <c r="J629" s="3">
        <v>9.33234336039611E-5</v>
      </c>
      <c r="K629" s="3">
        <v>-3.4881864633701903E-5</v>
      </c>
      <c r="L629" s="3">
        <v>-2.2003162110924599E-4</v>
      </c>
      <c r="M629" s="3">
        <v>-5.2404324378335602E-5</v>
      </c>
      <c r="N629" s="3">
        <v>-2.9933548300331599E-6</v>
      </c>
      <c r="O629" s="3">
        <v>-3.8126711540201201E-6</v>
      </c>
      <c r="P629" s="3">
        <v>-4.2271243638585002E-6</v>
      </c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x14ac:dyDescent="0.45">
      <c r="A630" s="3" t="s">
        <v>80</v>
      </c>
      <c r="B630" s="3" t="s">
        <v>29</v>
      </c>
      <c r="C630" s="3" t="s">
        <v>16</v>
      </c>
      <c r="D630" s="3" t="s">
        <v>13</v>
      </c>
      <c r="E630" s="3" t="s">
        <v>8</v>
      </c>
      <c r="F630" s="3">
        <v>0</v>
      </c>
      <c r="G630" s="3">
        <v>1.5921252435852101E-5</v>
      </c>
      <c r="H630" s="3">
        <v>1.5921252435852101E-5</v>
      </c>
      <c r="I630" s="3">
        <v>-3.3631522520769999E-4</v>
      </c>
      <c r="J630" s="3">
        <v>-6.3750193332959596E-4</v>
      </c>
      <c r="K630" s="3">
        <v>-2.3162558405475899E-4</v>
      </c>
      <c r="L630" s="3">
        <v>-1.1670951731865299E-5</v>
      </c>
      <c r="M630" s="3">
        <v>-1.63901587364734E-6</v>
      </c>
      <c r="N630" s="3">
        <v>-1.2379558231058501E-6</v>
      </c>
      <c r="O630" s="3">
        <v>-4.1863960480864598E-7</v>
      </c>
      <c r="P630" s="3">
        <v>-4.1863960388577298E-9</v>
      </c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x14ac:dyDescent="0.45">
      <c r="A631" s="3" t="s">
        <v>80</v>
      </c>
      <c r="B631" s="3" t="s">
        <v>29</v>
      </c>
      <c r="C631" s="3" t="s">
        <v>16</v>
      </c>
      <c r="D631" s="3" t="s">
        <v>14</v>
      </c>
      <c r="E631" s="3" t="s">
        <v>8</v>
      </c>
      <c r="F631" s="3">
        <v>0</v>
      </c>
      <c r="G631" s="3">
        <v>-1.84632504875844E-3</v>
      </c>
      <c r="H631" s="3">
        <v>-1.84632504875844E-3</v>
      </c>
      <c r="I631" s="3">
        <v>-7.2992823639260105E-4</v>
      </c>
      <c r="J631" s="3">
        <v>-2.0905796820867901E-5</v>
      </c>
      <c r="K631" s="3">
        <v>-1.06273792824935E-7</v>
      </c>
      <c r="L631" s="3">
        <v>-1.06273793931688E-9</v>
      </c>
      <c r="M631" s="3">
        <v>-1.06273670419377E-11</v>
      </c>
      <c r="N631" s="3">
        <v>-1.06272629585291E-13</v>
      </c>
      <c r="O631" s="3">
        <v>-1.06858966120171E-15</v>
      </c>
      <c r="P631" s="3">
        <v>0</v>
      </c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x14ac:dyDescent="0.45">
      <c r="A632" s="3" t="s">
        <v>80</v>
      </c>
      <c r="B632" s="3" t="s">
        <v>29</v>
      </c>
      <c r="C632" s="3" t="s">
        <v>17</v>
      </c>
      <c r="D632" s="3" t="s">
        <v>7</v>
      </c>
      <c r="E632" s="3" t="s">
        <v>8</v>
      </c>
      <c r="F632" s="3">
        <v>3.6593007674264699E-3</v>
      </c>
      <c r="G632" s="3">
        <v>8.3881726552628693E-3</v>
      </c>
      <c r="H632" s="3">
        <v>8.3881726552628693E-3</v>
      </c>
      <c r="I632" s="3">
        <v>1.11434320042644E-2</v>
      </c>
      <c r="J632" s="3">
        <v>1.47330221651537E-2</v>
      </c>
      <c r="K632" s="3">
        <v>1.9538429214357E-2</v>
      </c>
      <c r="L632" s="3">
        <v>1.5727620550677598E-2</v>
      </c>
      <c r="M632" s="3">
        <v>1.27435497010993E-2</v>
      </c>
      <c r="N632" s="3">
        <v>1.0298225783244601E-2</v>
      </c>
      <c r="O632" s="3">
        <v>8.3760886355856608E-3</v>
      </c>
      <c r="P632" s="3">
        <v>7.29003691488825E-3</v>
      </c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x14ac:dyDescent="0.45">
      <c r="A633" s="3" t="s">
        <v>80</v>
      </c>
      <c r="B633" s="3" t="s">
        <v>29</v>
      </c>
      <c r="C633" s="3" t="s">
        <v>17</v>
      </c>
      <c r="D633" s="3" t="s">
        <v>9</v>
      </c>
      <c r="E633" s="3" t="s">
        <v>8</v>
      </c>
      <c r="F633" s="3">
        <v>0</v>
      </c>
      <c r="G633" s="3">
        <v>2.6119251278025098E-4</v>
      </c>
      <c r="H633" s="3">
        <v>2.6119251278025098E-4</v>
      </c>
      <c r="I633" s="3">
        <v>8.3610460985561797E-5</v>
      </c>
      <c r="J633" s="3">
        <v>1.4879122104475299E-3</v>
      </c>
      <c r="K633" s="3">
        <v>2.0407354096575502E-3</v>
      </c>
      <c r="L633" s="3">
        <v>2.8173748950040601E-3</v>
      </c>
      <c r="M633" s="3">
        <v>3.4343034648227802E-3</v>
      </c>
      <c r="N633" s="3">
        <v>1.0366362836812301E-2</v>
      </c>
      <c r="O633" s="3">
        <v>1.1544726492617299E-2</v>
      </c>
      <c r="P633" s="3">
        <v>1.21463446734812E-2</v>
      </c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x14ac:dyDescent="0.45">
      <c r="A634" s="3" t="s">
        <v>80</v>
      </c>
      <c r="B634" s="3" t="s">
        <v>29</v>
      </c>
      <c r="C634" s="3" t="s">
        <v>17</v>
      </c>
      <c r="D634" s="3" t="s">
        <v>10</v>
      </c>
      <c r="E634" s="3" t="s">
        <v>8</v>
      </c>
      <c r="F634" s="3">
        <v>0</v>
      </c>
      <c r="G634" s="3">
        <v>7.55270803173506E-5</v>
      </c>
      <c r="H634" s="3">
        <v>7.55270803173506E-5</v>
      </c>
      <c r="I634" s="3">
        <v>6.6086876187358495E-4</v>
      </c>
      <c r="J634" s="3">
        <v>5.1632459170271295E-4</v>
      </c>
      <c r="K634" s="3">
        <v>1.27303243822263E-3</v>
      </c>
      <c r="L634" s="3">
        <v>8.0798018229473901E-3</v>
      </c>
      <c r="M634" s="3">
        <v>8.6393958935196604E-3</v>
      </c>
      <c r="N634" s="3">
        <v>8.2271772673910403E-3</v>
      </c>
      <c r="O634" s="3">
        <v>8.4642977931212691E-3</v>
      </c>
      <c r="P634" s="3">
        <v>2.1296197916112099E-2</v>
      </c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x14ac:dyDescent="0.45">
      <c r="A635" s="3" t="s">
        <v>80</v>
      </c>
      <c r="B635" s="3" t="s">
        <v>29</v>
      </c>
      <c r="C635" s="3" t="s">
        <v>17</v>
      </c>
      <c r="D635" s="3" t="s">
        <v>11</v>
      </c>
      <c r="E635" s="3" t="s">
        <v>8</v>
      </c>
      <c r="F635" s="3">
        <v>0</v>
      </c>
      <c r="G635" s="3">
        <v>7.1767227911823494E-5</v>
      </c>
      <c r="H635" s="3">
        <v>7.1767227911823494E-5</v>
      </c>
      <c r="I635" s="3">
        <v>4.26251307912568E-4</v>
      </c>
      <c r="J635" s="3">
        <v>7.4154512850474899E-3</v>
      </c>
      <c r="K635" s="3">
        <v>9.5006500376576906E-3</v>
      </c>
      <c r="L635" s="3">
        <v>7.3281802539362896E-3</v>
      </c>
      <c r="M635" s="3">
        <v>1.6509225693883599E-2</v>
      </c>
      <c r="N635" s="3">
        <v>1.34132854138025E-2</v>
      </c>
      <c r="O635" s="3">
        <v>1.4195068929373399E-2</v>
      </c>
      <c r="P635" s="3">
        <v>2.3613335099077E-3</v>
      </c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x14ac:dyDescent="0.45">
      <c r="A636" s="3" t="s">
        <v>80</v>
      </c>
      <c r="B636" s="3" t="s">
        <v>29</v>
      </c>
      <c r="C636" s="3" t="s">
        <v>17</v>
      </c>
      <c r="D636" s="3" t="s">
        <v>12</v>
      </c>
      <c r="E636" s="3" t="s">
        <v>8</v>
      </c>
      <c r="F636" s="3">
        <v>0</v>
      </c>
      <c r="G636" s="3">
        <v>1.09459561283408E-4</v>
      </c>
      <c r="H636" s="3">
        <v>1.09459561283408E-4</v>
      </c>
      <c r="I636" s="3">
        <v>6.7406050889518704E-3</v>
      </c>
      <c r="J636" s="3">
        <v>5.6433776928141999E-3</v>
      </c>
      <c r="K636" s="3">
        <v>7.72711703583047E-3</v>
      </c>
      <c r="L636" s="3">
        <v>8.1905304013091505E-3</v>
      </c>
      <c r="M636" s="3">
        <v>2.5318788877591999E-3</v>
      </c>
      <c r="N636" s="3">
        <v>3.1633910917327999E-3</v>
      </c>
      <c r="O636" s="3">
        <v>3.7891330784106201E-3</v>
      </c>
      <c r="P636" s="3">
        <v>3.6146153944943801E-3</v>
      </c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x14ac:dyDescent="0.45">
      <c r="A637" s="3" t="s">
        <v>80</v>
      </c>
      <c r="B637" s="3" t="s">
        <v>29</v>
      </c>
      <c r="C637" s="3" t="s">
        <v>17</v>
      </c>
      <c r="D637" s="3" t="s">
        <v>13</v>
      </c>
      <c r="E637" s="3" t="s">
        <v>8</v>
      </c>
      <c r="F637" s="3">
        <v>0</v>
      </c>
      <c r="G637" s="3">
        <v>1.2959101071181201E-3</v>
      </c>
      <c r="H637" s="3">
        <v>1.2959101071181201E-3</v>
      </c>
      <c r="I637" s="3">
        <v>1.7779086998851602E-2</v>
      </c>
      <c r="J637" s="3">
        <v>1.40410535132199E-2</v>
      </c>
      <c r="K637" s="3">
        <v>6.28356964030009E-3</v>
      </c>
      <c r="L637" s="3">
        <v>4.7801134624023299E-3</v>
      </c>
      <c r="M637" s="3">
        <v>3.21009973096962E-3</v>
      </c>
      <c r="N637" s="3">
        <v>1.6013875346814501E-3</v>
      </c>
      <c r="O637" s="3">
        <v>7.00828741597187E-4</v>
      </c>
      <c r="P637" s="3">
        <v>3.6164708961807001E-4</v>
      </c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x14ac:dyDescent="0.45">
      <c r="A638" s="3" t="s">
        <v>80</v>
      </c>
      <c r="B638" s="3" t="s">
        <v>29</v>
      </c>
      <c r="C638" s="3" t="s">
        <v>17</v>
      </c>
      <c r="D638" s="3" t="s">
        <v>14</v>
      </c>
      <c r="E638" s="3" t="s">
        <v>8</v>
      </c>
      <c r="F638" s="3">
        <v>0</v>
      </c>
      <c r="G638" s="3">
        <v>6.1979509040411699E-3</v>
      </c>
      <c r="H638" s="3">
        <v>6.1979509040411699E-3</v>
      </c>
      <c r="I638" s="3">
        <v>8.7789499834275107E-3</v>
      </c>
      <c r="J638" s="3">
        <v>3.16108860321704E-3</v>
      </c>
      <c r="K638" s="3">
        <v>7.0602351914011996E-4</v>
      </c>
      <c r="L638" s="3">
        <v>1.4655257582951001E-4</v>
      </c>
      <c r="M638" s="3">
        <v>1.74466740752999E-6</v>
      </c>
      <c r="N638" s="3">
        <v>3.6812715824979803E-7</v>
      </c>
      <c r="O638" s="3">
        <v>5.4384270829765902E-8</v>
      </c>
      <c r="P638" s="3">
        <v>2.2556476138302401E-8</v>
      </c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x14ac:dyDescent="0.45">
      <c r="A639" s="3" t="s">
        <v>80</v>
      </c>
      <c r="B639" s="3" t="s">
        <v>29</v>
      </c>
      <c r="C639" s="3" t="s">
        <v>18</v>
      </c>
      <c r="D639" s="3" t="s">
        <v>7</v>
      </c>
      <c r="E639" s="3" t="s">
        <v>8</v>
      </c>
      <c r="F639" s="3">
        <v>3.7371707605941898E-2</v>
      </c>
      <c r="G639" s="3">
        <v>2.7931766465259501E-2</v>
      </c>
      <c r="H639" s="3">
        <v>2.7931766465259501E-2</v>
      </c>
      <c r="I639" s="3">
        <v>1.86211776435063E-2</v>
      </c>
      <c r="J639" s="3">
        <v>9.3105888217531706E-3</v>
      </c>
      <c r="K639" s="3">
        <v>0</v>
      </c>
      <c r="L639" s="3">
        <v>2.1595583220097499E-17</v>
      </c>
      <c r="M639" s="3">
        <v>0</v>
      </c>
      <c r="N639" s="3">
        <v>3.5992638700162598E-18</v>
      </c>
      <c r="O639" s="3">
        <v>0</v>
      </c>
      <c r="P639" s="3">
        <v>1.4397055480064999E-17</v>
      </c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x14ac:dyDescent="0.45">
      <c r="A640" s="3" t="s">
        <v>80</v>
      </c>
      <c r="B640" s="3" t="s">
        <v>29</v>
      </c>
      <c r="C640" s="3" t="s">
        <v>18</v>
      </c>
      <c r="D640" s="3" t="s">
        <v>9</v>
      </c>
      <c r="E640" s="3" t="s">
        <v>8</v>
      </c>
      <c r="F640" s="3">
        <v>0</v>
      </c>
      <c r="G640" s="3">
        <v>0</v>
      </c>
      <c r="H640" s="3">
        <v>0</v>
      </c>
      <c r="I640" s="3">
        <v>0</v>
      </c>
      <c r="J640" s="3">
        <v>-3.1225022567582503E-17</v>
      </c>
      <c r="K640" s="3">
        <v>0</v>
      </c>
      <c r="L640" s="3">
        <v>-7.1985277400324996E-18</v>
      </c>
      <c r="M640" s="3">
        <v>3.5992638700162598E-18</v>
      </c>
      <c r="N640" s="3">
        <v>-3.5992638700162598E-18</v>
      </c>
      <c r="O640" s="3">
        <v>3.5992638700162598E-18</v>
      </c>
      <c r="P640" s="3">
        <v>-1.4397055480064999E-17</v>
      </c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x14ac:dyDescent="0.45">
      <c r="A641" s="3" t="s">
        <v>80</v>
      </c>
      <c r="B641" s="3" t="s">
        <v>29</v>
      </c>
      <c r="C641" s="3" t="s">
        <v>18</v>
      </c>
      <c r="D641" s="3" t="s">
        <v>10</v>
      </c>
      <c r="E641" s="3" t="s">
        <v>8</v>
      </c>
      <c r="F641" s="3">
        <v>0</v>
      </c>
      <c r="G641" s="3">
        <v>0</v>
      </c>
      <c r="H641" s="3">
        <v>0</v>
      </c>
      <c r="I641" s="3">
        <v>0</v>
      </c>
      <c r="J641" s="3">
        <v>3.1225022567582503E-17</v>
      </c>
      <c r="K641" s="3">
        <v>2.1595583220097499E-17</v>
      </c>
      <c r="L641" s="3">
        <v>-1.4397055480064999E-17</v>
      </c>
      <c r="M641" s="3">
        <v>-3.5992638700162598E-18</v>
      </c>
      <c r="N641" s="3">
        <v>0</v>
      </c>
      <c r="O641" s="3">
        <v>-3.5992638700162598E-18</v>
      </c>
      <c r="P641" s="3">
        <v>0</v>
      </c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x14ac:dyDescent="0.45">
      <c r="A642" s="3" t="s">
        <v>80</v>
      </c>
      <c r="B642" s="3" t="s">
        <v>29</v>
      </c>
      <c r="C642" s="3" t="s">
        <v>18</v>
      </c>
      <c r="D642" s="3" t="s">
        <v>11</v>
      </c>
      <c r="E642" s="3" t="s">
        <v>8</v>
      </c>
      <c r="F642" s="3">
        <v>0</v>
      </c>
      <c r="G642" s="3">
        <v>3.1225022567582503E-17</v>
      </c>
      <c r="H642" s="3">
        <v>3.1225022567582503E-17</v>
      </c>
      <c r="I642" s="3">
        <v>0</v>
      </c>
      <c r="J642" s="3">
        <v>0</v>
      </c>
      <c r="K642" s="3">
        <v>-7.1985277400324996E-18</v>
      </c>
      <c r="L642" s="3">
        <v>7.1985277400324996E-18</v>
      </c>
      <c r="M642" s="3">
        <v>1.7996319350081301E-17</v>
      </c>
      <c r="N642" s="3">
        <v>3.5992638700162598E-18</v>
      </c>
      <c r="O642" s="3">
        <v>2.1595583220097499E-17</v>
      </c>
      <c r="P642" s="3">
        <v>0</v>
      </c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x14ac:dyDescent="0.45">
      <c r="A643" s="3" t="s">
        <v>80</v>
      </c>
      <c r="B643" s="3" t="s">
        <v>29</v>
      </c>
      <c r="C643" s="3" t="s">
        <v>18</v>
      </c>
      <c r="D643" s="3" t="s">
        <v>12</v>
      </c>
      <c r="E643" s="3" t="s">
        <v>8</v>
      </c>
      <c r="F643" s="3">
        <v>0</v>
      </c>
      <c r="G643" s="3">
        <v>0</v>
      </c>
      <c r="H643" s="3">
        <v>0</v>
      </c>
      <c r="I643" s="3">
        <v>3.4694469519536099E-17</v>
      </c>
      <c r="J643" s="3">
        <v>3.2959746043559298E-17</v>
      </c>
      <c r="K643" s="3">
        <v>-1.4397055480064999E-17</v>
      </c>
      <c r="L643" s="3">
        <v>-7.1985277400324996E-18</v>
      </c>
      <c r="M643" s="3">
        <v>1.4397055480064999E-17</v>
      </c>
      <c r="N643" s="3">
        <v>1.4397055480064999E-17</v>
      </c>
      <c r="O643" s="3">
        <v>1.07977916100488E-17</v>
      </c>
      <c r="P643" s="3">
        <v>0</v>
      </c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x14ac:dyDescent="0.45">
      <c r="A644" s="3" t="s">
        <v>80</v>
      </c>
      <c r="B644" s="3" t="s">
        <v>29</v>
      </c>
      <c r="C644" s="3" t="s">
        <v>18</v>
      </c>
      <c r="D644" s="3" t="s">
        <v>13</v>
      </c>
      <c r="E644" s="3" t="s">
        <v>8</v>
      </c>
      <c r="F644" s="3">
        <v>0</v>
      </c>
      <c r="G644" s="3">
        <v>0</v>
      </c>
      <c r="H644" s="3">
        <v>0</v>
      </c>
      <c r="I644" s="3">
        <v>-3.4694469519536099E-17</v>
      </c>
      <c r="J644" s="3">
        <v>3.2959746043559298E-17</v>
      </c>
      <c r="K644" s="3">
        <v>7.1985277400324996E-18</v>
      </c>
      <c r="L644" s="3">
        <v>1.4397055480064999E-17</v>
      </c>
      <c r="M644" s="3">
        <v>-7.1985277400324996E-18</v>
      </c>
      <c r="N644" s="3">
        <v>-3.5992638700162298E-18</v>
      </c>
      <c r="O644" s="3">
        <v>-2.5194847090113801E-17</v>
      </c>
      <c r="P644" s="3">
        <v>2.1595583220097499E-17</v>
      </c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x14ac:dyDescent="0.45">
      <c r="A645" s="3" t="s">
        <v>80</v>
      </c>
      <c r="B645" s="3" t="s">
        <v>29</v>
      </c>
      <c r="C645" s="3" t="s">
        <v>18</v>
      </c>
      <c r="D645" s="3" t="s">
        <v>14</v>
      </c>
      <c r="E645" s="3" t="s">
        <v>8</v>
      </c>
      <c r="F645" s="3">
        <v>0</v>
      </c>
      <c r="G645" s="3">
        <v>0</v>
      </c>
      <c r="H645" s="3">
        <v>0</v>
      </c>
      <c r="I645" s="3">
        <v>0</v>
      </c>
      <c r="J645" s="3">
        <v>-6.5919492087118694E-17</v>
      </c>
      <c r="K645" s="3">
        <v>-7.1985277400324996E-18</v>
      </c>
      <c r="L645" s="3">
        <v>2.15955832200976E-17</v>
      </c>
      <c r="M645" s="3">
        <v>1.7996319350081301E-17</v>
      </c>
      <c r="N645" s="3">
        <v>-1.4397055480064999E-17</v>
      </c>
      <c r="O645" s="3">
        <v>-7.1985277400324996E-18</v>
      </c>
      <c r="P645" s="3">
        <v>3.5992638700162498E-17</v>
      </c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x14ac:dyDescent="0.45">
      <c r="A646" s="3" t="s">
        <v>80</v>
      </c>
      <c r="B646" s="3" t="s">
        <v>29</v>
      </c>
      <c r="C646" s="3" t="s">
        <v>19</v>
      </c>
      <c r="D646" s="3" t="s">
        <v>7</v>
      </c>
      <c r="E646" s="3" t="s">
        <v>8</v>
      </c>
      <c r="F646" s="3">
        <v>1.34811262183878E-3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7.2159083678154898E-5</v>
      </c>
      <c r="O646" s="3">
        <v>0</v>
      </c>
      <c r="P646" s="3">
        <v>2.2560872519383299E-4</v>
      </c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x14ac:dyDescent="0.45">
      <c r="A647" s="3" t="s">
        <v>80</v>
      </c>
      <c r="B647" s="3" t="s">
        <v>29</v>
      </c>
      <c r="C647" s="3" t="s">
        <v>19</v>
      </c>
      <c r="D647" s="3" t="s">
        <v>9</v>
      </c>
      <c r="E647" s="3" t="s">
        <v>8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4.2409193100831003E-4</v>
      </c>
      <c r="O647" s="3">
        <v>5.1049965309941296E-4</v>
      </c>
      <c r="P647" s="3">
        <v>2.7787573818490401E-4</v>
      </c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x14ac:dyDescent="0.45">
      <c r="A648" s="3" t="s">
        <v>80</v>
      </c>
      <c r="B648" s="3" t="s">
        <v>29</v>
      </c>
      <c r="C648" s="3" t="s">
        <v>19</v>
      </c>
      <c r="D648" s="3" t="s">
        <v>10</v>
      </c>
      <c r="E648" s="3" t="s">
        <v>8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2.4575357858266602E-4</v>
      </c>
      <c r="M648" s="3">
        <v>4.15096056125521E-4</v>
      </c>
      <c r="N648" s="3">
        <v>2.8231798116932702E-3</v>
      </c>
      <c r="O648" s="3">
        <v>3.8279681162024502E-3</v>
      </c>
      <c r="P648" s="3">
        <v>5.0528943110364202E-3</v>
      </c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x14ac:dyDescent="0.45">
      <c r="A649" s="3" t="s">
        <v>80</v>
      </c>
      <c r="B649" s="3" t="s">
        <v>29</v>
      </c>
      <c r="C649" s="3" t="s">
        <v>19</v>
      </c>
      <c r="D649" s="3" t="s">
        <v>11</v>
      </c>
      <c r="E649" s="3" t="s">
        <v>8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3.3546528789683699E-3</v>
      </c>
      <c r="M649" s="3">
        <v>5.9385627181923802E-3</v>
      </c>
      <c r="N649" s="3">
        <v>6.5630139447159699E-3</v>
      </c>
      <c r="O649" s="3">
        <v>6.8851284561658498E-3</v>
      </c>
      <c r="P649" s="3">
        <v>6.6359325981590897E-3</v>
      </c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x14ac:dyDescent="0.45">
      <c r="A650" s="3" t="s">
        <v>80</v>
      </c>
      <c r="B650" s="3" t="s">
        <v>29</v>
      </c>
      <c r="C650" s="3" t="s">
        <v>19</v>
      </c>
      <c r="D650" s="3" t="s">
        <v>12</v>
      </c>
      <c r="E650" s="3" t="s">
        <v>8</v>
      </c>
      <c r="F650" s="3">
        <v>0</v>
      </c>
      <c r="G650" s="3">
        <v>0</v>
      </c>
      <c r="H650" s="3">
        <v>0</v>
      </c>
      <c r="I650" s="3">
        <v>0</v>
      </c>
      <c r="J650" s="3">
        <v>2.81334690204169E-3</v>
      </c>
      <c r="K650" s="3">
        <v>4.8443583190759896E-3</v>
      </c>
      <c r="L650" s="3">
        <v>8.2748358660434292E-3</v>
      </c>
      <c r="M650" s="3">
        <v>7.4112043510719799E-3</v>
      </c>
      <c r="N650" s="3">
        <v>7.3205329615174302E-3</v>
      </c>
      <c r="O650" s="3">
        <v>7.6586732916220299E-3</v>
      </c>
      <c r="P650" s="3">
        <v>7.2274175762504396E-3</v>
      </c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x14ac:dyDescent="0.45">
      <c r="A651" s="3" t="s">
        <v>80</v>
      </c>
      <c r="B651" s="3" t="s">
        <v>29</v>
      </c>
      <c r="C651" s="3" t="s">
        <v>19</v>
      </c>
      <c r="D651" s="3" t="s">
        <v>13</v>
      </c>
      <c r="E651" s="3" t="s">
        <v>8</v>
      </c>
      <c r="F651" s="3">
        <v>0</v>
      </c>
      <c r="G651" s="3">
        <v>0</v>
      </c>
      <c r="H651" s="3">
        <v>0</v>
      </c>
      <c r="I651" s="3">
        <v>6.4602487595226601E-3</v>
      </c>
      <c r="J651" s="3">
        <v>2.4493443669818201E-2</v>
      </c>
      <c r="K651" s="3">
        <v>2.5504285847879199E-2</v>
      </c>
      <c r="L651" s="3">
        <v>1.6747018178206799E-2</v>
      </c>
      <c r="M651" s="3">
        <v>1.0887726435829199E-2</v>
      </c>
      <c r="N651" s="3">
        <v>4.1000106670875704E-3</v>
      </c>
      <c r="O651" s="3">
        <v>1.93814710053514E-3</v>
      </c>
      <c r="P651" s="3">
        <v>8.7760179607326795E-4</v>
      </c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x14ac:dyDescent="0.45">
      <c r="A652" s="3" t="s">
        <v>80</v>
      </c>
      <c r="B652" s="3" t="s">
        <v>29</v>
      </c>
      <c r="C652" s="3" t="s">
        <v>19</v>
      </c>
      <c r="D652" s="3" t="s">
        <v>14</v>
      </c>
      <c r="E652" s="3" t="s">
        <v>8</v>
      </c>
      <c r="F652" s="3">
        <v>0</v>
      </c>
      <c r="G652" s="3">
        <v>2.6933057551310302E-3</v>
      </c>
      <c r="H652" s="3">
        <v>2.6933057551310302E-3</v>
      </c>
      <c r="I652" s="3">
        <v>3.9868908369137403E-2</v>
      </c>
      <c r="J652" s="3">
        <v>1.8103788764667901E-2</v>
      </c>
      <c r="K652" s="3">
        <v>1.0513302927083201E-2</v>
      </c>
      <c r="L652" s="3">
        <v>1.0116698810416999E-2</v>
      </c>
      <c r="M652" s="3">
        <v>1.13199461722913E-2</v>
      </c>
      <c r="N652" s="3">
        <v>1.07944245718918E-2</v>
      </c>
      <c r="O652" s="3">
        <v>8.9121519510664392E-3</v>
      </c>
      <c r="P652" s="3">
        <v>9.0716485142830604E-3</v>
      </c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x14ac:dyDescent="0.45">
      <c r="A653" s="3" t="s">
        <v>81</v>
      </c>
      <c r="B653" s="3" t="s">
        <v>29</v>
      </c>
      <c r="C653" s="3" t="s">
        <v>6</v>
      </c>
      <c r="D653" s="3" t="s">
        <v>7</v>
      </c>
      <c r="E653" s="3" t="s">
        <v>8</v>
      </c>
      <c r="F653" s="3">
        <v>0</v>
      </c>
      <c r="G653" s="3">
        <v>0</v>
      </c>
      <c r="H653" s="3">
        <v>0</v>
      </c>
      <c r="I653" s="3">
        <v>0</v>
      </c>
      <c r="J653" s="3">
        <v>2.1407710583706599E-4</v>
      </c>
      <c r="K653" s="3">
        <v>2.9393833246153198E-4</v>
      </c>
      <c r="L653" s="3">
        <v>7.2540443633994605E-5</v>
      </c>
      <c r="M653" s="3">
        <v>7.2540443633995106E-5</v>
      </c>
      <c r="N653" s="3">
        <v>5.85968680539169E-5</v>
      </c>
      <c r="O653" s="3">
        <v>4.6875298914178499E-5</v>
      </c>
      <c r="P653" s="3">
        <v>3.7558139905251001E-5</v>
      </c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x14ac:dyDescent="0.45">
      <c r="A654" s="3" t="s">
        <v>81</v>
      </c>
      <c r="B654" s="3" t="s">
        <v>29</v>
      </c>
      <c r="C654" s="3" t="s">
        <v>6</v>
      </c>
      <c r="D654" s="3" t="s">
        <v>9</v>
      </c>
      <c r="E654" s="3" t="s">
        <v>8</v>
      </c>
      <c r="F654" s="3">
        <v>0</v>
      </c>
      <c r="G654" s="3">
        <v>0</v>
      </c>
      <c r="H654" s="3">
        <v>0</v>
      </c>
      <c r="I654" s="3">
        <v>0</v>
      </c>
      <c r="J654" s="3">
        <v>2.01626639306052E-4</v>
      </c>
      <c r="K654" s="3">
        <v>4.8568258428110102E-4</v>
      </c>
      <c r="L654" s="3">
        <v>6.0624088722258096E-4</v>
      </c>
      <c r="M654" s="3">
        <v>6.0624088722258096E-4</v>
      </c>
      <c r="N654" s="3">
        <v>5.8746495701538198E-4</v>
      </c>
      <c r="O654" s="3">
        <v>5.9884092841393005E-4</v>
      </c>
      <c r="P654" s="3">
        <v>6.0815808742285696E-4</v>
      </c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x14ac:dyDescent="0.45">
      <c r="A655" s="3" t="s">
        <v>81</v>
      </c>
      <c r="B655" s="3" t="s">
        <v>29</v>
      </c>
      <c r="C655" s="3" t="s">
        <v>6</v>
      </c>
      <c r="D655" s="3" t="s">
        <v>10</v>
      </c>
      <c r="E655" s="3" t="s">
        <v>8</v>
      </c>
      <c r="F655" s="3">
        <v>0</v>
      </c>
      <c r="G655" s="3">
        <v>0</v>
      </c>
      <c r="H655" s="3">
        <v>0</v>
      </c>
      <c r="I655" s="3">
        <v>2.41052247413829E-5</v>
      </c>
      <c r="J655" s="3">
        <v>5.19840931441067E-4</v>
      </c>
      <c r="K655" s="3">
        <v>5.2415469830210297E-4</v>
      </c>
      <c r="L655" s="3">
        <v>5.3452754686015398E-4</v>
      </c>
      <c r="M655" s="3">
        <v>5.3452754686015398E-4</v>
      </c>
      <c r="N655" s="3">
        <v>3.7634011539960498E-3</v>
      </c>
      <c r="O655" s="3">
        <v>8.5179796091470108E-3</v>
      </c>
      <c r="P655" s="3">
        <v>2.6446291579322202E-2</v>
      </c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x14ac:dyDescent="0.45">
      <c r="A656" s="3" t="s">
        <v>81</v>
      </c>
      <c r="B656" s="3" t="s">
        <v>29</v>
      </c>
      <c r="C656" s="3" t="s">
        <v>6</v>
      </c>
      <c r="D656" s="3" t="s">
        <v>11</v>
      </c>
      <c r="E656" s="3" t="s">
        <v>8</v>
      </c>
      <c r="F656" s="3">
        <v>0</v>
      </c>
      <c r="G656" s="3">
        <v>0</v>
      </c>
      <c r="H656" s="3">
        <v>0</v>
      </c>
      <c r="I656" s="3">
        <v>3.95913907839128E-4</v>
      </c>
      <c r="J656" s="3">
        <v>5.4047303195865E-4</v>
      </c>
      <c r="K656" s="3">
        <v>5.8388625014599098E-4</v>
      </c>
      <c r="L656" s="3">
        <v>6.2368439395908996E-3</v>
      </c>
      <c r="M656" s="3">
        <v>2.5687083541285901E-2</v>
      </c>
      <c r="N656" s="3">
        <v>4.2713795307888602E-2</v>
      </c>
      <c r="O656" s="3">
        <v>5.9331720246413103E-2</v>
      </c>
      <c r="P656" s="3">
        <v>8.5225568391905399E-2</v>
      </c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x14ac:dyDescent="0.45">
      <c r="A657" s="3" t="s">
        <v>81</v>
      </c>
      <c r="B657" s="3" t="s">
        <v>29</v>
      </c>
      <c r="C657" s="3" t="s">
        <v>6</v>
      </c>
      <c r="D657" s="3" t="s">
        <v>12</v>
      </c>
      <c r="E657" s="3" t="s">
        <v>8</v>
      </c>
      <c r="F657" s="3">
        <v>0</v>
      </c>
      <c r="G657" s="3">
        <v>0</v>
      </c>
      <c r="H657" s="3">
        <v>0</v>
      </c>
      <c r="I657" s="3">
        <v>6.9043777116663903E-4</v>
      </c>
      <c r="J657" s="3">
        <v>3.4509391558308301E-3</v>
      </c>
      <c r="K657" s="3">
        <v>2.5334053661055601E-2</v>
      </c>
      <c r="L657" s="3">
        <v>4.2569796560651997E-2</v>
      </c>
      <c r="M657" s="3">
        <v>9.3752224139535295E-2</v>
      </c>
      <c r="N657" s="3">
        <v>0.15238061173284101</v>
      </c>
      <c r="O657" s="3">
        <v>0.207832997484444</v>
      </c>
      <c r="P657" s="3">
        <v>0.23562386931736701</v>
      </c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x14ac:dyDescent="0.45">
      <c r="A658" s="3" t="s">
        <v>81</v>
      </c>
      <c r="B658" s="3" t="s">
        <v>29</v>
      </c>
      <c r="C658" s="3" t="s">
        <v>6</v>
      </c>
      <c r="D658" s="3" t="s">
        <v>13</v>
      </c>
      <c r="E658" s="3" t="s">
        <v>8</v>
      </c>
      <c r="F658" s="3">
        <v>0</v>
      </c>
      <c r="G658" s="3">
        <v>8.1238027099382306E-5</v>
      </c>
      <c r="H658" s="3">
        <v>8.1238027099382306E-5</v>
      </c>
      <c r="I658" s="3">
        <v>2.40939178222054E-2</v>
      </c>
      <c r="J658" s="3">
        <v>0.10774624297113</v>
      </c>
      <c r="K658" s="3">
        <v>0.173491428361747</v>
      </c>
      <c r="L658" s="3">
        <v>0.23361304266991401</v>
      </c>
      <c r="M658" s="3">
        <v>0.23550757280676701</v>
      </c>
      <c r="N658" s="3">
        <v>0.22715850114464101</v>
      </c>
      <c r="O658" s="3">
        <v>0.22246755447585501</v>
      </c>
      <c r="P658" s="3">
        <v>0.221794879308159</v>
      </c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x14ac:dyDescent="0.45">
      <c r="A659" s="3" t="s">
        <v>81</v>
      </c>
      <c r="B659" s="3" t="s">
        <v>29</v>
      </c>
      <c r="C659" s="3" t="s">
        <v>6</v>
      </c>
      <c r="D659" s="3" t="s">
        <v>14</v>
      </c>
      <c r="E659" s="3" t="s">
        <v>8</v>
      </c>
      <c r="F659" s="3">
        <v>0</v>
      </c>
      <c r="G659" s="3">
        <v>3.0762219444821701E-3</v>
      </c>
      <c r="H659" s="3">
        <v>3.0762219444821701E-3</v>
      </c>
      <c r="I659" s="3">
        <v>7.4696598029253894E-2</v>
      </c>
      <c r="J659" s="3">
        <v>7.8749945296562499E-2</v>
      </c>
      <c r="K659" s="3">
        <v>8.1923657322415702E-2</v>
      </c>
      <c r="L659" s="3">
        <v>9.3594370093234402E-2</v>
      </c>
      <c r="M659" s="3">
        <v>0.121062697979721</v>
      </c>
      <c r="N659" s="3">
        <v>0.15538096022456899</v>
      </c>
      <c r="O659" s="3">
        <v>0.18287002252190099</v>
      </c>
      <c r="P659" s="3">
        <v>0.20120896191668</v>
      </c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x14ac:dyDescent="0.45">
      <c r="A660" s="3" t="s">
        <v>81</v>
      </c>
      <c r="B660" s="3" t="s">
        <v>29</v>
      </c>
      <c r="C660" s="3" t="s">
        <v>15</v>
      </c>
      <c r="D660" s="3" t="s">
        <v>7</v>
      </c>
      <c r="E660" s="3" t="s">
        <v>8</v>
      </c>
      <c r="F660" s="3">
        <v>0.13042248618146501</v>
      </c>
      <c r="G660" s="3">
        <v>0.14410584191359299</v>
      </c>
      <c r="H660" s="3">
        <v>0.14410584191359299</v>
      </c>
      <c r="I660" s="3">
        <v>0.154897694830928</v>
      </c>
      <c r="J660" s="3">
        <v>0.163452191634263</v>
      </c>
      <c r="K660" s="3">
        <v>0.17153780089557999</v>
      </c>
      <c r="L660" s="3">
        <v>0.17846099966489101</v>
      </c>
      <c r="M660" s="3">
        <v>0.18605700633778999</v>
      </c>
      <c r="N660" s="3">
        <v>0.18942735214463499</v>
      </c>
      <c r="O660" s="3">
        <v>0.19295289711097</v>
      </c>
      <c r="P660" s="3">
        <v>0.19587084023510101</v>
      </c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x14ac:dyDescent="0.45">
      <c r="A661" s="3" t="s">
        <v>81</v>
      </c>
      <c r="B661" s="3" t="s">
        <v>29</v>
      </c>
      <c r="C661" s="3" t="s">
        <v>15</v>
      </c>
      <c r="D661" s="3" t="s">
        <v>9</v>
      </c>
      <c r="E661" s="3" t="s">
        <v>8</v>
      </c>
      <c r="F661" s="3">
        <v>0</v>
      </c>
      <c r="G661" s="3">
        <v>-1.58638420831386E-4</v>
      </c>
      <c r="H661" s="3">
        <v>-1.58638420831386E-4</v>
      </c>
      <c r="I661" s="3">
        <v>-4.7749288586693101E-4</v>
      </c>
      <c r="J661" s="3">
        <v>-9.8358492934302899E-4</v>
      </c>
      <c r="K661" s="3">
        <v>-3.1170121668791501E-4</v>
      </c>
      <c r="L661" s="3">
        <v>-2.1169552466786001E-3</v>
      </c>
      <c r="M661" s="3">
        <v>-3.0530558923016499E-3</v>
      </c>
      <c r="N661" s="3">
        <v>-3.1923495866947298E-3</v>
      </c>
      <c r="O661" s="3">
        <v>-4.9596096526597902E-3</v>
      </c>
      <c r="P661" s="3">
        <v>-6.8660719570621002E-3</v>
      </c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x14ac:dyDescent="0.45">
      <c r="A662" s="3" t="s">
        <v>81</v>
      </c>
      <c r="B662" s="3" t="s">
        <v>29</v>
      </c>
      <c r="C662" s="3" t="s">
        <v>15</v>
      </c>
      <c r="D662" s="3" t="s">
        <v>10</v>
      </c>
      <c r="E662" s="3" t="s">
        <v>8</v>
      </c>
      <c r="F662" s="3">
        <v>0</v>
      </c>
      <c r="G662" s="3">
        <v>-2.9106701132097798E-6</v>
      </c>
      <c r="H662" s="3">
        <v>-2.9106701132097798E-6</v>
      </c>
      <c r="I662" s="3">
        <v>-1.91165683239902E-4</v>
      </c>
      <c r="J662" s="3">
        <v>-6.5261714934539096E-4</v>
      </c>
      <c r="K662" s="3">
        <v>-9.6735177259230098E-4</v>
      </c>
      <c r="L662" s="3">
        <v>-2.6985108883154102E-4</v>
      </c>
      <c r="M662" s="3">
        <v>-2.15690322164055E-3</v>
      </c>
      <c r="N662" s="3">
        <v>1.72917417165325E-3</v>
      </c>
      <c r="O662" s="3">
        <v>9.4369789606460496E-4</v>
      </c>
      <c r="P662" s="3">
        <v>1.25477821103029E-3</v>
      </c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x14ac:dyDescent="0.45">
      <c r="A663" s="3" t="s">
        <v>81</v>
      </c>
      <c r="B663" s="3" t="s">
        <v>29</v>
      </c>
      <c r="C663" s="3" t="s">
        <v>15</v>
      </c>
      <c r="D663" s="3" t="s">
        <v>11</v>
      </c>
      <c r="E663" s="3" t="s">
        <v>8</v>
      </c>
      <c r="F663" s="3">
        <v>0</v>
      </c>
      <c r="G663" s="3">
        <v>1.1415047151463999E-5</v>
      </c>
      <c r="H663" s="3">
        <v>1.1415047151463999E-5</v>
      </c>
      <c r="I663" s="3">
        <v>-2.40975738259486E-4</v>
      </c>
      <c r="J663" s="3">
        <v>2.9550682396325999E-4</v>
      </c>
      <c r="K663" s="3">
        <v>-5.8735008555679802E-4</v>
      </c>
      <c r="L663" s="3">
        <v>1.5868270020957501E-3</v>
      </c>
      <c r="M663" s="3">
        <v>4.0891924972819597E-3</v>
      </c>
      <c r="N663" s="3">
        <v>2.4090870923223501E-3</v>
      </c>
      <c r="O663" s="3">
        <v>2.7311152565469301E-3</v>
      </c>
      <c r="P663" s="3">
        <v>3.1018126487538399E-3</v>
      </c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x14ac:dyDescent="0.45">
      <c r="A664" s="3" t="s">
        <v>81</v>
      </c>
      <c r="B664" s="3" t="s">
        <v>29</v>
      </c>
      <c r="C664" s="3" t="s">
        <v>15</v>
      </c>
      <c r="D664" s="3" t="s">
        <v>12</v>
      </c>
      <c r="E664" s="3" t="s">
        <v>8</v>
      </c>
      <c r="F664" s="3">
        <v>0</v>
      </c>
      <c r="G664" s="3">
        <v>4.9023899748867903E-6</v>
      </c>
      <c r="H664" s="3">
        <v>4.9023899748867903E-6</v>
      </c>
      <c r="I664" s="3">
        <v>-8.14038838018311E-4</v>
      </c>
      <c r="J664" s="3">
        <v>-1.3284274222094501E-4</v>
      </c>
      <c r="K664" s="3">
        <v>6.4771632234431296E-3</v>
      </c>
      <c r="L664" s="3">
        <v>6.5098630284001202E-3</v>
      </c>
      <c r="M664" s="3">
        <v>6.3221851072257397E-3</v>
      </c>
      <c r="N664" s="3">
        <v>3.8066617677685898E-3</v>
      </c>
      <c r="O664" s="3">
        <v>4.7418684453708901E-3</v>
      </c>
      <c r="P664" s="3">
        <v>4.7181533291474897E-3</v>
      </c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x14ac:dyDescent="0.45">
      <c r="A665" s="3" t="s">
        <v>81</v>
      </c>
      <c r="B665" s="3" t="s">
        <v>29</v>
      </c>
      <c r="C665" s="3" t="s">
        <v>15</v>
      </c>
      <c r="D665" s="3" t="s">
        <v>13</v>
      </c>
      <c r="E665" s="3" t="s">
        <v>8</v>
      </c>
      <c r="F665" s="3">
        <v>0</v>
      </c>
      <c r="G665" s="3">
        <v>-1.05005083159232E-3</v>
      </c>
      <c r="H665" s="3">
        <v>-1.05005083159232E-3</v>
      </c>
      <c r="I665" s="3">
        <v>8.3787577860745793E-3</v>
      </c>
      <c r="J665" s="3">
        <v>8.8237390401397203E-3</v>
      </c>
      <c r="K665" s="3">
        <v>8.8929725928874005E-4</v>
      </c>
      <c r="L665" s="3">
        <v>-3.11285722109284E-4</v>
      </c>
      <c r="M665" s="3">
        <v>6.0750206064166801E-4</v>
      </c>
      <c r="N665" s="3">
        <v>3.5265272477899299E-3</v>
      </c>
      <c r="O665" s="3">
        <v>3.6798841773136599E-3</v>
      </c>
      <c r="P665" s="3">
        <v>3.08026810652806E-3</v>
      </c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x14ac:dyDescent="0.45">
      <c r="A666" s="3" t="s">
        <v>81</v>
      </c>
      <c r="B666" s="3" t="s">
        <v>29</v>
      </c>
      <c r="C666" s="3" t="s">
        <v>15</v>
      </c>
      <c r="D666" s="3" t="s">
        <v>14</v>
      </c>
      <c r="E666" s="3" t="s">
        <v>8</v>
      </c>
      <c r="F666" s="3">
        <v>0</v>
      </c>
      <c r="G666" s="3">
        <v>2.5174996634507998E-3</v>
      </c>
      <c r="H666" s="3">
        <v>2.5174996634507998E-3</v>
      </c>
      <c r="I666" s="3">
        <v>-4.6757119167043504E-3</v>
      </c>
      <c r="J666" s="3">
        <v>-8.2308126156187301E-3</v>
      </c>
      <c r="K666" s="3">
        <v>-9.3984924479878808E-3</v>
      </c>
      <c r="L666" s="3">
        <v>-1.23701787900509E-2</v>
      </c>
      <c r="M666" s="3">
        <v>-1.45393304653987E-2</v>
      </c>
      <c r="N666" s="3">
        <v>-1.4217779678494E-2</v>
      </c>
      <c r="O666" s="3">
        <v>-1.2235304759415399E-2</v>
      </c>
      <c r="P666" s="3">
        <v>-1.22590120464224E-2</v>
      </c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x14ac:dyDescent="0.45">
      <c r="A667" s="3" t="s">
        <v>81</v>
      </c>
      <c r="B667" s="3" t="s">
        <v>29</v>
      </c>
      <c r="C667" s="3" t="s">
        <v>16</v>
      </c>
      <c r="D667" s="3" t="s">
        <v>7</v>
      </c>
      <c r="E667" s="3" t="s">
        <v>8</v>
      </c>
      <c r="F667" s="3">
        <v>5.5676111863572401E-2</v>
      </c>
      <c r="G667" s="3">
        <v>5.9434370437360502E-2</v>
      </c>
      <c r="H667" s="3">
        <v>5.9434370437360502E-2</v>
      </c>
      <c r="I667" s="3">
        <v>5.7466726863217701E-2</v>
      </c>
      <c r="J667" s="3">
        <v>5.5627554914712003E-2</v>
      </c>
      <c r="K667" s="3">
        <v>5.48636717563677E-2</v>
      </c>
      <c r="L667" s="3">
        <v>5.4710478384277998E-2</v>
      </c>
      <c r="M667" s="3">
        <v>5.4329239481303103E-2</v>
      </c>
      <c r="N667" s="3">
        <v>5.4227905436414398E-2</v>
      </c>
      <c r="O667" s="3">
        <v>5.4227905436414502E-2</v>
      </c>
      <c r="P667" s="3">
        <v>5.4227905436414502E-2</v>
      </c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x14ac:dyDescent="0.45">
      <c r="A668" s="3" t="s">
        <v>81</v>
      </c>
      <c r="B668" s="3" t="s">
        <v>29</v>
      </c>
      <c r="C668" s="3" t="s">
        <v>16</v>
      </c>
      <c r="D668" s="3" t="s">
        <v>9</v>
      </c>
      <c r="E668" s="3" t="s">
        <v>8</v>
      </c>
      <c r="F668" s="3">
        <v>0</v>
      </c>
      <c r="G668" s="3">
        <v>-1.4722170954384299E-5</v>
      </c>
      <c r="H668" s="3">
        <v>-1.4722170954384299E-5</v>
      </c>
      <c r="I668" s="3">
        <v>0</v>
      </c>
      <c r="J668" s="3">
        <v>1.06111874637355E-4</v>
      </c>
      <c r="K668" s="3">
        <v>1.7097752737407801E-5</v>
      </c>
      <c r="L668" s="3">
        <v>1.08435411145406E-4</v>
      </c>
      <c r="M668" s="3">
        <v>2.1256519139022101E-4</v>
      </c>
      <c r="N668" s="3">
        <v>-4.4674124688405302E-3</v>
      </c>
      <c r="O668" s="3">
        <v>-4.46741246884061E-3</v>
      </c>
      <c r="P668" s="3">
        <v>-4.46741246884061E-3</v>
      </c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x14ac:dyDescent="0.45">
      <c r="A669" s="3" t="s">
        <v>81</v>
      </c>
      <c r="B669" s="3" t="s">
        <v>29</v>
      </c>
      <c r="C669" s="3" t="s">
        <v>16</v>
      </c>
      <c r="D669" s="3" t="s">
        <v>10</v>
      </c>
      <c r="E669" s="3" t="s">
        <v>8</v>
      </c>
      <c r="F669" s="3">
        <v>0</v>
      </c>
      <c r="G669" s="3">
        <v>-9.0205620750794006E-17</v>
      </c>
      <c r="H669" s="3">
        <v>-9.0205620750794006E-17</v>
      </c>
      <c r="I669" s="3">
        <v>0</v>
      </c>
      <c r="J669" s="3">
        <v>1.0395250313812599E-4</v>
      </c>
      <c r="K669" s="3">
        <v>2.8703493956519499E-5</v>
      </c>
      <c r="L669" s="3">
        <v>-4.6536238439051402E-3</v>
      </c>
      <c r="M669" s="3">
        <v>-4.6115584096890604E-3</v>
      </c>
      <c r="N669" s="3">
        <v>1.69753295430529E-4</v>
      </c>
      <c r="O669" s="3">
        <v>1.6975329543043901E-4</v>
      </c>
      <c r="P669" s="3">
        <v>1.69753295430529E-4</v>
      </c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x14ac:dyDescent="0.45">
      <c r="A670" s="3" t="s">
        <v>81</v>
      </c>
      <c r="B670" s="3" t="s">
        <v>29</v>
      </c>
      <c r="C670" s="3" t="s">
        <v>16</v>
      </c>
      <c r="D670" s="3" t="s">
        <v>11</v>
      </c>
      <c r="E670" s="3" t="s">
        <v>8</v>
      </c>
      <c r="F670" s="3">
        <v>0</v>
      </c>
      <c r="G670" s="3">
        <v>9.0205620750794006E-17</v>
      </c>
      <c r="H670" s="3">
        <v>9.0205620750794006E-17</v>
      </c>
      <c r="I670" s="3">
        <v>0</v>
      </c>
      <c r="J670" s="3">
        <v>-4.7724405062093897E-3</v>
      </c>
      <c r="K670" s="3">
        <v>-4.6491694166743798E-3</v>
      </c>
      <c r="L670" s="3">
        <v>8.8657132837899301E-7</v>
      </c>
      <c r="M670" s="3">
        <v>-2.43083527589179E-4</v>
      </c>
      <c r="N670" s="3">
        <v>-3.7738846479182898E-4</v>
      </c>
      <c r="O670" s="3">
        <v>-3.7738846479173899E-4</v>
      </c>
      <c r="P670" s="3">
        <v>-3.7738846479182898E-4</v>
      </c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x14ac:dyDescent="0.45">
      <c r="A671" s="3" t="s">
        <v>81</v>
      </c>
      <c r="B671" s="3" t="s">
        <v>29</v>
      </c>
      <c r="C671" s="3" t="s">
        <v>16</v>
      </c>
      <c r="D671" s="3" t="s">
        <v>12</v>
      </c>
      <c r="E671" s="3" t="s">
        <v>8</v>
      </c>
      <c r="F671" s="3">
        <v>0</v>
      </c>
      <c r="G671" s="3">
        <v>-2.8205257863775399E-5</v>
      </c>
      <c r="H671" s="3">
        <v>-2.8205257863775399E-5</v>
      </c>
      <c r="I671" s="3">
        <v>-5.0290865771732904E-3</v>
      </c>
      <c r="J671" s="3">
        <v>2.5162185382347101E-4</v>
      </c>
      <c r="K671" s="3">
        <v>-9.4049684039691799E-5</v>
      </c>
      <c r="L671" s="3">
        <v>-5.9325683020026304E-4</v>
      </c>
      <c r="M671" s="3">
        <v>-1.4129434311644501E-4</v>
      </c>
      <c r="N671" s="3">
        <v>-8.0707863223394798E-6</v>
      </c>
      <c r="O671" s="3">
        <v>-1.02798551954858E-5</v>
      </c>
      <c r="P671" s="3">
        <v>-1.1397318205097499E-5</v>
      </c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x14ac:dyDescent="0.45">
      <c r="A672" s="3" t="s">
        <v>81</v>
      </c>
      <c r="B672" s="3" t="s">
        <v>29</v>
      </c>
      <c r="C672" s="3" t="s">
        <v>16</v>
      </c>
      <c r="D672" s="3" t="s">
        <v>13</v>
      </c>
      <c r="E672" s="3" t="s">
        <v>8</v>
      </c>
      <c r="F672" s="3">
        <v>0</v>
      </c>
      <c r="G672" s="3">
        <v>4.2927428818159703E-5</v>
      </c>
      <c r="H672" s="3">
        <v>4.2927428818159703E-5</v>
      </c>
      <c r="I672" s="3">
        <v>-9.0678468598723999E-4</v>
      </c>
      <c r="J672" s="3">
        <v>-1.7188546551037799E-3</v>
      </c>
      <c r="K672" s="3">
        <v>-6.2451687215169004E-4</v>
      </c>
      <c r="L672" s="3">
        <v>-3.1467621767096402E-5</v>
      </c>
      <c r="M672" s="3">
        <v>-4.4191710125360298E-6</v>
      </c>
      <c r="N672" s="3">
        <v>-3.33781910000913E-6</v>
      </c>
      <c r="O672" s="3">
        <v>-1.1287505118223699E-6</v>
      </c>
      <c r="P672" s="3">
        <v>-1.1287505090329399E-8</v>
      </c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x14ac:dyDescent="0.45">
      <c r="A673" s="3" t="s">
        <v>81</v>
      </c>
      <c r="B673" s="3" t="s">
        <v>29</v>
      </c>
      <c r="C673" s="3" t="s">
        <v>16</v>
      </c>
      <c r="D673" s="3" t="s">
        <v>14</v>
      </c>
      <c r="E673" s="3" t="s">
        <v>8</v>
      </c>
      <c r="F673" s="3">
        <v>0</v>
      </c>
      <c r="G673" s="3">
        <v>-4.9781251459395702E-3</v>
      </c>
      <c r="H673" s="3">
        <v>-4.9781251459395702E-3</v>
      </c>
      <c r="I673" s="3">
        <v>-1.9680576346839799E-3</v>
      </c>
      <c r="J673" s="3">
        <v>-5.6366928954269799E-5</v>
      </c>
      <c r="K673" s="3">
        <v>-2.8653905809194997E-7</v>
      </c>
      <c r="L673" s="3">
        <v>-2.8653906053444102E-9</v>
      </c>
      <c r="M673" s="3">
        <v>-2.8653877881534801E-11</v>
      </c>
      <c r="N673" s="3">
        <v>-2.8652774597404098E-13</v>
      </c>
      <c r="O673" s="3">
        <v>-2.8796409701215002E-15</v>
      </c>
      <c r="P673" s="3">
        <v>0</v>
      </c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x14ac:dyDescent="0.45">
      <c r="A674" s="3" t="s">
        <v>81</v>
      </c>
      <c r="B674" s="3" t="s">
        <v>29</v>
      </c>
      <c r="C674" s="3" t="s">
        <v>17</v>
      </c>
      <c r="D674" s="3" t="s">
        <v>7</v>
      </c>
      <c r="E674" s="3" t="s">
        <v>8</v>
      </c>
      <c r="F674" s="3">
        <v>9.8663326802240405E-3</v>
      </c>
      <c r="G674" s="3">
        <v>2.2616479829337999E-2</v>
      </c>
      <c r="H674" s="3">
        <v>2.2616479829337999E-2</v>
      </c>
      <c r="I674" s="3">
        <v>3.0045304920604001E-2</v>
      </c>
      <c r="J674" s="3">
        <v>3.9723681464082498E-2</v>
      </c>
      <c r="K674" s="3">
        <v>5.2680185349571203E-2</v>
      </c>
      <c r="L674" s="3">
        <v>4.2405351864652802E-2</v>
      </c>
      <c r="M674" s="3">
        <v>3.4359597329967698E-2</v>
      </c>
      <c r="N674" s="3">
        <v>2.7766430815964201E-2</v>
      </c>
      <c r="O674" s="3">
        <v>2.2583898479559099E-2</v>
      </c>
      <c r="P674" s="3">
        <v>1.9655648448920999E-2</v>
      </c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x14ac:dyDescent="0.45">
      <c r="A675" s="3" t="s">
        <v>81</v>
      </c>
      <c r="B675" s="3" t="s">
        <v>29</v>
      </c>
      <c r="C675" s="3" t="s">
        <v>17</v>
      </c>
      <c r="D675" s="3" t="s">
        <v>9</v>
      </c>
      <c r="E675" s="3" t="s">
        <v>8</v>
      </c>
      <c r="F675" s="3">
        <v>0</v>
      </c>
      <c r="G675" s="3">
        <v>7.0423624305853197E-4</v>
      </c>
      <c r="H675" s="3">
        <v>7.0423624305853197E-4</v>
      </c>
      <c r="I675" s="3">
        <v>2.2543340273464799E-4</v>
      </c>
      <c r="J675" s="3">
        <v>4.0117601149159601E-3</v>
      </c>
      <c r="K675" s="3">
        <v>5.5023010524918002E-3</v>
      </c>
      <c r="L675" s="3">
        <v>7.5963031643804203E-3</v>
      </c>
      <c r="M675" s="3">
        <v>9.2596872086624701E-3</v>
      </c>
      <c r="N675" s="3">
        <v>2.7950144285032799E-2</v>
      </c>
      <c r="O675" s="3">
        <v>3.11272889324332E-2</v>
      </c>
      <c r="P675" s="3">
        <v>3.27493925790402E-2</v>
      </c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x14ac:dyDescent="0.45">
      <c r="A676" s="3" t="s">
        <v>81</v>
      </c>
      <c r="B676" s="3" t="s">
        <v>29</v>
      </c>
      <c r="C676" s="3" t="s">
        <v>17</v>
      </c>
      <c r="D676" s="3" t="s">
        <v>10</v>
      </c>
      <c r="E676" s="3" t="s">
        <v>8</v>
      </c>
      <c r="F676" s="3">
        <v>0</v>
      </c>
      <c r="G676" s="3">
        <v>2.03638713551568E-4</v>
      </c>
      <c r="H676" s="3">
        <v>2.03638713551568E-4</v>
      </c>
      <c r="I676" s="3">
        <v>1.78185710249727E-3</v>
      </c>
      <c r="J676" s="3">
        <v>1.39213213575296E-3</v>
      </c>
      <c r="K676" s="3">
        <v>3.4323938770014399E-3</v>
      </c>
      <c r="L676" s="3">
        <v>2.1785039777297201E-2</v>
      </c>
      <c r="M676" s="3">
        <v>2.32938365712895E-2</v>
      </c>
      <c r="N676" s="3">
        <v>2.2182398523186601E-2</v>
      </c>
      <c r="O676" s="3">
        <v>2.2821731046216501E-2</v>
      </c>
      <c r="P676" s="3">
        <v>5.7419541824660497E-2</v>
      </c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x14ac:dyDescent="0.45">
      <c r="A677" s="3" t="s">
        <v>81</v>
      </c>
      <c r="B677" s="3" t="s">
        <v>29</v>
      </c>
      <c r="C677" s="3" t="s">
        <v>17</v>
      </c>
      <c r="D677" s="3" t="s">
        <v>11</v>
      </c>
      <c r="E677" s="3" t="s">
        <v>8</v>
      </c>
      <c r="F677" s="3">
        <v>0</v>
      </c>
      <c r="G677" s="3">
        <v>1.93501270083763E-4</v>
      </c>
      <c r="H677" s="3">
        <v>1.93501270083763E-4</v>
      </c>
      <c r="I677" s="3">
        <v>1.1492734477258301E-3</v>
      </c>
      <c r="J677" s="3">
        <v>1.9993794990436999E-2</v>
      </c>
      <c r="K677" s="3">
        <v>2.56159796386011E-2</v>
      </c>
      <c r="L677" s="3">
        <v>1.9758491832534801E-2</v>
      </c>
      <c r="M677" s="3">
        <v>4.4512742554177302E-2</v>
      </c>
      <c r="N677" s="3">
        <v>3.6165361810487302E-2</v>
      </c>
      <c r="O677" s="3">
        <v>3.82732334337215E-2</v>
      </c>
      <c r="P677" s="3">
        <v>6.3667086851938197E-3</v>
      </c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x14ac:dyDescent="0.45">
      <c r="A678" s="3" t="s">
        <v>81</v>
      </c>
      <c r="B678" s="3" t="s">
        <v>29</v>
      </c>
      <c r="C678" s="3" t="s">
        <v>17</v>
      </c>
      <c r="D678" s="3" t="s">
        <v>12</v>
      </c>
      <c r="E678" s="3" t="s">
        <v>8</v>
      </c>
      <c r="F678" s="3">
        <v>0</v>
      </c>
      <c r="G678" s="3">
        <v>2.9512863666929202E-4</v>
      </c>
      <c r="H678" s="3">
        <v>2.9512863666929202E-4</v>
      </c>
      <c r="I678" s="3">
        <v>1.8174251448694799E-2</v>
      </c>
      <c r="J678" s="3">
        <v>1.52158691772742E-2</v>
      </c>
      <c r="K678" s="3">
        <v>2.08341189150591E-2</v>
      </c>
      <c r="L678" s="3">
        <v>2.2083589981491999E-2</v>
      </c>
      <c r="M678" s="3">
        <v>6.8265390030337004E-3</v>
      </c>
      <c r="N678" s="3">
        <v>8.52924394368469E-3</v>
      </c>
      <c r="O678" s="3">
        <v>1.02163910258552E-2</v>
      </c>
      <c r="P678" s="3">
        <v>9.7458504396789897E-3</v>
      </c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x14ac:dyDescent="0.45">
      <c r="A679" s="3" t="s">
        <v>81</v>
      </c>
      <c r="B679" s="3" t="s">
        <v>29</v>
      </c>
      <c r="C679" s="3" t="s">
        <v>17</v>
      </c>
      <c r="D679" s="3" t="s">
        <v>13</v>
      </c>
      <c r="E679" s="3" t="s">
        <v>8</v>
      </c>
      <c r="F679" s="3">
        <v>0</v>
      </c>
      <c r="G679" s="3">
        <v>3.49407743531404E-3</v>
      </c>
      <c r="H679" s="3">
        <v>3.49407743531404E-3</v>
      </c>
      <c r="I679" s="3">
        <v>4.7936586312549101E-2</v>
      </c>
      <c r="J679" s="3">
        <v>3.7857971767563801E-2</v>
      </c>
      <c r="K679" s="3">
        <v>1.6941976741134901E-2</v>
      </c>
      <c r="L679" s="3">
        <v>1.2888306446164999E-2</v>
      </c>
      <c r="M679" s="3">
        <v>8.6551813844802702E-3</v>
      </c>
      <c r="N679" s="3">
        <v>4.3177161898727704E-3</v>
      </c>
      <c r="O679" s="3">
        <v>1.88959857522822E-3</v>
      </c>
      <c r="P679" s="3">
        <v>9.7508533071910498E-4</v>
      </c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x14ac:dyDescent="0.45">
      <c r="A680" s="3" t="s">
        <v>81</v>
      </c>
      <c r="B680" s="3" t="s">
        <v>29</v>
      </c>
      <c r="C680" s="3" t="s">
        <v>17</v>
      </c>
      <c r="D680" s="3" t="s">
        <v>14</v>
      </c>
      <c r="E680" s="3" t="s">
        <v>8</v>
      </c>
      <c r="F680" s="3">
        <v>0</v>
      </c>
      <c r="G680" s="3">
        <v>1.6711128557484599E-2</v>
      </c>
      <c r="H680" s="3">
        <v>1.6711128557484599E-2</v>
      </c>
      <c r="I680" s="3">
        <v>2.3670107111872899E-2</v>
      </c>
      <c r="J680" s="3">
        <v>8.52303589489814E-3</v>
      </c>
      <c r="K680" s="3">
        <v>1.9036049132408199E-3</v>
      </c>
      <c r="L680" s="3">
        <v>3.9514009920932298E-4</v>
      </c>
      <c r="M680" s="3">
        <v>4.7040323146729798E-6</v>
      </c>
      <c r="N680" s="3">
        <v>9.9255711480394894E-7</v>
      </c>
      <c r="O680" s="3">
        <v>1.4663274289228301E-7</v>
      </c>
      <c r="P680" s="3">
        <v>6.0817547331559804E-8</v>
      </c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x14ac:dyDescent="0.45">
      <c r="A681" s="3" t="s">
        <v>81</v>
      </c>
      <c r="B681" s="3" t="s">
        <v>29</v>
      </c>
      <c r="C681" s="3" t="s">
        <v>18</v>
      </c>
      <c r="D681" s="3" t="s">
        <v>7</v>
      </c>
      <c r="E681" s="3" t="s">
        <v>8</v>
      </c>
      <c r="F681" s="3">
        <v>0.100762884360445</v>
      </c>
      <c r="G681" s="3">
        <v>7.5310590139435404E-2</v>
      </c>
      <c r="H681" s="3">
        <v>7.5310590139435404E-2</v>
      </c>
      <c r="I681" s="3">
        <v>5.0207060092956897E-2</v>
      </c>
      <c r="J681" s="3">
        <v>2.5103530046478501E-2</v>
      </c>
      <c r="K681" s="3">
        <v>0</v>
      </c>
      <c r="L681" s="3">
        <v>5.8226754785940896E-17</v>
      </c>
      <c r="M681" s="3">
        <v>0</v>
      </c>
      <c r="N681" s="3">
        <v>9.7044591309901694E-18</v>
      </c>
      <c r="O681" s="3">
        <v>0</v>
      </c>
      <c r="P681" s="3">
        <v>3.8817836523960598E-17</v>
      </c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x14ac:dyDescent="0.45">
      <c r="A682" s="3" t="s">
        <v>81</v>
      </c>
      <c r="B682" s="3" t="s">
        <v>29</v>
      </c>
      <c r="C682" s="3" t="s">
        <v>18</v>
      </c>
      <c r="D682" s="3" t="s">
        <v>9</v>
      </c>
      <c r="E682" s="3" t="s">
        <v>8</v>
      </c>
      <c r="F682" s="3">
        <v>0</v>
      </c>
      <c r="G682" s="3">
        <v>0</v>
      </c>
      <c r="H682" s="3">
        <v>0</v>
      </c>
      <c r="I682" s="3">
        <v>0</v>
      </c>
      <c r="J682" s="3">
        <v>-8.6736173798840404E-17</v>
      </c>
      <c r="K682" s="3">
        <v>0</v>
      </c>
      <c r="L682" s="3">
        <v>-1.9408918261980299E-17</v>
      </c>
      <c r="M682" s="3">
        <v>9.7044591309901694E-18</v>
      </c>
      <c r="N682" s="3">
        <v>-9.7044591309901694E-18</v>
      </c>
      <c r="O682" s="3">
        <v>9.7044591309901694E-18</v>
      </c>
      <c r="P682" s="3">
        <v>-3.8817836523960598E-17</v>
      </c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x14ac:dyDescent="0.45">
      <c r="A683" s="3" t="s">
        <v>81</v>
      </c>
      <c r="B683" s="3" t="s">
        <v>29</v>
      </c>
      <c r="C683" s="3" t="s">
        <v>18</v>
      </c>
      <c r="D683" s="3" t="s">
        <v>10</v>
      </c>
      <c r="E683" s="3" t="s">
        <v>8</v>
      </c>
      <c r="F683" s="3">
        <v>0</v>
      </c>
      <c r="G683" s="3">
        <v>0</v>
      </c>
      <c r="H683" s="3">
        <v>0</v>
      </c>
      <c r="I683" s="3">
        <v>0</v>
      </c>
      <c r="J683" s="3">
        <v>8.6736173798840404E-17</v>
      </c>
      <c r="K683" s="3">
        <v>5.8226754785940896E-17</v>
      </c>
      <c r="L683" s="3">
        <v>-3.8817836523960598E-17</v>
      </c>
      <c r="M683" s="3">
        <v>-9.7044591309901694E-18</v>
      </c>
      <c r="N683" s="3">
        <v>0</v>
      </c>
      <c r="O683" s="3">
        <v>-9.7044591309901694E-18</v>
      </c>
      <c r="P683" s="3">
        <v>0</v>
      </c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x14ac:dyDescent="0.45">
      <c r="A684" s="3" t="s">
        <v>81</v>
      </c>
      <c r="B684" s="3" t="s">
        <v>29</v>
      </c>
      <c r="C684" s="3" t="s">
        <v>18</v>
      </c>
      <c r="D684" s="3" t="s">
        <v>11</v>
      </c>
      <c r="E684" s="3" t="s">
        <v>8</v>
      </c>
      <c r="F684" s="3">
        <v>0</v>
      </c>
      <c r="G684" s="3">
        <v>8.3266726846886704E-17</v>
      </c>
      <c r="H684" s="3">
        <v>8.3266726846886704E-17</v>
      </c>
      <c r="I684" s="3">
        <v>0</v>
      </c>
      <c r="J684" s="3">
        <v>0</v>
      </c>
      <c r="K684" s="3">
        <v>-1.9408918261980299E-17</v>
      </c>
      <c r="L684" s="3">
        <v>1.9408918261980299E-17</v>
      </c>
      <c r="M684" s="3">
        <v>4.8522295654950698E-17</v>
      </c>
      <c r="N684" s="3">
        <v>9.7044591309901694E-18</v>
      </c>
      <c r="O684" s="3">
        <v>5.8226754785940896E-17</v>
      </c>
      <c r="P684" s="3">
        <v>0</v>
      </c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x14ac:dyDescent="0.45">
      <c r="A685" s="3" t="s">
        <v>81</v>
      </c>
      <c r="B685" s="3" t="s">
        <v>29</v>
      </c>
      <c r="C685" s="3" t="s">
        <v>18</v>
      </c>
      <c r="D685" s="3" t="s">
        <v>12</v>
      </c>
      <c r="E685" s="3" t="s">
        <v>8</v>
      </c>
      <c r="F685" s="3">
        <v>0</v>
      </c>
      <c r="G685" s="3">
        <v>0</v>
      </c>
      <c r="H685" s="3">
        <v>0</v>
      </c>
      <c r="I685" s="3">
        <v>9.0205620750794006E-17</v>
      </c>
      <c r="J685" s="3">
        <v>9.0205620750794006E-17</v>
      </c>
      <c r="K685" s="3">
        <v>-3.8817836523960598E-17</v>
      </c>
      <c r="L685" s="3">
        <v>-1.9408918261980299E-17</v>
      </c>
      <c r="M685" s="3">
        <v>3.8817836523960598E-17</v>
      </c>
      <c r="N685" s="3">
        <v>3.8817836523960499E-17</v>
      </c>
      <c r="O685" s="3">
        <v>2.9113377392970399E-17</v>
      </c>
      <c r="P685" s="3">
        <v>0</v>
      </c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x14ac:dyDescent="0.45">
      <c r="A686" s="3" t="s">
        <v>81</v>
      </c>
      <c r="B686" s="3" t="s">
        <v>29</v>
      </c>
      <c r="C686" s="3" t="s">
        <v>18</v>
      </c>
      <c r="D686" s="3" t="s">
        <v>13</v>
      </c>
      <c r="E686" s="3" t="s">
        <v>8</v>
      </c>
      <c r="F686" s="3">
        <v>0</v>
      </c>
      <c r="G686" s="3">
        <v>0</v>
      </c>
      <c r="H686" s="3">
        <v>0</v>
      </c>
      <c r="I686" s="3">
        <v>-9.0205620750794006E-17</v>
      </c>
      <c r="J686" s="3">
        <v>8.6736173798840404E-17</v>
      </c>
      <c r="K686" s="3">
        <v>1.9408918261980299E-17</v>
      </c>
      <c r="L686" s="3">
        <v>3.8817836523960598E-17</v>
      </c>
      <c r="M686" s="3">
        <v>-1.9408918261980299E-17</v>
      </c>
      <c r="N686" s="3">
        <v>-9.7044591309900801E-18</v>
      </c>
      <c r="O686" s="3">
        <v>-6.7931213916930996E-17</v>
      </c>
      <c r="P686" s="3">
        <v>5.8226754785940896E-17</v>
      </c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x14ac:dyDescent="0.45">
      <c r="A687" s="3" t="s">
        <v>81</v>
      </c>
      <c r="B687" s="3" t="s">
        <v>29</v>
      </c>
      <c r="C687" s="3" t="s">
        <v>18</v>
      </c>
      <c r="D687" s="3" t="s">
        <v>14</v>
      </c>
      <c r="E687" s="3" t="s">
        <v>8</v>
      </c>
      <c r="F687" s="3">
        <v>0</v>
      </c>
      <c r="G687" s="3">
        <v>0</v>
      </c>
      <c r="H687" s="3">
        <v>0</v>
      </c>
      <c r="I687" s="3">
        <v>0</v>
      </c>
      <c r="J687" s="3">
        <v>-1.76941794549634E-16</v>
      </c>
      <c r="K687" s="3">
        <v>-1.9408918261980299E-17</v>
      </c>
      <c r="L687" s="3">
        <v>5.8226754785941106E-17</v>
      </c>
      <c r="M687" s="3">
        <v>4.8522295654950901E-17</v>
      </c>
      <c r="N687" s="3">
        <v>-3.8817836523960598E-17</v>
      </c>
      <c r="O687" s="3">
        <v>-1.9408918261980299E-17</v>
      </c>
      <c r="P687" s="3">
        <v>9.7044591309901395E-17</v>
      </c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x14ac:dyDescent="0.45">
      <c r="A688" s="3" t="s">
        <v>81</v>
      </c>
      <c r="B688" s="3" t="s">
        <v>29</v>
      </c>
      <c r="C688" s="3" t="s">
        <v>19</v>
      </c>
      <c r="D688" s="3" t="s">
        <v>7</v>
      </c>
      <c r="E688" s="3" t="s">
        <v>8</v>
      </c>
      <c r="F688" s="3">
        <v>3.6348276522852798E-3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1.94557805088403E-4</v>
      </c>
      <c r="O688" s="3">
        <v>0</v>
      </c>
      <c r="P688" s="3">
        <v>6.0829401019393803E-4</v>
      </c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x14ac:dyDescent="0.45">
      <c r="A689" s="3" t="s">
        <v>81</v>
      </c>
      <c r="B689" s="3" t="s">
        <v>29</v>
      </c>
      <c r="C689" s="3" t="s">
        <v>19</v>
      </c>
      <c r="D689" s="3" t="s">
        <v>9</v>
      </c>
      <c r="E689" s="3" t="s">
        <v>8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1.14345126139203E-3</v>
      </c>
      <c r="O689" s="3">
        <v>1.3764267357996001E-3</v>
      </c>
      <c r="P689" s="3">
        <v>7.4921812962185997E-4</v>
      </c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x14ac:dyDescent="0.45">
      <c r="A690" s="3" t="s">
        <v>81</v>
      </c>
      <c r="B690" s="3" t="s">
        <v>29</v>
      </c>
      <c r="C690" s="3" t="s">
        <v>19</v>
      </c>
      <c r="D690" s="3" t="s">
        <v>10</v>
      </c>
      <c r="E690" s="3" t="s">
        <v>8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6.6260925727551305E-4</v>
      </c>
      <c r="M690" s="3">
        <v>1.11919627390006E-3</v>
      </c>
      <c r="N690" s="3">
        <v>7.61195458055985E-3</v>
      </c>
      <c r="O690" s="3">
        <v>1.03210993914298E-2</v>
      </c>
      <c r="P690" s="3">
        <v>1.3623787559216701E-2</v>
      </c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x14ac:dyDescent="0.45">
      <c r="A691" s="3" t="s">
        <v>81</v>
      </c>
      <c r="B691" s="3" t="s">
        <v>29</v>
      </c>
      <c r="C691" s="3" t="s">
        <v>19</v>
      </c>
      <c r="D691" s="3" t="s">
        <v>11</v>
      </c>
      <c r="E691" s="3" t="s">
        <v>8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9.04493055755313E-3</v>
      </c>
      <c r="M691" s="3">
        <v>1.6011757202802498E-2</v>
      </c>
      <c r="N691" s="3">
        <v>1.76954240930179E-2</v>
      </c>
      <c r="O691" s="3">
        <v>1.8563920325790701E-2</v>
      </c>
      <c r="P691" s="3">
        <v>1.78920298762506E-2</v>
      </c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x14ac:dyDescent="0.45">
      <c r="A692" s="3" t="s">
        <v>81</v>
      </c>
      <c r="B692" s="3" t="s">
        <v>29</v>
      </c>
      <c r="C692" s="3" t="s">
        <v>19</v>
      </c>
      <c r="D692" s="3" t="s">
        <v>12</v>
      </c>
      <c r="E692" s="3" t="s">
        <v>8</v>
      </c>
      <c r="F692" s="3">
        <v>0</v>
      </c>
      <c r="G692" s="3">
        <v>0</v>
      </c>
      <c r="H692" s="3">
        <v>0</v>
      </c>
      <c r="I692" s="3">
        <v>0</v>
      </c>
      <c r="J692" s="3">
        <v>7.5854427511140099E-3</v>
      </c>
      <c r="K692" s="3">
        <v>1.30615256400006E-2</v>
      </c>
      <c r="L692" s="3">
        <v>2.23108972772556E-2</v>
      </c>
      <c r="M692" s="3">
        <v>1.9982344260875098E-2</v>
      </c>
      <c r="N692" s="3">
        <v>1.9737872939499499E-2</v>
      </c>
      <c r="O692" s="3">
        <v>2.06495785361289E-2</v>
      </c>
      <c r="P692" s="3">
        <v>1.94868120327631E-2</v>
      </c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x14ac:dyDescent="0.45">
      <c r="A693" s="3" t="s">
        <v>81</v>
      </c>
      <c r="B693" s="3" t="s">
        <v>29</v>
      </c>
      <c r="C693" s="3" t="s">
        <v>19</v>
      </c>
      <c r="D693" s="3" t="s">
        <v>13</v>
      </c>
      <c r="E693" s="3" t="s">
        <v>8</v>
      </c>
      <c r="F693" s="3">
        <v>0</v>
      </c>
      <c r="G693" s="3">
        <v>0</v>
      </c>
      <c r="H693" s="3">
        <v>0</v>
      </c>
      <c r="I693" s="3">
        <v>1.74183450635794E-2</v>
      </c>
      <c r="J693" s="3">
        <v>6.6040065873216106E-2</v>
      </c>
      <c r="K693" s="3">
        <v>6.8765533346327401E-2</v>
      </c>
      <c r="L693" s="3">
        <v>4.5153886835093998E-2</v>
      </c>
      <c r="M693" s="3">
        <v>2.9355862765746098E-2</v>
      </c>
      <c r="N693" s="3">
        <v>1.10545898806789E-2</v>
      </c>
      <c r="O693" s="3">
        <v>5.22569892240365E-3</v>
      </c>
      <c r="P693" s="3">
        <v>2.3662201691364601E-3</v>
      </c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x14ac:dyDescent="0.45">
      <c r="A694" s="3" t="s">
        <v>81</v>
      </c>
      <c r="B694" s="3" t="s">
        <v>29</v>
      </c>
      <c r="C694" s="3" t="s">
        <v>19</v>
      </c>
      <c r="D694" s="3" t="s">
        <v>14</v>
      </c>
      <c r="E694" s="3" t="s">
        <v>8</v>
      </c>
      <c r="F694" s="3">
        <v>0</v>
      </c>
      <c r="G694" s="3">
        <v>7.2617836790642397E-3</v>
      </c>
      <c r="H694" s="3">
        <v>7.2617836790642397E-3</v>
      </c>
      <c r="I694" s="3">
        <v>0.107495923010429</v>
      </c>
      <c r="J694" s="3">
        <v>4.8812058389596603E-2</v>
      </c>
      <c r="K694" s="3">
        <v>2.8346329214016999E-2</v>
      </c>
      <c r="L694" s="3">
        <v>2.7276991543769599E-2</v>
      </c>
      <c r="M694" s="3">
        <v>3.0521228495957099E-2</v>
      </c>
      <c r="N694" s="3">
        <v>2.9104299068800001E-2</v>
      </c>
      <c r="O694" s="3">
        <v>2.40292508417583E-2</v>
      </c>
      <c r="P694" s="3">
        <v>2.44592909652856E-2</v>
      </c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x14ac:dyDescent="0.45">
      <c r="A695" s="3" t="s">
        <v>81</v>
      </c>
      <c r="B695" s="3" t="s">
        <v>5</v>
      </c>
      <c r="C695" s="3" t="s">
        <v>6</v>
      </c>
      <c r="D695" s="3" t="s">
        <v>7</v>
      </c>
      <c r="E695" s="3" t="s">
        <v>8</v>
      </c>
      <c r="F695" s="3">
        <v>2.5260178400778401E-7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x14ac:dyDescent="0.45">
      <c r="A696" s="3" t="s">
        <v>81</v>
      </c>
      <c r="B696" s="3" t="s">
        <v>5</v>
      </c>
      <c r="C696" s="3" t="s">
        <v>6</v>
      </c>
      <c r="D696" s="3" t="s">
        <v>9</v>
      </c>
      <c r="E696" s="3" t="s">
        <v>8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x14ac:dyDescent="0.45">
      <c r="A697" s="3" t="s">
        <v>81</v>
      </c>
      <c r="B697" s="3" t="s">
        <v>5</v>
      </c>
      <c r="C697" s="3" t="s">
        <v>6</v>
      </c>
      <c r="D697" s="3" t="s">
        <v>10</v>
      </c>
      <c r="E697" s="3" t="s">
        <v>8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2.5241274275524101E-7</v>
      </c>
      <c r="N697" s="3">
        <v>1.3696579977918001E-5</v>
      </c>
      <c r="O697" s="3">
        <v>5.4754472992652801E-5</v>
      </c>
      <c r="P697" s="3">
        <v>6.4230184924064505E-5</v>
      </c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x14ac:dyDescent="0.45">
      <c r="A698" s="3" t="s">
        <v>81</v>
      </c>
      <c r="B698" s="3" t="s">
        <v>5</v>
      </c>
      <c r="C698" s="3" t="s">
        <v>6</v>
      </c>
      <c r="D698" s="3" t="s">
        <v>11</v>
      </c>
      <c r="E698" s="3" t="s">
        <v>8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3.5665620602359397E-5</v>
      </c>
      <c r="M698" s="3">
        <v>6.2612126281099906E-5</v>
      </c>
      <c r="N698" s="3">
        <v>6.3402575522675605E-5</v>
      </c>
      <c r="O698" s="3">
        <v>6.01667016608603E-5</v>
      </c>
      <c r="P698" s="3">
        <v>1.48556104325557E-4</v>
      </c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x14ac:dyDescent="0.45">
      <c r="A699" s="3" t="s">
        <v>81</v>
      </c>
      <c r="B699" s="3" t="s">
        <v>5</v>
      </c>
      <c r="C699" s="3" t="s">
        <v>6</v>
      </c>
      <c r="D699" s="3" t="s">
        <v>12</v>
      </c>
      <c r="E699" s="3" t="s">
        <v>8</v>
      </c>
      <c r="F699" s="3">
        <v>0</v>
      </c>
      <c r="G699" s="3">
        <v>0</v>
      </c>
      <c r="H699" s="3">
        <v>0</v>
      </c>
      <c r="I699" s="3">
        <v>0</v>
      </c>
      <c r="J699" s="3">
        <v>1.43324853525251E-5</v>
      </c>
      <c r="K699" s="3">
        <v>6.3271086040604503E-5</v>
      </c>
      <c r="L699" s="3">
        <v>8.0758406972806205E-5</v>
      </c>
      <c r="M699" s="3">
        <v>1.83622885438335E-4</v>
      </c>
      <c r="N699" s="3">
        <v>2.7146721985080098E-4</v>
      </c>
      <c r="O699" s="3">
        <v>3.2051160459703801E-4</v>
      </c>
      <c r="P699" s="3">
        <v>2.84811953614013E-4</v>
      </c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x14ac:dyDescent="0.45">
      <c r="A700" s="3" t="s">
        <v>81</v>
      </c>
      <c r="B700" s="3" t="s">
        <v>5</v>
      </c>
      <c r="C700" s="3" t="s">
        <v>6</v>
      </c>
      <c r="D700" s="3" t="s">
        <v>13</v>
      </c>
      <c r="E700" s="3" t="s">
        <v>8</v>
      </c>
      <c r="F700" s="3">
        <v>0</v>
      </c>
      <c r="G700" s="3">
        <v>0</v>
      </c>
      <c r="H700" s="3">
        <v>0</v>
      </c>
      <c r="I700" s="3">
        <v>6.97659809518849E-5</v>
      </c>
      <c r="J700" s="3">
        <v>2.1989326827158399E-4</v>
      </c>
      <c r="K700" s="3">
        <v>2.7795867600649202E-4</v>
      </c>
      <c r="L700" s="3">
        <v>3.14709499004723E-4</v>
      </c>
      <c r="M700" s="3">
        <v>2.58910718441996E-4</v>
      </c>
      <c r="N700" s="3">
        <v>2.1199397264442E-4</v>
      </c>
      <c r="O700" s="3">
        <v>1.5053577980260501E-4</v>
      </c>
      <c r="P700" s="3">
        <v>8.9099297383061598E-5</v>
      </c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x14ac:dyDescent="0.45">
      <c r="A701" s="3" t="s">
        <v>81</v>
      </c>
      <c r="B701" s="3" t="s">
        <v>5</v>
      </c>
      <c r="C701" s="3" t="s">
        <v>6</v>
      </c>
      <c r="D701" s="3" t="s">
        <v>14</v>
      </c>
      <c r="E701" s="3" t="s">
        <v>8</v>
      </c>
      <c r="F701" s="3">
        <v>0</v>
      </c>
      <c r="G701" s="3">
        <v>1.0205745593255501E-6</v>
      </c>
      <c r="H701" s="3">
        <v>1.0205745593255501E-6</v>
      </c>
      <c r="I701" s="3">
        <v>1.74376526538174E-4</v>
      </c>
      <c r="J701" s="3">
        <v>1.20311178231034E-4</v>
      </c>
      <c r="K701" s="3">
        <v>1.09411214608873E-4</v>
      </c>
      <c r="L701" s="3">
        <v>9.8419035757188505E-5</v>
      </c>
      <c r="M701" s="3">
        <v>8.4470992295323393E-5</v>
      </c>
      <c r="N701" s="3">
        <v>7.5677706091031903E-5</v>
      </c>
      <c r="O701" s="3">
        <v>5.15395229105669E-5</v>
      </c>
      <c r="P701" s="3">
        <v>5.2350599713841601E-5</v>
      </c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x14ac:dyDescent="0.45">
      <c r="A702" s="3" t="s">
        <v>81</v>
      </c>
      <c r="B702" s="3" t="s">
        <v>5</v>
      </c>
      <c r="C702" s="3" t="s">
        <v>15</v>
      </c>
      <c r="D702" s="3" t="s">
        <v>7</v>
      </c>
      <c r="E702" s="3" t="s">
        <v>8</v>
      </c>
      <c r="F702" s="3">
        <v>9.3113164820604296E-5</v>
      </c>
      <c r="G702" s="3">
        <v>1.3426481519050401E-4</v>
      </c>
      <c r="H702" s="3">
        <v>1.3426481519050401E-4</v>
      </c>
      <c r="I702" s="3">
        <v>1.6988764368260699E-4</v>
      </c>
      <c r="J702" s="3">
        <v>1.9671676518399401E-4</v>
      </c>
      <c r="K702" s="3">
        <v>2.1316141419369899E-4</v>
      </c>
      <c r="L702" s="3">
        <v>2.17860807723093E-4</v>
      </c>
      <c r="M702" s="3">
        <v>2.2288138329841601E-4</v>
      </c>
      <c r="N702" s="3">
        <v>2.2623390013384E-4</v>
      </c>
      <c r="O702" s="3">
        <v>2.2926288630095501E-4</v>
      </c>
      <c r="P702" s="3">
        <v>2.3149482690769599E-4</v>
      </c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x14ac:dyDescent="0.45">
      <c r="A703" s="3" t="s">
        <v>81</v>
      </c>
      <c r="B703" s="3" t="s">
        <v>5</v>
      </c>
      <c r="C703" s="3" t="s">
        <v>15</v>
      </c>
      <c r="D703" s="3" t="s">
        <v>9</v>
      </c>
      <c r="E703" s="3" t="s">
        <v>8</v>
      </c>
      <c r="F703" s="3">
        <v>0</v>
      </c>
      <c r="G703" s="3">
        <v>-2.7058476773539598E-7</v>
      </c>
      <c r="H703" s="3">
        <v>-2.7058476773539598E-7</v>
      </c>
      <c r="I703" s="3">
        <v>-5.4127582472740498E-7</v>
      </c>
      <c r="J703" s="3">
        <v>-1.4351708292953301E-6</v>
      </c>
      <c r="K703" s="3">
        <v>-1.6999346165325199E-7</v>
      </c>
      <c r="L703" s="3">
        <v>6.0228012541072598E-5</v>
      </c>
      <c r="M703" s="3">
        <v>7.5164752357670197E-5</v>
      </c>
      <c r="N703" s="3">
        <v>8.9611441459789697E-5</v>
      </c>
      <c r="O703" s="3">
        <v>1.0110804377856801E-4</v>
      </c>
      <c r="P703" s="3">
        <v>1.10456665427933E-4</v>
      </c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x14ac:dyDescent="0.45">
      <c r="A704" s="3" t="s">
        <v>81</v>
      </c>
      <c r="B704" s="3" t="s">
        <v>5</v>
      </c>
      <c r="C704" s="3" t="s">
        <v>15</v>
      </c>
      <c r="D704" s="3" t="s">
        <v>10</v>
      </c>
      <c r="E704" s="3" t="s">
        <v>8</v>
      </c>
      <c r="F704" s="3">
        <v>0</v>
      </c>
      <c r="G704" s="3">
        <v>0</v>
      </c>
      <c r="H704" s="3">
        <v>0</v>
      </c>
      <c r="I704" s="3">
        <v>8.2736075962650206E-8</v>
      </c>
      <c r="J704" s="3">
        <v>-6.1169931579469601E-7</v>
      </c>
      <c r="K704" s="3">
        <v>4.1228072201860998E-5</v>
      </c>
      <c r="L704" s="3">
        <v>-9.4731810329961794E-8</v>
      </c>
      <c r="M704" s="3">
        <v>3.9743180426727199E-7</v>
      </c>
      <c r="N704" s="3">
        <v>2.4991215667800702E-7</v>
      </c>
      <c r="O704" s="3">
        <v>1.7047321241147499E-6</v>
      </c>
      <c r="P704" s="3">
        <v>3.1433818837633201E-6</v>
      </c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x14ac:dyDescent="0.45">
      <c r="A705" s="3" t="s">
        <v>81</v>
      </c>
      <c r="B705" s="3" t="s">
        <v>5</v>
      </c>
      <c r="C705" s="3" t="s">
        <v>15</v>
      </c>
      <c r="D705" s="3" t="s">
        <v>11</v>
      </c>
      <c r="E705" s="3" t="s">
        <v>8</v>
      </c>
      <c r="F705" s="3">
        <v>0</v>
      </c>
      <c r="G705" s="3">
        <v>0</v>
      </c>
      <c r="H705" s="3">
        <v>0</v>
      </c>
      <c r="I705" s="3">
        <v>2.9666627760871299E-7</v>
      </c>
      <c r="J705" s="3">
        <v>3.0967950820395098E-5</v>
      </c>
      <c r="K705" s="3">
        <v>1.39152130002989E-6</v>
      </c>
      <c r="L705" s="3">
        <v>2.0899898294601398E-6</v>
      </c>
      <c r="M705" s="3">
        <v>2.5996798799291001E-6</v>
      </c>
      <c r="N705" s="3">
        <v>2.0265052131095999E-6</v>
      </c>
      <c r="O705" s="3">
        <v>-1.53090395644558E-6</v>
      </c>
      <c r="P705" s="3">
        <v>-4.1450402202227103E-6</v>
      </c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x14ac:dyDescent="0.45">
      <c r="A706" s="3" t="s">
        <v>81</v>
      </c>
      <c r="B706" s="3" t="s">
        <v>5</v>
      </c>
      <c r="C706" s="3" t="s">
        <v>15</v>
      </c>
      <c r="D706" s="3" t="s">
        <v>12</v>
      </c>
      <c r="E706" s="3" t="s">
        <v>8</v>
      </c>
      <c r="F706" s="3">
        <v>0</v>
      </c>
      <c r="G706" s="3">
        <v>-1.2951589497571699E-7</v>
      </c>
      <c r="H706" s="3">
        <v>-1.2951589497571699E-7</v>
      </c>
      <c r="I706" s="3">
        <v>2.72216129909763E-5</v>
      </c>
      <c r="J706" s="3">
        <v>3.0692759339016999E-6</v>
      </c>
      <c r="K706" s="3">
        <v>5.3470043325424601E-6</v>
      </c>
      <c r="L706" s="3">
        <v>4.1267415486181597E-6</v>
      </c>
      <c r="M706" s="3">
        <v>-1.3010340030426201E-6</v>
      </c>
      <c r="N706" s="3">
        <v>-4.4325275704089197E-6</v>
      </c>
      <c r="O706" s="3">
        <v>-5.5253905850320201E-6</v>
      </c>
      <c r="P706" s="3">
        <v>-7.6673828139772895E-6</v>
      </c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x14ac:dyDescent="0.45">
      <c r="A707" s="3" t="s">
        <v>81</v>
      </c>
      <c r="B707" s="3" t="s">
        <v>5</v>
      </c>
      <c r="C707" s="3" t="s">
        <v>15</v>
      </c>
      <c r="D707" s="3" t="s">
        <v>13</v>
      </c>
      <c r="E707" s="3" t="s">
        <v>8</v>
      </c>
      <c r="F707" s="3">
        <v>0</v>
      </c>
      <c r="G707" s="3">
        <v>8.7245673733353696E-6</v>
      </c>
      <c r="H707" s="3">
        <v>8.7245673733353696E-6</v>
      </c>
      <c r="I707" s="3">
        <v>-6.8982679052913196E-6</v>
      </c>
      <c r="J707" s="3">
        <v>-3.5182523007755599E-6</v>
      </c>
      <c r="K707" s="3">
        <v>-1.1434350084951299E-5</v>
      </c>
      <c r="L707" s="3">
        <v>-1.76676741030601E-5</v>
      </c>
      <c r="M707" s="3">
        <v>-1.91081999802802E-5</v>
      </c>
      <c r="N707" s="3">
        <v>-2.25063512849828E-5</v>
      </c>
      <c r="O707" s="3">
        <v>-2.48885892176843E-5</v>
      </c>
      <c r="P707" s="3">
        <v>-2.6657407951332999E-5</v>
      </c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x14ac:dyDescent="0.45">
      <c r="A708" s="3" t="s">
        <v>81</v>
      </c>
      <c r="B708" s="3" t="s">
        <v>5</v>
      </c>
      <c r="C708" s="3" t="s">
        <v>15</v>
      </c>
      <c r="D708" s="3" t="s">
        <v>14</v>
      </c>
      <c r="E708" s="3" t="s">
        <v>8</v>
      </c>
      <c r="F708" s="3">
        <v>0</v>
      </c>
      <c r="G708" s="3">
        <v>-2.55600737357356E-6</v>
      </c>
      <c r="H708" s="3">
        <v>-2.55600737357356E-6</v>
      </c>
      <c r="I708" s="3">
        <v>-7.0589169798636798E-6</v>
      </c>
      <c r="J708" s="3">
        <v>-1.3061249859022701E-5</v>
      </c>
      <c r="K708" s="3">
        <v>-1.06422257640771E-5</v>
      </c>
      <c r="L708" s="3">
        <v>-1.45187141125053E-5</v>
      </c>
      <c r="M708" s="3">
        <v>-1.7314892473874599E-5</v>
      </c>
      <c r="N708" s="3">
        <v>-1.9567535475240101E-5</v>
      </c>
      <c r="O708" s="3">
        <v>-2.1688160239351301E-5</v>
      </c>
      <c r="P708" s="3">
        <v>-2.4034301705113001E-5</v>
      </c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x14ac:dyDescent="0.45">
      <c r="A709" s="3" t="s">
        <v>81</v>
      </c>
      <c r="B709" s="3" t="s">
        <v>5</v>
      </c>
      <c r="C709" s="3" t="s">
        <v>16</v>
      </c>
      <c r="D709" s="3" t="s">
        <v>7</v>
      </c>
      <c r="E709" s="3" t="s">
        <v>8</v>
      </c>
      <c r="F709" s="3">
        <v>1.4635252519205899E-4</v>
      </c>
      <c r="G709" s="3">
        <v>1.7728425464474601E-4</v>
      </c>
      <c r="H709" s="3">
        <v>1.7728425464474601E-4</v>
      </c>
      <c r="I709" s="3">
        <v>9.6936397261070199E-5</v>
      </c>
      <c r="J709" s="3">
        <v>6.5857226266881306E-5</v>
      </c>
      <c r="K709" s="3">
        <v>6.9082349492978801E-5</v>
      </c>
      <c r="L709" s="3">
        <v>6.9902175184441195E-5</v>
      </c>
      <c r="M709" s="3">
        <v>7.1733266117511707E-5</v>
      </c>
      <c r="N709" s="3">
        <v>7.2274504057944601E-5</v>
      </c>
      <c r="O709" s="3">
        <v>7.2274504057944601E-5</v>
      </c>
      <c r="P709" s="3">
        <v>7.2274504057944601E-5</v>
      </c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x14ac:dyDescent="0.45">
      <c r="A710" s="3" t="s">
        <v>81</v>
      </c>
      <c r="B710" s="3" t="s">
        <v>5</v>
      </c>
      <c r="C710" s="3" t="s">
        <v>16</v>
      </c>
      <c r="D710" s="3" t="s">
        <v>9</v>
      </c>
      <c r="E710" s="3" t="s">
        <v>8</v>
      </c>
      <c r="F710" s="3">
        <v>0</v>
      </c>
      <c r="G710" s="3">
        <v>7.8786789649363705E-8</v>
      </c>
      <c r="H710" s="3">
        <v>7.8786789649363705E-8</v>
      </c>
      <c r="I710" s="3">
        <v>0</v>
      </c>
      <c r="J710" s="3">
        <v>-5.6786556631123498E-7</v>
      </c>
      <c r="K710" s="3">
        <v>0</v>
      </c>
      <c r="L710" s="3">
        <v>-6.6385443720229604E-7</v>
      </c>
      <c r="M710" s="3">
        <v>-1.13861710108487E-6</v>
      </c>
      <c r="N710" s="3">
        <v>-8.6988223163782295E-7</v>
      </c>
      <c r="O710" s="3">
        <v>-8.6988223163782295E-7</v>
      </c>
      <c r="P710" s="3">
        <v>-8.6988223163782295E-7</v>
      </c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x14ac:dyDescent="0.45">
      <c r="A711" s="3" t="s">
        <v>81</v>
      </c>
      <c r="B711" s="3" t="s">
        <v>5</v>
      </c>
      <c r="C711" s="3" t="s">
        <v>16</v>
      </c>
      <c r="D711" s="3" t="s">
        <v>10</v>
      </c>
      <c r="E711" s="3" t="s">
        <v>8</v>
      </c>
      <c r="F711" s="3">
        <v>0</v>
      </c>
      <c r="G711" s="3">
        <v>0</v>
      </c>
      <c r="H711" s="3">
        <v>0</v>
      </c>
      <c r="I711" s="3">
        <v>0</v>
      </c>
      <c r="J711" s="3">
        <v>-5.5630952959591004E-7</v>
      </c>
      <c r="K711" s="3">
        <v>-3.5250125889293999E-7</v>
      </c>
      <c r="L711" s="3">
        <v>0</v>
      </c>
      <c r="M711" s="3">
        <v>-9.8474539413716404E-8</v>
      </c>
      <c r="N711" s="3">
        <v>-9.0844734929367498E-7</v>
      </c>
      <c r="O711" s="3">
        <v>-9.0844734929367498E-7</v>
      </c>
      <c r="P711" s="3">
        <v>-9.0844734929367498E-7</v>
      </c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x14ac:dyDescent="0.45">
      <c r="A712" s="3" t="s">
        <v>81</v>
      </c>
      <c r="B712" s="3" t="s">
        <v>5</v>
      </c>
      <c r="C712" s="3" t="s">
        <v>16</v>
      </c>
      <c r="D712" s="3" t="s">
        <v>11</v>
      </c>
      <c r="E712" s="3" t="s">
        <v>8</v>
      </c>
      <c r="F712" s="3">
        <v>0</v>
      </c>
      <c r="G712" s="3">
        <v>4.60785923306339E-19</v>
      </c>
      <c r="H712" s="3">
        <v>4.60785923306339E-19</v>
      </c>
      <c r="I712" s="3">
        <v>0</v>
      </c>
      <c r="J712" s="3">
        <v>-3.1055225814294599E-7</v>
      </c>
      <c r="K712" s="3">
        <v>0</v>
      </c>
      <c r="L712" s="3">
        <v>-4.7445522119123703E-9</v>
      </c>
      <c r="M712" s="3">
        <v>1.3008795248155E-6</v>
      </c>
      <c r="N712" s="3">
        <v>2.01962235622424E-6</v>
      </c>
      <c r="O712" s="3">
        <v>2.01962235622424E-6</v>
      </c>
      <c r="P712" s="3">
        <v>2.01962235622424E-6</v>
      </c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x14ac:dyDescent="0.45">
      <c r="A713" s="3" t="s">
        <v>81</v>
      </c>
      <c r="B713" s="3" t="s">
        <v>5</v>
      </c>
      <c r="C713" s="3" t="s">
        <v>16</v>
      </c>
      <c r="D713" s="3" t="s">
        <v>12</v>
      </c>
      <c r="E713" s="3" t="s">
        <v>8</v>
      </c>
      <c r="F713" s="3">
        <v>0</v>
      </c>
      <c r="G713" s="3">
        <v>1.5094252914170601E-7</v>
      </c>
      <c r="H713" s="3">
        <v>1.5094252914170601E-7</v>
      </c>
      <c r="I713" s="3">
        <v>0</v>
      </c>
      <c r="J713" s="3">
        <v>-1.3465730108547E-6</v>
      </c>
      <c r="K713" s="3">
        <v>5.0331385880381996E-7</v>
      </c>
      <c r="L713" s="3">
        <v>3.1748579223702401E-6</v>
      </c>
      <c r="M713" s="3">
        <v>7.5614715548684299E-7</v>
      </c>
      <c r="N713" s="3">
        <v>4.3191411528404697E-8</v>
      </c>
      <c r="O713" s="3">
        <v>5.5013407426236698E-8</v>
      </c>
      <c r="P713" s="3">
        <v>6.0993593592502805E-8</v>
      </c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x14ac:dyDescent="0.45">
      <c r="A714" s="3" t="s">
        <v>81</v>
      </c>
      <c r="B714" s="3" t="s">
        <v>5</v>
      </c>
      <c r="C714" s="3" t="s">
        <v>16</v>
      </c>
      <c r="D714" s="3" t="s">
        <v>13</v>
      </c>
      <c r="E714" s="3" t="s">
        <v>8</v>
      </c>
      <c r="F714" s="3">
        <v>0</v>
      </c>
      <c r="G714" s="3">
        <v>-2.29729318791531E-7</v>
      </c>
      <c r="H714" s="3">
        <v>-2.29729318791531E-7</v>
      </c>
      <c r="I714" s="3">
        <v>4.8527254936427296E-6</v>
      </c>
      <c r="J714" s="3">
        <v>9.19857815596809E-6</v>
      </c>
      <c r="K714" s="3">
        <v>3.3421483550982799E-6</v>
      </c>
      <c r="L714" s="3">
        <v>1.6840131150562199E-7</v>
      </c>
      <c r="M714" s="3">
        <v>2.3649521396543199E-8</v>
      </c>
      <c r="N714" s="3">
        <v>1.7862586444285599E-8</v>
      </c>
      <c r="O714" s="3">
        <v>6.0405920714246702E-9</v>
      </c>
      <c r="P714" s="3">
        <v>6.0405920594848996E-11</v>
      </c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x14ac:dyDescent="0.45">
      <c r="A715" s="3" t="s">
        <v>81</v>
      </c>
      <c r="B715" s="3" t="s">
        <v>5</v>
      </c>
      <c r="C715" s="3" t="s">
        <v>16</v>
      </c>
      <c r="D715" s="3" t="s">
        <v>14</v>
      </c>
      <c r="E715" s="3" t="s">
        <v>8</v>
      </c>
      <c r="F715" s="3">
        <v>0</v>
      </c>
      <c r="G715" s="3">
        <v>-2.7272387851542501E-7</v>
      </c>
      <c r="H715" s="3">
        <v>-2.7272387851542501E-7</v>
      </c>
      <c r="I715" s="3">
        <v>1.03672511783785E-5</v>
      </c>
      <c r="J715" s="3">
        <v>3.0165180043480199E-7</v>
      </c>
      <c r="K715" s="3">
        <v>1.5334350189508299E-9</v>
      </c>
      <c r="L715" s="3">
        <v>1.5334350353087299E-11</v>
      </c>
      <c r="M715" s="3">
        <v>1.5334378189978101E-13</v>
      </c>
      <c r="N715" s="3">
        <v>1.5338614709967099E-15</v>
      </c>
      <c r="O715" s="3">
        <v>1.54363284307624E-17</v>
      </c>
      <c r="P715" s="3">
        <v>0</v>
      </c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x14ac:dyDescent="0.45">
      <c r="A716" s="3" t="s">
        <v>81</v>
      </c>
      <c r="B716" s="3" t="s">
        <v>5</v>
      </c>
      <c r="C716" s="3" t="s">
        <v>17</v>
      </c>
      <c r="D716" s="3" t="s">
        <v>7</v>
      </c>
      <c r="E716" s="3" t="s">
        <v>8</v>
      </c>
      <c r="F716" s="3">
        <v>2.4442471135679299E-5</v>
      </c>
      <c r="G716" s="3">
        <v>2.84790380631455E-5</v>
      </c>
      <c r="H716" s="3">
        <v>2.84790380631455E-5</v>
      </c>
      <c r="I716" s="3">
        <v>3.4934859257142998E-5</v>
      </c>
      <c r="J716" s="3">
        <v>4.02910684901011E-5</v>
      </c>
      <c r="K716" s="3">
        <v>4.2277899775191903E-5</v>
      </c>
      <c r="L716" s="3">
        <v>4.2796888705874003E-5</v>
      </c>
      <c r="M716" s="3">
        <v>4.3948899033335699E-5</v>
      </c>
      <c r="N716" s="3">
        <v>4.42853916174432E-5</v>
      </c>
      <c r="O716" s="3">
        <v>4.42853916174432E-5</v>
      </c>
      <c r="P716" s="3">
        <v>4.42853916174432E-5</v>
      </c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x14ac:dyDescent="0.45">
      <c r="A717" s="3" t="s">
        <v>81</v>
      </c>
      <c r="B717" s="3" t="s">
        <v>5</v>
      </c>
      <c r="C717" s="3" t="s">
        <v>17</v>
      </c>
      <c r="D717" s="3" t="s">
        <v>9</v>
      </c>
      <c r="E717" s="3" t="s">
        <v>8</v>
      </c>
      <c r="F717" s="3">
        <v>0</v>
      </c>
      <c r="G717" s="3">
        <v>4.9479890416930602E-8</v>
      </c>
      <c r="H717" s="3">
        <v>4.9479890416930602E-8</v>
      </c>
      <c r="I717" s="3">
        <v>4.7433845046240801E-20</v>
      </c>
      <c r="J717" s="3">
        <v>-3.50796728196684E-7</v>
      </c>
      <c r="K717" s="3">
        <v>0</v>
      </c>
      <c r="L717" s="3">
        <v>5.4225828522957098E-7</v>
      </c>
      <c r="M717" s="3">
        <v>9.8793598425667595E-8</v>
      </c>
      <c r="N717" s="3">
        <v>4.8319238384462902E-8</v>
      </c>
      <c r="O717" s="3">
        <v>-1.58472903900481E-7</v>
      </c>
      <c r="P717" s="3">
        <v>2.2988139194878398E-6</v>
      </c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x14ac:dyDescent="0.45">
      <c r="A718" s="3" t="s">
        <v>81</v>
      </c>
      <c r="B718" s="3" t="s">
        <v>5</v>
      </c>
      <c r="C718" s="3" t="s">
        <v>17</v>
      </c>
      <c r="D718" s="3" t="s">
        <v>10</v>
      </c>
      <c r="E718" s="3" t="s">
        <v>8</v>
      </c>
      <c r="F718" s="3">
        <v>0</v>
      </c>
      <c r="G718" s="3">
        <v>0</v>
      </c>
      <c r="H718" s="3">
        <v>0</v>
      </c>
      <c r="I718" s="3">
        <v>-4.7433845046240801E-20</v>
      </c>
      <c r="J718" s="3">
        <v>-3.4365803180216402E-7</v>
      </c>
      <c r="K718" s="3">
        <v>1.2683696294724699E-6</v>
      </c>
      <c r="L718" s="3">
        <v>2.8375689078111302E-7</v>
      </c>
      <c r="M718" s="3">
        <v>1.6346360249948402E-5</v>
      </c>
      <c r="N718" s="3">
        <v>2.8457156316519999E-5</v>
      </c>
      <c r="O718" s="3">
        <v>2.92665345492136E-5</v>
      </c>
      <c r="P718" s="3">
        <v>2.68092477258253E-5</v>
      </c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x14ac:dyDescent="0.45">
      <c r="A719" s="3" t="s">
        <v>81</v>
      </c>
      <c r="B719" s="3" t="s">
        <v>5</v>
      </c>
      <c r="C719" s="3" t="s">
        <v>17</v>
      </c>
      <c r="D719" s="3" t="s">
        <v>11</v>
      </c>
      <c r="E719" s="3" t="s">
        <v>8</v>
      </c>
      <c r="F719" s="3">
        <v>0</v>
      </c>
      <c r="G719" s="3">
        <v>0</v>
      </c>
      <c r="H719" s="3">
        <v>0</v>
      </c>
      <c r="I719" s="3">
        <v>0</v>
      </c>
      <c r="J719" s="3">
        <v>-1.9178458040539699E-7</v>
      </c>
      <c r="K719" s="3">
        <v>1.8166691418226399E-5</v>
      </c>
      <c r="L719" s="3">
        <v>2.87896000070617E-5</v>
      </c>
      <c r="M719" s="3">
        <v>1.38084248936874E-5</v>
      </c>
      <c r="N719" s="3">
        <v>1.8608186179001101E-6</v>
      </c>
      <c r="O719" s="3">
        <v>1.31277521210736E-6</v>
      </c>
      <c r="P719" s="3">
        <v>1.4649951405082201E-6</v>
      </c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x14ac:dyDescent="0.45">
      <c r="A720" s="3" t="s">
        <v>81</v>
      </c>
      <c r="B720" s="3" t="s">
        <v>5</v>
      </c>
      <c r="C720" s="3" t="s">
        <v>17</v>
      </c>
      <c r="D720" s="3" t="s">
        <v>12</v>
      </c>
      <c r="E720" s="3" t="s">
        <v>8</v>
      </c>
      <c r="F720" s="3">
        <v>0</v>
      </c>
      <c r="G720" s="3">
        <v>9.4795330974015205E-8</v>
      </c>
      <c r="H720" s="3">
        <v>9.4795330974015205E-8</v>
      </c>
      <c r="I720" s="3">
        <v>0</v>
      </c>
      <c r="J720" s="3">
        <v>2.8226603125943699E-5</v>
      </c>
      <c r="K720" s="3">
        <v>1.09626304194573E-5</v>
      </c>
      <c r="L720" s="3">
        <v>2.3770677658608598E-6</v>
      </c>
      <c r="M720" s="3">
        <v>8.8103728545023396E-7</v>
      </c>
      <c r="N720" s="3">
        <v>6.3724590955973801E-7</v>
      </c>
      <c r="O720" s="3">
        <v>6.7800980303937104E-7</v>
      </c>
      <c r="P720" s="3">
        <v>9.0413118943006405E-7</v>
      </c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x14ac:dyDescent="0.45">
      <c r="A721" s="3" t="s">
        <v>81</v>
      </c>
      <c r="B721" s="3" t="s">
        <v>5</v>
      </c>
      <c r="C721" s="3" t="s">
        <v>17</v>
      </c>
      <c r="D721" s="3" t="s">
        <v>13</v>
      </c>
      <c r="E721" s="3" t="s">
        <v>8</v>
      </c>
      <c r="F721" s="3">
        <v>0</v>
      </c>
      <c r="G721" s="3">
        <v>-1.4427522139094601E-7</v>
      </c>
      <c r="H721" s="3">
        <v>-1.4427522139094601E-7</v>
      </c>
      <c r="I721" s="3">
        <v>3.3450031542476401E-5</v>
      </c>
      <c r="J721" s="3">
        <v>7.4459028547576199E-6</v>
      </c>
      <c r="K721" s="3">
        <v>3.1340866526691599E-6</v>
      </c>
      <c r="L721" s="3">
        <v>1.14860390135078E-6</v>
      </c>
      <c r="M721" s="3">
        <v>1.1172205572784199E-6</v>
      </c>
      <c r="N721" s="3">
        <v>9.16683712235729E-7</v>
      </c>
      <c r="O721" s="3">
        <v>8.2190484261485498E-7</v>
      </c>
      <c r="P721" s="3">
        <v>4.5805722538706902E-7</v>
      </c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x14ac:dyDescent="0.45">
      <c r="A722" s="3" t="s">
        <v>81</v>
      </c>
      <c r="B722" s="3" t="s">
        <v>5</v>
      </c>
      <c r="C722" s="3" t="s">
        <v>17</v>
      </c>
      <c r="D722" s="3" t="s">
        <v>14</v>
      </c>
      <c r="E722" s="3" t="s">
        <v>8</v>
      </c>
      <c r="F722" s="3">
        <v>0</v>
      </c>
      <c r="G722" s="3">
        <v>-1.65323634279561E-7</v>
      </c>
      <c r="H722" s="3">
        <v>-1.65323634279561E-7</v>
      </c>
      <c r="I722" s="3">
        <v>6.9241122623794599E-6</v>
      </c>
      <c r="J722" s="3">
        <v>8.75919599520672E-7</v>
      </c>
      <c r="K722" s="3">
        <v>3.9646094329940002E-7</v>
      </c>
      <c r="L722" s="3">
        <v>2.8345429599072899E-7</v>
      </c>
      <c r="M722" s="3">
        <v>2.82391228452434E-8</v>
      </c>
      <c r="N722" s="3">
        <v>2.36119353059312E-8</v>
      </c>
      <c r="O722" s="3">
        <v>2.4213928435633499E-8</v>
      </c>
      <c r="P722" s="3">
        <v>1.06137939433735E-8</v>
      </c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x14ac:dyDescent="0.45">
      <c r="A723" s="3" t="s">
        <v>81</v>
      </c>
      <c r="B723" s="3" t="s">
        <v>5</v>
      </c>
      <c r="C723" s="3" t="s">
        <v>18</v>
      </c>
      <c r="D723" s="3" t="s">
        <v>7</v>
      </c>
      <c r="E723" s="3" t="s">
        <v>8</v>
      </c>
      <c r="F723" s="3">
        <v>1.5336946612124299E-4</v>
      </c>
      <c r="G723" s="3">
        <v>1.15201018725908E-4</v>
      </c>
      <c r="H723" s="3">
        <v>1.15201018725908E-4</v>
      </c>
      <c r="I723" s="3">
        <v>4.2237199468374098E-5</v>
      </c>
      <c r="J723" s="3">
        <v>1.72586330524682E-5</v>
      </c>
      <c r="K723" s="3">
        <v>1.298353317902E-20</v>
      </c>
      <c r="L723" s="3">
        <v>5.1934132716080199E-20</v>
      </c>
      <c r="M723" s="3">
        <v>0</v>
      </c>
      <c r="N723" s="3">
        <v>0</v>
      </c>
      <c r="O723" s="3">
        <v>0</v>
      </c>
      <c r="P723" s="3">
        <v>0</v>
      </c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x14ac:dyDescent="0.45">
      <c r="A724" s="3" t="s">
        <v>81</v>
      </c>
      <c r="B724" s="3" t="s">
        <v>5</v>
      </c>
      <c r="C724" s="3" t="s">
        <v>18</v>
      </c>
      <c r="D724" s="3" t="s">
        <v>9</v>
      </c>
      <c r="E724" s="3" t="s">
        <v>8</v>
      </c>
      <c r="F724" s="3">
        <v>0</v>
      </c>
      <c r="G724" s="3">
        <v>4.74338450462408E-19</v>
      </c>
      <c r="H724" s="3">
        <v>4.74338450462408E-19</v>
      </c>
      <c r="I724" s="3">
        <v>4.7433845046240801E-20</v>
      </c>
      <c r="J724" s="3">
        <v>4.40457132572236E-20</v>
      </c>
      <c r="K724" s="3">
        <v>-1.298353317902E-20</v>
      </c>
      <c r="L724" s="3">
        <v>-5.1934132716080199E-20</v>
      </c>
      <c r="M724" s="3">
        <v>0</v>
      </c>
      <c r="N724" s="3">
        <v>1.298353317902E-20</v>
      </c>
      <c r="O724" s="3">
        <v>1.298353317902E-20</v>
      </c>
      <c r="P724" s="3">
        <v>0</v>
      </c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x14ac:dyDescent="0.45">
      <c r="A725" s="3" t="s">
        <v>81</v>
      </c>
      <c r="B725" s="3" t="s">
        <v>5</v>
      </c>
      <c r="C725" s="3" t="s">
        <v>18</v>
      </c>
      <c r="D725" s="3" t="s">
        <v>10</v>
      </c>
      <c r="E725" s="3" t="s">
        <v>8</v>
      </c>
      <c r="F725" s="3">
        <v>0</v>
      </c>
      <c r="G725" s="3">
        <v>0</v>
      </c>
      <c r="H725" s="3">
        <v>0</v>
      </c>
      <c r="I725" s="3">
        <v>-4.7433845046240801E-20</v>
      </c>
      <c r="J725" s="3">
        <v>5.0821976835258002E-20</v>
      </c>
      <c r="K725" s="3">
        <v>0</v>
      </c>
      <c r="L725" s="3">
        <v>1.298353317902E-20</v>
      </c>
      <c r="M725" s="3">
        <v>0</v>
      </c>
      <c r="N725" s="3">
        <v>2.596706635804E-20</v>
      </c>
      <c r="O725" s="3">
        <v>1.298353317902E-20</v>
      </c>
      <c r="P725" s="3">
        <v>0</v>
      </c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x14ac:dyDescent="0.45">
      <c r="A726" s="3" t="s">
        <v>81</v>
      </c>
      <c r="B726" s="3" t="s">
        <v>5</v>
      </c>
      <c r="C726" s="3" t="s">
        <v>18</v>
      </c>
      <c r="D726" s="3" t="s">
        <v>11</v>
      </c>
      <c r="E726" s="3" t="s">
        <v>8</v>
      </c>
      <c r="F726" s="3">
        <v>0</v>
      </c>
      <c r="G726" s="3">
        <v>0</v>
      </c>
      <c r="H726" s="3">
        <v>0</v>
      </c>
      <c r="I726" s="3">
        <v>0</v>
      </c>
      <c r="J726" s="3">
        <v>-9.4867690092481602E-20</v>
      </c>
      <c r="K726" s="3">
        <v>2.596706635804E-20</v>
      </c>
      <c r="L726" s="3">
        <v>1.298353317902E-20</v>
      </c>
      <c r="M726" s="3">
        <v>3.895059953706E-20</v>
      </c>
      <c r="N726" s="3">
        <v>-3.895059953706E-20</v>
      </c>
      <c r="O726" s="3">
        <v>-2.596706635804E-20</v>
      </c>
      <c r="P726" s="3">
        <v>5.1934132716080199E-20</v>
      </c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x14ac:dyDescent="0.45">
      <c r="A727" s="3" t="s">
        <v>81</v>
      </c>
      <c r="B727" s="3" t="s">
        <v>5</v>
      </c>
      <c r="C727" s="3" t="s">
        <v>18</v>
      </c>
      <c r="D727" s="3" t="s">
        <v>12</v>
      </c>
      <c r="E727" s="3" t="s">
        <v>8</v>
      </c>
      <c r="F727" s="3">
        <v>0</v>
      </c>
      <c r="G727" s="3">
        <v>0</v>
      </c>
      <c r="H727" s="3">
        <v>0</v>
      </c>
      <c r="I727" s="3">
        <v>0</v>
      </c>
      <c r="J727" s="3">
        <v>9.4867690092481602E-20</v>
      </c>
      <c r="K727" s="3">
        <v>-2.596706635804E-20</v>
      </c>
      <c r="L727" s="3">
        <v>-2.596706635804E-20</v>
      </c>
      <c r="M727" s="3">
        <v>-2.596706635804E-20</v>
      </c>
      <c r="N727" s="3">
        <v>2.596706635804E-20</v>
      </c>
      <c r="O727" s="3">
        <v>5.1934132716080199E-20</v>
      </c>
      <c r="P727" s="3">
        <v>-5.1934132716080199E-20</v>
      </c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x14ac:dyDescent="0.45">
      <c r="A728" s="3" t="s">
        <v>81</v>
      </c>
      <c r="B728" s="3" t="s">
        <v>5</v>
      </c>
      <c r="C728" s="3" t="s">
        <v>18</v>
      </c>
      <c r="D728" s="3" t="s">
        <v>13</v>
      </c>
      <c r="E728" s="3" t="s">
        <v>8</v>
      </c>
      <c r="F728" s="3">
        <v>0</v>
      </c>
      <c r="G728" s="3">
        <v>0</v>
      </c>
      <c r="H728" s="3">
        <v>0</v>
      </c>
      <c r="I728" s="3">
        <v>0</v>
      </c>
      <c r="J728" s="3">
        <v>-5.0821976835258002E-20</v>
      </c>
      <c r="K728" s="3">
        <v>0</v>
      </c>
      <c r="L728" s="3">
        <v>2.596706635804E-20</v>
      </c>
      <c r="M728" s="3">
        <v>6.4917665895099796E-20</v>
      </c>
      <c r="N728" s="3">
        <v>-2.596706635804E-20</v>
      </c>
      <c r="O728" s="3">
        <v>1.4281886496922E-19</v>
      </c>
      <c r="P728" s="3">
        <v>9.0884732253139796E-20</v>
      </c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x14ac:dyDescent="0.45">
      <c r="A729" s="3" t="s">
        <v>81</v>
      </c>
      <c r="B729" s="3" t="s">
        <v>5</v>
      </c>
      <c r="C729" s="3" t="s">
        <v>18</v>
      </c>
      <c r="D729" s="3" t="s">
        <v>14</v>
      </c>
      <c r="E729" s="3" t="s">
        <v>8</v>
      </c>
      <c r="F729" s="3">
        <v>0</v>
      </c>
      <c r="G729" s="3">
        <v>-4.74338450462408E-19</v>
      </c>
      <c r="H729" s="3">
        <v>-4.74338450462408E-19</v>
      </c>
      <c r="I729" s="3">
        <v>-4.7433845046240801E-20</v>
      </c>
      <c r="J729" s="3">
        <v>-9.1479558303464401E-20</v>
      </c>
      <c r="K729" s="3">
        <v>0</v>
      </c>
      <c r="L729" s="3">
        <v>-2.596706635804E-20</v>
      </c>
      <c r="M729" s="3">
        <v>-7.7901199074119796E-20</v>
      </c>
      <c r="N729" s="3">
        <v>3.895059953706E-20</v>
      </c>
      <c r="O729" s="3">
        <v>-1.298353317902E-19</v>
      </c>
      <c r="P729" s="3">
        <v>-9.0884732253139796E-20</v>
      </c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x14ac:dyDescent="0.45">
      <c r="A730" s="3" t="s">
        <v>81</v>
      </c>
      <c r="B730" s="3" t="s">
        <v>5</v>
      </c>
      <c r="C730" s="3" t="s">
        <v>19</v>
      </c>
      <c r="D730" s="3" t="s">
        <v>7</v>
      </c>
      <c r="E730" s="3" t="s">
        <v>8</v>
      </c>
      <c r="F730" s="3">
        <v>2.4426615623996099E-6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x14ac:dyDescent="0.45">
      <c r="A731" s="3" t="s">
        <v>81</v>
      </c>
      <c r="B731" s="3" t="s">
        <v>5</v>
      </c>
      <c r="C731" s="3" t="s">
        <v>19</v>
      </c>
      <c r="D731" s="3" t="s">
        <v>9</v>
      </c>
      <c r="E731" s="3" t="s">
        <v>8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x14ac:dyDescent="0.45">
      <c r="A732" s="3" t="s">
        <v>81</v>
      </c>
      <c r="B732" s="3" t="s">
        <v>5</v>
      </c>
      <c r="C732" s="3" t="s">
        <v>19</v>
      </c>
      <c r="D732" s="3" t="s">
        <v>10</v>
      </c>
      <c r="E732" s="3" t="s">
        <v>8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x14ac:dyDescent="0.45">
      <c r="A733" s="3" t="s">
        <v>81</v>
      </c>
      <c r="B733" s="3" t="s">
        <v>5</v>
      </c>
      <c r="C733" s="3" t="s">
        <v>19</v>
      </c>
      <c r="D733" s="3" t="s">
        <v>11</v>
      </c>
      <c r="E733" s="3" t="s">
        <v>8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x14ac:dyDescent="0.45">
      <c r="A734" s="3" t="s">
        <v>81</v>
      </c>
      <c r="B734" s="3" t="s">
        <v>5</v>
      </c>
      <c r="C734" s="3" t="s">
        <v>19</v>
      </c>
      <c r="D734" s="3" t="s">
        <v>12</v>
      </c>
      <c r="E734" s="3" t="s">
        <v>8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x14ac:dyDescent="0.45">
      <c r="A735" s="3" t="s">
        <v>81</v>
      </c>
      <c r="B735" s="3" t="s">
        <v>5</v>
      </c>
      <c r="C735" s="3" t="s">
        <v>19</v>
      </c>
      <c r="D735" s="3" t="s">
        <v>13</v>
      </c>
      <c r="E735" s="3" t="s">
        <v>8</v>
      </c>
      <c r="F735" s="3">
        <v>0</v>
      </c>
      <c r="G735" s="3">
        <v>0</v>
      </c>
      <c r="H735" s="3">
        <v>0</v>
      </c>
      <c r="I735" s="3">
        <v>3.9254975148261199E-5</v>
      </c>
      <c r="J735" s="3">
        <v>3.2339214542212497E-5</v>
      </c>
      <c r="K735" s="3">
        <v>2.71857569220659E-5</v>
      </c>
      <c r="L735" s="3">
        <v>2.6238836145508699E-5</v>
      </c>
      <c r="M735" s="3">
        <v>2.6128814291792901E-5</v>
      </c>
      <c r="N735" s="3">
        <v>2.5824101393659899E-5</v>
      </c>
      <c r="O735" s="3">
        <v>2.5596807057532901E-5</v>
      </c>
      <c r="P735" s="3">
        <v>2.5014050367558799E-5</v>
      </c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x14ac:dyDescent="0.45">
      <c r="A736" s="3" t="s">
        <v>81</v>
      </c>
      <c r="B736" s="3" t="s">
        <v>5</v>
      </c>
      <c r="C736" s="3" t="s">
        <v>19</v>
      </c>
      <c r="D736" s="3" t="s">
        <v>14</v>
      </c>
      <c r="E736" s="3" t="s">
        <v>8</v>
      </c>
      <c r="F736" s="3">
        <v>0</v>
      </c>
      <c r="G736" s="3">
        <v>0</v>
      </c>
      <c r="H736" s="3">
        <v>0</v>
      </c>
      <c r="I736" s="3">
        <v>2.6212791172826901E-5</v>
      </c>
      <c r="J736" s="3">
        <v>1.5881209766207401E-5</v>
      </c>
      <c r="K736" s="3">
        <v>4.0843730389982004E-6</v>
      </c>
      <c r="L736" s="3">
        <v>3.8225050623285499E-6</v>
      </c>
      <c r="M736" s="3">
        <v>3.9559803733203696E-6</v>
      </c>
      <c r="N736" s="3">
        <v>3.8330435995547404E-6</v>
      </c>
      <c r="O736" s="3">
        <v>3.9765315849032998E-6</v>
      </c>
      <c r="P736" s="3">
        <v>4.8703708893863103E-6</v>
      </c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x14ac:dyDescent="0.45">
      <c r="A737" s="3" t="s">
        <v>82</v>
      </c>
      <c r="B737" s="3" t="s">
        <v>29</v>
      </c>
      <c r="C737" s="3" t="s">
        <v>6</v>
      </c>
      <c r="D737" s="3" t="s">
        <v>7</v>
      </c>
      <c r="E737" s="3" t="s">
        <v>8</v>
      </c>
      <c r="F737" s="3">
        <v>0</v>
      </c>
      <c r="G737" s="3">
        <v>0</v>
      </c>
      <c r="H737" s="3">
        <v>0</v>
      </c>
      <c r="I737" s="3">
        <v>0</v>
      </c>
      <c r="J737" s="3">
        <v>6.9302876591042302E-5</v>
      </c>
      <c r="K737" s="3">
        <v>9.5156237750441603E-5</v>
      </c>
      <c r="L737" s="3">
        <v>2.3483414507913001E-5</v>
      </c>
      <c r="M737" s="3">
        <v>2.3483414507913201E-5</v>
      </c>
      <c r="N737" s="3">
        <v>1.8969480643357299E-5</v>
      </c>
      <c r="O737" s="3">
        <v>1.51748737592241E-5</v>
      </c>
      <c r="P737" s="3">
        <v>1.21586431424562E-5</v>
      </c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x14ac:dyDescent="0.45">
      <c r="A738" s="3" t="s">
        <v>82</v>
      </c>
      <c r="B738" s="3" t="s">
        <v>29</v>
      </c>
      <c r="C738" s="3" t="s">
        <v>6</v>
      </c>
      <c r="D738" s="3" t="s">
        <v>9</v>
      </c>
      <c r="E738" s="3" t="s">
        <v>8</v>
      </c>
      <c r="F738" s="3">
        <v>0</v>
      </c>
      <c r="G738" s="3">
        <v>0</v>
      </c>
      <c r="H738" s="3">
        <v>0</v>
      </c>
      <c r="I738" s="3">
        <v>0</v>
      </c>
      <c r="J738" s="3">
        <v>6.5272304792502998E-5</v>
      </c>
      <c r="K738" s="3">
        <v>1.5722933131611801E-4</v>
      </c>
      <c r="L738" s="3">
        <v>1.9625749903218301E-4</v>
      </c>
      <c r="M738" s="3">
        <v>1.9625749903218301E-4</v>
      </c>
      <c r="N738" s="3">
        <v>1.9017919388627E-4</v>
      </c>
      <c r="O738" s="3">
        <v>1.93861920905837E-4</v>
      </c>
      <c r="P738" s="3">
        <v>1.96878151522605E-4</v>
      </c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x14ac:dyDescent="0.45">
      <c r="A739" s="3" t="s">
        <v>82</v>
      </c>
      <c r="B739" s="3" t="s">
        <v>29</v>
      </c>
      <c r="C739" s="3" t="s">
        <v>6</v>
      </c>
      <c r="D739" s="3" t="s">
        <v>10</v>
      </c>
      <c r="E739" s="3" t="s">
        <v>8</v>
      </c>
      <c r="F739" s="3">
        <v>0</v>
      </c>
      <c r="G739" s="3">
        <v>0</v>
      </c>
      <c r="H739" s="3">
        <v>0</v>
      </c>
      <c r="I739" s="3">
        <v>7.8035500756576105E-6</v>
      </c>
      <c r="J739" s="3">
        <v>1.6828736439501599E-4</v>
      </c>
      <c r="K739" s="3">
        <v>1.69683853997414E-4</v>
      </c>
      <c r="L739" s="3">
        <v>1.7304184148844099E-4</v>
      </c>
      <c r="M739" s="3">
        <v>1.7304184148844099E-4</v>
      </c>
      <c r="N739" s="3">
        <v>1.21832049587068E-3</v>
      </c>
      <c r="O739" s="3">
        <v>2.7575134078420402E-3</v>
      </c>
      <c r="P739" s="3">
        <v>8.5614203090330892E-3</v>
      </c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x14ac:dyDescent="0.45">
      <c r="A740" s="3" t="s">
        <v>82</v>
      </c>
      <c r="B740" s="3" t="s">
        <v>29</v>
      </c>
      <c r="C740" s="3" t="s">
        <v>6</v>
      </c>
      <c r="D740" s="3" t="s">
        <v>11</v>
      </c>
      <c r="E740" s="3" t="s">
        <v>8</v>
      </c>
      <c r="F740" s="3">
        <v>0</v>
      </c>
      <c r="G740" s="3">
        <v>0</v>
      </c>
      <c r="H740" s="3">
        <v>0</v>
      </c>
      <c r="I740" s="3">
        <v>1.2816864553716201E-4</v>
      </c>
      <c r="J740" s="3">
        <v>1.74966564912012E-4</v>
      </c>
      <c r="K740" s="3">
        <v>1.8902066420811901E-4</v>
      </c>
      <c r="L740" s="3">
        <v>2.0190446062552298E-3</v>
      </c>
      <c r="M740" s="3">
        <v>8.3156429721188002E-3</v>
      </c>
      <c r="N740" s="3">
        <v>1.3827676123436701E-2</v>
      </c>
      <c r="O740" s="3">
        <v>1.92073732970818E-2</v>
      </c>
      <c r="P740" s="3">
        <v>2.75899518800529E-2</v>
      </c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x14ac:dyDescent="0.45">
      <c r="A741" s="3" t="s">
        <v>82</v>
      </c>
      <c r="B741" s="3" t="s">
        <v>29</v>
      </c>
      <c r="C741" s="3" t="s">
        <v>6</v>
      </c>
      <c r="D741" s="3" t="s">
        <v>12</v>
      </c>
      <c r="E741" s="3" t="s">
        <v>8</v>
      </c>
      <c r="F741" s="3">
        <v>0</v>
      </c>
      <c r="G741" s="3">
        <v>0</v>
      </c>
      <c r="H741" s="3">
        <v>0</v>
      </c>
      <c r="I741" s="3">
        <v>2.23514436360953E-4</v>
      </c>
      <c r="J741" s="3">
        <v>1.1171676182027801E-3</v>
      </c>
      <c r="K741" s="3">
        <v>8.2013571117654192E-3</v>
      </c>
      <c r="L741" s="3">
        <v>1.37810596140721E-2</v>
      </c>
      <c r="M741" s="3">
        <v>3.0350274001849802E-2</v>
      </c>
      <c r="N741" s="3">
        <v>4.9329958420804398E-2</v>
      </c>
      <c r="O741" s="3">
        <v>6.7281480286702305E-2</v>
      </c>
      <c r="P741" s="3">
        <v>7.6278179646326397E-2</v>
      </c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x14ac:dyDescent="0.45">
      <c r="A742" s="3" t="s">
        <v>82</v>
      </c>
      <c r="B742" s="3" t="s">
        <v>29</v>
      </c>
      <c r="C742" s="3" t="s">
        <v>6</v>
      </c>
      <c r="D742" s="3" t="s">
        <v>13</v>
      </c>
      <c r="E742" s="3" t="s">
        <v>8</v>
      </c>
      <c r="F742" s="3">
        <v>0</v>
      </c>
      <c r="G742" s="3">
        <v>2.6299070816349899E-5</v>
      </c>
      <c r="H742" s="3">
        <v>2.6299070816349899E-5</v>
      </c>
      <c r="I742" s="3">
        <v>7.79988970281522E-3</v>
      </c>
      <c r="J742" s="3">
        <v>3.4880537788379497E-2</v>
      </c>
      <c r="K742" s="3">
        <v>5.61641330227476E-2</v>
      </c>
      <c r="L742" s="3">
        <v>7.5627217599499696E-2</v>
      </c>
      <c r="M742" s="3">
        <v>7.6240531142575493E-2</v>
      </c>
      <c r="N742" s="3">
        <v>7.3537698063869505E-2</v>
      </c>
      <c r="O742" s="3">
        <v>7.2019104579475704E-2</v>
      </c>
      <c r="P742" s="3">
        <v>7.1801340405439298E-2</v>
      </c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x14ac:dyDescent="0.45">
      <c r="A743" s="3" t="s">
        <v>82</v>
      </c>
      <c r="B743" s="3" t="s">
        <v>29</v>
      </c>
      <c r="C743" s="3" t="s">
        <v>6</v>
      </c>
      <c r="D743" s="3" t="s">
        <v>14</v>
      </c>
      <c r="E743" s="3" t="s">
        <v>8</v>
      </c>
      <c r="F743" s="3">
        <v>0</v>
      </c>
      <c r="G743" s="3">
        <v>9.958609490328381E-4</v>
      </c>
      <c r="H743" s="3">
        <v>9.958609490328381E-4</v>
      </c>
      <c r="I743" s="3">
        <v>2.41814232995659E-2</v>
      </c>
      <c r="J743" s="3">
        <v>2.54936076377675E-2</v>
      </c>
      <c r="K743" s="3">
        <v>2.6521028912000401E-2</v>
      </c>
      <c r="L743" s="3">
        <v>3.0299172136251301E-2</v>
      </c>
      <c r="M743" s="3">
        <v>3.9191454803452097E-2</v>
      </c>
      <c r="N743" s="3">
        <v>5.0301256965033701E-2</v>
      </c>
      <c r="O743" s="3">
        <v>5.9200251953528203E-2</v>
      </c>
      <c r="P743" s="3">
        <v>6.5137090686084004E-2</v>
      </c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x14ac:dyDescent="0.45">
      <c r="A744" s="3" t="s">
        <v>82</v>
      </c>
      <c r="B744" s="3" t="s">
        <v>29</v>
      </c>
      <c r="C744" s="3" t="s">
        <v>15</v>
      </c>
      <c r="D744" s="3" t="s">
        <v>7</v>
      </c>
      <c r="E744" s="3" t="s">
        <v>8</v>
      </c>
      <c r="F744" s="3">
        <v>4.2221485708099499E-2</v>
      </c>
      <c r="G744" s="3">
        <v>4.6651178971874901E-2</v>
      </c>
      <c r="H744" s="3">
        <v>4.6651178971874901E-2</v>
      </c>
      <c r="I744" s="3">
        <v>5.0144810147400999E-2</v>
      </c>
      <c r="J744" s="3">
        <v>5.2914145214510898E-2</v>
      </c>
      <c r="K744" s="3">
        <v>5.5531687985417501E-2</v>
      </c>
      <c r="L744" s="3">
        <v>5.7772925263214099E-2</v>
      </c>
      <c r="M744" s="3">
        <v>6.0231969685448097E-2</v>
      </c>
      <c r="N744" s="3">
        <v>6.1323046933561998E-2</v>
      </c>
      <c r="O744" s="3">
        <v>6.2464366584548299E-2</v>
      </c>
      <c r="P744" s="3">
        <v>6.3408988156484394E-2</v>
      </c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x14ac:dyDescent="0.45">
      <c r="A745" s="3" t="s">
        <v>82</v>
      </c>
      <c r="B745" s="3" t="s">
        <v>29</v>
      </c>
      <c r="C745" s="3" t="s">
        <v>15</v>
      </c>
      <c r="D745" s="3" t="s">
        <v>9</v>
      </c>
      <c r="E745" s="3" t="s">
        <v>8</v>
      </c>
      <c r="F745" s="3">
        <v>0</v>
      </c>
      <c r="G745" s="3">
        <v>-5.1355790048106301E-5</v>
      </c>
      <c r="H745" s="3">
        <v>-5.1355790048106301E-5</v>
      </c>
      <c r="I745" s="3">
        <v>-1.5457809191200101E-4</v>
      </c>
      <c r="J745" s="3">
        <v>-3.1841454838683197E-4</v>
      </c>
      <c r="K745" s="3">
        <v>-1.00906590963727E-4</v>
      </c>
      <c r="L745" s="3">
        <v>-6.8531890710904497E-4</v>
      </c>
      <c r="M745" s="3">
        <v>-9.8836143595277398E-4</v>
      </c>
      <c r="N745" s="3">
        <v>-1.03345478526113E-3</v>
      </c>
      <c r="O745" s="3">
        <v>-1.6055673695422E-3</v>
      </c>
      <c r="P745" s="3">
        <v>-2.2227436962252902E-3</v>
      </c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x14ac:dyDescent="0.45">
      <c r="A746" s="3" t="s">
        <v>82</v>
      </c>
      <c r="B746" s="3" t="s">
        <v>29</v>
      </c>
      <c r="C746" s="3" t="s">
        <v>15</v>
      </c>
      <c r="D746" s="3" t="s">
        <v>10</v>
      </c>
      <c r="E746" s="3" t="s">
        <v>8</v>
      </c>
      <c r="F746" s="3">
        <v>0</v>
      </c>
      <c r="G746" s="3">
        <v>-9.4226709047157099E-7</v>
      </c>
      <c r="H746" s="3">
        <v>-9.4226709047157099E-7</v>
      </c>
      <c r="I746" s="3">
        <v>-6.1885794383355301E-5</v>
      </c>
      <c r="J746" s="3">
        <v>-2.1127082032164999E-4</v>
      </c>
      <c r="K746" s="3">
        <v>-3.1315941167064899E-4</v>
      </c>
      <c r="L746" s="3">
        <v>-8.73585086743692E-5</v>
      </c>
      <c r="M746" s="3">
        <v>-6.9825120815088205E-4</v>
      </c>
      <c r="N746" s="3">
        <v>5.5978309195617998E-4</v>
      </c>
      <c r="O746" s="3">
        <v>3.0550197590941498E-4</v>
      </c>
      <c r="P746" s="3">
        <v>4.0620756324288198E-4</v>
      </c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x14ac:dyDescent="0.45">
      <c r="A747" s="3" t="s">
        <v>82</v>
      </c>
      <c r="B747" s="3" t="s">
        <v>29</v>
      </c>
      <c r="C747" s="3" t="s">
        <v>15</v>
      </c>
      <c r="D747" s="3" t="s">
        <v>11</v>
      </c>
      <c r="E747" s="3" t="s">
        <v>8</v>
      </c>
      <c r="F747" s="3">
        <v>0</v>
      </c>
      <c r="G747" s="3">
        <v>3.69537695740774E-6</v>
      </c>
      <c r="H747" s="3">
        <v>3.69537695740774E-6</v>
      </c>
      <c r="I747" s="3">
        <v>-7.8010732557004498E-5</v>
      </c>
      <c r="J747" s="3">
        <v>9.5664003270504199E-5</v>
      </c>
      <c r="K747" s="3">
        <v>-1.90142006712579E-4</v>
      </c>
      <c r="L747" s="3">
        <v>5.1370124548150197E-4</v>
      </c>
      <c r="M747" s="3">
        <v>1.32378846345128E-3</v>
      </c>
      <c r="N747" s="3">
        <v>7.7989033345470698E-4</v>
      </c>
      <c r="O747" s="3">
        <v>8.8414005243718497E-4</v>
      </c>
      <c r="P747" s="3">
        <v>1.0041453912812599E-3</v>
      </c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x14ac:dyDescent="0.45">
      <c r="A748" s="3" t="s">
        <v>82</v>
      </c>
      <c r="B748" s="3" t="s">
        <v>29</v>
      </c>
      <c r="C748" s="3" t="s">
        <v>15</v>
      </c>
      <c r="D748" s="3" t="s">
        <v>12</v>
      </c>
      <c r="E748" s="3" t="s">
        <v>8</v>
      </c>
      <c r="F748" s="3">
        <v>0</v>
      </c>
      <c r="G748" s="3">
        <v>1.58704372475033E-6</v>
      </c>
      <c r="H748" s="3">
        <v>1.58704372475033E-6</v>
      </c>
      <c r="I748" s="3">
        <v>-2.6352763370426902E-4</v>
      </c>
      <c r="J748" s="3">
        <v>-4.3004991748911398E-5</v>
      </c>
      <c r="K748" s="3">
        <v>2.0968428257618602E-3</v>
      </c>
      <c r="L748" s="3">
        <v>2.1074286870506101E-3</v>
      </c>
      <c r="M748" s="3">
        <v>2.0466719809135699E-3</v>
      </c>
      <c r="N748" s="3">
        <v>1.2323251927569101E-3</v>
      </c>
      <c r="O748" s="3">
        <v>1.5350783186064399E-3</v>
      </c>
      <c r="P748" s="3">
        <v>1.5274010578057301E-3</v>
      </c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x14ac:dyDescent="0.45">
      <c r="A749" s="3" t="s">
        <v>82</v>
      </c>
      <c r="B749" s="3" t="s">
        <v>29</v>
      </c>
      <c r="C749" s="3" t="s">
        <v>15</v>
      </c>
      <c r="D749" s="3" t="s">
        <v>13</v>
      </c>
      <c r="E749" s="3" t="s">
        <v>8</v>
      </c>
      <c r="F749" s="3">
        <v>0</v>
      </c>
      <c r="G749" s="3">
        <v>-3.3993146026343302E-4</v>
      </c>
      <c r="H749" s="3">
        <v>-3.3993146026343302E-4</v>
      </c>
      <c r="I749" s="3">
        <v>2.71244332533396E-3</v>
      </c>
      <c r="J749" s="3">
        <v>2.8564964729847599E-3</v>
      </c>
      <c r="K749" s="3">
        <v>2.8789093524157099E-4</v>
      </c>
      <c r="L749" s="3">
        <v>-1.00772083495522E-4</v>
      </c>
      <c r="M749" s="3">
        <v>1.9666577690701699E-4</v>
      </c>
      <c r="N749" s="3">
        <v>1.1416376435626199E-3</v>
      </c>
      <c r="O749" s="3">
        <v>1.1912836639514401E-3</v>
      </c>
      <c r="P749" s="3">
        <v>9.97170807309544E-4</v>
      </c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x14ac:dyDescent="0.45">
      <c r="A750" s="3" t="s">
        <v>82</v>
      </c>
      <c r="B750" s="3" t="s">
        <v>29</v>
      </c>
      <c r="C750" s="3" t="s">
        <v>15</v>
      </c>
      <c r="D750" s="3" t="s">
        <v>14</v>
      </c>
      <c r="E750" s="3" t="s">
        <v>8</v>
      </c>
      <c r="F750" s="3">
        <v>0</v>
      </c>
      <c r="G750" s="3">
        <v>8.14986580708492E-4</v>
      </c>
      <c r="H750" s="3">
        <v>8.14986580708492E-4</v>
      </c>
      <c r="I750" s="3">
        <v>-1.5136615597991601E-3</v>
      </c>
      <c r="J750" s="3">
        <v>-2.6645492460009401E-3</v>
      </c>
      <c r="K750" s="3">
        <v>-3.0425605751624998E-3</v>
      </c>
      <c r="L750" s="3">
        <v>-4.0045803625003602E-3</v>
      </c>
      <c r="M750" s="3">
        <v>-4.7067967451260599E-3</v>
      </c>
      <c r="N750" s="3">
        <v>-4.6027015668234804E-3</v>
      </c>
      <c r="O750" s="3">
        <v>-3.9609177846458904E-3</v>
      </c>
      <c r="P750" s="3">
        <v>-3.9685925109055296E-3</v>
      </c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x14ac:dyDescent="0.45">
      <c r="A751" s="3" t="s">
        <v>82</v>
      </c>
      <c r="B751" s="3" t="s">
        <v>29</v>
      </c>
      <c r="C751" s="3" t="s">
        <v>16</v>
      </c>
      <c r="D751" s="3" t="s">
        <v>7</v>
      </c>
      <c r="E751" s="3" t="s">
        <v>8</v>
      </c>
      <c r="F751" s="3">
        <v>1.8023948401502302E-2</v>
      </c>
      <c r="G751" s="3">
        <v>1.9240604097206099E-2</v>
      </c>
      <c r="H751" s="3">
        <v>1.9240604097206099E-2</v>
      </c>
      <c r="I751" s="3">
        <v>1.8603621645202299E-2</v>
      </c>
      <c r="J751" s="3">
        <v>1.80082291296009E-2</v>
      </c>
      <c r="K751" s="3">
        <v>1.7760938322647399E-2</v>
      </c>
      <c r="L751" s="3">
        <v>1.7711345250473801E-2</v>
      </c>
      <c r="M751" s="3">
        <v>1.7587927323361702E-2</v>
      </c>
      <c r="N751" s="3">
        <v>1.75551225973265E-2</v>
      </c>
      <c r="O751" s="3">
        <v>1.75551225973265E-2</v>
      </c>
      <c r="P751" s="3">
        <v>1.75551225973265E-2</v>
      </c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x14ac:dyDescent="0.45">
      <c r="A752" s="3" t="s">
        <v>82</v>
      </c>
      <c r="B752" s="3" t="s">
        <v>29</v>
      </c>
      <c r="C752" s="3" t="s">
        <v>16</v>
      </c>
      <c r="D752" s="3" t="s">
        <v>9</v>
      </c>
      <c r="E752" s="3" t="s">
        <v>8</v>
      </c>
      <c r="F752" s="3">
        <v>0</v>
      </c>
      <c r="G752" s="3">
        <v>-4.7659874362303298E-6</v>
      </c>
      <c r="H752" s="3">
        <v>-4.7659874362303298E-6</v>
      </c>
      <c r="I752" s="3">
        <v>0</v>
      </c>
      <c r="J752" s="3">
        <v>3.4351446055302202E-5</v>
      </c>
      <c r="K752" s="3">
        <v>5.5350311436198904E-6</v>
      </c>
      <c r="L752" s="3">
        <v>3.5103641219946802E-5</v>
      </c>
      <c r="M752" s="3">
        <v>6.88134266803829E-5</v>
      </c>
      <c r="N752" s="3">
        <v>-1.4462290761954599E-3</v>
      </c>
      <c r="O752" s="3">
        <v>-1.4462290761954901E-3</v>
      </c>
      <c r="P752" s="3">
        <v>-1.4462290761954901E-3</v>
      </c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x14ac:dyDescent="0.45">
      <c r="A753" s="3" t="s">
        <v>82</v>
      </c>
      <c r="B753" s="3" t="s">
        <v>29</v>
      </c>
      <c r="C753" s="3" t="s">
        <v>16</v>
      </c>
      <c r="D753" s="3" t="s">
        <v>10</v>
      </c>
      <c r="E753" s="3" t="s">
        <v>8</v>
      </c>
      <c r="F753" s="3">
        <v>0</v>
      </c>
      <c r="G753" s="3">
        <v>-2.7755575615628901E-17</v>
      </c>
      <c r="H753" s="3">
        <v>-2.7755575615628901E-17</v>
      </c>
      <c r="I753" s="3">
        <v>0</v>
      </c>
      <c r="J753" s="3">
        <v>3.3652395795159101E-5</v>
      </c>
      <c r="K753" s="3">
        <v>9.2921412199707693E-6</v>
      </c>
      <c r="L753" s="3">
        <v>-1.506511019449E-3</v>
      </c>
      <c r="M753" s="3">
        <v>-1.4928932363384301E-3</v>
      </c>
      <c r="N753" s="3">
        <v>5.4953992572648998E-5</v>
      </c>
      <c r="O753" s="3">
        <v>5.4953992572621297E-5</v>
      </c>
      <c r="P753" s="3">
        <v>5.4953992572648998E-5</v>
      </c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x14ac:dyDescent="0.45">
      <c r="A754" s="3" t="s">
        <v>82</v>
      </c>
      <c r="B754" s="3" t="s">
        <v>29</v>
      </c>
      <c r="C754" s="3" t="s">
        <v>16</v>
      </c>
      <c r="D754" s="3" t="s">
        <v>11</v>
      </c>
      <c r="E754" s="3" t="s">
        <v>8</v>
      </c>
      <c r="F754" s="3">
        <v>0</v>
      </c>
      <c r="G754" s="3">
        <v>2.7755575615628901E-17</v>
      </c>
      <c r="H754" s="3">
        <v>2.7755575615628901E-17</v>
      </c>
      <c r="I754" s="3">
        <v>0</v>
      </c>
      <c r="J754" s="3">
        <v>-1.54497536832196E-3</v>
      </c>
      <c r="K754" s="3">
        <v>-1.50506899406543E-3</v>
      </c>
      <c r="L754" s="3">
        <v>2.8700847351168E-7</v>
      </c>
      <c r="M754" s="3">
        <v>-7.8693084194860597E-5</v>
      </c>
      <c r="N754" s="3">
        <v>-1.22171430242787E-4</v>
      </c>
      <c r="O754" s="3">
        <v>-1.22171430242759E-4</v>
      </c>
      <c r="P754" s="3">
        <v>-1.22171430242787E-4</v>
      </c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x14ac:dyDescent="0.45">
      <c r="A755" s="3" t="s">
        <v>82</v>
      </c>
      <c r="B755" s="3" t="s">
        <v>29</v>
      </c>
      <c r="C755" s="3" t="s">
        <v>16</v>
      </c>
      <c r="D755" s="3" t="s">
        <v>12</v>
      </c>
      <c r="E755" s="3" t="s">
        <v>8</v>
      </c>
      <c r="F755" s="3">
        <v>0</v>
      </c>
      <c r="G755" s="3">
        <v>-9.1308479592371005E-6</v>
      </c>
      <c r="H755" s="3">
        <v>-9.1308479592371005E-6</v>
      </c>
      <c r="I755" s="3">
        <v>-1.62805903536819E-3</v>
      </c>
      <c r="J755" s="3">
        <v>8.1457184386683103E-5</v>
      </c>
      <c r="K755" s="3">
        <v>-3.0446570271694399E-5</v>
      </c>
      <c r="L755" s="3">
        <v>-1.9205418874382001E-4</v>
      </c>
      <c r="M755" s="3">
        <v>-4.5741016470320097E-5</v>
      </c>
      <c r="N755" s="3">
        <v>-2.6127441619811E-6</v>
      </c>
      <c r="O755" s="3">
        <v>-3.3278828822022599E-6</v>
      </c>
      <c r="P755" s="3">
        <v>-3.6896375908493398E-6</v>
      </c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x14ac:dyDescent="0.45">
      <c r="A756" s="3" t="s">
        <v>82</v>
      </c>
      <c r="B756" s="3" t="s">
        <v>29</v>
      </c>
      <c r="C756" s="3" t="s">
        <v>16</v>
      </c>
      <c r="D756" s="3" t="s">
        <v>13</v>
      </c>
      <c r="E756" s="3" t="s">
        <v>8</v>
      </c>
      <c r="F756" s="3">
        <v>0</v>
      </c>
      <c r="G756" s="3">
        <v>1.3896835395467401E-5</v>
      </c>
      <c r="H756" s="3">
        <v>1.3896835395467401E-5</v>
      </c>
      <c r="I756" s="3">
        <v>-2.9355211498164501E-4</v>
      </c>
      <c r="J756" s="3">
        <v>-5.5644236956033403E-4</v>
      </c>
      <c r="K756" s="3">
        <v>-2.02173957605224E-4</v>
      </c>
      <c r="L756" s="3">
        <v>-1.01869683795074E-5</v>
      </c>
      <c r="M756" s="3">
        <v>-1.43061193825025E-6</v>
      </c>
      <c r="N756" s="3">
        <v>-1.0805474236347299E-6</v>
      </c>
      <c r="O756" s="3">
        <v>-3.6540879566268598E-7</v>
      </c>
      <c r="P756" s="3">
        <v>-3.6540879488899901E-9</v>
      </c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x14ac:dyDescent="0.45">
      <c r="A757" s="3" t="s">
        <v>82</v>
      </c>
      <c r="B757" s="3" t="s">
        <v>29</v>
      </c>
      <c r="C757" s="3" t="s">
        <v>16</v>
      </c>
      <c r="D757" s="3" t="s">
        <v>14</v>
      </c>
      <c r="E757" s="3" t="s">
        <v>8</v>
      </c>
      <c r="F757" s="3">
        <v>0</v>
      </c>
      <c r="G757" s="3">
        <v>-1.61156136381249E-3</v>
      </c>
      <c r="H757" s="3">
        <v>-1.61156136381249E-3</v>
      </c>
      <c r="I757" s="3">
        <v>-6.3711649523312899E-4</v>
      </c>
      <c r="J757" s="3">
        <v>-1.8247585634435799E-5</v>
      </c>
      <c r="K757" s="3">
        <v>-9.2760881198472602E-8</v>
      </c>
      <c r="L757" s="3">
        <v>-9.2760881961750898E-10</v>
      </c>
      <c r="M757" s="3">
        <v>-9.2760764347499199E-12</v>
      </c>
      <c r="N757" s="3">
        <v>-9.2759133707431804E-14</v>
      </c>
      <c r="O757" s="3">
        <v>-9.3328123007552202E-16</v>
      </c>
      <c r="P757" s="3">
        <v>0</v>
      </c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x14ac:dyDescent="0.45">
      <c r="A758" s="3" t="s">
        <v>82</v>
      </c>
      <c r="B758" s="3" t="s">
        <v>29</v>
      </c>
      <c r="C758" s="3" t="s">
        <v>17</v>
      </c>
      <c r="D758" s="3" t="s">
        <v>7</v>
      </c>
      <c r="E758" s="3" t="s">
        <v>8</v>
      </c>
      <c r="F758" s="3">
        <v>3.1940138272615998E-3</v>
      </c>
      <c r="G758" s="3">
        <v>7.32160080550297E-3</v>
      </c>
      <c r="H758" s="3">
        <v>7.32160080550297E-3</v>
      </c>
      <c r="I758" s="3">
        <v>9.7265237724095295E-3</v>
      </c>
      <c r="J758" s="3">
        <v>1.28596908272035E-2</v>
      </c>
      <c r="K758" s="3">
        <v>1.7054081377824899E-2</v>
      </c>
      <c r="L758" s="3">
        <v>1.3727824166833101E-2</v>
      </c>
      <c r="M758" s="3">
        <v>1.11231835098191E-2</v>
      </c>
      <c r="N758" s="3">
        <v>8.9887871040122396E-3</v>
      </c>
      <c r="O758" s="3">
        <v>7.3110532915403401E-3</v>
      </c>
      <c r="P758" s="3">
        <v>6.3630950794395002E-3</v>
      </c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x14ac:dyDescent="0.45">
      <c r="A759" s="3" t="s">
        <v>82</v>
      </c>
      <c r="B759" s="3" t="s">
        <v>29</v>
      </c>
      <c r="C759" s="3" t="s">
        <v>17</v>
      </c>
      <c r="D759" s="3" t="s">
        <v>9</v>
      </c>
      <c r="E759" s="3" t="s">
        <v>8</v>
      </c>
      <c r="F759" s="3">
        <v>0</v>
      </c>
      <c r="G759" s="3">
        <v>2.2798139601518501E-4</v>
      </c>
      <c r="H759" s="3">
        <v>2.2798139601518501E-4</v>
      </c>
      <c r="I759" s="3">
        <v>7.2979234412431205E-5</v>
      </c>
      <c r="J759" s="3">
        <v>1.2987213885845999E-3</v>
      </c>
      <c r="K759" s="3">
        <v>1.78125208352652E-3</v>
      </c>
      <c r="L759" s="3">
        <v>2.4591404049991101E-3</v>
      </c>
      <c r="M759" s="3">
        <v>2.9976253527175499E-3</v>
      </c>
      <c r="N759" s="3">
        <v>9.0482604037150898E-3</v>
      </c>
      <c r="O759" s="3">
        <v>1.00767929156329E-2</v>
      </c>
      <c r="P759" s="3">
        <v>1.06019142190021E-2</v>
      </c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x14ac:dyDescent="0.45">
      <c r="A760" s="3" t="s">
        <v>82</v>
      </c>
      <c r="B760" s="3" t="s">
        <v>29</v>
      </c>
      <c r="C760" s="3" t="s">
        <v>17</v>
      </c>
      <c r="D760" s="3" t="s">
        <v>10</v>
      </c>
      <c r="E760" s="3" t="s">
        <v>8</v>
      </c>
      <c r="F760" s="3">
        <v>0</v>
      </c>
      <c r="G760" s="3">
        <v>6.5923670722473898E-5</v>
      </c>
      <c r="H760" s="3">
        <v>6.5923670722473898E-5</v>
      </c>
      <c r="I760" s="3">
        <v>5.7683806212901003E-4</v>
      </c>
      <c r="J760" s="3">
        <v>4.5067295367838702E-4</v>
      </c>
      <c r="K760" s="3">
        <v>1.11116398149892E-3</v>
      </c>
      <c r="L760" s="3">
        <v>7.0524399015654401E-3</v>
      </c>
      <c r="M760" s="3">
        <v>7.5408805389056803E-3</v>
      </c>
      <c r="N760" s="3">
        <v>7.1810762824669402E-3</v>
      </c>
      <c r="O760" s="3">
        <v>7.3880464896310099E-3</v>
      </c>
      <c r="P760" s="3">
        <v>1.8588346499869599E-2</v>
      </c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x14ac:dyDescent="0.45">
      <c r="A761" s="3" t="s">
        <v>82</v>
      </c>
      <c r="B761" s="3" t="s">
        <v>29</v>
      </c>
      <c r="C761" s="3" t="s">
        <v>17</v>
      </c>
      <c r="D761" s="3" t="s">
        <v>11</v>
      </c>
      <c r="E761" s="3" t="s">
        <v>8</v>
      </c>
      <c r="F761" s="3">
        <v>0</v>
      </c>
      <c r="G761" s="3">
        <v>6.2641890586055001E-5</v>
      </c>
      <c r="H761" s="3">
        <v>6.2641890586055001E-5</v>
      </c>
      <c r="I761" s="3">
        <v>3.7205265647474403E-4</v>
      </c>
      <c r="J761" s="3">
        <v>6.4725627777472497E-3</v>
      </c>
      <c r="K761" s="3">
        <v>8.2926246069664998E-3</v>
      </c>
      <c r="L761" s="3">
        <v>6.3963884215506202E-3</v>
      </c>
      <c r="M761" s="3">
        <v>1.4410046753476201E-2</v>
      </c>
      <c r="N761" s="3">
        <v>1.17077610733872E-2</v>
      </c>
      <c r="O761" s="3">
        <v>1.23901393520152E-2</v>
      </c>
      <c r="P761" s="3">
        <v>2.0610855354001498E-3</v>
      </c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x14ac:dyDescent="0.45">
      <c r="A762" s="3" t="s">
        <v>82</v>
      </c>
      <c r="B762" s="3" t="s">
        <v>29</v>
      </c>
      <c r="C762" s="3" t="s">
        <v>17</v>
      </c>
      <c r="D762" s="3" t="s">
        <v>12</v>
      </c>
      <c r="E762" s="3" t="s">
        <v>8</v>
      </c>
      <c r="F762" s="3">
        <v>0</v>
      </c>
      <c r="G762" s="3">
        <v>9.5541573236428105E-5</v>
      </c>
      <c r="H762" s="3">
        <v>9.5541573236428105E-5</v>
      </c>
      <c r="I762" s="3">
        <v>5.8835245383132596E-3</v>
      </c>
      <c r="J762" s="3">
        <v>4.9258116588172503E-3</v>
      </c>
      <c r="K762" s="3">
        <v>6.7445996451034104E-3</v>
      </c>
      <c r="L762" s="3">
        <v>7.14908913398402E-3</v>
      </c>
      <c r="M762" s="3">
        <v>2.2099457493192001E-3</v>
      </c>
      <c r="N762" s="3">
        <v>2.7611599948196399E-3</v>
      </c>
      <c r="O762" s="3">
        <v>3.30733771695114E-3</v>
      </c>
      <c r="P762" s="3">
        <v>3.1550102831168002E-3</v>
      </c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x14ac:dyDescent="0.45">
      <c r="A763" s="3" t="s">
        <v>82</v>
      </c>
      <c r="B763" s="3" t="s">
        <v>29</v>
      </c>
      <c r="C763" s="3" t="s">
        <v>17</v>
      </c>
      <c r="D763" s="3" t="s">
        <v>13</v>
      </c>
      <c r="E763" s="3" t="s">
        <v>8</v>
      </c>
      <c r="F763" s="3">
        <v>0</v>
      </c>
      <c r="G763" s="3">
        <v>1.1311327119837599E-3</v>
      </c>
      <c r="H763" s="3">
        <v>1.1311327119837599E-3</v>
      </c>
      <c r="I763" s="3">
        <v>1.55184428172479E-2</v>
      </c>
      <c r="J763" s="3">
        <v>1.2255707284232E-2</v>
      </c>
      <c r="K763" s="3">
        <v>5.4846020022001297E-3</v>
      </c>
      <c r="L763" s="3">
        <v>4.1723130907137702E-3</v>
      </c>
      <c r="M763" s="3">
        <v>2.8019295431724101E-3</v>
      </c>
      <c r="N763" s="3">
        <v>1.39776811299776E-3</v>
      </c>
      <c r="O763" s="3">
        <v>6.1171705565433304E-4</v>
      </c>
      <c r="P763" s="3">
        <v>3.15662985429156E-4</v>
      </c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x14ac:dyDescent="0.45">
      <c r="A764" s="3" t="s">
        <v>82</v>
      </c>
      <c r="B764" s="3" t="s">
        <v>29</v>
      </c>
      <c r="C764" s="3" t="s">
        <v>17</v>
      </c>
      <c r="D764" s="3" t="s">
        <v>14</v>
      </c>
      <c r="E764" s="3" t="s">
        <v>8</v>
      </c>
      <c r="F764" s="3">
        <v>0</v>
      </c>
      <c r="G764" s="3">
        <v>5.4098698484734099E-3</v>
      </c>
      <c r="H764" s="3">
        <v>5.4098698484734099E-3</v>
      </c>
      <c r="I764" s="3">
        <v>7.6626900651365799E-3</v>
      </c>
      <c r="J764" s="3">
        <v>2.7591502720272498E-3</v>
      </c>
      <c r="K764" s="3">
        <v>6.1625130751178498E-4</v>
      </c>
      <c r="L764" s="3">
        <v>1.2791814157146801E-4</v>
      </c>
      <c r="M764" s="3">
        <v>1.52282968189643E-6</v>
      </c>
      <c r="N764" s="3">
        <v>3.2131910120830598E-7</v>
      </c>
      <c r="O764" s="3">
        <v>4.7469209028816501E-8</v>
      </c>
      <c r="P764" s="3">
        <v>1.9688377990434399E-8</v>
      </c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x14ac:dyDescent="0.45">
      <c r="A765" s="3" t="s">
        <v>82</v>
      </c>
      <c r="B765" s="3" t="s">
        <v>29</v>
      </c>
      <c r="C765" s="3" t="s">
        <v>18</v>
      </c>
      <c r="D765" s="3" t="s">
        <v>7</v>
      </c>
      <c r="E765" s="3" t="s">
        <v>8</v>
      </c>
      <c r="F765" s="3">
        <v>3.2619825050812699E-2</v>
      </c>
      <c r="G765" s="3">
        <v>2.4380190090967601E-2</v>
      </c>
      <c r="H765" s="3">
        <v>2.4380190090967601E-2</v>
      </c>
      <c r="I765" s="3">
        <v>1.6253460060645E-2</v>
      </c>
      <c r="J765" s="3">
        <v>8.1267300303225192E-3</v>
      </c>
      <c r="K765" s="3">
        <v>0</v>
      </c>
      <c r="L765" s="3">
        <v>1.88496644022186E-17</v>
      </c>
      <c r="M765" s="3">
        <v>0</v>
      </c>
      <c r="N765" s="3">
        <v>3.1416107337031198E-18</v>
      </c>
      <c r="O765" s="3">
        <v>0</v>
      </c>
      <c r="P765" s="3">
        <v>1.2566442934812401E-17</v>
      </c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x14ac:dyDescent="0.45">
      <c r="A766" s="3" t="s">
        <v>82</v>
      </c>
      <c r="B766" s="3" t="s">
        <v>29</v>
      </c>
      <c r="C766" s="3" t="s">
        <v>18</v>
      </c>
      <c r="D766" s="3" t="s">
        <v>9</v>
      </c>
      <c r="E766" s="3" t="s">
        <v>8</v>
      </c>
      <c r="F766" s="3">
        <v>0</v>
      </c>
      <c r="G766" s="3">
        <v>0</v>
      </c>
      <c r="H766" s="3">
        <v>0</v>
      </c>
      <c r="I766" s="3">
        <v>0</v>
      </c>
      <c r="J766" s="3">
        <v>-2.7755575615628901E-17</v>
      </c>
      <c r="K766" s="3">
        <v>0</v>
      </c>
      <c r="L766" s="3">
        <v>-6.2832214674062104E-18</v>
      </c>
      <c r="M766" s="3">
        <v>3.1416107337031198E-18</v>
      </c>
      <c r="N766" s="3">
        <v>-3.1416107337031198E-18</v>
      </c>
      <c r="O766" s="3">
        <v>3.1416107337031198E-18</v>
      </c>
      <c r="P766" s="3">
        <v>-1.2566442934812401E-17</v>
      </c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x14ac:dyDescent="0.45">
      <c r="A767" s="3" t="s">
        <v>82</v>
      </c>
      <c r="B767" s="3" t="s">
        <v>29</v>
      </c>
      <c r="C767" s="3" t="s">
        <v>18</v>
      </c>
      <c r="D767" s="3" t="s">
        <v>10</v>
      </c>
      <c r="E767" s="3" t="s">
        <v>8</v>
      </c>
      <c r="F767" s="3">
        <v>0</v>
      </c>
      <c r="G767" s="3">
        <v>0</v>
      </c>
      <c r="H767" s="3">
        <v>0</v>
      </c>
      <c r="I767" s="3">
        <v>0</v>
      </c>
      <c r="J767" s="3">
        <v>2.7755575615628901E-17</v>
      </c>
      <c r="K767" s="3">
        <v>1.88496644022186E-17</v>
      </c>
      <c r="L767" s="3">
        <v>-1.2566442934812401E-17</v>
      </c>
      <c r="M767" s="3">
        <v>-3.1416107337031198E-18</v>
      </c>
      <c r="N767" s="3">
        <v>0</v>
      </c>
      <c r="O767" s="3">
        <v>-3.1416107337031198E-18</v>
      </c>
      <c r="P767" s="3">
        <v>0</v>
      </c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x14ac:dyDescent="0.45">
      <c r="A768" s="3" t="s">
        <v>82</v>
      </c>
      <c r="B768" s="3" t="s">
        <v>29</v>
      </c>
      <c r="C768" s="3" t="s">
        <v>18</v>
      </c>
      <c r="D768" s="3" t="s">
        <v>11</v>
      </c>
      <c r="E768" s="3" t="s">
        <v>8</v>
      </c>
      <c r="F768" s="3">
        <v>0</v>
      </c>
      <c r="G768" s="3">
        <v>2.7755575615628901E-17</v>
      </c>
      <c r="H768" s="3">
        <v>2.7755575615628901E-17</v>
      </c>
      <c r="I768" s="3">
        <v>0</v>
      </c>
      <c r="J768" s="3">
        <v>0</v>
      </c>
      <c r="K768" s="3">
        <v>-6.2832214674062104E-18</v>
      </c>
      <c r="L768" s="3">
        <v>6.2832214674062104E-18</v>
      </c>
      <c r="M768" s="3">
        <v>1.57080536685155E-17</v>
      </c>
      <c r="N768" s="3">
        <v>3.1416107337031198E-18</v>
      </c>
      <c r="O768" s="3">
        <v>1.88496644022186E-17</v>
      </c>
      <c r="P768" s="3">
        <v>0</v>
      </c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x14ac:dyDescent="0.45">
      <c r="A769" s="3" t="s">
        <v>82</v>
      </c>
      <c r="B769" s="3" t="s">
        <v>29</v>
      </c>
      <c r="C769" s="3" t="s">
        <v>18</v>
      </c>
      <c r="D769" s="3" t="s">
        <v>12</v>
      </c>
      <c r="E769" s="3" t="s">
        <v>8</v>
      </c>
      <c r="F769" s="3">
        <v>0</v>
      </c>
      <c r="G769" s="3">
        <v>0</v>
      </c>
      <c r="H769" s="3">
        <v>0</v>
      </c>
      <c r="I769" s="3">
        <v>2.7755575615628901E-17</v>
      </c>
      <c r="J769" s="3">
        <v>2.7755575615628901E-17</v>
      </c>
      <c r="K769" s="3">
        <v>-1.2566442934812401E-17</v>
      </c>
      <c r="L769" s="3">
        <v>-6.2832214674062104E-18</v>
      </c>
      <c r="M769" s="3">
        <v>1.2566442934812401E-17</v>
      </c>
      <c r="N769" s="3">
        <v>1.2566442934812401E-17</v>
      </c>
      <c r="O769" s="3">
        <v>9.4248322011093294E-18</v>
      </c>
      <c r="P769" s="3">
        <v>0</v>
      </c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x14ac:dyDescent="0.45">
      <c r="A770" s="3" t="s">
        <v>82</v>
      </c>
      <c r="B770" s="3" t="s">
        <v>29</v>
      </c>
      <c r="C770" s="3" t="s">
        <v>18</v>
      </c>
      <c r="D770" s="3" t="s">
        <v>13</v>
      </c>
      <c r="E770" s="3" t="s">
        <v>8</v>
      </c>
      <c r="F770" s="3">
        <v>0</v>
      </c>
      <c r="G770" s="3">
        <v>0</v>
      </c>
      <c r="H770" s="3">
        <v>0</v>
      </c>
      <c r="I770" s="3">
        <v>-2.7755575615628901E-17</v>
      </c>
      <c r="J770" s="3">
        <v>2.7755575615628901E-17</v>
      </c>
      <c r="K770" s="3">
        <v>6.2832214674062104E-18</v>
      </c>
      <c r="L770" s="3">
        <v>1.2566442934812401E-17</v>
      </c>
      <c r="M770" s="3">
        <v>-6.2832214674062104E-18</v>
      </c>
      <c r="N770" s="3">
        <v>-3.1416107337030902E-18</v>
      </c>
      <c r="O770" s="3">
        <v>-2.1991275135921799E-17</v>
      </c>
      <c r="P770" s="3">
        <v>1.88496644022186E-17</v>
      </c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x14ac:dyDescent="0.45">
      <c r="A771" s="3" t="s">
        <v>82</v>
      </c>
      <c r="B771" s="3" t="s">
        <v>29</v>
      </c>
      <c r="C771" s="3" t="s">
        <v>18</v>
      </c>
      <c r="D771" s="3" t="s">
        <v>14</v>
      </c>
      <c r="E771" s="3" t="s">
        <v>8</v>
      </c>
      <c r="F771" s="3">
        <v>0</v>
      </c>
      <c r="G771" s="3">
        <v>0</v>
      </c>
      <c r="H771" s="3">
        <v>0</v>
      </c>
      <c r="I771" s="3">
        <v>0</v>
      </c>
      <c r="J771" s="3">
        <v>-5.5511151231257802E-17</v>
      </c>
      <c r="K771" s="3">
        <v>-6.2832214674062104E-18</v>
      </c>
      <c r="L771" s="3">
        <v>1.8849664402218699E-17</v>
      </c>
      <c r="M771" s="3">
        <v>1.5708053668515601E-17</v>
      </c>
      <c r="N771" s="3">
        <v>-1.2566442934812401E-17</v>
      </c>
      <c r="O771" s="3">
        <v>-6.2832214674062104E-18</v>
      </c>
      <c r="P771" s="3">
        <v>3.1416107337031098E-17</v>
      </c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x14ac:dyDescent="0.45">
      <c r="A772" s="3" t="s">
        <v>82</v>
      </c>
      <c r="B772" s="3" t="s">
        <v>29</v>
      </c>
      <c r="C772" s="3" t="s">
        <v>19</v>
      </c>
      <c r="D772" s="3" t="s">
        <v>7</v>
      </c>
      <c r="E772" s="3" t="s">
        <v>8</v>
      </c>
      <c r="F772" s="3">
        <v>1.1766975792720099E-3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6.2983921158425203E-5</v>
      </c>
      <c r="O772" s="3">
        <v>0</v>
      </c>
      <c r="P772" s="3">
        <v>1.9692215360771E-4</v>
      </c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x14ac:dyDescent="0.45">
      <c r="A773" s="3" t="s">
        <v>82</v>
      </c>
      <c r="B773" s="3" t="s">
        <v>29</v>
      </c>
      <c r="C773" s="3" t="s">
        <v>19</v>
      </c>
      <c r="D773" s="3" t="s">
        <v>9</v>
      </c>
      <c r="E773" s="3" t="s">
        <v>8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3.7016784838466701E-4</v>
      </c>
      <c r="O773" s="3">
        <v>4.4558866691860098E-4</v>
      </c>
      <c r="P773" s="3">
        <v>2.42543318090603E-4</v>
      </c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x14ac:dyDescent="0.45">
      <c r="A774" s="3" t="s">
        <v>82</v>
      </c>
      <c r="B774" s="3" t="s">
        <v>29</v>
      </c>
      <c r="C774" s="3" t="s">
        <v>19</v>
      </c>
      <c r="D774" s="3" t="s">
        <v>10</v>
      </c>
      <c r="E774" s="3" t="s">
        <v>8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2.14505551191435E-4</v>
      </c>
      <c r="M774" s="3">
        <v>3.6231581582705E-4</v>
      </c>
      <c r="N774" s="3">
        <v>2.46420721566864E-3</v>
      </c>
      <c r="O774" s="3">
        <v>3.3412348070164001E-3</v>
      </c>
      <c r="P774" s="3">
        <v>4.4104093439939198E-3</v>
      </c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x14ac:dyDescent="0.45">
      <c r="A775" s="3" t="s">
        <v>82</v>
      </c>
      <c r="B775" s="3" t="s">
        <v>29</v>
      </c>
      <c r="C775" s="3" t="s">
        <v>19</v>
      </c>
      <c r="D775" s="3" t="s">
        <v>11</v>
      </c>
      <c r="E775" s="3" t="s">
        <v>8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2.9281024879032999E-3</v>
      </c>
      <c r="M775" s="3">
        <v>5.1834633558439404E-3</v>
      </c>
      <c r="N775" s="3">
        <v>5.7285144403902101E-3</v>
      </c>
      <c r="O775" s="3">
        <v>6.0096714889419003E-3</v>
      </c>
      <c r="P775" s="3">
        <v>5.79216135059662E-3</v>
      </c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x14ac:dyDescent="0.45">
      <c r="A776" s="3" t="s">
        <v>82</v>
      </c>
      <c r="B776" s="3" t="s">
        <v>29</v>
      </c>
      <c r="C776" s="3" t="s">
        <v>19</v>
      </c>
      <c r="D776" s="3" t="s">
        <v>12</v>
      </c>
      <c r="E776" s="3" t="s">
        <v>8</v>
      </c>
      <c r="F776" s="3">
        <v>0</v>
      </c>
      <c r="G776" s="3">
        <v>0</v>
      </c>
      <c r="H776" s="3">
        <v>0</v>
      </c>
      <c r="I776" s="3">
        <v>0</v>
      </c>
      <c r="J776" s="3">
        <v>2.4556245788794201E-3</v>
      </c>
      <c r="K776" s="3">
        <v>4.2283890936410697E-3</v>
      </c>
      <c r="L776" s="3">
        <v>7.2226750011179699E-3</v>
      </c>
      <c r="M776" s="3">
        <v>6.46885584937394E-3</v>
      </c>
      <c r="N776" s="3">
        <v>6.3897134966730603E-3</v>
      </c>
      <c r="O776" s="3">
        <v>6.68485865104867E-3</v>
      </c>
      <c r="P776" s="3">
        <v>6.3084379068879797E-3</v>
      </c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x14ac:dyDescent="0.45">
      <c r="A777" s="3" t="s">
        <v>82</v>
      </c>
      <c r="B777" s="3" t="s">
        <v>29</v>
      </c>
      <c r="C777" s="3" t="s">
        <v>19</v>
      </c>
      <c r="D777" s="3" t="s">
        <v>13</v>
      </c>
      <c r="E777" s="3" t="s">
        <v>8</v>
      </c>
      <c r="F777" s="3">
        <v>0</v>
      </c>
      <c r="G777" s="3">
        <v>0</v>
      </c>
      <c r="H777" s="3">
        <v>0</v>
      </c>
      <c r="I777" s="3">
        <v>5.6388160407969496E-3</v>
      </c>
      <c r="J777" s="3">
        <v>2.1379056473040899E-2</v>
      </c>
      <c r="K777" s="3">
        <v>2.2261368176589899E-2</v>
      </c>
      <c r="L777" s="3">
        <v>1.46176034784407E-2</v>
      </c>
      <c r="M777" s="3">
        <v>9.5033316454982801E-3</v>
      </c>
      <c r="N777" s="3">
        <v>3.5786866384879298E-3</v>
      </c>
      <c r="O777" s="3">
        <v>1.6917080698807599E-3</v>
      </c>
      <c r="P777" s="3">
        <v>7.6601308546140495E-4</v>
      </c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x14ac:dyDescent="0.45">
      <c r="A778" s="3" t="s">
        <v>82</v>
      </c>
      <c r="B778" s="3" t="s">
        <v>29</v>
      </c>
      <c r="C778" s="3" t="s">
        <v>19</v>
      </c>
      <c r="D778" s="3" t="s">
        <v>14</v>
      </c>
      <c r="E778" s="3" t="s">
        <v>8</v>
      </c>
      <c r="F778" s="3">
        <v>0</v>
      </c>
      <c r="G778" s="3">
        <v>2.3508468884293802E-3</v>
      </c>
      <c r="H778" s="3">
        <v>2.3508468884293802E-3</v>
      </c>
      <c r="I778" s="3">
        <v>3.4799502063999101E-2</v>
      </c>
      <c r="J778" s="3">
        <v>1.58018581459319E-2</v>
      </c>
      <c r="K778" s="3">
        <v>9.1765167865415793E-3</v>
      </c>
      <c r="L778" s="3">
        <v>8.8303416254680196E-3</v>
      </c>
      <c r="M778" s="3">
        <v>9.8805938336638394E-3</v>
      </c>
      <c r="N778" s="3">
        <v>9.4218932881546692E-3</v>
      </c>
      <c r="O778" s="3">
        <v>7.77895515333167E-3</v>
      </c>
      <c r="P778" s="3">
        <v>7.9181714300721202E-3</v>
      </c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x14ac:dyDescent="0.45">
      <c r="A779" s="3" t="s">
        <v>82</v>
      </c>
      <c r="B779" s="3" t="s">
        <v>21</v>
      </c>
      <c r="C779" s="3" t="s">
        <v>6</v>
      </c>
      <c r="D779" s="3" t="s">
        <v>11</v>
      </c>
      <c r="E779" s="3" t="s">
        <v>8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1.9520804780741901E-2</v>
      </c>
      <c r="M779" s="3">
        <v>9.4324559095708194E-2</v>
      </c>
      <c r="N779" s="3">
        <v>0.233945176978234</v>
      </c>
      <c r="O779" s="3">
        <v>0.36508026212522898</v>
      </c>
      <c r="P779" s="3">
        <v>0.44795675532810197</v>
      </c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x14ac:dyDescent="0.45">
      <c r="A780" s="3" t="s">
        <v>82</v>
      </c>
      <c r="B780" s="3" t="s">
        <v>21</v>
      </c>
      <c r="C780" s="3" t="s">
        <v>6</v>
      </c>
      <c r="D780" s="3" t="s">
        <v>12</v>
      </c>
      <c r="E780" s="3" t="s">
        <v>8</v>
      </c>
      <c r="F780" s="3">
        <v>0</v>
      </c>
      <c r="G780" s="3">
        <v>0</v>
      </c>
      <c r="H780" s="3">
        <v>0</v>
      </c>
      <c r="I780" s="3">
        <v>0</v>
      </c>
      <c r="J780" s="3">
        <v>1.44899569681337E-3</v>
      </c>
      <c r="K780" s="3">
        <v>9.1120470051595598E-2</v>
      </c>
      <c r="L780" s="3">
        <v>0.25249990169464498</v>
      </c>
      <c r="M780" s="3">
        <v>0.37724964340600697</v>
      </c>
      <c r="N780" s="3">
        <v>0.41283422226233502</v>
      </c>
      <c r="O780" s="3">
        <v>0.42583612724123898</v>
      </c>
      <c r="P780" s="3">
        <v>0.43773820397431201</v>
      </c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x14ac:dyDescent="0.45">
      <c r="A781" s="3" t="s">
        <v>82</v>
      </c>
      <c r="B781" s="3" t="s">
        <v>21</v>
      </c>
      <c r="C781" s="3" t="s">
        <v>6</v>
      </c>
      <c r="D781" s="3" t="s">
        <v>13</v>
      </c>
      <c r="E781" s="3" t="s">
        <v>8</v>
      </c>
      <c r="F781" s="3">
        <v>0</v>
      </c>
      <c r="G781" s="3">
        <v>0</v>
      </c>
      <c r="H781" s="3">
        <v>0</v>
      </c>
      <c r="I781" s="3">
        <v>9.6922634794195994E-2</v>
      </c>
      <c r="J781" s="3">
        <v>0.33224786671416201</v>
      </c>
      <c r="K781" s="3">
        <v>0.48409672402589399</v>
      </c>
      <c r="L781" s="3">
        <v>0.51675480494438197</v>
      </c>
      <c r="M781" s="3">
        <v>0.52498143996394298</v>
      </c>
      <c r="N781" s="3">
        <v>0.55633820800849099</v>
      </c>
      <c r="O781" s="3">
        <v>0.58175949369723101</v>
      </c>
      <c r="P781" s="3">
        <v>0.57504095555034396</v>
      </c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x14ac:dyDescent="0.45">
      <c r="A782" s="3" t="s">
        <v>82</v>
      </c>
      <c r="B782" s="3" t="s">
        <v>21</v>
      </c>
      <c r="C782" s="3" t="s">
        <v>6</v>
      </c>
      <c r="D782" s="3" t="s">
        <v>14</v>
      </c>
      <c r="E782" s="3" t="s">
        <v>8</v>
      </c>
      <c r="F782" s="3">
        <v>0</v>
      </c>
      <c r="G782" s="3">
        <v>0</v>
      </c>
      <c r="H782" s="3">
        <v>0</v>
      </c>
      <c r="I782" s="3">
        <v>0.20915923521454</v>
      </c>
      <c r="J782" s="3">
        <v>0.25147807746317302</v>
      </c>
      <c r="K782" s="3">
        <v>0.25719205380513499</v>
      </c>
      <c r="L782" s="3">
        <v>0.28268556355020802</v>
      </c>
      <c r="M782" s="3">
        <v>0.314551466150855</v>
      </c>
      <c r="N782" s="3">
        <v>0.34957621708297898</v>
      </c>
      <c r="O782" s="3">
        <v>0.36534137575576497</v>
      </c>
      <c r="P782" s="3">
        <v>0.37521435724783597</v>
      </c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x14ac:dyDescent="0.45">
      <c r="A783" s="3" t="s">
        <v>82</v>
      </c>
      <c r="B783" s="3" t="s">
        <v>21</v>
      </c>
      <c r="C783" s="3" t="s">
        <v>15</v>
      </c>
      <c r="D783" s="3" t="s">
        <v>7</v>
      </c>
      <c r="E783" s="3" t="s">
        <v>8</v>
      </c>
      <c r="F783" s="3">
        <v>0.111532752640591</v>
      </c>
      <c r="G783" s="3">
        <v>0.101537009620674</v>
      </c>
      <c r="H783" s="3">
        <v>0.101537009620674</v>
      </c>
      <c r="I783" s="3">
        <v>0.11055950932511199</v>
      </c>
      <c r="J783" s="3">
        <v>0.121996834116959</v>
      </c>
      <c r="K783" s="3">
        <v>0.128020252808519</v>
      </c>
      <c r="L783" s="3">
        <v>0.13273394686489701</v>
      </c>
      <c r="M783" s="3">
        <v>0.12656670018454899</v>
      </c>
      <c r="N783" s="3">
        <v>0.13147482874306601</v>
      </c>
      <c r="O783" s="3">
        <v>0.13565006225915899</v>
      </c>
      <c r="P783" s="3">
        <v>0.13244247860057801</v>
      </c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x14ac:dyDescent="0.45">
      <c r="A784" s="3" t="s">
        <v>82</v>
      </c>
      <c r="B784" s="3" t="s">
        <v>21</v>
      </c>
      <c r="C784" s="3" t="s">
        <v>15</v>
      </c>
      <c r="D784" s="3" t="s">
        <v>9</v>
      </c>
      <c r="E784" s="3" t="s">
        <v>8</v>
      </c>
      <c r="F784" s="3">
        <v>0</v>
      </c>
      <c r="G784" s="3">
        <v>1.9202770421125601E-5</v>
      </c>
      <c r="H784" s="3">
        <v>1.9202770421125601E-5</v>
      </c>
      <c r="I784" s="3">
        <v>4.4468893268557203E-3</v>
      </c>
      <c r="J784" s="3">
        <v>4.1011765764560901E-3</v>
      </c>
      <c r="K784" s="3">
        <v>-2.5970678224423401E-3</v>
      </c>
      <c r="L784" s="3">
        <v>-2.2129607835030799E-4</v>
      </c>
      <c r="M784" s="3">
        <v>5.8851110472490399E-3</v>
      </c>
      <c r="N784" s="3">
        <v>2.4855450525361599E-2</v>
      </c>
      <c r="O784" s="3">
        <v>2.15651862522993E-2</v>
      </c>
      <c r="P784" s="3">
        <v>2.5666517781838701E-2</v>
      </c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x14ac:dyDescent="0.45">
      <c r="A785" s="3" t="s">
        <v>82</v>
      </c>
      <c r="B785" s="3" t="s">
        <v>21</v>
      </c>
      <c r="C785" s="3" t="s">
        <v>15</v>
      </c>
      <c r="D785" s="3" t="s">
        <v>10</v>
      </c>
      <c r="E785" s="3" t="s">
        <v>8</v>
      </c>
      <c r="F785" s="3">
        <v>0</v>
      </c>
      <c r="G785" s="3">
        <v>-1.5329073884071099E-4</v>
      </c>
      <c r="H785" s="3">
        <v>-1.5329073884071099E-4</v>
      </c>
      <c r="I785" s="3">
        <v>1.46768818144895E-3</v>
      </c>
      <c r="J785" s="3">
        <v>3.0751568956685599E-4</v>
      </c>
      <c r="K785" s="3">
        <v>6.7852141519275697E-6</v>
      </c>
      <c r="L785" s="3">
        <v>2.14264172756982E-2</v>
      </c>
      <c r="M785" s="3">
        <v>2.35881603390669E-2</v>
      </c>
      <c r="N785" s="3">
        <v>1.11460485369605E-3</v>
      </c>
      <c r="O785" s="3">
        <v>1.4757354105738899E-3</v>
      </c>
      <c r="P785" s="3">
        <v>1.2001531717811501E-3</v>
      </c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x14ac:dyDescent="0.45">
      <c r="A786" s="3" t="s">
        <v>82</v>
      </c>
      <c r="B786" s="3" t="s">
        <v>21</v>
      </c>
      <c r="C786" s="3" t="s">
        <v>15</v>
      </c>
      <c r="D786" s="3" t="s">
        <v>11</v>
      </c>
      <c r="E786" s="3" t="s">
        <v>8</v>
      </c>
      <c r="F786" s="3">
        <v>0</v>
      </c>
      <c r="G786" s="3">
        <v>-1.38514025432163E-5</v>
      </c>
      <c r="H786" s="3">
        <v>-1.38514025432163E-5</v>
      </c>
      <c r="I786" s="3">
        <v>-6.2307792518939698E-4</v>
      </c>
      <c r="J786" s="3">
        <v>2.6850842456557299E-2</v>
      </c>
      <c r="K786" s="3">
        <v>2.8213994235062202E-2</v>
      </c>
      <c r="L786" s="3">
        <v>2.1598802445817202E-3</v>
      </c>
      <c r="M786" s="3">
        <v>9.7706007509654191E-4</v>
      </c>
      <c r="N786" s="3">
        <v>-3.0032739174148899E-4</v>
      </c>
      <c r="O786" s="3">
        <v>9.6289796438076003E-3</v>
      </c>
      <c r="P786" s="3">
        <v>1.6238857112955401E-2</v>
      </c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x14ac:dyDescent="0.45">
      <c r="A787" s="3" t="s">
        <v>82</v>
      </c>
      <c r="B787" s="3" t="s">
        <v>21</v>
      </c>
      <c r="C787" s="3" t="s">
        <v>15</v>
      </c>
      <c r="D787" s="3" t="s">
        <v>12</v>
      </c>
      <c r="E787" s="3" t="s">
        <v>8</v>
      </c>
      <c r="F787" s="3">
        <v>0</v>
      </c>
      <c r="G787" s="3">
        <v>-1.01870429890516E-5</v>
      </c>
      <c r="H787" s="3">
        <v>-1.01870429890516E-5</v>
      </c>
      <c r="I787" s="3">
        <v>3.2099410835111503E-2</v>
      </c>
      <c r="J787" s="3">
        <v>2.07105988566936E-3</v>
      </c>
      <c r="K787" s="3">
        <v>2.8183889023904998E-3</v>
      </c>
      <c r="L787" s="3">
        <v>1.0331272564601399E-2</v>
      </c>
      <c r="M787" s="3">
        <v>2.1403505780052502E-2</v>
      </c>
      <c r="N787" s="3">
        <v>3.67030246529578E-2</v>
      </c>
      <c r="O787" s="3">
        <v>3.3768317642392499E-2</v>
      </c>
      <c r="P787" s="3">
        <v>3.7192081728133999E-2</v>
      </c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x14ac:dyDescent="0.45">
      <c r="A788" s="3" t="s">
        <v>82</v>
      </c>
      <c r="B788" s="3" t="s">
        <v>21</v>
      </c>
      <c r="C788" s="3" t="s">
        <v>15</v>
      </c>
      <c r="D788" s="3" t="s">
        <v>13</v>
      </c>
      <c r="E788" s="3" t="s">
        <v>8</v>
      </c>
      <c r="F788" s="3">
        <v>0</v>
      </c>
      <c r="G788" s="3">
        <v>-2.5939935090202701E-3</v>
      </c>
      <c r="H788" s="3">
        <v>-2.5939935090202701E-3</v>
      </c>
      <c r="I788" s="3">
        <v>3.22019699557557E-4</v>
      </c>
      <c r="J788" s="3">
        <v>1.7070796526083499E-2</v>
      </c>
      <c r="K788" s="3">
        <v>2.7042470567521501E-2</v>
      </c>
      <c r="L788" s="3">
        <v>3.09517876280824E-2</v>
      </c>
      <c r="M788" s="3">
        <v>3.5253361511123397E-2</v>
      </c>
      <c r="N788" s="3">
        <v>3.7567031133492398E-2</v>
      </c>
      <c r="O788" s="3">
        <v>4.29569776967395E-2</v>
      </c>
      <c r="P788" s="3">
        <v>4.8456617439366599E-2</v>
      </c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x14ac:dyDescent="0.45">
      <c r="A789" s="3" t="s">
        <v>82</v>
      </c>
      <c r="B789" s="3" t="s">
        <v>21</v>
      </c>
      <c r="C789" s="3" t="s">
        <v>15</v>
      </c>
      <c r="D789" s="3" t="s">
        <v>14</v>
      </c>
      <c r="E789" s="3" t="s">
        <v>8</v>
      </c>
      <c r="F789" s="3">
        <v>0</v>
      </c>
      <c r="G789" s="3">
        <v>3.73713072282187E-2</v>
      </c>
      <c r="H789" s="3">
        <v>3.73713072282187E-2</v>
      </c>
      <c r="I789" s="3">
        <v>2.57586405200677E-2</v>
      </c>
      <c r="J789" s="3">
        <v>1.3417312115086301E-2</v>
      </c>
      <c r="K789" s="3">
        <v>1.47275262624533E-2</v>
      </c>
      <c r="L789" s="3">
        <v>1.4427172289963101E-2</v>
      </c>
      <c r="M789" s="3">
        <v>1.38785053518232E-2</v>
      </c>
      <c r="N789" s="3">
        <v>1.1524095864014599E-2</v>
      </c>
      <c r="O789" s="3">
        <v>8.1766992325983893E-3</v>
      </c>
      <c r="P789" s="3">
        <v>-1.9156059851948601E-3</v>
      </c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x14ac:dyDescent="0.45">
      <c r="A790" s="3" t="s">
        <v>82</v>
      </c>
      <c r="B790" s="3" t="s">
        <v>21</v>
      </c>
      <c r="C790" s="3" t="s">
        <v>16</v>
      </c>
      <c r="D790" s="3" t="s">
        <v>7</v>
      </c>
      <c r="E790" s="3" t="s">
        <v>8</v>
      </c>
      <c r="F790" s="3">
        <v>0.13310206911813</v>
      </c>
      <c r="G790" s="3">
        <v>4.8283209868082697E-2</v>
      </c>
      <c r="H790" s="3">
        <v>4.8283209868082697E-2</v>
      </c>
      <c r="I790" s="3">
        <v>4.8283209868082697E-2</v>
      </c>
      <c r="J790" s="3">
        <v>4.9022616149467201E-2</v>
      </c>
      <c r="K790" s="3">
        <v>4.95422177278457E-2</v>
      </c>
      <c r="L790" s="3">
        <v>4.95422177278457E-2</v>
      </c>
      <c r="M790" s="3">
        <v>4.9668158000257701E-2</v>
      </c>
      <c r="N790" s="3">
        <v>4.9668795547553601E-2</v>
      </c>
      <c r="O790" s="3">
        <v>4.9668795547553601E-2</v>
      </c>
      <c r="P790" s="3">
        <v>4.9668795547553601E-2</v>
      </c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x14ac:dyDescent="0.45">
      <c r="A791" s="3" t="s">
        <v>82</v>
      </c>
      <c r="B791" s="3" t="s">
        <v>21</v>
      </c>
      <c r="C791" s="3" t="s">
        <v>16</v>
      </c>
      <c r="D791" s="3" t="s">
        <v>9</v>
      </c>
      <c r="E791" s="3" t="s">
        <v>8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-5.5100260511156698E-5</v>
      </c>
      <c r="L791" s="3">
        <v>5.0315505532305702E-5</v>
      </c>
      <c r="M791" s="3">
        <v>6.3754729650450402E-7</v>
      </c>
      <c r="N791" s="3">
        <v>1.49207896410246E-2</v>
      </c>
      <c r="O791" s="3">
        <v>1.49207896410246E-2</v>
      </c>
      <c r="P791" s="3">
        <v>1.49207896410246E-2</v>
      </c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x14ac:dyDescent="0.45">
      <c r="A792" s="3" t="s">
        <v>82</v>
      </c>
      <c r="B792" s="3" t="s">
        <v>21</v>
      </c>
      <c r="C792" s="3" t="s">
        <v>16</v>
      </c>
      <c r="D792" s="3" t="s">
        <v>10</v>
      </c>
      <c r="E792" s="3" t="s">
        <v>8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1.19770874847068E-4</v>
      </c>
      <c r="L792" s="3">
        <v>1.4997051955200199E-2</v>
      </c>
      <c r="M792" s="3">
        <v>1.4920789641024E-2</v>
      </c>
      <c r="N792" s="3">
        <v>0</v>
      </c>
      <c r="O792" s="3">
        <v>0</v>
      </c>
      <c r="P792" s="3">
        <v>2.9143354396410399E-16</v>
      </c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x14ac:dyDescent="0.45">
      <c r="A793" s="3" t="s">
        <v>82</v>
      </c>
      <c r="B793" s="3" t="s">
        <v>21</v>
      </c>
      <c r="C793" s="3" t="s">
        <v>16</v>
      </c>
      <c r="D793" s="3" t="s">
        <v>11</v>
      </c>
      <c r="E793" s="3" t="s">
        <v>8</v>
      </c>
      <c r="F793" s="3">
        <v>0</v>
      </c>
      <c r="G793" s="3">
        <v>0</v>
      </c>
      <c r="H793" s="3">
        <v>0</v>
      </c>
      <c r="I793" s="3">
        <v>0</v>
      </c>
      <c r="J793" s="3">
        <v>1.5566969039111001E-2</v>
      </c>
      <c r="K793" s="3">
        <v>1.4982696846396901E-2</v>
      </c>
      <c r="L793" s="3">
        <v>0</v>
      </c>
      <c r="M793" s="3">
        <v>0</v>
      </c>
      <c r="N793" s="3">
        <v>0</v>
      </c>
      <c r="O793" s="3">
        <v>0</v>
      </c>
      <c r="P793" s="3">
        <v>-2.9143354396410399E-16</v>
      </c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x14ac:dyDescent="0.45">
      <c r="A794" s="3" t="s">
        <v>82</v>
      </c>
      <c r="B794" s="3" t="s">
        <v>21</v>
      </c>
      <c r="C794" s="3" t="s">
        <v>16</v>
      </c>
      <c r="D794" s="3" t="s">
        <v>12</v>
      </c>
      <c r="E794" s="3" t="s">
        <v>8</v>
      </c>
      <c r="F794" s="3">
        <v>0</v>
      </c>
      <c r="G794" s="3">
        <v>0</v>
      </c>
      <c r="H794" s="3">
        <v>0</v>
      </c>
      <c r="I794" s="3">
        <v>1.6207041053360498E-2</v>
      </c>
      <c r="J794" s="3">
        <v>0</v>
      </c>
      <c r="K794" s="3">
        <v>-2.9143354396410399E-16</v>
      </c>
      <c r="L794" s="3">
        <v>2.9143354396410399E-16</v>
      </c>
      <c r="M794" s="3">
        <v>2.9143354396410399E-16</v>
      </c>
      <c r="N794" s="3">
        <v>2.9143354396410399E-16</v>
      </c>
      <c r="O794" s="3">
        <v>2.9143354396410399E-16</v>
      </c>
      <c r="P794" s="3">
        <v>2.9143354396410399E-16</v>
      </c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x14ac:dyDescent="0.45">
      <c r="A795" s="3" t="s">
        <v>82</v>
      </c>
      <c r="B795" s="3" t="s">
        <v>21</v>
      </c>
      <c r="C795" s="3" t="s">
        <v>16</v>
      </c>
      <c r="D795" s="3" t="s">
        <v>13</v>
      </c>
      <c r="E795" s="3" t="s">
        <v>8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-2.9143354396410399E-16</v>
      </c>
      <c r="N795" s="3">
        <v>0</v>
      </c>
      <c r="O795" s="3">
        <v>-2.9143354396410399E-16</v>
      </c>
      <c r="P795" s="3">
        <v>0</v>
      </c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x14ac:dyDescent="0.45">
      <c r="A796" s="3" t="s">
        <v>82</v>
      </c>
      <c r="B796" s="3" t="s">
        <v>21</v>
      </c>
      <c r="C796" s="3" t="s">
        <v>16</v>
      </c>
      <c r="D796" s="3" t="s">
        <v>14</v>
      </c>
      <c r="E796" s="3" t="s">
        <v>8</v>
      </c>
      <c r="F796" s="3">
        <v>0</v>
      </c>
      <c r="G796" s="3">
        <v>1.6207041053360498E-2</v>
      </c>
      <c r="H796" s="3">
        <v>1.6207041053360498E-2</v>
      </c>
      <c r="I796" s="3">
        <v>9.93342671350428E-5</v>
      </c>
      <c r="J796" s="3">
        <v>0</v>
      </c>
      <c r="K796" s="3">
        <v>0</v>
      </c>
      <c r="L796" s="3">
        <v>0</v>
      </c>
      <c r="M796" s="3">
        <v>2.9143354396410399E-16</v>
      </c>
      <c r="N796" s="3">
        <v>-2.9143354396410399E-16</v>
      </c>
      <c r="O796" s="3">
        <v>0</v>
      </c>
      <c r="P796" s="3">
        <v>0</v>
      </c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x14ac:dyDescent="0.45">
      <c r="A797" s="3" t="s">
        <v>82</v>
      </c>
      <c r="B797" s="3" t="s">
        <v>21</v>
      </c>
      <c r="C797" s="3" t="s">
        <v>17</v>
      </c>
      <c r="D797" s="3" t="s">
        <v>10</v>
      </c>
      <c r="E797" s="3" t="s">
        <v>8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0.102320812080295</v>
      </c>
      <c r="M797" s="3">
        <v>0.10358353743229801</v>
      </c>
      <c r="N797" s="3">
        <v>2.44944369685282E-2</v>
      </c>
      <c r="O797" s="3">
        <v>-1.7892074266285299E-3</v>
      </c>
      <c r="P797" s="3">
        <v>-8.5461934227394599E-4</v>
      </c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x14ac:dyDescent="0.45">
      <c r="A798" s="3" t="s">
        <v>82</v>
      </c>
      <c r="B798" s="3" t="s">
        <v>21</v>
      </c>
      <c r="C798" s="3" t="s">
        <v>17</v>
      </c>
      <c r="D798" s="3" t="s">
        <v>11</v>
      </c>
      <c r="E798" s="3" t="s">
        <v>8</v>
      </c>
      <c r="F798" s="3">
        <v>0</v>
      </c>
      <c r="G798" s="3">
        <v>0</v>
      </c>
      <c r="H798" s="3">
        <v>0</v>
      </c>
      <c r="I798" s="3">
        <v>0</v>
      </c>
      <c r="J798" s="3">
        <v>7.11308071035337E-2</v>
      </c>
      <c r="K798" s="3">
        <v>9.8353242594304696E-2</v>
      </c>
      <c r="L798" s="3">
        <v>-2.7910953894070998E-3</v>
      </c>
      <c r="M798" s="3">
        <v>3.47317141847091E-3</v>
      </c>
      <c r="N798" s="3">
        <v>2.3718282961626199E-2</v>
      </c>
      <c r="O798" s="3">
        <v>3.4254302229576802E-2</v>
      </c>
      <c r="P798" s="3">
        <v>4.2144698526595401E-2</v>
      </c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x14ac:dyDescent="0.45">
      <c r="A799" s="3" t="s">
        <v>82</v>
      </c>
      <c r="B799" s="3" t="s">
        <v>21</v>
      </c>
      <c r="C799" s="3" t="s">
        <v>17</v>
      </c>
      <c r="D799" s="3" t="s">
        <v>12</v>
      </c>
      <c r="E799" s="3" t="s">
        <v>8</v>
      </c>
      <c r="F799" s="3">
        <v>0</v>
      </c>
      <c r="G799" s="3">
        <v>0</v>
      </c>
      <c r="H799" s="3">
        <v>0</v>
      </c>
      <c r="I799" s="3">
        <v>6.2054881435424099E-2</v>
      </c>
      <c r="J799" s="3">
        <v>2.8975075277892101E-2</v>
      </c>
      <c r="K799" s="3">
        <v>1.2904925289442299E-2</v>
      </c>
      <c r="L799" s="3">
        <v>3.5896489214092303E-2</v>
      </c>
      <c r="M799" s="3">
        <v>3.7840206178800698E-2</v>
      </c>
      <c r="N799" s="3">
        <v>3.3589392920365599E-2</v>
      </c>
      <c r="O799" s="3">
        <v>4.4053161720986597E-2</v>
      </c>
      <c r="P799" s="3">
        <v>5.68916233527633E-2</v>
      </c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x14ac:dyDescent="0.45">
      <c r="A800" s="3" t="s">
        <v>82</v>
      </c>
      <c r="B800" s="3" t="s">
        <v>21</v>
      </c>
      <c r="C800" s="3" t="s">
        <v>17</v>
      </c>
      <c r="D800" s="3" t="s">
        <v>13</v>
      </c>
      <c r="E800" s="3" t="s">
        <v>8</v>
      </c>
      <c r="F800" s="3">
        <v>0</v>
      </c>
      <c r="G800" s="3">
        <v>0</v>
      </c>
      <c r="H800" s="3">
        <v>0</v>
      </c>
      <c r="I800" s="3">
        <v>5.8461145925196099E-2</v>
      </c>
      <c r="J800" s="3">
        <v>4.1967220509308303E-2</v>
      </c>
      <c r="K800" s="3">
        <v>5.5914885654714301E-2</v>
      </c>
      <c r="L800" s="3">
        <v>6.8552777081825403E-2</v>
      </c>
      <c r="M800" s="3">
        <v>0.105590534129424</v>
      </c>
      <c r="N800" s="3">
        <v>0.14134941370822701</v>
      </c>
      <c r="O800" s="3">
        <v>0.175746957221802</v>
      </c>
      <c r="P800" s="3">
        <v>0.211607160460688</v>
      </c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x14ac:dyDescent="0.45">
      <c r="A801" s="3" t="s">
        <v>82</v>
      </c>
      <c r="B801" s="3" t="s">
        <v>21</v>
      </c>
      <c r="C801" s="3" t="s">
        <v>17</v>
      </c>
      <c r="D801" s="3" t="s">
        <v>14</v>
      </c>
      <c r="E801" s="3" t="s">
        <v>8</v>
      </c>
      <c r="F801" s="3">
        <v>0</v>
      </c>
      <c r="G801" s="3">
        <v>7.9556882415435806E-2</v>
      </c>
      <c r="H801" s="3">
        <v>7.9556882415435806E-2</v>
      </c>
      <c r="I801" s="3">
        <v>2.5002456450449899E-2</v>
      </c>
      <c r="J801" s="3">
        <v>5.06435459309061E-2</v>
      </c>
      <c r="K801" s="3">
        <v>8.6702649722969594E-2</v>
      </c>
      <c r="L801" s="3">
        <v>0.124470933985894</v>
      </c>
      <c r="M801" s="3">
        <v>0.16144388995279199</v>
      </c>
      <c r="N801" s="3">
        <v>0.19388517618183301</v>
      </c>
      <c r="O801" s="3">
        <v>0.21215398423906501</v>
      </c>
      <c r="P801" s="3">
        <v>0.20648497980244301</v>
      </c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x14ac:dyDescent="0.45">
      <c r="A802" s="3" t="s">
        <v>82</v>
      </c>
      <c r="B802" s="3" t="s">
        <v>21</v>
      </c>
      <c r="C802" s="3" t="s">
        <v>18</v>
      </c>
      <c r="D802" s="3" t="s">
        <v>7</v>
      </c>
      <c r="E802" s="3" t="s">
        <v>8</v>
      </c>
      <c r="F802" s="3">
        <v>1.65415323965812E-2</v>
      </c>
      <c r="G802" s="3">
        <v>1.09832492215007E-4</v>
      </c>
      <c r="H802" s="3">
        <v>1.09832492215007E-4</v>
      </c>
      <c r="I802" s="3">
        <v>7.3221661476681896E-5</v>
      </c>
      <c r="J802" s="3">
        <v>3.6610830738340901E-5</v>
      </c>
      <c r="K802" s="3">
        <v>0</v>
      </c>
      <c r="L802" s="3">
        <v>1.5637090863627499E-17</v>
      </c>
      <c r="M802" s="3">
        <v>1.5637090863627499E-17</v>
      </c>
      <c r="N802" s="3">
        <v>1.5637090863627499E-17</v>
      </c>
      <c r="O802" s="3">
        <v>0</v>
      </c>
      <c r="P802" s="3">
        <v>0</v>
      </c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x14ac:dyDescent="0.45">
      <c r="A803" s="3" t="s">
        <v>82</v>
      </c>
      <c r="B803" s="3" t="s">
        <v>21</v>
      </c>
      <c r="C803" s="3" t="s">
        <v>18</v>
      </c>
      <c r="D803" s="3" t="s">
        <v>9</v>
      </c>
      <c r="E803" s="3" t="s">
        <v>8</v>
      </c>
      <c r="F803" s="3">
        <v>0</v>
      </c>
      <c r="G803" s="3">
        <v>0</v>
      </c>
      <c r="H803" s="3">
        <v>0</v>
      </c>
      <c r="I803" s="3">
        <v>-3.1265680149050697E-17</v>
      </c>
      <c r="J803" s="3">
        <v>-7.8807945412540104E-18</v>
      </c>
      <c r="K803" s="3">
        <v>7.8185454318137405E-18</v>
      </c>
      <c r="L803" s="3">
        <v>0</v>
      </c>
      <c r="M803" s="3">
        <v>0</v>
      </c>
      <c r="N803" s="3">
        <v>-1.5637090863627499E-17</v>
      </c>
      <c r="O803" s="3">
        <v>0</v>
      </c>
      <c r="P803" s="3">
        <v>3.1274181727255097E-17</v>
      </c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x14ac:dyDescent="0.45">
      <c r="A804" s="3" t="s">
        <v>82</v>
      </c>
      <c r="B804" s="3" t="s">
        <v>21</v>
      </c>
      <c r="C804" s="3" t="s">
        <v>18</v>
      </c>
      <c r="D804" s="3" t="s">
        <v>10</v>
      </c>
      <c r="E804" s="3" t="s">
        <v>8</v>
      </c>
      <c r="F804" s="3">
        <v>0</v>
      </c>
      <c r="G804" s="3">
        <v>0</v>
      </c>
      <c r="H804" s="3">
        <v>0</v>
      </c>
      <c r="I804" s="3">
        <v>2.3378109344218699E-17</v>
      </c>
      <c r="J804" s="3">
        <v>3.9153250953882797E-17</v>
      </c>
      <c r="K804" s="3">
        <v>-7.8185454318137405E-18</v>
      </c>
      <c r="L804" s="3">
        <v>-1.5637090863627499E-17</v>
      </c>
      <c r="M804" s="3">
        <v>-1.5637090863627499E-17</v>
      </c>
      <c r="N804" s="3">
        <v>2.3455636295441201E-17</v>
      </c>
      <c r="O804" s="3">
        <v>0</v>
      </c>
      <c r="P804" s="3">
        <v>7.8185454318137697E-18</v>
      </c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x14ac:dyDescent="0.45">
      <c r="A805" s="3" t="s">
        <v>82</v>
      </c>
      <c r="B805" s="3" t="s">
        <v>21</v>
      </c>
      <c r="C805" s="3" t="s">
        <v>18</v>
      </c>
      <c r="D805" s="3" t="s">
        <v>11</v>
      </c>
      <c r="E805" s="3" t="s">
        <v>8</v>
      </c>
      <c r="F805" s="3">
        <v>0</v>
      </c>
      <c r="G805" s="3">
        <v>-2.3378109344218699E-17</v>
      </c>
      <c r="H805" s="3">
        <v>-2.3378109344218699E-17</v>
      </c>
      <c r="I805" s="3">
        <v>-2.3378109344218699E-17</v>
      </c>
      <c r="J805" s="3">
        <v>7.8875708048320401E-18</v>
      </c>
      <c r="K805" s="3">
        <v>1.5637090863627499E-17</v>
      </c>
      <c r="L805" s="3">
        <v>3.1274181727255097E-17</v>
      </c>
      <c r="M805" s="3">
        <v>9.3822545181764904E-17</v>
      </c>
      <c r="N805" s="3">
        <v>-2.3455636295441201E-17</v>
      </c>
      <c r="O805" s="3">
        <v>1.6418945406808801E-16</v>
      </c>
      <c r="P805" s="3">
        <v>-3.9092727159068799E-17</v>
      </c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x14ac:dyDescent="0.45">
      <c r="A806" s="3" t="s">
        <v>82</v>
      </c>
      <c r="B806" s="3" t="s">
        <v>21</v>
      </c>
      <c r="C806" s="3" t="s">
        <v>18</v>
      </c>
      <c r="D806" s="3" t="s">
        <v>12</v>
      </c>
      <c r="E806" s="3" t="s">
        <v>8</v>
      </c>
      <c r="F806" s="3">
        <v>0</v>
      </c>
      <c r="G806" s="3">
        <v>0</v>
      </c>
      <c r="H806" s="3">
        <v>0</v>
      </c>
      <c r="I806" s="3">
        <v>2.3378109344218699E-17</v>
      </c>
      <c r="J806" s="3">
        <v>-6.2538136561679503E-17</v>
      </c>
      <c r="K806" s="3">
        <v>0</v>
      </c>
      <c r="L806" s="3">
        <v>-3.1274181727255097E-17</v>
      </c>
      <c r="M806" s="3">
        <v>4.6911272590882298E-17</v>
      </c>
      <c r="N806" s="3">
        <v>0</v>
      </c>
      <c r="O806" s="3">
        <v>6.2548363454509801E-17</v>
      </c>
      <c r="P806" s="3">
        <v>8.6003999749951097E-17</v>
      </c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x14ac:dyDescent="0.45">
      <c r="A807" s="3" t="s">
        <v>82</v>
      </c>
      <c r="B807" s="3" t="s">
        <v>21</v>
      </c>
      <c r="C807" s="3" t="s">
        <v>18</v>
      </c>
      <c r="D807" s="3" t="s">
        <v>13</v>
      </c>
      <c r="E807" s="3" t="s">
        <v>8</v>
      </c>
      <c r="F807" s="3">
        <v>0</v>
      </c>
      <c r="G807" s="3">
        <v>-7.8875708048320401E-18</v>
      </c>
      <c r="H807" s="3">
        <v>-7.8875708048320401E-18</v>
      </c>
      <c r="I807" s="3">
        <v>-7.8740182776759806E-18</v>
      </c>
      <c r="J807" s="3">
        <v>-1.01691387515562E-16</v>
      </c>
      <c r="K807" s="3">
        <v>7.8185454318137405E-18</v>
      </c>
      <c r="L807" s="3">
        <v>0</v>
      </c>
      <c r="M807" s="3">
        <v>-4.6911272590882298E-17</v>
      </c>
      <c r="N807" s="3">
        <v>2.03282181227157E-16</v>
      </c>
      <c r="O807" s="3">
        <v>-1.6418945406808801E-16</v>
      </c>
      <c r="P807" s="3">
        <v>-2.34556362954413E-17</v>
      </c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x14ac:dyDescent="0.45">
      <c r="A808" s="3" t="s">
        <v>82</v>
      </c>
      <c r="B808" s="3" t="s">
        <v>21</v>
      </c>
      <c r="C808" s="3" t="s">
        <v>18</v>
      </c>
      <c r="D808" s="3" t="s">
        <v>14</v>
      </c>
      <c r="E808" s="3" t="s">
        <v>8</v>
      </c>
      <c r="F808" s="3">
        <v>0</v>
      </c>
      <c r="G808" s="3">
        <v>-1.5775141609664099E-17</v>
      </c>
      <c r="H808" s="3">
        <v>-1.5775141609664099E-17</v>
      </c>
      <c r="I808" s="3">
        <v>-1.2507627312335901E-16</v>
      </c>
      <c r="J808" s="3">
        <v>-4.7040821758714799E-17</v>
      </c>
      <c r="K808" s="3">
        <v>1.3291527234083401E-16</v>
      </c>
      <c r="L808" s="3">
        <v>0</v>
      </c>
      <c r="M808" s="3">
        <v>-9.3822545181764904E-17</v>
      </c>
      <c r="N808" s="3">
        <v>-2.03282181227157E-16</v>
      </c>
      <c r="O808" s="3">
        <v>-6.2548363454509801E-17</v>
      </c>
      <c r="P808" s="3">
        <v>3.1274181727255E-16</v>
      </c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x14ac:dyDescent="0.45">
      <c r="A809" s="3" t="s">
        <v>82</v>
      </c>
      <c r="B809" s="3" t="s">
        <v>21</v>
      </c>
      <c r="C809" s="3" t="s">
        <v>19</v>
      </c>
      <c r="D809" s="3" t="s">
        <v>12</v>
      </c>
      <c r="E809" s="3" t="s">
        <v>8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7.5862742408782302E-3</v>
      </c>
      <c r="N809" s="3">
        <v>3.1700849478326201E-2</v>
      </c>
      <c r="O809" s="3">
        <v>7.56648272624042E-2</v>
      </c>
      <c r="P809" s="3">
        <v>0.104002695800508</v>
      </c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x14ac:dyDescent="0.45">
      <c r="A810" s="3" t="s">
        <v>82</v>
      </c>
      <c r="B810" s="3" t="s">
        <v>21</v>
      </c>
      <c r="C810" s="3" t="s">
        <v>19</v>
      </c>
      <c r="D810" s="3" t="s">
        <v>13</v>
      </c>
      <c r="E810" s="3" t="s">
        <v>8</v>
      </c>
      <c r="F810" s="3">
        <v>0</v>
      </c>
      <c r="G810" s="3">
        <v>0</v>
      </c>
      <c r="H810" s="3">
        <v>0</v>
      </c>
      <c r="I810" s="3">
        <v>0</v>
      </c>
      <c r="J810" s="3">
        <v>9.7567696784311899E-3</v>
      </c>
      <c r="K810" s="3">
        <v>6.0945032140621698E-2</v>
      </c>
      <c r="L810" s="3">
        <v>0.14995025089407299</v>
      </c>
      <c r="M810" s="3">
        <v>0.25154191508524498</v>
      </c>
      <c r="N810" s="3">
        <v>0.35420106187209899</v>
      </c>
      <c r="O810" s="3">
        <v>0.44677949410152301</v>
      </c>
      <c r="P810" s="3">
        <v>0.54326612078636405</v>
      </c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x14ac:dyDescent="0.45">
      <c r="A811" s="3" t="s">
        <v>82</v>
      </c>
      <c r="B811" s="3" t="s">
        <v>21</v>
      </c>
      <c r="C811" s="3" t="s">
        <v>19</v>
      </c>
      <c r="D811" s="3" t="s">
        <v>14</v>
      </c>
      <c r="E811" s="3" t="s">
        <v>8</v>
      </c>
      <c r="F811" s="3">
        <v>0</v>
      </c>
      <c r="G811" s="3">
        <v>0</v>
      </c>
      <c r="H811" s="3">
        <v>0</v>
      </c>
      <c r="I811" s="3">
        <v>2.5857029126418501E-2</v>
      </c>
      <c r="J811" s="3">
        <v>0.12796011116758399</v>
      </c>
      <c r="K811" s="3">
        <v>0.23143426622747501</v>
      </c>
      <c r="L811" s="3">
        <v>0.34487367980067901</v>
      </c>
      <c r="M811" s="3">
        <v>0.46320777963666798</v>
      </c>
      <c r="N811" s="3">
        <v>0.55261665050447695</v>
      </c>
      <c r="O811" s="3">
        <v>0.60316197253174897</v>
      </c>
      <c r="P811" s="3">
        <v>0.59805440609685301</v>
      </c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x14ac:dyDescent="0.45">
      <c r="A812" s="3" t="s">
        <v>83</v>
      </c>
      <c r="B812" s="3" t="s">
        <v>29</v>
      </c>
      <c r="C812" s="3" t="s">
        <v>6</v>
      </c>
      <c r="D812" s="3" t="s">
        <v>7</v>
      </c>
      <c r="E812" s="3" t="s">
        <v>8</v>
      </c>
      <c r="F812" s="3">
        <v>0</v>
      </c>
      <c r="G812" s="3">
        <v>0</v>
      </c>
      <c r="H812" s="3">
        <v>0</v>
      </c>
      <c r="I812" s="3">
        <v>0</v>
      </c>
      <c r="J812" s="3">
        <v>2.0960975819706899E-4</v>
      </c>
      <c r="K812" s="3">
        <v>2.8780444574491002E-4</v>
      </c>
      <c r="L812" s="3">
        <v>7.1026674198418794E-5</v>
      </c>
      <c r="M812" s="3">
        <v>7.10266741984192E-5</v>
      </c>
      <c r="N812" s="3">
        <v>5.73740722804578E-5</v>
      </c>
      <c r="O812" s="3">
        <v>4.5897108111572101E-5</v>
      </c>
      <c r="P812" s="3">
        <v>3.6774378993441397E-5</v>
      </c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x14ac:dyDescent="0.45">
      <c r="A813" s="3" t="s">
        <v>83</v>
      </c>
      <c r="B813" s="3" t="s">
        <v>29</v>
      </c>
      <c r="C813" s="3" t="s">
        <v>6</v>
      </c>
      <c r="D813" s="3" t="s">
        <v>9</v>
      </c>
      <c r="E813" s="3" t="s">
        <v>8</v>
      </c>
      <c r="F813" s="3">
        <v>0</v>
      </c>
      <c r="G813" s="3">
        <v>0</v>
      </c>
      <c r="H813" s="3">
        <v>0</v>
      </c>
      <c r="I813" s="3">
        <v>0</v>
      </c>
      <c r="J813" s="3">
        <v>1.97419107222028E-4</v>
      </c>
      <c r="K813" s="3">
        <v>4.7554739052372999E-4</v>
      </c>
      <c r="L813" s="3">
        <v>5.9358989034828202E-4</v>
      </c>
      <c r="M813" s="3">
        <v>5.9358989034828202E-4</v>
      </c>
      <c r="N813" s="3">
        <v>5.7520577507697696E-4</v>
      </c>
      <c r="O813" s="3">
        <v>5.8634435341669503E-4</v>
      </c>
      <c r="P813" s="3">
        <v>5.95467082534826E-4</v>
      </c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x14ac:dyDescent="0.45">
      <c r="A814" s="3" t="s">
        <v>83</v>
      </c>
      <c r="B814" s="3" t="s">
        <v>29</v>
      </c>
      <c r="C814" s="3" t="s">
        <v>6</v>
      </c>
      <c r="D814" s="3" t="s">
        <v>10</v>
      </c>
      <c r="E814" s="3" t="s">
        <v>8</v>
      </c>
      <c r="F814" s="3">
        <v>0</v>
      </c>
      <c r="G814" s="3">
        <v>0</v>
      </c>
      <c r="H814" s="3">
        <v>0</v>
      </c>
      <c r="I814" s="3">
        <v>2.3602198420847798E-5</v>
      </c>
      <c r="J814" s="3">
        <v>5.0899292343401404E-4</v>
      </c>
      <c r="K814" s="3">
        <v>5.1321667087830304E-4</v>
      </c>
      <c r="L814" s="3">
        <v>5.2337305948214896E-4</v>
      </c>
      <c r="M814" s="3">
        <v>5.2337305948214896E-4</v>
      </c>
      <c r="N814" s="3">
        <v>3.6848667343628498E-3</v>
      </c>
      <c r="O814" s="3">
        <v>8.3402269440234905E-3</v>
      </c>
      <c r="P814" s="3">
        <v>2.5894412022600701E-2</v>
      </c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x14ac:dyDescent="0.45">
      <c r="A815" s="3" t="s">
        <v>83</v>
      </c>
      <c r="B815" s="3" t="s">
        <v>29</v>
      </c>
      <c r="C815" s="3" t="s">
        <v>6</v>
      </c>
      <c r="D815" s="3" t="s">
        <v>11</v>
      </c>
      <c r="E815" s="3" t="s">
        <v>8</v>
      </c>
      <c r="F815" s="3">
        <v>0</v>
      </c>
      <c r="G815" s="3">
        <v>0</v>
      </c>
      <c r="H815" s="3">
        <v>0</v>
      </c>
      <c r="I815" s="3">
        <v>3.8765200120081001E-4</v>
      </c>
      <c r="J815" s="3">
        <v>5.2919447456989096E-4</v>
      </c>
      <c r="K815" s="3">
        <v>5.7170174843845204E-4</v>
      </c>
      <c r="L815" s="3">
        <v>6.1066938707845303E-3</v>
      </c>
      <c r="M815" s="3">
        <v>2.5151047090363799E-2</v>
      </c>
      <c r="N815" s="3">
        <v>4.18224465019622E-2</v>
      </c>
      <c r="O815" s="3">
        <v>5.8093589623414398E-2</v>
      </c>
      <c r="P815" s="3">
        <v>8.3447086567170703E-2</v>
      </c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x14ac:dyDescent="0.45">
      <c r="A816" s="3" t="s">
        <v>83</v>
      </c>
      <c r="B816" s="3" t="s">
        <v>29</v>
      </c>
      <c r="C816" s="3" t="s">
        <v>6</v>
      </c>
      <c r="D816" s="3" t="s">
        <v>12</v>
      </c>
      <c r="E816" s="3" t="s">
        <v>8</v>
      </c>
      <c r="F816" s="3">
        <v>0</v>
      </c>
      <c r="G816" s="3">
        <v>0</v>
      </c>
      <c r="H816" s="3">
        <v>0</v>
      </c>
      <c r="I816" s="3">
        <v>6.7602975899025105E-4</v>
      </c>
      <c r="J816" s="3">
        <v>3.3789251736102898E-3</v>
      </c>
      <c r="K816" s="3">
        <v>2.4805384215568899E-2</v>
      </c>
      <c r="L816" s="3">
        <v>4.1681452711566397E-2</v>
      </c>
      <c r="M816" s="3">
        <v>9.17958085965625E-2</v>
      </c>
      <c r="N816" s="3">
        <v>0.14920074266863501</v>
      </c>
      <c r="O816" s="3">
        <v>0.20349595150656899</v>
      </c>
      <c r="P816" s="3">
        <v>0.230706885166231</v>
      </c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x14ac:dyDescent="0.45">
      <c r="A817" s="3" t="s">
        <v>83</v>
      </c>
      <c r="B817" s="3" t="s">
        <v>29</v>
      </c>
      <c r="C817" s="3" t="s">
        <v>6</v>
      </c>
      <c r="D817" s="3" t="s">
        <v>13</v>
      </c>
      <c r="E817" s="3" t="s">
        <v>8</v>
      </c>
      <c r="F817" s="3">
        <v>0</v>
      </c>
      <c r="G817" s="3">
        <v>7.9542757036656905E-5</v>
      </c>
      <c r="H817" s="3">
        <v>7.9542757036656905E-5</v>
      </c>
      <c r="I817" s="3">
        <v>2.3591127453751699E-2</v>
      </c>
      <c r="J817" s="3">
        <v>0.105497801119427</v>
      </c>
      <c r="K817" s="3">
        <v>0.16987102009800001</v>
      </c>
      <c r="L817" s="3">
        <v>0.228738020323347</v>
      </c>
      <c r="M817" s="3">
        <v>0.23059301552393199</v>
      </c>
      <c r="N817" s="3">
        <v>0.222418171766467</v>
      </c>
      <c r="O817" s="3">
        <v>0.21782511547903799</v>
      </c>
      <c r="P817" s="3">
        <v>0.21716647765462099</v>
      </c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x14ac:dyDescent="0.45">
      <c r="A818" s="3" t="s">
        <v>83</v>
      </c>
      <c r="B818" s="3" t="s">
        <v>29</v>
      </c>
      <c r="C818" s="3" t="s">
        <v>6</v>
      </c>
      <c r="D818" s="3" t="s">
        <v>14</v>
      </c>
      <c r="E818" s="3" t="s">
        <v>8</v>
      </c>
      <c r="F818" s="3">
        <v>0</v>
      </c>
      <c r="G818" s="3">
        <v>3.0120275375648299E-3</v>
      </c>
      <c r="H818" s="3">
        <v>3.0120275375648299E-3</v>
      </c>
      <c r="I818" s="3">
        <v>7.3137834098767104E-2</v>
      </c>
      <c r="J818" s="3">
        <v>7.7106596369105093E-2</v>
      </c>
      <c r="K818" s="3">
        <v>8.0214079571127306E-2</v>
      </c>
      <c r="L818" s="3">
        <v>9.1641248638615697E-2</v>
      </c>
      <c r="M818" s="3">
        <v>0.118536369178718</v>
      </c>
      <c r="N818" s="3">
        <v>0.152138480075907</v>
      </c>
      <c r="O818" s="3">
        <v>0.17905390234246801</v>
      </c>
      <c r="P818" s="3">
        <v>0.19701014589826399</v>
      </c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x14ac:dyDescent="0.45">
      <c r="A819" s="3" t="s">
        <v>83</v>
      </c>
      <c r="B819" s="3" t="s">
        <v>29</v>
      </c>
      <c r="C819" s="3" t="s">
        <v>15</v>
      </c>
      <c r="D819" s="3" t="s">
        <v>7</v>
      </c>
      <c r="E819" s="3" t="s">
        <v>8</v>
      </c>
      <c r="F819" s="3">
        <v>0.12770083790633899</v>
      </c>
      <c r="G819" s="3">
        <v>0.14109865022784401</v>
      </c>
      <c r="H819" s="3">
        <v>0.14109865022784401</v>
      </c>
      <c r="I819" s="3">
        <v>0.15166529943424001</v>
      </c>
      <c r="J819" s="3">
        <v>0.16004128153392999</v>
      </c>
      <c r="K819" s="3">
        <v>0.167958160807469</v>
      </c>
      <c r="L819" s="3">
        <v>0.17473688669836299</v>
      </c>
      <c r="M819" s="3">
        <v>0.18217438037964301</v>
      </c>
      <c r="N819" s="3">
        <v>0.18547439402122701</v>
      </c>
      <c r="O819" s="3">
        <v>0.18892636813596</v>
      </c>
      <c r="P819" s="3">
        <v>0.191783419805686</v>
      </c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x14ac:dyDescent="0.45">
      <c r="A820" s="3" t="s">
        <v>83</v>
      </c>
      <c r="B820" s="3" t="s">
        <v>29</v>
      </c>
      <c r="C820" s="3" t="s">
        <v>15</v>
      </c>
      <c r="D820" s="3" t="s">
        <v>9</v>
      </c>
      <c r="E820" s="3" t="s">
        <v>8</v>
      </c>
      <c r="F820" s="3">
        <v>0</v>
      </c>
      <c r="G820" s="3">
        <v>-1.55327964198759E-4</v>
      </c>
      <c r="H820" s="3">
        <v>-1.55327964198759E-4</v>
      </c>
      <c r="I820" s="3">
        <v>-4.6752859422327702E-4</v>
      </c>
      <c r="J820" s="3">
        <v>-9.6305954062544897E-4</v>
      </c>
      <c r="K820" s="3">
        <v>-3.0519665521547301E-4</v>
      </c>
      <c r="L820" s="3">
        <v>-2.0727787571457601E-3</v>
      </c>
      <c r="M820" s="3">
        <v>-2.9893449131106501E-3</v>
      </c>
      <c r="N820" s="3">
        <v>-3.1257318354111201E-3</v>
      </c>
      <c r="O820" s="3">
        <v>-4.8561128289780504E-3</v>
      </c>
      <c r="P820" s="3">
        <v>-6.7227911973867802E-3</v>
      </c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x14ac:dyDescent="0.45">
      <c r="A821" s="3" t="s">
        <v>83</v>
      </c>
      <c r="B821" s="3" t="s">
        <v>29</v>
      </c>
      <c r="C821" s="3" t="s">
        <v>15</v>
      </c>
      <c r="D821" s="3" t="s">
        <v>10</v>
      </c>
      <c r="E821" s="3" t="s">
        <v>8</v>
      </c>
      <c r="F821" s="3">
        <v>0</v>
      </c>
      <c r="G821" s="3">
        <v>-2.8499304315365801E-6</v>
      </c>
      <c r="H821" s="3">
        <v>-2.8499304315365801E-6</v>
      </c>
      <c r="I821" s="3">
        <v>-1.8717644973204099E-4</v>
      </c>
      <c r="J821" s="3">
        <v>-6.3899837553701999E-4</v>
      </c>
      <c r="K821" s="3">
        <v>-9.4716513637335697E-4</v>
      </c>
      <c r="L821" s="3">
        <v>-2.6421985320673698E-4</v>
      </c>
      <c r="M821" s="3">
        <v>-2.1118931002675799E-3</v>
      </c>
      <c r="N821" s="3">
        <v>1.6930898733128199E-3</v>
      </c>
      <c r="O821" s="3">
        <v>9.2400486745994304E-4</v>
      </c>
      <c r="P821" s="3">
        <v>1.2285935778914799E-3</v>
      </c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x14ac:dyDescent="0.45">
      <c r="A822" s="3" t="s">
        <v>83</v>
      </c>
      <c r="B822" s="3" t="s">
        <v>29</v>
      </c>
      <c r="C822" s="3" t="s">
        <v>15</v>
      </c>
      <c r="D822" s="3" t="s">
        <v>11</v>
      </c>
      <c r="E822" s="3" t="s">
        <v>8</v>
      </c>
      <c r="F822" s="3">
        <v>0</v>
      </c>
      <c r="G822" s="3">
        <v>1.11768386622801E-5</v>
      </c>
      <c r="H822" s="3">
        <v>1.11768386622801E-5</v>
      </c>
      <c r="I822" s="3">
        <v>-2.3594707164237299E-4</v>
      </c>
      <c r="J822" s="3">
        <v>2.8934020606419302E-4</v>
      </c>
      <c r="K822" s="3">
        <v>-5.7509330074881305E-4</v>
      </c>
      <c r="L822" s="3">
        <v>1.5537131955764799E-3</v>
      </c>
      <c r="M822" s="3">
        <v>4.0038594842967401E-3</v>
      </c>
      <c r="N822" s="3">
        <v>2.3588144137267099E-3</v>
      </c>
      <c r="O822" s="3">
        <v>2.6741225143842901E-3</v>
      </c>
      <c r="P822" s="3">
        <v>3.0370842166221302E-3</v>
      </c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x14ac:dyDescent="0.45">
      <c r="A823" s="3" t="s">
        <v>83</v>
      </c>
      <c r="B823" s="3" t="s">
        <v>29</v>
      </c>
      <c r="C823" s="3" t="s">
        <v>15</v>
      </c>
      <c r="D823" s="3" t="s">
        <v>12</v>
      </c>
      <c r="E823" s="3" t="s">
        <v>8</v>
      </c>
      <c r="F823" s="3">
        <v>0</v>
      </c>
      <c r="G823" s="3">
        <v>4.8000872078513002E-6</v>
      </c>
      <c r="H823" s="3">
        <v>4.8000872078513002E-6</v>
      </c>
      <c r="I823" s="3">
        <v>-7.9705152651826704E-4</v>
      </c>
      <c r="J823" s="3">
        <v>-1.3007058819430899E-4</v>
      </c>
      <c r="K823" s="3">
        <v>6.3419981868691197E-3</v>
      </c>
      <c r="L823" s="3">
        <v>6.3740156143437801E-3</v>
      </c>
      <c r="M823" s="3">
        <v>6.19025414427687E-3</v>
      </c>
      <c r="N823" s="3">
        <v>3.7272245883559802E-3</v>
      </c>
      <c r="O823" s="3">
        <v>4.6429154315688103E-3</v>
      </c>
      <c r="P823" s="3">
        <v>4.6196952009057999E-3</v>
      </c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x14ac:dyDescent="0.45">
      <c r="A824" s="3" t="s">
        <v>83</v>
      </c>
      <c r="B824" s="3" t="s">
        <v>29</v>
      </c>
      <c r="C824" s="3" t="s">
        <v>15</v>
      </c>
      <c r="D824" s="3" t="s">
        <v>13</v>
      </c>
      <c r="E824" s="3" t="s">
        <v>8</v>
      </c>
      <c r="F824" s="3">
        <v>0</v>
      </c>
      <c r="G824" s="3">
        <v>-1.02813843658842E-3</v>
      </c>
      <c r="H824" s="3">
        <v>-1.02813843658842E-3</v>
      </c>
      <c r="I824" s="3">
        <v>8.2039103932374496E-3</v>
      </c>
      <c r="J824" s="3">
        <v>8.6396058063555898E-3</v>
      </c>
      <c r="K824" s="3">
        <v>8.7073945976595701E-4</v>
      </c>
      <c r="L824" s="3">
        <v>-3.0478983115173102E-4</v>
      </c>
      <c r="M824" s="3">
        <v>5.9482474567940102E-4</v>
      </c>
      <c r="N824" s="3">
        <v>3.45293589799939E-3</v>
      </c>
      <c r="O824" s="3">
        <v>3.6030925847203902E-3</v>
      </c>
      <c r="P824" s="3">
        <v>3.01598926455451E-3</v>
      </c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x14ac:dyDescent="0.45">
      <c r="A825" s="3" t="s">
        <v>83</v>
      </c>
      <c r="B825" s="3" t="s">
        <v>29</v>
      </c>
      <c r="C825" s="3" t="s">
        <v>15</v>
      </c>
      <c r="D825" s="3" t="s">
        <v>14</v>
      </c>
      <c r="E825" s="3" t="s">
        <v>8</v>
      </c>
      <c r="F825" s="3">
        <v>0</v>
      </c>
      <c r="G825" s="3">
        <v>2.4649646381091602E-3</v>
      </c>
      <c r="H825" s="3">
        <v>2.4649646381091602E-3</v>
      </c>
      <c r="I825" s="3">
        <v>-4.5781394532000098E-3</v>
      </c>
      <c r="J825" s="3">
        <v>-8.0590525333349393E-3</v>
      </c>
      <c r="K825" s="3">
        <v>-9.2023652960774305E-3</v>
      </c>
      <c r="L825" s="3">
        <v>-1.2112038673628801E-2</v>
      </c>
      <c r="M825" s="3">
        <v>-1.42359246276387E-2</v>
      </c>
      <c r="N825" s="3">
        <v>-1.3921083942420901E-2</v>
      </c>
      <c r="O825" s="3">
        <v>-1.1979979185819299E-2</v>
      </c>
      <c r="P825" s="3">
        <v>-1.2003191750645599E-2</v>
      </c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x14ac:dyDescent="0.45">
      <c r="A826" s="3" t="s">
        <v>83</v>
      </c>
      <c r="B826" s="3" t="s">
        <v>29</v>
      </c>
      <c r="C826" s="3" t="s">
        <v>16</v>
      </c>
      <c r="D826" s="3" t="s">
        <v>7</v>
      </c>
      <c r="E826" s="3" t="s">
        <v>8</v>
      </c>
      <c r="F826" s="3">
        <v>5.4514266247408003E-2</v>
      </c>
      <c r="G826" s="3">
        <v>5.8194097716604602E-2</v>
      </c>
      <c r="H826" s="3">
        <v>5.8194097716604602E-2</v>
      </c>
      <c r="I826" s="3">
        <v>5.62675148053614E-2</v>
      </c>
      <c r="J826" s="3">
        <v>5.44667225819159E-2</v>
      </c>
      <c r="K826" s="3">
        <v>5.3718780089488799E-2</v>
      </c>
      <c r="L826" s="3">
        <v>5.35687835470956E-2</v>
      </c>
      <c r="M826" s="3">
        <v>5.3195500313676397E-2</v>
      </c>
      <c r="N826" s="3">
        <v>5.3096280901291301E-2</v>
      </c>
      <c r="O826" s="3">
        <v>5.3096280901291398E-2</v>
      </c>
      <c r="P826" s="3">
        <v>5.3096280901291398E-2</v>
      </c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x14ac:dyDescent="0.45">
      <c r="A827" s="3" t="s">
        <v>83</v>
      </c>
      <c r="B827" s="3" t="s">
        <v>29</v>
      </c>
      <c r="C827" s="3" t="s">
        <v>16</v>
      </c>
      <c r="D827" s="3" t="s">
        <v>9</v>
      </c>
      <c r="E827" s="3" t="s">
        <v>8</v>
      </c>
      <c r="F827" s="3">
        <v>0</v>
      </c>
      <c r="G827" s="3">
        <v>-1.4414949612746901E-5</v>
      </c>
      <c r="H827" s="3">
        <v>-1.4414949612746901E-5</v>
      </c>
      <c r="I827" s="3">
        <v>0</v>
      </c>
      <c r="J827" s="3">
        <v>1.0389753868170901E-4</v>
      </c>
      <c r="K827" s="3">
        <v>1.6740957903868499E-5</v>
      </c>
      <c r="L827" s="3">
        <v>1.06172587775392E-4</v>
      </c>
      <c r="M827" s="3">
        <v>2.0812939428622299E-4</v>
      </c>
      <c r="N827" s="3">
        <v>-4.3741867851713996E-3</v>
      </c>
      <c r="O827" s="3">
        <v>-4.3741867851714803E-3</v>
      </c>
      <c r="P827" s="3">
        <v>-4.3741867851714803E-3</v>
      </c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x14ac:dyDescent="0.45">
      <c r="A828" s="3" t="s">
        <v>83</v>
      </c>
      <c r="B828" s="3" t="s">
        <v>29</v>
      </c>
      <c r="C828" s="3" t="s">
        <v>16</v>
      </c>
      <c r="D828" s="3" t="s">
        <v>10</v>
      </c>
      <c r="E828" s="3" t="s">
        <v>8</v>
      </c>
      <c r="F828" s="3">
        <v>0</v>
      </c>
      <c r="G828" s="3">
        <v>-9.0205620750794006E-17</v>
      </c>
      <c r="H828" s="3">
        <v>-9.0205620750794006E-17</v>
      </c>
      <c r="I828" s="3">
        <v>0</v>
      </c>
      <c r="J828" s="3">
        <v>1.0178322881170701E-4</v>
      </c>
      <c r="K828" s="3">
        <v>2.8104511241931799E-5</v>
      </c>
      <c r="L828" s="3">
        <v>-4.55651231292093E-3</v>
      </c>
      <c r="M828" s="3">
        <v>-4.5153246975520997E-3</v>
      </c>
      <c r="N828" s="3">
        <v>1.6621089429072499E-4</v>
      </c>
      <c r="O828" s="3">
        <v>1.66210894290642E-4</v>
      </c>
      <c r="P828" s="3">
        <v>1.6621089429072499E-4</v>
      </c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x14ac:dyDescent="0.45">
      <c r="A829" s="3" t="s">
        <v>83</v>
      </c>
      <c r="B829" s="3" t="s">
        <v>29</v>
      </c>
      <c r="C829" s="3" t="s">
        <v>16</v>
      </c>
      <c r="D829" s="3" t="s">
        <v>11</v>
      </c>
      <c r="E829" s="3" t="s">
        <v>8</v>
      </c>
      <c r="F829" s="3">
        <v>0</v>
      </c>
      <c r="G829" s="3">
        <v>9.0205620750794006E-17</v>
      </c>
      <c r="H829" s="3">
        <v>9.0205620750794006E-17</v>
      </c>
      <c r="I829" s="3">
        <v>0</v>
      </c>
      <c r="J829" s="3">
        <v>-4.6728495165560199E-3</v>
      </c>
      <c r="K829" s="3">
        <v>-4.5521508403987103E-3</v>
      </c>
      <c r="L829" s="3">
        <v>8.6807041341924195E-7</v>
      </c>
      <c r="M829" s="3">
        <v>-2.38010875756318E-4</v>
      </c>
      <c r="N829" s="3">
        <v>-3.6951314593903399E-4</v>
      </c>
      <c r="O829" s="3">
        <v>-3.6951314593895002E-4</v>
      </c>
      <c r="P829" s="3">
        <v>-3.6951314593903399E-4</v>
      </c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x14ac:dyDescent="0.45">
      <c r="A830" s="3" t="s">
        <v>83</v>
      </c>
      <c r="B830" s="3" t="s">
        <v>29</v>
      </c>
      <c r="C830" s="3" t="s">
        <v>16</v>
      </c>
      <c r="D830" s="3" t="s">
        <v>12</v>
      </c>
      <c r="E830" s="3" t="s">
        <v>8</v>
      </c>
      <c r="F830" s="3">
        <v>0</v>
      </c>
      <c r="G830" s="3">
        <v>-2.7616672308772301E-5</v>
      </c>
      <c r="H830" s="3">
        <v>-2.7616672308772301E-5</v>
      </c>
      <c r="I830" s="3">
        <v>-4.9241399133811399E-3</v>
      </c>
      <c r="J830" s="3">
        <v>2.4637102473338402E-4</v>
      </c>
      <c r="K830" s="3">
        <v>-9.2087061122146706E-5</v>
      </c>
      <c r="L830" s="3">
        <v>-5.8087678381490298E-4</v>
      </c>
      <c r="M830" s="3">
        <v>-1.38345821611555E-4</v>
      </c>
      <c r="N830" s="3">
        <v>-7.9023656587226492E-6</v>
      </c>
      <c r="O830" s="3">
        <v>-1.0065335820944E-5</v>
      </c>
      <c r="P830" s="3">
        <v>-1.11594796824432E-5</v>
      </c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x14ac:dyDescent="0.45">
      <c r="A831" s="3" t="s">
        <v>83</v>
      </c>
      <c r="B831" s="3" t="s">
        <v>29</v>
      </c>
      <c r="C831" s="3" t="s">
        <v>16</v>
      </c>
      <c r="D831" s="3" t="s">
        <v>13</v>
      </c>
      <c r="E831" s="3" t="s">
        <v>8</v>
      </c>
      <c r="F831" s="3">
        <v>0</v>
      </c>
      <c r="G831" s="3">
        <v>4.2031621921519198E-5</v>
      </c>
      <c r="H831" s="3">
        <v>4.2031621921519198E-5</v>
      </c>
      <c r="I831" s="3">
        <v>-8.8786195993911105E-4</v>
      </c>
      <c r="J831" s="3">
        <v>-1.68298570378853E-3</v>
      </c>
      <c r="K831" s="3">
        <v>-6.1148449316825203E-4</v>
      </c>
      <c r="L831" s="3">
        <v>-3.0810957406431097E-5</v>
      </c>
      <c r="M831" s="3">
        <v>-4.3269520285590903E-6</v>
      </c>
      <c r="N831" s="3">
        <v>-3.2681657000307998E-6</v>
      </c>
      <c r="O831" s="3">
        <v>-1.1051958168223399E-6</v>
      </c>
      <c r="P831" s="3">
        <v>-1.10519581472679E-8</v>
      </c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x14ac:dyDescent="0.45">
      <c r="A832" s="3" t="s">
        <v>83</v>
      </c>
      <c r="B832" s="3" t="s">
        <v>29</v>
      </c>
      <c r="C832" s="3" t="s">
        <v>16</v>
      </c>
      <c r="D832" s="3" t="s">
        <v>14</v>
      </c>
      <c r="E832" s="3" t="s">
        <v>8</v>
      </c>
      <c r="F832" s="3">
        <v>0</v>
      </c>
      <c r="G832" s="3">
        <v>-4.8742419421034201E-3</v>
      </c>
      <c r="H832" s="3">
        <v>-4.8742419421034201E-3</v>
      </c>
      <c r="I832" s="3">
        <v>-1.92698833119491E-3</v>
      </c>
      <c r="J832" s="3">
        <v>-5.5190667410318097E-5</v>
      </c>
      <c r="K832" s="3">
        <v>-2.8055957897871202E-7</v>
      </c>
      <c r="L832" s="3">
        <v>-2.8055958181671902E-9</v>
      </c>
      <c r="M832" s="3">
        <v>-2.8055925638259499E-11</v>
      </c>
      <c r="N832" s="3">
        <v>-2.8055335832277701E-13</v>
      </c>
      <c r="O832" s="3">
        <v>-2.82412981889024E-15</v>
      </c>
      <c r="P832" s="3">
        <v>0</v>
      </c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x14ac:dyDescent="0.45">
      <c r="A833" s="3" t="s">
        <v>83</v>
      </c>
      <c r="B833" s="3" t="s">
        <v>29</v>
      </c>
      <c r="C833" s="3" t="s">
        <v>17</v>
      </c>
      <c r="D833" s="3" t="s">
        <v>7</v>
      </c>
      <c r="E833" s="3" t="s">
        <v>8</v>
      </c>
      <c r="F833" s="3">
        <v>9.6604426676414994E-3</v>
      </c>
      <c r="G833" s="3">
        <v>2.2144520544408498E-2</v>
      </c>
      <c r="H833" s="3">
        <v>2.2144520544408498E-2</v>
      </c>
      <c r="I833" s="3">
        <v>2.94183213788318E-2</v>
      </c>
      <c r="J833" s="3">
        <v>3.8894730166620303E-2</v>
      </c>
      <c r="K833" s="3">
        <v>5.1580858540308597E-2</v>
      </c>
      <c r="L833" s="3">
        <v>4.1520439637186497E-2</v>
      </c>
      <c r="M833" s="3">
        <v>3.3642583404339801E-2</v>
      </c>
      <c r="N833" s="3">
        <v>2.71870026763141E-2</v>
      </c>
      <c r="O833" s="3">
        <v>2.2112619100196702E-2</v>
      </c>
      <c r="P833" s="3">
        <v>1.9245475607843201E-2</v>
      </c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x14ac:dyDescent="0.45">
      <c r="A834" s="3" t="s">
        <v>83</v>
      </c>
      <c r="B834" s="3" t="s">
        <v>29</v>
      </c>
      <c r="C834" s="3" t="s">
        <v>17</v>
      </c>
      <c r="D834" s="3" t="s">
        <v>9</v>
      </c>
      <c r="E834" s="3" t="s">
        <v>8</v>
      </c>
      <c r="F834" s="3">
        <v>0</v>
      </c>
      <c r="G834" s="3">
        <v>6.8954028523470997E-4</v>
      </c>
      <c r="H834" s="3">
        <v>6.8954028523470997E-4</v>
      </c>
      <c r="I834" s="3">
        <v>2.20729072602073E-4</v>
      </c>
      <c r="J834" s="3">
        <v>3.9280429560374901E-3</v>
      </c>
      <c r="K834" s="3">
        <v>5.3874793786594204E-3</v>
      </c>
      <c r="L834" s="3">
        <v>7.4377839855947802E-3</v>
      </c>
      <c r="M834" s="3">
        <v>9.0664566357948808E-3</v>
      </c>
      <c r="N834" s="3">
        <v>2.73668824242135E-2</v>
      </c>
      <c r="O834" s="3">
        <v>3.0477726616051502E-2</v>
      </c>
      <c r="P834" s="3">
        <v>3.2065980305330401E-2</v>
      </c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x14ac:dyDescent="0.45">
      <c r="A835" s="3" t="s">
        <v>83</v>
      </c>
      <c r="B835" s="3" t="s">
        <v>29</v>
      </c>
      <c r="C835" s="3" t="s">
        <v>17</v>
      </c>
      <c r="D835" s="3" t="s">
        <v>10</v>
      </c>
      <c r="E835" s="3" t="s">
        <v>8</v>
      </c>
      <c r="F835" s="3">
        <v>0</v>
      </c>
      <c r="G835" s="3">
        <v>1.99389193628174E-4</v>
      </c>
      <c r="H835" s="3">
        <v>1.99389193628174E-4</v>
      </c>
      <c r="I835" s="3">
        <v>1.74467342005477E-3</v>
      </c>
      <c r="J835" s="3">
        <v>1.3630812095135399E-3</v>
      </c>
      <c r="K835" s="3">
        <v>3.36076689649827E-3</v>
      </c>
      <c r="L835" s="3">
        <v>2.13304309313124E-2</v>
      </c>
      <c r="M835" s="3">
        <v>2.2807742248282199E-2</v>
      </c>
      <c r="N835" s="3">
        <v>2.1719497619773501E-2</v>
      </c>
      <c r="O835" s="3">
        <v>2.2345488591745202E-2</v>
      </c>
      <c r="P835" s="3">
        <v>5.6221314421234403E-2</v>
      </c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x14ac:dyDescent="0.45">
      <c r="A836" s="3" t="s">
        <v>83</v>
      </c>
      <c r="B836" s="3" t="s">
        <v>29</v>
      </c>
      <c r="C836" s="3" t="s">
        <v>17</v>
      </c>
      <c r="D836" s="3" t="s">
        <v>11</v>
      </c>
      <c r="E836" s="3" t="s">
        <v>8</v>
      </c>
      <c r="F836" s="3">
        <v>0</v>
      </c>
      <c r="G836" s="3">
        <v>1.8946329769589299E-4</v>
      </c>
      <c r="H836" s="3">
        <v>1.8946329769589299E-4</v>
      </c>
      <c r="I836" s="3">
        <v>1.12529048138137E-3</v>
      </c>
      <c r="J836" s="3">
        <v>1.9576565728504101E-2</v>
      </c>
      <c r="K836" s="3">
        <v>2.5081426979468E-2</v>
      </c>
      <c r="L836" s="3">
        <v>1.9346172862167301E-2</v>
      </c>
      <c r="M836" s="3">
        <v>4.3583853429757999E-2</v>
      </c>
      <c r="N836" s="3">
        <v>3.5410665304749303E-2</v>
      </c>
      <c r="O836" s="3">
        <v>3.74745499949359E-2</v>
      </c>
      <c r="P836" s="3">
        <v>6.2338486070077897E-3</v>
      </c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x14ac:dyDescent="0.45">
      <c r="A837" s="3" t="s">
        <v>83</v>
      </c>
      <c r="B837" s="3" t="s">
        <v>29</v>
      </c>
      <c r="C837" s="3" t="s">
        <v>17</v>
      </c>
      <c r="D837" s="3" t="s">
        <v>12</v>
      </c>
      <c r="E837" s="3" t="s">
        <v>8</v>
      </c>
      <c r="F837" s="3">
        <v>0</v>
      </c>
      <c r="G837" s="3">
        <v>2.8896991075899597E-4</v>
      </c>
      <c r="H837" s="3">
        <v>2.8896991075899597E-4</v>
      </c>
      <c r="I837" s="3">
        <v>1.7794992307458801E-2</v>
      </c>
      <c r="J837" s="3">
        <v>1.48983453720367E-2</v>
      </c>
      <c r="K837" s="3">
        <v>2.03993538260848E-2</v>
      </c>
      <c r="L837" s="3">
        <v>2.1622751008540001E-2</v>
      </c>
      <c r="M837" s="3">
        <v>6.6840832145676297E-3</v>
      </c>
      <c r="N837" s="3">
        <v>8.3512562151333708E-3</v>
      </c>
      <c r="O837" s="3">
        <v>1.0003196017635101E-2</v>
      </c>
      <c r="P837" s="3">
        <v>9.5424746429480407E-3</v>
      </c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x14ac:dyDescent="0.45">
      <c r="A838" s="3" t="s">
        <v>83</v>
      </c>
      <c r="B838" s="3" t="s">
        <v>29</v>
      </c>
      <c r="C838" s="3" t="s">
        <v>17</v>
      </c>
      <c r="D838" s="3" t="s">
        <v>13</v>
      </c>
      <c r="E838" s="3" t="s">
        <v>8</v>
      </c>
      <c r="F838" s="3">
        <v>0</v>
      </c>
      <c r="G838" s="3">
        <v>3.4211632461783699E-3</v>
      </c>
      <c r="H838" s="3">
        <v>3.4211632461783699E-3</v>
      </c>
      <c r="I838" s="3">
        <v>4.6936248630966799E-2</v>
      </c>
      <c r="J838" s="3">
        <v>3.7067953983225703E-2</v>
      </c>
      <c r="K838" s="3">
        <v>1.65884326313364E-2</v>
      </c>
      <c r="L838" s="3">
        <v>1.2619354074258101E-2</v>
      </c>
      <c r="M838" s="3">
        <v>8.4745656013000999E-3</v>
      </c>
      <c r="N838" s="3">
        <v>4.2276143587797596E-3</v>
      </c>
      <c r="O838" s="3">
        <v>1.8501665504791101E-3</v>
      </c>
      <c r="P838" s="3">
        <v>9.5473731109339799E-4</v>
      </c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x14ac:dyDescent="0.45">
      <c r="A839" s="3" t="s">
        <v>83</v>
      </c>
      <c r="B839" s="3" t="s">
        <v>29</v>
      </c>
      <c r="C839" s="3" t="s">
        <v>17</v>
      </c>
      <c r="D839" s="3" t="s">
        <v>14</v>
      </c>
      <c r="E839" s="3" t="s">
        <v>8</v>
      </c>
      <c r="F839" s="3">
        <v>0</v>
      </c>
      <c r="G839" s="3">
        <v>1.63624017731278E-2</v>
      </c>
      <c r="H839" s="3">
        <v>1.63624017731278E-2</v>
      </c>
      <c r="I839" s="3">
        <v>2.3176160798785199E-2</v>
      </c>
      <c r="J839" s="3">
        <v>8.3451777155201506E-3</v>
      </c>
      <c r="K839" s="3">
        <v>1.86388060510707E-3</v>
      </c>
      <c r="L839" s="3">
        <v>3.8689434036104402E-4</v>
      </c>
      <c r="M839" s="3">
        <v>4.6058688628614098E-6</v>
      </c>
      <c r="N839" s="3">
        <v>9.7184449508735906E-7</v>
      </c>
      <c r="O839" s="3">
        <v>1.4357281999388701E-7</v>
      </c>
      <c r="P839" s="3">
        <v>5.95484105914146E-8</v>
      </c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x14ac:dyDescent="0.45">
      <c r="A840" s="3" t="s">
        <v>83</v>
      </c>
      <c r="B840" s="3" t="s">
        <v>29</v>
      </c>
      <c r="C840" s="3" t="s">
        <v>18</v>
      </c>
      <c r="D840" s="3" t="s">
        <v>7</v>
      </c>
      <c r="E840" s="3" t="s">
        <v>8</v>
      </c>
      <c r="F840" s="3">
        <v>9.8660170798960806E-2</v>
      </c>
      <c r="G840" s="3">
        <v>7.3739013460038902E-2</v>
      </c>
      <c r="H840" s="3">
        <v>7.3739013460038902E-2</v>
      </c>
      <c r="I840" s="3">
        <v>4.9159342306692597E-2</v>
      </c>
      <c r="J840" s="3">
        <v>2.4579671153346298E-2</v>
      </c>
      <c r="K840" s="3">
        <v>0</v>
      </c>
      <c r="L840" s="3">
        <v>5.7011682512983005E-17</v>
      </c>
      <c r="M840" s="3">
        <v>0</v>
      </c>
      <c r="N840" s="3">
        <v>9.5019470854971999E-18</v>
      </c>
      <c r="O840" s="3">
        <v>0</v>
      </c>
      <c r="P840" s="3">
        <v>3.8007788341988701E-17</v>
      </c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x14ac:dyDescent="0.45">
      <c r="A841" s="3" t="s">
        <v>83</v>
      </c>
      <c r="B841" s="3" t="s">
        <v>29</v>
      </c>
      <c r="C841" s="3" t="s">
        <v>18</v>
      </c>
      <c r="D841" s="3" t="s">
        <v>9</v>
      </c>
      <c r="E841" s="3" t="s">
        <v>8</v>
      </c>
      <c r="F841" s="3">
        <v>0</v>
      </c>
      <c r="G841" s="3">
        <v>0</v>
      </c>
      <c r="H841" s="3">
        <v>0</v>
      </c>
      <c r="I841" s="3">
        <v>0</v>
      </c>
      <c r="J841" s="3">
        <v>-8.6736173798840404E-17</v>
      </c>
      <c r="K841" s="3">
        <v>0</v>
      </c>
      <c r="L841" s="3">
        <v>-1.9003894170994301E-17</v>
      </c>
      <c r="M841" s="3">
        <v>9.5019470854971999E-18</v>
      </c>
      <c r="N841" s="3">
        <v>-9.5019470854971999E-18</v>
      </c>
      <c r="O841" s="3">
        <v>9.5019470854971999E-18</v>
      </c>
      <c r="P841" s="3">
        <v>-3.8007788341988701E-17</v>
      </c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x14ac:dyDescent="0.45">
      <c r="A842" s="3" t="s">
        <v>83</v>
      </c>
      <c r="B842" s="3" t="s">
        <v>29</v>
      </c>
      <c r="C842" s="3" t="s">
        <v>18</v>
      </c>
      <c r="D842" s="3" t="s">
        <v>10</v>
      </c>
      <c r="E842" s="3" t="s">
        <v>8</v>
      </c>
      <c r="F842" s="3">
        <v>0</v>
      </c>
      <c r="G842" s="3">
        <v>0</v>
      </c>
      <c r="H842" s="3">
        <v>0</v>
      </c>
      <c r="I842" s="3">
        <v>0</v>
      </c>
      <c r="J842" s="3">
        <v>8.6736173798840404E-17</v>
      </c>
      <c r="K842" s="3">
        <v>5.7011682512983005E-17</v>
      </c>
      <c r="L842" s="3">
        <v>-3.8007788341988701E-17</v>
      </c>
      <c r="M842" s="3">
        <v>-9.5019470854971999E-18</v>
      </c>
      <c r="N842" s="3">
        <v>0</v>
      </c>
      <c r="O842" s="3">
        <v>-9.5019470854971999E-18</v>
      </c>
      <c r="P842" s="3">
        <v>0</v>
      </c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x14ac:dyDescent="0.45">
      <c r="A843" s="3" t="s">
        <v>83</v>
      </c>
      <c r="B843" s="3" t="s">
        <v>29</v>
      </c>
      <c r="C843" s="3" t="s">
        <v>18</v>
      </c>
      <c r="D843" s="3" t="s">
        <v>11</v>
      </c>
      <c r="E843" s="3" t="s">
        <v>8</v>
      </c>
      <c r="F843" s="3">
        <v>0</v>
      </c>
      <c r="G843" s="3">
        <v>8.3266726846886704E-17</v>
      </c>
      <c r="H843" s="3">
        <v>8.3266726846886704E-17</v>
      </c>
      <c r="I843" s="3">
        <v>0</v>
      </c>
      <c r="J843" s="3">
        <v>0</v>
      </c>
      <c r="K843" s="3">
        <v>-1.9003894170994301E-17</v>
      </c>
      <c r="L843" s="3">
        <v>1.9003894170994301E-17</v>
      </c>
      <c r="M843" s="3">
        <v>4.7509735427485801E-17</v>
      </c>
      <c r="N843" s="3">
        <v>9.5019470854971999E-18</v>
      </c>
      <c r="O843" s="3">
        <v>5.7011682512983005E-17</v>
      </c>
      <c r="P843" s="3">
        <v>0</v>
      </c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x14ac:dyDescent="0.45">
      <c r="A844" s="3" t="s">
        <v>83</v>
      </c>
      <c r="B844" s="3" t="s">
        <v>29</v>
      </c>
      <c r="C844" s="3" t="s">
        <v>18</v>
      </c>
      <c r="D844" s="3" t="s">
        <v>12</v>
      </c>
      <c r="E844" s="3" t="s">
        <v>8</v>
      </c>
      <c r="F844" s="3">
        <v>0</v>
      </c>
      <c r="G844" s="3">
        <v>0</v>
      </c>
      <c r="H844" s="3">
        <v>0</v>
      </c>
      <c r="I844" s="3">
        <v>8.3266726846886704E-17</v>
      </c>
      <c r="J844" s="3">
        <v>8.6736173798840404E-17</v>
      </c>
      <c r="K844" s="3">
        <v>-3.8007788341988701E-17</v>
      </c>
      <c r="L844" s="3">
        <v>-1.9003894170994301E-17</v>
      </c>
      <c r="M844" s="3">
        <v>3.8007788341988701E-17</v>
      </c>
      <c r="N844" s="3">
        <v>3.8007788341988602E-17</v>
      </c>
      <c r="O844" s="3">
        <v>2.8505841256491502E-17</v>
      </c>
      <c r="P844" s="3">
        <v>0</v>
      </c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x14ac:dyDescent="0.45">
      <c r="A845" s="3" t="s">
        <v>83</v>
      </c>
      <c r="B845" s="3" t="s">
        <v>29</v>
      </c>
      <c r="C845" s="3" t="s">
        <v>18</v>
      </c>
      <c r="D845" s="3" t="s">
        <v>13</v>
      </c>
      <c r="E845" s="3" t="s">
        <v>8</v>
      </c>
      <c r="F845" s="3">
        <v>0</v>
      </c>
      <c r="G845" s="3">
        <v>0</v>
      </c>
      <c r="H845" s="3">
        <v>0</v>
      </c>
      <c r="I845" s="3">
        <v>-8.3266726846886704E-17</v>
      </c>
      <c r="J845" s="3">
        <v>8.3266726846886704E-17</v>
      </c>
      <c r="K845" s="3">
        <v>1.9003894170994301E-17</v>
      </c>
      <c r="L845" s="3">
        <v>3.8007788341988701E-17</v>
      </c>
      <c r="M845" s="3">
        <v>-1.9003894170994301E-17</v>
      </c>
      <c r="N845" s="3">
        <v>-9.5019470854971105E-18</v>
      </c>
      <c r="O845" s="3">
        <v>-6.6513629598480197E-17</v>
      </c>
      <c r="P845" s="3">
        <v>5.7011682512983005E-17</v>
      </c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x14ac:dyDescent="0.45">
      <c r="A846" s="3" t="s">
        <v>83</v>
      </c>
      <c r="B846" s="3" t="s">
        <v>29</v>
      </c>
      <c r="C846" s="3" t="s">
        <v>18</v>
      </c>
      <c r="D846" s="3" t="s">
        <v>14</v>
      </c>
      <c r="E846" s="3" t="s">
        <v>8</v>
      </c>
      <c r="F846" s="3">
        <v>0</v>
      </c>
      <c r="G846" s="3">
        <v>0</v>
      </c>
      <c r="H846" s="3">
        <v>0</v>
      </c>
      <c r="I846" s="3">
        <v>0</v>
      </c>
      <c r="J846" s="3">
        <v>-1.70002900645727E-16</v>
      </c>
      <c r="K846" s="3">
        <v>-1.9003894170994301E-17</v>
      </c>
      <c r="L846" s="3">
        <v>5.7011682512983301E-17</v>
      </c>
      <c r="M846" s="3">
        <v>4.7509735427485998E-17</v>
      </c>
      <c r="N846" s="3">
        <v>-3.8007788341988701E-17</v>
      </c>
      <c r="O846" s="3">
        <v>-1.9003894170994301E-17</v>
      </c>
      <c r="P846" s="3">
        <v>9.5019470854971601E-17</v>
      </c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x14ac:dyDescent="0.45">
      <c r="A847" s="3" t="s">
        <v>83</v>
      </c>
      <c r="B847" s="3" t="s">
        <v>29</v>
      </c>
      <c r="C847" s="3" t="s">
        <v>19</v>
      </c>
      <c r="D847" s="3" t="s">
        <v>7</v>
      </c>
      <c r="E847" s="3" t="s">
        <v>8</v>
      </c>
      <c r="F847" s="3">
        <v>3.5589762964350498E-3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1.90497784994212E-4</v>
      </c>
      <c r="O847" s="3">
        <v>0</v>
      </c>
      <c r="P847" s="3">
        <v>5.9560016887803E-4</v>
      </c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x14ac:dyDescent="0.45">
      <c r="A848" s="3" t="s">
        <v>83</v>
      </c>
      <c r="B848" s="3" t="s">
        <v>29</v>
      </c>
      <c r="C848" s="3" t="s">
        <v>19</v>
      </c>
      <c r="D848" s="3" t="s">
        <v>9</v>
      </c>
      <c r="E848" s="3" t="s">
        <v>8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1.1195897920674199E-3</v>
      </c>
      <c r="O848" s="3">
        <v>1.347703548863E-3</v>
      </c>
      <c r="P848" s="3">
        <v>7.3358349260580695E-4</v>
      </c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x14ac:dyDescent="0.45">
      <c r="A849" s="3" t="s">
        <v>83</v>
      </c>
      <c r="B849" s="3" t="s">
        <v>29</v>
      </c>
      <c r="C849" s="3" t="s">
        <v>19</v>
      </c>
      <c r="D849" s="3" t="s">
        <v>10</v>
      </c>
      <c r="E849" s="3" t="s">
        <v>8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6.4878196878449996E-4</v>
      </c>
      <c r="M849" s="3">
        <v>1.09584095613569E-3</v>
      </c>
      <c r="N849" s="3">
        <v>7.4531087890013902E-3</v>
      </c>
      <c r="O849" s="3">
        <v>1.0105719335593399E-2</v>
      </c>
      <c r="P849" s="3">
        <v>1.3339487213495401E-2</v>
      </c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x14ac:dyDescent="0.45">
      <c r="A850" s="3" t="s">
        <v>83</v>
      </c>
      <c r="B850" s="3" t="s">
        <v>29</v>
      </c>
      <c r="C850" s="3" t="s">
        <v>19</v>
      </c>
      <c r="D850" s="3" t="s">
        <v>11</v>
      </c>
      <c r="E850" s="3" t="s">
        <v>8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8.8561815130337295E-3</v>
      </c>
      <c r="M850" s="3">
        <v>1.56776248560835E-2</v>
      </c>
      <c r="N850" s="3">
        <v>1.73261570910581E-2</v>
      </c>
      <c r="O850" s="3">
        <v>1.8176529598826902E-2</v>
      </c>
      <c r="P850" s="3">
        <v>1.7518660117116901E-2</v>
      </c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x14ac:dyDescent="0.45">
      <c r="A851" s="3" t="s">
        <v>83</v>
      </c>
      <c r="B851" s="3" t="s">
        <v>29</v>
      </c>
      <c r="C851" s="3" t="s">
        <v>19</v>
      </c>
      <c r="D851" s="3" t="s">
        <v>12</v>
      </c>
      <c r="E851" s="3" t="s">
        <v>8</v>
      </c>
      <c r="F851" s="3">
        <v>0</v>
      </c>
      <c r="G851" s="3">
        <v>0</v>
      </c>
      <c r="H851" s="3">
        <v>0</v>
      </c>
      <c r="I851" s="3">
        <v>0</v>
      </c>
      <c r="J851" s="3">
        <v>7.4271502067523804E-3</v>
      </c>
      <c r="K851" s="3">
        <v>1.2788958540802999E-2</v>
      </c>
      <c r="L851" s="3">
        <v>2.18453148698886E-2</v>
      </c>
      <c r="M851" s="3">
        <v>1.95653539520497E-2</v>
      </c>
      <c r="N851" s="3">
        <v>1.9325984242900902E-2</v>
      </c>
      <c r="O851" s="3">
        <v>2.0218664424226901E-2</v>
      </c>
      <c r="P851" s="3">
        <v>1.9080162459445799E-2</v>
      </c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x14ac:dyDescent="0.45">
      <c r="A852" s="3" t="s">
        <v>83</v>
      </c>
      <c r="B852" s="3" t="s">
        <v>29</v>
      </c>
      <c r="C852" s="3" t="s">
        <v>19</v>
      </c>
      <c r="D852" s="3" t="s">
        <v>13</v>
      </c>
      <c r="E852" s="3" t="s">
        <v>8</v>
      </c>
      <c r="F852" s="3">
        <v>0</v>
      </c>
      <c r="G852" s="3">
        <v>0</v>
      </c>
      <c r="H852" s="3">
        <v>0</v>
      </c>
      <c r="I852" s="3">
        <v>1.7054860129456399E-2</v>
      </c>
      <c r="J852" s="3">
        <v>6.4661945913725802E-2</v>
      </c>
      <c r="K852" s="3">
        <v>6.7330538502265502E-2</v>
      </c>
      <c r="L852" s="3">
        <v>4.4211618351966298E-2</v>
      </c>
      <c r="M852" s="3">
        <v>2.87432664596915E-2</v>
      </c>
      <c r="N852" s="3">
        <v>1.0823903391241001E-2</v>
      </c>
      <c r="O852" s="3">
        <v>5.1166493645022799E-3</v>
      </c>
      <c r="P852" s="3">
        <v>2.3168420348097002E-3</v>
      </c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x14ac:dyDescent="0.45">
      <c r="A853" s="3" t="s">
        <v>83</v>
      </c>
      <c r="B853" s="3" t="s">
        <v>29</v>
      </c>
      <c r="C853" s="3" t="s">
        <v>19</v>
      </c>
      <c r="D853" s="3" t="s">
        <v>14</v>
      </c>
      <c r="E853" s="3" t="s">
        <v>8</v>
      </c>
      <c r="F853" s="3">
        <v>0</v>
      </c>
      <c r="G853" s="3">
        <v>7.1102452319519597E-3</v>
      </c>
      <c r="H853" s="3">
        <v>7.1102452319519597E-3</v>
      </c>
      <c r="I853" s="3">
        <v>0.10525270481999099</v>
      </c>
      <c r="J853" s="3">
        <v>4.7793451411528798E-2</v>
      </c>
      <c r="K853" s="3">
        <v>2.77547997909071E-2</v>
      </c>
      <c r="L853" s="3">
        <v>2.6707776992205001E-2</v>
      </c>
      <c r="M853" s="3">
        <v>2.9884313410814801E-2</v>
      </c>
      <c r="N853" s="3">
        <v>2.8496952378221401E-2</v>
      </c>
      <c r="O853" s="3">
        <v>2.3527809939803399E-2</v>
      </c>
      <c r="P853" s="3">
        <v>2.39488760129602E-2</v>
      </c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x14ac:dyDescent="0.45">
      <c r="A854" s="3" t="s">
        <v>84</v>
      </c>
      <c r="B854" s="3" t="s">
        <v>29</v>
      </c>
      <c r="C854" s="3" t="s">
        <v>6</v>
      </c>
      <c r="D854" s="3" t="s">
        <v>7</v>
      </c>
      <c r="E854" s="3" t="s">
        <v>8</v>
      </c>
      <c r="F854" s="3">
        <v>0</v>
      </c>
      <c r="G854" s="3">
        <v>0</v>
      </c>
      <c r="H854" s="3">
        <v>0</v>
      </c>
      <c r="I854" s="3">
        <v>0</v>
      </c>
      <c r="J854" s="3">
        <v>7.4491011322056101E-5</v>
      </c>
      <c r="K854" s="3">
        <v>1.02279800382032E-4</v>
      </c>
      <c r="L854" s="3">
        <v>2.5241424051012499E-5</v>
      </c>
      <c r="M854" s="3">
        <v>2.5241424051012601E-5</v>
      </c>
      <c r="N854" s="3">
        <v>2.0389569190847999E-5</v>
      </c>
      <c r="O854" s="3">
        <v>1.6310891388817801E-5</v>
      </c>
      <c r="P854" s="3">
        <v>1.3068860464914801E-5</v>
      </c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x14ac:dyDescent="0.45">
      <c r="A855" s="3" t="s">
        <v>84</v>
      </c>
      <c r="B855" s="3" t="s">
        <v>29</v>
      </c>
      <c r="C855" s="3" t="s">
        <v>6</v>
      </c>
      <c r="D855" s="3" t="s">
        <v>9</v>
      </c>
      <c r="E855" s="3" t="s">
        <v>8</v>
      </c>
      <c r="F855" s="3">
        <v>0</v>
      </c>
      <c r="G855" s="3">
        <v>0</v>
      </c>
      <c r="H855" s="3">
        <v>0</v>
      </c>
      <c r="I855" s="3">
        <v>0</v>
      </c>
      <c r="J855" s="3">
        <v>7.0158703858816407E-5</v>
      </c>
      <c r="K855" s="3">
        <v>1.68999794457912E-4</v>
      </c>
      <c r="L855" s="3">
        <v>2.1094967917009E-4</v>
      </c>
      <c r="M855" s="3">
        <v>2.1094967917009E-4</v>
      </c>
      <c r="N855" s="3">
        <v>2.0441634145432799E-4</v>
      </c>
      <c r="O855" s="3">
        <v>2.0837476386916301E-4</v>
      </c>
      <c r="P855" s="3">
        <v>2.11616794793066E-4</v>
      </c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x14ac:dyDescent="0.45">
      <c r="A856" s="3" t="s">
        <v>84</v>
      </c>
      <c r="B856" s="3" t="s">
        <v>29</v>
      </c>
      <c r="C856" s="3" t="s">
        <v>6</v>
      </c>
      <c r="D856" s="3" t="s">
        <v>10</v>
      </c>
      <c r="E856" s="3" t="s">
        <v>8</v>
      </c>
      <c r="F856" s="3">
        <v>0</v>
      </c>
      <c r="G856" s="3">
        <v>0</v>
      </c>
      <c r="H856" s="3">
        <v>0</v>
      </c>
      <c r="I856" s="3">
        <v>8.3877375028495902E-6</v>
      </c>
      <c r="J856" s="3">
        <v>1.80885651262107E-4</v>
      </c>
      <c r="K856" s="3">
        <v>1.8238668452220101E-4</v>
      </c>
      <c r="L856" s="3">
        <v>1.8599605683858401E-4</v>
      </c>
      <c r="M856" s="3">
        <v>1.8599605683858401E-4</v>
      </c>
      <c r="N856" s="3">
        <v>1.3095261021751901E-3</v>
      </c>
      <c r="O856" s="3">
        <v>2.9639456915534902E-3</v>
      </c>
      <c r="P856" s="3">
        <v>9.2023432293645395E-3</v>
      </c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x14ac:dyDescent="0.45">
      <c r="A857" s="3" t="s">
        <v>84</v>
      </c>
      <c r="B857" s="3" t="s">
        <v>29</v>
      </c>
      <c r="C857" s="3" t="s">
        <v>6</v>
      </c>
      <c r="D857" s="3" t="s">
        <v>11</v>
      </c>
      <c r="E857" s="3" t="s">
        <v>8</v>
      </c>
      <c r="F857" s="3">
        <v>0</v>
      </c>
      <c r="G857" s="3">
        <v>0</v>
      </c>
      <c r="H857" s="3">
        <v>0</v>
      </c>
      <c r="I857" s="3">
        <v>1.3776357483948E-4</v>
      </c>
      <c r="J857" s="3">
        <v>1.88064868428948E-4</v>
      </c>
      <c r="K857" s="3">
        <v>2.0317108221521501E-4</v>
      </c>
      <c r="L857" s="3">
        <v>2.1701938219940301E-3</v>
      </c>
      <c r="M857" s="3">
        <v>8.9381665705106205E-3</v>
      </c>
      <c r="N857" s="3">
        <v>1.48628401782934E-2</v>
      </c>
      <c r="O857" s="3">
        <v>2.06452709053178E-2</v>
      </c>
      <c r="P857" s="3">
        <v>2.9655384003752099E-2</v>
      </c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x14ac:dyDescent="0.45">
      <c r="A858" s="3" t="s">
        <v>84</v>
      </c>
      <c r="B858" s="3" t="s">
        <v>29</v>
      </c>
      <c r="C858" s="3" t="s">
        <v>6</v>
      </c>
      <c r="D858" s="3" t="s">
        <v>12</v>
      </c>
      <c r="E858" s="3" t="s">
        <v>8</v>
      </c>
      <c r="F858" s="3">
        <v>0</v>
      </c>
      <c r="G858" s="3">
        <v>0</v>
      </c>
      <c r="H858" s="3">
        <v>0</v>
      </c>
      <c r="I858" s="3">
        <v>2.4024711856994899E-4</v>
      </c>
      <c r="J858" s="3">
        <v>1.2008007429078901E-3</v>
      </c>
      <c r="K858" s="3">
        <v>8.8153250704705692E-3</v>
      </c>
      <c r="L858" s="3">
        <v>1.4812733875385301E-2</v>
      </c>
      <c r="M858" s="3">
        <v>3.26223486745068E-2</v>
      </c>
      <c r="N858" s="3">
        <v>5.3022885513465901E-2</v>
      </c>
      <c r="O858" s="3">
        <v>7.2318289749739403E-2</v>
      </c>
      <c r="P858" s="3">
        <v>8.1988497781847594E-2</v>
      </c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x14ac:dyDescent="0.45">
      <c r="A859" s="3" t="s">
        <v>84</v>
      </c>
      <c r="B859" s="3" t="s">
        <v>29</v>
      </c>
      <c r="C859" s="3" t="s">
        <v>6</v>
      </c>
      <c r="D859" s="3" t="s">
        <v>13</v>
      </c>
      <c r="E859" s="3" t="s">
        <v>8</v>
      </c>
      <c r="F859" s="3">
        <v>0</v>
      </c>
      <c r="G859" s="3">
        <v>2.82678653225412E-5</v>
      </c>
      <c r="H859" s="3">
        <v>2.82678653225412E-5</v>
      </c>
      <c r="I859" s="3">
        <v>8.3838031080847898E-3</v>
      </c>
      <c r="J859" s="3">
        <v>3.7491755943207403E-2</v>
      </c>
      <c r="K859" s="3">
        <v>6.0368678396701902E-2</v>
      </c>
      <c r="L859" s="3">
        <v>8.1288803575984406E-2</v>
      </c>
      <c r="M859" s="3">
        <v>8.1948030845161501E-2</v>
      </c>
      <c r="N859" s="3">
        <v>7.9042858947960107E-2</v>
      </c>
      <c r="O859" s="3">
        <v>7.7410580895389297E-2</v>
      </c>
      <c r="P859" s="3">
        <v>7.71765145138536E-2</v>
      </c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x14ac:dyDescent="0.45">
      <c r="A860" s="3" t="s">
        <v>84</v>
      </c>
      <c r="B860" s="3" t="s">
        <v>29</v>
      </c>
      <c r="C860" s="3" t="s">
        <v>6</v>
      </c>
      <c r="D860" s="3" t="s">
        <v>14</v>
      </c>
      <c r="E860" s="3" t="s">
        <v>8</v>
      </c>
      <c r="F860" s="3">
        <v>0</v>
      </c>
      <c r="G860" s="3">
        <v>1.07041284400577E-3</v>
      </c>
      <c r="H860" s="3">
        <v>1.07041284400577E-3</v>
      </c>
      <c r="I860" s="3">
        <v>2.5991687003425499E-2</v>
      </c>
      <c r="J860" s="3">
        <v>2.7402103759578401E-2</v>
      </c>
      <c r="K860" s="3">
        <v>2.8506439590009099E-2</v>
      </c>
      <c r="L860" s="3">
        <v>3.25674212337407E-2</v>
      </c>
      <c r="M860" s="3">
        <v>4.21253957569366E-2</v>
      </c>
      <c r="N860" s="3">
        <v>5.4066897168021599E-2</v>
      </c>
      <c r="O860" s="3">
        <v>6.3632086508640495E-2</v>
      </c>
      <c r="P860" s="3">
        <v>7.0013367387552705E-2</v>
      </c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x14ac:dyDescent="0.45">
      <c r="A861" s="3" t="s">
        <v>84</v>
      </c>
      <c r="B861" s="3" t="s">
        <v>29</v>
      </c>
      <c r="C861" s="3" t="s">
        <v>15</v>
      </c>
      <c r="D861" s="3" t="s">
        <v>7</v>
      </c>
      <c r="E861" s="3" t="s">
        <v>8</v>
      </c>
      <c r="F861" s="3">
        <v>4.5382260082442102E-2</v>
      </c>
      <c r="G861" s="3">
        <v>5.0143567942897899E-2</v>
      </c>
      <c r="H861" s="3">
        <v>5.0143567942897899E-2</v>
      </c>
      <c r="I861" s="3">
        <v>5.3898738467592099E-2</v>
      </c>
      <c r="J861" s="3">
        <v>5.6875390808532801E-2</v>
      </c>
      <c r="K861" s="3">
        <v>5.96888874161004E-2</v>
      </c>
      <c r="L861" s="3">
        <v>6.2097907642215101E-2</v>
      </c>
      <c r="M861" s="3">
        <v>6.4741040437106295E-2</v>
      </c>
      <c r="N861" s="3">
        <v>6.5913797639121002E-2</v>
      </c>
      <c r="O861" s="3">
        <v>6.7140558478290896E-2</v>
      </c>
      <c r="P861" s="3">
        <v>6.8155896075680594E-2</v>
      </c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x14ac:dyDescent="0.45">
      <c r="A862" s="3" t="s">
        <v>84</v>
      </c>
      <c r="B862" s="3" t="s">
        <v>29</v>
      </c>
      <c r="C862" s="3" t="s">
        <v>15</v>
      </c>
      <c r="D862" s="3" t="s">
        <v>9</v>
      </c>
      <c r="E862" s="3" t="s">
        <v>8</v>
      </c>
      <c r="F862" s="3">
        <v>0</v>
      </c>
      <c r="G862" s="3">
        <v>-5.5200374444792901E-5</v>
      </c>
      <c r="H862" s="3">
        <v>-5.5200374444792901E-5</v>
      </c>
      <c r="I862" s="3">
        <v>-1.6615007862814899E-4</v>
      </c>
      <c r="J862" s="3">
        <v>-3.4225161920704898E-4</v>
      </c>
      <c r="K862" s="3">
        <v>-1.0846063510906E-4</v>
      </c>
      <c r="L862" s="3">
        <v>-7.3662308088489497E-4</v>
      </c>
      <c r="M862" s="3">
        <v>-1.0623519042405501E-3</v>
      </c>
      <c r="N862" s="3">
        <v>-1.1108210206626501E-3</v>
      </c>
      <c r="O862" s="3">
        <v>-1.7257629551029299E-3</v>
      </c>
      <c r="P862" s="3">
        <v>-2.38914218263413E-3</v>
      </c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x14ac:dyDescent="0.45">
      <c r="A863" s="3" t="s">
        <v>84</v>
      </c>
      <c r="B863" s="3" t="s">
        <v>29</v>
      </c>
      <c r="C863" s="3" t="s">
        <v>15</v>
      </c>
      <c r="D863" s="3" t="s">
        <v>10</v>
      </c>
      <c r="E863" s="3" t="s">
        <v>8</v>
      </c>
      <c r="F863" s="3">
        <v>0</v>
      </c>
      <c r="G863" s="3">
        <v>-1.0128068553133499E-6</v>
      </c>
      <c r="H863" s="3">
        <v>-1.0128068553133499E-6</v>
      </c>
      <c r="I863" s="3">
        <v>-6.6518673348704704E-5</v>
      </c>
      <c r="J863" s="3">
        <v>-2.2708692398829699E-4</v>
      </c>
      <c r="K863" s="3">
        <v>-3.3660307375150999E-4</v>
      </c>
      <c r="L863" s="3">
        <v>-9.3898319648982902E-5</v>
      </c>
      <c r="M863" s="3">
        <v>-7.5052351663465499E-4</v>
      </c>
      <c r="N863" s="3">
        <v>6.0168943472388404E-4</v>
      </c>
      <c r="O863" s="3">
        <v>3.2837238893659903E-4</v>
      </c>
      <c r="P863" s="3">
        <v>4.3661697293155598E-4</v>
      </c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x14ac:dyDescent="0.45">
      <c r="A864" s="3" t="s">
        <v>84</v>
      </c>
      <c r="B864" s="3" t="s">
        <v>29</v>
      </c>
      <c r="C864" s="3" t="s">
        <v>15</v>
      </c>
      <c r="D864" s="3" t="s">
        <v>11</v>
      </c>
      <c r="E864" s="3" t="s">
        <v>8</v>
      </c>
      <c r="F864" s="3">
        <v>0</v>
      </c>
      <c r="G864" s="3">
        <v>3.9720193491798997E-6</v>
      </c>
      <c r="H864" s="3">
        <v>3.9720193491798997E-6</v>
      </c>
      <c r="I864" s="3">
        <v>-8.3850752638121902E-5</v>
      </c>
      <c r="J864" s="3">
        <v>1.02825578118311E-4</v>
      </c>
      <c r="K864" s="3">
        <v>-2.0437637038368101E-4</v>
      </c>
      <c r="L864" s="3">
        <v>5.5215782050614703E-4</v>
      </c>
      <c r="M864" s="3">
        <v>1.4228895865442701E-3</v>
      </c>
      <c r="N864" s="3">
        <v>8.3827428985604202E-4</v>
      </c>
      <c r="O864" s="3">
        <v>9.5032832540307998E-4</v>
      </c>
      <c r="P864" s="3">
        <v>1.07931747411176E-3</v>
      </c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x14ac:dyDescent="0.45">
      <c r="A865" s="3" t="s">
        <v>84</v>
      </c>
      <c r="B865" s="3" t="s">
        <v>29</v>
      </c>
      <c r="C865" s="3" t="s">
        <v>15</v>
      </c>
      <c r="D865" s="3" t="s">
        <v>12</v>
      </c>
      <c r="E865" s="3" t="s">
        <v>8</v>
      </c>
      <c r="F865" s="3">
        <v>0</v>
      </c>
      <c r="G865" s="3">
        <v>1.7058525978094801E-6</v>
      </c>
      <c r="H865" s="3">
        <v>1.7058525978094801E-6</v>
      </c>
      <c r="I865" s="3">
        <v>-2.8325577395261998E-4</v>
      </c>
      <c r="J865" s="3">
        <v>-4.6224420757835803E-5</v>
      </c>
      <c r="K865" s="3">
        <v>2.25381615248259E-3</v>
      </c>
      <c r="L865" s="3">
        <v>2.2651944898893798E-3</v>
      </c>
      <c r="M865" s="3">
        <v>2.1998894303107801E-3</v>
      </c>
      <c r="N865" s="3">
        <v>1.3245792152006401E-3</v>
      </c>
      <c r="O865" s="3">
        <v>1.64999697034705E-3</v>
      </c>
      <c r="P865" s="3">
        <v>1.6417449763554701E-3</v>
      </c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x14ac:dyDescent="0.45">
      <c r="A866" s="3" t="s">
        <v>84</v>
      </c>
      <c r="B866" s="3" t="s">
        <v>29</v>
      </c>
      <c r="C866" s="3" t="s">
        <v>15</v>
      </c>
      <c r="D866" s="3" t="s">
        <v>13</v>
      </c>
      <c r="E866" s="3" t="s">
        <v>8</v>
      </c>
      <c r="F866" s="3">
        <v>0</v>
      </c>
      <c r="G866" s="3">
        <v>-3.6537932479528701E-4</v>
      </c>
      <c r="H866" s="3">
        <v>-3.6537932479528701E-4</v>
      </c>
      <c r="I866" s="3">
        <v>2.91550158372507E-3</v>
      </c>
      <c r="J866" s="3">
        <v>3.0703388023293702E-3</v>
      </c>
      <c r="K866" s="3">
        <v>3.0944295491724299E-4</v>
      </c>
      <c r="L866" s="3">
        <v>-1.08316058176183E-4</v>
      </c>
      <c r="M866" s="3">
        <v>2.1138852144177199E-4</v>
      </c>
      <c r="N866" s="3">
        <v>1.22710263722733E-3</v>
      </c>
      <c r="O866" s="3">
        <v>1.28046524566133E-3</v>
      </c>
      <c r="P866" s="3">
        <v>1.0718207605673899E-3</v>
      </c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x14ac:dyDescent="0.45">
      <c r="A867" s="3" t="s">
        <v>84</v>
      </c>
      <c r="B867" s="3" t="s">
        <v>29</v>
      </c>
      <c r="C867" s="3" t="s">
        <v>15</v>
      </c>
      <c r="D867" s="3" t="s">
        <v>14</v>
      </c>
      <c r="E867" s="3" t="s">
        <v>8</v>
      </c>
      <c r="F867" s="3">
        <v>0</v>
      </c>
      <c r="G867" s="3">
        <v>8.7599790365306502E-4</v>
      </c>
      <c r="H867" s="3">
        <v>8.7599790365306502E-4</v>
      </c>
      <c r="I867" s="3">
        <v>-1.6269769154623301E-3</v>
      </c>
      <c r="J867" s="3">
        <v>-2.86402206972296E-3</v>
      </c>
      <c r="K867" s="3">
        <v>-3.2703319891019601E-3</v>
      </c>
      <c r="L867" s="3">
        <v>-4.3043702627728296E-3</v>
      </c>
      <c r="M867" s="3">
        <v>-5.0591557937888004E-3</v>
      </c>
      <c r="N867" s="3">
        <v>-4.94726786810765E-3</v>
      </c>
      <c r="O867" s="3">
        <v>-4.2574390278617598E-3</v>
      </c>
      <c r="P867" s="3">
        <v>-4.2656882975720704E-3</v>
      </c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x14ac:dyDescent="0.45">
      <c r="A868" s="3" t="s">
        <v>84</v>
      </c>
      <c r="B868" s="3" t="s">
        <v>29</v>
      </c>
      <c r="C868" s="3" t="s">
        <v>16</v>
      </c>
      <c r="D868" s="3" t="s">
        <v>7</v>
      </c>
      <c r="E868" s="3" t="s">
        <v>8</v>
      </c>
      <c r="F868" s="3">
        <v>1.9373252749193999E-2</v>
      </c>
      <c r="G868" s="3">
        <v>2.0680989421345799E-2</v>
      </c>
      <c r="H868" s="3">
        <v>2.0680989421345799E-2</v>
      </c>
      <c r="I868" s="3">
        <v>1.9996321347260398E-2</v>
      </c>
      <c r="J868" s="3">
        <v>1.9356356705064501E-2</v>
      </c>
      <c r="K868" s="3">
        <v>1.9090553275153299E-2</v>
      </c>
      <c r="L868" s="3">
        <v>1.9037247578730699E-2</v>
      </c>
      <c r="M868" s="3">
        <v>1.89045903694188E-2</v>
      </c>
      <c r="N868" s="3">
        <v>1.8869329824132499E-2</v>
      </c>
      <c r="O868" s="3">
        <v>1.88693298241326E-2</v>
      </c>
      <c r="P868" s="3">
        <v>1.88693298241326E-2</v>
      </c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x14ac:dyDescent="0.45">
      <c r="A869" s="3" t="s">
        <v>84</v>
      </c>
      <c r="B869" s="3" t="s">
        <v>29</v>
      </c>
      <c r="C869" s="3" t="s">
        <v>16</v>
      </c>
      <c r="D869" s="3" t="s">
        <v>9</v>
      </c>
      <c r="E869" s="3" t="s">
        <v>8</v>
      </c>
      <c r="F869" s="3">
        <v>0</v>
      </c>
      <c r="G869" s="3">
        <v>-5.1227776037068901E-6</v>
      </c>
      <c r="H869" s="3">
        <v>-5.1227776037068901E-6</v>
      </c>
      <c r="I869" s="3">
        <v>0</v>
      </c>
      <c r="J869" s="3">
        <v>3.6923055476246303E-5</v>
      </c>
      <c r="K869" s="3">
        <v>5.9493932700709099E-6</v>
      </c>
      <c r="L869" s="3">
        <v>3.7731561288445499E-5</v>
      </c>
      <c r="M869" s="3">
        <v>7.3964920333773694E-5</v>
      </c>
      <c r="N869" s="3">
        <v>-1.55449631802279E-3</v>
      </c>
      <c r="O869" s="3">
        <v>-1.5544963180228199E-3</v>
      </c>
      <c r="P869" s="3">
        <v>-1.5544963180228199E-3</v>
      </c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x14ac:dyDescent="0.45">
      <c r="A870" s="3" t="s">
        <v>84</v>
      </c>
      <c r="B870" s="3" t="s">
        <v>29</v>
      </c>
      <c r="C870" s="3" t="s">
        <v>16</v>
      </c>
      <c r="D870" s="3" t="s">
        <v>10</v>
      </c>
      <c r="E870" s="3" t="s">
        <v>8</v>
      </c>
      <c r="F870" s="3">
        <v>0</v>
      </c>
      <c r="G870" s="3">
        <v>-2.7755575615628901E-17</v>
      </c>
      <c r="H870" s="3">
        <v>-2.7755575615628901E-17</v>
      </c>
      <c r="I870" s="3">
        <v>0</v>
      </c>
      <c r="J870" s="3">
        <v>3.61716730891901E-5</v>
      </c>
      <c r="K870" s="3">
        <v>9.9877671876080799E-6</v>
      </c>
      <c r="L870" s="3">
        <v>-1.6192910731368201E-3</v>
      </c>
      <c r="M870" s="3">
        <v>-1.6046538389299901E-3</v>
      </c>
      <c r="N870" s="3">
        <v>5.9067944712856001E-5</v>
      </c>
      <c r="O870" s="3">
        <v>5.9067944712824803E-5</v>
      </c>
      <c r="P870" s="3">
        <v>5.9067944712856001E-5</v>
      </c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x14ac:dyDescent="0.45">
      <c r="A871" s="3" t="s">
        <v>84</v>
      </c>
      <c r="B871" s="3" t="s">
        <v>29</v>
      </c>
      <c r="C871" s="3" t="s">
        <v>16</v>
      </c>
      <c r="D871" s="3" t="s">
        <v>11</v>
      </c>
      <c r="E871" s="3" t="s">
        <v>8</v>
      </c>
      <c r="F871" s="3">
        <v>0</v>
      </c>
      <c r="G871" s="3">
        <v>2.7755575615628901E-17</v>
      </c>
      <c r="H871" s="3">
        <v>2.7755575615628901E-17</v>
      </c>
      <c r="I871" s="3">
        <v>0</v>
      </c>
      <c r="J871" s="3">
        <v>-1.6606349305397299E-3</v>
      </c>
      <c r="K871" s="3">
        <v>-1.6177410952072199E-3</v>
      </c>
      <c r="L871" s="3">
        <v>3.0849443055647201E-7</v>
      </c>
      <c r="M871" s="3">
        <v>-8.4584186314774795E-5</v>
      </c>
      <c r="N871" s="3">
        <v>-1.31317397503578E-4</v>
      </c>
      <c r="O871" s="3">
        <v>-1.3131739750354599E-4</v>
      </c>
      <c r="P871" s="3">
        <v>-1.31317397503578E-4</v>
      </c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x14ac:dyDescent="0.45">
      <c r="A872" s="3" t="s">
        <v>84</v>
      </c>
      <c r="B872" s="3" t="s">
        <v>29</v>
      </c>
      <c r="C872" s="3" t="s">
        <v>16</v>
      </c>
      <c r="D872" s="3" t="s">
        <v>12</v>
      </c>
      <c r="E872" s="3" t="s">
        <v>8</v>
      </c>
      <c r="F872" s="3">
        <v>0</v>
      </c>
      <c r="G872" s="3">
        <v>-9.81439923086053E-6</v>
      </c>
      <c r="H872" s="3">
        <v>-9.81439923086053E-6</v>
      </c>
      <c r="I872" s="3">
        <v>-1.74993838642858E-3</v>
      </c>
      <c r="J872" s="3">
        <v>8.7555211888499406E-5</v>
      </c>
      <c r="K872" s="3">
        <v>-3.2725853851781803E-5</v>
      </c>
      <c r="L872" s="3">
        <v>-2.0643170171111299E-4</v>
      </c>
      <c r="M872" s="3">
        <v>-4.9165269082256803E-5</v>
      </c>
      <c r="N872" s="3">
        <v>-2.8083387663725701E-6</v>
      </c>
      <c r="O872" s="3">
        <v>-3.5770140238110302E-6</v>
      </c>
      <c r="P872" s="3">
        <v>-3.9658503235874596E-6</v>
      </c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x14ac:dyDescent="0.45">
      <c r="A873" s="3" t="s">
        <v>84</v>
      </c>
      <c r="B873" s="3" t="s">
        <v>29</v>
      </c>
      <c r="C873" s="3" t="s">
        <v>16</v>
      </c>
      <c r="D873" s="3" t="s">
        <v>13</v>
      </c>
      <c r="E873" s="3" t="s">
        <v>8</v>
      </c>
      <c r="F873" s="3">
        <v>0</v>
      </c>
      <c r="G873" s="3">
        <v>1.49371768345674E-5</v>
      </c>
      <c r="H873" s="3">
        <v>1.49371768345674E-5</v>
      </c>
      <c r="I873" s="3">
        <v>-3.1552794048865897E-4</v>
      </c>
      <c r="J873" s="3">
        <v>-5.98098619997947E-4</v>
      </c>
      <c r="K873" s="3">
        <v>-2.1730905419505001E-4</v>
      </c>
      <c r="L873" s="3">
        <v>-1.0949582675667799E-5</v>
      </c>
      <c r="M873" s="3">
        <v>-1.5377100537755701E-6</v>
      </c>
      <c r="N873" s="3">
        <v>-1.1614390964288801E-6</v>
      </c>
      <c r="O873" s="3">
        <v>-3.92763938147217E-7</v>
      </c>
      <c r="P873" s="3">
        <v>-3.92763937345775E-9</v>
      </c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x14ac:dyDescent="0.45">
      <c r="A874" s="3" t="s">
        <v>84</v>
      </c>
      <c r="B874" s="3" t="s">
        <v>29</v>
      </c>
      <c r="C874" s="3" t="s">
        <v>16</v>
      </c>
      <c r="D874" s="3" t="s">
        <v>14</v>
      </c>
      <c r="E874" s="3" t="s">
        <v>8</v>
      </c>
      <c r="F874" s="3">
        <v>0</v>
      </c>
      <c r="G874" s="3">
        <v>-1.73220567028326E-3</v>
      </c>
      <c r="H874" s="3">
        <v>-1.73220567028326E-3</v>
      </c>
      <c r="I874" s="3">
        <v>-6.8481215202564503E-4</v>
      </c>
      <c r="J874" s="3">
        <v>-1.9613631857103E-5</v>
      </c>
      <c r="K874" s="3">
        <v>-9.97051232444479E-8</v>
      </c>
      <c r="L874" s="3">
        <v>-9.9705124018134604E-10</v>
      </c>
      <c r="M874" s="3">
        <v>-9.97050011997125E-12</v>
      </c>
      <c r="N874" s="3">
        <v>-9.9704966505243002E-14</v>
      </c>
      <c r="O874" s="3">
        <v>-1.00267016911459E-15</v>
      </c>
      <c r="P874" s="3">
        <v>0</v>
      </c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x14ac:dyDescent="0.45">
      <c r="A875" s="3" t="s">
        <v>84</v>
      </c>
      <c r="B875" s="3" t="s">
        <v>29</v>
      </c>
      <c r="C875" s="3" t="s">
        <v>17</v>
      </c>
      <c r="D875" s="3" t="s">
        <v>7</v>
      </c>
      <c r="E875" s="3" t="s">
        <v>8</v>
      </c>
      <c r="F875" s="3">
        <v>3.43312329693542E-3</v>
      </c>
      <c r="G875" s="3">
        <v>7.8697086661593408E-3</v>
      </c>
      <c r="H875" s="3">
        <v>7.8697086661593408E-3</v>
      </c>
      <c r="I875" s="3">
        <v>1.0454668378779199E-2</v>
      </c>
      <c r="J875" s="3">
        <v>1.38223898072821E-2</v>
      </c>
      <c r="K875" s="3">
        <v>1.83307797813262E-2</v>
      </c>
      <c r="L875" s="3">
        <v>1.4755513129319799E-2</v>
      </c>
      <c r="M875" s="3">
        <v>1.1955884510489999E-2</v>
      </c>
      <c r="N875" s="3">
        <v>9.6617034511821895E-3</v>
      </c>
      <c r="O875" s="3">
        <v>7.8583715468266598E-3</v>
      </c>
      <c r="P875" s="3">
        <v>6.8394475225450196E-3</v>
      </c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x14ac:dyDescent="0.45">
      <c r="A876" s="3" t="s">
        <v>84</v>
      </c>
      <c r="B876" s="3" t="s">
        <v>29</v>
      </c>
      <c r="C876" s="3" t="s">
        <v>17</v>
      </c>
      <c r="D876" s="3" t="s">
        <v>9</v>
      </c>
      <c r="E876" s="3" t="s">
        <v>8</v>
      </c>
      <c r="F876" s="3">
        <v>0</v>
      </c>
      <c r="G876" s="3">
        <v>2.4504848264812599E-4</v>
      </c>
      <c r="H876" s="3">
        <v>2.4504848264812599E-4</v>
      </c>
      <c r="I876" s="3">
        <v>7.8442587729382298E-5</v>
      </c>
      <c r="J876" s="3">
        <v>1.3959459465461301E-3</v>
      </c>
      <c r="K876" s="3">
        <v>1.9145997345016499E-3</v>
      </c>
      <c r="L876" s="3">
        <v>2.64323596309408E-3</v>
      </c>
      <c r="M876" s="3">
        <v>3.2220328371972301E-3</v>
      </c>
      <c r="N876" s="3">
        <v>9.7256290262729399E-3</v>
      </c>
      <c r="O876" s="3">
        <v>1.0831159283588E-2</v>
      </c>
      <c r="P876" s="3">
        <v>1.1395592087518501E-2</v>
      </c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x14ac:dyDescent="0.45">
      <c r="A877" s="3" t="s">
        <v>84</v>
      </c>
      <c r="B877" s="3" t="s">
        <v>29</v>
      </c>
      <c r="C877" s="3" t="s">
        <v>17</v>
      </c>
      <c r="D877" s="3" t="s">
        <v>10</v>
      </c>
      <c r="E877" s="3" t="s">
        <v>8</v>
      </c>
      <c r="F877" s="3">
        <v>0</v>
      </c>
      <c r="G877" s="3">
        <v>7.0858832183223405E-5</v>
      </c>
      <c r="H877" s="3">
        <v>7.0858832183223405E-5</v>
      </c>
      <c r="I877" s="3">
        <v>6.20021169836966E-4</v>
      </c>
      <c r="J877" s="3">
        <v>4.8441112037967598E-4</v>
      </c>
      <c r="K877" s="3">
        <v>1.1943476634445401E-3</v>
      </c>
      <c r="L877" s="3">
        <v>7.5803979054966698E-3</v>
      </c>
      <c r="M877" s="3">
        <v>8.1054040644901806E-3</v>
      </c>
      <c r="N877" s="3">
        <v>7.71866423118914E-3</v>
      </c>
      <c r="O877" s="3">
        <v>7.9411285905860093E-3</v>
      </c>
      <c r="P877" s="3">
        <v>1.99799026777925E-2</v>
      </c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x14ac:dyDescent="0.45">
      <c r="A878" s="3" t="s">
        <v>84</v>
      </c>
      <c r="B878" s="3" t="s">
        <v>29</v>
      </c>
      <c r="C878" s="3" t="s">
        <v>17</v>
      </c>
      <c r="D878" s="3" t="s">
        <v>11</v>
      </c>
      <c r="E878" s="3" t="s">
        <v>8</v>
      </c>
      <c r="F878" s="3">
        <v>0</v>
      </c>
      <c r="G878" s="3">
        <v>6.7331372237498105E-5</v>
      </c>
      <c r="H878" s="3">
        <v>6.7331372237498105E-5</v>
      </c>
      <c r="I878" s="3">
        <v>3.9990517001776803E-4</v>
      </c>
      <c r="J878" s="3">
        <v>6.9571101644893101E-3</v>
      </c>
      <c r="K878" s="3">
        <v>8.9134250102245599E-3</v>
      </c>
      <c r="L878" s="3">
        <v>6.8752332625624602E-3</v>
      </c>
      <c r="M878" s="3">
        <v>1.54888080937652E-2</v>
      </c>
      <c r="N878" s="3">
        <v>1.25842245744001E-2</v>
      </c>
      <c r="O878" s="3">
        <v>1.3317686886205099E-2</v>
      </c>
      <c r="P878" s="3">
        <v>2.21538200873271E-3</v>
      </c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x14ac:dyDescent="0.45">
      <c r="A879" s="3" t="s">
        <v>84</v>
      </c>
      <c r="B879" s="3" t="s">
        <v>29</v>
      </c>
      <c r="C879" s="3" t="s">
        <v>17</v>
      </c>
      <c r="D879" s="3" t="s">
        <v>12</v>
      </c>
      <c r="E879" s="3" t="s">
        <v>8</v>
      </c>
      <c r="F879" s="3">
        <v>0</v>
      </c>
      <c r="G879" s="3">
        <v>1.02693982757444E-4</v>
      </c>
      <c r="H879" s="3">
        <v>1.02693982757444E-4</v>
      </c>
      <c r="I879" s="3">
        <v>6.3239754907047597E-3</v>
      </c>
      <c r="J879" s="3">
        <v>5.2945665475406696E-3</v>
      </c>
      <c r="K879" s="3">
        <v>7.2495121882295999E-3</v>
      </c>
      <c r="L879" s="3">
        <v>7.6842824687427796E-3</v>
      </c>
      <c r="M879" s="3">
        <v>2.3753861590060498E-3</v>
      </c>
      <c r="N879" s="3">
        <v>2.9678652684195098E-3</v>
      </c>
      <c r="O879" s="3">
        <v>3.5549308115027799E-3</v>
      </c>
      <c r="P879" s="3">
        <v>3.39119987915818E-3</v>
      </c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x14ac:dyDescent="0.45">
      <c r="A880" s="3" t="s">
        <v>84</v>
      </c>
      <c r="B880" s="3" t="s">
        <v>29</v>
      </c>
      <c r="C880" s="3" t="s">
        <v>17</v>
      </c>
      <c r="D880" s="3" t="s">
        <v>13</v>
      </c>
      <c r="E880" s="3" t="s">
        <v>8</v>
      </c>
      <c r="F880" s="3">
        <v>0</v>
      </c>
      <c r="G880" s="3">
        <v>1.2158112880702699E-3</v>
      </c>
      <c r="H880" s="3">
        <v>1.2158112880702699E-3</v>
      </c>
      <c r="I880" s="3">
        <v>1.66801806283133E-2</v>
      </c>
      <c r="J880" s="3">
        <v>1.31731909983594E-2</v>
      </c>
      <c r="K880" s="3">
        <v>5.8951889147941701E-3</v>
      </c>
      <c r="L880" s="3">
        <v>4.4846597568172801E-3</v>
      </c>
      <c r="M880" s="3">
        <v>3.0116868965730202E-3</v>
      </c>
      <c r="N880" s="3">
        <v>1.50240748223693E-3</v>
      </c>
      <c r="O880" s="3">
        <v>6.5751126591087595E-4</v>
      </c>
      <c r="P880" s="3">
        <v>3.3929406942678802E-4</v>
      </c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x14ac:dyDescent="0.45">
      <c r="A881" s="3" t="s">
        <v>84</v>
      </c>
      <c r="B881" s="3" t="s">
        <v>29</v>
      </c>
      <c r="C881" s="3" t="s">
        <v>17</v>
      </c>
      <c r="D881" s="3" t="s">
        <v>14</v>
      </c>
      <c r="E881" s="3" t="s">
        <v>8</v>
      </c>
      <c r="F881" s="3">
        <v>0</v>
      </c>
      <c r="G881" s="3">
        <v>5.8148621811402604E-3</v>
      </c>
      <c r="H881" s="3">
        <v>5.8148621811402604E-3</v>
      </c>
      <c r="I881" s="3">
        <v>8.2363324652136305E-3</v>
      </c>
      <c r="J881" s="3">
        <v>2.9657050942587001E-3</v>
      </c>
      <c r="K881" s="3">
        <v>6.6238495980447398E-4</v>
      </c>
      <c r="L881" s="3">
        <v>1.3749431770813901E-4</v>
      </c>
      <c r="M881" s="3">
        <v>1.6368313792355901E-6</v>
      </c>
      <c r="N881" s="3">
        <v>3.45373611945754E-7</v>
      </c>
      <c r="O881" s="3">
        <v>5.1022837163627903E-8</v>
      </c>
      <c r="P881" s="3">
        <v>2.11622844525916E-8</v>
      </c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x14ac:dyDescent="0.45">
      <c r="A882" s="3" t="s">
        <v>84</v>
      </c>
      <c r="B882" s="3" t="s">
        <v>29</v>
      </c>
      <c r="C882" s="3" t="s">
        <v>18</v>
      </c>
      <c r="D882" s="3" t="s">
        <v>7</v>
      </c>
      <c r="E882" s="3" t="s">
        <v>8</v>
      </c>
      <c r="F882" s="3">
        <v>3.5061802290291197E-2</v>
      </c>
      <c r="G882" s="3">
        <v>2.62053338249871E-2</v>
      </c>
      <c r="H882" s="3">
        <v>2.62053338249871E-2</v>
      </c>
      <c r="I882" s="3">
        <v>1.74702225499914E-2</v>
      </c>
      <c r="J882" s="3">
        <v>8.7351112749956793E-3</v>
      </c>
      <c r="K882" s="3">
        <v>0</v>
      </c>
      <c r="L882" s="3">
        <v>2.02607832960301E-17</v>
      </c>
      <c r="M882" s="3">
        <v>0</v>
      </c>
      <c r="N882" s="3">
        <v>3.3767972160050302E-18</v>
      </c>
      <c r="O882" s="3">
        <v>0</v>
      </c>
      <c r="P882" s="3">
        <v>1.3507188864020101E-17</v>
      </c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x14ac:dyDescent="0.45">
      <c r="A883" s="3" t="s">
        <v>84</v>
      </c>
      <c r="B883" s="3" t="s">
        <v>29</v>
      </c>
      <c r="C883" s="3" t="s">
        <v>18</v>
      </c>
      <c r="D883" s="3" t="s">
        <v>9</v>
      </c>
      <c r="E883" s="3" t="s">
        <v>8</v>
      </c>
      <c r="F883" s="3">
        <v>0</v>
      </c>
      <c r="G883" s="3">
        <v>0</v>
      </c>
      <c r="H883" s="3">
        <v>0</v>
      </c>
      <c r="I883" s="3">
        <v>0</v>
      </c>
      <c r="J883" s="3">
        <v>-2.9490299091605702E-17</v>
      </c>
      <c r="K883" s="3">
        <v>0</v>
      </c>
      <c r="L883" s="3">
        <v>-6.7535944320100303E-18</v>
      </c>
      <c r="M883" s="3">
        <v>3.3767972160050302E-18</v>
      </c>
      <c r="N883" s="3">
        <v>-3.3767972160050302E-18</v>
      </c>
      <c r="O883" s="3">
        <v>3.3767972160050302E-18</v>
      </c>
      <c r="P883" s="3">
        <v>-1.3507188864020101E-17</v>
      </c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x14ac:dyDescent="0.45">
      <c r="A884" s="3" t="s">
        <v>84</v>
      </c>
      <c r="B884" s="3" t="s">
        <v>29</v>
      </c>
      <c r="C884" s="3" t="s">
        <v>18</v>
      </c>
      <c r="D884" s="3" t="s">
        <v>10</v>
      </c>
      <c r="E884" s="3" t="s">
        <v>8</v>
      </c>
      <c r="F884" s="3">
        <v>0</v>
      </c>
      <c r="G884" s="3">
        <v>0</v>
      </c>
      <c r="H884" s="3">
        <v>0</v>
      </c>
      <c r="I884" s="3">
        <v>0</v>
      </c>
      <c r="J884" s="3">
        <v>2.9490299091605702E-17</v>
      </c>
      <c r="K884" s="3">
        <v>2.02607832960301E-17</v>
      </c>
      <c r="L884" s="3">
        <v>-1.3507188864020101E-17</v>
      </c>
      <c r="M884" s="3">
        <v>-3.3767972160050302E-18</v>
      </c>
      <c r="N884" s="3">
        <v>0</v>
      </c>
      <c r="O884" s="3">
        <v>-3.3767972160050302E-18</v>
      </c>
      <c r="P884" s="3">
        <v>0</v>
      </c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x14ac:dyDescent="0.45">
      <c r="A885" s="3" t="s">
        <v>84</v>
      </c>
      <c r="B885" s="3" t="s">
        <v>29</v>
      </c>
      <c r="C885" s="3" t="s">
        <v>18</v>
      </c>
      <c r="D885" s="3" t="s">
        <v>11</v>
      </c>
      <c r="E885" s="3" t="s">
        <v>8</v>
      </c>
      <c r="F885" s="3">
        <v>0</v>
      </c>
      <c r="G885" s="3">
        <v>3.1225022567582503E-17</v>
      </c>
      <c r="H885" s="3">
        <v>3.1225022567582503E-17</v>
      </c>
      <c r="I885" s="3">
        <v>0</v>
      </c>
      <c r="J885" s="3">
        <v>0</v>
      </c>
      <c r="K885" s="3">
        <v>-6.7535944320100303E-18</v>
      </c>
      <c r="L885" s="3">
        <v>6.7535944320100303E-18</v>
      </c>
      <c r="M885" s="3">
        <v>1.6883986080025099E-17</v>
      </c>
      <c r="N885" s="3">
        <v>3.3767972160050302E-18</v>
      </c>
      <c r="O885" s="3">
        <v>2.02607832960301E-17</v>
      </c>
      <c r="P885" s="3">
        <v>0</v>
      </c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x14ac:dyDescent="0.45">
      <c r="A886" s="3" t="s">
        <v>84</v>
      </c>
      <c r="B886" s="3" t="s">
        <v>29</v>
      </c>
      <c r="C886" s="3" t="s">
        <v>18</v>
      </c>
      <c r="D886" s="3" t="s">
        <v>12</v>
      </c>
      <c r="E886" s="3" t="s">
        <v>8</v>
      </c>
      <c r="F886" s="3">
        <v>0</v>
      </c>
      <c r="G886" s="3">
        <v>0</v>
      </c>
      <c r="H886" s="3">
        <v>0</v>
      </c>
      <c r="I886" s="3">
        <v>3.1225022567582503E-17</v>
      </c>
      <c r="J886" s="3">
        <v>3.1225022567582503E-17</v>
      </c>
      <c r="K886" s="3">
        <v>-1.3507188864020101E-17</v>
      </c>
      <c r="L886" s="3">
        <v>-6.7535944320100303E-18</v>
      </c>
      <c r="M886" s="3">
        <v>1.3507188864020101E-17</v>
      </c>
      <c r="N886" s="3">
        <v>1.3507188864020101E-17</v>
      </c>
      <c r="O886" s="3">
        <v>1.0130391648015099E-17</v>
      </c>
      <c r="P886" s="3">
        <v>0</v>
      </c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x14ac:dyDescent="0.45">
      <c r="A887" s="3" t="s">
        <v>84</v>
      </c>
      <c r="B887" s="3" t="s">
        <v>29</v>
      </c>
      <c r="C887" s="3" t="s">
        <v>18</v>
      </c>
      <c r="D887" s="3" t="s">
        <v>13</v>
      </c>
      <c r="E887" s="3" t="s">
        <v>8</v>
      </c>
      <c r="F887" s="3">
        <v>0</v>
      </c>
      <c r="G887" s="3">
        <v>0</v>
      </c>
      <c r="H887" s="3">
        <v>0</v>
      </c>
      <c r="I887" s="3">
        <v>-3.1225022567582503E-17</v>
      </c>
      <c r="J887" s="3">
        <v>2.9490299091605702E-17</v>
      </c>
      <c r="K887" s="3">
        <v>6.7535944320100303E-18</v>
      </c>
      <c r="L887" s="3">
        <v>1.3507188864020101E-17</v>
      </c>
      <c r="M887" s="3">
        <v>-6.7535944320100303E-18</v>
      </c>
      <c r="N887" s="3">
        <v>-3.3767972160050001E-18</v>
      </c>
      <c r="O887" s="3">
        <v>-2.3637580512035102E-17</v>
      </c>
      <c r="P887" s="3">
        <v>2.02607832960301E-17</v>
      </c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x14ac:dyDescent="0.45">
      <c r="A888" s="3" t="s">
        <v>84</v>
      </c>
      <c r="B888" s="3" t="s">
        <v>29</v>
      </c>
      <c r="C888" s="3" t="s">
        <v>18</v>
      </c>
      <c r="D888" s="3" t="s">
        <v>14</v>
      </c>
      <c r="E888" s="3" t="s">
        <v>8</v>
      </c>
      <c r="F888" s="3">
        <v>0</v>
      </c>
      <c r="G888" s="3">
        <v>0</v>
      </c>
      <c r="H888" s="3">
        <v>0</v>
      </c>
      <c r="I888" s="3">
        <v>0</v>
      </c>
      <c r="J888" s="3">
        <v>-6.0715321659188199E-17</v>
      </c>
      <c r="K888" s="3">
        <v>-6.7535944320100303E-18</v>
      </c>
      <c r="L888" s="3">
        <v>2.0260783296030199E-17</v>
      </c>
      <c r="M888" s="3">
        <v>1.6883986080025099E-17</v>
      </c>
      <c r="N888" s="3">
        <v>-1.3507188864020101E-17</v>
      </c>
      <c r="O888" s="3">
        <v>-6.7535944320100303E-18</v>
      </c>
      <c r="P888" s="3">
        <v>3.3767972160050198E-17</v>
      </c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x14ac:dyDescent="0.45">
      <c r="A889" s="3" t="s">
        <v>84</v>
      </c>
      <c r="B889" s="3" t="s">
        <v>29</v>
      </c>
      <c r="C889" s="3" t="s">
        <v>19</v>
      </c>
      <c r="D889" s="3" t="s">
        <v>7</v>
      </c>
      <c r="E889" s="3" t="s">
        <v>8</v>
      </c>
      <c r="F889" s="3">
        <v>1.2647872211341499E-3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6.7699007817608597E-5</v>
      </c>
      <c r="O889" s="3">
        <v>0</v>
      </c>
      <c r="P889" s="3">
        <v>2.1166409095133601E-4</v>
      </c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x14ac:dyDescent="0.45">
      <c r="A890" s="3" t="s">
        <v>84</v>
      </c>
      <c r="B890" s="3" t="s">
        <v>29</v>
      </c>
      <c r="C890" s="3" t="s">
        <v>19</v>
      </c>
      <c r="D890" s="3" t="s">
        <v>9</v>
      </c>
      <c r="E890" s="3" t="s">
        <v>8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3.97879261892679E-4</v>
      </c>
      <c r="O890" s="3">
        <v>4.78946215007526E-4</v>
      </c>
      <c r="P890" s="3">
        <v>2.60700535716456E-4</v>
      </c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x14ac:dyDescent="0.45">
      <c r="A891" s="3" t="s">
        <v>84</v>
      </c>
      <c r="B891" s="3" t="s">
        <v>29</v>
      </c>
      <c r="C891" s="3" t="s">
        <v>19</v>
      </c>
      <c r="D891" s="3" t="s">
        <v>10</v>
      </c>
      <c r="E891" s="3" t="s">
        <v>8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2.3056381247687501E-4</v>
      </c>
      <c r="M891" s="3">
        <v>3.8943941242434998E-4</v>
      </c>
      <c r="N891" s="3">
        <v>2.6486820840852499E-3</v>
      </c>
      <c r="O891" s="3">
        <v>3.5913654971037202E-3</v>
      </c>
      <c r="P891" s="3">
        <v>4.7405803126621899E-3</v>
      </c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x14ac:dyDescent="0.45">
      <c r="A892" s="3" t="s">
        <v>84</v>
      </c>
      <c r="B892" s="3" t="s">
        <v>29</v>
      </c>
      <c r="C892" s="3" t="s">
        <v>19</v>
      </c>
      <c r="D892" s="3" t="s">
        <v>11</v>
      </c>
      <c r="E892" s="3" t="s">
        <v>8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3.14730536894825E-3</v>
      </c>
      <c r="M892" s="3">
        <v>5.5715065019038704E-3</v>
      </c>
      <c r="N892" s="3">
        <v>6.1573610653388802E-3</v>
      </c>
      <c r="O892" s="3">
        <v>6.4595660230137002E-3</v>
      </c>
      <c r="P892" s="3">
        <v>6.2257726947258698E-3</v>
      </c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x14ac:dyDescent="0.45">
      <c r="A893" s="3" t="s">
        <v>84</v>
      </c>
      <c r="B893" s="3" t="s">
        <v>29</v>
      </c>
      <c r="C893" s="3" t="s">
        <v>19</v>
      </c>
      <c r="D893" s="3" t="s">
        <v>12</v>
      </c>
      <c r="E893" s="3" t="s">
        <v>8</v>
      </c>
      <c r="F893" s="3">
        <v>0</v>
      </c>
      <c r="G893" s="3">
        <v>0</v>
      </c>
      <c r="H893" s="3">
        <v>0</v>
      </c>
      <c r="I893" s="3">
        <v>0</v>
      </c>
      <c r="J893" s="3">
        <v>2.63945693607283E-3</v>
      </c>
      <c r="K893" s="3">
        <v>4.54493370754523E-3</v>
      </c>
      <c r="L893" s="3">
        <v>7.7633771027817901E-3</v>
      </c>
      <c r="M893" s="3">
        <v>6.9531257289649996E-3</v>
      </c>
      <c r="N893" s="3">
        <v>6.8680586411169102E-3</v>
      </c>
      <c r="O893" s="3">
        <v>7.1852988787189098E-3</v>
      </c>
      <c r="P893" s="3">
        <v>6.7806986183199802E-3</v>
      </c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x14ac:dyDescent="0.45">
      <c r="A894" s="3" t="s">
        <v>84</v>
      </c>
      <c r="B894" s="3" t="s">
        <v>29</v>
      </c>
      <c r="C894" s="3" t="s">
        <v>19</v>
      </c>
      <c r="D894" s="3" t="s">
        <v>13</v>
      </c>
      <c r="E894" s="3" t="s">
        <v>8</v>
      </c>
      <c r="F894" s="3">
        <v>0</v>
      </c>
      <c r="G894" s="3">
        <v>0</v>
      </c>
      <c r="H894" s="3">
        <v>0</v>
      </c>
      <c r="I894" s="3">
        <v>6.0609476864383E-3</v>
      </c>
      <c r="J894" s="3">
        <v>2.2979530087702201E-2</v>
      </c>
      <c r="K894" s="3">
        <v>2.3927893190816799E-2</v>
      </c>
      <c r="L894" s="3">
        <v>1.5711902878712401E-2</v>
      </c>
      <c r="M894" s="3">
        <v>1.02147676983089E-2</v>
      </c>
      <c r="N894" s="3">
        <v>3.84659338859467E-3</v>
      </c>
      <c r="O894" s="3">
        <v>1.81835229915102E-3</v>
      </c>
      <c r="P894" s="3">
        <v>8.2335816677087505E-4</v>
      </c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x14ac:dyDescent="0.45">
      <c r="A895" s="3" t="s">
        <v>84</v>
      </c>
      <c r="B895" s="3" t="s">
        <v>29</v>
      </c>
      <c r="C895" s="3" t="s">
        <v>19</v>
      </c>
      <c r="D895" s="3" t="s">
        <v>14</v>
      </c>
      <c r="E895" s="3" t="s">
        <v>8</v>
      </c>
      <c r="F895" s="3">
        <v>0</v>
      </c>
      <c r="G895" s="3">
        <v>2.5268354041893802E-3</v>
      </c>
      <c r="H895" s="3">
        <v>2.5268354041893802E-3</v>
      </c>
      <c r="I895" s="3">
        <v>3.7404653742559503E-2</v>
      </c>
      <c r="J895" s="3">
        <v>1.69848129249267E-2</v>
      </c>
      <c r="K895" s="3">
        <v>9.8634869065688992E-3</v>
      </c>
      <c r="L895" s="3">
        <v>9.4913964665844994E-3</v>
      </c>
      <c r="M895" s="3">
        <v>1.06202723946847E-2</v>
      </c>
      <c r="N895" s="3">
        <v>1.01272327228889E-2</v>
      </c>
      <c r="O895" s="3">
        <v>8.3613013615583993E-3</v>
      </c>
      <c r="P895" s="3">
        <v>8.5109396126238305E-3</v>
      </c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x14ac:dyDescent="0.45">
      <c r="A896" s="3" t="s">
        <v>84</v>
      </c>
      <c r="B896" s="3" t="s">
        <v>21</v>
      </c>
      <c r="C896" s="3" t="s">
        <v>6</v>
      </c>
      <c r="D896" s="3" t="s">
        <v>11</v>
      </c>
      <c r="E896" s="3" t="s">
        <v>8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2.8517864297572498E-2</v>
      </c>
      <c r="M896" s="3">
        <v>0.137798364690041</v>
      </c>
      <c r="N896" s="3">
        <v>0.341769557406706</v>
      </c>
      <c r="O896" s="3">
        <v>0.533344269867434</v>
      </c>
      <c r="P896" s="3">
        <v>0.65441820166300702</v>
      </c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x14ac:dyDescent="0.45">
      <c r="A897" s="3" t="s">
        <v>84</v>
      </c>
      <c r="B897" s="3" t="s">
        <v>21</v>
      </c>
      <c r="C897" s="3" t="s">
        <v>6</v>
      </c>
      <c r="D897" s="3" t="s">
        <v>12</v>
      </c>
      <c r="E897" s="3" t="s">
        <v>8</v>
      </c>
      <c r="F897" s="3">
        <v>0</v>
      </c>
      <c r="G897" s="3">
        <v>0</v>
      </c>
      <c r="H897" s="3">
        <v>0</v>
      </c>
      <c r="I897" s="3">
        <v>0</v>
      </c>
      <c r="J897" s="3">
        <v>2.1168319192585998E-3</v>
      </c>
      <c r="K897" s="3">
        <v>0.13311752403907101</v>
      </c>
      <c r="L897" s="3">
        <v>0.368876079268112</v>
      </c>
      <c r="M897" s="3">
        <v>0.55112246947798604</v>
      </c>
      <c r="N897" s="3">
        <v>0.60310783597845796</v>
      </c>
      <c r="O897" s="3">
        <v>0.62210226607306696</v>
      </c>
      <c r="P897" s="3">
        <v>0.63948996155721705</v>
      </c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x14ac:dyDescent="0.45">
      <c r="A898" s="3" t="s">
        <v>84</v>
      </c>
      <c r="B898" s="3" t="s">
        <v>21</v>
      </c>
      <c r="C898" s="3" t="s">
        <v>6</v>
      </c>
      <c r="D898" s="3" t="s">
        <v>13</v>
      </c>
      <c r="E898" s="3" t="s">
        <v>8</v>
      </c>
      <c r="F898" s="3">
        <v>0</v>
      </c>
      <c r="G898" s="3">
        <v>0</v>
      </c>
      <c r="H898" s="3">
        <v>0</v>
      </c>
      <c r="I898" s="3">
        <v>0.14159388290952499</v>
      </c>
      <c r="J898" s="3">
        <v>0.485379556966828</v>
      </c>
      <c r="K898" s="3">
        <v>0.70721493492366105</v>
      </c>
      <c r="L898" s="3">
        <v>0.75492499249113298</v>
      </c>
      <c r="M898" s="3">
        <v>0.76694325012695397</v>
      </c>
      <c r="N898" s="3">
        <v>0.81275222501036004</v>
      </c>
      <c r="O898" s="3">
        <v>0.849890077864486</v>
      </c>
      <c r="P898" s="3">
        <v>0.84007499281532805</v>
      </c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x14ac:dyDescent="0.45">
      <c r="A899" s="3" t="s">
        <v>84</v>
      </c>
      <c r="B899" s="3" t="s">
        <v>21</v>
      </c>
      <c r="C899" s="3" t="s">
        <v>6</v>
      </c>
      <c r="D899" s="3" t="s">
        <v>14</v>
      </c>
      <c r="E899" s="3" t="s">
        <v>8</v>
      </c>
      <c r="F899" s="3">
        <v>0</v>
      </c>
      <c r="G899" s="3">
        <v>0</v>
      </c>
      <c r="H899" s="3">
        <v>0</v>
      </c>
      <c r="I899" s="3">
        <v>0.30555987590823203</v>
      </c>
      <c r="J899" s="3">
        <v>0.36738330040492601</v>
      </c>
      <c r="K899" s="3">
        <v>0.37573082519961898</v>
      </c>
      <c r="L899" s="3">
        <v>0.41297418988384899</v>
      </c>
      <c r="M899" s="3">
        <v>0.45952695736920601</v>
      </c>
      <c r="N899" s="3">
        <v>0.51069447353247299</v>
      </c>
      <c r="O899" s="3">
        <v>0.53372572970812804</v>
      </c>
      <c r="P899" s="3">
        <v>0.54814912820863904</v>
      </c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x14ac:dyDescent="0.45">
      <c r="A900" s="3" t="s">
        <v>84</v>
      </c>
      <c r="B900" s="3" t="s">
        <v>21</v>
      </c>
      <c r="C900" s="3" t="s">
        <v>15</v>
      </c>
      <c r="D900" s="3" t="s">
        <v>7</v>
      </c>
      <c r="E900" s="3" t="s">
        <v>8</v>
      </c>
      <c r="F900" s="3">
        <v>0.162937744640374</v>
      </c>
      <c r="G900" s="3">
        <v>0.14833500432320099</v>
      </c>
      <c r="H900" s="3">
        <v>0.14833500432320099</v>
      </c>
      <c r="I900" s="3">
        <v>0.16151593743974299</v>
      </c>
      <c r="J900" s="3">
        <v>0.178224678703472</v>
      </c>
      <c r="K900" s="3">
        <v>0.18702426656794399</v>
      </c>
      <c r="L900" s="3">
        <v>0.19391048304057101</v>
      </c>
      <c r="M900" s="3">
        <v>0.18490077745233899</v>
      </c>
      <c r="N900" s="3">
        <v>0.19207104249822099</v>
      </c>
      <c r="O900" s="3">
        <v>0.198170624157891</v>
      </c>
      <c r="P900" s="3">
        <v>0.19348467823886001</v>
      </c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x14ac:dyDescent="0.45">
      <c r="A901" s="3" t="s">
        <v>84</v>
      </c>
      <c r="B901" s="3" t="s">
        <v>21</v>
      </c>
      <c r="C901" s="3" t="s">
        <v>15</v>
      </c>
      <c r="D901" s="3" t="s">
        <v>9</v>
      </c>
      <c r="E901" s="3" t="s">
        <v>8</v>
      </c>
      <c r="F901" s="3">
        <v>0</v>
      </c>
      <c r="G901" s="3">
        <v>2.80532491953034E-5</v>
      </c>
      <c r="H901" s="3">
        <v>2.80532491953034E-5</v>
      </c>
      <c r="I901" s="3">
        <v>6.4964425285736196E-3</v>
      </c>
      <c r="J901" s="3">
        <v>5.9913921778030899E-3</v>
      </c>
      <c r="K901" s="3">
        <v>-3.7940458174690302E-3</v>
      </c>
      <c r="L901" s="3">
        <v>-3.2329054067506402E-4</v>
      </c>
      <c r="M901" s="3">
        <v>8.5975347895065092E-3</v>
      </c>
      <c r="N901" s="3">
        <v>3.6311226565647399E-2</v>
      </c>
      <c r="O901" s="3">
        <v>3.15044928732479E-2</v>
      </c>
      <c r="P901" s="3">
        <v>3.74961114213802E-2</v>
      </c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x14ac:dyDescent="0.45">
      <c r="A902" s="3" t="s">
        <v>84</v>
      </c>
      <c r="B902" s="3" t="s">
        <v>21</v>
      </c>
      <c r="C902" s="3" t="s">
        <v>15</v>
      </c>
      <c r="D902" s="3" t="s">
        <v>10</v>
      </c>
      <c r="E902" s="3" t="s">
        <v>8</v>
      </c>
      <c r="F902" s="3">
        <v>0</v>
      </c>
      <c r="G902" s="3">
        <v>-2.2394181681723E-4</v>
      </c>
      <c r="H902" s="3">
        <v>-2.2394181681723E-4</v>
      </c>
      <c r="I902" s="3">
        <v>2.1441396940255499E-3</v>
      </c>
      <c r="J902" s="3">
        <v>4.4924841997770498E-4</v>
      </c>
      <c r="K902" s="3">
        <v>9.9124917537218893E-6</v>
      </c>
      <c r="L902" s="3">
        <v>3.1301765839815102E-2</v>
      </c>
      <c r="M902" s="3">
        <v>3.4459847487564803E-2</v>
      </c>
      <c r="N902" s="3">
        <v>1.62832169678157E-3</v>
      </c>
      <c r="O902" s="3">
        <v>2.1558958583197101E-3</v>
      </c>
      <c r="P902" s="3">
        <v>1.7532988866791599E-3</v>
      </c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x14ac:dyDescent="0.45">
      <c r="A903" s="3" t="s">
        <v>84</v>
      </c>
      <c r="B903" s="3" t="s">
        <v>21</v>
      </c>
      <c r="C903" s="3" t="s">
        <v>15</v>
      </c>
      <c r="D903" s="3" t="s">
        <v>11</v>
      </c>
      <c r="E903" s="3" t="s">
        <v>8</v>
      </c>
      <c r="F903" s="3">
        <v>0</v>
      </c>
      <c r="G903" s="3">
        <v>-2.02354576307184E-5</v>
      </c>
      <c r="H903" s="3">
        <v>-2.02354576307184E-5</v>
      </c>
      <c r="I903" s="3">
        <v>-9.1025200635652702E-4</v>
      </c>
      <c r="J903" s="3">
        <v>3.9226286521087797E-2</v>
      </c>
      <c r="K903" s="3">
        <v>4.1217709409284799E-2</v>
      </c>
      <c r="L903" s="3">
        <v>3.1553602633614098E-3</v>
      </c>
      <c r="M903" s="3">
        <v>1.4273830892294101E-3</v>
      </c>
      <c r="N903" s="3">
        <v>-4.3874706492516601E-4</v>
      </c>
      <c r="O903" s="3">
        <v>1.40669371929325E-2</v>
      </c>
      <c r="P903" s="3">
        <v>2.3723280299990501E-2</v>
      </c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x14ac:dyDescent="0.45">
      <c r="A904" s="3" t="s">
        <v>84</v>
      </c>
      <c r="B904" s="3" t="s">
        <v>21</v>
      </c>
      <c r="C904" s="3" t="s">
        <v>15</v>
      </c>
      <c r="D904" s="3" t="s">
        <v>12</v>
      </c>
      <c r="E904" s="3" t="s">
        <v>8</v>
      </c>
      <c r="F904" s="3">
        <v>0</v>
      </c>
      <c r="G904" s="3">
        <v>-1.4882209663919001E-5</v>
      </c>
      <c r="H904" s="3">
        <v>-1.4882209663919001E-5</v>
      </c>
      <c r="I904" s="3">
        <v>4.6893898715222398E-2</v>
      </c>
      <c r="J904" s="3">
        <v>3.02560296232932E-3</v>
      </c>
      <c r="K904" s="3">
        <v>4.1173728828767199E-3</v>
      </c>
      <c r="L904" s="3">
        <v>1.50929140641373E-2</v>
      </c>
      <c r="M904" s="3">
        <v>3.1268294529025499E-2</v>
      </c>
      <c r="N904" s="3">
        <v>5.3619299415161199E-2</v>
      </c>
      <c r="O904" s="3">
        <v>4.93319978812101E-2</v>
      </c>
      <c r="P904" s="3">
        <v>5.4333760906902701E-2</v>
      </c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x14ac:dyDescent="0.45">
      <c r="A905" s="3" t="s">
        <v>84</v>
      </c>
      <c r="B905" s="3" t="s">
        <v>21</v>
      </c>
      <c r="C905" s="3" t="s">
        <v>15</v>
      </c>
      <c r="D905" s="3" t="s">
        <v>13</v>
      </c>
      <c r="E905" s="3" t="s">
        <v>8</v>
      </c>
      <c r="F905" s="3">
        <v>0</v>
      </c>
      <c r="G905" s="3">
        <v>-3.7895545654963998E-3</v>
      </c>
      <c r="H905" s="3">
        <v>-3.7895545654963998E-3</v>
      </c>
      <c r="I905" s="3">
        <v>4.7043726917383999E-4</v>
      </c>
      <c r="J905" s="3">
        <v>2.4938657204470999E-2</v>
      </c>
      <c r="K905" s="3">
        <v>3.95062352488917E-2</v>
      </c>
      <c r="L905" s="3">
        <v>4.5217340640368503E-2</v>
      </c>
      <c r="M905" s="3">
        <v>5.1501492428186503E-2</v>
      </c>
      <c r="N905" s="3">
        <v>5.4881522967973898E-2</v>
      </c>
      <c r="O905" s="3">
        <v>6.2755673977028997E-2</v>
      </c>
      <c r="P905" s="3">
        <v>7.0790075305631306E-2</v>
      </c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x14ac:dyDescent="0.45">
      <c r="A906" s="3" t="s">
        <v>84</v>
      </c>
      <c r="B906" s="3" t="s">
        <v>21</v>
      </c>
      <c r="C906" s="3" t="s">
        <v>15</v>
      </c>
      <c r="D906" s="3" t="s">
        <v>14</v>
      </c>
      <c r="E906" s="3" t="s">
        <v>8</v>
      </c>
      <c r="F906" s="3">
        <v>0</v>
      </c>
      <c r="G906" s="3">
        <v>5.4595590710924E-2</v>
      </c>
      <c r="H906" s="3">
        <v>5.4595590710924E-2</v>
      </c>
      <c r="I906" s="3">
        <v>3.7630693154922602E-2</v>
      </c>
      <c r="J906" s="3">
        <v>1.96012966900674E-2</v>
      </c>
      <c r="K906" s="3">
        <v>2.1515383208274601E-2</v>
      </c>
      <c r="L906" s="3">
        <v>2.1076597311641701E-2</v>
      </c>
      <c r="M906" s="3">
        <v>2.02750520135772E-2</v>
      </c>
      <c r="N906" s="3">
        <v>1.6835504770090499E-2</v>
      </c>
      <c r="O906" s="3">
        <v>1.1945306647774699E-2</v>
      </c>
      <c r="P906" s="3">
        <v>-2.7985009914806001E-3</v>
      </c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x14ac:dyDescent="0.45">
      <c r="A907" s="3" t="s">
        <v>84</v>
      </c>
      <c r="B907" s="3" t="s">
        <v>21</v>
      </c>
      <c r="C907" s="3" t="s">
        <v>16</v>
      </c>
      <c r="D907" s="3" t="s">
        <v>7</v>
      </c>
      <c r="E907" s="3" t="s">
        <v>8</v>
      </c>
      <c r="F907" s="3">
        <v>0.19444827134287301</v>
      </c>
      <c r="G907" s="3">
        <v>7.0536744890128802E-2</v>
      </c>
      <c r="H907" s="3">
        <v>7.0536744890128802E-2</v>
      </c>
      <c r="I907" s="3">
        <v>7.0536744890128802E-2</v>
      </c>
      <c r="J907" s="3">
        <v>7.1616940518850994E-2</v>
      </c>
      <c r="K907" s="3">
        <v>7.2376024351072002E-2</v>
      </c>
      <c r="L907" s="3">
        <v>7.2376024351072002E-2</v>
      </c>
      <c r="M907" s="3">
        <v>7.2560009982739496E-2</v>
      </c>
      <c r="N907" s="3">
        <v>7.2560941372990698E-2</v>
      </c>
      <c r="O907" s="3">
        <v>7.2560941372990698E-2</v>
      </c>
      <c r="P907" s="3">
        <v>7.2560941372990698E-2</v>
      </c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x14ac:dyDescent="0.45">
      <c r="A908" s="3" t="s">
        <v>84</v>
      </c>
      <c r="B908" s="3" t="s">
        <v>21</v>
      </c>
      <c r="C908" s="3" t="s">
        <v>16</v>
      </c>
      <c r="D908" s="3" t="s">
        <v>9</v>
      </c>
      <c r="E908" s="3" t="s">
        <v>8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-8.0495746444225706E-5</v>
      </c>
      <c r="L908" s="3">
        <v>7.3505717359034799E-5</v>
      </c>
      <c r="M908" s="3">
        <v>9.3139025206245798E-7</v>
      </c>
      <c r="N908" s="3">
        <v>2.1797720891873699E-2</v>
      </c>
      <c r="O908" s="3">
        <v>2.1797720891873699E-2</v>
      </c>
      <c r="P908" s="3">
        <v>2.1797720891873699E-2</v>
      </c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x14ac:dyDescent="0.45">
      <c r="A909" s="3" t="s">
        <v>84</v>
      </c>
      <c r="B909" s="3" t="s">
        <v>21</v>
      </c>
      <c r="C909" s="3" t="s">
        <v>16</v>
      </c>
      <c r="D909" s="3" t="s">
        <v>10</v>
      </c>
      <c r="E909" s="3" t="s">
        <v>8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1.74972783860833E-4</v>
      </c>
      <c r="L909" s="3">
        <v>2.1909132196433499E-2</v>
      </c>
      <c r="M909" s="3">
        <v>2.1797720891872902E-2</v>
      </c>
      <c r="N909" s="3">
        <v>0</v>
      </c>
      <c r="O909" s="3">
        <v>0</v>
      </c>
      <c r="P909" s="3">
        <v>4.16333634234434E-16</v>
      </c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x14ac:dyDescent="0.45">
      <c r="A910" s="3" t="s">
        <v>84</v>
      </c>
      <c r="B910" s="3" t="s">
        <v>21</v>
      </c>
      <c r="C910" s="3" t="s">
        <v>16</v>
      </c>
      <c r="D910" s="3" t="s">
        <v>11</v>
      </c>
      <c r="E910" s="3" t="s">
        <v>8</v>
      </c>
      <c r="F910" s="3">
        <v>0</v>
      </c>
      <c r="G910" s="3">
        <v>0</v>
      </c>
      <c r="H910" s="3">
        <v>0</v>
      </c>
      <c r="I910" s="3">
        <v>0</v>
      </c>
      <c r="J910" s="3">
        <v>2.27417217460134E-2</v>
      </c>
      <c r="K910" s="3">
        <v>2.1888160876376302E-2</v>
      </c>
      <c r="L910" s="3">
        <v>0</v>
      </c>
      <c r="M910" s="3">
        <v>0</v>
      </c>
      <c r="N910" s="3">
        <v>0</v>
      </c>
      <c r="O910" s="3">
        <v>0</v>
      </c>
      <c r="P910" s="3">
        <v>-4.16333634234434E-16</v>
      </c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x14ac:dyDescent="0.45">
      <c r="A911" s="3" t="s">
        <v>84</v>
      </c>
      <c r="B911" s="3" t="s">
        <v>21</v>
      </c>
      <c r="C911" s="3" t="s">
        <v>16</v>
      </c>
      <c r="D911" s="3" t="s">
        <v>12</v>
      </c>
      <c r="E911" s="3" t="s">
        <v>8</v>
      </c>
      <c r="F911" s="3">
        <v>0</v>
      </c>
      <c r="G911" s="3">
        <v>0</v>
      </c>
      <c r="H911" s="3">
        <v>0</v>
      </c>
      <c r="I911" s="3">
        <v>2.36768003479494E-2</v>
      </c>
      <c r="J911" s="3">
        <v>0</v>
      </c>
      <c r="K911" s="3">
        <v>-4.16333634234434E-16</v>
      </c>
      <c r="L911" s="3">
        <v>4.16333634234434E-16</v>
      </c>
      <c r="M911" s="3">
        <v>4.16333634234434E-16</v>
      </c>
      <c r="N911" s="3">
        <v>4.16333634234434E-16</v>
      </c>
      <c r="O911" s="3">
        <v>4.16333634234434E-16</v>
      </c>
      <c r="P911" s="3">
        <v>4.16333634234434E-16</v>
      </c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x14ac:dyDescent="0.45">
      <c r="A912" s="3" t="s">
        <v>84</v>
      </c>
      <c r="B912" s="3" t="s">
        <v>21</v>
      </c>
      <c r="C912" s="3" t="s">
        <v>16</v>
      </c>
      <c r="D912" s="3" t="s">
        <v>13</v>
      </c>
      <c r="E912" s="3" t="s">
        <v>8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-4.16333634234434E-16</v>
      </c>
      <c r="N912" s="3">
        <v>0</v>
      </c>
      <c r="O912" s="3">
        <v>-4.16333634234434E-16</v>
      </c>
      <c r="P912" s="3">
        <v>0</v>
      </c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x14ac:dyDescent="0.45">
      <c r="A913" s="3" t="s">
        <v>84</v>
      </c>
      <c r="B913" s="3" t="s">
        <v>21</v>
      </c>
      <c r="C913" s="3" t="s">
        <v>16</v>
      </c>
      <c r="D913" s="3" t="s">
        <v>14</v>
      </c>
      <c r="E913" s="3" t="s">
        <v>8</v>
      </c>
      <c r="F913" s="3">
        <v>0</v>
      </c>
      <c r="G913" s="3">
        <v>2.36768003479494E-2</v>
      </c>
      <c r="H913" s="3">
        <v>2.36768003479494E-2</v>
      </c>
      <c r="I913" s="3">
        <v>1.4511702678625399E-4</v>
      </c>
      <c r="J913" s="3">
        <v>0</v>
      </c>
      <c r="K913" s="3">
        <v>0</v>
      </c>
      <c r="L913" s="3">
        <v>0</v>
      </c>
      <c r="M913" s="3">
        <v>4.16333634234434E-16</v>
      </c>
      <c r="N913" s="3">
        <v>-4.16333634234434E-16</v>
      </c>
      <c r="O913" s="3">
        <v>0</v>
      </c>
      <c r="P913" s="3">
        <v>0</v>
      </c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x14ac:dyDescent="0.45">
      <c r="A914" s="3" t="s">
        <v>84</v>
      </c>
      <c r="B914" s="3" t="s">
        <v>21</v>
      </c>
      <c r="C914" s="3" t="s">
        <v>17</v>
      </c>
      <c r="D914" s="3" t="s">
        <v>10</v>
      </c>
      <c r="E914" s="3" t="s">
        <v>8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0.14948005814811299</v>
      </c>
      <c r="M914" s="3">
        <v>0.151324768478348</v>
      </c>
      <c r="N914" s="3">
        <v>3.5783823328998203E-2</v>
      </c>
      <c r="O914" s="3">
        <v>-2.6138458514343198E-3</v>
      </c>
      <c r="P914" s="3">
        <v>-1.2485099207125399E-3</v>
      </c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x14ac:dyDescent="0.45">
      <c r="A915" s="3" t="s">
        <v>84</v>
      </c>
      <c r="B915" s="3" t="s">
        <v>21</v>
      </c>
      <c r="C915" s="3" t="s">
        <v>17</v>
      </c>
      <c r="D915" s="3" t="s">
        <v>11</v>
      </c>
      <c r="E915" s="3" t="s">
        <v>8</v>
      </c>
      <c r="F915" s="3">
        <v>0</v>
      </c>
      <c r="G915" s="3">
        <v>0</v>
      </c>
      <c r="H915" s="3">
        <v>0</v>
      </c>
      <c r="I915" s="3">
        <v>0</v>
      </c>
      <c r="J915" s="3">
        <v>0.10391470675207901</v>
      </c>
      <c r="K915" s="3">
        <v>0.143683852025286</v>
      </c>
      <c r="L915" s="3">
        <v>-4.07749990078363E-3</v>
      </c>
      <c r="M915" s="3">
        <v>5.0739419970981499E-3</v>
      </c>
      <c r="N915" s="3">
        <v>3.46499430975497E-2</v>
      </c>
      <c r="O915" s="3">
        <v>5.0041970787742397E-2</v>
      </c>
      <c r="P915" s="3">
        <v>6.1569018641549803E-2</v>
      </c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x14ac:dyDescent="0.45">
      <c r="A916" s="3" t="s">
        <v>84</v>
      </c>
      <c r="B916" s="3" t="s">
        <v>21</v>
      </c>
      <c r="C916" s="3" t="s">
        <v>17</v>
      </c>
      <c r="D916" s="3" t="s">
        <v>12</v>
      </c>
      <c r="E916" s="3" t="s">
        <v>8</v>
      </c>
      <c r="F916" s="3">
        <v>0</v>
      </c>
      <c r="G916" s="3">
        <v>0</v>
      </c>
      <c r="H916" s="3">
        <v>0</v>
      </c>
      <c r="I916" s="3">
        <v>9.0655723862534399E-2</v>
      </c>
      <c r="J916" s="3">
        <v>4.2329569608834203E-2</v>
      </c>
      <c r="K916" s="3">
        <v>1.88527528607681E-2</v>
      </c>
      <c r="L916" s="3">
        <v>5.24410350733426E-2</v>
      </c>
      <c r="M916" s="3">
        <v>5.5280603280444901E-2</v>
      </c>
      <c r="N916" s="3">
        <v>4.9070607482629799E-2</v>
      </c>
      <c r="O916" s="3">
        <v>6.4357084759000802E-2</v>
      </c>
      <c r="P916" s="3">
        <v>8.3112741132645704E-2</v>
      </c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x14ac:dyDescent="0.45">
      <c r="A917" s="3" t="s">
        <v>84</v>
      </c>
      <c r="B917" s="3" t="s">
        <v>21</v>
      </c>
      <c r="C917" s="3" t="s">
        <v>17</v>
      </c>
      <c r="D917" s="3" t="s">
        <v>13</v>
      </c>
      <c r="E917" s="3" t="s">
        <v>8</v>
      </c>
      <c r="F917" s="3">
        <v>0</v>
      </c>
      <c r="G917" s="3">
        <v>0</v>
      </c>
      <c r="H917" s="3">
        <v>0</v>
      </c>
      <c r="I917" s="3">
        <v>8.5405650274218203E-2</v>
      </c>
      <c r="J917" s="3">
        <v>6.1309741728039199E-2</v>
      </c>
      <c r="K917" s="3">
        <v>8.1685829002733801E-2</v>
      </c>
      <c r="L917" s="3">
        <v>0.100148473180261</v>
      </c>
      <c r="M917" s="3">
        <v>0.15425678178912999</v>
      </c>
      <c r="N917" s="3">
        <v>0.206496783506046</v>
      </c>
      <c r="O917" s="3">
        <v>0.256748014902906</v>
      </c>
      <c r="P917" s="3">
        <v>0.30913603994267402</v>
      </c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x14ac:dyDescent="0.45">
      <c r="A918" s="3" t="s">
        <v>84</v>
      </c>
      <c r="B918" s="3" t="s">
        <v>21</v>
      </c>
      <c r="C918" s="3" t="s">
        <v>17</v>
      </c>
      <c r="D918" s="3" t="s">
        <v>14</v>
      </c>
      <c r="E918" s="3" t="s">
        <v>8</v>
      </c>
      <c r="F918" s="3">
        <v>0</v>
      </c>
      <c r="G918" s="3">
        <v>0.116224325899698</v>
      </c>
      <c r="H918" s="3">
        <v>0.116224325899698</v>
      </c>
      <c r="I918" s="3">
        <v>3.6525986923618997E-2</v>
      </c>
      <c r="J918" s="3">
        <v>7.3984950242946601E-2</v>
      </c>
      <c r="K918" s="3">
        <v>0.12666354829176499</v>
      </c>
      <c r="L918" s="3">
        <v>0.18183908113786901</v>
      </c>
      <c r="M918" s="3">
        <v>0.23585272211154201</v>
      </c>
      <c r="N918" s="3">
        <v>0.28324606519907702</v>
      </c>
      <c r="O918" s="3">
        <v>0.30993489257613799</v>
      </c>
      <c r="P918" s="3">
        <v>0.30165306705501999</v>
      </c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x14ac:dyDescent="0.45">
      <c r="A919" s="3" t="s">
        <v>84</v>
      </c>
      <c r="B919" s="3" t="s">
        <v>21</v>
      </c>
      <c r="C919" s="3" t="s">
        <v>18</v>
      </c>
      <c r="D919" s="3" t="s">
        <v>7</v>
      </c>
      <c r="E919" s="3" t="s">
        <v>8</v>
      </c>
      <c r="F919" s="3">
        <v>2.4165457390618601E-2</v>
      </c>
      <c r="G919" s="3">
        <v>1.6045384110094699E-4</v>
      </c>
      <c r="H919" s="3">
        <v>1.6045384110094699E-4</v>
      </c>
      <c r="I919" s="3">
        <v>1.06969227400647E-4</v>
      </c>
      <c r="J919" s="3">
        <v>5.3484613700323299E-5</v>
      </c>
      <c r="K919" s="3">
        <v>0</v>
      </c>
      <c r="L919" s="3">
        <v>2.2844162434208401E-17</v>
      </c>
      <c r="M919" s="3">
        <v>2.2844162434208401E-17</v>
      </c>
      <c r="N919" s="3">
        <v>2.2844162434208401E-17</v>
      </c>
      <c r="O919" s="3">
        <v>0</v>
      </c>
      <c r="P919" s="3">
        <v>0</v>
      </c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x14ac:dyDescent="0.45">
      <c r="A920" s="3" t="s">
        <v>84</v>
      </c>
      <c r="B920" s="3" t="s">
        <v>21</v>
      </c>
      <c r="C920" s="3" t="s">
        <v>18</v>
      </c>
      <c r="D920" s="3" t="s">
        <v>9</v>
      </c>
      <c r="E920" s="3" t="s">
        <v>8</v>
      </c>
      <c r="F920" s="3">
        <v>0</v>
      </c>
      <c r="G920" s="3">
        <v>0</v>
      </c>
      <c r="H920" s="3">
        <v>0</v>
      </c>
      <c r="I920" s="3">
        <v>-4.56855690431079E-17</v>
      </c>
      <c r="J920" s="3">
        <v>-1.1526424346236501E-17</v>
      </c>
      <c r="K920" s="3">
        <v>1.14220812171042E-17</v>
      </c>
      <c r="L920" s="3">
        <v>0</v>
      </c>
      <c r="M920" s="3">
        <v>0</v>
      </c>
      <c r="N920" s="3">
        <v>-2.2844162434208401E-17</v>
      </c>
      <c r="O920" s="3">
        <v>0</v>
      </c>
      <c r="P920" s="3">
        <v>4.5688324868416999E-17</v>
      </c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x14ac:dyDescent="0.45">
      <c r="A921" s="3" t="s">
        <v>84</v>
      </c>
      <c r="B921" s="3" t="s">
        <v>21</v>
      </c>
      <c r="C921" s="3" t="s">
        <v>18</v>
      </c>
      <c r="D921" s="3" t="s">
        <v>10</v>
      </c>
      <c r="E921" s="3" t="s">
        <v>8</v>
      </c>
      <c r="F921" s="3">
        <v>0</v>
      </c>
      <c r="G921" s="3">
        <v>0</v>
      </c>
      <c r="H921" s="3">
        <v>0</v>
      </c>
      <c r="I921" s="3">
        <v>3.4152368433293402E-17</v>
      </c>
      <c r="J921" s="3">
        <v>5.7205217125766403E-17</v>
      </c>
      <c r="K921" s="3">
        <v>-1.14220812171042E-17</v>
      </c>
      <c r="L921" s="3">
        <v>-2.2844162434208401E-17</v>
      </c>
      <c r="M921" s="3">
        <v>-2.2844162434208401E-17</v>
      </c>
      <c r="N921" s="3">
        <v>3.42662436513126E-17</v>
      </c>
      <c r="O921" s="3">
        <v>0</v>
      </c>
      <c r="P921" s="3">
        <v>1.14220812171042E-17</v>
      </c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x14ac:dyDescent="0.45">
      <c r="A922" s="3" t="s">
        <v>84</v>
      </c>
      <c r="B922" s="3" t="s">
        <v>21</v>
      </c>
      <c r="C922" s="3" t="s">
        <v>18</v>
      </c>
      <c r="D922" s="3" t="s">
        <v>11</v>
      </c>
      <c r="E922" s="3" t="s">
        <v>8</v>
      </c>
      <c r="F922" s="3">
        <v>0</v>
      </c>
      <c r="G922" s="3">
        <v>-3.4152368433293402E-17</v>
      </c>
      <c r="H922" s="3">
        <v>-3.4152368433293402E-17</v>
      </c>
      <c r="I922" s="3">
        <v>-3.4152368433293402E-17</v>
      </c>
      <c r="J922" s="3">
        <v>1.15196480826585E-17</v>
      </c>
      <c r="K922" s="3">
        <v>2.2844162434208401E-17</v>
      </c>
      <c r="L922" s="3">
        <v>4.5688324868416999E-17</v>
      </c>
      <c r="M922" s="3">
        <v>1.3706497460525099E-16</v>
      </c>
      <c r="N922" s="3">
        <v>-3.42662436513126E-17</v>
      </c>
      <c r="O922" s="3">
        <v>2.3986370555918799E-16</v>
      </c>
      <c r="P922" s="3">
        <v>-5.7110406085521201E-17</v>
      </c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x14ac:dyDescent="0.45">
      <c r="A923" s="3" t="s">
        <v>84</v>
      </c>
      <c r="B923" s="3" t="s">
        <v>21</v>
      </c>
      <c r="C923" s="3" t="s">
        <v>18</v>
      </c>
      <c r="D923" s="3" t="s">
        <v>12</v>
      </c>
      <c r="E923" s="3" t="s">
        <v>8</v>
      </c>
      <c r="F923" s="3">
        <v>0</v>
      </c>
      <c r="G923" s="3">
        <v>0</v>
      </c>
      <c r="H923" s="3">
        <v>0</v>
      </c>
      <c r="I923" s="3">
        <v>3.4152368433293402E-17</v>
      </c>
      <c r="J923" s="3">
        <v>-9.1357585559059805E-17</v>
      </c>
      <c r="K923" s="3">
        <v>0</v>
      </c>
      <c r="L923" s="3">
        <v>-4.5688324868416999E-17</v>
      </c>
      <c r="M923" s="3">
        <v>6.85324873026251E-17</v>
      </c>
      <c r="N923" s="3">
        <v>0</v>
      </c>
      <c r="O923" s="3">
        <v>9.1376649736833603E-17</v>
      </c>
      <c r="P923" s="3">
        <v>1.2564289338814601E-16</v>
      </c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x14ac:dyDescent="0.45">
      <c r="A924" s="3" t="s">
        <v>84</v>
      </c>
      <c r="B924" s="3" t="s">
        <v>21</v>
      </c>
      <c r="C924" s="3" t="s">
        <v>18</v>
      </c>
      <c r="D924" s="3" t="s">
        <v>13</v>
      </c>
      <c r="E924" s="3" t="s">
        <v>8</v>
      </c>
      <c r="F924" s="3">
        <v>0</v>
      </c>
      <c r="G924" s="3">
        <v>-1.1546753136970601E-17</v>
      </c>
      <c r="H924" s="3">
        <v>-1.1546753136970601E-17</v>
      </c>
      <c r="I924" s="3">
        <v>-1.15196480826585E-17</v>
      </c>
      <c r="J924" s="3">
        <v>-1.48562802684826E-16</v>
      </c>
      <c r="K924" s="3">
        <v>1.14220812171042E-17</v>
      </c>
      <c r="L924" s="3">
        <v>0</v>
      </c>
      <c r="M924" s="3">
        <v>-6.85324873026251E-17</v>
      </c>
      <c r="N924" s="3">
        <v>2.9697411164470998E-16</v>
      </c>
      <c r="O924" s="3">
        <v>-2.3986370555918799E-16</v>
      </c>
      <c r="P924" s="3">
        <v>-3.4266243651312698E-17</v>
      </c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x14ac:dyDescent="0.45">
      <c r="A925" s="3" t="s">
        <v>84</v>
      </c>
      <c r="B925" s="3" t="s">
        <v>21</v>
      </c>
      <c r="C925" s="3" t="s">
        <v>18</v>
      </c>
      <c r="D925" s="3" t="s">
        <v>14</v>
      </c>
      <c r="E925" s="3" t="s">
        <v>8</v>
      </c>
      <c r="F925" s="3">
        <v>0</v>
      </c>
      <c r="G925" s="3">
        <v>-2.3039296165317E-17</v>
      </c>
      <c r="H925" s="3">
        <v>-2.3039296165317E-17</v>
      </c>
      <c r="I925" s="3">
        <v>-1.8270161859096401E-16</v>
      </c>
      <c r="J925" s="3">
        <v>-6.87248652084249E-17</v>
      </c>
      <c r="K925" s="3">
        <v>1.9417538069077101E-16</v>
      </c>
      <c r="L925" s="3">
        <v>0</v>
      </c>
      <c r="M925" s="3">
        <v>-1.3706497460525099E-16</v>
      </c>
      <c r="N925" s="3">
        <v>-2.9697411164470998E-16</v>
      </c>
      <c r="O925" s="3">
        <v>-9.1376649736833603E-17</v>
      </c>
      <c r="P925" s="3">
        <v>4.5688324868416901E-16</v>
      </c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x14ac:dyDescent="0.45">
      <c r="A926" s="3" t="s">
        <v>84</v>
      </c>
      <c r="B926" s="3" t="s">
        <v>21</v>
      </c>
      <c r="C926" s="3" t="s">
        <v>19</v>
      </c>
      <c r="D926" s="3" t="s">
        <v>12</v>
      </c>
      <c r="E926" s="3" t="s">
        <v>8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1.10827571790979E-2</v>
      </c>
      <c r="N926" s="3">
        <v>4.6311642050360202E-2</v>
      </c>
      <c r="O926" s="3">
        <v>0.11053843835871301</v>
      </c>
      <c r="P926" s="3">
        <v>0.15193711523341699</v>
      </c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x14ac:dyDescent="0.45">
      <c r="A927" s="3" t="s">
        <v>84</v>
      </c>
      <c r="B927" s="3" t="s">
        <v>21</v>
      </c>
      <c r="C927" s="3" t="s">
        <v>19</v>
      </c>
      <c r="D927" s="3" t="s">
        <v>13</v>
      </c>
      <c r="E927" s="3" t="s">
        <v>8</v>
      </c>
      <c r="F927" s="3">
        <v>0</v>
      </c>
      <c r="G927" s="3">
        <v>0</v>
      </c>
      <c r="H927" s="3">
        <v>0</v>
      </c>
      <c r="I927" s="3">
        <v>0</v>
      </c>
      <c r="J927" s="3">
        <v>1.42536251346906E-2</v>
      </c>
      <c r="K927" s="3">
        <v>8.9034349542395905E-2</v>
      </c>
      <c r="L927" s="3">
        <v>0.21906171156441501</v>
      </c>
      <c r="M927" s="3">
        <v>0.36747656052733202</v>
      </c>
      <c r="N927" s="3">
        <v>0.51745089047198101</v>
      </c>
      <c r="O927" s="3">
        <v>0.65269834552595296</v>
      </c>
      <c r="P927" s="3">
        <v>0.793655265962113</v>
      </c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x14ac:dyDescent="0.45">
      <c r="A928" s="3" t="s">
        <v>84</v>
      </c>
      <c r="B928" s="3" t="s">
        <v>21</v>
      </c>
      <c r="C928" s="3" t="s">
        <v>19</v>
      </c>
      <c r="D928" s="3" t="s">
        <v>14</v>
      </c>
      <c r="E928" s="3" t="s">
        <v>8</v>
      </c>
      <c r="F928" s="3">
        <v>0</v>
      </c>
      <c r="G928" s="3">
        <v>0</v>
      </c>
      <c r="H928" s="3">
        <v>0</v>
      </c>
      <c r="I928" s="3">
        <v>3.77744286697159E-2</v>
      </c>
      <c r="J928" s="3">
        <v>0.18693640588934601</v>
      </c>
      <c r="K928" s="3">
        <v>0.33810137810479002</v>
      </c>
      <c r="L928" s="3">
        <v>0.50382455594571396</v>
      </c>
      <c r="M928" s="3">
        <v>0.67669836103736503</v>
      </c>
      <c r="N928" s="3">
        <v>0.80731541679127505</v>
      </c>
      <c r="O928" s="3">
        <v>0.88115687213295701</v>
      </c>
      <c r="P928" s="3">
        <v>0.87369524910474605</v>
      </c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x14ac:dyDescent="0.45">
      <c r="A929" s="3" t="s">
        <v>85</v>
      </c>
      <c r="B929" s="3" t="s">
        <v>29</v>
      </c>
      <c r="C929" s="3" t="s">
        <v>6</v>
      </c>
      <c r="D929" s="3" t="s">
        <v>7</v>
      </c>
      <c r="E929" s="3" t="s">
        <v>8</v>
      </c>
      <c r="F929" s="3">
        <v>0</v>
      </c>
      <c r="G929" s="3">
        <v>0</v>
      </c>
      <c r="H929" s="3">
        <v>0</v>
      </c>
      <c r="I929" s="3">
        <v>0</v>
      </c>
      <c r="J929" s="3">
        <v>2.7653319916138398E-4</v>
      </c>
      <c r="K929" s="3">
        <v>3.79693602050165E-4</v>
      </c>
      <c r="L929" s="3">
        <v>9.3703812316867397E-5</v>
      </c>
      <c r="M929" s="3">
        <v>9.3703812316867994E-5</v>
      </c>
      <c r="N929" s="3">
        <v>7.5692257331430707E-5</v>
      </c>
      <c r="O929" s="3">
        <v>6.0550969799870897E-5</v>
      </c>
      <c r="P929" s="3">
        <v>4.8515568920549301E-5</v>
      </c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x14ac:dyDescent="0.45">
      <c r="A930" s="3" t="s">
        <v>85</v>
      </c>
      <c r="B930" s="3" t="s">
        <v>29</v>
      </c>
      <c r="C930" s="3" t="s">
        <v>6</v>
      </c>
      <c r="D930" s="3" t="s">
        <v>9</v>
      </c>
      <c r="E930" s="3" t="s">
        <v>8</v>
      </c>
      <c r="F930" s="3">
        <v>0</v>
      </c>
      <c r="G930" s="3">
        <v>0</v>
      </c>
      <c r="H930" s="3">
        <v>0</v>
      </c>
      <c r="I930" s="3">
        <v>0</v>
      </c>
      <c r="J930" s="3">
        <v>2.6045036149683899E-4</v>
      </c>
      <c r="K930" s="3">
        <v>6.2737843116415597E-4</v>
      </c>
      <c r="L930" s="3">
        <v>7.8310911085322399E-4</v>
      </c>
      <c r="M930" s="3">
        <v>7.8310911085322302E-4</v>
      </c>
      <c r="N930" s="3">
        <v>7.5885538214586997E-4</v>
      </c>
      <c r="O930" s="3">
        <v>7.7355024525189E-4</v>
      </c>
      <c r="P930" s="3">
        <v>7.8558564613121201E-4</v>
      </c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x14ac:dyDescent="0.45">
      <c r="A931" s="3" t="s">
        <v>85</v>
      </c>
      <c r="B931" s="3" t="s">
        <v>29</v>
      </c>
      <c r="C931" s="3" t="s">
        <v>6</v>
      </c>
      <c r="D931" s="3" t="s">
        <v>10</v>
      </c>
      <c r="E931" s="3" t="s">
        <v>8</v>
      </c>
      <c r="F931" s="3">
        <v>0</v>
      </c>
      <c r="G931" s="3">
        <v>0</v>
      </c>
      <c r="H931" s="3">
        <v>0</v>
      </c>
      <c r="I931" s="3">
        <v>3.1137822459689699E-5</v>
      </c>
      <c r="J931" s="3">
        <v>6.7150233213561202E-4</v>
      </c>
      <c r="K931" s="3">
        <v>6.7707462229645899E-4</v>
      </c>
      <c r="L931" s="3">
        <v>6.9047370570128402E-4</v>
      </c>
      <c r="M931" s="3">
        <v>6.9047370570128402E-4</v>
      </c>
      <c r="N931" s="3">
        <v>4.8613575784897398E-3</v>
      </c>
      <c r="O931" s="3">
        <v>1.10030642580792E-2</v>
      </c>
      <c r="P931" s="3">
        <v>3.4161885680343902E-2</v>
      </c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x14ac:dyDescent="0.45">
      <c r="A932" s="3" t="s">
        <v>85</v>
      </c>
      <c r="B932" s="3" t="s">
        <v>29</v>
      </c>
      <c r="C932" s="3" t="s">
        <v>6</v>
      </c>
      <c r="D932" s="3" t="s">
        <v>11</v>
      </c>
      <c r="E932" s="3" t="s">
        <v>8</v>
      </c>
      <c r="F932" s="3">
        <v>0</v>
      </c>
      <c r="G932" s="3">
        <v>0</v>
      </c>
      <c r="H932" s="3">
        <v>0</v>
      </c>
      <c r="I932" s="3">
        <v>5.1142012173206004E-4</v>
      </c>
      <c r="J932" s="3">
        <v>6.9815376101791695E-4</v>
      </c>
      <c r="K932" s="3">
        <v>7.5423260263105896E-4</v>
      </c>
      <c r="L932" s="3">
        <v>8.0564168715828305E-3</v>
      </c>
      <c r="M932" s="3">
        <v>3.3181181897161301E-2</v>
      </c>
      <c r="N932" s="3">
        <v>5.5175365056573999E-2</v>
      </c>
      <c r="O932" s="3">
        <v>7.6641499553793402E-2</v>
      </c>
      <c r="P932" s="3">
        <v>0.110089768756956</v>
      </c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x14ac:dyDescent="0.45">
      <c r="A933" s="3" t="s">
        <v>85</v>
      </c>
      <c r="B933" s="3" t="s">
        <v>29</v>
      </c>
      <c r="C933" s="3" t="s">
        <v>6</v>
      </c>
      <c r="D933" s="3" t="s">
        <v>12</v>
      </c>
      <c r="E933" s="3" t="s">
        <v>8</v>
      </c>
      <c r="F933" s="3">
        <v>0</v>
      </c>
      <c r="G933" s="3">
        <v>0</v>
      </c>
      <c r="H933" s="3">
        <v>0</v>
      </c>
      <c r="I933" s="3">
        <v>8.9187008081042705E-4</v>
      </c>
      <c r="J933" s="3">
        <v>4.45773610934138E-3</v>
      </c>
      <c r="K933" s="3">
        <v>3.2725157037343001E-2</v>
      </c>
      <c r="L933" s="3">
        <v>5.4989355281764803E-2</v>
      </c>
      <c r="M933" s="3">
        <v>0.121104040380351</v>
      </c>
      <c r="N933" s="3">
        <v>0.19683701294393799</v>
      </c>
      <c r="O933" s="3">
        <v>0.26846739851488699</v>
      </c>
      <c r="P933" s="3">
        <v>0.30436614007061102</v>
      </c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x14ac:dyDescent="0.45">
      <c r="A934" s="3" t="s">
        <v>85</v>
      </c>
      <c r="B934" s="3" t="s">
        <v>29</v>
      </c>
      <c r="C934" s="3" t="s">
        <v>6</v>
      </c>
      <c r="D934" s="3" t="s">
        <v>13</v>
      </c>
      <c r="E934" s="3" t="s">
        <v>8</v>
      </c>
      <c r="F934" s="3">
        <v>0</v>
      </c>
      <c r="G934" s="3">
        <v>1.04938879099241E-4</v>
      </c>
      <c r="H934" s="3">
        <v>1.04938879099241E-4</v>
      </c>
      <c r="I934" s="3">
        <v>3.1123216794499201E-2</v>
      </c>
      <c r="J934" s="3">
        <v>0.13918075522332499</v>
      </c>
      <c r="K934" s="3">
        <v>0.224106821345327</v>
      </c>
      <c r="L934" s="3">
        <v>0.30176866322410301</v>
      </c>
      <c r="M934" s="3">
        <v>0.304215914543216</v>
      </c>
      <c r="N934" s="3">
        <v>0.29343103641377899</v>
      </c>
      <c r="O934" s="3">
        <v>0.28737152582602798</v>
      </c>
      <c r="P934" s="3">
        <v>0.286502600513383</v>
      </c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x14ac:dyDescent="0.45">
      <c r="A935" s="3" t="s">
        <v>85</v>
      </c>
      <c r="B935" s="3" t="s">
        <v>29</v>
      </c>
      <c r="C935" s="3" t="s">
        <v>6</v>
      </c>
      <c r="D935" s="3" t="s">
        <v>14</v>
      </c>
      <c r="E935" s="3" t="s">
        <v>8</v>
      </c>
      <c r="F935" s="3">
        <v>0</v>
      </c>
      <c r="G935" s="3">
        <v>3.9736967309599103E-3</v>
      </c>
      <c r="H935" s="3">
        <v>3.9736967309599103E-3</v>
      </c>
      <c r="I935" s="3">
        <v>9.6489015669068506E-2</v>
      </c>
      <c r="J935" s="3">
        <v>0.101724909917349</v>
      </c>
      <c r="K935" s="3">
        <v>0.105824539050014</v>
      </c>
      <c r="L935" s="3">
        <v>0.120900133081374</v>
      </c>
      <c r="M935" s="3">
        <v>0.15638222985376399</v>
      </c>
      <c r="N935" s="3">
        <v>0.20071270046209799</v>
      </c>
      <c r="O935" s="3">
        <v>0.23622158082230499</v>
      </c>
      <c r="P935" s="3">
        <v>0.25991082848956698</v>
      </c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x14ac:dyDescent="0.45">
      <c r="A936" s="3" t="s">
        <v>85</v>
      </c>
      <c r="B936" s="3" t="s">
        <v>29</v>
      </c>
      <c r="C936" s="3" t="s">
        <v>15</v>
      </c>
      <c r="D936" s="3" t="s">
        <v>7</v>
      </c>
      <c r="E936" s="3" t="s">
        <v>8</v>
      </c>
      <c r="F936" s="3">
        <v>0.16847269681323099</v>
      </c>
      <c r="G936" s="3">
        <v>0.186148113906867</v>
      </c>
      <c r="H936" s="3">
        <v>0.186148113906867</v>
      </c>
      <c r="I936" s="3">
        <v>0.200088444426755</v>
      </c>
      <c r="J936" s="3">
        <v>0.211138679616512</v>
      </c>
      <c r="K936" s="3">
        <v>0.221583231300159</v>
      </c>
      <c r="L936" s="3">
        <v>0.23052624413014799</v>
      </c>
      <c r="M936" s="3">
        <v>0.24033835373380999</v>
      </c>
      <c r="N936" s="3">
        <v>0.24469198372428699</v>
      </c>
      <c r="O936" s="3">
        <v>0.24924609157489599</v>
      </c>
      <c r="P936" s="3">
        <v>0.25301533230678902</v>
      </c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x14ac:dyDescent="0.45">
      <c r="A937" s="3" t="s">
        <v>85</v>
      </c>
      <c r="B937" s="3" t="s">
        <v>29</v>
      </c>
      <c r="C937" s="3" t="s">
        <v>15</v>
      </c>
      <c r="D937" s="3" t="s">
        <v>9</v>
      </c>
      <c r="E937" s="3" t="s">
        <v>8</v>
      </c>
      <c r="F937" s="3">
        <v>0</v>
      </c>
      <c r="G937" s="3">
        <v>-2.04920511471252E-4</v>
      </c>
      <c r="H937" s="3">
        <v>-2.04920511471252E-4</v>
      </c>
      <c r="I937" s="3">
        <v>-6.1679942275602595E-4</v>
      </c>
      <c r="J937" s="3">
        <v>-1.2705416868124301E-3</v>
      </c>
      <c r="K937" s="3">
        <v>-4.02638732881627E-4</v>
      </c>
      <c r="L937" s="3">
        <v>-2.7345680172407602E-3</v>
      </c>
      <c r="M937" s="3">
        <v>-3.9437720806972396E-3</v>
      </c>
      <c r="N937" s="3">
        <v>-4.1237041233269699E-3</v>
      </c>
      <c r="O937" s="3">
        <v>-6.4065548647950204E-3</v>
      </c>
      <c r="P937" s="3">
        <v>-8.8692195110473306E-3</v>
      </c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x14ac:dyDescent="0.45">
      <c r="A938" s="3" t="s">
        <v>85</v>
      </c>
      <c r="B938" s="3" t="s">
        <v>29</v>
      </c>
      <c r="C938" s="3" t="s">
        <v>15</v>
      </c>
      <c r="D938" s="3" t="s">
        <v>10</v>
      </c>
      <c r="E938" s="3" t="s">
        <v>8</v>
      </c>
      <c r="F938" s="3">
        <v>0</v>
      </c>
      <c r="G938" s="3">
        <v>-3.75984585068712E-6</v>
      </c>
      <c r="H938" s="3">
        <v>-3.75984585068712E-6</v>
      </c>
      <c r="I938" s="3">
        <v>-2.4693746558979201E-4</v>
      </c>
      <c r="J938" s="3">
        <v>-8.4301545198123295E-4</v>
      </c>
      <c r="K938" s="3">
        <v>-1.2495725750000799E-3</v>
      </c>
      <c r="L938" s="3">
        <v>-3.4857900661533497E-4</v>
      </c>
      <c r="M938" s="3">
        <v>-2.7861706455230301E-3</v>
      </c>
      <c r="N938" s="3">
        <v>2.23365344801724E-3</v>
      </c>
      <c r="O938" s="3">
        <v>1.21901777969308E-3</v>
      </c>
      <c r="P938" s="3">
        <v>1.6208544653920399E-3</v>
      </c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x14ac:dyDescent="0.45">
      <c r="A939" s="3" t="s">
        <v>85</v>
      </c>
      <c r="B939" s="3" t="s">
        <v>29</v>
      </c>
      <c r="C939" s="3" t="s">
        <v>15</v>
      </c>
      <c r="D939" s="3" t="s">
        <v>11</v>
      </c>
      <c r="E939" s="3" t="s">
        <v>8</v>
      </c>
      <c r="F939" s="3">
        <v>0</v>
      </c>
      <c r="G939" s="3">
        <v>1.47453390451635E-5</v>
      </c>
      <c r="H939" s="3">
        <v>1.47453390451635E-5</v>
      </c>
      <c r="I939" s="3">
        <v>-3.1127939421923801E-4</v>
      </c>
      <c r="J939" s="3">
        <v>3.81719694336563E-4</v>
      </c>
      <c r="K939" s="3">
        <v>-7.5870699742341995E-4</v>
      </c>
      <c r="L939" s="3">
        <v>2.0497770917138102E-3</v>
      </c>
      <c r="M939" s="3">
        <v>5.2821971730165097E-3</v>
      </c>
      <c r="N939" s="3">
        <v>3.1119280975581399E-3</v>
      </c>
      <c r="O939" s="3">
        <v>3.5279066213936799E-3</v>
      </c>
      <c r="P939" s="3">
        <v>4.0067534153417402E-3</v>
      </c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x14ac:dyDescent="0.45">
      <c r="A940" s="3" t="s">
        <v>85</v>
      </c>
      <c r="B940" s="3" t="s">
        <v>29</v>
      </c>
      <c r="C940" s="3" t="s">
        <v>15</v>
      </c>
      <c r="D940" s="3" t="s">
        <v>12</v>
      </c>
      <c r="E940" s="3" t="s">
        <v>8</v>
      </c>
      <c r="F940" s="3">
        <v>0</v>
      </c>
      <c r="G940" s="3">
        <v>6.3326415871978198E-6</v>
      </c>
      <c r="H940" s="3">
        <v>6.3326415871978198E-6</v>
      </c>
      <c r="I940" s="3">
        <v>-1.0515312379557099E-3</v>
      </c>
      <c r="J940" s="3">
        <v>-1.7159905235117299E-4</v>
      </c>
      <c r="K940" s="3">
        <v>8.3668482935883599E-3</v>
      </c>
      <c r="L940" s="3">
        <v>8.4090881288166608E-3</v>
      </c>
      <c r="M940" s="3">
        <v>8.1666559651746001E-3</v>
      </c>
      <c r="N940" s="3">
        <v>4.9172392939932598E-3</v>
      </c>
      <c r="O940" s="3">
        <v>6.1252885780268803E-3</v>
      </c>
      <c r="P940" s="3">
        <v>6.0946546766010301E-3</v>
      </c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x14ac:dyDescent="0.45">
      <c r="A941" s="3" t="s">
        <v>85</v>
      </c>
      <c r="B941" s="3" t="s">
        <v>29</v>
      </c>
      <c r="C941" s="3" t="s">
        <v>15</v>
      </c>
      <c r="D941" s="3" t="s">
        <v>13</v>
      </c>
      <c r="E941" s="3" t="s">
        <v>8</v>
      </c>
      <c r="F941" s="3">
        <v>0</v>
      </c>
      <c r="G941" s="3">
        <v>-1.3563987358989099E-3</v>
      </c>
      <c r="H941" s="3">
        <v>-1.3563987358989099E-3</v>
      </c>
      <c r="I941" s="3">
        <v>1.0823225054925001E-2</v>
      </c>
      <c r="J941" s="3">
        <v>1.1398027714332799E-2</v>
      </c>
      <c r="K941" s="3">
        <v>1.1487459864285301E-3</v>
      </c>
      <c r="L941" s="3">
        <v>-4.0210201951093599E-4</v>
      </c>
      <c r="M941" s="3">
        <v>7.8473822630165102E-4</v>
      </c>
      <c r="N941" s="3">
        <v>4.5553767085367803E-3</v>
      </c>
      <c r="O941" s="3">
        <v>4.7534748758720803E-3</v>
      </c>
      <c r="P941" s="3">
        <v>3.9789233437287396E-3</v>
      </c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x14ac:dyDescent="0.45">
      <c r="A942" s="3" t="s">
        <v>85</v>
      </c>
      <c r="B942" s="3" t="s">
        <v>29</v>
      </c>
      <c r="C942" s="3" t="s">
        <v>15</v>
      </c>
      <c r="D942" s="3" t="s">
        <v>14</v>
      </c>
      <c r="E942" s="3" t="s">
        <v>8</v>
      </c>
      <c r="F942" s="3">
        <v>0</v>
      </c>
      <c r="G942" s="3">
        <v>3.2519695793702102E-3</v>
      </c>
      <c r="H942" s="3">
        <v>3.2519695793702102E-3</v>
      </c>
      <c r="I942" s="3">
        <v>-6.0398311609619103E-3</v>
      </c>
      <c r="J942" s="3">
        <v>-1.06321175045558E-2</v>
      </c>
      <c r="K942" s="3">
        <v>-1.2140463006419199E-2</v>
      </c>
      <c r="L942" s="3">
        <v>-1.59791263135565E-2</v>
      </c>
      <c r="M942" s="3">
        <v>-1.8781118847530399E-2</v>
      </c>
      <c r="N942" s="3">
        <v>-1.83657569738357E-2</v>
      </c>
      <c r="O942" s="3">
        <v>-1.5804903352957301E-2</v>
      </c>
      <c r="P942" s="3">
        <v>-1.5835527141025901E-2</v>
      </c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x14ac:dyDescent="0.45">
      <c r="A943" s="3" t="s">
        <v>85</v>
      </c>
      <c r="B943" s="3" t="s">
        <v>29</v>
      </c>
      <c r="C943" s="3" t="s">
        <v>16</v>
      </c>
      <c r="D943" s="3" t="s">
        <v>7</v>
      </c>
      <c r="E943" s="3" t="s">
        <v>8</v>
      </c>
      <c r="F943" s="3">
        <v>7.1919382833112805E-2</v>
      </c>
      <c r="G943" s="3">
        <v>7.6774097505294098E-2</v>
      </c>
      <c r="H943" s="3">
        <v>7.6774097505294098E-2</v>
      </c>
      <c r="I943" s="3">
        <v>7.4232402211724599E-2</v>
      </c>
      <c r="J943" s="3">
        <v>7.1856659599082801E-2</v>
      </c>
      <c r="K943" s="3">
        <v>7.0869916748947104E-2</v>
      </c>
      <c r="L943" s="3">
        <v>7.0672029856237994E-2</v>
      </c>
      <c r="M943" s="3">
        <v>7.0179566110186303E-2</v>
      </c>
      <c r="N943" s="3">
        <v>7.0048668284809407E-2</v>
      </c>
      <c r="O943" s="3">
        <v>7.0048668284809504E-2</v>
      </c>
      <c r="P943" s="3">
        <v>7.0048668284809504E-2</v>
      </c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x14ac:dyDescent="0.45">
      <c r="A944" s="3" t="s">
        <v>85</v>
      </c>
      <c r="B944" s="3" t="s">
        <v>29</v>
      </c>
      <c r="C944" s="3" t="s">
        <v>16</v>
      </c>
      <c r="D944" s="3" t="s">
        <v>9</v>
      </c>
      <c r="E944" s="3" t="s">
        <v>8</v>
      </c>
      <c r="F944" s="3">
        <v>0</v>
      </c>
      <c r="G944" s="3">
        <v>-1.9017302278531701E-5</v>
      </c>
      <c r="H944" s="3">
        <v>-1.9017302278531701E-5</v>
      </c>
      <c r="I944" s="3">
        <v>0</v>
      </c>
      <c r="J944" s="3">
        <v>1.3706956681679101E-4</v>
      </c>
      <c r="K944" s="3">
        <v>2.20859500340287E-5</v>
      </c>
      <c r="L944" s="3">
        <v>1.40070985307703E-4</v>
      </c>
      <c r="M944" s="3">
        <v>2.7458019004716899E-4</v>
      </c>
      <c r="N944" s="3">
        <v>-5.7707612271355197E-3</v>
      </c>
      <c r="O944" s="3">
        <v>-5.7707612271356299E-3</v>
      </c>
      <c r="P944" s="3">
        <v>-5.7707612271356299E-3</v>
      </c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x14ac:dyDescent="0.45">
      <c r="A945" s="3" t="s">
        <v>85</v>
      </c>
      <c r="B945" s="3" t="s">
        <v>29</v>
      </c>
      <c r="C945" s="3" t="s">
        <v>16</v>
      </c>
      <c r="D945" s="3" t="s">
        <v>10</v>
      </c>
      <c r="E945" s="3" t="s">
        <v>8</v>
      </c>
      <c r="F945" s="3">
        <v>0</v>
      </c>
      <c r="G945" s="3">
        <v>-1.11022302462516E-16</v>
      </c>
      <c r="H945" s="3">
        <v>-1.11022302462516E-16</v>
      </c>
      <c r="I945" s="3">
        <v>0</v>
      </c>
      <c r="J945" s="3">
        <v>1.34280207784096E-4</v>
      </c>
      <c r="K945" s="3">
        <v>3.7077617337302701E-5</v>
      </c>
      <c r="L945" s="3">
        <v>-6.01129898602155E-3</v>
      </c>
      <c r="M945" s="3">
        <v>-5.9569611386725702E-3</v>
      </c>
      <c r="N945" s="3">
        <v>2.1927810388711099E-4</v>
      </c>
      <c r="O945" s="3">
        <v>2.1927810388699999E-4</v>
      </c>
      <c r="P945" s="3">
        <v>2.1927810388711099E-4</v>
      </c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x14ac:dyDescent="0.45">
      <c r="A946" s="3" t="s">
        <v>85</v>
      </c>
      <c r="B946" s="3" t="s">
        <v>29</v>
      </c>
      <c r="C946" s="3" t="s">
        <v>16</v>
      </c>
      <c r="D946" s="3" t="s">
        <v>11</v>
      </c>
      <c r="E946" s="3" t="s">
        <v>8</v>
      </c>
      <c r="F946" s="3">
        <v>0</v>
      </c>
      <c r="G946" s="3">
        <v>1.11022302462516E-16</v>
      </c>
      <c r="H946" s="3">
        <v>1.11022302462516E-16</v>
      </c>
      <c r="I946" s="3">
        <v>0</v>
      </c>
      <c r="J946" s="3">
        <v>-6.1647799087582401E-3</v>
      </c>
      <c r="K946" s="3">
        <v>-6.0055449984209698E-3</v>
      </c>
      <c r="L946" s="3">
        <v>1.14522477666357E-6</v>
      </c>
      <c r="M946" s="3">
        <v>-3.1400212220185402E-4</v>
      </c>
      <c r="N946" s="3">
        <v>-4.8748995875774699E-4</v>
      </c>
      <c r="O946" s="3">
        <v>-4.8748995875763602E-4</v>
      </c>
      <c r="P946" s="3">
        <v>-4.8748995875774699E-4</v>
      </c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x14ac:dyDescent="0.45">
      <c r="A947" s="3" t="s">
        <v>85</v>
      </c>
      <c r="B947" s="3" t="s">
        <v>29</v>
      </c>
      <c r="C947" s="3" t="s">
        <v>16</v>
      </c>
      <c r="D947" s="3" t="s">
        <v>12</v>
      </c>
      <c r="E947" s="3" t="s">
        <v>8</v>
      </c>
      <c r="F947" s="3">
        <v>0</v>
      </c>
      <c r="G947" s="3">
        <v>-3.6434022964507199E-5</v>
      </c>
      <c r="H947" s="3">
        <v>-3.6434022964507199E-5</v>
      </c>
      <c r="I947" s="3">
        <v>-6.4963013892002696E-3</v>
      </c>
      <c r="J947" s="3">
        <v>3.2503146912721297E-4</v>
      </c>
      <c r="K947" s="3">
        <v>-1.21488282952636E-4</v>
      </c>
      <c r="L947" s="3">
        <v>-7.66337009920542E-4</v>
      </c>
      <c r="M947" s="3">
        <v>-1.8251637218572001E-4</v>
      </c>
      <c r="N947" s="3">
        <v>-1.0425404214684E-5</v>
      </c>
      <c r="O947" s="3">
        <v>-1.327895962068E-5</v>
      </c>
      <c r="P947" s="3">
        <v>-1.47224377533978E-5</v>
      </c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x14ac:dyDescent="0.45">
      <c r="A948" s="3" t="s">
        <v>85</v>
      </c>
      <c r="B948" s="3" t="s">
        <v>29</v>
      </c>
      <c r="C948" s="3" t="s">
        <v>16</v>
      </c>
      <c r="D948" s="3" t="s">
        <v>13</v>
      </c>
      <c r="E948" s="3" t="s">
        <v>8</v>
      </c>
      <c r="F948" s="3">
        <v>0</v>
      </c>
      <c r="G948" s="3">
        <v>5.5451325243038903E-5</v>
      </c>
      <c r="H948" s="3">
        <v>5.5451325243038903E-5</v>
      </c>
      <c r="I948" s="3">
        <v>-1.1713352961593799E-3</v>
      </c>
      <c r="J948" s="3">
        <v>-2.2203232560096802E-3</v>
      </c>
      <c r="K948" s="3">
        <v>-8.0671703735478396E-4</v>
      </c>
      <c r="L948" s="3">
        <v>-4.0648167786233598E-5</v>
      </c>
      <c r="M948" s="3">
        <v>-5.7084455292871803E-6</v>
      </c>
      <c r="N948" s="3">
        <v>-4.3116137540266697E-6</v>
      </c>
      <c r="O948" s="3">
        <v>-1.4580587161250299E-6</v>
      </c>
      <c r="P948" s="3">
        <v>-1.45805871265559E-8</v>
      </c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x14ac:dyDescent="0.45">
      <c r="A949" s="3" t="s">
        <v>85</v>
      </c>
      <c r="B949" s="3" t="s">
        <v>29</v>
      </c>
      <c r="C949" s="3" t="s">
        <v>16</v>
      </c>
      <c r="D949" s="3" t="s">
        <v>14</v>
      </c>
      <c r="E949" s="3" t="s">
        <v>8</v>
      </c>
      <c r="F949" s="3">
        <v>0</v>
      </c>
      <c r="G949" s="3">
        <v>-6.4304721751990701E-3</v>
      </c>
      <c r="H949" s="3">
        <v>-6.4304721751990701E-3</v>
      </c>
      <c r="I949" s="3">
        <v>-2.5422301545283501E-3</v>
      </c>
      <c r="J949" s="3">
        <v>-7.2811742898332103E-5</v>
      </c>
      <c r="K949" s="3">
        <v>-3.7013562058374498E-7</v>
      </c>
      <c r="L949" s="3">
        <v>-3.7013562353971402E-9</v>
      </c>
      <c r="M949" s="3">
        <v>-3.7013517251161003E-11</v>
      </c>
      <c r="N949" s="3">
        <v>-3.7012060083441202E-13</v>
      </c>
      <c r="O949" s="3">
        <v>-3.7192471324942697E-15</v>
      </c>
      <c r="P949" s="3">
        <v>0</v>
      </c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x14ac:dyDescent="0.45">
      <c r="A950" s="3" t="s">
        <v>85</v>
      </c>
      <c r="B950" s="3" t="s">
        <v>29</v>
      </c>
      <c r="C950" s="3" t="s">
        <v>17</v>
      </c>
      <c r="D950" s="3" t="s">
        <v>7</v>
      </c>
      <c r="E950" s="3" t="s">
        <v>8</v>
      </c>
      <c r="F950" s="3">
        <v>1.27447936545322E-2</v>
      </c>
      <c r="G950" s="3">
        <v>2.92147424943974E-2</v>
      </c>
      <c r="H950" s="3">
        <v>2.92147424943974E-2</v>
      </c>
      <c r="I950" s="3">
        <v>3.8810895994630598E-2</v>
      </c>
      <c r="J950" s="3">
        <v>5.1312898101729398E-2</v>
      </c>
      <c r="K950" s="3">
        <v>6.8049407386043204E-2</v>
      </c>
      <c r="L950" s="3">
        <v>5.4776934538818101E-2</v>
      </c>
      <c r="M950" s="3">
        <v>4.4383865030315599E-2</v>
      </c>
      <c r="N950" s="3">
        <v>3.5867169975082797E-2</v>
      </c>
      <c r="O950" s="3">
        <v>2.9172655673146201E-2</v>
      </c>
      <c r="P950" s="3">
        <v>2.5390101038214399E-2</v>
      </c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x14ac:dyDescent="0.45">
      <c r="A951" s="3" t="s">
        <v>85</v>
      </c>
      <c r="B951" s="3" t="s">
        <v>29</v>
      </c>
      <c r="C951" s="3" t="s">
        <v>17</v>
      </c>
      <c r="D951" s="3" t="s">
        <v>9</v>
      </c>
      <c r="E951" s="3" t="s">
        <v>8</v>
      </c>
      <c r="F951" s="3">
        <v>0</v>
      </c>
      <c r="G951" s="3">
        <v>9.0969419871824201E-4</v>
      </c>
      <c r="H951" s="3">
        <v>9.0969419871824201E-4</v>
      </c>
      <c r="I951" s="3">
        <v>2.9120264781370303E-4</v>
      </c>
      <c r="J951" s="3">
        <v>5.1821742194613999E-3</v>
      </c>
      <c r="K951" s="3">
        <v>7.1075741931632503E-3</v>
      </c>
      <c r="L951" s="3">
        <v>9.8124925952831794E-3</v>
      </c>
      <c r="M951" s="3">
        <v>1.19611619235644E-2</v>
      </c>
      <c r="N951" s="3">
        <v>3.6104481074426598E-2</v>
      </c>
      <c r="O951" s="3">
        <v>4.0208544281506803E-2</v>
      </c>
      <c r="P951" s="3">
        <v>4.2303889830082098E-2</v>
      </c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x14ac:dyDescent="0.45">
      <c r="A952" s="3" t="s">
        <v>85</v>
      </c>
      <c r="B952" s="3" t="s">
        <v>29</v>
      </c>
      <c r="C952" s="3" t="s">
        <v>17</v>
      </c>
      <c r="D952" s="3" t="s">
        <v>10</v>
      </c>
      <c r="E952" s="3" t="s">
        <v>8</v>
      </c>
      <c r="F952" s="3">
        <v>0</v>
      </c>
      <c r="G952" s="3">
        <v>2.6304944992288498E-4</v>
      </c>
      <c r="H952" s="3">
        <v>2.6304944992288498E-4</v>
      </c>
      <c r="I952" s="3">
        <v>2.3017064018841398E-3</v>
      </c>
      <c r="J952" s="3">
        <v>1.7982808187258399E-3</v>
      </c>
      <c r="K952" s="3">
        <v>4.4337803235791296E-3</v>
      </c>
      <c r="L952" s="3">
        <v>2.81407333115717E-2</v>
      </c>
      <c r="M952" s="3">
        <v>3.0089715210853799E-2</v>
      </c>
      <c r="N952" s="3">
        <v>2.86540197967655E-2</v>
      </c>
      <c r="O952" s="3">
        <v>2.9479874888696501E-2</v>
      </c>
      <c r="P952" s="3">
        <v>7.4171451137046499E-2</v>
      </c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x14ac:dyDescent="0.45">
      <c r="A953" s="3" t="s">
        <v>85</v>
      </c>
      <c r="B953" s="3" t="s">
        <v>29</v>
      </c>
      <c r="C953" s="3" t="s">
        <v>17</v>
      </c>
      <c r="D953" s="3" t="s">
        <v>11</v>
      </c>
      <c r="E953" s="3" t="s">
        <v>8</v>
      </c>
      <c r="F953" s="3">
        <v>0</v>
      </c>
      <c r="G953" s="3">
        <v>2.49954450051187E-4</v>
      </c>
      <c r="H953" s="3">
        <v>2.49954450051187E-4</v>
      </c>
      <c r="I953" s="3">
        <v>1.48456913208059E-3</v>
      </c>
      <c r="J953" s="3">
        <v>2.5826900407979501E-2</v>
      </c>
      <c r="K953" s="3">
        <v>3.3089333730560701E-2</v>
      </c>
      <c r="L953" s="3">
        <v>2.55229485455277E-2</v>
      </c>
      <c r="M953" s="3">
        <v>5.74991475796683E-2</v>
      </c>
      <c r="N953" s="3">
        <v>4.6716453686993897E-2</v>
      </c>
      <c r="O953" s="3">
        <v>4.9439287971936599E-2</v>
      </c>
      <c r="P953" s="3">
        <v>8.2241691093544993E-3</v>
      </c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x14ac:dyDescent="0.45">
      <c r="A954" s="3" t="s">
        <v>85</v>
      </c>
      <c r="B954" s="3" t="s">
        <v>29</v>
      </c>
      <c r="C954" s="3" t="s">
        <v>17</v>
      </c>
      <c r="D954" s="3" t="s">
        <v>12</v>
      </c>
      <c r="E954" s="3" t="s">
        <v>8</v>
      </c>
      <c r="F954" s="3">
        <v>0</v>
      </c>
      <c r="G954" s="3">
        <v>3.8123117249358099E-4</v>
      </c>
      <c r="H954" s="3">
        <v>3.8123117249358099E-4</v>
      </c>
      <c r="I954" s="3">
        <v>2.3476512707043502E-2</v>
      </c>
      <c r="J954" s="3">
        <v>1.96550348770839E-2</v>
      </c>
      <c r="K954" s="3">
        <v>2.69123852957679E-2</v>
      </c>
      <c r="L954" s="3">
        <v>2.8526384279494998E-2</v>
      </c>
      <c r="M954" s="3">
        <v>8.8181529843067395E-3</v>
      </c>
      <c r="N954" s="3">
        <v>1.10176149147407E-2</v>
      </c>
      <c r="O954" s="3">
        <v>1.31969800470566E-2</v>
      </c>
      <c r="P954" s="3">
        <v>1.2589161228123201E-2</v>
      </c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x14ac:dyDescent="0.45">
      <c r="A955" s="3" t="s">
        <v>85</v>
      </c>
      <c r="B955" s="3" t="s">
        <v>29</v>
      </c>
      <c r="C955" s="3" t="s">
        <v>17</v>
      </c>
      <c r="D955" s="3" t="s">
        <v>13</v>
      </c>
      <c r="E955" s="3" t="s">
        <v>8</v>
      </c>
      <c r="F955" s="3">
        <v>0</v>
      </c>
      <c r="G955" s="3">
        <v>4.5134598000422799E-3</v>
      </c>
      <c r="H955" s="3">
        <v>4.5134598000422799E-3</v>
      </c>
      <c r="I955" s="3">
        <v>6.1921883323545097E-2</v>
      </c>
      <c r="J955" s="3">
        <v>4.8902875464944498E-2</v>
      </c>
      <c r="K955" s="3">
        <v>2.1884727047410499E-2</v>
      </c>
      <c r="L955" s="3">
        <v>1.66484155295097E-2</v>
      </c>
      <c r="M955" s="3">
        <v>1.11802940730805E-2</v>
      </c>
      <c r="N955" s="3">
        <v>5.5773916897267897E-3</v>
      </c>
      <c r="O955" s="3">
        <v>2.4408809951698401E-3</v>
      </c>
      <c r="P955" s="3">
        <v>1.2595623661145201E-3</v>
      </c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x14ac:dyDescent="0.45">
      <c r="A956" s="3" t="s">
        <v>85</v>
      </c>
      <c r="B956" s="3" t="s">
        <v>29</v>
      </c>
      <c r="C956" s="3" t="s">
        <v>17</v>
      </c>
      <c r="D956" s="3" t="s">
        <v>14</v>
      </c>
      <c r="E956" s="3" t="s">
        <v>8</v>
      </c>
      <c r="F956" s="3">
        <v>0</v>
      </c>
      <c r="G956" s="3">
        <v>2.1586529879171399E-2</v>
      </c>
      <c r="H956" s="3">
        <v>2.1586529879171399E-2</v>
      </c>
      <c r="I956" s="3">
        <v>3.05757610957272E-2</v>
      </c>
      <c r="J956" s="3">
        <v>1.10095956938867E-2</v>
      </c>
      <c r="K956" s="3">
        <v>2.4589736232629401E-3</v>
      </c>
      <c r="L956" s="3">
        <v>5.1042055769601202E-4</v>
      </c>
      <c r="M956" s="3">
        <v>6.07641391564551E-6</v>
      </c>
      <c r="N956" s="3">
        <v>1.28213146957656E-6</v>
      </c>
      <c r="O956" s="3">
        <v>1.89412227596941E-7</v>
      </c>
      <c r="P956" s="3">
        <v>7.8560810468086802E-8</v>
      </c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x14ac:dyDescent="0.45">
      <c r="A957" s="3" t="s">
        <v>85</v>
      </c>
      <c r="B957" s="3" t="s">
        <v>29</v>
      </c>
      <c r="C957" s="3" t="s">
        <v>18</v>
      </c>
      <c r="D957" s="3" t="s">
        <v>7</v>
      </c>
      <c r="E957" s="3" t="s">
        <v>8</v>
      </c>
      <c r="F957" s="3">
        <v>0.130160031171806</v>
      </c>
      <c r="G957" s="3">
        <v>9.7282137389508694E-2</v>
      </c>
      <c r="H957" s="3">
        <v>9.7282137389508694E-2</v>
      </c>
      <c r="I957" s="3">
        <v>6.4854758259672504E-2</v>
      </c>
      <c r="J957" s="3">
        <v>3.2427379129836197E-2</v>
      </c>
      <c r="K957" s="3">
        <v>0</v>
      </c>
      <c r="L957" s="3">
        <v>7.5214165077495904E-17</v>
      </c>
      <c r="M957" s="3">
        <v>0</v>
      </c>
      <c r="N957" s="3">
        <v>1.25356941795827E-17</v>
      </c>
      <c r="O957" s="3">
        <v>0</v>
      </c>
      <c r="P957" s="3">
        <v>5.0142776718330701E-17</v>
      </c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x14ac:dyDescent="0.45">
      <c r="A958" s="3" t="s">
        <v>85</v>
      </c>
      <c r="B958" s="3" t="s">
        <v>29</v>
      </c>
      <c r="C958" s="3" t="s">
        <v>18</v>
      </c>
      <c r="D958" s="3" t="s">
        <v>9</v>
      </c>
      <c r="E958" s="3" t="s">
        <v>8</v>
      </c>
      <c r="F958" s="3">
        <v>0</v>
      </c>
      <c r="G958" s="3">
        <v>0</v>
      </c>
      <c r="H958" s="3">
        <v>0</v>
      </c>
      <c r="I958" s="3">
        <v>0</v>
      </c>
      <c r="J958" s="3">
        <v>-1.11022302462516E-16</v>
      </c>
      <c r="K958" s="3">
        <v>0</v>
      </c>
      <c r="L958" s="3">
        <v>-2.5071388359165301E-17</v>
      </c>
      <c r="M958" s="3">
        <v>1.25356941795827E-17</v>
      </c>
      <c r="N958" s="3">
        <v>-1.25356941795827E-17</v>
      </c>
      <c r="O958" s="3">
        <v>1.25356941795827E-17</v>
      </c>
      <c r="P958" s="3">
        <v>-5.0142776718330701E-17</v>
      </c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x14ac:dyDescent="0.45">
      <c r="A959" s="3" t="s">
        <v>85</v>
      </c>
      <c r="B959" s="3" t="s">
        <v>29</v>
      </c>
      <c r="C959" s="3" t="s">
        <v>18</v>
      </c>
      <c r="D959" s="3" t="s">
        <v>10</v>
      </c>
      <c r="E959" s="3" t="s">
        <v>8</v>
      </c>
      <c r="F959" s="3">
        <v>0</v>
      </c>
      <c r="G959" s="3">
        <v>0</v>
      </c>
      <c r="H959" s="3">
        <v>0</v>
      </c>
      <c r="I959" s="3">
        <v>0</v>
      </c>
      <c r="J959" s="3">
        <v>1.11022302462516E-16</v>
      </c>
      <c r="K959" s="3">
        <v>7.5214165077495904E-17</v>
      </c>
      <c r="L959" s="3">
        <v>-5.0142776718330701E-17</v>
      </c>
      <c r="M959" s="3">
        <v>-1.25356941795827E-17</v>
      </c>
      <c r="N959" s="3">
        <v>0</v>
      </c>
      <c r="O959" s="3">
        <v>-1.25356941795827E-17</v>
      </c>
      <c r="P959" s="3">
        <v>0</v>
      </c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x14ac:dyDescent="0.45">
      <c r="A960" s="3" t="s">
        <v>85</v>
      </c>
      <c r="B960" s="3" t="s">
        <v>29</v>
      </c>
      <c r="C960" s="3" t="s">
        <v>18</v>
      </c>
      <c r="D960" s="3" t="s">
        <v>11</v>
      </c>
      <c r="E960" s="3" t="s">
        <v>8</v>
      </c>
      <c r="F960" s="3">
        <v>0</v>
      </c>
      <c r="G960" s="3">
        <v>1.11022302462516E-16</v>
      </c>
      <c r="H960" s="3">
        <v>1.11022302462516E-16</v>
      </c>
      <c r="I960" s="3">
        <v>0</v>
      </c>
      <c r="J960" s="3">
        <v>0</v>
      </c>
      <c r="K960" s="3">
        <v>-2.5071388359165301E-17</v>
      </c>
      <c r="L960" s="3">
        <v>2.5071388359165301E-17</v>
      </c>
      <c r="M960" s="3">
        <v>6.2678470897913204E-17</v>
      </c>
      <c r="N960" s="3">
        <v>1.25356941795827E-17</v>
      </c>
      <c r="O960" s="3">
        <v>7.5214165077495904E-17</v>
      </c>
      <c r="P960" s="3">
        <v>0</v>
      </c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x14ac:dyDescent="0.45">
      <c r="A961" s="3" t="s">
        <v>85</v>
      </c>
      <c r="B961" s="3" t="s">
        <v>29</v>
      </c>
      <c r="C961" s="3" t="s">
        <v>18</v>
      </c>
      <c r="D961" s="3" t="s">
        <v>12</v>
      </c>
      <c r="E961" s="3" t="s">
        <v>8</v>
      </c>
      <c r="F961" s="3">
        <v>0</v>
      </c>
      <c r="G961" s="3">
        <v>0</v>
      </c>
      <c r="H961" s="3">
        <v>0</v>
      </c>
      <c r="I961" s="3">
        <v>1.11022302462516E-16</v>
      </c>
      <c r="J961" s="3">
        <v>1.11022302462516E-16</v>
      </c>
      <c r="K961" s="3">
        <v>-5.0142776718330701E-17</v>
      </c>
      <c r="L961" s="3">
        <v>-2.5071388359165301E-17</v>
      </c>
      <c r="M961" s="3">
        <v>5.0142776718330701E-17</v>
      </c>
      <c r="N961" s="3">
        <v>5.0142776718330498E-17</v>
      </c>
      <c r="O961" s="3">
        <v>3.7607082538748001E-17</v>
      </c>
      <c r="P961" s="3">
        <v>0</v>
      </c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x14ac:dyDescent="0.45">
      <c r="A962" s="3" t="s">
        <v>85</v>
      </c>
      <c r="B962" s="3" t="s">
        <v>29</v>
      </c>
      <c r="C962" s="3" t="s">
        <v>18</v>
      </c>
      <c r="D962" s="3" t="s">
        <v>13</v>
      </c>
      <c r="E962" s="3" t="s">
        <v>8</v>
      </c>
      <c r="F962" s="3">
        <v>0</v>
      </c>
      <c r="G962" s="3">
        <v>0</v>
      </c>
      <c r="H962" s="3">
        <v>0</v>
      </c>
      <c r="I962" s="3">
        <v>-1.11022302462516E-16</v>
      </c>
      <c r="J962" s="3">
        <v>1.1796119636642301E-16</v>
      </c>
      <c r="K962" s="3">
        <v>2.5071388359165301E-17</v>
      </c>
      <c r="L962" s="3">
        <v>5.0142776718330701E-17</v>
      </c>
      <c r="M962" s="3">
        <v>-2.5071388359165301E-17</v>
      </c>
      <c r="N962" s="3">
        <v>-1.25356941795826E-17</v>
      </c>
      <c r="O962" s="3">
        <v>-8.7749859257078702E-17</v>
      </c>
      <c r="P962" s="3">
        <v>7.5214165077495904E-17</v>
      </c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x14ac:dyDescent="0.45">
      <c r="A963" s="3" t="s">
        <v>85</v>
      </c>
      <c r="B963" s="3" t="s">
        <v>29</v>
      </c>
      <c r="C963" s="3" t="s">
        <v>18</v>
      </c>
      <c r="D963" s="3" t="s">
        <v>14</v>
      </c>
      <c r="E963" s="3" t="s">
        <v>8</v>
      </c>
      <c r="F963" s="3">
        <v>0</v>
      </c>
      <c r="G963" s="3">
        <v>0</v>
      </c>
      <c r="H963" s="3">
        <v>0</v>
      </c>
      <c r="I963" s="3">
        <v>0</v>
      </c>
      <c r="J963" s="3">
        <v>-2.2898349882893898E-16</v>
      </c>
      <c r="K963" s="3">
        <v>-2.5071388359165301E-17</v>
      </c>
      <c r="L963" s="3">
        <v>7.5214165077496298E-17</v>
      </c>
      <c r="M963" s="3">
        <v>6.2678470897913499E-17</v>
      </c>
      <c r="N963" s="3">
        <v>-5.0142776718330701E-17</v>
      </c>
      <c r="O963" s="3">
        <v>-2.5071388359165301E-17</v>
      </c>
      <c r="P963" s="3">
        <v>1.25356941795827E-16</v>
      </c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x14ac:dyDescent="0.45">
      <c r="A964" s="3" t="s">
        <v>85</v>
      </c>
      <c r="B964" s="3" t="s">
        <v>29</v>
      </c>
      <c r="C964" s="3" t="s">
        <v>19</v>
      </c>
      <c r="D964" s="3" t="s">
        <v>7</v>
      </c>
      <c r="E964" s="3" t="s">
        <v>8</v>
      </c>
      <c r="F964" s="3">
        <v>4.6952732995733304E-3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2.5131922469029199E-4</v>
      </c>
      <c r="O964" s="3">
        <v>0</v>
      </c>
      <c r="P964" s="3">
        <v>7.8576122379786105E-4</v>
      </c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x14ac:dyDescent="0.45">
      <c r="A965" s="3" t="s">
        <v>85</v>
      </c>
      <c r="B965" s="3" t="s">
        <v>29</v>
      </c>
      <c r="C965" s="3" t="s">
        <v>19</v>
      </c>
      <c r="D965" s="3" t="s">
        <v>9</v>
      </c>
      <c r="E965" s="3" t="s">
        <v>8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1.4770483474235601E-3</v>
      </c>
      <c r="O965" s="3">
        <v>1.77799343453204E-3</v>
      </c>
      <c r="P965" s="3">
        <v>9.67799361094356E-4</v>
      </c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x14ac:dyDescent="0.45">
      <c r="A966" s="3" t="s">
        <v>85</v>
      </c>
      <c r="B966" s="3" t="s">
        <v>29</v>
      </c>
      <c r="C966" s="3" t="s">
        <v>19</v>
      </c>
      <c r="D966" s="3" t="s">
        <v>10</v>
      </c>
      <c r="E966" s="3" t="s">
        <v>8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8.55922715284674E-4</v>
      </c>
      <c r="M966" s="3">
        <v>1.44571706956203E-3</v>
      </c>
      <c r="N966" s="3">
        <v>9.8327102461645208E-3</v>
      </c>
      <c r="O966" s="3">
        <v>1.33322366369572E-2</v>
      </c>
      <c r="P966" s="3">
        <v>1.7598470157349E-2</v>
      </c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:35" x14ac:dyDescent="0.45">
      <c r="A967" s="3" t="s">
        <v>85</v>
      </c>
      <c r="B967" s="3" t="s">
        <v>29</v>
      </c>
      <c r="C967" s="3" t="s">
        <v>19</v>
      </c>
      <c r="D967" s="3" t="s">
        <v>11</v>
      </c>
      <c r="E967" s="3" t="s">
        <v>8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1.1683750924661699E-2</v>
      </c>
      <c r="M967" s="3">
        <v>2.0683119879508799E-2</v>
      </c>
      <c r="N967" s="3">
        <v>2.28579894885351E-2</v>
      </c>
      <c r="O967" s="3">
        <v>2.39798658366349E-2</v>
      </c>
      <c r="P967" s="3">
        <v>2.3111954180361299E-2</v>
      </c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:35" x14ac:dyDescent="0.45">
      <c r="A968" s="3" t="s">
        <v>85</v>
      </c>
      <c r="B968" s="3" t="s">
        <v>29</v>
      </c>
      <c r="C968" s="3" t="s">
        <v>19</v>
      </c>
      <c r="D968" s="3" t="s">
        <v>12</v>
      </c>
      <c r="E968" s="3" t="s">
        <v>8</v>
      </c>
      <c r="F968" s="3">
        <v>0</v>
      </c>
      <c r="G968" s="3">
        <v>0</v>
      </c>
      <c r="H968" s="3">
        <v>0</v>
      </c>
      <c r="I968" s="3">
        <v>0</v>
      </c>
      <c r="J968" s="3">
        <v>9.7984637022213404E-3</v>
      </c>
      <c r="K968" s="3">
        <v>1.6872170693053301E-2</v>
      </c>
      <c r="L968" s="3">
        <v>2.8820007520730599E-2</v>
      </c>
      <c r="M968" s="3">
        <v>2.58121089763311E-2</v>
      </c>
      <c r="N968" s="3">
        <v>2.5496314177355001E-2</v>
      </c>
      <c r="O968" s="3">
        <v>2.6674006039095401E-2</v>
      </c>
      <c r="P968" s="3">
        <v>2.5172007309263202E-2</v>
      </c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:35" x14ac:dyDescent="0.45">
      <c r="A969" s="3" t="s">
        <v>85</v>
      </c>
      <c r="B969" s="3" t="s">
        <v>29</v>
      </c>
      <c r="C969" s="3" t="s">
        <v>19</v>
      </c>
      <c r="D969" s="3" t="s">
        <v>13</v>
      </c>
      <c r="E969" s="3" t="s">
        <v>8</v>
      </c>
      <c r="F969" s="3">
        <v>0</v>
      </c>
      <c r="G969" s="3">
        <v>0</v>
      </c>
      <c r="H969" s="3">
        <v>0</v>
      </c>
      <c r="I969" s="3">
        <v>2.25000738201055E-2</v>
      </c>
      <c r="J969" s="3">
        <v>8.5306976742521898E-2</v>
      </c>
      <c r="K969" s="3">
        <v>8.88275878634672E-2</v>
      </c>
      <c r="L969" s="3">
        <v>5.8327343002213303E-2</v>
      </c>
      <c r="M969" s="3">
        <v>3.7920311996990599E-2</v>
      </c>
      <c r="N969" s="3">
        <v>1.42797198848898E-2</v>
      </c>
      <c r="O969" s="3">
        <v>6.7502745574593397E-3</v>
      </c>
      <c r="P969" s="3">
        <v>3.05655493021056E-3</v>
      </c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:35" x14ac:dyDescent="0.45">
      <c r="A970" s="3" t="s">
        <v>85</v>
      </c>
      <c r="B970" s="3" t="s">
        <v>29</v>
      </c>
      <c r="C970" s="3" t="s">
        <v>19</v>
      </c>
      <c r="D970" s="3" t="s">
        <v>14</v>
      </c>
      <c r="E970" s="3" t="s">
        <v>8</v>
      </c>
      <c r="F970" s="3">
        <v>0</v>
      </c>
      <c r="G970" s="3">
        <v>9.3803784600766296E-3</v>
      </c>
      <c r="H970" s="3">
        <v>9.3803784600766296E-3</v>
      </c>
      <c r="I970" s="3">
        <v>0.13885740546915001</v>
      </c>
      <c r="J970" s="3">
        <v>6.3052770689084603E-2</v>
      </c>
      <c r="K970" s="3">
        <v>3.6616251286580602E-2</v>
      </c>
      <c r="L970" s="3">
        <v>3.5234938858140101E-2</v>
      </c>
      <c r="M970" s="3">
        <v>3.9425668267144803E-2</v>
      </c>
      <c r="N970" s="3">
        <v>3.7595355651764598E-2</v>
      </c>
      <c r="O970" s="3">
        <v>3.1039683495068499E-2</v>
      </c>
      <c r="P970" s="3">
        <v>3.1595186012078703E-2</v>
      </c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:35" x14ac:dyDescent="0.45">
      <c r="A971" s="3" t="s">
        <v>68</v>
      </c>
      <c r="B971" s="3" t="s">
        <v>29</v>
      </c>
      <c r="C971" s="3" t="s">
        <v>6</v>
      </c>
      <c r="D971" s="3" t="s">
        <v>7</v>
      </c>
      <c r="E971" s="3" t="s">
        <v>8</v>
      </c>
      <c r="F971" s="3">
        <v>0</v>
      </c>
      <c r="G971" s="3">
        <v>0</v>
      </c>
      <c r="H971" s="3">
        <v>0</v>
      </c>
      <c r="I971" s="3">
        <v>0</v>
      </c>
      <c r="J971" s="3">
        <v>3.4017418716506399E-4</v>
      </c>
      <c r="K971" s="3">
        <v>4.67075789962605E-4</v>
      </c>
      <c r="L971" s="3">
        <v>1.1526868486613601E-4</v>
      </c>
      <c r="M971" s="3">
        <v>1.15268684866137E-4</v>
      </c>
      <c r="N971" s="3">
        <v>9.3111974224047703E-5</v>
      </c>
      <c r="O971" s="3">
        <v>7.4486090625619603E-5</v>
      </c>
      <c r="P971" s="3">
        <v>5.9680878362698498E-5</v>
      </c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:35" x14ac:dyDescent="0.45">
      <c r="A972" s="3" t="s">
        <v>68</v>
      </c>
      <c r="B972" s="3" t="s">
        <v>29</v>
      </c>
      <c r="C972" s="3" t="s">
        <v>6</v>
      </c>
      <c r="D972" s="3" t="s">
        <v>9</v>
      </c>
      <c r="E972" s="3" t="s">
        <v>8</v>
      </c>
      <c r="F972" s="3">
        <v>0</v>
      </c>
      <c r="G972" s="3">
        <v>0</v>
      </c>
      <c r="H972" s="3">
        <v>0</v>
      </c>
      <c r="I972" s="3">
        <v>0</v>
      </c>
      <c r="J972" s="3">
        <v>3.2039006632013199E-4</v>
      </c>
      <c r="K972" s="3">
        <v>7.7176248100904905E-4</v>
      </c>
      <c r="L972" s="3">
        <v>9.63332815205975E-4</v>
      </c>
      <c r="M972" s="3">
        <v>9.6333281520597403E-4</v>
      </c>
      <c r="N972" s="3">
        <v>9.3349736516320798E-4</v>
      </c>
      <c r="O972" s="3">
        <v>9.5157408480393097E-4</v>
      </c>
      <c r="P972" s="3">
        <v>9.6637929706685198E-4</v>
      </c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:35" x14ac:dyDescent="0.45">
      <c r="A973" s="3" t="s">
        <v>68</v>
      </c>
      <c r="B973" s="3" t="s">
        <v>29</v>
      </c>
      <c r="C973" s="3" t="s">
        <v>6</v>
      </c>
      <c r="D973" s="3" t="s">
        <v>10</v>
      </c>
      <c r="E973" s="3" t="s">
        <v>8</v>
      </c>
      <c r="F973" s="3">
        <v>0</v>
      </c>
      <c r="G973" s="3">
        <v>0</v>
      </c>
      <c r="H973" s="3">
        <v>0</v>
      </c>
      <c r="I973" s="3">
        <v>3.8303840108302399E-5</v>
      </c>
      <c r="J973" s="3">
        <v>8.2604099871699701E-4</v>
      </c>
      <c r="K973" s="3">
        <v>8.3289568843187601E-4</v>
      </c>
      <c r="L973" s="3">
        <v>8.4937841932934504E-4</v>
      </c>
      <c r="M973" s="3">
        <v>8.4937841932934504E-4</v>
      </c>
      <c r="N973" s="3">
        <v>5.9801440398350404E-3</v>
      </c>
      <c r="O973" s="3">
        <v>1.3535295044746799E-2</v>
      </c>
      <c r="P973" s="3">
        <v>4.2023857274926399E-2</v>
      </c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:35" x14ac:dyDescent="0.45">
      <c r="A974" s="3" t="s">
        <v>68</v>
      </c>
      <c r="B974" s="3" t="s">
        <v>29</v>
      </c>
      <c r="C974" s="3" t="s">
        <v>6</v>
      </c>
      <c r="D974" s="3" t="s">
        <v>11</v>
      </c>
      <c r="E974" s="3" t="s">
        <v>8</v>
      </c>
      <c r="F974" s="3">
        <v>0</v>
      </c>
      <c r="G974" s="3">
        <v>0</v>
      </c>
      <c r="H974" s="3">
        <v>0</v>
      </c>
      <c r="I974" s="3">
        <v>6.2911767823049596E-4</v>
      </c>
      <c r="J974" s="3">
        <v>8.5882595251032096E-4</v>
      </c>
      <c r="K974" s="3">
        <v>9.2781070522992399E-4</v>
      </c>
      <c r="L974" s="3">
        <v>9.9105100908849393E-3</v>
      </c>
      <c r="M974" s="3">
        <v>4.0817455608487901E-2</v>
      </c>
      <c r="N974" s="3">
        <v>6.7873351252490999E-2</v>
      </c>
      <c r="O974" s="3">
        <v>9.4279673807295697E-2</v>
      </c>
      <c r="P974" s="3">
        <v>0.135425683844317</v>
      </c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:35" x14ac:dyDescent="0.45">
      <c r="A975" s="3" t="s">
        <v>68</v>
      </c>
      <c r="B975" s="3" t="s">
        <v>29</v>
      </c>
      <c r="C975" s="3" t="s">
        <v>6</v>
      </c>
      <c r="D975" s="3" t="s">
        <v>12</v>
      </c>
      <c r="E975" s="3" t="s">
        <v>8</v>
      </c>
      <c r="F975" s="3">
        <v>0</v>
      </c>
      <c r="G975" s="3">
        <v>0</v>
      </c>
      <c r="H975" s="3">
        <v>0</v>
      </c>
      <c r="I975" s="3">
        <v>1.0971238922364199E-3</v>
      </c>
      <c r="J975" s="3">
        <v>5.4836336548024604E-3</v>
      </c>
      <c r="K975" s="3">
        <v>4.0256481785141698E-2</v>
      </c>
      <c r="L975" s="3">
        <v>6.7644533431909806E-2</v>
      </c>
      <c r="M975" s="3">
        <v>0.14897476550274499</v>
      </c>
      <c r="N975" s="3">
        <v>0.242136825109111</v>
      </c>
      <c r="O975" s="3">
        <v>0.33025213372960399</v>
      </c>
      <c r="P975" s="3">
        <v>0.374412564614578</v>
      </c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:35" x14ac:dyDescent="0.45">
      <c r="A976" s="3" t="s">
        <v>68</v>
      </c>
      <c r="B976" s="3" t="s">
        <v>29</v>
      </c>
      <c r="C976" s="3" t="s">
        <v>6</v>
      </c>
      <c r="D976" s="3" t="s">
        <v>13</v>
      </c>
      <c r="E976" s="3" t="s">
        <v>8</v>
      </c>
      <c r="F976" s="3">
        <v>0</v>
      </c>
      <c r="G976" s="3">
        <v>1.29089375192034E-4</v>
      </c>
      <c r="H976" s="3">
        <v>1.29089375192034E-4</v>
      </c>
      <c r="I976" s="3">
        <v>3.8285873114468502E-2</v>
      </c>
      <c r="J976" s="3">
        <v>0.171211631806578</v>
      </c>
      <c r="K976" s="3">
        <v>0.27568247147353098</v>
      </c>
      <c r="L976" s="3">
        <v>0.371217307851121</v>
      </c>
      <c r="M976" s="3">
        <v>0.37422776638120903</v>
      </c>
      <c r="N976" s="3">
        <v>0.36096087053477399</v>
      </c>
      <c r="O976" s="3">
        <v>0.35350683212254203</v>
      </c>
      <c r="P976" s="3">
        <v>0.35243793347734398</v>
      </c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:35" x14ac:dyDescent="0.45">
      <c r="A977" s="3" t="s">
        <v>68</v>
      </c>
      <c r="B977" s="3" t="s">
        <v>29</v>
      </c>
      <c r="C977" s="3" t="s">
        <v>6</v>
      </c>
      <c r="D977" s="3" t="s">
        <v>14</v>
      </c>
      <c r="E977" s="3" t="s">
        <v>8</v>
      </c>
      <c r="F977" s="3">
        <v>0</v>
      </c>
      <c r="G977" s="3">
        <v>4.88819808830939E-3</v>
      </c>
      <c r="H977" s="3">
        <v>4.88819808830939E-3</v>
      </c>
      <c r="I977" s="3">
        <v>0.118694871267254</v>
      </c>
      <c r="J977" s="3">
        <v>0.125135747355162</v>
      </c>
      <c r="K977" s="3">
        <v>0.130178859763045</v>
      </c>
      <c r="L977" s="3">
        <v>0.148723931245242</v>
      </c>
      <c r="M977" s="3">
        <v>0.19237183126254001</v>
      </c>
      <c r="N977" s="3">
        <v>0.24690445827284799</v>
      </c>
      <c r="O977" s="3">
        <v>0.29058530581775799</v>
      </c>
      <c r="P977" s="3">
        <v>0.31972636589372999</v>
      </c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:35" x14ac:dyDescent="0.45">
      <c r="A978" s="3" t="s">
        <v>68</v>
      </c>
      <c r="B978" s="3" t="s">
        <v>29</v>
      </c>
      <c r="C978" s="3" t="s">
        <v>15</v>
      </c>
      <c r="D978" s="3" t="s">
        <v>7</v>
      </c>
      <c r="E978" s="3" t="s">
        <v>8</v>
      </c>
      <c r="F978" s="3">
        <v>0.20724478244111599</v>
      </c>
      <c r="G978" s="3">
        <v>0.22898799685755999</v>
      </c>
      <c r="H978" s="3">
        <v>0.22898799685755999</v>
      </c>
      <c r="I978" s="3">
        <v>0.24613653677174199</v>
      </c>
      <c r="J978" s="3">
        <v>0.259729858604556</v>
      </c>
      <c r="K978" s="3">
        <v>0.27257810572303098</v>
      </c>
      <c r="L978" s="3">
        <v>0.28357925180413102</v>
      </c>
      <c r="M978" s="3">
        <v>0.295649507451274</v>
      </c>
      <c r="N978" s="3">
        <v>0.30100507614146899</v>
      </c>
      <c r="O978" s="3">
        <v>0.30660726040375902</v>
      </c>
      <c r="P978" s="3">
        <v>0.31124394925735599</v>
      </c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:35" x14ac:dyDescent="0.45">
      <c r="A979" s="3" t="s">
        <v>68</v>
      </c>
      <c r="B979" s="3" t="s">
        <v>29</v>
      </c>
      <c r="C979" s="3" t="s">
        <v>15</v>
      </c>
      <c r="D979" s="3" t="s">
        <v>9</v>
      </c>
      <c r="E979" s="3" t="s">
        <v>8</v>
      </c>
      <c r="F979" s="3">
        <v>0</v>
      </c>
      <c r="G979" s="3">
        <v>-2.5208064939244402E-4</v>
      </c>
      <c r="H979" s="3">
        <v>-2.5208064939244402E-4</v>
      </c>
      <c r="I979" s="3">
        <v>-7.5874883347176703E-4</v>
      </c>
      <c r="J979" s="3">
        <v>-1.56294248531991E-3</v>
      </c>
      <c r="K979" s="3">
        <v>-4.9530148312948398E-4</v>
      </c>
      <c r="L979" s="3">
        <v>-3.3638979165376299E-3</v>
      </c>
      <c r="M979" s="3">
        <v>-4.8513866182574002E-3</v>
      </c>
      <c r="N979" s="3">
        <v>-5.0727279853415297E-3</v>
      </c>
      <c r="O979" s="3">
        <v>-7.8809510043246801E-3</v>
      </c>
      <c r="P979" s="3">
        <v>-1.09103700644576E-2</v>
      </c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:35" x14ac:dyDescent="0.45">
      <c r="A980" s="3" t="s">
        <v>68</v>
      </c>
      <c r="B980" s="3" t="s">
        <v>29</v>
      </c>
      <c r="C980" s="3" t="s">
        <v>15</v>
      </c>
      <c r="D980" s="3" t="s">
        <v>10</v>
      </c>
      <c r="E980" s="3" t="s">
        <v>8</v>
      </c>
      <c r="F980" s="3">
        <v>0</v>
      </c>
      <c r="G980" s="3">
        <v>-4.6251318467638303E-6</v>
      </c>
      <c r="H980" s="3">
        <v>-4.6251318467638303E-6</v>
      </c>
      <c r="I980" s="3">
        <v>-3.0376733026032899E-4</v>
      </c>
      <c r="J980" s="3">
        <v>-1.03702592316207E-3</v>
      </c>
      <c r="K980" s="3">
        <v>-1.5371475695991599E-3</v>
      </c>
      <c r="L980" s="3">
        <v>-4.2880052231614201E-4</v>
      </c>
      <c r="M980" s="3">
        <v>-3.42737630605727E-3</v>
      </c>
      <c r="N980" s="3">
        <v>2.74770352490034E-3</v>
      </c>
      <c r="O980" s="3">
        <v>1.4995609337483101E-3</v>
      </c>
      <c r="P980" s="3">
        <v>1.9938757876077399E-3</v>
      </c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:35" x14ac:dyDescent="0.45">
      <c r="A981" s="3" t="s">
        <v>68</v>
      </c>
      <c r="B981" s="3" t="s">
        <v>29</v>
      </c>
      <c r="C981" s="3" t="s">
        <v>15</v>
      </c>
      <c r="D981" s="3" t="s">
        <v>11</v>
      </c>
      <c r="E981" s="3" t="s">
        <v>8</v>
      </c>
      <c r="F981" s="3">
        <v>0</v>
      </c>
      <c r="G981" s="3">
        <v>1.8138812046319999E-5</v>
      </c>
      <c r="H981" s="3">
        <v>1.8138812046319999E-5</v>
      </c>
      <c r="I981" s="3">
        <v>-3.8291682601182498E-4</v>
      </c>
      <c r="J981" s="3">
        <v>4.6956816447218898E-4</v>
      </c>
      <c r="K981" s="3">
        <v>-9.3331483137520899E-4</v>
      </c>
      <c r="L981" s="3">
        <v>2.5215101049634301E-3</v>
      </c>
      <c r="M981" s="3">
        <v>6.4978351070528696E-3</v>
      </c>
      <c r="N981" s="3">
        <v>3.8281031511343501E-3</v>
      </c>
      <c r="O981" s="3">
        <v>4.3398144272234797E-3</v>
      </c>
      <c r="P981" s="3">
        <v>4.92886239470758E-3</v>
      </c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:35" x14ac:dyDescent="0.45">
      <c r="A982" s="3" t="s">
        <v>68</v>
      </c>
      <c r="B982" s="3" t="s">
        <v>29</v>
      </c>
      <c r="C982" s="3" t="s">
        <v>15</v>
      </c>
      <c r="D982" s="3" t="s">
        <v>12</v>
      </c>
      <c r="E982" s="3" t="s">
        <v>8</v>
      </c>
      <c r="F982" s="3">
        <v>0</v>
      </c>
      <c r="G982" s="3">
        <v>7.7900274219056004E-6</v>
      </c>
      <c r="H982" s="3">
        <v>7.7900274219056004E-6</v>
      </c>
      <c r="I982" s="3">
        <v>-1.29352925881965E-3</v>
      </c>
      <c r="J982" s="3">
        <v>-2.1109063334484601E-4</v>
      </c>
      <c r="K982" s="3">
        <v>1.02923837934691E-2</v>
      </c>
      <c r="L982" s="3">
        <v>1.03443446490133E-2</v>
      </c>
      <c r="M982" s="3">
        <v>1.0046119464985801E-2</v>
      </c>
      <c r="N982" s="3">
        <v>6.0488863001005302E-3</v>
      </c>
      <c r="O982" s="3">
        <v>7.5349544629747002E-3</v>
      </c>
      <c r="P982" s="3">
        <v>7.4972705156264897E-3</v>
      </c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:35" x14ac:dyDescent="0.45">
      <c r="A983" s="3" t="s">
        <v>68</v>
      </c>
      <c r="B983" s="3" t="s">
        <v>29</v>
      </c>
      <c r="C983" s="3" t="s">
        <v>15</v>
      </c>
      <c r="D983" s="3" t="s">
        <v>13</v>
      </c>
      <c r="E983" s="3" t="s">
        <v>8</v>
      </c>
      <c r="F983" s="3">
        <v>0</v>
      </c>
      <c r="G983" s="3">
        <v>-1.6685585631504901E-3</v>
      </c>
      <c r="H983" s="3">
        <v>-1.6685585631504901E-3</v>
      </c>
      <c r="I983" s="3">
        <v>1.3314067883093399E-2</v>
      </c>
      <c r="J983" s="3">
        <v>1.4021154873145E-2</v>
      </c>
      <c r="K983" s="3">
        <v>1.41311688208695E-3</v>
      </c>
      <c r="L983" s="3">
        <v>-4.9464125124715197E-4</v>
      </c>
      <c r="M983" s="3">
        <v>9.6533685314848005E-4</v>
      </c>
      <c r="N983" s="3">
        <v>5.60374513351947E-3</v>
      </c>
      <c r="O983" s="3">
        <v>5.8474333534385102E-3</v>
      </c>
      <c r="P983" s="3">
        <v>4.8946275468902999E-3</v>
      </c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:35" x14ac:dyDescent="0.45">
      <c r="A984" s="3" t="s">
        <v>68</v>
      </c>
      <c r="B984" s="3" t="s">
        <v>29</v>
      </c>
      <c r="C984" s="3" t="s">
        <v>15</v>
      </c>
      <c r="D984" s="3" t="s">
        <v>14</v>
      </c>
      <c r="E984" s="3" t="s">
        <v>8</v>
      </c>
      <c r="F984" s="3">
        <v>0</v>
      </c>
      <c r="G984" s="3">
        <v>4.0003735960186804E-3</v>
      </c>
      <c r="H984" s="3">
        <v>4.0003735960186804E-3</v>
      </c>
      <c r="I984" s="3">
        <v>-7.4298299879551897E-3</v>
      </c>
      <c r="J984" s="3">
        <v>-1.30789790915664E-2</v>
      </c>
      <c r="K984" s="3">
        <v>-1.49344532502443E-2</v>
      </c>
      <c r="L984" s="3">
        <v>-1.96565414995604E-2</v>
      </c>
      <c r="M984" s="3">
        <v>-2.31033809227391E-2</v>
      </c>
      <c r="N984" s="3">
        <v>-2.2592428211846E-2</v>
      </c>
      <c r="O984" s="3">
        <v>-1.9442223095162501E-2</v>
      </c>
      <c r="P984" s="3">
        <v>-1.94798946016786E-2</v>
      </c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:35" x14ac:dyDescent="0.45">
      <c r="A985" s="3" t="s">
        <v>68</v>
      </c>
      <c r="B985" s="3" t="s">
        <v>29</v>
      </c>
      <c r="C985" s="3" t="s">
        <v>16</v>
      </c>
      <c r="D985" s="3" t="s">
        <v>7</v>
      </c>
      <c r="E985" s="3" t="s">
        <v>8</v>
      </c>
      <c r="F985" s="3">
        <v>8.8470815333783301E-2</v>
      </c>
      <c r="G985" s="3">
        <v>9.4442787677558995E-2</v>
      </c>
      <c r="H985" s="3">
        <v>9.4442787677558995E-2</v>
      </c>
      <c r="I985" s="3">
        <v>9.1316149960520607E-2</v>
      </c>
      <c r="J985" s="3">
        <v>8.83936570568849E-2</v>
      </c>
      <c r="K985" s="3">
        <v>8.7179826500540195E-2</v>
      </c>
      <c r="L985" s="3">
        <v>8.6936398177712801E-2</v>
      </c>
      <c r="M985" s="3">
        <v>8.6330599470615693E-2</v>
      </c>
      <c r="N985" s="3">
        <v>8.6169576991274005E-2</v>
      </c>
      <c r="O985" s="3">
        <v>8.6169576991274102E-2</v>
      </c>
      <c r="P985" s="3">
        <v>8.6169576991274102E-2</v>
      </c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:35" x14ac:dyDescent="0.45">
      <c r="A986" s="3" t="s">
        <v>68</v>
      </c>
      <c r="B986" s="3" t="s">
        <v>29</v>
      </c>
      <c r="C986" s="3" t="s">
        <v>16</v>
      </c>
      <c r="D986" s="3" t="s">
        <v>9</v>
      </c>
      <c r="E986" s="3" t="s">
        <v>8</v>
      </c>
      <c r="F986" s="3">
        <v>0</v>
      </c>
      <c r="G986" s="3">
        <v>-2.3393919298994599E-5</v>
      </c>
      <c r="H986" s="3">
        <v>-2.3393919298994599E-5</v>
      </c>
      <c r="I986" s="3">
        <v>0</v>
      </c>
      <c r="J986" s="3">
        <v>1.68614577267301E-4</v>
      </c>
      <c r="K986" s="3">
        <v>2.7168781626854499E-5</v>
      </c>
      <c r="L986" s="3">
        <v>1.7230673827575699E-4</v>
      </c>
      <c r="M986" s="3">
        <v>3.3777171509311E-4</v>
      </c>
      <c r="N986" s="3">
        <v>-7.09883665222724E-3</v>
      </c>
      <c r="O986" s="3">
        <v>-7.0988366522273796E-3</v>
      </c>
      <c r="P986" s="3">
        <v>-7.0988366522273796E-3</v>
      </c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:35" x14ac:dyDescent="0.45">
      <c r="A987" s="3" t="s">
        <v>68</v>
      </c>
      <c r="B987" s="3" t="s">
        <v>29</v>
      </c>
      <c r="C987" s="3" t="s">
        <v>16</v>
      </c>
      <c r="D987" s="3" t="s">
        <v>10</v>
      </c>
      <c r="E987" s="3" t="s">
        <v>8</v>
      </c>
      <c r="F987" s="3">
        <v>0</v>
      </c>
      <c r="G987" s="3">
        <v>-1.3877787807814501E-16</v>
      </c>
      <c r="H987" s="3">
        <v>-1.3877787807814501E-16</v>
      </c>
      <c r="I987" s="3">
        <v>0</v>
      </c>
      <c r="J987" s="3">
        <v>1.6518327880281301E-4</v>
      </c>
      <c r="K987" s="3">
        <v>4.5610611593790998E-5</v>
      </c>
      <c r="L987" s="3">
        <v>-7.39473145567113E-3</v>
      </c>
      <c r="M987" s="3">
        <v>-7.3278883673537102E-3</v>
      </c>
      <c r="N987" s="3">
        <v>2.6974247930847101E-4</v>
      </c>
      <c r="O987" s="3">
        <v>2.6974247930833299E-4</v>
      </c>
      <c r="P987" s="3">
        <v>2.6974247930847101E-4</v>
      </c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:35" x14ac:dyDescent="0.45">
      <c r="A988" s="3" t="s">
        <v>68</v>
      </c>
      <c r="B988" s="3" t="s">
        <v>29</v>
      </c>
      <c r="C988" s="3" t="s">
        <v>16</v>
      </c>
      <c r="D988" s="3" t="s">
        <v>11</v>
      </c>
      <c r="E988" s="3" t="s">
        <v>8</v>
      </c>
      <c r="F988" s="3">
        <v>0</v>
      </c>
      <c r="G988" s="3">
        <v>1.3877787807814501E-16</v>
      </c>
      <c r="H988" s="3">
        <v>1.3877787807814501E-16</v>
      </c>
      <c r="I988" s="3">
        <v>0</v>
      </c>
      <c r="J988" s="3">
        <v>-7.5835342767993797E-3</v>
      </c>
      <c r="K988" s="3">
        <v>-7.3876532529058804E-3</v>
      </c>
      <c r="L988" s="3">
        <v>1.40878530573152E-6</v>
      </c>
      <c r="M988" s="3">
        <v>-3.8626615904364898E-4</v>
      </c>
      <c r="N988" s="3">
        <v>-5.9968025891446496E-4</v>
      </c>
      <c r="O988" s="3">
        <v>-5.9968025891432596E-4</v>
      </c>
      <c r="P988" s="3">
        <v>-5.9968025891446496E-4</v>
      </c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:35" x14ac:dyDescent="0.45">
      <c r="A989" s="3" t="s">
        <v>68</v>
      </c>
      <c r="B989" s="3" t="s">
        <v>29</v>
      </c>
      <c r="C989" s="3" t="s">
        <v>16</v>
      </c>
      <c r="D989" s="3" t="s">
        <v>12</v>
      </c>
      <c r="E989" s="3" t="s">
        <v>8</v>
      </c>
      <c r="F989" s="3">
        <v>0</v>
      </c>
      <c r="G989" s="3">
        <v>-4.4818901255572197E-5</v>
      </c>
      <c r="H989" s="3">
        <v>-4.4818901255572197E-5</v>
      </c>
      <c r="I989" s="3">
        <v>-7.9913516762260307E-3</v>
      </c>
      <c r="J989" s="3">
        <v>3.99833785414264E-4</v>
      </c>
      <c r="K989" s="3">
        <v>-1.4944743715697401E-4</v>
      </c>
      <c r="L989" s="3">
        <v>-9.4270080494780804E-4</v>
      </c>
      <c r="M989" s="3">
        <v>-2.2452045085681599E-4</v>
      </c>
      <c r="N989" s="3">
        <v>-1.2824693076118901E-5</v>
      </c>
      <c r="O989" s="3">
        <v>-1.63349619830833E-5</v>
      </c>
      <c r="P989" s="3">
        <v>-1.8110640281315802E-5</v>
      </c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:35" x14ac:dyDescent="0.45">
      <c r="A990" s="3" t="s">
        <v>68</v>
      </c>
      <c r="B990" s="3" t="s">
        <v>29</v>
      </c>
      <c r="C990" s="3" t="s">
        <v>16</v>
      </c>
      <c r="D990" s="3" t="s">
        <v>13</v>
      </c>
      <c r="E990" s="3" t="s">
        <v>8</v>
      </c>
      <c r="F990" s="3">
        <v>0</v>
      </c>
      <c r="G990" s="3">
        <v>6.8212820554566802E-5</v>
      </c>
      <c r="H990" s="3">
        <v>6.8212820554566802E-5</v>
      </c>
      <c r="I990" s="3">
        <v>-1.4409048659514601E-3</v>
      </c>
      <c r="J990" s="3">
        <v>-2.7313055399760099E-3</v>
      </c>
      <c r="K990" s="3">
        <v>-9.9237383896977295E-4</v>
      </c>
      <c r="L990" s="3">
        <v>-5.0002883843089401E-5</v>
      </c>
      <c r="M990" s="3">
        <v>-7.0221797013464401E-6</v>
      </c>
      <c r="N990" s="3">
        <v>-5.3038828921464498E-6</v>
      </c>
      <c r="O990" s="3">
        <v>-1.79361443798653E-6</v>
      </c>
      <c r="P990" s="3">
        <v>-1.7936144333652299E-8</v>
      </c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:35" x14ac:dyDescent="0.45">
      <c r="A991" s="3" t="s">
        <v>68</v>
      </c>
      <c r="B991" s="3" t="s">
        <v>29</v>
      </c>
      <c r="C991" s="3" t="s">
        <v>16</v>
      </c>
      <c r="D991" s="3" t="s">
        <v>14</v>
      </c>
      <c r="E991" s="3" t="s">
        <v>8</v>
      </c>
      <c r="F991" s="3">
        <v>0</v>
      </c>
      <c r="G991" s="3">
        <v>-7.91037261319677E-3</v>
      </c>
      <c r="H991" s="3">
        <v>-7.91037261319677E-3</v>
      </c>
      <c r="I991" s="3">
        <v>-3.12729567019729E-3</v>
      </c>
      <c r="J991" s="3">
        <v>-8.9568541974796605E-5</v>
      </c>
      <c r="K991" s="3">
        <v>-4.5531814715782397E-7</v>
      </c>
      <c r="L991" s="3">
        <v>-4.5531815262567196E-9</v>
      </c>
      <c r="M991" s="3">
        <v>-4.5531758918748702E-11</v>
      </c>
      <c r="N991" s="3">
        <v>-4.55302462398777E-13</v>
      </c>
      <c r="O991" s="3">
        <v>-4.5796699765787699E-15</v>
      </c>
      <c r="P991" s="3">
        <v>0</v>
      </c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:35" x14ac:dyDescent="0.45">
      <c r="A992" s="3" t="s">
        <v>68</v>
      </c>
      <c r="B992" s="3" t="s">
        <v>29</v>
      </c>
      <c r="C992" s="3" t="s">
        <v>17</v>
      </c>
      <c r="D992" s="3" t="s">
        <v>7</v>
      </c>
      <c r="E992" s="3" t="s">
        <v>8</v>
      </c>
      <c r="F992" s="3">
        <v>1.56778637616195E-2</v>
      </c>
      <c r="G992" s="3">
        <v>3.5938185040373501E-2</v>
      </c>
      <c r="H992" s="3">
        <v>3.5938185040373501E-2</v>
      </c>
      <c r="I992" s="3">
        <v>4.7742784729497702E-2</v>
      </c>
      <c r="J992" s="3">
        <v>6.3121981215183601E-2</v>
      </c>
      <c r="K992" s="3">
        <v>8.3710208809691697E-2</v>
      </c>
      <c r="L992" s="3">
        <v>6.7383226457600601E-2</v>
      </c>
      <c r="M992" s="3">
        <v>5.4598309554579602E-2</v>
      </c>
      <c r="N992" s="3">
        <v>4.4121593462144899E-2</v>
      </c>
      <c r="O992" s="3">
        <v>3.5886412413242502E-2</v>
      </c>
      <c r="P992" s="3">
        <v>3.1233345612411801E-2</v>
      </c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:35" x14ac:dyDescent="0.45">
      <c r="A993" s="3" t="s">
        <v>68</v>
      </c>
      <c r="B993" s="3" t="s">
        <v>29</v>
      </c>
      <c r="C993" s="3" t="s">
        <v>17</v>
      </c>
      <c r="D993" s="3" t="s">
        <v>9</v>
      </c>
      <c r="E993" s="3" t="s">
        <v>8</v>
      </c>
      <c r="F993" s="3">
        <v>0</v>
      </c>
      <c r="G993" s="3">
        <v>1.11905002927751E-3</v>
      </c>
      <c r="H993" s="3">
        <v>1.11905002927751E-3</v>
      </c>
      <c r="I993" s="3">
        <v>3.5821964350302198E-4</v>
      </c>
      <c r="J993" s="3">
        <v>6.3747930020664097E-3</v>
      </c>
      <c r="K993" s="3">
        <v>8.7433020020994297E-3</v>
      </c>
      <c r="L993" s="3">
        <v>1.20707267799539E-2</v>
      </c>
      <c r="M993" s="3">
        <v>1.4713888051190701E-2</v>
      </c>
      <c r="N993" s="3">
        <v>4.4413519026848799E-2</v>
      </c>
      <c r="O993" s="3">
        <v>4.9462085961221799E-2</v>
      </c>
      <c r="P993" s="3">
        <v>5.2039651587982398E-2</v>
      </c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:35" x14ac:dyDescent="0.45">
      <c r="A994" s="3" t="s">
        <v>68</v>
      </c>
      <c r="B994" s="3" t="s">
        <v>29</v>
      </c>
      <c r="C994" s="3" t="s">
        <v>17</v>
      </c>
      <c r="D994" s="3" t="s">
        <v>10</v>
      </c>
      <c r="E994" s="3" t="s">
        <v>8</v>
      </c>
      <c r="F994" s="3">
        <v>0</v>
      </c>
      <c r="G994" s="3">
        <v>3.2358730554993297E-4</v>
      </c>
      <c r="H994" s="3">
        <v>3.2358730554993297E-4</v>
      </c>
      <c r="I994" s="3">
        <v>2.8314180963733599E-3</v>
      </c>
      <c r="J994" s="3">
        <v>2.2121348093455499E-3</v>
      </c>
      <c r="K994" s="3">
        <v>5.4541647159036697E-3</v>
      </c>
      <c r="L994" s="3">
        <v>3.4617004791913202E-2</v>
      </c>
      <c r="M994" s="3">
        <v>3.70145228309708E-2</v>
      </c>
      <c r="N994" s="3">
        <v>3.52484183560463E-2</v>
      </c>
      <c r="O994" s="3">
        <v>3.6264334656388203E-2</v>
      </c>
      <c r="P994" s="3">
        <v>9.1241171685404396E-2</v>
      </c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:35" x14ac:dyDescent="0.45">
      <c r="A995" s="3" t="s">
        <v>68</v>
      </c>
      <c r="B995" s="3" t="s">
        <v>29</v>
      </c>
      <c r="C995" s="3" t="s">
        <v>17</v>
      </c>
      <c r="D995" s="3" t="s">
        <v>11</v>
      </c>
      <c r="E995" s="3" t="s">
        <v>8</v>
      </c>
      <c r="F995" s="3">
        <v>0</v>
      </c>
      <c r="G995" s="3">
        <v>3.0747863957133998E-4</v>
      </c>
      <c r="H995" s="3">
        <v>3.0747863957133998E-4</v>
      </c>
      <c r="I995" s="3">
        <v>1.82622592631684E-3</v>
      </c>
      <c r="J995" s="3">
        <v>3.17706694166228E-2</v>
      </c>
      <c r="K995" s="3">
        <v>4.0704469625211098E-2</v>
      </c>
      <c r="L995" s="3">
        <v>3.1396766470935297E-2</v>
      </c>
      <c r="M995" s="3">
        <v>7.0731926039674806E-2</v>
      </c>
      <c r="N995" s="3">
        <v>5.7467717107388197E-2</v>
      </c>
      <c r="O995" s="3">
        <v>6.0817180905856E-2</v>
      </c>
      <c r="P995" s="3">
        <v>1.0116868608784999E-2</v>
      </c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:35" x14ac:dyDescent="0.45">
      <c r="A996" s="3" t="s">
        <v>68</v>
      </c>
      <c r="B996" s="3" t="s">
        <v>29</v>
      </c>
      <c r="C996" s="3" t="s">
        <v>17</v>
      </c>
      <c r="D996" s="3" t="s">
        <v>12</v>
      </c>
      <c r="E996" s="3" t="s">
        <v>8</v>
      </c>
      <c r="F996" s="3">
        <v>0</v>
      </c>
      <c r="G996" s="3">
        <v>4.6896721485258102E-4</v>
      </c>
      <c r="H996" s="3">
        <v>4.6896721485258102E-4</v>
      </c>
      <c r="I996" s="3">
        <v>2.8879366570840299E-2</v>
      </c>
      <c r="J996" s="3">
        <v>2.4178418841894599E-2</v>
      </c>
      <c r="K996" s="3">
        <v>3.3105966373744702E-2</v>
      </c>
      <c r="L996" s="3">
        <v>3.5091408968122698E-2</v>
      </c>
      <c r="M996" s="3">
        <v>1.08475511541856E-2</v>
      </c>
      <c r="N996" s="3">
        <v>1.3553194370460901E-2</v>
      </c>
      <c r="O996" s="3">
        <v>1.6234115737839901E-2</v>
      </c>
      <c r="P996" s="3">
        <v>1.54864142925836E-2</v>
      </c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:35" x14ac:dyDescent="0.45">
      <c r="A997" s="3" t="s">
        <v>68</v>
      </c>
      <c r="B997" s="3" t="s">
        <v>29</v>
      </c>
      <c r="C997" s="3" t="s">
        <v>17</v>
      </c>
      <c r="D997" s="3" t="s">
        <v>13</v>
      </c>
      <c r="E997" s="3" t="s">
        <v>8</v>
      </c>
      <c r="F997" s="3">
        <v>0</v>
      </c>
      <c r="G997" s="3">
        <v>5.5521815226443703E-3</v>
      </c>
      <c r="H997" s="3">
        <v>5.5521815226443703E-3</v>
      </c>
      <c r="I997" s="3">
        <v>7.6172504390779494E-2</v>
      </c>
      <c r="J997" s="3">
        <v>6.0157319127579198E-2</v>
      </c>
      <c r="K997" s="3">
        <v>2.6921249445848599E-2</v>
      </c>
      <c r="L997" s="3">
        <v>2.04798600584375E-2</v>
      </c>
      <c r="M997" s="3">
        <v>1.3753312297077901E-2</v>
      </c>
      <c r="N997" s="3">
        <v>6.8609653029282104E-3</v>
      </c>
      <c r="O997" s="3">
        <v>3.0026221481420398E-3</v>
      </c>
      <c r="P997" s="3">
        <v>1.5494363981471101E-3</v>
      </c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:35" x14ac:dyDescent="0.45">
      <c r="A998" s="3" t="s">
        <v>68</v>
      </c>
      <c r="B998" s="3" t="s">
        <v>29</v>
      </c>
      <c r="C998" s="3" t="s">
        <v>17</v>
      </c>
      <c r="D998" s="3" t="s">
        <v>14</v>
      </c>
      <c r="E998" s="3" t="s">
        <v>8</v>
      </c>
      <c r="F998" s="3">
        <v>0</v>
      </c>
      <c r="G998" s="3">
        <v>2.65544255721572E-2</v>
      </c>
      <c r="H998" s="3">
        <v>2.65544255721572E-2</v>
      </c>
      <c r="I998" s="3">
        <v>3.7612426678729903E-2</v>
      </c>
      <c r="J998" s="3">
        <v>1.35433296166302E-2</v>
      </c>
      <c r="K998" s="3">
        <v>3.0248785899505402E-3</v>
      </c>
      <c r="L998" s="3">
        <v>6.2788807583730199E-4</v>
      </c>
      <c r="M998" s="3">
        <v>7.4748318498740802E-6</v>
      </c>
      <c r="N998" s="3">
        <v>1.5771995254820801E-6</v>
      </c>
      <c r="O998" s="3">
        <v>2.33003309396684E-7</v>
      </c>
      <c r="P998" s="3">
        <v>9.6640692420768599E-8</v>
      </c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:35" x14ac:dyDescent="0.45">
      <c r="A999" s="3" t="s">
        <v>68</v>
      </c>
      <c r="B999" s="3" t="s">
        <v>29</v>
      </c>
      <c r="C999" s="3" t="s">
        <v>18</v>
      </c>
      <c r="D999" s="3" t="s">
        <v>7</v>
      </c>
      <c r="E999" s="3" t="s">
        <v>8</v>
      </c>
      <c r="F999" s="3">
        <v>0.16011489014528199</v>
      </c>
      <c r="G999" s="3">
        <v>0.11967052098089399</v>
      </c>
      <c r="H999" s="3">
        <v>0.11967052098089399</v>
      </c>
      <c r="I999" s="3">
        <v>7.9780347320595899E-2</v>
      </c>
      <c r="J999" s="3">
        <v>3.9890173660297998E-2</v>
      </c>
      <c r="K999" s="3">
        <v>0</v>
      </c>
      <c r="L999" s="3">
        <v>9.2523854445426599E-17</v>
      </c>
      <c r="M999" s="3">
        <v>0</v>
      </c>
      <c r="N999" s="3">
        <v>1.5420642407571101E-17</v>
      </c>
      <c r="O999" s="3">
        <v>0</v>
      </c>
      <c r="P999" s="3">
        <v>6.1682569630284403E-17</v>
      </c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:35" x14ac:dyDescent="0.45">
      <c r="A1000" s="3" t="s">
        <v>68</v>
      </c>
      <c r="B1000" s="3" t="s">
        <v>29</v>
      </c>
      <c r="C1000" s="3" t="s">
        <v>18</v>
      </c>
      <c r="D1000" s="3" t="s">
        <v>9</v>
      </c>
      <c r="E1000" s="3" t="s">
        <v>8</v>
      </c>
      <c r="F1000" s="3">
        <v>0</v>
      </c>
      <c r="G1000" s="3">
        <v>0</v>
      </c>
      <c r="H1000" s="3">
        <v>0</v>
      </c>
      <c r="I1000" s="3">
        <v>0</v>
      </c>
      <c r="J1000" s="3">
        <v>-1.3877787807814501E-16</v>
      </c>
      <c r="K1000" s="3">
        <v>0</v>
      </c>
      <c r="L1000" s="3">
        <v>-3.0841284815142202E-17</v>
      </c>
      <c r="M1000" s="3">
        <v>1.5420642407571101E-17</v>
      </c>
      <c r="N1000" s="3">
        <v>-1.5420642407571101E-17</v>
      </c>
      <c r="O1000" s="3">
        <v>1.5420642407571101E-17</v>
      </c>
      <c r="P1000" s="3">
        <v>-6.1682569630284403E-17</v>
      </c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 spans="1:35" x14ac:dyDescent="0.45">
      <c r="A1001" s="3" t="s">
        <v>68</v>
      </c>
      <c r="B1001" s="3" t="s">
        <v>29</v>
      </c>
      <c r="C1001" s="3" t="s">
        <v>18</v>
      </c>
      <c r="D1001" s="3" t="s">
        <v>10</v>
      </c>
      <c r="E1001" s="3" t="s">
        <v>8</v>
      </c>
      <c r="F1001" s="3">
        <v>0</v>
      </c>
      <c r="G1001" s="3">
        <v>0</v>
      </c>
      <c r="H1001" s="3">
        <v>0</v>
      </c>
      <c r="I1001" s="3">
        <v>0</v>
      </c>
      <c r="J1001" s="3">
        <v>1.3877787807814501E-16</v>
      </c>
      <c r="K1001" s="3">
        <v>9.2523854445426599E-17</v>
      </c>
      <c r="L1001" s="3">
        <v>-6.1682569630284403E-17</v>
      </c>
      <c r="M1001" s="3">
        <v>-1.5420642407571101E-17</v>
      </c>
      <c r="N1001" s="3">
        <v>0</v>
      </c>
      <c r="O1001" s="3">
        <v>-1.5420642407571101E-17</v>
      </c>
      <c r="P1001" s="3">
        <v>0</v>
      </c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02" spans="1:35" x14ac:dyDescent="0.45">
      <c r="A1002" s="3" t="s">
        <v>68</v>
      </c>
      <c r="B1002" s="3" t="s">
        <v>29</v>
      </c>
      <c r="C1002" s="3" t="s">
        <v>18</v>
      </c>
      <c r="D1002" s="3" t="s">
        <v>11</v>
      </c>
      <c r="E1002" s="3" t="s">
        <v>8</v>
      </c>
      <c r="F1002" s="3">
        <v>0</v>
      </c>
      <c r="G1002" s="3">
        <v>1.3877787807814501E-16</v>
      </c>
      <c r="H1002" s="3">
        <v>1.3877787807814501E-16</v>
      </c>
      <c r="I1002" s="3">
        <v>0</v>
      </c>
      <c r="J1002" s="3">
        <v>0</v>
      </c>
      <c r="K1002" s="3">
        <v>-3.0841284815142202E-17</v>
      </c>
      <c r="L1002" s="3">
        <v>3.0841284815142202E-17</v>
      </c>
      <c r="M1002" s="3">
        <v>7.7103212037855501E-17</v>
      </c>
      <c r="N1002" s="3">
        <v>1.5420642407571101E-17</v>
      </c>
      <c r="O1002" s="3">
        <v>9.2523854445426599E-17</v>
      </c>
      <c r="P1002" s="3">
        <v>0</v>
      </c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</row>
    <row r="1003" spans="1:35" x14ac:dyDescent="0.45">
      <c r="A1003" s="3" t="s">
        <v>68</v>
      </c>
      <c r="B1003" s="3" t="s">
        <v>29</v>
      </c>
      <c r="C1003" s="3" t="s">
        <v>18</v>
      </c>
      <c r="D1003" s="3" t="s">
        <v>12</v>
      </c>
      <c r="E1003" s="3" t="s">
        <v>8</v>
      </c>
      <c r="F1003" s="3">
        <v>0</v>
      </c>
      <c r="G1003" s="3">
        <v>0</v>
      </c>
      <c r="H1003" s="3">
        <v>0</v>
      </c>
      <c r="I1003" s="3">
        <v>1.3877787807814501E-16</v>
      </c>
      <c r="J1003" s="3">
        <v>1.3877787807814501E-16</v>
      </c>
      <c r="K1003" s="3">
        <v>-6.1682569630284403E-17</v>
      </c>
      <c r="L1003" s="3">
        <v>-3.0841284815142202E-17</v>
      </c>
      <c r="M1003" s="3">
        <v>6.1682569630284502E-17</v>
      </c>
      <c r="N1003" s="3">
        <v>6.1682569630284305E-17</v>
      </c>
      <c r="O1003" s="3">
        <v>4.6261927222713299E-17</v>
      </c>
      <c r="P1003" s="3">
        <v>0</v>
      </c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</row>
    <row r="1004" spans="1:35" x14ac:dyDescent="0.45">
      <c r="A1004" s="3" t="s">
        <v>68</v>
      </c>
      <c r="B1004" s="3" t="s">
        <v>29</v>
      </c>
      <c r="C1004" s="3" t="s">
        <v>18</v>
      </c>
      <c r="D1004" s="3" t="s">
        <v>13</v>
      </c>
      <c r="E1004" s="3" t="s">
        <v>8</v>
      </c>
      <c r="F1004" s="3">
        <v>0</v>
      </c>
      <c r="G1004" s="3">
        <v>0</v>
      </c>
      <c r="H1004" s="3">
        <v>0</v>
      </c>
      <c r="I1004" s="3">
        <v>-1.3877787807814501E-16</v>
      </c>
      <c r="J1004" s="3">
        <v>1.3877787807814501E-16</v>
      </c>
      <c r="K1004" s="3">
        <v>3.0841284815142202E-17</v>
      </c>
      <c r="L1004" s="3">
        <v>6.1682569630284403E-17</v>
      </c>
      <c r="M1004" s="3">
        <v>-3.0841284815142202E-17</v>
      </c>
      <c r="N1004" s="3">
        <v>-1.5420642407570999E-17</v>
      </c>
      <c r="O1004" s="3">
        <v>-1.07944496852998E-16</v>
      </c>
      <c r="P1004" s="3">
        <v>9.2523854445426599E-17</v>
      </c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</row>
    <row r="1005" spans="1:35" x14ac:dyDescent="0.45">
      <c r="A1005" s="3" t="s">
        <v>68</v>
      </c>
      <c r="B1005" s="3" t="s">
        <v>29</v>
      </c>
      <c r="C1005" s="3" t="s">
        <v>18</v>
      </c>
      <c r="D1005" s="3" t="s">
        <v>14</v>
      </c>
      <c r="E1005" s="3" t="s">
        <v>8</v>
      </c>
      <c r="F1005" s="3">
        <v>0</v>
      </c>
      <c r="G1005" s="3">
        <v>0</v>
      </c>
      <c r="H1005" s="3">
        <v>0</v>
      </c>
      <c r="I1005" s="3">
        <v>0</v>
      </c>
      <c r="J1005" s="3">
        <v>-2.7755575615628899E-16</v>
      </c>
      <c r="K1005" s="3">
        <v>-3.0841284815142202E-17</v>
      </c>
      <c r="L1005" s="3">
        <v>9.2523854445427006E-17</v>
      </c>
      <c r="M1005" s="3">
        <v>7.7103212037855698E-17</v>
      </c>
      <c r="N1005" s="3">
        <v>-6.1682569630284403E-17</v>
      </c>
      <c r="O1005" s="3">
        <v>-3.0841284815142202E-17</v>
      </c>
      <c r="P1005" s="3">
        <v>1.54206424075711E-16</v>
      </c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</row>
    <row r="1006" spans="1:35" x14ac:dyDescent="0.45">
      <c r="A1006" s="3" t="s">
        <v>68</v>
      </c>
      <c r="B1006" s="3" t="s">
        <v>29</v>
      </c>
      <c r="C1006" s="3" t="s">
        <v>19</v>
      </c>
      <c r="D1006" s="3" t="s">
        <v>7</v>
      </c>
      <c r="E1006" s="3" t="s">
        <v>8</v>
      </c>
      <c r="F1006" s="3">
        <v>5.77583734265503E-3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3.0915750165708302E-4</v>
      </c>
      <c r="O1006" s="3">
        <v>0</v>
      </c>
      <c r="P1006" s="3">
        <v>9.6659528194757303E-4</v>
      </c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 spans="1:35" x14ac:dyDescent="0.45">
      <c r="A1007" s="3" t="s">
        <v>68</v>
      </c>
      <c r="B1007" s="3" t="s">
        <v>29</v>
      </c>
      <c r="C1007" s="3" t="s">
        <v>19</v>
      </c>
      <c r="D1007" s="3" t="s">
        <v>9</v>
      </c>
      <c r="E1007" s="3" t="s">
        <v>8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1.8169743181363201E-3</v>
      </c>
      <c r="O1007" s="3">
        <v>2.18717851314402E-3</v>
      </c>
      <c r="P1007" s="3">
        <v>1.1905274375645901E-3</v>
      </c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</row>
    <row r="1008" spans="1:35" x14ac:dyDescent="0.45">
      <c r="A1008" s="3" t="s">
        <v>68</v>
      </c>
      <c r="B1008" s="3" t="s">
        <v>29</v>
      </c>
      <c r="C1008" s="3" t="s">
        <v>19</v>
      </c>
      <c r="D1008" s="3" t="s">
        <v>10</v>
      </c>
      <c r="E1008" s="3" t="s">
        <v>8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1.05290364712468E-3</v>
      </c>
      <c r="M1008" s="3">
        <v>1.7784325010535599E-3</v>
      </c>
      <c r="N1008" s="3">
        <v>1.20955972945099E-2</v>
      </c>
      <c r="O1008" s="3">
        <v>1.6400500102059699E-2</v>
      </c>
      <c r="P1008" s="3">
        <v>2.1648559013093701E-2</v>
      </c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 spans="1:35" x14ac:dyDescent="0.45">
      <c r="A1009" s="3" t="s">
        <v>68</v>
      </c>
      <c r="B1009" s="3" t="s">
        <v>29</v>
      </c>
      <c r="C1009" s="3" t="s">
        <v>19</v>
      </c>
      <c r="D1009" s="3" t="s">
        <v>11</v>
      </c>
      <c r="E1009" s="3" t="s">
        <v>8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1.43726340486024E-2</v>
      </c>
      <c r="M1009" s="3">
        <v>2.5443105979269201E-2</v>
      </c>
      <c r="N1009" s="3">
        <v>2.8118497229521099E-2</v>
      </c>
      <c r="O1009" s="3">
        <v>2.9498560729932299E-2</v>
      </c>
      <c r="P1009" s="3">
        <v>2.8430909022653401E-2</v>
      </c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</row>
    <row r="1010" spans="1:35" x14ac:dyDescent="0.45">
      <c r="A1010" s="3" t="s">
        <v>68</v>
      </c>
      <c r="B1010" s="3" t="s">
        <v>29</v>
      </c>
      <c r="C1010" s="3" t="s">
        <v>19</v>
      </c>
      <c r="D1010" s="3" t="s">
        <v>12</v>
      </c>
      <c r="E1010" s="3" t="s">
        <v>8</v>
      </c>
      <c r="F1010" s="3">
        <v>0</v>
      </c>
      <c r="G1010" s="3">
        <v>0</v>
      </c>
      <c r="H1010" s="3">
        <v>0</v>
      </c>
      <c r="I1010" s="3">
        <v>0</v>
      </c>
      <c r="J1010" s="3">
        <v>1.20534692958305E-2</v>
      </c>
      <c r="K1010" s="3">
        <v>2.0755109942043701E-2</v>
      </c>
      <c r="L1010" s="3">
        <v>3.5452606277245099E-2</v>
      </c>
      <c r="M1010" s="3">
        <v>3.1752473904282E-2</v>
      </c>
      <c r="N1010" s="3">
        <v>3.13640025041809E-2</v>
      </c>
      <c r="O1010" s="3">
        <v>3.2812726827384703E-2</v>
      </c>
      <c r="P1010" s="3">
        <v>3.0965060078534602E-2</v>
      </c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</row>
    <row r="1011" spans="1:35" x14ac:dyDescent="0.45">
      <c r="A1011" s="3" t="s">
        <v>68</v>
      </c>
      <c r="B1011" s="3" t="s">
        <v>29</v>
      </c>
      <c r="C1011" s="3" t="s">
        <v>19</v>
      </c>
      <c r="D1011" s="3" t="s">
        <v>13</v>
      </c>
      <c r="E1011" s="3" t="s">
        <v>8</v>
      </c>
      <c r="F1011" s="3">
        <v>0</v>
      </c>
      <c r="G1011" s="3">
        <v>0</v>
      </c>
      <c r="H1011" s="3">
        <v>0</v>
      </c>
      <c r="I1011" s="3">
        <v>2.76782113182782E-2</v>
      </c>
      <c r="J1011" s="3">
        <v>0.104939412558421</v>
      </c>
      <c r="K1011" s="3">
        <v>0.109270252508285</v>
      </c>
      <c r="L1011" s="3">
        <v>7.1750721271250706E-2</v>
      </c>
      <c r="M1011" s="3">
        <v>4.6647242897926898E-2</v>
      </c>
      <c r="N1011" s="3">
        <v>1.7566035902807801E-2</v>
      </c>
      <c r="O1011" s="3">
        <v>8.3037738965462803E-3</v>
      </c>
      <c r="P1011" s="3">
        <v>3.7599864756309E-3</v>
      </c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</row>
    <row r="1012" spans="1:35" x14ac:dyDescent="0.45">
      <c r="A1012" s="3" t="s">
        <v>68</v>
      </c>
      <c r="B1012" s="3" t="s">
        <v>29</v>
      </c>
      <c r="C1012" s="3" t="s">
        <v>19</v>
      </c>
      <c r="D1012" s="3" t="s">
        <v>14</v>
      </c>
      <c r="E1012" s="3" t="s">
        <v>8</v>
      </c>
      <c r="F1012" s="3">
        <v>0</v>
      </c>
      <c r="G1012" s="3">
        <v>1.15391664640418E-2</v>
      </c>
      <c r="H1012" s="3">
        <v>1.15391664640418E-2</v>
      </c>
      <c r="I1012" s="3">
        <v>0.17081386676379201</v>
      </c>
      <c r="J1012" s="3">
        <v>7.7563652692373197E-2</v>
      </c>
      <c r="K1012" s="3">
        <v>4.5043067364852002E-2</v>
      </c>
      <c r="L1012" s="3">
        <v>4.33438615046128E-2</v>
      </c>
      <c r="M1012" s="3">
        <v>4.8499039887027903E-2</v>
      </c>
      <c r="N1012" s="3">
        <v>4.6247501525329901E-2</v>
      </c>
      <c r="O1012" s="3">
        <v>3.81831155709937E-2</v>
      </c>
      <c r="P1012" s="3">
        <v>3.8866460709172997E-2</v>
      </c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</row>
    <row r="1013" spans="1:35" x14ac:dyDescent="0.45">
      <c r="A1013" s="3" t="s">
        <v>30</v>
      </c>
      <c r="B1013" s="3" t="s">
        <v>25</v>
      </c>
      <c r="C1013" s="3" t="s">
        <v>6</v>
      </c>
      <c r="D1013" s="3" t="s">
        <v>10</v>
      </c>
      <c r="E1013" s="3" t="s">
        <v>8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4.7463776610841502E-2</v>
      </c>
      <c r="M1013" s="3">
        <v>0.42329339445108399</v>
      </c>
      <c r="N1013" s="3">
        <v>0.96559020288573805</v>
      </c>
      <c r="O1013" s="3">
        <v>1.54278705901517</v>
      </c>
      <c r="P1013" s="3">
        <v>1.9973413648042599</v>
      </c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</row>
    <row r="1014" spans="1:35" x14ac:dyDescent="0.45">
      <c r="A1014" s="3" t="s">
        <v>30</v>
      </c>
      <c r="B1014" s="3" t="s">
        <v>25</v>
      </c>
      <c r="C1014" s="3" t="s">
        <v>6</v>
      </c>
      <c r="D1014" s="3" t="s">
        <v>11</v>
      </c>
      <c r="E1014" s="3" t="s">
        <v>8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0.45597982297030798</v>
      </c>
      <c r="L1014" s="3">
        <v>1.1789776202459801</v>
      </c>
      <c r="M1014" s="3">
        <v>1.73232370364127</v>
      </c>
      <c r="N1014" s="3">
        <v>2.1222967813127198</v>
      </c>
      <c r="O1014" s="3">
        <v>2.4612404769992602</v>
      </c>
      <c r="P1014" s="3">
        <v>2.5468030305550502</v>
      </c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</row>
    <row r="1015" spans="1:35" x14ac:dyDescent="0.45">
      <c r="A1015" s="3" t="s">
        <v>30</v>
      </c>
      <c r="B1015" s="3" t="s">
        <v>25</v>
      </c>
      <c r="C1015" s="3" t="s">
        <v>6</v>
      </c>
      <c r="D1015" s="3" t="s">
        <v>12</v>
      </c>
      <c r="E1015" s="3" t="s">
        <v>8</v>
      </c>
      <c r="F1015" s="3">
        <v>0</v>
      </c>
      <c r="G1015" s="3">
        <v>0</v>
      </c>
      <c r="H1015" s="3">
        <v>0</v>
      </c>
      <c r="I1015" s="3">
        <v>0</v>
      </c>
      <c r="J1015" s="3">
        <v>0.96470301588431695</v>
      </c>
      <c r="K1015" s="3">
        <v>1.72809737889529</v>
      </c>
      <c r="L1015" s="3">
        <v>2.2291814268575201</v>
      </c>
      <c r="M1015" s="3">
        <v>2.3130325368570199</v>
      </c>
      <c r="N1015" s="3">
        <v>2.22197218008426</v>
      </c>
      <c r="O1015" s="3">
        <v>1.99226750300322</v>
      </c>
      <c r="P1015" s="3">
        <v>1.5783036730067499</v>
      </c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</row>
    <row r="1016" spans="1:35" x14ac:dyDescent="0.45">
      <c r="A1016" s="3" t="s">
        <v>30</v>
      </c>
      <c r="B1016" s="3" t="s">
        <v>25</v>
      </c>
      <c r="C1016" s="3" t="s">
        <v>6</v>
      </c>
      <c r="D1016" s="3" t="s">
        <v>13</v>
      </c>
      <c r="E1016" s="3" t="s">
        <v>8</v>
      </c>
      <c r="F1016" s="3">
        <v>0</v>
      </c>
      <c r="G1016" s="3">
        <v>0</v>
      </c>
      <c r="H1016" s="3">
        <v>0</v>
      </c>
      <c r="I1016" s="3">
        <v>1.89781049015178</v>
      </c>
      <c r="J1016" s="3">
        <v>2.45620876254447</v>
      </c>
      <c r="K1016" s="3">
        <v>2.38989412951471</v>
      </c>
      <c r="L1016" s="3">
        <v>2.0629375048373602</v>
      </c>
      <c r="M1016" s="3">
        <v>1.78726334337008</v>
      </c>
      <c r="N1016" s="3">
        <v>1.5824293073848099</v>
      </c>
      <c r="O1016" s="3">
        <v>1.08912340594735</v>
      </c>
      <c r="P1016" s="3">
        <v>0.82931475800819898</v>
      </c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</row>
    <row r="1017" spans="1:35" x14ac:dyDescent="0.45">
      <c r="A1017" s="3" t="s">
        <v>30</v>
      </c>
      <c r="B1017" s="3" t="s">
        <v>25</v>
      </c>
      <c r="C1017" s="3" t="s">
        <v>6</v>
      </c>
      <c r="D1017" s="3" t="s">
        <v>14</v>
      </c>
      <c r="E1017" s="3" t="s">
        <v>8</v>
      </c>
      <c r="F1017" s="3">
        <v>0</v>
      </c>
      <c r="G1017" s="3">
        <v>1.2289087365629201</v>
      </c>
      <c r="H1017" s="3">
        <v>1.2289087365629201</v>
      </c>
      <c r="I1017" s="3">
        <v>1.11704050032848</v>
      </c>
      <c r="J1017" s="3">
        <v>0.98517915571523895</v>
      </c>
      <c r="K1017" s="3">
        <v>0.82545096391594397</v>
      </c>
      <c r="L1017" s="3">
        <v>0.70101495691224303</v>
      </c>
      <c r="M1017" s="3">
        <v>0.64591293015259399</v>
      </c>
      <c r="N1017" s="3">
        <v>0.47982820158600598</v>
      </c>
      <c r="O1017" s="3">
        <v>0.42982969154482698</v>
      </c>
      <c r="P1017" s="3">
        <v>0.38892560598517401</v>
      </c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</row>
    <row r="1018" spans="1:35" x14ac:dyDescent="0.45">
      <c r="A1018" s="3" t="s">
        <v>30</v>
      </c>
      <c r="B1018" s="3" t="s">
        <v>25</v>
      </c>
      <c r="C1018" s="3" t="s">
        <v>15</v>
      </c>
      <c r="D1018" s="3" t="s">
        <v>7</v>
      </c>
      <c r="E1018" s="3" t="s">
        <v>8</v>
      </c>
      <c r="F1018" s="3">
        <v>0.22432727029854799</v>
      </c>
      <c r="G1018" s="3">
        <v>0.41465784488937102</v>
      </c>
      <c r="H1018" s="3">
        <v>0.41465784488937102</v>
      </c>
      <c r="I1018" s="3">
        <v>0.74792368932671305</v>
      </c>
      <c r="J1018" s="3">
        <v>1.0304738980363599</v>
      </c>
      <c r="K1018" s="3">
        <v>1.35477087742748</v>
      </c>
      <c r="L1018" s="3">
        <v>1.58787783651185</v>
      </c>
      <c r="M1018" s="3">
        <v>1.72509057003372</v>
      </c>
      <c r="N1018" s="3">
        <v>1.80846192129553</v>
      </c>
      <c r="O1018" s="3">
        <v>1.81099628534798</v>
      </c>
      <c r="P1018" s="3">
        <v>1.8132712252548799</v>
      </c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</row>
    <row r="1019" spans="1:35" x14ac:dyDescent="0.45">
      <c r="A1019" s="3" t="s">
        <v>30</v>
      </c>
      <c r="B1019" s="3" t="s">
        <v>25</v>
      </c>
      <c r="C1019" s="3" t="s">
        <v>15</v>
      </c>
      <c r="D1019" s="3" t="s">
        <v>9</v>
      </c>
      <c r="E1019" s="3" t="s">
        <v>8</v>
      </c>
      <c r="F1019" s="3">
        <v>0</v>
      </c>
      <c r="G1019" s="3">
        <v>-1.6410025896496101E-3</v>
      </c>
      <c r="H1019" s="3">
        <v>-1.6410025896496101E-3</v>
      </c>
      <c r="I1019" s="3">
        <v>-3.9357549200528296E-3</v>
      </c>
      <c r="J1019" s="3">
        <v>-6.5069374591608699E-3</v>
      </c>
      <c r="K1019" s="3">
        <v>-1.5455276357702901E-2</v>
      </c>
      <c r="L1019" s="3">
        <v>0.10867557385714301</v>
      </c>
      <c r="M1019" s="3">
        <v>0.12440198063685901</v>
      </c>
      <c r="N1019" s="3">
        <v>0.123534092443028</v>
      </c>
      <c r="O1019" s="3">
        <v>0.172225785667381</v>
      </c>
      <c r="P1019" s="3">
        <v>0.202664078377083</v>
      </c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</row>
    <row r="1020" spans="1:35" x14ac:dyDescent="0.45">
      <c r="A1020" s="3" t="s">
        <v>30</v>
      </c>
      <c r="B1020" s="3" t="s">
        <v>25</v>
      </c>
      <c r="C1020" s="3" t="s">
        <v>15</v>
      </c>
      <c r="D1020" s="3" t="s">
        <v>10</v>
      </c>
      <c r="E1020" s="3" t="s">
        <v>8</v>
      </c>
      <c r="F1020" s="3">
        <v>0</v>
      </c>
      <c r="G1020" s="3">
        <v>-1.6442094798596599E-4</v>
      </c>
      <c r="H1020" s="3">
        <v>-1.6442094798596599E-4</v>
      </c>
      <c r="I1020" s="3">
        <v>-3.26154437065262E-3</v>
      </c>
      <c r="J1020" s="3">
        <v>-7.0571825530712003E-3</v>
      </c>
      <c r="K1020" s="3">
        <v>-1.8326980947399801E-2</v>
      </c>
      <c r="L1020" s="3">
        <v>6.4631001784043497E-3</v>
      </c>
      <c r="M1020" s="3">
        <v>-3.58692954291406E-3</v>
      </c>
      <c r="N1020" s="3">
        <v>-4.7567953545506504E-3</v>
      </c>
      <c r="O1020" s="3">
        <v>2.0706132595160699E-3</v>
      </c>
      <c r="P1020" s="3">
        <v>1.28845304384053E-2</v>
      </c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</row>
    <row r="1021" spans="1:35" x14ac:dyDescent="0.45">
      <c r="A1021" s="3" t="s">
        <v>30</v>
      </c>
      <c r="B1021" s="3" t="s">
        <v>25</v>
      </c>
      <c r="C1021" s="3" t="s">
        <v>15</v>
      </c>
      <c r="D1021" s="3" t="s">
        <v>11</v>
      </c>
      <c r="E1021" s="3" t="s">
        <v>8</v>
      </c>
      <c r="F1021" s="3">
        <v>0</v>
      </c>
      <c r="G1021" s="3">
        <v>0</v>
      </c>
      <c r="H1021" s="3">
        <v>0</v>
      </c>
      <c r="I1021" s="3">
        <v>-1.2938070423155199E-3</v>
      </c>
      <c r="J1021" s="3">
        <v>-1.12602509765138E-2</v>
      </c>
      <c r="K1021" s="3">
        <v>-2.1963729625737099E-2</v>
      </c>
      <c r="L1021" s="3">
        <v>-4.6369652028508401E-3</v>
      </c>
      <c r="M1021" s="3">
        <v>2.08354156164978E-2</v>
      </c>
      <c r="N1021" s="3">
        <v>2.5334351261510099E-3</v>
      </c>
      <c r="O1021" s="3">
        <v>-5.3736573760680998E-3</v>
      </c>
      <c r="P1021" s="3">
        <v>-2.0099076268018198E-2</v>
      </c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</row>
    <row r="1022" spans="1:35" x14ac:dyDescent="0.45">
      <c r="A1022" s="3" t="s">
        <v>30</v>
      </c>
      <c r="B1022" s="3" t="s">
        <v>25</v>
      </c>
      <c r="C1022" s="3" t="s">
        <v>15</v>
      </c>
      <c r="D1022" s="3" t="s">
        <v>12</v>
      </c>
      <c r="E1022" s="3" t="s">
        <v>8</v>
      </c>
      <c r="F1022" s="3">
        <v>0</v>
      </c>
      <c r="G1022" s="3">
        <v>-3.4914407664143898E-4</v>
      </c>
      <c r="H1022" s="3">
        <v>-3.4914407664143898E-4</v>
      </c>
      <c r="I1022" s="3">
        <v>-1.1735391804140001E-2</v>
      </c>
      <c r="J1022" s="3">
        <v>-2.41962256518191E-2</v>
      </c>
      <c r="K1022" s="3">
        <v>-3.6627588899510899E-2</v>
      </c>
      <c r="L1022" s="3">
        <v>-0.14410387592598001</v>
      </c>
      <c r="M1022" s="3">
        <v>-7.6510090747155896E-2</v>
      </c>
      <c r="N1022" s="3">
        <v>-4.94208799123712E-2</v>
      </c>
      <c r="O1022" s="3">
        <v>-6.9845652189125099E-2</v>
      </c>
      <c r="P1022" s="3">
        <v>-7.74777673752476E-2</v>
      </c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</row>
    <row r="1023" spans="1:35" x14ac:dyDescent="0.45">
      <c r="A1023" s="3" t="s">
        <v>30</v>
      </c>
      <c r="B1023" s="3" t="s">
        <v>25</v>
      </c>
      <c r="C1023" s="3" t="s">
        <v>15</v>
      </c>
      <c r="D1023" s="3" t="s">
        <v>13</v>
      </c>
      <c r="E1023" s="3" t="s">
        <v>8</v>
      </c>
      <c r="F1023" s="3">
        <v>0</v>
      </c>
      <c r="G1023" s="3">
        <v>-1.13998960221008E-2</v>
      </c>
      <c r="H1023" s="3">
        <v>-1.13998960221008E-2</v>
      </c>
      <c r="I1023" s="3">
        <v>-5.0709405874094803E-2</v>
      </c>
      <c r="J1023" s="3">
        <v>-4.2431972237668501E-2</v>
      </c>
      <c r="K1023" s="3">
        <v>-6.8238889565380503E-2</v>
      </c>
      <c r="L1023" s="3">
        <v>-0.107653416363649</v>
      </c>
      <c r="M1023" s="3">
        <v>-0.122575949995676</v>
      </c>
      <c r="N1023" s="3">
        <v>-0.13835498244062</v>
      </c>
      <c r="O1023" s="3">
        <v>-0.108317373218227</v>
      </c>
      <c r="P1023" s="3">
        <v>-9.6069657851627799E-2</v>
      </c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</row>
    <row r="1024" spans="1:35" x14ac:dyDescent="0.45">
      <c r="A1024" s="3" t="s">
        <v>30</v>
      </c>
      <c r="B1024" s="3" t="s">
        <v>25</v>
      </c>
      <c r="C1024" s="3" t="s">
        <v>15</v>
      </c>
      <c r="D1024" s="3" t="s">
        <v>14</v>
      </c>
      <c r="E1024" s="3" t="s">
        <v>8</v>
      </c>
      <c r="F1024" s="3">
        <v>0</v>
      </c>
      <c r="G1024" s="3">
        <v>-3.7419464133333101E-2</v>
      </c>
      <c r="H1024" s="3">
        <v>-3.7419464133333101E-2</v>
      </c>
      <c r="I1024" s="3">
        <v>-7.8586897251393506E-2</v>
      </c>
      <c r="J1024" s="3">
        <v>-9.4709578360406096E-2</v>
      </c>
      <c r="K1024" s="3">
        <v>-0.12138061098502601</v>
      </c>
      <c r="L1024" s="3">
        <v>-0.16049920126756101</v>
      </c>
      <c r="M1024" s="3">
        <v>-0.17541023842291401</v>
      </c>
      <c r="N1024" s="3">
        <v>-0.16153062375237201</v>
      </c>
      <c r="O1024" s="3">
        <v>-0.17262202270784199</v>
      </c>
      <c r="P1024" s="3">
        <v>-0.189644364926595</v>
      </c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</row>
    <row r="1025" spans="1:35" x14ac:dyDescent="0.45">
      <c r="A1025" s="3" t="s">
        <v>30</v>
      </c>
      <c r="B1025" s="3" t="s">
        <v>25</v>
      </c>
      <c r="C1025" s="3" t="s">
        <v>16</v>
      </c>
      <c r="D1025" s="3" t="s">
        <v>7</v>
      </c>
      <c r="E1025" s="3" t="s">
        <v>8</v>
      </c>
      <c r="F1025" s="3">
        <v>2.2041393924565602</v>
      </c>
      <c r="G1025" s="3">
        <v>2.2041393924565602</v>
      </c>
      <c r="H1025" s="3">
        <v>2.2041393924565602</v>
      </c>
      <c r="I1025" s="3">
        <v>2.2041393924565602</v>
      </c>
      <c r="J1025" s="3">
        <v>2.2041393924565602</v>
      </c>
      <c r="K1025" s="3">
        <v>2.0476454955921399</v>
      </c>
      <c r="L1025" s="3">
        <v>1.2828091264097199</v>
      </c>
      <c r="M1025" s="3">
        <v>0.67005837530679202</v>
      </c>
      <c r="N1025" s="3">
        <v>0</v>
      </c>
      <c r="O1025" s="3">
        <v>0</v>
      </c>
      <c r="P1025" s="3">
        <v>0</v>
      </c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</row>
    <row r="1026" spans="1:35" x14ac:dyDescent="0.45">
      <c r="A1026" s="3" t="s">
        <v>30</v>
      </c>
      <c r="B1026" s="3" t="s">
        <v>25</v>
      </c>
      <c r="C1026" s="3" t="s">
        <v>16</v>
      </c>
      <c r="D1026" s="3" t="s">
        <v>9</v>
      </c>
      <c r="E1026" s="3" t="s">
        <v>8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7.7715611723760997E-16</v>
      </c>
      <c r="N1026" s="3">
        <v>0</v>
      </c>
      <c r="O1026" s="3">
        <v>0</v>
      </c>
      <c r="P1026" s="3">
        <v>0</v>
      </c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</row>
    <row r="1027" spans="1:35" x14ac:dyDescent="0.45">
      <c r="A1027" s="3" t="s">
        <v>30</v>
      </c>
      <c r="B1027" s="3" t="s">
        <v>25</v>
      </c>
      <c r="C1027" s="3" t="s">
        <v>16</v>
      </c>
      <c r="D1027" s="3" t="s">
        <v>10</v>
      </c>
      <c r="E1027" s="3" t="s">
        <v>8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</row>
    <row r="1028" spans="1:35" x14ac:dyDescent="0.45">
      <c r="A1028" s="3" t="s">
        <v>30</v>
      </c>
      <c r="B1028" s="3" t="s">
        <v>25</v>
      </c>
      <c r="C1028" s="3" t="s">
        <v>16</v>
      </c>
      <c r="D1028" s="3" t="s">
        <v>11</v>
      </c>
      <c r="E1028" s="3" t="s">
        <v>8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</row>
    <row r="1029" spans="1:35" x14ac:dyDescent="0.45">
      <c r="A1029" s="3" t="s">
        <v>30</v>
      </c>
      <c r="B1029" s="3" t="s">
        <v>25</v>
      </c>
      <c r="C1029" s="3" t="s">
        <v>16</v>
      </c>
      <c r="D1029" s="3" t="s">
        <v>12</v>
      </c>
      <c r="E1029" s="3" t="s">
        <v>8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</row>
    <row r="1030" spans="1:35" x14ac:dyDescent="0.45">
      <c r="A1030" s="3" t="s">
        <v>30</v>
      </c>
      <c r="B1030" s="3" t="s">
        <v>25</v>
      </c>
      <c r="C1030" s="3" t="s">
        <v>16</v>
      </c>
      <c r="D1030" s="3" t="s">
        <v>13</v>
      </c>
      <c r="E1030" s="3" t="s">
        <v>8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</row>
    <row r="1031" spans="1:35" x14ac:dyDescent="0.45">
      <c r="A1031" s="3" t="s">
        <v>30</v>
      </c>
      <c r="B1031" s="3" t="s">
        <v>25</v>
      </c>
      <c r="C1031" s="3" t="s">
        <v>16</v>
      </c>
      <c r="D1031" s="3" t="s">
        <v>14</v>
      </c>
      <c r="E1031" s="3" t="s">
        <v>8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</row>
    <row r="1032" spans="1:35" x14ac:dyDescent="0.45">
      <c r="A1032" s="3" t="s">
        <v>30</v>
      </c>
      <c r="B1032" s="3" t="s">
        <v>25</v>
      </c>
      <c r="C1032" s="3" t="s">
        <v>17</v>
      </c>
      <c r="D1032" s="3" t="s">
        <v>10</v>
      </c>
      <c r="E1032" s="3" t="s">
        <v>8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0.36007716266313999</v>
      </c>
      <c r="O1032" s="3">
        <v>0.41424506188703503</v>
      </c>
      <c r="P1032" s="3">
        <v>0.41087587171916601</v>
      </c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</row>
    <row r="1033" spans="1:35" x14ac:dyDescent="0.45">
      <c r="A1033" s="3" t="s">
        <v>30</v>
      </c>
      <c r="B1033" s="3" t="s">
        <v>25</v>
      </c>
      <c r="C1033" s="3" t="s">
        <v>17</v>
      </c>
      <c r="D1033" s="3" t="s">
        <v>11</v>
      </c>
      <c r="E1033" s="3" t="s">
        <v>8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0.403730772534583</v>
      </c>
      <c r="N1033" s="3">
        <v>7.2091894042870294E-2</v>
      </c>
      <c r="O1033" s="3">
        <v>2.36053598855097E-2</v>
      </c>
      <c r="P1033" s="3">
        <v>2.4788548682476499E-2</v>
      </c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</row>
    <row r="1034" spans="1:35" x14ac:dyDescent="0.45">
      <c r="A1034" s="3" t="s">
        <v>30</v>
      </c>
      <c r="B1034" s="3" t="s">
        <v>25</v>
      </c>
      <c r="C1034" s="3" t="s">
        <v>17</v>
      </c>
      <c r="D1034" s="3" t="s">
        <v>12</v>
      </c>
      <c r="E1034" s="3" t="s">
        <v>8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4.2831329175798599E-2</v>
      </c>
      <c r="N1034" s="3">
        <v>1.23199044253292E-2</v>
      </c>
      <c r="O1034" s="3">
        <v>6.7522038662936601E-3</v>
      </c>
      <c r="P1034" s="3">
        <v>4.6851661031737102E-3</v>
      </c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</row>
    <row r="1035" spans="1:35" x14ac:dyDescent="0.45">
      <c r="A1035" s="3" t="s">
        <v>30</v>
      </c>
      <c r="B1035" s="3" t="s">
        <v>25</v>
      </c>
      <c r="C1035" s="3" t="s">
        <v>17</v>
      </c>
      <c r="D1035" s="3" t="s">
        <v>13</v>
      </c>
      <c r="E1035" s="3" t="s">
        <v>8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2.6437301366105702E-4</v>
      </c>
      <c r="N1035" s="3">
        <v>2.6733337674866902E-4</v>
      </c>
      <c r="O1035" s="3">
        <v>1.5366886924922401E-4</v>
      </c>
      <c r="P1035" s="3">
        <v>1.15762226080784E-4</v>
      </c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</row>
    <row r="1036" spans="1:35" x14ac:dyDescent="0.45">
      <c r="A1036" s="3" t="s">
        <v>30</v>
      </c>
      <c r="B1036" s="3" t="s">
        <v>25</v>
      </c>
      <c r="C1036" s="3" t="s">
        <v>17</v>
      </c>
      <c r="D1036" s="3" t="s">
        <v>14</v>
      </c>
      <c r="E1036" s="3" t="s">
        <v>8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3.3375263080448499E-6</v>
      </c>
      <c r="N1036" s="3">
        <v>3.7716322043301902E-7</v>
      </c>
      <c r="O1036" s="3">
        <v>3.7716322121017498E-7</v>
      </c>
      <c r="P1036" s="3">
        <v>2.1002246228252201E-6</v>
      </c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</row>
    <row r="1037" spans="1:35" x14ac:dyDescent="0.45">
      <c r="A1037" s="3" t="s">
        <v>30</v>
      </c>
      <c r="B1037" s="3" t="s">
        <v>25</v>
      </c>
      <c r="C1037" s="3" t="s">
        <v>18</v>
      </c>
      <c r="D1037" s="3" t="s">
        <v>7</v>
      </c>
      <c r="E1037" s="3" t="s">
        <v>8</v>
      </c>
      <c r="F1037" s="3">
        <v>6.4809183559769599</v>
      </c>
      <c r="G1037" s="3">
        <v>6.9086847700984997</v>
      </c>
      <c r="H1037" s="3">
        <v>6.9086847700984997</v>
      </c>
      <c r="I1037" s="3">
        <v>7.1663201617210701</v>
      </c>
      <c r="J1037" s="3">
        <v>6.2960498856652896</v>
      </c>
      <c r="K1037" s="3">
        <v>4.0512625660916699</v>
      </c>
      <c r="L1037" s="3">
        <v>2.5380353212759399</v>
      </c>
      <c r="M1037" s="3">
        <v>1.3257091712506599</v>
      </c>
      <c r="N1037" s="3">
        <v>0</v>
      </c>
      <c r="O1037" s="3">
        <v>0</v>
      </c>
      <c r="P1037" s="3">
        <v>6.6673153974664599E-16</v>
      </c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</row>
    <row r="1038" spans="1:35" x14ac:dyDescent="0.45">
      <c r="A1038" s="3" t="s">
        <v>30</v>
      </c>
      <c r="B1038" s="3" t="s">
        <v>25</v>
      </c>
      <c r="C1038" s="3" t="s">
        <v>18</v>
      </c>
      <c r="D1038" s="3" t="s">
        <v>9</v>
      </c>
      <c r="E1038" s="3" t="s">
        <v>8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-3.3336576987332201E-16</v>
      </c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</row>
    <row r="1039" spans="1:35" x14ac:dyDescent="0.45">
      <c r="A1039" s="3" t="s">
        <v>30</v>
      </c>
      <c r="B1039" s="3" t="s">
        <v>25</v>
      </c>
      <c r="C1039" s="3" t="s">
        <v>18</v>
      </c>
      <c r="D1039" s="3" t="s">
        <v>10</v>
      </c>
      <c r="E1039" s="3" t="s">
        <v>8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6.6673153974664599E-16</v>
      </c>
      <c r="P1039" s="3">
        <v>-3.3336576987332299E-16</v>
      </c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</row>
    <row r="1040" spans="1:35" x14ac:dyDescent="0.45">
      <c r="A1040" s="3" t="s">
        <v>30</v>
      </c>
      <c r="B1040" s="3" t="s">
        <v>25</v>
      </c>
      <c r="C1040" s="3" t="s">
        <v>18</v>
      </c>
      <c r="D1040" s="3" t="s">
        <v>11</v>
      </c>
      <c r="E1040" s="3" t="s">
        <v>8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-3.3336576987332201E-16</v>
      </c>
      <c r="P1040" s="3">
        <v>0</v>
      </c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</row>
    <row r="1041" spans="1:35" x14ac:dyDescent="0.45">
      <c r="A1041" s="3" t="s">
        <v>30</v>
      </c>
      <c r="B1041" s="3" t="s">
        <v>25</v>
      </c>
      <c r="C1041" s="3" t="s">
        <v>18</v>
      </c>
      <c r="D1041" s="3" t="s">
        <v>12</v>
      </c>
      <c r="E1041" s="3" t="s">
        <v>8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-3.3336576987332299E-16</v>
      </c>
      <c r="P1041" s="3">
        <v>0</v>
      </c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</row>
    <row r="1042" spans="1:35" x14ac:dyDescent="0.45">
      <c r="A1042" s="3" t="s">
        <v>30</v>
      </c>
      <c r="B1042" s="3" t="s">
        <v>25</v>
      </c>
      <c r="C1042" s="3" t="s">
        <v>18</v>
      </c>
      <c r="D1042" s="3" t="s">
        <v>13</v>
      </c>
      <c r="E1042" s="3" t="s">
        <v>8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1.0000973096199699E-15</v>
      </c>
      <c r="O1042" s="3">
        <v>3.3336576987332299E-16</v>
      </c>
      <c r="P1042" s="3">
        <v>0</v>
      </c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</row>
    <row r="1043" spans="1:35" x14ac:dyDescent="0.45">
      <c r="A1043" s="3" t="s">
        <v>30</v>
      </c>
      <c r="B1043" s="3" t="s">
        <v>25</v>
      </c>
      <c r="C1043" s="3" t="s">
        <v>18</v>
      </c>
      <c r="D1043" s="3" t="s">
        <v>14</v>
      </c>
      <c r="E1043" s="3" t="s">
        <v>8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-1.0000973096199699E-15</v>
      </c>
      <c r="O1043" s="3">
        <v>1.0000973096199699E-15</v>
      </c>
      <c r="P1043" s="3">
        <v>0</v>
      </c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</row>
    <row r="1044" spans="1:35" x14ac:dyDescent="0.45">
      <c r="A1044" s="3" t="s">
        <v>30</v>
      </c>
      <c r="B1044" s="3" t="s">
        <v>25</v>
      </c>
      <c r="C1044" s="3" t="s">
        <v>19</v>
      </c>
      <c r="D1044" s="3" t="s">
        <v>7</v>
      </c>
      <c r="E1044" s="3" t="s">
        <v>8</v>
      </c>
      <c r="F1044" s="3">
        <v>0.24721587597747299</v>
      </c>
      <c r="G1044" s="3">
        <v>0.39155791401973999</v>
      </c>
      <c r="H1044" s="3">
        <v>0.39155791401973999</v>
      </c>
      <c r="I1044" s="3">
        <v>0.39296468221549402</v>
      </c>
      <c r="J1044" s="3">
        <v>0.44508708613894599</v>
      </c>
      <c r="K1044" s="3">
        <v>0.47419790421679298</v>
      </c>
      <c r="L1044" s="3">
        <v>0.33265586256975899</v>
      </c>
      <c r="M1044" s="3">
        <v>0.26880061333486399</v>
      </c>
      <c r="N1044" s="3">
        <v>0.26564751827175898</v>
      </c>
      <c r="O1044" s="3">
        <v>0.26311315421929898</v>
      </c>
      <c r="P1044" s="3">
        <v>0.26083821431240201</v>
      </c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</row>
    <row r="1045" spans="1:35" x14ac:dyDescent="0.45">
      <c r="A1045" s="3" t="s">
        <v>30</v>
      </c>
      <c r="B1045" s="3" t="s">
        <v>25</v>
      </c>
      <c r="C1045" s="3" t="s">
        <v>19</v>
      </c>
      <c r="D1045" s="3" t="s">
        <v>9</v>
      </c>
      <c r="E1045" s="3" t="s">
        <v>8</v>
      </c>
      <c r="F1045" s="3">
        <v>0</v>
      </c>
      <c r="G1045" s="3">
        <v>1.64100258964817E-3</v>
      </c>
      <c r="H1045" s="3">
        <v>1.64100258964817E-3</v>
      </c>
      <c r="I1045" s="3">
        <v>3.9357549200505996E-3</v>
      </c>
      <c r="J1045" s="3">
        <v>6.5069374591597597E-3</v>
      </c>
      <c r="K1045" s="3">
        <v>1.5455276357704601E-2</v>
      </c>
      <c r="L1045" s="3">
        <v>2.6042981551283401E-2</v>
      </c>
      <c r="M1045" s="3">
        <v>2.7442394241600901E-2</v>
      </c>
      <c r="N1045" s="3">
        <v>2.1475530343375501E-2</v>
      </c>
      <c r="O1045" s="3">
        <v>2.00400471583176E-2</v>
      </c>
      <c r="P1045" s="3">
        <v>5.6444572818739699E-2</v>
      </c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</row>
    <row r="1046" spans="1:35" x14ac:dyDescent="0.45">
      <c r="A1046" s="3" t="s">
        <v>30</v>
      </c>
      <c r="B1046" s="3" t="s">
        <v>25</v>
      </c>
      <c r="C1046" s="3" t="s">
        <v>19</v>
      </c>
      <c r="D1046" s="3" t="s">
        <v>10</v>
      </c>
      <c r="E1046" s="3" t="s">
        <v>8</v>
      </c>
      <c r="F1046" s="3">
        <v>0</v>
      </c>
      <c r="G1046" s="3">
        <v>1.6442094798740901E-4</v>
      </c>
      <c r="H1046" s="3">
        <v>1.6442094798740901E-4</v>
      </c>
      <c r="I1046" s="3">
        <v>3.2615443706541201E-3</v>
      </c>
      <c r="J1046" s="3">
        <v>7.0571825530702003E-3</v>
      </c>
      <c r="K1046" s="3">
        <v>1.8326980947393601E-2</v>
      </c>
      <c r="L1046" s="3">
        <v>3.8336981740206499E-2</v>
      </c>
      <c r="M1046" s="3">
        <v>0.107481489336826</v>
      </c>
      <c r="N1046" s="3">
        <v>0.116346698512465</v>
      </c>
      <c r="O1046" s="3">
        <v>0.120326504441483</v>
      </c>
      <c r="P1046" s="3">
        <v>8.6036518708099502E-2</v>
      </c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</row>
    <row r="1047" spans="1:35" x14ac:dyDescent="0.45">
      <c r="A1047" s="3" t="s">
        <v>30</v>
      </c>
      <c r="B1047" s="3" t="s">
        <v>25</v>
      </c>
      <c r="C1047" s="3" t="s">
        <v>19</v>
      </c>
      <c r="D1047" s="3" t="s">
        <v>11</v>
      </c>
      <c r="E1047" s="3" t="s">
        <v>8</v>
      </c>
      <c r="F1047" s="3">
        <v>0</v>
      </c>
      <c r="G1047" s="3">
        <v>1.4988010832439599E-15</v>
      </c>
      <c r="H1047" s="3">
        <v>1.4988010832439599E-15</v>
      </c>
      <c r="I1047" s="3">
        <v>1.2938070423163001E-3</v>
      </c>
      <c r="J1047" s="3">
        <v>1.12602509765156E-2</v>
      </c>
      <c r="K1047" s="3">
        <v>2.1963729625739399E-2</v>
      </c>
      <c r="L1047" s="3">
        <v>0.111678646676766</v>
      </c>
      <c r="M1047" s="3">
        <v>8.5388467842083801E-2</v>
      </c>
      <c r="N1047" s="3">
        <v>7.9804811889948798E-2</v>
      </c>
      <c r="O1047" s="3">
        <v>7.9579276389198303E-2</v>
      </c>
      <c r="P1047" s="3">
        <v>8.2192217542333093E-2</v>
      </c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</row>
    <row r="1048" spans="1:35" x14ac:dyDescent="0.45">
      <c r="A1048" s="3" t="s">
        <v>30</v>
      </c>
      <c r="B1048" s="3" t="s">
        <v>25</v>
      </c>
      <c r="C1048" s="3" t="s">
        <v>19</v>
      </c>
      <c r="D1048" s="3" t="s">
        <v>12</v>
      </c>
      <c r="E1048" s="3" t="s">
        <v>8</v>
      </c>
      <c r="F1048" s="3">
        <v>0</v>
      </c>
      <c r="G1048" s="3">
        <v>3.4914407663999602E-4</v>
      </c>
      <c r="H1048" s="3">
        <v>3.4914407663999602E-4</v>
      </c>
      <c r="I1048" s="3">
        <v>1.17353918041385E-2</v>
      </c>
      <c r="J1048" s="3">
        <v>2.4196225651822698E-2</v>
      </c>
      <c r="K1048" s="3">
        <v>3.6627588899509303E-2</v>
      </c>
      <c r="L1048" s="3">
        <v>0.36648297186756401</v>
      </c>
      <c r="M1048" s="3">
        <v>0.18550443756368001</v>
      </c>
      <c r="N1048" s="3">
        <v>8.80682942723061E-2</v>
      </c>
      <c r="O1048" s="3">
        <v>7.4186031748379094E-2</v>
      </c>
      <c r="P1048" s="3">
        <v>7.1370682003746105E-2</v>
      </c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</row>
    <row r="1049" spans="1:35" x14ac:dyDescent="0.45">
      <c r="A1049" s="3" t="s">
        <v>30</v>
      </c>
      <c r="B1049" s="3" t="s">
        <v>25</v>
      </c>
      <c r="C1049" s="3" t="s">
        <v>19</v>
      </c>
      <c r="D1049" s="3" t="s">
        <v>13</v>
      </c>
      <c r="E1049" s="3" t="s">
        <v>8</v>
      </c>
      <c r="F1049" s="3">
        <v>0</v>
      </c>
      <c r="G1049" s="3">
        <v>1.1399896022103E-2</v>
      </c>
      <c r="H1049" s="3">
        <v>1.1399896022103E-2</v>
      </c>
      <c r="I1049" s="3">
        <v>5.0709405874096197E-2</v>
      </c>
      <c r="J1049" s="3">
        <v>4.2431972237664699E-2</v>
      </c>
      <c r="K1049" s="3">
        <v>6.8238889565381294E-2</v>
      </c>
      <c r="L1049" s="3">
        <v>0.144490593646729</v>
      </c>
      <c r="M1049" s="3">
        <v>0.166112481984901</v>
      </c>
      <c r="N1049" s="3">
        <v>0.18176151130385099</v>
      </c>
      <c r="O1049" s="3">
        <v>0.13592402605856499</v>
      </c>
      <c r="P1049" s="3">
        <v>0.112313969341963</v>
      </c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</row>
    <row r="1050" spans="1:35" x14ac:dyDescent="0.45">
      <c r="A1050" s="3" t="s">
        <v>30</v>
      </c>
      <c r="B1050" s="3" t="s">
        <v>25</v>
      </c>
      <c r="C1050" s="3" t="s">
        <v>19</v>
      </c>
      <c r="D1050" s="3" t="s">
        <v>14</v>
      </c>
      <c r="E1050" s="3" t="s">
        <v>8</v>
      </c>
      <c r="F1050" s="3">
        <v>0</v>
      </c>
      <c r="G1050" s="3">
        <v>3.7419464133331602E-2</v>
      </c>
      <c r="H1050" s="3">
        <v>3.7419464133331602E-2</v>
      </c>
      <c r="I1050" s="3">
        <v>7.8586897251389606E-2</v>
      </c>
      <c r="J1050" s="3">
        <v>9.4709578360409802E-2</v>
      </c>
      <c r="K1050" s="3">
        <v>0.121380610985031</v>
      </c>
      <c r="L1050" s="3">
        <v>0.18790720014703999</v>
      </c>
      <c r="M1050" s="3">
        <v>0.22008152869814701</v>
      </c>
      <c r="N1050" s="3">
        <v>0.19269081971291699</v>
      </c>
      <c r="O1050" s="3">
        <v>0.20460039681464001</v>
      </c>
      <c r="P1050" s="3">
        <v>0.22080666927665399</v>
      </c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</row>
    <row r="1051" spans="1:35" x14ac:dyDescent="0.45">
      <c r="A1051" s="3" t="s">
        <v>86</v>
      </c>
      <c r="B1051" s="3" t="s">
        <v>27</v>
      </c>
      <c r="C1051" s="3" t="s">
        <v>6</v>
      </c>
      <c r="D1051" s="3" t="s">
        <v>7</v>
      </c>
      <c r="E1051" s="3" t="s">
        <v>8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</row>
    <row r="1052" spans="1:35" x14ac:dyDescent="0.45">
      <c r="A1052" s="3" t="s">
        <v>86</v>
      </c>
      <c r="B1052" s="3" t="s">
        <v>27</v>
      </c>
      <c r="C1052" s="3" t="s">
        <v>6</v>
      </c>
      <c r="D1052" s="3" t="s">
        <v>9</v>
      </c>
      <c r="E1052" s="3" t="s">
        <v>8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2.3650624077346401E-3</v>
      </c>
      <c r="P1052" s="3">
        <v>1.291702670847E-2</v>
      </c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</row>
    <row r="1053" spans="1:35" x14ac:dyDescent="0.45">
      <c r="A1053" s="3" t="s">
        <v>86</v>
      </c>
      <c r="B1053" s="3" t="s">
        <v>27</v>
      </c>
      <c r="C1053" s="3" t="s">
        <v>6</v>
      </c>
      <c r="D1053" s="3" t="s">
        <v>10</v>
      </c>
      <c r="E1053" s="3" t="s">
        <v>8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1.39856659532439E-3</v>
      </c>
      <c r="M1053" s="3">
        <v>1.53317782013466E-2</v>
      </c>
      <c r="N1053" s="3">
        <v>3.4964613182239097E-2</v>
      </c>
      <c r="O1053" s="3">
        <v>4.9337923218297698E-2</v>
      </c>
      <c r="P1053" s="3">
        <v>4.9891966710915801E-2</v>
      </c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</row>
    <row r="1054" spans="1:35" x14ac:dyDescent="0.45">
      <c r="A1054" s="3" t="s">
        <v>86</v>
      </c>
      <c r="B1054" s="3" t="s">
        <v>27</v>
      </c>
      <c r="C1054" s="3" t="s">
        <v>6</v>
      </c>
      <c r="D1054" s="3" t="s">
        <v>11</v>
      </c>
      <c r="E1054" s="3" t="s">
        <v>8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1.51136695188049E-2</v>
      </c>
      <c r="L1054" s="3">
        <v>3.6860252575778997E-2</v>
      </c>
      <c r="M1054" s="3">
        <v>4.3927434523967399E-2</v>
      </c>
      <c r="N1054" s="3">
        <v>9.2185800607178597E-2</v>
      </c>
      <c r="O1054" s="3">
        <v>0.17478856063272699</v>
      </c>
      <c r="P1054" s="3">
        <v>0.28975177062355401</v>
      </c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</row>
    <row r="1055" spans="1:35" x14ac:dyDescent="0.45">
      <c r="A1055" s="3" t="s">
        <v>86</v>
      </c>
      <c r="B1055" s="3" t="s">
        <v>27</v>
      </c>
      <c r="C1055" s="3" t="s">
        <v>6</v>
      </c>
      <c r="D1055" s="3" t="s">
        <v>12</v>
      </c>
      <c r="E1055" s="3" t="s">
        <v>8</v>
      </c>
      <c r="F1055" s="3">
        <v>0</v>
      </c>
      <c r="G1055" s="3">
        <v>0</v>
      </c>
      <c r="H1055" s="3">
        <v>0</v>
      </c>
      <c r="I1055" s="3">
        <v>0</v>
      </c>
      <c r="J1055" s="3">
        <v>1.9480670417902499E-2</v>
      </c>
      <c r="K1055" s="3">
        <v>3.73713764861325E-2</v>
      </c>
      <c r="L1055" s="3">
        <v>0.122547515377226</v>
      </c>
      <c r="M1055" s="3">
        <v>0.244329674700237</v>
      </c>
      <c r="N1055" s="3">
        <v>0.32133338578992299</v>
      </c>
      <c r="O1055" s="3">
        <v>0.35498680848875402</v>
      </c>
      <c r="P1055" s="3">
        <v>0.35173115779089498</v>
      </c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</row>
    <row r="1056" spans="1:35" x14ac:dyDescent="0.45">
      <c r="A1056" s="3" t="s">
        <v>86</v>
      </c>
      <c r="B1056" s="3" t="s">
        <v>27</v>
      </c>
      <c r="C1056" s="3" t="s">
        <v>6</v>
      </c>
      <c r="D1056" s="3" t="s">
        <v>13</v>
      </c>
      <c r="E1056" s="3" t="s">
        <v>8</v>
      </c>
      <c r="F1056" s="3">
        <v>0</v>
      </c>
      <c r="G1056" s="3">
        <v>0</v>
      </c>
      <c r="H1056" s="3">
        <v>0</v>
      </c>
      <c r="I1056" s="3">
        <v>3.2653350268705403E-2</v>
      </c>
      <c r="J1056" s="3">
        <v>0.19535023073763499</v>
      </c>
      <c r="K1056" s="3">
        <v>0.348609772236953</v>
      </c>
      <c r="L1056" s="3">
        <v>0.39115966640123701</v>
      </c>
      <c r="M1056" s="3">
        <v>0.38041243553929899</v>
      </c>
      <c r="N1056" s="3">
        <v>0.35668158663689897</v>
      </c>
      <c r="O1056" s="3">
        <v>0.33622982539348101</v>
      </c>
      <c r="P1056" s="3">
        <v>0.30887586042638798</v>
      </c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</row>
    <row r="1057" spans="1:35" x14ac:dyDescent="0.45">
      <c r="A1057" s="3" t="s">
        <v>86</v>
      </c>
      <c r="B1057" s="3" t="s">
        <v>27</v>
      </c>
      <c r="C1057" s="3" t="s">
        <v>6</v>
      </c>
      <c r="D1057" s="3" t="s">
        <v>14</v>
      </c>
      <c r="E1057" s="3" t="s">
        <v>8</v>
      </c>
      <c r="F1057" s="3">
        <v>0</v>
      </c>
      <c r="G1057" s="3">
        <v>1.6714530273085199E-2</v>
      </c>
      <c r="H1057" s="3">
        <v>1.6714530273085199E-2</v>
      </c>
      <c r="I1057" s="3">
        <v>0.20239589043833001</v>
      </c>
      <c r="J1057" s="3">
        <v>0.206411814302738</v>
      </c>
      <c r="K1057" s="3">
        <v>0.172266241557057</v>
      </c>
      <c r="L1057" s="3">
        <v>0.15837481357067801</v>
      </c>
      <c r="M1057" s="3">
        <v>0.16419654213276799</v>
      </c>
      <c r="N1057" s="3">
        <v>0.16409826105314099</v>
      </c>
      <c r="O1057" s="3">
        <v>0.14868054719239099</v>
      </c>
      <c r="P1057" s="3">
        <v>0.130407051149565</v>
      </c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</row>
    <row r="1058" spans="1:35" x14ac:dyDescent="0.45">
      <c r="A1058" s="3" t="s">
        <v>86</v>
      </c>
      <c r="B1058" s="3" t="s">
        <v>27</v>
      </c>
      <c r="C1058" s="3" t="s">
        <v>15</v>
      </c>
      <c r="D1058" s="3" t="s">
        <v>7</v>
      </c>
      <c r="E1058" s="3" t="s">
        <v>8</v>
      </c>
      <c r="F1058" s="3">
        <v>9.7161463851459295E-2</v>
      </c>
      <c r="G1058" s="3">
        <v>0.11112693842306599</v>
      </c>
      <c r="H1058" s="3">
        <v>0.11112693842306599</v>
      </c>
      <c r="I1058" s="3">
        <v>0.123285352381113</v>
      </c>
      <c r="J1058" s="3">
        <v>0.13769658174697899</v>
      </c>
      <c r="K1058" s="3">
        <v>0.15050829345984501</v>
      </c>
      <c r="L1058" s="3">
        <v>0.16018477389319299</v>
      </c>
      <c r="M1058" s="3">
        <v>0.16371711709195899</v>
      </c>
      <c r="N1058" s="3">
        <v>0.16703206359043499</v>
      </c>
      <c r="O1058" s="3">
        <v>0.17023893414301</v>
      </c>
      <c r="P1058" s="3">
        <v>0.16786567474066399</v>
      </c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</row>
    <row r="1059" spans="1:35" x14ac:dyDescent="0.45">
      <c r="A1059" s="3" t="s">
        <v>86</v>
      </c>
      <c r="B1059" s="3" t="s">
        <v>27</v>
      </c>
      <c r="C1059" s="3" t="s">
        <v>15</v>
      </c>
      <c r="D1059" s="3" t="s">
        <v>9</v>
      </c>
      <c r="E1059" s="3" t="s">
        <v>8</v>
      </c>
      <c r="F1059" s="3">
        <v>0</v>
      </c>
      <c r="G1059" s="3">
        <v>3.1177661485964903E-4</v>
      </c>
      <c r="H1059" s="3">
        <v>3.1177661485964903E-4</v>
      </c>
      <c r="I1059" s="3">
        <v>-1.8305352611504299E-4</v>
      </c>
      <c r="J1059" s="3">
        <v>-1.79660742359858E-3</v>
      </c>
      <c r="K1059" s="3">
        <v>-2.9364055177533198E-4</v>
      </c>
      <c r="L1059" s="3">
        <v>2.1393001635124898E-3</v>
      </c>
      <c r="M1059" s="3">
        <v>9.1890902635918294E-3</v>
      </c>
      <c r="N1059" s="3">
        <v>1.76100707916448E-2</v>
      </c>
      <c r="O1059" s="3">
        <v>2.3289238040523401E-2</v>
      </c>
      <c r="P1059" s="3">
        <v>3.0311648071245801E-2</v>
      </c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</row>
    <row r="1060" spans="1:35" x14ac:dyDescent="0.45">
      <c r="A1060" s="3" t="s">
        <v>86</v>
      </c>
      <c r="B1060" s="3" t="s">
        <v>27</v>
      </c>
      <c r="C1060" s="3" t="s">
        <v>15</v>
      </c>
      <c r="D1060" s="3" t="s">
        <v>10</v>
      </c>
      <c r="E1060" s="3" t="s">
        <v>8</v>
      </c>
      <c r="F1060" s="3">
        <v>0</v>
      </c>
      <c r="G1060" s="3">
        <v>-9.9296237036894408E-4</v>
      </c>
      <c r="H1060" s="3">
        <v>-9.9296237036894408E-4</v>
      </c>
      <c r="I1060" s="3">
        <v>-1.3452010366936401E-4</v>
      </c>
      <c r="J1060" s="3">
        <v>2.2512731754221198E-3</v>
      </c>
      <c r="K1060" s="3">
        <v>6.2833107832616097E-4</v>
      </c>
      <c r="L1060" s="3">
        <v>1.5342770287010701E-4</v>
      </c>
      <c r="M1060" s="3">
        <v>2.7664600921221399E-3</v>
      </c>
      <c r="N1060" s="3">
        <v>3.8081557516147801E-3</v>
      </c>
      <c r="O1060" s="3">
        <v>3.9537663993241502E-3</v>
      </c>
      <c r="P1060" s="3">
        <v>7.7842948406531796E-3</v>
      </c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</row>
    <row r="1061" spans="1:35" x14ac:dyDescent="0.45">
      <c r="A1061" s="3" t="s">
        <v>86</v>
      </c>
      <c r="B1061" s="3" t="s">
        <v>27</v>
      </c>
      <c r="C1061" s="3" t="s">
        <v>15</v>
      </c>
      <c r="D1061" s="3" t="s">
        <v>11</v>
      </c>
      <c r="E1061" s="3" t="s">
        <v>8</v>
      </c>
      <c r="F1061" s="3">
        <v>0</v>
      </c>
      <c r="G1061" s="3">
        <v>-2.0896012293017399E-4</v>
      </c>
      <c r="H1061" s="3">
        <v>-2.0896012293017399E-4</v>
      </c>
      <c r="I1061" s="3">
        <v>2.0701460416419201E-3</v>
      </c>
      <c r="J1061" s="3">
        <v>-9.4897206559024804E-4</v>
      </c>
      <c r="K1061" s="3">
        <v>-7.4146928642271305E-4</v>
      </c>
      <c r="L1061" s="3">
        <v>-1.24936557547783E-3</v>
      </c>
      <c r="M1061" s="3">
        <v>2.87975496018519E-3</v>
      </c>
      <c r="N1061" s="3">
        <v>6.9417131423570901E-3</v>
      </c>
      <c r="O1061" s="3">
        <v>1.2781265296013601E-2</v>
      </c>
      <c r="P1061" s="3">
        <v>1.44619651576713E-2</v>
      </c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</row>
    <row r="1062" spans="1:35" x14ac:dyDescent="0.45">
      <c r="A1062" s="3" t="s">
        <v>86</v>
      </c>
      <c r="B1062" s="3" t="s">
        <v>27</v>
      </c>
      <c r="C1062" s="3" t="s">
        <v>15</v>
      </c>
      <c r="D1062" s="3" t="s">
        <v>12</v>
      </c>
      <c r="E1062" s="3" t="s">
        <v>8</v>
      </c>
      <c r="F1062" s="3">
        <v>0</v>
      </c>
      <c r="G1062" s="3">
        <v>1.1475789783366901E-3</v>
      </c>
      <c r="H1062" s="3">
        <v>1.1475789783366901E-3</v>
      </c>
      <c r="I1062" s="3">
        <v>-2.4038795676480101E-4</v>
      </c>
      <c r="J1062" s="3">
        <v>-1.41914837829424E-3</v>
      </c>
      <c r="K1062" s="3">
        <v>1.75902094030272E-3</v>
      </c>
      <c r="L1062" s="3">
        <v>7.9445582023855207E-3</v>
      </c>
      <c r="M1062" s="3">
        <v>7.3577853553556402E-3</v>
      </c>
      <c r="N1062" s="3">
        <v>2.8044389156796599E-3</v>
      </c>
      <c r="O1062" s="3">
        <v>-1.5798769896451499E-3</v>
      </c>
      <c r="P1062" s="3">
        <v>-4.6543620786922103E-3</v>
      </c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</row>
    <row r="1063" spans="1:35" x14ac:dyDescent="0.45">
      <c r="A1063" s="3" t="s">
        <v>86</v>
      </c>
      <c r="B1063" s="3" t="s">
        <v>27</v>
      </c>
      <c r="C1063" s="3" t="s">
        <v>15</v>
      </c>
      <c r="D1063" s="3" t="s">
        <v>13</v>
      </c>
      <c r="E1063" s="3" t="s">
        <v>8</v>
      </c>
      <c r="F1063" s="3">
        <v>0</v>
      </c>
      <c r="G1063" s="3">
        <v>3.8260856963905098E-4</v>
      </c>
      <c r="H1063" s="3">
        <v>3.8260856963905098E-4</v>
      </c>
      <c r="I1063" s="3">
        <v>2.9841480162955802E-3</v>
      </c>
      <c r="J1063" s="3">
        <v>9.5967901333201804E-3</v>
      </c>
      <c r="K1063" s="3">
        <v>3.2471827228068898E-3</v>
      </c>
      <c r="L1063" s="3">
        <v>-4.5008357341722602E-3</v>
      </c>
      <c r="M1063" s="3">
        <v>-9.7413516765214297E-3</v>
      </c>
      <c r="N1063" s="3">
        <v>-1.2493960356203799E-2</v>
      </c>
      <c r="O1063" s="3">
        <v>-1.5579402139302799E-2</v>
      </c>
      <c r="P1063" s="3">
        <v>-1.9697262026537501E-2</v>
      </c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</row>
    <row r="1064" spans="1:35" x14ac:dyDescent="0.45">
      <c r="A1064" s="3" t="s">
        <v>86</v>
      </c>
      <c r="B1064" s="3" t="s">
        <v>27</v>
      </c>
      <c r="C1064" s="3" t="s">
        <v>15</v>
      </c>
      <c r="D1064" s="3" t="s">
        <v>14</v>
      </c>
      <c r="E1064" s="3" t="s">
        <v>8</v>
      </c>
      <c r="F1064" s="3">
        <v>0</v>
      </c>
      <c r="G1064" s="3">
        <v>-6.5317667272188405E-4</v>
      </c>
      <c r="H1064" s="3">
        <v>-6.5317667272188405E-4</v>
      </c>
      <c r="I1064" s="3">
        <v>1.51660297289891E-3</v>
      </c>
      <c r="J1064" s="3">
        <v>-6.5773461367329396E-3</v>
      </c>
      <c r="K1064" s="3">
        <v>-8.0757451487459605E-3</v>
      </c>
      <c r="L1064" s="3">
        <v>-1.1367626538362E-2</v>
      </c>
      <c r="M1064" s="3">
        <v>-1.5399762912212E-2</v>
      </c>
      <c r="N1064" s="3">
        <v>-2.04565925940111E-2</v>
      </c>
      <c r="O1064" s="3">
        <v>-2.1685769877232999E-2</v>
      </c>
      <c r="P1064" s="3">
        <v>-2.0788455716017E-2</v>
      </c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</row>
    <row r="1065" spans="1:35" x14ac:dyDescent="0.45">
      <c r="A1065" s="3" t="s">
        <v>86</v>
      </c>
      <c r="B1065" s="3" t="s">
        <v>27</v>
      </c>
      <c r="C1065" s="3" t="s">
        <v>16</v>
      </c>
      <c r="D1065" s="3" t="s">
        <v>7</v>
      </c>
      <c r="E1065" s="3" t="s">
        <v>8</v>
      </c>
      <c r="F1065" s="3">
        <v>5.6010939337488103E-2</v>
      </c>
      <c r="G1065" s="3">
        <v>3.6415357938558802E-2</v>
      </c>
      <c r="H1065" s="3">
        <v>3.6415357938558802E-2</v>
      </c>
      <c r="I1065" s="3">
        <v>2.6000890935944099E-2</v>
      </c>
      <c r="J1065" s="3">
        <v>2.4674865874535899E-2</v>
      </c>
      <c r="K1065" s="3">
        <v>2.1201591529001099E-2</v>
      </c>
      <c r="L1065" s="3">
        <v>2.1201591529001099E-2</v>
      </c>
      <c r="M1065" s="3">
        <v>2.1201591529001099E-2</v>
      </c>
      <c r="N1065" s="3">
        <v>2.1201591529001099E-2</v>
      </c>
      <c r="O1065" s="3">
        <v>2.1201591529001099E-2</v>
      </c>
      <c r="P1065" s="3">
        <v>2.1201591529001099E-2</v>
      </c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</row>
    <row r="1066" spans="1:35" x14ac:dyDescent="0.45">
      <c r="A1066" s="3" t="s">
        <v>86</v>
      </c>
      <c r="B1066" s="3" t="s">
        <v>27</v>
      </c>
      <c r="C1066" s="3" t="s">
        <v>16</v>
      </c>
      <c r="D1066" s="3" t="s">
        <v>9</v>
      </c>
      <c r="E1066" s="3" t="s">
        <v>8</v>
      </c>
      <c r="F1066" s="3">
        <v>0</v>
      </c>
      <c r="G1066" s="3">
        <v>-3.1304848363895902E-5</v>
      </c>
      <c r="H1066" s="3">
        <v>-3.1304848363895902E-5</v>
      </c>
      <c r="I1066" s="3">
        <v>-1.5403141887800799E-5</v>
      </c>
      <c r="J1066" s="3">
        <v>1.50534066751772E-5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</row>
    <row r="1067" spans="1:35" x14ac:dyDescent="0.45">
      <c r="A1067" s="3" t="s">
        <v>86</v>
      </c>
      <c r="B1067" s="3" t="s">
        <v>27</v>
      </c>
      <c r="C1067" s="3" t="s">
        <v>16</v>
      </c>
      <c r="D1067" s="3" t="s">
        <v>10</v>
      </c>
      <c r="E1067" s="3" t="s">
        <v>8</v>
      </c>
      <c r="F1067" s="3">
        <v>0</v>
      </c>
      <c r="G1067" s="3">
        <v>-6.0912362128545704E-7</v>
      </c>
      <c r="H1067" s="3">
        <v>-6.0912362128545704E-7</v>
      </c>
      <c r="I1067" s="3">
        <v>1.64788878015409E-7</v>
      </c>
      <c r="J1067" s="3">
        <v>-7.3666599282873301E-6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</row>
    <row r="1068" spans="1:35" x14ac:dyDescent="0.45">
      <c r="A1068" s="3" t="s">
        <v>86</v>
      </c>
      <c r="B1068" s="3" t="s">
        <v>27</v>
      </c>
      <c r="C1068" s="3" t="s">
        <v>16</v>
      </c>
      <c r="D1068" s="3" t="s">
        <v>11</v>
      </c>
      <c r="E1068" s="3" t="s">
        <v>8</v>
      </c>
      <c r="F1068" s="3">
        <v>0</v>
      </c>
      <c r="G1068" s="3">
        <v>-1.2442270348973801E-5</v>
      </c>
      <c r="H1068" s="3">
        <v>-1.2442270348973801E-5</v>
      </c>
      <c r="I1068" s="3">
        <v>2.5753810017556402E-6</v>
      </c>
      <c r="J1068" s="3">
        <v>1.7786995681182101E-5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</row>
    <row r="1069" spans="1:35" x14ac:dyDescent="0.45">
      <c r="A1069" s="3" t="s">
        <v>86</v>
      </c>
      <c r="B1069" s="3" t="s">
        <v>27</v>
      </c>
      <c r="C1069" s="3" t="s">
        <v>16</v>
      </c>
      <c r="D1069" s="3" t="s">
        <v>12</v>
      </c>
      <c r="E1069" s="3" t="s">
        <v>8</v>
      </c>
      <c r="F1069" s="3">
        <v>0</v>
      </c>
      <c r="G1069" s="3">
        <v>-3.1354531858235301E-6</v>
      </c>
      <c r="H1069" s="3">
        <v>-3.1354531858235301E-6</v>
      </c>
      <c r="I1069" s="3">
        <v>3.1759555783515698E-5</v>
      </c>
      <c r="J1069" s="3">
        <v>3.3113800025567599E-4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</row>
    <row r="1070" spans="1:35" x14ac:dyDescent="0.45">
      <c r="A1070" s="3" t="s">
        <v>86</v>
      </c>
      <c r="B1070" s="3" t="s">
        <v>27</v>
      </c>
      <c r="C1070" s="3" t="s">
        <v>16</v>
      </c>
      <c r="D1070" s="3" t="s">
        <v>13</v>
      </c>
      <c r="E1070" s="3" t="s">
        <v>8</v>
      </c>
      <c r="F1070" s="3">
        <v>0</v>
      </c>
      <c r="G1070" s="3">
        <v>1.7086758882566E-4</v>
      </c>
      <c r="H1070" s="3">
        <v>1.7086758882566E-4</v>
      </c>
      <c r="I1070" s="3">
        <v>-8.29419306993224E-4</v>
      </c>
      <c r="J1070" s="3">
        <v>-1.6374258386106799E-3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</row>
    <row r="1071" spans="1:35" x14ac:dyDescent="0.45">
      <c r="A1071" s="3" t="s">
        <v>86</v>
      </c>
      <c r="B1071" s="3" t="s">
        <v>27</v>
      </c>
      <c r="C1071" s="3" t="s">
        <v>16</v>
      </c>
      <c r="D1071" s="3" t="s">
        <v>14</v>
      </c>
      <c r="E1071" s="3" t="s">
        <v>8</v>
      </c>
      <c r="F1071" s="3">
        <v>0</v>
      </c>
      <c r="G1071" s="3">
        <v>1.98898096540186E-3</v>
      </c>
      <c r="H1071" s="3">
        <v>1.98898096540186E-3</v>
      </c>
      <c r="I1071" s="3">
        <v>-1.7813383783718999E-3</v>
      </c>
      <c r="J1071" s="3">
        <v>-8.4566324476094802E-4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</row>
    <row r="1072" spans="1:35" x14ac:dyDescent="0.45">
      <c r="A1072" s="3" t="s">
        <v>86</v>
      </c>
      <c r="B1072" s="3" t="s">
        <v>27</v>
      </c>
      <c r="C1072" s="3" t="s">
        <v>17</v>
      </c>
      <c r="D1072" s="3" t="s">
        <v>7</v>
      </c>
      <c r="E1072" s="3" t="s">
        <v>8</v>
      </c>
      <c r="F1072" s="3">
        <v>3.1347846598225601E-3</v>
      </c>
      <c r="G1072" s="3">
        <v>3.7250546642972901E-3</v>
      </c>
      <c r="H1072" s="3">
        <v>3.7250546642972901E-3</v>
      </c>
      <c r="I1072" s="3">
        <v>5.2027833250861298E-3</v>
      </c>
      <c r="J1072" s="3">
        <v>7.1278323625239498E-3</v>
      </c>
      <c r="K1072" s="3">
        <v>1.0676548737957601E-2</v>
      </c>
      <c r="L1072" s="3">
        <v>4.86448679861302E-5</v>
      </c>
      <c r="M1072" s="3">
        <v>0</v>
      </c>
      <c r="N1072" s="3">
        <v>0</v>
      </c>
      <c r="O1072" s="3">
        <v>0</v>
      </c>
      <c r="P1072" s="3">
        <v>0</v>
      </c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</row>
    <row r="1073" spans="1:35" x14ac:dyDescent="0.45">
      <c r="A1073" s="3" t="s">
        <v>86</v>
      </c>
      <c r="B1073" s="3" t="s">
        <v>27</v>
      </c>
      <c r="C1073" s="3" t="s">
        <v>17</v>
      </c>
      <c r="D1073" s="3" t="s">
        <v>9</v>
      </c>
      <c r="E1073" s="3" t="s">
        <v>8</v>
      </c>
      <c r="F1073" s="3">
        <v>0</v>
      </c>
      <c r="G1073" s="3">
        <v>1.27652981438974E-4</v>
      </c>
      <c r="H1073" s="3">
        <v>1.27652981438974E-4</v>
      </c>
      <c r="I1073" s="3">
        <v>2.68494749749316E-4</v>
      </c>
      <c r="J1073" s="3">
        <v>4.7774298268209999E-4</v>
      </c>
      <c r="K1073" s="3">
        <v>1.3214429860401401E-3</v>
      </c>
      <c r="L1073" s="3">
        <v>2.6003605315314902E-3</v>
      </c>
      <c r="M1073" s="3">
        <v>0</v>
      </c>
      <c r="N1073" s="3">
        <v>0</v>
      </c>
      <c r="O1073" s="3">
        <v>0</v>
      </c>
      <c r="P1073" s="3">
        <v>4.8576608043411499E-4</v>
      </c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</row>
    <row r="1074" spans="1:35" x14ac:dyDescent="0.45">
      <c r="A1074" s="3" t="s">
        <v>86</v>
      </c>
      <c r="B1074" s="3" t="s">
        <v>27</v>
      </c>
      <c r="C1074" s="3" t="s">
        <v>17</v>
      </c>
      <c r="D1074" s="3" t="s">
        <v>10</v>
      </c>
      <c r="E1074" s="3" t="s">
        <v>8</v>
      </c>
      <c r="F1074" s="3">
        <v>0</v>
      </c>
      <c r="G1074" s="3">
        <v>1.85958619194054E-5</v>
      </c>
      <c r="H1074" s="3">
        <v>1.85958619194054E-5</v>
      </c>
      <c r="I1074" s="3">
        <v>2.3159221152246599E-4</v>
      </c>
      <c r="J1074" s="3">
        <v>8.5019323973705698E-4</v>
      </c>
      <c r="K1074" s="3">
        <v>1.6144994082640501E-3</v>
      </c>
      <c r="L1074" s="3">
        <v>2.1529484326235498E-3</v>
      </c>
      <c r="M1074" s="3">
        <v>1.3062534227194901E-2</v>
      </c>
      <c r="N1074" s="3">
        <v>2.11727975968647E-2</v>
      </c>
      <c r="O1074" s="3">
        <v>4.7490539924116497E-2</v>
      </c>
      <c r="P1074" s="3">
        <v>0.109644523054431</v>
      </c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</row>
    <row r="1075" spans="1:35" x14ac:dyDescent="0.45">
      <c r="A1075" s="3" t="s">
        <v>86</v>
      </c>
      <c r="B1075" s="3" t="s">
        <v>27</v>
      </c>
      <c r="C1075" s="3" t="s">
        <v>17</v>
      </c>
      <c r="D1075" s="3" t="s">
        <v>11</v>
      </c>
      <c r="E1075" s="3" t="s">
        <v>8</v>
      </c>
      <c r="F1075" s="3">
        <v>0</v>
      </c>
      <c r="G1075" s="3">
        <v>3.5646032457302298E-5</v>
      </c>
      <c r="H1075" s="3">
        <v>3.5646032457302298E-5</v>
      </c>
      <c r="I1075" s="3">
        <v>3.0489295183664002E-4</v>
      </c>
      <c r="J1075" s="3">
        <v>2.5079927880722599E-3</v>
      </c>
      <c r="K1075" s="3">
        <v>1.52926293927399E-2</v>
      </c>
      <c r="L1075" s="3">
        <v>2.0028725794590502E-2</v>
      </c>
      <c r="M1075" s="3">
        <v>9.09284351966307E-2</v>
      </c>
      <c r="N1075" s="3">
        <v>9.8583403135449901E-2</v>
      </c>
      <c r="O1075" s="3">
        <v>8.9315720753280106E-2</v>
      </c>
      <c r="P1075" s="3">
        <v>4.6659130771455198E-2</v>
      </c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</row>
    <row r="1076" spans="1:35" x14ac:dyDescent="0.45">
      <c r="A1076" s="3" t="s">
        <v>86</v>
      </c>
      <c r="B1076" s="3" t="s">
        <v>27</v>
      </c>
      <c r="C1076" s="3" t="s">
        <v>17</v>
      </c>
      <c r="D1076" s="3" t="s">
        <v>12</v>
      </c>
      <c r="E1076" s="3" t="s">
        <v>8</v>
      </c>
      <c r="F1076" s="3">
        <v>0</v>
      </c>
      <c r="G1076" s="3">
        <v>-6.6641664169581394E-5</v>
      </c>
      <c r="H1076" s="3">
        <v>-6.6641664169581394E-5</v>
      </c>
      <c r="I1076" s="3">
        <v>1.3937277145281599E-3</v>
      </c>
      <c r="J1076" s="3">
        <v>1.3493441171183E-2</v>
      </c>
      <c r="K1076" s="3">
        <v>6.5908279204379999E-2</v>
      </c>
      <c r="L1076" s="3">
        <v>9.5798350343173494E-2</v>
      </c>
      <c r="M1076" s="3">
        <v>4.9083389479866603E-2</v>
      </c>
      <c r="N1076" s="3">
        <v>7.4449489656070997E-2</v>
      </c>
      <c r="O1076" s="3">
        <v>0.102347428007211</v>
      </c>
      <c r="P1076" s="3">
        <v>0.124156354322474</v>
      </c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</row>
    <row r="1077" spans="1:35" x14ac:dyDescent="0.45">
      <c r="A1077" s="3" t="s">
        <v>86</v>
      </c>
      <c r="B1077" s="3" t="s">
        <v>27</v>
      </c>
      <c r="C1077" s="3" t="s">
        <v>17</v>
      </c>
      <c r="D1077" s="3" t="s">
        <v>13</v>
      </c>
      <c r="E1077" s="3" t="s">
        <v>8</v>
      </c>
      <c r="F1077" s="3">
        <v>0</v>
      </c>
      <c r="G1077" s="3">
        <v>9.6153301966264595E-4</v>
      </c>
      <c r="H1077" s="3">
        <v>9.6153301966264595E-4</v>
      </c>
      <c r="I1077" s="3">
        <v>7.5629332035360805E-2</v>
      </c>
      <c r="J1077" s="3">
        <v>0.11874953984543</v>
      </c>
      <c r="K1077" s="3">
        <v>0.121616855370881</v>
      </c>
      <c r="L1077" s="3">
        <v>0.16312398497406899</v>
      </c>
      <c r="M1077" s="3">
        <v>0.18536734271224201</v>
      </c>
      <c r="N1077" s="3">
        <v>0.177581831182511</v>
      </c>
      <c r="O1077" s="3">
        <v>0.14620536721524999</v>
      </c>
      <c r="P1077" s="3">
        <v>0.10777542937804201</v>
      </c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</row>
    <row r="1078" spans="1:35" x14ac:dyDescent="0.45">
      <c r="A1078" s="3" t="s">
        <v>86</v>
      </c>
      <c r="B1078" s="3" t="s">
        <v>27</v>
      </c>
      <c r="C1078" s="3" t="s">
        <v>17</v>
      </c>
      <c r="D1078" s="3" t="s">
        <v>14</v>
      </c>
      <c r="E1078" s="3" t="s">
        <v>8</v>
      </c>
      <c r="F1078" s="3">
        <v>0</v>
      </c>
      <c r="G1078" s="3">
        <v>4.1124867349687797E-3</v>
      </c>
      <c r="H1078" s="3">
        <v>4.1124867349687797E-3</v>
      </c>
      <c r="I1078" s="3">
        <v>8.25213023209031E-2</v>
      </c>
      <c r="J1078" s="3">
        <v>0.127254534905579</v>
      </c>
      <c r="K1078" s="3">
        <v>0.13095069241722401</v>
      </c>
      <c r="L1078" s="3">
        <v>0.10049831460667299</v>
      </c>
      <c r="M1078" s="3">
        <v>5.31001408904744E-2</v>
      </c>
      <c r="N1078" s="3">
        <v>2.0064485731993001E-2</v>
      </c>
      <c r="O1078" s="3">
        <v>6.4989564689815196E-3</v>
      </c>
      <c r="P1078" s="3">
        <v>3.1377855359843699E-3</v>
      </c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</row>
    <row r="1079" spans="1:35" x14ac:dyDescent="0.45">
      <c r="A1079" s="3" t="s">
        <v>86</v>
      </c>
      <c r="B1079" s="3" t="s">
        <v>27</v>
      </c>
      <c r="C1079" s="3" t="s">
        <v>18</v>
      </c>
      <c r="D1079" s="3" t="s">
        <v>7</v>
      </c>
      <c r="E1079" s="3" t="s">
        <v>8</v>
      </c>
      <c r="F1079" s="3">
        <v>6.8618940195531095E-2</v>
      </c>
      <c r="G1079" s="3">
        <v>4.9246406759789897E-2</v>
      </c>
      <c r="H1079" s="3">
        <v>4.9246406759789897E-2</v>
      </c>
      <c r="I1079" s="3">
        <v>3.2830937839859901E-2</v>
      </c>
      <c r="J1079" s="3">
        <v>1.6415468919929999E-2</v>
      </c>
      <c r="K1079" s="3">
        <v>2.0616223478579801E-17</v>
      </c>
      <c r="L1079" s="3">
        <v>2.3561398261234099E-17</v>
      </c>
      <c r="M1079" s="3">
        <v>1.1780699130617E-17</v>
      </c>
      <c r="N1079" s="3">
        <v>1.1780699130617E-17</v>
      </c>
      <c r="O1079" s="3">
        <v>0</v>
      </c>
      <c r="P1079" s="3">
        <v>2.0616223478579801E-17</v>
      </c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</row>
    <row r="1080" spans="1:35" x14ac:dyDescent="0.45">
      <c r="A1080" s="3" t="s">
        <v>86</v>
      </c>
      <c r="B1080" s="3" t="s">
        <v>27</v>
      </c>
      <c r="C1080" s="3" t="s">
        <v>18</v>
      </c>
      <c r="D1080" s="3" t="s">
        <v>9</v>
      </c>
      <c r="E1080" s="3" t="s">
        <v>8</v>
      </c>
      <c r="F1080" s="3">
        <v>0</v>
      </c>
      <c r="G1080" s="3">
        <v>0</v>
      </c>
      <c r="H1080" s="3">
        <v>0</v>
      </c>
      <c r="I1080" s="3">
        <v>0</v>
      </c>
      <c r="J1080" s="3">
        <v>-5.2041704279304201E-17</v>
      </c>
      <c r="K1080" s="3">
        <v>-2.0616223478579801E-17</v>
      </c>
      <c r="L1080" s="3">
        <v>-2.3561398261234099E-17</v>
      </c>
      <c r="M1080" s="3">
        <v>8.8355243479628101E-18</v>
      </c>
      <c r="N1080" s="3">
        <v>0</v>
      </c>
      <c r="O1080" s="3">
        <v>1.1780699130617E-17</v>
      </c>
      <c r="P1080" s="3">
        <v>-2.0616223478579801E-17</v>
      </c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</row>
    <row r="1081" spans="1:35" x14ac:dyDescent="0.45">
      <c r="A1081" s="3" t="s">
        <v>86</v>
      </c>
      <c r="B1081" s="3" t="s">
        <v>27</v>
      </c>
      <c r="C1081" s="3" t="s">
        <v>18</v>
      </c>
      <c r="D1081" s="3" t="s">
        <v>10</v>
      </c>
      <c r="E1081" s="3" t="s">
        <v>8</v>
      </c>
      <c r="F1081" s="3">
        <v>0</v>
      </c>
      <c r="G1081" s="3">
        <v>0</v>
      </c>
      <c r="H1081" s="3">
        <v>0</v>
      </c>
      <c r="I1081" s="3">
        <v>4.8572257327350599E-17</v>
      </c>
      <c r="J1081" s="3">
        <v>0</v>
      </c>
      <c r="K1081" s="3">
        <v>0</v>
      </c>
      <c r="L1081" s="3">
        <v>2.0616223478579801E-17</v>
      </c>
      <c r="M1081" s="3">
        <v>0</v>
      </c>
      <c r="N1081" s="3">
        <v>-1.1780699130617E-17</v>
      </c>
      <c r="O1081" s="3">
        <v>3.2396922609196899E-17</v>
      </c>
      <c r="P1081" s="3">
        <v>2.0616223478579801E-17</v>
      </c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</row>
    <row r="1082" spans="1:35" x14ac:dyDescent="0.45">
      <c r="A1082" s="3" t="s">
        <v>86</v>
      </c>
      <c r="B1082" s="3" t="s">
        <v>27</v>
      </c>
      <c r="C1082" s="3" t="s">
        <v>18</v>
      </c>
      <c r="D1082" s="3" t="s">
        <v>11</v>
      </c>
      <c r="E1082" s="3" t="s">
        <v>8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-2.0616223478579801E-17</v>
      </c>
      <c r="M1082" s="3">
        <v>-2.0616223478579801E-17</v>
      </c>
      <c r="N1082" s="3">
        <v>2.0616223478579801E-17</v>
      </c>
      <c r="O1082" s="3">
        <v>-4.4177621739813899E-17</v>
      </c>
      <c r="P1082" s="3">
        <v>4.7122796522468197E-17</v>
      </c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</row>
    <row r="1083" spans="1:35" x14ac:dyDescent="0.45">
      <c r="A1083" s="3" t="s">
        <v>86</v>
      </c>
      <c r="B1083" s="3" t="s">
        <v>27</v>
      </c>
      <c r="C1083" s="3" t="s">
        <v>18</v>
      </c>
      <c r="D1083" s="3" t="s">
        <v>12</v>
      </c>
      <c r="E1083" s="3" t="s">
        <v>8</v>
      </c>
      <c r="F1083" s="3">
        <v>0</v>
      </c>
      <c r="G1083" s="3">
        <v>0</v>
      </c>
      <c r="H1083" s="3">
        <v>0</v>
      </c>
      <c r="I1083" s="3">
        <v>0</v>
      </c>
      <c r="J1083" s="3">
        <v>5.2041704279304201E-17</v>
      </c>
      <c r="K1083" s="3">
        <v>0</v>
      </c>
      <c r="L1083" s="3">
        <v>0</v>
      </c>
      <c r="M1083" s="3">
        <v>4.4177621739813899E-17</v>
      </c>
      <c r="N1083" s="3">
        <v>-2.0616223478579801E-17</v>
      </c>
      <c r="O1083" s="3">
        <v>1.1780699130617001E-16</v>
      </c>
      <c r="P1083" s="3">
        <v>9.7190767827590704E-17</v>
      </c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</row>
    <row r="1084" spans="1:35" x14ac:dyDescent="0.45">
      <c r="A1084" s="3" t="s">
        <v>86</v>
      </c>
      <c r="B1084" s="3" t="s">
        <v>27</v>
      </c>
      <c r="C1084" s="3" t="s">
        <v>18</v>
      </c>
      <c r="D1084" s="3" t="s">
        <v>13</v>
      </c>
      <c r="E1084" s="3" t="s">
        <v>8</v>
      </c>
      <c r="F1084" s="3">
        <v>0</v>
      </c>
      <c r="G1084" s="3">
        <v>0</v>
      </c>
      <c r="H1084" s="3">
        <v>0</v>
      </c>
      <c r="I1084" s="3">
        <v>5.5511151231257802E-17</v>
      </c>
      <c r="J1084" s="3">
        <v>-1.5959455978986601E-16</v>
      </c>
      <c r="K1084" s="3">
        <v>0</v>
      </c>
      <c r="L1084" s="3">
        <v>2.0910740956845301E-16</v>
      </c>
      <c r="M1084" s="3">
        <v>1.4725873913271501E-17</v>
      </c>
      <c r="N1084" s="3">
        <v>6.7739020001047998E-17</v>
      </c>
      <c r="O1084" s="3">
        <v>2.38559157394995E-16</v>
      </c>
      <c r="P1084" s="3">
        <v>-1.64929787828639E-16</v>
      </c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</row>
    <row r="1085" spans="1:35" x14ac:dyDescent="0.45">
      <c r="A1085" s="3" t="s">
        <v>86</v>
      </c>
      <c r="B1085" s="3" t="s">
        <v>27</v>
      </c>
      <c r="C1085" s="3" t="s">
        <v>18</v>
      </c>
      <c r="D1085" s="3" t="s">
        <v>14</v>
      </c>
      <c r="E1085" s="3" t="s">
        <v>8</v>
      </c>
      <c r="F1085" s="3">
        <v>0</v>
      </c>
      <c r="G1085" s="3">
        <v>-5.5511151231257802E-17</v>
      </c>
      <c r="H1085" s="3">
        <v>-5.5511151231257802E-17</v>
      </c>
      <c r="I1085" s="3">
        <v>-5.5511151231257802E-17</v>
      </c>
      <c r="J1085" s="3">
        <v>5.2041704279304201E-17</v>
      </c>
      <c r="K1085" s="3">
        <v>0</v>
      </c>
      <c r="L1085" s="3">
        <v>-1.50203913915367E-16</v>
      </c>
      <c r="M1085" s="3">
        <v>1.1780699130617E-17</v>
      </c>
      <c r="N1085" s="3">
        <v>2.8568195391746302E-16</v>
      </c>
      <c r="O1085" s="3">
        <v>-3.5636614870116602E-16</v>
      </c>
      <c r="P1085" s="3">
        <v>0</v>
      </c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</row>
    <row r="1086" spans="1:35" x14ac:dyDescent="0.45">
      <c r="A1086" s="3" t="s">
        <v>86</v>
      </c>
      <c r="B1086" s="3" t="s">
        <v>27</v>
      </c>
      <c r="C1086" s="3" t="s">
        <v>19</v>
      </c>
      <c r="D1086" s="3" t="s">
        <v>7</v>
      </c>
      <c r="E1086" s="3" t="s">
        <v>8</v>
      </c>
      <c r="F1086" s="3">
        <v>1.18550550270189E-3</v>
      </c>
      <c r="G1086" s="3">
        <v>1.2907908123478899E-3</v>
      </c>
      <c r="H1086" s="3">
        <v>1.2907908123478899E-3</v>
      </c>
      <c r="I1086" s="3">
        <v>7.2053996539967304E-4</v>
      </c>
      <c r="J1086" s="3">
        <v>5.1085087484540801E-4</v>
      </c>
      <c r="K1086" s="3">
        <v>6.5311340966118701E-4</v>
      </c>
      <c r="L1086" s="3">
        <v>1.37912650550967E-3</v>
      </c>
      <c r="M1086" s="3">
        <v>0</v>
      </c>
      <c r="N1086" s="3">
        <v>0</v>
      </c>
      <c r="O1086" s="3">
        <v>0</v>
      </c>
      <c r="P1086" s="3">
        <v>0</v>
      </c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</row>
    <row r="1087" spans="1:35" x14ac:dyDescent="0.45">
      <c r="A1087" s="3" t="s">
        <v>86</v>
      </c>
      <c r="B1087" s="3" t="s">
        <v>27</v>
      </c>
      <c r="C1087" s="3" t="s">
        <v>19</v>
      </c>
      <c r="D1087" s="3" t="s">
        <v>9</v>
      </c>
      <c r="E1087" s="3" t="s">
        <v>8</v>
      </c>
      <c r="F1087" s="3">
        <v>0</v>
      </c>
      <c r="G1087" s="3">
        <v>-2.29135551864815E-5</v>
      </c>
      <c r="H1087" s="3">
        <v>-2.29135551864815E-5</v>
      </c>
      <c r="I1087" s="3">
        <v>-3.8435215571536303E-5</v>
      </c>
      <c r="J1087" s="3">
        <v>-3.9748719442371698E-5</v>
      </c>
      <c r="K1087" s="3">
        <v>-4.3787344797545902E-5</v>
      </c>
      <c r="L1087" s="3">
        <v>-1.3845389635146299E-4</v>
      </c>
      <c r="M1087" s="3">
        <v>0</v>
      </c>
      <c r="N1087" s="3">
        <v>0</v>
      </c>
      <c r="O1087" s="3">
        <v>0</v>
      </c>
      <c r="P1087" s="3">
        <v>3.4431901821439402E-3</v>
      </c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</row>
    <row r="1088" spans="1:35" x14ac:dyDescent="0.45">
      <c r="A1088" s="3" t="s">
        <v>86</v>
      </c>
      <c r="B1088" s="3" t="s">
        <v>27</v>
      </c>
      <c r="C1088" s="3" t="s">
        <v>19</v>
      </c>
      <c r="D1088" s="3" t="s">
        <v>10</v>
      </c>
      <c r="E1088" s="3" t="s">
        <v>8</v>
      </c>
      <c r="F1088" s="3">
        <v>0</v>
      </c>
      <c r="G1088" s="3">
        <v>5.5943177182573397E-6</v>
      </c>
      <c r="H1088" s="3">
        <v>5.5943177182573397E-6</v>
      </c>
      <c r="I1088" s="3">
        <v>-3.33326464327513E-5</v>
      </c>
      <c r="J1088" s="3">
        <v>-1.2688244534634599E-4</v>
      </c>
      <c r="K1088" s="3">
        <v>-1.4559067439462E-4</v>
      </c>
      <c r="L1088" s="3">
        <v>-2.40198065881191E-4</v>
      </c>
      <c r="M1088" s="3">
        <v>3.3266437722967199E-3</v>
      </c>
      <c r="N1088" s="3">
        <v>4.55704524995752E-3</v>
      </c>
      <c r="O1088" s="3">
        <v>6.0531244697239004E-3</v>
      </c>
      <c r="P1088" s="3">
        <v>7.5020794832150297E-3</v>
      </c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</row>
    <row r="1089" spans="1:35" x14ac:dyDescent="0.45">
      <c r="A1089" s="3" t="s">
        <v>86</v>
      </c>
      <c r="B1089" s="3" t="s">
        <v>27</v>
      </c>
      <c r="C1089" s="3" t="s">
        <v>19</v>
      </c>
      <c r="D1089" s="3" t="s">
        <v>11</v>
      </c>
      <c r="E1089" s="3" t="s">
        <v>8</v>
      </c>
      <c r="F1089" s="3">
        <v>0</v>
      </c>
      <c r="G1089" s="3">
        <v>1.74173726897827E-6</v>
      </c>
      <c r="H1089" s="3">
        <v>1.74173726897827E-6</v>
      </c>
      <c r="I1089" s="3">
        <v>-1.2303812441775401E-5</v>
      </c>
      <c r="J1089" s="3">
        <v>-2.6065097110791898E-4</v>
      </c>
      <c r="K1089" s="3">
        <v>-4.63735390469021E-4</v>
      </c>
      <c r="L1089" s="3">
        <v>4.9476172967113604E-4</v>
      </c>
      <c r="M1089" s="3">
        <v>1.8675131227499898E-2</v>
      </c>
      <c r="N1089" s="3">
        <v>4.1819418564126597E-2</v>
      </c>
      <c r="O1089" s="3">
        <v>7.2908243510244303E-2</v>
      </c>
      <c r="P1089" s="3">
        <v>0.12155124454397601</v>
      </c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</row>
    <row r="1090" spans="1:35" x14ac:dyDescent="0.45">
      <c r="A1090" s="3" t="s">
        <v>86</v>
      </c>
      <c r="B1090" s="3" t="s">
        <v>27</v>
      </c>
      <c r="C1090" s="3" t="s">
        <v>19</v>
      </c>
      <c r="D1090" s="3" t="s">
        <v>12</v>
      </c>
      <c r="E1090" s="3" t="s">
        <v>8</v>
      </c>
      <c r="F1090" s="3">
        <v>0</v>
      </c>
      <c r="G1090" s="3">
        <v>9.4397484231934699E-5</v>
      </c>
      <c r="H1090" s="3">
        <v>9.4397484231934699E-5</v>
      </c>
      <c r="I1090" s="3">
        <v>1.4095143868039301E-4</v>
      </c>
      <c r="J1090" s="3">
        <v>8.3293433255483197E-5</v>
      </c>
      <c r="K1090" s="3">
        <v>3.7833995621309603E-2</v>
      </c>
      <c r="L1090" s="3">
        <v>9.4923195194103194E-2</v>
      </c>
      <c r="M1090" s="3">
        <v>0.159049365205856</v>
      </c>
      <c r="N1090" s="3">
        <v>0.26105021965802799</v>
      </c>
      <c r="O1090" s="3">
        <v>0.37150855269799599</v>
      </c>
      <c r="P1090" s="3">
        <v>0.44924273000200099</v>
      </c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</row>
    <row r="1091" spans="1:35" x14ac:dyDescent="0.45">
      <c r="A1091" s="3" t="s">
        <v>86</v>
      </c>
      <c r="B1091" s="3" t="s">
        <v>27</v>
      </c>
      <c r="C1091" s="3" t="s">
        <v>19</v>
      </c>
      <c r="D1091" s="3" t="s">
        <v>13</v>
      </c>
      <c r="E1091" s="3" t="s">
        <v>8</v>
      </c>
      <c r="F1091" s="3">
        <v>0</v>
      </c>
      <c r="G1091" s="3">
        <v>5.8455451525445297E-4</v>
      </c>
      <c r="H1091" s="3">
        <v>5.8455451525445297E-4</v>
      </c>
      <c r="I1091" s="3">
        <v>4.8315970510525601E-2</v>
      </c>
      <c r="J1091" s="3">
        <v>0.22502397153402101</v>
      </c>
      <c r="K1091" s="3">
        <v>0.428053536154402</v>
      </c>
      <c r="L1091" s="3">
        <v>0.58850328499091198</v>
      </c>
      <c r="M1091" s="3">
        <v>0.66055371127723905</v>
      </c>
      <c r="N1091" s="3">
        <v>0.62143241706569996</v>
      </c>
      <c r="O1091" s="3">
        <v>0.50752466064573998</v>
      </c>
      <c r="P1091" s="3">
        <v>0.383282080678923</v>
      </c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</row>
    <row r="1092" spans="1:35" x14ac:dyDescent="0.45">
      <c r="A1092" s="3" t="s">
        <v>86</v>
      </c>
      <c r="B1092" s="3" t="s">
        <v>27</v>
      </c>
      <c r="C1092" s="3" t="s">
        <v>19</v>
      </c>
      <c r="D1092" s="3" t="s">
        <v>14</v>
      </c>
      <c r="E1092" s="3" t="s">
        <v>8</v>
      </c>
      <c r="F1092" s="3">
        <v>0</v>
      </c>
      <c r="G1092" s="3">
        <v>2.4993813018771602E-3</v>
      </c>
      <c r="H1092" s="3">
        <v>2.4993813018771602E-3</v>
      </c>
      <c r="I1092" s="3">
        <v>0.29336436677910499</v>
      </c>
      <c r="J1092" s="3">
        <v>0.468984609330522</v>
      </c>
      <c r="K1092" s="3">
        <v>0.461847017565502</v>
      </c>
      <c r="L1092" s="3">
        <v>0.347097182425048</v>
      </c>
      <c r="M1092" s="3">
        <v>0.20175548104919599</v>
      </c>
      <c r="N1092" s="3">
        <v>0.111206464537436</v>
      </c>
      <c r="O1092" s="3">
        <v>7.3476367855953906E-2</v>
      </c>
      <c r="P1092" s="3">
        <v>6.1179627552503398E-2</v>
      </c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</row>
    <row r="1093" spans="1:35" x14ac:dyDescent="0.45">
      <c r="A1093" s="3" t="s">
        <v>86</v>
      </c>
      <c r="B1093" s="3" t="s">
        <v>26</v>
      </c>
      <c r="C1093" s="3" t="s">
        <v>6</v>
      </c>
      <c r="D1093" s="3" t="s">
        <v>10</v>
      </c>
      <c r="E1093" s="3" t="s">
        <v>8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  <c r="L1093" s="3">
        <v>0.25497400546254001</v>
      </c>
      <c r="M1093" s="3">
        <v>1.2780590249139001</v>
      </c>
      <c r="N1093" s="3">
        <v>2.70754828595632</v>
      </c>
      <c r="O1093" s="3">
        <v>3.9394413715173</v>
      </c>
      <c r="P1093" s="3">
        <v>4.8001377487664296</v>
      </c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</row>
    <row r="1094" spans="1:35" x14ac:dyDescent="0.45">
      <c r="A1094" s="3" t="s">
        <v>86</v>
      </c>
      <c r="B1094" s="3" t="s">
        <v>26</v>
      </c>
      <c r="C1094" s="3" t="s">
        <v>6</v>
      </c>
      <c r="D1094" s="3" t="s">
        <v>11</v>
      </c>
      <c r="E1094" s="3" t="s">
        <v>8</v>
      </c>
      <c r="F1094" s="3">
        <v>0</v>
      </c>
      <c r="G1094" s="3">
        <v>0</v>
      </c>
      <c r="H1094" s="3">
        <v>0</v>
      </c>
      <c r="I1094" s="3">
        <v>0</v>
      </c>
      <c r="J1094" s="3">
        <v>1.6367652234050901E-3</v>
      </c>
      <c r="K1094" s="3">
        <v>1.05934705248433</v>
      </c>
      <c r="L1094" s="3">
        <v>2.4778532338211998</v>
      </c>
      <c r="M1094" s="3">
        <v>3.2874364896372499</v>
      </c>
      <c r="N1094" s="3">
        <v>3.79370262392414</v>
      </c>
      <c r="O1094" s="3">
        <v>3.8463769926001898</v>
      </c>
      <c r="P1094" s="3">
        <v>3.7957722272962902</v>
      </c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</row>
    <row r="1095" spans="1:35" x14ac:dyDescent="0.45">
      <c r="A1095" s="3" t="s">
        <v>86</v>
      </c>
      <c r="B1095" s="3" t="s">
        <v>26</v>
      </c>
      <c r="C1095" s="3" t="s">
        <v>6</v>
      </c>
      <c r="D1095" s="3" t="s">
        <v>12</v>
      </c>
      <c r="E1095" s="3" t="s">
        <v>8</v>
      </c>
      <c r="F1095" s="3">
        <v>0</v>
      </c>
      <c r="G1095" s="3">
        <v>0</v>
      </c>
      <c r="H1095" s="3">
        <v>0</v>
      </c>
      <c r="I1095" s="3">
        <v>9.5712662318391602E-4</v>
      </c>
      <c r="J1095" s="3">
        <v>1.4258094887767501</v>
      </c>
      <c r="K1095" s="3">
        <v>2.51093039627979</v>
      </c>
      <c r="L1095" s="3">
        <v>3.0852350232930799</v>
      </c>
      <c r="M1095" s="3">
        <v>3.1438209005598599</v>
      </c>
      <c r="N1095" s="3">
        <v>2.84145180253828</v>
      </c>
      <c r="O1095" s="3">
        <v>2.76080184870235</v>
      </c>
      <c r="P1095" s="3">
        <v>2.5615447647926</v>
      </c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</row>
    <row r="1096" spans="1:35" x14ac:dyDescent="0.45">
      <c r="A1096" s="3" t="s">
        <v>86</v>
      </c>
      <c r="B1096" s="3" t="s">
        <v>26</v>
      </c>
      <c r="C1096" s="3" t="s">
        <v>6</v>
      </c>
      <c r="D1096" s="3" t="s">
        <v>13</v>
      </c>
      <c r="E1096" s="3" t="s">
        <v>8</v>
      </c>
      <c r="F1096" s="3">
        <v>0</v>
      </c>
      <c r="G1096" s="3">
        <v>0</v>
      </c>
      <c r="H1096" s="3">
        <v>0</v>
      </c>
      <c r="I1096" s="3">
        <v>2.3256813172243902</v>
      </c>
      <c r="J1096" s="3">
        <v>3.4862651302487699</v>
      </c>
      <c r="K1096" s="3">
        <v>3.3636401291916802</v>
      </c>
      <c r="L1096" s="3">
        <v>2.6900177032459802</v>
      </c>
      <c r="M1096" s="3">
        <v>2.4005623704519299</v>
      </c>
      <c r="N1096" s="3">
        <v>2.2466543968799702</v>
      </c>
      <c r="O1096" s="3">
        <v>1.94718338001388</v>
      </c>
      <c r="P1096" s="3">
        <v>1.27520817000828</v>
      </c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</row>
    <row r="1097" spans="1:35" x14ac:dyDescent="0.45">
      <c r="A1097" s="3" t="s">
        <v>86</v>
      </c>
      <c r="B1097" s="3" t="s">
        <v>26</v>
      </c>
      <c r="C1097" s="3" t="s">
        <v>6</v>
      </c>
      <c r="D1097" s="3" t="s">
        <v>14</v>
      </c>
      <c r="E1097" s="3" t="s">
        <v>8</v>
      </c>
      <c r="F1097" s="3">
        <v>0</v>
      </c>
      <c r="G1097" s="3">
        <v>1.1091325242961101</v>
      </c>
      <c r="H1097" s="3">
        <v>1.1091325242961101</v>
      </c>
      <c r="I1097" s="3">
        <v>1.8163238634815899</v>
      </c>
      <c r="J1097" s="3">
        <v>1.5806073652564101</v>
      </c>
      <c r="K1097" s="3">
        <v>1.20128843867277</v>
      </c>
      <c r="L1097" s="3">
        <v>1.2134016522065201</v>
      </c>
      <c r="M1097" s="3">
        <v>1.10833221708004</v>
      </c>
      <c r="N1097" s="3">
        <v>1.00821502001133</v>
      </c>
      <c r="O1097" s="3">
        <v>0.76491317429097605</v>
      </c>
      <c r="P1097" s="3">
        <v>0.638902313512695</v>
      </c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</row>
    <row r="1098" spans="1:35" x14ac:dyDescent="0.45">
      <c r="A1098" s="3" t="s">
        <v>86</v>
      </c>
      <c r="B1098" s="3" t="s">
        <v>26</v>
      </c>
      <c r="C1098" s="3" t="s">
        <v>15</v>
      </c>
      <c r="D1098" s="3" t="s">
        <v>7</v>
      </c>
      <c r="E1098" s="3" t="s">
        <v>8</v>
      </c>
      <c r="F1098" s="3">
        <v>0.26052438440784997</v>
      </c>
      <c r="G1098" s="3">
        <v>0.30383119218302501</v>
      </c>
      <c r="H1098" s="3">
        <v>0.30383119218302501</v>
      </c>
      <c r="I1098" s="3">
        <v>0.35833382121011298</v>
      </c>
      <c r="J1098" s="3">
        <v>0.40528457222443798</v>
      </c>
      <c r="K1098" s="3">
        <v>0.45552708579192502</v>
      </c>
      <c r="L1098" s="3">
        <v>0.45322724239846901</v>
      </c>
      <c r="M1098" s="3">
        <v>0.44279193508631798</v>
      </c>
      <c r="N1098" s="3">
        <v>0.42568676203938099</v>
      </c>
      <c r="O1098" s="3">
        <v>0.408318846791557</v>
      </c>
      <c r="P1098" s="3">
        <v>0.42155136517949099</v>
      </c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</row>
    <row r="1099" spans="1:35" x14ac:dyDescent="0.45">
      <c r="A1099" s="3" t="s">
        <v>86</v>
      </c>
      <c r="B1099" s="3" t="s">
        <v>26</v>
      </c>
      <c r="C1099" s="3" t="s">
        <v>15</v>
      </c>
      <c r="D1099" s="3" t="s">
        <v>9</v>
      </c>
      <c r="E1099" s="3" t="s">
        <v>8</v>
      </c>
      <c r="F1099" s="3">
        <v>0</v>
      </c>
      <c r="G1099" s="3">
        <v>-1.8274918828441501E-3</v>
      </c>
      <c r="H1099" s="3">
        <v>-1.8274918828441501E-3</v>
      </c>
      <c r="I1099" s="3">
        <v>6.4154888342149398E-4</v>
      </c>
      <c r="J1099" s="3">
        <v>8.3584199090971905E-3</v>
      </c>
      <c r="K1099" s="3">
        <v>-2.3927363601018402E-3</v>
      </c>
      <c r="L1099" s="3">
        <v>8.5711375427045794E-2</v>
      </c>
      <c r="M1099" s="3">
        <v>0.14355911076390401</v>
      </c>
      <c r="N1099" s="3">
        <v>0.21087028693697299</v>
      </c>
      <c r="O1099" s="3">
        <v>0.278902491894228</v>
      </c>
      <c r="P1099" s="3">
        <v>0.3148812549519</v>
      </c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</row>
    <row r="1100" spans="1:35" x14ac:dyDescent="0.45">
      <c r="A1100" s="3" t="s">
        <v>86</v>
      </c>
      <c r="B1100" s="3" t="s">
        <v>26</v>
      </c>
      <c r="C1100" s="3" t="s">
        <v>15</v>
      </c>
      <c r="D1100" s="3" t="s">
        <v>10</v>
      </c>
      <c r="E1100" s="3" t="s">
        <v>8</v>
      </c>
      <c r="F1100" s="3">
        <v>0</v>
      </c>
      <c r="G1100" s="3">
        <v>5.2838928118895097E-3</v>
      </c>
      <c r="H1100" s="3">
        <v>5.2838928118895097E-3</v>
      </c>
      <c r="I1100" s="3">
        <v>2.13554965118046E-4</v>
      </c>
      <c r="J1100" s="3">
        <v>3.8476631062875903E-2</v>
      </c>
      <c r="K1100" s="3">
        <v>4.7801255913638999E-2</v>
      </c>
      <c r="L1100" s="3">
        <v>7.1193944828881204E-3</v>
      </c>
      <c r="M1100" s="3">
        <v>1.6802813996415301E-2</v>
      </c>
      <c r="N1100" s="3">
        <v>3.0662202466947602E-2</v>
      </c>
      <c r="O1100" s="3">
        <v>4.3902777274946403E-2</v>
      </c>
      <c r="P1100" s="3">
        <v>5.0584796964975198E-2</v>
      </c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</row>
    <row r="1101" spans="1:35" x14ac:dyDescent="0.45">
      <c r="A1101" s="3" t="s">
        <v>86</v>
      </c>
      <c r="B1101" s="3" t="s">
        <v>26</v>
      </c>
      <c r="C1101" s="3" t="s">
        <v>15</v>
      </c>
      <c r="D1101" s="3" t="s">
        <v>11</v>
      </c>
      <c r="E1101" s="3" t="s">
        <v>8</v>
      </c>
      <c r="F1101" s="3">
        <v>0</v>
      </c>
      <c r="G1101" s="3">
        <v>9.2477002976715196E-4</v>
      </c>
      <c r="H1101" s="3">
        <v>9.2477002976715196E-4</v>
      </c>
      <c r="I1101" s="3">
        <v>-1.09280301826626E-2</v>
      </c>
      <c r="J1101" s="3">
        <v>6.0894862146360597E-3</v>
      </c>
      <c r="K1101" s="3">
        <v>1.3231334258335999E-2</v>
      </c>
      <c r="L1101" s="3">
        <v>3.2497879857110903E-2</v>
      </c>
      <c r="M1101" s="3">
        <v>2.7225474402589898E-2</v>
      </c>
      <c r="N1101" s="3">
        <v>1.0167005712102601E-2</v>
      </c>
      <c r="O1101" s="3">
        <v>-1.5993651366541298E-2</v>
      </c>
      <c r="P1101" s="3">
        <v>-3.5957381893682798E-2</v>
      </c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</row>
    <row r="1102" spans="1:35" x14ac:dyDescent="0.45">
      <c r="A1102" s="3" t="s">
        <v>86</v>
      </c>
      <c r="B1102" s="3" t="s">
        <v>26</v>
      </c>
      <c r="C1102" s="3" t="s">
        <v>15</v>
      </c>
      <c r="D1102" s="3" t="s">
        <v>12</v>
      </c>
      <c r="E1102" s="3" t="s">
        <v>8</v>
      </c>
      <c r="F1102" s="3">
        <v>0</v>
      </c>
      <c r="G1102" s="3">
        <v>-6.3006100315139996E-3</v>
      </c>
      <c r="H1102" s="3">
        <v>-6.3006100315139996E-3</v>
      </c>
      <c r="I1102" s="3">
        <v>6.8160294740373106E-2</v>
      </c>
      <c r="J1102" s="3">
        <v>2.9744333985782301E-2</v>
      </c>
      <c r="K1102" s="3">
        <v>3.1542632195603403E-2</v>
      </c>
      <c r="L1102" s="3">
        <v>5.5685434736461002E-3</v>
      </c>
      <c r="M1102" s="3">
        <v>-1.38324447790756E-2</v>
      </c>
      <c r="N1102" s="3">
        <v>-2.6453502423116299E-2</v>
      </c>
      <c r="O1102" s="3">
        <v>-3.4130730845791803E-2</v>
      </c>
      <c r="P1102" s="3">
        <v>-4.8309246344931903E-2</v>
      </c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</row>
    <row r="1103" spans="1:35" x14ac:dyDescent="0.45">
      <c r="A1103" s="3" t="s">
        <v>86</v>
      </c>
      <c r="B1103" s="3" t="s">
        <v>26</v>
      </c>
      <c r="C1103" s="3" t="s">
        <v>15</v>
      </c>
      <c r="D1103" s="3" t="s">
        <v>13</v>
      </c>
      <c r="E1103" s="3" t="s">
        <v>8</v>
      </c>
      <c r="F1103" s="3">
        <v>0</v>
      </c>
      <c r="G1103" s="3">
        <v>5.0552218138694503E-2</v>
      </c>
      <c r="H1103" s="3">
        <v>5.0552218138694503E-2</v>
      </c>
      <c r="I1103" s="3">
        <v>1.24412039573564E-2</v>
      </c>
      <c r="J1103" s="3">
        <v>-2.5281447172112798E-2</v>
      </c>
      <c r="K1103" s="3">
        <v>-5.6034403338312E-2</v>
      </c>
      <c r="L1103" s="3">
        <v>-6.7296522716990007E-2</v>
      </c>
      <c r="M1103" s="3">
        <v>-8.2506249864373701E-2</v>
      </c>
      <c r="N1103" s="3">
        <v>-0.10248127944674899</v>
      </c>
      <c r="O1103" s="3">
        <v>-0.111196746212991</v>
      </c>
      <c r="P1103" s="3">
        <v>-0.12011114317997799</v>
      </c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</row>
    <row r="1104" spans="1:35" x14ac:dyDescent="0.45">
      <c r="A1104" s="3" t="s">
        <v>86</v>
      </c>
      <c r="B1104" s="3" t="s">
        <v>26</v>
      </c>
      <c r="C1104" s="3" t="s">
        <v>15</v>
      </c>
      <c r="D1104" s="3" t="s">
        <v>14</v>
      </c>
      <c r="E1104" s="3" t="s">
        <v>8</v>
      </c>
      <c r="F1104" s="3">
        <v>0</v>
      </c>
      <c r="G1104" s="3">
        <v>1.8835158499088098E-2</v>
      </c>
      <c r="H1104" s="3">
        <v>1.8835158499088098E-2</v>
      </c>
      <c r="I1104" s="3">
        <v>-1.1249701626330001E-2</v>
      </c>
      <c r="J1104" s="3">
        <v>-1.81766289874561E-2</v>
      </c>
      <c r="K1104" s="3">
        <v>-2.77744574914227E-2</v>
      </c>
      <c r="L1104" s="3">
        <v>-4.7837856019496798E-2</v>
      </c>
      <c r="M1104" s="3">
        <v>-4.1111572385109298E-2</v>
      </c>
      <c r="N1104" s="3">
        <v>-4.3233762059970197E-2</v>
      </c>
      <c r="O1104" s="3">
        <v>-5.6627149468474199E-2</v>
      </c>
      <c r="P1104" s="3">
        <v>-6.1454034912935801E-2</v>
      </c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</row>
    <row r="1105" spans="1:35" x14ac:dyDescent="0.45">
      <c r="A1105" s="3" t="s">
        <v>86</v>
      </c>
      <c r="B1105" s="3" t="s">
        <v>26</v>
      </c>
      <c r="C1105" s="3" t="s">
        <v>16</v>
      </c>
      <c r="D1105" s="3" t="s">
        <v>7</v>
      </c>
      <c r="E1105" s="3" t="s">
        <v>8</v>
      </c>
      <c r="F1105" s="3">
        <v>0.435469304290727</v>
      </c>
      <c r="G1105" s="3">
        <v>0.44409763872531299</v>
      </c>
      <c r="H1105" s="3">
        <v>0.44409763872531299</v>
      </c>
      <c r="I1105" s="3">
        <v>0.430923024717487</v>
      </c>
      <c r="J1105" s="3">
        <v>0.299895922897568</v>
      </c>
      <c r="K1105" s="3">
        <v>0.13394124834683899</v>
      </c>
      <c r="L1105" s="3">
        <v>0.13394124834683899</v>
      </c>
      <c r="M1105" s="3">
        <v>0.13394124834683899</v>
      </c>
      <c r="N1105" s="3">
        <v>0.13394124834683899</v>
      </c>
      <c r="O1105" s="3">
        <v>0.13394124834683899</v>
      </c>
      <c r="P1105" s="3">
        <v>0.13394124834683899</v>
      </c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</row>
    <row r="1106" spans="1:35" x14ac:dyDescent="0.45">
      <c r="A1106" s="3" t="s">
        <v>86</v>
      </c>
      <c r="B1106" s="3" t="s">
        <v>26</v>
      </c>
      <c r="C1106" s="3" t="s">
        <v>16</v>
      </c>
      <c r="D1106" s="3" t="s">
        <v>9</v>
      </c>
      <c r="E1106" s="3" t="s">
        <v>8</v>
      </c>
      <c r="F1106" s="3">
        <v>0</v>
      </c>
      <c r="G1106" s="3">
        <v>1.69595755765362E-4</v>
      </c>
      <c r="H1106" s="3">
        <v>1.69595755765362E-4</v>
      </c>
      <c r="I1106" s="3">
        <v>8.3447377201950599E-5</v>
      </c>
      <c r="J1106" s="3">
        <v>-8.1552667247464198E-5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</row>
    <row r="1107" spans="1:35" x14ac:dyDescent="0.45">
      <c r="A1107" s="3" t="s">
        <v>86</v>
      </c>
      <c r="B1107" s="3" t="s">
        <v>26</v>
      </c>
      <c r="C1107" s="3" t="s">
        <v>16</v>
      </c>
      <c r="D1107" s="3" t="s">
        <v>10</v>
      </c>
      <c r="E1107" s="3" t="s">
        <v>8</v>
      </c>
      <c r="F1107" s="3">
        <v>0</v>
      </c>
      <c r="G1107" s="3">
        <v>3.2999610703465798E-6</v>
      </c>
      <c r="H1107" s="3">
        <v>3.2999610703465798E-6</v>
      </c>
      <c r="I1107" s="3">
        <v>-8.9275290554580198E-7</v>
      </c>
      <c r="J1107" s="3">
        <v>3.99092895586595E-5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</row>
    <row r="1108" spans="1:35" x14ac:dyDescent="0.45">
      <c r="A1108" s="3" t="s">
        <v>86</v>
      </c>
      <c r="B1108" s="3" t="s">
        <v>26</v>
      </c>
      <c r="C1108" s="3" t="s">
        <v>16</v>
      </c>
      <c r="D1108" s="3" t="s">
        <v>11</v>
      </c>
      <c r="E1108" s="3" t="s">
        <v>8</v>
      </c>
      <c r="F1108" s="3">
        <v>0</v>
      </c>
      <c r="G1108" s="3">
        <v>6.7406691088345294E-5</v>
      </c>
      <c r="H1108" s="3">
        <v>6.7406691088345294E-5</v>
      </c>
      <c r="I1108" s="3">
        <v>-1.39522697041317E-5</v>
      </c>
      <c r="J1108" s="3">
        <v>-9.6362037607544706E-5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</row>
    <row r="1109" spans="1:35" x14ac:dyDescent="0.45">
      <c r="A1109" s="3" t="s">
        <v>86</v>
      </c>
      <c r="B1109" s="3" t="s">
        <v>26</v>
      </c>
      <c r="C1109" s="3" t="s">
        <v>16</v>
      </c>
      <c r="D1109" s="3" t="s">
        <v>12</v>
      </c>
      <c r="E1109" s="3" t="s">
        <v>8</v>
      </c>
      <c r="F1109" s="3">
        <v>0</v>
      </c>
      <c r="G1109" s="3">
        <v>1.6986491885917498E-5</v>
      </c>
      <c r="H1109" s="3">
        <v>1.6986491885917498E-5</v>
      </c>
      <c r="I1109" s="3">
        <v>-1.7205915847962099E-4</v>
      </c>
      <c r="J1109" s="3">
        <v>-1.79395851923153E-3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</row>
    <row r="1110" spans="1:35" x14ac:dyDescent="0.45">
      <c r="A1110" s="3" t="s">
        <v>86</v>
      </c>
      <c r="B1110" s="3" t="s">
        <v>26</v>
      </c>
      <c r="C1110" s="3" t="s">
        <v>16</v>
      </c>
      <c r="D1110" s="3" t="s">
        <v>13</v>
      </c>
      <c r="E1110" s="3" t="s">
        <v>8</v>
      </c>
      <c r="F1110" s="3">
        <v>0</v>
      </c>
      <c r="G1110" s="3">
        <v>-9.2568465835540803E-4</v>
      </c>
      <c r="H1110" s="3">
        <v>-9.2568465835540803E-4</v>
      </c>
      <c r="I1110" s="3">
        <v>4.49342519024842E-3</v>
      </c>
      <c r="J1110" s="3">
        <v>8.87084547988903E-3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</row>
    <row r="1111" spans="1:35" x14ac:dyDescent="0.45">
      <c r="A1111" s="3" t="s">
        <v>86</v>
      </c>
      <c r="B1111" s="3" t="s">
        <v>26</v>
      </c>
      <c r="C1111" s="3" t="s">
        <v>16</v>
      </c>
      <c r="D1111" s="3" t="s">
        <v>14</v>
      </c>
      <c r="E1111" s="3" t="s">
        <v>8</v>
      </c>
      <c r="F1111" s="3">
        <v>0</v>
      </c>
      <c r="G1111" s="3">
        <v>-1.07754149168016E-2</v>
      </c>
      <c r="H1111" s="3">
        <v>-1.07754149168016E-2</v>
      </c>
      <c r="I1111" s="3">
        <v>9.6504996619218904E-3</v>
      </c>
      <c r="J1111" s="3">
        <v>4.5814276258541696E-3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</row>
    <row r="1112" spans="1:35" x14ac:dyDescent="0.45">
      <c r="A1112" s="3" t="s">
        <v>86</v>
      </c>
      <c r="B1112" s="3" t="s">
        <v>26</v>
      </c>
      <c r="C1112" s="3" t="s">
        <v>17</v>
      </c>
      <c r="D1112" s="3" t="s">
        <v>10</v>
      </c>
      <c r="E1112" s="3" t="s">
        <v>8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0.31285855548747898</v>
      </c>
      <c r="N1112" s="3">
        <v>0.35743583509051102</v>
      </c>
      <c r="O1112" s="3">
        <v>0.41107257894973198</v>
      </c>
      <c r="P1112" s="3">
        <v>0.41988955562643998</v>
      </c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</row>
    <row r="1113" spans="1:35" x14ac:dyDescent="0.45">
      <c r="A1113" s="3" t="s">
        <v>86</v>
      </c>
      <c r="B1113" s="3" t="s">
        <v>26</v>
      </c>
      <c r="C1113" s="3" t="s">
        <v>17</v>
      </c>
      <c r="D1113" s="3" t="s">
        <v>11</v>
      </c>
      <c r="E1113" s="3" t="s">
        <v>8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0.26392828382026601</v>
      </c>
      <c r="L1113" s="3">
        <v>0.30637885320500502</v>
      </c>
      <c r="M1113" s="3">
        <v>0.155278014040272</v>
      </c>
      <c r="N1113" s="3">
        <v>0.37376050078048301</v>
      </c>
      <c r="O1113" s="3">
        <v>0.67271892033341796</v>
      </c>
      <c r="P1113" s="3">
        <v>0.94675070587627896</v>
      </c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</row>
    <row r="1114" spans="1:35" x14ac:dyDescent="0.45">
      <c r="A1114" s="3" t="s">
        <v>86</v>
      </c>
      <c r="B1114" s="3" t="s">
        <v>26</v>
      </c>
      <c r="C1114" s="3" t="s">
        <v>17</v>
      </c>
      <c r="D1114" s="3" t="s">
        <v>12</v>
      </c>
      <c r="E1114" s="3" t="s">
        <v>8</v>
      </c>
      <c r="F1114" s="3">
        <v>0</v>
      </c>
      <c r="G1114" s="3">
        <v>0</v>
      </c>
      <c r="H1114" s="3">
        <v>0</v>
      </c>
      <c r="I1114" s="3">
        <v>0</v>
      </c>
      <c r="J1114" s="3">
        <v>0.24433419579729701</v>
      </c>
      <c r="K1114" s="3">
        <v>0.19041289279434101</v>
      </c>
      <c r="L1114" s="3">
        <v>0.52317000829315996</v>
      </c>
      <c r="M1114" s="3">
        <v>0.84686698319013998</v>
      </c>
      <c r="N1114" s="3">
        <v>1.0677907260730199</v>
      </c>
      <c r="O1114" s="3">
        <v>1.0553367017106401</v>
      </c>
      <c r="P1114" s="3">
        <v>0.77454127598422895</v>
      </c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</row>
    <row r="1115" spans="1:35" x14ac:dyDescent="0.45">
      <c r="A1115" s="3" t="s">
        <v>86</v>
      </c>
      <c r="B1115" s="3" t="s">
        <v>26</v>
      </c>
      <c r="C1115" s="3" t="s">
        <v>17</v>
      </c>
      <c r="D1115" s="3" t="s">
        <v>13</v>
      </c>
      <c r="E1115" s="3" t="s">
        <v>8</v>
      </c>
      <c r="F1115" s="3">
        <v>0</v>
      </c>
      <c r="G1115" s="3">
        <v>0</v>
      </c>
      <c r="H1115" s="3">
        <v>0</v>
      </c>
      <c r="I1115" s="3">
        <v>0.366603230884406</v>
      </c>
      <c r="J1115" s="3">
        <v>0.76728535940289699</v>
      </c>
      <c r="K1115" s="3">
        <v>1.34198715601254</v>
      </c>
      <c r="L1115" s="3">
        <v>1.4296321947359301</v>
      </c>
      <c r="M1115" s="3">
        <v>1.0322416104126599</v>
      </c>
      <c r="N1115" s="3">
        <v>0.55047252085622</v>
      </c>
      <c r="O1115" s="3">
        <v>0.210204088011996</v>
      </c>
      <c r="P1115" s="3">
        <v>9.9331142760576502E-2</v>
      </c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</row>
    <row r="1116" spans="1:35" x14ac:dyDescent="0.45">
      <c r="A1116" s="3" t="s">
        <v>86</v>
      </c>
      <c r="B1116" s="3" t="s">
        <v>26</v>
      </c>
      <c r="C1116" s="3" t="s">
        <v>17</v>
      </c>
      <c r="D1116" s="3" t="s">
        <v>14</v>
      </c>
      <c r="E1116" s="3" t="s">
        <v>8</v>
      </c>
      <c r="F1116" s="3">
        <v>0</v>
      </c>
      <c r="G1116" s="3">
        <v>3.4120055693331798E-2</v>
      </c>
      <c r="H1116" s="3">
        <v>3.4120055693331798E-2</v>
      </c>
      <c r="I1116" s="3">
        <v>0.73444659040593596</v>
      </c>
      <c r="J1116" s="3">
        <v>1.08758164355929</v>
      </c>
      <c r="K1116" s="3">
        <v>0.59387423861521504</v>
      </c>
      <c r="L1116" s="3">
        <v>0.14540612653819199</v>
      </c>
      <c r="M1116" s="3">
        <v>5.7558426012807501E-2</v>
      </c>
      <c r="N1116" s="3">
        <v>5.5344006343128103E-2</v>
      </c>
      <c r="O1116" s="3">
        <v>5.5316644470186901E-2</v>
      </c>
      <c r="P1116" s="3">
        <v>5.5171042019649598E-2</v>
      </c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</row>
    <row r="1117" spans="1:35" x14ac:dyDescent="0.45">
      <c r="A1117" s="3" t="s">
        <v>86</v>
      </c>
      <c r="B1117" s="3" t="s">
        <v>26</v>
      </c>
      <c r="C1117" s="3" t="s">
        <v>18</v>
      </c>
      <c r="D1117" s="3" t="s">
        <v>7</v>
      </c>
      <c r="E1117" s="3" t="s">
        <v>8</v>
      </c>
      <c r="F1117" s="3">
        <v>0.16585863086705599</v>
      </c>
      <c r="G1117" s="3">
        <v>9.7579910978572604E-2</v>
      </c>
      <c r="H1117" s="3">
        <v>9.7579910978572604E-2</v>
      </c>
      <c r="I1117" s="3">
        <v>6.5053273985714893E-2</v>
      </c>
      <c r="J1117" s="3">
        <v>3.2526636992857301E-2</v>
      </c>
      <c r="K1117" s="3">
        <v>0</v>
      </c>
      <c r="L1117" s="3">
        <v>6.3822592247262299E-17</v>
      </c>
      <c r="M1117" s="3">
        <v>0</v>
      </c>
      <c r="N1117" s="3">
        <v>0</v>
      </c>
      <c r="O1117" s="3">
        <v>0</v>
      </c>
      <c r="P1117" s="3">
        <v>0</v>
      </c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</row>
    <row r="1118" spans="1:35" x14ac:dyDescent="0.45">
      <c r="A1118" s="3" t="s">
        <v>86</v>
      </c>
      <c r="B1118" s="3" t="s">
        <v>26</v>
      </c>
      <c r="C1118" s="3" t="s">
        <v>18</v>
      </c>
      <c r="D1118" s="3" t="s">
        <v>9</v>
      </c>
      <c r="E1118" s="3" t="s">
        <v>8</v>
      </c>
      <c r="F1118" s="3">
        <v>0</v>
      </c>
      <c r="G1118" s="3">
        <v>0</v>
      </c>
      <c r="H1118" s="3">
        <v>0</v>
      </c>
      <c r="I1118" s="3">
        <v>2.9143354396410399E-16</v>
      </c>
      <c r="J1118" s="3">
        <v>2.9143354396410399E-16</v>
      </c>
      <c r="K1118" s="3">
        <v>0</v>
      </c>
      <c r="L1118" s="3">
        <v>-6.3822592247262299E-17</v>
      </c>
      <c r="M1118" s="3">
        <v>0</v>
      </c>
      <c r="N1118" s="3">
        <v>0</v>
      </c>
      <c r="O1118" s="3">
        <v>0</v>
      </c>
      <c r="P1118" s="3">
        <v>2.3933472092723398E-16</v>
      </c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</row>
    <row r="1119" spans="1:35" x14ac:dyDescent="0.45">
      <c r="A1119" s="3" t="s">
        <v>86</v>
      </c>
      <c r="B1119" s="3" t="s">
        <v>26</v>
      </c>
      <c r="C1119" s="3" t="s">
        <v>18</v>
      </c>
      <c r="D1119" s="3" t="s">
        <v>10</v>
      </c>
      <c r="E1119" s="3" t="s">
        <v>8</v>
      </c>
      <c r="F1119" s="3">
        <v>0</v>
      </c>
      <c r="G1119" s="3">
        <v>0</v>
      </c>
      <c r="H1119" s="3">
        <v>0</v>
      </c>
      <c r="I1119" s="3">
        <v>-2.9143354396410399E-16</v>
      </c>
      <c r="J1119" s="3">
        <v>0</v>
      </c>
      <c r="K1119" s="3">
        <v>0</v>
      </c>
      <c r="L1119" s="3">
        <v>9.5733888370893498E-17</v>
      </c>
      <c r="M1119" s="3">
        <v>1.75512128679971E-16</v>
      </c>
      <c r="N1119" s="3">
        <v>0</v>
      </c>
      <c r="O1119" s="3">
        <v>0</v>
      </c>
      <c r="P1119" s="3">
        <v>-2.3933472092723398E-16</v>
      </c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</row>
    <row r="1120" spans="1:35" x14ac:dyDescent="0.45">
      <c r="A1120" s="3" t="s">
        <v>86</v>
      </c>
      <c r="B1120" s="3" t="s">
        <v>26</v>
      </c>
      <c r="C1120" s="3" t="s">
        <v>18</v>
      </c>
      <c r="D1120" s="3" t="s">
        <v>11</v>
      </c>
      <c r="E1120" s="3" t="s">
        <v>8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2.2337907286541798E-16</v>
      </c>
      <c r="L1120" s="3">
        <v>2.71246017050865E-16</v>
      </c>
      <c r="M1120" s="3">
        <v>4.7866944185446698E-16</v>
      </c>
      <c r="N1120" s="3">
        <v>1.3402744371925101E-15</v>
      </c>
      <c r="O1120" s="3">
        <v>3.5102425735994199E-16</v>
      </c>
      <c r="P1120" s="3">
        <v>0</v>
      </c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</row>
    <row r="1121" spans="1:35" x14ac:dyDescent="0.45">
      <c r="A1121" s="3" t="s">
        <v>86</v>
      </c>
      <c r="B1121" s="3" t="s">
        <v>26</v>
      </c>
      <c r="C1121" s="3" t="s">
        <v>18</v>
      </c>
      <c r="D1121" s="3" t="s">
        <v>12</v>
      </c>
      <c r="E1121" s="3" t="s">
        <v>8</v>
      </c>
      <c r="F1121" s="3">
        <v>0</v>
      </c>
      <c r="G1121" s="3">
        <v>0</v>
      </c>
      <c r="H1121" s="3">
        <v>0</v>
      </c>
      <c r="I1121" s="3">
        <v>0</v>
      </c>
      <c r="J1121" s="3">
        <v>-2.9143354396410399E-16</v>
      </c>
      <c r="K1121" s="3">
        <v>-2.2337907286541798E-16</v>
      </c>
      <c r="L1121" s="3">
        <v>-3.6697990542175799E-16</v>
      </c>
      <c r="M1121" s="3">
        <v>-6.5418157053443899E-16</v>
      </c>
      <c r="N1121" s="3">
        <v>-1.2445405488216201E-15</v>
      </c>
      <c r="O1121" s="3">
        <v>-3.5102425735994199E-16</v>
      </c>
      <c r="P1121" s="3">
        <v>1.37218573331614E-15</v>
      </c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</row>
    <row r="1122" spans="1:35" x14ac:dyDescent="0.45">
      <c r="A1122" s="3" t="s">
        <v>86</v>
      </c>
      <c r="B1122" s="3" t="s">
        <v>26</v>
      </c>
      <c r="C1122" s="3" t="s">
        <v>18</v>
      </c>
      <c r="D1122" s="3" t="s">
        <v>13</v>
      </c>
      <c r="E1122" s="3" t="s">
        <v>8</v>
      </c>
      <c r="F1122" s="3">
        <v>0</v>
      </c>
      <c r="G1122" s="3">
        <v>0</v>
      </c>
      <c r="H1122" s="3">
        <v>0</v>
      </c>
      <c r="I1122" s="3">
        <v>0</v>
      </c>
      <c r="J1122" s="3">
        <v>1.7277845820729001E-15</v>
      </c>
      <c r="K1122" s="3">
        <v>0</v>
      </c>
      <c r="L1122" s="3">
        <v>0</v>
      </c>
      <c r="M1122" s="3">
        <v>0</v>
      </c>
      <c r="N1122" s="3">
        <v>1.9146777674178699E-15</v>
      </c>
      <c r="O1122" s="3">
        <v>0</v>
      </c>
      <c r="P1122" s="3">
        <v>-1.37218573331614E-15</v>
      </c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</row>
    <row r="1123" spans="1:35" x14ac:dyDescent="0.45">
      <c r="A1123" s="3" t="s">
        <v>86</v>
      </c>
      <c r="B1123" s="3" t="s">
        <v>26</v>
      </c>
      <c r="C1123" s="3" t="s">
        <v>18</v>
      </c>
      <c r="D1123" s="3" t="s">
        <v>14</v>
      </c>
      <c r="E1123" s="3" t="s">
        <v>8</v>
      </c>
      <c r="F1123" s="3">
        <v>0</v>
      </c>
      <c r="G1123" s="3">
        <v>0</v>
      </c>
      <c r="H1123" s="3">
        <v>0</v>
      </c>
      <c r="I1123" s="3">
        <v>-1.1518563880485999E-15</v>
      </c>
      <c r="J1123" s="3">
        <v>-2.0122792321331002E-15</v>
      </c>
      <c r="K1123" s="3">
        <v>0</v>
      </c>
      <c r="L1123" s="3">
        <v>3.2868635007340099E-15</v>
      </c>
      <c r="M1123" s="3">
        <v>0</v>
      </c>
      <c r="N1123" s="3">
        <v>-2.0104116557887701E-15</v>
      </c>
      <c r="O1123" s="3">
        <v>4.4356701611847402E-15</v>
      </c>
      <c r="P1123" s="3">
        <v>0</v>
      </c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</row>
    <row r="1124" spans="1:35" x14ac:dyDescent="0.45">
      <c r="A1124" s="3" t="s">
        <v>86</v>
      </c>
      <c r="B1124" s="3" t="s">
        <v>26</v>
      </c>
      <c r="C1124" s="3" t="s">
        <v>19</v>
      </c>
      <c r="D1124" s="3" t="s">
        <v>10</v>
      </c>
      <c r="E1124" s="3" t="s">
        <v>8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5.1769313680377696E-3</v>
      </c>
      <c r="M1124" s="3">
        <v>4.8784904943452903E-2</v>
      </c>
      <c r="N1124" s="3">
        <v>9.2208168869612001E-2</v>
      </c>
      <c r="O1124" s="3">
        <v>0.16725186381834301</v>
      </c>
      <c r="P1124" s="3">
        <v>0.41128534971450198</v>
      </c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</row>
    <row r="1125" spans="1:35" x14ac:dyDescent="0.45">
      <c r="A1125" s="3" t="s">
        <v>86</v>
      </c>
      <c r="B1125" s="3" t="s">
        <v>26</v>
      </c>
      <c r="C1125" s="3" t="s">
        <v>19</v>
      </c>
      <c r="D1125" s="3" t="s">
        <v>11</v>
      </c>
      <c r="E1125" s="3" t="s">
        <v>8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1.98384457592376E-2</v>
      </c>
      <c r="L1125" s="3">
        <v>6.5521394425937504E-2</v>
      </c>
      <c r="M1125" s="3">
        <v>0.53369789688902003</v>
      </c>
      <c r="N1125" s="3">
        <v>1.4003541374480899</v>
      </c>
      <c r="O1125" s="3">
        <v>2.59187374682887</v>
      </c>
      <c r="P1125" s="3">
        <v>3.6941029337193201</v>
      </c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</row>
    <row r="1126" spans="1:35" x14ac:dyDescent="0.45">
      <c r="A1126" s="3" t="s">
        <v>86</v>
      </c>
      <c r="B1126" s="3" t="s">
        <v>26</v>
      </c>
      <c r="C1126" s="3" t="s">
        <v>19</v>
      </c>
      <c r="D1126" s="3" t="s">
        <v>12</v>
      </c>
      <c r="E1126" s="3" t="s">
        <v>8</v>
      </c>
      <c r="F1126" s="3">
        <v>0</v>
      </c>
      <c r="G1126" s="3">
        <v>0</v>
      </c>
      <c r="H1126" s="3">
        <v>0</v>
      </c>
      <c r="I1126" s="3">
        <v>0</v>
      </c>
      <c r="J1126" s="3">
        <v>1.5805701114802801E-2</v>
      </c>
      <c r="K1126" s="3">
        <v>0.66811239912429099</v>
      </c>
      <c r="L1126" s="3">
        <v>1.9779808259872</v>
      </c>
      <c r="M1126" s="3">
        <v>3.2763478741796201</v>
      </c>
      <c r="N1126" s="3">
        <v>4.1492157384651502</v>
      </c>
      <c r="O1126" s="3">
        <v>4.1269574913704901</v>
      </c>
      <c r="P1126" s="3">
        <v>3.0721710681494501</v>
      </c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</row>
    <row r="1127" spans="1:35" x14ac:dyDescent="0.45">
      <c r="A1127" s="3" t="s">
        <v>86</v>
      </c>
      <c r="B1127" s="3" t="s">
        <v>26</v>
      </c>
      <c r="C1127" s="3" t="s">
        <v>19</v>
      </c>
      <c r="D1127" s="3" t="s">
        <v>13</v>
      </c>
      <c r="E1127" s="3" t="s">
        <v>8</v>
      </c>
      <c r="F1127" s="3">
        <v>0</v>
      </c>
      <c r="G1127" s="3">
        <v>0</v>
      </c>
      <c r="H1127" s="3">
        <v>0</v>
      </c>
      <c r="I1127" s="3">
        <v>0.60125704978738803</v>
      </c>
      <c r="J1127" s="3">
        <v>2.95081621729903</v>
      </c>
      <c r="K1127" s="3">
        <v>5.2371893609864602</v>
      </c>
      <c r="L1127" s="3">
        <v>5.6172976561864498</v>
      </c>
      <c r="M1127" s="3">
        <v>4.1008607396171</v>
      </c>
      <c r="N1127" s="3">
        <v>2.3007602547593402</v>
      </c>
      <c r="O1127" s="3">
        <v>1.0062395420847801</v>
      </c>
      <c r="P1127" s="3">
        <v>0.60015074506340504</v>
      </c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</row>
    <row r="1128" spans="1:35" x14ac:dyDescent="0.45">
      <c r="A1128" s="3" t="s">
        <v>86</v>
      </c>
      <c r="B1128" s="3" t="s">
        <v>26</v>
      </c>
      <c r="C1128" s="3" t="s">
        <v>19</v>
      </c>
      <c r="D1128" s="3" t="s">
        <v>14</v>
      </c>
      <c r="E1128" s="3" t="s">
        <v>8</v>
      </c>
      <c r="F1128" s="3">
        <v>0</v>
      </c>
      <c r="G1128" s="3">
        <v>7.3072957446588902E-3</v>
      </c>
      <c r="H1128" s="3">
        <v>7.3072957446588902E-3</v>
      </c>
      <c r="I1128" s="3">
        <v>2.8026202551441801</v>
      </c>
      <c r="J1128" s="3">
        <v>4.2082829619450601</v>
      </c>
      <c r="K1128" s="3">
        <v>2.3171400671610001</v>
      </c>
      <c r="L1128" s="3">
        <v>0.62798161840838196</v>
      </c>
      <c r="M1128" s="3">
        <v>0.29762896714033898</v>
      </c>
      <c r="N1128" s="3">
        <v>0.29216197417194101</v>
      </c>
      <c r="O1128" s="3">
        <v>0.314739530143195</v>
      </c>
      <c r="P1128" s="3">
        <v>0.32624556705427699</v>
      </c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</row>
    <row r="1129" spans="1:35" x14ac:dyDescent="0.45">
      <c r="A1129" s="3" t="s">
        <v>87</v>
      </c>
      <c r="B1129" s="3" t="s">
        <v>27</v>
      </c>
      <c r="C1129" s="3" t="s">
        <v>6</v>
      </c>
      <c r="D1129" s="3" t="s">
        <v>7</v>
      </c>
      <c r="E1129" s="3" t="s">
        <v>8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</row>
    <row r="1130" spans="1:35" x14ac:dyDescent="0.45">
      <c r="A1130" s="3" t="s">
        <v>87</v>
      </c>
      <c r="B1130" s="3" t="s">
        <v>27</v>
      </c>
      <c r="C1130" s="3" t="s">
        <v>6</v>
      </c>
      <c r="D1130" s="3" t="s">
        <v>9</v>
      </c>
      <c r="E1130" s="3" t="s">
        <v>8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4.2430419901888401E-3</v>
      </c>
      <c r="P1130" s="3">
        <v>2.3173801474831199E-2</v>
      </c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</row>
    <row r="1131" spans="1:35" x14ac:dyDescent="0.45">
      <c r="A1131" s="3" t="s">
        <v>87</v>
      </c>
      <c r="B1131" s="3" t="s">
        <v>27</v>
      </c>
      <c r="C1131" s="3" t="s">
        <v>6</v>
      </c>
      <c r="D1131" s="3" t="s">
        <v>10</v>
      </c>
      <c r="E1131" s="3" t="s">
        <v>8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2.5090994515112402E-3</v>
      </c>
      <c r="M1131" s="3">
        <v>2.7505988205565501E-2</v>
      </c>
      <c r="N1131" s="3">
        <v>6.2728290559170799E-2</v>
      </c>
      <c r="O1131" s="3">
        <v>8.8514738232411905E-2</v>
      </c>
      <c r="P1131" s="3">
        <v>8.9508720376765202E-2</v>
      </c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</row>
    <row r="1132" spans="1:35" x14ac:dyDescent="0.45">
      <c r="A1132" s="3" t="s">
        <v>87</v>
      </c>
      <c r="B1132" s="3" t="s">
        <v>27</v>
      </c>
      <c r="C1132" s="3" t="s">
        <v>6</v>
      </c>
      <c r="D1132" s="3" t="s">
        <v>11</v>
      </c>
      <c r="E1132" s="3" t="s">
        <v>8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2.7114690159720001E-2</v>
      </c>
      <c r="L1132" s="3">
        <v>6.6129163837922805E-2</v>
      </c>
      <c r="M1132" s="3">
        <v>7.8808046923798794E-2</v>
      </c>
      <c r="N1132" s="3">
        <v>0.16538600486660801</v>
      </c>
      <c r="O1132" s="3">
        <v>0.31357954857508302</v>
      </c>
      <c r="P1132" s="3">
        <v>0.519829381866039</v>
      </c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</row>
    <row r="1133" spans="1:35" x14ac:dyDescent="0.45">
      <c r="A1133" s="3" t="s">
        <v>87</v>
      </c>
      <c r="B1133" s="3" t="s">
        <v>27</v>
      </c>
      <c r="C1133" s="3" t="s">
        <v>6</v>
      </c>
      <c r="D1133" s="3" t="s">
        <v>12</v>
      </c>
      <c r="E1133" s="3" t="s">
        <v>8</v>
      </c>
      <c r="F1133" s="3">
        <v>0</v>
      </c>
      <c r="G1133" s="3">
        <v>0</v>
      </c>
      <c r="H1133" s="3">
        <v>0</v>
      </c>
      <c r="I1133" s="3">
        <v>0</v>
      </c>
      <c r="J1133" s="3">
        <v>3.4949311405005498E-2</v>
      </c>
      <c r="K1133" s="3">
        <v>6.7046146073455798E-2</v>
      </c>
      <c r="L1133" s="3">
        <v>0.21985646206982601</v>
      </c>
      <c r="M1133" s="3">
        <v>0.43833983653534098</v>
      </c>
      <c r="N1133" s="3">
        <v>0.57648840229215903</v>
      </c>
      <c r="O1133" s="3">
        <v>0.63686435057907398</v>
      </c>
      <c r="P1133" s="3">
        <v>0.63102354799761695</v>
      </c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</row>
    <row r="1134" spans="1:35" x14ac:dyDescent="0.45">
      <c r="A1134" s="3" t="s">
        <v>87</v>
      </c>
      <c r="B1134" s="3" t="s">
        <v>27</v>
      </c>
      <c r="C1134" s="3" t="s">
        <v>6</v>
      </c>
      <c r="D1134" s="3" t="s">
        <v>13</v>
      </c>
      <c r="E1134" s="3" t="s">
        <v>8</v>
      </c>
      <c r="F1134" s="3">
        <v>0</v>
      </c>
      <c r="G1134" s="3">
        <v>0</v>
      </c>
      <c r="H1134" s="3">
        <v>0</v>
      </c>
      <c r="I1134" s="3">
        <v>5.8581767591989201E-2</v>
      </c>
      <c r="J1134" s="3">
        <v>0.35046822828104501</v>
      </c>
      <c r="K1134" s="3">
        <v>0.62542362389852002</v>
      </c>
      <c r="L1134" s="3">
        <v>0.70176029350466296</v>
      </c>
      <c r="M1134" s="3">
        <v>0.68247921589913096</v>
      </c>
      <c r="N1134" s="3">
        <v>0.63990486858955797</v>
      </c>
      <c r="O1134" s="3">
        <v>0.60321337095915994</v>
      </c>
      <c r="P1134" s="3">
        <v>0.55413896955057196</v>
      </c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</row>
    <row r="1135" spans="1:35" x14ac:dyDescent="0.45">
      <c r="A1135" s="3" t="s">
        <v>87</v>
      </c>
      <c r="B1135" s="3" t="s">
        <v>27</v>
      </c>
      <c r="C1135" s="3" t="s">
        <v>6</v>
      </c>
      <c r="D1135" s="3" t="s">
        <v>14</v>
      </c>
      <c r="E1135" s="3" t="s">
        <v>8</v>
      </c>
      <c r="F1135" s="3">
        <v>0</v>
      </c>
      <c r="G1135" s="3">
        <v>2.9986715599151399E-2</v>
      </c>
      <c r="H1135" s="3">
        <v>2.9986715599151399E-2</v>
      </c>
      <c r="I1135" s="3">
        <v>0.36310849936262901</v>
      </c>
      <c r="J1135" s="3">
        <v>0.37031327058996</v>
      </c>
      <c r="K1135" s="3">
        <v>0.30905438014158998</v>
      </c>
      <c r="L1135" s="3">
        <v>0.28413245332176101</v>
      </c>
      <c r="M1135" s="3">
        <v>0.29457692982421801</v>
      </c>
      <c r="N1135" s="3">
        <v>0.294400608579444</v>
      </c>
      <c r="O1135" s="3">
        <v>0.26674044743953801</v>
      </c>
      <c r="P1135" s="3">
        <v>0.23395686812945701</v>
      </c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</row>
    <row r="1136" spans="1:35" x14ac:dyDescent="0.45">
      <c r="A1136" s="3" t="s">
        <v>87</v>
      </c>
      <c r="B1136" s="3" t="s">
        <v>27</v>
      </c>
      <c r="C1136" s="3" t="s">
        <v>15</v>
      </c>
      <c r="D1136" s="3" t="s">
        <v>7</v>
      </c>
      <c r="E1136" s="3" t="s">
        <v>8</v>
      </c>
      <c r="F1136" s="3">
        <v>0.17431259724974299</v>
      </c>
      <c r="G1136" s="3">
        <v>0.199367367401454</v>
      </c>
      <c r="H1136" s="3">
        <v>0.199367367401454</v>
      </c>
      <c r="I1136" s="3">
        <v>0.22118017910121099</v>
      </c>
      <c r="J1136" s="3">
        <v>0.24703465597659399</v>
      </c>
      <c r="K1136" s="3">
        <v>0.27001951700440602</v>
      </c>
      <c r="L1136" s="3">
        <v>0.28737961399874501</v>
      </c>
      <c r="M1136" s="3">
        <v>0.29371681696941798</v>
      </c>
      <c r="N1136" s="3">
        <v>0.29966399922653802</v>
      </c>
      <c r="O1136" s="3">
        <v>0.30541728775168497</v>
      </c>
      <c r="P1136" s="3">
        <v>0.301159539937152</v>
      </c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</row>
    <row r="1137" spans="1:35" x14ac:dyDescent="0.45">
      <c r="A1137" s="3" t="s">
        <v>87</v>
      </c>
      <c r="B1137" s="3" t="s">
        <v>27</v>
      </c>
      <c r="C1137" s="3" t="s">
        <v>15</v>
      </c>
      <c r="D1137" s="3" t="s">
        <v>9</v>
      </c>
      <c r="E1137" s="3" t="s">
        <v>8</v>
      </c>
      <c r="F1137" s="3">
        <v>0</v>
      </c>
      <c r="G1137" s="3">
        <v>5.5934307022179096E-4</v>
      </c>
      <c r="H1137" s="3">
        <v>5.5934307022179096E-4</v>
      </c>
      <c r="I1137" s="3">
        <v>-3.2840731611061302E-4</v>
      </c>
      <c r="J1137" s="3">
        <v>-3.2232048986459401E-3</v>
      </c>
      <c r="K1137" s="3">
        <v>-5.2680605261423697E-4</v>
      </c>
      <c r="L1137" s="3">
        <v>3.8380130662580801E-3</v>
      </c>
      <c r="M1137" s="3">
        <v>1.64856942939622E-2</v>
      </c>
      <c r="N1137" s="3">
        <v>3.1593360739565902E-2</v>
      </c>
      <c r="O1137" s="3">
        <v>4.1782075010906403E-2</v>
      </c>
      <c r="P1137" s="3">
        <v>5.4380635004601899E-2</v>
      </c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</row>
    <row r="1138" spans="1:35" x14ac:dyDescent="0.45">
      <c r="A1138" s="3" t="s">
        <v>87</v>
      </c>
      <c r="B1138" s="3" t="s">
        <v>27</v>
      </c>
      <c r="C1138" s="3" t="s">
        <v>15</v>
      </c>
      <c r="D1138" s="3" t="s">
        <v>10</v>
      </c>
      <c r="E1138" s="3" t="s">
        <v>8</v>
      </c>
      <c r="F1138" s="3">
        <v>0</v>
      </c>
      <c r="G1138" s="3">
        <v>-1.7814248868757701E-3</v>
      </c>
      <c r="H1138" s="3">
        <v>-1.7814248868757701E-3</v>
      </c>
      <c r="I1138" s="3">
        <v>-2.41335893094025E-4</v>
      </c>
      <c r="J1138" s="3">
        <v>4.03889833243401E-3</v>
      </c>
      <c r="K1138" s="3">
        <v>1.12725784332779E-3</v>
      </c>
      <c r="L1138" s="3">
        <v>2.75257085651126E-4</v>
      </c>
      <c r="M1138" s="3">
        <v>4.9631698075567297E-3</v>
      </c>
      <c r="N1138" s="3">
        <v>6.8320246884129897E-3</v>
      </c>
      <c r="O1138" s="3">
        <v>7.0932575803777098E-3</v>
      </c>
      <c r="P1138" s="3">
        <v>1.3965420009588E-2</v>
      </c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</row>
    <row r="1139" spans="1:35" x14ac:dyDescent="0.45">
      <c r="A1139" s="3" t="s">
        <v>87</v>
      </c>
      <c r="B1139" s="3" t="s">
        <v>27</v>
      </c>
      <c r="C1139" s="3" t="s">
        <v>15</v>
      </c>
      <c r="D1139" s="3" t="s">
        <v>11</v>
      </c>
      <c r="E1139" s="3" t="s">
        <v>8</v>
      </c>
      <c r="F1139" s="3">
        <v>0</v>
      </c>
      <c r="G1139" s="3">
        <v>-3.7488506559835199E-4</v>
      </c>
      <c r="H1139" s="3">
        <v>-3.7488506559835199E-4</v>
      </c>
      <c r="I1139" s="3">
        <v>3.71394706193964E-3</v>
      </c>
      <c r="J1139" s="3">
        <v>-1.70250404752426E-3</v>
      </c>
      <c r="K1139" s="3">
        <v>-1.33023353059863E-3</v>
      </c>
      <c r="L1139" s="3">
        <v>-2.2414252497153201E-3</v>
      </c>
      <c r="M1139" s="3">
        <v>5.1664265507581596E-3</v>
      </c>
      <c r="N1139" s="3">
        <v>1.2453785680471299E-2</v>
      </c>
      <c r="O1139" s="3">
        <v>2.2930238610774801E-2</v>
      </c>
      <c r="P1139" s="3">
        <v>2.5945499460803999E-2</v>
      </c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</row>
    <row r="1140" spans="1:35" x14ac:dyDescent="0.45">
      <c r="A1140" s="3" t="s">
        <v>87</v>
      </c>
      <c r="B1140" s="3" t="s">
        <v>27</v>
      </c>
      <c r="C1140" s="3" t="s">
        <v>15</v>
      </c>
      <c r="D1140" s="3" t="s">
        <v>12</v>
      </c>
      <c r="E1140" s="3" t="s">
        <v>8</v>
      </c>
      <c r="F1140" s="3">
        <v>0</v>
      </c>
      <c r="G1140" s="3">
        <v>2.0588149286108999E-3</v>
      </c>
      <c r="H1140" s="3">
        <v>2.0588149286108999E-3</v>
      </c>
      <c r="I1140" s="3">
        <v>-4.3126819451067E-4</v>
      </c>
      <c r="J1140" s="3">
        <v>-2.5460242147176699E-3</v>
      </c>
      <c r="K1140" s="3">
        <v>3.15577284003882E-3</v>
      </c>
      <c r="L1140" s="3">
        <v>1.42529406141587E-2</v>
      </c>
      <c r="M1140" s="3">
        <v>1.32002403469234E-2</v>
      </c>
      <c r="N1140" s="3">
        <v>5.03130574450517E-3</v>
      </c>
      <c r="O1140" s="3">
        <v>-2.83437950071619E-3</v>
      </c>
      <c r="P1140" s="3">
        <v>-8.3501617855191203E-3</v>
      </c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</row>
    <row r="1141" spans="1:35" x14ac:dyDescent="0.45">
      <c r="A1141" s="3" t="s">
        <v>87</v>
      </c>
      <c r="B1141" s="3" t="s">
        <v>27</v>
      </c>
      <c r="C1141" s="3" t="s">
        <v>15</v>
      </c>
      <c r="D1141" s="3" t="s">
        <v>13</v>
      </c>
      <c r="E1141" s="3" t="s">
        <v>8</v>
      </c>
      <c r="F1141" s="3">
        <v>0</v>
      </c>
      <c r="G1141" s="3">
        <v>6.8641919193143696E-4</v>
      </c>
      <c r="H1141" s="3">
        <v>6.8641919193143696E-4</v>
      </c>
      <c r="I1141" s="3">
        <v>5.35371299153534E-3</v>
      </c>
      <c r="J1141" s="3">
        <v>1.7217128551677601E-2</v>
      </c>
      <c r="K1141" s="3">
        <v>5.8256106044501403E-3</v>
      </c>
      <c r="L1141" s="3">
        <v>-8.0747277317419503E-3</v>
      </c>
      <c r="M1141" s="3">
        <v>-1.7476479296910999E-2</v>
      </c>
      <c r="N1141" s="3">
        <v>-2.2414798967569299E-2</v>
      </c>
      <c r="O1141" s="3">
        <v>-2.7950238117571101E-2</v>
      </c>
      <c r="P1141" s="3">
        <v>-3.5337887743268397E-2</v>
      </c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</row>
    <row r="1142" spans="1:35" x14ac:dyDescent="0.45">
      <c r="A1142" s="3" t="s">
        <v>87</v>
      </c>
      <c r="B1142" s="3" t="s">
        <v>27</v>
      </c>
      <c r="C1142" s="3" t="s">
        <v>15</v>
      </c>
      <c r="D1142" s="3" t="s">
        <v>14</v>
      </c>
      <c r="E1142" s="3" t="s">
        <v>8</v>
      </c>
      <c r="F1142" s="3">
        <v>0</v>
      </c>
      <c r="G1142" s="3">
        <v>-1.1718321006274901E-3</v>
      </c>
      <c r="H1142" s="3">
        <v>-1.1718321006274901E-3</v>
      </c>
      <c r="I1142" s="3">
        <v>2.72086270341551E-3</v>
      </c>
      <c r="J1142" s="3">
        <v>-1.1800092780171301E-2</v>
      </c>
      <c r="K1142" s="3">
        <v>-1.4488296653877301E-2</v>
      </c>
      <c r="L1142" s="3">
        <v>-2.0394098935112199E-2</v>
      </c>
      <c r="M1142" s="3">
        <v>-2.7627956227191199E-2</v>
      </c>
      <c r="N1142" s="3">
        <v>-3.6700165318560803E-2</v>
      </c>
      <c r="O1142" s="3">
        <v>-3.8905371747380901E-2</v>
      </c>
      <c r="P1142" s="3">
        <v>-3.7295544602025402E-2</v>
      </c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</row>
    <row r="1143" spans="1:35" x14ac:dyDescent="0.45">
      <c r="A1143" s="3" t="s">
        <v>87</v>
      </c>
      <c r="B1143" s="3" t="s">
        <v>27</v>
      </c>
      <c r="C1143" s="3" t="s">
        <v>16</v>
      </c>
      <c r="D1143" s="3" t="s">
        <v>7</v>
      </c>
      <c r="E1143" s="3" t="s">
        <v>8</v>
      </c>
      <c r="F1143" s="3">
        <v>0.100486467816517</v>
      </c>
      <c r="G1143" s="3">
        <v>6.5331000279632997E-2</v>
      </c>
      <c r="H1143" s="3">
        <v>6.5331000279632997E-2</v>
      </c>
      <c r="I1143" s="3">
        <v>4.6646917926027598E-2</v>
      </c>
      <c r="J1143" s="3">
        <v>4.4267961667961202E-2</v>
      </c>
      <c r="K1143" s="3">
        <v>3.8036731217824499E-2</v>
      </c>
      <c r="L1143" s="3">
        <v>3.8036731217824499E-2</v>
      </c>
      <c r="M1143" s="3">
        <v>3.8036731217824499E-2</v>
      </c>
      <c r="N1143" s="3">
        <v>3.8036731217824499E-2</v>
      </c>
      <c r="O1143" s="3">
        <v>3.8036731217824499E-2</v>
      </c>
      <c r="P1143" s="3">
        <v>3.8036731217824499E-2</v>
      </c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</row>
    <row r="1144" spans="1:35" x14ac:dyDescent="0.45">
      <c r="A1144" s="3" t="s">
        <v>87</v>
      </c>
      <c r="B1144" s="3" t="s">
        <v>27</v>
      </c>
      <c r="C1144" s="3" t="s">
        <v>16</v>
      </c>
      <c r="D1144" s="3" t="s">
        <v>9</v>
      </c>
      <c r="E1144" s="3" t="s">
        <v>8</v>
      </c>
      <c r="F1144" s="3">
        <v>0</v>
      </c>
      <c r="G1144" s="3">
        <v>-5.6162486736122099E-5</v>
      </c>
      <c r="H1144" s="3">
        <v>-5.6162486736122099E-5</v>
      </c>
      <c r="I1144" s="3">
        <v>-2.7634018280889301E-5</v>
      </c>
      <c r="J1144" s="3">
        <v>2.70065755598181E-5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</row>
    <row r="1145" spans="1:35" x14ac:dyDescent="0.45">
      <c r="A1145" s="3" t="s">
        <v>87</v>
      </c>
      <c r="B1145" s="3" t="s">
        <v>27</v>
      </c>
      <c r="C1145" s="3" t="s">
        <v>16</v>
      </c>
      <c r="D1145" s="3" t="s">
        <v>10</v>
      </c>
      <c r="E1145" s="3" t="s">
        <v>8</v>
      </c>
      <c r="F1145" s="3">
        <v>0</v>
      </c>
      <c r="G1145" s="3">
        <v>-1.0927986905801001E-6</v>
      </c>
      <c r="H1145" s="3">
        <v>-1.0927986905801001E-6</v>
      </c>
      <c r="I1145" s="3">
        <v>2.9563961045919698E-7</v>
      </c>
      <c r="J1145" s="3">
        <v>-1.32161617811613E-5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</row>
    <row r="1146" spans="1:35" x14ac:dyDescent="0.45">
      <c r="A1146" s="3" t="s">
        <v>87</v>
      </c>
      <c r="B1146" s="3" t="s">
        <v>27</v>
      </c>
      <c r="C1146" s="3" t="s">
        <v>16</v>
      </c>
      <c r="D1146" s="3" t="s">
        <v>11</v>
      </c>
      <c r="E1146" s="3" t="s">
        <v>8</v>
      </c>
      <c r="F1146" s="3">
        <v>0</v>
      </c>
      <c r="G1146" s="3">
        <v>-2.2322064471253E-5</v>
      </c>
      <c r="H1146" s="3">
        <v>-2.2322064471253E-5</v>
      </c>
      <c r="I1146" s="3">
        <v>4.6203642218647897E-6</v>
      </c>
      <c r="J1146" s="3">
        <v>3.1910772970614203E-5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</row>
    <row r="1147" spans="1:35" x14ac:dyDescent="0.45">
      <c r="A1147" s="3" t="s">
        <v>87</v>
      </c>
      <c r="B1147" s="3" t="s">
        <v>27</v>
      </c>
      <c r="C1147" s="3" t="s">
        <v>16</v>
      </c>
      <c r="D1147" s="3" t="s">
        <v>12</v>
      </c>
      <c r="E1147" s="3" t="s">
        <v>8</v>
      </c>
      <c r="F1147" s="3">
        <v>0</v>
      </c>
      <c r="G1147" s="3">
        <v>-5.6251621446401501E-6</v>
      </c>
      <c r="H1147" s="3">
        <v>-5.6251621446401501E-6</v>
      </c>
      <c r="I1147" s="3">
        <v>5.6978254924053298E-5</v>
      </c>
      <c r="J1147" s="3">
        <v>5.9407837824364295E-4</v>
      </c>
      <c r="K1147" s="3">
        <v>0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</row>
    <row r="1148" spans="1:35" x14ac:dyDescent="0.45">
      <c r="A1148" s="3" t="s">
        <v>87</v>
      </c>
      <c r="B1148" s="3" t="s">
        <v>27</v>
      </c>
      <c r="C1148" s="3" t="s">
        <v>16</v>
      </c>
      <c r="D1148" s="3" t="s">
        <v>13</v>
      </c>
      <c r="E1148" s="3" t="s">
        <v>8</v>
      </c>
      <c r="F1148" s="3">
        <v>0</v>
      </c>
      <c r="G1148" s="3">
        <v>3.06545126157576E-4</v>
      </c>
      <c r="H1148" s="3">
        <v>3.06545126157576E-4</v>
      </c>
      <c r="I1148" s="3">
        <v>-1.48802033110681E-3</v>
      </c>
      <c r="J1148" s="3">
        <v>-2.9376250564567799E-3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</row>
    <row r="1149" spans="1:35" x14ac:dyDescent="0.45">
      <c r="A1149" s="3" t="s">
        <v>87</v>
      </c>
      <c r="B1149" s="3" t="s">
        <v>27</v>
      </c>
      <c r="C1149" s="3" t="s">
        <v>16</v>
      </c>
      <c r="D1149" s="3" t="s">
        <v>14</v>
      </c>
      <c r="E1149" s="3" t="s">
        <v>8</v>
      </c>
      <c r="F1149" s="3">
        <v>0</v>
      </c>
      <c r="G1149" s="3">
        <v>3.5683327959070599E-3</v>
      </c>
      <c r="H1149" s="3">
        <v>3.5683327959070599E-3</v>
      </c>
      <c r="I1149" s="3">
        <v>-3.1958114565807699E-3</v>
      </c>
      <c r="J1149" s="3">
        <v>-1.5171627798680201E-3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</row>
    <row r="1150" spans="1:35" x14ac:dyDescent="0.45">
      <c r="A1150" s="3" t="s">
        <v>87</v>
      </c>
      <c r="B1150" s="3" t="s">
        <v>27</v>
      </c>
      <c r="C1150" s="3" t="s">
        <v>17</v>
      </c>
      <c r="D1150" s="3" t="s">
        <v>7</v>
      </c>
      <c r="E1150" s="3" t="s">
        <v>8</v>
      </c>
      <c r="F1150" s="3">
        <v>5.6239627750741903E-3</v>
      </c>
      <c r="G1150" s="3">
        <v>6.6829371202519099E-3</v>
      </c>
      <c r="H1150" s="3">
        <v>6.6829371202519099E-3</v>
      </c>
      <c r="I1150" s="3">
        <v>9.3340573348082208E-3</v>
      </c>
      <c r="J1150" s="3">
        <v>1.2787693007299801E-2</v>
      </c>
      <c r="K1150" s="3">
        <v>1.91542702878791E-2</v>
      </c>
      <c r="L1150" s="3">
        <v>8.7271361972238097E-5</v>
      </c>
      <c r="M1150" s="3">
        <v>0</v>
      </c>
      <c r="N1150" s="3">
        <v>0</v>
      </c>
      <c r="O1150" s="3">
        <v>0</v>
      </c>
      <c r="P1150" s="3">
        <v>0</v>
      </c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</row>
    <row r="1151" spans="1:35" x14ac:dyDescent="0.45">
      <c r="A1151" s="3" t="s">
        <v>87</v>
      </c>
      <c r="B1151" s="3" t="s">
        <v>27</v>
      </c>
      <c r="C1151" s="3" t="s">
        <v>17</v>
      </c>
      <c r="D1151" s="3" t="s">
        <v>9</v>
      </c>
      <c r="E1151" s="3" t="s">
        <v>8</v>
      </c>
      <c r="F1151" s="3">
        <v>0</v>
      </c>
      <c r="G1151" s="3">
        <v>2.2901592729519799E-4</v>
      </c>
      <c r="H1151" s="3">
        <v>2.2901592729519799E-4</v>
      </c>
      <c r="I1151" s="3">
        <v>4.8169320758973002E-4</v>
      </c>
      <c r="J1151" s="3">
        <v>8.5709515715479004E-4</v>
      </c>
      <c r="K1151" s="3">
        <v>2.3707357823083402E-3</v>
      </c>
      <c r="L1151" s="3">
        <v>4.6651787660377904E-3</v>
      </c>
      <c r="M1151" s="3">
        <v>0</v>
      </c>
      <c r="N1151" s="3">
        <v>0</v>
      </c>
      <c r="O1151" s="3">
        <v>0</v>
      </c>
      <c r="P1151" s="3">
        <v>8.71489001706992E-4</v>
      </c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</row>
    <row r="1152" spans="1:35" x14ac:dyDescent="0.45">
      <c r="A1152" s="3" t="s">
        <v>87</v>
      </c>
      <c r="B1152" s="3" t="s">
        <v>27</v>
      </c>
      <c r="C1152" s="3" t="s">
        <v>17</v>
      </c>
      <c r="D1152" s="3" t="s">
        <v>10</v>
      </c>
      <c r="E1152" s="3" t="s">
        <v>8</v>
      </c>
      <c r="F1152" s="3">
        <v>0</v>
      </c>
      <c r="G1152" s="3">
        <v>3.3361920053250601E-5</v>
      </c>
      <c r="H1152" s="3">
        <v>3.3361920053250601E-5</v>
      </c>
      <c r="I1152" s="3">
        <v>4.1548818114772198E-4</v>
      </c>
      <c r="J1152" s="3">
        <v>1.5252898207596701E-3</v>
      </c>
      <c r="K1152" s="3">
        <v>2.8964938768617902E-3</v>
      </c>
      <c r="L1152" s="3">
        <v>3.8624987537148798E-3</v>
      </c>
      <c r="M1152" s="3">
        <v>2.34348493481637E-2</v>
      </c>
      <c r="N1152" s="3">
        <v>3.7985073442233598E-2</v>
      </c>
      <c r="O1152" s="3">
        <v>8.5200438844983795E-2</v>
      </c>
      <c r="P1152" s="3">
        <v>0.196707838995163</v>
      </c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</row>
    <row r="1153" spans="1:35" x14ac:dyDescent="0.45">
      <c r="A1153" s="3" t="s">
        <v>87</v>
      </c>
      <c r="B1153" s="3" t="s">
        <v>27</v>
      </c>
      <c r="C1153" s="3" t="s">
        <v>17</v>
      </c>
      <c r="D1153" s="3" t="s">
        <v>11</v>
      </c>
      <c r="E1153" s="3" t="s">
        <v>8</v>
      </c>
      <c r="F1153" s="3">
        <v>0</v>
      </c>
      <c r="G1153" s="3">
        <v>6.3950791321756503E-5</v>
      </c>
      <c r="H1153" s="3">
        <v>6.3950791321756503E-5</v>
      </c>
      <c r="I1153" s="3">
        <v>5.4699342940156201E-4</v>
      </c>
      <c r="J1153" s="3">
        <v>4.4994663464607201E-3</v>
      </c>
      <c r="K1153" s="3">
        <v>2.7435753256060302E-2</v>
      </c>
      <c r="L1153" s="3">
        <v>3.5932550565473502E-2</v>
      </c>
      <c r="M1153" s="3">
        <v>0.163130227506773</v>
      </c>
      <c r="N1153" s="3">
        <v>0.17686362849092299</v>
      </c>
      <c r="O1153" s="3">
        <v>0.160236935947556</v>
      </c>
      <c r="P1153" s="3">
        <v>8.3708848629760704E-2</v>
      </c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</row>
    <row r="1154" spans="1:35" x14ac:dyDescent="0.45">
      <c r="A1154" s="3" t="s">
        <v>87</v>
      </c>
      <c r="B1154" s="3" t="s">
        <v>27</v>
      </c>
      <c r="C1154" s="3" t="s">
        <v>17</v>
      </c>
      <c r="D1154" s="3" t="s">
        <v>12</v>
      </c>
      <c r="E1154" s="3" t="s">
        <v>8</v>
      </c>
      <c r="F1154" s="3">
        <v>0</v>
      </c>
      <c r="G1154" s="3">
        <v>-1.1955852769164E-4</v>
      </c>
      <c r="H1154" s="3">
        <v>-1.1955852769164E-4</v>
      </c>
      <c r="I1154" s="3">
        <v>2.5004182537818301E-3</v>
      </c>
      <c r="J1154" s="3">
        <v>2.4207918274897398E-2</v>
      </c>
      <c r="K1154" s="3">
        <v>0.118242797843604</v>
      </c>
      <c r="L1154" s="3">
        <v>0.17186710243568001</v>
      </c>
      <c r="M1154" s="3">
        <v>8.8058091787670698E-2</v>
      </c>
      <c r="N1154" s="3">
        <v>0.13356616287407599</v>
      </c>
      <c r="O1154" s="3">
        <v>0.18361648014116499</v>
      </c>
      <c r="P1154" s="3">
        <v>0.22274280078875899</v>
      </c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</row>
    <row r="1155" spans="1:35" x14ac:dyDescent="0.45">
      <c r="A1155" s="3" t="s">
        <v>87</v>
      </c>
      <c r="B1155" s="3" t="s">
        <v>27</v>
      </c>
      <c r="C1155" s="3" t="s">
        <v>17</v>
      </c>
      <c r="D1155" s="3" t="s">
        <v>13</v>
      </c>
      <c r="E1155" s="3" t="s">
        <v>8</v>
      </c>
      <c r="F1155" s="3">
        <v>0</v>
      </c>
      <c r="G1155" s="3">
        <v>1.7250390366187001E-3</v>
      </c>
      <c r="H1155" s="3">
        <v>1.7250390366187001E-3</v>
      </c>
      <c r="I1155" s="3">
        <v>0.13568285998141599</v>
      </c>
      <c r="J1155" s="3">
        <v>0.21304270121242999</v>
      </c>
      <c r="K1155" s="3">
        <v>0.21818681078595301</v>
      </c>
      <c r="L1155" s="3">
        <v>0.29265270784751601</v>
      </c>
      <c r="M1155" s="3">
        <v>0.33255842051590201</v>
      </c>
      <c r="N1155" s="3">
        <v>0.31859081770435899</v>
      </c>
      <c r="O1155" s="3">
        <v>0.26229984894119002</v>
      </c>
      <c r="P1155" s="3">
        <v>0.19335459008021699</v>
      </c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</row>
    <row r="1156" spans="1:35" x14ac:dyDescent="0.45">
      <c r="A1156" s="3" t="s">
        <v>87</v>
      </c>
      <c r="B1156" s="3" t="s">
        <v>27</v>
      </c>
      <c r="C1156" s="3" t="s">
        <v>17</v>
      </c>
      <c r="D1156" s="3" t="s">
        <v>14</v>
      </c>
      <c r="E1156" s="3" t="s">
        <v>8</v>
      </c>
      <c r="F1156" s="3">
        <v>0</v>
      </c>
      <c r="G1156" s="3">
        <v>7.3780099178359301E-3</v>
      </c>
      <c r="H1156" s="3">
        <v>7.3780099178359301E-3</v>
      </c>
      <c r="I1156" s="3">
        <v>0.148047404452232</v>
      </c>
      <c r="J1156" s="3">
        <v>0.22830109399248599</v>
      </c>
      <c r="K1156" s="3">
        <v>0.234932188154303</v>
      </c>
      <c r="L1156" s="3">
        <v>0.180299076855127</v>
      </c>
      <c r="M1156" s="3">
        <v>9.52643476748819E-2</v>
      </c>
      <c r="N1156" s="3">
        <v>3.5996705708047902E-2</v>
      </c>
      <c r="O1156" s="3">
        <v>1.16594577378238E-2</v>
      </c>
      <c r="P1156" s="3">
        <v>5.6293464992076504E-3</v>
      </c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</row>
    <row r="1157" spans="1:35" x14ac:dyDescent="0.45">
      <c r="A1157" s="3" t="s">
        <v>87</v>
      </c>
      <c r="B1157" s="3" t="s">
        <v>27</v>
      </c>
      <c r="C1157" s="3" t="s">
        <v>18</v>
      </c>
      <c r="D1157" s="3" t="s">
        <v>7</v>
      </c>
      <c r="E1157" s="3" t="s">
        <v>8</v>
      </c>
      <c r="F1157" s="3">
        <v>0.123105861232124</v>
      </c>
      <c r="G1157" s="3">
        <v>8.8350553061241704E-2</v>
      </c>
      <c r="H1157" s="3">
        <v>8.8350553061241704E-2</v>
      </c>
      <c r="I1157" s="3">
        <v>5.8900368707494398E-2</v>
      </c>
      <c r="J1157" s="3">
        <v>2.94501843537473E-2</v>
      </c>
      <c r="K1157" s="3">
        <v>3.69865512270008E-17</v>
      </c>
      <c r="L1157" s="3">
        <v>4.2270344259429499E-17</v>
      </c>
      <c r="M1157" s="3">
        <v>2.11351721297147E-17</v>
      </c>
      <c r="N1157" s="3">
        <v>2.11351721297147E-17</v>
      </c>
      <c r="O1157" s="3">
        <v>0</v>
      </c>
      <c r="P1157" s="3">
        <v>3.69865512270008E-17</v>
      </c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</row>
    <row r="1158" spans="1:35" x14ac:dyDescent="0.45">
      <c r="A1158" s="3" t="s">
        <v>87</v>
      </c>
      <c r="B1158" s="3" t="s">
        <v>27</v>
      </c>
      <c r="C1158" s="3" t="s">
        <v>18</v>
      </c>
      <c r="D1158" s="3" t="s">
        <v>9</v>
      </c>
      <c r="E1158" s="3" t="s">
        <v>8</v>
      </c>
      <c r="F1158" s="3">
        <v>0</v>
      </c>
      <c r="G1158" s="3">
        <v>0</v>
      </c>
      <c r="H1158" s="3">
        <v>0</v>
      </c>
      <c r="I1158" s="3">
        <v>0</v>
      </c>
      <c r="J1158" s="3">
        <v>-9.3675067702747595E-17</v>
      </c>
      <c r="K1158" s="3">
        <v>-3.69865512270008E-17</v>
      </c>
      <c r="L1158" s="3">
        <v>-4.2270344259429499E-17</v>
      </c>
      <c r="M1158" s="3">
        <v>1.58513790972861E-17</v>
      </c>
      <c r="N1158" s="3">
        <v>0</v>
      </c>
      <c r="O1158" s="3">
        <v>2.11351721297147E-17</v>
      </c>
      <c r="P1158" s="3">
        <v>-3.69865512270008E-17</v>
      </c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</row>
    <row r="1159" spans="1:35" x14ac:dyDescent="0.45">
      <c r="A1159" s="3" t="s">
        <v>87</v>
      </c>
      <c r="B1159" s="3" t="s">
        <v>27</v>
      </c>
      <c r="C1159" s="3" t="s">
        <v>18</v>
      </c>
      <c r="D1159" s="3" t="s">
        <v>10</v>
      </c>
      <c r="E1159" s="3" t="s">
        <v>8</v>
      </c>
      <c r="F1159" s="3">
        <v>0</v>
      </c>
      <c r="G1159" s="3">
        <v>0</v>
      </c>
      <c r="H1159" s="3">
        <v>0</v>
      </c>
      <c r="I1159" s="3">
        <v>9.0205620750794006E-17</v>
      </c>
      <c r="J1159" s="3">
        <v>0</v>
      </c>
      <c r="K1159" s="3">
        <v>0</v>
      </c>
      <c r="L1159" s="3">
        <v>3.69865512270008E-17</v>
      </c>
      <c r="M1159" s="3">
        <v>0</v>
      </c>
      <c r="N1159" s="3">
        <v>-2.11351721297147E-17</v>
      </c>
      <c r="O1159" s="3">
        <v>5.8121723356715497E-17</v>
      </c>
      <c r="P1159" s="3">
        <v>3.69865512270008E-17</v>
      </c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</row>
    <row r="1160" spans="1:35" x14ac:dyDescent="0.45">
      <c r="A1160" s="3" t="s">
        <v>87</v>
      </c>
      <c r="B1160" s="3" t="s">
        <v>27</v>
      </c>
      <c r="C1160" s="3" t="s">
        <v>18</v>
      </c>
      <c r="D1160" s="3" t="s">
        <v>11</v>
      </c>
      <c r="E1160" s="3" t="s">
        <v>8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-3.69865512270008E-17</v>
      </c>
      <c r="M1160" s="3">
        <v>-3.69865512270008E-17</v>
      </c>
      <c r="N1160" s="3">
        <v>3.69865512270008E-17</v>
      </c>
      <c r="O1160" s="3">
        <v>-7.9256895486430194E-17</v>
      </c>
      <c r="P1160" s="3">
        <v>8.4540688518858899E-17</v>
      </c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</row>
    <row r="1161" spans="1:35" x14ac:dyDescent="0.45">
      <c r="A1161" s="3" t="s">
        <v>87</v>
      </c>
      <c r="B1161" s="3" t="s">
        <v>27</v>
      </c>
      <c r="C1161" s="3" t="s">
        <v>18</v>
      </c>
      <c r="D1161" s="3" t="s">
        <v>12</v>
      </c>
      <c r="E1161" s="3" t="s">
        <v>8</v>
      </c>
      <c r="F1161" s="3">
        <v>0</v>
      </c>
      <c r="G1161" s="3">
        <v>0</v>
      </c>
      <c r="H1161" s="3">
        <v>0</v>
      </c>
      <c r="I1161" s="3">
        <v>0</v>
      </c>
      <c r="J1161" s="3">
        <v>9.3675067702747595E-17</v>
      </c>
      <c r="K1161" s="3">
        <v>0</v>
      </c>
      <c r="L1161" s="3">
        <v>0</v>
      </c>
      <c r="M1161" s="3">
        <v>7.9256895486430194E-17</v>
      </c>
      <c r="N1161" s="3">
        <v>-3.69865512270008E-17</v>
      </c>
      <c r="O1161" s="3">
        <v>2.11351721297147E-16</v>
      </c>
      <c r="P1161" s="3">
        <v>1.7436517007014701E-16</v>
      </c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</row>
    <row r="1162" spans="1:35" x14ac:dyDescent="0.45">
      <c r="A1162" s="3" t="s">
        <v>87</v>
      </c>
      <c r="B1162" s="3" t="s">
        <v>27</v>
      </c>
      <c r="C1162" s="3" t="s">
        <v>18</v>
      </c>
      <c r="D1162" s="3" t="s">
        <v>13</v>
      </c>
      <c r="E1162" s="3" t="s">
        <v>8</v>
      </c>
      <c r="F1162" s="3">
        <v>0</v>
      </c>
      <c r="G1162" s="3">
        <v>0</v>
      </c>
      <c r="H1162" s="3">
        <v>0</v>
      </c>
      <c r="I1162" s="3">
        <v>9.7144514654701197E-17</v>
      </c>
      <c r="J1162" s="3">
        <v>-2.8449465006019602E-16</v>
      </c>
      <c r="K1162" s="3">
        <v>0</v>
      </c>
      <c r="L1162" s="3">
        <v>3.7514930530243701E-16</v>
      </c>
      <c r="M1162" s="3">
        <v>2.64189651621438E-17</v>
      </c>
      <c r="N1162" s="3">
        <v>1.2152723974586001E-16</v>
      </c>
      <c r="O1162" s="3">
        <v>4.2798723562672399E-16</v>
      </c>
      <c r="P1162" s="3">
        <v>-2.9589240981600601E-16</v>
      </c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</row>
    <row r="1163" spans="1:35" x14ac:dyDescent="0.45">
      <c r="A1163" s="3" t="s">
        <v>87</v>
      </c>
      <c r="B1163" s="3" t="s">
        <v>27</v>
      </c>
      <c r="C1163" s="3" t="s">
        <v>18</v>
      </c>
      <c r="D1163" s="3" t="s">
        <v>14</v>
      </c>
      <c r="E1163" s="3" t="s">
        <v>8</v>
      </c>
      <c r="F1163" s="3">
        <v>0</v>
      </c>
      <c r="G1163" s="3">
        <v>-8.3266726846886704E-17</v>
      </c>
      <c r="H1163" s="3">
        <v>-8.3266726846886704E-17</v>
      </c>
      <c r="I1163" s="3">
        <v>-9.7144514654701197E-17</v>
      </c>
      <c r="J1163" s="3">
        <v>9.3675067702747595E-17</v>
      </c>
      <c r="K1163" s="3">
        <v>0</v>
      </c>
      <c r="L1163" s="3">
        <v>-2.6947344465386301E-16</v>
      </c>
      <c r="M1163" s="3">
        <v>2.1135172129714602E-17</v>
      </c>
      <c r="N1163" s="3">
        <v>5.1252792414558204E-16</v>
      </c>
      <c r="O1163" s="3">
        <v>-6.3933895692387096E-16</v>
      </c>
      <c r="P1163" s="3">
        <v>0</v>
      </c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</row>
    <row r="1164" spans="1:35" x14ac:dyDescent="0.45">
      <c r="A1164" s="3" t="s">
        <v>87</v>
      </c>
      <c r="B1164" s="3" t="s">
        <v>27</v>
      </c>
      <c r="C1164" s="3" t="s">
        <v>19</v>
      </c>
      <c r="D1164" s="3" t="s">
        <v>7</v>
      </c>
      <c r="E1164" s="3" t="s">
        <v>8</v>
      </c>
      <c r="F1164" s="3">
        <v>2.1268570381540799E-3</v>
      </c>
      <c r="G1164" s="3">
        <v>2.3157442270574399E-3</v>
      </c>
      <c r="H1164" s="3">
        <v>2.3157442270574399E-3</v>
      </c>
      <c r="I1164" s="3">
        <v>1.29268526648665E-3</v>
      </c>
      <c r="J1164" s="3">
        <v>9.1649239597442597E-4</v>
      </c>
      <c r="K1164" s="3">
        <v>1.1717186034858899E-3</v>
      </c>
      <c r="L1164" s="3">
        <v>2.4742229437678702E-3</v>
      </c>
      <c r="M1164" s="3">
        <v>0</v>
      </c>
      <c r="N1164" s="3">
        <v>0</v>
      </c>
      <c r="O1164" s="3">
        <v>0</v>
      </c>
      <c r="P1164" s="3">
        <v>0</v>
      </c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</row>
    <row r="1165" spans="1:35" x14ac:dyDescent="0.45">
      <c r="A1165" s="3" t="s">
        <v>87</v>
      </c>
      <c r="B1165" s="3" t="s">
        <v>27</v>
      </c>
      <c r="C1165" s="3" t="s">
        <v>19</v>
      </c>
      <c r="D1165" s="3" t="s">
        <v>9</v>
      </c>
      <c r="E1165" s="3" t="s">
        <v>8</v>
      </c>
      <c r="F1165" s="3">
        <v>0</v>
      </c>
      <c r="G1165" s="3">
        <v>-4.1108080904247E-5</v>
      </c>
      <c r="H1165" s="3">
        <v>-4.1108080904247E-5</v>
      </c>
      <c r="I1165" s="3">
        <v>-6.8954727384211203E-5</v>
      </c>
      <c r="J1165" s="3">
        <v>-7.1311219990919397E-5</v>
      </c>
      <c r="K1165" s="3">
        <v>-7.8556718844820106E-5</v>
      </c>
      <c r="L1165" s="3">
        <v>-2.4839331681196898E-4</v>
      </c>
      <c r="M1165" s="3">
        <v>0</v>
      </c>
      <c r="N1165" s="3">
        <v>0</v>
      </c>
      <c r="O1165" s="3">
        <v>0</v>
      </c>
      <c r="P1165" s="3">
        <v>6.1772579341939603E-3</v>
      </c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</row>
    <row r="1166" spans="1:35" x14ac:dyDescent="0.45">
      <c r="A1166" s="3" t="s">
        <v>87</v>
      </c>
      <c r="B1166" s="3" t="s">
        <v>27</v>
      </c>
      <c r="C1166" s="3" t="s">
        <v>19</v>
      </c>
      <c r="D1166" s="3" t="s">
        <v>10</v>
      </c>
      <c r="E1166" s="3" t="s">
        <v>8</v>
      </c>
      <c r="F1166" s="3">
        <v>0</v>
      </c>
      <c r="G1166" s="3">
        <v>1.0036489907156201E-5</v>
      </c>
      <c r="H1166" s="3">
        <v>1.0036489907156201E-5</v>
      </c>
      <c r="I1166" s="3">
        <v>-5.98004593856578E-5</v>
      </c>
      <c r="J1166" s="3">
        <v>-2.2763354643908E-4</v>
      </c>
      <c r="K1166" s="3">
        <v>-2.6119705882433197E-4</v>
      </c>
      <c r="L1166" s="3">
        <v>-4.3092752062819399E-4</v>
      </c>
      <c r="M1166" s="3">
        <v>5.9681677600107001E-3</v>
      </c>
      <c r="N1166" s="3">
        <v>8.1755704557838395E-3</v>
      </c>
      <c r="O1166" s="3">
        <v>1.0859612504466201E-2</v>
      </c>
      <c r="P1166" s="3">
        <v>1.3459111335461601E-2</v>
      </c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</row>
    <row r="1167" spans="1:35" x14ac:dyDescent="0.45">
      <c r="A1167" s="3" t="s">
        <v>87</v>
      </c>
      <c r="B1167" s="3" t="s">
        <v>27</v>
      </c>
      <c r="C1167" s="3" t="s">
        <v>19</v>
      </c>
      <c r="D1167" s="3" t="s">
        <v>11</v>
      </c>
      <c r="E1167" s="3" t="s">
        <v>8</v>
      </c>
      <c r="F1167" s="3">
        <v>0</v>
      </c>
      <c r="G1167" s="3">
        <v>3.1247650565083401E-6</v>
      </c>
      <c r="H1167" s="3">
        <v>3.1247650565083401E-6</v>
      </c>
      <c r="I1167" s="3">
        <v>-2.2073663958772999E-5</v>
      </c>
      <c r="J1167" s="3">
        <v>-4.67621070622709E-4</v>
      </c>
      <c r="K1167" s="3">
        <v>-8.3196482581674098E-4</v>
      </c>
      <c r="L1167" s="3">
        <v>8.8762765298184296E-4</v>
      </c>
      <c r="M1167" s="3">
        <v>3.3504133215016399E-2</v>
      </c>
      <c r="N1167" s="3">
        <v>7.5026159306651394E-2</v>
      </c>
      <c r="O1167" s="3">
        <v>0.13080108906774701</v>
      </c>
      <c r="P1167" s="3">
        <v>0.21806910163263199</v>
      </c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</row>
    <row r="1168" spans="1:35" x14ac:dyDescent="0.45">
      <c r="A1168" s="3" t="s">
        <v>87</v>
      </c>
      <c r="B1168" s="3" t="s">
        <v>27</v>
      </c>
      <c r="C1168" s="3" t="s">
        <v>19</v>
      </c>
      <c r="D1168" s="3" t="s">
        <v>12</v>
      </c>
      <c r="E1168" s="3" t="s">
        <v>8</v>
      </c>
      <c r="F1168" s="3">
        <v>0</v>
      </c>
      <c r="G1168" s="3">
        <v>1.6935387753591399E-4</v>
      </c>
      <c r="H1168" s="3">
        <v>1.6935387753591399E-4</v>
      </c>
      <c r="I1168" s="3">
        <v>2.52874034504352E-4</v>
      </c>
      <c r="J1168" s="3">
        <v>1.4943264653575201E-4</v>
      </c>
      <c r="K1168" s="3">
        <v>6.7876108280627095E-2</v>
      </c>
      <c r="L1168" s="3">
        <v>0.17029702968272001</v>
      </c>
      <c r="M1168" s="3">
        <v>0.28534263318984798</v>
      </c>
      <c r="N1168" s="3">
        <v>0.46833734278410899</v>
      </c>
      <c r="O1168" s="3">
        <v>0.66650519819549003</v>
      </c>
      <c r="P1168" s="3">
        <v>0.80596425741312805</v>
      </c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</row>
    <row r="1169" spans="1:35" x14ac:dyDescent="0.45">
      <c r="A1169" s="3" t="s">
        <v>87</v>
      </c>
      <c r="B1169" s="3" t="s">
        <v>27</v>
      </c>
      <c r="C1169" s="3" t="s">
        <v>19</v>
      </c>
      <c r="D1169" s="3" t="s">
        <v>13</v>
      </c>
      <c r="E1169" s="3" t="s">
        <v>8</v>
      </c>
      <c r="F1169" s="3">
        <v>0</v>
      </c>
      <c r="G1169" s="3">
        <v>1.04872046744629E-3</v>
      </c>
      <c r="H1169" s="3">
        <v>1.04872046744629E-3</v>
      </c>
      <c r="I1169" s="3">
        <v>8.6681303208928806E-2</v>
      </c>
      <c r="J1169" s="3">
        <v>0.40370442525972999</v>
      </c>
      <c r="K1169" s="3">
        <v>0.76794976826494199</v>
      </c>
      <c r="L1169" s="3">
        <v>1.0558047607598999</v>
      </c>
      <c r="M1169" s="3">
        <v>1.18506688219234</v>
      </c>
      <c r="N1169" s="3">
        <v>1.11488129490837</v>
      </c>
      <c r="O1169" s="3">
        <v>0.91052499888951299</v>
      </c>
      <c r="P1169" s="3">
        <v>0.68762750491871205</v>
      </c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</row>
    <row r="1170" spans="1:35" x14ac:dyDescent="0.45">
      <c r="A1170" s="3" t="s">
        <v>87</v>
      </c>
      <c r="B1170" s="3" t="s">
        <v>27</v>
      </c>
      <c r="C1170" s="3" t="s">
        <v>19</v>
      </c>
      <c r="D1170" s="3" t="s">
        <v>14</v>
      </c>
      <c r="E1170" s="3" t="s">
        <v>8</v>
      </c>
      <c r="F1170" s="3">
        <v>0</v>
      </c>
      <c r="G1170" s="3">
        <v>4.4840169031799496E-3</v>
      </c>
      <c r="H1170" s="3">
        <v>4.4840169031799496E-3</v>
      </c>
      <c r="I1170" s="3">
        <v>0.52631056271415</v>
      </c>
      <c r="J1170" s="3">
        <v>0.84138219086055399</v>
      </c>
      <c r="K1170" s="3">
        <v>0.82857698898987098</v>
      </c>
      <c r="L1170" s="3">
        <v>0.62270996100960097</v>
      </c>
      <c r="M1170" s="3">
        <v>0.36195957241672</v>
      </c>
      <c r="N1170" s="3">
        <v>0.19951004128670999</v>
      </c>
      <c r="O1170" s="3">
        <v>0.13182033297717299</v>
      </c>
      <c r="P1170" s="3">
        <v>0.10975935679347699</v>
      </c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</row>
    <row r="1171" spans="1:35" x14ac:dyDescent="0.45">
      <c r="A1171" s="3" t="s">
        <v>88</v>
      </c>
      <c r="B1171" s="3" t="s">
        <v>29</v>
      </c>
      <c r="C1171" s="3" t="s">
        <v>6</v>
      </c>
      <c r="D1171" s="3" t="s">
        <v>7</v>
      </c>
      <c r="E1171" s="3" t="s">
        <v>8</v>
      </c>
      <c r="F1171" s="3">
        <v>0</v>
      </c>
      <c r="G1171" s="3">
        <v>0</v>
      </c>
      <c r="H1171" s="3">
        <v>0</v>
      </c>
      <c r="I1171" s="3">
        <v>0</v>
      </c>
      <c r="J1171" s="3">
        <v>1.1648979878761101E-7</v>
      </c>
      <c r="K1171" s="3">
        <v>1.5994618887677999E-7</v>
      </c>
      <c r="L1171" s="3">
        <v>3.9472794859808599E-8</v>
      </c>
      <c r="M1171" s="3">
        <v>3.9472794859808897E-8</v>
      </c>
      <c r="N1171" s="3">
        <v>3.1885415035366597E-8</v>
      </c>
      <c r="O1171" s="3">
        <v>2.5507137333861999E-8</v>
      </c>
      <c r="P1171" s="3">
        <v>2.0437216503335699E-8</v>
      </c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</row>
    <row r="1172" spans="1:35" x14ac:dyDescent="0.45">
      <c r="A1172" s="3" t="s">
        <v>88</v>
      </c>
      <c r="B1172" s="3" t="s">
        <v>29</v>
      </c>
      <c r="C1172" s="3" t="s">
        <v>6</v>
      </c>
      <c r="D1172" s="3" t="s">
        <v>9</v>
      </c>
      <c r="E1172" s="3" t="s">
        <v>8</v>
      </c>
      <c r="F1172" s="3">
        <v>0</v>
      </c>
      <c r="G1172" s="3">
        <v>0</v>
      </c>
      <c r="H1172" s="3">
        <v>0</v>
      </c>
      <c r="I1172" s="3">
        <v>0</v>
      </c>
      <c r="J1172" s="3">
        <v>1.09714892450295E-7</v>
      </c>
      <c r="K1172" s="3">
        <v>2.6428359210261898E-7</v>
      </c>
      <c r="L1172" s="3">
        <v>3.2988524715543601E-7</v>
      </c>
      <c r="M1172" s="3">
        <v>3.2988524715543601E-7</v>
      </c>
      <c r="N1172" s="3">
        <v>3.1966834739245301E-7</v>
      </c>
      <c r="O1172" s="3">
        <v>3.2585856850016499E-7</v>
      </c>
      <c r="P1172" s="3">
        <v>3.3092848933069102E-7</v>
      </c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</row>
    <row r="1173" spans="1:35" x14ac:dyDescent="0.45">
      <c r="A1173" s="3" t="s">
        <v>88</v>
      </c>
      <c r="B1173" s="3" t="s">
        <v>29</v>
      </c>
      <c r="C1173" s="3" t="s">
        <v>6</v>
      </c>
      <c r="D1173" s="3" t="s">
        <v>10</v>
      </c>
      <c r="E1173" s="3" t="s">
        <v>8</v>
      </c>
      <c r="F1173" s="3">
        <v>0</v>
      </c>
      <c r="G1173" s="3">
        <v>0</v>
      </c>
      <c r="H1173" s="3">
        <v>0</v>
      </c>
      <c r="I1173" s="3">
        <v>1.3116828952232801E-8</v>
      </c>
      <c r="J1173" s="3">
        <v>2.8287081548656302E-7</v>
      </c>
      <c r="K1173" s="3">
        <v>2.8521814651803302E-7</v>
      </c>
      <c r="L1173" s="3">
        <v>2.9086251954268202E-7</v>
      </c>
      <c r="M1173" s="3">
        <v>2.9086251954268202E-7</v>
      </c>
      <c r="N1173" s="3">
        <v>2.0478501961799001E-6</v>
      </c>
      <c r="O1173" s="3">
        <v>4.6350483246055896E-6</v>
      </c>
      <c r="P1173" s="3">
        <v>1.43907176468392E-5</v>
      </c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</row>
    <row r="1174" spans="1:35" x14ac:dyDescent="0.45">
      <c r="A1174" s="3" t="s">
        <v>88</v>
      </c>
      <c r="B1174" s="3" t="s">
        <v>29</v>
      </c>
      <c r="C1174" s="3" t="s">
        <v>6</v>
      </c>
      <c r="D1174" s="3" t="s">
        <v>11</v>
      </c>
      <c r="E1174" s="3" t="s">
        <v>8</v>
      </c>
      <c r="F1174" s="3">
        <v>0</v>
      </c>
      <c r="G1174" s="3">
        <v>0</v>
      </c>
      <c r="H1174" s="3">
        <v>0</v>
      </c>
      <c r="I1174" s="3">
        <v>2.1543607515181301E-7</v>
      </c>
      <c r="J1174" s="3">
        <v>2.9409774808386802E-7</v>
      </c>
      <c r="K1174" s="3">
        <v>3.1772099836834798E-7</v>
      </c>
      <c r="L1174" s="3">
        <v>3.3937711029484601E-6</v>
      </c>
      <c r="M1174" s="3">
        <v>1.39775955091731E-5</v>
      </c>
      <c r="N1174" s="3">
        <v>2.3242660168706399E-5</v>
      </c>
      <c r="O1174" s="3">
        <v>3.2285283969075298E-5</v>
      </c>
      <c r="P1174" s="3">
        <v>4.6375390188098603E-5</v>
      </c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</row>
    <row r="1175" spans="1:35" x14ac:dyDescent="0.45">
      <c r="A1175" s="3" t="s">
        <v>88</v>
      </c>
      <c r="B1175" s="3" t="s">
        <v>29</v>
      </c>
      <c r="C1175" s="3" t="s">
        <v>6</v>
      </c>
      <c r="D1175" s="3" t="s">
        <v>12</v>
      </c>
      <c r="E1175" s="3" t="s">
        <v>8</v>
      </c>
      <c r="F1175" s="3">
        <v>0</v>
      </c>
      <c r="G1175" s="3">
        <v>0</v>
      </c>
      <c r="H1175" s="3">
        <v>0</v>
      </c>
      <c r="I1175" s="3">
        <v>3.7570087994268099E-7</v>
      </c>
      <c r="J1175" s="3">
        <v>1.8778243769652899E-6</v>
      </c>
      <c r="K1175" s="3">
        <v>1.37854947258911E-5</v>
      </c>
      <c r="L1175" s="3">
        <v>2.3164303424178998E-5</v>
      </c>
      <c r="M1175" s="3">
        <v>5.1015159622988999E-5</v>
      </c>
      <c r="N1175" s="3">
        <v>8.2917725977675496E-5</v>
      </c>
      <c r="O1175" s="3">
        <v>1.1309207476307801E-4</v>
      </c>
      <c r="P1175" s="3">
        <v>1.28214444132241E-4</v>
      </c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</row>
    <row r="1176" spans="1:35" x14ac:dyDescent="0.45">
      <c r="A1176" s="3" t="s">
        <v>88</v>
      </c>
      <c r="B1176" s="3" t="s">
        <v>29</v>
      </c>
      <c r="C1176" s="3" t="s">
        <v>6</v>
      </c>
      <c r="D1176" s="3" t="s">
        <v>13</v>
      </c>
      <c r="E1176" s="3" t="s">
        <v>8</v>
      </c>
      <c r="F1176" s="3">
        <v>0</v>
      </c>
      <c r="G1176" s="3">
        <v>4.4205574406037097E-8</v>
      </c>
      <c r="H1176" s="3">
        <v>4.4205574406037097E-8</v>
      </c>
      <c r="I1176" s="3">
        <v>1.3110676305807801E-5</v>
      </c>
      <c r="J1176" s="3">
        <v>5.8629988081867998E-5</v>
      </c>
      <c r="K1176" s="3">
        <v>9.4405151369230899E-5</v>
      </c>
      <c r="L1176" s="3">
        <v>1.27120255238745E-4</v>
      </c>
      <c r="M1176" s="3">
        <v>1.28151161526347E-4</v>
      </c>
      <c r="N1176" s="3">
        <v>1.2360802425727101E-4</v>
      </c>
      <c r="O1176" s="3">
        <v>1.2105545128860401E-4</v>
      </c>
      <c r="P1176" s="3">
        <v>1.20689415907903E-4</v>
      </c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</row>
    <row r="1177" spans="1:35" x14ac:dyDescent="0.45">
      <c r="A1177" s="3" t="s">
        <v>88</v>
      </c>
      <c r="B1177" s="3" t="s">
        <v>29</v>
      </c>
      <c r="C1177" s="3" t="s">
        <v>6</v>
      </c>
      <c r="D1177" s="3" t="s">
        <v>14</v>
      </c>
      <c r="E1177" s="3" t="s">
        <v>8</v>
      </c>
      <c r="F1177" s="3">
        <v>0</v>
      </c>
      <c r="G1177" s="3">
        <v>1.67392245862806E-6</v>
      </c>
      <c r="H1177" s="3">
        <v>1.67392245862806E-6</v>
      </c>
      <c r="I1177" s="3">
        <v>4.0646063671887699E-5</v>
      </c>
      <c r="J1177" s="3">
        <v>4.2851687695712401E-5</v>
      </c>
      <c r="K1177" s="3">
        <v>4.4578659264464999E-5</v>
      </c>
      <c r="L1177" s="3">
        <v>5.0929263534196601E-5</v>
      </c>
      <c r="M1177" s="3">
        <v>6.5876121004159997E-5</v>
      </c>
      <c r="N1177" s="3">
        <v>8.4550361988553494E-5</v>
      </c>
      <c r="O1177" s="3">
        <v>9.9508502063155695E-5</v>
      </c>
      <c r="P1177" s="3">
        <v>1.09487613802932E-4</v>
      </c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</row>
    <row r="1178" spans="1:35" x14ac:dyDescent="0.45">
      <c r="A1178" s="3" t="s">
        <v>88</v>
      </c>
      <c r="B1178" s="3" t="s">
        <v>29</v>
      </c>
      <c r="C1178" s="3" t="s">
        <v>15</v>
      </c>
      <c r="D1178" s="3" t="s">
        <v>7</v>
      </c>
      <c r="E1178" s="3" t="s">
        <v>8</v>
      </c>
      <c r="F1178" s="3">
        <v>7.0969238458511906E-5</v>
      </c>
      <c r="G1178" s="3">
        <v>7.84150199667318E-5</v>
      </c>
      <c r="H1178" s="3">
        <v>7.84150199667318E-5</v>
      </c>
      <c r="I1178" s="3">
        <v>8.4287393707820605E-5</v>
      </c>
      <c r="J1178" s="3">
        <v>8.8942312819573701E-5</v>
      </c>
      <c r="K1178" s="3">
        <v>9.3342087341202794E-5</v>
      </c>
      <c r="L1178" s="3">
        <v>9.7109337596433306E-5</v>
      </c>
      <c r="M1178" s="3">
        <v>1.0124269546044E-4</v>
      </c>
      <c r="N1178" s="3">
        <v>1.03076665063816E-4</v>
      </c>
      <c r="O1178" s="3">
        <v>1.04995086102531E-4</v>
      </c>
      <c r="P1178" s="3">
        <v>1.0658288133208001E-4</v>
      </c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</row>
    <row r="1179" spans="1:35" x14ac:dyDescent="0.45">
      <c r="A1179" s="3" t="s">
        <v>88</v>
      </c>
      <c r="B1179" s="3" t="s">
        <v>29</v>
      </c>
      <c r="C1179" s="3" t="s">
        <v>15</v>
      </c>
      <c r="D1179" s="3" t="s">
        <v>9</v>
      </c>
      <c r="E1179" s="3" t="s">
        <v>8</v>
      </c>
      <c r="F1179" s="3">
        <v>0</v>
      </c>
      <c r="G1179" s="3">
        <v>-8.6322905246566895E-8</v>
      </c>
      <c r="H1179" s="3">
        <v>-8.6322905246566895E-8</v>
      </c>
      <c r="I1179" s="3">
        <v>-2.5982717759409202E-7</v>
      </c>
      <c r="J1179" s="3">
        <v>-5.35216552287001E-7</v>
      </c>
      <c r="K1179" s="3">
        <v>-1.69611840891866E-7</v>
      </c>
      <c r="L1179" s="3">
        <v>-1.15193864268539E-6</v>
      </c>
      <c r="M1179" s="3">
        <v>-1.6613166792914E-6</v>
      </c>
      <c r="N1179" s="3">
        <v>-1.7371131749922701E-6</v>
      </c>
      <c r="O1179" s="3">
        <v>-2.6987656071133201E-6</v>
      </c>
      <c r="P1179" s="3">
        <v>-3.7361647692872402E-6</v>
      </c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</row>
    <row r="1180" spans="1:35" x14ac:dyDescent="0.45">
      <c r="A1180" s="3" t="s">
        <v>88</v>
      </c>
      <c r="B1180" s="3" t="s">
        <v>29</v>
      </c>
      <c r="C1180" s="3" t="s">
        <v>15</v>
      </c>
      <c r="D1180" s="3" t="s">
        <v>10</v>
      </c>
      <c r="E1180" s="3" t="s">
        <v>8</v>
      </c>
      <c r="F1180" s="3">
        <v>0</v>
      </c>
      <c r="G1180" s="3">
        <v>-1.58383762943509E-9</v>
      </c>
      <c r="H1180" s="3">
        <v>-1.58383762943509E-9</v>
      </c>
      <c r="I1180" s="3">
        <v>-1.04022575831434E-7</v>
      </c>
      <c r="J1180" s="3">
        <v>-3.5512083422154102E-7</v>
      </c>
      <c r="K1180" s="3">
        <v>-5.2638329963168703E-7</v>
      </c>
      <c r="L1180" s="3">
        <v>-1.46839144324606E-7</v>
      </c>
      <c r="M1180" s="3">
        <v>-1.1736762850507201E-6</v>
      </c>
      <c r="N1180" s="3">
        <v>9.4092803869430097E-7</v>
      </c>
      <c r="O1180" s="3">
        <v>5.1351207126523301E-7</v>
      </c>
      <c r="P1180" s="3">
        <v>6.8278604923427899E-7</v>
      </c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</row>
    <row r="1181" spans="1:35" x14ac:dyDescent="0.45">
      <c r="A1181" s="3" t="s">
        <v>88</v>
      </c>
      <c r="B1181" s="3" t="s">
        <v>29</v>
      </c>
      <c r="C1181" s="3" t="s">
        <v>15</v>
      </c>
      <c r="D1181" s="3" t="s">
        <v>11</v>
      </c>
      <c r="E1181" s="3" t="s">
        <v>8</v>
      </c>
      <c r="F1181" s="3">
        <v>0</v>
      </c>
      <c r="G1181" s="3">
        <v>6.2114841315033298E-9</v>
      </c>
      <c r="H1181" s="3">
        <v>6.2114841315033298E-9</v>
      </c>
      <c r="I1181" s="3">
        <v>-1.3112665715832899E-7</v>
      </c>
      <c r="J1181" s="3">
        <v>1.6079968163456301E-7</v>
      </c>
      <c r="K1181" s="3">
        <v>-3.1960584022689798E-7</v>
      </c>
      <c r="L1181" s="3">
        <v>8.6346999816772595E-7</v>
      </c>
      <c r="M1181" s="3">
        <v>2.2251291624557399E-6</v>
      </c>
      <c r="N1181" s="3">
        <v>1.31090183394038E-6</v>
      </c>
      <c r="O1181" s="3">
        <v>1.48613307087152E-6</v>
      </c>
      <c r="P1181" s="3">
        <v>1.68784760947397E-6</v>
      </c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</row>
    <row r="1182" spans="1:35" x14ac:dyDescent="0.45">
      <c r="A1182" s="3" t="s">
        <v>88</v>
      </c>
      <c r="B1182" s="3" t="s">
        <v>29</v>
      </c>
      <c r="C1182" s="3" t="s">
        <v>15</v>
      </c>
      <c r="D1182" s="3" t="s">
        <v>12</v>
      </c>
      <c r="E1182" s="3" t="s">
        <v>8</v>
      </c>
      <c r="F1182" s="3">
        <v>0</v>
      </c>
      <c r="G1182" s="3">
        <v>2.6676295884992101E-9</v>
      </c>
      <c r="H1182" s="3">
        <v>2.6676295884992101E-9</v>
      </c>
      <c r="I1182" s="3">
        <v>-4.4295825130516199E-7</v>
      </c>
      <c r="J1182" s="3">
        <v>-7.2286217861567605E-8</v>
      </c>
      <c r="K1182" s="3">
        <v>3.5245405512332899E-6</v>
      </c>
      <c r="L1182" s="3">
        <v>3.5423341106376898E-6</v>
      </c>
      <c r="M1182" s="3">
        <v>3.4402093963250899E-6</v>
      </c>
      <c r="N1182" s="3">
        <v>2.0713904069562201E-6</v>
      </c>
      <c r="O1182" s="3">
        <v>2.5802819919426101E-6</v>
      </c>
      <c r="P1182" s="3">
        <v>2.5673774400696499E-6</v>
      </c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</row>
    <row r="1183" spans="1:35" x14ac:dyDescent="0.45">
      <c r="A1183" s="3" t="s">
        <v>88</v>
      </c>
      <c r="B1183" s="3" t="s">
        <v>29</v>
      </c>
      <c r="C1183" s="3" t="s">
        <v>15</v>
      </c>
      <c r="D1183" s="3" t="s">
        <v>13</v>
      </c>
      <c r="E1183" s="3" t="s">
        <v>8</v>
      </c>
      <c r="F1183" s="3">
        <v>0</v>
      </c>
      <c r="G1183" s="3">
        <v>-5.7138389278322199E-7</v>
      </c>
      <c r="H1183" s="3">
        <v>-5.7138389278322199E-7</v>
      </c>
      <c r="I1183" s="3">
        <v>4.5592909375971203E-6</v>
      </c>
      <c r="J1183" s="3">
        <v>4.8014269499821098E-6</v>
      </c>
      <c r="K1183" s="3">
        <v>4.8391003041570397E-7</v>
      </c>
      <c r="L1183" s="3">
        <v>-1.6938575001833101E-7</v>
      </c>
      <c r="M1183" s="3">
        <v>3.30571513149419E-7</v>
      </c>
      <c r="N1183" s="3">
        <v>1.9189555459832301E-6</v>
      </c>
      <c r="O1183" s="3">
        <v>2.0024045341085801E-6</v>
      </c>
      <c r="P1183" s="3">
        <v>1.6761241728223201E-6</v>
      </c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</row>
    <row r="1184" spans="1:35" x14ac:dyDescent="0.45">
      <c r="A1184" s="3" t="s">
        <v>88</v>
      </c>
      <c r="B1184" s="3" t="s">
        <v>29</v>
      </c>
      <c r="C1184" s="3" t="s">
        <v>15</v>
      </c>
      <c r="D1184" s="3" t="s">
        <v>14</v>
      </c>
      <c r="E1184" s="3" t="s">
        <v>8</v>
      </c>
      <c r="F1184" s="3">
        <v>0</v>
      </c>
      <c r="G1184" s="3">
        <v>1.3698944036849099E-6</v>
      </c>
      <c r="H1184" s="3">
        <v>1.3698944036849099E-6</v>
      </c>
      <c r="I1184" s="3">
        <v>-2.5442829967080701E-6</v>
      </c>
      <c r="J1184" s="3">
        <v>-4.4787867516375101E-6</v>
      </c>
      <c r="K1184" s="3">
        <v>-5.1141783232358397E-6</v>
      </c>
      <c r="L1184" s="3">
        <v>-6.7312178599637097E-6</v>
      </c>
      <c r="M1184" s="3">
        <v>-7.9115591263175001E-6</v>
      </c>
      <c r="N1184" s="3">
        <v>-7.7365876536788704E-6</v>
      </c>
      <c r="O1184" s="3">
        <v>-6.6578263189627503E-6</v>
      </c>
      <c r="P1184" s="3">
        <v>-6.6707266105770599E-6</v>
      </c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</row>
    <row r="1185" spans="1:35" x14ac:dyDescent="0.45">
      <c r="A1185" s="3" t="s">
        <v>88</v>
      </c>
      <c r="B1185" s="3" t="s">
        <v>29</v>
      </c>
      <c r="C1185" s="3" t="s">
        <v>16</v>
      </c>
      <c r="D1185" s="3" t="s">
        <v>7</v>
      </c>
      <c r="E1185" s="3" t="s">
        <v>8</v>
      </c>
      <c r="F1185" s="3">
        <v>3.02960890792326E-5</v>
      </c>
      <c r="G1185" s="3">
        <v>3.2341140946598503E-5</v>
      </c>
      <c r="H1185" s="3">
        <v>3.2341140946598503E-5</v>
      </c>
      <c r="I1185" s="3">
        <v>3.1270450070330401E-5</v>
      </c>
      <c r="J1185" s="3">
        <v>3.02696668741099E-5</v>
      </c>
      <c r="K1185" s="3">
        <v>2.9854000775370202E-5</v>
      </c>
      <c r="L1185" s="3">
        <v>2.9770640786825298E-5</v>
      </c>
      <c r="M1185" s="3">
        <v>2.9563190097860201E-5</v>
      </c>
      <c r="N1185" s="3">
        <v>2.9508049299626399E-5</v>
      </c>
      <c r="O1185" s="3">
        <v>2.9508049299626501E-5</v>
      </c>
      <c r="P1185" s="3">
        <v>2.9508049299626501E-5</v>
      </c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</row>
    <row r="1186" spans="1:35" x14ac:dyDescent="0.45">
      <c r="A1186" s="3" t="s">
        <v>88</v>
      </c>
      <c r="B1186" s="3" t="s">
        <v>29</v>
      </c>
      <c r="C1186" s="3" t="s">
        <v>16</v>
      </c>
      <c r="D1186" s="3" t="s">
        <v>9</v>
      </c>
      <c r="E1186" s="3" t="s">
        <v>8</v>
      </c>
      <c r="F1186" s="3">
        <v>0</v>
      </c>
      <c r="G1186" s="3">
        <v>-8.0110515577442308E-9</v>
      </c>
      <c r="H1186" s="3">
        <v>-8.0110515577442308E-9</v>
      </c>
      <c r="I1186" s="3">
        <v>0</v>
      </c>
      <c r="J1186" s="3">
        <v>5.7740648525443701E-8</v>
      </c>
      <c r="K1186" s="3">
        <v>9.3037215180583808E-9</v>
      </c>
      <c r="L1186" s="3">
        <v>5.9004998112194898E-8</v>
      </c>
      <c r="M1186" s="3">
        <v>1.1566709236597399E-7</v>
      </c>
      <c r="N1186" s="3">
        <v>-2.4309371035339801E-6</v>
      </c>
      <c r="O1186" s="3">
        <v>-2.43093710353403E-6</v>
      </c>
      <c r="P1186" s="3">
        <v>-2.43093710353403E-6</v>
      </c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</row>
    <row r="1187" spans="1:35" x14ac:dyDescent="0.45">
      <c r="A1187" s="3" t="s">
        <v>88</v>
      </c>
      <c r="B1187" s="3" t="s">
        <v>29</v>
      </c>
      <c r="C1187" s="3" t="s">
        <v>16</v>
      </c>
      <c r="D1187" s="3" t="s">
        <v>10</v>
      </c>
      <c r="E1187" s="3" t="s">
        <v>8</v>
      </c>
      <c r="F1187" s="3">
        <v>0</v>
      </c>
      <c r="G1187" s="3">
        <v>-4.7433845046240801E-20</v>
      </c>
      <c r="H1187" s="3">
        <v>-4.7433845046240801E-20</v>
      </c>
      <c r="I1187" s="3">
        <v>0</v>
      </c>
      <c r="J1187" s="3">
        <v>5.65656291301163E-8</v>
      </c>
      <c r="K1187" s="3">
        <v>1.5618971596344901E-8</v>
      </c>
      <c r="L1187" s="3">
        <v>-2.5322637985508298E-6</v>
      </c>
      <c r="M1187" s="3">
        <v>-2.5093739432877698E-6</v>
      </c>
      <c r="N1187" s="3">
        <v>9.2371050845978401E-8</v>
      </c>
      <c r="O1187" s="3">
        <v>9.2371050845930901E-8</v>
      </c>
      <c r="P1187" s="3">
        <v>9.2371050845978401E-8</v>
      </c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</row>
    <row r="1188" spans="1:35" x14ac:dyDescent="0.45">
      <c r="A1188" s="3" t="s">
        <v>88</v>
      </c>
      <c r="B1188" s="3" t="s">
        <v>29</v>
      </c>
      <c r="C1188" s="3" t="s">
        <v>16</v>
      </c>
      <c r="D1188" s="3" t="s">
        <v>11</v>
      </c>
      <c r="E1188" s="3" t="s">
        <v>8</v>
      </c>
      <c r="F1188" s="3">
        <v>0</v>
      </c>
      <c r="G1188" s="3">
        <v>4.7433845046240801E-20</v>
      </c>
      <c r="H1188" s="3">
        <v>4.7433845046240801E-20</v>
      </c>
      <c r="I1188" s="3">
        <v>0</v>
      </c>
      <c r="J1188" s="3">
        <v>-2.5969177419527498E-6</v>
      </c>
      <c r="K1188" s="3">
        <v>-2.52983992734892E-6</v>
      </c>
      <c r="L1188" s="3">
        <v>4.8242671840572696E-10</v>
      </c>
      <c r="M1188" s="3">
        <v>-1.32273608178341E-7</v>
      </c>
      <c r="N1188" s="3">
        <v>-2.05355477674595E-7</v>
      </c>
      <c r="O1188" s="3">
        <v>-2.0535547767454701E-7</v>
      </c>
      <c r="P1188" s="3">
        <v>-2.05355477674595E-7</v>
      </c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</row>
    <row r="1189" spans="1:35" x14ac:dyDescent="0.45">
      <c r="A1189" s="3" t="s">
        <v>88</v>
      </c>
      <c r="B1189" s="3" t="s">
        <v>29</v>
      </c>
      <c r="C1189" s="3" t="s">
        <v>16</v>
      </c>
      <c r="D1189" s="3" t="s">
        <v>12</v>
      </c>
      <c r="E1189" s="3" t="s">
        <v>8</v>
      </c>
      <c r="F1189" s="3">
        <v>0</v>
      </c>
      <c r="G1189" s="3">
        <v>-1.5347857027761399E-8</v>
      </c>
      <c r="H1189" s="3">
        <v>-1.5347857027761399E-8</v>
      </c>
      <c r="I1189" s="3">
        <v>-2.7365713917408399E-6</v>
      </c>
      <c r="J1189" s="3">
        <v>1.3691972809446501E-7</v>
      </c>
      <c r="K1189" s="3">
        <v>-5.1177022068678599E-8</v>
      </c>
      <c r="L1189" s="3">
        <v>-3.2281998819623401E-7</v>
      </c>
      <c r="M1189" s="3">
        <v>-7.6885146289252596E-8</v>
      </c>
      <c r="N1189" s="3">
        <v>-4.3917086372689504E-9</v>
      </c>
      <c r="O1189" s="3">
        <v>-5.5937707986331197E-9</v>
      </c>
      <c r="P1189" s="3">
        <v>-6.2018369467324604E-9</v>
      </c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</row>
    <row r="1190" spans="1:35" x14ac:dyDescent="0.45">
      <c r="A1190" s="3" t="s">
        <v>88</v>
      </c>
      <c r="B1190" s="3" t="s">
        <v>29</v>
      </c>
      <c r="C1190" s="3" t="s">
        <v>16</v>
      </c>
      <c r="D1190" s="3" t="s">
        <v>13</v>
      </c>
      <c r="E1190" s="3" t="s">
        <v>8</v>
      </c>
      <c r="F1190" s="3">
        <v>0</v>
      </c>
      <c r="G1190" s="3">
        <v>2.3358908585505699E-8</v>
      </c>
      <c r="H1190" s="3">
        <v>2.3358908585505699E-8</v>
      </c>
      <c r="I1190" s="3">
        <v>-4.9342579254941604E-7</v>
      </c>
      <c r="J1190" s="3">
        <v>-9.3531268621774605E-7</v>
      </c>
      <c r="K1190" s="3">
        <v>-3.3983010229869203E-7</v>
      </c>
      <c r="L1190" s="3">
        <v>-1.7123068408643901E-8</v>
      </c>
      <c r="M1190" s="3">
        <v>-2.4046865733087701E-9</v>
      </c>
      <c r="N1190" s="3">
        <v>-1.8162702351054999E-9</v>
      </c>
      <c r="O1190" s="3">
        <v>-6.14208228802573E-10</v>
      </c>
      <c r="P1190" s="3">
        <v>-6.1420822719321003E-12</v>
      </c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</row>
    <row r="1191" spans="1:35" x14ac:dyDescent="0.45">
      <c r="A1191" s="3" t="s">
        <v>88</v>
      </c>
      <c r="B1191" s="3" t="s">
        <v>29</v>
      </c>
      <c r="C1191" s="3" t="s">
        <v>16</v>
      </c>
      <c r="D1191" s="3" t="s">
        <v>14</v>
      </c>
      <c r="E1191" s="3" t="s">
        <v>8</v>
      </c>
      <c r="F1191" s="3">
        <v>0</v>
      </c>
      <c r="G1191" s="3">
        <v>-2.7088407904365402E-6</v>
      </c>
      <c r="H1191" s="3">
        <v>-2.7088407904365402E-6</v>
      </c>
      <c r="I1191" s="3">
        <v>-1.0709161868119E-6</v>
      </c>
      <c r="J1191" s="3">
        <v>-3.0671996365438803E-8</v>
      </c>
      <c r="K1191" s="3">
        <v>-1.5591988266030699E-10</v>
      </c>
      <c r="L1191" s="3">
        <v>-1.55919884208683E-12</v>
      </c>
      <c r="M1191" s="3">
        <v>-1.55919690407545E-14</v>
      </c>
      <c r="N1191" s="3">
        <v>-1.5591843679878301E-16</v>
      </c>
      <c r="O1191" s="3">
        <v>-1.56870501831496E-18</v>
      </c>
      <c r="P1191" s="3">
        <v>0</v>
      </c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</row>
    <row r="1192" spans="1:35" x14ac:dyDescent="0.45">
      <c r="A1192" s="3" t="s">
        <v>88</v>
      </c>
      <c r="B1192" s="3" t="s">
        <v>29</v>
      </c>
      <c r="C1192" s="3" t="s">
        <v>17</v>
      </c>
      <c r="D1192" s="3" t="s">
        <v>7</v>
      </c>
      <c r="E1192" s="3" t="s">
        <v>8</v>
      </c>
      <c r="F1192" s="3">
        <v>5.3687530210058004E-6</v>
      </c>
      <c r="G1192" s="3">
        <v>1.23067302049983E-5</v>
      </c>
      <c r="H1192" s="3">
        <v>1.23067302049983E-5</v>
      </c>
      <c r="I1192" s="3">
        <v>1.6349116413117998E-5</v>
      </c>
      <c r="J1192" s="3">
        <v>2.1615593329143899E-5</v>
      </c>
      <c r="K1192" s="3">
        <v>2.8665859282198199E-5</v>
      </c>
      <c r="L1192" s="3">
        <v>2.3074821041307E-5</v>
      </c>
      <c r="M1192" s="3">
        <v>1.8696733421076799E-5</v>
      </c>
      <c r="N1192" s="3">
        <v>1.51090698192808E-5</v>
      </c>
      <c r="O1192" s="3">
        <v>1.22890011028361E-5</v>
      </c>
      <c r="P1192" s="3">
        <v>1.0695597382550099E-5</v>
      </c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</row>
    <row r="1193" spans="1:35" x14ac:dyDescent="0.45">
      <c r="A1193" s="3" t="s">
        <v>88</v>
      </c>
      <c r="B1193" s="3" t="s">
        <v>29</v>
      </c>
      <c r="C1193" s="3" t="s">
        <v>17</v>
      </c>
      <c r="D1193" s="3" t="s">
        <v>9</v>
      </c>
      <c r="E1193" s="3" t="s">
        <v>8</v>
      </c>
      <c r="F1193" s="3">
        <v>0</v>
      </c>
      <c r="G1193" s="3">
        <v>3.8320930177031199E-7</v>
      </c>
      <c r="H1193" s="3">
        <v>3.8320930177031199E-7</v>
      </c>
      <c r="I1193" s="3">
        <v>1.2266931403936599E-7</v>
      </c>
      <c r="J1193" s="3">
        <v>2.1829944250386498E-6</v>
      </c>
      <c r="K1193" s="3">
        <v>2.9940704773982899E-6</v>
      </c>
      <c r="L1193" s="3">
        <v>4.13351919948813E-6</v>
      </c>
      <c r="M1193" s="3">
        <v>5.0386476197705598E-6</v>
      </c>
      <c r="N1193" s="3">
        <v>1.5209037281764399E-5</v>
      </c>
      <c r="O1193" s="3">
        <v>1.69378767073893E-5</v>
      </c>
      <c r="P1193" s="3">
        <v>1.7820542449095101E-5</v>
      </c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</row>
    <row r="1194" spans="1:35" x14ac:dyDescent="0.45">
      <c r="A1194" s="3" t="s">
        <v>88</v>
      </c>
      <c r="B1194" s="3" t="s">
        <v>29</v>
      </c>
      <c r="C1194" s="3" t="s">
        <v>17</v>
      </c>
      <c r="D1194" s="3" t="s">
        <v>10</v>
      </c>
      <c r="E1194" s="3" t="s">
        <v>8</v>
      </c>
      <c r="F1194" s="3">
        <v>0</v>
      </c>
      <c r="G1194" s="3">
        <v>1.1080976022277E-7</v>
      </c>
      <c r="H1194" s="3">
        <v>1.1080976022277E-7</v>
      </c>
      <c r="I1194" s="3">
        <v>9.6959539193397697E-7</v>
      </c>
      <c r="J1194" s="3">
        <v>7.5752702160993998E-7</v>
      </c>
      <c r="K1194" s="3">
        <v>1.86773298587118E-6</v>
      </c>
      <c r="L1194" s="3">
        <v>1.1854303104082999E-5</v>
      </c>
      <c r="M1194" s="3">
        <v>1.2675313058680101E-5</v>
      </c>
      <c r="N1194" s="3">
        <v>1.20705253861163E-5</v>
      </c>
      <c r="O1194" s="3">
        <v>1.2418417406960399E-5</v>
      </c>
      <c r="P1194" s="3">
        <v>3.12447743885436E-5</v>
      </c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</row>
    <row r="1195" spans="1:35" x14ac:dyDescent="0.45">
      <c r="A1195" s="3" t="s">
        <v>88</v>
      </c>
      <c r="B1195" s="3" t="s">
        <v>29</v>
      </c>
      <c r="C1195" s="3" t="s">
        <v>17</v>
      </c>
      <c r="D1195" s="3" t="s">
        <v>11</v>
      </c>
      <c r="E1195" s="3" t="s">
        <v>8</v>
      </c>
      <c r="F1195" s="3">
        <v>0</v>
      </c>
      <c r="G1195" s="3">
        <v>1.05293482593887E-7</v>
      </c>
      <c r="H1195" s="3">
        <v>1.05293482593887E-7</v>
      </c>
      <c r="I1195" s="3">
        <v>6.2537575960794702E-7</v>
      </c>
      <c r="J1195" s="3">
        <v>1.0879599415032199E-5</v>
      </c>
      <c r="K1195" s="3">
        <v>1.3938904406337099E-5</v>
      </c>
      <c r="L1195" s="3">
        <v>1.07515594856295E-5</v>
      </c>
      <c r="M1195" s="3">
        <v>2.4221555141759701E-5</v>
      </c>
      <c r="N1195" s="3">
        <v>1.96793379839096E-5</v>
      </c>
      <c r="O1195" s="3">
        <v>2.0826333783860001E-5</v>
      </c>
      <c r="P1195" s="3">
        <v>3.46443684754424E-6</v>
      </c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</row>
    <row r="1196" spans="1:35" x14ac:dyDescent="0.45">
      <c r="A1196" s="3" t="s">
        <v>88</v>
      </c>
      <c r="B1196" s="3" t="s">
        <v>29</v>
      </c>
      <c r="C1196" s="3" t="s">
        <v>17</v>
      </c>
      <c r="D1196" s="3" t="s">
        <v>12</v>
      </c>
      <c r="E1196" s="3" t="s">
        <v>8</v>
      </c>
      <c r="F1196" s="3">
        <v>0</v>
      </c>
      <c r="G1196" s="3">
        <v>1.6059389147494399E-7</v>
      </c>
      <c r="H1196" s="3">
        <v>1.6059389147494399E-7</v>
      </c>
      <c r="I1196" s="3">
        <v>9.8894969926640806E-6</v>
      </c>
      <c r="J1196" s="3">
        <v>8.2796968499205999E-6</v>
      </c>
      <c r="K1196" s="3">
        <v>1.13368606644914E-5</v>
      </c>
      <c r="L1196" s="3">
        <v>1.20167588373977E-5</v>
      </c>
      <c r="M1196" s="3">
        <v>3.7146529600620399E-6</v>
      </c>
      <c r="N1196" s="3">
        <v>4.64117779865019E-6</v>
      </c>
      <c r="O1196" s="3">
        <v>5.5592368473217501E-6</v>
      </c>
      <c r="P1196" s="3">
        <v>5.3031927552141998E-6</v>
      </c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</row>
    <row r="1197" spans="1:35" x14ac:dyDescent="0.45">
      <c r="A1197" s="3" t="s">
        <v>88</v>
      </c>
      <c r="B1197" s="3" t="s">
        <v>29</v>
      </c>
      <c r="C1197" s="3" t="s">
        <v>17</v>
      </c>
      <c r="D1197" s="3" t="s">
        <v>13</v>
      </c>
      <c r="E1197" s="3" t="s">
        <v>8</v>
      </c>
      <c r="F1197" s="3">
        <v>0</v>
      </c>
      <c r="G1197" s="3">
        <v>1.90129801968571E-6</v>
      </c>
      <c r="H1197" s="3">
        <v>1.90129801968571E-6</v>
      </c>
      <c r="I1197" s="3">
        <v>2.6084635590897099E-5</v>
      </c>
      <c r="J1197" s="3">
        <v>2.0600369649368599E-5</v>
      </c>
      <c r="K1197" s="3">
        <v>9.2189561976854593E-6</v>
      </c>
      <c r="L1197" s="3">
        <v>7.01315639874872E-6</v>
      </c>
      <c r="M1197" s="3">
        <v>4.7097065050746297E-6</v>
      </c>
      <c r="N1197" s="3">
        <v>2.3494800539908901E-6</v>
      </c>
      <c r="O1197" s="3">
        <v>1.0282227842954199E-6</v>
      </c>
      <c r="P1197" s="3">
        <v>5.3059150595333203E-7</v>
      </c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</row>
    <row r="1198" spans="1:35" x14ac:dyDescent="0.45">
      <c r="A1198" s="3" t="s">
        <v>88</v>
      </c>
      <c r="B1198" s="3" t="s">
        <v>29</v>
      </c>
      <c r="C1198" s="3" t="s">
        <v>17</v>
      </c>
      <c r="D1198" s="3" t="s">
        <v>14</v>
      </c>
      <c r="E1198" s="3" t="s">
        <v>8</v>
      </c>
      <c r="F1198" s="3">
        <v>0</v>
      </c>
      <c r="G1198" s="3">
        <v>9.0933404371455108E-6</v>
      </c>
      <c r="H1198" s="3">
        <v>9.0933404371455108E-6</v>
      </c>
      <c r="I1198" s="3">
        <v>1.2880060219245799E-5</v>
      </c>
      <c r="J1198" s="3">
        <v>4.6377996963949999E-6</v>
      </c>
      <c r="K1198" s="3">
        <v>1.0358443162217701E-6</v>
      </c>
      <c r="L1198" s="3">
        <v>2.1501500811975799E-7</v>
      </c>
      <c r="M1198" s="3">
        <v>2.5596935070804999E-9</v>
      </c>
      <c r="N1198" s="3">
        <v>5.4009875619185504E-10</v>
      </c>
      <c r="O1198" s="3">
        <v>7.9790030078951205E-11</v>
      </c>
      <c r="P1198" s="3">
        <v>3.3093794984126797E-11</v>
      </c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</row>
    <row r="1199" spans="1:35" x14ac:dyDescent="0.45">
      <c r="A1199" s="3" t="s">
        <v>88</v>
      </c>
      <c r="B1199" s="3" t="s">
        <v>29</v>
      </c>
      <c r="C1199" s="3" t="s">
        <v>18</v>
      </c>
      <c r="D1199" s="3" t="s">
        <v>7</v>
      </c>
      <c r="E1199" s="3" t="s">
        <v>8</v>
      </c>
      <c r="F1199" s="3">
        <v>5.4830001921556401E-5</v>
      </c>
      <c r="G1199" s="3">
        <v>4.0980166737661801E-5</v>
      </c>
      <c r="H1199" s="3">
        <v>4.0980166737661801E-5</v>
      </c>
      <c r="I1199" s="3">
        <v>2.7320111158441199E-5</v>
      </c>
      <c r="J1199" s="3">
        <v>1.3660055579220599E-5</v>
      </c>
      <c r="K1199" s="3">
        <v>0</v>
      </c>
      <c r="L1199" s="3">
        <v>3.1684018347259398E-20</v>
      </c>
      <c r="M1199" s="3">
        <v>0</v>
      </c>
      <c r="N1199" s="3">
        <v>5.28066972454325E-21</v>
      </c>
      <c r="O1199" s="3">
        <v>0</v>
      </c>
      <c r="P1199" s="3">
        <v>2.1122678898173E-20</v>
      </c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</row>
    <row r="1200" spans="1:35" x14ac:dyDescent="0.45">
      <c r="A1200" s="3" t="s">
        <v>88</v>
      </c>
      <c r="B1200" s="3" t="s">
        <v>29</v>
      </c>
      <c r="C1200" s="3" t="s">
        <v>18</v>
      </c>
      <c r="D1200" s="3" t="s">
        <v>9</v>
      </c>
      <c r="E1200" s="3" t="s">
        <v>8</v>
      </c>
      <c r="F1200" s="3">
        <v>0</v>
      </c>
      <c r="G1200" s="3">
        <v>0</v>
      </c>
      <c r="H1200" s="3">
        <v>0</v>
      </c>
      <c r="I1200" s="3">
        <v>0</v>
      </c>
      <c r="J1200" s="3">
        <v>-4.7433845046240801E-20</v>
      </c>
      <c r="K1200" s="3">
        <v>0</v>
      </c>
      <c r="L1200" s="3">
        <v>-1.05613394490865E-20</v>
      </c>
      <c r="M1200" s="3">
        <v>5.28066972454325E-21</v>
      </c>
      <c r="N1200" s="3">
        <v>-5.28066972454325E-21</v>
      </c>
      <c r="O1200" s="3">
        <v>5.28066972454325E-21</v>
      </c>
      <c r="P1200" s="3">
        <v>-2.1122678898173E-20</v>
      </c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</row>
    <row r="1201" spans="1:35" x14ac:dyDescent="0.45">
      <c r="A1201" s="3" t="s">
        <v>88</v>
      </c>
      <c r="B1201" s="3" t="s">
        <v>29</v>
      </c>
      <c r="C1201" s="3" t="s">
        <v>18</v>
      </c>
      <c r="D1201" s="3" t="s">
        <v>10</v>
      </c>
      <c r="E1201" s="3" t="s">
        <v>8</v>
      </c>
      <c r="F1201" s="3">
        <v>0</v>
      </c>
      <c r="G1201" s="3">
        <v>0</v>
      </c>
      <c r="H1201" s="3">
        <v>0</v>
      </c>
      <c r="I1201" s="3">
        <v>0</v>
      </c>
      <c r="J1201" s="3">
        <v>4.7433845046240801E-20</v>
      </c>
      <c r="K1201" s="3">
        <v>3.1684018347259398E-20</v>
      </c>
      <c r="L1201" s="3">
        <v>-2.1122678898173E-20</v>
      </c>
      <c r="M1201" s="3">
        <v>-5.28066972454325E-21</v>
      </c>
      <c r="N1201" s="3">
        <v>0</v>
      </c>
      <c r="O1201" s="3">
        <v>-5.28066972454325E-21</v>
      </c>
      <c r="P1201" s="3">
        <v>0</v>
      </c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</row>
    <row r="1202" spans="1:35" x14ac:dyDescent="0.45">
      <c r="A1202" s="3" t="s">
        <v>88</v>
      </c>
      <c r="B1202" s="3" t="s">
        <v>29</v>
      </c>
      <c r="C1202" s="3" t="s">
        <v>18</v>
      </c>
      <c r="D1202" s="3" t="s">
        <v>11</v>
      </c>
      <c r="E1202" s="3" t="s">
        <v>8</v>
      </c>
      <c r="F1202" s="3">
        <v>0</v>
      </c>
      <c r="G1202" s="3">
        <v>4.7433845046240801E-20</v>
      </c>
      <c r="H1202" s="3">
        <v>4.7433845046240801E-20</v>
      </c>
      <c r="I1202" s="3">
        <v>0</v>
      </c>
      <c r="J1202" s="3">
        <v>0</v>
      </c>
      <c r="K1202" s="3">
        <v>-1.05613394490865E-20</v>
      </c>
      <c r="L1202" s="3">
        <v>1.05613394490865E-20</v>
      </c>
      <c r="M1202" s="3">
        <v>2.6403348622716199E-20</v>
      </c>
      <c r="N1202" s="3">
        <v>5.28066972454325E-21</v>
      </c>
      <c r="O1202" s="3">
        <v>3.1684018347259398E-20</v>
      </c>
      <c r="P1202" s="3">
        <v>0</v>
      </c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</row>
    <row r="1203" spans="1:35" x14ac:dyDescent="0.45">
      <c r="A1203" s="3" t="s">
        <v>88</v>
      </c>
      <c r="B1203" s="3" t="s">
        <v>29</v>
      </c>
      <c r="C1203" s="3" t="s">
        <v>18</v>
      </c>
      <c r="D1203" s="3" t="s">
        <v>12</v>
      </c>
      <c r="E1203" s="3" t="s">
        <v>8</v>
      </c>
      <c r="F1203" s="3">
        <v>0</v>
      </c>
      <c r="G1203" s="3">
        <v>0</v>
      </c>
      <c r="H1203" s="3">
        <v>0</v>
      </c>
      <c r="I1203" s="3">
        <v>4.7433845046240801E-20</v>
      </c>
      <c r="J1203" s="3">
        <v>4.7433845046240801E-20</v>
      </c>
      <c r="K1203" s="3">
        <v>-2.1122678898173E-20</v>
      </c>
      <c r="L1203" s="3">
        <v>-1.05613394490865E-20</v>
      </c>
      <c r="M1203" s="3">
        <v>2.1122678898173E-20</v>
      </c>
      <c r="N1203" s="3">
        <v>2.1122678898172901E-20</v>
      </c>
      <c r="O1203" s="3">
        <v>1.5842009173629699E-20</v>
      </c>
      <c r="P1203" s="3">
        <v>0</v>
      </c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</row>
    <row r="1204" spans="1:35" x14ac:dyDescent="0.45">
      <c r="A1204" s="3" t="s">
        <v>88</v>
      </c>
      <c r="B1204" s="3" t="s">
        <v>29</v>
      </c>
      <c r="C1204" s="3" t="s">
        <v>18</v>
      </c>
      <c r="D1204" s="3" t="s">
        <v>13</v>
      </c>
      <c r="E1204" s="3" t="s">
        <v>8</v>
      </c>
      <c r="F1204" s="3">
        <v>0</v>
      </c>
      <c r="G1204" s="3">
        <v>0</v>
      </c>
      <c r="H1204" s="3">
        <v>0</v>
      </c>
      <c r="I1204" s="3">
        <v>-4.7433845046240801E-20</v>
      </c>
      <c r="J1204" s="3">
        <v>4.7433845046240801E-20</v>
      </c>
      <c r="K1204" s="3">
        <v>1.05613394490865E-20</v>
      </c>
      <c r="L1204" s="3">
        <v>2.1122678898173E-20</v>
      </c>
      <c r="M1204" s="3">
        <v>-1.05613394490865E-20</v>
      </c>
      <c r="N1204" s="3">
        <v>-5.2806697245432004E-21</v>
      </c>
      <c r="O1204" s="3">
        <v>-3.6964688071802699E-20</v>
      </c>
      <c r="P1204" s="3">
        <v>3.1684018347259398E-20</v>
      </c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</row>
    <row r="1205" spans="1:35" x14ac:dyDescent="0.45">
      <c r="A1205" s="3" t="s">
        <v>88</v>
      </c>
      <c r="B1205" s="3" t="s">
        <v>29</v>
      </c>
      <c r="C1205" s="3" t="s">
        <v>18</v>
      </c>
      <c r="D1205" s="3" t="s">
        <v>14</v>
      </c>
      <c r="E1205" s="3" t="s">
        <v>8</v>
      </c>
      <c r="F1205" s="3">
        <v>0</v>
      </c>
      <c r="G1205" s="3">
        <v>0</v>
      </c>
      <c r="H1205" s="3">
        <v>0</v>
      </c>
      <c r="I1205" s="3">
        <v>0</v>
      </c>
      <c r="J1205" s="3">
        <v>-9.4867690092481602E-20</v>
      </c>
      <c r="K1205" s="3">
        <v>-1.05613394490865E-20</v>
      </c>
      <c r="L1205" s="3">
        <v>3.1684018347259602E-20</v>
      </c>
      <c r="M1205" s="3">
        <v>2.6403348622716301E-20</v>
      </c>
      <c r="N1205" s="3">
        <v>-2.1122678898173E-20</v>
      </c>
      <c r="O1205" s="3">
        <v>-1.05613394490865E-20</v>
      </c>
      <c r="P1205" s="3">
        <v>5.2806697245432302E-20</v>
      </c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</row>
    <row r="1206" spans="1:35" x14ac:dyDescent="0.45">
      <c r="A1206" s="3" t="s">
        <v>88</v>
      </c>
      <c r="B1206" s="3" t="s">
        <v>29</v>
      </c>
      <c r="C1206" s="3" t="s">
        <v>19</v>
      </c>
      <c r="D1206" s="3" t="s">
        <v>7</v>
      </c>
      <c r="E1206" s="3" t="s">
        <v>8</v>
      </c>
      <c r="F1206" s="3">
        <v>1.9778870803897202E-6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1.05868394841608E-7</v>
      </c>
      <c r="O1206" s="3">
        <v>0</v>
      </c>
      <c r="P1206" s="3">
        <v>3.3100245154253999E-7</v>
      </c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</row>
    <row r="1207" spans="1:35" x14ac:dyDescent="0.45">
      <c r="A1207" s="3" t="s">
        <v>88</v>
      </c>
      <c r="B1207" s="3" t="s">
        <v>29</v>
      </c>
      <c r="C1207" s="3" t="s">
        <v>19</v>
      </c>
      <c r="D1207" s="3" t="s">
        <v>9</v>
      </c>
      <c r="E1207" s="3" t="s">
        <v>8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6.2220762394076695E-7</v>
      </c>
      <c r="O1207" s="3">
        <v>7.4898094717899095E-7</v>
      </c>
      <c r="P1207" s="3">
        <v>4.0768614105847598E-7</v>
      </c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</row>
    <row r="1208" spans="1:35" x14ac:dyDescent="0.45">
      <c r="A1208" s="3" t="s">
        <v>88</v>
      </c>
      <c r="B1208" s="3" t="s">
        <v>29</v>
      </c>
      <c r="C1208" s="3" t="s">
        <v>19</v>
      </c>
      <c r="D1208" s="3" t="s">
        <v>10</v>
      </c>
      <c r="E1208" s="3" t="s">
        <v>8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3.60558027692974E-7</v>
      </c>
      <c r="M1208" s="3">
        <v>6.0900930176854198E-7</v>
      </c>
      <c r="N1208" s="3">
        <v>4.1420358987136497E-6</v>
      </c>
      <c r="O1208" s="3">
        <v>5.6162137780845097E-6</v>
      </c>
      <c r="P1208" s="3">
        <v>7.4133675588187102E-6</v>
      </c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</row>
    <row r="1209" spans="1:35" x14ac:dyDescent="0.45">
      <c r="A1209" s="3" t="s">
        <v>88</v>
      </c>
      <c r="B1209" s="3" t="s">
        <v>29</v>
      </c>
      <c r="C1209" s="3" t="s">
        <v>19</v>
      </c>
      <c r="D1209" s="3" t="s">
        <v>11</v>
      </c>
      <c r="E1209" s="3" t="s">
        <v>8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4.9217880472431404E-6</v>
      </c>
      <c r="M1209" s="3">
        <v>8.7127783585142001E-6</v>
      </c>
      <c r="N1209" s="3">
        <v>9.6289436649334094E-6</v>
      </c>
      <c r="O1209" s="3">
        <v>1.01015348418736E-5</v>
      </c>
      <c r="P1209" s="3">
        <v>9.7359264646106706E-6</v>
      </c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</row>
    <row r="1210" spans="1:35" x14ac:dyDescent="0.45">
      <c r="A1210" s="3" t="s">
        <v>88</v>
      </c>
      <c r="B1210" s="3" t="s">
        <v>29</v>
      </c>
      <c r="C1210" s="3" t="s">
        <v>19</v>
      </c>
      <c r="D1210" s="3" t="s">
        <v>12</v>
      </c>
      <c r="E1210" s="3" t="s">
        <v>8</v>
      </c>
      <c r="F1210" s="3">
        <v>0</v>
      </c>
      <c r="G1210" s="3">
        <v>0</v>
      </c>
      <c r="H1210" s="3">
        <v>0</v>
      </c>
      <c r="I1210" s="3">
        <v>0</v>
      </c>
      <c r="J1210" s="3">
        <v>4.1276095187158403E-6</v>
      </c>
      <c r="K1210" s="3">
        <v>7.10741341402908E-6</v>
      </c>
      <c r="L1210" s="3">
        <v>1.21404478280673E-5</v>
      </c>
      <c r="M1210" s="3">
        <v>1.0873368514360201E-5</v>
      </c>
      <c r="N1210" s="3">
        <v>1.07403397398678E-5</v>
      </c>
      <c r="O1210" s="3">
        <v>1.1236443240004399E-5</v>
      </c>
      <c r="P1210" s="3">
        <v>1.06037252504538E-5</v>
      </c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</row>
    <row r="1211" spans="1:35" x14ac:dyDescent="0.45">
      <c r="A1211" s="3" t="s">
        <v>88</v>
      </c>
      <c r="B1211" s="3" t="s">
        <v>29</v>
      </c>
      <c r="C1211" s="3" t="s">
        <v>19</v>
      </c>
      <c r="D1211" s="3" t="s">
        <v>13</v>
      </c>
      <c r="E1211" s="3" t="s">
        <v>8</v>
      </c>
      <c r="F1211" s="3">
        <v>0</v>
      </c>
      <c r="G1211" s="3">
        <v>0</v>
      </c>
      <c r="H1211" s="3">
        <v>0</v>
      </c>
      <c r="I1211" s="3">
        <v>9.4781714454503892E-6</v>
      </c>
      <c r="J1211" s="3">
        <v>3.5935622146100202E-5</v>
      </c>
      <c r="K1211" s="3">
        <v>3.7418681982430997E-5</v>
      </c>
      <c r="L1211" s="3">
        <v>2.4570433028471601E-5</v>
      </c>
      <c r="M1211" s="3">
        <v>1.5973957296588199E-5</v>
      </c>
      <c r="N1211" s="3">
        <v>6.0153417426146798E-6</v>
      </c>
      <c r="O1211" s="3">
        <v>2.8435577621212198E-6</v>
      </c>
      <c r="P1211" s="3">
        <v>1.2875758494216599E-6</v>
      </c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</row>
    <row r="1212" spans="1:35" x14ac:dyDescent="0.45">
      <c r="A1212" s="3" t="s">
        <v>88</v>
      </c>
      <c r="B1212" s="3" t="s">
        <v>29</v>
      </c>
      <c r="C1212" s="3" t="s">
        <v>19</v>
      </c>
      <c r="D1212" s="3" t="s">
        <v>14</v>
      </c>
      <c r="E1212" s="3" t="s">
        <v>8</v>
      </c>
      <c r="F1212" s="3">
        <v>0</v>
      </c>
      <c r="G1212" s="3">
        <v>3.9514908252598496E-6</v>
      </c>
      <c r="H1212" s="3">
        <v>3.9514908252598496E-6</v>
      </c>
      <c r="I1212" s="3">
        <v>5.8493776777344701E-5</v>
      </c>
      <c r="J1212" s="3">
        <v>2.6561022665080799E-5</v>
      </c>
      <c r="K1212" s="3">
        <v>1.5424620832745202E-5</v>
      </c>
      <c r="L1212" s="3">
        <v>1.48427420299836E-5</v>
      </c>
      <c r="M1212" s="3">
        <v>1.6608089652289801E-5</v>
      </c>
      <c r="N1212" s="3">
        <v>1.5837069214488302E-5</v>
      </c>
      <c r="O1212" s="3">
        <v>1.3075487846439301E-5</v>
      </c>
      <c r="P1212" s="3">
        <v>1.3309493660673399E-5</v>
      </c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</row>
    <row r="1213" spans="1:35" x14ac:dyDescent="0.45">
      <c r="A1213" s="3" t="s">
        <v>88</v>
      </c>
      <c r="B1213" s="3" t="s">
        <v>5</v>
      </c>
      <c r="C1213" s="3" t="s">
        <v>6</v>
      </c>
      <c r="D1213" s="3" t="s">
        <v>7</v>
      </c>
      <c r="E1213" s="3" t="s">
        <v>8</v>
      </c>
      <c r="F1213" s="3">
        <v>8.9976614504639292E-6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</row>
    <row r="1214" spans="1:35" x14ac:dyDescent="0.45">
      <c r="A1214" s="3" t="s">
        <v>88</v>
      </c>
      <c r="B1214" s="3" t="s">
        <v>5</v>
      </c>
      <c r="C1214" s="3" t="s">
        <v>6</v>
      </c>
      <c r="D1214" s="3" t="s">
        <v>9</v>
      </c>
      <c r="E1214" s="3" t="s">
        <v>8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</row>
    <row r="1215" spans="1:35" x14ac:dyDescent="0.45">
      <c r="A1215" s="3" t="s">
        <v>88</v>
      </c>
      <c r="B1215" s="3" t="s">
        <v>5</v>
      </c>
      <c r="C1215" s="3" t="s">
        <v>6</v>
      </c>
      <c r="D1215" s="3" t="s">
        <v>10</v>
      </c>
      <c r="E1215" s="3" t="s">
        <v>8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8.9909278115974097E-6</v>
      </c>
      <c r="N1215" s="3">
        <v>4.8787141450557599E-4</v>
      </c>
      <c r="O1215" s="3">
        <v>1.9503512725439799E-3</v>
      </c>
      <c r="P1215" s="3">
        <v>2.28787560276937E-3</v>
      </c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</row>
    <row r="1216" spans="1:35" x14ac:dyDescent="0.45">
      <c r="A1216" s="3" t="s">
        <v>88</v>
      </c>
      <c r="B1216" s="3" t="s">
        <v>5</v>
      </c>
      <c r="C1216" s="3" t="s">
        <v>6</v>
      </c>
      <c r="D1216" s="3" t="s">
        <v>11</v>
      </c>
      <c r="E1216" s="3" t="s">
        <v>8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1.27040741561363E-3</v>
      </c>
      <c r="M1216" s="3">
        <v>2.2302404441992101E-3</v>
      </c>
      <c r="N1216" s="3">
        <v>2.2583962020748301E-3</v>
      </c>
      <c r="O1216" s="3">
        <v>2.1431345556878799E-3</v>
      </c>
      <c r="P1216" s="3">
        <v>5.2915601462259296E-3</v>
      </c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</row>
    <row r="1217" spans="1:35" x14ac:dyDescent="0.45">
      <c r="A1217" s="3" t="s">
        <v>88</v>
      </c>
      <c r="B1217" s="3" t="s">
        <v>5</v>
      </c>
      <c r="C1217" s="3" t="s">
        <v>6</v>
      </c>
      <c r="D1217" s="3" t="s">
        <v>12</v>
      </c>
      <c r="E1217" s="3" t="s">
        <v>8</v>
      </c>
      <c r="F1217" s="3">
        <v>0</v>
      </c>
      <c r="G1217" s="3">
        <v>0</v>
      </c>
      <c r="H1217" s="3">
        <v>0</v>
      </c>
      <c r="I1217" s="3">
        <v>0</v>
      </c>
      <c r="J1217" s="3">
        <v>5.1052232846376196E-4</v>
      </c>
      <c r="K1217" s="3">
        <v>2.2537125540609501E-3</v>
      </c>
      <c r="L1217" s="3">
        <v>2.8766099498240502E-3</v>
      </c>
      <c r="M1217" s="3">
        <v>6.5406369326376397E-3</v>
      </c>
      <c r="N1217" s="3">
        <v>9.6696472224476002E-3</v>
      </c>
      <c r="O1217" s="3">
        <v>1.1416605470293301E-2</v>
      </c>
      <c r="P1217" s="3">
        <v>1.01449858944193E-2</v>
      </c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</row>
    <row r="1218" spans="1:35" x14ac:dyDescent="0.45">
      <c r="A1218" s="3" t="s">
        <v>88</v>
      </c>
      <c r="B1218" s="3" t="s">
        <v>5</v>
      </c>
      <c r="C1218" s="3" t="s">
        <v>6</v>
      </c>
      <c r="D1218" s="3" t="s">
        <v>13</v>
      </c>
      <c r="E1218" s="3" t="s">
        <v>8</v>
      </c>
      <c r="F1218" s="3">
        <v>0</v>
      </c>
      <c r="G1218" s="3">
        <v>0</v>
      </c>
      <c r="H1218" s="3">
        <v>0</v>
      </c>
      <c r="I1218" s="3">
        <v>2.4850603483672698E-3</v>
      </c>
      <c r="J1218" s="3">
        <v>7.8325859451680892E-3</v>
      </c>
      <c r="K1218" s="3">
        <v>9.9008725284717002E-3</v>
      </c>
      <c r="L1218" s="3">
        <v>1.12099347928689E-2</v>
      </c>
      <c r="M1218" s="3">
        <v>9.2223853429541994E-3</v>
      </c>
      <c r="N1218" s="3">
        <v>7.5512134757315403E-3</v>
      </c>
      <c r="O1218" s="3">
        <v>5.3620760762469197E-3</v>
      </c>
      <c r="P1218" s="3">
        <v>3.1737120007920899E-3</v>
      </c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</row>
    <row r="1219" spans="1:35" x14ac:dyDescent="0.45">
      <c r="A1219" s="3" t="s">
        <v>88</v>
      </c>
      <c r="B1219" s="3" t="s">
        <v>5</v>
      </c>
      <c r="C1219" s="3" t="s">
        <v>6</v>
      </c>
      <c r="D1219" s="3" t="s">
        <v>14</v>
      </c>
      <c r="E1219" s="3" t="s">
        <v>8</v>
      </c>
      <c r="F1219" s="3">
        <v>0</v>
      </c>
      <c r="G1219" s="3">
        <v>3.6352808852231701E-5</v>
      </c>
      <c r="H1219" s="3">
        <v>3.6352808852231701E-5</v>
      </c>
      <c r="I1219" s="3">
        <v>6.2112821445868402E-3</v>
      </c>
      <c r="J1219" s="3">
        <v>4.28547745488571E-3</v>
      </c>
      <c r="K1219" s="3">
        <v>3.8972213589131099E-3</v>
      </c>
      <c r="L1219" s="3">
        <v>3.5056805616107598E-3</v>
      </c>
      <c r="M1219" s="3">
        <v>3.0088520318393599E-3</v>
      </c>
      <c r="N1219" s="3">
        <v>2.6956356679327101E-3</v>
      </c>
      <c r="O1219" s="3">
        <v>1.8358349300233801E-3</v>
      </c>
      <c r="P1219" s="3">
        <v>1.86472544049564E-3</v>
      </c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</row>
    <row r="1220" spans="1:35" x14ac:dyDescent="0.45">
      <c r="A1220" s="3" t="s">
        <v>88</v>
      </c>
      <c r="B1220" s="3" t="s">
        <v>5</v>
      </c>
      <c r="C1220" s="3" t="s">
        <v>15</v>
      </c>
      <c r="D1220" s="3" t="s">
        <v>7</v>
      </c>
      <c r="E1220" s="3" t="s">
        <v>8</v>
      </c>
      <c r="F1220" s="3">
        <v>3.3166857349322199E-3</v>
      </c>
      <c r="G1220" s="3">
        <v>4.78250522472969E-3</v>
      </c>
      <c r="H1220" s="3">
        <v>4.78250522472969E-3</v>
      </c>
      <c r="I1220" s="3">
        <v>6.0513883877639099E-3</v>
      </c>
      <c r="J1220" s="3">
        <v>7.0070401985025E-3</v>
      </c>
      <c r="K1220" s="3">
        <v>7.5927976785703198E-3</v>
      </c>
      <c r="L1220" s="3">
        <v>7.7601898138479099E-3</v>
      </c>
      <c r="M1220" s="3">
        <v>7.9390224356786099E-3</v>
      </c>
      <c r="N1220" s="3">
        <v>8.0584388982764994E-3</v>
      </c>
      <c r="O1220" s="3">
        <v>8.1663312165231507E-3</v>
      </c>
      <c r="P1220" s="3">
        <v>8.2458328163866508E-3</v>
      </c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</row>
    <row r="1221" spans="1:35" x14ac:dyDescent="0.45">
      <c r="A1221" s="3" t="s">
        <v>88</v>
      </c>
      <c r="B1221" s="3" t="s">
        <v>5</v>
      </c>
      <c r="C1221" s="3" t="s">
        <v>15</v>
      </c>
      <c r="D1221" s="3" t="s">
        <v>9</v>
      </c>
      <c r="E1221" s="3" t="s">
        <v>8</v>
      </c>
      <c r="F1221" s="3">
        <v>0</v>
      </c>
      <c r="G1221" s="3">
        <v>-9.6382143273407803E-6</v>
      </c>
      <c r="H1221" s="3">
        <v>-9.6382143273407803E-6</v>
      </c>
      <c r="I1221" s="3">
        <v>-1.9280214672069998E-5</v>
      </c>
      <c r="J1221" s="3">
        <v>-5.1120704852913E-5</v>
      </c>
      <c r="K1221" s="3">
        <v>-6.0551576179738303E-6</v>
      </c>
      <c r="L1221" s="3">
        <v>2.1453184458197199E-3</v>
      </c>
      <c r="M1221" s="3">
        <v>2.6773642845746401E-3</v>
      </c>
      <c r="N1221" s="3">
        <v>3.1919545442260599E-3</v>
      </c>
      <c r="O1221" s="3">
        <v>3.6014628772780598E-3</v>
      </c>
      <c r="P1221" s="3">
        <v>3.9344602587489397E-3</v>
      </c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</row>
    <row r="1222" spans="1:35" x14ac:dyDescent="0.45">
      <c r="A1222" s="3" t="s">
        <v>88</v>
      </c>
      <c r="B1222" s="3" t="s">
        <v>5</v>
      </c>
      <c r="C1222" s="3" t="s">
        <v>15</v>
      </c>
      <c r="D1222" s="3" t="s">
        <v>10</v>
      </c>
      <c r="E1222" s="3" t="s">
        <v>8</v>
      </c>
      <c r="F1222" s="3">
        <v>0</v>
      </c>
      <c r="G1222" s="3">
        <v>0</v>
      </c>
      <c r="H1222" s="3">
        <v>0</v>
      </c>
      <c r="I1222" s="3">
        <v>2.9470544088824498E-6</v>
      </c>
      <c r="J1222" s="3">
        <v>-2.17886954940565E-5</v>
      </c>
      <c r="K1222" s="3">
        <v>1.46854163118736E-3</v>
      </c>
      <c r="L1222" s="3">
        <v>-3.3743417976513801E-6</v>
      </c>
      <c r="M1222" s="3">
        <v>1.41564986901824E-5</v>
      </c>
      <c r="N1222" s="3">
        <v>8.9018570750658294E-6</v>
      </c>
      <c r="O1222" s="3">
        <v>6.0722463132097802E-5</v>
      </c>
      <c r="P1222" s="3">
        <v>1.11967087290058E-4</v>
      </c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</row>
    <row r="1223" spans="1:35" x14ac:dyDescent="0.45">
      <c r="A1223" s="3" t="s">
        <v>88</v>
      </c>
      <c r="B1223" s="3" t="s">
        <v>5</v>
      </c>
      <c r="C1223" s="3" t="s">
        <v>15</v>
      </c>
      <c r="D1223" s="3" t="s">
        <v>11</v>
      </c>
      <c r="E1223" s="3" t="s">
        <v>8</v>
      </c>
      <c r="F1223" s="3">
        <v>0</v>
      </c>
      <c r="G1223" s="3">
        <v>0</v>
      </c>
      <c r="H1223" s="3">
        <v>0</v>
      </c>
      <c r="I1223" s="3">
        <v>1.0567236253605599E-5</v>
      </c>
      <c r="J1223" s="3">
        <v>1.10307668012331E-3</v>
      </c>
      <c r="K1223" s="3">
        <v>4.9565911056244E-5</v>
      </c>
      <c r="L1223" s="3">
        <v>7.4445321098031203E-5</v>
      </c>
      <c r="M1223" s="3">
        <v>9.2600452253590495E-5</v>
      </c>
      <c r="N1223" s="3">
        <v>7.2184002606246299E-5</v>
      </c>
      <c r="O1223" s="3">
        <v>-5.4530713499824003E-5</v>
      </c>
      <c r="P1223" s="3">
        <v>-1.4764610133937399E-4</v>
      </c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</row>
    <row r="1224" spans="1:35" x14ac:dyDescent="0.45">
      <c r="A1224" s="3" t="s">
        <v>88</v>
      </c>
      <c r="B1224" s="3" t="s">
        <v>5</v>
      </c>
      <c r="C1224" s="3" t="s">
        <v>15</v>
      </c>
      <c r="D1224" s="3" t="s">
        <v>12</v>
      </c>
      <c r="E1224" s="3" t="s">
        <v>8</v>
      </c>
      <c r="F1224" s="3">
        <v>0</v>
      </c>
      <c r="G1224" s="3">
        <v>-4.6133489516823204E-6</v>
      </c>
      <c r="H1224" s="3">
        <v>-4.6133489516823204E-6</v>
      </c>
      <c r="I1224" s="3">
        <v>9.6963233569565205E-4</v>
      </c>
      <c r="J1224" s="3">
        <v>1.09327437491308E-4</v>
      </c>
      <c r="K1224" s="3">
        <v>1.9045999594721099E-4</v>
      </c>
      <c r="L1224" s="3">
        <v>1.4699430367794001E-4</v>
      </c>
      <c r="M1224" s="3">
        <v>-4.63427585870035E-5</v>
      </c>
      <c r="N1224" s="3">
        <v>-1.57886384710402E-4</v>
      </c>
      <c r="O1224" s="3">
        <v>-1.9681410430643501E-4</v>
      </c>
      <c r="P1224" s="3">
        <v>-2.7311174797224602E-4</v>
      </c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</row>
    <row r="1225" spans="1:35" x14ac:dyDescent="0.45">
      <c r="A1225" s="3" t="s">
        <v>88</v>
      </c>
      <c r="B1225" s="3" t="s">
        <v>5</v>
      </c>
      <c r="C1225" s="3" t="s">
        <v>15</v>
      </c>
      <c r="D1225" s="3" t="s">
        <v>13</v>
      </c>
      <c r="E1225" s="3" t="s">
        <v>8</v>
      </c>
      <c r="F1225" s="3">
        <v>0</v>
      </c>
      <c r="G1225" s="3">
        <v>3.10768602982694E-4</v>
      </c>
      <c r="H1225" s="3">
        <v>3.10768602982694E-4</v>
      </c>
      <c r="I1225" s="3">
        <v>-2.4571591784363598E-4</v>
      </c>
      <c r="J1225" s="3">
        <v>-1.2531995062520601E-4</v>
      </c>
      <c r="K1225" s="3">
        <v>-4.0729091195692099E-4</v>
      </c>
      <c r="L1225" s="3">
        <v>-6.2932156564486099E-4</v>
      </c>
      <c r="M1225" s="3">
        <v>-6.8063301700602705E-4</v>
      </c>
      <c r="N1225" s="3">
        <v>-8.0167497685308805E-4</v>
      </c>
      <c r="O1225" s="3">
        <v>-8.8653015908030596E-4</v>
      </c>
      <c r="P1225" s="3">
        <v>-9.4953538366778997E-4</v>
      </c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</row>
    <row r="1226" spans="1:35" x14ac:dyDescent="0.45">
      <c r="A1226" s="3" t="s">
        <v>88</v>
      </c>
      <c r="B1226" s="3" t="s">
        <v>5</v>
      </c>
      <c r="C1226" s="3" t="s">
        <v>15</v>
      </c>
      <c r="D1226" s="3" t="s">
        <v>14</v>
      </c>
      <c r="E1226" s="3" t="s">
        <v>8</v>
      </c>
      <c r="F1226" s="3">
        <v>0</v>
      </c>
      <c r="G1226" s="3">
        <v>-9.1044840014256305E-5</v>
      </c>
      <c r="H1226" s="3">
        <v>-9.1044840014256305E-5</v>
      </c>
      <c r="I1226" s="3">
        <v>-2.51438228915231E-4</v>
      </c>
      <c r="J1226" s="3">
        <v>-4.6524099112373702E-4</v>
      </c>
      <c r="K1226" s="3">
        <v>-3.7907548785015701E-4</v>
      </c>
      <c r="L1226" s="3">
        <v>-5.1715578650216704E-4</v>
      </c>
      <c r="M1226" s="3">
        <v>-6.1675550369948802E-4</v>
      </c>
      <c r="N1226" s="3">
        <v>-6.9699452170427997E-4</v>
      </c>
      <c r="O1226" s="3">
        <v>-7.7253105746506701E-4</v>
      </c>
      <c r="P1226" s="3">
        <v>-8.5610048555417699E-4</v>
      </c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</row>
    <row r="1227" spans="1:35" x14ac:dyDescent="0.45">
      <c r="A1227" s="3" t="s">
        <v>88</v>
      </c>
      <c r="B1227" s="3" t="s">
        <v>5</v>
      </c>
      <c r="C1227" s="3" t="s">
        <v>16</v>
      </c>
      <c r="D1227" s="3" t="s">
        <v>7</v>
      </c>
      <c r="E1227" s="3" t="s">
        <v>8</v>
      </c>
      <c r="F1227" s="3">
        <v>5.2130687804566702E-3</v>
      </c>
      <c r="G1227" s="3">
        <v>6.3148552574835096E-3</v>
      </c>
      <c r="H1227" s="3">
        <v>6.3148552574835096E-3</v>
      </c>
      <c r="I1227" s="3">
        <v>3.4528690611144398E-3</v>
      </c>
      <c r="J1227" s="3">
        <v>2.345830724607E-3</v>
      </c>
      <c r="K1227" s="3">
        <v>2.4607094339495999E-3</v>
      </c>
      <c r="L1227" s="3">
        <v>2.4899115793309001E-3</v>
      </c>
      <c r="M1227" s="3">
        <v>2.55513493618682E-3</v>
      </c>
      <c r="N1227" s="3">
        <v>2.5744138014224399E-3</v>
      </c>
      <c r="O1227" s="3">
        <v>2.5744138014224399E-3</v>
      </c>
      <c r="P1227" s="3">
        <v>2.5744138014224399E-3</v>
      </c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</row>
    <row r="1228" spans="1:35" x14ac:dyDescent="0.45">
      <c r="A1228" s="3" t="s">
        <v>88</v>
      </c>
      <c r="B1228" s="3" t="s">
        <v>5</v>
      </c>
      <c r="C1228" s="3" t="s">
        <v>16</v>
      </c>
      <c r="D1228" s="3" t="s">
        <v>9</v>
      </c>
      <c r="E1228" s="3" t="s">
        <v>8</v>
      </c>
      <c r="F1228" s="3">
        <v>0</v>
      </c>
      <c r="G1228" s="3">
        <v>2.80638105078484E-6</v>
      </c>
      <c r="H1228" s="3">
        <v>2.80638105078484E-6</v>
      </c>
      <c r="I1228" s="3">
        <v>0</v>
      </c>
      <c r="J1228" s="3">
        <v>-2.0227339783503201E-5</v>
      </c>
      <c r="K1228" s="3">
        <v>0</v>
      </c>
      <c r="L1228" s="3">
        <v>-2.3646458008192601E-5</v>
      </c>
      <c r="M1228" s="3">
        <v>-4.0557477602592103E-5</v>
      </c>
      <c r="N1228" s="3">
        <v>-3.0985156549052702E-5</v>
      </c>
      <c r="O1228" s="3">
        <v>-3.0985156549052702E-5</v>
      </c>
      <c r="P1228" s="3">
        <v>-3.0985156549052702E-5</v>
      </c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</row>
    <row r="1229" spans="1:35" x14ac:dyDescent="0.45">
      <c r="A1229" s="3" t="s">
        <v>88</v>
      </c>
      <c r="B1229" s="3" t="s">
        <v>5</v>
      </c>
      <c r="C1229" s="3" t="s">
        <v>16</v>
      </c>
      <c r="D1229" s="3" t="s">
        <v>10</v>
      </c>
      <c r="E1229" s="3" t="s">
        <v>8</v>
      </c>
      <c r="F1229" s="3">
        <v>0</v>
      </c>
      <c r="G1229" s="3">
        <v>0</v>
      </c>
      <c r="H1229" s="3">
        <v>0</v>
      </c>
      <c r="I1229" s="3">
        <v>0</v>
      </c>
      <c r="J1229" s="3">
        <v>-1.9815714400562402E-5</v>
      </c>
      <c r="K1229" s="3">
        <v>-1.25560751712004E-5</v>
      </c>
      <c r="L1229" s="3">
        <v>0</v>
      </c>
      <c r="M1229" s="3">
        <v>-3.5076575987586798E-6</v>
      </c>
      <c r="N1229" s="3">
        <v>-3.23588438879115E-5</v>
      </c>
      <c r="O1229" s="3">
        <v>-3.23588438879115E-5</v>
      </c>
      <c r="P1229" s="3">
        <v>-3.23588438879115E-5</v>
      </c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</row>
    <row r="1230" spans="1:35" x14ac:dyDescent="0.45">
      <c r="A1230" s="3" t="s">
        <v>88</v>
      </c>
      <c r="B1230" s="3" t="s">
        <v>5</v>
      </c>
      <c r="C1230" s="3" t="s">
        <v>16</v>
      </c>
      <c r="D1230" s="3" t="s">
        <v>11</v>
      </c>
      <c r="E1230" s="3" t="s">
        <v>8</v>
      </c>
      <c r="F1230" s="3">
        <v>0</v>
      </c>
      <c r="G1230" s="3">
        <v>1.7347234759768099E-17</v>
      </c>
      <c r="H1230" s="3">
        <v>1.7347234759768099E-17</v>
      </c>
      <c r="I1230" s="3">
        <v>0</v>
      </c>
      <c r="J1230" s="3">
        <v>-1.10618541053586E-5</v>
      </c>
      <c r="K1230" s="3">
        <v>0</v>
      </c>
      <c r="L1230" s="3">
        <v>-1.69000685028807E-7</v>
      </c>
      <c r="M1230" s="3">
        <v>4.6337256081174502E-5</v>
      </c>
      <c r="N1230" s="3">
        <v>7.1938835628072896E-5</v>
      </c>
      <c r="O1230" s="3">
        <v>7.1938835628072896E-5</v>
      </c>
      <c r="P1230" s="3">
        <v>7.1938835628072896E-5</v>
      </c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</row>
    <row r="1231" spans="1:35" x14ac:dyDescent="0.45">
      <c r="A1231" s="3" t="s">
        <v>88</v>
      </c>
      <c r="B1231" s="3" t="s">
        <v>5</v>
      </c>
      <c r="C1231" s="3" t="s">
        <v>16</v>
      </c>
      <c r="D1231" s="3" t="s">
        <v>12</v>
      </c>
      <c r="E1231" s="3" t="s">
        <v>8</v>
      </c>
      <c r="F1231" s="3">
        <v>0</v>
      </c>
      <c r="G1231" s="3">
        <v>5.3765644650082303E-6</v>
      </c>
      <c r="H1231" s="3">
        <v>5.3765644650082303E-6</v>
      </c>
      <c r="I1231" s="3">
        <v>0</v>
      </c>
      <c r="J1231" s="3">
        <v>-4.7964855504065298E-5</v>
      </c>
      <c r="K1231" s="3">
        <v>1.7928011564256499E-5</v>
      </c>
      <c r="L1231" s="3">
        <v>1.13088262028784E-4</v>
      </c>
      <c r="M1231" s="3">
        <v>2.69339194832936E-5</v>
      </c>
      <c r="N1231" s="3">
        <v>1.5384756684388101E-6</v>
      </c>
      <c r="O1231" s="3">
        <v>1.95957450261925E-6</v>
      </c>
      <c r="P1231" s="3">
        <v>2.1725884001497199E-6</v>
      </c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</row>
    <row r="1232" spans="1:35" x14ac:dyDescent="0.45">
      <c r="A1232" s="3" t="s">
        <v>88</v>
      </c>
      <c r="B1232" s="3" t="s">
        <v>5</v>
      </c>
      <c r="C1232" s="3" t="s">
        <v>16</v>
      </c>
      <c r="D1232" s="3" t="s">
        <v>13</v>
      </c>
      <c r="E1232" s="3" t="s">
        <v>8</v>
      </c>
      <c r="F1232" s="3">
        <v>0</v>
      </c>
      <c r="G1232" s="3">
        <v>-8.1829455158104192E-6</v>
      </c>
      <c r="H1232" s="3">
        <v>-8.1829455158104192E-6</v>
      </c>
      <c r="I1232" s="3">
        <v>1.72853811287759E-4</v>
      </c>
      <c r="J1232" s="3">
        <v>3.2765284060893001E-4</v>
      </c>
      <c r="K1232" s="3">
        <v>1.1904713790727899E-4</v>
      </c>
      <c r="L1232" s="3">
        <v>5.9984453185612198E-6</v>
      </c>
      <c r="M1232" s="3">
        <v>8.4239463243483303E-7</v>
      </c>
      <c r="N1232" s="3">
        <v>6.3626433236289501E-7</v>
      </c>
      <c r="O1232" s="3">
        <v>2.1516555250185299E-7</v>
      </c>
      <c r="P1232" s="3">
        <v>2.15165552128888E-9</v>
      </c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</row>
    <row r="1233" spans="1:35" x14ac:dyDescent="0.45">
      <c r="A1233" s="3" t="s">
        <v>88</v>
      </c>
      <c r="B1233" s="3" t="s">
        <v>5</v>
      </c>
      <c r="C1233" s="3" t="s">
        <v>16</v>
      </c>
      <c r="D1233" s="3" t="s">
        <v>14</v>
      </c>
      <c r="E1233" s="3" t="s">
        <v>8</v>
      </c>
      <c r="F1233" s="3">
        <v>0</v>
      </c>
      <c r="G1233" s="3">
        <v>-9.7144093339557001E-6</v>
      </c>
      <c r="H1233" s="3">
        <v>-9.7144093339557001E-6</v>
      </c>
      <c r="I1233" s="3">
        <v>3.6928090845192999E-4</v>
      </c>
      <c r="J1233" s="3">
        <v>1.0744820298465001E-5</v>
      </c>
      <c r="K1233" s="3">
        <v>5.4620869804986699E-8</v>
      </c>
      <c r="L1233" s="3">
        <v>5.4620870413441002E-10</v>
      </c>
      <c r="M1233" s="3">
        <v>5.46209692059429E-12</v>
      </c>
      <c r="N1233" s="3">
        <v>5.4635983237627503E-14</v>
      </c>
      <c r="O1233" s="3">
        <v>5.4990734188464805E-16</v>
      </c>
      <c r="P1233" s="3">
        <v>0</v>
      </c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</row>
    <row r="1234" spans="1:35" x14ac:dyDescent="0.45">
      <c r="A1234" s="3" t="s">
        <v>88</v>
      </c>
      <c r="B1234" s="3" t="s">
        <v>5</v>
      </c>
      <c r="C1234" s="3" t="s">
        <v>17</v>
      </c>
      <c r="D1234" s="3" t="s">
        <v>7</v>
      </c>
      <c r="E1234" s="3" t="s">
        <v>8</v>
      </c>
      <c r="F1234" s="3">
        <v>8.7063945789393998E-4</v>
      </c>
      <c r="G1234" s="3">
        <v>1.0144217465984399E-3</v>
      </c>
      <c r="H1234" s="3">
        <v>1.0144217465984399E-3</v>
      </c>
      <c r="I1234" s="3">
        <v>1.2443777372755701E-3</v>
      </c>
      <c r="J1234" s="3">
        <v>1.4351656112619299E-3</v>
      </c>
      <c r="K1234" s="3">
        <v>1.50593643076606E-3</v>
      </c>
      <c r="L1234" s="3">
        <v>1.52442278751591E-3</v>
      </c>
      <c r="M1234" s="3">
        <v>1.56545733109467E-3</v>
      </c>
      <c r="N1234" s="3">
        <v>1.57744317816334E-3</v>
      </c>
      <c r="O1234" s="3">
        <v>1.57744317816334E-3</v>
      </c>
      <c r="P1234" s="3">
        <v>1.57744317816334E-3</v>
      </c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</row>
    <row r="1235" spans="1:35" x14ac:dyDescent="0.45">
      <c r="A1235" s="3" t="s">
        <v>88</v>
      </c>
      <c r="B1235" s="3" t="s">
        <v>5</v>
      </c>
      <c r="C1235" s="3" t="s">
        <v>17</v>
      </c>
      <c r="D1235" s="3" t="s">
        <v>9</v>
      </c>
      <c r="E1235" s="3" t="s">
        <v>8</v>
      </c>
      <c r="F1235" s="3">
        <v>0</v>
      </c>
      <c r="G1235" s="3">
        <v>1.7624709355333999E-6</v>
      </c>
      <c r="H1235" s="3">
        <v>1.7624709355333999E-6</v>
      </c>
      <c r="I1235" s="3">
        <v>1.5178830414797101E-18</v>
      </c>
      <c r="J1235" s="3">
        <v>-1.24953598829173E-5</v>
      </c>
      <c r="K1235" s="3">
        <v>0</v>
      </c>
      <c r="L1235" s="3">
        <v>1.9315209860332902E-5</v>
      </c>
      <c r="M1235" s="3">
        <v>3.5190224629603199E-6</v>
      </c>
      <c r="N1235" s="3">
        <v>1.7211285749047301E-6</v>
      </c>
      <c r="O1235" s="3">
        <v>-5.6447959936993001E-6</v>
      </c>
      <c r="P1235" s="3">
        <v>8.1883623531844296E-5</v>
      </c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</row>
    <row r="1236" spans="1:35" x14ac:dyDescent="0.45">
      <c r="A1236" s="3" t="s">
        <v>88</v>
      </c>
      <c r="B1236" s="3" t="s">
        <v>5</v>
      </c>
      <c r="C1236" s="3" t="s">
        <v>17</v>
      </c>
      <c r="D1236" s="3" t="s">
        <v>10</v>
      </c>
      <c r="E1236" s="3" t="s">
        <v>8</v>
      </c>
      <c r="F1236" s="3">
        <v>0</v>
      </c>
      <c r="G1236" s="3">
        <v>0</v>
      </c>
      <c r="H1236" s="3">
        <v>0</v>
      </c>
      <c r="I1236" s="3">
        <v>-1.5178830414797101E-18</v>
      </c>
      <c r="J1236" s="3">
        <v>-1.22410799157037E-5</v>
      </c>
      <c r="K1236" s="3">
        <v>4.5179255423200198E-5</v>
      </c>
      <c r="L1236" s="3">
        <v>1.0107404615186701E-5</v>
      </c>
      <c r="M1236" s="3">
        <v>5.8225643993007204E-4</v>
      </c>
      <c r="N1236" s="3">
        <v>1.0136423200047099E-3</v>
      </c>
      <c r="O1236" s="3">
        <v>1.0424723274876601E-3</v>
      </c>
      <c r="P1236" s="3">
        <v>9.5494390796211997E-4</v>
      </c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</row>
    <row r="1237" spans="1:35" x14ac:dyDescent="0.45">
      <c r="A1237" s="3" t="s">
        <v>88</v>
      </c>
      <c r="B1237" s="3" t="s">
        <v>5</v>
      </c>
      <c r="C1237" s="3" t="s">
        <v>17</v>
      </c>
      <c r="D1237" s="3" t="s">
        <v>11</v>
      </c>
      <c r="E1237" s="3" t="s">
        <v>8</v>
      </c>
      <c r="F1237" s="3">
        <v>0</v>
      </c>
      <c r="G1237" s="3">
        <v>0</v>
      </c>
      <c r="H1237" s="3">
        <v>0</v>
      </c>
      <c r="I1237" s="3">
        <v>0</v>
      </c>
      <c r="J1237" s="3">
        <v>-6.8313560519189599E-6</v>
      </c>
      <c r="K1237" s="3">
        <v>6.4709653456450995E-4</v>
      </c>
      <c r="L1237" s="3">
        <v>1.0254839457105099E-3</v>
      </c>
      <c r="M1237" s="3">
        <v>4.9185532416401803E-4</v>
      </c>
      <c r="N1237" s="3">
        <v>6.6282255330665004E-5</v>
      </c>
      <c r="O1237" s="3">
        <v>4.6760979798697802E-5</v>
      </c>
      <c r="P1237" s="3">
        <v>5.21830451540336E-5</v>
      </c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</row>
    <row r="1238" spans="1:35" x14ac:dyDescent="0.45">
      <c r="A1238" s="3" t="s">
        <v>88</v>
      </c>
      <c r="B1238" s="3" t="s">
        <v>5</v>
      </c>
      <c r="C1238" s="3" t="s">
        <v>17</v>
      </c>
      <c r="D1238" s="3" t="s">
        <v>12</v>
      </c>
      <c r="E1238" s="3" t="s">
        <v>8</v>
      </c>
      <c r="F1238" s="3">
        <v>0</v>
      </c>
      <c r="G1238" s="3">
        <v>3.3766043994471902E-6</v>
      </c>
      <c r="H1238" s="3">
        <v>3.3766043994471902E-6</v>
      </c>
      <c r="I1238" s="3">
        <v>0</v>
      </c>
      <c r="J1238" s="3">
        <v>1.0054300282218999E-3</v>
      </c>
      <c r="K1238" s="3">
        <v>3.9048828379531503E-4</v>
      </c>
      <c r="L1238" s="3">
        <v>8.4671021172865195E-5</v>
      </c>
      <c r="M1238" s="3">
        <v>3.1382498943367001E-5</v>
      </c>
      <c r="N1238" s="3">
        <v>2.2698663738395201E-5</v>
      </c>
      <c r="O1238" s="3">
        <v>2.41506713493994E-5</v>
      </c>
      <c r="P1238" s="3">
        <v>3.2205102514424E-5</v>
      </c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</row>
    <row r="1239" spans="1:35" x14ac:dyDescent="0.45">
      <c r="A1239" s="3" t="s">
        <v>88</v>
      </c>
      <c r="B1239" s="3" t="s">
        <v>5</v>
      </c>
      <c r="C1239" s="3" t="s">
        <v>17</v>
      </c>
      <c r="D1239" s="3" t="s">
        <v>13</v>
      </c>
      <c r="E1239" s="3" t="s">
        <v>8</v>
      </c>
      <c r="F1239" s="3">
        <v>0</v>
      </c>
      <c r="G1239" s="3">
        <v>-5.1390753349805797E-6</v>
      </c>
      <c r="H1239" s="3">
        <v>-5.1390753349805797E-6</v>
      </c>
      <c r="I1239" s="3">
        <v>1.19148825693673E-3</v>
      </c>
      <c r="J1239" s="3">
        <v>2.65222644184047E-4</v>
      </c>
      <c r="K1239" s="3">
        <v>1.11635991677184E-4</v>
      </c>
      <c r="L1239" s="3">
        <v>4.0913206870771401E-5</v>
      </c>
      <c r="M1239" s="3">
        <v>3.9795333906193501E-5</v>
      </c>
      <c r="N1239" s="3">
        <v>3.26522226762956E-5</v>
      </c>
      <c r="O1239" s="3">
        <v>2.92762046293286E-5</v>
      </c>
      <c r="P1239" s="3">
        <v>1.6315972807399999E-5</v>
      </c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</row>
    <row r="1240" spans="1:35" x14ac:dyDescent="0.45">
      <c r="A1240" s="3" t="s">
        <v>88</v>
      </c>
      <c r="B1240" s="3" t="s">
        <v>5</v>
      </c>
      <c r="C1240" s="3" t="s">
        <v>17</v>
      </c>
      <c r="D1240" s="3" t="s">
        <v>14</v>
      </c>
      <c r="E1240" s="3" t="s">
        <v>8</v>
      </c>
      <c r="F1240" s="3">
        <v>0</v>
      </c>
      <c r="G1240" s="3">
        <v>-5.8888186275120299E-6</v>
      </c>
      <c r="H1240" s="3">
        <v>-5.8888186275120299E-6</v>
      </c>
      <c r="I1240" s="3">
        <v>2.46636492400927E-4</v>
      </c>
      <c r="J1240" s="3">
        <v>3.1200207256137497E-5</v>
      </c>
      <c r="K1240" s="3">
        <v>1.4121916676684E-5</v>
      </c>
      <c r="L1240" s="3">
        <v>1.00966262056397E-5</v>
      </c>
      <c r="M1240" s="3">
        <v>1.00587597992455E-6</v>
      </c>
      <c r="N1240" s="3">
        <v>8.4105581798447199E-7</v>
      </c>
      <c r="O1240" s="3">
        <v>8.6249877967155601E-7</v>
      </c>
      <c r="P1240" s="3">
        <v>3.7806274798312202E-7</v>
      </c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</row>
    <row r="1241" spans="1:35" x14ac:dyDescent="0.45">
      <c r="A1241" s="3" t="s">
        <v>88</v>
      </c>
      <c r="B1241" s="3" t="s">
        <v>5</v>
      </c>
      <c r="C1241" s="3" t="s">
        <v>18</v>
      </c>
      <c r="D1241" s="3" t="s">
        <v>7</v>
      </c>
      <c r="E1241" s="3" t="s">
        <v>8</v>
      </c>
      <c r="F1241" s="3">
        <v>5.4630118247890897E-3</v>
      </c>
      <c r="G1241" s="3">
        <v>4.1034538584744599E-3</v>
      </c>
      <c r="H1241" s="3">
        <v>4.1034538584744599E-3</v>
      </c>
      <c r="I1241" s="3">
        <v>1.5044866881084101E-3</v>
      </c>
      <c r="J1241" s="3">
        <v>6.1475154624842504E-4</v>
      </c>
      <c r="K1241" s="3">
        <v>4.6247272731885398E-19</v>
      </c>
      <c r="L1241" s="3">
        <v>1.8498909092754202E-18</v>
      </c>
      <c r="M1241" s="3">
        <v>0</v>
      </c>
      <c r="N1241" s="3">
        <v>0</v>
      </c>
      <c r="O1241" s="3">
        <v>0</v>
      </c>
      <c r="P1241" s="3">
        <v>0</v>
      </c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</row>
    <row r="1242" spans="1:35" x14ac:dyDescent="0.45">
      <c r="A1242" s="3" t="s">
        <v>88</v>
      </c>
      <c r="B1242" s="3" t="s">
        <v>5</v>
      </c>
      <c r="C1242" s="3" t="s">
        <v>18</v>
      </c>
      <c r="D1242" s="3" t="s">
        <v>9</v>
      </c>
      <c r="E1242" s="3" t="s">
        <v>8</v>
      </c>
      <c r="F1242" s="3">
        <v>0</v>
      </c>
      <c r="G1242" s="3">
        <v>1.6479873021779701E-17</v>
      </c>
      <c r="H1242" s="3">
        <v>1.6479873021779701E-17</v>
      </c>
      <c r="I1242" s="3">
        <v>1.5178830414797101E-18</v>
      </c>
      <c r="J1242" s="3">
        <v>1.6263032587282599E-18</v>
      </c>
      <c r="K1242" s="3">
        <v>-4.6247272731885398E-19</v>
      </c>
      <c r="L1242" s="3">
        <v>-1.8498909092754202E-18</v>
      </c>
      <c r="M1242" s="3">
        <v>0</v>
      </c>
      <c r="N1242" s="3">
        <v>4.6247272731885398E-19</v>
      </c>
      <c r="O1242" s="3">
        <v>4.6247272731885398E-19</v>
      </c>
      <c r="P1242" s="3">
        <v>0</v>
      </c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</row>
    <row r="1243" spans="1:35" x14ac:dyDescent="0.45">
      <c r="A1243" s="3" t="s">
        <v>88</v>
      </c>
      <c r="B1243" s="3" t="s">
        <v>5</v>
      </c>
      <c r="C1243" s="3" t="s">
        <v>18</v>
      </c>
      <c r="D1243" s="3" t="s">
        <v>10</v>
      </c>
      <c r="E1243" s="3" t="s">
        <v>8</v>
      </c>
      <c r="F1243" s="3">
        <v>0</v>
      </c>
      <c r="G1243" s="3">
        <v>0</v>
      </c>
      <c r="H1243" s="3">
        <v>0</v>
      </c>
      <c r="I1243" s="3">
        <v>-1.5178830414797101E-18</v>
      </c>
      <c r="J1243" s="3">
        <v>1.7347234759768102E-18</v>
      </c>
      <c r="K1243" s="3">
        <v>0</v>
      </c>
      <c r="L1243" s="3">
        <v>4.6247272731885398E-19</v>
      </c>
      <c r="M1243" s="3">
        <v>0</v>
      </c>
      <c r="N1243" s="3">
        <v>9.2494545463770701E-19</v>
      </c>
      <c r="O1243" s="3">
        <v>4.6247272731885398E-19</v>
      </c>
      <c r="P1243" s="3">
        <v>0</v>
      </c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</row>
    <row r="1244" spans="1:35" x14ac:dyDescent="0.45">
      <c r="A1244" s="3" t="s">
        <v>88</v>
      </c>
      <c r="B1244" s="3" t="s">
        <v>5</v>
      </c>
      <c r="C1244" s="3" t="s">
        <v>18</v>
      </c>
      <c r="D1244" s="3" t="s">
        <v>11</v>
      </c>
      <c r="E1244" s="3" t="s">
        <v>8</v>
      </c>
      <c r="F1244" s="3">
        <v>0</v>
      </c>
      <c r="G1244" s="3">
        <v>0</v>
      </c>
      <c r="H1244" s="3">
        <v>0</v>
      </c>
      <c r="I1244" s="3">
        <v>0</v>
      </c>
      <c r="J1244" s="3">
        <v>-3.3610267347050599E-18</v>
      </c>
      <c r="K1244" s="3">
        <v>9.2494545463770701E-19</v>
      </c>
      <c r="L1244" s="3">
        <v>4.6247272731885398E-19</v>
      </c>
      <c r="M1244" s="3">
        <v>1.3874181819565599E-18</v>
      </c>
      <c r="N1244" s="3">
        <v>-1.3874181819565599E-18</v>
      </c>
      <c r="O1244" s="3">
        <v>-9.2494545463770701E-19</v>
      </c>
      <c r="P1244" s="3">
        <v>1.8498909092754202E-18</v>
      </c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</row>
    <row r="1245" spans="1:35" x14ac:dyDescent="0.45">
      <c r="A1245" s="3" t="s">
        <v>88</v>
      </c>
      <c r="B1245" s="3" t="s">
        <v>5</v>
      </c>
      <c r="C1245" s="3" t="s">
        <v>18</v>
      </c>
      <c r="D1245" s="3" t="s">
        <v>12</v>
      </c>
      <c r="E1245" s="3" t="s">
        <v>8</v>
      </c>
      <c r="F1245" s="3">
        <v>0</v>
      </c>
      <c r="G1245" s="3">
        <v>0</v>
      </c>
      <c r="H1245" s="3">
        <v>0</v>
      </c>
      <c r="I1245" s="3">
        <v>0</v>
      </c>
      <c r="J1245" s="3">
        <v>3.3610267347050599E-18</v>
      </c>
      <c r="K1245" s="3">
        <v>-9.2494545463770701E-19</v>
      </c>
      <c r="L1245" s="3">
        <v>-9.2494545463770701E-19</v>
      </c>
      <c r="M1245" s="3">
        <v>-9.2494545463770701E-19</v>
      </c>
      <c r="N1245" s="3">
        <v>9.2494545463770701E-19</v>
      </c>
      <c r="O1245" s="3">
        <v>1.8498909092754202E-18</v>
      </c>
      <c r="P1245" s="3">
        <v>-1.8498909092754202E-18</v>
      </c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</row>
    <row r="1246" spans="1:35" x14ac:dyDescent="0.45">
      <c r="A1246" s="3" t="s">
        <v>88</v>
      </c>
      <c r="B1246" s="3" t="s">
        <v>5</v>
      </c>
      <c r="C1246" s="3" t="s">
        <v>18</v>
      </c>
      <c r="D1246" s="3" t="s">
        <v>13</v>
      </c>
      <c r="E1246" s="3" t="s">
        <v>8</v>
      </c>
      <c r="F1246" s="3">
        <v>0</v>
      </c>
      <c r="G1246" s="3">
        <v>0</v>
      </c>
      <c r="H1246" s="3">
        <v>0</v>
      </c>
      <c r="I1246" s="3">
        <v>0</v>
      </c>
      <c r="J1246" s="3">
        <v>-1.7347234759768102E-18</v>
      </c>
      <c r="K1246" s="3">
        <v>0</v>
      </c>
      <c r="L1246" s="3">
        <v>9.2494545463770701E-19</v>
      </c>
      <c r="M1246" s="3">
        <v>2.31236363659426E-18</v>
      </c>
      <c r="N1246" s="3">
        <v>-9.2494545463770701E-19</v>
      </c>
      <c r="O1246" s="3">
        <v>5.0872000005073903E-18</v>
      </c>
      <c r="P1246" s="3">
        <v>3.2373090912319701E-18</v>
      </c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</row>
    <row r="1247" spans="1:35" x14ac:dyDescent="0.45">
      <c r="A1247" s="3" t="s">
        <v>88</v>
      </c>
      <c r="B1247" s="3" t="s">
        <v>5</v>
      </c>
      <c r="C1247" s="3" t="s">
        <v>18</v>
      </c>
      <c r="D1247" s="3" t="s">
        <v>14</v>
      </c>
      <c r="E1247" s="3" t="s">
        <v>8</v>
      </c>
      <c r="F1247" s="3">
        <v>0</v>
      </c>
      <c r="G1247" s="3">
        <v>-1.6479873021779701E-17</v>
      </c>
      <c r="H1247" s="3">
        <v>-1.6479873021779701E-17</v>
      </c>
      <c r="I1247" s="3">
        <v>-1.7347234759768102E-18</v>
      </c>
      <c r="J1247" s="3">
        <v>-3.1441863002079602E-18</v>
      </c>
      <c r="K1247" s="3">
        <v>0</v>
      </c>
      <c r="L1247" s="3">
        <v>-9.2494545463770701E-19</v>
      </c>
      <c r="M1247" s="3">
        <v>-2.7748363639131098E-18</v>
      </c>
      <c r="N1247" s="3">
        <v>1.3874181819565599E-18</v>
      </c>
      <c r="O1247" s="3">
        <v>-4.62472727318853E-18</v>
      </c>
      <c r="P1247" s="3">
        <v>-3.2373090912319701E-18</v>
      </c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</row>
    <row r="1248" spans="1:35" x14ac:dyDescent="0.45">
      <c r="A1248" s="3" t="s">
        <v>88</v>
      </c>
      <c r="B1248" s="3" t="s">
        <v>5</v>
      </c>
      <c r="C1248" s="3" t="s">
        <v>19</v>
      </c>
      <c r="D1248" s="3" t="s">
        <v>7</v>
      </c>
      <c r="E1248" s="3" t="s">
        <v>8</v>
      </c>
      <c r="F1248" s="3">
        <v>8.7007468545256795E-5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</row>
    <row r="1249" spans="1:35" x14ac:dyDescent="0.45">
      <c r="A1249" s="3" t="s">
        <v>88</v>
      </c>
      <c r="B1249" s="3" t="s">
        <v>5</v>
      </c>
      <c r="C1249" s="3" t="s">
        <v>19</v>
      </c>
      <c r="D1249" s="3" t="s">
        <v>9</v>
      </c>
      <c r="E1249" s="3" t="s">
        <v>8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</row>
    <row r="1250" spans="1:35" x14ac:dyDescent="0.45">
      <c r="A1250" s="3" t="s">
        <v>88</v>
      </c>
      <c r="B1250" s="3" t="s">
        <v>5</v>
      </c>
      <c r="C1250" s="3" t="s">
        <v>19</v>
      </c>
      <c r="D1250" s="3" t="s">
        <v>10</v>
      </c>
      <c r="E1250" s="3" t="s">
        <v>8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</row>
    <row r="1251" spans="1:35" x14ac:dyDescent="0.45">
      <c r="A1251" s="3" t="s">
        <v>88</v>
      </c>
      <c r="B1251" s="3" t="s">
        <v>5</v>
      </c>
      <c r="C1251" s="3" t="s">
        <v>19</v>
      </c>
      <c r="D1251" s="3" t="s">
        <v>11</v>
      </c>
      <c r="E1251" s="3" t="s">
        <v>8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</row>
    <row r="1252" spans="1:35" x14ac:dyDescent="0.45">
      <c r="A1252" s="3" t="s">
        <v>88</v>
      </c>
      <c r="B1252" s="3" t="s">
        <v>5</v>
      </c>
      <c r="C1252" s="3" t="s">
        <v>19</v>
      </c>
      <c r="D1252" s="3" t="s">
        <v>12</v>
      </c>
      <c r="E1252" s="3" t="s">
        <v>8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</row>
    <row r="1253" spans="1:35" x14ac:dyDescent="0.45">
      <c r="A1253" s="3" t="s">
        <v>88</v>
      </c>
      <c r="B1253" s="3" t="s">
        <v>5</v>
      </c>
      <c r="C1253" s="3" t="s">
        <v>19</v>
      </c>
      <c r="D1253" s="3" t="s">
        <v>13</v>
      </c>
      <c r="E1253" s="3" t="s">
        <v>8</v>
      </c>
      <c r="F1253" s="3">
        <v>0</v>
      </c>
      <c r="G1253" s="3">
        <v>0</v>
      </c>
      <c r="H1253" s="3">
        <v>0</v>
      </c>
      <c r="I1253" s="3">
        <v>1.39826002424253E-3</v>
      </c>
      <c r="J1253" s="3">
        <v>1.1519210173740601E-3</v>
      </c>
      <c r="K1253" s="3">
        <v>9.6835514452193105E-4</v>
      </c>
      <c r="L1253" s="3">
        <v>9.3462587930182202E-4</v>
      </c>
      <c r="M1253" s="3">
        <v>9.3070690701199297E-4</v>
      </c>
      <c r="N1253" s="3">
        <v>9.1985305058433803E-4</v>
      </c>
      <c r="O1253" s="3">
        <v>9.1175683901515803E-4</v>
      </c>
      <c r="P1253" s="3">
        <v>8.9099907823775098E-4</v>
      </c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</row>
    <row r="1254" spans="1:35" x14ac:dyDescent="0.45">
      <c r="A1254" s="3" t="s">
        <v>88</v>
      </c>
      <c r="B1254" s="3" t="s">
        <v>5</v>
      </c>
      <c r="C1254" s="3" t="s">
        <v>19</v>
      </c>
      <c r="D1254" s="3" t="s">
        <v>14</v>
      </c>
      <c r="E1254" s="3" t="s">
        <v>8</v>
      </c>
      <c r="F1254" s="3">
        <v>0</v>
      </c>
      <c r="G1254" s="3">
        <v>0</v>
      </c>
      <c r="H1254" s="3">
        <v>0</v>
      </c>
      <c r="I1254" s="3">
        <v>9.3369815882827795E-4</v>
      </c>
      <c r="J1254" s="3">
        <v>5.6568780565592895E-4</v>
      </c>
      <c r="K1254" s="3">
        <v>1.45485139729559E-4</v>
      </c>
      <c r="L1254" s="3">
        <v>1.36157417013559E-4</v>
      </c>
      <c r="M1254" s="3">
        <v>1.4091180014278801E-4</v>
      </c>
      <c r="N1254" s="3">
        <v>1.36532799121476E-4</v>
      </c>
      <c r="O1254" s="3">
        <v>1.4164383315255701E-4</v>
      </c>
      <c r="P1254" s="3">
        <v>1.7348233929948299E-4</v>
      </c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</row>
    <row r="1255" spans="1:35" x14ac:dyDescent="0.45">
      <c r="A1255" s="3" t="s">
        <v>89</v>
      </c>
      <c r="B1255" s="3" t="s">
        <v>29</v>
      </c>
      <c r="C1255" s="3" t="s">
        <v>6</v>
      </c>
      <c r="D1255" s="3" t="s">
        <v>7</v>
      </c>
      <c r="E1255" s="3" t="s">
        <v>8</v>
      </c>
      <c r="F1255" s="3">
        <v>0</v>
      </c>
      <c r="G1255" s="3">
        <v>0</v>
      </c>
      <c r="H1255" s="3">
        <v>0</v>
      </c>
      <c r="I1255" s="3">
        <v>0</v>
      </c>
      <c r="J1255" s="3">
        <v>2.4868063511142702E-5</v>
      </c>
      <c r="K1255" s="3">
        <v>3.41450669908446E-5</v>
      </c>
      <c r="L1255" s="3">
        <v>8.4265916822960999E-6</v>
      </c>
      <c r="M1255" s="3">
        <v>8.4265916822961507E-6</v>
      </c>
      <c r="N1255" s="3">
        <v>6.8068494789345602E-6</v>
      </c>
      <c r="O1255" s="3">
        <v>5.4452245416135296E-6</v>
      </c>
      <c r="P1255" s="3">
        <v>4.3629056216549802E-6</v>
      </c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</row>
    <row r="1256" spans="1:35" x14ac:dyDescent="0.45">
      <c r="A1256" s="3" t="s">
        <v>89</v>
      </c>
      <c r="B1256" s="3" t="s">
        <v>29</v>
      </c>
      <c r="C1256" s="3" t="s">
        <v>6</v>
      </c>
      <c r="D1256" s="3" t="s">
        <v>9</v>
      </c>
      <c r="E1256" s="3" t="s">
        <v>8</v>
      </c>
      <c r="F1256" s="3">
        <v>0</v>
      </c>
      <c r="G1256" s="3">
        <v>0</v>
      </c>
      <c r="H1256" s="3">
        <v>0</v>
      </c>
      <c r="I1256" s="3">
        <v>0</v>
      </c>
      <c r="J1256" s="3">
        <v>2.34217669012087E-5</v>
      </c>
      <c r="K1256" s="3">
        <v>5.6418855743270699E-5</v>
      </c>
      <c r="L1256" s="3">
        <v>7.0423396409221705E-5</v>
      </c>
      <c r="M1256" s="3">
        <v>7.0423396409221705E-5</v>
      </c>
      <c r="N1256" s="3">
        <v>6.8242308323937306E-5</v>
      </c>
      <c r="O1256" s="3">
        <v>6.9563787228156602E-5</v>
      </c>
      <c r="P1256" s="3">
        <v>7.0646106148115201E-5</v>
      </c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</row>
    <row r="1257" spans="1:35" x14ac:dyDescent="0.45">
      <c r="A1257" s="3" t="s">
        <v>89</v>
      </c>
      <c r="B1257" s="3" t="s">
        <v>29</v>
      </c>
      <c r="C1257" s="3" t="s">
        <v>6</v>
      </c>
      <c r="D1257" s="3" t="s">
        <v>10</v>
      </c>
      <c r="E1257" s="3" t="s">
        <v>8</v>
      </c>
      <c r="F1257" s="3">
        <v>0</v>
      </c>
      <c r="G1257" s="3">
        <v>0</v>
      </c>
      <c r="H1257" s="3">
        <v>0</v>
      </c>
      <c r="I1257" s="3">
        <v>2.8001605191510699E-6</v>
      </c>
      <c r="J1257" s="3">
        <v>6.0386827672301797E-5</v>
      </c>
      <c r="K1257" s="3">
        <v>6.0887932299314702E-5</v>
      </c>
      <c r="L1257" s="3">
        <v>6.2092884392274205E-5</v>
      </c>
      <c r="M1257" s="3">
        <v>6.2092884392274205E-5</v>
      </c>
      <c r="N1257" s="3">
        <v>4.37171917798213E-4</v>
      </c>
      <c r="O1257" s="3">
        <v>9.8948300463341603E-4</v>
      </c>
      <c r="P1257" s="3">
        <v>3.07210832310734E-3</v>
      </c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</row>
    <row r="1258" spans="1:35" x14ac:dyDescent="0.45">
      <c r="A1258" s="3" t="s">
        <v>89</v>
      </c>
      <c r="B1258" s="3" t="s">
        <v>29</v>
      </c>
      <c r="C1258" s="3" t="s">
        <v>6</v>
      </c>
      <c r="D1258" s="3" t="s">
        <v>11</v>
      </c>
      <c r="E1258" s="3" t="s">
        <v>8</v>
      </c>
      <c r="F1258" s="3">
        <v>0</v>
      </c>
      <c r="G1258" s="3">
        <v>0</v>
      </c>
      <c r="H1258" s="3">
        <v>0</v>
      </c>
      <c r="I1258" s="3">
        <v>4.5990962772925401E-5</v>
      </c>
      <c r="J1258" s="3">
        <v>6.2783536017331607E-5</v>
      </c>
      <c r="K1258" s="3">
        <v>6.7826591242151196E-5</v>
      </c>
      <c r="L1258" s="3">
        <v>7.24497047885526E-4</v>
      </c>
      <c r="M1258" s="3">
        <v>2.9839156430249299E-3</v>
      </c>
      <c r="N1258" s="3">
        <v>4.9618074308560899E-3</v>
      </c>
      <c r="O1258" s="3">
        <v>6.8922128853709597E-3</v>
      </c>
      <c r="P1258" s="3">
        <v>9.9001471421059205E-3</v>
      </c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</row>
    <row r="1259" spans="1:35" x14ac:dyDescent="0.45">
      <c r="A1259" s="3" t="s">
        <v>89</v>
      </c>
      <c r="B1259" s="3" t="s">
        <v>29</v>
      </c>
      <c r="C1259" s="3" t="s">
        <v>6</v>
      </c>
      <c r="D1259" s="3" t="s">
        <v>12</v>
      </c>
      <c r="E1259" s="3" t="s">
        <v>8</v>
      </c>
      <c r="F1259" s="3">
        <v>0</v>
      </c>
      <c r="G1259" s="3">
        <v>0</v>
      </c>
      <c r="H1259" s="3">
        <v>0</v>
      </c>
      <c r="I1259" s="3">
        <v>8.0204047400247105E-5</v>
      </c>
      <c r="J1259" s="3">
        <v>4.0087506678834799E-4</v>
      </c>
      <c r="K1259" s="3">
        <v>2.94290626255629E-3</v>
      </c>
      <c r="L1259" s="3">
        <v>4.9450799532596299E-3</v>
      </c>
      <c r="M1259" s="3">
        <v>1.08906380021192E-2</v>
      </c>
      <c r="N1259" s="3">
        <v>1.7701148918386301E-2</v>
      </c>
      <c r="O1259" s="3">
        <v>2.4142722599622499E-2</v>
      </c>
      <c r="P1259" s="3">
        <v>2.73710228098148E-2</v>
      </c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</row>
    <row r="1260" spans="1:35" x14ac:dyDescent="0.45">
      <c r="A1260" s="3" t="s">
        <v>89</v>
      </c>
      <c r="B1260" s="3" t="s">
        <v>29</v>
      </c>
      <c r="C1260" s="3" t="s">
        <v>6</v>
      </c>
      <c r="D1260" s="3" t="s">
        <v>13</v>
      </c>
      <c r="E1260" s="3" t="s">
        <v>8</v>
      </c>
      <c r="F1260" s="3">
        <v>0</v>
      </c>
      <c r="G1260" s="3">
        <v>9.4369381981694194E-6</v>
      </c>
      <c r="H1260" s="3">
        <v>9.4369381981694194E-6</v>
      </c>
      <c r="I1260" s="3">
        <v>2.7988470616324701E-3</v>
      </c>
      <c r="J1260" s="3">
        <v>1.2516239897845E-2</v>
      </c>
      <c r="K1260" s="3">
        <v>2.0153466865450199E-2</v>
      </c>
      <c r="L1260" s="3">
        <v>2.71374370436804E-2</v>
      </c>
      <c r="M1260" s="3">
        <v>2.7357513336205098E-2</v>
      </c>
      <c r="N1260" s="3">
        <v>2.6387651362683999E-2</v>
      </c>
      <c r="O1260" s="3">
        <v>2.58427320018275E-2</v>
      </c>
      <c r="P1260" s="3">
        <v>2.57645913303753E-2</v>
      </c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</row>
    <row r="1261" spans="1:35" x14ac:dyDescent="0.45">
      <c r="A1261" s="3" t="s">
        <v>89</v>
      </c>
      <c r="B1261" s="3" t="s">
        <v>29</v>
      </c>
      <c r="C1261" s="3" t="s">
        <v>6</v>
      </c>
      <c r="D1261" s="3" t="s">
        <v>14</v>
      </c>
      <c r="E1261" s="3" t="s">
        <v>8</v>
      </c>
      <c r="F1261" s="3">
        <v>0</v>
      </c>
      <c r="G1261" s="3">
        <v>3.5734639811497299E-4</v>
      </c>
      <c r="H1261" s="3">
        <v>3.5734639811497299E-4</v>
      </c>
      <c r="I1261" s="3">
        <v>8.6770593081147394E-3</v>
      </c>
      <c r="J1261" s="3">
        <v>9.1479125405611195E-3</v>
      </c>
      <c r="K1261" s="3">
        <v>9.5165837813105305E-3</v>
      </c>
      <c r="L1261" s="3">
        <v>1.08723010368769E-2</v>
      </c>
      <c r="M1261" s="3">
        <v>1.40631332361216E-2</v>
      </c>
      <c r="N1261" s="3">
        <v>1.8049681548982802E-2</v>
      </c>
      <c r="O1261" s="3">
        <v>2.1242922341354501E-2</v>
      </c>
      <c r="P1261" s="3">
        <v>2.3373247804290499E-2</v>
      </c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</row>
    <row r="1262" spans="1:35" x14ac:dyDescent="0.45">
      <c r="A1262" s="3" t="s">
        <v>89</v>
      </c>
      <c r="B1262" s="3" t="s">
        <v>29</v>
      </c>
      <c r="C1262" s="3" t="s">
        <v>15</v>
      </c>
      <c r="D1262" s="3" t="s">
        <v>7</v>
      </c>
      <c r="E1262" s="3" t="s">
        <v>8</v>
      </c>
      <c r="F1262" s="3">
        <v>1.51504041357431E-2</v>
      </c>
      <c r="G1262" s="3">
        <v>1.6739918147816401E-2</v>
      </c>
      <c r="H1262" s="3">
        <v>1.6739918147816401E-2</v>
      </c>
      <c r="I1262" s="3">
        <v>1.79935434838926E-2</v>
      </c>
      <c r="J1262" s="3">
        <v>1.89872684736778E-2</v>
      </c>
      <c r="K1262" s="3">
        <v>1.9926525587839999E-2</v>
      </c>
      <c r="L1262" s="3">
        <v>2.07307523921136E-2</v>
      </c>
      <c r="M1262" s="3">
        <v>2.16131352869781E-2</v>
      </c>
      <c r="N1262" s="3">
        <v>2.2004648303988499E-2</v>
      </c>
      <c r="O1262" s="3">
        <v>2.24141898838385E-2</v>
      </c>
      <c r="P1262" s="3">
        <v>2.2753149973237401E-2</v>
      </c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</row>
    <row r="1263" spans="1:35" x14ac:dyDescent="0.45">
      <c r="A1263" s="3" t="s">
        <v>89</v>
      </c>
      <c r="B1263" s="3" t="s">
        <v>29</v>
      </c>
      <c r="C1263" s="3" t="s">
        <v>15</v>
      </c>
      <c r="D1263" s="3" t="s">
        <v>9</v>
      </c>
      <c r="E1263" s="3" t="s">
        <v>8</v>
      </c>
      <c r="F1263" s="3">
        <v>0</v>
      </c>
      <c r="G1263" s="3">
        <v>-1.8428081364034498E-5</v>
      </c>
      <c r="H1263" s="3">
        <v>-1.8428081364034498E-5</v>
      </c>
      <c r="I1263" s="3">
        <v>-5.5467507211606099E-5</v>
      </c>
      <c r="J1263" s="3">
        <v>-1.14257208382297E-4</v>
      </c>
      <c r="K1263" s="3">
        <v>-3.62084755527042E-5</v>
      </c>
      <c r="L1263" s="3">
        <v>-2.4591409398405298E-4</v>
      </c>
      <c r="M1263" s="3">
        <v>-3.54655335683636E-4</v>
      </c>
      <c r="N1263" s="3">
        <v>-3.7083625528885899E-4</v>
      </c>
      <c r="O1263" s="3">
        <v>-5.7612834100387702E-4</v>
      </c>
      <c r="P1263" s="3">
        <v>-7.9759072242994002E-4</v>
      </c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</row>
    <row r="1264" spans="1:35" x14ac:dyDescent="0.45">
      <c r="A1264" s="3" t="s">
        <v>89</v>
      </c>
      <c r="B1264" s="3" t="s">
        <v>29</v>
      </c>
      <c r="C1264" s="3" t="s">
        <v>15</v>
      </c>
      <c r="D1264" s="3" t="s">
        <v>10</v>
      </c>
      <c r="E1264" s="3" t="s">
        <v>8</v>
      </c>
      <c r="F1264" s="3">
        <v>0</v>
      </c>
      <c r="G1264" s="3">
        <v>-3.3811522699711502E-7</v>
      </c>
      <c r="H1264" s="3">
        <v>-3.3811522699711502E-7</v>
      </c>
      <c r="I1264" s="3">
        <v>-2.2206579883322201E-5</v>
      </c>
      <c r="J1264" s="3">
        <v>-7.5810650816320006E-5</v>
      </c>
      <c r="K1264" s="3">
        <v>-1.12371499158586E-4</v>
      </c>
      <c r="L1264" s="3">
        <v>-3.1346995230403102E-5</v>
      </c>
      <c r="M1264" s="3">
        <v>-2.50554612523438E-4</v>
      </c>
      <c r="N1264" s="3">
        <v>2.00867874004373E-4</v>
      </c>
      <c r="O1264" s="3">
        <v>1.09623769075654E-4</v>
      </c>
      <c r="P1264" s="3">
        <v>1.4576011816998599E-4</v>
      </c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</row>
    <row r="1265" spans="1:35" x14ac:dyDescent="0.45">
      <c r="A1265" s="3" t="s">
        <v>89</v>
      </c>
      <c r="B1265" s="3" t="s">
        <v>29</v>
      </c>
      <c r="C1265" s="3" t="s">
        <v>15</v>
      </c>
      <c r="D1265" s="3" t="s">
        <v>11</v>
      </c>
      <c r="E1265" s="3" t="s">
        <v>8</v>
      </c>
      <c r="F1265" s="3">
        <v>0</v>
      </c>
      <c r="G1265" s="3">
        <v>1.3260181019117399E-6</v>
      </c>
      <c r="H1265" s="3">
        <v>1.3260181019117399E-6</v>
      </c>
      <c r="I1265" s="3">
        <v>-2.79927175783207E-5</v>
      </c>
      <c r="J1265" s="3">
        <v>3.4327269315230502E-5</v>
      </c>
      <c r="K1265" s="3">
        <v>-6.8228964390140701E-5</v>
      </c>
      <c r="L1265" s="3">
        <v>1.8433225035911801E-4</v>
      </c>
      <c r="M1265" s="3">
        <v>4.7501715951397299E-4</v>
      </c>
      <c r="N1265" s="3">
        <v>2.79849312150842E-4</v>
      </c>
      <c r="O1265" s="3">
        <v>3.1725740774798901E-4</v>
      </c>
      <c r="P1265" s="3">
        <v>3.60319117951754E-4</v>
      </c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</row>
    <row r="1266" spans="1:35" x14ac:dyDescent="0.45">
      <c r="A1266" s="3" t="s">
        <v>89</v>
      </c>
      <c r="B1266" s="3" t="s">
        <v>29</v>
      </c>
      <c r="C1266" s="3" t="s">
        <v>15</v>
      </c>
      <c r="D1266" s="3" t="s">
        <v>12</v>
      </c>
      <c r="E1266" s="3" t="s">
        <v>8</v>
      </c>
      <c r="F1266" s="3">
        <v>0</v>
      </c>
      <c r="G1266" s="3">
        <v>5.6948147152471905E-7</v>
      </c>
      <c r="H1266" s="3">
        <v>5.6948147152471905E-7</v>
      </c>
      <c r="I1266" s="3">
        <v>-9.4562047843565298E-5</v>
      </c>
      <c r="J1266" s="3">
        <v>-1.5431550878023501E-5</v>
      </c>
      <c r="K1266" s="3">
        <v>7.5241350906161302E-4</v>
      </c>
      <c r="L1266" s="3">
        <v>7.5621205082203303E-4</v>
      </c>
      <c r="M1266" s="3">
        <v>7.3441062350380502E-4</v>
      </c>
      <c r="N1266" s="3">
        <v>4.4219724587624099E-4</v>
      </c>
      <c r="O1266" s="3">
        <v>5.5083464063044804E-4</v>
      </c>
      <c r="P1266" s="3">
        <v>5.4807979669647597E-4</v>
      </c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</row>
    <row r="1267" spans="1:35" x14ac:dyDescent="0.45">
      <c r="A1267" s="3" t="s">
        <v>89</v>
      </c>
      <c r="B1267" s="3" t="s">
        <v>29</v>
      </c>
      <c r="C1267" s="3" t="s">
        <v>15</v>
      </c>
      <c r="D1267" s="3" t="s">
        <v>13</v>
      </c>
      <c r="E1267" s="3" t="s">
        <v>8</v>
      </c>
      <c r="F1267" s="3">
        <v>0</v>
      </c>
      <c r="G1267" s="3">
        <v>-1.21978156738721E-4</v>
      </c>
      <c r="H1267" s="3">
        <v>-1.21978156738721E-4</v>
      </c>
      <c r="I1267" s="3">
        <v>9.7331043389183697E-4</v>
      </c>
      <c r="J1267" s="3">
        <v>1.0250012582987301E-3</v>
      </c>
      <c r="K1267" s="3">
        <v>1.03304370814458E-4</v>
      </c>
      <c r="L1267" s="3">
        <v>-3.6160210019921999E-5</v>
      </c>
      <c r="M1267" s="3">
        <v>7.0569899420655502E-5</v>
      </c>
      <c r="N1267" s="3">
        <v>4.0965568564142702E-4</v>
      </c>
      <c r="O1267" s="3">
        <v>4.2747024758796299E-4</v>
      </c>
      <c r="P1267" s="3">
        <v>3.5781641668300099E-4</v>
      </c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</row>
    <row r="1268" spans="1:35" x14ac:dyDescent="0.45">
      <c r="A1268" s="3" t="s">
        <v>89</v>
      </c>
      <c r="B1268" s="3" t="s">
        <v>29</v>
      </c>
      <c r="C1268" s="3" t="s">
        <v>15</v>
      </c>
      <c r="D1268" s="3" t="s">
        <v>14</v>
      </c>
      <c r="E1268" s="3" t="s">
        <v>8</v>
      </c>
      <c r="F1268" s="3">
        <v>0</v>
      </c>
      <c r="G1268" s="3">
        <v>2.92442955425711E-4</v>
      </c>
      <c r="H1268" s="3">
        <v>2.92442955425711E-4</v>
      </c>
      <c r="I1268" s="3">
        <v>-5.4314963036218903E-4</v>
      </c>
      <c r="J1268" s="3">
        <v>-9.5612452379333405E-4</v>
      </c>
      <c r="K1268" s="3">
        <v>-1.0917669415964699E-3</v>
      </c>
      <c r="L1268" s="3">
        <v>-1.4369700608214801E-3</v>
      </c>
      <c r="M1268" s="3">
        <v>-1.6889475033272101E-3</v>
      </c>
      <c r="N1268" s="3">
        <v>-1.65159486181266E-3</v>
      </c>
      <c r="O1268" s="3">
        <v>-1.42130254725559E-3</v>
      </c>
      <c r="P1268" s="3">
        <v>-1.4240564817160899E-3</v>
      </c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</row>
    <row r="1269" spans="1:35" x14ac:dyDescent="0.45">
      <c r="A1269" s="3" t="s">
        <v>89</v>
      </c>
      <c r="B1269" s="3" t="s">
        <v>29</v>
      </c>
      <c r="C1269" s="3" t="s">
        <v>16</v>
      </c>
      <c r="D1269" s="3" t="s">
        <v>7</v>
      </c>
      <c r="E1269" s="3" t="s">
        <v>8</v>
      </c>
      <c r="F1269" s="3">
        <v>6.4675626123728803E-3</v>
      </c>
      <c r="G1269" s="3">
        <v>6.9041371472294503E-3</v>
      </c>
      <c r="H1269" s="3">
        <v>6.9041371472294503E-3</v>
      </c>
      <c r="I1269" s="3">
        <v>6.6755677017591103E-3</v>
      </c>
      <c r="J1269" s="3">
        <v>6.46192204056374E-3</v>
      </c>
      <c r="K1269" s="3">
        <v>6.3731862795746302E-3</v>
      </c>
      <c r="L1269" s="3">
        <v>6.3553907171219502E-3</v>
      </c>
      <c r="M1269" s="3">
        <v>6.3111044623399299E-3</v>
      </c>
      <c r="N1269" s="3">
        <v>6.29933308933729E-3</v>
      </c>
      <c r="O1269" s="3">
        <v>6.2993330893373004E-3</v>
      </c>
      <c r="P1269" s="3">
        <v>6.2993330893373004E-3</v>
      </c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</row>
    <row r="1270" spans="1:35" x14ac:dyDescent="0.45">
      <c r="A1270" s="3" t="s">
        <v>89</v>
      </c>
      <c r="B1270" s="3" t="s">
        <v>29</v>
      </c>
      <c r="C1270" s="3" t="s">
        <v>16</v>
      </c>
      <c r="D1270" s="3" t="s">
        <v>9</v>
      </c>
      <c r="E1270" s="3" t="s">
        <v>8</v>
      </c>
      <c r="F1270" s="3">
        <v>0</v>
      </c>
      <c r="G1270" s="3">
        <v>-1.71018699493368E-6</v>
      </c>
      <c r="H1270" s="3">
        <v>-1.71018699493368E-6</v>
      </c>
      <c r="I1270" s="3">
        <v>0</v>
      </c>
      <c r="J1270" s="3">
        <v>1.2326385053882E-5</v>
      </c>
      <c r="K1270" s="3">
        <v>1.9861441946777301E-6</v>
      </c>
      <c r="L1270" s="3">
        <v>1.2596296463729601E-5</v>
      </c>
      <c r="M1270" s="3">
        <v>2.46924334065569E-5</v>
      </c>
      <c r="N1270" s="3">
        <v>-5.1895272299762795E-4</v>
      </c>
      <c r="O1270" s="3">
        <v>-5.1895272299763804E-4</v>
      </c>
      <c r="P1270" s="3">
        <v>-5.1895272299763804E-4</v>
      </c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</row>
    <row r="1271" spans="1:35" x14ac:dyDescent="0.45">
      <c r="A1271" s="3" t="s">
        <v>89</v>
      </c>
      <c r="B1271" s="3" t="s">
        <v>29</v>
      </c>
      <c r="C1271" s="3" t="s">
        <v>16</v>
      </c>
      <c r="D1271" s="3" t="s">
        <v>10</v>
      </c>
      <c r="E1271" s="3" t="s">
        <v>8</v>
      </c>
      <c r="F1271" s="3">
        <v>0</v>
      </c>
      <c r="G1271" s="3">
        <v>-9.5409791178724406E-18</v>
      </c>
      <c r="H1271" s="3">
        <v>-9.5409791178724406E-18</v>
      </c>
      <c r="I1271" s="3">
        <v>0</v>
      </c>
      <c r="J1271" s="3">
        <v>1.20755437162372E-5</v>
      </c>
      <c r="K1271" s="3">
        <v>3.33431409169777E-6</v>
      </c>
      <c r="L1271" s="3">
        <v>-5.4058379038102395E-4</v>
      </c>
      <c r="M1271" s="3">
        <v>-5.3569729920010601E-4</v>
      </c>
      <c r="N1271" s="3">
        <v>1.97192302067327E-5</v>
      </c>
      <c r="O1271" s="3">
        <v>1.97192302067222E-5</v>
      </c>
      <c r="P1271" s="3">
        <v>1.97192302067327E-5</v>
      </c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</row>
    <row r="1272" spans="1:35" x14ac:dyDescent="0.45">
      <c r="A1272" s="3" t="s">
        <v>89</v>
      </c>
      <c r="B1272" s="3" t="s">
        <v>29</v>
      </c>
      <c r="C1272" s="3" t="s">
        <v>16</v>
      </c>
      <c r="D1272" s="3" t="s">
        <v>11</v>
      </c>
      <c r="E1272" s="3" t="s">
        <v>8</v>
      </c>
      <c r="F1272" s="3">
        <v>0</v>
      </c>
      <c r="G1272" s="3">
        <v>9.5409791178724406E-18</v>
      </c>
      <c r="H1272" s="3">
        <v>9.5409791178724406E-18</v>
      </c>
      <c r="I1272" s="3">
        <v>0</v>
      </c>
      <c r="J1272" s="3">
        <v>-5.5438601501784604E-4</v>
      </c>
      <c r="K1272" s="3">
        <v>-5.4006634607586498E-4</v>
      </c>
      <c r="L1272" s="3">
        <v>1.02987715642003E-7</v>
      </c>
      <c r="M1272" s="3">
        <v>-2.82375669222708E-5</v>
      </c>
      <c r="N1272" s="3">
        <v>-4.3838972290472997E-5</v>
      </c>
      <c r="O1272" s="3">
        <v>-4.3838972290462602E-5</v>
      </c>
      <c r="P1272" s="3">
        <v>-4.3838972290472997E-5</v>
      </c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</row>
    <row r="1273" spans="1:35" x14ac:dyDescent="0.45">
      <c r="A1273" s="3" t="s">
        <v>89</v>
      </c>
      <c r="B1273" s="3" t="s">
        <v>29</v>
      </c>
      <c r="C1273" s="3" t="s">
        <v>16</v>
      </c>
      <c r="D1273" s="3" t="s">
        <v>12</v>
      </c>
      <c r="E1273" s="3" t="s">
        <v>8</v>
      </c>
      <c r="F1273" s="3">
        <v>0</v>
      </c>
      <c r="G1273" s="3">
        <v>-3.2764369695759501E-6</v>
      </c>
      <c r="H1273" s="3">
        <v>-3.2764369695759501E-6</v>
      </c>
      <c r="I1273" s="3">
        <v>-5.8419906189952997E-4</v>
      </c>
      <c r="J1273" s="3">
        <v>2.9229413473273399E-5</v>
      </c>
      <c r="K1273" s="3">
        <v>-1.0925192148673899E-5</v>
      </c>
      <c r="L1273" s="3">
        <v>-6.8915115767063606E-5</v>
      </c>
      <c r="M1273" s="3">
        <v>-1.64133230624829E-5</v>
      </c>
      <c r="N1273" s="3">
        <v>-9.3753522154536904E-7</v>
      </c>
      <c r="O1273" s="3">
        <v>-1.19414960739108E-6</v>
      </c>
      <c r="P1273" s="3">
        <v>-1.3239586357117299E-6</v>
      </c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</row>
    <row r="1274" spans="1:35" x14ac:dyDescent="0.45">
      <c r="A1274" s="3" t="s">
        <v>89</v>
      </c>
      <c r="B1274" s="3" t="s">
        <v>29</v>
      </c>
      <c r="C1274" s="3" t="s">
        <v>16</v>
      </c>
      <c r="D1274" s="3" t="s">
        <v>13</v>
      </c>
      <c r="E1274" s="3" t="s">
        <v>8</v>
      </c>
      <c r="F1274" s="3">
        <v>0</v>
      </c>
      <c r="G1274" s="3">
        <v>4.98662396450963E-6</v>
      </c>
      <c r="H1274" s="3">
        <v>4.98662396450963E-6</v>
      </c>
      <c r="I1274" s="3">
        <v>-1.05335781114422E-4</v>
      </c>
      <c r="J1274" s="3">
        <v>-1.99669117173494E-4</v>
      </c>
      <c r="K1274" s="3">
        <v>-7.25464088264932E-5</v>
      </c>
      <c r="L1274" s="3">
        <v>-3.6554063714052499E-6</v>
      </c>
      <c r="M1274" s="3">
        <v>-5.1334880008142805E-7</v>
      </c>
      <c r="N1274" s="3">
        <v>-3.8773458302908398E-7</v>
      </c>
      <c r="O1274" s="3">
        <v>-1.3112023028536599E-7</v>
      </c>
      <c r="P1274" s="3">
        <v>-1.31120229951431E-9</v>
      </c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</row>
    <row r="1275" spans="1:35" x14ac:dyDescent="0.45">
      <c r="A1275" s="3" t="s">
        <v>89</v>
      </c>
      <c r="B1275" s="3" t="s">
        <v>29</v>
      </c>
      <c r="C1275" s="3" t="s">
        <v>16</v>
      </c>
      <c r="D1275" s="3" t="s">
        <v>14</v>
      </c>
      <c r="E1275" s="3" t="s">
        <v>8</v>
      </c>
      <c r="F1275" s="3">
        <v>0</v>
      </c>
      <c r="G1275" s="3">
        <v>-5.7827917568104004E-4</v>
      </c>
      <c r="H1275" s="3">
        <v>-5.7827917568104004E-4</v>
      </c>
      <c r="I1275" s="3">
        <v>-2.2861754441953199E-4</v>
      </c>
      <c r="J1275" s="3">
        <v>-6.5478107230659096E-6</v>
      </c>
      <c r="K1275" s="3">
        <v>-3.3285537317726002E-8</v>
      </c>
      <c r="L1275" s="3">
        <v>-3.3285537607424798E-10</v>
      </c>
      <c r="M1275" s="3">
        <v>-3.32854924178783E-12</v>
      </c>
      <c r="N1275" s="3">
        <v>-3.3284139333566998E-14</v>
      </c>
      <c r="O1275" s="3">
        <v>-3.3480163086352402E-16</v>
      </c>
      <c r="P1275" s="3">
        <v>0</v>
      </c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</row>
    <row r="1276" spans="1:35" x14ac:dyDescent="0.45">
      <c r="A1276" s="3" t="s">
        <v>89</v>
      </c>
      <c r="B1276" s="3" t="s">
        <v>29</v>
      </c>
      <c r="C1276" s="3" t="s">
        <v>17</v>
      </c>
      <c r="D1276" s="3" t="s">
        <v>7</v>
      </c>
      <c r="E1276" s="3" t="s">
        <v>8</v>
      </c>
      <c r="F1276" s="3">
        <v>1.14611315747427E-3</v>
      </c>
      <c r="G1276" s="3">
        <v>2.6272218815519598E-3</v>
      </c>
      <c r="H1276" s="3">
        <v>2.6272218815519598E-3</v>
      </c>
      <c r="I1276" s="3">
        <v>3.4901842868984702E-3</v>
      </c>
      <c r="J1276" s="3">
        <v>4.6144636984071404E-3</v>
      </c>
      <c r="K1276" s="3">
        <v>6.1195436566158796E-3</v>
      </c>
      <c r="L1276" s="3">
        <v>4.9259773914598097E-3</v>
      </c>
      <c r="M1276" s="3">
        <v>3.9913499637334003E-3</v>
      </c>
      <c r="N1276" s="3">
        <v>3.22546104268938E-3</v>
      </c>
      <c r="O1276" s="3">
        <v>2.6234371000247001E-3</v>
      </c>
      <c r="P1276" s="3">
        <v>2.2832797186285001E-3</v>
      </c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</row>
    <row r="1277" spans="1:35" x14ac:dyDescent="0.45">
      <c r="A1277" s="3" t="s">
        <v>89</v>
      </c>
      <c r="B1277" s="3" t="s">
        <v>29</v>
      </c>
      <c r="C1277" s="3" t="s">
        <v>17</v>
      </c>
      <c r="D1277" s="3" t="s">
        <v>9</v>
      </c>
      <c r="E1277" s="3" t="s">
        <v>8</v>
      </c>
      <c r="F1277" s="3">
        <v>0</v>
      </c>
      <c r="G1277" s="3">
        <v>8.1806933771597204E-5</v>
      </c>
      <c r="H1277" s="3">
        <v>8.1806933771597204E-5</v>
      </c>
      <c r="I1277" s="3">
        <v>2.6187256945658301E-5</v>
      </c>
      <c r="J1277" s="3">
        <v>4.6602230041885003E-4</v>
      </c>
      <c r="K1277" s="3">
        <v>6.3916957161657296E-4</v>
      </c>
      <c r="L1277" s="3">
        <v>8.8241733651557195E-4</v>
      </c>
      <c r="M1277" s="3">
        <v>1.0756427629098899E-3</v>
      </c>
      <c r="N1277" s="3">
        <v>3.24680194319709E-3</v>
      </c>
      <c r="O1277" s="3">
        <v>3.6158719311657002E-3</v>
      </c>
      <c r="P1277" s="3">
        <v>3.8043020594026801E-3</v>
      </c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</row>
    <row r="1278" spans="1:35" x14ac:dyDescent="0.45">
      <c r="A1278" s="3" t="s">
        <v>89</v>
      </c>
      <c r="B1278" s="3" t="s">
        <v>29</v>
      </c>
      <c r="C1278" s="3" t="s">
        <v>17</v>
      </c>
      <c r="D1278" s="3" t="s">
        <v>10</v>
      </c>
      <c r="E1278" s="3" t="s">
        <v>8</v>
      </c>
      <c r="F1278" s="3">
        <v>0</v>
      </c>
      <c r="G1278" s="3">
        <v>2.36554975933862E-5</v>
      </c>
      <c r="H1278" s="3">
        <v>2.36554975933862E-5</v>
      </c>
      <c r="I1278" s="3">
        <v>2.0698773658874101E-4</v>
      </c>
      <c r="J1278" s="3">
        <v>1.6171570627527201E-4</v>
      </c>
      <c r="K1278" s="3">
        <v>3.9872077210112298E-4</v>
      </c>
      <c r="L1278" s="3">
        <v>2.53063843822198E-3</v>
      </c>
      <c r="M1278" s="3">
        <v>2.7059063836274398E-3</v>
      </c>
      <c r="N1278" s="3">
        <v>2.5767972392336498E-3</v>
      </c>
      <c r="O1278" s="3">
        <v>2.6510646940615698E-3</v>
      </c>
      <c r="P1278" s="3">
        <v>6.6700864966062904E-3</v>
      </c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</row>
    <row r="1279" spans="1:35" x14ac:dyDescent="0.45">
      <c r="A1279" s="3" t="s">
        <v>89</v>
      </c>
      <c r="B1279" s="3" t="s">
        <v>29</v>
      </c>
      <c r="C1279" s="3" t="s">
        <v>17</v>
      </c>
      <c r="D1279" s="3" t="s">
        <v>11</v>
      </c>
      <c r="E1279" s="3" t="s">
        <v>8</v>
      </c>
      <c r="F1279" s="3">
        <v>0</v>
      </c>
      <c r="G1279" s="3">
        <v>2.24778911089734E-5</v>
      </c>
      <c r="H1279" s="3">
        <v>2.24778911089734E-5</v>
      </c>
      <c r="I1279" s="3">
        <v>1.33504257627008E-4</v>
      </c>
      <c r="J1279" s="3">
        <v>2.3225601902025698E-3</v>
      </c>
      <c r="K1279" s="3">
        <v>2.9756559257565099E-3</v>
      </c>
      <c r="L1279" s="3">
        <v>2.2952264225294598E-3</v>
      </c>
      <c r="M1279" s="3">
        <v>5.1707804277535399E-3</v>
      </c>
      <c r="N1279" s="3">
        <v>4.2011148781652304E-3</v>
      </c>
      <c r="O1279" s="3">
        <v>4.4459737816661899E-3</v>
      </c>
      <c r="P1279" s="3">
        <v>7.3958266261711604E-4</v>
      </c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</row>
    <row r="1280" spans="1:35" x14ac:dyDescent="0.45">
      <c r="A1280" s="3" t="s">
        <v>89</v>
      </c>
      <c r="B1280" s="3" t="s">
        <v>29</v>
      </c>
      <c r="C1280" s="3" t="s">
        <v>17</v>
      </c>
      <c r="D1280" s="3" t="s">
        <v>12</v>
      </c>
      <c r="E1280" s="3" t="s">
        <v>8</v>
      </c>
      <c r="F1280" s="3">
        <v>0</v>
      </c>
      <c r="G1280" s="3">
        <v>3.4283337547709798E-5</v>
      </c>
      <c r="H1280" s="3">
        <v>3.4283337547709798E-5</v>
      </c>
      <c r="I1280" s="3">
        <v>2.1111946442213402E-3</v>
      </c>
      <c r="J1280" s="3">
        <v>1.76753697971647E-3</v>
      </c>
      <c r="K1280" s="3">
        <v>2.4201756201464998E-3</v>
      </c>
      <c r="L1280" s="3">
        <v>2.5653192389089598E-3</v>
      </c>
      <c r="M1280" s="3">
        <v>7.9299841440280303E-4</v>
      </c>
      <c r="N1280" s="3">
        <v>9.907915153478089E-4</v>
      </c>
      <c r="O1280" s="3">
        <v>1.18677735245076E-3</v>
      </c>
      <c r="P1280" s="3">
        <v>1.1321174525242999E-3</v>
      </c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</row>
    <row r="1281" spans="1:35" x14ac:dyDescent="0.45">
      <c r="A1281" s="3" t="s">
        <v>89</v>
      </c>
      <c r="B1281" s="3" t="s">
        <v>29</v>
      </c>
      <c r="C1281" s="3" t="s">
        <v>17</v>
      </c>
      <c r="D1281" s="3" t="s">
        <v>13</v>
      </c>
      <c r="E1281" s="3" t="s">
        <v>8</v>
      </c>
      <c r="F1281" s="3">
        <v>0</v>
      </c>
      <c r="G1281" s="3">
        <v>4.0588618401994099E-4</v>
      </c>
      <c r="H1281" s="3">
        <v>4.0588618401994099E-4</v>
      </c>
      <c r="I1281" s="3">
        <v>5.56850798345126E-3</v>
      </c>
      <c r="J1281" s="3">
        <v>4.3977353049389802E-3</v>
      </c>
      <c r="K1281" s="3">
        <v>1.9680486241415601E-3</v>
      </c>
      <c r="L1281" s="3">
        <v>1.49715786749396E-3</v>
      </c>
      <c r="M1281" s="3">
        <v>1.0054209184495099E-3</v>
      </c>
      <c r="N1281" s="3">
        <v>5.0156339704333604E-4</v>
      </c>
      <c r="O1281" s="3">
        <v>2.19503422356172E-4</v>
      </c>
      <c r="P1281" s="3">
        <v>1.1326986058734201E-4</v>
      </c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</row>
    <row r="1282" spans="1:35" x14ac:dyDescent="0.45">
      <c r="A1282" s="3" t="s">
        <v>89</v>
      </c>
      <c r="B1282" s="3" t="s">
        <v>29</v>
      </c>
      <c r="C1282" s="3" t="s">
        <v>17</v>
      </c>
      <c r="D1282" s="3" t="s">
        <v>14</v>
      </c>
      <c r="E1282" s="3" t="s">
        <v>8</v>
      </c>
      <c r="F1282" s="3">
        <v>0</v>
      </c>
      <c r="G1282" s="3">
        <v>1.9412323643177799E-3</v>
      </c>
      <c r="H1282" s="3">
        <v>1.9412323643177799E-3</v>
      </c>
      <c r="I1282" s="3">
        <v>2.7496154933148698E-3</v>
      </c>
      <c r="J1282" s="3">
        <v>9.9007036326150292E-4</v>
      </c>
      <c r="K1282" s="3">
        <v>2.21130455297848E-4</v>
      </c>
      <c r="L1282" s="3">
        <v>4.5901074028978402E-5</v>
      </c>
      <c r="M1282" s="3">
        <v>5.4643944247083396E-7</v>
      </c>
      <c r="N1282" s="3">
        <v>1.15299453777931E-7</v>
      </c>
      <c r="O1282" s="3">
        <v>1.70334531965355E-8</v>
      </c>
      <c r="P1282" s="3">
        <v>7.06481257869984E-9</v>
      </c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</row>
    <row r="1283" spans="1:35" x14ac:dyDescent="0.45">
      <c r="A1283" s="3" t="s">
        <v>89</v>
      </c>
      <c r="B1283" s="3" t="s">
        <v>29</v>
      </c>
      <c r="C1283" s="3" t="s">
        <v>18</v>
      </c>
      <c r="D1283" s="3" t="s">
        <v>7</v>
      </c>
      <c r="E1283" s="3" t="s">
        <v>8</v>
      </c>
      <c r="F1283" s="3">
        <v>1.17050246827824E-2</v>
      </c>
      <c r="G1283" s="3">
        <v>8.7483831179711608E-3</v>
      </c>
      <c r="H1283" s="3">
        <v>8.7483831179711608E-3</v>
      </c>
      <c r="I1283" s="3">
        <v>5.8322554119807704E-3</v>
      </c>
      <c r="J1283" s="3">
        <v>2.91612770599039E-3</v>
      </c>
      <c r="K1283" s="3">
        <v>0</v>
      </c>
      <c r="L1283" s="3">
        <v>6.7638556229668398E-18</v>
      </c>
      <c r="M1283" s="3">
        <v>0</v>
      </c>
      <c r="N1283" s="3">
        <v>1.12730927049448E-18</v>
      </c>
      <c r="O1283" s="3">
        <v>0</v>
      </c>
      <c r="P1283" s="3">
        <v>4.5092370819779002E-18</v>
      </c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</row>
    <row r="1284" spans="1:35" x14ac:dyDescent="0.45">
      <c r="A1284" s="3" t="s">
        <v>89</v>
      </c>
      <c r="B1284" s="3" t="s">
        <v>29</v>
      </c>
      <c r="C1284" s="3" t="s">
        <v>18</v>
      </c>
      <c r="D1284" s="3" t="s">
        <v>9</v>
      </c>
      <c r="E1284" s="3" t="s">
        <v>8</v>
      </c>
      <c r="F1284" s="3">
        <v>0</v>
      </c>
      <c r="G1284" s="3">
        <v>0</v>
      </c>
      <c r="H1284" s="3">
        <v>0</v>
      </c>
      <c r="I1284" s="3">
        <v>0</v>
      </c>
      <c r="J1284" s="3">
        <v>-1.0408340855860799E-17</v>
      </c>
      <c r="K1284" s="3">
        <v>0</v>
      </c>
      <c r="L1284" s="3">
        <v>-2.2546185409889401E-18</v>
      </c>
      <c r="M1284" s="3">
        <v>1.12730927049448E-18</v>
      </c>
      <c r="N1284" s="3">
        <v>-1.12730927049448E-18</v>
      </c>
      <c r="O1284" s="3">
        <v>1.12730927049448E-18</v>
      </c>
      <c r="P1284" s="3">
        <v>-4.5092370819779002E-18</v>
      </c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</row>
    <row r="1285" spans="1:35" x14ac:dyDescent="0.45">
      <c r="A1285" s="3" t="s">
        <v>89</v>
      </c>
      <c r="B1285" s="3" t="s">
        <v>29</v>
      </c>
      <c r="C1285" s="3" t="s">
        <v>18</v>
      </c>
      <c r="D1285" s="3" t="s">
        <v>10</v>
      </c>
      <c r="E1285" s="3" t="s">
        <v>8</v>
      </c>
      <c r="F1285" s="3">
        <v>0</v>
      </c>
      <c r="G1285" s="3">
        <v>0</v>
      </c>
      <c r="H1285" s="3">
        <v>0</v>
      </c>
      <c r="I1285" s="3">
        <v>0</v>
      </c>
      <c r="J1285" s="3">
        <v>1.0408340855860799E-17</v>
      </c>
      <c r="K1285" s="3">
        <v>6.7638556229668398E-18</v>
      </c>
      <c r="L1285" s="3">
        <v>-4.5092370819779002E-18</v>
      </c>
      <c r="M1285" s="3">
        <v>-1.12730927049448E-18</v>
      </c>
      <c r="N1285" s="3">
        <v>0</v>
      </c>
      <c r="O1285" s="3">
        <v>-1.12730927049448E-18</v>
      </c>
      <c r="P1285" s="3">
        <v>0</v>
      </c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</row>
    <row r="1286" spans="1:35" x14ac:dyDescent="0.45">
      <c r="A1286" s="3" t="s">
        <v>89</v>
      </c>
      <c r="B1286" s="3" t="s">
        <v>29</v>
      </c>
      <c r="C1286" s="3" t="s">
        <v>18</v>
      </c>
      <c r="D1286" s="3" t="s">
        <v>11</v>
      </c>
      <c r="E1286" s="3" t="s">
        <v>8</v>
      </c>
      <c r="F1286" s="3">
        <v>0</v>
      </c>
      <c r="G1286" s="3">
        <v>8.6736173798840401E-18</v>
      </c>
      <c r="H1286" s="3">
        <v>8.6736173798840401E-18</v>
      </c>
      <c r="I1286" s="3">
        <v>0</v>
      </c>
      <c r="J1286" s="3">
        <v>0</v>
      </c>
      <c r="K1286" s="3">
        <v>-2.2546185409889401E-18</v>
      </c>
      <c r="L1286" s="3">
        <v>2.2546185409889401E-18</v>
      </c>
      <c r="M1286" s="3">
        <v>5.63654635247236E-18</v>
      </c>
      <c r="N1286" s="3">
        <v>1.12730927049448E-18</v>
      </c>
      <c r="O1286" s="3">
        <v>6.7638556229668398E-18</v>
      </c>
      <c r="P1286" s="3">
        <v>0</v>
      </c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</row>
    <row r="1287" spans="1:35" x14ac:dyDescent="0.45">
      <c r="A1287" s="3" t="s">
        <v>89</v>
      </c>
      <c r="B1287" s="3" t="s">
        <v>29</v>
      </c>
      <c r="C1287" s="3" t="s">
        <v>18</v>
      </c>
      <c r="D1287" s="3" t="s">
        <v>12</v>
      </c>
      <c r="E1287" s="3" t="s">
        <v>8</v>
      </c>
      <c r="F1287" s="3">
        <v>0</v>
      </c>
      <c r="G1287" s="3">
        <v>0</v>
      </c>
      <c r="H1287" s="3">
        <v>0</v>
      </c>
      <c r="I1287" s="3">
        <v>1.0408340855860799E-17</v>
      </c>
      <c r="J1287" s="3">
        <v>9.9746599868666393E-18</v>
      </c>
      <c r="K1287" s="3">
        <v>-4.5092370819779002E-18</v>
      </c>
      <c r="L1287" s="3">
        <v>-2.2546185409889401E-18</v>
      </c>
      <c r="M1287" s="3">
        <v>4.5092370819779002E-18</v>
      </c>
      <c r="N1287" s="3">
        <v>4.5092370819778901E-18</v>
      </c>
      <c r="O1287" s="3">
        <v>3.3819278114834199E-18</v>
      </c>
      <c r="P1287" s="3">
        <v>0</v>
      </c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</row>
    <row r="1288" spans="1:35" x14ac:dyDescent="0.45">
      <c r="A1288" s="3" t="s">
        <v>89</v>
      </c>
      <c r="B1288" s="3" t="s">
        <v>29</v>
      </c>
      <c r="C1288" s="3" t="s">
        <v>18</v>
      </c>
      <c r="D1288" s="3" t="s">
        <v>13</v>
      </c>
      <c r="E1288" s="3" t="s">
        <v>8</v>
      </c>
      <c r="F1288" s="3">
        <v>0</v>
      </c>
      <c r="G1288" s="3">
        <v>0</v>
      </c>
      <c r="H1288" s="3">
        <v>0</v>
      </c>
      <c r="I1288" s="3">
        <v>-1.0408340855860799E-17</v>
      </c>
      <c r="J1288" s="3">
        <v>1.0408340855860799E-17</v>
      </c>
      <c r="K1288" s="3">
        <v>2.2546185409889401E-18</v>
      </c>
      <c r="L1288" s="3">
        <v>4.5092370819779002E-18</v>
      </c>
      <c r="M1288" s="3">
        <v>-2.2546185409889501E-18</v>
      </c>
      <c r="N1288" s="3">
        <v>-1.12730927049447E-18</v>
      </c>
      <c r="O1288" s="3">
        <v>-7.8911648934613197E-18</v>
      </c>
      <c r="P1288" s="3">
        <v>6.7638556229668398E-18</v>
      </c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</row>
    <row r="1289" spans="1:35" x14ac:dyDescent="0.45">
      <c r="A1289" s="3" t="s">
        <v>89</v>
      </c>
      <c r="B1289" s="3" t="s">
        <v>29</v>
      </c>
      <c r="C1289" s="3" t="s">
        <v>18</v>
      </c>
      <c r="D1289" s="3" t="s">
        <v>14</v>
      </c>
      <c r="E1289" s="3" t="s">
        <v>8</v>
      </c>
      <c r="F1289" s="3">
        <v>0</v>
      </c>
      <c r="G1289" s="3">
        <v>0</v>
      </c>
      <c r="H1289" s="3">
        <v>0</v>
      </c>
      <c r="I1289" s="3">
        <v>0</v>
      </c>
      <c r="J1289" s="3">
        <v>-2.0383000842727499E-17</v>
      </c>
      <c r="K1289" s="3">
        <v>-2.2546185409889401E-18</v>
      </c>
      <c r="L1289" s="3">
        <v>6.7638556229668699E-18</v>
      </c>
      <c r="M1289" s="3">
        <v>5.63654635247238E-18</v>
      </c>
      <c r="N1289" s="3">
        <v>-4.5092370819779002E-18</v>
      </c>
      <c r="O1289" s="3">
        <v>-2.2546185409889401E-18</v>
      </c>
      <c r="P1289" s="3">
        <v>1.12730927049447E-17</v>
      </c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</row>
    <row r="1290" spans="1:35" x14ac:dyDescent="0.45">
      <c r="A1290" s="3" t="s">
        <v>89</v>
      </c>
      <c r="B1290" s="3" t="s">
        <v>29</v>
      </c>
      <c r="C1290" s="3" t="s">
        <v>19</v>
      </c>
      <c r="D1290" s="3" t="s">
        <v>7</v>
      </c>
      <c r="E1290" s="3" t="s">
        <v>8</v>
      </c>
      <c r="F1290" s="3">
        <v>4.2223629918597801E-4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2.2600622493510901E-5</v>
      </c>
      <c r="O1290" s="3">
        <v>0</v>
      </c>
      <c r="P1290" s="3">
        <v>7.0661895487617997E-5</v>
      </c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</row>
    <row r="1291" spans="1:35" x14ac:dyDescent="0.45">
      <c r="A1291" s="3" t="s">
        <v>89</v>
      </c>
      <c r="B1291" s="3" t="s">
        <v>29</v>
      </c>
      <c r="C1291" s="3" t="s">
        <v>19</v>
      </c>
      <c r="D1291" s="3" t="s">
        <v>9</v>
      </c>
      <c r="E1291" s="3" t="s">
        <v>8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1.32827928885751E-4</v>
      </c>
      <c r="O1291" s="3">
        <v>1.59891303418269E-4</v>
      </c>
      <c r="P1291" s="3">
        <v>8.7032211867234493E-5</v>
      </c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</row>
    <row r="1292" spans="1:35" x14ac:dyDescent="0.45">
      <c r="A1292" s="3" t="s">
        <v>89</v>
      </c>
      <c r="B1292" s="3" t="s">
        <v>29</v>
      </c>
      <c r="C1292" s="3" t="s">
        <v>19</v>
      </c>
      <c r="D1292" s="3" t="s">
        <v>10</v>
      </c>
      <c r="E1292" s="3" t="s">
        <v>8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7.6971374536143804E-5</v>
      </c>
      <c r="M1292" s="3">
        <v>1.3001037131903301E-4</v>
      </c>
      <c r="N1292" s="3">
        <v>8.8423546839878995E-4</v>
      </c>
      <c r="O1292" s="3">
        <v>1.1989407002084599E-3</v>
      </c>
      <c r="P1292" s="3">
        <v>1.58259433188888E-3</v>
      </c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</row>
    <row r="1293" spans="1:35" x14ac:dyDescent="0.45">
      <c r="A1293" s="3" t="s">
        <v>89</v>
      </c>
      <c r="B1293" s="3" t="s">
        <v>29</v>
      </c>
      <c r="C1293" s="3" t="s">
        <v>19</v>
      </c>
      <c r="D1293" s="3" t="s">
        <v>11</v>
      </c>
      <c r="E1293" s="3" t="s">
        <v>8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1.05069576066812E-3</v>
      </c>
      <c r="M1293" s="3">
        <v>1.85999055568018E-3</v>
      </c>
      <c r="N1293" s="3">
        <v>2.0555721195927201E-3</v>
      </c>
      <c r="O1293" s="3">
        <v>2.15646015893411E-3</v>
      </c>
      <c r="P1293" s="3">
        <v>2.07841064352068E-3</v>
      </c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</row>
    <row r="1294" spans="1:35" x14ac:dyDescent="0.45">
      <c r="A1294" s="3" t="s">
        <v>89</v>
      </c>
      <c r="B1294" s="3" t="s">
        <v>29</v>
      </c>
      <c r="C1294" s="3" t="s">
        <v>19</v>
      </c>
      <c r="D1294" s="3" t="s">
        <v>12</v>
      </c>
      <c r="E1294" s="3" t="s">
        <v>8</v>
      </c>
      <c r="F1294" s="3">
        <v>0</v>
      </c>
      <c r="G1294" s="3">
        <v>0</v>
      </c>
      <c r="H1294" s="3">
        <v>0</v>
      </c>
      <c r="I1294" s="3">
        <v>0</v>
      </c>
      <c r="J1294" s="3">
        <v>8.8115574693171602E-4</v>
      </c>
      <c r="K1294" s="3">
        <v>1.51727971049445E-3</v>
      </c>
      <c r="L1294" s="3">
        <v>2.5917241748571202E-3</v>
      </c>
      <c r="M1294" s="3">
        <v>2.3212300270873702E-3</v>
      </c>
      <c r="N1294" s="3">
        <v>2.29283124841905E-3</v>
      </c>
      <c r="O1294" s="3">
        <v>2.3987386624407E-3</v>
      </c>
      <c r="P1294" s="3">
        <v>2.2636669968309499E-3</v>
      </c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</row>
    <row r="1295" spans="1:35" x14ac:dyDescent="0.45">
      <c r="A1295" s="3" t="s">
        <v>89</v>
      </c>
      <c r="B1295" s="3" t="s">
        <v>29</v>
      </c>
      <c r="C1295" s="3" t="s">
        <v>19</v>
      </c>
      <c r="D1295" s="3" t="s">
        <v>13</v>
      </c>
      <c r="E1295" s="3" t="s">
        <v>8</v>
      </c>
      <c r="F1295" s="3">
        <v>0</v>
      </c>
      <c r="G1295" s="3">
        <v>0</v>
      </c>
      <c r="H1295" s="3">
        <v>0</v>
      </c>
      <c r="I1295" s="3">
        <v>2.0233854975121399E-3</v>
      </c>
      <c r="J1295" s="3">
        <v>7.6714814785712199E-3</v>
      </c>
      <c r="K1295" s="3">
        <v>7.9880828169248408E-3</v>
      </c>
      <c r="L1295" s="3">
        <v>5.2452583437142403E-3</v>
      </c>
      <c r="M1295" s="3">
        <v>3.4100958943203501E-3</v>
      </c>
      <c r="N1295" s="3">
        <v>1.28414592568151E-3</v>
      </c>
      <c r="O1295" s="3">
        <v>6.0703834809571204E-4</v>
      </c>
      <c r="P1295" s="3">
        <v>2.7486971676559199E-4</v>
      </c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</row>
    <row r="1296" spans="1:35" x14ac:dyDescent="0.45">
      <c r="A1296" s="3" t="s">
        <v>89</v>
      </c>
      <c r="B1296" s="3" t="s">
        <v>29</v>
      </c>
      <c r="C1296" s="3" t="s">
        <v>19</v>
      </c>
      <c r="D1296" s="3" t="s">
        <v>14</v>
      </c>
      <c r="E1296" s="3" t="s">
        <v>8</v>
      </c>
      <c r="F1296" s="3">
        <v>0</v>
      </c>
      <c r="G1296" s="3">
        <v>8.4355819847729504E-4</v>
      </c>
      <c r="H1296" s="3">
        <v>8.4355819847729504E-4</v>
      </c>
      <c r="I1296" s="3">
        <v>1.24871617175488E-2</v>
      </c>
      <c r="J1296" s="3">
        <v>5.6702063651120202E-3</v>
      </c>
      <c r="K1296" s="3">
        <v>3.2928243888837201E-3</v>
      </c>
      <c r="L1296" s="3">
        <v>3.1686057948654999E-3</v>
      </c>
      <c r="M1296" s="3">
        <v>3.54546949664592E-3</v>
      </c>
      <c r="N1296" s="3">
        <v>3.38087323658545E-3</v>
      </c>
      <c r="O1296" s="3">
        <v>2.79133508331726E-3</v>
      </c>
      <c r="P1296" s="3">
        <v>2.84129028549733E-3</v>
      </c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</row>
    <row r="1297" spans="1:35" x14ac:dyDescent="0.45">
      <c r="A1297" s="3" t="s">
        <v>31</v>
      </c>
      <c r="B1297" s="3" t="s">
        <v>21</v>
      </c>
      <c r="C1297" s="3" t="s">
        <v>6</v>
      </c>
      <c r="D1297" s="3" t="s">
        <v>11</v>
      </c>
      <c r="E1297" s="3" t="s">
        <v>8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8.9898058957553102E-3</v>
      </c>
      <c r="M1297" s="3">
        <v>4.3438756086002499E-2</v>
      </c>
      <c r="N1297" s="3">
        <v>0.10773745011564601</v>
      </c>
      <c r="O1297" s="3">
        <v>0.16812834971410201</v>
      </c>
      <c r="P1297" s="3">
        <v>0.206294992717967</v>
      </c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</row>
    <row r="1298" spans="1:35" x14ac:dyDescent="0.45">
      <c r="A1298" s="3" t="s">
        <v>31</v>
      </c>
      <c r="B1298" s="3" t="s">
        <v>21</v>
      </c>
      <c r="C1298" s="3" t="s">
        <v>6</v>
      </c>
      <c r="D1298" s="3" t="s">
        <v>12</v>
      </c>
      <c r="E1298" s="3" t="s">
        <v>8</v>
      </c>
      <c r="F1298" s="3">
        <v>0</v>
      </c>
      <c r="G1298" s="3">
        <v>0</v>
      </c>
      <c r="H1298" s="3">
        <v>0</v>
      </c>
      <c r="I1298" s="3">
        <v>0</v>
      </c>
      <c r="J1298" s="3">
        <v>6.6729779865366302E-4</v>
      </c>
      <c r="K1298" s="3">
        <v>4.1963195067754699E-2</v>
      </c>
      <c r="L1298" s="3">
        <v>0.11628235261957701</v>
      </c>
      <c r="M1298" s="3">
        <v>0.173732646095036</v>
      </c>
      <c r="N1298" s="3">
        <v>0.190120211074743</v>
      </c>
      <c r="O1298" s="3">
        <v>0.19610790488902199</v>
      </c>
      <c r="P1298" s="3">
        <v>0.201589101017384</v>
      </c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</row>
    <row r="1299" spans="1:35" x14ac:dyDescent="0.45">
      <c r="A1299" s="3" t="s">
        <v>31</v>
      </c>
      <c r="B1299" s="3" t="s">
        <v>21</v>
      </c>
      <c r="C1299" s="3" t="s">
        <v>6</v>
      </c>
      <c r="D1299" s="3" t="s">
        <v>13</v>
      </c>
      <c r="E1299" s="3" t="s">
        <v>8</v>
      </c>
      <c r="F1299" s="3">
        <v>0</v>
      </c>
      <c r="G1299" s="3">
        <v>0</v>
      </c>
      <c r="H1299" s="3">
        <v>0</v>
      </c>
      <c r="I1299" s="3">
        <v>4.4635233203325402E-2</v>
      </c>
      <c r="J1299" s="3">
        <v>0.153008232221335</v>
      </c>
      <c r="K1299" s="3">
        <v>0.22293832824234699</v>
      </c>
      <c r="L1299" s="3">
        <v>0.23797816966705701</v>
      </c>
      <c r="M1299" s="3">
        <v>0.241766735396378</v>
      </c>
      <c r="N1299" s="3">
        <v>0.25620729055816199</v>
      </c>
      <c r="O1299" s="3">
        <v>0.26791441157746398</v>
      </c>
      <c r="P1299" s="3">
        <v>0.26482036117728103</v>
      </c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</row>
    <row r="1300" spans="1:35" x14ac:dyDescent="0.45">
      <c r="A1300" s="3" t="s">
        <v>31</v>
      </c>
      <c r="B1300" s="3" t="s">
        <v>21</v>
      </c>
      <c r="C1300" s="3" t="s">
        <v>6</v>
      </c>
      <c r="D1300" s="3" t="s">
        <v>14</v>
      </c>
      <c r="E1300" s="3" t="s">
        <v>8</v>
      </c>
      <c r="F1300" s="3">
        <v>0</v>
      </c>
      <c r="G1300" s="3">
        <v>0</v>
      </c>
      <c r="H1300" s="3">
        <v>0</v>
      </c>
      <c r="I1300" s="3">
        <v>9.6322920443236301E-2</v>
      </c>
      <c r="J1300" s="3">
        <v>0.115811777681521</v>
      </c>
      <c r="K1300" s="3">
        <v>0.118443202911379</v>
      </c>
      <c r="L1300" s="3">
        <v>0.13018358486713999</v>
      </c>
      <c r="M1300" s="3">
        <v>0.144858608888458</v>
      </c>
      <c r="N1300" s="3">
        <v>0.16098835947833101</v>
      </c>
      <c r="O1300" s="3">
        <v>0.16824859889858099</v>
      </c>
      <c r="P1300" s="3">
        <v>0.17279534726387699</v>
      </c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</row>
    <row r="1301" spans="1:35" x14ac:dyDescent="0.45">
      <c r="A1301" s="3" t="s">
        <v>31</v>
      </c>
      <c r="B1301" s="3" t="s">
        <v>21</v>
      </c>
      <c r="C1301" s="3" t="s">
        <v>15</v>
      </c>
      <c r="D1301" s="3" t="s">
        <v>7</v>
      </c>
      <c r="E1301" s="3" t="s">
        <v>8</v>
      </c>
      <c r="F1301" s="3">
        <v>5.1363548199988798E-2</v>
      </c>
      <c r="G1301" s="3">
        <v>4.6760265162111403E-2</v>
      </c>
      <c r="H1301" s="3">
        <v>4.6760265162111403E-2</v>
      </c>
      <c r="I1301" s="3">
        <v>5.0915345956599002E-2</v>
      </c>
      <c r="J1301" s="3">
        <v>5.6182512500206602E-2</v>
      </c>
      <c r="K1301" s="3">
        <v>5.8956443466382999E-2</v>
      </c>
      <c r="L1301" s="3">
        <v>6.1127214348771303E-2</v>
      </c>
      <c r="M1301" s="3">
        <v>5.8287047091821399E-2</v>
      </c>
      <c r="N1301" s="3">
        <v>6.0547359796552298E-2</v>
      </c>
      <c r="O1301" s="3">
        <v>6.2470156489655697E-2</v>
      </c>
      <c r="P1301" s="3">
        <v>6.0992986116357902E-2</v>
      </c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</row>
    <row r="1302" spans="1:35" x14ac:dyDescent="0.45">
      <c r="A1302" s="3" t="s">
        <v>31</v>
      </c>
      <c r="B1302" s="3" t="s">
        <v>21</v>
      </c>
      <c r="C1302" s="3" t="s">
        <v>15</v>
      </c>
      <c r="D1302" s="3" t="s">
        <v>9</v>
      </c>
      <c r="E1302" s="3" t="s">
        <v>8</v>
      </c>
      <c r="F1302" s="3">
        <v>0</v>
      </c>
      <c r="G1302" s="3">
        <v>8.8433433296231101E-6</v>
      </c>
      <c r="H1302" s="3">
        <v>8.8433433296231101E-6</v>
      </c>
      <c r="I1302" s="3">
        <v>2.04790080825856E-3</v>
      </c>
      <c r="J1302" s="3">
        <v>1.88869166925593E-3</v>
      </c>
      <c r="K1302" s="3">
        <v>-1.1960129658640799E-3</v>
      </c>
      <c r="L1302" s="3">
        <v>-1.01912232216138E-4</v>
      </c>
      <c r="M1302" s="3">
        <v>2.7102369284450999E-3</v>
      </c>
      <c r="N1302" s="3">
        <v>1.14465401495634E-2</v>
      </c>
      <c r="O1302" s="3">
        <v>9.9312933401823206E-3</v>
      </c>
      <c r="P1302" s="3">
        <v>1.1820056369106E-2</v>
      </c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</row>
    <row r="1303" spans="1:35" x14ac:dyDescent="0.45">
      <c r="A1303" s="3" t="s">
        <v>31</v>
      </c>
      <c r="B1303" s="3" t="s">
        <v>21</v>
      </c>
      <c r="C1303" s="3" t="s">
        <v>15</v>
      </c>
      <c r="D1303" s="3" t="s">
        <v>10</v>
      </c>
      <c r="E1303" s="3" t="s">
        <v>8</v>
      </c>
      <c r="F1303" s="3">
        <v>0</v>
      </c>
      <c r="G1303" s="3">
        <v>-7.0594117572160594E-5</v>
      </c>
      <c r="H1303" s="3">
        <v>-7.0594117572160594E-5</v>
      </c>
      <c r="I1303" s="3">
        <v>6.7590614295455498E-4</v>
      </c>
      <c r="J1303" s="3">
        <v>1.41618462463834E-4</v>
      </c>
      <c r="K1303" s="3">
        <v>3.1247563239480998E-6</v>
      </c>
      <c r="L1303" s="3">
        <v>9.8673868476986705E-3</v>
      </c>
      <c r="M1303" s="3">
        <v>1.08629221626848E-2</v>
      </c>
      <c r="N1303" s="3">
        <v>5.13302673621291E-4</v>
      </c>
      <c r="O1303" s="3">
        <v>6.7961208790122396E-4</v>
      </c>
      <c r="P1303" s="3">
        <v>5.5269975703724195E-4</v>
      </c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</row>
    <row r="1304" spans="1:35" x14ac:dyDescent="0.45">
      <c r="A1304" s="3" t="s">
        <v>31</v>
      </c>
      <c r="B1304" s="3" t="s">
        <v>21</v>
      </c>
      <c r="C1304" s="3" t="s">
        <v>15</v>
      </c>
      <c r="D1304" s="3" t="s">
        <v>11</v>
      </c>
      <c r="E1304" s="3" t="s">
        <v>8</v>
      </c>
      <c r="F1304" s="3">
        <v>0</v>
      </c>
      <c r="G1304" s="3">
        <v>-6.3789081262838298E-6</v>
      </c>
      <c r="H1304" s="3">
        <v>-6.3789081262838298E-6</v>
      </c>
      <c r="I1304" s="3">
        <v>-2.8694255530430101E-4</v>
      </c>
      <c r="J1304" s="3">
        <v>1.23654667178523E-2</v>
      </c>
      <c r="K1304" s="3">
        <v>1.29932313019898E-2</v>
      </c>
      <c r="L1304" s="3">
        <v>9.9467744157871697E-4</v>
      </c>
      <c r="M1304" s="3">
        <v>4.4995995412421003E-4</v>
      </c>
      <c r="N1304" s="3">
        <v>-1.3830807629396099E-4</v>
      </c>
      <c r="O1304" s="3">
        <v>4.4343795731929701E-3</v>
      </c>
      <c r="P1304" s="3">
        <v>7.4783890855972803E-3</v>
      </c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</row>
    <row r="1305" spans="1:35" x14ac:dyDescent="0.45">
      <c r="A1305" s="3" t="s">
        <v>31</v>
      </c>
      <c r="B1305" s="3" t="s">
        <v>21</v>
      </c>
      <c r="C1305" s="3" t="s">
        <v>15</v>
      </c>
      <c r="D1305" s="3" t="s">
        <v>12</v>
      </c>
      <c r="E1305" s="3" t="s">
        <v>8</v>
      </c>
      <c r="F1305" s="3">
        <v>0</v>
      </c>
      <c r="G1305" s="3">
        <v>-4.6913813314536402E-6</v>
      </c>
      <c r="H1305" s="3">
        <v>-4.6913813314536402E-6</v>
      </c>
      <c r="I1305" s="3">
        <v>1.47825602487681E-2</v>
      </c>
      <c r="J1305" s="3">
        <v>9.5377350369389702E-4</v>
      </c>
      <c r="K1305" s="3">
        <v>1.2979367119247799E-3</v>
      </c>
      <c r="L1305" s="3">
        <v>4.7578025627066003E-3</v>
      </c>
      <c r="M1305" s="3">
        <v>9.8568355461027303E-3</v>
      </c>
      <c r="N1305" s="3">
        <v>1.6902636501069199E-2</v>
      </c>
      <c r="O1305" s="3">
        <v>1.55511324682067E-2</v>
      </c>
      <c r="P1305" s="3">
        <v>1.71278591917913E-2</v>
      </c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</row>
    <row r="1306" spans="1:35" x14ac:dyDescent="0.45">
      <c r="A1306" s="3" t="s">
        <v>31</v>
      </c>
      <c r="B1306" s="3" t="s">
        <v>21</v>
      </c>
      <c r="C1306" s="3" t="s">
        <v>15</v>
      </c>
      <c r="D1306" s="3" t="s">
        <v>13</v>
      </c>
      <c r="E1306" s="3" t="s">
        <v>8</v>
      </c>
      <c r="F1306" s="3">
        <v>0</v>
      </c>
      <c r="G1306" s="3">
        <v>-1.19459716967956E-3</v>
      </c>
      <c r="H1306" s="3">
        <v>-1.19459716967956E-3</v>
      </c>
      <c r="I1306" s="3">
        <v>1.4829791220943899E-4</v>
      </c>
      <c r="J1306" s="3">
        <v>7.8615174414746903E-3</v>
      </c>
      <c r="K1306" s="3">
        <v>1.2453716128729E-2</v>
      </c>
      <c r="L1306" s="3">
        <v>1.4254051819503301E-2</v>
      </c>
      <c r="M1306" s="3">
        <v>1.62350313277323E-2</v>
      </c>
      <c r="N1306" s="3">
        <v>1.7300532522259E-2</v>
      </c>
      <c r="O1306" s="3">
        <v>1.9782734149514002E-2</v>
      </c>
      <c r="P1306" s="3">
        <v>2.2315452156692402E-2</v>
      </c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</row>
    <row r="1307" spans="1:35" x14ac:dyDescent="0.45">
      <c r="A1307" s="3" t="s">
        <v>31</v>
      </c>
      <c r="B1307" s="3" t="s">
        <v>21</v>
      </c>
      <c r="C1307" s="3" t="s">
        <v>15</v>
      </c>
      <c r="D1307" s="3" t="s">
        <v>14</v>
      </c>
      <c r="E1307" s="3" t="s">
        <v>8</v>
      </c>
      <c r="F1307" s="3">
        <v>0</v>
      </c>
      <c r="G1307" s="3">
        <v>1.7210396898378E-2</v>
      </c>
      <c r="H1307" s="3">
        <v>1.7210396898378E-2</v>
      </c>
      <c r="I1307" s="3">
        <v>1.18624811330727E-2</v>
      </c>
      <c r="J1307" s="3">
        <v>6.1789989148597199E-3</v>
      </c>
      <c r="K1307" s="3">
        <v>6.7823844309282998E-3</v>
      </c>
      <c r="L1307" s="3">
        <v>6.6440641135523401E-3</v>
      </c>
      <c r="M1307" s="3">
        <v>6.3913896295494004E-3</v>
      </c>
      <c r="N1307" s="3">
        <v>5.3071267350500604E-3</v>
      </c>
      <c r="O1307" s="3">
        <v>3.7655690835835401E-3</v>
      </c>
      <c r="P1307" s="3">
        <v>-8.8218319752053599E-4</v>
      </c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</row>
    <row r="1308" spans="1:35" x14ac:dyDescent="0.45">
      <c r="A1308" s="3" t="s">
        <v>31</v>
      </c>
      <c r="B1308" s="3" t="s">
        <v>21</v>
      </c>
      <c r="C1308" s="3" t="s">
        <v>16</v>
      </c>
      <c r="D1308" s="3" t="s">
        <v>7</v>
      </c>
      <c r="E1308" s="3" t="s">
        <v>8</v>
      </c>
      <c r="F1308" s="3">
        <v>6.1296743609456902E-2</v>
      </c>
      <c r="G1308" s="3">
        <v>2.2235593747973799E-2</v>
      </c>
      <c r="H1308" s="3">
        <v>2.2235593747973799E-2</v>
      </c>
      <c r="I1308" s="3">
        <v>2.2235593747973799E-2</v>
      </c>
      <c r="J1308" s="3">
        <v>2.2576108343678701E-2</v>
      </c>
      <c r="K1308" s="3">
        <v>2.2815397521825698E-2</v>
      </c>
      <c r="L1308" s="3">
        <v>2.2815397521825698E-2</v>
      </c>
      <c r="M1308" s="3">
        <v>2.28733960836759E-2</v>
      </c>
      <c r="N1308" s="3">
        <v>2.28736896897287E-2</v>
      </c>
      <c r="O1308" s="3">
        <v>2.28736896897287E-2</v>
      </c>
      <c r="P1308" s="3">
        <v>2.28736896897287E-2</v>
      </c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</row>
    <row r="1309" spans="1:35" x14ac:dyDescent="0.45">
      <c r="A1309" s="3" t="s">
        <v>31</v>
      </c>
      <c r="B1309" s="3" t="s">
        <v>21</v>
      </c>
      <c r="C1309" s="3" t="s">
        <v>16</v>
      </c>
      <c r="D1309" s="3" t="s">
        <v>9</v>
      </c>
      <c r="E1309" s="3" t="s">
        <v>8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-2.5375011551240199E-5</v>
      </c>
      <c r="L1309" s="3">
        <v>2.3171515383856E-5</v>
      </c>
      <c r="M1309" s="3">
        <v>2.9360605309503003E-7</v>
      </c>
      <c r="N1309" s="3">
        <v>6.8713869223536199E-3</v>
      </c>
      <c r="O1309" s="3">
        <v>6.8713869223536199E-3</v>
      </c>
      <c r="P1309" s="3">
        <v>6.8713869223536199E-3</v>
      </c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</row>
    <row r="1310" spans="1:35" x14ac:dyDescent="0.45">
      <c r="A1310" s="3" t="s">
        <v>31</v>
      </c>
      <c r="B1310" s="3" t="s">
        <v>21</v>
      </c>
      <c r="C1310" s="3" t="s">
        <v>16</v>
      </c>
      <c r="D1310" s="3" t="s">
        <v>10</v>
      </c>
      <c r="E1310" s="3" t="s">
        <v>8</v>
      </c>
      <c r="F1310" s="3">
        <v>0</v>
      </c>
      <c r="G1310" s="3">
        <v>0</v>
      </c>
      <c r="H1310" s="3">
        <v>0</v>
      </c>
      <c r="I1310" s="3">
        <v>0</v>
      </c>
      <c r="J1310" s="3">
        <v>0</v>
      </c>
      <c r="K1310" s="3">
        <v>5.5157404058574902E-5</v>
      </c>
      <c r="L1310" s="3">
        <v>6.90650757487283E-3</v>
      </c>
      <c r="M1310" s="3">
        <v>6.8713869223533596E-3</v>
      </c>
      <c r="N1310" s="3">
        <v>0</v>
      </c>
      <c r="O1310" s="3">
        <v>0</v>
      </c>
      <c r="P1310" s="3">
        <v>1.35308431126191E-16</v>
      </c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</row>
    <row r="1311" spans="1:35" x14ac:dyDescent="0.45">
      <c r="A1311" s="3" t="s">
        <v>31</v>
      </c>
      <c r="B1311" s="3" t="s">
        <v>21</v>
      </c>
      <c r="C1311" s="3" t="s">
        <v>16</v>
      </c>
      <c r="D1311" s="3" t="s">
        <v>11</v>
      </c>
      <c r="E1311" s="3" t="s">
        <v>8</v>
      </c>
      <c r="F1311" s="3">
        <v>0</v>
      </c>
      <c r="G1311" s="3">
        <v>0</v>
      </c>
      <c r="H1311" s="3">
        <v>0</v>
      </c>
      <c r="I1311" s="3">
        <v>0</v>
      </c>
      <c r="J1311" s="3">
        <v>7.16896826840362E-3</v>
      </c>
      <c r="K1311" s="3">
        <v>6.8998966977494797E-3</v>
      </c>
      <c r="L1311" s="3">
        <v>0</v>
      </c>
      <c r="M1311" s="3">
        <v>0</v>
      </c>
      <c r="N1311" s="3">
        <v>0</v>
      </c>
      <c r="O1311" s="3">
        <v>0</v>
      </c>
      <c r="P1311" s="3">
        <v>-1.35308431126191E-16</v>
      </c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</row>
    <row r="1312" spans="1:35" x14ac:dyDescent="0.45">
      <c r="A1312" s="3" t="s">
        <v>31</v>
      </c>
      <c r="B1312" s="3" t="s">
        <v>21</v>
      </c>
      <c r="C1312" s="3" t="s">
        <v>16</v>
      </c>
      <c r="D1312" s="3" t="s">
        <v>12</v>
      </c>
      <c r="E1312" s="3" t="s">
        <v>8</v>
      </c>
      <c r="F1312" s="3">
        <v>0</v>
      </c>
      <c r="G1312" s="3">
        <v>0</v>
      </c>
      <c r="H1312" s="3">
        <v>0</v>
      </c>
      <c r="I1312" s="3">
        <v>7.4637370154936496E-3</v>
      </c>
      <c r="J1312" s="3">
        <v>0</v>
      </c>
      <c r="K1312" s="3">
        <v>-1.35308431126191E-16</v>
      </c>
      <c r="L1312" s="3">
        <v>1.35308431126191E-16</v>
      </c>
      <c r="M1312" s="3">
        <v>1.35308431126191E-16</v>
      </c>
      <c r="N1312" s="3">
        <v>1.35308431126191E-16</v>
      </c>
      <c r="O1312" s="3">
        <v>1.35308431126191E-16</v>
      </c>
      <c r="P1312" s="3">
        <v>1.35308431126191E-16</v>
      </c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</row>
    <row r="1313" spans="1:35" x14ac:dyDescent="0.45">
      <c r="A1313" s="3" t="s">
        <v>31</v>
      </c>
      <c r="B1313" s="3" t="s">
        <v>21</v>
      </c>
      <c r="C1313" s="3" t="s">
        <v>16</v>
      </c>
      <c r="D1313" s="3" t="s">
        <v>13</v>
      </c>
      <c r="E1313" s="3" t="s">
        <v>8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-1.35308431126191E-16</v>
      </c>
      <c r="N1313" s="3">
        <v>0</v>
      </c>
      <c r="O1313" s="3">
        <v>-1.35308431126191E-16</v>
      </c>
      <c r="P1313" s="3">
        <v>0</v>
      </c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</row>
    <row r="1314" spans="1:35" x14ac:dyDescent="0.45">
      <c r="A1314" s="3" t="s">
        <v>31</v>
      </c>
      <c r="B1314" s="3" t="s">
        <v>21</v>
      </c>
      <c r="C1314" s="3" t="s">
        <v>16</v>
      </c>
      <c r="D1314" s="3" t="s">
        <v>14</v>
      </c>
      <c r="E1314" s="3" t="s">
        <v>8</v>
      </c>
      <c r="F1314" s="3">
        <v>0</v>
      </c>
      <c r="G1314" s="3">
        <v>7.4637370154936496E-3</v>
      </c>
      <c r="H1314" s="3">
        <v>7.4637370154936496E-3</v>
      </c>
      <c r="I1314" s="3">
        <v>4.5745848614914298E-5</v>
      </c>
      <c r="J1314" s="3">
        <v>0</v>
      </c>
      <c r="K1314" s="3">
        <v>0</v>
      </c>
      <c r="L1314" s="3">
        <v>0</v>
      </c>
      <c r="M1314" s="3">
        <v>1.35308431126191E-16</v>
      </c>
      <c r="N1314" s="3">
        <v>-1.35308431126191E-16</v>
      </c>
      <c r="O1314" s="3">
        <v>0</v>
      </c>
      <c r="P1314" s="3">
        <v>0</v>
      </c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</row>
    <row r="1315" spans="1:35" x14ac:dyDescent="0.45">
      <c r="A1315" s="3" t="s">
        <v>31</v>
      </c>
      <c r="B1315" s="3" t="s">
        <v>21</v>
      </c>
      <c r="C1315" s="3" t="s">
        <v>17</v>
      </c>
      <c r="D1315" s="3" t="s">
        <v>10</v>
      </c>
      <c r="E1315" s="3" t="s">
        <v>8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4.7121225278855802E-2</v>
      </c>
      <c r="M1315" s="3">
        <v>4.7702741048398001E-2</v>
      </c>
      <c r="N1315" s="3">
        <v>1.12802846166526E-2</v>
      </c>
      <c r="O1315" s="3">
        <v>-8.2397358373782802E-4</v>
      </c>
      <c r="P1315" s="3">
        <v>-3.93573015461959E-4</v>
      </c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</row>
    <row r="1316" spans="1:35" x14ac:dyDescent="0.45">
      <c r="A1316" s="3" t="s">
        <v>31</v>
      </c>
      <c r="B1316" s="3" t="s">
        <v>21</v>
      </c>
      <c r="C1316" s="3" t="s">
        <v>17</v>
      </c>
      <c r="D1316" s="3" t="s">
        <v>11</v>
      </c>
      <c r="E1316" s="3" t="s">
        <v>8</v>
      </c>
      <c r="F1316" s="3">
        <v>0</v>
      </c>
      <c r="G1316" s="3">
        <v>0</v>
      </c>
      <c r="H1316" s="3">
        <v>0</v>
      </c>
      <c r="I1316" s="3">
        <v>0</v>
      </c>
      <c r="J1316" s="3">
        <v>3.27574685701498E-2</v>
      </c>
      <c r="K1316" s="3">
        <v>4.5294062927836498E-2</v>
      </c>
      <c r="L1316" s="3">
        <v>-1.2853673846511301E-3</v>
      </c>
      <c r="M1316" s="3">
        <v>1.59948000328048E-3</v>
      </c>
      <c r="N1316" s="3">
        <v>1.09228467986101E-2</v>
      </c>
      <c r="O1316" s="3">
        <v>1.5774940203399299E-2</v>
      </c>
      <c r="P1316" s="3">
        <v>1.9408659814219999E-2</v>
      </c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</row>
    <row r="1317" spans="1:35" x14ac:dyDescent="0.45">
      <c r="A1317" s="3" t="s">
        <v>31</v>
      </c>
      <c r="B1317" s="3" t="s">
        <v>21</v>
      </c>
      <c r="C1317" s="3" t="s">
        <v>17</v>
      </c>
      <c r="D1317" s="3" t="s">
        <v>12</v>
      </c>
      <c r="E1317" s="3" t="s">
        <v>8</v>
      </c>
      <c r="F1317" s="3">
        <v>0</v>
      </c>
      <c r="G1317" s="3">
        <v>0</v>
      </c>
      <c r="H1317" s="3">
        <v>0</v>
      </c>
      <c r="I1317" s="3">
        <v>2.8577783818571199E-2</v>
      </c>
      <c r="J1317" s="3">
        <v>1.33437276530793E-2</v>
      </c>
      <c r="K1317" s="3">
        <v>5.9430323060123804E-3</v>
      </c>
      <c r="L1317" s="3">
        <v>1.6531207293877699E-2</v>
      </c>
      <c r="M1317" s="3">
        <v>1.7426336281912799E-2</v>
      </c>
      <c r="N1317" s="3">
        <v>1.54687332772388E-2</v>
      </c>
      <c r="O1317" s="3">
        <v>2.0287553582662099E-2</v>
      </c>
      <c r="P1317" s="3">
        <v>2.6199977756056699E-2</v>
      </c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</row>
    <row r="1318" spans="1:35" x14ac:dyDescent="0.45">
      <c r="A1318" s="3" t="s">
        <v>31</v>
      </c>
      <c r="B1318" s="3" t="s">
        <v>21</v>
      </c>
      <c r="C1318" s="3" t="s">
        <v>17</v>
      </c>
      <c r="D1318" s="3" t="s">
        <v>13</v>
      </c>
      <c r="E1318" s="3" t="s">
        <v>8</v>
      </c>
      <c r="F1318" s="3">
        <v>0</v>
      </c>
      <c r="G1318" s="3">
        <v>0</v>
      </c>
      <c r="H1318" s="3">
        <v>0</v>
      </c>
      <c r="I1318" s="3">
        <v>2.6922781115531799E-2</v>
      </c>
      <c r="J1318" s="3">
        <v>1.93269268660093E-2</v>
      </c>
      <c r="K1318" s="3">
        <v>2.5750166264412198E-2</v>
      </c>
      <c r="L1318" s="3">
        <v>3.15702229750578E-2</v>
      </c>
      <c r="M1318" s="3">
        <v>4.8627011893951903E-2</v>
      </c>
      <c r="N1318" s="3">
        <v>6.5094846600247697E-2</v>
      </c>
      <c r="O1318" s="3">
        <v>8.09357529025794E-2</v>
      </c>
      <c r="P1318" s="3">
        <v>9.7450249621380505E-2</v>
      </c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</row>
    <row r="1319" spans="1:35" x14ac:dyDescent="0.45">
      <c r="A1319" s="3" t="s">
        <v>31</v>
      </c>
      <c r="B1319" s="3" t="s">
        <v>21</v>
      </c>
      <c r="C1319" s="3" t="s">
        <v>17</v>
      </c>
      <c r="D1319" s="3" t="s">
        <v>14</v>
      </c>
      <c r="E1319" s="3" t="s">
        <v>8</v>
      </c>
      <c r="F1319" s="3">
        <v>0</v>
      </c>
      <c r="G1319" s="3">
        <v>3.6637881410082798E-2</v>
      </c>
      <c r="H1319" s="3">
        <v>3.6637881410082798E-2</v>
      </c>
      <c r="I1319" s="3">
        <v>1.15142399573793E-2</v>
      </c>
      <c r="J1319" s="3">
        <v>2.33225859745682E-2</v>
      </c>
      <c r="K1319" s="3">
        <v>3.9928681240955402E-2</v>
      </c>
      <c r="L1319" s="3">
        <v>5.7321895729446098E-2</v>
      </c>
      <c r="M1319" s="3">
        <v>7.4348842172895696E-2</v>
      </c>
      <c r="N1319" s="3">
        <v>8.9288844364579498E-2</v>
      </c>
      <c r="O1319" s="3">
        <v>9.77020752854353E-2</v>
      </c>
      <c r="P1319" s="3">
        <v>9.5091360712966297E-2</v>
      </c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</row>
    <row r="1320" spans="1:35" x14ac:dyDescent="0.45">
      <c r="A1320" s="3" t="s">
        <v>31</v>
      </c>
      <c r="B1320" s="3" t="s">
        <v>21</v>
      </c>
      <c r="C1320" s="3" t="s">
        <v>18</v>
      </c>
      <c r="D1320" s="3" t="s">
        <v>7</v>
      </c>
      <c r="E1320" s="3" t="s">
        <v>8</v>
      </c>
      <c r="F1320" s="3">
        <v>7.6177784232706004E-3</v>
      </c>
      <c r="G1320" s="3">
        <v>5.0580536875920999E-5</v>
      </c>
      <c r="H1320" s="3">
        <v>5.0580536875920999E-5</v>
      </c>
      <c r="I1320" s="3">
        <v>3.37203579172855E-5</v>
      </c>
      <c r="J1320" s="3">
        <v>1.6860178958642801E-5</v>
      </c>
      <c r="K1320" s="3">
        <v>0</v>
      </c>
      <c r="L1320" s="3">
        <v>7.2012610759256505E-18</v>
      </c>
      <c r="M1320" s="3">
        <v>7.2012610759256505E-18</v>
      </c>
      <c r="N1320" s="3">
        <v>7.2012610759256505E-18</v>
      </c>
      <c r="O1320" s="3">
        <v>0</v>
      </c>
      <c r="P1320" s="3">
        <v>0</v>
      </c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</row>
    <row r="1321" spans="1:35" x14ac:dyDescent="0.45">
      <c r="A1321" s="3" t="s">
        <v>31</v>
      </c>
      <c r="B1321" s="3" t="s">
        <v>21</v>
      </c>
      <c r="C1321" s="3" t="s">
        <v>18</v>
      </c>
      <c r="D1321" s="3" t="s">
        <v>9</v>
      </c>
      <c r="E1321" s="3" t="s">
        <v>8</v>
      </c>
      <c r="F1321" s="3">
        <v>0</v>
      </c>
      <c r="G1321" s="3">
        <v>0</v>
      </c>
      <c r="H1321" s="3">
        <v>0</v>
      </c>
      <c r="I1321" s="3">
        <v>-1.43995601033231E-17</v>
      </c>
      <c r="J1321" s="3">
        <v>-3.6320772778264399E-18</v>
      </c>
      <c r="K1321" s="3">
        <v>3.6006305379628299E-18</v>
      </c>
      <c r="L1321" s="3">
        <v>0</v>
      </c>
      <c r="M1321" s="3">
        <v>0</v>
      </c>
      <c r="N1321" s="3">
        <v>-7.2012610759256505E-18</v>
      </c>
      <c r="O1321" s="3">
        <v>0</v>
      </c>
      <c r="P1321" s="3">
        <v>1.44025221518514E-17</v>
      </c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</row>
    <row r="1322" spans="1:35" x14ac:dyDescent="0.45">
      <c r="A1322" s="3" t="s">
        <v>31</v>
      </c>
      <c r="B1322" s="3" t="s">
        <v>21</v>
      </c>
      <c r="C1322" s="3" t="s">
        <v>18</v>
      </c>
      <c r="D1322" s="3" t="s">
        <v>10</v>
      </c>
      <c r="E1322" s="3" t="s">
        <v>8</v>
      </c>
      <c r="F1322" s="3">
        <v>0</v>
      </c>
      <c r="G1322" s="3">
        <v>0</v>
      </c>
      <c r="H1322" s="3">
        <v>0</v>
      </c>
      <c r="I1322" s="3">
        <v>1.07674828254967E-17</v>
      </c>
      <c r="J1322" s="3">
        <v>1.8031637381149499E-17</v>
      </c>
      <c r="K1322" s="3">
        <v>-3.6006305379628299E-18</v>
      </c>
      <c r="L1322" s="3">
        <v>-7.2012610759256505E-18</v>
      </c>
      <c r="M1322" s="3">
        <v>-7.2012610759256505E-18</v>
      </c>
      <c r="N1322" s="3">
        <v>1.08018916138885E-17</v>
      </c>
      <c r="O1322" s="3">
        <v>0</v>
      </c>
      <c r="P1322" s="3">
        <v>3.6006305379628399E-18</v>
      </c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</row>
    <row r="1323" spans="1:35" x14ac:dyDescent="0.45">
      <c r="A1323" s="3" t="s">
        <v>31</v>
      </c>
      <c r="B1323" s="3" t="s">
        <v>21</v>
      </c>
      <c r="C1323" s="3" t="s">
        <v>18</v>
      </c>
      <c r="D1323" s="3" t="s">
        <v>11</v>
      </c>
      <c r="E1323" s="3" t="s">
        <v>8</v>
      </c>
      <c r="F1323" s="3">
        <v>0</v>
      </c>
      <c r="G1323" s="3">
        <v>-1.07674828254967E-17</v>
      </c>
      <c r="H1323" s="3">
        <v>-1.07674828254967E-17</v>
      </c>
      <c r="I1323" s="3">
        <v>-1.07674828254967E-17</v>
      </c>
      <c r="J1323" s="3">
        <v>3.6320772778264399E-18</v>
      </c>
      <c r="K1323" s="3">
        <v>7.2012610759256505E-18</v>
      </c>
      <c r="L1323" s="3">
        <v>1.44025221518514E-17</v>
      </c>
      <c r="M1323" s="3">
        <v>4.3207566455553897E-17</v>
      </c>
      <c r="N1323" s="3">
        <v>-1.08018916138885E-17</v>
      </c>
      <c r="O1323" s="3">
        <v>7.5613241297219395E-17</v>
      </c>
      <c r="P1323" s="3">
        <v>-1.80031526898142E-17</v>
      </c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</row>
    <row r="1324" spans="1:35" x14ac:dyDescent="0.45">
      <c r="A1324" s="3" t="s">
        <v>31</v>
      </c>
      <c r="B1324" s="3" t="s">
        <v>21</v>
      </c>
      <c r="C1324" s="3" t="s">
        <v>18</v>
      </c>
      <c r="D1324" s="3" t="s">
        <v>12</v>
      </c>
      <c r="E1324" s="3" t="s">
        <v>8</v>
      </c>
      <c r="F1324" s="3">
        <v>0</v>
      </c>
      <c r="G1324" s="3">
        <v>0</v>
      </c>
      <c r="H1324" s="3">
        <v>0</v>
      </c>
      <c r="I1324" s="3">
        <v>1.07674828254967E-17</v>
      </c>
      <c r="J1324" s="3">
        <v>-2.8799120206646199E-17</v>
      </c>
      <c r="K1324" s="3">
        <v>0</v>
      </c>
      <c r="L1324" s="3">
        <v>-1.44025221518514E-17</v>
      </c>
      <c r="M1324" s="3">
        <v>2.1603783227776899E-17</v>
      </c>
      <c r="N1324" s="3">
        <v>0</v>
      </c>
      <c r="O1324" s="3">
        <v>2.8805044303702602E-17</v>
      </c>
      <c r="P1324" s="3">
        <v>3.9606935917591099E-17</v>
      </c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</row>
    <row r="1325" spans="1:35" x14ac:dyDescent="0.45">
      <c r="A1325" s="3" t="s">
        <v>31</v>
      </c>
      <c r="B1325" s="3" t="s">
        <v>21</v>
      </c>
      <c r="C1325" s="3" t="s">
        <v>18</v>
      </c>
      <c r="D1325" s="3" t="s">
        <v>13</v>
      </c>
      <c r="E1325" s="3" t="s">
        <v>8</v>
      </c>
      <c r="F1325" s="3">
        <v>0</v>
      </c>
      <c r="G1325" s="3">
        <v>-3.6388535414044696E-18</v>
      </c>
      <c r="H1325" s="3">
        <v>-3.6388535414044696E-18</v>
      </c>
      <c r="I1325" s="3">
        <v>-3.6320772778264399E-18</v>
      </c>
      <c r="J1325" s="3">
        <v>-4.68307575877958E-17</v>
      </c>
      <c r="K1325" s="3">
        <v>3.6006305379628299E-18</v>
      </c>
      <c r="L1325" s="3">
        <v>0</v>
      </c>
      <c r="M1325" s="3">
        <v>-2.1603783227776899E-17</v>
      </c>
      <c r="N1325" s="3">
        <v>9.36163939870335E-17</v>
      </c>
      <c r="O1325" s="3">
        <v>-7.5613241297219395E-17</v>
      </c>
      <c r="P1325" s="3">
        <v>-1.08018916138885E-17</v>
      </c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</row>
    <row r="1326" spans="1:35" x14ac:dyDescent="0.45">
      <c r="A1326" s="3" t="s">
        <v>31</v>
      </c>
      <c r="B1326" s="3" t="s">
        <v>21</v>
      </c>
      <c r="C1326" s="3" t="s">
        <v>18</v>
      </c>
      <c r="D1326" s="3" t="s">
        <v>14</v>
      </c>
      <c r="E1326" s="3" t="s">
        <v>8</v>
      </c>
      <c r="F1326" s="3">
        <v>0</v>
      </c>
      <c r="G1326" s="3">
        <v>-7.2641545556528797E-18</v>
      </c>
      <c r="H1326" s="3">
        <v>-7.2641545556528797E-18</v>
      </c>
      <c r="I1326" s="3">
        <v>-5.7598240413292398E-17</v>
      </c>
      <c r="J1326" s="3">
        <v>-2.1663714658976001E-17</v>
      </c>
      <c r="K1326" s="3">
        <v>6.1210719145367995E-17</v>
      </c>
      <c r="L1326" s="3">
        <v>0</v>
      </c>
      <c r="M1326" s="3">
        <v>-4.3207566455553897E-17</v>
      </c>
      <c r="N1326" s="3">
        <v>-9.36163939870335E-17</v>
      </c>
      <c r="O1326" s="3">
        <v>-2.8805044303702602E-17</v>
      </c>
      <c r="P1326" s="3">
        <v>1.4402522151851301E-16</v>
      </c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</row>
    <row r="1327" spans="1:35" x14ac:dyDescent="0.45">
      <c r="A1327" s="3" t="s">
        <v>31</v>
      </c>
      <c r="B1327" s="3" t="s">
        <v>21</v>
      </c>
      <c r="C1327" s="3" t="s">
        <v>19</v>
      </c>
      <c r="D1327" s="3" t="s">
        <v>12</v>
      </c>
      <c r="E1327" s="3" t="s">
        <v>8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3.4936639991782099E-3</v>
      </c>
      <c r="N1327" s="3">
        <v>1.45990130397625E-2</v>
      </c>
      <c r="O1327" s="3">
        <v>3.4845495248020102E-2</v>
      </c>
      <c r="P1327" s="3">
        <v>4.7895773682662901E-2</v>
      </c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</row>
    <row r="1328" spans="1:35" x14ac:dyDescent="0.45">
      <c r="A1328" s="3" t="s">
        <v>31</v>
      </c>
      <c r="B1328" s="3" t="s">
        <v>21</v>
      </c>
      <c r="C1328" s="3" t="s">
        <v>19</v>
      </c>
      <c r="D1328" s="3" t="s">
        <v>13</v>
      </c>
      <c r="E1328" s="3" t="s">
        <v>8</v>
      </c>
      <c r="F1328" s="3">
        <v>0</v>
      </c>
      <c r="G1328" s="3">
        <v>0</v>
      </c>
      <c r="H1328" s="3">
        <v>0</v>
      </c>
      <c r="I1328" s="3">
        <v>0</v>
      </c>
      <c r="J1328" s="3">
        <v>4.4932299955798196E-3</v>
      </c>
      <c r="K1328" s="3">
        <v>2.80666711956092E-2</v>
      </c>
      <c r="L1328" s="3">
        <v>6.9055741538249199E-2</v>
      </c>
      <c r="M1328" s="3">
        <v>0.11584117646080901</v>
      </c>
      <c r="N1328" s="3">
        <v>0.16311821310983701</v>
      </c>
      <c r="O1328" s="3">
        <v>0.20575283525907001</v>
      </c>
      <c r="P1328" s="3">
        <v>0.25018727611207497</v>
      </c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</row>
    <row r="1329" spans="1:35" x14ac:dyDescent="0.45">
      <c r="A1329" s="3" t="s">
        <v>31</v>
      </c>
      <c r="B1329" s="3" t="s">
        <v>21</v>
      </c>
      <c r="C1329" s="3" t="s">
        <v>19</v>
      </c>
      <c r="D1329" s="3" t="s">
        <v>14</v>
      </c>
      <c r="E1329" s="3" t="s">
        <v>8</v>
      </c>
      <c r="F1329" s="3">
        <v>0</v>
      </c>
      <c r="G1329" s="3">
        <v>0</v>
      </c>
      <c r="H1329" s="3">
        <v>0</v>
      </c>
      <c r="I1329" s="3">
        <v>1.19077914818715E-2</v>
      </c>
      <c r="J1329" s="3">
        <v>5.8928746776398699E-2</v>
      </c>
      <c r="K1329" s="3">
        <v>0.10658111457905201</v>
      </c>
      <c r="L1329" s="3">
        <v>0.15882272656205301</v>
      </c>
      <c r="M1329" s="3">
        <v>0.213318460745305</v>
      </c>
      <c r="N1329" s="3">
        <v>0.254493422714763</v>
      </c>
      <c r="O1329" s="3">
        <v>0.27777077419014301</v>
      </c>
      <c r="P1329" s="3">
        <v>0.27541861548740998</v>
      </c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</row>
    <row r="1330" spans="1:35" x14ac:dyDescent="0.45">
      <c r="A1330" s="3" t="s">
        <v>91</v>
      </c>
      <c r="B1330" s="3" t="s">
        <v>20</v>
      </c>
      <c r="C1330" s="3" t="s">
        <v>6</v>
      </c>
      <c r="D1330" s="3" t="s">
        <v>10</v>
      </c>
      <c r="E1330" s="3" t="s">
        <v>8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9.1154964654490307E-3</v>
      </c>
      <c r="M1330" s="3">
        <v>4.90405867294995E-2</v>
      </c>
      <c r="N1330" s="3">
        <v>9.7455259960028198E-2</v>
      </c>
      <c r="O1330" s="3">
        <v>0.13189369822454799</v>
      </c>
      <c r="P1330" s="3">
        <v>0.14526519997582699</v>
      </c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</row>
    <row r="1331" spans="1:35" x14ac:dyDescent="0.45">
      <c r="A1331" s="3" t="s">
        <v>91</v>
      </c>
      <c r="B1331" s="3" t="s">
        <v>20</v>
      </c>
      <c r="C1331" s="3" t="s">
        <v>6</v>
      </c>
      <c r="D1331" s="3" t="s">
        <v>11</v>
      </c>
      <c r="E1331" s="3" t="s">
        <v>8</v>
      </c>
      <c r="F1331" s="3">
        <v>0</v>
      </c>
      <c r="G1331" s="3">
        <v>0</v>
      </c>
      <c r="H1331" s="3">
        <v>0</v>
      </c>
      <c r="I1331" s="3">
        <v>0</v>
      </c>
      <c r="J1331" s="3">
        <v>3.2367257019159598E-4</v>
      </c>
      <c r="K1331" s="3">
        <v>4.4944792667616397E-2</v>
      </c>
      <c r="L1331" s="3">
        <v>9.2032441619771602E-2</v>
      </c>
      <c r="M1331" s="3">
        <v>0.104920960723127</v>
      </c>
      <c r="N1331" s="3">
        <v>0.10259242810626799</v>
      </c>
      <c r="O1331" s="3">
        <v>9.7516356440285404E-2</v>
      </c>
      <c r="P1331" s="3">
        <v>7.9256192417831606E-2</v>
      </c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</row>
    <row r="1332" spans="1:35" x14ac:dyDescent="0.45">
      <c r="A1332" s="3" t="s">
        <v>91</v>
      </c>
      <c r="B1332" s="3" t="s">
        <v>20</v>
      </c>
      <c r="C1332" s="3" t="s">
        <v>6</v>
      </c>
      <c r="D1332" s="3" t="s">
        <v>12</v>
      </c>
      <c r="E1332" s="3" t="s">
        <v>8</v>
      </c>
      <c r="F1332" s="3">
        <v>0</v>
      </c>
      <c r="G1332" s="3">
        <v>0</v>
      </c>
      <c r="H1332" s="3">
        <v>0</v>
      </c>
      <c r="I1332" s="3">
        <v>0</v>
      </c>
      <c r="J1332" s="3">
        <v>5.6756232297170903E-2</v>
      </c>
      <c r="K1332" s="3">
        <v>7.7656850374392905E-2</v>
      </c>
      <c r="L1332" s="3">
        <v>8.1498066718104001E-2</v>
      </c>
      <c r="M1332" s="3">
        <v>7.4842386054916804E-2</v>
      </c>
      <c r="N1332" s="3">
        <v>5.2981413337315403E-2</v>
      </c>
      <c r="O1332" s="3">
        <v>3.3016829674810698E-2</v>
      </c>
      <c r="P1332" s="3">
        <v>2.7455126988516401E-2</v>
      </c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</row>
    <row r="1333" spans="1:35" x14ac:dyDescent="0.45">
      <c r="A1333" s="3" t="s">
        <v>91</v>
      </c>
      <c r="B1333" s="3" t="s">
        <v>20</v>
      </c>
      <c r="C1333" s="3" t="s">
        <v>6</v>
      </c>
      <c r="D1333" s="3" t="s">
        <v>13</v>
      </c>
      <c r="E1333" s="3" t="s">
        <v>8</v>
      </c>
      <c r="F1333" s="3">
        <v>0</v>
      </c>
      <c r="G1333" s="3">
        <v>0</v>
      </c>
      <c r="H1333" s="3">
        <v>0</v>
      </c>
      <c r="I1333" s="3">
        <v>7.4281258544883905E-2</v>
      </c>
      <c r="J1333" s="3">
        <v>9.8379971951856604E-2</v>
      </c>
      <c r="K1333" s="3">
        <v>8.8688157180085797E-2</v>
      </c>
      <c r="L1333" s="3">
        <v>6.4722032723099607E-2</v>
      </c>
      <c r="M1333" s="3">
        <v>4.5529376069366599E-2</v>
      </c>
      <c r="N1333" s="3">
        <v>4.0769628574128101E-2</v>
      </c>
      <c r="O1333" s="3">
        <v>3.9321072253227202E-2</v>
      </c>
      <c r="P1333" s="3">
        <v>3.1576386450241002E-2</v>
      </c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</row>
    <row r="1334" spans="1:35" x14ac:dyDescent="0.45">
      <c r="A1334" s="3" t="s">
        <v>91</v>
      </c>
      <c r="B1334" s="3" t="s">
        <v>20</v>
      </c>
      <c r="C1334" s="3" t="s">
        <v>6</v>
      </c>
      <c r="D1334" s="3" t="s">
        <v>14</v>
      </c>
      <c r="E1334" s="3" t="s">
        <v>8</v>
      </c>
      <c r="F1334" s="3">
        <v>0</v>
      </c>
      <c r="G1334" s="3">
        <v>4.9165404552035497E-2</v>
      </c>
      <c r="H1334" s="3">
        <v>4.9165404552035497E-2</v>
      </c>
      <c r="I1334" s="3">
        <v>7.33667799420301E-2</v>
      </c>
      <c r="J1334" s="3">
        <v>6.0303478066002697E-2</v>
      </c>
      <c r="K1334" s="3">
        <v>4.4325161363491003E-2</v>
      </c>
      <c r="L1334" s="3">
        <v>4.3265263427219397E-2</v>
      </c>
      <c r="M1334" s="3">
        <v>4.1051336546816003E-2</v>
      </c>
      <c r="N1334" s="3">
        <v>3.5310541173989497E-2</v>
      </c>
      <c r="O1334" s="3">
        <v>2.7143770216178802E-2</v>
      </c>
      <c r="P1334" s="3">
        <v>2.3568402584322499E-2</v>
      </c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</row>
    <row r="1335" spans="1:35" x14ac:dyDescent="0.45">
      <c r="A1335" s="3" t="s">
        <v>91</v>
      </c>
      <c r="B1335" s="3" t="s">
        <v>20</v>
      </c>
      <c r="C1335" s="3" t="s">
        <v>15</v>
      </c>
      <c r="D1335" s="3" t="s">
        <v>7</v>
      </c>
      <c r="E1335" s="3" t="s">
        <v>8</v>
      </c>
      <c r="F1335" s="3">
        <v>2.8022379942936899E-3</v>
      </c>
      <c r="G1335" s="3">
        <v>5.5244818631438103E-3</v>
      </c>
      <c r="H1335" s="3">
        <v>5.5244818631438103E-3</v>
      </c>
      <c r="I1335" s="3">
        <v>8.1378259517563903E-3</v>
      </c>
      <c r="J1335" s="3">
        <v>1.07994301443739E-2</v>
      </c>
      <c r="K1335" s="3">
        <v>1.3494198411631001E-2</v>
      </c>
      <c r="L1335" s="3">
        <v>1.36866073716375E-2</v>
      </c>
      <c r="M1335" s="3">
        <v>1.4083706326079399E-2</v>
      </c>
      <c r="N1335" s="3">
        <v>1.8244613535887098E-2</v>
      </c>
      <c r="O1335" s="3">
        <v>2.2169741094865102E-2</v>
      </c>
      <c r="P1335" s="3">
        <v>2.2169741094865102E-2</v>
      </c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</row>
    <row r="1336" spans="1:35" x14ac:dyDescent="0.45">
      <c r="A1336" s="3" t="s">
        <v>91</v>
      </c>
      <c r="B1336" s="3" t="s">
        <v>20</v>
      </c>
      <c r="C1336" s="3" t="s">
        <v>15</v>
      </c>
      <c r="D1336" s="3" t="s">
        <v>9</v>
      </c>
      <c r="E1336" s="3" t="s">
        <v>8</v>
      </c>
      <c r="F1336" s="3">
        <v>0</v>
      </c>
      <c r="G1336" s="3">
        <v>-3.61131480991397E-6</v>
      </c>
      <c r="H1336" s="3">
        <v>-3.61131480991397E-6</v>
      </c>
      <c r="I1336" s="3">
        <v>8.3376328056642204E-5</v>
      </c>
      <c r="J1336" s="3">
        <v>1.28136126793383E-3</v>
      </c>
      <c r="K1336" s="3">
        <v>1.3635206974832201E-3</v>
      </c>
      <c r="L1336" s="3">
        <v>8.7249165861445401E-3</v>
      </c>
      <c r="M1336" s="3">
        <v>1.34214406256084E-2</v>
      </c>
      <c r="N1336" s="3">
        <v>1.4556243084190399E-2</v>
      </c>
      <c r="O1336" s="3">
        <v>1.56125963760401E-2</v>
      </c>
      <c r="P1336" s="3">
        <v>2.06935188887836E-2</v>
      </c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</row>
    <row r="1337" spans="1:35" x14ac:dyDescent="0.45">
      <c r="A1337" s="3" t="s">
        <v>91</v>
      </c>
      <c r="B1337" s="3" t="s">
        <v>20</v>
      </c>
      <c r="C1337" s="3" t="s">
        <v>15</v>
      </c>
      <c r="D1337" s="3" t="s">
        <v>10</v>
      </c>
      <c r="E1337" s="3" t="s">
        <v>8</v>
      </c>
      <c r="F1337" s="3">
        <v>0</v>
      </c>
      <c r="G1337" s="3">
        <v>1.38631471554955E-6</v>
      </c>
      <c r="H1337" s="3">
        <v>1.38631471554955E-6</v>
      </c>
      <c r="I1337" s="3">
        <v>1.48624189036517E-4</v>
      </c>
      <c r="J1337" s="3">
        <v>2.9972767325624401E-3</v>
      </c>
      <c r="K1337" s="3">
        <v>4.4248526919104404E-3</v>
      </c>
      <c r="L1337" s="3">
        <v>8.1231139642601704E-4</v>
      </c>
      <c r="M1337" s="3">
        <v>1.3416613750101599E-3</v>
      </c>
      <c r="N1337" s="3">
        <v>1.8458452493473E-3</v>
      </c>
      <c r="O1337" s="3">
        <v>2.8780250361912199E-3</v>
      </c>
      <c r="P1337" s="3">
        <v>3.4427683436336299E-3</v>
      </c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</row>
    <row r="1338" spans="1:35" x14ac:dyDescent="0.45">
      <c r="A1338" s="3" t="s">
        <v>91</v>
      </c>
      <c r="B1338" s="3" t="s">
        <v>20</v>
      </c>
      <c r="C1338" s="3" t="s">
        <v>15</v>
      </c>
      <c r="D1338" s="3" t="s">
        <v>11</v>
      </c>
      <c r="E1338" s="3" t="s">
        <v>8</v>
      </c>
      <c r="F1338" s="3">
        <v>0</v>
      </c>
      <c r="G1338" s="3">
        <v>-9.2388592601040002E-7</v>
      </c>
      <c r="H1338" s="3">
        <v>-9.2388592601040002E-7</v>
      </c>
      <c r="I1338" s="3">
        <v>1.8742862336270001E-3</v>
      </c>
      <c r="J1338" s="3">
        <v>6.4156779097596301E-4</v>
      </c>
      <c r="K1338" s="3">
        <v>1.02811037941095E-3</v>
      </c>
      <c r="L1338" s="3">
        <v>2.1920957747996899E-3</v>
      </c>
      <c r="M1338" s="3">
        <v>1.9570693885356E-3</v>
      </c>
      <c r="N1338" s="3">
        <v>1.49753262038221E-3</v>
      </c>
      <c r="O1338" s="3">
        <v>1.7548749757933399E-4</v>
      </c>
      <c r="P1338" s="3">
        <v>-1.04375129775817E-3</v>
      </c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</row>
    <row r="1339" spans="1:35" x14ac:dyDescent="0.45">
      <c r="A1339" s="3" t="s">
        <v>91</v>
      </c>
      <c r="B1339" s="3" t="s">
        <v>20</v>
      </c>
      <c r="C1339" s="3" t="s">
        <v>15</v>
      </c>
      <c r="D1339" s="3" t="s">
        <v>12</v>
      </c>
      <c r="E1339" s="3" t="s">
        <v>8</v>
      </c>
      <c r="F1339" s="3">
        <v>0</v>
      </c>
      <c r="G1339" s="3">
        <v>1.91251869541735E-5</v>
      </c>
      <c r="H1339" s="3">
        <v>1.91251869541735E-5</v>
      </c>
      <c r="I1339" s="3">
        <v>4.2114602631848099E-4</v>
      </c>
      <c r="J1339" s="3">
        <v>9.3622448945900397E-4</v>
      </c>
      <c r="K1339" s="3">
        <v>1.24311729250371E-3</v>
      </c>
      <c r="L1339" s="3">
        <v>-3.2905271319995703E-4</v>
      </c>
      <c r="M1339" s="3">
        <v>-1.3480485405856701E-3</v>
      </c>
      <c r="N1339" s="3">
        <v>-2.1510118641257302E-3</v>
      </c>
      <c r="O1339" s="3">
        <v>-2.90479763666125E-3</v>
      </c>
      <c r="P1339" s="3">
        <v>-3.9637458488268199E-3</v>
      </c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</row>
    <row r="1340" spans="1:35" x14ac:dyDescent="0.45">
      <c r="A1340" s="3" t="s">
        <v>91</v>
      </c>
      <c r="B1340" s="3" t="s">
        <v>20</v>
      </c>
      <c r="C1340" s="3" t="s">
        <v>15</v>
      </c>
      <c r="D1340" s="3" t="s">
        <v>13</v>
      </c>
      <c r="E1340" s="3" t="s">
        <v>8</v>
      </c>
      <c r="F1340" s="3">
        <v>0</v>
      </c>
      <c r="G1340" s="3">
        <v>1.7865053576261E-3</v>
      </c>
      <c r="H1340" s="3">
        <v>1.7865053576261E-3</v>
      </c>
      <c r="I1340" s="3">
        <v>1.3202380054828101E-4</v>
      </c>
      <c r="J1340" s="3">
        <v>-1.5811543254339599E-3</v>
      </c>
      <c r="K1340" s="3">
        <v>-1.03606311350583E-3</v>
      </c>
      <c r="L1340" s="3">
        <v>-8.3487581956708998E-4</v>
      </c>
      <c r="M1340" s="3">
        <v>-1.2690053989681299E-3</v>
      </c>
      <c r="N1340" s="3">
        <v>-1.8137217117180199E-3</v>
      </c>
      <c r="O1340" s="3">
        <v>-2.3071218289849901E-3</v>
      </c>
      <c r="P1340" s="3">
        <v>-2.6365391422755401E-3</v>
      </c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</row>
    <row r="1341" spans="1:35" x14ac:dyDescent="0.45">
      <c r="A1341" s="3" t="s">
        <v>91</v>
      </c>
      <c r="B1341" s="3" t="s">
        <v>20</v>
      </c>
      <c r="C1341" s="3" t="s">
        <v>15</v>
      </c>
      <c r="D1341" s="3" t="s">
        <v>14</v>
      </c>
      <c r="E1341" s="3" t="s">
        <v>8</v>
      </c>
      <c r="F1341" s="3">
        <v>0</v>
      </c>
      <c r="G1341" s="3">
        <v>1.31821163496798E-3</v>
      </c>
      <c r="H1341" s="3">
        <v>1.31821163496798E-3</v>
      </c>
      <c r="I1341" s="3">
        <v>4.5083897655162099E-4</v>
      </c>
      <c r="J1341" s="3">
        <v>7.76114563826331E-5</v>
      </c>
      <c r="K1341" s="3">
        <v>-9.0878904447387599E-4</v>
      </c>
      <c r="L1341" s="3">
        <v>7.4614834751805499E-4</v>
      </c>
      <c r="M1341" s="3">
        <v>4.4361993825794998E-4</v>
      </c>
      <c r="N1341" s="3">
        <v>-3.8516796272862502E-5</v>
      </c>
      <c r="O1341" s="3">
        <v>-6.4325339050357695E-4</v>
      </c>
      <c r="P1341" s="3">
        <v>-8.9174019251253599E-4</v>
      </c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</row>
    <row r="1342" spans="1:35" x14ac:dyDescent="0.45">
      <c r="A1342" s="3" t="s">
        <v>91</v>
      </c>
      <c r="B1342" s="3" t="s">
        <v>20</v>
      </c>
      <c r="C1342" s="3" t="s">
        <v>16</v>
      </c>
      <c r="D1342" s="3" t="s">
        <v>7</v>
      </c>
      <c r="E1342" s="3" t="s">
        <v>8</v>
      </c>
      <c r="F1342" s="3">
        <v>6.9610105329695401E-2</v>
      </c>
      <c r="G1342" s="3">
        <v>6.9610105329695401E-2</v>
      </c>
      <c r="H1342" s="3">
        <v>6.9610105329695401E-2</v>
      </c>
      <c r="I1342" s="3">
        <v>6.9610105329695401E-2</v>
      </c>
      <c r="J1342" s="3">
        <v>6.9610105329695401E-2</v>
      </c>
      <c r="K1342" s="3">
        <v>6.9610105329695401E-2</v>
      </c>
      <c r="L1342" s="3">
        <v>6.9610105329695401E-2</v>
      </c>
      <c r="M1342" s="3">
        <v>6.7173751643156004E-2</v>
      </c>
      <c r="N1342" s="3">
        <v>3.27863596102866E-2</v>
      </c>
      <c r="O1342" s="3">
        <v>0</v>
      </c>
      <c r="P1342" s="3">
        <v>0</v>
      </c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</row>
    <row r="1343" spans="1:35" x14ac:dyDescent="0.45">
      <c r="A1343" s="3" t="s">
        <v>91</v>
      </c>
      <c r="B1343" s="3" t="s">
        <v>20</v>
      </c>
      <c r="C1343" s="3" t="s">
        <v>16</v>
      </c>
      <c r="D1343" s="3" t="s">
        <v>9</v>
      </c>
      <c r="E1343" s="3" t="s">
        <v>8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0</v>
      </c>
      <c r="M1343" s="3">
        <v>1.52655665885959E-16</v>
      </c>
      <c r="N1343" s="3">
        <v>0</v>
      </c>
      <c r="O1343" s="3">
        <v>0</v>
      </c>
      <c r="P1343" s="3">
        <v>0</v>
      </c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</row>
    <row r="1344" spans="1:35" x14ac:dyDescent="0.45">
      <c r="A1344" s="3" t="s">
        <v>91</v>
      </c>
      <c r="B1344" s="3" t="s">
        <v>20</v>
      </c>
      <c r="C1344" s="3" t="s">
        <v>16</v>
      </c>
      <c r="D1344" s="3" t="s">
        <v>10</v>
      </c>
      <c r="E1344" s="3" t="s">
        <v>8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-1.52655665885959E-16</v>
      </c>
      <c r="N1344" s="3">
        <v>0</v>
      </c>
      <c r="O1344" s="3">
        <v>0</v>
      </c>
      <c r="P1344" s="3">
        <v>0</v>
      </c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</row>
    <row r="1345" spans="1:35" x14ac:dyDescent="0.45">
      <c r="A1345" s="3" t="s">
        <v>91</v>
      </c>
      <c r="B1345" s="3" t="s">
        <v>20</v>
      </c>
      <c r="C1345" s="3" t="s">
        <v>16</v>
      </c>
      <c r="D1345" s="3" t="s">
        <v>11</v>
      </c>
      <c r="E1345" s="3" t="s">
        <v>8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</row>
    <row r="1346" spans="1:35" x14ac:dyDescent="0.45">
      <c r="A1346" s="3" t="s">
        <v>91</v>
      </c>
      <c r="B1346" s="3" t="s">
        <v>20</v>
      </c>
      <c r="C1346" s="3" t="s">
        <v>16</v>
      </c>
      <c r="D1346" s="3" t="s">
        <v>12</v>
      </c>
      <c r="E1346" s="3" t="s">
        <v>8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1.52655665885959E-16</v>
      </c>
      <c r="N1346" s="3">
        <v>0</v>
      </c>
      <c r="O1346" s="3">
        <v>0</v>
      </c>
      <c r="P1346" s="3">
        <v>0</v>
      </c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</row>
    <row r="1347" spans="1:35" x14ac:dyDescent="0.45">
      <c r="A1347" s="3" t="s">
        <v>91</v>
      </c>
      <c r="B1347" s="3" t="s">
        <v>20</v>
      </c>
      <c r="C1347" s="3" t="s">
        <v>16</v>
      </c>
      <c r="D1347" s="3" t="s">
        <v>13</v>
      </c>
      <c r="E1347" s="3" t="s">
        <v>8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-1.52655665885959E-16</v>
      </c>
      <c r="N1347" s="3">
        <v>0</v>
      </c>
      <c r="O1347" s="3">
        <v>0</v>
      </c>
      <c r="P1347" s="3">
        <v>0</v>
      </c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</row>
    <row r="1348" spans="1:35" x14ac:dyDescent="0.45">
      <c r="A1348" s="3" t="s">
        <v>91</v>
      </c>
      <c r="B1348" s="3" t="s">
        <v>20</v>
      </c>
      <c r="C1348" s="3" t="s">
        <v>16</v>
      </c>
      <c r="D1348" s="3" t="s">
        <v>14</v>
      </c>
      <c r="E1348" s="3" t="s">
        <v>8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</row>
    <row r="1349" spans="1:35" x14ac:dyDescent="0.45">
      <c r="A1349" s="3" t="s">
        <v>91</v>
      </c>
      <c r="B1349" s="3" t="s">
        <v>20</v>
      </c>
      <c r="C1349" s="3" t="s">
        <v>17</v>
      </c>
      <c r="D1349" s="3" t="s">
        <v>10</v>
      </c>
      <c r="E1349" s="3" t="s">
        <v>8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2.6223245048531699E-2</v>
      </c>
      <c r="O1349" s="3">
        <v>2.98349777008022E-2</v>
      </c>
      <c r="P1349" s="3">
        <v>2.17032264377174E-2</v>
      </c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</row>
    <row r="1350" spans="1:35" x14ac:dyDescent="0.45">
      <c r="A1350" s="3" t="s">
        <v>91</v>
      </c>
      <c r="B1350" s="3" t="s">
        <v>20</v>
      </c>
      <c r="C1350" s="3" t="s">
        <v>17</v>
      </c>
      <c r="D1350" s="3" t="s">
        <v>11</v>
      </c>
      <c r="E1350" s="3" t="s">
        <v>8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3.1151254196822198E-3</v>
      </c>
      <c r="M1350" s="3">
        <v>4.1509388347972402E-2</v>
      </c>
      <c r="N1350" s="3">
        <v>2.9108654169442898E-2</v>
      </c>
      <c r="O1350" s="3">
        <v>3.8833460380104899E-2</v>
      </c>
      <c r="P1350" s="3">
        <v>4.6751734510826003E-2</v>
      </c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</row>
    <row r="1351" spans="1:35" x14ac:dyDescent="0.45">
      <c r="A1351" s="3" t="s">
        <v>91</v>
      </c>
      <c r="B1351" s="3" t="s">
        <v>20</v>
      </c>
      <c r="C1351" s="3" t="s">
        <v>17</v>
      </c>
      <c r="D1351" s="3" t="s">
        <v>12</v>
      </c>
      <c r="E1351" s="3" t="s">
        <v>8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3.8970106148430099E-2</v>
      </c>
      <c r="L1351" s="3">
        <v>5.7281631142148799E-2</v>
      </c>
      <c r="M1351" s="3">
        <v>3.9319424820879897E-2</v>
      </c>
      <c r="N1351" s="3">
        <v>4.5429836812964801E-2</v>
      </c>
      <c r="O1351" s="3">
        <v>4.4349204210037997E-2</v>
      </c>
      <c r="P1351" s="3">
        <v>3.2869263038384597E-2</v>
      </c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</row>
    <row r="1352" spans="1:35" x14ac:dyDescent="0.45">
      <c r="A1352" s="3" t="s">
        <v>91</v>
      </c>
      <c r="B1352" s="3" t="s">
        <v>20</v>
      </c>
      <c r="C1352" s="3" t="s">
        <v>17</v>
      </c>
      <c r="D1352" s="3" t="s">
        <v>13</v>
      </c>
      <c r="E1352" s="3" t="s">
        <v>8</v>
      </c>
      <c r="F1352" s="3">
        <v>0</v>
      </c>
      <c r="G1352" s="3">
        <v>0</v>
      </c>
      <c r="H1352" s="3">
        <v>0</v>
      </c>
      <c r="I1352" s="3">
        <v>3.3499476517656203E-2</v>
      </c>
      <c r="J1352" s="3">
        <v>7.2500509267353699E-2</v>
      </c>
      <c r="K1352" s="3">
        <v>6.6224592161080495E-2</v>
      </c>
      <c r="L1352" s="3">
        <v>6.4908404862045396E-2</v>
      </c>
      <c r="M1352" s="3">
        <v>4.57648945820422E-2</v>
      </c>
      <c r="N1352" s="3">
        <v>2.5832955407415301E-2</v>
      </c>
      <c r="O1352" s="3">
        <v>1.22644504310357E-2</v>
      </c>
      <c r="P1352" s="3">
        <v>8.6571825316677908E-3</v>
      </c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</row>
    <row r="1353" spans="1:35" x14ac:dyDescent="0.45">
      <c r="A1353" s="3" t="s">
        <v>91</v>
      </c>
      <c r="B1353" s="3" t="s">
        <v>20</v>
      </c>
      <c r="C1353" s="3" t="s">
        <v>17</v>
      </c>
      <c r="D1353" s="3" t="s">
        <v>14</v>
      </c>
      <c r="E1353" s="3" t="s">
        <v>8</v>
      </c>
      <c r="F1353" s="3">
        <v>0</v>
      </c>
      <c r="G1353" s="3">
        <v>0</v>
      </c>
      <c r="H1353" s="3">
        <v>0</v>
      </c>
      <c r="I1353" s="3">
        <v>3.8982320513181998E-2</v>
      </c>
      <c r="J1353" s="3">
        <v>4.5324757973710501E-2</v>
      </c>
      <c r="K1353" s="3">
        <v>2.4992749818271199E-2</v>
      </c>
      <c r="L1353" s="3">
        <v>4.8900309166370302E-3</v>
      </c>
      <c r="M1353" s="3">
        <v>3.60148776294641E-3</v>
      </c>
      <c r="N1353" s="3">
        <v>3.6005041072194001E-3</v>
      </c>
      <c r="O1353" s="3">
        <v>3.6005041000131402E-3</v>
      </c>
      <c r="P1353" s="3">
        <v>3.6005040999413699E-3</v>
      </c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</row>
    <row r="1354" spans="1:35" x14ac:dyDescent="0.45">
      <c r="A1354" s="3" t="s">
        <v>91</v>
      </c>
      <c r="B1354" s="3" t="s">
        <v>20</v>
      </c>
      <c r="C1354" s="3" t="s">
        <v>18</v>
      </c>
      <c r="D1354" s="3" t="s">
        <v>7</v>
      </c>
      <c r="E1354" s="3" t="s">
        <v>8</v>
      </c>
      <c r="F1354" s="3">
        <v>6.9900351187583407E-2</v>
      </c>
      <c r="G1354" s="3">
        <v>8.65075787504785E-2</v>
      </c>
      <c r="H1354" s="3">
        <v>8.65075787504785E-2</v>
      </c>
      <c r="I1354" s="3">
        <v>0.10071667812636299</v>
      </c>
      <c r="J1354" s="3">
        <v>0.108306943706098</v>
      </c>
      <c r="K1354" s="3">
        <v>9.9781787869122798E-2</v>
      </c>
      <c r="L1354" s="3">
        <v>7.5992356253978002E-2</v>
      </c>
      <c r="M1354" s="3">
        <v>3.3435924389068901E-2</v>
      </c>
      <c r="N1354" s="3">
        <v>1.6319502991970401E-2</v>
      </c>
      <c r="O1354" s="3">
        <v>0</v>
      </c>
      <c r="P1354" s="3">
        <v>0</v>
      </c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</row>
    <row r="1355" spans="1:35" x14ac:dyDescent="0.45">
      <c r="A1355" s="3" t="s">
        <v>91</v>
      </c>
      <c r="B1355" s="3" t="s">
        <v>20</v>
      </c>
      <c r="C1355" s="3" t="s">
        <v>18</v>
      </c>
      <c r="D1355" s="3" t="s">
        <v>9</v>
      </c>
      <c r="E1355" s="3" t="s">
        <v>8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7.4292490525893503E-18</v>
      </c>
      <c r="P1355" s="3">
        <v>7.4292490525893503E-18</v>
      </c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</row>
    <row r="1356" spans="1:35" x14ac:dyDescent="0.45">
      <c r="A1356" s="3" t="s">
        <v>91</v>
      </c>
      <c r="B1356" s="3" t="s">
        <v>20</v>
      </c>
      <c r="C1356" s="3" t="s">
        <v>18</v>
      </c>
      <c r="D1356" s="3" t="s">
        <v>10</v>
      </c>
      <c r="E1356" s="3" t="s">
        <v>8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-1.7347234759768099E-17</v>
      </c>
      <c r="O1356" s="3">
        <v>0</v>
      </c>
      <c r="P1356" s="3">
        <v>-7.4292490525893503E-18</v>
      </c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</row>
    <row r="1357" spans="1:35" x14ac:dyDescent="0.45">
      <c r="A1357" s="3" t="s">
        <v>91</v>
      </c>
      <c r="B1357" s="3" t="s">
        <v>20</v>
      </c>
      <c r="C1357" s="3" t="s">
        <v>18</v>
      </c>
      <c r="D1357" s="3" t="s">
        <v>11</v>
      </c>
      <c r="E1357" s="3" t="s">
        <v>8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-1.7347234759768099E-17</v>
      </c>
      <c r="O1357" s="3">
        <v>-7.4292490525893503E-18</v>
      </c>
      <c r="P1357" s="3">
        <v>0</v>
      </c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</row>
    <row r="1358" spans="1:35" x14ac:dyDescent="0.45">
      <c r="A1358" s="3" t="s">
        <v>91</v>
      </c>
      <c r="B1358" s="3" t="s">
        <v>20</v>
      </c>
      <c r="C1358" s="3" t="s">
        <v>18</v>
      </c>
      <c r="D1358" s="3" t="s">
        <v>12</v>
      </c>
      <c r="E1358" s="3" t="s">
        <v>8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-1.8041124150158801E-16</v>
      </c>
      <c r="L1358" s="3">
        <v>0</v>
      </c>
      <c r="M1358" s="3">
        <v>0</v>
      </c>
      <c r="N1358" s="3">
        <v>3.4694469519536099E-17</v>
      </c>
      <c r="O1358" s="3">
        <v>2.9716996210357401E-17</v>
      </c>
      <c r="P1358" s="3">
        <v>4.45754943155362E-17</v>
      </c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</row>
    <row r="1359" spans="1:35" x14ac:dyDescent="0.45">
      <c r="A1359" s="3" t="s">
        <v>91</v>
      </c>
      <c r="B1359" s="3" t="s">
        <v>20</v>
      </c>
      <c r="C1359" s="3" t="s">
        <v>18</v>
      </c>
      <c r="D1359" s="3" t="s">
        <v>13</v>
      </c>
      <c r="E1359" s="3" t="s">
        <v>8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1.8041124150158801E-16</v>
      </c>
      <c r="L1359" s="3">
        <v>-1.6653345369377299E-16</v>
      </c>
      <c r="M1359" s="3">
        <v>0</v>
      </c>
      <c r="N1359" s="3">
        <v>-3.4694469519536099E-17</v>
      </c>
      <c r="O1359" s="3">
        <v>1.63443479156965E-16</v>
      </c>
      <c r="P1359" s="3">
        <v>-4.45754943155362E-17</v>
      </c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</row>
    <row r="1360" spans="1:35" x14ac:dyDescent="0.45">
      <c r="A1360" s="3" t="s">
        <v>91</v>
      </c>
      <c r="B1360" s="3" t="s">
        <v>20</v>
      </c>
      <c r="C1360" s="3" t="s">
        <v>18</v>
      </c>
      <c r="D1360" s="3" t="s">
        <v>14</v>
      </c>
      <c r="E1360" s="3" t="s">
        <v>8</v>
      </c>
      <c r="F1360" s="3">
        <v>0</v>
      </c>
      <c r="G1360" s="3">
        <v>0</v>
      </c>
      <c r="H1360" s="3">
        <v>0</v>
      </c>
      <c r="I1360" s="3">
        <v>0</v>
      </c>
      <c r="J1360" s="3">
        <v>1.8041124150158801E-16</v>
      </c>
      <c r="K1360" s="3">
        <v>0</v>
      </c>
      <c r="L1360" s="3">
        <v>0</v>
      </c>
      <c r="M1360" s="3">
        <v>-1.6653345369377299E-16</v>
      </c>
      <c r="N1360" s="3">
        <v>2.0122792321330999E-16</v>
      </c>
      <c r="O1360" s="3">
        <v>-1.93160475367323E-16</v>
      </c>
      <c r="P1360" s="3">
        <v>0</v>
      </c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</row>
    <row r="1361" spans="1:35" x14ac:dyDescent="0.45">
      <c r="A1361" s="3" t="s">
        <v>91</v>
      </c>
      <c r="B1361" s="3" t="s">
        <v>20</v>
      </c>
      <c r="C1361" s="3" t="s">
        <v>19</v>
      </c>
      <c r="D1361" s="3" t="s">
        <v>10</v>
      </c>
      <c r="E1361" s="3" t="s">
        <v>8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1.7306158327646901E-2</v>
      </c>
      <c r="N1361" s="3">
        <v>3.2536662571020003E-2</v>
      </c>
      <c r="O1361" s="3">
        <v>2.9900807258935898E-2</v>
      </c>
      <c r="P1361" s="3">
        <v>4.1113458507278898E-2</v>
      </c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</row>
    <row r="1362" spans="1:35" x14ac:dyDescent="0.45">
      <c r="A1362" s="3" t="s">
        <v>91</v>
      </c>
      <c r="B1362" s="3" t="s">
        <v>20</v>
      </c>
      <c r="C1362" s="3" t="s">
        <v>19</v>
      </c>
      <c r="D1362" s="3" t="s">
        <v>11</v>
      </c>
      <c r="E1362" s="3" t="s">
        <v>8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8.2017849084858197E-3</v>
      </c>
      <c r="L1362" s="3">
        <v>4.8849471390445799E-2</v>
      </c>
      <c r="M1362" s="3">
        <v>7.7211740070086396E-2</v>
      </c>
      <c r="N1362" s="3">
        <v>0.10876161783577699</v>
      </c>
      <c r="O1362" s="3">
        <v>0.147745368992969</v>
      </c>
      <c r="P1362" s="3">
        <v>0.178145666862289</v>
      </c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</row>
    <row r="1363" spans="1:35" x14ac:dyDescent="0.45">
      <c r="A1363" s="3" t="s">
        <v>91</v>
      </c>
      <c r="B1363" s="3" t="s">
        <v>20</v>
      </c>
      <c r="C1363" s="3" t="s">
        <v>19</v>
      </c>
      <c r="D1363" s="3" t="s">
        <v>12</v>
      </c>
      <c r="E1363" s="3" t="s">
        <v>8</v>
      </c>
      <c r="F1363" s="3">
        <v>0</v>
      </c>
      <c r="G1363" s="3">
        <v>0</v>
      </c>
      <c r="H1363" s="3">
        <v>0</v>
      </c>
      <c r="I1363" s="3">
        <v>0</v>
      </c>
      <c r="J1363" s="3">
        <v>2.39992165265757E-2</v>
      </c>
      <c r="K1363" s="3">
        <v>9.7105437200165706E-2</v>
      </c>
      <c r="L1363" s="3">
        <v>0.12484399777590501</v>
      </c>
      <c r="M1363" s="3">
        <v>0.15061086507135299</v>
      </c>
      <c r="N1363" s="3">
        <v>0.17041720601622001</v>
      </c>
      <c r="O1363" s="3">
        <v>0.162684770733692</v>
      </c>
      <c r="P1363" s="3">
        <v>0.119755389259498</v>
      </c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</row>
    <row r="1364" spans="1:35" x14ac:dyDescent="0.45">
      <c r="A1364" s="3" t="s">
        <v>91</v>
      </c>
      <c r="B1364" s="3" t="s">
        <v>20</v>
      </c>
      <c r="C1364" s="3" t="s">
        <v>19</v>
      </c>
      <c r="D1364" s="3" t="s">
        <v>13</v>
      </c>
      <c r="E1364" s="3" t="s">
        <v>8</v>
      </c>
      <c r="F1364" s="3">
        <v>0</v>
      </c>
      <c r="G1364" s="3">
        <v>0</v>
      </c>
      <c r="H1364" s="3">
        <v>0</v>
      </c>
      <c r="I1364" s="3">
        <v>0.11784009599223599</v>
      </c>
      <c r="J1364" s="3">
        <v>0.21048930281137501</v>
      </c>
      <c r="K1364" s="3">
        <v>0.23787051280479601</v>
      </c>
      <c r="L1364" s="3">
        <v>0.232210560750127</v>
      </c>
      <c r="M1364" s="3">
        <v>0.16164437343476801</v>
      </c>
      <c r="N1364" s="3">
        <v>9.1281931214202097E-2</v>
      </c>
      <c r="O1364" s="3">
        <v>4.6286506403103597E-2</v>
      </c>
      <c r="P1364" s="3">
        <v>3.61005207691402E-2</v>
      </c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</row>
    <row r="1365" spans="1:35" x14ac:dyDescent="0.45">
      <c r="A1365" s="3" t="s">
        <v>91</v>
      </c>
      <c r="B1365" s="3" t="s">
        <v>20</v>
      </c>
      <c r="C1365" s="3" t="s">
        <v>19</v>
      </c>
      <c r="D1365" s="3" t="s">
        <v>14</v>
      </c>
      <c r="E1365" s="3" t="s">
        <v>8</v>
      </c>
      <c r="F1365" s="3">
        <v>0</v>
      </c>
      <c r="G1365" s="3">
        <v>0</v>
      </c>
      <c r="H1365" s="3">
        <v>0</v>
      </c>
      <c r="I1365" s="3">
        <v>0.123159292524272</v>
      </c>
      <c r="J1365" s="3">
        <v>0.159961434795379</v>
      </c>
      <c r="K1365" s="3">
        <v>8.5553620948784895E-2</v>
      </c>
      <c r="L1365" s="3">
        <v>1.5939845297639001E-2</v>
      </c>
      <c r="M1365" s="3">
        <v>1.1607353761811301E-2</v>
      </c>
      <c r="N1365" s="3">
        <v>1.23409785292106E-2</v>
      </c>
      <c r="O1365" s="3">
        <v>1.2966482713653599E-2</v>
      </c>
      <c r="P1365" s="3">
        <v>1.3059572393680101E-2</v>
      </c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</row>
    <row r="1366" spans="1:35" x14ac:dyDescent="0.45">
      <c r="A1366" s="3" t="s">
        <v>92</v>
      </c>
      <c r="B1366" s="3" t="s">
        <v>29</v>
      </c>
      <c r="C1366" s="3" t="s">
        <v>6</v>
      </c>
      <c r="D1366" s="3" t="s">
        <v>7</v>
      </c>
      <c r="E1366" s="3" t="s">
        <v>8</v>
      </c>
      <c r="F1366" s="3">
        <v>0</v>
      </c>
      <c r="G1366" s="3">
        <v>0</v>
      </c>
      <c r="H1366" s="3">
        <v>0</v>
      </c>
      <c r="I1366" s="3">
        <v>0</v>
      </c>
      <c r="J1366" s="3">
        <v>9.1572039545130595E-5</v>
      </c>
      <c r="K1366" s="3">
        <v>1.2573288721720301E-4</v>
      </c>
      <c r="L1366" s="3">
        <v>3.1029363682304301E-5</v>
      </c>
      <c r="M1366" s="3">
        <v>3.1029363682304497E-5</v>
      </c>
      <c r="N1366" s="3">
        <v>2.5064962914521101E-5</v>
      </c>
      <c r="O1366" s="3">
        <v>2.0051031188388601E-5</v>
      </c>
      <c r="P1366" s="3">
        <v>1.60655921575417E-5</v>
      </c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</row>
    <row r="1367" spans="1:35" x14ac:dyDescent="0.45">
      <c r="A1367" s="3" t="s">
        <v>92</v>
      </c>
      <c r="B1367" s="3" t="s">
        <v>29</v>
      </c>
      <c r="C1367" s="3" t="s">
        <v>6</v>
      </c>
      <c r="D1367" s="3" t="s">
        <v>9</v>
      </c>
      <c r="E1367" s="3" t="s">
        <v>8</v>
      </c>
      <c r="F1367" s="3">
        <v>0</v>
      </c>
      <c r="G1367" s="3">
        <v>0</v>
      </c>
      <c r="H1367" s="3">
        <v>0</v>
      </c>
      <c r="I1367" s="3">
        <v>0</v>
      </c>
      <c r="J1367" s="3">
        <v>8.6246320061604296E-5</v>
      </c>
      <c r="K1367" s="3">
        <v>2.0775199029465601E-4</v>
      </c>
      <c r="L1367" s="3">
        <v>2.59321118349168E-4</v>
      </c>
      <c r="M1367" s="3">
        <v>2.59321118349168E-4</v>
      </c>
      <c r="N1367" s="3">
        <v>2.51289665304681E-4</v>
      </c>
      <c r="O1367" s="3">
        <v>2.5615576669697499E-4</v>
      </c>
      <c r="P1367" s="3">
        <v>2.6014120572782201E-4</v>
      </c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</row>
    <row r="1368" spans="1:35" x14ac:dyDescent="0.45">
      <c r="A1368" s="3" t="s">
        <v>92</v>
      </c>
      <c r="B1368" s="3" t="s">
        <v>29</v>
      </c>
      <c r="C1368" s="3" t="s">
        <v>6</v>
      </c>
      <c r="D1368" s="3" t="s">
        <v>10</v>
      </c>
      <c r="E1368" s="3" t="s">
        <v>8</v>
      </c>
      <c r="F1368" s="3">
        <v>0</v>
      </c>
      <c r="G1368" s="3">
        <v>0</v>
      </c>
      <c r="H1368" s="3">
        <v>0</v>
      </c>
      <c r="I1368" s="3">
        <v>1.0311072660624399E-5</v>
      </c>
      <c r="J1368" s="3">
        <v>2.2236331225128499E-4</v>
      </c>
      <c r="K1368" s="3">
        <v>2.24208537260483E-4</v>
      </c>
      <c r="L1368" s="3">
        <v>2.2864555024531099E-4</v>
      </c>
      <c r="M1368" s="3">
        <v>2.2864555024531099E-4</v>
      </c>
      <c r="N1368" s="3">
        <v>1.6098046446882E-3</v>
      </c>
      <c r="O1368" s="3">
        <v>3.6435879612791901E-3</v>
      </c>
      <c r="P1368" s="3">
        <v>1.13124700974187E-2</v>
      </c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</row>
    <row r="1369" spans="1:35" x14ac:dyDescent="0.45">
      <c r="A1369" s="3" t="s">
        <v>92</v>
      </c>
      <c r="B1369" s="3" t="s">
        <v>29</v>
      </c>
      <c r="C1369" s="3" t="s">
        <v>6</v>
      </c>
      <c r="D1369" s="3" t="s">
        <v>11</v>
      </c>
      <c r="E1369" s="3" t="s">
        <v>8</v>
      </c>
      <c r="F1369" s="3">
        <v>0</v>
      </c>
      <c r="G1369" s="3">
        <v>0</v>
      </c>
      <c r="H1369" s="3">
        <v>0</v>
      </c>
      <c r="I1369" s="3">
        <v>1.69353205161066E-4</v>
      </c>
      <c r="J1369" s="3">
        <v>2.31188746980084E-4</v>
      </c>
      <c r="K1369" s="3">
        <v>2.49758864121233E-4</v>
      </c>
      <c r="L1369" s="3">
        <v>2.66782623784023E-3</v>
      </c>
      <c r="M1369" s="3">
        <v>1.0987716881935001E-2</v>
      </c>
      <c r="N1369" s="3">
        <v>1.8270937182949101E-2</v>
      </c>
      <c r="O1369" s="3">
        <v>2.53792978536449E-2</v>
      </c>
      <c r="P1369" s="3">
        <v>3.6455458833508397E-2</v>
      </c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</row>
    <row r="1370" spans="1:35" x14ac:dyDescent="0.45">
      <c r="A1370" s="3" t="s">
        <v>92</v>
      </c>
      <c r="B1370" s="3" t="s">
        <v>29</v>
      </c>
      <c r="C1370" s="3" t="s">
        <v>6</v>
      </c>
      <c r="D1370" s="3" t="s">
        <v>12</v>
      </c>
      <c r="E1370" s="3" t="s">
        <v>8</v>
      </c>
      <c r="F1370" s="3">
        <v>0</v>
      </c>
      <c r="G1370" s="3">
        <v>0</v>
      </c>
      <c r="H1370" s="3">
        <v>0</v>
      </c>
      <c r="I1370" s="3">
        <v>2.9533655473109601E-4</v>
      </c>
      <c r="J1370" s="3">
        <v>1.4761482112248599E-3</v>
      </c>
      <c r="K1370" s="3">
        <v>1.08367074312669E-2</v>
      </c>
      <c r="L1370" s="3">
        <v>1.82093413438012E-2</v>
      </c>
      <c r="M1370" s="3">
        <v>4.0102758035619003E-2</v>
      </c>
      <c r="N1370" s="3">
        <v>6.5181203515200403E-2</v>
      </c>
      <c r="O1370" s="3">
        <v>8.89011059356975E-2</v>
      </c>
      <c r="P1370" s="3">
        <v>0.100788723738299</v>
      </c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</row>
    <row r="1371" spans="1:35" x14ac:dyDescent="0.45">
      <c r="A1371" s="3" t="s">
        <v>92</v>
      </c>
      <c r="B1371" s="3" t="s">
        <v>29</v>
      </c>
      <c r="C1371" s="3" t="s">
        <v>6</v>
      </c>
      <c r="D1371" s="3" t="s">
        <v>13</v>
      </c>
      <c r="E1371" s="3" t="s">
        <v>8</v>
      </c>
      <c r="F1371" s="3">
        <v>0</v>
      </c>
      <c r="G1371" s="3">
        <v>3.4749777660834703E-5</v>
      </c>
      <c r="H1371" s="3">
        <v>3.4749777660834703E-5</v>
      </c>
      <c r="I1371" s="3">
        <v>1.0306236096499499E-2</v>
      </c>
      <c r="J1371" s="3">
        <v>4.6088736035608598E-2</v>
      </c>
      <c r="K1371" s="3">
        <v>7.4211410307343406E-2</v>
      </c>
      <c r="L1371" s="3">
        <v>9.9928587403032995E-2</v>
      </c>
      <c r="M1371" s="3">
        <v>0.100738977603017</v>
      </c>
      <c r="N1371" s="3">
        <v>9.7167640455965307E-2</v>
      </c>
      <c r="O1371" s="3">
        <v>9.5161075801708794E-2</v>
      </c>
      <c r="P1371" s="3">
        <v>9.48733372468714E-2</v>
      </c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</row>
    <row r="1372" spans="1:35" x14ac:dyDescent="0.45">
      <c r="A1372" s="3" t="s">
        <v>92</v>
      </c>
      <c r="B1372" s="3" t="s">
        <v>29</v>
      </c>
      <c r="C1372" s="3" t="s">
        <v>6</v>
      </c>
      <c r="D1372" s="3" t="s">
        <v>14</v>
      </c>
      <c r="E1372" s="3" t="s">
        <v>8</v>
      </c>
      <c r="F1372" s="3">
        <v>0</v>
      </c>
      <c r="G1372" s="3">
        <v>1.3158619481903799E-3</v>
      </c>
      <c r="H1372" s="3">
        <v>1.3158619481903799E-3</v>
      </c>
      <c r="I1372" s="3">
        <v>3.19516643401727E-2</v>
      </c>
      <c r="J1372" s="3">
        <v>3.3685494189940102E-2</v>
      </c>
      <c r="K1372" s="3">
        <v>3.50430577743314E-2</v>
      </c>
      <c r="L1372" s="3">
        <v>4.00352355562128E-2</v>
      </c>
      <c r="M1372" s="3">
        <v>5.1784884345721198E-2</v>
      </c>
      <c r="N1372" s="3">
        <v>6.6464610396377202E-2</v>
      </c>
      <c r="O1372" s="3">
        <v>7.8223128384123597E-2</v>
      </c>
      <c r="P1372" s="3">
        <v>8.60676574705386E-2</v>
      </c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</row>
    <row r="1373" spans="1:35" x14ac:dyDescent="0.45">
      <c r="A1373" s="3" t="s">
        <v>92</v>
      </c>
      <c r="B1373" s="3" t="s">
        <v>29</v>
      </c>
      <c r="C1373" s="3" t="s">
        <v>15</v>
      </c>
      <c r="D1373" s="3" t="s">
        <v>7</v>
      </c>
      <c r="E1373" s="3" t="s">
        <v>8</v>
      </c>
      <c r="F1373" s="3">
        <v>5.5788558124815202E-2</v>
      </c>
      <c r="G1373" s="3">
        <v>6.1641649174944399E-2</v>
      </c>
      <c r="H1373" s="3">
        <v>6.1641649174944399E-2</v>
      </c>
      <c r="I1373" s="3">
        <v>6.6257892365674004E-2</v>
      </c>
      <c r="J1373" s="3">
        <v>6.9917100651869304E-2</v>
      </c>
      <c r="K1373" s="3">
        <v>7.3375741070837303E-2</v>
      </c>
      <c r="L1373" s="3">
        <v>7.6337157374571599E-2</v>
      </c>
      <c r="M1373" s="3">
        <v>7.9586369011266603E-2</v>
      </c>
      <c r="N1373" s="3">
        <v>8.1028043207572495E-2</v>
      </c>
      <c r="O1373" s="3">
        <v>8.2536104248537495E-2</v>
      </c>
      <c r="P1373" s="3">
        <v>8.3784262019115305E-2</v>
      </c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</row>
    <row r="1374" spans="1:35" x14ac:dyDescent="0.45">
      <c r="A1374" s="3" t="s">
        <v>92</v>
      </c>
      <c r="B1374" s="3" t="s">
        <v>29</v>
      </c>
      <c r="C1374" s="3" t="s">
        <v>15</v>
      </c>
      <c r="D1374" s="3" t="s">
        <v>9</v>
      </c>
      <c r="E1374" s="3" t="s">
        <v>8</v>
      </c>
      <c r="F1374" s="3">
        <v>0</v>
      </c>
      <c r="G1374" s="3">
        <v>-6.7857997654380303E-5</v>
      </c>
      <c r="H1374" s="3">
        <v>-6.7857997654380303E-5</v>
      </c>
      <c r="I1374" s="3">
        <v>-2.04248825469475E-4</v>
      </c>
      <c r="J1374" s="3">
        <v>-4.20731015087369E-4</v>
      </c>
      <c r="K1374" s="3">
        <v>-1.33331007205098E-4</v>
      </c>
      <c r="L1374" s="3">
        <v>-9.0553311997623699E-4</v>
      </c>
      <c r="M1374" s="3">
        <v>-1.30595260903855E-3</v>
      </c>
      <c r="N1374" s="3">
        <v>-1.36553584957927E-3</v>
      </c>
      <c r="O1374" s="3">
        <v>-2.1214859452903701E-3</v>
      </c>
      <c r="P1374" s="3">
        <v>-2.9369801610188801E-3</v>
      </c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</row>
    <row r="1375" spans="1:35" x14ac:dyDescent="0.45">
      <c r="A1375" s="3" t="s">
        <v>92</v>
      </c>
      <c r="B1375" s="3" t="s">
        <v>29</v>
      </c>
      <c r="C1375" s="3" t="s">
        <v>15</v>
      </c>
      <c r="D1375" s="3" t="s">
        <v>10</v>
      </c>
      <c r="E1375" s="3" t="s">
        <v>8</v>
      </c>
      <c r="F1375" s="3">
        <v>0</v>
      </c>
      <c r="G1375" s="3">
        <v>-1.2450467212141201E-6</v>
      </c>
      <c r="H1375" s="3">
        <v>-1.2450467212141201E-6</v>
      </c>
      <c r="I1375" s="3">
        <v>-8.1771618860720902E-5</v>
      </c>
      <c r="J1375" s="3">
        <v>-2.7915868525039999E-4</v>
      </c>
      <c r="K1375" s="3">
        <v>-4.1378724001106499E-4</v>
      </c>
      <c r="L1375" s="3">
        <v>-1.15429506023806E-4</v>
      </c>
      <c r="M1375" s="3">
        <v>-9.2262097030317003E-4</v>
      </c>
      <c r="N1375" s="3">
        <v>7.3965875523170099E-4</v>
      </c>
      <c r="O1375" s="3">
        <v>4.0366923272429399E-4</v>
      </c>
      <c r="P1375" s="3">
        <v>5.36734647600706E-4</v>
      </c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</row>
    <row r="1376" spans="1:35" x14ac:dyDescent="0.45">
      <c r="A1376" s="3" t="s">
        <v>92</v>
      </c>
      <c r="B1376" s="3" t="s">
        <v>29</v>
      </c>
      <c r="C1376" s="3" t="s">
        <v>15</v>
      </c>
      <c r="D1376" s="3" t="s">
        <v>11</v>
      </c>
      <c r="E1376" s="3" t="s">
        <v>8</v>
      </c>
      <c r="F1376" s="3">
        <v>0</v>
      </c>
      <c r="G1376" s="3">
        <v>4.8828161473696302E-6</v>
      </c>
      <c r="H1376" s="3">
        <v>4.8828161473696302E-6</v>
      </c>
      <c r="I1376" s="3">
        <v>-1.0307799961623E-4</v>
      </c>
      <c r="J1376" s="3">
        <v>1.2640381354191201E-4</v>
      </c>
      <c r="K1376" s="3">
        <v>-2.5124052873910801E-4</v>
      </c>
      <c r="L1376" s="3">
        <v>6.7876938273721298E-4</v>
      </c>
      <c r="M1376" s="3">
        <v>1.74916274024067E-3</v>
      </c>
      <c r="N1376" s="3">
        <v>1.0304932777525E-3</v>
      </c>
      <c r="O1376" s="3">
        <v>1.1682416636609901E-3</v>
      </c>
      <c r="P1376" s="3">
        <v>1.3268084385887201E-3</v>
      </c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</row>
    <row r="1377" spans="1:35" x14ac:dyDescent="0.45">
      <c r="A1377" s="3" t="s">
        <v>92</v>
      </c>
      <c r="B1377" s="3" t="s">
        <v>29</v>
      </c>
      <c r="C1377" s="3" t="s">
        <v>15</v>
      </c>
      <c r="D1377" s="3" t="s">
        <v>12</v>
      </c>
      <c r="E1377" s="3" t="s">
        <v>8</v>
      </c>
      <c r="F1377" s="3">
        <v>0</v>
      </c>
      <c r="G1377" s="3">
        <v>2.0970100790967899E-6</v>
      </c>
      <c r="H1377" s="3">
        <v>2.0970100790967899E-6</v>
      </c>
      <c r="I1377" s="3">
        <v>-3.48207232972492E-4</v>
      </c>
      <c r="J1377" s="3">
        <v>-5.6823828948796E-5</v>
      </c>
      <c r="K1377" s="3">
        <v>2.7706234373741402E-3</v>
      </c>
      <c r="L1377" s="3">
        <v>2.7846108641049298E-3</v>
      </c>
      <c r="M1377" s="3">
        <v>2.7043311445509601E-3</v>
      </c>
      <c r="N1377" s="3">
        <v>1.6283094848934801E-3</v>
      </c>
      <c r="O1377" s="3">
        <v>2.0283465768067598E-3</v>
      </c>
      <c r="P1377" s="3">
        <v>2.0182023740806698E-3</v>
      </c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</row>
    <row r="1378" spans="1:35" x14ac:dyDescent="0.45">
      <c r="A1378" s="3" t="s">
        <v>92</v>
      </c>
      <c r="B1378" s="3" t="s">
        <v>29</v>
      </c>
      <c r="C1378" s="3" t="s">
        <v>15</v>
      </c>
      <c r="D1378" s="3" t="s">
        <v>13</v>
      </c>
      <c r="E1378" s="3" t="s">
        <v>8</v>
      </c>
      <c r="F1378" s="3">
        <v>0</v>
      </c>
      <c r="G1378" s="3">
        <v>-4.4916197787235601E-4</v>
      </c>
      <c r="H1378" s="3">
        <v>-4.4916197787235601E-4</v>
      </c>
      <c r="I1378" s="3">
        <v>3.5840354638830602E-3</v>
      </c>
      <c r="J1378" s="3">
        <v>3.7743773541789199E-3</v>
      </c>
      <c r="K1378" s="3">
        <v>3.8039921866724101E-4</v>
      </c>
      <c r="L1378" s="3">
        <v>-1.3315327831701901E-4</v>
      </c>
      <c r="M1378" s="3">
        <v>2.5986058856367099E-4</v>
      </c>
      <c r="N1378" s="3">
        <v>1.50848121441526E-3</v>
      </c>
      <c r="O1378" s="3">
        <v>1.57408004040814E-3</v>
      </c>
      <c r="P1378" s="3">
        <v>1.31759270454296E-3</v>
      </c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</row>
    <row r="1379" spans="1:35" x14ac:dyDescent="0.45">
      <c r="A1379" s="3" t="s">
        <v>92</v>
      </c>
      <c r="B1379" s="3" t="s">
        <v>29</v>
      </c>
      <c r="C1379" s="3" t="s">
        <v>15</v>
      </c>
      <c r="D1379" s="3" t="s">
        <v>14</v>
      </c>
      <c r="E1379" s="3" t="s">
        <v>8</v>
      </c>
      <c r="F1379" s="3">
        <v>0</v>
      </c>
      <c r="G1379" s="3">
        <v>1.07686703739272E-3</v>
      </c>
      <c r="H1379" s="3">
        <v>1.07686703739272E-3</v>
      </c>
      <c r="I1379" s="3">
        <v>-2.0000479493774699E-3</v>
      </c>
      <c r="J1379" s="3">
        <v>-3.52075153192535E-3</v>
      </c>
      <c r="K1379" s="3">
        <v>-4.0202296212224903E-3</v>
      </c>
      <c r="L1379" s="3">
        <v>-5.2913761932348903E-3</v>
      </c>
      <c r="M1379" s="3">
        <v>-6.2192364715101299E-3</v>
      </c>
      <c r="N1379" s="3">
        <v>-6.0816922849934504E-3</v>
      </c>
      <c r="O1379" s="3">
        <v>-5.2336834753766402E-3</v>
      </c>
      <c r="P1379" s="3">
        <v>-5.2438243291350198E-3</v>
      </c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</row>
    <row r="1380" spans="1:35" x14ac:dyDescent="0.45">
      <c r="A1380" s="3" t="s">
        <v>92</v>
      </c>
      <c r="B1380" s="3" t="s">
        <v>29</v>
      </c>
      <c r="C1380" s="3" t="s">
        <v>16</v>
      </c>
      <c r="D1380" s="3" t="s">
        <v>7</v>
      </c>
      <c r="E1380" s="3" t="s">
        <v>8</v>
      </c>
      <c r="F1380" s="3">
        <v>2.3815601847544301E-2</v>
      </c>
      <c r="G1380" s="3">
        <v>2.54232067401556E-2</v>
      </c>
      <c r="H1380" s="3">
        <v>2.54232067401556E-2</v>
      </c>
      <c r="I1380" s="3">
        <v>2.4581542076960599E-2</v>
      </c>
      <c r="J1380" s="3">
        <v>2.3794831486211799E-2</v>
      </c>
      <c r="K1380" s="3">
        <v>2.3468078475840901E-2</v>
      </c>
      <c r="L1380" s="3">
        <v>2.3402549611966399E-2</v>
      </c>
      <c r="M1380" s="3">
        <v>2.32394736783543E-2</v>
      </c>
      <c r="N1380" s="3">
        <v>2.3196127776747701E-2</v>
      </c>
      <c r="O1380" s="3">
        <v>2.3196127776747798E-2</v>
      </c>
      <c r="P1380" s="3">
        <v>2.3196127776747798E-2</v>
      </c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</row>
    <row r="1381" spans="1:35" x14ac:dyDescent="0.45">
      <c r="A1381" s="3" t="s">
        <v>92</v>
      </c>
      <c r="B1381" s="3" t="s">
        <v>29</v>
      </c>
      <c r="C1381" s="3" t="s">
        <v>16</v>
      </c>
      <c r="D1381" s="3" t="s">
        <v>9</v>
      </c>
      <c r="E1381" s="3" t="s">
        <v>8</v>
      </c>
      <c r="F1381" s="3">
        <v>0</v>
      </c>
      <c r="G1381" s="3">
        <v>-6.2974469668478101E-6</v>
      </c>
      <c r="H1381" s="3">
        <v>-6.2974469668478101E-6</v>
      </c>
      <c r="I1381" s="3">
        <v>0</v>
      </c>
      <c r="J1381" s="3">
        <v>4.5389630724434298E-5</v>
      </c>
      <c r="K1381" s="3">
        <v>7.31360826128694E-6</v>
      </c>
      <c r="L1381" s="3">
        <v>4.6383529516962097E-5</v>
      </c>
      <c r="M1381" s="3">
        <v>9.09253142029956E-5</v>
      </c>
      <c r="N1381" s="3">
        <v>-1.91094731807722E-3</v>
      </c>
      <c r="O1381" s="3">
        <v>-1.9109473180772599E-3</v>
      </c>
      <c r="P1381" s="3">
        <v>-1.9109473180772599E-3</v>
      </c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</row>
    <row r="1382" spans="1:35" x14ac:dyDescent="0.45">
      <c r="A1382" s="3" t="s">
        <v>92</v>
      </c>
      <c r="B1382" s="3" t="s">
        <v>29</v>
      </c>
      <c r="C1382" s="3" t="s">
        <v>16</v>
      </c>
      <c r="D1382" s="3" t="s">
        <v>10</v>
      </c>
      <c r="E1382" s="3" t="s">
        <v>8</v>
      </c>
      <c r="F1382" s="3">
        <v>0</v>
      </c>
      <c r="G1382" s="3">
        <v>-3.4694469519536099E-17</v>
      </c>
      <c r="H1382" s="3">
        <v>-3.4694469519536099E-17</v>
      </c>
      <c r="I1382" s="3">
        <v>0</v>
      </c>
      <c r="J1382" s="3">
        <v>4.4465953941960603E-5</v>
      </c>
      <c r="K1382" s="3">
        <v>1.22779942927226E-5</v>
      </c>
      <c r="L1382" s="3">
        <v>-1.99059971871341E-3</v>
      </c>
      <c r="M1382" s="3">
        <v>-1.97260611967601E-3</v>
      </c>
      <c r="N1382" s="3">
        <v>7.2612414210755595E-5</v>
      </c>
      <c r="O1382" s="3">
        <v>7.2612414210717499E-5</v>
      </c>
      <c r="P1382" s="3">
        <v>7.2612414210755595E-5</v>
      </c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</row>
    <row r="1383" spans="1:35" x14ac:dyDescent="0.45">
      <c r="A1383" s="3" t="s">
        <v>92</v>
      </c>
      <c r="B1383" s="3" t="s">
        <v>29</v>
      </c>
      <c r="C1383" s="3" t="s">
        <v>16</v>
      </c>
      <c r="D1383" s="3" t="s">
        <v>11</v>
      </c>
      <c r="E1383" s="3" t="s">
        <v>8</v>
      </c>
      <c r="F1383" s="3">
        <v>0</v>
      </c>
      <c r="G1383" s="3">
        <v>3.4694469519536099E-17</v>
      </c>
      <c r="H1383" s="3">
        <v>3.4694469519536099E-17</v>
      </c>
      <c r="I1383" s="3">
        <v>0</v>
      </c>
      <c r="J1383" s="3">
        <v>-2.0414238554495698E-3</v>
      </c>
      <c r="K1383" s="3">
        <v>-1.9886943258647302E-3</v>
      </c>
      <c r="L1383" s="3">
        <v>3.7923319462507297E-7</v>
      </c>
      <c r="M1383" s="3">
        <v>-1.0397961199133301E-4</v>
      </c>
      <c r="N1383" s="3">
        <v>-1.6142889865157099E-4</v>
      </c>
      <c r="O1383" s="3">
        <v>-1.6142889865153299E-4</v>
      </c>
      <c r="P1383" s="3">
        <v>-1.6142889865157099E-4</v>
      </c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</row>
    <row r="1384" spans="1:35" x14ac:dyDescent="0.45">
      <c r="A1384" s="3" t="s">
        <v>92</v>
      </c>
      <c r="B1384" s="3" t="s">
        <v>29</v>
      </c>
      <c r="C1384" s="3" t="s">
        <v>16</v>
      </c>
      <c r="D1384" s="3" t="s">
        <v>12</v>
      </c>
      <c r="E1384" s="3" t="s">
        <v>8</v>
      </c>
      <c r="F1384" s="3">
        <v>0</v>
      </c>
      <c r="G1384" s="3">
        <v>-1.2064872506486301E-5</v>
      </c>
      <c r="H1384" s="3">
        <v>-1.2064872506486301E-5</v>
      </c>
      <c r="I1384" s="3">
        <v>-2.15120488069052E-3</v>
      </c>
      <c r="J1384" s="3">
        <v>1.0763190327450801E-4</v>
      </c>
      <c r="K1384" s="3">
        <v>-4.0229997282589102E-5</v>
      </c>
      <c r="L1384" s="3">
        <v>-2.5376715414335299E-4</v>
      </c>
      <c r="M1384" s="3">
        <v>-6.0439023242448597E-5</v>
      </c>
      <c r="N1384" s="3">
        <v>-3.4522998682145999E-6</v>
      </c>
      <c r="O1384" s="3">
        <v>-4.3972348318065099E-6</v>
      </c>
      <c r="P1384" s="3">
        <v>-4.8752325443879299E-6</v>
      </c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</row>
    <row r="1385" spans="1:35" x14ac:dyDescent="0.45">
      <c r="A1385" s="3" t="s">
        <v>92</v>
      </c>
      <c r="B1385" s="3" t="s">
        <v>29</v>
      </c>
      <c r="C1385" s="3" t="s">
        <v>16</v>
      </c>
      <c r="D1385" s="3" t="s">
        <v>13</v>
      </c>
      <c r="E1385" s="3" t="s">
        <v>8</v>
      </c>
      <c r="F1385" s="3">
        <v>0</v>
      </c>
      <c r="G1385" s="3">
        <v>1.83623194733341E-5</v>
      </c>
      <c r="H1385" s="3">
        <v>1.83623194733341E-5</v>
      </c>
      <c r="I1385" s="3">
        <v>-3.8787951098022102E-4</v>
      </c>
      <c r="J1385" s="3">
        <v>-7.3524455515243403E-4</v>
      </c>
      <c r="K1385" s="3">
        <v>-2.6713871849893802E-4</v>
      </c>
      <c r="L1385" s="3">
        <v>-1.3460357162344699E-5</v>
      </c>
      <c r="M1385" s="3">
        <v>-1.89031190950956E-6</v>
      </c>
      <c r="N1385" s="3">
        <v>-1.4277608127479001E-6</v>
      </c>
      <c r="O1385" s="3">
        <v>-4.8282597104806799E-7</v>
      </c>
      <c r="P1385" s="3">
        <v>-4.8282596983029202E-9</v>
      </c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</row>
    <row r="1386" spans="1:35" x14ac:dyDescent="0.45">
      <c r="A1386" s="3" t="s">
        <v>92</v>
      </c>
      <c r="B1386" s="3" t="s">
        <v>29</v>
      </c>
      <c r="C1386" s="3" t="s">
        <v>16</v>
      </c>
      <c r="D1386" s="3" t="s">
        <v>14</v>
      </c>
      <c r="E1386" s="3" t="s">
        <v>8</v>
      </c>
      <c r="F1386" s="3">
        <v>0</v>
      </c>
      <c r="G1386" s="3">
        <v>-2.12940599576089E-3</v>
      </c>
      <c r="H1386" s="3">
        <v>-2.12940599576089E-3</v>
      </c>
      <c r="I1386" s="3">
        <v>-8.4184177866988797E-4</v>
      </c>
      <c r="J1386" s="3">
        <v>-2.41111006571947E-5</v>
      </c>
      <c r="K1386" s="3">
        <v>-1.2256782833813799E-7</v>
      </c>
      <c r="L1386" s="3">
        <v>-1.22567829496933E-9</v>
      </c>
      <c r="M1386" s="3">
        <v>-1.2256768516794E-11</v>
      </c>
      <c r="N1386" s="3">
        <v>-1.22565152471665E-13</v>
      </c>
      <c r="O1386" s="3">
        <v>-1.2316536679435301E-15</v>
      </c>
      <c r="P1386" s="3">
        <v>0</v>
      </c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</row>
    <row r="1387" spans="1:35" x14ac:dyDescent="0.45">
      <c r="A1387" s="3" t="s">
        <v>92</v>
      </c>
      <c r="B1387" s="3" t="s">
        <v>29</v>
      </c>
      <c r="C1387" s="3" t="s">
        <v>17</v>
      </c>
      <c r="D1387" s="3" t="s">
        <v>7</v>
      </c>
      <c r="E1387" s="3" t="s">
        <v>8</v>
      </c>
      <c r="F1387" s="3">
        <v>4.2203494989628996E-3</v>
      </c>
      <c r="G1387" s="3">
        <v>9.6742581473427194E-3</v>
      </c>
      <c r="H1387" s="3">
        <v>9.6742581473427194E-3</v>
      </c>
      <c r="I1387" s="3">
        <v>1.28519574271014E-2</v>
      </c>
      <c r="J1387" s="3">
        <v>1.6991908199075201E-2</v>
      </c>
      <c r="K1387" s="3">
        <v>2.2534086478856401E-2</v>
      </c>
      <c r="L1387" s="3">
        <v>1.8138999696822401E-2</v>
      </c>
      <c r="M1387" s="3">
        <v>1.46974072409652E-2</v>
      </c>
      <c r="N1387" s="3">
        <v>1.18771630939452E-2</v>
      </c>
      <c r="O1387" s="3">
        <v>9.6603213901228294E-3</v>
      </c>
      <c r="P1387" s="3">
        <v>8.4077548134441297E-3</v>
      </c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</row>
    <row r="1388" spans="1:35" x14ac:dyDescent="0.45">
      <c r="A1388" s="3" t="s">
        <v>92</v>
      </c>
      <c r="B1388" s="3" t="s">
        <v>29</v>
      </c>
      <c r="C1388" s="3" t="s">
        <v>17</v>
      </c>
      <c r="D1388" s="3" t="s">
        <v>9</v>
      </c>
      <c r="E1388" s="3" t="s">
        <v>8</v>
      </c>
      <c r="F1388" s="3">
        <v>0</v>
      </c>
      <c r="G1388" s="3">
        <v>3.0123888701836398E-4</v>
      </c>
      <c r="H1388" s="3">
        <v>3.0123888701836398E-4</v>
      </c>
      <c r="I1388" s="3">
        <v>9.6429725118396203E-5</v>
      </c>
      <c r="J1388" s="3">
        <v>1.7160408370256301E-3</v>
      </c>
      <c r="K1388" s="3">
        <v>2.3536236049056E-3</v>
      </c>
      <c r="L1388" s="3">
        <v>3.2493384616983402E-3</v>
      </c>
      <c r="M1388" s="3">
        <v>3.9608553186090698E-3</v>
      </c>
      <c r="N1388" s="3">
        <v>1.1955747008786301E-2</v>
      </c>
      <c r="O1388" s="3">
        <v>1.3314778905984001E-2</v>
      </c>
      <c r="P1388" s="3">
        <v>1.4008637965282299E-2</v>
      </c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</row>
    <row r="1389" spans="1:35" x14ac:dyDescent="0.45">
      <c r="A1389" s="3" t="s">
        <v>92</v>
      </c>
      <c r="B1389" s="3" t="s">
        <v>29</v>
      </c>
      <c r="C1389" s="3" t="s">
        <v>17</v>
      </c>
      <c r="D1389" s="3" t="s">
        <v>10</v>
      </c>
      <c r="E1389" s="3" t="s">
        <v>8</v>
      </c>
      <c r="F1389" s="3">
        <v>0</v>
      </c>
      <c r="G1389" s="3">
        <v>8.7106990060190098E-5</v>
      </c>
      <c r="H1389" s="3">
        <v>8.7106990060190098E-5</v>
      </c>
      <c r="I1389" s="3">
        <v>7.6219401610295805E-4</v>
      </c>
      <c r="J1389" s="3">
        <v>5.9548814661312597E-4</v>
      </c>
      <c r="K1389" s="3">
        <v>1.46821541990792E-3</v>
      </c>
      <c r="L1389" s="3">
        <v>9.3186074997539201E-3</v>
      </c>
      <c r="M1389" s="3">
        <v>9.9639992577599795E-3</v>
      </c>
      <c r="N1389" s="3">
        <v>9.4885787381538203E-3</v>
      </c>
      <c r="O1389" s="3">
        <v>9.7620548899004806E-3</v>
      </c>
      <c r="P1389" s="3">
        <v>2.45613585538332E-2</v>
      </c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</row>
    <row r="1390" spans="1:35" x14ac:dyDescent="0.45">
      <c r="A1390" s="3" t="s">
        <v>92</v>
      </c>
      <c r="B1390" s="3" t="s">
        <v>29</v>
      </c>
      <c r="C1390" s="3" t="s">
        <v>17</v>
      </c>
      <c r="D1390" s="3" t="s">
        <v>11</v>
      </c>
      <c r="E1390" s="3" t="s">
        <v>8</v>
      </c>
      <c r="F1390" s="3">
        <v>0</v>
      </c>
      <c r="G1390" s="3">
        <v>8.2770672215782396E-5</v>
      </c>
      <c r="H1390" s="3">
        <v>8.2770672215782396E-5</v>
      </c>
      <c r="I1390" s="3">
        <v>4.9160471033001495E-4</v>
      </c>
      <c r="J1390" s="3">
        <v>8.5523978772162699E-3</v>
      </c>
      <c r="K1390" s="3">
        <v>1.09573020023849E-2</v>
      </c>
      <c r="L1390" s="3">
        <v>8.4517463386210596E-3</v>
      </c>
      <c r="M1390" s="3">
        <v>1.90404415525669E-2</v>
      </c>
      <c r="N1390" s="3">
        <v>1.5469827700279401E-2</v>
      </c>
      <c r="O1390" s="3">
        <v>1.6371475276670801E-2</v>
      </c>
      <c r="P1390" s="3">
        <v>2.7233762209800498E-3</v>
      </c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</row>
    <row r="1391" spans="1:35" x14ac:dyDescent="0.45">
      <c r="A1391" s="3" t="s">
        <v>92</v>
      </c>
      <c r="B1391" s="3" t="s">
        <v>29</v>
      </c>
      <c r="C1391" s="3" t="s">
        <v>17</v>
      </c>
      <c r="D1391" s="3" t="s">
        <v>12</v>
      </c>
      <c r="E1391" s="3" t="s">
        <v>8</v>
      </c>
      <c r="F1391" s="3">
        <v>0</v>
      </c>
      <c r="G1391" s="3">
        <v>1.26242042941996E-4</v>
      </c>
      <c r="H1391" s="3">
        <v>1.26242042941996E-4</v>
      </c>
      <c r="I1391" s="3">
        <v>7.7740833885790901E-3</v>
      </c>
      <c r="J1391" s="3">
        <v>6.5086276674319304E-3</v>
      </c>
      <c r="K1391" s="3">
        <v>8.9118486244380794E-3</v>
      </c>
      <c r="L1391" s="3">
        <v>9.4463131271157706E-3</v>
      </c>
      <c r="M1391" s="3">
        <v>2.9200698369771299E-3</v>
      </c>
      <c r="N1391" s="3">
        <v>3.6484063097135199E-3</v>
      </c>
      <c r="O1391" s="3">
        <v>4.3700878679673498E-3</v>
      </c>
      <c r="P1391" s="3">
        <v>4.1688129067965502E-3</v>
      </c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</row>
    <row r="1392" spans="1:35" x14ac:dyDescent="0.45">
      <c r="A1392" s="3" t="s">
        <v>92</v>
      </c>
      <c r="B1392" s="3" t="s">
        <v>29</v>
      </c>
      <c r="C1392" s="3" t="s">
        <v>17</v>
      </c>
      <c r="D1392" s="3" t="s">
        <v>13</v>
      </c>
      <c r="E1392" s="3" t="s">
        <v>8</v>
      </c>
      <c r="F1392" s="3">
        <v>0</v>
      </c>
      <c r="G1392" s="3">
        <v>1.4946007226192899E-3</v>
      </c>
      <c r="H1392" s="3">
        <v>1.4946007226192899E-3</v>
      </c>
      <c r="I1392" s="3">
        <v>2.0504999636963801E-2</v>
      </c>
      <c r="J1392" s="3">
        <v>1.6193846017501401E-2</v>
      </c>
      <c r="K1392" s="3">
        <v>7.2469746731940003E-3</v>
      </c>
      <c r="L1392" s="3">
        <v>5.5130066475031596E-3</v>
      </c>
      <c r="M1392" s="3">
        <v>3.7022763779940701E-3</v>
      </c>
      <c r="N1392" s="3">
        <v>1.84691434489311E-3</v>
      </c>
      <c r="O1392" s="3">
        <v>8.0828071165590899E-4</v>
      </c>
      <c r="P1392" s="3">
        <v>4.1709528964038002E-4</v>
      </c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</row>
    <row r="1393" spans="1:35" x14ac:dyDescent="0.45">
      <c r="A1393" s="3" t="s">
        <v>92</v>
      </c>
      <c r="B1393" s="3" t="s">
        <v>29</v>
      </c>
      <c r="C1393" s="3" t="s">
        <v>17</v>
      </c>
      <c r="D1393" s="3" t="s">
        <v>14</v>
      </c>
      <c r="E1393" s="3" t="s">
        <v>8</v>
      </c>
      <c r="F1393" s="3">
        <v>0</v>
      </c>
      <c r="G1393" s="3">
        <v>7.1482287614371299E-3</v>
      </c>
      <c r="H1393" s="3">
        <v>7.1482287614371299E-3</v>
      </c>
      <c r="I1393" s="3">
        <v>1.012494996142E-2</v>
      </c>
      <c r="J1393" s="3">
        <v>3.64575080067737E-3</v>
      </c>
      <c r="K1393" s="3">
        <v>8.1427195921765505E-4</v>
      </c>
      <c r="L1393" s="3">
        <v>1.6902220650442899E-4</v>
      </c>
      <c r="M1393" s="3">
        <v>2.0121620733573602E-6</v>
      </c>
      <c r="N1393" s="3">
        <v>4.2456889078057399E-7</v>
      </c>
      <c r="O1393" s="3">
        <v>6.2722537649828602E-8</v>
      </c>
      <c r="P1393" s="3">
        <v>2.601486426973E-8</v>
      </c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</row>
    <row r="1394" spans="1:35" x14ac:dyDescent="0.45">
      <c r="A1394" s="3" t="s">
        <v>92</v>
      </c>
      <c r="B1394" s="3" t="s">
        <v>29</v>
      </c>
      <c r="C1394" s="3" t="s">
        <v>18</v>
      </c>
      <c r="D1394" s="3" t="s">
        <v>7</v>
      </c>
      <c r="E1394" s="3" t="s">
        <v>8</v>
      </c>
      <c r="F1394" s="3">
        <v>4.3101586203051698E-2</v>
      </c>
      <c r="G1394" s="3">
        <v>3.2214301064329098E-2</v>
      </c>
      <c r="H1394" s="3">
        <v>3.2214301064329098E-2</v>
      </c>
      <c r="I1394" s="3">
        <v>2.1476200709552699E-2</v>
      </c>
      <c r="J1394" s="3">
        <v>1.07381003547764E-2</v>
      </c>
      <c r="K1394" s="3">
        <v>0</v>
      </c>
      <c r="L1394" s="3">
        <v>2.49066460002544E-17</v>
      </c>
      <c r="M1394" s="3">
        <v>0</v>
      </c>
      <c r="N1394" s="3">
        <v>4.1511076667090803E-18</v>
      </c>
      <c r="O1394" s="3">
        <v>0</v>
      </c>
      <c r="P1394" s="3">
        <v>1.66044306668363E-17</v>
      </c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</row>
    <row r="1395" spans="1:35" x14ac:dyDescent="0.45">
      <c r="A1395" s="3" t="s">
        <v>92</v>
      </c>
      <c r="B1395" s="3" t="s">
        <v>29</v>
      </c>
      <c r="C1395" s="3" t="s">
        <v>18</v>
      </c>
      <c r="D1395" s="3" t="s">
        <v>9</v>
      </c>
      <c r="E1395" s="3" t="s">
        <v>8</v>
      </c>
      <c r="F1395" s="3">
        <v>0</v>
      </c>
      <c r="G1395" s="3">
        <v>0</v>
      </c>
      <c r="H1395" s="3">
        <v>0</v>
      </c>
      <c r="I1395" s="3">
        <v>0</v>
      </c>
      <c r="J1395" s="3">
        <v>-3.64291929955129E-17</v>
      </c>
      <c r="K1395" s="3">
        <v>0</v>
      </c>
      <c r="L1395" s="3">
        <v>-8.3022153334181098E-18</v>
      </c>
      <c r="M1395" s="3">
        <v>4.1511076667090803E-18</v>
      </c>
      <c r="N1395" s="3">
        <v>-4.1511076667090803E-18</v>
      </c>
      <c r="O1395" s="3">
        <v>4.1511076667090803E-18</v>
      </c>
      <c r="P1395" s="3">
        <v>-1.66044306668363E-17</v>
      </c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</row>
    <row r="1396" spans="1:35" x14ac:dyDescent="0.45">
      <c r="A1396" s="3" t="s">
        <v>92</v>
      </c>
      <c r="B1396" s="3" t="s">
        <v>29</v>
      </c>
      <c r="C1396" s="3" t="s">
        <v>18</v>
      </c>
      <c r="D1396" s="3" t="s">
        <v>10</v>
      </c>
      <c r="E1396" s="3" t="s">
        <v>8</v>
      </c>
      <c r="F1396" s="3">
        <v>0</v>
      </c>
      <c r="G1396" s="3">
        <v>0</v>
      </c>
      <c r="H1396" s="3">
        <v>0</v>
      </c>
      <c r="I1396" s="3">
        <v>0</v>
      </c>
      <c r="J1396" s="3">
        <v>3.64291929955129E-17</v>
      </c>
      <c r="K1396" s="3">
        <v>2.49066460002544E-17</v>
      </c>
      <c r="L1396" s="3">
        <v>-1.66044306668363E-17</v>
      </c>
      <c r="M1396" s="3">
        <v>-4.1511076667090803E-18</v>
      </c>
      <c r="N1396" s="3">
        <v>0</v>
      </c>
      <c r="O1396" s="3">
        <v>-4.1511076667090803E-18</v>
      </c>
      <c r="P1396" s="3">
        <v>0</v>
      </c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</row>
    <row r="1397" spans="1:35" x14ac:dyDescent="0.45">
      <c r="A1397" s="3" t="s">
        <v>92</v>
      </c>
      <c r="B1397" s="3" t="s">
        <v>29</v>
      </c>
      <c r="C1397" s="3" t="s">
        <v>18</v>
      </c>
      <c r="D1397" s="3" t="s">
        <v>11</v>
      </c>
      <c r="E1397" s="3" t="s">
        <v>8</v>
      </c>
      <c r="F1397" s="3">
        <v>0</v>
      </c>
      <c r="G1397" s="3">
        <v>3.4694469519536099E-17</v>
      </c>
      <c r="H1397" s="3">
        <v>3.4694469519536099E-17</v>
      </c>
      <c r="I1397" s="3">
        <v>0</v>
      </c>
      <c r="J1397" s="3">
        <v>0</v>
      </c>
      <c r="K1397" s="3">
        <v>-8.3022153334181098E-18</v>
      </c>
      <c r="L1397" s="3">
        <v>8.3022153334181098E-18</v>
      </c>
      <c r="M1397" s="3">
        <v>2.0755538333545299E-17</v>
      </c>
      <c r="N1397" s="3">
        <v>4.1511076667090803E-18</v>
      </c>
      <c r="O1397" s="3">
        <v>2.49066460002544E-17</v>
      </c>
      <c r="P1397" s="3">
        <v>0</v>
      </c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</row>
    <row r="1398" spans="1:35" x14ac:dyDescent="0.45">
      <c r="A1398" s="3" t="s">
        <v>92</v>
      </c>
      <c r="B1398" s="3" t="s">
        <v>29</v>
      </c>
      <c r="C1398" s="3" t="s">
        <v>18</v>
      </c>
      <c r="D1398" s="3" t="s">
        <v>12</v>
      </c>
      <c r="E1398" s="3" t="s">
        <v>8</v>
      </c>
      <c r="F1398" s="3">
        <v>0</v>
      </c>
      <c r="G1398" s="3">
        <v>0</v>
      </c>
      <c r="H1398" s="3">
        <v>0</v>
      </c>
      <c r="I1398" s="3">
        <v>3.8163916471489799E-17</v>
      </c>
      <c r="J1398" s="3">
        <v>3.8163916471489799E-17</v>
      </c>
      <c r="K1398" s="3">
        <v>-1.66044306668363E-17</v>
      </c>
      <c r="L1398" s="3">
        <v>-8.3022153334181098E-18</v>
      </c>
      <c r="M1398" s="3">
        <v>1.66044306668363E-17</v>
      </c>
      <c r="N1398" s="3">
        <v>1.6604430666836201E-17</v>
      </c>
      <c r="O1398" s="3">
        <v>1.24533230001272E-17</v>
      </c>
      <c r="P1398" s="3">
        <v>0</v>
      </c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</row>
    <row r="1399" spans="1:35" x14ac:dyDescent="0.45">
      <c r="A1399" s="3" t="s">
        <v>92</v>
      </c>
      <c r="B1399" s="3" t="s">
        <v>29</v>
      </c>
      <c r="C1399" s="3" t="s">
        <v>18</v>
      </c>
      <c r="D1399" s="3" t="s">
        <v>13</v>
      </c>
      <c r="E1399" s="3" t="s">
        <v>8</v>
      </c>
      <c r="F1399" s="3">
        <v>0</v>
      </c>
      <c r="G1399" s="3">
        <v>0</v>
      </c>
      <c r="H1399" s="3">
        <v>0</v>
      </c>
      <c r="I1399" s="3">
        <v>-3.8163916471489799E-17</v>
      </c>
      <c r="J1399" s="3">
        <v>3.64291929955129E-17</v>
      </c>
      <c r="K1399" s="3">
        <v>8.3022153334181098E-18</v>
      </c>
      <c r="L1399" s="3">
        <v>1.66044306668363E-17</v>
      </c>
      <c r="M1399" s="3">
        <v>-8.3022153334181206E-18</v>
      </c>
      <c r="N1399" s="3">
        <v>-4.1511076667090403E-18</v>
      </c>
      <c r="O1399" s="3">
        <v>-2.9057753666963498E-17</v>
      </c>
      <c r="P1399" s="3">
        <v>2.49066460002544E-17</v>
      </c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</row>
    <row r="1400" spans="1:35" x14ac:dyDescent="0.45">
      <c r="A1400" s="3" t="s">
        <v>92</v>
      </c>
      <c r="B1400" s="3" t="s">
        <v>29</v>
      </c>
      <c r="C1400" s="3" t="s">
        <v>18</v>
      </c>
      <c r="D1400" s="3" t="s">
        <v>14</v>
      </c>
      <c r="E1400" s="3" t="s">
        <v>8</v>
      </c>
      <c r="F1400" s="3">
        <v>0</v>
      </c>
      <c r="G1400" s="3">
        <v>0</v>
      </c>
      <c r="H1400" s="3">
        <v>0</v>
      </c>
      <c r="I1400" s="3">
        <v>0</v>
      </c>
      <c r="J1400" s="3">
        <v>-7.4593109467002705E-17</v>
      </c>
      <c r="K1400" s="3">
        <v>-8.3022153334181098E-18</v>
      </c>
      <c r="L1400" s="3">
        <v>2.4906646000254499E-17</v>
      </c>
      <c r="M1400" s="3">
        <v>2.0755538333545401E-17</v>
      </c>
      <c r="N1400" s="3">
        <v>-1.66044306668363E-17</v>
      </c>
      <c r="O1400" s="3">
        <v>-8.3022153334181098E-18</v>
      </c>
      <c r="P1400" s="3">
        <v>4.1511076667090598E-17</v>
      </c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</row>
    <row r="1401" spans="1:35" x14ac:dyDescent="0.45">
      <c r="A1401" s="3" t="s">
        <v>92</v>
      </c>
      <c r="B1401" s="3" t="s">
        <v>29</v>
      </c>
      <c r="C1401" s="3" t="s">
        <v>19</v>
      </c>
      <c r="D1401" s="3" t="s">
        <v>7</v>
      </c>
      <c r="E1401" s="3" t="s">
        <v>8</v>
      </c>
      <c r="F1401" s="3">
        <v>1.5548069944860501E-3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8.3222607815563394E-5</v>
      </c>
      <c r="O1401" s="3">
        <v>0</v>
      </c>
      <c r="P1401" s="3">
        <v>2.60199347047136E-4</v>
      </c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</row>
    <row r="1402" spans="1:35" x14ac:dyDescent="0.45">
      <c r="A1402" s="3" t="s">
        <v>92</v>
      </c>
      <c r="B1402" s="3" t="s">
        <v>29</v>
      </c>
      <c r="C1402" s="3" t="s">
        <v>19</v>
      </c>
      <c r="D1402" s="3" t="s">
        <v>9</v>
      </c>
      <c r="E1402" s="3" t="s">
        <v>8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4.8911425496294596E-4</v>
      </c>
      <c r="O1402" s="3">
        <v>5.8877012088133496E-4</v>
      </c>
      <c r="P1402" s="3">
        <v>3.2048000614264102E-4</v>
      </c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</row>
    <row r="1403" spans="1:35" x14ac:dyDescent="0.45">
      <c r="A1403" s="3" t="s">
        <v>92</v>
      </c>
      <c r="B1403" s="3" t="s">
        <v>29</v>
      </c>
      <c r="C1403" s="3" t="s">
        <v>19</v>
      </c>
      <c r="D1403" s="3" t="s">
        <v>10</v>
      </c>
      <c r="E1403" s="3" t="s">
        <v>8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2.83432835440066E-4</v>
      </c>
      <c r="M1403" s="3">
        <v>4.7873912089573E-4</v>
      </c>
      <c r="N1403" s="3">
        <v>3.25603339573024E-3</v>
      </c>
      <c r="O1403" s="3">
        <v>4.4148771440350298E-3</v>
      </c>
      <c r="P1403" s="3">
        <v>5.8276106090324499E-3</v>
      </c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</row>
    <row r="1404" spans="1:35" x14ac:dyDescent="0.45">
      <c r="A1404" s="3" t="s">
        <v>92</v>
      </c>
      <c r="B1404" s="3" t="s">
        <v>29</v>
      </c>
      <c r="C1404" s="3" t="s">
        <v>19</v>
      </c>
      <c r="D1404" s="3" t="s">
        <v>11</v>
      </c>
      <c r="E1404" s="3" t="s">
        <v>8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3.8689926018039699E-3</v>
      </c>
      <c r="M1404" s="3">
        <v>6.8490708430914999E-3</v>
      </c>
      <c r="N1404" s="3">
        <v>7.5692637401730501E-3</v>
      </c>
      <c r="O1404" s="3">
        <v>7.9407652655757392E-3</v>
      </c>
      <c r="P1404" s="3">
        <v>7.6533623759733899E-3</v>
      </c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</row>
    <row r="1405" spans="1:35" x14ac:dyDescent="0.45">
      <c r="A1405" s="3" t="s">
        <v>92</v>
      </c>
      <c r="B1405" s="3" t="s">
        <v>29</v>
      </c>
      <c r="C1405" s="3" t="s">
        <v>19</v>
      </c>
      <c r="D1405" s="3" t="s">
        <v>12</v>
      </c>
      <c r="E1405" s="3" t="s">
        <v>8</v>
      </c>
      <c r="F1405" s="3">
        <v>0</v>
      </c>
      <c r="G1405" s="3">
        <v>0</v>
      </c>
      <c r="H1405" s="3">
        <v>0</v>
      </c>
      <c r="I1405" s="3">
        <v>0</v>
      </c>
      <c r="J1405" s="3">
        <v>3.2446928916397399E-3</v>
      </c>
      <c r="K1405" s="3">
        <v>5.58710160878295E-3</v>
      </c>
      <c r="L1405" s="3">
        <v>9.5435444148575001E-3</v>
      </c>
      <c r="M1405" s="3">
        <v>8.5474997978249208E-3</v>
      </c>
      <c r="N1405" s="3">
        <v>8.4429265534272102E-3</v>
      </c>
      <c r="O1405" s="3">
        <v>8.8329109967501696E-3</v>
      </c>
      <c r="P1405" s="3">
        <v>8.3355345967300702E-3</v>
      </c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</row>
    <row r="1406" spans="1:35" x14ac:dyDescent="0.45">
      <c r="A1406" s="3" t="s">
        <v>92</v>
      </c>
      <c r="B1406" s="3" t="s">
        <v>29</v>
      </c>
      <c r="C1406" s="3" t="s">
        <v>19</v>
      </c>
      <c r="D1406" s="3" t="s">
        <v>13</v>
      </c>
      <c r="E1406" s="3" t="s">
        <v>8</v>
      </c>
      <c r="F1406" s="3">
        <v>0</v>
      </c>
      <c r="G1406" s="3">
        <v>0</v>
      </c>
      <c r="H1406" s="3">
        <v>0</v>
      </c>
      <c r="I1406" s="3">
        <v>7.45074246373082E-3</v>
      </c>
      <c r="J1406" s="3">
        <v>2.8248810166127101E-2</v>
      </c>
      <c r="K1406" s="3">
        <v>2.9414635975714899E-2</v>
      </c>
      <c r="L1406" s="3">
        <v>1.9314692688467999E-2</v>
      </c>
      <c r="M1406" s="3">
        <v>1.2557046749839301E-2</v>
      </c>
      <c r="N1406" s="3">
        <v>4.7286296110485701E-3</v>
      </c>
      <c r="O1406" s="3">
        <v>2.23530632340247E-3</v>
      </c>
      <c r="P1406" s="3">
        <v>1.0121568397209401E-3</v>
      </c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</row>
    <row r="1407" spans="1:35" x14ac:dyDescent="0.45">
      <c r="A1407" s="3" t="s">
        <v>92</v>
      </c>
      <c r="B1407" s="3" t="s">
        <v>29</v>
      </c>
      <c r="C1407" s="3" t="s">
        <v>19</v>
      </c>
      <c r="D1407" s="3" t="s">
        <v>14</v>
      </c>
      <c r="E1407" s="3" t="s">
        <v>8</v>
      </c>
      <c r="F1407" s="3">
        <v>0</v>
      </c>
      <c r="G1407" s="3">
        <v>3.10624688066162E-3</v>
      </c>
      <c r="H1407" s="3">
        <v>3.10624688066162E-3</v>
      </c>
      <c r="I1407" s="3">
        <v>4.5981661020507603E-2</v>
      </c>
      <c r="J1407" s="3">
        <v>2.0879485097922298E-2</v>
      </c>
      <c r="K1407" s="3">
        <v>1.2125216143948001E-2</v>
      </c>
      <c r="L1407" s="3">
        <v>1.1667804170612001E-2</v>
      </c>
      <c r="M1407" s="3">
        <v>1.30555349759116E-2</v>
      </c>
      <c r="N1407" s="3">
        <v>1.24494397233205E-2</v>
      </c>
      <c r="O1407" s="3">
        <v>1.02785746272004E-2</v>
      </c>
      <c r="P1407" s="3">
        <v>1.04625254099973E-2</v>
      </c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</row>
    <row r="1408" spans="1:35" x14ac:dyDescent="0.45">
      <c r="A1408" s="3" t="s">
        <v>93</v>
      </c>
      <c r="B1408" s="3" t="s">
        <v>27</v>
      </c>
      <c r="C1408" s="3" t="s">
        <v>6</v>
      </c>
      <c r="D1408" s="3" t="s">
        <v>7</v>
      </c>
      <c r="E1408" s="3" t="s">
        <v>8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</row>
    <row r="1409" spans="1:35" x14ac:dyDescent="0.45">
      <c r="A1409" s="3" t="s">
        <v>93</v>
      </c>
      <c r="B1409" s="3" t="s">
        <v>27</v>
      </c>
      <c r="C1409" s="3" t="s">
        <v>6</v>
      </c>
      <c r="D1409" s="3" t="s">
        <v>9</v>
      </c>
      <c r="E1409" s="3" t="s">
        <v>8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2.82003241712728E-2</v>
      </c>
      <c r="P1409" s="3">
        <v>0.15401891270038401</v>
      </c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</row>
    <row r="1410" spans="1:35" x14ac:dyDescent="0.45">
      <c r="A1410" s="3" t="s">
        <v>93</v>
      </c>
      <c r="B1410" s="3" t="s">
        <v>27</v>
      </c>
      <c r="C1410" s="3" t="s">
        <v>6</v>
      </c>
      <c r="D1410" s="3" t="s">
        <v>10</v>
      </c>
      <c r="E1410" s="3" t="s">
        <v>8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1.6676105981084301E-2</v>
      </c>
      <c r="M1410" s="3">
        <v>0.18281171523679199</v>
      </c>
      <c r="N1410" s="3">
        <v>0.41690799491703401</v>
      </c>
      <c r="O1410" s="3">
        <v>0.58829121131989603</v>
      </c>
      <c r="P1410" s="3">
        <v>0.59489746663295595</v>
      </c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</row>
    <row r="1411" spans="1:35" x14ac:dyDescent="0.45">
      <c r="A1411" s="3" t="s">
        <v>93</v>
      </c>
      <c r="B1411" s="3" t="s">
        <v>27</v>
      </c>
      <c r="C1411" s="3" t="s">
        <v>6</v>
      </c>
      <c r="D1411" s="3" t="s">
        <v>11</v>
      </c>
      <c r="E1411" s="3" t="s">
        <v>8</v>
      </c>
      <c r="F1411" s="3">
        <v>0</v>
      </c>
      <c r="G1411" s="3">
        <v>0</v>
      </c>
      <c r="H1411" s="3">
        <v>0</v>
      </c>
      <c r="I1411" s="3">
        <v>0</v>
      </c>
      <c r="J1411" s="3">
        <v>0</v>
      </c>
      <c r="K1411" s="3">
        <v>0.18021105001454299</v>
      </c>
      <c r="L1411" s="3">
        <v>0.43951105403075302</v>
      </c>
      <c r="M1411" s="3">
        <v>0.52377809969707601</v>
      </c>
      <c r="N1411" s="3">
        <v>1.09919698212143</v>
      </c>
      <c r="O1411" s="3">
        <v>2.0841285435653099</v>
      </c>
      <c r="P1411" s="3">
        <v>3.4549168064495799</v>
      </c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</row>
    <row r="1412" spans="1:35" x14ac:dyDescent="0.45">
      <c r="A1412" s="3" t="s">
        <v>93</v>
      </c>
      <c r="B1412" s="3" t="s">
        <v>27</v>
      </c>
      <c r="C1412" s="3" t="s">
        <v>6</v>
      </c>
      <c r="D1412" s="3" t="s">
        <v>12</v>
      </c>
      <c r="E1412" s="3" t="s">
        <v>8</v>
      </c>
      <c r="F1412" s="3">
        <v>0</v>
      </c>
      <c r="G1412" s="3">
        <v>0</v>
      </c>
      <c r="H1412" s="3">
        <v>0</v>
      </c>
      <c r="I1412" s="3">
        <v>0</v>
      </c>
      <c r="J1412" s="3">
        <v>0.23228191317994801</v>
      </c>
      <c r="K1412" s="3">
        <v>0.44560554858468898</v>
      </c>
      <c r="L1412" s="3">
        <v>1.46122133974976</v>
      </c>
      <c r="M1412" s="3">
        <v>2.91331679395641</v>
      </c>
      <c r="N1412" s="3">
        <v>3.83148690567036</v>
      </c>
      <c r="O1412" s="3">
        <v>4.2327606422433099</v>
      </c>
      <c r="P1412" s="3">
        <v>4.1939411993534303</v>
      </c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</row>
    <row r="1413" spans="1:35" x14ac:dyDescent="0.45">
      <c r="A1413" s="3" t="s">
        <v>93</v>
      </c>
      <c r="B1413" s="3" t="s">
        <v>27</v>
      </c>
      <c r="C1413" s="3" t="s">
        <v>6</v>
      </c>
      <c r="D1413" s="3" t="s">
        <v>13</v>
      </c>
      <c r="E1413" s="3" t="s">
        <v>8</v>
      </c>
      <c r="F1413" s="3">
        <v>0</v>
      </c>
      <c r="G1413" s="3">
        <v>0</v>
      </c>
      <c r="H1413" s="3">
        <v>0</v>
      </c>
      <c r="I1413" s="3">
        <v>0.38934916044673301</v>
      </c>
      <c r="J1413" s="3">
        <v>2.32929998621514</v>
      </c>
      <c r="K1413" s="3">
        <v>4.1567226954370904</v>
      </c>
      <c r="L1413" s="3">
        <v>4.66407539994161</v>
      </c>
      <c r="M1413" s="3">
        <v>4.5359285090777597</v>
      </c>
      <c r="N1413" s="3">
        <v>4.2529686896165204</v>
      </c>
      <c r="O1413" s="3">
        <v>4.00910776863123</v>
      </c>
      <c r="P1413" s="3">
        <v>3.68294695489586</v>
      </c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</row>
    <row r="1414" spans="1:35" x14ac:dyDescent="0.45">
      <c r="A1414" s="3" t="s">
        <v>93</v>
      </c>
      <c r="B1414" s="3" t="s">
        <v>27</v>
      </c>
      <c r="C1414" s="3" t="s">
        <v>6</v>
      </c>
      <c r="D1414" s="3" t="s">
        <v>14</v>
      </c>
      <c r="E1414" s="3" t="s">
        <v>8</v>
      </c>
      <c r="F1414" s="3">
        <v>0</v>
      </c>
      <c r="G1414" s="3">
        <v>0.19929925338547</v>
      </c>
      <c r="H1414" s="3">
        <v>0.19929925338547</v>
      </c>
      <c r="I1414" s="3">
        <v>2.41331040679021</v>
      </c>
      <c r="J1414" s="3">
        <v>2.4611951283320601</v>
      </c>
      <c r="K1414" s="3">
        <v>2.05405313609841</v>
      </c>
      <c r="L1414" s="3">
        <v>1.88841574271013</v>
      </c>
      <c r="M1414" s="3">
        <v>1.95783236028064</v>
      </c>
      <c r="N1414" s="3">
        <v>1.95666048494393</v>
      </c>
      <c r="O1414" s="3">
        <v>1.77282409761176</v>
      </c>
      <c r="P1414" s="3">
        <v>1.5549361846058001</v>
      </c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</row>
    <row r="1415" spans="1:35" x14ac:dyDescent="0.45">
      <c r="A1415" s="3" t="s">
        <v>93</v>
      </c>
      <c r="B1415" s="3" t="s">
        <v>27</v>
      </c>
      <c r="C1415" s="3" t="s">
        <v>15</v>
      </c>
      <c r="D1415" s="3" t="s">
        <v>7</v>
      </c>
      <c r="E1415" s="3" t="s">
        <v>8</v>
      </c>
      <c r="F1415" s="3">
        <v>1.1585253600944201</v>
      </c>
      <c r="G1415" s="3">
        <v>1.3250456636758501</v>
      </c>
      <c r="H1415" s="3">
        <v>1.3250456636758501</v>
      </c>
      <c r="I1415" s="3">
        <v>1.47001909604876</v>
      </c>
      <c r="J1415" s="3">
        <v>1.64185445163808</v>
      </c>
      <c r="K1415" s="3">
        <v>1.7946176186099601</v>
      </c>
      <c r="L1415" s="3">
        <v>1.90999718921452</v>
      </c>
      <c r="M1415" s="3">
        <v>1.9521158339334199</v>
      </c>
      <c r="N1415" s="3">
        <v>1.9916423029017301</v>
      </c>
      <c r="O1415" s="3">
        <v>2.0298801053640099</v>
      </c>
      <c r="P1415" s="3">
        <v>2.0015820425856998</v>
      </c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</row>
    <row r="1416" spans="1:35" x14ac:dyDescent="0.45">
      <c r="A1416" s="3" t="s">
        <v>93</v>
      </c>
      <c r="B1416" s="3" t="s">
        <v>27</v>
      </c>
      <c r="C1416" s="3" t="s">
        <v>15</v>
      </c>
      <c r="D1416" s="3" t="s">
        <v>9</v>
      </c>
      <c r="E1416" s="3" t="s">
        <v>8</v>
      </c>
      <c r="F1416" s="3">
        <v>0</v>
      </c>
      <c r="G1416" s="3">
        <v>3.7175347167628398E-3</v>
      </c>
      <c r="H1416" s="3">
        <v>3.7175347167628398E-3</v>
      </c>
      <c r="I1416" s="3">
        <v>-2.1826776157181098E-3</v>
      </c>
      <c r="J1416" s="3">
        <v>-2.14222303767975E-2</v>
      </c>
      <c r="K1416" s="3">
        <v>-3.5012855148410802E-3</v>
      </c>
      <c r="L1416" s="3">
        <v>2.5508400080019401E-2</v>
      </c>
      <c r="M1416" s="3">
        <v>0.109568070349817</v>
      </c>
      <c r="N1416" s="3">
        <v>0.209977421052124</v>
      </c>
      <c r="O1416" s="3">
        <v>0.277694178511667</v>
      </c>
      <c r="P1416" s="3">
        <v>0.361427376706491</v>
      </c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</row>
    <row r="1417" spans="1:35" x14ac:dyDescent="0.45">
      <c r="A1417" s="3" t="s">
        <v>93</v>
      </c>
      <c r="B1417" s="3" t="s">
        <v>27</v>
      </c>
      <c r="C1417" s="3" t="s">
        <v>15</v>
      </c>
      <c r="D1417" s="3" t="s">
        <v>10</v>
      </c>
      <c r="E1417" s="3" t="s">
        <v>8</v>
      </c>
      <c r="F1417" s="3">
        <v>0</v>
      </c>
      <c r="G1417" s="3">
        <v>-1.1839797817893899E-2</v>
      </c>
      <c r="H1417" s="3">
        <v>-1.1839797817893899E-2</v>
      </c>
      <c r="I1417" s="3">
        <v>-1.6039790403092899E-3</v>
      </c>
      <c r="J1417" s="3">
        <v>2.6843534080694498E-2</v>
      </c>
      <c r="K1417" s="3">
        <v>7.4920391266357599E-3</v>
      </c>
      <c r="L1417" s="3">
        <v>1.8294278170591901E-3</v>
      </c>
      <c r="M1417" s="3">
        <v>3.2986474754152603E-2</v>
      </c>
      <c r="N1417" s="3">
        <v>4.5407354300260203E-2</v>
      </c>
      <c r="O1417" s="3">
        <v>4.7143573799063102E-2</v>
      </c>
      <c r="P1417" s="3">
        <v>9.2817693619109007E-2</v>
      </c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</row>
    <row r="1418" spans="1:35" x14ac:dyDescent="0.45">
      <c r="A1418" s="3" t="s">
        <v>93</v>
      </c>
      <c r="B1418" s="3" t="s">
        <v>27</v>
      </c>
      <c r="C1418" s="3" t="s">
        <v>15</v>
      </c>
      <c r="D1418" s="3" t="s">
        <v>11</v>
      </c>
      <c r="E1418" s="3" t="s">
        <v>8</v>
      </c>
      <c r="F1418" s="3">
        <v>0</v>
      </c>
      <c r="G1418" s="3">
        <v>-2.4915804277421101E-3</v>
      </c>
      <c r="H1418" s="3">
        <v>-2.4915804277421101E-3</v>
      </c>
      <c r="I1418" s="3">
        <v>2.46838262133207E-2</v>
      </c>
      <c r="J1418" s="3">
        <v>-1.13152700713555E-2</v>
      </c>
      <c r="K1418" s="3">
        <v>-8.8410665916385193E-3</v>
      </c>
      <c r="L1418" s="3">
        <v>-1.48970759171854E-2</v>
      </c>
      <c r="M1418" s="3">
        <v>3.43373701875542E-2</v>
      </c>
      <c r="N1418" s="3">
        <v>8.2770991699098906E-2</v>
      </c>
      <c r="O1418" s="3">
        <v>0.15240013265098701</v>
      </c>
      <c r="P1418" s="3">
        <v>0.172440314583759</v>
      </c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</row>
    <row r="1419" spans="1:35" x14ac:dyDescent="0.45">
      <c r="A1419" s="3" t="s">
        <v>93</v>
      </c>
      <c r="B1419" s="3" t="s">
        <v>27</v>
      </c>
      <c r="C1419" s="3" t="s">
        <v>15</v>
      </c>
      <c r="D1419" s="3" t="s">
        <v>12</v>
      </c>
      <c r="E1419" s="3" t="s">
        <v>8</v>
      </c>
      <c r="F1419" s="3">
        <v>0</v>
      </c>
      <c r="G1419" s="3">
        <v>1.36834017975156E-2</v>
      </c>
      <c r="H1419" s="3">
        <v>1.36834017975156E-2</v>
      </c>
      <c r="I1419" s="3">
        <v>-2.86631688257666E-3</v>
      </c>
      <c r="J1419" s="3">
        <v>-1.69215172437529E-2</v>
      </c>
      <c r="K1419" s="3">
        <v>2.0974059956458999E-2</v>
      </c>
      <c r="L1419" s="3">
        <v>9.4728627867122897E-2</v>
      </c>
      <c r="M1419" s="3">
        <v>8.7732117142066204E-2</v>
      </c>
      <c r="N1419" s="3">
        <v>3.3439323326969597E-2</v>
      </c>
      <c r="O1419" s="3">
        <v>-1.8837998994454701E-2</v>
      </c>
      <c r="P1419" s="3">
        <v>-5.5497275251743097E-2</v>
      </c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</row>
    <row r="1420" spans="1:35" x14ac:dyDescent="0.45">
      <c r="A1420" s="3" t="s">
        <v>93</v>
      </c>
      <c r="B1420" s="3" t="s">
        <v>27</v>
      </c>
      <c r="C1420" s="3" t="s">
        <v>15</v>
      </c>
      <c r="D1420" s="3" t="s">
        <v>13</v>
      </c>
      <c r="E1420" s="3" t="s">
        <v>8</v>
      </c>
      <c r="F1420" s="3">
        <v>0</v>
      </c>
      <c r="G1420" s="3">
        <v>4.5621145806731302E-3</v>
      </c>
      <c r="H1420" s="3">
        <v>4.5621145806731302E-3</v>
      </c>
      <c r="I1420" s="3">
        <v>3.5582122974590701E-2</v>
      </c>
      <c r="J1420" s="3">
        <v>0.114429366378761</v>
      </c>
      <c r="K1420" s="3">
        <v>3.8718473189983199E-2</v>
      </c>
      <c r="L1420" s="3">
        <v>-5.3666671260011602E-2</v>
      </c>
      <c r="M1420" s="3">
        <v>-0.116153076657036</v>
      </c>
      <c r="N1420" s="3">
        <v>-0.14897439115167399</v>
      </c>
      <c r="O1420" s="3">
        <v>-0.18576431187868001</v>
      </c>
      <c r="P1420" s="3">
        <v>-0.23486448924910699</v>
      </c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</row>
    <row r="1421" spans="1:35" x14ac:dyDescent="0.45">
      <c r="A1421" s="3" t="s">
        <v>93</v>
      </c>
      <c r="B1421" s="3" t="s">
        <v>27</v>
      </c>
      <c r="C1421" s="3" t="s">
        <v>15</v>
      </c>
      <c r="D1421" s="3" t="s">
        <v>14</v>
      </c>
      <c r="E1421" s="3" t="s">
        <v>8</v>
      </c>
      <c r="F1421" s="3">
        <v>0</v>
      </c>
      <c r="G1421" s="3">
        <v>-7.78829085085908E-3</v>
      </c>
      <c r="H1421" s="3">
        <v>-7.78829085085908E-3</v>
      </c>
      <c r="I1421" s="3">
        <v>1.8083537810670701E-2</v>
      </c>
      <c r="J1421" s="3">
        <v>-7.8426384283111397E-2</v>
      </c>
      <c r="K1421" s="3">
        <v>-9.6292863297995399E-2</v>
      </c>
      <c r="L1421" s="3">
        <v>-0.135544310539708</v>
      </c>
      <c r="M1421" s="3">
        <v>-0.183622345382882</v>
      </c>
      <c r="N1421" s="3">
        <v>-0.24391852862070301</v>
      </c>
      <c r="O1421" s="3">
        <v>-0.25857488514536098</v>
      </c>
      <c r="P1421" s="3">
        <v>-0.247875569073611</v>
      </c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</row>
    <row r="1422" spans="1:35" x14ac:dyDescent="0.45">
      <c r="A1422" s="3" t="s">
        <v>93</v>
      </c>
      <c r="B1422" s="3" t="s">
        <v>27</v>
      </c>
      <c r="C1422" s="3" t="s">
        <v>16</v>
      </c>
      <c r="D1422" s="3" t="s">
        <v>7</v>
      </c>
      <c r="E1422" s="3" t="s">
        <v>8</v>
      </c>
      <c r="F1422" s="3">
        <v>0.66785833696777697</v>
      </c>
      <c r="G1422" s="3">
        <v>0.434206258288095</v>
      </c>
      <c r="H1422" s="3">
        <v>0.434206258288095</v>
      </c>
      <c r="I1422" s="3">
        <v>0.31002714800995701</v>
      </c>
      <c r="J1422" s="3">
        <v>0.29421600642288898</v>
      </c>
      <c r="K1422" s="3">
        <v>0.25280168172704998</v>
      </c>
      <c r="L1422" s="3">
        <v>0.25280168172704998</v>
      </c>
      <c r="M1422" s="3">
        <v>0.25280168172704998</v>
      </c>
      <c r="N1422" s="3">
        <v>0.25280168172704998</v>
      </c>
      <c r="O1422" s="3">
        <v>0.25280168172704998</v>
      </c>
      <c r="P1422" s="3">
        <v>0.25280168172704998</v>
      </c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</row>
    <row r="1423" spans="1:35" x14ac:dyDescent="0.45">
      <c r="A1423" s="3" t="s">
        <v>93</v>
      </c>
      <c r="B1423" s="3" t="s">
        <v>27</v>
      </c>
      <c r="C1423" s="3" t="s">
        <v>16</v>
      </c>
      <c r="D1423" s="3" t="s">
        <v>9</v>
      </c>
      <c r="E1423" s="3" t="s">
        <v>8</v>
      </c>
      <c r="F1423" s="3">
        <v>0</v>
      </c>
      <c r="G1423" s="3">
        <v>-3.7327001144127299E-4</v>
      </c>
      <c r="H1423" s="3">
        <v>-3.7327001144127299E-4</v>
      </c>
      <c r="I1423" s="3">
        <v>-1.8366263531632799E-4</v>
      </c>
      <c r="J1423" s="3">
        <v>1.79492493193267E-4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</row>
    <row r="1424" spans="1:35" x14ac:dyDescent="0.45">
      <c r="A1424" s="3" t="s">
        <v>93</v>
      </c>
      <c r="B1424" s="3" t="s">
        <v>27</v>
      </c>
      <c r="C1424" s="3" t="s">
        <v>16</v>
      </c>
      <c r="D1424" s="3" t="s">
        <v>10</v>
      </c>
      <c r="E1424" s="3" t="s">
        <v>8</v>
      </c>
      <c r="F1424" s="3">
        <v>0</v>
      </c>
      <c r="G1424" s="3">
        <v>-7.2630149311469998E-6</v>
      </c>
      <c r="H1424" s="3">
        <v>-7.2630149311469998E-6</v>
      </c>
      <c r="I1424" s="3">
        <v>1.9648952030437701E-6</v>
      </c>
      <c r="J1424" s="3">
        <v>-8.7837934998169498E-5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</row>
    <row r="1425" spans="1:35" x14ac:dyDescent="0.45">
      <c r="A1425" s="3" t="s">
        <v>93</v>
      </c>
      <c r="B1425" s="3" t="s">
        <v>27</v>
      </c>
      <c r="C1425" s="3" t="s">
        <v>16</v>
      </c>
      <c r="D1425" s="3" t="s">
        <v>11</v>
      </c>
      <c r="E1425" s="3" t="s">
        <v>8</v>
      </c>
      <c r="F1425" s="3">
        <v>0</v>
      </c>
      <c r="G1425" s="3">
        <v>-1.4835805436691499E-4</v>
      </c>
      <c r="H1425" s="3">
        <v>-1.4835805436691499E-4</v>
      </c>
      <c r="I1425" s="3">
        <v>3.0708102617682497E-5</v>
      </c>
      <c r="J1425" s="3">
        <v>2.1208702256736401E-4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</row>
    <row r="1426" spans="1:35" x14ac:dyDescent="0.45">
      <c r="A1426" s="3" t="s">
        <v>93</v>
      </c>
      <c r="B1426" s="3" t="s">
        <v>27</v>
      </c>
      <c r="C1426" s="3" t="s">
        <v>16</v>
      </c>
      <c r="D1426" s="3" t="s">
        <v>12</v>
      </c>
      <c r="E1426" s="3" t="s">
        <v>8</v>
      </c>
      <c r="F1426" s="3">
        <v>0</v>
      </c>
      <c r="G1426" s="3">
        <v>-3.7386242314252401E-5</v>
      </c>
      <c r="H1426" s="3">
        <v>-3.7386242314252401E-5</v>
      </c>
      <c r="I1426" s="3">
        <v>3.7869181197996998E-4</v>
      </c>
      <c r="J1426" s="3">
        <v>3.9483943096374997E-3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0</v>
      </c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</row>
    <row r="1427" spans="1:35" x14ac:dyDescent="0.45">
      <c r="A1427" s="3" t="s">
        <v>93</v>
      </c>
      <c r="B1427" s="3" t="s">
        <v>27</v>
      </c>
      <c r="C1427" s="3" t="s">
        <v>16</v>
      </c>
      <c r="D1427" s="3" t="s">
        <v>13</v>
      </c>
      <c r="E1427" s="3" t="s">
        <v>8</v>
      </c>
      <c r="F1427" s="3">
        <v>0</v>
      </c>
      <c r="G1427" s="3">
        <v>2.0373760030554799E-3</v>
      </c>
      <c r="H1427" s="3">
        <v>2.0373760030554799E-3</v>
      </c>
      <c r="I1427" s="3">
        <v>-9.8897573504307893E-3</v>
      </c>
      <c r="J1427" s="3">
        <v>-1.95241949236633E-2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</row>
    <row r="1428" spans="1:35" x14ac:dyDescent="0.45">
      <c r="A1428" s="3" t="s">
        <v>93</v>
      </c>
      <c r="B1428" s="3" t="s">
        <v>27</v>
      </c>
      <c r="C1428" s="3" t="s">
        <v>16</v>
      </c>
      <c r="D1428" s="3" t="s">
        <v>14</v>
      </c>
      <c r="E1428" s="3" t="s">
        <v>8</v>
      </c>
      <c r="F1428" s="3">
        <v>0</v>
      </c>
      <c r="G1428" s="3">
        <v>2.3716037179986701E-2</v>
      </c>
      <c r="H1428" s="3">
        <v>2.3716037179986701E-2</v>
      </c>
      <c r="I1428" s="3">
        <v>-2.1240166671514502E-2</v>
      </c>
      <c r="J1428" s="3">
        <v>-1.00834453940823E-2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</row>
    <row r="1429" spans="1:35" x14ac:dyDescent="0.45">
      <c r="A1429" s="3" t="s">
        <v>93</v>
      </c>
      <c r="B1429" s="3" t="s">
        <v>27</v>
      </c>
      <c r="C1429" s="3" t="s">
        <v>17</v>
      </c>
      <c r="D1429" s="3" t="s">
        <v>7</v>
      </c>
      <c r="E1429" s="3" t="s">
        <v>8</v>
      </c>
      <c r="F1429" s="3">
        <v>3.7378271002499498E-2</v>
      </c>
      <c r="G1429" s="3">
        <v>4.4416480827461503E-2</v>
      </c>
      <c r="H1429" s="3">
        <v>4.4416480827461503E-2</v>
      </c>
      <c r="I1429" s="3">
        <v>6.2036492517276297E-2</v>
      </c>
      <c r="J1429" s="3">
        <v>8.4990223769273801E-2</v>
      </c>
      <c r="K1429" s="3">
        <v>0.12730409753930599</v>
      </c>
      <c r="L1429" s="3">
        <v>5.8002741999168303E-4</v>
      </c>
      <c r="M1429" s="3">
        <v>0</v>
      </c>
      <c r="N1429" s="3">
        <v>0</v>
      </c>
      <c r="O1429" s="3">
        <v>0</v>
      </c>
      <c r="P1429" s="3">
        <v>0</v>
      </c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</row>
    <row r="1430" spans="1:35" x14ac:dyDescent="0.45">
      <c r="A1430" s="3" t="s">
        <v>93</v>
      </c>
      <c r="B1430" s="3" t="s">
        <v>27</v>
      </c>
      <c r="C1430" s="3" t="s">
        <v>17</v>
      </c>
      <c r="D1430" s="3" t="s">
        <v>9</v>
      </c>
      <c r="E1430" s="3" t="s">
        <v>8</v>
      </c>
      <c r="F1430" s="3">
        <v>0</v>
      </c>
      <c r="G1430" s="3">
        <v>1.5220974491986601E-3</v>
      </c>
      <c r="H1430" s="3">
        <v>1.5220974491986601E-3</v>
      </c>
      <c r="I1430" s="3">
        <v>3.2014542011464002E-3</v>
      </c>
      <c r="J1430" s="3">
        <v>5.6964699697250503E-3</v>
      </c>
      <c r="K1430" s="3">
        <v>1.5756506237770199E-2</v>
      </c>
      <c r="L1430" s="3">
        <v>3.1005951348916299E-2</v>
      </c>
      <c r="M1430" s="3">
        <v>0</v>
      </c>
      <c r="N1430" s="3">
        <v>0</v>
      </c>
      <c r="O1430" s="3">
        <v>0</v>
      </c>
      <c r="P1430" s="3">
        <v>5.7921350806010704E-3</v>
      </c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</row>
    <row r="1431" spans="1:35" x14ac:dyDescent="0.45">
      <c r="A1431" s="3" t="s">
        <v>93</v>
      </c>
      <c r="B1431" s="3" t="s">
        <v>27</v>
      </c>
      <c r="C1431" s="3" t="s">
        <v>17</v>
      </c>
      <c r="D1431" s="3" t="s">
        <v>10</v>
      </c>
      <c r="E1431" s="3" t="s">
        <v>8</v>
      </c>
      <c r="F1431" s="3">
        <v>0</v>
      </c>
      <c r="G1431" s="3">
        <v>2.2173171103495601E-4</v>
      </c>
      <c r="H1431" s="3">
        <v>2.2173171103495601E-4</v>
      </c>
      <c r="I1431" s="3">
        <v>2.7614389451698102E-3</v>
      </c>
      <c r="J1431" s="3">
        <v>1.01374597517596E-2</v>
      </c>
      <c r="K1431" s="3">
        <v>1.9250826759782801E-2</v>
      </c>
      <c r="L1431" s="3">
        <v>2.5671138116888901E-2</v>
      </c>
      <c r="M1431" s="3">
        <v>0.15575390251882701</v>
      </c>
      <c r="N1431" s="3">
        <v>0.252458351158792</v>
      </c>
      <c r="O1431" s="3">
        <v>0.56626354406083002</v>
      </c>
      <c r="P1431" s="3">
        <v>1.3073697690291399</v>
      </c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</row>
    <row r="1432" spans="1:35" x14ac:dyDescent="0.45">
      <c r="A1432" s="3" t="s">
        <v>93</v>
      </c>
      <c r="B1432" s="3" t="s">
        <v>27</v>
      </c>
      <c r="C1432" s="3" t="s">
        <v>17</v>
      </c>
      <c r="D1432" s="3" t="s">
        <v>11</v>
      </c>
      <c r="E1432" s="3" t="s">
        <v>8</v>
      </c>
      <c r="F1432" s="3">
        <v>0</v>
      </c>
      <c r="G1432" s="3">
        <v>4.2503304243819701E-4</v>
      </c>
      <c r="H1432" s="3">
        <v>4.2503304243819701E-4</v>
      </c>
      <c r="I1432" s="3">
        <v>3.6354558979968502E-3</v>
      </c>
      <c r="J1432" s="3">
        <v>2.99045849325375E-2</v>
      </c>
      <c r="K1432" s="3">
        <v>0.18234491609863199</v>
      </c>
      <c r="L1432" s="3">
        <v>0.23881676792029799</v>
      </c>
      <c r="M1432" s="3">
        <v>1.0842045184708999</v>
      </c>
      <c r="N1432" s="3">
        <v>1.17548015529529</v>
      </c>
      <c r="O1432" s="3">
        <v>1.0649749751195501</v>
      </c>
      <c r="P1432" s="3">
        <v>0.55635006036275403</v>
      </c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</row>
    <row r="1433" spans="1:35" x14ac:dyDescent="0.45">
      <c r="A1433" s="3" t="s">
        <v>93</v>
      </c>
      <c r="B1433" s="3" t="s">
        <v>27</v>
      </c>
      <c r="C1433" s="3" t="s">
        <v>17</v>
      </c>
      <c r="D1433" s="3" t="s">
        <v>12</v>
      </c>
      <c r="E1433" s="3" t="s">
        <v>8</v>
      </c>
      <c r="F1433" s="3">
        <v>0</v>
      </c>
      <c r="G1433" s="3">
        <v>-7.9461604342838399E-4</v>
      </c>
      <c r="H1433" s="3">
        <v>-7.9461604342838399E-4</v>
      </c>
      <c r="I1433" s="3">
        <v>1.6618408557695499E-2</v>
      </c>
      <c r="J1433" s="3">
        <v>0.16089191302898401</v>
      </c>
      <c r="K1433" s="3">
        <v>0.78587137195865997</v>
      </c>
      <c r="L1433" s="3">
        <v>1.1422719865300801</v>
      </c>
      <c r="M1433" s="3">
        <v>0.58525622420378098</v>
      </c>
      <c r="N1433" s="3">
        <v>0.88771430970314902</v>
      </c>
      <c r="O1433" s="3">
        <v>1.22036130567223</v>
      </c>
      <c r="P1433" s="3">
        <v>1.4804046727759801</v>
      </c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</row>
    <row r="1434" spans="1:35" x14ac:dyDescent="0.45">
      <c r="A1434" s="3" t="s">
        <v>93</v>
      </c>
      <c r="B1434" s="3" t="s">
        <v>27</v>
      </c>
      <c r="C1434" s="3" t="s">
        <v>17</v>
      </c>
      <c r="D1434" s="3" t="s">
        <v>13</v>
      </c>
      <c r="E1434" s="3" t="s">
        <v>8</v>
      </c>
      <c r="F1434" s="3">
        <v>0</v>
      </c>
      <c r="G1434" s="3">
        <v>1.14650432763176E-2</v>
      </c>
      <c r="H1434" s="3">
        <v>1.14650432763176E-2</v>
      </c>
      <c r="I1434" s="3">
        <v>0.90178241101758705</v>
      </c>
      <c r="J1434" s="3">
        <v>1.41593537146371</v>
      </c>
      <c r="K1434" s="3">
        <v>1.45012441740795</v>
      </c>
      <c r="L1434" s="3">
        <v>1.94504349709098</v>
      </c>
      <c r="M1434" s="3">
        <v>2.21026689957823</v>
      </c>
      <c r="N1434" s="3">
        <v>2.1174346985083599</v>
      </c>
      <c r="O1434" s="3">
        <v>1.74331076320276</v>
      </c>
      <c r="P1434" s="3">
        <v>1.2850832334145801</v>
      </c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</row>
    <row r="1435" spans="1:35" x14ac:dyDescent="0.45">
      <c r="A1435" s="3" t="s">
        <v>93</v>
      </c>
      <c r="B1435" s="3" t="s">
        <v>27</v>
      </c>
      <c r="C1435" s="3" t="s">
        <v>17</v>
      </c>
      <c r="D1435" s="3" t="s">
        <v>14</v>
      </c>
      <c r="E1435" s="3" t="s">
        <v>8</v>
      </c>
      <c r="F1435" s="3">
        <v>0</v>
      </c>
      <c r="G1435" s="3">
        <v>4.9036109447641703E-2</v>
      </c>
      <c r="H1435" s="3">
        <v>4.9036109447641703E-2</v>
      </c>
      <c r="I1435" s="3">
        <v>0.98396028319358397</v>
      </c>
      <c r="J1435" s="3">
        <v>1.5173464872917299</v>
      </c>
      <c r="K1435" s="3">
        <v>1.5614184067791801</v>
      </c>
      <c r="L1435" s="3">
        <v>1.1983130091223799</v>
      </c>
      <c r="M1435" s="3">
        <v>0.63315081316858501</v>
      </c>
      <c r="N1435" s="3">
        <v>0.23924315913255401</v>
      </c>
      <c r="O1435" s="3">
        <v>7.7491688422638205E-2</v>
      </c>
      <c r="P1435" s="3">
        <v>3.7414052587071603E-2</v>
      </c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</row>
    <row r="1436" spans="1:35" x14ac:dyDescent="0.45">
      <c r="A1436" s="3" t="s">
        <v>93</v>
      </c>
      <c r="B1436" s="3" t="s">
        <v>27</v>
      </c>
      <c r="C1436" s="3" t="s">
        <v>18</v>
      </c>
      <c r="D1436" s="3" t="s">
        <v>7</v>
      </c>
      <c r="E1436" s="3" t="s">
        <v>8</v>
      </c>
      <c r="F1436" s="3">
        <v>0.81819251427562101</v>
      </c>
      <c r="G1436" s="3">
        <v>0.58719999538052503</v>
      </c>
      <c r="H1436" s="3">
        <v>0.58719999538052503</v>
      </c>
      <c r="I1436" s="3">
        <v>0.39146666358701598</v>
      </c>
      <c r="J1436" s="3">
        <v>0.19573333179350899</v>
      </c>
      <c r="K1436" s="3">
        <v>2.4582192139286199E-16</v>
      </c>
      <c r="L1436" s="3">
        <v>2.8093933873469901E-16</v>
      </c>
      <c r="M1436" s="3">
        <v>1.4046966936734899E-16</v>
      </c>
      <c r="N1436" s="3">
        <v>1.4046966936734899E-16</v>
      </c>
      <c r="O1436" s="3">
        <v>0</v>
      </c>
      <c r="P1436" s="3">
        <v>2.4582192139286199E-16</v>
      </c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</row>
    <row r="1437" spans="1:35" x14ac:dyDescent="0.45">
      <c r="A1437" s="3" t="s">
        <v>93</v>
      </c>
      <c r="B1437" s="3" t="s">
        <v>27</v>
      </c>
      <c r="C1437" s="3" t="s">
        <v>18</v>
      </c>
      <c r="D1437" s="3" t="s">
        <v>9</v>
      </c>
      <c r="E1437" s="3" t="s">
        <v>8</v>
      </c>
      <c r="F1437" s="3">
        <v>0</v>
      </c>
      <c r="G1437" s="3">
        <v>0</v>
      </c>
      <c r="H1437" s="3">
        <v>0</v>
      </c>
      <c r="I1437" s="3">
        <v>0</v>
      </c>
      <c r="J1437" s="3">
        <v>-6.10622663543836E-16</v>
      </c>
      <c r="K1437" s="3">
        <v>-2.4582192139286199E-16</v>
      </c>
      <c r="L1437" s="3">
        <v>-2.8093933873469901E-16</v>
      </c>
      <c r="M1437" s="3">
        <v>1.05352252025512E-16</v>
      </c>
      <c r="N1437" s="3">
        <v>0</v>
      </c>
      <c r="O1437" s="3">
        <v>1.4046966936734899E-16</v>
      </c>
      <c r="P1437" s="3">
        <v>-2.4582192139286199E-16</v>
      </c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</row>
    <row r="1438" spans="1:35" x14ac:dyDescent="0.45">
      <c r="A1438" s="3" t="s">
        <v>93</v>
      </c>
      <c r="B1438" s="3" t="s">
        <v>27</v>
      </c>
      <c r="C1438" s="3" t="s">
        <v>18</v>
      </c>
      <c r="D1438" s="3" t="s">
        <v>10</v>
      </c>
      <c r="E1438" s="3" t="s">
        <v>8</v>
      </c>
      <c r="F1438" s="3">
        <v>0</v>
      </c>
      <c r="G1438" s="3">
        <v>0</v>
      </c>
      <c r="H1438" s="3">
        <v>0</v>
      </c>
      <c r="I1438" s="3">
        <v>6.10622663543836E-16</v>
      </c>
      <c r="J1438" s="3">
        <v>0</v>
      </c>
      <c r="K1438" s="3">
        <v>0</v>
      </c>
      <c r="L1438" s="3">
        <v>2.4582192139286199E-16</v>
      </c>
      <c r="M1438" s="3">
        <v>0</v>
      </c>
      <c r="N1438" s="3">
        <v>-1.4046966936734899E-16</v>
      </c>
      <c r="O1438" s="3">
        <v>3.8629159076021098E-16</v>
      </c>
      <c r="P1438" s="3">
        <v>2.4582192139286199E-16</v>
      </c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</row>
    <row r="1439" spans="1:35" x14ac:dyDescent="0.45">
      <c r="A1439" s="3" t="s">
        <v>93</v>
      </c>
      <c r="B1439" s="3" t="s">
        <v>27</v>
      </c>
      <c r="C1439" s="3" t="s">
        <v>18</v>
      </c>
      <c r="D1439" s="3" t="s">
        <v>11</v>
      </c>
      <c r="E1439" s="3" t="s">
        <v>8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-2.4582192139286199E-16</v>
      </c>
      <c r="M1439" s="3">
        <v>-2.4582192139286199E-16</v>
      </c>
      <c r="N1439" s="3">
        <v>2.4582192139286199E-16</v>
      </c>
      <c r="O1439" s="3">
        <v>-5.2676126012755997E-16</v>
      </c>
      <c r="P1439" s="3">
        <v>5.6187867746939803E-16</v>
      </c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</row>
    <row r="1440" spans="1:35" x14ac:dyDescent="0.45">
      <c r="A1440" s="3" t="s">
        <v>93</v>
      </c>
      <c r="B1440" s="3" t="s">
        <v>27</v>
      </c>
      <c r="C1440" s="3" t="s">
        <v>18</v>
      </c>
      <c r="D1440" s="3" t="s">
        <v>12</v>
      </c>
      <c r="E1440" s="3" t="s">
        <v>8</v>
      </c>
      <c r="F1440" s="3">
        <v>0</v>
      </c>
      <c r="G1440" s="3">
        <v>0</v>
      </c>
      <c r="H1440" s="3">
        <v>0</v>
      </c>
      <c r="I1440" s="3">
        <v>0</v>
      </c>
      <c r="J1440" s="3">
        <v>6.10622663543836E-16</v>
      </c>
      <c r="K1440" s="3">
        <v>0</v>
      </c>
      <c r="L1440" s="3">
        <v>0</v>
      </c>
      <c r="M1440" s="3">
        <v>5.2676126012755997E-16</v>
      </c>
      <c r="N1440" s="3">
        <v>-2.4582192139286199E-16</v>
      </c>
      <c r="O1440" s="3">
        <v>1.4046966936734901E-15</v>
      </c>
      <c r="P1440" s="3">
        <v>1.15887477228063E-15</v>
      </c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</row>
    <row r="1441" spans="1:35" x14ac:dyDescent="0.45">
      <c r="A1441" s="3" t="s">
        <v>93</v>
      </c>
      <c r="B1441" s="3" t="s">
        <v>27</v>
      </c>
      <c r="C1441" s="3" t="s">
        <v>18</v>
      </c>
      <c r="D1441" s="3" t="s">
        <v>13</v>
      </c>
      <c r="E1441" s="3" t="s">
        <v>8</v>
      </c>
      <c r="F1441" s="3">
        <v>0</v>
      </c>
      <c r="G1441" s="3">
        <v>0</v>
      </c>
      <c r="H1441" s="3">
        <v>0</v>
      </c>
      <c r="I1441" s="3">
        <v>6.10622663543836E-16</v>
      </c>
      <c r="J1441" s="3">
        <v>-1.8873791418627701E-15</v>
      </c>
      <c r="K1441" s="3">
        <v>0</v>
      </c>
      <c r="L1441" s="3">
        <v>2.4933366312704599E-15</v>
      </c>
      <c r="M1441" s="3">
        <v>1.75587086709189E-16</v>
      </c>
      <c r="N1441" s="3">
        <v>8.0770059886226002E-16</v>
      </c>
      <c r="O1441" s="3">
        <v>2.8445108046888299E-15</v>
      </c>
      <c r="P1441" s="3">
        <v>-1.96657537114289E-15</v>
      </c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</row>
    <row r="1442" spans="1:35" x14ac:dyDescent="0.45">
      <c r="A1442" s="3" t="s">
        <v>93</v>
      </c>
      <c r="B1442" s="3" t="s">
        <v>27</v>
      </c>
      <c r="C1442" s="3" t="s">
        <v>18</v>
      </c>
      <c r="D1442" s="3" t="s">
        <v>14</v>
      </c>
      <c r="E1442" s="3" t="s">
        <v>8</v>
      </c>
      <c r="F1442" s="3">
        <v>0</v>
      </c>
      <c r="G1442" s="3">
        <v>-6.6613381477509402E-16</v>
      </c>
      <c r="H1442" s="3">
        <v>-6.6613381477509402E-16</v>
      </c>
      <c r="I1442" s="3">
        <v>-6.10622663543836E-16</v>
      </c>
      <c r="J1442" s="3">
        <v>6.3837823915946501E-16</v>
      </c>
      <c r="K1442" s="3">
        <v>0</v>
      </c>
      <c r="L1442" s="3">
        <v>-1.7909882844337101E-15</v>
      </c>
      <c r="M1442" s="3">
        <v>1.4046966936734899E-16</v>
      </c>
      <c r="N1442" s="3">
        <v>3.4063894821582302E-15</v>
      </c>
      <c r="O1442" s="3">
        <v>-4.24920749836232E-15</v>
      </c>
      <c r="P1442" s="3">
        <v>0</v>
      </c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</row>
    <row r="1443" spans="1:35" x14ac:dyDescent="0.45">
      <c r="A1443" s="3" t="s">
        <v>93</v>
      </c>
      <c r="B1443" s="3" t="s">
        <v>27</v>
      </c>
      <c r="C1443" s="3" t="s">
        <v>19</v>
      </c>
      <c r="D1443" s="3" t="s">
        <v>7</v>
      </c>
      <c r="E1443" s="3" t="s">
        <v>8</v>
      </c>
      <c r="F1443" s="3">
        <v>1.4135626769799899E-2</v>
      </c>
      <c r="G1443" s="3">
        <v>1.53910185314634E-2</v>
      </c>
      <c r="H1443" s="3">
        <v>1.53910185314634E-2</v>
      </c>
      <c r="I1443" s="3">
        <v>8.5915113851441002E-3</v>
      </c>
      <c r="J1443" s="3">
        <v>6.0912389570377803E-3</v>
      </c>
      <c r="K1443" s="3">
        <v>7.7875365203121001E-3</v>
      </c>
      <c r="L1443" s="3">
        <v>1.6444307939349301E-2</v>
      </c>
      <c r="M1443" s="3">
        <v>0</v>
      </c>
      <c r="N1443" s="3">
        <v>0</v>
      </c>
      <c r="O1443" s="3">
        <v>0</v>
      </c>
      <c r="P1443" s="3">
        <v>0</v>
      </c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</row>
    <row r="1444" spans="1:35" x14ac:dyDescent="0.45">
      <c r="A1444" s="3" t="s">
        <v>93</v>
      </c>
      <c r="B1444" s="3" t="s">
        <v>27</v>
      </c>
      <c r="C1444" s="3" t="s">
        <v>19</v>
      </c>
      <c r="D1444" s="3" t="s">
        <v>9</v>
      </c>
      <c r="E1444" s="3" t="s">
        <v>8</v>
      </c>
      <c r="F1444" s="3">
        <v>0</v>
      </c>
      <c r="G1444" s="3">
        <v>-2.7321464417256298E-4</v>
      </c>
      <c r="H1444" s="3">
        <v>-2.7321464417256298E-4</v>
      </c>
      <c r="I1444" s="3">
        <v>-4.58290459974911E-4</v>
      </c>
      <c r="J1444" s="3">
        <v>-4.7395230248555199E-4</v>
      </c>
      <c r="K1444" s="3">
        <v>-5.2210771007639E-4</v>
      </c>
      <c r="L1444" s="3">
        <v>-1.65088445324659E-3</v>
      </c>
      <c r="M1444" s="3">
        <v>0</v>
      </c>
      <c r="N1444" s="3">
        <v>0</v>
      </c>
      <c r="O1444" s="3">
        <v>0</v>
      </c>
      <c r="P1444" s="3">
        <v>4.10556097810581E-2</v>
      </c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</row>
    <row r="1445" spans="1:35" x14ac:dyDescent="0.45">
      <c r="A1445" s="3" t="s">
        <v>93</v>
      </c>
      <c r="B1445" s="3" t="s">
        <v>27</v>
      </c>
      <c r="C1445" s="3" t="s">
        <v>19</v>
      </c>
      <c r="D1445" s="3" t="s">
        <v>10</v>
      </c>
      <c r="E1445" s="3" t="s">
        <v>8</v>
      </c>
      <c r="F1445" s="3">
        <v>0</v>
      </c>
      <c r="G1445" s="3">
        <v>6.6705036051486699E-5</v>
      </c>
      <c r="H1445" s="3">
        <v>6.6705036051486699E-5</v>
      </c>
      <c r="I1445" s="3">
        <v>-3.9744889260252998E-4</v>
      </c>
      <c r="J1445" s="3">
        <v>-1.5129097983668199E-3</v>
      </c>
      <c r="K1445" s="3">
        <v>-1.7359813427397599E-3</v>
      </c>
      <c r="L1445" s="3">
        <v>-2.8640526782760202E-3</v>
      </c>
      <c r="M1445" s="3">
        <v>3.9665943898271598E-2</v>
      </c>
      <c r="N1445" s="3">
        <v>5.4336897365449902E-2</v>
      </c>
      <c r="O1445" s="3">
        <v>7.2175715844548002E-2</v>
      </c>
      <c r="P1445" s="3">
        <v>8.9452638836689802E-2</v>
      </c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</row>
    <row r="1446" spans="1:35" x14ac:dyDescent="0.45">
      <c r="A1446" s="3" t="s">
        <v>93</v>
      </c>
      <c r="B1446" s="3" t="s">
        <v>27</v>
      </c>
      <c r="C1446" s="3" t="s">
        <v>19</v>
      </c>
      <c r="D1446" s="3" t="s">
        <v>11</v>
      </c>
      <c r="E1446" s="3" t="s">
        <v>8</v>
      </c>
      <c r="F1446" s="3">
        <v>0</v>
      </c>
      <c r="G1446" s="3">
        <v>2.0767974428809902E-5</v>
      </c>
      <c r="H1446" s="3">
        <v>2.0767974428809902E-5</v>
      </c>
      <c r="I1446" s="3">
        <v>-1.46707122089412E-4</v>
      </c>
      <c r="J1446" s="3">
        <v>-3.1079272397893901E-3</v>
      </c>
      <c r="K1446" s="3">
        <v>-5.5294474674959498E-3</v>
      </c>
      <c r="L1446" s="3">
        <v>5.8993966157662404E-3</v>
      </c>
      <c r="M1446" s="3">
        <v>0.22267689547397601</v>
      </c>
      <c r="N1446" s="3">
        <v>0.49864272346712402</v>
      </c>
      <c r="O1446" s="3">
        <v>0.86933693378364096</v>
      </c>
      <c r="P1446" s="3">
        <v>1.44934209277169</v>
      </c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</row>
    <row r="1447" spans="1:35" x14ac:dyDescent="0.45">
      <c r="A1447" s="3" t="s">
        <v>93</v>
      </c>
      <c r="B1447" s="3" t="s">
        <v>27</v>
      </c>
      <c r="C1447" s="3" t="s">
        <v>19</v>
      </c>
      <c r="D1447" s="3" t="s">
        <v>12</v>
      </c>
      <c r="E1447" s="3" t="s">
        <v>8</v>
      </c>
      <c r="F1447" s="3">
        <v>0</v>
      </c>
      <c r="G1447" s="3">
        <v>1.1255684617823599E-3</v>
      </c>
      <c r="H1447" s="3">
        <v>1.1255684617823599E-3</v>
      </c>
      <c r="I1447" s="3">
        <v>1.68066442990893E-3</v>
      </c>
      <c r="J1447" s="3">
        <v>9.9316695046232709E-4</v>
      </c>
      <c r="K1447" s="3">
        <v>0.45112168614501802</v>
      </c>
      <c r="L1447" s="3">
        <v>1.1318368881482199</v>
      </c>
      <c r="M1447" s="3">
        <v>1.8964589024678</v>
      </c>
      <c r="N1447" s="3">
        <v>3.11268776471303</v>
      </c>
      <c r="O1447" s="3">
        <v>4.4297611700313997</v>
      </c>
      <c r="P1447" s="3">
        <v>5.3566411508687102</v>
      </c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</row>
    <row r="1448" spans="1:35" x14ac:dyDescent="0.45">
      <c r="A1448" s="3" t="s">
        <v>93</v>
      </c>
      <c r="B1448" s="3" t="s">
        <v>27</v>
      </c>
      <c r="C1448" s="3" t="s">
        <v>19</v>
      </c>
      <c r="D1448" s="3" t="s">
        <v>13</v>
      </c>
      <c r="E1448" s="3" t="s">
        <v>8</v>
      </c>
      <c r="F1448" s="3">
        <v>0</v>
      </c>
      <c r="G1448" s="3">
        <v>6.9700599747583398E-3</v>
      </c>
      <c r="H1448" s="3">
        <v>6.9700599747583398E-3</v>
      </c>
      <c r="I1448" s="3">
        <v>0.57610574105381296</v>
      </c>
      <c r="J1448" s="3">
        <v>2.6831211399807802</v>
      </c>
      <c r="K1448" s="3">
        <v>5.1039872955302501</v>
      </c>
      <c r="L1448" s="3">
        <v>7.0171439697859901</v>
      </c>
      <c r="M1448" s="3">
        <v>7.8762525376224701</v>
      </c>
      <c r="N1448" s="3">
        <v>7.4097814731984899</v>
      </c>
      <c r="O1448" s="3">
        <v>6.05157813524003</v>
      </c>
      <c r="P1448" s="3">
        <v>4.5701453326716202</v>
      </c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</row>
    <row r="1449" spans="1:35" x14ac:dyDescent="0.45">
      <c r="A1449" s="3" t="s">
        <v>93</v>
      </c>
      <c r="B1449" s="3" t="s">
        <v>27</v>
      </c>
      <c r="C1449" s="3" t="s">
        <v>19</v>
      </c>
      <c r="D1449" s="3" t="s">
        <v>14</v>
      </c>
      <c r="E1449" s="3" t="s">
        <v>8</v>
      </c>
      <c r="F1449" s="3">
        <v>0</v>
      </c>
      <c r="G1449" s="3">
        <v>2.9801904047033499E-2</v>
      </c>
      <c r="H1449" s="3">
        <v>2.9801904047033499E-2</v>
      </c>
      <c r="I1449" s="3">
        <v>3.4979923643516702</v>
      </c>
      <c r="J1449" s="3">
        <v>5.5920376439987596</v>
      </c>
      <c r="K1449" s="3">
        <v>5.5069310519200396</v>
      </c>
      <c r="L1449" s="3">
        <v>4.13868700940428</v>
      </c>
      <c r="M1449" s="3">
        <v>2.4056743493581401</v>
      </c>
      <c r="N1449" s="3">
        <v>1.3259939101990501</v>
      </c>
      <c r="O1449" s="3">
        <v>0.876111085140582</v>
      </c>
      <c r="P1449" s="3">
        <v>0.729488289195244</v>
      </c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</row>
    <row r="1450" spans="1:35" x14ac:dyDescent="0.45">
      <c r="A1450" s="3" t="s">
        <v>69</v>
      </c>
      <c r="B1450" s="3" t="s">
        <v>5</v>
      </c>
      <c r="C1450" s="3" t="s">
        <v>6</v>
      </c>
      <c r="D1450" s="3" t="s">
        <v>7</v>
      </c>
      <c r="E1450" s="3" t="s">
        <v>32</v>
      </c>
      <c r="F1450" s="3">
        <v>6.4071508432126604E-5</v>
      </c>
      <c r="G1450" s="3">
        <v>0</v>
      </c>
      <c r="H1450" s="3">
        <v>0</v>
      </c>
      <c r="I1450" s="3">
        <v>0</v>
      </c>
      <c r="J1450" s="3">
        <v>0</v>
      </c>
      <c r="K1450" s="3">
        <v>1.6198842925744999E-4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</row>
    <row r="1451" spans="1:35" x14ac:dyDescent="0.45">
      <c r="A1451" s="3" t="s">
        <v>69</v>
      </c>
      <c r="B1451" s="3" t="s">
        <v>5</v>
      </c>
      <c r="C1451" s="3" t="s">
        <v>6</v>
      </c>
      <c r="D1451" s="3" t="s">
        <v>9</v>
      </c>
      <c r="E1451" s="3" t="s">
        <v>32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3.6663055458942501E-4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</row>
    <row r="1452" spans="1:35" x14ac:dyDescent="0.45">
      <c r="A1452" s="3" t="s">
        <v>69</v>
      </c>
      <c r="B1452" s="3" t="s">
        <v>5</v>
      </c>
      <c r="C1452" s="3" t="s">
        <v>6</v>
      </c>
      <c r="D1452" s="3" t="s">
        <v>10</v>
      </c>
      <c r="E1452" s="3" t="s">
        <v>32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6.9287086812117797E-4</v>
      </c>
      <c r="L1452" s="3">
        <v>0</v>
      </c>
      <c r="M1452" s="3">
        <v>5.1383239943492902E-4</v>
      </c>
      <c r="N1452" s="3">
        <v>5.4408463130623799E-3</v>
      </c>
      <c r="O1452" s="3">
        <v>1.4066508551827801E-2</v>
      </c>
      <c r="P1452" s="3">
        <v>1.58752210869346E-2</v>
      </c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</row>
    <row r="1453" spans="1:35" x14ac:dyDescent="0.45">
      <c r="A1453" s="3" t="s">
        <v>69</v>
      </c>
      <c r="B1453" s="3" t="s">
        <v>5</v>
      </c>
      <c r="C1453" s="3" t="s">
        <v>6</v>
      </c>
      <c r="D1453" s="3" t="s">
        <v>11</v>
      </c>
      <c r="E1453" s="3" t="s">
        <v>32</v>
      </c>
      <c r="F1453" s="3">
        <v>0</v>
      </c>
      <c r="G1453" s="3">
        <v>0</v>
      </c>
      <c r="H1453" s="3">
        <v>0</v>
      </c>
      <c r="I1453" s="3">
        <v>0</v>
      </c>
      <c r="J1453" s="3">
        <v>1.95139491345996E-4</v>
      </c>
      <c r="K1453" s="3">
        <v>1.66603055786237E-3</v>
      </c>
      <c r="L1453" s="3">
        <v>9.7708586680836096E-3</v>
      </c>
      <c r="M1453" s="3">
        <v>1.4348142027675599E-2</v>
      </c>
      <c r="N1453" s="3">
        <v>1.2765555193052501E-2</v>
      </c>
      <c r="O1453" s="3">
        <v>1.0306022295891301E-2</v>
      </c>
      <c r="P1453" s="3">
        <v>2.3521455196012401E-2</v>
      </c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</row>
    <row r="1454" spans="1:35" x14ac:dyDescent="0.45">
      <c r="A1454" s="3" t="s">
        <v>69</v>
      </c>
      <c r="B1454" s="3" t="s">
        <v>5</v>
      </c>
      <c r="C1454" s="3" t="s">
        <v>6</v>
      </c>
      <c r="D1454" s="3" t="s">
        <v>12</v>
      </c>
      <c r="E1454" s="3" t="s">
        <v>32</v>
      </c>
      <c r="F1454" s="3">
        <v>0</v>
      </c>
      <c r="G1454" s="3">
        <v>0</v>
      </c>
      <c r="H1454" s="3">
        <v>0</v>
      </c>
      <c r="I1454" s="3">
        <v>0</v>
      </c>
      <c r="J1454" s="3">
        <v>8.4021572097817809E-3</v>
      </c>
      <c r="K1454" s="3">
        <v>1.7322321350328702E-2</v>
      </c>
      <c r="L1454" s="3">
        <v>1.5775916176297498E-2</v>
      </c>
      <c r="M1454" s="3">
        <v>2.8017379932967199E-2</v>
      </c>
      <c r="N1454" s="3">
        <v>4.0811172595844797E-2</v>
      </c>
      <c r="O1454" s="3">
        <v>4.9414449221595498E-2</v>
      </c>
      <c r="P1454" s="3">
        <v>4.6848454725560297E-2</v>
      </c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</row>
    <row r="1455" spans="1:35" x14ac:dyDescent="0.45">
      <c r="A1455" s="3" t="s">
        <v>69</v>
      </c>
      <c r="B1455" s="3" t="s">
        <v>5</v>
      </c>
      <c r="C1455" s="3" t="s">
        <v>6</v>
      </c>
      <c r="D1455" s="3" t="s">
        <v>13</v>
      </c>
      <c r="E1455" s="3" t="s">
        <v>32</v>
      </c>
      <c r="F1455" s="3">
        <v>0</v>
      </c>
      <c r="G1455" s="3">
        <v>0</v>
      </c>
      <c r="H1455" s="3">
        <v>0</v>
      </c>
      <c r="I1455" s="3">
        <v>1.5915490683974302E-2</v>
      </c>
      <c r="J1455" s="3">
        <v>2.8492804826216099E-2</v>
      </c>
      <c r="K1455" s="3">
        <v>3.3654086882922402E-2</v>
      </c>
      <c r="L1455" s="3">
        <v>4.2959827627984698E-2</v>
      </c>
      <c r="M1455" s="3">
        <v>3.8812803705013103E-2</v>
      </c>
      <c r="N1455" s="3">
        <v>3.3646787349379301E-2</v>
      </c>
      <c r="O1455" s="3">
        <v>2.8524158505474299E-2</v>
      </c>
      <c r="P1455" s="3">
        <v>2.9883470823350099E-2</v>
      </c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</row>
    <row r="1456" spans="1:35" x14ac:dyDescent="0.45">
      <c r="A1456" s="3" t="s">
        <v>69</v>
      </c>
      <c r="B1456" s="3" t="s">
        <v>5</v>
      </c>
      <c r="C1456" s="3" t="s">
        <v>6</v>
      </c>
      <c r="D1456" s="3" t="s">
        <v>14</v>
      </c>
      <c r="E1456" s="3" t="s">
        <v>32</v>
      </c>
      <c r="F1456" s="3">
        <v>0</v>
      </c>
      <c r="G1456" s="3">
        <v>2.5886496304960998E-4</v>
      </c>
      <c r="H1456" s="3">
        <v>2.5886496304960998E-4</v>
      </c>
      <c r="I1456" s="3">
        <v>3.0639969053702899E-2</v>
      </c>
      <c r="J1456" s="3">
        <v>2.63090430648425E-2</v>
      </c>
      <c r="K1456" s="3">
        <v>3.0555603728471999E-2</v>
      </c>
      <c r="L1456" s="3">
        <v>3.7355385896424897E-2</v>
      </c>
      <c r="M1456" s="3">
        <v>4.1215608366833897E-2</v>
      </c>
      <c r="N1456" s="3">
        <v>4.8200445720380902E-2</v>
      </c>
      <c r="O1456" s="3">
        <v>5.1720981345303702E-2</v>
      </c>
      <c r="P1456" s="3">
        <v>4.9518591073457699E-2</v>
      </c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</row>
    <row r="1457" spans="1:35" x14ac:dyDescent="0.45">
      <c r="A1457" s="3" t="s">
        <v>69</v>
      </c>
      <c r="B1457" s="3" t="s">
        <v>5</v>
      </c>
      <c r="C1457" s="3" t="s">
        <v>15</v>
      </c>
      <c r="D1457" s="3" t="s">
        <v>7</v>
      </c>
      <c r="E1457" s="3" t="s">
        <v>32</v>
      </c>
      <c r="F1457" s="3">
        <v>2.36178099389888E-2</v>
      </c>
      <c r="G1457" s="3">
        <v>3.4055773883019197E-2</v>
      </c>
      <c r="H1457" s="3">
        <v>3.4055773883019197E-2</v>
      </c>
      <c r="I1457" s="3">
        <v>4.1926243838013202E-2</v>
      </c>
      <c r="J1457" s="3">
        <v>4.8111538415876801E-2</v>
      </c>
      <c r="K1457" s="3">
        <v>5.3704742543867798E-2</v>
      </c>
      <c r="L1457" s="3">
        <v>5.5361256834692597E-2</v>
      </c>
      <c r="M1457" s="3">
        <v>5.66752661428239E-2</v>
      </c>
      <c r="N1457" s="3">
        <v>5.78360223277102E-2</v>
      </c>
      <c r="O1457" s="3">
        <v>5.8934421184820701E-2</v>
      </c>
      <c r="P1457" s="3">
        <v>5.9761791154779698E-2</v>
      </c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</row>
    <row r="1458" spans="1:35" x14ac:dyDescent="0.45">
      <c r="A1458" s="3" t="s">
        <v>69</v>
      </c>
      <c r="B1458" s="3" t="s">
        <v>5</v>
      </c>
      <c r="C1458" s="3" t="s">
        <v>15</v>
      </c>
      <c r="D1458" s="3" t="s">
        <v>9</v>
      </c>
      <c r="E1458" s="3" t="s">
        <v>32</v>
      </c>
      <c r="F1458" s="3">
        <v>0</v>
      </c>
      <c r="G1458" s="3">
        <v>-6.8632825756406696E-5</v>
      </c>
      <c r="H1458" s="3">
        <v>-6.8632825756406696E-5</v>
      </c>
      <c r="I1458" s="3">
        <v>-1.60817120917443E-4</v>
      </c>
      <c r="J1458" s="3">
        <v>6.4303302553338202E-5</v>
      </c>
      <c r="K1458" s="3">
        <v>1.3262636389115E-5</v>
      </c>
      <c r="L1458" s="3">
        <v>1.26736941374203E-2</v>
      </c>
      <c r="M1458" s="3">
        <v>1.6033894231020002E-2</v>
      </c>
      <c r="N1458" s="3">
        <v>1.9051049043131301E-2</v>
      </c>
      <c r="O1458" s="3">
        <v>2.1450605680535199E-2</v>
      </c>
      <c r="P1458" s="3">
        <v>2.3723005324793298E-2</v>
      </c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</row>
    <row r="1459" spans="1:35" x14ac:dyDescent="0.45">
      <c r="A1459" s="3" t="s">
        <v>69</v>
      </c>
      <c r="B1459" s="3" t="s">
        <v>5</v>
      </c>
      <c r="C1459" s="3" t="s">
        <v>15</v>
      </c>
      <c r="D1459" s="3" t="s">
        <v>10</v>
      </c>
      <c r="E1459" s="3" t="s">
        <v>32</v>
      </c>
      <c r="F1459" s="3">
        <v>0</v>
      </c>
      <c r="G1459" s="3">
        <v>0</v>
      </c>
      <c r="H1459" s="3">
        <v>0</v>
      </c>
      <c r="I1459" s="3">
        <v>-3.06249045011545E-5</v>
      </c>
      <c r="J1459" s="3">
        <v>-1.2642532918737801E-4</v>
      </c>
      <c r="K1459" s="3">
        <v>7.2813205069130402E-3</v>
      </c>
      <c r="L1459" s="3">
        <v>-3.5862136284309199E-4</v>
      </c>
      <c r="M1459" s="3">
        <v>-1.6956409426008301E-4</v>
      </c>
      <c r="N1459" s="3">
        <v>2.8392745306891898E-4</v>
      </c>
      <c r="O1459" s="3">
        <v>1.0879395954774E-3</v>
      </c>
      <c r="P1459" s="3">
        <v>1.5727206684135E-3</v>
      </c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</row>
    <row r="1460" spans="1:35" x14ac:dyDescent="0.45">
      <c r="A1460" s="3" t="s">
        <v>69</v>
      </c>
      <c r="B1460" s="3" t="s">
        <v>5</v>
      </c>
      <c r="C1460" s="3" t="s">
        <v>15</v>
      </c>
      <c r="D1460" s="3" t="s">
        <v>11</v>
      </c>
      <c r="E1460" s="3" t="s">
        <v>32</v>
      </c>
      <c r="F1460" s="3">
        <v>0</v>
      </c>
      <c r="G1460" s="3">
        <v>0</v>
      </c>
      <c r="H1460" s="3">
        <v>0</v>
      </c>
      <c r="I1460" s="3">
        <v>4.9746232146881397E-5</v>
      </c>
      <c r="J1460" s="3">
        <v>5.6426980523692598E-3</v>
      </c>
      <c r="K1460" s="3">
        <v>1.71584853956103E-4</v>
      </c>
      <c r="L1460" s="3">
        <v>7.5369664779230405E-4</v>
      </c>
      <c r="M1460" s="3">
        <v>1.32611777423382E-3</v>
      </c>
      <c r="N1460" s="3">
        <v>1.05208706743519E-3</v>
      </c>
      <c r="O1460" s="3">
        <v>2.28330052266107E-4</v>
      </c>
      <c r="P1460" s="3">
        <v>-7.1538138934010298E-4</v>
      </c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</row>
    <row r="1461" spans="1:35" x14ac:dyDescent="0.45">
      <c r="A1461" s="3" t="s">
        <v>69</v>
      </c>
      <c r="B1461" s="3" t="s">
        <v>5</v>
      </c>
      <c r="C1461" s="3" t="s">
        <v>15</v>
      </c>
      <c r="D1461" s="3" t="s">
        <v>12</v>
      </c>
      <c r="E1461" s="3" t="s">
        <v>32</v>
      </c>
      <c r="F1461" s="3">
        <v>0</v>
      </c>
      <c r="G1461" s="3">
        <v>-3.2851227831295897E-5</v>
      </c>
      <c r="H1461" s="3">
        <v>-3.2851227831295897E-5</v>
      </c>
      <c r="I1461" s="3">
        <v>6.2359146162660499E-3</v>
      </c>
      <c r="J1461" s="3">
        <v>6.4240885706746997E-4</v>
      </c>
      <c r="K1461" s="3">
        <v>1.2434017580695801E-3</v>
      </c>
      <c r="L1461" s="3">
        <v>-2.9252603039181501E-6</v>
      </c>
      <c r="M1461" s="3">
        <v>-5.5248689190487399E-4</v>
      </c>
      <c r="N1461" s="3">
        <v>-1.0519018451880899E-3</v>
      </c>
      <c r="O1461" s="3">
        <v>-1.6623076559922499E-3</v>
      </c>
      <c r="P1461" s="3">
        <v>-2.02612059181959E-3</v>
      </c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</row>
    <row r="1462" spans="1:35" x14ac:dyDescent="0.45">
      <c r="A1462" s="3" t="s">
        <v>69</v>
      </c>
      <c r="B1462" s="3" t="s">
        <v>5</v>
      </c>
      <c r="C1462" s="3" t="s">
        <v>15</v>
      </c>
      <c r="D1462" s="3" t="s">
        <v>13</v>
      </c>
      <c r="E1462" s="3" t="s">
        <v>32</v>
      </c>
      <c r="F1462" s="3">
        <v>0</v>
      </c>
      <c r="G1462" s="3">
        <v>2.2129542521761802E-3</v>
      </c>
      <c r="H1462" s="3">
        <v>2.2129542521761802E-3</v>
      </c>
      <c r="I1462" s="3">
        <v>-2.5692420386445201E-3</v>
      </c>
      <c r="J1462" s="3">
        <v>-1.6192418340155901E-3</v>
      </c>
      <c r="K1462" s="3">
        <v>-2.0440428966440301E-3</v>
      </c>
      <c r="L1462" s="3">
        <v>-3.2486973502561401E-3</v>
      </c>
      <c r="M1462" s="3">
        <v>-4.5098836714282803E-3</v>
      </c>
      <c r="N1462" s="3">
        <v>-5.1012847453144501E-3</v>
      </c>
      <c r="O1462" s="3">
        <v>-5.6255390209909604E-3</v>
      </c>
      <c r="P1462" s="3">
        <v>-6.2794842124247003E-3</v>
      </c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</row>
    <row r="1463" spans="1:35" x14ac:dyDescent="0.45">
      <c r="A1463" s="3" t="s">
        <v>69</v>
      </c>
      <c r="B1463" s="3" t="s">
        <v>5</v>
      </c>
      <c r="C1463" s="3" t="s">
        <v>15</v>
      </c>
      <c r="D1463" s="3" t="s">
        <v>14</v>
      </c>
      <c r="E1463" s="3" t="s">
        <v>32</v>
      </c>
      <c r="F1463" s="3">
        <v>0</v>
      </c>
      <c r="G1463" s="3">
        <v>-6.4832181859590698E-4</v>
      </c>
      <c r="H1463" s="3">
        <v>-6.4832181859590698E-4</v>
      </c>
      <c r="I1463" s="3">
        <v>-2.4671695830555201E-3</v>
      </c>
      <c r="J1463" s="3">
        <v>-3.2464656842792401E-3</v>
      </c>
      <c r="K1463" s="3">
        <v>-5.20702085327783E-3</v>
      </c>
      <c r="L1463" s="3">
        <v>-6.0951870937213702E-3</v>
      </c>
      <c r="M1463" s="3">
        <v>-6.7932910747226603E-3</v>
      </c>
      <c r="N1463" s="3">
        <v>-7.7634012499917197E-3</v>
      </c>
      <c r="O1463" s="3">
        <v>-8.3377982598582499E-3</v>
      </c>
      <c r="P1463" s="3">
        <v>-8.9347902833418497E-3</v>
      </c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</row>
    <row r="1464" spans="1:35" x14ac:dyDescent="0.45">
      <c r="A1464" s="3" t="s">
        <v>69</v>
      </c>
      <c r="B1464" s="3" t="s">
        <v>5</v>
      </c>
      <c r="C1464" s="3" t="s">
        <v>16</v>
      </c>
      <c r="D1464" s="3" t="s">
        <v>7</v>
      </c>
      <c r="E1464" s="3" t="s">
        <v>32</v>
      </c>
      <c r="F1464" s="3">
        <v>3.7121776826473503E-2</v>
      </c>
      <c r="G1464" s="3">
        <v>4.4967495621504101E-2</v>
      </c>
      <c r="H1464" s="3">
        <v>4.4967495621504101E-2</v>
      </c>
      <c r="I1464" s="3">
        <v>2.2955698952773301E-2</v>
      </c>
      <c r="J1464" s="3">
        <v>1.28876048639338E-2</v>
      </c>
      <c r="K1464" s="3">
        <v>1.28876048639338E-2</v>
      </c>
      <c r="L1464" s="3">
        <v>1.28876048639338E-2</v>
      </c>
      <c r="M1464" s="3">
        <v>1.28876048639338E-2</v>
      </c>
      <c r="N1464" s="3">
        <v>1.28876048639338E-2</v>
      </c>
      <c r="O1464" s="3">
        <v>1.28876048639338E-2</v>
      </c>
      <c r="P1464" s="3">
        <v>1.28876048639338E-2</v>
      </c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</row>
    <row r="1465" spans="1:35" x14ac:dyDescent="0.45">
      <c r="A1465" s="3" t="s">
        <v>69</v>
      </c>
      <c r="B1465" s="3" t="s">
        <v>5</v>
      </c>
      <c r="C1465" s="3" t="s">
        <v>16</v>
      </c>
      <c r="D1465" s="3" t="s">
        <v>9</v>
      </c>
      <c r="E1465" s="3" t="s">
        <v>32</v>
      </c>
      <c r="F1465" s="3">
        <v>0</v>
      </c>
      <c r="G1465" s="3">
        <v>1.9983977853473001E-5</v>
      </c>
      <c r="H1465" s="3">
        <v>1.9983977853473001E-5</v>
      </c>
      <c r="I1465" s="3">
        <v>1.9974892450220399E-5</v>
      </c>
      <c r="J1465" s="3">
        <v>1.9974891710667801E-5</v>
      </c>
      <c r="K1465" s="3">
        <v>1.9974891710667801E-5</v>
      </c>
      <c r="L1465" s="3">
        <v>1.9974891710667801E-5</v>
      </c>
      <c r="M1465" s="3">
        <v>1.9974891710667801E-5</v>
      </c>
      <c r="N1465" s="3">
        <v>1.9974891710667801E-5</v>
      </c>
      <c r="O1465" s="3">
        <v>1.9974891710667801E-5</v>
      </c>
      <c r="P1465" s="3">
        <v>1.9974891710667801E-5</v>
      </c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</row>
    <row r="1466" spans="1:35" x14ac:dyDescent="0.45">
      <c r="A1466" s="3" t="s">
        <v>69</v>
      </c>
      <c r="B1466" s="3" t="s">
        <v>5</v>
      </c>
      <c r="C1466" s="3" t="s">
        <v>16</v>
      </c>
      <c r="D1466" s="3" t="s">
        <v>10</v>
      </c>
      <c r="E1466" s="3" t="s">
        <v>32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</row>
    <row r="1467" spans="1:35" x14ac:dyDescent="0.45">
      <c r="A1467" s="3" t="s">
        <v>69</v>
      </c>
      <c r="B1467" s="3" t="s">
        <v>5</v>
      </c>
      <c r="C1467" s="3" t="s">
        <v>16</v>
      </c>
      <c r="D1467" s="3" t="s">
        <v>11</v>
      </c>
      <c r="E1467" s="3" t="s">
        <v>32</v>
      </c>
      <c r="F1467" s="3">
        <v>0</v>
      </c>
      <c r="G1467" s="3">
        <v>1.1796119636642301E-16</v>
      </c>
      <c r="H1467" s="3">
        <v>1.1796119636642301E-16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</row>
    <row r="1468" spans="1:35" x14ac:dyDescent="0.45">
      <c r="A1468" s="3" t="s">
        <v>69</v>
      </c>
      <c r="B1468" s="3" t="s">
        <v>5</v>
      </c>
      <c r="C1468" s="3" t="s">
        <v>16</v>
      </c>
      <c r="D1468" s="3" t="s">
        <v>12</v>
      </c>
      <c r="E1468" s="3" t="s">
        <v>32</v>
      </c>
      <c r="F1468" s="3">
        <v>0</v>
      </c>
      <c r="G1468" s="3">
        <v>3.8286014355196101E-5</v>
      </c>
      <c r="H1468" s="3">
        <v>3.8286014355196101E-5</v>
      </c>
      <c r="I1468" s="3">
        <v>3.8268505721191602E-5</v>
      </c>
      <c r="J1468" s="3">
        <v>3.8268504296314099E-5</v>
      </c>
      <c r="K1468" s="3">
        <v>3.8268504296314099E-5</v>
      </c>
      <c r="L1468" s="3">
        <v>3.8268504296314099E-5</v>
      </c>
      <c r="M1468" s="3">
        <v>3.8268504296314099E-5</v>
      </c>
      <c r="N1468" s="3">
        <v>3.9729987541524797E-5</v>
      </c>
      <c r="O1468" s="3">
        <v>4.1264129579462703E-5</v>
      </c>
      <c r="P1468" s="3">
        <v>4.2789633418915999E-5</v>
      </c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</row>
    <row r="1469" spans="1:35" x14ac:dyDescent="0.45">
      <c r="A1469" s="3" t="s">
        <v>69</v>
      </c>
      <c r="B1469" s="3" t="s">
        <v>5</v>
      </c>
      <c r="C1469" s="3" t="s">
        <v>16</v>
      </c>
      <c r="D1469" s="3" t="s">
        <v>13</v>
      </c>
      <c r="E1469" s="3" t="s">
        <v>32</v>
      </c>
      <c r="F1469" s="3">
        <v>0</v>
      </c>
      <c r="G1469" s="3">
        <v>-5.8269992208787002E-5</v>
      </c>
      <c r="H1469" s="3">
        <v>-5.8269992208787002E-5</v>
      </c>
      <c r="I1469" s="3">
        <v>-5.8243398171411997E-5</v>
      </c>
      <c r="J1469" s="3">
        <v>-5.6781875354334703E-5</v>
      </c>
      <c r="K1469" s="3">
        <v>-5.3722151163287601E-5</v>
      </c>
      <c r="L1469" s="3">
        <v>-5.3722151163287601E-5</v>
      </c>
      <c r="M1469" s="3">
        <v>-5.3722151163287601E-5</v>
      </c>
      <c r="N1469" s="3">
        <v>-5.5183634408498299E-5</v>
      </c>
      <c r="O1469" s="3">
        <v>-5.6717776446436198E-5</v>
      </c>
      <c r="P1469" s="3">
        <v>-5.82432802858895E-5</v>
      </c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</row>
    <row r="1470" spans="1:35" x14ac:dyDescent="0.45">
      <c r="A1470" s="3" t="s">
        <v>69</v>
      </c>
      <c r="B1470" s="3" t="s">
        <v>5</v>
      </c>
      <c r="C1470" s="3" t="s">
        <v>16</v>
      </c>
      <c r="D1470" s="3" t="s">
        <v>14</v>
      </c>
      <c r="E1470" s="3" t="s">
        <v>32</v>
      </c>
      <c r="F1470" s="3">
        <v>0</v>
      </c>
      <c r="G1470" s="3">
        <v>-6.9175403295665405E-5</v>
      </c>
      <c r="H1470" s="3">
        <v>-6.9175403295665405E-5</v>
      </c>
      <c r="I1470" s="3">
        <v>-1.4691280987230699E-7</v>
      </c>
      <c r="J1470" s="3">
        <v>1.36742587477506E-6</v>
      </c>
      <c r="K1470" s="3">
        <v>-1.6922983162720499E-6</v>
      </c>
      <c r="L1470" s="3">
        <v>-1.6922983162720499E-6</v>
      </c>
      <c r="M1470" s="3">
        <v>-1.6922983162720499E-6</v>
      </c>
      <c r="N1470" s="3">
        <v>-1.6922983162720499E-6</v>
      </c>
      <c r="O1470" s="3">
        <v>-1.6922983162720499E-6</v>
      </c>
      <c r="P1470" s="3">
        <v>-1.6922983162720499E-6</v>
      </c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</row>
    <row r="1471" spans="1:35" x14ac:dyDescent="0.45">
      <c r="A1471" s="3" t="s">
        <v>69</v>
      </c>
      <c r="B1471" s="3" t="s">
        <v>5</v>
      </c>
      <c r="C1471" s="3" t="s">
        <v>17</v>
      </c>
      <c r="D1471" s="3" t="s">
        <v>7</v>
      </c>
      <c r="E1471" s="3" t="s">
        <v>32</v>
      </c>
      <c r="F1471" s="3">
        <v>6.1997424191724201E-3</v>
      </c>
      <c r="G1471" s="3">
        <v>7.2236026937381103E-3</v>
      </c>
      <c r="H1471" s="3">
        <v>7.2236026937381103E-3</v>
      </c>
      <c r="I1471" s="3">
        <v>7.8592845640822508E-3</v>
      </c>
      <c r="J1471" s="3">
        <v>7.8593399000623006E-3</v>
      </c>
      <c r="K1471" s="3">
        <v>7.8593399000622798E-3</v>
      </c>
      <c r="L1471" s="3">
        <v>7.8593399000623006E-3</v>
      </c>
      <c r="M1471" s="3">
        <v>7.8593399000623006E-3</v>
      </c>
      <c r="N1471" s="3">
        <v>7.8593399000622798E-3</v>
      </c>
      <c r="O1471" s="3">
        <v>7.8593399000623006E-3</v>
      </c>
      <c r="P1471" s="3">
        <v>7.8593399000623006E-3</v>
      </c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</row>
    <row r="1472" spans="1:35" x14ac:dyDescent="0.45">
      <c r="A1472" s="3" t="s">
        <v>69</v>
      </c>
      <c r="B1472" s="3" t="s">
        <v>5</v>
      </c>
      <c r="C1472" s="3" t="s">
        <v>17</v>
      </c>
      <c r="D1472" s="3" t="s">
        <v>9</v>
      </c>
      <c r="E1472" s="3" t="s">
        <v>32</v>
      </c>
      <c r="F1472" s="3">
        <v>0</v>
      </c>
      <c r="G1472" s="3">
        <v>1.25503912354451E-5</v>
      </c>
      <c r="H1472" s="3">
        <v>1.25503912354451E-5</v>
      </c>
      <c r="I1472" s="3">
        <v>1.25448327748402E-5</v>
      </c>
      <c r="J1472" s="3">
        <v>1.25448322909703E-5</v>
      </c>
      <c r="K1472" s="3">
        <v>1.2544832290994599E-5</v>
      </c>
      <c r="L1472" s="3">
        <v>9.6623857866477898E-4</v>
      </c>
      <c r="M1472" s="3">
        <v>7.8264134806432101E-4</v>
      </c>
      <c r="N1472" s="3">
        <v>8.3799389934404399E-4</v>
      </c>
      <c r="O1472" s="3">
        <v>9.63859082705543E-4</v>
      </c>
      <c r="P1472" s="3">
        <v>1.47473874222617E-3</v>
      </c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</row>
    <row r="1473" spans="1:35" x14ac:dyDescent="0.45">
      <c r="A1473" s="3" t="s">
        <v>69</v>
      </c>
      <c r="B1473" s="3" t="s">
        <v>5</v>
      </c>
      <c r="C1473" s="3" t="s">
        <v>17</v>
      </c>
      <c r="D1473" s="3" t="s">
        <v>10</v>
      </c>
      <c r="E1473" s="3" t="s">
        <v>32</v>
      </c>
      <c r="F1473" s="3">
        <v>0</v>
      </c>
      <c r="G1473" s="3">
        <v>0</v>
      </c>
      <c r="H1473" s="3">
        <v>0</v>
      </c>
      <c r="I1473" s="3">
        <v>0</v>
      </c>
      <c r="J1473" s="3">
        <v>1.0408340855860799E-17</v>
      </c>
      <c r="K1473" s="3">
        <v>6.6359441460430899E-4</v>
      </c>
      <c r="L1473" s="3">
        <v>-2.7805862325426902E-4</v>
      </c>
      <c r="M1473" s="3">
        <v>3.56979688718006E-3</v>
      </c>
      <c r="N1473" s="3">
        <v>6.3563676730338499E-3</v>
      </c>
      <c r="O1473" s="3">
        <v>6.2870737674575201E-3</v>
      </c>
      <c r="P1473" s="3">
        <v>5.7761941079368896E-3</v>
      </c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</row>
    <row r="1474" spans="1:35" x14ac:dyDescent="0.45">
      <c r="A1474" s="3" t="s">
        <v>69</v>
      </c>
      <c r="B1474" s="3" t="s">
        <v>5</v>
      </c>
      <c r="C1474" s="3" t="s">
        <v>17</v>
      </c>
      <c r="D1474" s="3" t="s">
        <v>11</v>
      </c>
      <c r="E1474" s="3" t="s">
        <v>32</v>
      </c>
      <c r="F1474" s="3">
        <v>0</v>
      </c>
      <c r="G1474" s="3">
        <v>0</v>
      </c>
      <c r="H1474" s="3">
        <v>0</v>
      </c>
      <c r="I1474" s="3">
        <v>0</v>
      </c>
      <c r="J1474" s="3">
        <v>2.0632832773579901E-4</v>
      </c>
      <c r="K1474" s="3">
        <v>4.3188680454829898E-3</v>
      </c>
      <c r="L1474" s="3">
        <v>6.5061353467508196E-3</v>
      </c>
      <c r="M1474" s="3">
        <v>2.8974389150004799E-3</v>
      </c>
      <c r="N1474" s="3">
        <v>5.5515577867091797E-5</v>
      </c>
      <c r="O1474" s="3">
        <v>4.4053718484086999E-6</v>
      </c>
      <c r="P1474" s="3">
        <v>3.7359292637590198E-5</v>
      </c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</row>
    <row r="1475" spans="1:35" x14ac:dyDescent="0.45">
      <c r="A1475" s="3" t="s">
        <v>69</v>
      </c>
      <c r="B1475" s="3" t="s">
        <v>5</v>
      </c>
      <c r="C1475" s="3" t="s">
        <v>17</v>
      </c>
      <c r="D1475" s="3" t="s">
        <v>12</v>
      </c>
      <c r="E1475" s="3" t="s">
        <v>32</v>
      </c>
      <c r="F1475" s="3">
        <v>0</v>
      </c>
      <c r="G1475" s="3">
        <v>2.4044485163417201E-5</v>
      </c>
      <c r="H1475" s="3">
        <v>2.4044485163417201E-5</v>
      </c>
      <c r="I1475" s="3">
        <v>2.4033773360285199E-5</v>
      </c>
      <c r="J1475" s="3">
        <v>6.8838143471357501E-3</v>
      </c>
      <c r="K1475" s="3">
        <v>2.2888522300596602E-3</v>
      </c>
      <c r="L1475" s="3">
        <v>1.18222818982753E-4</v>
      </c>
      <c r="M1475" s="3">
        <v>1.13763842647122E-4</v>
      </c>
      <c r="N1475" s="3">
        <v>1.6389647901198499E-4</v>
      </c>
      <c r="O1475" s="3">
        <v>1.7436010843547301E-4</v>
      </c>
      <c r="P1475" s="3">
        <v>1.8562589214722599E-4</v>
      </c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</row>
    <row r="1476" spans="1:35" x14ac:dyDescent="0.45">
      <c r="A1476" s="3" t="s">
        <v>69</v>
      </c>
      <c r="B1476" s="3" t="s">
        <v>5</v>
      </c>
      <c r="C1476" s="3" t="s">
        <v>17</v>
      </c>
      <c r="D1476" s="3" t="s">
        <v>13</v>
      </c>
      <c r="E1476" s="3" t="s">
        <v>32</v>
      </c>
      <c r="F1476" s="3">
        <v>0</v>
      </c>
      <c r="G1476" s="3">
        <v>-3.6594876398862399E-5</v>
      </c>
      <c r="H1476" s="3">
        <v>-3.6594876398862399E-5</v>
      </c>
      <c r="I1476" s="3">
        <v>7.2381314336589604E-3</v>
      </c>
      <c r="J1476" s="3">
        <v>2.7516932786429498E-4</v>
      </c>
      <c r="K1476" s="3">
        <v>1.5217295412483901E-4</v>
      </c>
      <c r="L1476" s="3">
        <v>1.2596845067956001E-4</v>
      </c>
      <c r="M1476" s="3">
        <v>1.3593657455897499E-4</v>
      </c>
      <c r="N1476" s="3">
        <v>8.7027785571517496E-5</v>
      </c>
      <c r="O1476" s="3">
        <v>7.1103084381532496E-5</v>
      </c>
      <c r="P1476" s="3">
        <v>3.0767522035637902E-5</v>
      </c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</row>
    <row r="1477" spans="1:35" x14ac:dyDescent="0.45">
      <c r="A1477" s="3" t="s">
        <v>69</v>
      </c>
      <c r="B1477" s="3" t="s">
        <v>5</v>
      </c>
      <c r="C1477" s="3" t="s">
        <v>17</v>
      </c>
      <c r="D1477" s="3" t="s">
        <v>14</v>
      </c>
      <c r="E1477" s="3" t="s">
        <v>32</v>
      </c>
      <c r="F1477" s="3">
        <v>0</v>
      </c>
      <c r="G1477" s="3">
        <v>-4.19337284943569E-5</v>
      </c>
      <c r="H1477" s="3">
        <v>-4.19337284943569E-5</v>
      </c>
      <c r="I1477" s="3">
        <v>1.0511676411591501E-4</v>
      </c>
      <c r="J1477" s="3">
        <v>9.9027721760991006E-5</v>
      </c>
      <c r="K1477" s="3">
        <v>6.4336399776193E-5</v>
      </c>
      <c r="L1477" s="3">
        <v>6.5746414936817806E-5</v>
      </c>
      <c r="M1477" s="3">
        <v>6.3951199532324299E-6</v>
      </c>
      <c r="N1477" s="3">
        <v>5.2346265957264898E-6</v>
      </c>
      <c r="O1477" s="3">
        <v>5.3801380383126903E-6</v>
      </c>
      <c r="P1477" s="3">
        <v>1.72010308185228E-6</v>
      </c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</row>
    <row r="1478" spans="1:35" x14ac:dyDescent="0.45">
      <c r="A1478" s="3" t="s">
        <v>69</v>
      </c>
      <c r="B1478" s="3" t="s">
        <v>5</v>
      </c>
      <c r="C1478" s="3" t="s">
        <v>18</v>
      </c>
      <c r="D1478" s="3" t="s">
        <v>7</v>
      </c>
      <c r="E1478" s="3" t="s">
        <v>32</v>
      </c>
      <c r="F1478" s="3">
        <v>3.8901597945623201E-2</v>
      </c>
      <c r="G1478" s="3">
        <v>2.9220312404678501E-2</v>
      </c>
      <c r="H1478" s="3">
        <v>2.9220312404678501E-2</v>
      </c>
      <c r="I1478" s="3">
        <v>1.07133094586694E-2</v>
      </c>
      <c r="J1478" s="3">
        <v>4.3775884540630302E-3</v>
      </c>
      <c r="K1478" s="3">
        <v>0</v>
      </c>
      <c r="L1478" s="3">
        <v>0</v>
      </c>
      <c r="M1478" s="3">
        <v>0</v>
      </c>
      <c r="N1478" s="3">
        <v>0</v>
      </c>
      <c r="O1478" s="3">
        <v>6.5864503596122E-18</v>
      </c>
      <c r="P1478" s="3">
        <v>1.1526288129321401E-17</v>
      </c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</row>
    <row r="1479" spans="1:35" x14ac:dyDescent="0.45">
      <c r="A1479" s="3" t="s">
        <v>69</v>
      </c>
      <c r="B1479" s="3" t="s">
        <v>5</v>
      </c>
      <c r="C1479" s="3" t="s">
        <v>18</v>
      </c>
      <c r="D1479" s="3" t="s">
        <v>9</v>
      </c>
      <c r="E1479" s="3" t="s">
        <v>32</v>
      </c>
      <c r="F1479" s="3">
        <v>0</v>
      </c>
      <c r="G1479" s="3">
        <v>1.1796119636642301E-16</v>
      </c>
      <c r="H1479" s="3">
        <v>1.1796119636642301E-16</v>
      </c>
      <c r="I1479" s="3">
        <v>0</v>
      </c>
      <c r="J1479" s="3">
        <v>1.21430643318376E-17</v>
      </c>
      <c r="K1479" s="3">
        <v>0</v>
      </c>
      <c r="L1479" s="3">
        <v>1.64661258990306E-18</v>
      </c>
      <c r="M1479" s="3">
        <v>1.9759351078836501E-17</v>
      </c>
      <c r="N1479" s="3">
        <v>3.2932251798061E-18</v>
      </c>
      <c r="O1479" s="3">
        <v>9.8796755394183598E-18</v>
      </c>
      <c r="P1479" s="3">
        <v>-3.2932251798061E-18</v>
      </c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</row>
    <row r="1480" spans="1:35" x14ac:dyDescent="0.45">
      <c r="A1480" s="3" t="s">
        <v>69</v>
      </c>
      <c r="B1480" s="3" t="s">
        <v>5</v>
      </c>
      <c r="C1480" s="3" t="s">
        <v>18</v>
      </c>
      <c r="D1480" s="3" t="s">
        <v>10</v>
      </c>
      <c r="E1480" s="3" t="s">
        <v>32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3.2932251798061E-18</v>
      </c>
      <c r="L1480" s="3">
        <v>-1.64661258990306E-18</v>
      </c>
      <c r="M1480" s="3">
        <v>-1.31729007192243E-17</v>
      </c>
      <c r="N1480" s="3">
        <v>-3.2932251798061E-18</v>
      </c>
      <c r="O1480" s="3">
        <v>-1.6466125899030601E-17</v>
      </c>
      <c r="P1480" s="3">
        <v>-8.2330629495152495E-18</v>
      </c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</row>
    <row r="1481" spans="1:35" x14ac:dyDescent="0.45">
      <c r="A1481" s="3" t="s">
        <v>69</v>
      </c>
      <c r="B1481" s="3" t="s">
        <v>5</v>
      </c>
      <c r="C1481" s="3" t="s">
        <v>18</v>
      </c>
      <c r="D1481" s="3" t="s">
        <v>11</v>
      </c>
      <c r="E1481" s="3" t="s">
        <v>32</v>
      </c>
      <c r="F1481" s="3">
        <v>0</v>
      </c>
      <c r="G1481" s="3">
        <v>0</v>
      </c>
      <c r="H1481" s="3">
        <v>0</v>
      </c>
      <c r="I1481" s="3">
        <v>0</v>
      </c>
      <c r="J1481" s="3">
        <v>-1.21430643318376E-17</v>
      </c>
      <c r="K1481" s="3">
        <v>-3.2932251798061E-18</v>
      </c>
      <c r="L1481" s="3">
        <v>0</v>
      </c>
      <c r="M1481" s="3">
        <v>-4.9398377697091398E-18</v>
      </c>
      <c r="N1481" s="3">
        <v>0</v>
      </c>
      <c r="O1481" s="3">
        <v>3.2932251798061E-18</v>
      </c>
      <c r="P1481" s="3">
        <v>1.31729007192244E-17</v>
      </c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</row>
    <row r="1482" spans="1:35" x14ac:dyDescent="0.45">
      <c r="A1482" s="3" t="s">
        <v>69</v>
      </c>
      <c r="B1482" s="3" t="s">
        <v>5</v>
      </c>
      <c r="C1482" s="3" t="s">
        <v>18</v>
      </c>
      <c r="D1482" s="3" t="s">
        <v>12</v>
      </c>
      <c r="E1482" s="3" t="s">
        <v>32</v>
      </c>
      <c r="F1482" s="3">
        <v>0</v>
      </c>
      <c r="G1482" s="3">
        <v>0</v>
      </c>
      <c r="H1482" s="3">
        <v>0</v>
      </c>
      <c r="I1482" s="3">
        <v>-1.21430643318376E-17</v>
      </c>
      <c r="J1482" s="3">
        <v>1.21430643318376E-17</v>
      </c>
      <c r="K1482" s="3">
        <v>0</v>
      </c>
      <c r="L1482" s="3">
        <v>0</v>
      </c>
      <c r="M1482" s="3">
        <v>-1.64661258990306E-18</v>
      </c>
      <c r="N1482" s="3">
        <v>0</v>
      </c>
      <c r="O1482" s="3">
        <v>8.2330629495152495E-18</v>
      </c>
      <c r="P1482" s="3">
        <v>-1.6466125899030901E-18</v>
      </c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</row>
    <row r="1483" spans="1:35" x14ac:dyDescent="0.45">
      <c r="A1483" s="3" t="s">
        <v>69</v>
      </c>
      <c r="B1483" s="3" t="s">
        <v>5</v>
      </c>
      <c r="C1483" s="3" t="s">
        <v>18</v>
      </c>
      <c r="D1483" s="3" t="s">
        <v>13</v>
      </c>
      <c r="E1483" s="3" t="s">
        <v>32</v>
      </c>
      <c r="F1483" s="3">
        <v>0</v>
      </c>
      <c r="G1483" s="3">
        <v>0</v>
      </c>
      <c r="H1483" s="3">
        <v>0</v>
      </c>
      <c r="I1483" s="3">
        <v>3.4694469519536099E-17</v>
      </c>
      <c r="J1483" s="3">
        <v>0</v>
      </c>
      <c r="K1483" s="3">
        <v>1.9759351078836501E-17</v>
      </c>
      <c r="L1483" s="3">
        <v>1.31729007192244E-17</v>
      </c>
      <c r="M1483" s="3">
        <v>0</v>
      </c>
      <c r="N1483" s="3">
        <v>2.4699188848545799E-17</v>
      </c>
      <c r="O1483" s="3">
        <v>0</v>
      </c>
      <c r="P1483" s="3">
        <v>-1.1526288129321401E-17</v>
      </c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</row>
    <row r="1484" spans="1:35" x14ac:dyDescent="0.45">
      <c r="A1484" s="3" t="s">
        <v>69</v>
      </c>
      <c r="B1484" s="3" t="s">
        <v>5</v>
      </c>
      <c r="C1484" s="3" t="s">
        <v>18</v>
      </c>
      <c r="D1484" s="3" t="s">
        <v>14</v>
      </c>
      <c r="E1484" s="3" t="s">
        <v>32</v>
      </c>
      <c r="F1484" s="3">
        <v>0</v>
      </c>
      <c r="G1484" s="3">
        <v>-1.1796119636642301E-16</v>
      </c>
      <c r="H1484" s="3">
        <v>-1.1796119636642301E-16</v>
      </c>
      <c r="I1484" s="3">
        <v>-2.2551405187698501E-17</v>
      </c>
      <c r="J1484" s="3">
        <v>0</v>
      </c>
      <c r="K1484" s="3">
        <v>-1.9759351078836501E-17</v>
      </c>
      <c r="L1484" s="3">
        <v>-6.5864503596122501E-18</v>
      </c>
      <c r="M1484" s="3">
        <v>6.5864503596122E-18</v>
      </c>
      <c r="N1484" s="3">
        <v>-2.4699188848545799E-17</v>
      </c>
      <c r="O1484" s="3">
        <v>-1.1526288129321401E-17</v>
      </c>
      <c r="P1484" s="3">
        <v>0</v>
      </c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</row>
    <row r="1485" spans="1:35" x14ac:dyDescent="0.45">
      <c r="A1485" s="3" t="s">
        <v>69</v>
      </c>
      <c r="B1485" s="3" t="s">
        <v>5</v>
      </c>
      <c r="C1485" s="3" t="s">
        <v>19</v>
      </c>
      <c r="D1485" s="3" t="s">
        <v>7</v>
      </c>
      <c r="E1485" s="3" t="s">
        <v>32</v>
      </c>
      <c r="F1485" s="3">
        <v>6.1957207272651598E-4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</row>
    <row r="1486" spans="1:35" x14ac:dyDescent="0.45">
      <c r="A1486" s="3" t="s">
        <v>69</v>
      </c>
      <c r="B1486" s="3" t="s">
        <v>5</v>
      </c>
      <c r="C1486" s="3" t="s">
        <v>19</v>
      </c>
      <c r="D1486" s="3" t="s">
        <v>9</v>
      </c>
      <c r="E1486" s="3" t="s">
        <v>32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</row>
    <row r="1487" spans="1:35" x14ac:dyDescent="0.45">
      <c r="A1487" s="3" t="s">
        <v>69</v>
      </c>
      <c r="B1487" s="3" t="s">
        <v>5</v>
      </c>
      <c r="C1487" s="3" t="s">
        <v>19</v>
      </c>
      <c r="D1487" s="3" t="s">
        <v>10</v>
      </c>
      <c r="E1487" s="3" t="s">
        <v>32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</row>
    <row r="1488" spans="1:35" x14ac:dyDescent="0.45">
      <c r="A1488" s="3" t="s">
        <v>69</v>
      </c>
      <c r="B1488" s="3" t="s">
        <v>5</v>
      </c>
      <c r="C1488" s="3" t="s">
        <v>19</v>
      </c>
      <c r="D1488" s="3" t="s">
        <v>11</v>
      </c>
      <c r="E1488" s="3" t="s">
        <v>32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0</v>
      </c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</row>
    <row r="1489" spans="1:35" x14ac:dyDescent="0.45">
      <c r="A1489" s="3" t="s">
        <v>69</v>
      </c>
      <c r="B1489" s="3" t="s">
        <v>5</v>
      </c>
      <c r="C1489" s="3" t="s">
        <v>19</v>
      </c>
      <c r="D1489" s="3" t="s">
        <v>12</v>
      </c>
      <c r="E1489" s="3" t="s">
        <v>32</v>
      </c>
      <c r="F1489" s="3">
        <v>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9.6049129009970297E-5</v>
      </c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</row>
    <row r="1490" spans="1:35" x14ac:dyDescent="0.45">
      <c r="A1490" s="3" t="s">
        <v>69</v>
      </c>
      <c r="B1490" s="3" t="s">
        <v>5</v>
      </c>
      <c r="C1490" s="3" t="s">
        <v>19</v>
      </c>
      <c r="D1490" s="3" t="s">
        <v>13</v>
      </c>
      <c r="E1490" s="3" t="s">
        <v>32</v>
      </c>
      <c r="F1490" s="3">
        <v>0</v>
      </c>
      <c r="G1490" s="3">
        <v>0</v>
      </c>
      <c r="H1490" s="3">
        <v>0</v>
      </c>
      <c r="I1490" s="3">
        <v>6.0225639511569101E-3</v>
      </c>
      <c r="J1490" s="3">
        <v>3.5310300565349999E-3</v>
      </c>
      <c r="K1490" s="3">
        <v>1.87412307262606E-3</v>
      </c>
      <c r="L1490" s="3">
        <v>1.4846843866845301E-3</v>
      </c>
      <c r="M1490" s="3">
        <v>1.38130665649583E-3</v>
      </c>
      <c r="N1490" s="3">
        <v>1.3642010962874099E-3</v>
      </c>
      <c r="O1490" s="3">
        <v>1.2732089110304001E-3</v>
      </c>
      <c r="P1490" s="3">
        <v>1.12705238923819E-3</v>
      </c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</row>
    <row r="1491" spans="1:35" x14ac:dyDescent="0.45">
      <c r="A1491" s="3" t="s">
        <v>69</v>
      </c>
      <c r="B1491" s="3" t="s">
        <v>5</v>
      </c>
      <c r="C1491" s="3" t="s">
        <v>19</v>
      </c>
      <c r="D1491" s="3" t="s">
        <v>14</v>
      </c>
      <c r="E1491" s="3" t="s">
        <v>32</v>
      </c>
      <c r="F1491" s="3">
        <v>0</v>
      </c>
      <c r="G1491" s="3">
        <v>0</v>
      </c>
      <c r="H1491" s="3">
        <v>0</v>
      </c>
      <c r="I1491" s="3">
        <v>2.63944387885641E-3</v>
      </c>
      <c r="J1491" s="3">
        <v>3.6742822036941402E-3</v>
      </c>
      <c r="K1491" s="3">
        <v>3.5640668629353099E-3</v>
      </c>
      <c r="L1491" s="3">
        <v>3.8395257301676402E-3</v>
      </c>
      <c r="M1491" s="3">
        <v>3.80838903060604E-3</v>
      </c>
      <c r="N1491" s="3">
        <v>3.8349992693299199E-3</v>
      </c>
      <c r="O1491" s="3">
        <v>3.9249048757897696E-3</v>
      </c>
      <c r="P1491" s="3">
        <v>4.0239178758423597E-3</v>
      </c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</row>
    <row r="1492" spans="1:35" x14ac:dyDescent="0.45">
      <c r="A1492" s="3" t="s">
        <v>70</v>
      </c>
      <c r="B1492" s="3" t="s">
        <v>5</v>
      </c>
      <c r="C1492" s="3" t="s">
        <v>6</v>
      </c>
      <c r="D1492" s="3" t="s">
        <v>7</v>
      </c>
      <c r="E1492" s="3" t="s">
        <v>32</v>
      </c>
      <c r="F1492" s="3">
        <v>4.6667822833340198E-4</v>
      </c>
      <c r="G1492" s="3">
        <v>0</v>
      </c>
      <c r="H1492" s="3">
        <v>0</v>
      </c>
      <c r="I1492" s="3">
        <v>0</v>
      </c>
      <c r="J1492" s="3">
        <v>0</v>
      </c>
      <c r="K1492" s="3">
        <v>1.17987659454685E-3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</row>
    <row r="1493" spans="1:35" x14ac:dyDescent="0.45">
      <c r="A1493" s="3" t="s">
        <v>70</v>
      </c>
      <c r="B1493" s="3" t="s">
        <v>5</v>
      </c>
      <c r="C1493" s="3" t="s">
        <v>6</v>
      </c>
      <c r="D1493" s="3" t="s">
        <v>9</v>
      </c>
      <c r="E1493" s="3" t="s">
        <v>32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2.67043030288473E-3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</row>
    <row r="1494" spans="1:35" x14ac:dyDescent="0.45">
      <c r="A1494" s="3" t="s">
        <v>70</v>
      </c>
      <c r="B1494" s="3" t="s">
        <v>5</v>
      </c>
      <c r="C1494" s="3" t="s">
        <v>6</v>
      </c>
      <c r="D1494" s="3" t="s">
        <v>10</v>
      </c>
      <c r="E1494" s="3" t="s">
        <v>32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5.0466698398579498E-3</v>
      </c>
      <c r="L1494" s="3">
        <v>0</v>
      </c>
      <c r="M1494" s="3">
        <v>3.74260571815032E-3</v>
      </c>
      <c r="N1494" s="3">
        <v>3.96295417440354E-2</v>
      </c>
      <c r="O1494" s="3">
        <v>0.102456356193919</v>
      </c>
      <c r="P1494" s="3">
        <v>0.11563049212584001</v>
      </c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</row>
    <row r="1495" spans="1:35" x14ac:dyDescent="0.45">
      <c r="A1495" s="3" t="s">
        <v>70</v>
      </c>
      <c r="B1495" s="3" t="s">
        <v>5</v>
      </c>
      <c r="C1495" s="3" t="s">
        <v>6</v>
      </c>
      <c r="D1495" s="3" t="s">
        <v>11</v>
      </c>
      <c r="E1495" s="3" t="s">
        <v>32</v>
      </c>
      <c r="F1495" s="3">
        <v>0</v>
      </c>
      <c r="G1495" s="3">
        <v>0</v>
      </c>
      <c r="H1495" s="3">
        <v>0</v>
      </c>
      <c r="I1495" s="3">
        <v>0</v>
      </c>
      <c r="J1495" s="3">
        <v>1.4213392868017401E-3</v>
      </c>
      <c r="K1495" s="3">
        <v>1.21348819173839E-2</v>
      </c>
      <c r="L1495" s="3">
        <v>7.1168092091163093E-2</v>
      </c>
      <c r="M1495" s="3">
        <v>0.104507692501808</v>
      </c>
      <c r="N1495" s="3">
        <v>9.2980590389828699E-2</v>
      </c>
      <c r="O1495" s="3">
        <v>7.5066068271298206E-2</v>
      </c>
      <c r="P1495" s="3">
        <v>0.17132343700518399</v>
      </c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</row>
    <row r="1496" spans="1:35" x14ac:dyDescent="0.45">
      <c r="A1496" s="3" t="s">
        <v>70</v>
      </c>
      <c r="B1496" s="3" t="s">
        <v>5</v>
      </c>
      <c r="C1496" s="3" t="s">
        <v>6</v>
      </c>
      <c r="D1496" s="3" t="s">
        <v>12</v>
      </c>
      <c r="E1496" s="3" t="s">
        <v>32</v>
      </c>
      <c r="F1496" s="3">
        <v>0</v>
      </c>
      <c r="G1496" s="3">
        <v>0</v>
      </c>
      <c r="H1496" s="3">
        <v>0</v>
      </c>
      <c r="I1496" s="3">
        <v>0</v>
      </c>
      <c r="J1496" s="3">
        <v>6.1198868838767198E-2</v>
      </c>
      <c r="K1496" s="3">
        <v>0.126170749467479</v>
      </c>
      <c r="L1496" s="3">
        <v>0.114907184045618</v>
      </c>
      <c r="M1496" s="3">
        <v>0.20407044487663101</v>
      </c>
      <c r="N1496" s="3">
        <v>0.29725670878208499</v>
      </c>
      <c r="O1496" s="3">
        <v>0.35992047293898299</v>
      </c>
      <c r="P1496" s="3">
        <v>0.341230515505072</v>
      </c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</row>
    <row r="1497" spans="1:35" x14ac:dyDescent="0.45">
      <c r="A1497" s="3" t="s">
        <v>70</v>
      </c>
      <c r="B1497" s="3" t="s">
        <v>5</v>
      </c>
      <c r="C1497" s="3" t="s">
        <v>6</v>
      </c>
      <c r="D1497" s="3" t="s">
        <v>13</v>
      </c>
      <c r="E1497" s="3" t="s">
        <v>32</v>
      </c>
      <c r="F1497" s="3">
        <v>0</v>
      </c>
      <c r="G1497" s="3">
        <v>0</v>
      </c>
      <c r="H1497" s="3">
        <v>0</v>
      </c>
      <c r="I1497" s="3">
        <v>0.115923804155821</v>
      </c>
      <c r="J1497" s="3">
        <v>0.20753330149287699</v>
      </c>
      <c r="K1497" s="3">
        <v>0.245126578521843</v>
      </c>
      <c r="L1497" s="3">
        <v>0.31290688696949098</v>
      </c>
      <c r="M1497" s="3">
        <v>0.28270117112812398</v>
      </c>
      <c r="N1497" s="3">
        <v>0.245073410843027</v>
      </c>
      <c r="O1497" s="3">
        <v>0.20776167257147399</v>
      </c>
      <c r="P1497" s="3">
        <v>0.21766250805640799</v>
      </c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</row>
    <row r="1498" spans="1:35" x14ac:dyDescent="0.45">
      <c r="A1498" s="3" t="s">
        <v>70</v>
      </c>
      <c r="B1498" s="3" t="s">
        <v>5</v>
      </c>
      <c r="C1498" s="3" t="s">
        <v>6</v>
      </c>
      <c r="D1498" s="3" t="s">
        <v>14</v>
      </c>
      <c r="E1498" s="3" t="s">
        <v>32</v>
      </c>
      <c r="F1498" s="3">
        <v>0</v>
      </c>
      <c r="G1498" s="3">
        <v>1.8854970842704401E-3</v>
      </c>
      <c r="H1498" s="3">
        <v>1.8854970842704401E-3</v>
      </c>
      <c r="I1498" s="3">
        <v>0.223172621092881</v>
      </c>
      <c r="J1498" s="3">
        <v>0.19162741610265499</v>
      </c>
      <c r="K1498" s="3">
        <v>0.22255812860667401</v>
      </c>
      <c r="L1498" s="3">
        <v>0.27208576378877503</v>
      </c>
      <c r="M1498" s="3">
        <v>0.30020250128328302</v>
      </c>
      <c r="N1498" s="3">
        <v>0.35107802460272203</v>
      </c>
      <c r="O1498" s="3">
        <v>0.37672058193323998</v>
      </c>
      <c r="P1498" s="3">
        <v>0.36067901189196999</v>
      </c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</row>
    <row r="1499" spans="1:35" x14ac:dyDescent="0.45">
      <c r="A1499" s="3" t="s">
        <v>70</v>
      </c>
      <c r="B1499" s="3" t="s">
        <v>5</v>
      </c>
      <c r="C1499" s="3" t="s">
        <v>15</v>
      </c>
      <c r="D1499" s="3" t="s">
        <v>7</v>
      </c>
      <c r="E1499" s="3" t="s">
        <v>32</v>
      </c>
      <c r="F1499" s="3">
        <v>0.1720252569224</v>
      </c>
      <c r="G1499" s="3">
        <v>0.248052349775509</v>
      </c>
      <c r="H1499" s="3">
        <v>0.248052349775509</v>
      </c>
      <c r="I1499" s="3">
        <v>0.30537856332390401</v>
      </c>
      <c r="J1499" s="3">
        <v>0.350430449660799</v>
      </c>
      <c r="K1499" s="3">
        <v>0.391169721406258</v>
      </c>
      <c r="L1499" s="3">
        <v>0.40323528960292399</v>
      </c>
      <c r="M1499" s="3">
        <v>0.41280615114400898</v>
      </c>
      <c r="N1499" s="3">
        <v>0.42126076151834801</v>
      </c>
      <c r="O1499" s="3">
        <v>0.42926117925758001</v>
      </c>
      <c r="P1499" s="3">
        <v>0.43528750142799899</v>
      </c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</row>
    <row r="1500" spans="1:35" x14ac:dyDescent="0.45">
      <c r="A1500" s="3" t="s">
        <v>70</v>
      </c>
      <c r="B1500" s="3" t="s">
        <v>5</v>
      </c>
      <c r="C1500" s="3" t="s">
        <v>15</v>
      </c>
      <c r="D1500" s="3" t="s">
        <v>9</v>
      </c>
      <c r="E1500" s="3" t="s">
        <v>32</v>
      </c>
      <c r="F1500" s="3">
        <v>0</v>
      </c>
      <c r="G1500" s="3">
        <v>-4.99901536787556E-4</v>
      </c>
      <c r="H1500" s="3">
        <v>-4.99901536787556E-4</v>
      </c>
      <c r="I1500" s="3">
        <v>-1.17134512534434E-3</v>
      </c>
      <c r="J1500" s="3">
        <v>4.68366549280952E-4</v>
      </c>
      <c r="K1500" s="3">
        <v>9.6601185215705598E-5</v>
      </c>
      <c r="L1500" s="3">
        <v>9.2311501183965902E-2</v>
      </c>
      <c r="M1500" s="3">
        <v>0.116786221147646</v>
      </c>
      <c r="N1500" s="3">
        <v>0.13876229907650001</v>
      </c>
      <c r="O1500" s="3">
        <v>0.156239971566693</v>
      </c>
      <c r="P1500" s="3">
        <v>0.17279146951013899</v>
      </c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</row>
    <row r="1501" spans="1:35" x14ac:dyDescent="0.45">
      <c r="A1501" s="3" t="s">
        <v>70</v>
      </c>
      <c r="B1501" s="3" t="s">
        <v>5</v>
      </c>
      <c r="C1501" s="3" t="s">
        <v>15</v>
      </c>
      <c r="D1501" s="3" t="s">
        <v>10</v>
      </c>
      <c r="E1501" s="3" t="s">
        <v>32</v>
      </c>
      <c r="F1501" s="3">
        <v>0</v>
      </c>
      <c r="G1501" s="3">
        <v>0</v>
      </c>
      <c r="H1501" s="3">
        <v>0</v>
      </c>
      <c r="I1501" s="3">
        <v>-2.2306289527451701E-4</v>
      </c>
      <c r="J1501" s="3">
        <v>-9.2084531932218295E-4</v>
      </c>
      <c r="K1501" s="3">
        <v>5.30350203584408E-2</v>
      </c>
      <c r="L1501" s="3">
        <v>-2.6120936801638499E-3</v>
      </c>
      <c r="M1501" s="3">
        <v>-1.2350555345841401E-3</v>
      </c>
      <c r="N1501" s="3">
        <v>2.06804497062496E-3</v>
      </c>
      <c r="O1501" s="3">
        <v>7.9242355202078195E-3</v>
      </c>
      <c r="P1501" s="3">
        <v>1.1455239827482E-2</v>
      </c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</row>
    <row r="1502" spans="1:35" x14ac:dyDescent="0.45">
      <c r="A1502" s="3" t="s">
        <v>70</v>
      </c>
      <c r="B1502" s="3" t="s">
        <v>5</v>
      </c>
      <c r="C1502" s="3" t="s">
        <v>15</v>
      </c>
      <c r="D1502" s="3" t="s">
        <v>11</v>
      </c>
      <c r="E1502" s="3" t="s">
        <v>32</v>
      </c>
      <c r="F1502" s="3">
        <v>0</v>
      </c>
      <c r="G1502" s="3">
        <v>0</v>
      </c>
      <c r="H1502" s="3">
        <v>0</v>
      </c>
      <c r="I1502" s="3">
        <v>3.6233708324751002E-4</v>
      </c>
      <c r="J1502" s="3">
        <v>4.1099771092319597E-2</v>
      </c>
      <c r="K1502" s="3">
        <v>1.24977416034938E-3</v>
      </c>
      <c r="L1502" s="3">
        <v>5.4897071241134E-3</v>
      </c>
      <c r="M1502" s="3">
        <v>9.6590560856931705E-3</v>
      </c>
      <c r="N1502" s="3">
        <v>7.6630961358317203E-3</v>
      </c>
      <c r="O1502" s="3">
        <v>1.6630896770550899E-3</v>
      </c>
      <c r="P1502" s="3">
        <v>-5.21062992786558E-3</v>
      </c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</row>
    <row r="1503" spans="1:35" x14ac:dyDescent="0.45">
      <c r="A1503" s="3" t="s">
        <v>70</v>
      </c>
      <c r="B1503" s="3" t="s">
        <v>5</v>
      </c>
      <c r="C1503" s="3" t="s">
        <v>15</v>
      </c>
      <c r="D1503" s="3" t="s">
        <v>12</v>
      </c>
      <c r="E1503" s="3" t="s">
        <v>32</v>
      </c>
      <c r="F1503" s="3">
        <v>0</v>
      </c>
      <c r="G1503" s="3">
        <v>-2.3927878675006299E-4</v>
      </c>
      <c r="H1503" s="3">
        <v>-2.3927878675006299E-4</v>
      </c>
      <c r="I1503" s="3">
        <v>4.5420587970708602E-2</v>
      </c>
      <c r="J1503" s="3">
        <v>4.6791192312807799E-3</v>
      </c>
      <c r="K1503" s="3">
        <v>9.0565766869254993E-3</v>
      </c>
      <c r="L1503" s="3">
        <v>-2.1306745064286799E-5</v>
      </c>
      <c r="M1503" s="3">
        <v>-4.0241537962966102E-3</v>
      </c>
      <c r="N1503" s="3">
        <v>-7.6617470308669696E-3</v>
      </c>
      <c r="O1503" s="3">
        <v>-1.21077653831937E-2</v>
      </c>
      <c r="P1503" s="3">
        <v>-1.47576729706909E-2</v>
      </c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</row>
    <row r="1504" spans="1:35" x14ac:dyDescent="0.45">
      <c r="A1504" s="3" t="s">
        <v>70</v>
      </c>
      <c r="B1504" s="3" t="s">
        <v>5</v>
      </c>
      <c r="C1504" s="3" t="s">
        <v>15</v>
      </c>
      <c r="D1504" s="3" t="s">
        <v>13</v>
      </c>
      <c r="E1504" s="3" t="s">
        <v>32</v>
      </c>
      <c r="F1504" s="3">
        <v>0</v>
      </c>
      <c r="G1504" s="3">
        <v>1.6118515000820802E-2</v>
      </c>
      <c r="H1504" s="3">
        <v>1.6118515000820802E-2</v>
      </c>
      <c r="I1504" s="3">
        <v>-1.8713611589533202E-2</v>
      </c>
      <c r="J1504" s="3">
        <v>-1.17940864642235E-2</v>
      </c>
      <c r="K1504" s="3">
        <v>-1.48882138252422E-2</v>
      </c>
      <c r="L1504" s="3">
        <v>-2.36625664185043E-2</v>
      </c>
      <c r="M1504" s="3">
        <v>-3.2848680689349499E-2</v>
      </c>
      <c r="N1504" s="3">
        <v>-3.7156274066646698E-2</v>
      </c>
      <c r="O1504" s="3">
        <v>-4.09747896995055E-2</v>
      </c>
      <c r="P1504" s="3">
        <v>-4.5737936234267397E-2</v>
      </c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</row>
    <row r="1505" spans="1:35" x14ac:dyDescent="0.45">
      <c r="A1505" s="3" t="s">
        <v>70</v>
      </c>
      <c r="B1505" s="3" t="s">
        <v>5</v>
      </c>
      <c r="C1505" s="3" t="s">
        <v>15</v>
      </c>
      <c r="D1505" s="3" t="s">
        <v>14</v>
      </c>
      <c r="E1505" s="3" t="s">
        <v>32</v>
      </c>
      <c r="F1505" s="3">
        <v>0</v>
      </c>
      <c r="G1505" s="3">
        <v>-4.7221875229101996E-3</v>
      </c>
      <c r="H1505" s="3">
        <v>-4.7221875229101996E-3</v>
      </c>
      <c r="I1505" s="3">
        <v>-1.79701455169907E-2</v>
      </c>
      <c r="J1505" s="3">
        <v>-2.3646311612744001E-2</v>
      </c>
      <c r="K1505" s="3">
        <v>-3.7926425117288699E-2</v>
      </c>
      <c r="L1505" s="3">
        <v>-4.4395569635632702E-2</v>
      </c>
      <c r="M1505" s="3">
        <v>-4.9480355947341001E-2</v>
      </c>
      <c r="N1505" s="3">
        <v>-5.6546356248588302E-2</v>
      </c>
      <c r="O1505" s="3">
        <v>-6.0730096970230303E-2</v>
      </c>
      <c r="P1505" s="3">
        <v>-6.5078413197927995E-2</v>
      </c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</row>
    <row r="1506" spans="1:35" x14ac:dyDescent="0.45">
      <c r="A1506" s="3" t="s">
        <v>70</v>
      </c>
      <c r="B1506" s="3" t="s">
        <v>5</v>
      </c>
      <c r="C1506" s="3" t="s">
        <v>16</v>
      </c>
      <c r="D1506" s="3" t="s">
        <v>7</v>
      </c>
      <c r="E1506" s="3" t="s">
        <v>32</v>
      </c>
      <c r="F1506" s="3">
        <v>0.27038422328262302</v>
      </c>
      <c r="G1506" s="3">
        <v>0.32753015658222201</v>
      </c>
      <c r="H1506" s="3">
        <v>0.32753015658222201</v>
      </c>
      <c r="I1506" s="3">
        <v>0.16720263311396499</v>
      </c>
      <c r="J1506" s="3">
        <v>9.3869564686975104E-2</v>
      </c>
      <c r="K1506" s="3">
        <v>9.3869564686975104E-2</v>
      </c>
      <c r="L1506" s="3">
        <v>9.3869564686975104E-2</v>
      </c>
      <c r="M1506" s="3">
        <v>9.3869564686975104E-2</v>
      </c>
      <c r="N1506" s="3">
        <v>9.3869564686975104E-2</v>
      </c>
      <c r="O1506" s="3">
        <v>9.3869564686975104E-2</v>
      </c>
      <c r="P1506" s="3">
        <v>9.3869564686975104E-2</v>
      </c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</row>
    <row r="1507" spans="1:35" x14ac:dyDescent="0.45">
      <c r="A1507" s="3" t="s">
        <v>70</v>
      </c>
      <c r="B1507" s="3" t="s">
        <v>5</v>
      </c>
      <c r="C1507" s="3" t="s">
        <v>16</v>
      </c>
      <c r="D1507" s="3" t="s">
        <v>9</v>
      </c>
      <c r="E1507" s="3" t="s">
        <v>32</v>
      </c>
      <c r="F1507" s="3">
        <v>0</v>
      </c>
      <c r="G1507" s="3">
        <v>1.4555748113209699E-4</v>
      </c>
      <c r="H1507" s="3">
        <v>1.4555748113209699E-4</v>
      </c>
      <c r="I1507" s="3">
        <v>1.45491305697826E-4</v>
      </c>
      <c r="J1507" s="3">
        <v>1.4549130031113499E-4</v>
      </c>
      <c r="K1507" s="3">
        <v>1.4549130031113499E-4</v>
      </c>
      <c r="L1507" s="3">
        <v>1.4549130031113499E-4</v>
      </c>
      <c r="M1507" s="3">
        <v>1.4549130031113499E-4</v>
      </c>
      <c r="N1507" s="3">
        <v>1.4549130031113499E-4</v>
      </c>
      <c r="O1507" s="3">
        <v>1.4549130031113499E-4</v>
      </c>
      <c r="P1507" s="3">
        <v>1.4549130031113499E-4</v>
      </c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</row>
    <row r="1508" spans="1:35" x14ac:dyDescent="0.45">
      <c r="A1508" s="3" t="s">
        <v>70</v>
      </c>
      <c r="B1508" s="3" t="s">
        <v>5</v>
      </c>
      <c r="C1508" s="3" t="s">
        <v>16</v>
      </c>
      <c r="D1508" s="3" t="s">
        <v>10</v>
      </c>
      <c r="E1508" s="3" t="s">
        <v>32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</row>
    <row r="1509" spans="1:35" x14ac:dyDescent="0.45">
      <c r="A1509" s="3" t="s">
        <v>70</v>
      </c>
      <c r="B1509" s="3" t="s">
        <v>5</v>
      </c>
      <c r="C1509" s="3" t="s">
        <v>16</v>
      </c>
      <c r="D1509" s="3" t="s">
        <v>11</v>
      </c>
      <c r="E1509" s="3" t="s">
        <v>32</v>
      </c>
      <c r="F1509" s="3">
        <v>0</v>
      </c>
      <c r="G1509" s="3">
        <v>8.3266726846886701E-16</v>
      </c>
      <c r="H1509" s="3">
        <v>8.3266726846886701E-16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</row>
    <row r="1510" spans="1:35" x14ac:dyDescent="0.45">
      <c r="A1510" s="3" t="s">
        <v>70</v>
      </c>
      <c r="B1510" s="3" t="s">
        <v>5</v>
      </c>
      <c r="C1510" s="3" t="s">
        <v>16</v>
      </c>
      <c r="D1510" s="3" t="s">
        <v>12</v>
      </c>
      <c r="E1510" s="3" t="s">
        <v>32</v>
      </c>
      <c r="F1510" s="3">
        <v>0</v>
      </c>
      <c r="G1510" s="3">
        <v>2.7886419075273699E-4</v>
      </c>
      <c r="H1510" s="3">
        <v>2.7886419075273699E-4</v>
      </c>
      <c r="I1510" s="3">
        <v>2.7873666295608101E-4</v>
      </c>
      <c r="J1510" s="3">
        <v>2.78736652577674E-4</v>
      </c>
      <c r="K1510" s="3">
        <v>2.78736652577674E-4</v>
      </c>
      <c r="L1510" s="3">
        <v>2.78736652577674E-4</v>
      </c>
      <c r="M1510" s="3">
        <v>2.78736652577674E-4</v>
      </c>
      <c r="N1510" s="3">
        <v>2.8938167137469701E-4</v>
      </c>
      <c r="O1510" s="3">
        <v>3.0055591568073402E-4</v>
      </c>
      <c r="P1510" s="3">
        <v>3.1166724186194899E-4</v>
      </c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</row>
    <row r="1511" spans="1:35" x14ac:dyDescent="0.45">
      <c r="A1511" s="3" t="s">
        <v>70</v>
      </c>
      <c r="B1511" s="3" t="s">
        <v>5</v>
      </c>
      <c r="C1511" s="3" t="s">
        <v>16</v>
      </c>
      <c r="D1511" s="3" t="s">
        <v>13</v>
      </c>
      <c r="E1511" s="3" t="s">
        <v>32</v>
      </c>
      <c r="F1511" s="3">
        <v>0</v>
      </c>
      <c r="G1511" s="3">
        <v>-4.2442167188566599E-4</v>
      </c>
      <c r="H1511" s="3">
        <v>-4.2442167188566599E-4</v>
      </c>
      <c r="I1511" s="3">
        <v>-4.24227968653906E-4</v>
      </c>
      <c r="J1511" s="3">
        <v>-4.1358266162690199E-4</v>
      </c>
      <c r="K1511" s="3">
        <v>-3.9129652072575301E-4</v>
      </c>
      <c r="L1511" s="3">
        <v>-3.9129652072575301E-4</v>
      </c>
      <c r="M1511" s="3">
        <v>-3.9129652072575301E-4</v>
      </c>
      <c r="N1511" s="3">
        <v>-4.0194153952277699E-4</v>
      </c>
      <c r="O1511" s="3">
        <v>-4.1311578382881298E-4</v>
      </c>
      <c r="P1511" s="3">
        <v>-4.24227110010028E-4</v>
      </c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</row>
    <row r="1512" spans="1:35" x14ac:dyDescent="0.45">
      <c r="A1512" s="3" t="s">
        <v>70</v>
      </c>
      <c r="B1512" s="3" t="s">
        <v>5</v>
      </c>
      <c r="C1512" s="3" t="s">
        <v>16</v>
      </c>
      <c r="D1512" s="3" t="s">
        <v>14</v>
      </c>
      <c r="E1512" s="3" t="s">
        <v>32</v>
      </c>
      <c r="F1512" s="3">
        <v>0</v>
      </c>
      <c r="G1512" s="3">
        <v>-5.0385351374188103E-4</v>
      </c>
      <c r="H1512" s="3">
        <v>-5.0385351374188103E-4</v>
      </c>
      <c r="I1512" s="3">
        <v>-1.0700701685850699E-6</v>
      </c>
      <c r="J1512" s="3">
        <v>9.95993227306813E-6</v>
      </c>
      <c r="K1512" s="3">
        <v>-1.23262086280801E-5</v>
      </c>
      <c r="L1512" s="3">
        <v>-1.23262086280801E-5</v>
      </c>
      <c r="M1512" s="3">
        <v>-1.23262086280801E-5</v>
      </c>
      <c r="N1512" s="3">
        <v>-1.23262086280801E-5</v>
      </c>
      <c r="O1512" s="3">
        <v>-1.23262086280801E-5</v>
      </c>
      <c r="P1512" s="3">
        <v>-1.23262086280801E-5</v>
      </c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</row>
    <row r="1513" spans="1:35" x14ac:dyDescent="0.45">
      <c r="A1513" s="3" t="s">
        <v>70</v>
      </c>
      <c r="B1513" s="3" t="s">
        <v>5</v>
      </c>
      <c r="C1513" s="3" t="s">
        <v>17</v>
      </c>
      <c r="D1513" s="3" t="s">
        <v>7</v>
      </c>
      <c r="E1513" s="3" t="s">
        <v>32</v>
      </c>
      <c r="F1513" s="3">
        <v>4.5157120209957199E-2</v>
      </c>
      <c r="G1513" s="3">
        <v>5.2614620598003002E-2</v>
      </c>
      <c r="H1513" s="3">
        <v>5.2614620598003002E-2</v>
      </c>
      <c r="I1513" s="3">
        <v>5.7244742414943303E-2</v>
      </c>
      <c r="J1513" s="3">
        <v>5.7245145466124199E-2</v>
      </c>
      <c r="K1513" s="3">
        <v>5.7245145466124102E-2</v>
      </c>
      <c r="L1513" s="3">
        <v>5.7245145466124199E-2</v>
      </c>
      <c r="M1513" s="3">
        <v>5.7245145466124199E-2</v>
      </c>
      <c r="N1513" s="3">
        <v>5.7245145466124102E-2</v>
      </c>
      <c r="O1513" s="3">
        <v>5.7245145466124199E-2</v>
      </c>
      <c r="P1513" s="3">
        <v>5.7245145466124199E-2</v>
      </c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</row>
    <row r="1514" spans="1:35" x14ac:dyDescent="0.45">
      <c r="A1514" s="3" t="s">
        <v>70</v>
      </c>
      <c r="B1514" s="3" t="s">
        <v>5</v>
      </c>
      <c r="C1514" s="3" t="s">
        <v>17</v>
      </c>
      <c r="D1514" s="3" t="s">
        <v>9</v>
      </c>
      <c r="E1514" s="3" t="s">
        <v>32</v>
      </c>
      <c r="F1514" s="3">
        <v>0</v>
      </c>
      <c r="G1514" s="3">
        <v>9.1413398716107304E-5</v>
      </c>
      <c r="H1514" s="3">
        <v>9.1413398716107304E-5</v>
      </c>
      <c r="I1514" s="3">
        <v>9.1372912506076904E-5</v>
      </c>
      <c r="J1514" s="3">
        <v>9.1372908981708607E-5</v>
      </c>
      <c r="K1514" s="3">
        <v>9.1372908981889004E-5</v>
      </c>
      <c r="L1514" s="3">
        <v>7.03780071787045E-3</v>
      </c>
      <c r="M1514" s="3">
        <v>5.7005319005722704E-3</v>
      </c>
      <c r="N1514" s="3">
        <v>6.1037037814453297E-3</v>
      </c>
      <c r="O1514" s="3">
        <v>7.02046916152416E-3</v>
      </c>
      <c r="P1514" s="3">
        <v>1.07415679811223E-2</v>
      </c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</row>
    <row r="1515" spans="1:35" x14ac:dyDescent="0.45">
      <c r="A1515" s="3" t="s">
        <v>70</v>
      </c>
      <c r="B1515" s="3" t="s">
        <v>5</v>
      </c>
      <c r="C1515" s="3" t="s">
        <v>17</v>
      </c>
      <c r="D1515" s="3" t="s">
        <v>10</v>
      </c>
      <c r="E1515" s="3" t="s">
        <v>32</v>
      </c>
      <c r="F1515" s="3">
        <v>0</v>
      </c>
      <c r="G1515" s="3">
        <v>0</v>
      </c>
      <c r="H1515" s="3">
        <v>0</v>
      </c>
      <c r="I1515" s="3">
        <v>0</v>
      </c>
      <c r="J1515" s="3">
        <v>8.3266726846886704E-17</v>
      </c>
      <c r="K1515" s="3">
        <v>4.8334286692741204E-3</v>
      </c>
      <c r="L1515" s="3">
        <v>-2.0252981215603998E-3</v>
      </c>
      <c r="M1515" s="3">
        <v>2.6001362034172901E-2</v>
      </c>
      <c r="N1515" s="3">
        <v>4.62979329951244E-2</v>
      </c>
      <c r="O1515" s="3">
        <v>4.5793216345243699E-2</v>
      </c>
      <c r="P1515" s="3">
        <v>4.2072117525645603E-2</v>
      </c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</row>
    <row r="1516" spans="1:35" x14ac:dyDescent="0.45">
      <c r="A1516" s="3" t="s">
        <v>70</v>
      </c>
      <c r="B1516" s="3" t="s">
        <v>5</v>
      </c>
      <c r="C1516" s="3" t="s">
        <v>17</v>
      </c>
      <c r="D1516" s="3" t="s">
        <v>11</v>
      </c>
      <c r="E1516" s="3" t="s">
        <v>32</v>
      </c>
      <c r="F1516" s="3">
        <v>0</v>
      </c>
      <c r="G1516" s="3">
        <v>0</v>
      </c>
      <c r="H1516" s="3">
        <v>0</v>
      </c>
      <c r="I1516" s="3">
        <v>0</v>
      </c>
      <c r="J1516" s="3">
        <v>1.50283551611304E-3</v>
      </c>
      <c r="K1516" s="3">
        <v>3.1457378438449903E-2</v>
      </c>
      <c r="L1516" s="3">
        <v>4.7388797161462701E-2</v>
      </c>
      <c r="M1516" s="3">
        <v>2.1104102160932899E-2</v>
      </c>
      <c r="N1516" s="3">
        <v>4.0435931910928801E-4</v>
      </c>
      <c r="O1516" s="3">
        <v>3.20874469740828E-5</v>
      </c>
      <c r="P1516" s="3">
        <v>2.7211421935491298E-4</v>
      </c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</row>
    <row r="1517" spans="1:35" x14ac:dyDescent="0.45">
      <c r="A1517" s="3" t="s">
        <v>70</v>
      </c>
      <c r="B1517" s="3" t="s">
        <v>5</v>
      </c>
      <c r="C1517" s="3" t="s">
        <v>17</v>
      </c>
      <c r="D1517" s="3" t="s">
        <v>12</v>
      </c>
      <c r="E1517" s="3" t="s">
        <v>32</v>
      </c>
      <c r="F1517" s="3">
        <v>0</v>
      </c>
      <c r="G1517" s="3">
        <v>1.7513303513275901E-4</v>
      </c>
      <c r="H1517" s="3">
        <v>1.7513303513275901E-4</v>
      </c>
      <c r="I1517" s="3">
        <v>1.75055013474916E-4</v>
      </c>
      <c r="J1517" s="3">
        <v>5.0139701129410998E-2</v>
      </c>
      <c r="K1517" s="3">
        <v>1.66713337921916E-2</v>
      </c>
      <c r="L1517" s="3">
        <v>8.6110062118947795E-4</v>
      </c>
      <c r="M1517" s="3">
        <v>8.2862273472458802E-4</v>
      </c>
      <c r="N1517" s="3">
        <v>1.19377427388682E-3</v>
      </c>
      <c r="O1517" s="3">
        <v>1.26998830662595E-3</v>
      </c>
      <c r="P1517" s="3">
        <v>1.3520449978455301E-3</v>
      </c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</row>
    <row r="1518" spans="1:35" x14ac:dyDescent="0.45">
      <c r="A1518" s="3" t="s">
        <v>70</v>
      </c>
      <c r="B1518" s="3" t="s">
        <v>5</v>
      </c>
      <c r="C1518" s="3" t="s">
        <v>17</v>
      </c>
      <c r="D1518" s="3" t="s">
        <v>13</v>
      </c>
      <c r="E1518" s="3" t="s">
        <v>32</v>
      </c>
      <c r="F1518" s="3">
        <v>0</v>
      </c>
      <c r="G1518" s="3">
        <v>-2.66546433848866E-4</v>
      </c>
      <c r="H1518" s="3">
        <v>-2.66546433848866E-4</v>
      </c>
      <c r="I1518" s="3">
        <v>5.2720443713020801E-2</v>
      </c>
      <c r="J1518" s="3">
        <v>2.0042533344667201E-3</v>
      </c>
      <c r="K1518" s="3">
        <v>1.10838352910747E-3</v>
      </c>
      <c r="L1518" s="3">
        <v>9.1751754918202599E-4</v>
      </c>
      <c r="M1518" s="3">
        <v>9.90122463685975E-4</v>
      </c>
      <c r="N1518" s="3">
        <v>6.33885072790483E-4</v>
      </c>
      <c r="O1518" s="3">
        <v>5.1789418198831805E-4</v>
      </c>
      <c r="P1518" s="3">
        <v>2.2410167990677399E-4</v>
      </c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</row>
    <row r="1519" spans="1:35" x14ac:dyDescent="0.45">
      <c r="A1519" s="3" t="s">
        <v>70</v>
      </c>
      <c r="B1519" s="3" t="s">
        <v>5</v>
      </c>
      <c r="C1519" s="3" t="s">
        <v>17</v>
      </c>
      <c r="D1519" s="3" t="s">
        <v>14</v>
      </c>
      <c r="E1519" s="3" t="s">
        <v>32</v>
      </c>
      <c r="F1519" s="3">
        <v>0</v>
      </c>
      <c r="G1519" s="3">
        <v>-3.0543307938334801E-4</v>
      </c>
      <c r="H1519" s="3">
        <v>-3.0543307938334801E-4</v>
      </c>
      <c r="I1519" s="3">
        <v>7.6563993023079401E-4</v>
      </c>
      <c r="J1519" s="3">
        <v>7.2128911708500799E-4</v>
      </c>
      <c r="K1519" s="3">
        <v>4.6860761982385501E-4</v>
      </c>
      <c r="L1519" s="3">
        <v>4.7887776006538802E-4</v>
      </c>
      <c r="M1519" s="3">
        <v>4.6580193330647598E-5</v>
      </c>
      <c r="N1519" s="3">
        <v>3.81274973144941E-5</v>
      </c>
      <c r="O1519" s="3">
        <v>3.9187360331441303E-5</v>
      </c>
      <c r="P1519" s="3">
        <v>1.25287304518634E-5</v>
      </c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</row>
    <row r="1520" spans="1:35" x14ac:dyDescent="0.45">
      <c r="A1520" s="3" t="s">
        <v>70</v>
      </c>
      <c r="B1520" s="3" t="s">
        <v>5</v>
      </c>
      <c r="C1520" s="3" t="s">
        <v>18</v>
      </c>
      <c r="D1520" s="3" t="s">
        <v>7</v>
      </c>
      <c r="E1520" s="3" t="s">
        <v>32</v>
      </c>
      <c r="F1520" s="3">
        <v>0.28334792254553398</v>
      </c>
      <c r="G1520" s="3">
        <v>0.21283225505467099</v>
      </c>
      <c r="H1520" s="3">
        <v>0.21283225505467099</v>
      </c>
      <c r="I1520" s="3">
        <v>7.8032629480787596E-2</v>
      </c>
      <c r="J1520" s="3">
        <v>3.1885080812152897E-2</v>
      </c>
      <c r="K1520" s="3">
        <v>0</v>
      </c>
      <c r="L1520" s="3">
        <v>0</v>
      </c>
      <c r="M1520" s="3">
        <v>0</v>
      </c>
      <c r="N1520" s="3">
        <v>0</v>
      </c>
      <c r="O1520" s="3">
        <v>4.7973788350649898E-17</v>
      </c>
      <c r="P1520" s="3">
        <v>8.3954129613637299E-17</v>
      </c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</row>
    <row r="1521" spans="1:35" x14ac:dyDescent="0.45">
      <c r="A1521" s="3" t="s">
        <v>70</v>
      </c>
      <c r="B1521" s="3" t="s">
        <v>5</v>
      </c>
      <c r="C1521" s="3" t="s">
        <v>18</v>
      </c>
      <c r="D1521" s="3" t="s">
        <v>9</v>
      </c>
      <c r="E1521" s="3" t="s">
        <v>32</v>
      </c>
      <c r="F1521" s="3">
        <v>0</v>
      </c>
      <c r="G1521" s="3">
        <v>8.6042284408449602E-16</v>
      </c>
      <c r="H1521" s="3">
        <v>8.6042284408449602E-16</v>
      </c>
      <c r="I1521" s="3">
        <v>0</v>
      </c>
      <c r="J1521" s="3">
        <v>9.0205620750794006E-17</v>
      </c>
      <c r="K1521" s="3">
        <v>0</v>
      </c>
      <c r="L1521" s="3">
        <v>1.1993447087662501E-17</v>
      </c>
      <c r="M1521" s="3">
        <v>1.4392136505194901E-16</v>
      </c>
      <c r="N1521" s="3">
        <v>2.39868941753249E-17</v>
      </c>
      <c r="O1521" s="3">
        <v>7.1960682525975195E-17</v>
      </c>
      <c r="P1521" s="3">
        <v>-2.39868941753249E-17</v>
      </c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</row>
    <row r="1522" spans="1:35" x14ac:dyDescent="0.45">
      <c r="A1522" s="3" t="s">
        <v>70</v>
      </c>
      <c r="B1522" s="3" t="s">
        <v>5</v>
      </c>
      <c r="C1522" s="3" t="s">
        <v>18</v>
      </c>
      <c r="D1522" s="3" t="s">
        <v>10</v>
      </c>
      <c r="E1522" s="3" t="s">
        <v>32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2.39868941753249E-17</v>
      </c>
      <c r="L1522" s="3">
        <v>-1.1993447087662501E-17</v>
      </c>
      <c r="M1522" s="3">
        <v>-9.5947576701299303E-17</v>
      </c>
      <c r="N1522" s="3">
        <v>-2.39868941753249E-17</v>
      </c>
      <c r="O1522" s="3">
        <v>-1.19934470876625E-16</v>
      </c>
      <c r="P1522" s="3">
        <v>-5.9967235438312402E-17</v>
      </c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</row>
    <row r="1523" spans="1:35" x14ac:dyDescent="0.45">
      <c r="A1523" s="3" t="s">
        <v>70</v>
      </c>
      <c r="B1523" s="3" t="s">
        <v>5</v>
      </c>
      <c r="C1523" s="3" t="s">
        <v>18</v>
      </c>
      <c r="D1523" s="3" t="s">
        <v>11</v>
      </c>
      <c r="E1523" s="3" t="s">
        <v>32</v>
      </c>
      <c r="F1523" s="3">
        <v>0</v>
      </c>
      <c r="G1523" s="3">
        <v>0</v>
      </c>
      <c r="H1523" s="3">
        <v>0</v>
      </c>
      <c r="I1523" s="3">
        <v>0</v>
      </c>
      <c r="J1523" s="3">
        <v>-9.0205620750794006E-17</v>
      </c>
      <c r="K1523" s="3">
        <v>-2.39868941753249E-17</v>
      </c>
      <c r="L1523" s="3">
        <v>0</v>
      </c>
      <c r="M1523" s="3">
        <v>-3.5980341262987401E-17</v>
      </c>
      <c r="N1523" s="3">
        <v>0</v>
      </c>
      <c r="O1523" s="3">
        <v>2.39868941753249E-17</v>
      </c>
      <c r="P1523" s="3">
        <v>9.5947576701300104E-17</v>
      </c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</row>
    <row r="1524" spans="1:35" x14ac:dyDescent="0.45">
      <c r="A1524" s="3" t="s">
        <v>70</v>
      </c>
      <c r="B1524" s="3" t="s">
        <v>5</v>
      </c>
      <c r="C1524" s="3" t="s">
        <v>18</v>
      </c>
      <c r="D1524" s="3" t="s">
        <v>12</v>
      </c>
      <c r="E1524" s="3" t="s">
        <v>32</v>
      </c>
      <c r="F1524" s="3">
        <v>0</v>
      </c>
      <c r="G1524" s="3">
        <v>0</v>
      </c>
      <c r="H1524" s="3">
        <v>0</v>
      </c>
      <c r="I1524" s="3">
        <v>-8.3266726846886704E-17</v>
      </c>
      <c r="J1524" s="3">
        <v>9.0205620750794006E-17</v>
      </c>
      <c r="K1524" s="3">
        <v>0</v>
      </c>
      <c r="L1524" s="3">
        <v>0</v>
      </c>
      <c r="M1524" s="3">
        <v>-1.1993447087662501E-17</v>
      </c>
      <c r="N1524" s="3">
        <v>0</v>
      </c>
      <c r="O1524" s="3">
        <v>5.9967235438312402E-17</v>
      </c>
      <c r="P1524" s="3">
        <v>-1.19934470876628E-17</v>
      </c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</row>
    <row r="1525" spans="1:35" x14ac:dyDescent="0.45">
      <c r="A1525" s="3" t="s">
        <v>70</v>
      </c>
      <c r="B1525" s="3" t="s">
        <v>5</v>
      </c>
      <c r="C1525" s="3" t="s">
        <v>18</v>
      </c>
      <c r="D1525" s="3" t="s">
        <v>13</v>
      </c>
      <c r="E1525" s="3" t="s">
        <v>32</v>
      </c>
      <c r="F1525" s="3">
        <v>0</v>
      </c>
      <c r="G1525" s="3">
        <v>0</v>
      </c>
      <c r="H1525" s="3">
        <v>0</v>
      </c>
      <c r="I1525" s="3">
        <v>2.4980018054066002E-16</v>
      </c>
      <c r="J1525" s="3">
        <v>0</v>
      </c>
      <c r="K1525" s="3">
        <v>1.4392136505194901E-16</v>
      </c>
      <c r="L1525" s="3">
        <v>9.5947576701300104E-17</v>
      </c>
      <c r="M1525" s="3">
        <v>0</v>
      </c>
      <c r="N1525" s="3">
        <v>1.79901706314937E-16</v>
      </c>
      <c r="O1525" s="3">
        <v>0</v>
      </c>
      <c r="P1525" s="3">
        <v>-8.3954129613637299E-17</v>
      </c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</row>
    <row r="1526" spans="1:35" x14ac:dyDescent="0.45">
      <c r="A1526" s="3" t="s">
        <v>70</v>
      </c>
      <c r="B1526" s="3" t="s">
        <v>5</v>
      </c>
      <c r="C1526" s="3" t="s">
        <v>18</v>
      </c>
      <c r="D1526" s="3" t="s">
        <v>14</v>
      </c>
      <c r="E1526" s="3" t="s">
        <v>32</v>
      </c>
      <c r="F1526" s="3">
        <v>0</v>
      </c>
      <c r="G1526" s="3">
        <v>-8.6042284408449602E-16</v>
      </c>
      <c r="H1526" s="3">
        <v>-8.6042284408449602E-16</v>
      </c>
      <c r="I1526" s="3">
        <v>-1.6653345369377299E-16</v>
      </c>
      <c r="J1526" s="3">
        <v>0</v>
      </c>
      <c r="K1526" s="3">
        <v>-1.4392136505194901E-16</v>
      </c>
      <c r="L1526" s="3">
        <v>-4.79737883506502E-17</v>
      </c>
      <c r="M1526" s="3">
        <v>4.7973788350649898E-17</v>
      </c>
      <c r="N1526" s="3">
        <v>-1.79901706314937E-16</v>
      </c>
      <c r="O1526" s="3">
        <v>-8.3954129613637299E-17</v>
      </c>
      <c r="P1526" s="3">
        <v>0</v>
      </c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</row>
    <row r="1527" spans="1:35" x14ac:dyDescent="0.45">
      <c r="A1527" s="3" t="s">
        <v>70</v>
      </c>
      <c r="B1527" s="3" t="s">
        <v>5</v>
      </c>
      <c r="C1527" s="3" t="s">
        <v>19</v>
      </c>
      <c r="D1527" s="3" t="s">
        <v>7</v>
      </c>
      <c r="E1527" s="3" t="s">
        <v>32</v>
      </c>
      <c r="F1527" s="3">
        <v>4.5127827376057802E-3</v>
      </c>
      <c r="G1527" s="3">
        <v>0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</row>
    <row r="1528" spans="1:35" x14ac:dyDescent="0.45">
      <c r="A1528" s="3" t="s">
        <v>70</v>
      </c>
      <c r="B1528" s="3" t="s">
        <v>5</v>
      </c>
      <c r="C1528" s="3" t="s">
        <v>19</v>
      </c>
      <c r="D1528" s="3" t="s">
        <v>9</v>
      </c>
      <c r="E1528" s="3" t="s">
        <v>32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</row>
    <row r="1529" spans="1:35" x14ac:dyDescent="0.45">
      <c r="A1529" s="3" t="s">
        <v>70</v>
      </c>
      <c r="B1529" s="3" t="s">
        <v>5</v>
      </c>
      <c r="C1529" s="3" t="s">
        <v>19</v>
      </c>
      <c r="D1529" s="3" t="s">
        <v>10</v>
      </c>
      <c r="E1529" s="3" t="s">
        <v>32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</row>
    <row r="1530" spans="1:35" x14ac:dyDescent="0.45">
      <c r="A1530" s="3" t="s">
        <v>70</v>
      </c>
      <c r="B1530" s="3" t="s">
        <v>5</v>
      </c>
      <c r="C1530" s="3" t="s">
        <v>19</v>
      </c>
      <c r="D1530" s="3" t="s">
        <v>11</v>
      </c>
      <c r="E1530" s="3" t="s">
        <v>32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</row>
    <row r="1531" spans="1:35" x14ac:dyDescent="0.45">
      <c r="A1531" s="3" t="s">
        <v>70</v>
      </c>
      <c r="B1531" s="3" t="s">
        <v>5</v>
      </c>
      <c r="C1531" s="3" t="s">
        <v>19</v>
      </c>
      <c r="D1531" s="3" t="s">
        <v>12</v>
      </c>
      <c r="E1531" s="3" t="s">
        <v>32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6.9959391399100797E-4</v>
      </c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</row>
    <row r="1532" spans="1:35" x14ac:dyDescent="0.45">
      <c r="A1532" s="3" t="s">
        <v>70</v>
      </c>
      <c r="B1532" s="3" t="s">
        <v>5</v>
      </c>
      <c r="C1532" s="3" t="s">
        <v>19</v>
      </c>
      <c r="D1532" s="3" t="s">
        <v>13</v>
      </c>
      <c r="E1532" s="3" t="s">
        <v>32</v>
      </c>
      <c r="F1532" s="3">
        <v>0</v>
      </c>
      <c r="G1532" s="3">
        <v>0</v>
      </c>
      <c r="H1532" s="3">
        <v>0</v>
      </c>
      <c r="I1532" s="3">
        <v>4.3866603792041103E-2</v>
      </c>
      <c r="J1532" s="3">
        <v>2.5718995717439401E-2</v>
      </c>
      <c r="K1532" s="3">
        <v>1.3650567258587199E-2</v>
      </c>
      <c r="L1532" s="3">
        <v>1.08140091620628E-2</v>
      </c>
      <c r="M1532" s="3">
        <v>1.00610358490542E-2</v>
      </c>
      <c r="N1532" s="3">
        <v>9.9364439246863306E-3</v>
      </c>
      <c r="O1532" s="3">
        <v>9.2736833178729307E-3</v>
      </c>
      <c r="P1532" s="3">
        <v>8.2091217316318903E-3</v>
      </c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</row>
    <row r="1533" spans="1:35" x14ac:dyDescent="0.45">
      <c r="A1533" s="3" t="s">
        <v>70</v>
      </c>
      <c r="B1533" s="3" t="s">
        <v>5</v>
      </c>
      <c r="C1533" s="3" t="s">
        <v>19</v>
      </c>
      <c r="D1533" s="3" t="s">
        <v>14</v>
      </c>
      <c r="E1533" s="3" t="s">
        <v>32</v>
      </c>
      <c r="F1533" s="3">
        <v>0</v>
      </c>
      <c r="G1533" s="3">
        <v>0</v>
      </c>
      <c r="H1533" s="3">
        <v>0</v>
      </c>
      <c r="I1533" s="3">
        <v>1.9224941371171499E-2</v>
      </c>
      <c r="J1533" s="3">
        <v>2.6762402683766701E-2</v>
      </c>
      <c r="K1533" s="3">
        <v>2.59596262044994E-2</v>
      </c>
      <c r="L1533" s="3">
        <v>2.7965988459492799E-2</v>
      </c>
      <c r="M1533" s="3">
        <v>2.7739197797884502E-2</v>
      </c>
      <c r="N1533" s="3">
        <v>2.79330190355466E-2</v>
      </c>
      <c r="O1533" s="3">
        <v>2.8587865318498901E-2</v>
      </c>
      <c r="P1533" s="3">
        <v>2.93090472069426E-2</v>
      </c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</row>
    <row r="1534" spans="1:35" x14ac:dyDescent="0.45">
      <c r="A1534" s="3" t="s">
        <v>70</v>
      </c>
      <c r="B1534" s="3" t="s">
        <v>20</v>
      </c>
      <c r="C1534" s="3" t="s">
        <v>6</v>
      </c>
      <c r="D1534" s="3" t="s">
        <v>7</v>
      </c>
      <c r="E1534" s="3" t="s">
        <v>32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1.24477314032476E-2</v>
      </c>
      <c r="L1534" s="3">
        <v>2.7782595755061501E-3</v>
      </c>
      <c r="M1534" s="3">
        <v>1.9377653757855599E-3</v>
      </c>
      <c r="N1534" s="3">
        <v>9.7803747738779592E-4</v>
      </c>
      <c r="O1534" s="3">
        <v>8.7131450289903498E-5</v>
      </c>
      <c r="P1534" s="3">
        <v>0</v>
      </c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</row>
    <row r="1535" spans="1:35" x14ac:dyDescent="0.45">
      <c r="A1535" s="3" t="s">
        <v>70</v>
      </c>
      <c r="B1535" s="3" t="s">
        <v>20</v>
      </c>
      <c r="C1535" s="3" t="s">
        <v>6</v>
      </c>
      <c r="D1535" s="3" t="s">
        <v>9</v>
      </c>
      <c r="E1535" s="3" t="s">
        <v>32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2.2276217073263398E-3</v>
      </c>
      <c r="L1535" s="3">
        <v>1.74168941821089E-2</v>
      </c>
      <c r="M1535" s="3">
        <v>1.31563306375817E-2</v>
      </c>
      <c r="N1535" s="3">
        <v>1.21978107873583E-2</v>
      </c>
      <c r="O1535" s="3">
        <v>0.56023123345353198</v>
      </c>
      <c r="P1535" s="3">
        <v>1.9069419844637601</v>
      </c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</row>
    <row r="1536" spans="1:35" x14ac:dyDescent="0.45">
      <c r="A1536" s="3" t="s">
        <v>70</v>
      </c>
      <c r="B1536" s="3" t="s">
        <v>20</v>
      </c>
      <c r="C1536" s="3" t="s">
        <v>6</v>
      </c>
      <c r="D1536" s="3" t="s">
        <v>10</v>
      </c>
      <c r="E1536" s="3" t="s">
        <v>32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-1.0448438687794199E-2</v>
      </c>
      <c r="L1536" s="3">
        <v>0.55126419592695697</v>
      </c>
      <c r="M1536" s="3">
        <v>2.5068345313245799</v>
      </c>
      <c r="N1536" s="3">
        <v>4.7112884600005902</v>
      </c>
      <c r="O1536" s="3">
        <v>5.8311936117483798</v>
      </c>
      <c r="P1536" s="3">
        <v>6.1210885911046704</v>
      </c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</row>
    <row r="1537" spans="1:35" x14ac:dyDescent="0.45">
      <c r="A1537" s="3" t="s">
        <v>70</v>
      </c>
      <c r="B1537" s="3" t="s">
        <v>20</v>
      </c>
      <c r="C1537" s="3" t="s">
        <v>6</v>
      </c>
      <c r="D1537" s="3" t="s">
        <v>11</v>
      </c>
      <c r="E1537" s="3" t="s">
        <v>32</v>
      </c>
      <c r="F1537" s="3">
        <v>0</v>
      </c>
      <c r="G1537" s="3">
        <v>0</v>
      </c>
      <c r="H1537" s="3">
        <v>0</v>
      </c>
      <c r="I1537" s="3">
        <v>0</v>
      </c>
      <c r="J1537" s="3">
        <v>2.2467949614729602E-2</v>
      </c>
      <c r="K1537" s="3">
        <v>2.09367830883127</v>
      </c>
      <c r="L1537" s="3">
        <v>4.0619040816021199</v>
      </c>
      <c r="M1537" s="3">
        <v>4.03164632731513</v>
      </c>
      <c r="N1537" s="3">
        <v>3.5285586874782999</v>
      </c>
      <c r="O1537" s="3">
        <v>3.3344562689159498</v>
      </c>
      <c r="P1537" s="3">
        <v>2.4694158543606899</v>
      </c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</row>
    <row r="1538" spans="1:35" x14ac:dyDescent="0.45">
      <c r="A1538" s="3" t="s">
        <v>70</v>
      </c>
      <c r="B1538" s="3" t="s">
        <v>20</v>
      </c>
      <c r="C1538" s="3" t="s">
        <v>6</v>
      </c>
      <c r="D1538" s="3" t="s">
        <v>12</v>
      </c>
      <c r="E1538" s="3" t="s">
        <v>32</v>
      </c>
      <c r="F1538" s="3">
        <v>0</v>
      </c>
      <c r="G1538" s="3">
        <v>0</v>
      </c>
      <c r="H1538" s="3">
        <v>0</v>
      </c>
      <c r="I1538" s="3">
        <v>6.3052144246432298E-4</v>
      </c>
      <c r="J1538" s="3">
        <v>2.5313018170334001</v>
      </c>
      <c r="K1538" s="3">
        <v>3.2534026016130402</v>
      </c>
      <c r="L1538" s="3">
        <v>2.84031284574669</v>
      </c>
      <c r="M1538" s="3">
        <v>2.4546757678389999</v>
      </c>
      <c r="N1538" s="3">
        <v>1.6447938290004001</v>
      </c>
      <c r="O1538" s="3">
        <v>0.98187188599637698</v>
      </c>
      <c r="P1538" s="3">
        <v>0.86744864246129605</v>
      </c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</row>
    <row r="1539" spans="1:35" x14ac:dyDescent="0.45">
      <c r="A1539" s="3" t="s">
        <v>70</v>
      </c>
      <c r="B1539" s="3" t="s">
        <v>20</v>
      </c>
      <c r="C1539" s="3" t="s">
        <v>6</v>
      </c>
      <c r="D1539" s="3" t="s">
        <v>13</v>
      </c>
      <c r="E1539" s="3" t="s">
        <v>32</v>
      </c>
      <c r="F1539" s="3">
        <v>0</v>
      </c>
      <c r="G1539" s="3">
        <v>0</v>
      </c>
      <c r="H1539" s="3">
        <v>0</v>
      </c>
      <c r="I1539" s="3">
        <v>3.37014965163781</v>
      </c>
      <c r="J1539" s="3">
        <v>3.7456311966581</v>
      </c>
      <c r="K1539" s="3">
        <v>2.7337228115839798</v>
      </c>
      <c r="L1539" s="3">
        <v>2.1969005170555</v>
      </c>
      <c r="M1539" s="3">
        <v>2.1169638272368498</v>
      </c>
      <c r="N1539" s="3">
        <v>2.36996345257691</v>
      </c>
      <c r="O1539" s="3">
        <v>2.4622941184279998</v>
      </c>
      <c r="P1539" s="3">
        <v>2.5882199503224199</v>
      </c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</row>
    <row r="1540" spans="1:35" x14ac:dyDescent="0.45">
      <c r="A1540" s="3" t="s">
        <v>70</v>
      </c>
      <c r="B1540" s="3" t="s">
        <v>20</v>
      </c>
      <c r="C1540" s="3" t="s">
        <v>6</v>
      </c>
      <c r="D1540" s="3" t="s">
        <v>14</v>
      </c>
      <c r="E1540" s="3" t="s">
        <v>32</v>
      </c>
      <c r="F1540" s="3">
        <v>0</v>
      </c>
      <c r="G1540" s="3">
        <v>2.8897353517582198</v>
      </c>
      <c r="H1540" s="3">
        <v>2.8897353517582198</v>
      </c>
      <c r="I1540" s="3">
        <v>3.5468240319631299</v>
      </c>
      <c r="J1540" s="3">
        <v>2.8929289778351999</v>
      </c>
      <c r="K1540" s="3">
        <v>3.23500982571049</v>
      </c>
      <c r="L1540" s="3">
        <v>3.47580168959739</v>
      </c>
      <c r="M1540" s="3">
        <v>3.2819081680947302</v>
      </c>
      <c r="N1540" s="3">
        <v>3.31912131732502</v>
      </c>
      <c r="O1540" s="3">
        <v>3.3414016747740698</v>
      </c>
      <c r="P1540" s="3">
        <v>3.1940011317097099</v>
      </c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</row>
    <row r="1541" spans="1:35" x14ac:dyDescent="0.45">
      <c r="A1541" s="3" t="s">
        <v>70</v>
      </c>
      <c r="B1541" s="3" t="s">
        <v>20</v>
      </c>
      <c r="C1541" s="3" t="s">
        <v>15</v>
      </c>
      <c r="D1541" s="3" t="s">
        <v>7</v>
      </c>
      <c r="E1541" s="3" t="s">
        <v>32</v>
      </c>
      <c r="F1541" s="3">
        <v>0.16470374382010999</v>
      </c>
      <c r="G1541" s="3">
        <v>0.32470576995207201</v>
      </c>
      <c r="H1541" s="3">
        <v>0.32470576995207201</v>
      </c>
      <c r="I1541" s="3">
        <v>0.49079940810880202</v>
      </c>
      <c r="J1541" s="3">
        <v>0.64184789022475597</v>
      </c>
      <c r="K1541" s="3">
        <v>0.76963611164327606</v>
      </c>
      <c r="L1541" s="3">
        <v>0.77114192512534396</v>
      </c>
      <c r="M1541" s="3">
        <v>0.78848540109600895</v>
      </c>
      <c r="N1541" s="3">
        <v>1.0306962519265701</v>
      </c>
      <c r="O1541" s="3">
        <v>1.2615053772165301</v>
      </c>
      <c r="P1541" s="3">
        <v>1.2615053772165301</v>
      </c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</row>
    <row r="1542" spans="1:35" x14ac:dyDescent="0.45">
      <c r="A1542" s="3" t="s">
        <v>70</v>
      </c>
      <c r="B1542" s="3" t="s">
        <v>20</v>
      </c>
      <c r="C1542" s="3" t="s">
        <v>15</v>
      </c>
      <c r="D1542" s="3" t="s">
        <v>9</v>
      </c>
      <c r="E1542" s="3" t="s">
        <v>32</v>
      </c>
      <c r="F1542" s="3">
        <v>0</v>
      </c>
      <c r="G1542" s="3">
        <v>-2.1225787050105401E-4</v>
      </c>
      <c r="H1542" s="3">
        <v>-2.1225787050105401E-4</v>
      </c>
      <c r="I1542" s="3">
        <v>8.0021017418905493E-2</v>
      </c>
      <c r="J1542" s="3">
        <v>9.0319579315972801E-2</v>
      </c>
      <c r="K1542" s="3">
        <v>0.120937454981415</v>
      </c>
      <c r="L1542" s="3">
        <v>0.56787489670339497</v>
      </c>
      <c r="M1542" s="3">
        <v>0.90890305521038395</v>
      </c>
      <c r="N1542" s="3">
        <v>1.03667003816811</v>
      </c>
      <c r="O1542" s="3">
        <v>1.14620795404069</v>
      </c>
      <c r="P1542" s="3">
        <v>1.5108593514425299</v>
      </c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</row>
    <row r="1543" spans="1:35" x14ac:dyDescent="0.45">
      <c r="A1543" s="3" t="s">
        <v>70</v>
      </c>
      <c r="B1543" s="3" t="s">
        <v>20</v>
      </c>
      <c r="C1543" s="3" t="s">
        <v>15</v>
      </c>
      <c r="D1543" s="3" t="s">
        <v>10</v>
      </c>
      <c r="E1543" s="3" t="s">
        <v>32</v>
      </c>
      <c r="F1543" s="3">
        <v>0</v>
      </c>
      <c r="G1543" s="3">
        <v>8.1481738606448099E-5</v>
      </c>
      <c r="H1543" s="3">
        <v>8.1481738606448099E-5</v>
      </c>
      <c r="I1543" s="3">
        <v>1.06823299653709E-2</v>
      </c>
      <c r="J1543" s="3">
        <v>0.15330462487442401</v>
      </c>
      <c r="K1543" s="3">
        <v>0.22920796943195601</v>
      </c>
      <c r="L1543" s="3">
        <v>5.2491340186029897E-2</v>
      </c>
      <c r="M1543" s="3">
        <v>8.9845347015828497E-2</v>
      </c>
      <c r="N1543" s="3">
        <v>0.13853616344190001</v>
      </c>
      <c r="O1543" s="3">
        <v>0.24234683633516299</v>
      </c>
      <c r="P1543" s="3">
        <v>0.35572915971902802</v>
      </c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</row>
    <row r="1544" spans="1:35" x14ac:dyDescent="0.45">
      <c r="A1544" s="3" t="s">
        <v>70</v>
      </c>
      <c r="B1544" s="3" t="s">
        <v>20</v>
      </c>
      <c r="C1544" s="3" t="s">
        <v>15</v>
      </c>
      <c r="D1544" s="3" t="s">
        <v>11</v>
      </c>
      <c r="E1544" s="3" t="s">
        <v>32</v>
      </c>
      <c r="F1544" s="3">
        <v>0</v>
      </c>
      <c r="G1544" s="3">
        <v>-5.4302122513005799E-5</v>
      </c>
      <c r="H1544" s="3">
        <v>-5.4302122513005799E-5</v>
      </c>
      <c r="I1544" s="3">
        <v>0.10134434456588701</v>
      </c>
      <c r="J1544" s="3">
        <v>4.3504242713271503E-2</v>
      </c>
      <c r="K1544" s="3">
        <v>8.0343142612765706E-2</v>
      </c>
      <c r="L1544" s="3">
        <v>0.15399182011496401</v>
      </c>
      <c r="M1544" s="3">
        <v>0.178487740487871</v>
      </c>
      <c r="N1544" s="3">
        <v>0.167994985857187</v>
      </c>
      <c r="O1544" s="3">
        <v>7.7227508985056897E-2</v>
      </c>
      <c r="P1544" s="3">
        <v>-7.3048249258581804E-2</v>
      </c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</row>
    <row r="1545" spans="1:35" x14ac:dyDescent="0.45">
      <c r="A1545" s="3" t="s">
        <v>70</v>
      </c>
      <c r="B1545" s="3" t="s">
        <v>20</v>
      </c>
      <c r="C1545" s="3" t="s">
        <v>15</v>
      </c>
      <c r="D1545" s="3" t="s">
        <v>12</v>
      </c>
      <c r="E1545" s="3" t="s">
        <v>32</v>
      </c>
      <c r="F1545" s="3">
        <v>0</v>
      </c>
      <c r="G1545" s="3">
        <v>1.1240979171028801E-3</v>
      </c>
      <c r="H1545" s="3">
        <v>1.1240979171028801E-3</v>
      </c>
      <c r="I1545" s="3">
        <v>3.3660940597890703E-2</v>
      </c>
      <c r="J1545" s="3">
        <v>5.5589852670330897E-2</v>
      </c>
      <c r="K1545" s="3">
        <v>7.7621702554090802E-2</v>
      </c>
      <c r="L1545" s="3">
        <v>7.6434350698888504E-3</v>
      </c>
      <c r="M1545" s="3">
        <v>-7.1712180725079303E-2</v>
      </c>
      <c r="N1545" s="3">
        <v>-0.14481331691153501</v>
      </c>
      <c r="O1545" s="3">
        <v>-0.212703582169009</v>
      </c>
      <c r="P1545" s="3">
        <v>-0.31300218946741598</v>
      </c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</row>
    <row r="1546" spans="1:35" x14ac:dyDescent="0.45">
      <c r="A1546" s="3" t="s">
        <v>70</v>
      </c>
      <c r="B1546" s="3" t="s">
        <v>20</v>
      </c>
      <c r="C1546" s="3" t="s">
        <v>15</v>
      </c>
      <c r="D1546" s="3" t="s">
        <v>13</v>
      </c>
      <c r="E1546" s="3" t="s">
        <v>32</v>
      </c>
      <c r="F1546" s="3">
        <v>0</v>
      </c>
      <c r="G1546" s="3">
        <v>0.105003258593626</v>
      </c>
      <c r="H1546" s="3">
        <v>0.105003258593626</v>
      </c>
      <c r="I1546" s="3">
        <v>4.82840368420469E-2</v>
      </c>
      <c r="J1546" s="3">
        <v>1.22427372479645E-2</v>
      </c>
      <c r="K1546" s="3">
        <v>-7.73247379543993E-2</v>
      </c>
      <c r="L1546" s="3">
        <v>-0.14075246274897299</v>
      </c>
      <c r="M1546" s="3">
        <v>-0.22704004325090099</v>
      </c>
      <c r="N1546" s="3">
        <v>-0.28204593991917498</v>
      </c>
      <c r="O1546" s="3">
        <v>-0.34110145767411398</v>
      </c>
      <c r="P1546" s="3">
        <v>-0.36674872267591302</v>
      </c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</row>
    <row r="1547" spans="1:35" x14ac:dyDescent="0.45">
      <c r="A1547" s="3" t="s">
        <v>70</v>
      </c>
      <c r="B1547" s="3" t="s">
        <v>20</v>
      </c>
      <c r="C1547" s="3" t="s">
        <v>15</v>
      </c>
      <c r="D1547" s="3" t="s">
        <v>14</v>
      </c>
      <c r="E1547" s="3" t="s">
        <v>32</v>
      </c>
      <c r="F1547" s="3">
        <v>0</v>
      </c>
      <c r="G1547" s="3">
        <v>7.7478926439715004E-2</v>
      </c>
      <c r="H1547" s="3">
        <v>7.7478926439715004E-2</v>
      </c>
      <c r="I1547" s="3">
        <v>-2.10899041199606E-2</v>
      </c>
      <c r="J1547" s="3">
        <v>-1.4155407094218499E-4</v>
      </c>
      <c r="K1547" s="3">
        <v>-2.51681470352507E-2</v>
      </c>
      <c r="L1547" s="3">
        <v>-4.9748983827431599E-2</v>
      </c>
      <c r="M1547" s="3">
        <v>-6.5322664995158597E-2</v>
      </c>
      <c r="N1547" s="3">
        <v>-0.10948854789632401</v>
      </c>
      <c r="O1547" s="3">
        <v>-0.14091632431489301</v>
      </c>
      <c r="P1547" s="3">
        <v>-0.169484774878364</v>
      </c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</row>
    <row r="1548" spans="1:35" x14ac:dyDescent="0.45">
      <c r="A1548" s="3" t="s">
        <v>70</v>
      </c>
      <c r="B1548" s="3" t="s">
        <v>20</v>
      </c>
      <c r="C1548" s="3" t="s">
        <v>16</v>
      </c>
      <c r="D1548" s="3" t="s">
        <v>7</v>
      </c>
      <c r="E1548" s="3" t="s">
        <v>32</v>
      </c>
      <c r="F1548" s="3">
        <v>4.0913887324558997</v>
      </c>
      <c r="G1548" s="3">
        <v>4.0913887324558997</v>
      </c>
      <c r="H1548" s="3">
        <v>4.0913887324558997</v>
      </c>
      <c r="I1548" s="3">
        <v>4.0913887324558997</v>
      </c>
      <c r="J1548" s="3">
        <v>4.0913887324558997</v>
      </c>
      <c r="K1548" s="3">
        <v>4.0913887324558997</v>
      </c>
      <c r="L1548" s="3">
        <v>4.0913887324558997</v>
      </c>
      <c r="M1548" s="3">
        <v>3.9481901268199402</v>
      </c>
      <c r="N1548" s="3">
        <v>1.9270440929867301</v>
      </c>
      <c r="O1548" s="3">
        <v>0</v>
      </c>
      <c r="P1548" s="3">
        <v>0</v>
      </c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</row>
    <row r="1549" spans="1:35" x14ac:dyDescent="0.45">
      <c r="A1549" s="3" t="s">
        <v>70</v>
      </c>
      <c r="B1549" s="3" t="s">
        <v>20</v>
      </c>
      <c r="C1549" s="3" t="s">
        <v>16</v>
      </c>
      <c r="D1549" s="3" t="s">
        <v>9</v>
      </c>
      <c r="E1549" s="3" t="s">
        <v>32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0</v>
      </c>
      <c r="P1549" s="3">
        <v>0</v>
      </c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</row>
    <row r="1550" spans="1:35" x14ac:dyDescent="0.45">
      <c r="A1550" s="3" t="s">
        <v>70</v>
      </c>
      <c r="B1550" s="3" t="s">
        <v>20</v>
      </c>
      <c r="C1550" s="3" t="s">
        <v>16</v>
      </c>
      <c r="D1550" s="3" t="s">
        <v>10</v>
      </c>
      <c r="E1550" s="3" t="s">
        <v>32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9.3258734068513102E-15</v>
      </c>
      <c r="N1550" s="3">
        <v>0</v>
      </c>
      <c r="O1550" s="3">
        <v>0</v>
      </c>
      <c r="P1550" s="3">
        <v>0</v>
      </c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</row>
    <row r="1551" spans="1:35" x14ac:dyDescent="0.45">
      <c r="A1551" s="3" t="s">
        <v>70</v>
      </c>
      <c r="B1551" s="3" t="s">
        <v>20</v>
      </c>
      <c r="C1551" s="3" t="s">
        <v>16</v>
      </c>
      <c r="D1551" s="3" t="s">
        <v>11</v>
      </c>
      <c r="E1551" s="3" t="s">
        <v>32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-9.3258734068513102E-15</v>
      </c>
      <c r="N1551" s="3">
        <v>0</v>
      </c>
      <c r="O1551" s="3">
        <v>0</v>
      </c>
      <c r="P1551" s="3">
        <v>0</v>
      </c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</row>
    <row r="1552" spans="1:35" x14ac:dyDescent="0.45">
      <c r="A1552" s="3" t="s">
        <v>70</v>
      </c>
      <c r="B1552" s="3" t="s">
        <v>20</v>
      </c>
      <c r="C1552" s="3" t="s">
        <v>16</v>
      </c>
      <c r="D1552" s="3" t="s">
        <v>12</v>
      </c>
      <c r="E1552" s="3" t="s">
        <v>32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9.3258734068513102E-15</v>
      </c>
      <c r="N1552" s="3">
        <v>0</v>
      </c>
      <c r="O1552" s="3">
        <v>0</v>
      </c>
      <c r="P1552" s="3">
        <v>0</v>
      </c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</row>
    <row r="1553" spans="1:35" x14ac:dyDescent="0.45">
      <c r="A1553" s="3" t="s">
        <v>70</v>
      </c>
      <c r="B1553" s="3" t="s">
        <v>20</v>
      </c>
      <c r="C1553" s="3" t="s">
        <v>16</v>
      </c>
      <c r="D1553" s="3" t="s">
        <v>13</v>
      </c>
      <c r="E1553" s="3" t="s">
        <v>32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-9.3258734068513102E-15</v>
      </c>
      <c r="N1553" s="3">
        <v>0</v>
      </c>
      <c r="O1553" s="3">
        <v>0</v>
      </c>
      <c r="P1553" s="3">
        <v>0</v>
      </c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</row>
    <row r="1554" spans="1:35" x14ac:dyDescent="0.45">
      <c r="A1554" s="3" t="s">
        <v>70</v>
      </c>
      <c r="B1554" s="3" t="s">
        <v>20</v>
      </c>
      <c r="C1554" s="3" t="s">
        <v>16</v>
      </c>
      <c r="D1554" s="3" t="s">
        <v>14</v>
      </c>
      <c r="E1554" s="3" t="s">
        <v>32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</row>
    <row r="1555" spans="1:35" x14ac:dyDescent="0.45">
      <c r="A1555" s="3" t="s">
        <v>70</v>
      </c>
      <c r="B1555" s="3" t="s">
        <v>20</v>
      </c>
      <c r="C1555" s="3" t="s">
        <v>17</v>
      </c>
      <c r="D1555" s="3" t="s">
        <v>10</v>
      </c>
      <c r="E1555" s="3" t="s">
        <v>32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1.7514880049824999</v>
      </c>
      <c r="O1555" s="3">
        <v>2.0001569472327598</v>
      </c>
      <c r="P1555" s="3">
        <v>1.1052402679981499</v>
      </c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</row>
    <row r="1556" spans="1:35" x14ac:dyDescent="0.45">
      <c r="A1556" s="3" t="s">
        <v>70</v>
      </c>
      <c r="B1556" s="3" t="s">
        <v>20</v>
      </c>
      <c r="C1556" s="3" t="s">
        <v>17</v>
      </c>
      <c r="D1556" s="3" t="s">
        <v>11</v>
      </c>
      <c r="E1556" s="3" t="s">
        <v>32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1.3815791503264299E-2</v>
      </c>
      <c r="M1556" s="3">
        <v>2.1610685907515901</v>
      </c>
      <c r="N1556" s="3">
        <v>1.2627080841560601</v>
      </c>
      <c r="O1556" s="3">
        <v>1.6457680619356201</v>
      </c>
      <c r="P1556" s="3">
        <v>1.98680134269578</v>
      </c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</row>
    <row r="1557" spans="1:35" x14ac:dyDescent="0.45">
      <c r="A1557" s="3" t="s">
        <v>70</v>
      </c>
      <c r="B1557" s="3" t="s">
        <v>20</v>
      </c>
      <c r="C1557" s="3" t="s">
        <v>17</v>
      </c>
      <c r="D1557" s="3" t="s">
        <v>12</v>
      </c>
      <c r="E1557" s="3" t="s">
        <v>32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1.7011178628583099</v>
      </c>
      <c r="L1557" s="3">
        <v>3.1714672727711202</v>
      </c>
      <c r="M1557" s="3">
        <v>2.0132622555549</v>
      </c>
      <c r="N1557" s="3">
        <v>2.0363319785359799</v>
      </c>
      <c r="O1557" s="3">
        <v>1.7654874893849399</v>
      </c>
      <c r="P1557" s="3">
        <v>1.10621769354093</v>
      </c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</row>
    <row r="1558" spans="1:35" x14ac:dyDescent="0.45">
      <c r="A1558" s="3" t="s">
        <v>70</v>
      </c>
      <c r="B1558" s="3" t="s">
        <v>20</v>
      </c>
      <c r="C1558" s="3" t="s">
        <v>17</v>
      </c>
      <c r="D1558" s="3" t="s">
        <v>13</v>
      </c>
      <c r="E1558" s="3" t="s">
        <v>32</v>
      </c>
      <c r="F1558" s="3">
        <v>0</v>
      </c>
      <c r="G1558" s="3">
        <v>0</v>
      </c>
      <c r="H1558" s="3">
        <v>0</v>
      </c>
      <c r="I1558" s="3">
        <v>0.70373806005671602</v>
      </c>
      <c r="J1558" s="3">
        <v>3.53393001350278</v>
      </c>
      <c r="K1558" s="3">
        <v>3.3892890620351301</v>
      </c>
      <c r="L1558" s="3">
        <v>2.7250799676442301</v>
      </c>
      <c r="M1558" s="3">
        <v>1.76056066911605</v>
      </c>
      <c r="N1558" s="3">
        <v>0.88436344774799003</v>
      </c>
      <c r="O1558" s="3">
        <v>0.43572608120572998</v>
      </c>
      <c r="P1558" s="3">
        <v>0.37446337625120302</v>
      </c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</row>
    <row r="1559" spans="1:35" x14ac:dyDescent="0.45">
      <c r="A1559" s="3" t="s">
        <v>70</v>
      </c>
      <c r="B1559" s="3" t="s">
        <v>20</v>
      </c>
      <c r="C1559" s="3" t="s">
        <v>17</v>
      </c>
      <c r="D1559" s="3" t="s">
        <v>14</v>
      </c>
      <c r="E1559" s="3" t="s">
        <v>32</v>
      </c>
      <c r="F1559" s="3">
        <v>0</v>
      </c>
      <c r="G1559" s="3">
        <v>0</v>
      </c>
      <c r="H1559" s="3">
        <v>0</v>
      </c>
      <c r="I1559" s="3">
        <v>2.81425749612472</v>
      </c>
      <c r="J1559" s="3">
        <v>2.1880259777297502</v>
      </c>
      <c r="K1559" s="3">
        <v>1.01150318243369</v>
      </c>
      <c r="L1559" s="3">
        <v>0.19155510022789199</v>
      </c>
      <c r="M1559" s="3">
        <v>0.16702661672396801</v>
      </c>
      <c r="N1559" s="3">
        <v>0.16702661672397801</v>
      </c>
      <c r="O1559" s="3">
        <v>0.16702661672397801</v>
      </c>
      <c r="P1559" s="3">
        <v>0.167026616723988</v>
      </c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</row>
    <row r="1560" spans="1:35" x14ac:dyDescent="0.45">
      <c r="A1560" s="3" t="s">
        <v>70</v>
      </c>
      <c r="B1560" s="3" t="s">
        <v>20</v>
      </c>
      <c r="C1560" s="3" t="s">
        <v>18</v>
      </c>
      <c r="D1560" s="3" t="s">
        <v>7</v>
      </c>
      <c r="E1560" s="3" t="s">
        <v>32</v>
      </c>
      <c r="F1560" s="3">
        <v>4.1084481612124204</v>
      </c>
      <c r="G1560" s="3">
        <v>5.0845510331495198</v>
      </c>
      <c r="H1560" s="3">
        <v>5.0845510331495198</v>
      </c>
      <c r="I1560" s="3">
        <v>5.9197020332736399</v>
      </c>
      <c r="J1560" s="3">
        <v>6.3658258671938999</v>
      </c>
      <c r="K1560" s="3">
        <v>5.86475312253088</v>
      </c>
      <c r="L1560" s="3">
        <v>4.4665105541460202</v>
      </c>
      <c r="M1560" s="3">
        <v>1.9652227741469299</v>
      </c>
      <c r="N1560" s="3">
        <v>0.95919163380642802</v>
      </c>
      <c r="O1560" s="3">
        <v>2.18329980398736E-16</v>
      </c>
      <c r="P1560" s="3">
        <v>0</v>
      </c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</row>
    <row r="1561" spans="1:35" x14ac:dyDescent="0.45">
      <c r="A1561" s="3" t="s">
        <v>70</v>
      </c>
      <c r="B1561" s="3" t="s">
        <v>20</v>
      </c>
      <c r="C1561" s="3" t="s">
        <v>18</v>
      </c>
      <c r="D1561" s="3" t="s">
        <v>9</v>
      </c>
      <c r="E1561" s="3" t="s">
        <v>32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9.9920072216264108E-16</v>
      </c>
      <c r="O1561" s="3">
        <v>2.1832998039873701E-16</v>
      </c>
      <c r="P1561" s="3">
        <v>1.3099798823924199E-15</v>
      </c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</row>
    <row r="1562" spans="1:35" x14ac:dyDescent="0.45">
      <c r="A1562" s="3" t="s">
        <v>70</v>
      </c>
      <c r="B1562" s="3" t="s">
        <v>20</v>
      </c>
      <c r="C1562" s="3" t="s">
        <v>18</v>
      </c>
      <c r="D1562" s="3" t="s">
        <v>10</v>
      </c>
      <c r="E1562" s="3" t="s">
        <v>32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9.9920072216264108E-16</v>
      </c>
      <c r="O1562" s="3">
        <v>-4.3665996079747402E-16</v>
      </c>
      <c r="P1562" s="3">
        <v>-1.3099798823924199E-15</v>
      </c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</row>
    <row r="1563" spans="1:35" x14ac:dyDescent="0.45">
      <c r="A1563" s="3" t="s">
        <v>70</v>
      </c>
      <c r="B1563" s="3" t="s">
        <v>20</v>
      </c>
      <c r="C1563" s="3" t="s">
        <v>18</v>
      </c>
      <c r="D1563" s="3" t="s">
        <v>11</v>
      </c>
      <c r="E1563" s="3" t="s">
        <v>32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-3.9968028886505604E-15</v>
      </c>
      <c r="O1563" s="3">
        <v>1.3099798823924199E-15</v>
      </c>
      <c r="P1563" s="3">
        <v>0</v>
      </c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</row>
    <row r="1564" spans="1:35" x14ac:dyDescent="0.45">
      <c r="A1564" s="3" t="s">
        <v>70</v>
      </c>
      <c r="B1564" s="3" t="s">
        <v>20</v>
      </c>
      <c r="C1564" s="3" t="s">
        <v>18</v>
      </c>
      <c r="D1564" s="3" t="s">
        <v>12</v>
      </c>
      <c r="E1564" s="3" t="s">
        <v>32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-9.7699626167013807E-15</v>
      </c>
      <c r="M1564" s="3">
        <v>0</v>
      </c>
      <c r="N1564" s="3">
        <v>2.9976021664879199E-15</v>
      </c>
      <c r="O1564" s="3">
        <v>1.3099798823924199E-15</v>
      </c>
      <c r="P1564" s="3">
        <v>0</v>
      </c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</row>
    <row r="1565" spans="1:35" x14ac:dyDescent="0.45">
      <c r="A1565" s="3" t="s">
        <v>70</v>
      </c>
      <c r="B1565" s="3" t="s">
        <v>20</v>
      </c>
      <c r="C1565" s="3" t="s">
        <v>18</v>
      </c>
      <c r="D1565" s="3" t="s">
        <v>13</v>
      </c>
      <c r="E1565" s="3" t="s">
        <v>32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9.7699626167013807E-15</v>
      </c>
      <c r="M1565" s="3">
        <v>0</v>
      </c>
      <c r="N1565" s="3">
        <v>-2.9976021664879199E-15</v>
      </c>
      <c r="O1565" s="3">
        <v>-2.6199597647848399E-15</v>
      </c>
      <c r="P1565" s="3">
        <v>4.3665996079747402E-16</v>
      </c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</row>
    <row r="1566" spans="1:35" x14ac:dyDescent="0.45">
      <c r="A1566" s="3" t="s">
        <v>70</v>
      </c>
      <c r="B1566" s="3" t="s">
        <v>20</v>
      </c>
      <c r="C1566" s="3" t="s">
        <v>18</v>
      </c>
      <c r="D1566" s="3" t="s">
        <v>14</v>
      </c>
      <c r="E1566" s="3" t="s">
        <v>32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1.7763568394002501E-14</v>
      </c>
      <c r="O1566" s="3">
        <v>8.7331992159494597E-16</v>
      </c>
      <c r="P1566" s="3">
        <v>8.2965392551519905E-15</v>
      </c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</row>
    <row r="1567" spans="1:35" x14ac:dyDescent="0.45">
      <c r="A1567" s="3" t="s">
        <v>70</v>
      </c>
      <c r="B1567" s="3" t="s">
        <v>20</v>
      </c>
      <c r="C1567" s="3" t="s">
        <v>19</v>
      </c>
      <c r="D1567" s="3" t="s">
        <v>10</v>
      </c>
      <c r="E1567" s="3" t="s">
        <v>32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1.2911878361765801</v>
      </c>
      <c r="N1567" s="3">
        <v>1.8896701312181201</v>
      </c>
      <c r="O1567" s="3">
        <v>1.3521178952649799</v>
      </c>
      <c r="P1567" s="3">
        <v>1.3814426231162</v>
      </c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</row>
    <row r="1568" spans="1:35" x14ac:dyDescent="0.45">
      <c r="A1568" s="3" t="s">
        <v>70</v>
      </c>
      <c r="B1568" s="3" t="s">
        <v>20</v>
      </c>
      <c r="C1568" s="3" t="s">
        <v>19</v>
      </c>
      <c r="D1568" s="3" t="s">
        <v>11</v>
      </c>
      <c r="E1568" s="3" t="s">
        <v>32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0.322797382598974</v>
      </c>
      <c r="L1568" s="3">
        <v>2.1840878464749198</v>
      </c>
      <c r="M1568" s="3">
        <v>3.2111568698222799</v>
      </c>
      <c r="N1568" s="3">
        <v>4.5973312755951898</v>
      </c>
      <c r="O1568" s="3">
        <v>6.1525671766586498</v>
      </c>
      <c r="P1568" s="3">
        <v>7.5634469986978701</v>
      </c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</row>
    <row r="1569" spans="1:35" x14ac:dyDescent="0.45">
      <c r="A1569" s="3" t="s">
        <v>70</v>
      </c>
      <c r="B1569" s="3" t="s">
        <v>20</v>
      </c>
      <c r="C1569" s="3" t="s">
        <v>19</v>
      </c>
      <c r="D1569" s="3" t="s">
        <v>12</v>
      </c>
      <c r="E1569" s="3" t="s">
        <v>32</v>
      </c>
      <c r="F1569" s="3">
        <v>0</v>
      </c>
      <c r="G1569" s="3">
        <v>0</v>
      </c>
      <c r="H1569" s="3">
        <v>0</v>
      </c>
      <c r="I1569" s="3">
        <v>0</v>
      </c>
      <c r="J1569" s="3">
        <v>1.1677641611763301</v>
      </c>
      <c r="K1569" s="3">
        <v>4.7108229668519801</v>
      </c>
      <c r="L1569" s="3">
        <v>6.1366874370879199</v>
      </c>
      <c r="M1569" s="3">
        <v>7.0536864567421302</v>
      </c>
      <c r="N1569" s="3">
        <v>7.7142366691196198</v>
      </c>
      <c r="O1569" s="3">
        <v>6.5779330407551404</v>
      </c>
      <c r="P1569" s="3">
        <v>4.3614137738570804</v>
      </c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</row>
    <row r="1570" spans="1:35" x14ac:dyDescent="0.45">
      <c r="A1570" s="3" t="s">
        <v>70</v>
      </c>
      <c r="B1570" s="3" t="s">
        <v>20</v>
      </c>
      <c r="C1570" s="3" t="s">
        <v>19</v>
      </c>
      <c r="D1570" s="3" t="s">
        <v>13</v>
      </c>
      <c r="E1570" s="3" t="s">
        <v>32</v>
      </c>
      <c r="F1570" s="3">
        <v>0</v>
      </c>
      <c r="G1570" s="3">
        <v>0</v>
      </c>
      <c r="H1570" s="3">
        <v>0</v>
      </c>
      <c r="I1570" s="3">
        <v>4.7009802094839204</v>
      </c>
      <c r="J1570" s="3">
        <v>9.4496707129712707</v>
      </c>
      <c r="K1570" s="3">
        <v>10.727907467744499</v>
      </c>
      <c r="L1570" s="3">
        <v>9.8450657140873208</v>
      </c>
      <c r="M1570" s="3">
        <v>6.4695936357095496</v>
      </c>
      <c r="N1570" s="3">
        <v>3.5349753145427898</v>
      </c>
      <c r="O1570" s="3">
        <v>2.2623653548096199</v>
      </c>
      <c r="P1570" s="3">
        <v>2.1306008105476399</v>
      </c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</row>
    <row r="1571" spans="1:35" x14ac:dyDescent="0.45">
      <c r="A1571" s="3" t="s">
        <v>70</v>
      </c>
      <c r="B1571" s="3" t="s">
        <v>20</v>
      </c>
      <c r="C1571" s="3" t="s">
        <v>19</v>
      </c>
      <c r="D1571" s="3" t="s">
        <v>14</v>
      </c>
      <c r="E1571" s="3" t="s">
        <v>32</v>
      </c>
      <c r="F1571" s="3">
        <v>0</v>
      </c>
      <c r="G1571" s="3">
        <v>0</v>
      </c>
      <c r="H1571" s="3">
        <v>0</v>
      </c>
      <c r="I1571" s="3">
        <v>6.3869085174937403</v>
      </c>
      <c r="J1571" s="3">
        <v>7.6817784462105703</v>
      </c>
      <c r="K1571" s="3">
        <v>3.4240041413483402</v>
      </c>
      <c r="L1571" s="3">
        <v>0.84446328857321296</v>
      </c>
      <c r="M1571" s="3">
        <v>0.75627301634653299</v>
      </c>
      <c r="N1571" s="3">
        <v>0.810016437662327</v>
      </c>
      <c r="O1571" s="3">
        <v>0.83949171630978403</v>
      </c>
      <c r="P1571" s="3">
        <v>0.88028254242024995</v>
      </c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</row>
    <row r="1572" spans="1:35" x14ac:dyDescent="0.45">
      <c r="A1572" s="3" t="s">
        <v>71</v>
      </c>
      <c r="B1572" s="3" t="s">
        <v>27</v>
      </c>
      <c r="C1572" s="3" t="s">
        <v>6</v>
      </c>
      <c r="D1572" s="3" t="s">
        <v>7</v>
      </c>
      <c r="E1572" s="3" t="s">
        <v>32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</row>
    <row r="1573" spans="1:35" x14ac:dyDescent="0.45">
      <c r="A1573" s="3" t="s">
        <v>71</v>
      </c>
      <c r="B1573" s="3" t="s">
        <v>27</v>
      </c>
      <c r="C1573" s="3" t="s">
        <v>6</v>
      </c>
      <c r="D1573" s="3" t="s">
        <v>9</v>
      </c>
      <c r="E1573" s="3" t="s">
        <v>32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4.8369377075891803E-3</v>
      </c>
      <c r="P1573" s="3">
        <v>1.4649311767286999E-2</v>
      </c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</row>
    <row r="1574" spans="1:35" x14ac:dyDescent="0.45">
      <c r="A1574" s="3" t="s">
        <v>71</v>
      </c>
      <c r="B1574" s="3" t="s">
        <v>27</v>
      </c>
      <c r="C1574" s="3" t="s">
        <v>6</v>
      </c>
      <c r="D1574" s="3" t="s">
        <v>10</v>
      </c>
      <c r="E1574" s="3" t="s">
        <v>32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2.8532462495724099E-3</v>
      </c>
      <c r="M1574" s="3">
        <v>1.54643052216446E-2</v>
      </c>
      <c r="N1574" s="3">
        <v>2.42826588765673E-2</v>
      </c>
      <c r="O1574" s="3">
        <v>3.0438378849083701E-2</v>
      </c>
      <c r="P1574" s="3">
        <v>3.0048847228795101E-2</v>
      </c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</row>
    <row r="1575" spans="1:35" x14ac:dyDescent="0.45">
      <c r="A1575" s="3" t="s">
        <v>71</v>
      </c>
      <c r="B1575" s="3" t="s">
        <v>27</v>
      </c>
      <c r="C1575" s="3" t="s">
        <v>6</v>
      </c>
      <c r="D1575" s="3" t="s">
        <v>11</v>
      </c>
      <c r="E1575" s="3" t="s">
        <v>32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1.3287832795563601E-2</v>
      </c>
      <c r="L1575" s="3">
        <v>2.5052745743565401E-2</v>
      </c>
      <c r="M1575" s="3">
        <v>3.1823039591055903E-2</v>
      </c>
      <c r="N1575" s="3">
        <v>0.128466236935558</v>
      </c>
      <c r="O1575" s="3">
        <v>0.28217361236722299</v>
      </c>
      <c r="P1575" s="3">
        <v>0.47640870746585701</v>
      </c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</row>
    <row r="1576" spans="1:35" x14ac:dyDescent="0.45">
      <c r="A1576" s="3" t="s">
        <v>71</v>
      </c>
      <c r="B1576" s="3" t="s">
        <v>27</v>
      </c>
      <c r="C1576" s="3" t="s">
        <v>6</v>
      </c>
      <c r="D1576" s="3" t="s">
        <v>12</v>
      </c>
      <c r="E1576" s="3" t="s">
        <v>32</v>
      </c>
      <c r="F1576" s="3">
        <v>0</v>
      </c>
      <c r="G1576" s="3">
        <v>0</v>
      </c>
      <c r="H1576" s="3">
        <v>0</v>
      </c>
      <c r="I1576" s="3">
        <v>9.5521984290189803E-9</v>
      </c>
      <c r="J1576" s="3">
        <v>1.3381003529097499E-2</v>
      </c>
      <c r="K1576" s="3">
        <v>4.3293685729653301E-2</v>
      </c>
      <c r="L1576" s="3">
        <v>0.200803160651293</v>
      </c>
      <c r="M1576" s="3">
        <v>0.41137491930328401</v>
      </c>
      <c r="N1576" s="3">
        <v>0.54477073930911402</v>
      </c>
      <c r="O1576" s="3">
        <v>0.58599291303451695</v>
      </c>
      <c r="P1576" s="3">
        <v>0.56871995816210996</v>
      </c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</row>
    <row r="1577" spans="1:35" x14ac:dyDescent="0.45">
      <c r="A1577" s="3" t="s">
        <v>71</v>
      </c>
      <c r="B1577" s="3" t="s">
        <v>27</v>
      </c>
      <c r="C1577" s="3" t="s">
        <v>6</v>
      </c>
      <c r="D1577" s="3" t="s">
        <v>13</v>
      </c>
      <c r="E1577" s="3" t="s">
        <v>32</v>
      </c>
      <c r="F1577" s="3">
        <v>0</v>
      </c>
      <c r="G1577" s="3">
        <v>0</v>
      </c>
      <c r="H1577" s="3">
        <v>0</v>
      </c>
      <c r="I1577" s="3">
        <v>3.5914903838804801E-2</v>
      </c>
      <c r="J1577" s="3">
        <v>0.29902900636868002</v>
      </c>
      <c r="K1577" s="3">
        <v>0.54321152171926301</v>
      </c>
      <c r="L1577" s="3">
        <v>0.60363076523993597</v>
      </c>
      <c r="M1577" s="3">
        <v>0.58354673356285103</v>
      </c>
      <c r="N1577" s="3">
        <v>0.53999356445283897</v>
      </c>
      <c r="O1577" s="3">
        <v>0.50300598880858005</v>
      </c>
      <c r="P1577" s="3">
        <v>0.46162063112486001</v>
      </c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</row>
    <row r="1578" spans="1:35" x14ac:dyDescent="0.45">
      <c r="A1578" s="3" t="s">
        <v>71</v>
      </c>
      <c r="B1578" s="3" t="s">
        <v>27</v>
      </c>
      <c r="C1578" s="3" t="s">
        <v>6</v>
      </c>
      <c r="D1578" s="3" t="s">
        <v>14</v>
      </c>
      <c r="E1578" s="3" t="s">
        <v>32</v>
      </c>
      <c r="F1578" s="3">
        <v>0</v>
      </c>
      <c r="G1578" s="3">
        <v>2.7942301030593E-2</v>
      </c>
      <c r="H1578" s="3">
        <v>2.7942301030593E-2</v>
      </c>
      <c r="I1578" s="3">
        <v>0.322829279048022</v>
      </c>
      <c r="J1578" s="3">
        <v>0.32194086118419502</v>
      </c>
      <c r="K1578" s="3">
        <v>0.277515663094618</v>
      </c>
      <c r="L1578" s="3">
        <v>0.26780361737073</v>
      </c>
      <c r="M1578" s="3">
        <v>0.287280487881864</v>
      </c>
      <c r="N1578" s="3">
        <v>0.28006350317803502</v>
      </c>
      <c r="O1578" s="3">
        <v>0.278695209626588</v>
      </c>
      <c r="P1578" s="3">
        <v>0.27971192233346998</v>
      </c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</row>
    <row r="1579" spans="1:35" x14ac:dyDescent="0.45">
      <c r="A1579" s="3" t="s">
        <v>71</v>
      </c>
      <c r="B1579" s="3" t="s">
        <v>27</v>
      </c>
      <c r="C1579" s="3" t="s">
        <v>15</v>
      </c>
      <c r="D1579" s="3" t="s">
        <v>7</v>
      </c>
      <c r="E1579" s="3" t="s">
        <v>32</v>
      </c>
      <c r="F1579" s="3">
        <v>0.162428427670641</v>
      </c>
      <c r="G1579" s="3">
        <v>0.185775030185896</v>
      </c>
      <c r="H1579" s="3">
        <v>0.185775030185896</v>
      </c>
      <c r="I1579" s="3">
        <v>0.21162100188279701</v>
      </c>
      <c r="J1579" s="3">
        <v>0.23797931877562201</v>
      </c>
      <c r="K1579" s="3">
        <v>0.26300302812952298</v>
      </c>
      <c r="L1579" s="3">
        <v>0.27322904347690002</v>
      </c>
      <c r="M1579" s="3">
        <v>0.27904483454580198</v>
      </c>
      <c r="N1579" s="3">
        <v>0.27072477076482299</v>
      </c>
      <c r="O1579" s="3">
        <v>0.27862066805258601</v>
      </c>
      <c r="P1579" s="3">
        <v>0.27894507683520597</v>
      </c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</row>
    <row r="1580" spans="1:35" x14ac:dyDescent="0.45">
      <c r="A1580" s="3" t="s">
        <v>71</v>
      </c>
      <c r="B1580" s="3" t="s">
        <v>27</v>
      </c>
      <c r="C1580" s="3" t="s">
        <v>15</v>
      </c>
      <c r="D1580" s="3" t="s">
        <v>9</v>
      </c>
      <c r="E1580" s="3" t="s">
        <v>32</v>
      </c>
      <c r="F1580" s="3">
        <v>0</v>
      </c>
      <c r="G1580" s="3">
        <v>5.2120854635895298E-4</v>
      </c>
      <c r="H1580" s="3">
        <v>5.2120854635895298E-4</v>
      </c>
      <c r="I1580" s="3">
        <v>-8.88817041844986E-4</v>
      </c>
      <c r="J1580" s="3">
        <v>-1.7032480415219999E-3</v>
      </c>
      <c r="K1580" s="3">
        <v>-1.4471346543921701E-3</v>
      </c>
      <c r="L1580" s="3">
        <v>1.2424012532731701E-2</v>
      </c>
      <c r="M1580" s="3">
        <v>2.28838660090162E-2</v>
      </c>
      <c r="N1580" s="3">
        <v>4.6945221524828398E-2</v>
      </c>
      <c r="O1580" s="3">
        <v>4.9474127567642599E-2</v>
      </c>
      <c r="P1580" s="3">
        <v>5.7768585042141198E-2</v>
      </c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</row>
    <row r="1581" spans="1:35" x14ac:dyDescent="0.45">
      <c r="A1581" s="3" t="s">
        <v>71</v>
      </c>
      <c r="B1581" s="3" t="s">
        <v>27</v>
      </c>
      <c r="C1581" s="3" t="s">
        <v>15</v>
      </c>
      <c r="D1581" s="3" t="s">
        <v>10</v>
      </c>
      <c r="E1581" s="3" t="s">
        <v>32</v>
      </c>
      <c r="F1581" s="3">
        <v>0</v>
      </c>
      <c r="G1581" s="3">
        <v>-1.6599720728962301E-3</v>
      </c>
      <c r="H1581" s="3">
        <v>-1.6599720728962301E-3</v>
      </c>
      <c r="I1581" s="3">
        <v>-1.5973245582612302E-5</v>
      </c>
      <c r="J1581" s="3">
        <v>4.87763961881299E-3</v>
      </c>
      <c r="K1581" s="3">
        <v>4.6589507354257197E-3</v>
      </c>
      <c r="L1581" s="3">
        <v>6.6880780317368803E-4</v>
      </c>
      <c r="M1581" s="3">
        <v>3.7225373969828101E-3</v>
      </c>
      <c r="N1581" s="3">
        <v>3.56384297193935E-3</v>
      </c>
      <c r="O1581" s="3">
        <v>5.0822265775691301E-3</v>
      </c>
      <c r="P1581" s="3">
        <v>6.0769475023081899E-3</v>
      </c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</row>
    <row r="1582" spans="1:35" x14ac:dyDescent="0.45">
      <c r="A1582" s="3" t="s">
        <v>71</v>
      </c>
      <c r="B1582" s="3" t="s">
        <v>27</v>
      </c>
      <c r="C1582" s="3" t="s">
        <v>15</v>
      </c>
      <c r="D1582" s="3" t="s">
        <v>11</v>
      </c>
      <c r="E1582" s="3" t="s">
        <v>32</v>
      </c>
      <c r="F1582" s="3">
        <v>0</v>
      </c>
      <c r="G1582" s="3">
        <v>-3.4932639822410398E-4</v>
      </c>
      <c r="H1582" s="3">
        <v>-3.4932639822410398E-4</v>
      </c>
      <c r="I1582" s="3">
        <v>9.54399195764427E-4</v>
      </c>
      <c r="J1582" s="3">
        <v>4.0424932432739401E-4</v>
      </c>
      <c r="K1582" s="3">
        <v>1.1717800766678501E-3</v>
      </c>
      <c r="L1582" s="3">
        <v>-6.0903677844476002E-4</v>
      </c>
      <c r="M1582" s="3">
        <v>3.6565985673426798E-3</v>
      </c>
      <c r="N1582" s="3">
        <v>1.21136870143492E-2</v>
      </c>
      <c r="O1582" s="3">
        <v>2.11445940911635E-2</v>
      </c>
      <c r="P1582" s="3">
        <v>2.6803803718841501E-2</v>
      </c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</row>
    <row r="1583" spans="1:35" x14ac:dyDescent="0.45">
      <c r="A1583" s="3" t="s">
        <v>71</v>
      </c>
      <c r="B1583" s="3" t="s">
        <v>27</v>
      </c>
      <c r="C1583" s="3" t="s">
        <v>15</v>
      </c>
      <c r="D1583" s="3" t="s">
        <v>12</v>
      </c>
      <c r="E1583" s="3" t="s">
        <v>32</v>
      </c>
      <c r="F1583" s="3">
        <v>0</v>
      </c>
      <c r="G1583" s="3">
        <v>1.9184503988543501E-3</v>
      </c>
      <c r="H1583" s="3">
        <v>1.9184503988543501E-3</v>
      </c>
      <c r="I1583" s="3">
        <v>3.57145625444172E-4</v>
      </c>
      <c r="J1583" s="3">
        <v>-8.5764973069896199E-4</v>
      </c>
      <c r="K1583" s="3">
        <v>3.4361937094163401E-3</v>
      </c>
      <c r="L1583" s="3">
        <v>1.78335243299114E-2</v>
      </c>
      <c r="M1583" s="3">
        <v>2.4551352574601198E-2</v>
      </c>
      <c r="N1583" s="3">
        <v>2.1023954881044402E-2</v>
      </c>
      <c r="O1583" s="3">
        <v>1.61301040438167E-2</v>
      </c>
      <c r="P1583" s="3">
        <v>1.12000563769677E-2</v>
      </c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</row>
    <row r="1584" spans="1:35" x14ac:dyDescent="0.45">
      <c r="A1584" s="3" t="s">
        <v>71</v>
      </c>
      <c r="B1584" s="3" t="s">
        <v>27</v>
      </c>
      <c r="C1584" s="3" t="s">
        <v>15</v>
      </c>
      <c r="D1584" s="3" t="s">
        <v>13</v>
      </c>
      <c r="E1584" s="3" t="s">
        <v>32</v>
      </c>
      <c r="F1584" s="3">
        <v>0</v>
      </c>
      <c r="G1584" s="3">
        <v>6.3962095584310695E-4</v>
      </c>
      <c r="H1584" s="3">
        <v>6.3962095584310695E-4</v>
      </c>
      <c r="I1584" s="3">
        <v>4.6221715512181098E-3</v>
      </c>
      <c r="J1584" s="3">
        <v>1.8938787324971298E-2</v>
      </c>
      <c r="K1584" s="3">
        <v>1.64367961511942E-2</v>
      </c>
      <c r="L1584" s="3">
        <v>5.3430228438096101E-3</v>
      </c>
      <c r="M1584" s="3">
        <v>2.2447017870258501E-4</v>
      </c>
      <c r="N1584" s="3">
        <v>9.4552231911238001E-5</v>
      </c>
      <c r="O1584" s="3">
        <v>-2.6854829964718099E-3</v>
      </c>
      <c r="P1584" s="3">
        <v>-8.9954324228079807E-3</v>
      </c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</row>
    <row r="1585" spans="1:35" x14ac:dyDescent="0.45">
      <c r="A1585" s="3" t="s">
        <v>71</v>
      </c>
      <c r="B1585" s="3" t="s">
        <v>27</v>
      </c>
      <c r="C1585" s="3" t="s">
        <v>15</v>
      </c>
      <c r="D1585" s="3" t="s">
        <v>14</v>
      </c>
      <c r="E1585" s="3" t="s">
        <v>32</v>
      </c>
      <c r="F1585" s="3">
        <v>0</v>
      </c>
      <c r="G1585" s="3">
        <v>-1.0919397025918899E-3</v>
      </c>
      <c r="H1585" s="3">
        <v>-1.0919397025918899E-3</v>
      </c>
      <c r="I1585" s="3">
        <v>9.2623240747660394E-3</v>
      </c>
      <c r="J1585" s="3">
        <v>-1.19673233021209E-2</v>
      </c>
      <c r="K1585" s="3">
        <v>-1.83759881217164E-2</v>
      </c>
      <c r="L1585" s="3">
        <v>-2.6924764190557199E-2</v>
      </c>
      <c r="M1585" s="3">
        <v>-3.6279149113780003E-2</v>
      </c>
      <c r="N1585" s="3">
        <v>-4.4362717368457101E-2</v>
      </c>
      <c r="O1585" s="3">
        <v>-4.5633070932294399E-2</v>
      </c>
      <c r="P1585" s="3">
        <v>-4.25834459073813E-2</v>
      </c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</row>
    <row r="1586" spans="1:35" x14ac:dyDescent="0.45">
      <c r="A1586" s="3" t="s">
        <v>71</v>
      </c>
      <c r="B1586" s="3" t="s">
        <v>27</v>
      </c>
      <c r="C1586" s="3" t="s">
        <v>16</v>
      </c>
      <c r="D1586" s="3" t="s">
        <v>7</v>
      </c>
      <c r="E1586" s="3" t="s">
        <v>32</v>
      </c>
      <c r="F1586" s="3">
        <v>9.3635567521425198E-2</v>
      </c>
      <c r="G1586" s="3">
        <v>6.0876906322308903E-2</v>
      </c>
      <c r="H1586" s="3">
        <v>6.0876906322308903E-2</v>
      </c>
      <c r="I1586" s="3">
        <v>4.0307817726858999E-2</v>
      </c>
      <c r="J1586" s="3">
        <v>3.7918194095840199E-2</v>
      </c>
      <c r="K1586" s="3">
        <v>3.5443487980333602E-2</v>
      </c>
      <c r="L1586" s="3">
        <v>3.5443487980333602E-2</v>
      </c>
      <c r="M1586" s="3">
        <v>3.5443487980333602E-2</v>
      </c>
      <c r="N1586" s="3">
        <v>3.5443487980333602E-2</v>
      </c>
      <c r="O1586" s="3">
        <v>3.5443487980333602E-2</v>
      </c>
      <c r="P1586" s="3">
        <v>3.5443487980333602E-2</v>
      </c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</row>
    <row r="1587" spans="1:35" x14ac:dyDescent="0.45">
      <c r="A1587" s="3" t="s">
        <v>71</v>
      </c>
      <c r="B1587" s="3" t="s">
        <v>27</v>
      </c>
      <c r="C1587" s="3" t="s">
        <v>16</v>
      </c>
      <c r="D1587" s="3" t="s">
        <v>9</v>
      </c>
      <c r="E1587" s="3" t="s">
        <v>32</v>
      </c>
      <c r="F1587" s="3">
        <v>0</v>
      </c>
      <c r="G1587" s="3">
        <v>-5.23334776634174E-5</v>
      </c>
      <c r="H1587" s="3">
        <v>-5.23334776634174E-5</v>
      </c>
      <c r="I1587" s="3">
        <v>-2.6630597646813699E-5</v>
      </c>
      <c r="J1587" s="3">
        <v>-1.46093418057214E-5</v>
      </c>
      <c r="K1587" s="3">
        <v>0</v>
      </c>
      <c r="L1587" s="3">
        <v>0</v>
      </c>
      <c r="M1587" s="3">
        <v>0</v>
      </c>
      <c r="N1587" s="3">
        <v>0</v>
      </c>
      <c r="O1587" s="3">
        <v>0</v>
      </c>
      <c r="P1587" s="3">
        <v>7.04048687068283E-4</v>
      </c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</row>
    <row r="1588" spans="1:35" x14ac:dyDescent="0.45">
      <c r="A1588" s="3" t="s">
        <v>71</v>
      </c>
      <c r="B1588" s="3" t="s">
        <v>27</v>
      </c>
      <c r="C1588" s="3" t="s">
        <v>16</v>
      </c>
      <c r="D1588" s="3" t="s">
        <v>10</v>
      </c>
      <c r="E1588" s="3" t="s">
        <v>32</v>
      </c>
      <c r="F1588" s="3">
        <v>0</v>
      </c>
      <c r="G1588" s="3">
        <v>-1.01829458037939E-6</v>
      </c>
      <c r="H1588" s="3">
        <v>-1.01829458037939E-6</v>
      </c>
      <c r="I1588" s="3">
        <v>0</v>
      </c>
      <c r="J1588" s="3">
        <v>9.0205620750794006E-17</v>
      </c>
      <c r="K1588" s="3">
        <v>0</v>
      </c>
      <c r="L1588" s="3">
        <v>0</v>
      </c>
      <c r="M1588" s="3">
        <v>1.0603176084812401E-3</v>
      </c>
      <c r="N1588" s="3">
        <v>7.04048687068283E-4</v>
      </c>
      <c r="O1588" s="3">
        <v>1.96636428434316E-4</v>
      </c>
      <c r="P1588" s="3">
        <v>-6.2710046981825202E-4</v>
      </c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</row>
    <row r="1589" spans="1:35" x14ac:dyDescent="0.45">
      <c r="A1589" s="3" t="s">
        <v>71</v>
      </c>
      <c r="B1589" s="3" t="s">
        <v>27</v>
      </c>
      <c r="C1589" s="3" t="s">
        <v>16</v>
      </c>
      <c r="D1589" s="3" t="s">
        <v>11</v>
      </c>
      <c r="E1589" s="3" t="s">
        <v>32</v>
      </c>
      <c r="F1589" s="3">
        <v>0</v>
      </c>
      <c r="G1589" s="3">
        <v>-2.08002054449055E-5</v>
      </c>
      <c r="H1589" s="3">
        <v>-2.08002054449055E-5</v>
      </c>
      <c r="I1589" s="3">
        <v>-5.7563430541640601E-6</v>
      </c>
      <c r="J1589" s="3">
        <v>-3.3346978019696498E-6</v>
      </c>
      <c r="K1589" s="3">
        <v>1.0589653776471399E-3</v>
      </c>
      <c r="L1589" s="3">
        <v>1.03032802028247E-3</v>
      </c>
      <c r="M1589" s="3">
        <v>-9.83539559649325E-4</v>
      </c>
      <c r="N1589" s="3">
        <v>-7.04048687068283E-4</v>
      </c>
      <c r="O1589" s="3">
        <v>-1.96636428434316E-4</v>
      </c>
      <c r="P1589" s="3">
        <v>-7.69482172500308E-5</v>
      </c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</row>
    <row r="1590" spans="1:35" x14ac:dyDescent="0.45">
      <c r="A1590" s="3" t="s">
        <v>71</v>
      </c>
      <c r="B1590" s="3" t="s">
        <v>27</v>
      </c>
      <c r="C1590" s="3" t="s">
        <v>16</v>
      </c>
      <c r="D1590" s="3" t="s">
        <v>12</v>
      </c>
      <c r="E1590" s="3" t="s">
        <v>32</v>
      </c>
      <c r="F1590" s="3">
        <v>0</v>
      </c>
      <c r="G1590" s="3">
        <v>-5.2416535405996898E-6</v>
      </c>
      <c r="H1590" s="3">
        <v>-5.2416535405996898E-6</v>
      </c>
      <c r="I1590" s="3">
        <v>-6.9761433662759997E-6</v>
      </c>
      <c r="J1590" s="3">
        <v>5.16357591411859E-4</v>
      </c>
      <c r="K1590" s="3">
        <v>-3.5651200155662599E-4</v>
      </c>
      <c r="L1590" s="3">
        <v>-1.03032802028247E-3</v>
      </c>
      <c r="M1590" s="3">
        <v>-7.6778048831917204E-5</v>
      </c>
      <c r="N1590" s="3">
        <v>0</v>
      </c>
      <c r="O1590" s="3">
        <v>0</v>
      </c>
      <c r="P1590" s="3">
        <v>0</v>
      </c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</row>
    <row r="1591" spans="1:35" x14ac:dyDescent="0.45">
      <c r="A1591" s="3" t="s">
        <v>71</v>
      </c>
      <c r="B1591" s="3" t="s">
        <v>27</v>
      </c>
      <c r="C1591" s="3" t="s">
        <v>16</v>
      </c>
      <c r="D1591" s="3" t="s">
        <v>13</v>
      </c>
      <c r="E1591" s="3" t="s">
        <v>32</v>
      </c>
      <c r="F1591" s="3">
        <v>0</v>
      </c>
      <c r="G1591" s="3">
        <v>2.8564569421529702E-4</v>
      </c>
      <c r="H1591" s="3">
        <v>2.8564569421529702E-4</v>
      </c>
      <c r="I1591" s="3">
        <v>-1.5260211341601301E-3</v>
      </c>
      <c r="J1591" s="3">
        <v>-1.3403331353847899E-3</v>
      </c>
      <c r="K1591" s="3">
        <v>-7.0245337609051205E-4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</row>
    <row r="1592" spans="1:35" x14ac:dyDescent="0.45">
      <c r="A1592" s="3" t="s">
        <v>71</v>
      </c>
      <c r="B1592" s="3" t="s">
        <v>27</v>
      </c>
      <c r="C1592" s="3" t="s">
        <v>16</v>
      </c>
      <c r="D1592" s="3" t="s">
        <v>14</v>
      </c>
      <c r="E1592" s="3" t="s">
        <v>32</v>
      </c>
      <c r="F1592" s="3">
        <v>0</v>
      </c>
      <c r="G1592" s="3">
        <v>3.3250533500705898E-3</v>
      </c>
      <c r="H1592" s="3">
        <v>3.3250533500705898E-3</v>
      </c>
      <c r="I1592" s="3">
        <v>-3.9870214798569398E-4</v>
      </c>
      <c r="J1592" s="3">
        <v>4.26258295844119E-4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</row>
    <row r="1593" spans="1:35" x14ac:dyDescent="0.45">
      <c r="A1593" s="3" t="s">
        <v>71</v>
      </c>
      <c r="B1593" s="3" t="s">
        <v>27</v>
      </c>
      <c r="C1593" s="3" t="s">
        <v>17</v>
      </c>
      <c r="D1593" s="3" t="s">
        <v>7</v>
      </c>
      <c r="E1593" s="3" t="s">
        <v>32</v>
      </c>
      <c r="F1593" s="3">
        <v>5.2405359408690599E-3</v>
      </c>
      <c r="G1593" s="3">
        <v>6.2273122298157702E-3</v>
      </c>
      <c r="H1593" s="3">
        <v>6.2273122298157702E-3</v>
      </c>
      <c r="I1593" s="3">
        <v>7.4268233327987303E-3</v>
      </c>
      <c r="J1593" s="3">
        <v>9.0549442715032302E-3</v>
      </c>
      <c r="K1593" s="3">
        <v>1.1452759121241499E-2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</row>
    <row r="1594" spans="1:35" x14ac:dyDescent="0.45">
      <c r="A1594" s="3" t="s">
        <v>71</v>
      </c>
      <c r="B1594" s="3" t="s">
        <v>27</v>
      </c>
      <c r="C1594" s="3" t="s">
        <v>17</v>
      </c>
      <c r="D1594" s="3" t="s">
        <v>9</v>
      </c>
      <c r="E1594" s="3" t="s">
        <v>32</v>
      </c>
      <c r="F1594" s="3">
        <v>0</v>
      </c>
      <c r="G1594" s="3">
        <v>2.1340223006830101E-4</v>
      </c>
      <c r="H1594" s="3">
        <v>2.1340223006830101E-4</v>
      </c>
      <c r="I1594" s="3">
        <v>1.3652885012136299E-3</v>
      </c>
      <c r="J1594" s="3">
        <v>1.5969691609671499E-3</v>
      </c>
      <c r="K1594" s="3">
        <v>3.2745890239962599E-3</v>
      </c>
      <c r="L1594" s="3">
        <v>0</v>
      </c>
      <c r="M1594" s="3">
        <v>0</v>
      </c>
      <c r="N1594" s="3">
        <v>0</v>
      </c>
      <c r="O1594" s="3">
        <v>0</v>
      </c>
      <c r="P1594" s="3">
        <v>6.4168371065174599E-4</v>
      </c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</row>
    <row r="1595" spans="1:35" x14ac:dyDescent="0.45">
      <c r="A1595" s="3" t="s">
        <v>71</v>
      </c>
      <c r="B1595" s="3" t="s">
        <v>27</v>
      </c>
      <c r="C1595" s="3" t="s">
        <v>17</v>
      </c>
      <c r="D1595" s="3" t="s">
        <v>10</v>
      </c>
      <c r="E1595" s="3" t="s">
        <v>32</v>
      </c>
      <c r="F1595" s="3">
        <v>0</v>
      </c>
      <c r="G1595" s="3">
        <v>3.1087393015887998E-5</v>
      </c>
      <c r="H1595" s="3">
        <v>3.1087393015887998E-5</v>
      </c>
      <c r="I1595" s="3">
        <v>1.67001760602992E-4</v>
      </c>
      <c r="J1595" s="3">
        <v>1.68359139255856E-3</v>
      </c>
      <c r="K1595" s="3">
        <v>1.88138971961806E-3</v>
      </c>
      <c r="L1595" s="3">
        <v>0</v>
      </c>
      <c r="M1595" s="3">
        <v>2.1528761221514901E-2</v>
      </c>
      <c r="N1595" s="3">
        <v>3.9696720650729399E-2</v>
      </c>
      <c r="O1595" s="3">
        <v>8.7619934897141802E-2</v>
      </c>
      <c r="P1595" s="3">
        <v>0.187048942178734</v>
      </c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</row>
    <row r="1596" spans="1:35" x14ac:dyDescent="0.45">
      <c r="A1596" s="3" t="s">
        <v>71</v>
      </c>
      <c r="B1596" s="3" t="s">
        <v>27</v>
      </c>
      <c r="C1596" s="3" t="s">
        <v>17</v>
      </c>
      <c r="D1596" s="3" t="s">
        <v>11</v>
      </c>
      <c r="E1596" s="3" t="s">
        <v>32</v>
      </c>
      <c r="F1596" s="3">
        <v>0</v>
      </c>
      <c r="G1596" s="3">
        <v>5.9590796342755597E-5</v>
      </c>
      <c r="H1596" s="3">
        <v>5.9590796342755597E-5</v>
      </c>
      <c r="I1596" s="3">
        <v>4.0413259250228001E-4</v>
      </c>
      <c r="J1596" s="3">
        <v>1.3174332793712E-3</v>
      </c>
      <c r="K1596" s="3">
        <v>2.4795897062371001E-2</v>
      </c>
      <c r="L1596" s="3">
        <v>4.3102908811647501E-2</v>
      </c>
      <c r="M1596" s="3">
        <v>0.15871625001215101</v>
      </c>
      <c r="N1596" s="3">
        <v>0.15409837853375399</v>
      </c>
      <c r="O1596" s="3">
        <v>0.120198660973464</v>
      </c>
      <c r="P1596" s="3">
        <v>4.4712640531671698E-2</v>
      </c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</row>
    <row r="1597" spans="1:35" x14ac:dyDescent="0.45">
      <c r="A1597" s="3" t="s">
        <v>71</v>
      </c>
      <c r="B1597" s="3" t="s">
        <v>27</v>
      </c>
      <c r="C1597" s="3" t="s">
        <v>17</v>
      </c>
      <c r="D1597" s="3" t="s">
        <v>12</v>
      </c>
      <c r="E1597" s="3" t="s">
        <v>32</v>
      </c>
      <c r="F1597" s="3">
        <v>0</v>
      </c>
      <c r="G1597" s="3">
        <v>-1.11407345045444E-4</v>
      </c>
      <c r="H1597" s="3">
        <v>-1.11407345045444E-4</v>
      </c>
      <c r="I1597" s="3">
        <v>3.9156470079479803E-3</v>
      </c>
      <c r="J1597" s="3">
        <v>3.0480111710107199E-2</v>
      </c>
      <c r="K1597" s="3">
        <v>0.118092580873655</v>
      </c>
      <c r="L1597" s="3">
        <v>0.139259453973134</v>
      </c>
      <c r="M1597" s="3">
        <v>3.9160407527589099E-2</v>
      </c>
      <c r="N1597" s="3">
        <v>8.0099266489070897E-2</v>
      </c>
      <c r="O1597" s="3">
        <v>0.11976591199315099</v>
      </c>
      <c r="P1597" s="3">
        <v>0.14860374649314601</v>
      </c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</row>
    <row r="1598" spans="1:35" x14ac:dyDescent="0.45">
      <c r="A1598" s="3" t="s">
        <v>71</v>
      </c>
      <c r="B1598" s="3" t="s">
        <v>27</v>
      </c>
      <c r="C1598" s="3" t="s">
        <v>17</v>
      </c>
      <c r="D1598" s="3" t="s">
        <v>13</v>
      </c>
      <c r="E1598" s="3" t="s">
        <v>32</v>
      </c>
      <c r="F1598" s="3">
        <v>0</v>
      </c>
      <c r="G1598" s="3">
        <v>1.6074304600430401E-3</v>
      </c>
      <c r="H1598" s="3">
        <v>1.6074304600430401E-3</v>
      </c>
      <c r="I1598" s="3">
        <v>0.121562339315317</v>
      </c>
      <c r="J1598" s="3">
        <v>0.152374707652536</v>
      </c>
      <c r="K1598" s="3">
        <v>0.13325999535949701</v>
      </c>
      <c r="L1598" s="3">
        <v>0.198550929089605</v>
      </c>
      <c r="M1598" s="3">
        <v>0.23456472627320299</v>
      </c>
      <c r="N1598" s="3">
        <v>0.21799199051847701</v>
      </c>
      <c r="O1598" s="3">
        <v>0.17955001012374</v>
      </c>
      <c r="P1598" s="3">
        <v>0.12989639618947699</v>
      </c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</row>
    <row r="1599" spans="1:35" x14ac:dyDescent="0.45">
      <c r="A1599" s="3" t="s">
        <v>71</v>
      </c>
      <c r="B1599" s="3" t="s">
        <v>27</v>
      </c>
      <c r="C1599" s="3" t="s">
        <v>17</v>
      </c>
      <c r="D1599" s="3" t="s">
        <v>14</v>
      </c>
      <c r="E1599" s="3" t="s">
        <v>32</v>
      </c>
      <c r="F1599" s="3">
        <v>0</v>
      </c>
      <c r="G1599" s="3">
        <v>6.8749968114782904E-3</v>
      </c>
      <c r="H1599" s="3">
        <v>6.8749968114782904E-3</v>
      </c>
      <c r="I1599" s="3">
        <v>8.45012583253507E-2</v>
      </c>
      <c r="J1599" s="3">
        <v>0.161319000031203</v>
      </c>
      <c r="K1599" s="3">
        <v>0.17065747275333101</v>
      </c>
      <c r="L1599" s="3">
        <v>0.124072512855087</v>
      </c>
      <c r="M1599" s="3">
        <v>5.9685883468295599E-2</v>
      </c>
      <c r="N1599" s="3">
        <v>2.2134233296112901E-2</v>
      </c>
      <c r="O1599" s="3">
        <v>6.8934923889738499E-3</v>
      </c>
      <c r="P1599" s="3">
        <v>3.1262132186470298E-3</v>
      </c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</row>
    <row r="1600" spans="1:35" x14ac:dyDescent="0.45">
      <c r="A1600" s="3" t="s">
        <v>71</v>
      </c>
      <c r="B1600" s="3" t="s">
        <v>27</v>
      </c>
      <c r="C1600" s="3" t="s">
        <v>18</v>
      </c>
      <c r="D1600" s="3" t="s">
        <v>7</v>
      </c>
      <c r="E1600" s="3" t="s">
        <v>32</v>
      </c>
      <c r="F1600" s="3">
        <v>0.11471283081351399</v>
      </c>
      <c r="G1600" s="3">
        <v>8.2327047178399795E-2</v>
      </c>
      <c r="H1600" s="3">
        <v>8.2327047178399795E-2</v>
      </c>
      <c r="I1600" s="3">
        <v>5.4884698118933199E-2</v>
      </c>
      <c r="J1600" s="3">
        <v>2.74423490594666E-2</v>
      </c>
      <c r="K1600" s="3">
        <v>1.9694232268591599E-17</v>
      </c>
      <c r="L1600" s="3">
        <v>9.8471161342958504E-18</v>
      </c>
      <c r="M1600" s="3">
        <v>4.9235580671479098E-18</v>
      </c>
      <c r="N1600" s="3">
        <v>9.8471161342958504E-18</v>
      </c>
      <c r="O1600" s="3">
        <v>0</v>
      </c>
      <c r="P1600" s="3">
        <v>0</v>
      </c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</row>
    <row r="1601" spans="1:35" x14ac:dyDescent="0.45">
      <c r="A1601" s="3" t="s">
        <v>71</v>
      </c>
      <c r="B1601" s="3" t="s">
        <v>27</v>
      </c>
      <c r="C1601" s="3" t="s">
        <v>18</v>
      </c>
      <c r="D1601" s="3" t="s">
        <v>9</v>
      </c>
      <c r="E1601" s="3" t="s">
        <v>32</v>
      </c>
      <c r="F1601" s="3">
        <v>0</v>
      </c>
      <c r="G1601" s="3">
        <v>0</v>
      </c>
      <c r="H1601" s="3">
        <v>0</v>
      </c>
      <c r="I1601" s="3">
        <v>-9.0205620750794006E-17</v>
      </c>
      <c r="J1601" s="3">
        <v>0</v>
      </c>
      <c r="K1601" s="3">
        <v>0</v>
      </c>
      <c r="L1601" s="3">
        <v>-4.9235580671479399E-18</v>
      </c>
      <c r="M1601" s="3">
        <v>3.9388464537183198E-17</v>
      </c>
      <c r="N1601" s="3">
        <v>-4.9235580671479399E-18</v>
      </c>
      <c r="O1601" s="3">
        <v>4.43120226043311E-17</v>
      </c>
      <c r="P1601" s="3">
        <v>1.9694232268591599E-17</v>
      </c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</row>
    <row r="1602" spans="1:35" x14ac:dyDescent="0.45">
      <c r="A1602" s="3" t="s">
        <v>71</v>
      </c>
      <c r="B1602" s="3" t="s">
        <v>27</v>
      </c>
      <c r="C1602" s="3" t="s">
        <v>18</v>
      </c>
      <c r="D1602" s="3" t="s">
        <v>10</v>
      </c>
      <c r="E1602" s="3" t="s">
        <v>32</v>
      </c>
      <c r="F1602" s="3">
        <v>0</v>
      </c>
      <c r="G1602" s="3">
        <v>0</v>
      </c>
      <c r="H1602" s="3">
        <v>0</v>
      </c>
      <c r="I1602" s="3">
        <v>9.0205620750794006E-17</v>
      </c>
      <c r="J1602" s="3">
        <v>0</v>
      </c>
      <c r="K1602" s="3">
        <v>-1.9694232268591599E-17</v>
      </c>
      <c r="L1602" s="3">
        <v>-4.9235580671479098E-18</v>
      </c>
      <c r="M1602" s="3">
        <v>-4.43120226043311E-17</v>
      </c>
      <c r="N1602" s="3">
        <v>1.4770674201443701E-17</v>
      </c>
      <c r="O1602" s="3">
        <v>-4.43120226043311E-17</v>
      </c>
      <c r="P1602" s="3">
        <v>-1.9694232268591599E-17</v>
      </c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</row>
    <row r="1603" spans="1:35" x14ac:dyDescent="0.45">
      <c r="A1603" s="3" t="s">
        <v>71</v>
      </c>
      <c r="B1603" s="3" t="s">
        <v>27</v>
      </c>
      <c r="C1603" s="3" t="s">
        <v>18</v>
      </c>
      <c r="D1603" s="3" t="s">
        <v>11</v>
      </c>
      <c r="E1603" s="3" t="s">
        <v>32</v>
      </c>
      <c r="F1603" s="3">
        <v>0</v>
      </c>
      <c r="G1603" s="3">
        <v>0</v>
      </c>
      <c r="H1603" s="3">
        <v>0</v>
      </c>
      <c r="I1603" s="3">
        <v>-9.0205620750794006E-17</v>
      </c>
      <c r="J1603" s="3">
        <v>0</v>
      </c>
      <c r="K1603" s="3">
        <v>2.4617790335739501E-17</v>
      </c>
      <c r="L1603" s="3">
        <v>1.03394719410106E-16</v>
      </c>
      <c r="M1603" s="3">
        <v>4.92355806714791E-17</v>
      </c>
      <c r="N1603" s="3">
        <v>-1.9694232268591599E-17</v>
      </c>
      <c r="O1603" s="3">
        <v>3.4464906470035402E-17</v>
      </c>
      <c r="P1603" s="3">
        <v>1.7724809041732499E-16</v>
      </c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</row>
    <row r="1604" spans="1:35" x14ac:dyDescent="0.45">
      <c r="A1604" s="3" t="s">
        <v>71</v>
      </c>
      <c r="B1604" s="3" t="s">
        <v>27</v>
      </c>
      <c r="C1604" s="3" t="s">
        <v>18</v>
      </c>
      <c r="D1604" s="3" t="s">
        <v>12</v>
      </c>
      <c r="E1604" s="3" t="s">
        <v>32</v>
      </c>
      <c r="F1604" s="3">
        <v>0</v>
      </c>
      <c r="G1604" s="3">
        <v>0</v>
      </c>
      <c r="H1604" s="3">
        <v>0</v>
      </c>
      <c r="I1604" s="3">
        <v>9.0205620750794006E-17</v>
      </c>
      <c r="J1604" s="3">
        <v>0</v>
      </c>
      <c r="K1604" s="3">
        <v>9.8471161342958504E-18</v>
      </c>
      <c r="L1604" s="3">
        <v>-1.03394719410106E-16</v>
      </c>
      <c r="M1604" s="3">
        <v>1.82171648484473E-16</v>
      </c>
      <c r="N1604" s="3">
        <v>0</v>
      </c>
      <c r="O1604" s="3">
        <v>7.8776929074366495E-17</v>
      </c>
      <c r="P1604" s="3">
        <v>1.72324532350177E-16</v>
      </c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</row>
    <row r="1605" spans="1:35" x14ac:dyDescent="0.45">
      <c r="A1605" s="3" t="s">
        <v>71</v>
      </c>
      <c r="B1605" s="3" t="s">
        <v>27</v>
      </c>
      <c r="C1605" s="3" t="s">
        <v>18</v>
      </c>
      <c r="D1605" s="3" t="s">
        <v>13</v>
      </c>
      <c r="E1605" s="3" t="s">
        <v>32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-3.4464906470035402E-17</v>
      </c>
      <c r="L1605" s="3">
        <v>1.32936067812993E-16</v>
      </c>
      <c r="M1605" s="3">
        <v>-1.08318277477254E-16</v>
      </c>
      <c r="N1605" s="3">
        <v>2.8556636789457801E-16</v>
      </c>
      <c r="O1605" s="3">
        <v>3.2495483243176201E-16</v>
      </c>
      <c r="P1605" s="3">
        <v>-3.4957262276750199E-16</v>
      </c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</row>
    <row r="1606" spans="1:35" x14ac:dyDescent="0.45">
      <c r="A1606" s="3" t="s">
        <v>71</v>
      </c>
      <c r="B1606" s="3" t="s">
        <v>27</v>
      </c>
      <c r="C1606" s="3" t="s">
        <v>18</v>
      </c>
      <c r="D1606" s="3" t="s">
        <v>14</v>
      </c>
      <c r="E1606" s="3" t="s">
        <v>32</v>
      </c>
      <c r="F1606" s="3">
        <v>0</v>
      </c>
      <c r="G1606" s="3">
        <v>-8.3266726846886704E-17</v>
      </c>
      <c r="H1606" s="3">
        <v>-8.3266726846886704E-17</v>
      </c>
      <c r="I1606" s="3">
        <v>0</v>
      </c>
      <c r="J1606" s="3">
        <v>-2.67147415300428E-16</v>
      </c>
      <c r="K1606" s="3">
        <v>0</v>
      </c>
      <c r="L1606" s="3">
        <v>4.43120226043311E-17</v>
      </c>
      <c r="M1606" s="3">
        <v>-1.2308895167869799E-16</v>
      </c>
      <c r="N1606" s="3">
        <v>-2.8556636789457801E-16</v>
      </c>
      <c r="O1606" s="3">
        <v>-4.38196667976164E-16</v>
      </c>
      <c r="P1606" s="3">
        <v>0</v>
      </c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</row>
    <row r="1607" spans="1:35" x14ac:dyDescent="0.45">
      <c r="A1607" s="3" t="s">
        <v>71</v>
      </c>
      <c r="B1607" s="3" t="s">
        <v>27</v>
      </c>
      <c r="C1607" s="3" t="s">
        <v>19</v>
      </c>
      <c r="D1607" s="3" t="s">
        <v>7</v>
      </c>
      <c r="E1607" s="3" t="s">
        <v>32</v>
      </c>
      <c r="F1607" s="3">
        <v>1.98185357821643E-3</v>
      </c>
      <c r="G1607" s="3">
        <v>2.1578629406192101E-3</v>
      </c>
      <c r="H1607" s="3">
        <v>2.1578629406192101E-3</v>
      </c>
      <c r="I1607" s="3">
        <v>0</v>
      </c>
      <c r="J1607" s="3">
        <v>0</v>
      </c>
      <c r="K1607" s="3">
        <v>9.2345612013900805E-5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</row>
    <row r="1608" spans="1:35" x14ac:dyDescent="0.45">
      <c r="A1608" s="3" t="s">
        <v>71</v>
      </c>
      <c r="B1608" s="3" t="s">
        <v>27</v>
      </c>
      <c r="C1608" s="3" t="s">
        <v>19</v>
      </c>
      <c r="D1608" s="3" t="s">
        <v>9</v>
      </c>
      <c r="E1608" s="3" t="s">
        <v>32</v>
      </c>
      <c r="F1608" s="3">
        <v>0</v>
      </c>
      <c r="G1608" s="3">
        <v>-3.8305441208404603E-5</v>
      </c>
      <c r="H1608" s="3">
        <v>-3.8305441208404603E-5</v>
      </c>
      <c r="I1608" s="3">
        <v>0</v>
      </c>
      <c r="J1608" s="3">
        <v>0</v>
      </c>
      <c r="K1608" s="3">
        <v>-9.2345612013900805E-5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</row>
    <row r="1609" spans="1:35" x14ac:dyDescent="0.45">
      <c r="A1609" s="3" t="s">
        <v>71</v>
      </c>
      <c r="B1609" s="3" t="s">
        <v>27</v>
      </c>
      <c r="C1609" s="3" t="s">
        <v>19</v>
      </c>
      <c r="D1609" s="3" t="s">
        <v>10</v>
      </c>
      <c r="E1609" s="3" t="s">
        <v>32</v>
      </c>
      <c r="F1609" s="3">
        <v>0</v>
      </c>
      <c r="G1609" s="3">
        <v>9.3522287010383704E-6</v>
      </c>
      <c r="H1609" s="3">
        <v>9.3522287010383704E-6</v>
      </c>
      <c r="I1609" s="3">
        <v>0</v>
      </c>
      <c r="J1609" s="3">
        <v>0</v>
      </c>
      <c r="K1609" s="3">
        <v>5.6259875131589403E-4</v>
      </c>
      <c r="L1609" s="3">
        <v>1.79202633317224E-3</v>
      </c>
      <c r="M1609" s="3">
        <v>3.6420471435528899E-3</v>
      </c>
      <c r="N1609" s="3">
        <v>7.4900328477249299E-3</v>
      </c>
      <c r="O1609" s="3">
        <v>8.8165645810933304E-3</v>
      </c>
      <c r="P1609" s="3">
        <v>1.06082761983091E-2</v>
      </c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</row>
    <row r="1610" spans="1:35" x14ac:dyDescent="0.45">
      <c r="A1610" s="3" t="s">
        <v>71</v>
      </c>
      <c r="B1610" s="3" t="s">
        <v>27</v>
      </c>
      <c r="C1610" s="3" t="s">
        <v>19</v>
      </c>
      <c r="D1610" s="3" t="s">
        <v>11</v>
      </c>
      <c r="E1610" s="3" t="s">
        <v>32</v>
      </c>
      <c r="F1610" s="3">
        <v>0</v>
      </c>
      <c r="G1610" s="3">
        <v>2.9117268801962E-6</v>
      </c>
      <c r="H1610" s="3">
        <v>2.9117268801962E-6</v>
      </c>
      <c r="I1610" s="3">
        <v>0</v>
      </c>
      <c r="J1610" s="3">
        <v>0</v>
      </c>
      <c r="K1610" s="3">
        <v>1.8852914602017099E-4</v>
      </c>
      <c r="L1610" s="3">
        <v>-1.35739784802946E-5</v>
      </c>
      <c r="M1610" s="3">
        <v>3.0390229678982699E-3</v>
      </c>
      <c r="N1610" s="3">
        <v>3.9709482734958702E-3</v>
      </c>
      <c r="O1610" s="3">
        <v>1.7778173419524802E-2</v>
      </c>
      <c r="P1610" s="3">
        <v>8.1803749208305299E-2</v>
      </c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</row>
    <row r="1611" spans="1:35" x14ac:dyDescent="0.45">
      <c r="A1611" s="3" t="s">
        <v>71</v>
      </c>
      <c r="B1611" s="3" t="s">
        <v>27</v>
      </c>
      <c r="C1611" s="3" t="s">
        <v>19</v>
      </c>
      <c r="D1611" s="3" t="s">
        <v>12</v>
      </c>
      <c r="E1611" s="3" t="s">
        <v>32</v>
      </c>
      <c r="F1611" s="3">
        <v>0</v>
      </c>
      <c r="G1611" s="3">
        <v>1.5780778028723499E-4</v>
      </c>
      <c r="H1611" s="3">
        <v>1.5780778028723499E-4</v>
      </c>
      <c r="I1611" s="3">
        <v>0</v>
      </c>
      <c r="J1611" s="3">
        <v>0</v>
      </c>
      <c r="K1611" s="3">
        <v>3.5069616812355301E-3</v>
      </c>
      <c r="L1611" s="3">
        <v>2.61353942306542E-2</v>
      </c>
      <c r="M1611" s="3">
        <v>0.103817972085198</v>
      </c>
      <c r="N1611" s="3">
        <v>0.25960873738897999</v>
      </c>
      <c r="O1611" s="3">
        <v>0.40868861455073102</v>
      </c>
      <c r="P1611" s="3">
        <v>0.50576591276924399</v>
      </c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</row>
    <row r="1612" spans="1:35" x14ac:dyDescent="0.45">
      <c r="A1612" s="3" t="s">
        <v>71</v>
      </c>
      <c r="B1612" s="3" t="s">
        <v>27</v>
      </c>
      <c r="C1612" s="3" t="s">
        <v>19</v>
      </c>
      <c r="D1612" s="3" t="s">
        <v>13</v>
      </c>
      <c r="E1612" s="3" t="s">
        <v>32</v>
      </c>
      <c r="F1612" s="3">
        <v>0</v>
      </c>
      <c r="G1612" s="3">
        <v>9.7722149334546204E-4</v>
      </c>
      <c r="H1612" s="3">
        <v>9.7722149334546204E-4</v>
      </c>
      <c r="I1612" s="3">
        <v>4.6644059773515899E-2</v>
      </c>
      <c r="J1612" s="3">
        <v>0.18208227438380201</v>
      </c>
      <c r="K1612" s="3">
        <v>0.46602078659482399</v>
      </c>
      <c r="L1612" s="3">
        <v>0.70630686528046005</v>
      </c>
      <c r="M1612" s="3">
        <v>0.81664804136012503</v>
      </c>
      <c r="N1612" s="3">
        <v>0.73945377945781998</v>
      </c>
      <c r="O1612" s="3">
        <v>0.60136805554769901</v>
      </c>
      <c r="P1612" s="3">
        <v>0.44933512376913198</v>
      </c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</row>
    <row r="1613" spans="1:35" x14ac:dyDescent="0.45">
      <c r="A1613" s="3" t="s">
        <v>71</v>
      </c>
      <c r="B1613" s="3" t="s">
        <v>27</v>
      </c>
      <c r="C1613" s="3" t="s">
        <v>19</v>
      </c>
      <c r="D1613" s="3" t="s">
        <v>14</v>
      </c>
      <c r="E1613" s="3" t="s">
        <v>32</v>
      </c>
      <c r="F1613" s="3">
        <v>0</v>
      </c>
      <c r="G1613" s="3">
        <v>4.1783085486850396E-3</v>
      </c>
      <c r="H1613" s="3">
        <v>4.1783085486850396E-3</v>
      </c>
      <c r="I1613" s="3">
        <v>0.29888272114485198</v>
      </c>
      <c r="J1613" s="3">
        <v>0.61015272586199099</v>
      </c>
      <c r="K1613" s="3">
        <v>0.61876639767139996</v>
      </c>
      <c r="L1613" s="3">
        <v>0.46324934489681402</v>
      </c>
      <c r="M1613" s="3">
        <v>0.27362409072795901</v>
      </c>
      <c r="N1613" s="3">
        <v>0.17496335111811701</v>
      </c>
      <c r="O1613" s="3">
        <v>0.13094188793655701</v>
      </c>
      <c r="P1613" s="3">
        <v>0.109978235517083</v>
      </c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</row>
    <row r="1614" spans="1:35" x14ac:dyDescent="0.45">
      <c r="A1614" s="3" t="s">
        <v>71</v>
      </c>
      <c r="B1614" s="3" t="s">
        <v>26</v>
      </c>
      <c r="C1614" s="3" t="s">
        <v>6</v>
      </c>
      <c r="D1614" s="3" t="s">
        <v>10</v>
      </c>
      <c r="E1614" s="3" t="s">
        <v>32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</v>
      </c>
      <c r="L1614" s="3">
        <v>2.35611824974922E-2</v>
      </c>
      <c r="M1614" s="3">
        <v>9.6937085358831304E-2</v>
      </c>
      <c r="N1614" s="3">
        <v>0.186741839849664</v>
      </c>
      <c r="O1614" s="3">
        <v>0.25684873970403499</v>
      </c>
      <c r="P1614" s="3">
        <v>0.27753925016970099</v>
      </c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</row>
    <row r="1615" spans="1:35" x14ac:dyDescent="0.45">
      <c r="A1615" s="3" t="s">
        <v>71</v>
      </c>
      <c r="B1615" s="3" t="s">
        <v>26</v>
      </c>
      <c r="C1615" s="3" t="s">
        <v>6</v>
      </c>
      <c r="D1615" s="3" t="s">
        <v>11</v>
      </c>
      <c r="E1615" s="3" t="s">
        <v>32</v>
      </c>
      <c r="F1615" s="3">
        <v>0</v>
      </c>
      <c r="G1615" s="3">
        <v>0</v>
      </c>
      <c r="H1615" s="3">
        <v>0</v>
      </c>
      <c r="I1615" s="3">
        <v>0</v>
      </c>
      <c r="J1615" s="3">
        <v>2.9964916046016201E-4</v>
      </c>
      <c r="K1615" s="3">
        <v>7.9878237968470503E-2</v>
      </c>
      <c r="L1615" s="3">
        <v>0.16764834528974101</v>
      </c>
      <c r="M1615" s="3">
        <v>0.19781498059879801</v>
      </c>
      <c r="N1615" s="3">
        <v>0.20060384092553099</v>
      </c>
      <c r="O1615" s="3">
        <v>0.18445730844262201</v>
      </c>
      <c r="P1615" s="3">
        <v>0.14710604440306799</v>
      </c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</row>
    <row r="1616" spans="1:35" x14ac:dyDescent="0.45">
      <c r="A1616" s="3" t="s">
        <v>71</v>
      </c>
      <c r="B1616" s="3" t="s">
        <v>26</v>
      </c>
      <c r="C1616" s="3" t="s">
        <v>6</v>
      </c>
      <c r="D1616" s="3" t="s">
        <v>12</v>
      </c>
      <c r="E1616" s="3" t="s">
        <v>32</v>
      </c>
      <c r="F1616" s="3">
        <v>0</v>
      </c>
      <c r="G1616" s="3">
        <v>0</v>
      </c>
      <c r="H1616" s="3">
        <v>0</v>
      </c>
      <c r="I1616" s="3">
        <v>1.26026568075604E-4</v>
      </c>
      <c r="J1616" s="3">
        <v>0.103331120473954</v>
      </c>
      <c r="K1616" s="3">
        <v>0.156485083263461</v>
      </c>
      <c r="L1616" s="3">
        <v>0.152462908291252</v>
      </c>
      <c r="M1616" s="3">
        <v>0.13916626777168001</v>
      </c>
      <c r="N1616" s="3">
        <v>9.0640101457301198E-2</v>
      </c>
      <c r="O1616" s="3">
        <v>4.6988767983597197E-2</v>
      </c>
      <c r="P1616" s="3">
        <v>3.9142866014910703E-2</v>
      </c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</row>
    <row r="1617" spans="1:35" x14ac:dyDescent="0.45">
      <c r="A1617" s="3" t="s">
        <v>71</v>
      </c>
      <c r="B1617" s="3" t="s">
        <v>26</v>
      </c>
      <c r="C1617" s="3" t="s">
        <v>6</v>
      </c>
      <c r="D1617" s="3" t="s">
        <v>13</v>
      </c>
      <c r="E1617" s="3" t="s">
        <v>32</v>
      </c>
      <c r="F1617" s="3">
        <v>0</v>
      </c>
      <c r="G1617" s="3">
        <v>0</v>
      </c>
      <c r="H1617" s="3">
        <v>0</v>
      </c>
      <c r="I1617" s="3">
        <v>0.159203674695643</v>
      </c>
      <c r="J1617" s="3">
        <v>0.1802156284283</v>
      </c>
      <c r="K1617" s="3">
        <v>0.14752746657225199</v>
      </c>
      <c r="L1617" s="3">
        <v>0.109448490009126</v>
      </c>
      <c r="M1617" s="3">
        <v>6.4536219053015403E-2</v>
      </c>
      <c r="N1617" s="3">
        <v>6.2583144322945899E-2</v>
      </c>
      <c r="O1617" s="3">
        <v>6.75849462576249E-2</v>
      </c>
      <c r="P1617" s="3">
        <v>7.0844263058141593E-2</v>
      </c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</row>
    <row r="1618" spans="1:35" x14ac:dyDescent="0.45">
      <c r="A1618" s="3" t="s">
        <v>71</v>
      </c>
      <c r="B1618" s="3" t="s">
        <v>26</v>
      </c>
      <c r="C1618" s="3" t="s">
        <v>6</v>
      </c>
      <c r="D1618" s="3" t="s">
        <v>14</v>
      </c>
      <c r="E1618" s="3" t="s">
        <v>32</v>
      </c>
      <c r="F1618" s="3">
        <v>0</v>
      </c>
      <c r="G1618" s="3">
        <v>8.7906929702216405E-2</v>
      </c>
      <c r="H1618" s="3">
        <v>8.7906929702216405E-2</v>
      </c>
      <c r="I1618" s="3">
        <v>0.118467646977141</v>
      </c>
      <c r="J1618" s="3">
        <v>0.101782517986778</v>
      </c>
      <c r="K1618" s="3">
        <v>7.8668159223502995E-2</v>
      </c>
      <c r="L1618" s="3">
        <v>6.7823426207260604E-2</v>
      </c>
      <c r="M1618" s="3">
        <v>7.9804805216111899E-2</v>
      </c>
      <c r="N1618" s="3">
        <v>0.11401055197035199</v>
      </c>
      <c r="O1618" s="3">
        <v>0.14320871643935301</v>
      </c>
      <c r="P1618" s="3">
        <v>0.168914616195002</v>
      </c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</row>
    <row r="1619" spans="1:35" x14ac:dyDescent="0.45">
      <c r="A1619" s="3" t="s">
        <v>71</v>
      </c>
      <c r="B1619" s="3" t="s">
        <v>26</v>
      </c>
      <c r="C1619" s="3" t="s">
        <v>15</v>
      </c>
      <c r="D1619" s="3" t="s">
        <v>7</v>
      </c>
      <c r="E1619" s="3" t="s">
        <v>32</v>
      </c>
      <c r="F1619" s="3">
        <v>2.0648478197308501E-2</v>
      </c>
      <c r="G1619" s="3">
        <v>2.4080861995751102E-2</v>
      </c>
      <c r="H1619" s="3">
        <v>2.4080861995751102E-2</v>
      </c>
      <c r="I1619" s="3">
        <v>2.7976121831374899E-2</v>
      </c>
      <c r="J1619" s="3">
        <v>3.2122255577816401E-2</v>
      </c>
      <c r="K1619" s="3">
        <v>3.67045310341957E-2</v>
      </c>
      <c r="L1619" s="3">
        <v>3.7526250496988899E-2</v>
      </c>
      <c r="M1619" s="3">
        <v>3.60858737540206E-2</v>
      </c>
      <c r="N1619" s="3">
        <v>3.8245783371548298E-2</v>
      </c>
      <c r="O1619" s="3">
        <v>3.62382538623061E-2</v>
      </c>
      <c r="P1619" s="3">
        <v>3.6165073307505603E-2</v>
      </c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</row>
    <row r="1620" spans="1:35" x14ac:dyDescent="0.45">
      <c r="A1620" s="3" t="s">
        <v>71</v>
      </c>
      <c r="B1620" s="3" t="s">
        <v>26</v>
      </c>
      <c r="C1620" s="3" t="s">
        <v>15</v>
      </c>
      <c r="D1620" s="3" t="s">
        <v>9</v>
      </c>
      <c r="E1620" s="3" t="s">
        <v>32</v>
      </c>
      <c r="F1620" s="3">
        <v>0</v>
      </c>
      <c r="G1620" s="3">
        <v>-1.4484220501829E-4</v>
      </c>
      <c r="H1620" s="3">
        <v>-1.4484220501829E-4</v>
      </c>
      <c r="I1620" s="3">
        <v>-1.8495304062411E-5</v>
      </c>
      <c r="J1620" s="3">
        <v>2.3129592732017799E-4</v>
      </c>
      <c r="K1620" s="3">
        <v>-2.6068050498350602E-4</v>
      </c>
      <c r="L1620" s="3">
        <v>1.12175645327105E-2</v>
      </c>
      <c r="M1620" s="3">
        <v>1.7823148525265401E-2</v>
      </c>
      <c r="N1620" s="3">
        <v>2.0986921905541502E-2</v>
      </c>
      <c r="O1620" s="3">
        <v>2.7430086062824401E-2</v>
      </c>
      <c r="P1620" s="3">
        <v>3.10811151458509E-2</v>
      </c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</row>
    <row r="1621" spans="1:35" x14ac:dyDescent="0.45">
      <c r="A1621" s="3" t="s">
        <v>71</v>
      </c>
      <c r="B1621" s="3" t="s">
        <v>26</v>
      </c>
      <c r="C1621" s="3" t="s">
        <v>15</v>
      </c>
      <c r="D1621" s="3" t="s">
        <v>10</v>
      </c>
      <c r="E1621" s="3" t="s">
        <v>32</v>
      </c>
      <c r="F1621" s="3">
        <v>0</v>
      </c>
      <c r="G1621" s="3">
        <v>4.1878746118602399E-4</v>
      </c>
      <c r="H1621" s="3">
        <v>4.1878746118602399E-4</v>
      </c>
      <c r="I1621" s="3">
        <v>-4.3017195204640001E-5</v>
      </c>
      <c r="J1621" s="3">
        <v>7.5350007907921896E-3</v>
      </c>
      <c r="K1621" s="3">
        <v>8.7708166908640993E-3</v>
      </c>
      <c r="L1621" s="3">
        <v>1.5662752538510799E-3</v>
      </c>
      <c r="M1621" s="3">
        <v>2.37069214373904E-3</v>
      </c>
      <c r="N1621" s="3">
        <v>3.8333741716281801E-3</v>
      </c>
      <c r="O1621" s="3">
        <v>5.6443266581696098E-3</v>
      </c>
      <c r="P1621" s="3">
        <v>6.9535348106552599E-3</v>
      </c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</row>
    <row r="1622" spans="1:35" x14ac:dyDescent="0.45">
      <c r="A1622" s="3" t="s">
        <v>71</v>
      </c>
      <c r="B1622" s="3" t="s">
        <v>26</v>
      </c>
      <c r="C1622" s="3" t="s">
        <v>15</v>
      </c>
      <c r="D1622" s="3" t="s">
        <v>11</v>
      </c>
      <c r="E1622" s="3" t="s">
        <v>32</v>
      </c>
      <c r="F1622" s="3">
        <v>0</v>
      </c>
      <c r="G1622" s="3">
        <v>7.3294842786304103E-5</v>
      </c>
      <c r="H1622" s="3">
        <v>7.3294842786304103E-5</v>
      </c>
      <c r="I1622" s="3">
        <v>-1.3958949260222899E-4</v>
      </c>
      <c r="J1622" s="3">
        <v>7.6244126903363802E-4</v>
      </c>
      <c r="K1622" s="3">
        <v>2.4406410104563302E-3</v>
      </c>
      <c r="L1622" s="3">
        <v>4.1045545564584902E-3</v>
      </c>
      <c r="M1622" s="3">
        <v>5.9221379300506303E-3</v>
      </c>
      <c r="N1622" s="3">
        <v>6.0852727392629903E-3</v>
      </c>
      <c r="O1622" s="3">
        <v>4.8164051046140103E-3</v>
      </c>
      <c r="P1622" s="3">
        <v>3.5316562848379902E-3</v>
      </c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</row>
    <row r="1623" spans="1:35" x14ac:dyDescent="0.45">
      <c r="A1623" s="3" t="s">
        <v>71</v>
      </c>
      <c r="B1623" s="3" t="s">
        <v>26</v>
      </c>
      <c r="C1623" s="3" t="s">
        <v>15</v>
      </c>
      <c r="D1623" s="3" t="s">
        <v>12</v>
      </c>
      <c r="E1623" s="3" t="s">
        <v>32</v>
      </c>
      <c r="F1623" s="3">
        <v>0</v>
      </c>
      <c r="G1623" s="3">
        <v>-4.9936979665516799E-4</v>
      </c>
      <c r="H1623" s="3">
        <v>-4.9936979665516799E-4</v>
      </c>
      <c r="I1623" s="3">
        <v>7.4477788551724801E-3</v>
      </c>
      <c r="J1623" s="3">
        <v>2.4518915465877702E-3</v>
      </c>
      <c r="K1623" s="3">
        <v>3.6796429863637202E-3</v>
      </c>
      <c r="L1623" s="3">
        <v>2.41989350244223E-3</v>
      </c>
      <c r="M1623" s="3">
        <v>-1.9222573166682199E-4</v>
      </c>
      <c r="N1623" s="3">
        <v>-2.4772716890072198E-3</v>
      </c>
      <c r="O1623" s="3">
        <v>-4.2849584502104403E-3</v>
      </c>
      <c r="P1623" s="3">
        <v>-5.9571455513267001E-3</v>
      </c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</row>
    <row r="1624" spans="1:35" x14ac:dyDescent="0.45">
      <c r="A1624" s="3" t="s">
        <v>71</v>
      </c>
      <c r="B1624" s="3" t="s">
        <v>26</v>
      </c>
      <c r="C1624" s="3" t="s">
        <v>15</v>
      </c>
      <c r="D1624" s="3" t="s">
        <v>13</v>
      </c>
      <c r="E1624" s="3" t="s">
        <v>32</v>
      </c>
      <c r="F1624" s="3">
        <v>0</v>
      </c>
      <c r="G1624" s="3">
        <v>4.0066359870111496E-3</v>
      </c>
      <c r="H1624" s="3">
        <v>4.0066359870111496E-3</v>
      </c>
      <c r="I1624" s="3">
        <v>2.2171653218337598E-3</v>
      </c>
      <c r="J1624" s="3">
        <v>-1.4210717740439899E-4</v>
      </c>
      <c r="K1624" s="3">
        <v>-3.7998483673792002E-3</v>
      </c>
      <c r="L1624" s="3">
        <v>-7.0142558772815604E-3</v>
      </c>
      <c r="M1624" s="3">
        <v>-9.16836928898997E-3</v>
      </c>
      <c r="N1624" s="3">
        <v>-1.0596673127366001E-2</v>
      </c>
      <c r="O1624" s="3">
        <v>-1.13859847645059E-2</v>
      </c>
      <c r="P1624" s="3">
        <v>-1.2012467509675599E-2</v>
      </c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</row>
    <row r="1625" spans="1:35" x14ac:dyDescent="0.45">
      <c r="A1625" s="3" t="s">
        <v>71</v>
      </c>
      <c r="B1625" s="3" t="s">
        <v>26</v>
      </c>
      <c r="C1625" s="3" t="s">
        <v>15</v>
      </c>
      <c r="D1625" s="3" t="s">
        <v>14</v>
      </c>
      <c r="E1625" s="3" t="s">
        <v>32</v>
      </c>
      <c r="F1625" s="3">
        <v>0</v>
      </c>
      <c r="G1625" s="3">
        <v>1.4928251744850999E-3</v>
      </c>
      <c r="H1625" s="3">
        <v>1.4928251744850999E-3</v>
      </c>
      <c r="I1625" s="3">
        <v>-2.20458921873792E-3</v>
      </c>
      <c r="J1625" s="3">
        <v>-4.7009034982511497E-3</v>
      </c>
      <c r="K1625" s="3">
        <v>-6.0992894854716402E-3</v>
      </c>
      <c r="L1625" s="3">
        <v>-5.7389617734128597E-3</v>
      </c>
      <c r="M1625" s="3">
        <v>-6.6288829573164301E-3</v>
      </c>
      <c r="N1625" s="3">
        <v>-8.0041980111095808E-3</v>
      </c>
      <c r="O1625" s="3">
        <v>-9.3320078202589907E-3</v>
      </c>
      <c r="P1625" s="3">
        <v>-9.8716209240861004E-3</v>
      </c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</row>
    <row r="1626" spans="1:35" x14ac:dyDescent="0.45">
      <c r="A1626" s="3" t="s">
        <v>71</v>
      </c>
      <c r="B1626" s="3" t="s">
        <v>26</v>
      </c>
      <c r="C1626" s="3" t="s">
        <v>16</v>
      </c>
      <c r="D1626" s="3" t="s">
        <v>7</v>
      </c>
      <c r="E1626" s="3" t="s">
        <v>32</v>
      </c>
      <c r="F1626" s="3">
        <v>3.4514152890838798E-2</v>
      </c>
      <c r="G1626" s="3">
        <v>3.5198012007737103E-2</v>
      </c>
      <c r="H1626" s="3">
        <v>3.5198012007737103E-2</v>
      </c>
      <c r="I1626" s="3">
        <v>3.4965165647177797E-2</v>
      </c>
      <c r="J1626" s="3">
        <v>2.4624700011738301E-2</v>
      </c>
      <c r="K1626" s="3">
        <v>1.0615831422061101E-2</v>
      </c>
      <c r="L1626" s="3">
        <v>1.0615831422061101E-2</v>
      </c>
      <c r="M1626" s="3">
        <v>1.0615831422061101E-2</v>
      </c>
      <c r="N1626" s="3">
        <v>1.0615831422061101E-2</v>
      </c>
      <c r="O1626" s="3">
        <v>1.0615831422061101E-2</v>
      </c>
      <c r="P1626" s="3">
        <v>1.0615831422061101E-2</v>
      </c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</row>
    <row r="1627" spans="1:35" x14ac:dyDescent="0.45">
      <c r="A1627" s="3" t="s">
        <v>71</v>
      </c>
      <c r="B1627" s="3" t="s">
        <v>26</v>
      </c>
      <c r="C1627" s="3" t="s">
        <v>16</v>
      </c>
      <c r="D1627" s="3" t="s">
        <v>9</v>
      </c>
      <c r="E1627" s="3" t="s">
        <v>32</v>
      </c>
      <c r="F1627" s="3">
        <v>0</v>
      </c>
      <c r="G1627" s="3">
        <v>1.34417140001536E-5</v>
      </c>
      <c r="H1627" s="3">
        <v>1.34417140001536E-5</v>
      </c>
      <c r="I1627" s="3">
        <v>6.8399978982447404E-6</v>
      </c>
      <c r="J1627" s="3">
        <v>3.7523704337558101E-6</v>
      </c>
      <c r="K1627" s="3">
        <v>0</v>
      </c>
      <c r="L1627" s="3">
        <v>0</v>
      </c>
      <c r="M1627" s="3">
        <v>0</v>
      </c>
      <c r="N1627" s="3">
        <v>-2.4286128663675299E-17</v>
      </c>
      <c r="O1627" s="3">
        <v>0</v>
      </c>
      <c r="P1627" s="3">
        <v>-1.8083302536427701E-4</v>
      </c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</row>
    <row r="1628" spans="1:35" x14ac:dyDescent="0.45">
      <c r="A1628" s="3" t="s">
        <v>71</v>
      </c>
      <c r="B1628" s="3" t="s">
        <v>26</v>
      </c>
      <c r="C1628" s="3" t="s">
        <v>16</v>
      </c>
      <c r="D1628" s="3" t="s">
        <v>10</v>
      </c>
      <c r="E1628" s="3" t="s">
        <v>32</v>
      </c>
      <c r="F1628" s="3">
        <v>0</v>
      </c>
      <c r="G1628" s="3">
        <v>2.6154624400975802E-7</v>
      </c>
      <c r="H1628" s="3">
        <v>2.6154624400975802E-7</v>
      </c>
      <c r="I1628" s="3">
        <v>0</v>
      </c>
      <c r="J1628" s="3">
        <v>0</v>
      </c>
      <c r="K1628" s="3">
        <v>0</v>
      </c>
      <c r="L1628" s="3">
        <v>0</v>
      </c>
      <c r="M1628" s="3">
        <v>-2.7233974654097002E-4</v>
      </c>
      <c r="N1628" s="3">
        <v>-1.8083302536427701E-4</v>
      </c>
      <c r="O1628" s="3">
        <v>-5.0505541596378197E-5</v>
      </c>
      <c r="P1628" s="3">
        <v>1.6106908122619199E-4</v>
      </c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</row>
    <row r="1629" spans="1:35" x14ac:dyDescent="0.45">
      <c r="A1629" s="3" t="s">
        <v>71</v>
      </c>
      <c r="B1629" s="3" t="s">
        <v>26</v>
      </c>
      <c r="C1629" s="3" t="s">
        <v>16</v>
      </c>
      <c r="D1629" s="3" t="s">
        <v>11</v>
      </c>
      <c r="E1629" s="3" t="s">
        <v>32</v>
      </c>
      <c r="F1629" s="3">
        <v>0</v>
      </c>
      <c r="G1629" s="3">
        <v>5.3424772289700798E-6</v>
      </c>
      <c r="H1629" s="3">
        <v>5.3424772289700798E-6</v>
      </c>
      <c r="I1629" s="3">
        <v>1.47850134323696E-6</v>
      </c>
      <c r="J1629" s="3">
        <v>8.5650822647872995E-7</v>
      </c>
      <c r="K1629" s="3">
        <v>-2.71992429661878E-4</v>
      </c>
      <c r="L1629" s="3">
        <v>-2.6463700088852002E-4</v>
      </c>
      <c r="M1629" s="3">
        <v>2.5261950970670299E-4</v>
      </c>
      <c r="N1629" s="3">
        <v>1.8083302536427701E-4</v>
      </c>
      <c r="O1629" s="3">
        <v>5.0505541596378197E-5</v>
      </c>
      <c r="P1629" s="3">
        <v>1.97639441380845E-5</v>
      </c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</row>
    <row r="1630" spans="1:35" x14ac:dyDescent="0.45">
      <c r="A1630" s="3" t="s">
        <v>71</v>
      </c>
      <c r="B1630" s="3" t="s">
        <v>26</v>
      </c>
      <c r="C1630" s="3" t="s">
        <v>16</v>
      </c>
      <c r="D1630" s="3" t="s">
        <v>12</v>
      </c>
      <c r="E1630" s="3" t="s">
        <v>32</v>
      </c>
      <c r="F1630" s="3">
        <v>0</v>
      </c>
      <c r="G1630" s="3">
        <v>1.3463047159739699E-6</v>
      </c>
      <c r="H1630" s="3">
        <v>1.3463047159739699E-6</v>
      </c>
      <c r="I1630" s="3">
        <v>1.79180379630134E-6</v>
      </c>
      <c r="J1630" s="3">
        <v>-1.3262506860666599E-4</v>
      </c>
      <c r="K1630" s="3">
        <v>9.1569155662558896E-5</v>
      </c>
      <c r="L1630" s="3">
        <v>2.6463700088852002E-4</v>
      </c>
      <c r="M1630" s="3">
        <v>1.9720236834266599E-5</v>
      </c>
      <c r="N1630" s="3">
        <v>0</v>
      </c>
      <c r="O1630" s="3">
        <v>0</v>
      </c>
      <c r="P1630" s="3">
        <v>0</v>
      </c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</row>
    <row r="1631" spans="1:35" x14ac:dyDescent="0.45">
      <c r="A1631" s="3" t="s">
        <v>71</v>
      </c>
      <c r="B1631" s="3" t="s">
        <v>26</v>
      </c>
      <c r="C1631" s="3" t="s">
        <v>16</v>
      </c>
      <c r="D1631" s="3" t="s">
        <v>13</v>
      </c>
      <c r="E1631" s="3" t="s">
        <v>32</v>
      </c>
      <c r="F1631" s="3">
        <v>0</v>
      </c>
      <c r="G1631" s="3">
        <v>-7.3367333845081304E-5</v>
      </c>
      <c r="H1631" s="3">
        <v>-7.3367333845081304E-5</v>
      </c>
      <c r="I1631" s="3">
        <v>3.9195445361764298E-4</v>
      </c>
      <c r="J1631" s="3">
        <v>3.4426098694527799E-4</v>
      </c>
      <c r="K1631" s="3">
        <v>1.8042327399931901E-4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</row>
    <row r="1632" spans="1:35" x14ac:dyDescent="0.45">
      <c r="A1632" s="3" t="s">
        <v>71</v>
      </c>
      <c r="B1632" s="3" t="s">
        <v>26</v>
      </c>
      <c r="C1632" s="3" t="s">
        <v>16</v>
      </c>
      <c r="D1632" s="3" t="s">
        <v>14</v>
      </c>
      <c r="E1632" s="3" t="s">
        <v>32</v>
      </c>
      <c r="F1632" s="3">
        <v>0</v>
      </c>
      <c r="G1632" s="3">
        <v>-8.54031074604571E-4</v>
      </c>
      <c r="H1632" s="3">
        <v>-8.54031074604571E-4</v>
      </c>
      <c r="I1632" s="3">
        <v>1.0240558211911699E-4</v>
      </c>
      <c r="J1632" s="3">
        <v>-1.09483305118008E-4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</row>
    <row r="1633" spans="1:35" x14ac:dyDescent="0.45">
      <c r="A1633" s="3" t="s">
        <v>71</v>
      </c>
      <c r="B1633" s="3" t="s">
        <v>26</v>
      </c>
      <c r="C1633" s="3" t="s">
        <v>17</v>
      </c>
      <c r="D1633" s="3" t="s">
        <v>10</v>
      </c>
      <c r="E1633" s="3" t="s">
        <v>32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3.1698210579644101E-2</v>
      </c>
      <c r="N1633" s="3">
        <v>3.7951323383229901E-2</v>
      </c>
      <c r="O1633" s="3">
        <v>4.3681556928443901E-2</v>
      </c>
      <c r="P1633" s="3">
        <v>4.0506929863517199E-2</v>
      </c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</row>
    <row r="1634" spans="1:35" x14ac:dyDescent="0.45">
      <c r="A1634" s="3" t="s">
        <v>71</v>
      </c>
      <c r="B1634" s="3" t="s">
        <v>26</v>
      </c>
      <c r="C1634" s="3" t="s">
        <v>17</v>
      </c>
      <c r="D1634" s="3" t="s">
        <v>11</v>
      </c>
      <c r="E1634" s="3" t="s">
        <v>32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2.5779400784453701E-2</v>
      </c>
      <c r="L1634" s="3">
        <v>3.08130278425599E-2</v>
      </c>
      <c r="M1634" s="3">
        <v>7.7384144652335703E-3</v>
      </c>
      <c r="N1634" s="3">
        <v>1.2661980161634201E-2</v>
      </c>
      <c r="O1634" s="3">
        <v>1.8888769737487699E-2</v>
      </c>
      <c r="P1634" s="3">
        <v>2.70295149736265E-2</v>
      </c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</row>
    <row r="1635" spans="1:35" x14ac:dyDescent="0.45">
      <c r="A1635" s="3" t="s">
        <v>71</v>
      </c>
      <c r="B1635" s="3" t="s">
        <v>26</v>
      </c>
      <c r="C1635" s="3" t="s">
        <v>17</v>
      </c>
      <c r="D1635" s="3" t="s">
        <v>12</v>
      </c>
      <c r="E1635" s="3" t="s">
        <v>32</v>
      </c>
      <c r="F1635" s="3">
        <v>0</v>
      </c>
      <c r="G1635" s="3">
        <v>0</v>
      </c>
      <c r="H1635" s="3">
        <v>0</v>
      </c>
      <c r="I1635" s="3">
        <v>0</v>
      </c>
      <c r="J1635" s="3">
        <v>2.2534218325858599E-2</v>
      </c>
      <c r="K1635" s="3">
        <v>8.3887615483145203E-3</v>
      </c>
      <c r="L1635" s="3">
        <v>2.0930559222191801E-2</v>
      </c>
      <c r="M1635" s="3">
        <v>2.9750603827719001E-2</v>
      </c>
      <c r="N1635" s="3">
        <v>3.3245754281352097E-2</v>
      </c>
      <c r="O1635" s="3">
        <v>2.62602102876426E-2</v>
      </c>
      <c r="P1635" s="3">
        <v>1.46554773109387E-2</v>
      </c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</row>
    <row r="1636" spans="1:35" x14ac:dyDescent="0.45">
      <c r="A1636" s="3" t="s">
        <v>71</v>
      </c>
      <c r="B1636" s="3" t="s">
        <v>26</v>
      </c>
      <c r="C1636" s="3" t="s">
        <v>17</v>
      </c>
      <c r="D1636" s="3" t="s">
        <v>13</v>
      </c>
      <c r="E1636" s="3" t="s">
        <v>32</v>
      </c>
      <c r="F1636" s="3">
        <v>0</v>
      </c>
      <c r="G1636" s="3">
        <v>0</v>
      </c>
      <c r="H1636" s="3">
        <v>0</v>
      </c>
      <c r="I1636" s="3">
        <v>2.5637539435178502E-2</v>
      </c>
      <c r="J1636" s="3">
        <v>3.3085329277981197E-2</v>
      </c>
      <c r="K1636" s="3">
        <v>4.7674720737432799E-2</v>
      </c>
      <c r="L1636" s="3">
        <v>3.7332083205408602E-2</v>
      </c>
      <c r="M1636" s="3">
        <v>2.025636988296E-2</v>
      </c>
      <c r="N1636" s="3">
        <v>5.5862189795391204E-3</v>
      </c>
      <c r="O1636" s="3">
        <v>6.1846932365805496E-4</v>
      </c>
      <c r="P1636" s="3">
        <v>-5.27375127250304E-4</v>
      </c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</row>
    <row r="1637" spans="1:35" x14ac:dyDescent="0.45">
      <c r="A1637" s="3" t="s">
        <v>71</v>
      </c>
      <c r="B1637" s="3" t="s">
        <v>26</v>
      </c>
      <c r="C1637" s="3" t="s">
        <v>17</v>
      </c>
      <c r="D1637" s="3" t="s">
        <v>14</v>
      </c>
      <c r="E1637" s="3" t="s">
        <v>32</v>
      </c>
      <c r="F1637" s="3">
        <v>0</v>
      </c>
      <c r="G1637" s="3">
        <v>2.7042659660286498E-3</v>
      </c>
      <c r="H1637" s="3">
        <v>2.7042659660286498E-3</v>
      </c>
      <c r="I1637" s="3">
        <v>3.2697872595219599E-2</v>
      </c>
      <c r="J1637" s="3">
        <v>3.2112545947694297E-2</v>
      </c>
      <c r="K1637" s="3">
        <v>8.7640204600878107E-3</v>
      </c>
      <c r="L1637" s="3">
        <v>1.5564127617598001E-3</v>
      </c>
      <c r="M1637" s="3">
        <v>1.2106366902483699E-3</v>
      </c>
      <c r="N1637" s="3">
        <v>1.22596775293682E-3</v>
      </c>
      <c r="O1637" s="3">
        <v>1.22223828145988E-3</v>
      </c>
      <c r="P1637" s="3">
        <v>1.20220334945051E-3</v>
      </c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</row>
    <row r="1638" spans="1:35" x14ac:dyDescent="0.45">
      <c r="A1638" s="3" t="s">
        <v>71</v>
      </c>
      <c r="B1638" s="3" t="s">
        <v>26</v>
      </c>
      <c r="C1638" s="3" t="s">
        <v>18</v>
      </c>
      <c r="D1638" s="3" t="s">
        <v>7</v>
      </c>
      <c r="E1638" s="3" t="s">
        <v>32</v>
      </c>
      <c r="F1638" s="3">
        <v>1.31455192997691E-2</v>
      </c>
      <c r="G1638" s="3">
        <v>7.73392735929885E-3</v>
      </c>
      <c r="H1638" s="3">
        <v>7.73392735929885E-3</v>
      </c>
      <c r="I1638" s="3">
        <v>5.1559515728659203E-3</v>
      </c>
      <c r="J1638" s="3">
        <v>2.5779757864329601E-3</v>
      </c>
      <c r="K1638" s="3">
        <v>0</v>
      </c>
      <c r="L1638" s="3">
        <v>2.5292054859061498E-18</v>
      </c>
      <c r="M1638" s="3">
        <v>0</v>
      </c>
      <c r="N1638" s="3">
        <v>0</v>
      </c>
      <c r="O1638" s="3">
        <v>2.5292054859061498E-18</v>
      </c>
      <c r="P1638" s="3">
        <v>0</v>
      </c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</row>
    <row r="1639" spans="1:35" x14ac:dyDescent="0.45">
      <c r="A1639" s="3" t="s">
        <v>71</v>
      </c>
      <c r="B1639" s="3" t="s">
        <v>26</v>
      </c>
      <c r="C1639" s="3" t="s">
        <v>18</v>
      </c>
      <c r="D1639" s="3" t="s">
        <v>9</v>
      </c>
      <c r="E1639" s="3" t="s">
        <v>32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-2.5292054859061498E-18</v>
      </c>
      <c r="M1639" s="3">
        <v>7.5876164577184206E-18</v>
      </c>
      <c r="N1639" s="3">
        <v>1.2646027429530699E-18</v>
      </c>
      <c r="O1639" s="3">
        <v>-1.2646027429530799E-18</v>
      </c>
      <c r="P1639" s="3">
        <v>0</v>
      </c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</row>
    <row r="1640" spans="1:35" x14ac:dyDescent="0.45">
      <c r="A1640" s="3" t="s">
        <v>71</v>
      </c>
      <c r="B1640" s="3" t="s">
        <v>26</v>
      </c>
      <c r="C1640" s="3" t="s">
        <v>18</v>
      </c>
      <c r="D1640" s="3" t="s">
        <v>10</v>
      </c>
      <c r="E1640" s="3" t="s">
        <v>32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7.5876164577184206E-18</v>
      </c>
      <c r="L1640" s="3">
        <v>0</v>
      </c>
      <c r="M1640" s="3">
        <v>-7.5876164577184206E-18</v>
      </c>
      <c r="N1640" s="3">
        <v>3.7938082288592003E-18</v>
      </c>
      <c r="O1640" s="3">
        <v>-1.2646027429530699E-18</v>
      </c>
      <c r="P1640" s="3">
        <v>0</v>
      </c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</row>
    <row r="1641" spans="1:35" x14ac:dyDescent="0.45">
      <c r="A1641" s="3" t="s">
        <v>71</v>
      </c>
      <c r="B1641" s="3" t="s">
        <v>26</v>
      </c>
      <c r="C1641" s="3" t="s">
        <v>18</v>
      </c>
      <c r="D1641" s="3" t="s">
        <v>11</v>
      </c>
      <c r="E1641" s="3" t="s">
        <v>32</v>
      </c>
      <c r="F1641" s="3">
        <v>0</v>
      </c>
      <c r="G1641" s="3">
        <v>0</v>
      </c>
      <c r="H1641" s="3">
        <v>0</v>
      </c>
      <c r="I1641" s="3">
        <v>-2.2551405187698501E-17</v>
      </c>
      <c r="J1641" s="3">
        <v>-2.2551405187698501E-17</v>
      </c>
      <c r="K1641" s="3">
        <v>-7.5876164577184206E-18</v>
      </c>
      <c r="L1641" s="3">
        <v>5.0584109718122796E-18</v>
      </c>
      <c r="M1641" s="3">
        <v>0</v>
      </c>
      <c r="N1641" s="3">
        <v>-5.0584109718122796E-18</v>
      </c>
      <c r="O1641" s="3">
        <v>0</v>
      </c>
      <c r="P1641" s="3">
        <v>0</v>
      </c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</row>
    <row r="1642" spans="1:35" x14ac:dyDescent="0.45">
      <c r="A1642" s="3" t="s">
        <v>71</v>
      </c>
      <c r="B1642" s="3" t="s">
        <v>26</v>
      </c>
      <c r="C1642" s="3" t="s">
        <v>18</v>
      </c>
      <c r="D1642" s="3" t="s">
        <v>12</v>
      </c>
      <c r="E1642" s="3" t="s">
        <v>32</v>
      </c>
      <c r="F1642" s="3">
        <v>0</v>
      </c>
      <c r="G1642" s="3">
        <v>0</v>
      </c>
      <c r="H1642" s="3">
        <v>0</v>
      </c>
      <c r="I1642" s="3">
        <v>0</v>
      </c>
      <c r="J1642" s="3">
        <v>4.5536491244391199E-17</v>
      </c>
      <c r="K1642" s="3">
        <v>6.1965534404700406E-17</v>
      </c>
      <c r="L1642" s="3">
        <v>-5.0584109718122796E-18</v>
      </c>
      <c r="M1642" s="3">
        <v>0</v>
      </c>
      <c r="N1642" s="3">
        <v>5.18487124610759E-17</v>
      </c>
      <c r="O1642" s="3">
        <v>4.4261096003357403E-17</v>
      </c>
      <c r="P1642" s="3">
        <v>0</v>
      </c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</row>
    <row r="1643" spans="1:35" x14ac:dyDescent="0.45">
      <c r="A1643" s="3" t="s">
        <v>71</v>
      </c>
      <c r="B1643" s="3" t="s">
        <v>26</v>
      </c>
      <c r="C1643" s="3" t="s">
        <v>18</v>
      </c>
      <c r="D1643" s="3" t="s">
        <v>13</v>
      </c>
      <c r="E1643" s="3" t="s">
        <v>32</v>
      </c>
      <c r="F1643" s="3">
        <v>0</v>
      </c>
      <c r="G1643" s="3">
        <v>0</v>
      </c>
      <c r="H1643" s="3">
        <v>0</v>
      </c>
      <c r="I1643" s="3">
        <v>2.2551405187698501E-17</v>
      </c>
      <c r="J1643" s="3">
        <v>-1.36609473733174E-16</v>
      </c>
      <c r="K1643" s="3">
        <v>-6.1965534404700406E-17</v>
      </c>
      <c r="L1643" s="3">
        <v>0</v>
      </c>
      <c r="M1643" s="3">
        <v>0</v>
      </c>
      <c r="N1643" s="3">
        <v>1.3025408252416599E-16</v>
      </c>
      <c r="O1643" s="3">
        <v>3.1615068573826902E-17</v>
      </c>
      <c r="P1643" s="3">
        <v>1.3657709623893201E-16</v>
      </c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</row>
    <row r="1644" spans="1:35" x14ac:dyDescent="0.45">
      <c r="A1644" s="3" t="s">
        <v>71</v>
      </c>
      <c r="B1644" s="3" t="s">
        <v>26</v>
      </c>
      <c r="C1644" s="3" t="s">
        <v>18</v>
      </c>
      <c r="D1644" s="3" t="s">
        <v>14</v>
      </c>
      <c r="E1644" s="3" t="s">
        <v>32</v>
      </c>
      <c r="F1644" s="3">
        <v>0</v>
      </c>
      <c r="G1644" s="3">
        <v>0</v>
      </c>
      <c r="H1644" s="3">
        <v>0</v>
      </c>
      <c r="I1644" s="3">
        <v>-6.7654215563095501E-17</v>
      </c>
      <c r="J1644" s="3">
        <v>2.2551405187698501E-17</v>
      </c>
      <c r="K1644" s="3">
        <v>0</v>
      </c>
      <c r="L1644" s="3">
        <v>3.5408876802686E-17</v>
      </c>
      <c r="M1644" s="3">
        <v>4.2996493260404497E-17</v>
      </c>
      <c r="N1644" s="3">
        <v>-1.82102794985242E-16</v>
      </c>
      <c r="O1644" s="3">
        <v>-4.2996493260404497E-17</v>
      </c>
      <c r="P1644" s="3">
        <v>-5.3113315204029003E-17</v>
      </c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</row>
    <row r="1645" spans="1:35" x14ac:dyDescent="0.45">
      <c r="A1645" s="3" t="s">
        <v>71</v>
      </c>
      <c r="B1645" s="3" t="s">
        <v>26</v>
      </c>
      <c r="C1645" s="3" t="s">
        <v>19</v>
      </c>
      <c r="D1645" s="3" t="s">
        <v>10</v>
      </c>
      <c r="E1645" s="3" t="s">
        <v>32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8.1112532450079503E-3</v>
      </c>
      <c r="N1645" s="3">
        <v>1.80197536163526E-2</v>
      </c>
      <c r="O1645" s="3">
        <v>2.6997983595339101E-2</v>
      </c>
      <c r="P1645" s="3">
        <v>1.174198572738E-2</v>
      </c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</row>
    <row r="1646" spans="1:35" x14ac:dyDescent="0.45">
      <c r="A1646" s="3" t="s">
        <v>71</v>
      </c>
      <c r="B1646" s="3" t="s">
        <v>26</v>
      </c>
      <c r="C1646" s="3" t="s">
        <v>19</v>
      </c>
      <c r="D1646" s="3" t="s">
        <v>11</v>
      </c>
      <c r="E1646" s="3" t="s">
        <v>32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2.6852795965044501E-3</v>
      </c>
      <c r="L1646" s="3">
        <v>8.9834950973344107E-3</v>
      </c>
      <c r="M1646" s="3">
        <v>1.88608958562386E-2</v>
      </c>
      <c r="N1646" s="3">
        <v>3.7490147598609802E-2</v>
      </c>
      <c r="O1646" s="3">
        <v>6.4437012593261095E-2</v>
      </c>
      <c r="P1646" s="3">
        <v>9.9098069644463799E-2</v>
      </c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</row>
    <row r="1647" spans="1:35" x14ac:dyDescent="0.45">
      <c r="A1647" s="3" t="s">
        <v>71</v>
      </c>
      <c r="B1647" s="3" t="s">
        <v>26</v>
      </c>
      <c r="C1647" s="3" t="s">
        <v>19</v>
      </c>
      <c r="D1647" s="3" t="s">
        <v>12</v>
      </c>
      <c r="E1647" s="3" t="s">
        <v>32</v>
      </c>
      <c r="F1647" s="3">
        <v>0</v>
      </c>
      <c r="G1647" s="3">
        <v>0</v>
      </c>
      <c r="H1647" s="3">
        <v>0</v>
      </c>
      <c r="I1647" s="3">
        <v>0</v>
      </c>
      <c r="J1647" s="3">
        <v>2.1822656985507199E-3</v>
      </c>
      <c r="K1647" s="3">
        <v>2.5906799122563402E-2</v>
      </c>
      <c r="L1647" s="3">
        <v>7.6643404621669103E-2</v>
      </c>
      <c r="M1647" s="3">
        <v>0.116416047935957</v>
      </c>
      <c r="N1647" s="3">
        <v>0.13637619018442601</v>
      </c>
      <c r="O1647" s="3">
        <v>0.11352358278336699</v>
      </c>
      <c r="P1647" s="3">
        <v>7.1082178536761007E-2</v>
      </c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</row>
    <row r="1648" spans="1:35" x14ac:dyDescent="0.45">
      <c r="A1648" s="3" t="s">
        <v>71</v>
      </c>
      <c r="B1648" s="3" t="s">
        <v>26</v>
      </c>
      <c r="C1648" s="3" t="s">
        <v>19</v>
      </c>
      <c r="D1648" s="3" t="s">
        <v>13</v>
      </c>
      <c r="E1648" s="3" t="s">
        <v>32</v>
      </c>
      <c r="F1648" s="3">
        <v>0</v>
      </c>
      <c r="G1648" s="3">
        <v>0</v>
      </c>
      <c r="H1648" s="3">
        <v>0</v>
      </c>
      <c r="I1648" s="3">
        <v>2.8174346344880599E-2</v>
      </c>
      <c r="J1648" s="3">
        <v>0.128413070854933</v>
      </c>
      <c r="K1648" s="3">
        <v>0.193354171499523</v>
      </c>
      <c r="L1648" s="3">
        <v>0.16021438783849501</v>
      </c>
      <c r="M1648" s="3">
        <v>9.8447917752363001E-2</v>
      </c>
      <c r="N1648" s="3">
        <v>4.4005256711880901E-2</v>
      </c>
      <c r="O1648" s="3">
        <v>2.6208592980924299E-2</v>
      </c>
      <c r="P1648" s="3">
        <v>2.3320010254982499E-2</v>
      </c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</row>
    <row r="1649" spans="1:35" x14ac:dyDescent="0.45">
      <c r="A1649" s="3" t="s">
        <v>71</v>
      </c>
      <c r="B1649" s="3" t="s">
        <v>26</v>
      </c>
      <c r="C1649" s="3" t="s">
        <v>19</v>
      </c>
      <c r="D1649" s="3" t="s">
        <v>14</v>
      </c>
      <c r="E1649" s="3" t="s">
        <v>32</v>
      </c>
      <c r="F1649" s="3">
        <v>0</v>
      </c>
      <c r="G1649" s="3">
        <v>5.7915706127786197E-4</v>
      </c>
      <c r="H1649" s="3">
        <v>5.7915706127786197E-4</v>
      </c>
      <c r="I1649" s="3">
        <v>0.130447269215968</v>
      </c>
      <c r="J1649" s="3">
        <v>0.135413847419696</v>
      </c>
      <c r="K1649" s="3">
        <v>4.7129169657251099E-2</v>
      </c>
      <c r="L1649" s="3">
        <v>1.8817351395201399E-2</v>
      </c>
      <c r="M1649" s="3">
        <v>1.8970133582135999E-2</v>
      </c>
      <c r="N1649" s="3">
        <v>2.1338098358114801E-2</v>
      </c>
      <c r="O1649" s="3">
        <v>2.36999851699242E-2</v>
      </c>
      <c r="P1649" s="3">
        <v>2.4894914023300799E-2</v>
      </c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</row>
    <row r="1650" spans="1:35" x14ac:dyDescent="0.45">
      <c r="A1650" s="3" t="s">
        <v>72</v>
      </c>
      <c r="B1650" s="3" t="s">
        <v>21</v>
      </c>
      <c r="C1650" s="3" t="s">
        <v>6</v>
      </c>
      <c r="D1650" s="3" t="s">
        <v>7</v>
      </c>
      <c r="E1650" s="3" t="s">
        <v>32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1.6716843749289001E-5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</row>
    <row r="1651" spans="1:35" x14ac:dyDescent="0.45">
      <c r="A1651" s="3" t="s">
        <v>72</v>
      </c>
      <c r="B1651" s="3" t="s">
        <v>21</v>
      </c>
      <c r="C1651" s="3" t="s">
        <v>6</v>
      </c>
      <c r="D1651" s="3" t="s">
        <v>9</v>
      </c>
      <c r="E1651" s="3" t="s">
        <v>32</v>
      </c>
      <c r="F1651" s="3">
        <v>0</v>
      </c>
      <c r="G1651" s="3">
        <v>0</v>
      </c>
      <c r="H1651" s="3">
        <v>0</v>
      </c>
      <c r="I1651" s="3">
        <v>0</v>
      </c>
      <c r="J1651" s="3">
        <v>1.26632890282273E-5</v>
      </c>
      <c r="K1651" s="3">
        <v>-7.0521435773573899E-7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</row>
    <row r="1652" spans="1:35" x14ac:dyDescent="0.45">
      <c r="A1652" s="3" t="s">
        <v>72</v>
      </c>
      <c r="B1652" s="3" t="s">
        <v>21</v>
      </c>
      <c r="C1652" s="3" t="s">
        <v>6</v>
      </c>
      <c r="D1652" s="3" t="s">
        <v>10</v>
      </c>
      <c r="E1652" s="3" t="s">
        <v>32</v>
      </c>
      <c r="F1652" s="3">
        <v>0</v>
      </c>
      <c r="G1652" s="3">
        <v>0</v>
      </c>
      <c r="H1652" s="3">
        <v>0</v>
      </c>
      <c r="I1652" s="3">
        <v>0</v>
      </c>
      <c r="J1652" s="3">
        <v>-1.1921808264768999E-5</v>
      </c>
      <c r="K1652" s="3">
        <v>8.1352873178223794E-5</v>
      </c>
      <c r="L1652" s="3">
        <v>4.8736087952782002E-5</v>
      </c>
      <c r="M1652" s="3">
        <v>3.0849531978437798E-5</v>
      </c>
      <c r="N1652" s="3">
        <v>5.8310606824282796E-4</v>
      </c>
      <c r="O1652" s="3">
        <v>4.9025776763444101E-3</v>
      </c>
      <c r="P1652" s="3">
        <v>1.16051294921342E-2</v>
      </c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</row>
    <row r="1653" spans="1:35" x14ac:dyDescent="0.45">
      <c r="A1653" s="3" t="s">
        <v>72</v>
      </c>
      <c r="B1653" s="3" t="s">
        <v>21</v>
      </c>
      <c r="C1653" s="3" t="s">
        <v>6</v>
      </c>
      <c r="D1653" s="3" t="s">
        <v>11</v>
      </c>
      <c r="E1653" s="3" t="s">
        <v>32</v>
      </c>
      <c r="F1653" s="3">
        <v>0</v>
      </c>
      <c r="G1653" s="3">
        <v>0</v>
      </c>
      <c r="H1653" s="3">
        <v>0</v>
      </c>
      <c r="I1653" s="3">
        <v>0</v>
      </c>
      <c r="J1653" s="3">
        <v>5.8316954551777101E-5</v>
      </c>
      <c r="K1653" s="3">
        <v>7.3007864795906097E-5</v>
      </c>
      <c r="L1653" s="3">
        <v>2.3202357709293398E-3</v>
      </c>
      <c r="M1653" s="3">
        <v>9.7436026152030002E-3</v>
      </c>
      <c r="N1653" s="3">
        <v>1.9037045404920499E-2</v>
      </c>
      <c r="O1653" s="3">
        <v>2.45897096753253E-2</v>
      </c>
      <c r="P1653" s="3">
        <v>2.7032973541768899E-2</v>
      </c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</row>
    <row r="1654" spans="1:35" x14ac:dyDescent="0.45">
      <c r="A1654" s="3" t="s">
        <v>72</v>
      </c>
      <c r="B1654" s="3" t="s">
        <v>21</v>
      </c>
      <c r="C1654" s="3" t="s">
        <v>6</v>
      </c>
      <c r="D1654" s="3" t="s">
        <v>12</v>
      </c>
      <c r="E1654" s="3" t="s">
        <v>32</v>
      </c>
      <c r="F1654" s="3">
        <v>0</v>
      </c>
      <c r="G1654" s="3">
        <v>0</v>
      </c>
      <c r="H1654" s="3">
        <v>0</v>
      </c>
      <c r="I1654" s="3">
        <v>0</v>
      </c>
      <c r="J1654" s="3">
        <v>4.1950268253478898E-4</v>
      </c>
      <c r="K1654" s="3">
        <v>8.41191261636327E-3</v>
      </c>
      <c r="L1654" s="3">
        <v>1.7745841037366698E-2</v>
      </c>
      <c r="M1654" s="3">
        <v>2.1450872358082299E-2</v>
      </c>
      <c r="N1654" s="3">
        <v>2.1608743306362001E-2</v>
      </c>
      <c r="O1654" s="3">
        <v>2.1523276432106001E-2</v>
      </c>
      <c r="P1654" s="3">
        <v>2.2123373841410301E-2</v>
      </c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</row>
    <row r="1655" spans="1:35" x14ac:dyDescent="0.45">
      <c r="A1655" s="3" t="s">
        <v>72</v>
      </c>
      <c r="B1655" s="3" t="s">
        <v>21</v>
      </c>
      <c r="C1655" s="3" t="s">
        <v>6</v>
      </c>
      <c r="D1655" s="3" t="s">
        <v>13</v>
      </c>
      <c r="E1655" s="3" t="s">
        <v>32</v>
      </c>
      <c r="F1655" s="3">
        <v>0</v>
      </c>
      <c r="G1655" s="3">
        <v>0</v>
      </c>
      <c r="H1655" s="3">
        <v>0</v>
      </c>
      <c r="I1655" s="3">
        <v>7.6093297804822801E-3</v>
      </c>
      <c r="J1655" s="3">
        <v>2.1089280845604699E-2</v>
      </c>
      <c r="K1655" s="3">
        <v>2.6377833282070901E-2</v>
      </c>
      <c r="L1655" s="3">
        <v>2.6759945760157802E-2</v>
      </c>
      <c r="M1655" s="3">
        <v>2.7170913570494299E-2</v>
      </c>
      <c r="N1655" s="3">
        <v>2.8387221412273199E-2</v>
      </c>
      <c r="O1655" s="3">
        <v>2.9969606062406499E-2</v>
      </c>
      <c r="P1655" s="3">
        <v>3.1503045626738599E-2</v>
      </c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</row>
    <row r="1656" spans="1:35" x14ac:dyDescent="0.45">
      <c r="A1656" s="3" t="s">
        <v>72</v>
      </c>
      <c r="B1656" s="3" t="s">
        <v>21</v>
      </c>
      <c r="C1656" s="3" t="s">
        <v>6</v>
      </c>
      <c r="D1656" s="3" t="s">
        <v>14</v>
      </c>
      <c r="E1656" s="3" t="s">
        <v>32</v>
      </c>
      <c r="F1656" s="3">
        <v>0</v>
      </c>
      <c r="G1656" s="3">
        <v>0</v>
      </c>
      <c r="H1656" s="3">
        <v>0</v>
      </c>
      <c r="I1656" s="3">
        <v>1.02989412553632E-2</v>
      </c>
      <c r="J1656" s="3">
        <v>1.2674863389292201E-2</v>
      </c>
      <c r="K1656" s="3">
        <v>1.3919990852475099E-2</v>
      </c>
      <c r="L1656" s="3">
        <v>1.5509072658578E-2</v>
      </c>
      <c r="M1656" s="3">
        <v>1.7942072734936299E-2</v>
      </c>
      <c r="N1656" s="3">
        <v>2.0867226493693301E-2</v>
      </c>
      <c r="O1656" s="3">
        <v>2.3762567902970801E-2</v>
      </c>
      <c r="P1656" s="3">
        <v>2.6817845268956E-2</v>
      </c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</row>
    <row r="1657" spans="1:35" x14ac:dyDescent="0.45">
      <c r="A1657" s="3" t="s">
        <v>72</v>
      </c>
      <c r="B1657" s="3" t="s">
        <v>21</v>
      </c>
      <c r="C1657" s="3" t="s">
        <v>15</v>
      </c>
      <c r="D1657" s="3" t="s">
        <v>7</v>
      </c>
      <c r="E1657" s="3" t="s">
        <v>32</v>
      </c>
      <c r="F1657" s="3">
        <v>7.1866015202067196E-3</v>
      </c>
      <c r="G1657" s="3">
        <v>6.5425268400630503E-3</v>
      </c>
      <c r="H1657" s="3">
        <v>6.5425268400630503E-3</v>
      </c>
      <c r="I1657" s="3">
        <v>6.4261917886495696E-3</v>
      </c>
      <c r="J1657" s="3">
        <v>6.6265863896373201E-3</v>
      </c>
      <c r="K1657" s="3">
        <v>6.5254277791997198E-3</v>
      </c>
      <c r="L1657" s="3">
        <v>6.75326787050175E-3</v>
      </c>
      <c r="M1657" s="3">
        <v>6.8886831943024999E-3</v>
      </c>
      <c r="N1657" s="3">
        <v>6.8897502477976297E-3</v>
      </c>
      <c r="O1657" s="3">
        <v>6.8833896193087399E-3</v>
      </c>
      <c r="P1657" s="3">
        <v>6.9840446038813902E-3</v>
      </c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</row>
    <row r="1658" spans="1:35" x14ac:dyDescent="0.45">
      <c r="A1658" s="3" t="s">
        <v>72</v>
      </c>
      <c r="B1658" s="3" t="s">
        <v>21</v>
      </c>
      <c r="C1658" s="3" t="s">
        <v>15</v>
      </c>
      <c r="D1658" s="3" t="s">
        <v>9</v>
      </c>
      <c r="E1658" s="3" t="s">
        <v>32</v>
      </c>
      <c r="F1658" s="3">
        <v>0</v>
      </c>
      <c r="G1658" s="3">
        <v>1.2373285499843801E-6</v>
      </c>
      <c r="H1658" s="3">
        <v>1.2373285499843801E-6</v>
      </c>
      <c r="I1658" s="3">
        <v>-1.8053559355102701E-5</v>
      </c>
      <c r="J1658" s="3">
        <v>-8.4665122517893702E-5</v>
      </c>
      <c r="K1658" s="3">
        <v>-8.9170205235904201E-5</v>
      </c>
      <c r="L1658" s="3">
        <v>-1.0006198590135E-4</v>
      </c>
      <c r="M1658" s="3">
        <v>-1.3409485110240301E-4</v>
      </c>
      <c r="N1658" s="3">
        <v>-7.6493806524246193E-5</v>
      </c>
      <c r="O1658" s="3">
        <v>-4.6005444180113701E-5</v>
      </c>
      <c r="P1658" s="3">
        <v>-9.6435032873858794E-5</v>
      </c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</row>
    <row r="1659" spans="1:35" x14ac:dyDescent="0.45">
      <c r="A1659" s="3" t="s">
        <v>72</v>
      </c>
      <c r="B1659" s="3" t="s">
        <v>21</v>
      </c>
      <c r="C1659" s="3" t="s">
        <v>15</v>
      </c>
      <c r="D1659" s="3" t="s">
        <v>10</v>
      </c>
      <c r="E1659" s="3" t="s">
        <v>32</v>
      </c>
      <c r="F1659" s="3">
        <v>0</v>
      </c>
      <c r="G1659" s="3">
        <v>-9.8772730942643694E-6</v>
      </c>
      <c r="H1659" s="3">
        <v>-9.8772730942643694E-6</v>
      </c>
      <c r="I1659" s="3">
        <v>-1.4976022306613E-5</v>
      </c>
      <c r="J1659" s="3">
        <v>-2.76957854641264E-5</v>
      </c>
      <c r="K1659" s="3">
        <v>-1.4993338067619501E-5</v>
      </c>
      <c r="L1659" s="3">
        <v>-3.8434710754927499E-7</v>
      </c>
      <c r="M1659" s="3">
        <v>7.3319642258174202E-6</v>
      </c>
      <c r="N1659" s="3">
        <v>-3.3530646778519101E-5</v>
      </c>
      <c r="O1659" s="3">
        <v>-1.5731166490312601E-5</v>
      </c>
      <c r="P1659" s="3">
        <v>-3.2937821679689802E-6</v>
      </c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</row>
    <row r="1660" spans="1:35" x14ac:dyDescent="0.45">
      <c r="A1660" s="3" t="s">
        <v>72</v>
      </c>
      <c r="B1660" s="3" t="s">
        <v>21</v>
      </c>
      <c r="C1660" s="3" t="s">
        <v>15</v>
      </c>
      <c r="D1660" s="3" t="s">
        <v>11</v>
      </c>
      <c r="E1660" s="3" t="s">
        <v>32</v>
      </c>
      <c r="F1660" s="3">
        <v>0</v>
      </c>
      <c r="G1660" s="3">
        <v>-8.9251370756406697E-7</v>
      </c>
      <c r="H1660" s="3">
        <v>-8.9251370756406697E-7</v>
      </c>
      <c r="I1660" s="3">
        <v>-1.5151021643697E-5</v>
      </c>
      <c r="J1660" s="3">
        <v>-2.2045056437842301E-5</v>
      </c>
      <c r="K1660" s="3">
        <v>3.20730498605815E-5</v>
      </c>
      <c r="L1660" s="3">
        <v>-9.5805588644457906E-5</v>
      </c>
      <c r="M1660" s="3">
        <v>-1.30869133289481E-4</v>
      </c>
      <c r="N1660" s="3">
        <v>-1.4940323209234799E-4</v>
      </c>
      <c r="O1660" s="3">
        <v>-1.3311181312030201E-4</v>
      </c>
      <c r="P1660" s="3">
        <v>3.6629331206828399E-4</v>
      </c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</row>
    <row r="1661" spans="1:35" x14ac:dyDescent="0.45">
      <c r="A1661" s="3" t="s">
        <v>72</v>
      </c>
      <c r="B1661" s="3" t="s">
        <v>21</v>
      </c>
      <c r="C1661" s="3" t="s">
        <v>15</v>
      </c>
      <c r="D1661" s="3" t="s">
        <v>12</v>
      </c>
      <c r="E1661" s="3" t="s">
        <v>32</v>
      </c>
      <c r="F1661" s="3">
        <v>0</v>
      </c>
      <c r="G1661" s="3">
        <v>-6.5640107410874098E-7</v>
      </c>
      <c r="H1661" s="3">
        <v>-6.5640107410874098E-7</v>
      </c>
      <c r="I1661" s="3">
        <v>-1.7847284553838E-4</v>
      </c>
      <c r="J1661" s="3">
        <v>-1.32183536044795E-4</v>
      </c>
      <c r="K1661" s="3">
        <v>-7.9350624012452595E-5</v>
      </c>
      <c r="L1661" s="3">
        <v>3.64462723025205E-4</v>
      </c>
      <c r="M1661" s="3">
        <v>8.9905678890142798E-4</v>
      </c>
      <c r="N1661" s="3">
        <v>1.8301116904382601E-3</v>
      </c>
      <c r="O1661" s="3">
        <v>2.4296547874317499E-3</v>
      </c>
      <c r="P1661" s="3">
        <v>2.6836244184634201E-3</v>
      </c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</row>
    <row r="1662" spans="1:35" x14ac:dyDescent="0.45">
      <c r="A1662" s="3" t="s">
        <v>72</v>
      </c>
      <c r="B1662" s="3" t="s">
        <v>21</v>
      </c>
      <c r="C1662" s="3" t="s">
        <v>15</v>
      </c>
      <c r="D1662" s="3" t="s">
        <v>13</v>
      </c>
      <c r="E1662" s="3" t="s">
        <v>32</v>
      </c>
      <c r="F1662" s="3">
        <v>0</v>
      </c>
      <c r="G1662" s="3">
        <v>-1.67143706704741E-4</v>
      </c>
      <c r="H1662" s="3">
        <v>-1.67143706704741E-4</v>
      </c>
      <c r="I1662" s="3">
        <v>-4.2066020808196502E-4</v>
      </c>
      <c r="J1662" s="3">
        <v>2.67314333522244E-4</v>
      </c>
      <c r="K1662" s="3">
        <v>1.52009171495286E-3</v>
      </c>
      <c r="L1662" s="3">
        <v>2.5597664688326799E-3</v>
      </c>
      <c r="M1662" s="3">
        <v>3.2571540904088102E-3</v>
      </c>
      <c r="N1662" s="3">
        <v>3.63817265715089E-3</v>
      </c>
      <c r="O1662" s="3">
        <v>4.1295917349604798E-3</v>
      </c>
      <c r="P1662" s="3">
        <v>4.6341181508598598E-3</v>
      </c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</row>
    <row r="1663" spans="1:35" x14ac:dyDescent="0.45">
      <c r="A1663" s="3" t="s">
        <v>72</v>
      </c>
      <c r="B1663" s="3" t="s">
        <v>21</v>
      </c>
      <c r="C1663" s="3" t="s">
        <v>15</v>
      </c>
      <c r="D1663" s="3" t="s">
        <v>14</v>
      </c>
      <c r="E1663" s="3" t="s">
        <v>32</v>
      </c>
      <c r="F1663" s="3">
        <v>0</v>
      </c>
      <c r="G1663" s="3">
        <v>2.4080163627261202E-3</v>
      </c>
      <c r="H1663" s="3">
        <v>2.4080163627261202E-3</v>
      </c>
      <c r="I1663" s="3">
        <v>2.7927742545587997E-4</v>
      </c>
      <c r="J1663" s="3">
        <v>1.87011918225154E-3</v>
      </c>
      <c r="K1663" s="3">
        <v>2.63924461773042E-3</v>
      </c>
      <c r="L1663" s="3">
        <v>2.3546094471736802E-3</v>
      </c>
      <c r="M1663" s="3">
        <v>2.5937882377115701E-3</v>
      </c>
      <c r="N1663" s="3">
        <v>2.9929712310151802E-3</v>
      </c>
      <c r="O1663" s="3">
        <v>3.1192800360137999E-3</v>
      </c>
      <c r="P1663" s="3">
        <v>2.6433037278888599E-3</v>
      </c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</row>
    <row r="1664" spans="1:35" x14ac:dyDescent="0.45">
      <c r="A1664" s="3" t="s">
        <v>72</v>
      </c>
      <c r="B1664" s="3" t="s">
        <v>21</v>
      </c>
      <c r="C1664" s="3" t="s">
        <v>16</v>
      </c>
      <c r="D1664" s="3" t="s">
        <v>7</v>
      </c>
      <c r="E1664" s="3" t="s">
        <v>32</v>
      </c>
      <c r="F1664" s="3">
        <v>8.5764182235280196E-3</v>
      </c>
      <c r="G1664" s="3">
        <v>3.11112369436974E-3</v>
      </c>
      <c r="H1664" s="3">
        <v>3.11112369436974E-3</v>
      </c>
      <c r="I1664" s="3">
        <v>3.2010741814391301E-3</v>
      </c>
      <c r="J1664" s="3">
        <v>3.2010741814391301E-3</v>
      </c>
      <c r="K1664" s="3">
        <v>3.3099959271363699E-3</v>
      </c>
      <c r="L1664" s="3">
        <v>3.2010741814391301E-3</v>
      </c>
      <c r="M1664" s="3">
        <v>3.2010741814391301E-3</v>
      </c>
      <c r="N1664" s="3">
        <v>3.2010741814391301E-3</v>
      </c>
      <c r="O1664" s="3">
        <v>3.2010741814391301E-3</v>
      </c>
      <c r="P1664" s="3">
        <v>3.2010741814391301E-3</v>
      </c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</row>
    <row r="1665" spans="1:35" x14ac:dyDescent="0.45">
      <c r="A1665" s="3" t="s">
        <v>72</v>
      </c>
      <c r="B1665" s="3" t="s">
        <v>21</v>
      </c>
      <c r="C1665" s="3" t="s">
        <v>16</v>
      </c>
      <c r="D1665" s="3" t="s">
        <v>9</v>
      </c>
      <c r="E1665" s="3" t="s">
        <v>32</v>
      </c>
      <c r="F1665" s="3">
        <v>0</v>
      </c>
      <c r="G1665" s="3">
        <v>0</v>
      </c>
      <c r="H1665" s="3">
        <v>0</v>
      </c>
      <c r="I1665" s="3">
        <v>0</v>
      </c>
      <c r="J1665" s="3">
        <v>1.1305172976742899E-4</v>
      </c>
      <c r="K1665" s="3">
        <v>1.28730756529254E-5</v>
      </c>
      <c r="L1665" s="3">
        <v>1.07719443329286E-4</v>
      </c>
      <c r="M1665" s="3">
        <v>9.8956595167706195E-5</v>
      </c>
      <c r="N1665" s="3">
        <v>1.0104648475767501E-3</v>
      </c>
      <c r="O1665" s="3">
        <v>1.0102614106464701E-3</v>
      </c>
      <c r="P1665" s="3">
        <v>1.0102614106464701E-3</v>
      </c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</row>
    <row r="1666" spans="1:35" x14ac:dyDescent="0.45">
      <c r="A1666" s="3" t="s">
        <v>72</v>
      </c>
      <c r="B1666" s="3" t="s">
        <v>21</v>
      </c>
      <c r="C1666" s="3" t="s">
        <v>16</v>
      </c>
      <c r="D1666" s="3" t="s">
        <v>10</v>
      </c>
      <c r="E1666" s="3" t="s">
        <v>32</v>
      </c>
      <c r="F1666" s="3">
        <v>0</v>
      </c>
      <c r="G1666" s="3">
        <v>0</v>
      </c>
      <c r="H1666" s="3">
        <v>0</v>
      </c>
      <c r="I1666" s="3">
        <v>0</v>
      </c>
      <c r="J1666" s="3">
        <v>-5.3322864381429901E-6</v>
      </c>
      <c r="K1666" s="3">
        <v>1.03096906761952E-4</v>
      </c>
      <c r="L1666" s="3">
        <v>9.0254196731718098E-4</v>
      </c>
      <c r="M1666" s="3">
        <v>9.1130481547877895E-4</v>
      </c>
      <c r="N1666" s="3">
        <v>-2.03436930287793E-7</v>
      </c>
      <c r="O1666" s="3">
        <v>0</v>
      </c>
      <c r="P1666" s="3">
        <v>0</v>
      </c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</row>
    <row r="1667" spans="1:35" x14ac:dyDescent="0.45">
      <c r="A1667" s="3" t="s">
        <v>72</v>
      </c>
      <c r="B1667" s="3" t="s">
        <v>21</v>
      </c>
      <c r="C1667" s="3" t="s">
        <v>16</v>
      </c>
      <c r="D1667" s="3" t="s">
        <v>11</v>
      </c>
      <c r="E1667" s="3" t="s">
        <v>32</v>
      </c>
      <c r="F1667" s="3">
        <v>0</v>
      </c>
      <c r="G1667" s="3">
        <v>0</v>
      </c>
      <c r="H1667" s="3">
        <v>0</v>
      </c>
      <c r="I1667" s="3">
        <v>0</v>
      </c>
      <c r="J1667" s="3">
        <v>9.0254196731718098E-4</v>
      </c>
      <c r="K1667" s="3">
        <v>7.8536968253434497E-4</v>
      </c>
      <c r="L1667" s="3">
        <v>0</v>
      </c>
      <c r="M1667" s="3">
        <v>-1.8214596497756499E-17</v>
      </c>
      <c r="N1667" s="3">
        <v>0</v>
      </c>
      <c r="O1667" s="3">
        <v>1.8214596497756499E-17</v>
      </c>
      <c r="P1667" s="3">
        <v>0</v>
      </c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</row>
    <row r="1668" spans="1:35" x14ac:dyDescent="0.45">
      <c r="A1668" s="3" t="s">
        <v>72</v>
      </c>
      <c r="B1668" s="3" t="s">
        <v>21</v>
      </c>
      <c r="C1668" s="3" t="s">
        <v>16</v>
      </c>
      <c r="D1668" s="3" t="s">
        <v>12</v>
      </c>
      <c r="E1668" s="3" t="s">
        <v>32</v>
      </c>
      <c r="F1668" s="3">
        <v>0</v>
      </c>
      <c r="G1668" s="3">
        <v>0</v>
      </c>
      <c r="H1668" s="3">
        <v>0</v>
      </c>
      <c r="I1668" s="3">
        <v>1.0104648475767501E-3</v>
      </c>
      <c r="J1668" s="3">
        <v>1.8214596497756499E-17</v>
      </c>
      <c r="K1668" s="3">
        <v>0</v>
      </c>
      <c r="L1668" s="3">
        <v>1.8214596497756499E-17</v>
      </c>
      <c r="M1668" s="3">
        <v>0</v>
      </c>
      <c r="N1668" s="3">
        <v>0</v>
      </c>
      <c r="O1668" s="3">
        <v>-1.8214596497756499E-17</v>
      </c>
      <c r="P1668" s="3">
        <v>1.8214596497756499E-17</v>
      </c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</row>
    <row r="1669" spans="1:35" x14ac:dyDescent="0.45">
      <c r="A1669" s="3" t="s">
        <v>72</v>
      </c>
      <c r="B1669" s="3" t="s">
        <v>21</v>
      </c>
      <c r="C1669" s="3" t="s">
        <v>16</v>
      </c>
      <c r="D1669" s="3" t="s">
        <v>13</v>
      </c>
      <c r="E1669" s="3" t="s">
        <v>32</v>
      </c>
      <c r="F1669" s="3">
        <v>0</v>
      </c>
      <c r="G1669" s="3">
        <v>0</v>
      </c>
      <c r="H1669" s="3">
        <v>0</v>
      </c>
      <c r="I1669" s="3">
        <v>-2.03436930287793E-7</v>
      </c>
      <c r="J1669" s="3">
        <v>-1.8214596497756499E-17</v>
      </c>
      <c r="K1669" s="3">
        <v>1.8214596497756499E-17</v>
      </c>
      <c r="L1669" s="3">
        <v>0</v>
      </c>
      <c r="M1669" s="3">
        <v>0</v>
      </c>
      <c r="N1669" s="3">
        <v>1.8214596497756499E-17</v>
      </c>
      <c r="O1669" s="3">
        <v>0</v>
      </c>
      <c r="P1669" s="3">
        <v>-1.8214596497756499E-17</v>
      </c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</row>
    <row r="1670" spans="1:35" x14ac:dyDescent="0.45">
      <c r="A1670" s="3" t="s">
        <v>72</v>
      </c>
      <c r="B1670" s="3" t="s">
        <v>21</v>
      </c>
      <c r="C1670" s="3" t="s">
        <v>16</v>
      </c>
      <c r="D1670" s="3" t="s">
        <v>14</v>
      </c>
      <c r="E1670" s="3" t="s">
        <v>32</v>
      </c>
      <c r="F1670" s="3">
        <v>0</v>
      </c>
      <c r="G1670" s="3">
        <v>1.0442990342708E-3</v>
      </c>
      <c r="H1670" s="3">
        <v>1.0442990342708E-3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-1.8214596497756499E-17</v>
      </c>
      <c r="O1670" s="3">
        <v>1.8214596497756499E-17</v>
      </c>
      <c r="P1670" s="3">
        <v>0</v>
      </c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</row>
    <row r="1671" spans="1:35" x14ac:dyDescent="0.45">
      <c r="A1671" s="3" t="s">
        <v>72</v>
      </c>
      <c r="B1671" s="3" t="s">
        <v>21</v>
      </c>
      <c r="C1671" s="3" t="s">
        <v>17</v>
      </c>
      <c r="D1671" s="3" t="s">
        <v>7</v>
      </c>
      <c r="E1671" s="3" t="s">
        <v>32</v>
      </c>
      <c r="F1671" s="3">
        <v>0</v>
      </c>
      <c r="G1671" s="3">
        <v>0</v>
      </c>
      <c r="H1671" s="3">
        <v>0</v>
      </c>
      <c r="I1671" s="3">
        <v>0</v>
      </c>
      <c r="J1671" s="3">
        <v>1.4051419107605101E-4</v>
      </c>
      <c r="K1671" s="3">
        <v>2.5318401833361798E-4</v>
      </c>
      <c r="L1671" s="3">
        <v>1.4444604189064301E-4</v>
      </c>
      <c r="M1671" s="3">
        <v>2.5061674086800999E-6</v>
      </c>
      <c r="N1671" s="3">
        <v>0</v>
      </c>
      <c r="O1671" s="3">
        <v>0</v>
      </c>
      <c r="P1671" s="3">
        <v>0</v>
      </c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</row>
    <row r="1672" spans="1:35" x14ac:dyDescent="0.45">
      <c r="A1672" s="3" t="s">
        <v>72</v>
      </c>
      <c r="B1672" s="3" t="s">
        <v>21</v>
      </c>
      <c r="C1672" s="3" t="s">
        <v>17</v>
      </c>
      <c r="D1672" s="3" t="s">
        <v>9</v>
      </c>
      <c r="E1672" s="3" t="s">
        <v>32</v>
      </c>
      <c r="F1672" s="3">
        <v>0</v>
      </c>
      <c r="G1672" s="3">
        <v>0</v>
      </c>
      <c r="H1672" s="3">
        <v>0</v>
      </c>
      <c r="I1672" s="3">
        <v>4.1138745947544902E-5</v>
      </c>
      <c r="J1672" s="3">
        <v>6.3281053027170604E-6</v>
      </c>
      <c r="K1672" s="3">
        <v>1.28763881506448E-4</v>
      </c>
      <c r="L1672" s="3">
        <v>7.2542735174255401E-5</v>
      </c>
      <c r="M1672" s="3">
        <v>1.4433612897008901E-4</v>
      </c>
      <c r="N1672" s="3">
        <v>2.4150436803558502E-3</v>
      </c>
      <c r="O1672" s="3">
        <v>3.8983027625085101E-3</v>
      </c>
      <c r="P1672" s="3">
        <v>3.89078987096969E-3</v>
      </c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</row>
    <row r="1673" spans="1:35" x14ac:dyDescent="0.45">
      <c r="A1673" s="3" t="s">
        <v>72</v>
      </c>
      <c r="B1673" s="3" t="s">
        <v>21</v>
      </c>
      <c r="C1673" s="3" t="s">
        <v>17</v>
      </c>
      <c r="D1673" s="3" t="s">
        <v>10</v>
      </c>
      <c r="E1673" s="3" t="s">
        <v>32</v>
      </c>
      <c r="F1673" s="3">
        <v>0</v>
      </c>
      <c r="G1673" s="3">
        <v>0</v>
      </c>
      <c r="H1673" s="3">
        <v>0</v>
      </c>
      <c r="I1673" s="3">
        <v>4.8438392913177301E-6</v>
      </c>
      <c r="J1673" s="3">
        <v>8.5560142047503399E-5</v>
      </c>
      <c r="K1673" s="3">
        <v>-2.1565540204841199E-9</v>
      </c>
      <c r="L1673" s="3">
        <v>3.6376365812397101E-3</v>
      </c>
      <c r="M1673" s="3">
        <v>3.76223047671123E-3</v>
      </c>
      <c r="N1673" s="3">
        <v>1.6402535636118999E-3</v>
      </c>
      <c r="O1673" s="3">
        <v>2.24028560323356E-4</v>
      </c>
      <c r="P1673" s="3">
        <v>2.5906685268157201E-4</v>
      </c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</row>
    <row r="1674" spans="1:35" x14ac:dyDescent="0.45">
      <c r="A1674" s="3" t="s">
        <v>72</v>
      </c>
      <c r="B1674" s="3" t="s">
        <v>21</v>
      </c>
      <c r="C1674" s="3" t="s">
        <v>17</v>
      </c>
      <c r="D1674" s="3" t="s">
        <v>11</v>
      </c>
      <c r="E1674" s="3" t="s">
        <v>32</v>
      </c>
      <c r="F1674" s="3">
        <v>0</v>
      </c>
      <c r="G1674" s="3">
        <v>0</v>
      </c>
      <c r="H1674" s="3">
        <v>0</v>
      </c>
      <c r="I1674" s="3">
        <v>3.2808718649901701E-5</v>
      </c>
      <c r="J1674" s="3">
        <v>2.5613008773868102E-3</v>
      </c>
      <c r="K1674" s="3">
        <v>3.5341891501110998E-3</v>
      </c>
      <c r="L1674" s="3">
        <v>2.1999140751842799E-4</v>
      </c>
      <c r="M1674" s="3">
        <v>3.7096545049754802E-4</v>
      </c>
      <c r="N1674" s="3">
        <v>5.0698619148128803E-4</v>
      </c>
      <c r="O1674" s="3">
        <v>1.6880842832348701E-3</v>
      </c>
      <c r="P1674" s="3">
        <v>2.1358244207632399E-3</v>
      </c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</row>
    <row r="1675" spans="1:35" x14ac:dyDescent="0.45">
      <c r="A1675" s="3" t="s">
        <v>72</v>
      </c>
      <c r="B1675" s="3" t="s">
        <v>21</v>
      </c>
      <c r="C1675" s="3" t="s">
        <v>17</v>
      </c>
      <c r="D1675" s="3" t="s">
        <v>12</v>
      </c>
      <c r="E1675" s="3" t="s">
        <v>32</v>
      </c>
      <c r="F1675" s="3">
        <v>0</v>
      </c>
      <c r="G1675" s="3">
        <v>0</v>
      </c>
      <c r="H1675" s="3">
        <v>0</v>
      </c>
      <c r="I1675" s="3">
        <v>1.8645805712304E-3</v>
      </c>
      <c r="J1675" s="3">
        <v>1.36436708677505E-3</v>
      </c>
      <c r="K1675" s="3">
        <v>1.31484132305827E-3</v>
      </c>
      <c r="L1675" s="3">
        <v>2.0733339552902099E-3</v>
      </c>
      <c r="M1675" s="3">
        <v>2.34178422278759E-3</v>
      </c>
      <c r="N1675" s="3">
        <v>2.9391822737157599E-3</v>
      </c>
      <c r="O1675" s="3">
        <v>2.9300669352968702E-3</v>
      </c>
      <c r="P1675" s="3">
        <v>3.6800298388379202E-3</v>
      </c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</row>
    <row r="1676" spans="1:35" x14ac:dyDescent="0.45">
      <c r="A1676" s="3" t="s">
        <v>72</v>
      </c>
      <c r="B1676" s="3" t="s">
        <v>21</v>
      </c>
      <c r="C1676" s="3" t="s">
        <v>17</v>
      </c>
      <c r="D1676" s="3" t="s">
        <v>13</v>
      </c>
      <c r="E1676" s="3" t="s">
        <v>32</v>
      </c>
      <c r="F1676" s="3">
        <v>0</v>
      </c>
      <c r="G1676" s="3">
        <v>0</v>
      </c>
      <c r="H1676" s="3">
        <v>0</v>
      </c>
      <c r="I1676" s="3">
        <v>2.5511276612815298E-3</v>
      </c>
      <c r="J1676" s="3">
        <v>2.1892433689706002E-3</v>
      </c>
      <c r="K1676" s="3">
        <v>2.49791411320295E-3</v>
      </c>
      <c r="L1676" s="3">
        <v>3.7022537830515602E-3</v>
      </c>
      <c r="M1676" s="3">
        <v>5.9096208188265196E-3</v>
      </c>
      <c r="N1676" s="3">
        <v>8.1043390300710692E-3</v>
      </c>
      <c r="O1676" s="3">
        <v>1.0127867766120201E-2</v>
      </c>
      <c r="P1676" s="3">
        <v>1.25566119599494E-2</v>
      </c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</row>
    <row r="1677" spans="1:35" x14ac:dyDescent="0.45">
      <c r="A1677" s="3" t="s">
        <v>72</v>
      </c>
      <c r="B1677" s="3" t="s">
        <v>21</v>
      </c>
      <c r="C1677" s="3" t="s">
        <v>17</v>
      </c>
      <c r="D1677" s="3" t="s">
        <v>14</v>
      </c>
      <c r="E1677" s="3" t="s">
        <v>32</v>
      </c>
      <c r="F1677" s="3">
        <v>0</v>
      </c>
      <c r="G1677" s="3">
        <v>5.1262395894781897E-3</v>
      </c>
      <c r="H1677" s="3">
        <v>5.1262395894781897E-3</v>
      </c>
      <c r="I1677" s="3">
        <v>1.6063364813460701E-3</v>
      </c>
      <c r="J1677" s="3">
        <v>2.5022661671362701E-3</v>
      </c>
      <c r="K1677" s="3">
        <v>5.0681268215299396E-3</v>
      </c>
      <c r="L1677" s="3">
        <v>7.6248491381603802E-3</v>
      </c>
      <c r="M1677" s="3">
        <v>1.0006005425432099E-2</v>
      </c>
      <c r="N1677" s="3">
        <v>1.1989067339219599E-2</v>
      </c>
      <c r="O1677" s="3">
        <v>1.30830822677519E-2</v>
      </c>
      <c r="P1677" s="3">
        <v>1.2151493927198999E-2</v>
      </c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</row>
    <row r="1678" spans="1:35" x14ac:dyDescent="0.45">
      <c r="A1678" s="3" t="s">
        <v>72</v>
      </c>
      <c r="B1678" s="3" t="s">
        <v>21</v>
      </c>
      <c r="C1678" s="3" t="s">
        <v>18</v>
      </c>
      <c r="D1678" s="3" t="s">
        <v>7</v>
      </c>
      <c r="E1678" s="3" t="s">
        <v>32</v>
      </c>
      <c r="F1678" s="3">
        <v>1.06585194979358E-3</v>
      </c>
      <c r="G1678" s="3">
        <v>7.0770454134133399E-6</v>
      </c>
      <c r="H1678" s="3">
        <v>7.0770454134133399E-6</v>
      </c>
      <c r="I1678" s="3">
        <v>4.7180302756085604E-6</v>
      </c>
      <c r="J1678" s="3">
        <v>2.3590151378052898E-6</v>
      </c>
      <c r="K1678" s="3">
        <v>1.5113615280475501E-18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</row>
    <row r="1679" spans="1:35" x14ac:dyDescent="0.45">
      <c r="A1679" s="3" t="s">
        <v>72</v>
      </c>
      <c r="B1679" s="3" t="s">
        <v>21</v>
      </c>
      <c r="C1679" s="3" t="s">
        <v>18</v>
      </c>
      <c r="D1679" s="3" t="s">
        <v>9</v>
      </c>
      <c r="E1679" s="3" t="s">
        <v>32</v>
      </c>
      <c r="F1679" s="3">
        <v>0</v>
      </c>
      <c r="G1679" s="3">
        <v>0</v>
      </c>
      <c r="H1679" s="3">
        <v>0</v>
      </c>
      <c r="I1679" s="3">
        <v>1.01643953670516E-18</v>
      </c>
      <c r="J1679" s="3">
        <v>4.9000855998661304E-19</v>
      </c>
      <c r="K1679" s="3">
        <v>-1.0075743520316999E-18</v>
      </c>
      <c r="L1679" s="3">
        <v>0</v>
      </c>
      <c r="M1679" s="3">
        <v>0</v>
      </c>
      <c r="N1679" s="3">
        <v>1.0075743520316999E-18</v>
      </c>
      <c r="O1679" s="3">
        <v>0</v>
      </c>
      <c r="P1679" s="3">
        <v>0</v>
      </c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</row>
    <row r="1680" spans="1:35" x14ac:dyDescent="0.45">
      <c r="A1680" s="3" t="s">
        <v>72</v>
      </c>
      <c r="B1680" s="3" t="s">
        <v>21</v>
      </c>
      <c r="C1680" s="3" t="s">
        <v>18</v>
      </c>
      <c r="D1680" s="3" t="s">
        <v>10</v>
      </c>
      <c r="E1680" s="3" t="s">
        <v>32</v>
      </c>
      <c r="F1680" s="3">
        <v>0</v>
      </c>
      <c r="G1680" s="3">
        <v>0</v>
      </c>
      <c r="H1680" s="3">
        <v>0</v>
      </c>
      <c r="I1680" s="3">
        <v>4.9043207646023999E-19</v>
      </c>
      <c r="J1680" s="3">
        <v>-9.9822832833919295E-19</v>
      </c>
      <c r="K1680" s="3">
        <v>-5.0378717601584996E-19</v>
      </c>
      <c r="L1680" s="3">
        <v>0</v>
      </c>
      <c r="M1680" s="3">
        <v>3.5265102321109501E-18</v>
      </c>
      <c r="N1680" s="3">
        <v>1.0075743520317099E-18</v>
      </c>
      <c r="O1680" s="3">
        <v>2.5189358800792598E-18</v>
      </c>
      <c r="P1680" s="3">
        <v>0</v>
      </c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</row>
    <row r="1681" spans="1:35" x14ac:dyDescent="0.45">
      <c r="A1681" s="3" t="s">
        <v>72</v>
      </c>
      <c r="B1681" s="3" t="s">
        <v>21</v>
      </c>
      <c r="C1681" s="3" t="s">
        <v>18</v>
      </c>
      <c r="D1681" s="3" t="s">
        <v>11</v>
      </c>
      <c r="E1681" s="3" t="s">
        <v>32</v>
      </c>
      <c r="F1681" s="3">
        <v>0</v>
      </c>
      <c r="G1681" s="3">
        <v>-1.5068716131653999E-18</v>
      </c>
      <c r="H1681" s="3">
        <v>-1.5068716131653999E-18</v>
      </c>
      <c r="I1681" s="3">
        <v>-4.9043207646023999E-19</v>
      </c>
      <c r="J1681" s="3">
        <v>-5.0821976835258001E-19</v>
      </c>
      <c r="K1681" s="3">
        <v>0</v>
      </c>
      <c r="L1681" s="3">
        <v>1.0075743520316999E-18</v>
      </c>
      <c r="M1681" s="3">
        <v>-1.5113615280475401E-18</v>
      </c>
      <c r="N1681" s="3">
        <v>-1.0075743520317099E-18</v>
      </c>
      <c r="O1681" s="3">
        <v>-2.5189358800792598E-18</v>
      </c>
      <c r="P1681" s="3">
        <v>6.5492332882060599E-18</v>
      </c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</row>
    <row r="1682" spans="1:35" x14ac:dyDescent="0.45">
      <c r="A1682" s="3" t="s">
        <v>72</v>
      </c>
      <c r="B1682" s="3" t="s">
        <v>21</v>
      </c>
      <c r="C1682" s="3" t="s">
        <v>18</v>
      </c>
      <c r="D1682" s="3" t="s">
        <v>12</v>
      </c>
      <c r="E1682" s="3" t="s">
        <v>32</v>
      </c>
      <c r="F1682" s="3">
        <v>0</v>
      </c>
      <c r="G1682" s="3">
        <v>0</v>
      </c>
      <c r="H1682" s="3">
        <v>0</v>
      </c>
      <c r="I1682" s="3">
        <v>-5.0821976835258001E-19</v>
      </c>
      <c r="J1682" s="3">
        <v>-3.5211159617361304E-18</v>
      </c>
      <c r="K1682" s="3">
        <v>0</v>
      </c>
      <c r="L1682" s="3">
        <v>-1.0075743520316999E-18</v>
      </c>
      <c r="M1682" s="3">
        <v>-2.0151487040634099E-18</v>
      </c>
      <c r="N1682" s="3">
        <v>0</v>
      </c>
      <c r="O1682" s="3">
        <v>0</v>
      </c>
      <c r="P1682" s="3">
        <v>-6.5492332882060599E-18</v>
      </c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</row>
    <row r="1683" spans="1:35" x14ac:dyDescent="0.45">
      <c r="A1683" s="3" t="s">
        <v>72</v>
      </c>
      <c r="B1683" s="3" t="s">
        <v>21</v>
      </c>
      <c r="C1683" s="3" t="s">
        <v>18</v>
      </c>
      <c r="D1683" s="3" t="s">
        <v>13</v>
      </c>
      <c r="E1683" s="3" t="s">
        <v>32</v>
      </c>
      <c r="F1683" s="3">
        <v>0</v>
      </c>
      <c r="G1683" s="3">
        <v>-5.0821976835258001E-19</v>
      </c>
      <c r="H1683" s="3">
        <v>-5.0821976835258001E-19</v>
      </c>
      <c r="I1683" s="3">
        <v>2.0150913815179801E-18</v>
      </c>
      <c r="J1683" s="3">
        <v>1.1071991170034601E-17</v>
      </c>
      <c r="K1683" s="3">
        <v>0</v>
      </c>
      <c r="L1683" s="3">
        <v>1.5617402456491401E-17</v>
      </c>
      <c r="M1683" s="3">
        <v>8.0605948162536194E-18</v>
      </c>
      <c r="N1683" s="3">
        <v>-1.0075743520316999E-18</v>
      </c>
      <c r="O1683" s="3">
        <v>2.0151487040634099E-18</v>
      </c>
      <c r="P1683" s="3">
        <v>5.1386291953616803E-17</v>
      </c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</row>
    <row r="1684" spans="1:35" x14ac:dyDescent="0.45">
      <c r="A1684" s="3" t="s">
        <v>72</v>
      </c>
      <c r="B1684" s="3" t="s">
        <v>21</v>
      </c>
      <c r="C1684" s="3" t="s">
        <v>18</v>
      </c>
      <c r="D1684" s="3" t="s">
        <v>14</v>
      </c>
      <c r="E1684" s="3" t="s">
        <v>32</v>
      </c>
      <c r="F1684" s="3">
        <v>0</v>
      </c>
      <c r="G1684" s="3">
        <v>-1.01643953670516E-18</v>
      </c>
      <c r="H1684" s="3">
        <v>-1.01643953670516E-18</v>
      </c>
      <c r="I1684" s="3">
        <v>-2.0150913815179801E-18</v>
      </c>
      <c r="J1684" s="3">
        <v>-9.0573233049902304E-18</v>
      </c>
      <c r="K1684" s="3">
        <v>0</v>
      </c>
      <c r="L1684" s="3">
        <v>3.0227230560951102E-18</v>
      </c>
      <c r="M1684" s="3">
        <v>-5.0378717601585196E-18</v>
      </c>
      <c r="N1684" s="3">
        <v>0</v>
      </c>
      <c r="O1684" s="3">
        <v>2.0151487040633898E-18</v>
      </c>
      <c r="P1684" s="3">
        <v>-4.5844633017442403E-17</v>
      </c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</row>
    <row r="1685" spans="1:35" x14ac:dyDescent="0.45">
      <c r="A1685" s="3" t="s">
        <v>72</v>
      </c>
      <c r="B1685" s="3" t="s">
        <v>21</v>
      </c>
      <c r="C1685" s="3" t="s">
        <v>19</v>
      </c>
      <c r="D1685" s="3" t="s">
        <v>12</v>
      </c>
      <c r="E1685" s="3" t="s">
        <v>32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4.96199434193225E-4</v>
      </c>
      <c r="N1685" s="3">
        <v>1.6392042488400701E-3</v>
      </c>
      <c r="O1685" s="3">
        <v>4.2705455818446399E-3</v>
      </c>
      <c r="P1685" s="3">
        <v>5.6494918930914302E-3</v>
      </c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</row>
    <row r="1686" spans="1:35" x14ac:dyDescent="0.45">
      <c r="A1686" s="3" t="s">
        <v>72</v>
      </c>
      <c r="B1686" s="3" t="s">
        <v>21</v>
      </c>
      <c r="C1686" s="3" t="s">
        <v>19</v>
      </c>
      <c r="D1686" s="3" t="s">
        <v>13</v>
      </c>
      <c r="E1686" s="3" t="s">
        <v>32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1.41095337284244E-3</v>
      </c>
      <c r="L1686" s="3">
        <v>4.6841472590630597E-3</v>
      </c>
      <c r="M1686" s="3">
        <v>9.7193764120959408E-3</v>
      </c>
      <c r="N1686" s="3">
        <v>1.54713766869802E-2</v>
      </c>
      <c r="O1686" s="3">
        <v>2.0594077753091699E-2</v>
      </c>
      <c r="P1686" s="3">
        <v>2.6806488851470901E-2</v>
      </c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</row>
    <row r="1687" spans="1:35" x14ac:dyDescent="0.45">
      <c r="A1687" s="3" t="s">
        <v>72</v>
      </c>
      <c r="B1687" s="3" t="s">
        <v>21</v>
      </c>
      <c r="C1687" s="3" t="s">
        <v>19</v>
      </c>
      <c r="D1687" s="3" t="s">
        <v>14</v>
      </c>
      <c r="E1687" s="3" t="s">
        <v>32</v>
      </c>
      <c r="F1687" s="3">
        <v>0</v>
      </c>
      <c r="G1687" s="3">
        <v>0</v>
      </c>
      <c r="H1687" s="3">
        <v>0</v>
      </c>
      <c r="I1687" s="3">
        <v>0</v>
      </c>
      <c r="J1687" s="3">
        <v>3.1673809283291202E-3</v>
      </c>
      <c r="K1687" s="3">
        <v>8.7070528108864498E-3</v>
      </c>
      <c r="L1687" s="3">
        <v>1.7301395074763099E-2</v>
      </c>
      <c r="M1687" s="3">
        <v>2.4154392599750399E-2</v>
      </c>
      <c r="N1687" s="3">
        <v>2.8890802959784499E-2</v>
      </c>
      <c r="O1687" s="3">
        <v>3.0984962197942299E-2</v>
      </c>
      <c r="P1687" s="3">
        <v>2.8760876021471898E-2</v>
      </c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</row>
    <row r="1688" spans="1:35" x14ac:dyDescent="0.45">
      <c r="A1688" s="3" t="s">
        <v>73</v>
      </c>
      <c r="B1688" s="3" t="s">
        <v>22</v>
      </c>
      <c r="C1688" s="3" t="s">
        <v>6</v>
      </c>
      <c r="D1688" s="3" t="s">
        <v>10</v>
      </c>
      <c r="E1688" s="3" t="s">
        <v>32</v>
      </c>
      <c r="F1688" s="3">
        <v>0</v>
      </c>
      <c r="G1688" s="3">
        <v>0</v>
      </c>
      <c r="H1688" s="3">
        <v>0</v>
      </c>
      <c r="I1688" s="3">
        <v>0</v>
      </c>
      <c r="J1688" s="3">
        <v>0</v>
      </c>
      <c r="K1688" s="3">
        <v>0</v>
      </c>
      <c r="L1688" s="3">
        <v>0</v>
      </c>
      <c r="M1688" s="3">
        <v>3.5089187298818998E-2</v>
      </c>
      <c r="N1688" s="3">
        <v>0.122968271200964</v>
      </c>
      <c r="O1688" s="3">
        <v>0.26388468725203501</v>
      </c>
      <c r="P1688" s="3">
        <v>0.39284635492193398</v>
      </c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</row>
    <row r="1689" spans="1:35" x14ac:dyDescent="0.45">
      <c r="A1689" s="3" t="s">
        <v>73</v>
      </c>
      <c r="B1689" s="3" t="s">
        <v>22</v>
      </c>
      <c r="C1689" s="3" t="s">
        <v>6</v>
      </c>
      <c r="D1689" s="3" t="s">
        <v>11</v>
      </c>
      <c r="E1689" s="3" t="s">
        <v>32</v>
      </c>
      <c r="F1689" s="3">
        <v>0</v>
      </c>
      <c r="G1689" s="3">
        <v>0</v>
      </c>
      <c r="H1689" s="3">
        <v>0</v>
      </c>
      <c r="I1689" s="3">
        <v>0</v>
      </c>
      <c r="J1689" s="3">
        <v>2.9503477815119399E-4</v>
      </c>
      <c r="K1689" s="3">
        <v>4.3437628661126299E-2</v>
      </c>
      <c r="L1689" s="3">
        <v>0.17615252209325999</v>
      </c>
      <c r="M1689" s="3">
        <v>0.328231392220389</v>
      </c>
      <c r="N1689" s="3">
        <v>0.42139354690322001</v>
      </c>
      <c r="O1689" s="3">
        <v>0.42410202657294399</v>
      </c>
      <c r="P1689" s="3">
        <v>0.35982166525683501</v>
      </c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</row>
    <row r="1690" spans="1:35" x14ac:dyDescent="0.45">
      <c r="A1690" s="3" t="s">
        <v>73</v>
      </c>
      <c r="B1690" s="3" t="s">
        <v>22</v>
      </c>
      <c r="C1690" s="3" t="s">
        <v>6</v>
      </c>
      <c r="D1690" s="3" t="s">
        <v>12</v>
      </c>
      <c r="E1690" s="3" t="s">
        <v>32</v>
      </c>
      <c r="F1690" s="3">
        <v>0</v>
      </c>
      <c r="G1690" s="3">
        <v>0</v>
      </c>
      <c r="H1690" s="3">
        <v>0</v>
      </c>
      <c r="I1690" s="3">
        <v>0</v>
      </c>
      <c r="J1690" s="3">
        <v>9.1104446794652502E-2</v>
      </c>
      <c r="K1690" s="3">
        <v>0.270048616910677</v>
      </c>
      <c r="L1690" s="3">
        <v>0.33596894846035802</v>
      </c>
      <c r="M1690" s="3">
        <v>0.30737499787745098</v>
      </c>
      <c r="N1690" s="3">
        <v>0.250376793723317</v>
      </c>
      <c r="O1690" s="3">
        <v>0.18019820031239001</v>
      </c>
      <c r="P1690" s="3">
        <v>0.16209414864025701</v>
      </c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</row>
    <row r="1691" spans="1:35" x14ac:dyDescent="0.45">
      <c r="A1691" s="3" t="s">
        <v>73</v>
      </c>
      <c r="B1691" s="3" t="s">
        <v>22</v>
      </c>
      <c r="C1691" s="3" t="s">
        <v>6</v>
      </c>
      <c r="D1691" s="3" t="s">
        <v>13</v>
      </c>
      <c r="E1691" s="3" t="s">
        <v>32</v>
      </c>
      <c r="F1691" s="3">
        <v>0</v>
      </c>
      <c r="G1691" s="3">
        <v>0</v>
      </c>
      <c r="H1691" s="3">
        <v>0</v>
      </c>
      <c r="I1691" s="3">
        <v>0.232534492735715</v>
      </c>
      <c r="J1691" s="3">
        <v>0.36737691922705501</v>
      </c>
      <c r="K1691" s="3">
        <v>0.32067178293595999</v>
      </c>
      <c r="L1691" s="3">
        <v>0.27455685958564302</v>
      </c>
      <c r="M1691" s="3">
        <v>0.23972911567698199</v>
      </c>
      <c r="N1691" s="3">
        <v>0.20008675508576201</v>
      </c>
      <c r="O1691" s="3">
        <v>0.21683034981632701</v>
      </c>
      <c r="P1691" s="3">
        <v>0.236656206070785</v>
      </c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</row>
    <row r="1692" spans="1:35" x14ac:dyDescent="0.45">
      <c r="A1692" s="3" t="s">
        <v>73</v>
      </c>
      <c r="B1692" s="3" t="s">
        <v>22</v>
      </c>
      <c r="C1692" s="3" t="s">
        <v>6</v>
      </c>
      <c r="D1692" s="3" t="s">
        <v>14</v>
      </c>
      <c r="E1692" s="3" t="s">
        <v>32</v>
      </c>
      <c r="F1692" s="3">
        <v>0</v>
      </c>
      <c r="G1692" s="3">
        <v>4.66901381721214E-2</v>
      </c>
      <c r="H1692" s="3">
        <v>4.66901381721214E-2</v>
      </c>
      <c r="I1692" s="3">
        <v>6.5725538170914394E-2</v>
      </c>
      <c r="J1692" s="3">
        <v>5.8373158557483901E-2</v>
      </c>
      <c r="K1692" s="3">
        <v>5.58549373754023E-2</v>
      </c>
      <c r="L1692" s="3">
        <v>8.84739231016127E-2</v>
      </c>
      <c r="M1692" s="3">
        <v>0.10880074160602</v>
      </c>
      <c r="N1692" s="3">
        <v>0.12708047367533101</v>
      </c>
      <c r="O1692" s="3">
        <v>0.123196614028976</v>
      </c>
      <c r="P1692" s="3">
        <v>0.118990277460832</v>
      </c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</row>
    <row r="1693" spans="1:35" x14ac:dyDescent="0.45">
      <c r="A1693" s="3" t="s">
        <v>73</v>
      </c>
      <c r="B1693" s="3" t="s">
        <v>22</v>
      </c>
      <c r="C1693" s="3" t="s">
        <v>15</v>
      </c>
      <c r="D1693" s="3" t="s">
        <v>7</v>
      </c>
      <c r="E1693" s="3" t="s">
        <v>32</v>
      </c>
      <c r="F1693" s="3">
        <v>3.0523482699647098E-2</v>
      </c>
      <c r="G1693" s="3">
        <v>3.7010006107028599E-2</v>
      </c>
      <c r="H1693" s="3">
        <v>3.7010006107028599E-2</v>
      </c>
      <c r="I1693" s="3">
        <v>5.0189736575016797E-2</v>
      </c>
      <c r="J1693" s="3">
        <v>6.3726160061287396E-2</v>
      </c>
      <c r="K1693" s="3">
        <v>6.6026670952587699E-2</v>
      </c>
      <c r="L1693" s="3">
        <v>7.0987608839298694E-2</v>
      </c>
      <c r="M1693" s="3">
        <v>6.6137589424400095E-2</v>
      </c>
      <c r="N1693" s="3">
        <v>7.1369483417037596E-2</v>
      </c>
      <c r="O1693" s="3">
        <v>7.1610858875136393E-2</v>
      </c>
      <c r="P1693" s="3">
        <v>7.1364995979368295E-2</v>
      </c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</row>
    <row r="1694" spans="1:35" x14ac:dyDescent="0.45">
      <c r="A1694" s="3" t="s">
        <v>73</v>
      </c>
      <c r="B1694" s="3" t="s">
        <v>22</v>
      </c>
      <c r="C1694" s="3" t="s">
        <v>15</v>
      </c>
      <c r="D1694" s="3" t="s">
        <v>9</v>
      </c>
      <c r="E1694" s="3" t="s">
        <v>32</v>
      </c>
      <c r="F1694" s="3">
        <v>0</v>
      </c>
      <c r="G1694" s="3">
        <v>4.3031267485603798E-2</v>
      </c>
      <c r="H1694" s="3">
        <v>4.3031267485603798E-2</v>
      </c>
      <c r="I1694" s="3">
        <v>4.0634950119768802E-2</v>
      </c>
      <c r="J1694" s="3">
        <v>3.3005998937310703E-2</v>
      </c>
      <c r="K1694" s="3">
        <v>3.5416340143808199E-2</v>
      </c>
      <c r="L1694" s="3">
        <v>3.17917263984831E-2</v>
      </c>
      <c r="M1694" s="3">
        <v>0.107652877695278</v>
      </c>
      <c r="N1694" s="3">
        <v>0.10032560360565899</v>
      </c>
      <c r="O1694" s="3">
        <v>9.5749140659041193E-2</v>
      </c>
      <c r="P1694" s="3">
        <v>9.1455244270542302E-2</v>
      </c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</row>
    <row r="1695" spans="1:35" x14ac:dyDescent="0.45">
      <c r="A1695" s="3" t="s">
        <v>73</v>
      </c>
      <c r="B1695" s="3" t="s">
        <v>22</v>
      </c>
      <c r="C1695" s="3" t="s">
        <v>15</v>
      </c>
      <c r="D1695" s="3" t="s">
        <v>10</v>
      </c>
      <c r="E1695" s="3" t="s">
        <v>32</v>
      </c>
      <c r="F1695" s="3">
        <v>0</v>
      </c>
      <c r="G1695" s="3">
        <v>-3.1884760817961499E-4</v>
      </c>
      <c r="H1695" s="3">
        <v>-3.1884760817961499E-4</v>
      </c>
      <c r="I1695" s="3">
        <v>6.3228264149163495E-4</v>
      </c>
      <c r="J1695" s="3">
        <v>-8.6081523732228803E-4</v>
      </c>
      <c r="K1695" s="3">
        <v>7.2167522547822896E-2</v>
      </c>
      <c r="L1695" s="3">
        <v>7.2118674979069305E-2</v>
      </c>
      <c r="M1695" s="3">
        <v>1.31245432212676E-3</v>
      </c>
      <c r="N1695" s="3">
        <v>1.38661945460844E-3</v>
      </c>
      <c r="O1695" s="3">
        <v>2.7214354017660301E-3</v>
      </c>
      <c r="P1695" s="3">
        <v>4.1797279349651004E-3</v>
      </c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</row>
    <row r="1696" spans="1:35" x14ac:dyDescent="0.45">
      <c r="A1696" s="3" t="s">
        <v>73</v>
      </c>
      <c r="B1696" s="3" t="s">
        <v>22</v>
      </c>
      <c r="C1696" s="3" t="s">
        <v>15</v>
      </c>
      <c r="D1696" s="3" t="s">
        <v>11</v>
      </c>
      <c r="E1696" s="3" t="s">
        <v>32</v>
      </c>
      <c r="F1696" s="3">
        <v>0</v>
      </c>
      <c r="G1696" s="3">
        <v>2.35870513225497E-3</v>
      </c>
      <c r="H1696" s="3">
        <v>2.35870513225497E-3</v>
      </c>
      <c r="I1696" s="3">
        <v>2.18188950794093E-3</v>
      </c>
      <c r="J1696" s="3">
        <v>7.5171875675268798E-2</v>
      </c>
      <c r="K1696" s="3">
        <v>1.8049308642948099E-3</v>
      </c>
      <c r="L1696" s="3">
        <v>2.1324057713881799E-3</v>
      </c>
      <c r="M1696" s="3">
        <v>1.75906606849385E-3</v>
      </c>
      <c r="N1696" s="3">
        <v>4.3652478578147203E-3</v>
      </c>
      <c r="O1696" s="3">
        <v>4.1809874127094202E-3</v>
      </c>
      <c r="P1696" s="3">
        <v>-1.11207255926574E-3</v>
      </c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</row>
    <row r="1697" spans="1:35" x14ac:dyDescent="0.45">
      <c r="A1697" s="3" t="s">
        <v>73</v>
      </c>
      <c r="B1697" s="3" t="s">
        <v>22</v>
      </c>
      <c r="C1697" s="3" t="s">
        <v>15</v>
      </c>
      <c r="D1697" s="3" t="s">
        <v>12</v>
      </c>
      <c r="E1697" s="3" t="s">
        <v>32</v>
      </c>
      <c r="F1697" s="3">
        <v>0</v>
      </c>
      <c r="G1697" s="3">
        <v>-9.8667563632816291E-4</v>
      </c>
      <c r="H1697" s="3">
        <v>-9.8667563632816291E-4</v>
      </c>
      <c r="I1697" s="3">
        <v>6.7145341274220602E-2</v>
      </c>
      <c r="J1697" s="3">
        <v>1.7441960447436801E-3</v>
      </c>
      <c r="K1697" s="3">
        <v>5.6039363781457399E-3</v>
      </c>
      <c r="L1697" s="3">
        <v>9.3678463980352306E-3</v>
      </c>
      <c r="M1697" s="3">
        <v>1.12531996175987E-2</v>
      </c>
      <c r="N1697" s="3">
        <v>7.8155430211531707E-3</v>
      </c>
      <c r="O1697" s="3">
        <v>4.2768047247273601E-3</v>
      </c>
      <c r="P1697" s="3">
        <v>8.1776625621937703E-4</v>
      </c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</row>
    <row r="1698" spans="1:35" x14ac:dyDescent="0.45">
      <c r="A1698" s="3" t="s">
        <v>73</v>
      </c>
      <c r="B1698" s="3" t="s">
        <v>22</v>
      </c>
      <c r="C1698" s="3" t="s">
        <v>15</v>
      </c>
      <c r="D1698" s="3" t="s">
        <v>13</v>
      </c>
      <c r="E1698" s="3" t="s">
        <v>32</v>
      </c>
      <c r="F1698" s="3">
        <v>0</v>
      </c>
      <c r="G1698" s="3">
        <v>5.5830155918775597E-2</v>
      </c>
      <c r="H1698" s="3">
        <v>5.5830155918775597E-2</v>
      </c>
      <c r="I1698" s="3">
        <v>7.2153886959979699E-3</v>
      </c>
      <c r="J1698" s="3">
        <v>1.14262512336004E-2</v>
      </c>
      <c r="K1698" s="3">
        <v>7.6699366115579896E-3</v>
      </c>
      <c r="L1698" s="3">
        <v>1.64313140107927E-3</v>
      </c>
      <c r="M1698" s="3">
        <v>-1.5934774107676001E-3</v>
      </c>
      <c r="N1698" s="3">
        <v>-2.8514627181965299E-3</v>
      </c>
      <c r="O1698" s="3">
        <v>-6.5348355941269301E-3</v>
      </c>
      <c r="P1698" s="3">
        <v>-5.6657104569211598E-3</v>
      </c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</row>
    <row r="1699" spans="1:35" x14ac:dyDescent="0.45">
      <c r="A1699" s="3" t="s">
        <v>73</v>
      </c>
      <c r="B1699" s="3" t="s">
        <v>22</v>
      </c>
      <c r="C1699" s="3" t="s">
        <v>15</v>
      </c>
      <c r="D1699" s="3" t="s">
        <v>14</v>
      </c>
      <c r="E1699" s="3" t="s">
        <v>32</v>
      </c>
      <c r="F1699" s="3">
        <v>0</v>
      </c>
      <c r="G1699" s="3">
        <v>4.9930733204785497E-3</v>
      </c>
      <c r="H1699" s="3">
        <v>4.9930733204785497E-3</v>
      </c>
      <c r="I1699" s="3">
        <v>9.6660717034539895E-3</v>
      </c>
      <c r="J1699" s="3">
        <v>2.2103300864444999E-3</v>
      </c>
      <c r="K1699" s="3">
        <v>1.3703431258180201E-4</v>
      </c>
      <c r="L1699" s="3">
        <v>-1.0766263301587901E-3</v>
      </c>
      <c r="M1699" s="3">
        <v>-3.19753705851944E-3</v>
      </c>
      <c r="N1699" s="3">
        <v>-6.64308081639062E-3</v>
      </c>
      <c r="O1699" s="3">
        <v>-8.6670271606136603E-3</v>
      </c>
      <c r="P1699" s="3">
        <v>-9.1478522671525307E-3</v>
      </c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</row>
    <row r="1700" spans="1:35" x14ac:dyDescent="0.45">
      <c r="A1700" s="3" t="s">
        <v>73</v>
      </c>
      <c r="B1700" s="3" t="s">
        <v>22</v>
      </c>
      <c r="C1700" s="3" t="s">
        <v>16</v>
      </c>
      <c r="D1700" s="3" t="s">
        <v>7</v>
      </c>
      <c r="E1700" s="3" t="s">
        <v>32</v>
      </c>
      <c r="F1700" s="3">
        <v>0.14597150899084799</v>
      </c>
      <c r="G1700" s="3">
        <v>9.8617003680116902E-2</v>
      </c>
      <c r="H1700" s="3">
        <v>9.8617003680116902E-2</v>
      </c>
      <c r="I1700" s="3">
        <v>4.8976568154977501E-2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</row>
    <row r="1701" spans="1:35" x14ac:dyDescent="0.45">
      <c r="A1701" s="3" t="s">
        <v>73</v>
      </c>
      <c r="B1701" s="3" t="s">
        <v>22</v>
      </c>
      <c r="C1701" s="3" t="s">
        <v>16</v>
      </c>
      <c r="D1701" s="3" t="s">
        <v>9</v>
      </c>
      <c r="E1701" s="3" t="s">
        <v>32</v>
      </c>
      <c r="F1701" s="3">
        <v>0</v>
      </c>
      <c r="G1701" s="3">
        <v>0</v>
      </c>
      <c r="H1701" s="3">
        <v>0</v>
      </c>
      <c r="I1701" s="3">
        <v>-6.7688232102125498E-6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</row>
    <row r="1702" spans="1:35" x14ac:dyDescent="0.45">
      <c r="A1702" s="3" t="s">
        <v>73</v>
      </c>
      <c r="B1702" s="3" t="s">
        <v>22</v>
      </c>
      <c r="C1702" s="3" t="s">
        <v>16</v>
      </c>
      <c r="D1702" s="3" t="s">
        <v>10</v>
      </c>
      <c r="E1702" s="3" t="s">
        <v>32</v>
      </c>
      <c r="F1702" s="3">
        <v>0</v>
      </c>
      <c r="G1702" s="3">
        <v>0</v>
      </c>
      <c r="H1702" s="3">
        <v>0</v>
      </c>
      <c r="I1702" s="3">
        <v>-8.3266726846886704E-17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</row>
    <row r="1703" spans="1:35" x14ac:dyDescent="0.45">
      <c r="A1703" s="3" t="s">
        <v>73</v>
      </c>
      <c r="B1703" s="3" t="s">
        <v>22</v>
      </c>
      <c r="C1703" s="3" t="s">
        <v>16</v>
      </c>
      <c r="D1703" s="3" t="s">
        <v>11</v>
      </c>
      <c r="E1703" s="3" t="s">
        <v>32</v>
      </c>
      <c r="F1703" s="3">
        <v>0</v>
      </c>
      <c r="G1703" s="3">
        <v>-3.0934060800638699E-5</v>
      </c>
      <c r="H1703" s="3">
        <v>-3.0934060800638699E-5</v>
      </c>
      <c r="I1703" s="3">
        <v>1.4224163698353701E-6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</row>
    <row r="1704" spans="1:35" x14ac:dyDescent="0.45">
      <c r="A1704" s="3" t="s">
        <v>73</v>
      </c>
      <c r="B1704" s="3" t="s">
        <v>22</v>
      </c>
      <c r="C1704" s="3" t="s">
        <v>16</v>
      </c>
      <c r="D1704" s="3" t="s">
        <v>12</v>
      </c>
      <c r="E1704" s="3" t="s">
        <v>32</v>
      </c>
      <c r="F1704" s="3">
        <v>0</v>
      </c>
      <c r="G1704" s="3">
        <v>-5.5358001434108197E-5</v>
      </c>
      <c r="H1704" s="3">
        <v>-5.5358001434108197E-5</v>
      </c>
      <c r="I1704" s="3">
        <v>1.9328460978823599E-6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</row>
    <row r="1705" spans="1:35" x14ac:dyDescent="0.45">
      <c r="A1705" s="3" t="s">
        <v>73</v>
      </c>
      <c r="B1705" s="3" t="s">
        <v>22</v>
      </c>
      <c r="C1705" s="3" t="s">
        <v>16</v>
      </c>
      <c r="D1705" s="3" t="s">
        <v>13</v>
      </c>
      <c r="E1705" s="3" t="s">
        <v>32</v>
      </c>
      <c r="F1705" s="3">
        <v>0</v>
      </c>
      <c r="G1705" s="3">
        <v>-2.4986105073580801E-4</v>
      </c>
      <c r="H1705" s="3">
        <v>-2.4986105073580801E-4</v>
      </c>
      <c r="I1705" s="3">
        <v>9.1271610236614404E-4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</row>
    <row r="1706" spans="1:35" x14ac:dyDescent="0.45">
      <c r="A1706" s="3" t="s">
        <v>73</v>
      </c>
      <c r="B1706" s="3" t="s">
        <v>22</v>
      </c>
      <c r="C1706" s="3" t="s">
        <v>16</v>
      </c>
      <c r="D1706" s="3" t="s">
        <v>14</v>
      </c>
      <c r="E1706" s="3" t="s">
        <v>32</v>
      </c>
      <c r="F1706" s="3">
        <v>0</v>
      </c>
      <c r="G1706" s="3">
        <v>4.2123000766089201E-3</v>
      </c>
      <c r="H1706" s="3">
        <v>4.2123000766089201E-3</v>
      </c>
      <c r="I1706" s="3">
        <v>-1.3191385729386499E-3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</row>
    <row r="1707" spans="1:35" x14ac:dyDescent="0.45">
      <c r="A1707" s="3" t="s">
        <v>73</v>
      </c>
      <c r="B1707" s="3" t="s">
        <v>22</v>
      </c>
      <c r="C1707" s="3" t="s">
        <v>17</v>
      </c>
      <c r="D1707" s="3" t="s">
        <v>10</v>
      </c>
      <c r="E1707" s="3" t="s">
        <v>32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5.8365566191144802E-9</v>
      </c>
      <c r="L1707" s="3">
        <v>1.91225658992369E-8</v>
      </c>
      <c r="M1707" s="3">
        <v>1.42090468459081E-2</v>
      </c>
      <c r="N1707" s="3">
        <v>9.6396985184649703E-2</v>
      </c>
      <c r="O1707" s="3">
        <v>9.94765994707347E-2</v>
      </c>
      <c r="P1707" s="3">
        <v>0.10568166592622</v>
      </c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</row>
    <row r="1708" spans="1:35" x14ac:dyDescent="0.45">
      <c r="A1708" s="3" t="s">
        <v>73</v>
      </c>
      <c r="B1708" s="3" t="s">
        <v>22</v>
      </c>
      <c r="C1708" s="3" t="s">
        <v>17</v>
      </c>
      <c r="D1708" s="3" t="s">
        <v>11</v>
      </c>
      <c r="E1708" s="3" t="s">
        <v>32</v>
      </c>
      <c r="F1708" s="3">
        <v>0</v>
      </c>
      <c r="G1708" s="3">
        <v>0</v>
      </c>
      <c r="H1708" s="3">
        <v>0</v>
      </c>
      <c r="I1708" s="3">
        <v>0</v>
      </c>
      <c r="J1708" s="3">
        <v>1.9122578282551801E-8</v>
      </c>
      <c r="K1708" s="3">
        <v>2.0062865802450602E-2</v>
      </c>
      <c r="L1708" s="3">
        <v>9.8321480155994706E-2</v>
      </c>
      <c r="M1708" s="3">
        <v>9.7011293780610103E-2</v>
      </c>
      <c r="N1708" s="3">
        <v>1.60788394232349E-2</v>
      </c>
      <c r="O1708" s="3">
        <v>1.86891862462467E-2</v>
      </c>
      <c r="P1708" s="3">
        <v>2.02191043992162E-2</v>
      </c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</row>
    <row r="1709" spans="1:35" x14ac:dyDescent="0.45">
      <c r="A1709" s="3" t="s">
        <v>73</v>
      </c>
      <c r="B1709" s="3" t="s">
        <v>22</v>
      </c>
      <c r="C1709" s="3" t="s">
        <v>17</v>
      </c>
      <c r="D1709" s="3" t="s">
        <v>12</v>
      </c>
      <c r="E1709" s="3" t="s">
        <v>32</v>
      </c>
      <c r="F1709" s="3">
        <v>0</v>
      </c>
      <c r="G1709" s="3">
        <v>0</v>
      </c>
      <c r="H1709" s="3">
        <v>0</v>
      </c>
      <c r="I1709" s="3">
        <v>0</v>
      </c>
      <c r="J1709" s="3">
        <v>9.5888205395591994E-2</v>
      </c>
      <c r="K1709" s="3">
        <v>9.1919089600773302E-2</v>
      </c>
      <c r="L1709" s="3">
        <v>1.9472526696683399E-2</v>
      </c>
      <c r="M1709" s="3">
        <v>1.6684322921922502E-2</v>
      </c>
      <c r="N1709" s="3">
        <v>1.5805607954784501E-2</v>
      </c>
      <c r="O1709" s="3">
        <v>1.03168080400896E-2</v>
      </c>
      <c r="P1709" s="3">
        <v>2.6789533714691701E-3</v>
      </c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</row>
    <row r="1710" spans="1:35" x14ac:dyDescent="0.45">
      <c r="A1710" s="3" t="s">
        <v>73</v>
      </c>
      <c r="B1710" s="3" t="s">
        <v>22</v>
      </c>
      <c r="C1710" s="3" t="s">
        <v>17</v>
      </c>
      <c r="D1710" s="3" t="s">
        <v>13</v>
      </c>
      <c r="E1710" s="3" t="s">
        <v>32</v>
      </c>
      <c r="F1710" s="3">
        <v>0</v>
      </c>
      <c r="G1710" s="3">
        <v>0</v>
      </c>
      <c r="H1710" s="3">
        <v>0</v>
      </c>
      <c r="I1710" s="3">
        <v>0.10230462747235999</v>
      </c>
      <c r="J1710" s="3">
        <v>3.1486163174412503E-2</v>
      </c>
      <c r="K1710" s="3">
        <v>1.6547562941563999E-2</v>
      </c>
      <c r="L1710" s="3">
        <v>1.0906741649453801E-2</v>
      </c>
      <c r="M1710" s="3">
        <v>8.20367912237691E-4</v>
      </c>
      <c r="N1710" s="3">
        <v>4.4451116863644701E-4</v>
      </c>
      <c r="O1710" s="3">
        <v>2.43896948428857E-4</v>
      </c>
      <c r="P1710" s="3">
        <v>1.4694977529294801E-4</v>
      </c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</row>
    <row r="1711" spans="1:35" x14ac:dyDescent="0.45">
      <c r="A1711" s="3" t="s">
        <v>73</v>
      </c>
      <c r="B1711" s="3" t="s">
        <v>22</v>
      </c>
      <c r="C1711" s="3" t="s">
        <v>17</v>
      </c>
      <c r="D1711" s="3" t="s">
        <v>14</v>
      </c>
      <c r="E1711" s="3" t="s">
        <v>32</v>
      </c>
      <c r="F1711" s="3">
        <v>0</v>
      </c>
      <c r="G1711" s="3">
        <v>5.9275745098649302E-2</v>
      </c>
      <c r="H1711" s="3">
        <v>5.9275745098649302E-2</v>
      </c>
      <c r="I1711" s="3">
        <v>2.5016287104518201E-2</v>
      </c>
      <c r="J1711" s="3">
        <v>3.6533301284414101E-3</v>
      </c>
      <c r="K1711" s="3">
        <v>2.52766238077451E-3</v>
      </c>
      <c r="L1711" s="3">
        <v>2.3566859387707298E-3</v>
      </c>
      <c r="M1711" s="3">
        <v>2.336478971116E-3</v>
      </c>
      <c r="N1711" s="3">
        <v>2.3359266833894998E-3</v>
      </c>
      <c r="O1711" s="3">
        <v>2.3353961790206499E-3</v>
      </c>
      <c r="P1711" s="3">
        <v>2.3352324271986601E-3</v>
      </c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</row>
    <row r="1712" spans="1:35" x14ac:dyDescent="0.45">
      <c r="A1712" s="3" t="s">
        <v>73</v>
      </c>
      <c r="B1712" s="3" t="s">
        <v>22</v>
      </c>
      <c r="C1712" s="3" t="s">
        <v>18</v>
      </c>
      <c r="D1712" s="3" t="s">
        <v>7</v>
      </c>
      <c r="E1712" s="3" t="s">
        <v>32</v>
      </c>
      <c r="F1712" s="3">
        <v>0.457291407629003</v>
      </c>
      <c r="G1712" s="3">
        <v>0.30284828181408702</v>
      </c>
      <c r="H1712" s="3">
        <v>0.30284828181408702</v>
      </c>
      <c r="I1712" s="3">
        <v>0.13710714362788101</v>
      </c>
      <c r="J1712" s="3">
        <v>4.2674362093695403E-3</v>
      </c>
      <c r="K1712" s="3">
        <v>4.69130831317049E-4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</row>
    <row r="1713" spans="1:35" x14ac:dyDescent="0.45">
      <c r="A1713" s="3" t="s">
        <v>73</v>
      </c>
      <c r="B1713" s="3" t="s">
        <v>22</v>
      </c>
      <c r="C1713" s="3" t="s">
        <v>18</v>
      </c>
      <c r="D1713" s="3" t="s">
        <v>9</v>
      </c>
      <c r="E1713" s="3" t="s">
        <v>32</v>
      </c>
      <c r="F1713" s="3">
        <v>0</v>
      </c>
      <c r="G1713" s="3">
        <v>0</v>
      </c>
      <c r="H1713" s="3">
        <v>0</v>
      </c>
      <c r="I1713" s="3">
        <v>-8.04911692853238E-16</v>
      </c>
      <c r="J1713" s="3">
        <v>-3.2959746043559298E-17</v>
      </c>
      <c r="K1713" s="3">
        <v>0</v>
      </c>
      <c r="L1713" s="3">
        <v>0</v>
      </c>
      <c r="M1713" s="3">
        <v>3.57667272029725E-17</v>
      </c>
      <c r="N1713" s="3">
        <v>7.1533454405944999E-17</v>
      </c>
      <c r="O1713" s="3">
        <v>0</v>
      </c>
      <c r="P1713" s="3">
        <v>3.57667272029725E-17</v>
      </c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</row>
    <row r="1714" spans="1:35" x14ac:dyDescent="0.45">
      <c r="A1714" s="3" t="s">
        <v>73</v>
      </c>
      <c r="B1714" s="3" t="s">
        <v>22</v>
      </c>
      <c r="C1714" s="3" t="s">
        <v>18</v>
      </c>
      <c r="D1714" s="3" t="s">
        <v>10</v>
      </c>
      <c r="E1714" s="3" t="s">
        <v>32</v>
      </c>
      <c r="F1714" s="3">
        <v>0</v>
      </c>
      <c r="G1714" s="3">
        <v>0</v>
      </c>
      <c r="H1714" s="3">
        <v>0</v>
      </c>
      <c r="I1714" s="3">
        <v>0</v>
      </c>
      <c r="J1714" s="3">
        <v>4.0766001685454998E-17</v>
      </c>
      <c r="K1714" s="3">
        <v>-1.8539857149502101E-17</v>
      </c>
      <c r="L1714" s="3">
        <v>0</v>
      </c>
      <c r="M1714" s="3">
        <v>0</v>
      </c>
      <c r="N1714" s="3">
        <v>-7.1533454405944999E-17</v>
      </c>
      <c r="O1714" s="3">
        <v>0</v>
      </c>
      <c r="P1714" s="3">
        <v>0</v>
      </c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</row>
    <row r="1715" spans="1:35" x14ac:dyDescent="0.45">
      <c r="A1715" s="3" t="s">
        <v>73</v>
      </c>
      <c r="B1715" s="3" t="s">
        <v>22</v>
      </c>
      <c r="C1715" s="3" t="s">
        <v>18</v>
      </c>
      <c r="D1715" s="3" t="s">
        <v>11</v>
      </c>
      <c r="E1715" s="3" t="s">
        <v>32</v>
      </c>
      <c r="F1715" s="3">
        <v>0</v>
      </c>
      <c r="G1715" s="3">
        <v>0</v>
      </c>
      <c r="H1715" s="3">
        <v>0</v>
      </c>
      <c r="I1715" s="3">
        <v>0</v>
      </c>
      <c r="J1715" s="3">
        <v>-1.6479873021779701E-17</v>
      </c>
      <c r="K1715" s="3">
        <v>3.6266562669640099E-17</v>
      </c>
      <c r="L1715" s="3">
        <v>3.57667272029725E-17</v>
      </c>
      <c r="M1715" s="3">
        <v>0</v>
      </c>
      <c r="N1715" s="3">
        <v>0</v>
      </c>
      <c r="O1715" s="3">
        <v>0</v>
      </c>
      <c r="P1715" s="3">
        <v>-3.57667272029725E-17</v>
      </c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</row>
    <row r="1716" spans="1:35" x14ac:dyDescent="0.45">
      <c r="A1716" s="3" t="s">
        <v>73</v>
      </c>
      <c r="B1716" s="3" t="s">
        <v>22</v>
      </c>
      <c r="C1716" s="3" t="s">
        <v>18</v>
      </c>
      <c r="D1716" s="3" t="s">
        <v>12</v>
      </c>
      <c r="E1716" s="3" t="s">
        <v>32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-3.57667272029725E-17</v>
      </c>
      <c r="M1716" s="3">
        <v>-3.57667272029725E-17</v>
      </c>
      <c r="N1716" s="3">
        <v>1.07300181608918E-16</v>
      </c>
      <c r="O1716" s="3">
        <v>0</v>
      </c>
      <c r="P1716" s="3">
        <v>0</v>
      </c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</row>
    <row r="1717" spans="1:35" x14ac:dyDescent="0.45">
      <c r="A1717" s="3" t="s">
        <v>73</v>
      </c>
      <c r="B1717" s="3" t="s">
        <v>22</v>
      </c>
      <c r="C1717" s="3" t="s">
        <v>18</v>
      </c>
      <c r="D1717" s="3" t="s">
        <v>13</v>
      </c>
      <c r="E1717" s="3" t="s">
        <v>32</v>
      </c>
      <c r="F1717" s="3">
        <v>0</v>
      </c>
      <c r="G1717" s="3">
        <v>0</v>
      </c>
      <c r="H1717" s="3">
        <v>0</v>
      </c>
      <c r="I1717" s="3">
        <v>0</v>
      </c>
      <c r="J1717" s="3">
        <v>-3.98986399474666E-17</v>
      </c>
      <c r="K1717" s="3">
        <v>-7.1665763601291806E-17</v>
      </c>
      <c r="L1717" s="3">
        <v>3.57667272029725E-17</v>
      </c>
      <c r="M1717" s="3">
        <v>1.07300181608918E-16</v>
      </c>
      <c r="N1717" s="3">
        <v>-1.07300181608918E-16</v>
      </c>
      <c r="O1717" s="3">
        <v>0</v>
      </c>
      <c r="P1717" s="3">
        <v>0</v>
      </c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</row>
    <row r="1718" spans="1:35" x14ac:dyDescent="0.45">
      <c r="A1718" s="3" t="s">
        <v>73</v>
      </c>
      <c r="B1718" s="3" t="s">
        <v>22</v>
      </c>
      <c r="C1718" s="3" t="s">
        <v>18</v>
      </c>
      <c r="D1718" s="3" t="s">
        <v>14</v>
      </c>
      <c r="E1718" s="3" t="s">
        <v>32</v>
      </c>
      <c r="F1718" s="3">
        <v>0</v>
      </c>
      <c r="G1718" s="3">
        <v>0</v>
      </c>
      <c r="H1718" s="3">
        <v>0</v>
      </c>
      <c r="I1718" s="3">
        <v>0</v>
      </c>
      <c r="J1718" s="3">
        <v>7.1991024253037494E-17</v>
      </c>
      <c r="K1718" s="3">
        <v>-7.1665763601291806E-17</v>
      </c>
      <c r="L1718" s="3">
        <v>-3.57667272029725E-17</v>
      </c>
      <c r="M1718" s="3">
        <v>-1.07300181608918E-16</v>
      </c>
      <c r="N1718" s="3">
        <v>0</v>
      </c>
      <c r="O1718" s="3">
        <v>0</v>
      </c>
      <c r="P1718" s="3">
        <v>0</v>
      </c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</row>
    <row r="1719" spans="1:35" x14ac:dyDescent="0.45">
      <c r="A1719" s="3" t="s">
        <v>73</v>
      </c>
      <c r="B1719" s="3" t="s">
        <v>22</v>
      </c>
      <c r="C1719" s="3" t="s">
        <v>19</v>
      </c>
      <c r="D1719" s="3" t="s">
        <v>11</v>
      </c>
      <c r="E1719" s="3" t="s">
        <v>32</v>
      </c>
      <c r="F1719" s="3">
        <v>0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6.1052305458632002E-4</v>
      </c>
      <c r="N1719" s="3">
        <v>3.1435668927478999E-3</v>
      </c>
      <c r="O1719" s="3">
        <v>2.36477523487479E-2</v>
      </c>
      <c r="P1719" s="3">
        <v>5.5496217188585599E-2</v>
      </c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</row>
    <row r="1720" spans="1:35" x14ac:dyDescent="0.45">
      <c r="A1720" s="3" t="s">
        <v>73</v>
      </c>
      <c r="B1720" s="3" t="s">
        <v>22</v>
      </c>
      <c r="C1720" s="3" t="s">
        <v>19</v>
      </c>
      <c r="D1720" s="3" t="s">
        <v>12</v>
      </c>
      <c r="E1720" s="3" t="s">
        <v>32</v>
      </c>
      <c r="F1720" s="3">
        <v>0</v>
      </c>
      <c r="G1720" s="3">
        <v>0</v>
      </c>
      <c r="H1720" s="3">
        <v>0</v>
      </c>
      <c r="I1720" s="3">
        <v>0</v>
      </c>
      <c r="J1720" s="3">
        <v>0</v>
      </c>
      <c r="K1720" s="3">
        <v>2.3134279040022002E-3</v>
      </c>
      <c r="L1720" s="3">
        <v>1.3140008649248001E-2</v>
      </c>
      <c r="M1720" s="3">
        <v>4.2352440115564501E-2</v>
      </c>
      <c r="N1720" s="3">
        <v>4.7072462151698399E-2</v>
      </c>
      <c r="O1720" s="3">
        <v>3.5357342414939402E-2</v>
      </c>
      <c r="P1720" s="3">
        <v>1.65331620156433E-2</v>
      </c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</row>
    <row r="1721" spans="1:35" x14ac:dyDescent="0.45">
      <c r="A1721" s="3" t="s">
        <v>73</v>
      </c>
      <c r="B1721" s="3" t="s">
        <v>22</v>
      </c>
      <c r="C1721" s="3" t="s">
        <v>19</v>
      </c>
      <c r="D1721" s="3" t="s">
        <v>13</v>
      </c>
      <c r="E1721" s="3" t="s">
        <v>32</v>
      </c>
      <c r="F1721" s="3">
        <v>0</v>
      </c>
      <c r="G1721" s="3">
        <v>0</v>
      </c>
      <c r="H1721" s="3">
        <v>0</v>
      </c>
      <c r="I1721" s="3">
        <v>4.19043577597575E-3</v>
      </c>
      <c r="J1721" s="3">
        <v>6.1555721667556698E-2</v>
      </c>
      <c r="K1721" s="3">
        <v>5.5001816498704698E-2</v>
      </c>
      <c r="L1721" s="3">
        <v>4.4914175747722301E-2</v>
      </c>
      <c r="M1721" s="3">
        <v>1.9752465448816502E-2</v>
      </c>
      <c r="N1721" s="3">
        <v>1.9828031924974301E-2</v>
      </c>
      <c r="O1721" s="3">
        <v>2.3664051251679499E-2</v>
      </c>
      <c r="P1721" s="3">
        <v>2.31443572456729E-2</v>
      </c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</row>
    <row r="1722" spans="1:35" x14ac:dyDescent="0.45">
      <c r="A1722" s="3" t="s">
        <v>73</v>
      </c>
      <c r="B1722" s="3" t="s">
        <v>22</v>
      </c>
      <c r="C1722" s="3" t="s">
        <v>19</v>
      </c>
      <c r="D1722" s="3" t="s">
        <v>14</v>
      </c>
      <c r="E1722" s="3" t="s">
        <v>32</v>
      </c>
      <c r="F1722" s="3">
        <v>0</v>
      </c>
      <c r="G1722" s="3">
        <v>0</v>
      </c>
      <c r="H1722" s="3">
        <v>0</v>
      </c>
      <c r="I1722" s="3">
        <v>7.3879333142556403E-2</v>
      </c>
      <c r="J1722" s="3">
        <v>1.79904501137431E-2</v>
      </c>
      <c r="K1722" s="3">
        <v>1.9626546106286301E-2</v>
      </c>
      <c r="L1722" s="3">
        <v>2.4515302074284501E-2</v>
      </c>
      <c r="M1722" s="3">
        <v>2.8180913297017302E-2</v>
      </c>
      <c r="N1722" s="3">
        <v>3.3529692250537403E-2</v>
      </c>
      <c r="O1722" s="3">
        <v>3.7002746358573001E-2</v>
      </c>
      <c r="P1722" s="3">
        <v>3.7528114288237199E-2</v>
      </c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</row>
    <row r="1723" spans="1:35" x14ac:dyDescent="0.45">
      <c r="A1723" s="3" t="s">
        <v>74</v>
      </c>
      <c r="B1723" s="3" t="s">
        <v>25</v>
      </c>
      <c r="C1723" s="3" t="s">
        <v>6</v>
      </c>
      <c r="D1723" s="3" t="s">
        <v>10</v>
      </c>
      <c r="E1723" s="3" t="s">
        <v>32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1.97814350228597E-2</v>
      </c>
      <c r="M1723" s="3">
        <v>0.16577347962455599</v>
      </c>
      <c r="N1723" s="3">
        <v>0.36094656517574703</v>
      </c>
      <c r="O1723" s="3">
        <v>0.54349765830893904</v>
      </c>
      <c r="P1723" s="3">
        <v>0.65745587229255398</v>
      </c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</row>
    <row r="1724" spans="1:35" x14ac:dyDescent="0.45">
      <c r="A1724" s="3" t="s">
        <v>74</v>
      </c>
      <c r="B1724" s="3" t="s">
        <v>25</v>
      </c>
      <c r="C1724" s="3" t="s">
        <v>6</v>
      </c>
      <c r="D1724" s="3" t="s">
        <v>11</v>
      </c>
      <c r="E1724" s="3" t="s">
        <v>32</v>
      </c>
      <c r="F1724" s="3">
        <v>0</v>
      </c>
      <c r="G1724" s="3">
        <v>0</v>
      </c>
      <c r="H1724" s="3">
        <v>0</v>
      </c>
      <c r="I1724" s="3">
        <v>0</v>
      </c>
      <c r="J1724" s="3">
        <v>0</v>
      </c>
      <c r="K1724" s="3">
        <v>0.17194730948332401</v>
      </c>
      <c r="L1724" s="3">
        <v>0.38267078229764501</v>
      </c>
      <c r="M1724" s="3">
        <v>0.50831691457258099</v>
      </c>
      <c r="N1724" s="3">
        <v>0.60526983859450301</v>
      </c>
      <c r="O1724" s="3">
        <v>0.69647432105836304</v>
      </c>
      <c r="P1724" s="3">
        <v>0.70160036274242699</v>
      </c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</row>
    <row r="1725" spans="1:35" x14ac:dyDescent="0.45">
      <c r="A1725" s="3" t="s">
        <v>74</v>
      </c>
      <c r="B1725" s="3" t="s">
        <v>25</v>
      </c>
      <c r="C1725" s="3" t="s">
        <v>6</v>
      </c>
      <c r="D1725" s="3" t="s">
        <v>12</v>
      </c>
      <c r="E1725" s="3" t="s">
        <v>32</v>
      </c>
      <c r="F1725" s="3">
        <v>0</v>
      </c>
      <c r="G1725" s="3">
        <v>0</v>
      </c>
      <c r="H1725" s="3">
        <v>0</v>
      </c>
      <c r="I1725" s="3">
        <v>0</v>
      </c>
      <c r="J1725" s="3">
        <v>0.248793721468028</v>
      </c>
      <c r="K1725" s="3">
        <v>0.429383469500349</v>
      </c>
      <c r="L1725" s="3">
        <v>0.55435788088203597</v>
      </c>
      <c r="M1725" s="3">
        <v>0.57752256546563396</v>
      </c>
      <c r="N1725" s="3">
        <v>0.56193555274637197</v>
      </c>
      <c r="O1725" s="3">
        <v>0.50920556675866502</v>
      </c>
      <c r="P1725" s="3">
        <v>0.36071498403977098</v>
      </c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</row>
    <row r="1726" spans="1:35" x14ac:dyDescent="0.45">
      <c r="A1726" s="3" t="s">
        <v>74</v>
      </c>
      <c r="B1726" s="3" t="s">
        <v>25</v>
      </c>
      <c r="C1726" s="3" t="s">
        <v>6</v>
      </c>
      <c r="D1726" s="3" t="s">
        <v>13</v>
      </c>
      <c r="E1726" s="3" t="s">
        <v>32</v>
      </c>
      <c r="F1726" s="3">
        <v>0</v>
      </c>
      <c r="G1726" s="3">
        <v>0</v>
      </c>
      <c r="H1726" s="3">
        <v>0</v>
      </c>
      <c r="I1726" s="3">
        <v>0.469983997192014</v>
      </c>
      <c r="J1726" s="3">
        <v>0.63989356016626597</v>
      </c>
      <c r="K1726" s="3">
        <v>0.62683857770403995</v>
      </c>
      <c r="L1726" s="3">
        <v>0.56156999913069405</v>
      </c>
      <c r="M1726" s="3">
        <v>0.53731559149275898</v>
      </c>
      <c r="N1726" s="3">
        <v>0.47210721457582699</v>
      </c>
      <c r="O1726" s="3">
        <v>0.36173541997784597</v>
      </c>
      <c r="P1726" s="3">
        <v>0.36934791027990699</v>
      </c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</row>
    <row r="1727" spans="1:35" x14ac:dyDescent="0.45">
      <c r="A1727" s="3" t="s">
        <v>74</v>
      </c>
      <c r="B1727" s="3" t="s">
        <v>25</v>
      </c>
      <c r="C1727" s="3" t="s">
        <v>6</v>
      </c>
      <c r="D1727" s="3" t="s">
        <v>14</v>
      </c>
      <c r="E1727" s="3" t="s">
        <v>32</v>
      </c>
      <c r="F1727" s="3">
        <v>0</v>
      </c>
      <c r="G1727" s="3">
        <v>0.40816728958531501</v>
      </c>
      <c r="H1727" s="3">
        <v>0.40816728958531501</v>
      </c>
      <c r="I1727" s="3">
        <v>0.42874593877894102</v>
      </c>
      <c r="J1727" s="3">
        <v>0.39626912196713099</v>
      </c>
      <c r="K1727" s="3">
        <v>0.37409839559623398</v>
      </c>
      <c r="L1727" s="3">
        <v>0.38220662229229602</v>
      </c>
      <c r="M1727" s="3">
        <v>0.40063953897702398</v>
      </c>
      <c r="N1727" s="3">
        <v>0.36700149870448401</v>
      </c>
      <c r="O1727" s="3">
        <v>0.35262680890084702</v>
      </c>
      <c r="P1727" s="3">
        <v>0.31020018238536401</v>
      </c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</row>
    <row r="1728" spans="1:35" x14ac:dyDescent="0.45">
      <c r="A1728" s="3" t="s">
        <v>74</v>
      </c>
      <c r="B1728" s="3" t="s">
        <v>25</v>
      </c>
      <c r="C1728" s="3" t="s">
        <v>15</v>
      </c>
      <c r="D1728" s="3" t="s">
        <v>7</v>
      </c>
      <c r="E1728" s="3" t="s">
        <v>32</v>
      </c>
      <c r="F1728" s="3">
        <v>7.4507610836846094E-2</v>
      </c>
      <c r="G1728" s="3">
        <v>0.137723627164658</v>
      </c>
      <c r="H1728" s="3">
        <v>0.137723627164658</v>
      </c>
      <c r="I1728" s="3">
        <v>0.23909034725891201</v>
      </c>
      <c r="J1728" s="3">
        <v>0.33082520363060203</v>
      </c>
      <c r="K1728" s="3">
        <v>0.43922000511993098</v>
      </c>
      <c r="L1728" s="3">
        <v>0.52586485702530605</v>
      </c>
      <c r="M1728" s="3">
        <v>0.57090135173025203</v>
      </c>
      <c r="N1728" s="3">
        <v>0.59879181664359504</v>
      </c>
      <c r="O1728" s="3">
        <v>0.59972422649860502</v>
      </c>
      <c r="P1728" s="3">
        <v>0.60041195495340505</v>
      </c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</row>
    <row r="1729" spans="1:35" x14ac:dyDescent="0.45">
      <c r="A1729" s="3" t="s">
        <v>74</v>
      </c>
      <c r="B1729" s="3" t="s">
        <v>25</v>
      </c>
      <c r="C1729" s="3" t="s">
        <v>15</v>
      </c>
      <c r="D1729" s="3" t="s">
        <v>9</v>
      </c>
      <c r="E1729" s="3" t="s">
        <v>32</v>
      </c>
      <c r="F1729" s="3">
        <v>0</v>
      </c>
      <c r="G1729" s="3">
        <v>-5.4503931764135504E-4</v>
      </c>
      <c r="H1729" s="3">
        <v>-5.4503931764135504E-4</v>
      </c>
      <c r="I1729" s="3">
        <v>-9.0603163058081105E-4</v>
      </c>
      <c r="J1729" s="3">
        <v>-4.17413026086705E-3</v>
      </c>
      <c r="K1729" s="3">
        <v>-5.7473654331442496E-3</v>
      </c>
      <c r="L1729" s="3">
        <v>3.5462968083454401E-2</v>
      </c>
      <c r="M1729" s="3">
        <v>4.81658828679946E-2</v>
      </c>
      <c r="N1729" s="3">
        <v>3.3937838475693601E-2</v>
      </c>
      <c r="O1729" s="3">
        <v>4.7431717919052201E-2</v>
      </c>
      <c r="P1729" s="3">
        <v>5.7200394329195797E-2</v>
      </c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</row>
    <row r="1730" spans="1:35" x14ac:dyDescent="0.45">
      <c r="A1730" s="3" t="s">
        <v>74</v>
      </c>
      <c r="B1730" s="3" t="s">
        <v>25</v>
      </c>
      <c r="C1730" s="3" t="s">
        <v>15</v>
      </c>
      <c r="D1730" s="3" t="s">
        <v>10</v>
      </c>
      <c r="E1730" s="3" t="s">
        <v>32</v>
      </c>
      <c r="F1730" s="3">
        <v>0</v>
      </c>
      <c r="G1730" s="3">
        <v>-5.4610444774116897E-5</v>
      </c>
      <c r="H1730" s="3">
        <v>-5.4610444774116897E-5</v>
      </c>
      <c r="I1730" s="3">
        <v>-1.06219284952497E-4</v>
      </c>
      <c r="J1730" s="3">
        <v>-5.6183381226593298E-4</v>
      </c>
      <c r="K1730" s="3">
        <v>-3.9998367919832399E-3</v>
      </c>
      <c r="L1730" s="3">
        <v>7.8336445505198197E-3</v>
      </c>
      <c r="M1730" s="3">
        <v>4.6520631592026403E-3</v>
      </c>
      <c r="N1730" s="3">
        <v>6.6714287470032198E-3</v>
      </c>
      <c r="O1730" s="3">
        <v>1.10400311277395E-2</v>
      </c>
      <c r="P1730" s="3">
        <v>1.6699768437125999E-2</v>
      </c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</row>
    <row r="1731" spans="1:35" x14ac:dyDescent="0.45">
      <c r="A1731" s="3" t="s">
        <v>74</v>
      </c>
      <c r="B1731" s="3" t="s">
        <v>25</v>
      </c>
      <c r="C1731" s="3" t="s">
        <v>15</v>
      </c>
      <c r="D1731" s="3" t="s">
        <v>11</v>
      </c>
      <c r="E1731" s="3" t="s">
        <v>32</v>
      </c>
      <c r="F1731" s="3">
        <v>0</v>
      </c>
      <c r="G1731" s="3">
        <v>0</v>
      </c>
      <c r="H1731" s="3">
        <v>0</v>
      </c>
      <c r="I1731" s="3">
        <v>-7.4026618030273396E-4</v>
      </c>
      <c r="J1731" s="3">
        <v>-4.3586025198200096E-3</v>
      </c>
      <c r="K1731" s="3">
        <v>-6.9955234026943302E-3</v>
      </c>
      <c r="L1731" s="3">
        <v>-5.4420578996928802E-3</v>
      </c>
      <c r="M1731" s="3">
        <v>2.20729456271496E-4</v>
      </c>
      <c r="N1731" s="3">
        <v>2.3682293477155199E-3</v>
      </c>
      <c r="O1731" s="3">
        <v>-9.9628521469963304E-4</v>
      </c>
      <c r="P1731" s="3">
        <v>-6.26136522813181E-3</v>
      </c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</row>
    <row r="1732" spans="1:35" x14ac:dyDescent="0.45">
      <c r="A1732" s="3" t="s">
        <v>74</v>
      </c>
      <c r="B1732" s="3" t="s">
        <v>25</v>
      </c>
      <c r="C1732" s="3" t="s">
        <v>15</v>
      </c>
      <c r="D1732" s="3" t="s">
        <v>12</v>
      </c>
      <c r="E1732" s="3" t="s">
        <v>32</v>
      </c>
      <c r="F1732" s="3">
        <v>0</v>
      </c>
      <c r="G1732" s="3">
        <v>-1.15964015225484E-4</v>
      </c>
      <c r="H1732" s="3">
        <v>-1.15964015225484E-4</v>
      </c>
      <c r="I1732" s="3">
        <v>-1.50619943291602E-3</v>
      </c>
      <c r="J1732" s="3">
        <v>-6.40794959834307E-3</v>
      </c>
      <c r="K1732" s="3">
        <v>-1.04664585645469E-2</v>
      </c>
      <c r="L1732" s="3">
        <v>-3.5202032672550801E-2</v>
      </c>
      <c r="M1732" s="3">
        <v>-2.6769051833977299E-2</v>
      </c>
      <c r="N1732" s="3">
        <v>-1.1547110142171401E-2</v>
      </c>
      <c r="O1732" s="3">
        <v>-1.0702262001632001E-2</v>
      </c>
      <c r="P1732" s="3">
        <v>-1.6155576235064799E-2</v>
      </c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</row>
    <row r="1733" spans="1:35" x14ac:dyDescent="0.45">
      <c r="A1733" s="3" t="s">
        <v>74</v>
      </c>
      <c r="B1733" s="3" t="s">
        <v>25</v>
      </c>
      <c r="C1733" s="3" t="s">
        <v>15</v>
      </c>
      <c r="D1733" s="3" t="s">
        <v>13</v>
      </c>
      <c r="E1733" s="3" t="s">
        <v>32</v>
      </c>
      <c r="F1733" s="3">
        <v>0</v>
      </c>
      <c r="G1733" s="3">
        <v>-3.7863386616562001E-3</v>
      </c>
      <c r="H1733" s="3">
        <v>-3.7863386616562001E-3</v>
      </c>
      <c r="I1733" s="3">
        <v>-1.3583025669982899E-2</v>
      </c>
      <c r="J1733" s="3">
        <v>-1.1599354772798399E-2</v>
      </c>
      <c r="K1733" s="3">
        <v>-1.9915055439314901E-2</v>
      </c>
      <c r="L1733" s="3">
        <v>-3.5821553671426101E-2</v>
      </c>
      <c r="M1733" s="3">
        <v>-4.0792598475800003E-2</v>
      </c>
      <c r="N1733" s="3">
        <v>-4.1942056717383699E-2</v>
      </c>
      <c r="O1733" s="3">
        <v>-3.8138804858638603E-2</v>
      </c>
      <c r="P1733" s="3">
        <v>-3.4738766053975002E-2</v>
      </c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</row>
    <row r="1734" spans="1:35" x14ac:dyDescent="0.45">
      <c r="A1734" s="3" t="s">
        <v>74</v>
      </c>
      <c r="B1734" s="3" t="s">
        <v>25</v>
      </c>
      <c r="C1734" s="3" t="s">
        <v>15</v>
      </c>
      <c r="D1734" s="3" t="s">
        <v>14</v>
      </c>
      <c r="E1734" s="3" t="s">
        <v>32</v>
      </c>
      <c r="F1734" s="3">
        <v>0</v>
      </c>
      <c r="G1734" s="3">
        <v>-1.2428425967378901E-2</v>
      </c>
      <c r="H1734" s="3">
        <v>-1.2428425967378901E-2</v>
      </c>
      <c r="I1734" s="3">
        <v>-2.0172873005971401E-2</v>
      </c>
      <c r="J1734" s="3">
        <v>-2.2681177225909298E-2</v>
      </c>
      <c r="K1734" s="3">
        <v>-2.7366570081749E-2</v>
      </c>
      <c r="L1734" s="3">
        <v>-3.8225854587082199E-2</v>
      </c>
      <c r="M1734" s="3">
        <v>-3.4532146577242497E-2</v>
      </c>
      <c r="N1734" s="3">
        <v>-3.9638414780064697E-2</v>
      </c>
      <c r="O1734" s="3">
        <v>-4.02996202370925E-2</v>
      </c>
      <c r="P1734" s="3">
        <v>-4.3312081677637101E-2</v>
      </c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</row>
    <row r="1735" spans="1:35" x14ac:dyDescent="0.45">
      <c r="A1735" s="3" t="s">
        <v>74</v>
      </c>
      <c r="B1735" s="3" t="s">
        <v>25</v>
      </c>
      <c r="C1735" s="3" t="s">
        <v>16</v>
      </c>
      <c r="D1735" s="3" t="s">
        <v>7</v>
      </c>
      <c r="E1735" s="3" t="s">
        <v>32</v>
      </c>
      <c r="F1735" s="3">
        <v>0.732078448887445</v>
      </c>
      <c r="G1735" s="3">
        <v>0.732078448887445</v>
      </c>
      <c r="H1735" s="3">
        <v>0.732078448887445</v>
      </c>
      <c r="I1735" s="3">
        <v>0.732078448887445</v>
      </c>
      <c r="J1735" s="3">
        <v>0.732078448887445</v>
      </c>
      <c r="K1735" s="3">
        <v>0.68010087901643701</v>
      </c>
      <c r="L1735" s="3">
        <v>0.42606965725249302</v>
      </c>
      <c r="M1735" s="3">
        <v>0.222551848461783</v>
      </c>
      <c r="N1735" s="3">
        <v>0</v>
      </c>
      <c r="O1735" s="3">
        <v>0</v>
      </c>
      <c r="P1735" s="3">
        <v>0</v>
      </c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</row>
    <row r="1736" spans="1:35" x14ac:dyDescent="0.45">
      <c r="A1736" s="3" t="s">
        <v>74</v>
      </c>
      <c r="B1736" s="3" t="s">
        <v>25</v>
      </c>
      <c r="C1736" s="3" t="s">
        <v>16</v>
      </c>
      <c r="D1736" s="3" t="s">
        <v>9</v>
      </c>
      <c r="E1736" s="3" t="s">
        <v>32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0</v>
      </c>
      <c r="O1736" s="3">
        <v>0</v>
      </c>
      <c r="P1736" s="3">
        <v>0</v>
      </c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</row>
    <row r="1737" spans="1:35" x14ac:dyDescent="0.45">
      <c r="A1737" s="3" t="s">
        <v>74</v>
      </c>
      <c r="B1737" s="3" t="s">
        <v>25</v>
      </c>
      <c r="C1737" s="3" t="s">
        <v>16</v>
      </c>
      <c r="D1737" s="3" t="s">
        <v>10</v>
      </c>
      <c r="E1737" s="3" t="s">
        <v>32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</row>
    <row r="1738" spans="1:35" x14ac:dyDescent="0.45">
      <c r="A1738" s="3" t="s">
        <v>74</v>
      </c>
      <c r="B1738" s="3" t="s">
        <v>25</v>
      </c>
      <c r="C1738" s="3" t="s">
        <v>16</v>
      </c>
      <c r="D1738" s="3" t="s">
        <v>11</v>
      </c>
      <c r="E1738" s="3" t="s">
        <v>32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</row>
    <row r="1739" spans="1:35" x14ac:dyDescent="0.45">
      <c r="A1739" s="3" t="s">
        <v>74</v>
      </c>
      <c r="B1739" s="3" t="s">
        <v>25</v>
      </c>
      <c r="C1739" s="3" t="s">
        <v>16</v>
      </c>
      <c r="D1739" s="3" t="s">
        <v>12</v>
      </c>
      <c r="E1739" s="3" t="s">
        <v>32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0</v>
      </c>
      <c r="O1739" s="3">
        <v>0</v>
      </c>
      <c r="P1739" s="3">
        <v>0</v>
      </c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</row>
    <row r="1740" spans="1:35" x14ac:dyDescent="0.45">
      <c r="A1740" s="3" t="s">
        <v>74</v>
      </c>
      <c r="B1740" s="3" t="s">
        <v>25</v>
      </c>
      <c r="C1740" s="3" t="s">
        <v>16</v>
      </c>
      <c r="D1740" s="3" t="s">
        <v>13</v>
      </c>
      <c r="E1740" s="3" t="s">
        <v>32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</row>
    <row r="1741" spans="1:35" x14ac:dyDescent="0.45">
      <c r="A1741" s="3" t="s">
        <v>74</v>
      </c>
      <c r="B1741" s="3" t="s">
        <v>25</v>
      </c>
      <c r="C1741" s="3" t="s">
        <v>16</v>
      </c>
      <c r="D1741" s="3" t="s">
        <v>14</v>
      </c>
      <c r="E1741" s="3" t="s">
        <v>32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</row>
    <row r="1742" spans="1:35" x14ac:dyDescent="0.45">
      <c r="A1742" s="3" t="s">
        <v>74</v>
      </c>
      <c r="B1742" s="3" t="s">
        <v>25</v>
      </c>
      <c r="C1742" s="3" t="s">
        <v>17</v>
      </c>
      <c r="D1742" s="3" t="s">
        <v>10</v>
      </c>
      <c r="E1742" s="3" t="s">
        <v>32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0.11387839380059001</v>
      </c>
      <c r="O1742" s="3">
        <v>0.129635520456134</v>
      </c>
      <c r="P1742" s="3">
        <v>0.12831605398002</v>
      </c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</row>
    <row r="1743" spans="1:35" x14ac:dyDescent="0.45">
      <c r="A1743" s="3" t="s">
        <v>74</v>
      </c>
      <c r="B1743" s="3" t="s">
        <v>25</v>
      </c>
      <c r="C1743" s="3" t="s">
        <v>17</v>
      </c>
      <c r="D1743" s="3" t="s">
        <v>11</v>
      </c>
      <c r="E1743" s="3" t="s">
        <v>32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0.113087421900781</v>
      </c>
      <c r="N1743" s="3">
        <v>1.7430350803265E-2</v>
      </c>
      <c r="O1743" s="3">
        <v>1.67322414772084E-3</v>
      </c>
      <c r="P1743" s="3">
        <v>2.6498168406400599E-3</v>
      </c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</row>
    <row r="1744" spans="1:35" x14ac:dyDescent="0.45">
      <c r="A1744" s="3" t="s">
        <v>74</v>
      </c>
      <c r="B1744" s="3" t="s">
        <v>25</v>
      </c>
      <c r="C1744" s="3" t="s">
        <v>17</v>
      </c>
      <c r="D1744" s="3" t="s">
        <v>12</v>
      </c>
      <c r="E1744" s="3" t="s">
        <v>32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1.3565917259556E-2</v>
      </c>
      <c r="N1744" s="3">
        <v>5.47536711968974E-3</v>
      </c>
      <c r="O1744" s="3">
        <v>5.4753671196899898E-3</v>
      </c>
      <c r="P1744" s="3">
        <v>4.4987744267705196E-3</v>
      </c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</row>
    <row r="1745" spans="1:35" x14ac:dyDescent="0.45">
      <c r="A1745" s="3" t="s">
        <v>74</v>
      </c>
      <c r="B1745" s="3" t="s">
        <v>25</v>
      </c>
      <c r="C1745" s="3" t="s">
        <v>17</v>
      </c>
      <c r="D1745" s="3" t="s">
        <v>13</v>
      </c>
      <c r="E1745" s="3" t="s">
        <v>32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2.21489901486599E-4</v>
      </c>
      <c r="N1745" s="3">
        <v>9.1021963053355997E-5</v>
      </c>
      <c r="O1745" s="3">
        <v>9.1021963053355997E-5</v>
      </c>
      <c r="P1745" s="3">
        <v>9.1021963053355997E-5</v>
      </c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</row>
    <row r="1746" spans="1:35" x14ac:dyDescent="0.45">
      <c r="A1746" s="3" t="s">
        <v>74</v>
      </c>
      <c r="B1746" s="3" t="s">
        <v>25</v>
      </c>
      <c r="C1746" s="3" t="s">
        <v>17</v>
      </c>
      <c r="D1746" s="3" t="s">
        <v>14</v>
      </c>
      <c r="E1746" s="3" t="s">
        <v>32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1.1989398157608001E-7</v>
      </c>
      <c r="N1746" s="3">
        <v>4.9127588552799803E-8</v>
      </c>
      <c r="O1746" s="3">
        <v>4.9127588302999603E-8</v>
      </c>
      <c r="P1746" s="3">
        <v>4.9127588552799803E-8</v>
      </c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</row>
    <row r="1747" spans="1:35" x14ac:dyDescent="0.45">
      <c r="A1747" s="3" t="s">
        <v>74</v>
      </c>
      <c r="B1747" s="3" t="s">
        <v>25</v>
      </c>
      <c r="C1747" s="3" t="s">
        <v>18</v>
      </c>
      <c r="D1747" s="3" t="s">
        <v>7</v>
      </c>
      <c r="E1747" s="3" t="s">
        <v>32</v>
      </c>
      <c r="F1747" s="3">
        <v>2.15255925902304</v>
      </c>
      <c r="G1747" s="3">
        <v>2.2946367401515002</v>
      </c>
      <c r="H1747" s="3">
        <v>2.2946367401515002</v>
      </c>
      <c r="I1747" s="3">
        <v>2.3802072437789299</v>
      </c>
      <c r="J1747" s="3">
        <v>2.0911574150846999</v>
      </c>
      <c r="K1747" s="3">
        <v>1.3455782449923299</v>
      </c>
      <c r="L1747" s="3">
        <v>0.84297797479605696</v>
      </c>
      <c r="M1747" s="3">
        <v>0.44031839233333597</v>
      </c>
      <c r="N1747" s="3">
        <v>0</v>
      </c>
      <c r="O1747" s="3">
        <v>0</v>
      </c>
      <c r="P1747" s="3">
        <v>0</v>
      </c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</row>
    <row r="1748" spans="1:35" x14ac:dyDescent="0.45">
      <c r="A1748" s="3" t="s">
        <v>74</v>
      </c>
      <c r="B1748" s="3" t="s">
        <v>25</v>
      </c>
      <c r="C1748" s="3" t="s">
        <v>18</v>
      </c>
      <c r="D1748" s="3" t="s">
        <v>9</v>
      </c>
      <c r="E1748" s="3" t="s">
        <v>32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1.1072343997674E-16</v>
      </c>
      <c r="P1748" s="3">
        <v>0</v>
      </c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</row>
    <row r="1749" spans="1:35" x14ac:dyDescent="0.45">
      <c r="A1749" s="3" t="s">
        <v>74</v>
      </c>
      <c r="B1749" s="3" t="s">
        <v>25</v>
      </c>
      <c r="C1749" s="3" t="s">
        <v>18</v>
      </c>
      <c r="D1749" s="3" t="s">
        <v>10</v>
      </c>
      <c r="E1749" s="3" t="s">
        <v>32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0</v>
      </c>
      <c r="O1749" s="3">
        <v>-1.1072343997674E-16</v>
      </c>
      <c r="P1749" s="3">
        <v>2.21446879953479E-16</v>
      </c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</row>
    <row r="1750" spans="1:35" x14ac:dyDescent="0.45">
      <c r="A1750" s="3" t="s">
        <v>74</v>
      </c>
      <c r="B1750" s="3" t="s">
        <v>25</v>
      </c>
      <c r="C1750" s="3" t="s">
        <v>18</v>
      </c>
      <c r="D1750" s="3" t="s">
        <v>11</v>
      </c>
      <c r="E1750" s="3" t="s">
        <v>32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1.1072343997674E-16</v>
      </c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</row>
    <row r="1751" spans="1:35" x14ac:dyDescent="0.45">
      <c r="A1751" s="3" t="s">
        <v>74</v>
      </c>
      <c r="B1751" s="3" t="s">
        <v>25</v>
      </c>
      <c r="C1751" s="3" t="s">
        <v>18</v>
      </c>
      <c r="D1751" s="3" t="s">
        <v>12</v>
      </c>
      <c r="E1751" s="3" t="s">
        <v>32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2.21446879953479E-16</v>
      </c>
      <c r="O1751" s="3">
        <v>0</v>
      </c>
      <c r="P1751" s="3">
        <v>-3.3217031993022E-16</v>
      </c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</row>
    <row r="1752" spans="1:35" x14ac:dyDescent="0.45">
      <c r="A1752" s="3" t="s">
        <v>74</v>
      </c>
      <c r="B1752" s="3" t="s">
        <v>25</v>
      </c>
      <c r="C1752" s="3" t="s">
        <v>18</v>
      </c>
      <c r="D1752" s="3" t="s">
        <v>13</v>
      </c>
      <c r="E1752" s="3" t="s">
        <v>32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-2.21446879953479E-16</v>
      </c>
      <c r="O1752" s="3">
        <v>0</v>
      </c>
      <c r="P1752" s="3">
        <v>1.1072343997674E-16</v>
      </c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</row>
    <row r="1753" spans="1:35" x14ac:dyDescent="0.45">
      <c r="A1753" s="3" t="s">
        <v>74</v>
      </c>
      <c r="B1753" s="3" t="s">
        <v>25</v>
      </c>
      <c r="C1753" s="3" t="s">
        <v>18</v>
      </c>
      <c r="D1753" s="3" t="s">
        <v>14</v>
      </c>
      <c r="E1753" s="3" t="s">
        <v>32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2.21446879953479E-16</v>
      </c>
      <c r="P1753" s="3">
        <v>0</v>
      </c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</row>
    <row r="1754" spans="1:35" x14ac:dyDescent="0.45">
      <c r="A1754" s="3" t="s">
        <v>74</v>
      </c>
      <c r="B1754" s="3" t="s">
        <v>25</v>
      </c>
      <c r="C1754" s="3" t="s">
        <v>19</v>
      </c>
      <c r="D1754" s="3" t="s">
        <v>7</v>
      </c>
      <c r="E1754" s="3" t="s">
        <v>32</v>
      </c>
      <c r="F1754" s="3">
        <v>8.2109786543142299E-2</v>
      </c>
      <c r="G1754" s="3">
        <v>0.13005126233223199</v>
      </c>
      <c r="H1754" s="3">
        <v>0.13005126233223199</v>
      </c>
      <c r="I1754" s="3">
        <v>0.13984203435487899</v>
      </c>
      <c r="J1754" s="3">
        <v>0.15926467010009501</v>
      </c>
      <c r="K1754" s="3">
        <v>0.168250027543211</v>
      </c>
      <c r="L1754" s="3">
        <v>0.11201736415887301</v>
      </c>
      <c r="M1754" s="3">
        <v>9.1345677548588994E-2</v>
      </c>
      <c r="N1754" s="3">
        <v>9.0098743789120694E-2</v>
      </c>
      <c r="O1754" s="3">
        <v>8.9166333934112801E-2</v>
      </c>
      <c r="P1754" s="3">
        <v>8.8478605479312203E-2</v>
      </c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</row>
    <row r="1755" spans="1:35" x14ac:dyDescent="0.45">
      <c r="A1755" s="3" t="s">
        <v>74</v>
      </c>
      <c r="B1755" s="3" t="s">
        <v>25</v>
      </c>
      <c r="C1755" s="3" t="s">
        <v>19</v>
      </c>
      <c r="D1755" s="3" t="s">
        <v>9</v>
      </c>
      <c r="E1755" s="3" t="s">
        <v>32</v>
      </c>
      <c r="F1755" s="3">
        <v>0</v>
      </c>
      <c r="G1755" s="3">
        <v>5.4503931764085501E-4</v>
      </c>
      <c r="H1755" s="3">
        <v>5.4503931764085501E-4</v>
      </c>
      <c r="I1755" s="3">
        <v>9.0603163058078405E-4</v>
      </c>
      <c r="J1755" s="3">
        <v>4.1741302608662998E-3</v>
      </c>
      <c r="K1755" s="3">
        <v>5.7473654331452496E-3</v>
      </c>
      <c r="L1755" s="3">
        <v>9.0596178704105707E-3</v>
      </c>
      <c r="M1755" s="3">
        <v>7.6785968426166E-3</v>
      </c>
      <c r="N1755" s="3">
        <v>6.7539289541239701E-3</v>
      </c>
      <c r="O1755" s="3">
        <v>6.7660070208694903E-3</v>
      </c>
      <c r="P1755" s="3">
        <v>1.82909083609041E-2</v>
      </c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</row>
    <row r="1756" spans="1:35" x14ac:dyDescent="0.45">
      <c r="A1756" s="3" t="s">
        <v>74</v>
      </c>
      <c r="B1756" s="3" t="s">
        <v>25</v>
      </c>
      <c r="C1756" s="3" t="s">
        <v>19</v>
      </c>
      <c r="D1756" s="3" t="s">
        <v>10</v>
      </c>
      <c r="E1756" s="3" t="s">
        <v>32</v>
      </c>
      <c r="F1756" s="3">
        <v>0</v>
      </c>
      <c r="G1756" s="3">
        <v>5.4610444774588803E-5</v>
      </c>
      <c r="H1756" s="3">
        <v>5.4610444774588803E-5</v>
      </c>
      <c r="I1756" s="3">
        <v>1.0621928495274699E-4</v>
      </c>
      <c r="J1756" s="3">
        <v>5.6183381226546103E-4</v>
      </c>
      <c r="K1756" s="3">
        <v>3.9998367919827603E-3</v>
      </c>
      <c r="L1756" s="3">
        <v>1.47547751517702E-2</v>
      </c>
      <c r="M1756" s="3">
        <v>2.4191671599264102E-2</v>
      </c>
      <c r="N1756" s="3">
        <v>4.3171390022090798E-2</v>
      </c>
      <c r="O1756" s="3">
        <v>4.3931506297379998E-2</v>
      </c>
      <c r="P1756" s="3">
        <v>3.3123343608228599E-2</v>
      </c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</row>
    <row r="1757" spans="1:35" x14ac:dyDescent="0.45">
      <c r="A1757" s="3" t="s">
        <v>74</v>
      </c>
      <c r="B1757" s="3" t="s">
        <v>25</v>
      </c>
      <c r="C1757" s="3" t="s">
        <v>19</v>
      </c>
      <c r="D1757" s="3" t="s">
        <v>11</v>
      </c>
      <c r="E1757" s="3" t="s">
        <v>32</v>
      </c>
      <c r="F1757" s="3">
        <v>0</v>
      </c>
      <c r="G1757" s="3">
        <v>4.9960036108132005E-16</v>
      </c>
      <c r="H1757" s="3">
        <v>4.9960036108132005E-16</v>
      </c>
      <c r="I1757" s="3">
        <v>7.4026618030126302E-4</v>
      </c>
      <c r="J1757" s="3">
        <v>4.3586025198212299E-3</v>
      </c>
      <c r="K1757" s="3">
        <v>6.9955234026950501E-3</v>
      </c>
      <c r="L1757" s="3">
        <v>1.8444044573512602E-2</v>
      </c>
      <c r="M1757" s="3">
        <v>3.9124879698247302E-2</v>
      </c>
      <c r="N1757" s="3">
        <v>2.0273221343829698E-2</v>
      </c>
      <c r="O1757" s="3">
        <v>2.0408016705459098E-2</v>
      </c>
      <c r="P1757" s="3">
        <v>2.2177002056686101E-2</v>
      </c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</row>
    <row r="1758" spans="1:35" x14ac:dyDescent="0.45">
      <c r="A1758" s="3" t="s">
        <v>74</v>
      </c>
      <c r="B1758" s="3" t="s">
        <v>25</v>
      </c>
      <c r="C1758" s="3" t="s">
        <v>19</v>
      </c>
      <c r="D1758" s="3" t="s">
        <v>12</v>
      </c>
      <c r="E1758" s="3" t="s">
        <v>32</v>
      </c>
      <c r="F1758" s="3">
        <v>0</v>
      </c>
      <c r="G1758" s="3">
        <v>1.15964015224984E-4</v>
      </c>
      <c r="H1758" s="3">
        <v>1.15964015224984E-4</v>
      </c>
      <c r="I1758" s="3">
        <v>1.50619943291724E-3</v>
      </c>
      <c r="J1758" s="3">
        <v>6.4079495983411002E-3</v>
      </c>
      <c r="K1758" s="3">
        <v>1.04664585645466E-2</v>
      </c>
      <c r="L1758" s="3">
        <v>0.101152508935912</v>
      </c>
      <c r="M1758" s="3">
        <v>7.0752442650834496E-2</v>
      </c>
      <c r="N1758" s="3">
        <v>3.7750165180430201E-2</v>
      </c>
      <c r="O1758" s="3">
        <v>2.59540226229047E-2</v>
      </c>
      <c r="P1758" s="3">
        <v>2.4248382178724499E-2</v>
      </c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</row>
    <row r="1759" spans="1:35" x14ac:dyDescent="0.45">
      <c r="A1759" s="3" t="s">
        <v>74</v>
      </c>
      <c r="B1759" s="3" t="s">
        <v>25</v>
      </c>
      <c r="C1759" s="3" t="s">
        <v>19</v>
      </c>
      <c r="D1759" s="3" t="s">
        <v>13</v>
      </c>
      <c r="E1759" s="3" t="s">
        <v>32</v>
      </c>
      <c r="F1759" s="3">
        <v>0</v>
      </c>
      <c r="G1759" s="3">
        <v>3.7863386616569798E-3</v>
      </c>
      <c r="H1759" s="3">
        <v>3.7863386616569798E-3</v>
      </c>
      <c r="I1759" s="3">
        <v>1.3583025669982899E-2</v>
      </c>
      <c r="J1759" s="3">
        <v>1.1599354772800399E-2</v>
      </c>
      <c r="K1759" s="3">
        <v>1.99150554393164E-2</v>
      </c>
      <c r="L1759" s="3">
        <v>4.8832271461110598E-2</v>
      </c>
      <c r="M1759" s="3">
        <v>5.3719589464632303E-2</v>
      </c>
      <c r="N1759" s="3">
        <v>5.5580097987070899E-2</v>
      </c>
      <c r="O1759" s="3">
        <v>4.7461546093627301E-2</v>
      </c>
      <c r="P1759" s="3">
        <v>3.9736113662097297E-2</v>
      </c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</row>
    <row r="1760" spans="1:35" x14ac:dyDescent="0.45">
      <c r="A1760" s="3" t="s">
        <v>74</v>
      </c>
      <c r="B1760" s="3" t="s">
        <v>25</v>
      </c>
      <c r="C1760" s="3" t="s">
        <v>19</v>
      </c>
      <c r="D1760" s="3" t="s">
        <v>14</v>
      </c>
      <c r="E1760" s="3" t="s">
        <v>32</v>
      </c>
      <c r="F1760" s="3">
        <v>0</v>
      </c>
      <c r="G1760" s="3">
        <v>1.2428425967378399E-2</v>
      </c>
      <c r="H1760" s="3">
        <v>1.2428425967378399E-2</v>
      </c>
      <c r="I1760" s="3">
        <v>2.0172873005971599E-2</v>
      </c>
      <c r="J1760" s="3">
        <v>2.2681177225908601E-2</v>
      </c>
      <c r="K1760" s="3">
        <v>2.7366570081748299E-2</v>
      </c>
      <c r="L1760" s="3">
        <v>5.1655415330581503E-2</v>
      </c>
      <c r="M1760" s="3">
        <v>4.7557363985612403E-2</v>
      </c>
      <c r="N1760" s="3">
        <v>5.18086060613622E-2</v>
      </c>
      <c r="O1760" s="3">
        <v>5.18752650787161E-2</v>
      </c>
      <c r="P1760" s="3">
        <v>5.5631978314769397E-2</v>
      </c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</row>
    <row r="1761" spans="1:35" x14ac:dyDescent="0.45">
      <c r="A1761" s="3" t="s">
        <v>74</v>
      </c>
      <c r="B1761" s="3" t="s">
        <v>24</v>
      </c>
      <c r="C1761" s="3" t="s">
        <v>6</v>
      </c>
      <c r="D1761" s="3" t="s">
        <v>7</v>
      </c>
      <c r="E1761" s="3" t="s">
        <v>32</v>
      </c>
      <c r="F1761" s="3">
        <v>0</v>
      </c>
      <c r="G1761" s="3">
        <v>0</v>
      </c>
      <c r="H1761" s="3">
        <v>0</v>
      </c>
      <c r="I1761" s="3">
        <v>0</v>
      </c>
      <c r="J1761" s="3">
        <v>1.02327323883794E-3</v>
      </c>
      <c r="K1761" s="3">
        <v>7.4684060879356799E-3</v>
      </c>
      <c r="L1761" s="3">
        <v>3.0205857442731801E-3</v>
      </c>
      <c r="M1761" s="3">
        <v>2.24545535910842E-3</v>
      </c>
      <c r="N1761" s="3">
        <v>1.72270789902295E-3</v>
      </c>
      <c r="O1761" s="3">
        <v>1.2685424288355299E-3</v>
      </c>
      <c r="P1761" s="3">
        <v>8.8797970018487005E-4</v>
      </c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</row>
    <row r="1762" spans="1:35" x14ac:dyDescent="0.45">
      <c r="A1762" s="3" t="s">
        <v>74</v>
      </c>
      <c r="B1762" s="3" t="s">
        <v>24</v>
      </c>
      <c r="C1762" s="3" t="s">
        <v>6</v>
      </c>
      <c r="D1762" s="3" t="s">
        <v>9</v>
      </c>
      <c r="E1762" s="3" t="s">
        <v>32</v>
      </c>
      <c r="F1762" s="3">
        <v>0</v>
      </c>
      <c r="G1762" s="3">
        <v>0</v>
      </c>
      <c r="H1762" s="3">
        <v>0</v>
      </c>
      <c r="I1762" s="3">
        <v>0</v>
      </c>
      <c r="J1762" s="3">
        <v>3.8020353158797599E-3</v>
      </c>
      <c r="K1762" s="3">
        <v>2.9638706812461198E-3</v>
      </c>
      <c r="L1762" s="3">
        <v>5.6078567477613897E-3</v>
      </c>
      <c r="M1762" s="3">
        <v>4.6990458329968701E-3</v>
      </c>
      <c r="N1762" s="3">
        <v>5.2217932930823403E-3</v>
      </c>
      <c r="O1762" s="3">
        <v>5.6759587632697599E-3</v>
      </c>
      <c r="P1762" s="3">
        <v>0.17368252863424799</v>
      </c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</row>
    <row r="1763" spans="1:35" x14ac:dyDescent="0.45">
      <c r="A1763" s="3" t="s">
        <v>74</v>
      </c>
      <c r="B1763" s="3" t="s">
        <v>24</v>
      </c>
      <c r="C1763" s="3" t="s">
        <v>6</v>
      </c>
      <c r="D1763" s="3" t="s">
        <v>10</v>
      </c>
      <c r="E1763" s="3" t="s">
        <v>32</v>
      </c>
      <c r="F1763" s="3">
        <v>0</v>
      </c>
      <c r="G1763" s="3">
        <v>0</v>
      </c>
      <c r="H1763" s="3">
        <v>0</v>
      </c>
      <c r="I1763" s="3">
        <v>0</v>
      </c>
      <c r="J1763" s="3">
        <v>2.3206424611672198E-3</v>
      </c>
      <c r="K1763" s="3">
        <v>5.6113449152079902E-4</v>
      </c>
      <c r="L1763" s="3">
        <v>6.8807760081158998E-4</v>
      </c>
      <c r="M1763" s="3">
        <v>0.653311693727609</v>
      </c>
      <c r="N1763" s="3">
        <v>1.69158260226107</v>
      </c>
      <c r="O1763" s="3">
        <v>2.62972668141088</v>
      </c>
      <c r="P1763" s="3">
        <v>3.2898295623011502</v>
      </c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</row>
    <row r="1764" spans="1:35" x14ac:dyDescent="0.45">
      <c r="A1764" s="3" t="s">
        <v>74</v>
      </c>
      <c r="B1764" s="3" t="s">
        <v>24</v>
      </c>
      <c r="C1764" s="3" t="s">
        <v>6</v>
      </c>
      <c r="D1764" s="3" t="s">
        <v>11</v>
      </c>
      <c r="E1764" s="3" t="s">
        <v>32</v>
      </c>
      <c r="F1764" s="3">
        <v>0</v>
      </c>
      <c r="G1764" s="3">
        <v>0</v>
      </c>
      <c r="H1764" s="3">
        <v>0</v>
      </c>
      <c r="I1764" s="3">
        <v>0</v>
      </c>
      <c r="J1764" s="3">
        <v>3.00085823975228E-3</v>
      </c>
      <c r="K1764" s="3">
        <v>0.67406374137551806</v>
      </c>
      <c r="L1764" s="3">
        <v>1.8225643674730201</v>
      </c>
      <c r="M1764" s="3">
        <v>2.1150065218099301</v>
      </c>
      <c r="N1764" s="3">
        <v>1.9790670196037099</v>
      </c>
      <c r="O1764" s="3">
        <v>1.8533458106631799</v>
      </c>
      <c r="P1764" s="3">
        <v>1.7851809001857399</v>
      </c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</row>
    <row r="1765" spans="1:35" x14ac:dyDescent="0.45">
      <c r="A1765" s="3" t="s">
        <v>74</v>
      </c>
      <c r="B1765" s="3" t="s">
        <v>24</v>
      </c>
      <c r="C1765" s="3" t="s">
        <v>6</v>
      </c>
      <c r="D1765" s="3" t="s">
        <v>12</v>
      </c>
      <c r="E1765" s="3" t="s">
        <v>32</v>
      </c>
      <c r="F1765" s="3">
        <v>0</v>
      </c>
      <c r="G1765" s="3">
        <v>0</v>
      </c>
      <c r="H1765" s="3">
        <v>0</v>
      </c>
      <c r="I1765" s="3">
        <v>0</v>
      </c>
      <c r="J1765" s="3">
        <v>1.28893741680068</v>
      </c>
      <c r="K1765" s="3">
        <v>1.91594346448914</v>
      </c>
      <c r="L1765" s="3">
        <v>1.65157749616262</v>
      </c>
      <c r="M1765" s="3">
        <v>1.5629362224572001</v>
      </c>
      <c r="N1765" s="3">
        <v>1.44800020918049</v>
      </c>
      <c r="O1765" s="3">
        <v>1.3931003156030299</v>
      </c>
      <c r="P1765" s="3">
        <v>1.3454970152616601</v>
      </c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</row>
    <row r="1766" spans="1:35" x14ac:dyDescent="0.45">
      <c r="A1766" s="3" t="s">
        <v>74</v>
      </c>
      <c r="B1766" s="3" t="s">
        <v>24</v>
      </c>
      <c r="C1766" s="3" t="s">
        <v>6</v>
      </c>
      <c r="D1766" s="3" t="s">
        <v>13</v>
      </c>
      <c r="E1766" s="3" t="s">
        <v>32</v>
      </c>
      <c r="F1766" s="3">
        <v>0</v>
      </c>
      <c r="G1766" s="3">
        <v>0</v>
      </c>
      <c r="H1766" s="3">
        <v>0</v>
      </c>
      <c r="I1766" s="3">
        <v>2.2066538044169999</v>
      </c>
      <c r="J1766" s="3">
        <v>2.41116974885372</v>
      </c>
      <c r="K1766" s="3">
        <v>2.01498021522668</v>
      </c>
      <c r="L1766" s="3">
        <v>2.0542734881515701</v>
      </c>
      <c r="M1766" s="3">
        <v>2.3617235457965302</v>
      </c>
      <c r="N1766" s="3">
        <v>2.76770381348534</v>
      </c>
      <c r="O1766" s="3">
        <v>3.2611697383812701</v>
      </c>
      <c r="P1766" s="3">
        <v>3.8380855724813201</v>
      </c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</row>
    <row r="1767" spans="1:35" x14ac:dyDescent="0.45">
      <c r="A1767" s="3" t="s">
        <v>74</v>
      </c>
      <c r="B1767" s="3" t="s">
        <v>24</v>
      </c>
      <c r="C1767" s="3" t="s">
        <v>6</v>
      </c>
      <c r="D1767" s="3" t="s">
        <v>14</v>
      </c>
      <c r="E1767" s="3" t="s">
        <v>32</v>
      </c>
      <c r="F1767" s="3">
        <v>0</v>
      </c>
      <c r="G1767" s="3">
        <v>1.3273226376318501</v>
      </c>
      <c r="H1767" s="3">
        <v>1.3273226376318501</v>
      </c>
      <c r="I1767" s="3">
        <v>1.30519043181951</v>
      </c>
      <c r="J1767" s="3">
        <v>1.3723193991378899</v>
      </c>
      <c r="K1767" s="3">
        <v>1.8269065867909899</v>
      </c>
      <c r="L1767" s="3">
        <v>2.4683577710964002</v>
      </c>
      <c r="M1767" s="3">
        <v>3.0302214328719899</v>
      </c>
      <c r="N1767" s="3">
        <v>3.3573181841602802</v>
      </c>
      <c r="O1767" s="3">
        <v>3.4582365917026299</v>
      </c>
      <c r="P1767" s="3">
        <v>3.5076438904707001</v>
      </c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</row>
    <row r="1768" spans="1:35" x14ac:dyDescent="0.45">
      <c r="A1768" s="3" t="s">
        <v>74</v>
      </c>
      <c r="B1768" s="3" t="s">
        <v>24</v>
      </c>
      <c r="C1768" s="3" t="s">
        <v>15</v>
      </c>
      <c r="D1768" s="3" t="s">
        <v>7</v>
      </c>
      <c r="E1768" s="3" t="s">
        <v>32</v>
      </c>
      <c r="F1768" s="3">
        <v>0.36914141723791299</v>
      </c>
      <c r="G1768" s="3">
        <v>0.59445892519721799</v>
      </c>
      <c r="H1768" s="3">
        <v>0.59445892519721799</v>
      </c>
      <c r="I1768" s="3">
        <v>0.76931577197552803</v>
      </c>
      <c r="J1768" s="3">
        <v>0.90727103847734503</v>
      </c>
      <c r="K1768" s="3">
        <v>0.97231446214796102</v>
      </c>
      <c r="L1768" s="3">
        <v>0.94985561585677203</v>
      </c>
      <c r="M1768" s="3">
        <v>1.0305258234089201</v>
      </c>
      <c r="N1768" s="3">
        <v>0.99273742756995098</v>
      </c>
      <c r="O1768" s="3">
        <v>1.0083149158072</v>
      </c>
      <c r="P1768" s="3">
        <v>1.0243946420708301</v>
      </c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</row>
    <row r="1769" spans="1:35" x14ac:dyDescent="0.45">
      <c r="A1769" s="3" t="s">
        <v>74</v>
      </c>
      <c r="B1769" s="3" t="s">
        <v>24</v>
      </c>
      <c r="C1769" s="3" t="s">
        <v>15</v>
      </c>
      <c r="D1769" s="3" t="s">
        <v>9</v>
      </c>
      <c r="E1769" s="3" t="s">
        <v>32</v>
      </c>
      <c r="F1769" s="3">
        <v>0</v>
      </c>
      <c r="G1769" s="3">
        <v>7.3054081069897997E-2</v>
      </c>
      <c r="H1769" s="3">
        <v>7.3054081069897997E-2</v>
      </c>
      <c r="I1769" s="3">
        <v>9.82327339951969E-2</v>
      </c>
      <c r="J1769" s="3">
        <v>0.156500156981695</v>
      </c>
      <c r="K1769" s="3">
        <v>9.6625237071518905E-2</v>
      </c>
      <c r="L1769" s="3">
        <v>0.15471803451965799</v>
      </c>
      <c r="M1769" s="3">
        <v>0.33533618413145999</v>
      </c>
      <c r="N1769" s="3">
        <v>0.42154233141402903</v>
      </c>
      <c r="O1769" s="3">
        <v>0.43183624982099</v>
      </c>
      <c r="P1769" s="3">
        <v>0.43037806288343999</v>
      </c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</row>
    <row r="1770" spans="1:35" x14ac:dyDescent="0.45">
      <c r="A1770" s="3" t="s">
        <v>74</v>
      </c>
      <c r="B1770" s="3" t="s">
        <v>24</v>
      </c>
      <c r="C1770" s="3" t="s">
        <v>15</v>
      </c>
      <c r="D1770" s="3" t="s">
        <v>10</v>
      </c>
      <c r="E1770" s="3" t="s">
        <v>32</v>
      </c>
      <c r="F1770" s="3">
        <v>0</v>
      </c>
      <c r="G1770" s="3">
        <v>8.0001208696099894E-3</v>
      </c>
      <c r="H1770" s="3">
        <v>8.0001208696099894E-3</v>
      </c>
      <c r="I1770" s="3">
        <v>3.6455284057420601E-3</v>
      </c>
      <c r="J1770" s="3">
        <v>1.436307968652E-2</v>
      </c>
      <c r="K1770" s="3">
        <v>0.16920284894783999</v>
      </c>
      <c r="L1770" s="3">
        <v>0.20460465510173001</v>
      </c>
      <c r="M1770" s="3">
        <v>-3.4538245093200799E-3</v>
      </c>
      <c r="N1770" s="3">
        <v>-4.22316698985004E-3</v>
      </c>
      <c r="O1770" s="3">
        <v>1.8749494889249901E-2</v>
      </c>
      <c r="P1770" s="3">
        <v>2.850476977758E-2</v>
      </c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</row>
    <row r="1771" spans="1:35" x14ac:dyDescent="0.45">
      <c r="A1771" s="3" t="s">
        <v>74</v>
      </c>
      <c r="B1771" s="3" t="s">
        <v>24</v>
      </c>
      <c r="C1771" s="3" t="s">
        <v>15</v>
      </c>
      <c r="D1771" s="3" t="s">
        <v>11</v>
      </c>
      <c r="E1771" s="3" t="s">
        <v>32</v>
      </c>
      <c r="F1771" s="3">
        <v>0</v>
      </c>
      <c r="G1771" s="3">
        <v>-2.2754412144077901E-2</v>
      </c>
      <c r="H1771" s="3">
        <v>-2.2754412144077901E-2</v>
      </c>
      <c r="I1771" s="3">
        <v>4.3570585315420001E-3</v>
      </c>
      <c r="J1771" s="3">
        <v>0.12930838876970999</v>
      </c>
      <c r="K1771" s="3">
        <v>1.5919650993299101E-3</v>
      </c>
      <c r="L1771" s="3">
        <v>4.6577286469951003E-5</v>
      </c>
      <c r="M1771" s="3">
        <v>1.723315388959E-2</v>
      </c>
      <c r="N1771" s="3">
        <v>3.7336741519440102E-2</v>
      </c>
      <c r="O1771" s="3">
        <v>1.87744273261501E-2</v>
      </c>
      <c r="P1771" s="3">
        <v>9.3561868431200103E-3</v>
      </c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</row>
    <row r="1772" spans="1:35" x14ac:dyDescent="0.45">
      <c r="A1772" s="3" t="s">
        <v>74</v>
      </c>
      <c r="B1772" s="3" t="s">
        <v>24</v>
      </c>
      <c r="C1772" s="3" t="s">
        <v>15</v>
      </c>
      <c r="D1772" s="3" t="s">
        <v>12</v>
      </c>
      <c r="E1772" s="3" t="s">
        <v>32</v>
      </c>
      <c r="F1772" s="3">
        <v>0</v>
      </c>
      <c r="G1772" s="3">
        <v>1.8241418729355901E-2</v>
      </c>
      <c r="H1772" s="3">
        <v>1.8241418729355901E-2</v>
      </c>
      <c r="I1772" s="3">
        <v>0.154138919661961</v>
      </c>
      <c r="J1772" s="3">
        <v>3.9759046150600304E-3</v>
      </c>
      <c r="K1772" s="3">
        <v>2.242860989161E-2</v>
      </c>
      <c r="L1772" s="3">
        <v>3.6400683712119998E-2</v>
      </c>
      <c r="M1772" s="3">
        <v>3.4097090033060197E-2</v>
      </c>
      <c r="N1772" s="3">
        <v>1.8164225918960102E-2</v>
      </c>
      <c r="O1772" s="3">
        <v>1.09129716006799E-2</v>
      </c>
      <c r="P1772" s="3">
        <v>1.00671019620397E-2</v>
      </c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</row>
    <row r="1773" spans="1:35" x14ac:dyDescent="0.45">
      <c r="A1773" s="3" t="s">
        <v>74</v>
      </c>
      <c r="B1773" s="3" t="s">
        <v>24</v>
      </c>
      <c r="C1773" s="3" t="s">
        <v>15</v>
      </c>
      <c r="D1773" s="3" t="s">
        <v>13</v>
      </c>
      <c r="E1773" s="3" t="s">
        <v>32</v>
      </c>
      <c r="F1773" s="3">
        <v>0</v>
      </c>
      <c r="G1773" s="3">
        <v>0.115581092381179</v>
      </c>
      <c r="H1773" s="3">
        <v>0.115581092381179</v>
      </c>
      <c r="I1773" s="3">
        <v>0.12841260868910001</v>
      </c>
      <c r="J1773" s="3">
        <v>7.0730534869629894E-2</v>
      </c>
      <c r="K1773" s="3">
        <v>6.9764093890410106E-2</v>
      </c>
      <c r="L1773" s="3">
        <v>4.8864829940040003E-2</v>
      </c>
      <c r="M1773" s="3">
        <v>3.69224901730398E-2</v>
      </c>
      <c r="N1773" s="3">
        <v>3.0886053874809902E-2</v>
      </c>
      <c r="O1773" s="3">
        <v>2.7419517907469899E-2</v>
      </c>
      <c r="P1773" s="3">
        <v>2.0998866037400098E-2</v>
      </c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</row>
    <row r="1774" spans="1:35" x14ac:dyDescent="0.45">
      <c r="A1774" s="3" t="s">
        <v>74</v>
      </c>
      <c r="B1774" s="3" t="s">
        <v>24</v>
      </c>
      <c r="C1774" s="3" t="s">
        <v>15</v>
      </c>
      <c r="D1774" s="3" t="s">
        <v>14</v>
      </c>
      <c r="E1774" s="3" t="s">
        <v>32</v>
      </c>
      <c r="F1774" s="3">
        <v>0</v>
      </c>
      <c r="G1774" s="3">
        <v>5.9923890494133901E-2</v>
      </c>
      <c r="H1774" s="3">
        <v>5.9923890494133901E-2</v>
      </c>
      <c r="I1774" s="3">
        <v>1.105324244373E-2</v>
      </c>
      <c r="J1774" s="3">
        <v>4.38127550496301E-2</v>
      </c>
      <c r="K1774" s="3">
        <v>4.1231377095739999E-2</v>
      </c>
      <c r="L1774" s="3">
        <v>3.7305479565330001E-2</v>
      </c>
      <c r="M1774" s="3">
        <v>3.2870737045689997E-2</v>
      </c>
      <c r="N1774" s="3">
        <v>2.9597095216199701E-2</v>
      </c>
      <c r="O1774" s="3">
        <v>2.60047874613498E-2</v>
      </c>
      <c r="P1774" s="3">
        <v>8.3902493891398998E-3</v>
      </c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</row>
    <row r="1775" spans="1:35" x14ac:dyDescent="0.45">
      <c r="A1775" s="3" t="s">
        <v>74</v>
      </c>
      <c r="B1775" s="3" t="s">
        <v>24</v>
      </c>
      <c r="C1775" s="3" t="s">
        <v>16</v>
      </c>
      <c r="D1775" s="3" t="s">
        <v>7</v>
      </c>
      <c r="E1775" s="3" t="s">
        <v>32</v>
      </c>
      <c r="F1775" s="3">
        <v>1.6741254628772599</v>
      </c>
      <c r="G1775" s="3">
        <v>1.4468891120314</v>
      </c>
      <c r="H1775" s="3">
        <v>1.4468891120314</v>
      </c>
      <c r="I1775" s="3">
        <v>1.0159807465922399</v>
      </c>
      <c r="J1775" s="3">
        <v>0.70162964796845895</v>
      </c>
      <c r="K1775" s="3">
        <v>0.293442048354567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</row>
    <row r="1776" spans="1:35" x14ac:dyDescent="0.45">
      <c r="A1776" s="3" t="s">
        <v>74</v>
      </c>
      <c r="B1776" s="3" t="s">
        <v>24</v>
      </c>
      <c r="C1776" s="3" t="s">
        <v>16</v>
      </c>
      <c r="D1776" s="3" t="s">
        <v>9</v>
      </c>
      <c r="E1776" s="3" t="s">
        <v>32</v>
      </c>
      <c r="F1776" s="3">
        <v>0</v>
      </c>
      <c r="G1776" s="3">
        <v>1.7388856311995E-4</v>
      </c>
      <c r="H1776" s="3">
        <v>1.7388856311995E-4</v>
      </c>
      <c r="I1776" s="3">
        <v>-4.6763060882981699E-4</v>
      </c>
      <c r="J1776" s="3">
        <v>-1.08127227949062E-7</v>
      </c>
      <c r="K1776" s="3">
        <v>-7.6650915004083902E-8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</row>
    <row r="1777" spans="1:35" x14ac:dyDescent="0.45">
      <c r="A1777" s="3" t="s">
        <v>74</v>
      </c>
      <c r="B1777" s="3" t="s">
        <v>24</v>
      </c>
      <c r="C1777" s="3" t="s">
        <v>16</v>
      </c>
      <c r="D1777" s="3" t="s">
        <v>10</v>
      </c>
      <c r="E1777" s="3" t="s">
        <v>32</v>
      </c>
      <c r="F1777" s="3">
        <v>0</v>
      </c>
      <c r="G1777" s="3">
        <v>4.0914956030091398E-5</v>
      </c>
      <c r="H1777" s="3">
        <v>4.0914956030091398E-5</v>
      </c>
      <c r="I1777" s="3">
        <v>1.72441100998455E-6</v>
      </c>
      <c r="J1777" s="3">
        <v>-2.5593603014684199E-8</v>
      </c>
      <c r="K1777" s="3">
        <v>-1.8141788016290399E-8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</row>
    <row r="1778" spans="1:35" x14ac:dyDescent="0.45">
      <c r="A1778" s="3" t="s">
        <v>74</v>
      </c>
      <c r="B1778" s="3" t="s">
        <v>24</v>
      </c>
      <c r="C1778" s="3" t="s">
        <v>16</v>
      </c>
      <c r="D1778" s="3" t="s">
        <v>11</v>
      </c>
      <c r="E1778" s="3" t="s">
        <v>32</v>
      </c>
      <c r="F1778" s="3">
        <v>0</v>
      </c>
      <c r="G1778" s="3">
        <v>3.8408553683000302E-4</v>
      </c>
      <c r="H1778" s="3">
        <v>3.8408553683000302E-4</v>
      </c>
      <c r="I1778" s="3">
        <v>-1.0981958440181601E-5</v>
      </c>
      <c r="J1778" s="3">
        <v>0</v>
      </c>
      <c r="K1778" s="3">
        <v>4.3252057585502202E-4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</row>
    <row r="1779" spans="1:35" x14ac:dyDescent="0.45">
      <c r="A1779" s="3" t="s">
        <v>74</v>
      </c>
      <c r="B1779" s="3" t="s">
        <v>24</v>
      </c>
      <c r="C1779" s="3" t="s">
        <v>16</v>
      </c>
      <c r="D1779" s="3" t="s">
        <v>12</v>
      </c>
      <c r="E1779" s="3" t="s">
        <v>32</v>
      </c>
      <c r="F1779" s="3">
        <v>0</v>
      </c>
      <c r="G1779" s="3">
        <v>7.1802590498992703E-4</v>
      </c>
      <c r="H1779" s="3">
        <v>7.1802590498992703E-4</v>
      </c>
      <c r="I1779" s="3">
        <v>-8.5645540919943004E-5</v>
      </c>
      <c r="J1779" s="3">
        <v>-2.1265376705454999E-2</v>
      </c>
      <c r="K1779" s="3">
        <v>-1.37469419736469E-8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</row>
    <row r="1780" spans="1:35" x14ac:dyDescent="0.45">
      <c r="A1780" s="3" t="s">
        <v>74</v>
      </c>
      <c r="B1780" s="3" t="s">
        <v>24</v>
      </c>
      <c r="C1780" s="3" t="s">
        <v>16</v>
      </c>
      <c r="D1780" s="3" t="s">
        <v>13</v>
      </c>
      <c r="E1780" s="3" t="s">
        <v>32</v>
      </c>
      <c r="F1780" s="3">
        <v>0</v>
      </c>
      <c r="G1780" s="3">
        <v>3.8515875152500502E-3</v>
      </c>
      <c r="H1780" s="3">
        <v>3.8515875152500502E-3</v>
      </c>
      <c r="I1780" s="3">
        <v>-4.3237797990633001E-2</v>
      </c>
      <c r="J1780" s="3">
        <v>1.76776267069023E-7</v>
      </c>
      <c r="K1780" s="3">
        <v>-3.4296616702178502E-7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</row>
    <row r="1781" spans="1:35" x14ac:dyDescent="0.45">
      <c r="A1781" s="3" t="s">
        <v>74</v>
      </c>
      <c r="B1781" s="3" t="s">
        <v>24</v>
      </c>
      <c r="C1781" s="3" t="s">
        <v>16</v>
      </c>
      <c r="D1781" s="3" t="s">
        <v>14</v>
      </c>
      <c r="E1781" s="3" t="s">
        <v>32</v>
      </c>
      <c r="F1781" s="3">
        <v>0</v>
      </c>
      <c r="G1781" s="3">
        <v>-5.3820962569269999E-2</v>
      </c>
      <c r="H1781" s="3">
        <v>-5.3820962569269999E-2</v>
      </c>
      <c r="I1781" s="3">
        <v>-2.5369752334958001E-2</v>
      </c>
      <c r="J1781" s="3">
        <v>1.91942581084803E-3</v>
      </c>
      <c r="K1781" s="3">
        <v>6.8134525699203905E-7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</row>
    <row r="1782" spans="1:35" x14ac:dyDescent="0.45">
      <c r="A1782" s="3" t="s">
        <v>74</v>
      </c>
      <c r="B1782" s="3" t="s">
        <v>24</v>
      </c>
      <c r="C1782" s="3" t="s">
        <v>17</v>
      </c>
      <c r="D1782" s="3" t="s">
        <v>7</v>
      </c>
      <c r="E1782" s="3" t="s">
        <v>32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0.130556546214571</v>
      </c>
      <c r="L1782" s="3">
        <v>0.113621442958258</v>
      </c>
      <c r="M1782" s="3">
        <v>7.2801595863052099E-2</v>
      </c>
      <c r="N1782" s="3">
        <v>6.18306991017923E-2</v>
      </c>
      <c r="O1782" s="3">
        <v>5.0196619144137998E-2</v>
      </c>
      <c r="P1782" s="3">
        <v>5.0196619144137998E-2</v>
      </c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</row>
    <row r="1783" spans="1:35" x14ac:dyDescent="0.45">
      <c r="A1783" s="3" t="s">
        <v>74</v>
      </c>
      <c r="B1783" s="3" t="s">
        <v>24</v>
      </c>
      <c r="C1783" s="3" t="s">
        <v>17</v>
      </c>
      <c r="D1783" s="3" t="s">
        <v>9</v>
      </c>
      <c r="E1783" s="3" t="s">
        <v>32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1.0106841007885E-2</v>
      </c>
      <c r="L1783" s="3">
        <v>2.0602275986751E-2</v>
      </c>
      <c r="M1783" s="3">
        <v>2.8682681122164901E-2</v>
      </c>
      <c r="N1783" s="3">
        <v>1.9262255590023099E-2</v>
      </c>
      <c r="O1783" s="3">
        <v>2.4089079990844399E-2</v>
      </c>
      <c r="P1783" s="3">
        <v>1.9855900103030701E-2</v>
      </c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</row>
    <row r="1784" spans="1:35" x14ac:dyDescent="0.45">
      <c r="A1784" s="3" t="s">
        <v>74</v>
      </c>
      <c r="B1784" s="3" t="s">
        <v>24</v>
      </c>
      <c r="C1784" s="3" t="s">
        <v>17</v>
      </c>
      <c r="D1784" s="3" t="s">
        <v>10</v>
      </c>
      <c r="E1784" s="3" t="s">
        <v>32</v>
      </c>
      <c r="F1784" s="3">
        <v>0</v>
      </c>
      <c r="G1784" s="3">
        <v>0</v>
      </c>
      <c r="H1784" s="3">
        <v>0</v>
      </c>
      <c r="I1784" s="3">
        <v>0</v>
      </c>
      <c r="J1784" s="3">
        <v>1.32767953123551E-3</v>
      </c>
      <c r="K1784" s="3">
        <v>1.3413269649874E-2</v>
      </c>
      <c r="L1784" s="3">
        <v>1.8365510760336001E-2</v>
      </c>
      <c r="M1784" s="3">
        <v>2.6749580113695999E-2</v>
      </c>
      <c r="N1784" s="3">
        <v>0.57854042337166001</v>
      </c>
      <c r="O1784" s="3">
        <v>0.71012380593441204</v>
      </c>
      <c r="P1784" s="3">
        <v>0.71435698582222695</v>
      </c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</row>
    <row r="1785" spans="1:35" x14ac:dyDescent="0.45">
      <c r="A1785" s="3" t="s">
        <v>74</v>
      </c>
      <c r="B1785" s="3" t="s">
        <v>24</v>
      </c>
      <c r="C1785" s="3" t="s">
        <v>17</v>
      </c>
      <c r="D1785" s="3" t="s">
        <v>11</v>
      </c>
      <c r="E1785" s="3" t="s">
        <v>32</v>
      </c>
      <c r="F1785" s="3">
        <v>0</v>
      </c>
      <c r="G1785" s="3">
        <v>0</v>
      </c>
      <c r="H1785" s="3">
        <v>0</v>
      </c>
      <c r="I1785" s="3">
        <v>0</v>
      </c>
      <c r="J1785" s="3">
        <v>9.3316150697014908E-3</v>
      </c>
      <c r="K1785" s="3">
        <v>3.5704656422842998E-2</v>
      </c>
      <c r="L1785" s="3">
        <v>0.632673388073139</v>
      </c>
      <c r="M1785" s="3">
        <v>0.657630969371514</v>
      </c>
      <c r="N1785" s="3">
        <v>0.126231448406951</v>
      </c>
      <c r="O1785" s="3">
        <v>1.45532140103199E-3</v>
      </c>
      <c r="P1785" s="3">
        <v>1.4553214010309999E-3</v>
      </c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</row>
    <row r="1786" spans="1:35" x14ac:dyDescent="0.45">
      <c r="A1786" s="3" t="s">
        <v>74</v>
      </c>
      <c r="B1786" s="3" t="s">
        <v>24</v>
      </c>
      <c r="C1786" s="3" t="s">
        <v>17</v>
      </c>
      <c r="D1786" s="3" t="s">
        <v>12</v>
      </c>
      <c r="E1786" s="3" t="s">
        <v>32</v>
      </c>
      <c r="F1786" s="3">
        <v>0</v>
      </c>
      <c r="G1786" s="3">
        <v>0</v>
      </c>
      <c r="H1786" s="3">
        <v>0</v>
      </c>
      <c r="I1786" s="3">
        <v>0</v>
      </c>
      <c r="J1786" s="3">
        <v>0.65753877159542695</v>
      </c>
      <c r="K1786" s="3">
        <v>0.59403515114356698</v>
      </c>
      <c r="L1786" s="3">
        <v>-4.0233158208902202E-4</v>
      </c>
      <c r="M1786" s="3">
        <v>-7.7284972521396401E-4</v>
      </c>
      <c r="N1786" s="3">
        <v>-7.7284972521296502E-4</v>
      </c>
      <c r="O1786" s="3">
        <v>1.78293940270025E-4</v>
      </c>
      <c r="P1786" s="3">
        <v>1.9247883531969801E-3</v>
      </c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</row>
    <row r="1787" spans="1:35" x14ac:dyDescent="0.45">
      <c r="A1787" s="3" t="s">
        <v>74</v>
      </c>
      <c r="B1787" s="3" t="s">
        <v>24</v>
      </c>
      <c r="C1787" s="3" t="s">
        <v>17</v>
      </c>
      <c r="D1787" s="3" t="s">
        <v>13</v>
      </c>
      <c r="E1787" s="3" t="s">
        <v>32</v>
      </c>
      <c r="F1787" s="3">
        <v>0</v>
      </c>
      <c r="G1787" s="3">
        <v>0</v>
      </c>
      <c r="H1787" s="3">
        <v>0</v>
      </c>
      <c r="I1787" s="3">
        <v>0.73674952574099195</v>
      </c>
      <c r="J1787" s="3">
        <v>0.12227136650317701</v>
      </c>
      <c r="K1787" s="3">
        <v>9.81530794944507E-3</v>
      </c>
      <c r="L1787" s="3">
        <v>8.8841701877039308E-3</v>
      </c>
      <c r="M1787" s="3">
        <v>8.6524796388859296E-3</v>
      </c>
      <c r="N1787" s="3">
        <v>8.6524796388849409E-3</v>
      </c>
      <c r="O1787" s="3">
        <v>7.7013359734019503E-3</v>
      </c>
      <c r="P1787" s="3">
        <v>5.95484156047499E-3</v>
      </c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</row>
    <row r="1788" spans="1:35" x14ac:dyDescent="0.45">
      <c r="A1788" s="3" t="s">
        <v>74</v>
      </c>
      <c r="B1788" s="3" t="s">
        <v>24</v>
      </c>
      <c r="C1788" s="3" t="s">
        <v>17</v>
      </c>
      <c r="D1788" s="3" t="s">
        <v>14</v>
      </c>
      <c r="E1788" s="3" t="s">
        <v>32</v>
      </c>
      <c r="F1788" s="3">
        <v>0</v>
      </c>
      <c r="G1788" s="3">
        <v>9.0800054716860604E-2</v>
      </c>
      <c r="H1788" s="3">
        <v>9.0800054716860604E-2</v>
      </c>
      <c r="I1788" s="3">
        <v>8.5871787123903004E-2</v>
      </c>
      <c r="J1788" s="3">
        <v>3.6488935623284001E-2</v>
      </c>
      <c r="K1788" s="3">
        <v>3.3326595934639901E-2</v>
      </c>
      <c r="L1788" s="3">
        <v>3.3213911938725998E-2</v>
      </c>
      <c r="M1788" s="3">
        <v>3.3213911938725998E-2</v>
      </c>
      <c r="N1788" s="3">
        <v>3.3213911938725998E-2</v>
      </c>
      <c r="O1788" s="3">
        <v>3.3213911938725998E-2</v>
      </c>
      <c r="P1788" s="3">
        <v>3.3213911938725998E-2</v>
      </c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</row>
    <row r="1789" spans="1:35" x14ac:dyDescent="0.45">
      <c r="A1789" s="3" t="s">
        <v>74</v>
      </c>
      <c r="B1789" s="3" t="s">
        <v>24</v>
      </c>
      <c r="C1789" s="3" t="s">
        <v>18</v>
      </c>
      <c r="D1789" s="3" t="s">
        <v>7</v>
      </c>
      <c r="E1789" s="3" t="s">
        <v>32</v>
      </c>
      <c r="F1789" s="3">
        <v>3.3334159892036501</v>
      </c>
      <c r="G1789" s="3">
        <v>2.3756371419807198</v>
      </c>
      <c r="H1789" s="3">
        <v>2.3756371419807198</v>
      </c>
      <c r="I1789" s="3">
        <v>1.58805865154356</v>
      </c>
      <c r="J1789" s="3">
        <v>0.82495202823050096</v>
      </c>
      <c r="K1789" s="3">
        <v>0.29229657308236301</v>
      </c>
      <c r="L1789" s="3">
        <v>3.3306690738754701E-16</v>
      </c>
      <c r="M1789" s="3">
        <v>0</v>
      </c>
      <c r="N1789" s="3">
        <v>2.2204460492503101E-16</v>
      </c>
      <c r="O1789" s="3">
        <v>0</v>
      </c>
      <c r="P1789" s="3">
        <v>0</v>
      </c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</row>
    <row r="1790" spans="1:35" x14ac:dyDescent="0.45">
      <c r="A1790" s="3" t="s">
        <v>74</v>
      </c>
      <c r="B1790" s="3" t="s">
        <v>24</v>
      </c>
      <c r="C1790" s="3" t="s">
        <v>18</v>
      </c>
      <c r="D1790" s="3" t="s">
        <v>9</v>
      </c>
      <c r="E1790" s="3" t="s">
        <v>32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-3.3306690738754701E-16</v>
      </c>
      <c r="M1790" s="3">
        <v>0</v>
      </c>
      <c r="N1790" s="3">
        <v>-2.2204460492503101E-16</v>
      </c>
      <c r="O1790" s="3">
        <v>4.4408920985006301E-16</v>
      </c>
      <c r="P1790" s="3">
        <v>2.2204460492503101E-16</v>
      </c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</row>
    <row r="1791" spans="1:35" x14ac:dyDescent="0.45">
      <c r="A1791" s="3" t="s">
        <v>74</v>
      </c>
      <c r="B1791" s="3" t="s">
        <v>24</v>
      </c>
      <c r="C1791" s="3" t="s">
        <v>18</v>
      </c>
      <c r="D1791" s="3" t="s">
        <v>10</v>
      </c>
      <c r="E1791" s="3" t="s">
        <v>32</v>
      </c>
      <c r="F1791" s="3">
        <v>0</v>
      </c>
      <c r="G1791" s="3">
        <v>0</v>
      </c>
      <c r="H1791" s="3">
        <v>0</v>
      </c>
      <c r="I1791" s="3">
        <v>0</v>
      </c>
      <c r="J1791" s="3">
        <v>-9.9920072216264108E-16</v>
      </c>
      <c r="K1791" s="3">
        <v>0</v>
      </c>
      <c r="L1791" s="3">
        <v>0</v>
      </c>
      <c r="M1791" s="3">
        <v>0</v>
      </c>
      <c r="N1791" s="3">
        <v>8.8817841970012504E-16</v>
      </c>
      <c r="O1791" s="3">
        <v>4.4408920985006202E-16</v>
      </c>
      <c r="P1791" s="3">
        <v>0</v>
      </c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</row>
    <row r="1792" spans="1:35" x14ac:dyDescent="0.45">
      <c r="A1792" s="3" t="s">
        <v>74</v>
      </c>
      <c r="B1792" s="3" t="s">
        <v>24</v>
      </c>
      <c r="C1792" s="3" t="s">
        <v>18</v>
      </c>
      <c r="D1792" s="3" t="s">
        <v>11</v>
      </c>
      <c r="E1792" s="3" t="s">
        <v>32</v>
      </c>
      <c r="F1792" s="3">
        <v>0</v>
      </c>
      <c r="G1792" s="3">
        <v>0</v>
      </c>
      <c r="H1792" s="3">
        <v>0</v>
      </c>
      <c r="I1792" s="3">
        <v>0</v>
      </c>
      <c r="J1792" s="3">
        <v>9.9920072216264108E-16</v>
      </c>
      <c r="K1792" s="3">
        <v>0</v>
      </c>
      <c r="L1792" s="3">
        <v>0</v>
      </c>
      <c r="M1792" s="3">
        <v>4.4408920985006301E-16</v>
      </c>
      <c r="N1792" s="3">
        <v>0</v>
      </c>
      <c r="O1792" s="3">
        <v>-8.8817841970012504E-16</v>
      </c>
      <c r="P1792" s="3">
        <v>-2.2204460492503101E-16</v>
      </c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</row>
    <row r="1793" spans="1:35" x14ac:dyDescent="0.45">
      <c r="A1793" s="3" t="s">
        <v>74</v>
      </c>
      <c r="B1793" s="3" t="s">
        <v>24</v>
      </c>
      <c r="C1793" s="3" t="s">
        <v>18</v>
      </c>
      <c r="D1793" s="3" t="s">
        <v>12</v>
      </c>
      <c r="E1793" s="3" t="s">
        <v>32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4.4408920985006202E-16</v>
      </c>
      <c r="N1793" s="3">
        <v>-8.8817841970012504E-16</v>
      </c>
      <c r="O1793" s="3">
        <v>0</v>
      </c>
      <c r="P1793" s="3">
        <v>0</v>
      </c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</row>
    <row r="1794" spans="1:35" x14ac:dyDescent="0.45">
      <c r="A1794" s="3" t="s">
        <v>74</v>
      </c>
      <c r="B1794" s="3" t="s">
        <v>24</v>
      </c>
      <c r="C1794" s="3" t="s">
        <v>18</v>
      </c>
      <c r="D1794" s="3" t="s">
        <v>13</v>
      </c>
      <c r="E1794" s="3" t="s">
        <v>32</v>
      </c>
      <c r="F1794" s="3">
        <v>0</v>
      </c>
      <c r="G1794" s="3">
        <v>0</v>
      </c>
      <c r="H1794" s="3">
        <v>0</v>
      </c>
      <c r="I1794" s="3">
        <v>0</v>
      </c>
      <c r="J1794" s="3">
        <v>9.9920072216264108E-16</v>
      </c>
      <c r="K1794" s="3">
        <v>9.9920072216264108E-16</v>
      </c>
      <c r="L1794" s="3">
        <v>0</v>
      </c>
      <c r="M1794" s="3">
        <v>-8.8817841970012504E-16</v>
      </c>
      <c r="N1794" s="3">
        <v>0</v>
      </c>
      <c r="O1794" s="3">
        <v>0</v>
      </c>
      <c r="P1794" s="3">
        <v>6.6613381477509402E-16</v>
      </c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</row>
    <row r="1795" spans="1:35" x14ac:dyDescent="0.45">
      <c r="A1795" s="3" t="s">
        <v>74</v>
      </c>
      <c r="B1795" s="3" t="s">
        <v>24</v>
      </c>
      <c r="C1795" s="3" t="s">
        <v>18</v>
      </c>
      <c r="D1795" s="3" t="s">
        <v>14</v>
      </c>
      <c r="E1795" s="3" t="s">
        <v>32</v>
      </c>
      <c r="F1795" s="3">
        <v>0</v>
      </c>
      <c r="G1795" s="3">
        <v>0</v>
      </c>
      <c r="H1795" s="3">
        <v>0</v>
      </c>
      <c r="I1795" s="3">
        <v>0</v>
      </c>
      <c r="J1795" s="3">
        <v>-9.9920072216264108E-16</v>
      </c>
      <c r="K1795" s="3">
        <v>-9.9920072216264108E-16</v>
      </c>
      <c r="L1795" s="3">
        <v>2.2204460492503101E-16</v>
      </c>
      <c r="M1795" s="3">
        <v>0</v>
      </c>
      <c r="N1795" s="3">
        <v>0</v>
      </c>
      <c r="O1795" s="3">
        <v>1.7763568394002501E-15</v>
      </c>
      <c r="P1795" s="3">
        <v>-6.6613381477509402E-16</v>
      </c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</row>
    <row r="1796" spans="1:35" x14ac:dyDescent="0.45">
      <c r="A1796" s="3" t="s">
        <v>74</v>
      </c>
      <c r="B1796" s="3" t="s">
        <v>24</v>
      </c>
      <c r="C1796" s="3" t="s">
        <v>19</v>
      </c>
      <c r="D1796" s="3" t="s">
        <v>11</v>
      </c>
      <c r="E1796" s="3" t="s">
        <v>32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  <c r="O1796" s="3">
        <v>-1.75171157441321E-4</v>
      </c>
      <c r="P1796" s="3">
        <v>7.6371508230804297E-4</v>
      </c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</row>
    <row r="1797" spans="1:35" x14ac:dyDescent="0.45">
      <c r="A1797" s="3" t="s">
        <v>74</v>
      </c>
      <c r="B1797" s="3" t="s">
        <v>24</v>
      </c>
      <c r="C1797" s="3" t="s">
        <v>19</v>
      </c>
      <c r="D1797" s="3" t="s">
        <v>12</v>
      </c>
      <c r="E1797" s="3" t="s">
        <v>32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  <c r="O1797" s="3">
        <v>-7.3451120177857505E-4</v>
      </c>
      <c r="P1797" s="3">
        <v>7.0256597693055096E-5</v>
      </c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</row>
    <row r="1798" spans="1:35" x14ac:dyDescent="0.45">
      <c r="A1798" s="3" t="s">
        <v>74</v>
      </c>
      <c r="B1798" s="3" t="s">
        <v>24</v>
      </c>
      <c r="C1798" s="3" t="s">
        <v>19</v>
      </c>
      <c r="D1798" s="3" t="s">
        <v>13</v>
      </c>
      <c r="E1798" s="3" t="s">
        <v>32</v>
      </c>
      <c r="F1798" s="3">
        <v>0</v>
      </c>
      <c r="G1798" s="3">
        <v>0</v>
      </c>
      <c r="H1798" s="3">
        <v>0</v>
      </c>
      <c r="I1798" s="3">
        <v>2.5579721340577798E-2</v>
      </c>
      <c r="J1798" s="3">
        <v>1.78161745681997E-2</v>
      </c>
      <c r="K1798" s="3">
        <v>0</v>
      </c>
      <c r="L1798" s="3">
        <v>1.2458863613313701E-3</v>
      </c>
      <c r="M1798" s="3">
        <v>1.8652734921155399E-3</v>
      </c>
      <c r="N1798" s="3">
        <v>1.81364723674309E-3</v>
      </c>
      <c r="O1798" s="3">
        <v>2.6810883900495902E-3</v>
      </c>
      <c r="P1798" s="3">
        <v>1.0506264999169901E-2</v>
      </c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</row>
    <row r="1799" spans="1:35" x14ac:dyDescent="0.45">
      <c r="A1799" s="3" t="s">
        <v>74</v>
      </c>
      <c r="B1799" s="3" t="s">
        <v>24</v>
      </c>
      <c r="C1799" s="3" t="s">
        <v>19</v>
      </c>
      <c r="D1799" s="3" t="s">
        <v>14</v>
      </c>
      <c r="E1799" s="3" t="s">
        <v>32</v>
      </c>
      <c r="F1799" s="3">
        <v>0</v>
      </c>
      <c r="G1799" s="3">
        <v>0</v>
      </c>
      <c r="H1799" s="3">
        <v>0</v>
      </c>
      <c r="I1799" s="3">
        <v>0.298899951644295</v>
      </c>
      <c r="J1799" s="3">
        <v>7.5856473177482106E-2</v>
      </c>
      <c r="K1799" s="3">
        <v>7.0358347041600697E-2</v>
      </c>
      <c r="L1799" s="3">
        <v>6.9906553533123805E-2</v>
      </c>
      <c r="M1799" s="3">
        <v>6.9530147404783499E-2</v>
      </c>
      <c r="N1799" s="3">
        <v>7.1368553651491307E-2</v>
      </c>
      <c r="O1799" s="3">
        <v>7.0492194556814103E-2</v>
      </c>
      <c r="P1799" s="3">
        <v>9.3338245883671997E-2</v>
      </c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</row>
    <row r="1800" spans="1:35" x14ac:dyDescent="0.45">
      <c r="A1800" s="3" t="s">
        <v>75</v>
      </c>
      <c r="B1800" s="3" t="s">
        <v>23</v>
      </c>
      <c r="C1800" s="3" t="s">
        <v>6</v>
      </c>
      <c r="D1800" s="3" t="s">
        <v>7</v>
      </c>
      <c r="E1800" s="3" t="s">
        <v>32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2.72086871047995E-3</v>
      </c>
      <c r="L1800" s="3">
        <v>2.8958015490142801E-3</v>
      </c>
      <c r="M1800" s="3">
        <v>2.1447152981334699E-3</v>
      </c>
      <c r="N1800" s="3">
        <v>1.60249431482105E-3</v>
      </c>
      <c r="O1800" s="3">
        <v>1.20610492981084E-3</v>
      </c>
      <c r="P1800" s="3">
        <v>8.4589664859372501E-4</v>
      </c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</row>
    <row r="1801" spans="1:35" x14ac:dyDescent="0.45">
      <c r="A1801" s="3" t="s">
        <v>75</v>
      </c>
      <c r="B1801" s="3" t="s">
        <v>23</v>
      </c>
      <c r="C1801" s="3" t="s">
        <v>6</v>
      </c>
      <c r="D1801" s="3" t="s">
        <v>9</v>
      </c>
      <c r="E1801" s="3" t="s">
        <v>32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1.6289014386128499E-3</v>
      </c>
      <c r="M1801" s="3">
        <v>4.0639289894229503E-3</v>
      </c>
      <c r="N1801" s="3">
        <v>4.60614997273537E-3</v>
      </c>
      <c r="O1801" s="3">
        <v>5.00253935774558E-3</v>
      </c>
      <c r="P1801" s="3">
        <v>1.45518394455714E-2</v>
      </c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</row>
    <row r="1802" spans="1:35" x14ac:dyDescent="0.45">
      <c r="A1802" s="3" t="s">
        <v>75</v>
      </c>
      <c r="B1802" s="3" t="s">
        <v>23</v>
      </c>
      <c r="C1802" s="3" t="s">
        <v>6</v>
      </c>
      <c r="D1802" s="3" t="s">
        <v>10</v>
      </c>
      <c r="E1802" s="3" t="s">
        <v>32</v>
      </c>
      <c r="F1802" s="3">
        <v>0</v>
      </c>
      <c r="G1802" s="3">
        <v>0</v>
      </c>
      <c r="H1802" s="3">
        <v>0</v>
      </c>
      <c r="I1802" s="3">
        <v>0</v>
      </c>
      <c r="J1802" s="3">
        <v>2.6604194217691498E-3</v>
      </c>
      <c r="K1802" s="3">
        <v>1.69767939917006E-3</v>
      </c>
      <c r="L1802" s="3">
        <v>1.69304799884588E-3</v>
      </c>
      <c r="M1802" s="3">
        <v>2.65442696453425E-2</v>
      </c>
      <c r="N1802" s="3">
        <v>3.1255079192063398E-2</v>
      </c>
      <c r="O1802" s="3">
        <v>3.3577834711019702E-2</v>
      </c>
      <c r="P1802" s="3">
        <v>2.6462054325588499E-2</v>
      </c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</row>
    <row r="1803" spans="1:35" x14ac:dyDescent="0.45">
      <c r="A1803" s="3" t="s">
        <v>75</v>
      </c>
      <c r="B1803" s="3" t="s">
        <v>23</v>
      </c>
      <c r="C1803" s="3" t="s">
        <v>6</v>
      </c>
      <c r="D1803" s="3" t="s">
        <v>11</v>
      </c>
      <c r="E1803" s="3" t="s">
        <v>32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2.4992202616237701E-2</v>
      </c>
      <c r="L1803" s="3">
        <v>2.59583978113791E-2</v>
      </c>
      <c r="M1803" s="3">
        <v>1.1293046915349899E-2</v>
      </c>
      <c r="N1803" s="3">
        <v>0.35272067071105601</v>
      </c>
      <c r="O1803" s="3">
        <v>0.69056668070736504</v>
      </c>
      <c r="P1803" s="3">
        <v>0.85972696480546795</v>
      </c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</row>
    <row r="1804" spans="1:35" x14ac:dyDescent="0.45">
      <c r="A1804" s="3" t="s">
        <v>75</v>
      </c>
      <c r="B1804" s="3" t="s">
        <v>23</v>
      </c>
      <c r="C1804" s="3" t="s">
        <v>6</v>
      </c>
      <c r="D1804" s="3" t="s">
        <v>12</v>
      </c>
      <c r="E1804" s="3" t="s">
        <v>32</v>
      </c>
      <c r="F1804" s="3">
        <v>0</v>
      </c>
      <c r="G1804" s="3">
        <v>0</v>
      </c>
      <c r="H1804" s="3">
        <v>0</v>
      </c>
      <c r="I1804" s="3">
        <v>0</v>
      </c>
      <c r="J1804" s="3">
        <v>2.53088233436599E-2</v>
      </c>
      <c r="K1804" s="3">
        <v>5.8130236447138002E-2</v>
      </c>
      <c r="L1804" s="3">
        <v>0.51170512037635696</v>
      </c>
      <c r="M1804" s="3">
        <v>0.83159244942953403</v>
      </c>
      <c r="N1804" s="3">
        <v>0.535779817600463</v>
      </c>
      <c r="O1804" s="3">
        <v>0.22894317343127099</v>
      </c>
      <c r="P1804" s="3">
        <v>8.5492065992692004E-2</v>
      </c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</row>
    <row r="1805" spans="1:35" x14ac:dyDescent="0.45">
      <c r="A1805" s="3" t="s">
        <v>75</v>
      </c>
      <c r="B1805" s="3" t="s">
        <v>23</v>
      </c>
      <c r="C1805" s="3" t="s">
        <v>6</v>
      </c>
      <c r="D1805" s="3" t="s">
        <v>13</v>
      </c>
      <c r="E1805" s="3" t="s">
        <v>32</v>
      </c>
      <c r="F1805" s="3">
        <v>0</v>
      </c>
      <c r="G1805" s="3">
        <v>0</v>
      </c>
      <c r="H1805" s="3">
        <v>0</v>
      </c>
      <c r="I1805" s="3">
        <v>5.9050605235606901E-2</v>
      </c>
      <c r="J1805" s="3">
        <v>0.63179850594767895</v>
      </c>
      <c r="K1805" s="3">
        <v>0.85973793562816703</v>
      </c>
      <c r="L1805" s="3">
        <v>0.50477709837527096</v>
      </c>
      <c r="M1805" s="3">
        <v>0.26668613871664698</v>
      </c>
      <c r="N1805" s="3">
        <v>0.349820416211721</v>
      </c>
      <c r="O1805" s="3">
        <v>0.44856523140850801</v>
      </c>
      <c r="P1805" s="3">
        <v>0.58475175862128603</v>
      </c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</row>
    <row r="1806" spans="1:35" x14ac:dyDescent="0.45">
      <c r="A1806" s="3" t="s">
        <v>75</v>
      </c>
      <c r="B1806" s="3" t="s">
        <v>23</v>
      </c>
      <c r="C1806" s="3" t="s">
        <v>6</v>
      </c>
      <c r="D1806" s="3" t="s">
        <v>14</v>
      </c>
      <c r="E1806" s="3" t="s">
        <v>32</v>
      </c>
      <c r="F1806" s="3">
        <v>0</v>
      </c>
      <c r="G1806" s="3">
        <v>0.106365726665197</v>
      </c>
      <c r="H1806" s="3">
        <v>0.106365726665197</v>
      </c>
      <c r="I1806" s="3">
        <v>0.72334967592941801</v>
      </c>
      <c r="J1806" s="3">
        <v>0.41673049496431203</v>
      </c>
      <c r="K1806" s="3">
        <v>0.27702846955099703</v>
      </c>
      <c r="L1806" s="3">
        <v>0.32677715879524999</v>
      </c>
      <c r="M1806" s="3">
        <v>0.43069504450180002</v>
      </c>
      <c r="N1806" s="3">
        <v>0.49618866167657</v>
      </c>
      <c r="O1806" s="3">
        <v>0.53956801834596002</v>
      </c>
      <c r="P1806" s="3">
        <v>0.51357156945239002</v>
      </c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</row>
    <row r="1807" spans="1:35" x14ac:dyDescent="0.45">
      <c r="A1807" s="3" t="s">
        <v>75</v>
      </c>
      <c r="B1807" s="3" t="s">
        <v>23</v>
      </c>
      <c r="C1807" s="3" t="s">
        <v>15</v>
      </c>
      <c r="D1807" s="3" t="s">
        <v>7</v>
      </c>
      <c r="E1807" s="3" t="s">
        <v>32</v>
      </c>
      <c r="F1807" s="3">
        <v>0.12112817720002</v>
      </c>
      <c r="G1807" s="3">
        <v>0.160860302831008</v>
      </c>
      <c r="H1807" s="3">
        <v>0.160860302831008</v>
      </c>
      <c r="I1807" s="3">
        <v>0.18625906668345599</v>
      </c>
      <c r="J1807" s="3">
        <v>0.226511470876264</v>
      </c>
      <c r="K1807" s="3">
        <v>0.27244565760642198</v>
      </c>
      <c r="L1807" s="3">
        <v>0.30657127473696699</v>
      </c>
      <c r="M1807" s="3">
        <v>0.32968077024560299</v>
      </c>
      <c r="N1807" s="3">
        <v>0.31431965731950001</v>
      </c>
      <c r="O1807" s="3">
        <v>0.30935975932891902</v>
      </c>
      <c r="P1807" s="3">
        <v>0.30475980219048299</v>
      </c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</row>
    <row r="1808" spans="1:35" x14ac:dyDescent="0.45">
      <c r="A1808" s="3" t="s">
        <v>75</v>
      </c>
      <c r="B1808" s="3" t="s">
        <v>23</v>
      </c>
      <c r="C1808" s="3" t="s">
        <v>15</v>
      </c>
      <c r="D1808" s="3" t="s">
        <v>9</v>
      </c>
      <c r="E1808" s="3" t="s">
        <v>32</v>
      </c>
      <c r="F1808" s="3">
        <v>0</v>
      </c>
      <c r="G1808" s="3">
        <v>-1.75198604915699E-3</v>
      </c>
      <c r="H1808" s="3">
        <v>-1.75198604915699E-3</v>
      </c>
      <c r="I1808" s="3">
        <v>-7.4661271790769897E-3</v>
      </c>
      <c r="J1808" s="3">
        <v>-5.8555966145149903E-3</v>
      </c>
      <c r="K1808" s="3">
        <v>-7.0823148175279699E-3</v>
      </c>
      <c r="L1808" s="3">
        <v>-8.0406767018599799E-3</v>
      </c>
      <c r="M1808" s="3">
        <v>-1.1415390618459999E-3</v>
      </c>
      <c r="N1808" s="3">
        <v>3.4741675613963997E-2</v>
      </c>
      <c r="O1808" s="3">
        <v>4.6022530430017999E-2</v>
      </c>
      <c r="P1808" s="3">
        <v>5.5773135442374E-2</v>
      </c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</row>
    <row r="1809" spans="1:35" x14ac:dyDescent="0.45">
      <c r="A1809" s="3" t="s">
        <v>75</v>
      </c>
      <c r="B1809" s="3" t="s">
        <v>23</v>
      </c>
      <c r="C1809" s="3" t="s">
        <v>15</v>
      </c>
      <c r="D1809" s="3" t="s">
        <v>10</v>
      </c>
      <c r="E1809" s="3" t="s">
        <v>32</v>
      </c>
      <c r="F1809" s="3">
        <v>0</v>
      </c>
      <c r="G1809" s="3">
        <v>1.7337555582760101E-3</v>
      </c>
      <c r="H1809" s="3">
        <v>1.7337555582760101E-3</v>
      </c>
      <c r="I1809" s="3">
        <v>-5.2287981524498704E-4</v>
      </c>
      <c r="J1809" s="3">
        <v>-1.8500020796030101E-3</v>
      </c>
      <c r="K1809" s="3">
        <v>-2.2009602370598501E-4</v>
      </c>
      <c r="L1809" s="3">
        <v>-2.137615168681E-3</v>
      </c>
      <c r="M1809" s="3">
        <v>2.1889687685819901E-3</v>
      </c>
      <c r="N1809" s="3">
        <v>6.3241587261320103E-3</v>
      </c>
      <c r="O1809" s="3">
        <v>1.0684171611078E-2</v>
      </c>
      <c r="P1809" s="3">
        <v>1.2428084511449999E-2</v>
      </c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</row>
    <row r="1810" spans="1:35" x14ac:dyDescent="0.45">
      <c r="A1810" s="3" t="s">
        <v>75</v>
      </c>
      <c r="B1810" s="3" t="s">
        <v>23</v>
      </c>
      <c r="C1810" s="3" t="s">
        <v>15</v>
      </c>
      <c r="D1810" s="3" t="s">
        <v>11</v>
      </c>
      <c r="E1810" s="3" t="s">
        <v>32</v>
      </c>
      <c r="F1810" s="3">
        <v>0</v>
      </c>
      <c r="G1810" s="3">
        <v>-1.85668555835702E-3</v>
      </c>
      <c r="H1810" s="3">
        <v>-1.85668555835702E-3</v>
      </c>
      <c r="I1810" s="3">
        <v>1.59444124593999E-3</v>
      </c>
      <c r="J1810" s="3">
        <v>-3.3054418734479998E-3</v>
      </c>
      <c r="K1810" s="3">
        <v>-9.8206920183579998E-3</v>
      </c>
      <c r="L1810" s="3">
        <v>-1.7943917405563999E-2</v>
      </c>
      <c r="M1810" s="3">
        <v>-1.2849397470520999E-2</v>
      </c>
      <c r="N1810" s="3">
        <v>-1.1411737204150001E-3</v>
      </c>
      <c r="O1810" s="3">
        <v>2.0131905583878999E-2</v>
      </c>
      <c r="P1810" s="3">
        <v>2.6602102846582001E-2</v>
      </c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</row>
    <row r="1811" spans="1:35" x14ac:dyDescent="0.45">
      <c r="A1811" s="3" t="s">
        <v>75</v>
      </c>
      <c r="B1811" s="3" t="s">
        <v>23</v>
      </c>
      <c r="C1811" s="3" t="s">
        <v>15</v>
      </c>
      <c r="D1811" s="3" t="s">
        <v>12</v>
      </c>
      <c r="E1811" s="3" t="s">
        <v>32</v>
      </c>
      <c r="F1811" s="3">
        <v>0</v>
      </c>
      <c r="G1811" s="3">
        <v>1.7773441040280201E-3</v>
      </c>
      <c r="H1811" s="3">
        <v>1.7773441040280201E-3</v>
      </c>
      <c r="I1811" s="3">
        <v>-5.2435895734740104E-3</v>
      </c>
      <c r="J1811" s="3">
        <v>-1.2240763672137001E-2</v>
      </c>
      <c r="K1811" s="3">
        <v>-4.5127268617650203E-3</v>
      </c>
      <c r="L1811" s="3">
        <v>3.2608243927942003E-2</v>
      </c>
      <c r="M1811" s="3">
        <v>4.6185048039234997E-2</v>
      </c>
      <c r="N1811" s="3">
        <v>4.4047587624207997E-2</v>
      </c>
      <c r="O1811" s="3">
        <v>3.2061606886674997E-2</v>
      </c>
      <c r="P1811" s="3">
        <v>3.02363368267951E-2</v>
      </c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</row>
    <row r="1812" spans="1:35" x14ac:dyDescent="0.45">
      <c r="A1812" s="3" t="s">
        <v>75</v>
      </c>
      <c r="B1812" s="3" t="s">
        <v>23</v>
      </c>
      <c r="C1812" s="3" t="s">
        <v>15</v>
      </c>
      <c r="D1812" s="3" t="s">
        <v>13</v>
      </c>
      <c r="E1812" s="3" t="s">
        <v>32</v>
      </c>
      <c r="F1812" s="3">
        <v>0</v>
      </c>
      <c r="G1812" s="3">
        <v>-1.7398159474290001E-3</v>
      </c>
      <c r="H1812" s="3">
        <v>-1.7398159474290001E-3</v>
      </c>
      <c r="I1812" s="3">
        <v>1.4116234533464E-2</v>
      </c>
      <c r="J1812" s="3">
        <v>5.6122716038861001E-2</v>
      </c>
      <c r="K1812" s="3">
        <v>6.0877427299602001E-2</v>
      </c>
      <c r="L1812" s="3">
        <v>2.5385246811017999E-2</v>
      </c>
      <c r="M1812" s="3">
        <v>-7.6549273704469801E-3</v>
      </c>
      <c r="N1812" s="3">
        <v>-2.2243743042043001E-2</v>
      </c>
      <c r="O1812" s="3">
        <v>-2.8936504190573E-2</v>
      </c>
      <c r="P1812" s="3">
        <v>-3.1454297833531999E-2</v>
      </c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</row>
    <row r="1813" spans="1:35" x14ac:dyDescent="0.45">
      <c r="A1813" s="3" t="s">
        <v>75</v>
      </c>
      <c r="B1813" s="3" t="s">
        <v>23</v>
      </c>
      <c r="C1813" s="3" t="s">
        <v>15</v>
      </c>
      <c r="D1813" s="3" t="s">
        <v>14</v>
      </c>
      <c r="E1813" s="3" t="s">
        <v>32</v>
      </c>
      <c r="F1813" s="3">
        <v>0</v>
      </c>
      <c r="G1813" s="3">
        <v>8.1074426565999602E-4</v>
      </c>
      <c r="H1813" s="3">
        <v>8.1074426565999602E-4</v>
      </c>
      <c r="I1813" s="3">
        <v>5.2070247630835002E-2</v>
      </c>
      <c r="J1813" s="3">
        <v>1.5553627471896E-2</v>
      </c>
      <c r="K1813" s="3">
        <v>-1.15335433681202E-3</v>
      </c>
      <c r="L1813" s="3">
        <v>-4.7986534732979997E-3</v>
      </c>
      <c r="M1813" s="3">
        <v>-1.0571180656213999E-2</v>
      </c>
      <c r="N1813" s="3">
        <v>-1.6290837353191E-2</v>
      </c>
      <c r="O1813" s="3">
        <v>-1.8893470209581001E-2</v>
      </c>
      <c r="P1813" s="3">
        <v>-2.0649306019940999E-2</v>
      </c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</row>
    <row r="1814" spans="1:35" x14ac:dyDescent="0.45">
      <c r="A1814" s="3" t="s">
        <v>75</v>
      </c>
      <c r="B1814" s="3" t="s">
        <v>23</v>
      </c>
      <c r="C1814" s="3" t="s">
        <v>16</v>
      </c>
      <c r="D1814" s="3" t="s">
        <v>7</v>
      </c>
      <c r="E1814" s="3" t="s">
        <v>32</v>
      </c>
      <c r="F1814" s="3">
        <v>0.105568408000302</v>
      </c>
      <c r="G1814" s="3">
        <v>0.105243164705484</v>
      </c>
      <c r="H1814" s="3">
        <v>0.105243164705484</v>
      </c>
      <c r="I1814" s="3">
        <v>0.121075311149819</v>
      </c>
      <c r="J1814" s="3">
        <v>0.104682845103657</v>
      </c>
      <c r="K1814" s="3">
        <v>8.4603481813343304E-2</v>
      </c>
      <c r="L1814" s="3">
        <v>5.6498813683199998E-2</v>
      </c>
      <c r="M1814" s="3">
        <v>5.6498813683199998E-2</v>
      </c>
      <c r="N1814" s="3">
        <v>5.6498813683199998E-2</v>
      </c>
      <c r="O1814" s="3">
        <v>5.6498813683199998E-2</v>
      </c>
      <c r="P1814" s="3">
        <v>5.6498813683199998E-2</v>
      </c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</row>
    <row r="1815" spans="1:35" x14ac:dyDescent="0.45">
      <c r="A1815" s="3" t="s">
        <v>75</v>
      </c>
      <c r="B1815" s="3" t="s">
        <v>23</v>
      </c>
      <c r="C1815" s="3" t="s">
        <v>16</v>
      </c>
      <c r="D1815" s="3" t="s">
        <v>9</v>
      </c>
      <c r="E1815" s="3" t="s">
        <v>32</v>
      </c>
      <c r="F1815" s="3">
        <v>0</v>
      </c>
      <c r="G1815" s="3">
        <v>-1.7388856312100501E-4</v>
      </c>
      <c r="H1815" s="3">
        <v>-1.7388856312100501E-4</v>
      </c>
      <c r="I1815" s="3">
        <v>5.5167412038600904E-4</v>
      </c>
      <c r="J1815" s="3">
        <v>1.08127227005372E-7</v>
      </c>
      <c r="K1815" s="3">
        <v>7.6650914795917098E-8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</row>
    <row r="1816" spans="1:35" x14ac:dyDescent="0.45">
      <c r="A1816" s="3" t="s">
        <v>75</v>
      </c>
      <c r="B1816" s="3" t="s">
        <v>23</v>
      </c>
      <c r="C1816" s="3" t="s">
        <v>16</v>
      </c>
      <c r="D1816" s="3" t="s">
        <v>10</v>
      </c>
      <c r="E1816" s="3" t="s">
        <v>32</v>
      </c>
      <c r="F1816" s="3">
        <v>0</v>
      </c>
      <c r="G1816" s="3">
        <v>-4.09149560289951E-5</v>
      </c>
      <c r="H1816" s="3">
        <v>-4.09149560289951E-5</v>
      </c>
      <c r="I1816" s="3">
        <v>-1.72441101201071E-6</v>
      </c>
      <c r="J1816" s="3">
        <v>2.5593603000806398E-8</v>
      </c>
      <c r="K1816" s="3">
        <v>1.81417885991575E-8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</row>
    <row r="1817" spans="1:35" x14ac:dyDescent="0.45">
      <c r="A1817" s="3" t="s">
        <v>75</v>
      </c>
      <c r="B1817" s="3" t="s">
        <v>23</v>
      </c>
      <c r="C1817" s="3" t="s">
        <v>16</v>
      </c>
      <c r="D1817" s="3" t="s">
        <v>11</v>
      </c>
      <c r="E1817" s="3" t="s">
        <v>32</v>
      </c>
      <c r="F1817" s="3">
        <v>0</v>
      </c>
      <c r="G1817" s="3">
        <v>0</v>
      </c>
      <c r="H1817" s="3">
        <v>0</v>
      </c>
      <c r="I1817" s="3">
        <v>-6.6791419979922397E-6</v>
      </c>
      <c r="J1817" s="3">
        <v>0</v>
      </c>
      <c r="K1817" s="3">
        <v>-4.3252057585539699E-4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</row>
    <row r="1818" spans="1:35" x14ac:dyDescent="0.45">
      <c r="A1818" s="3" t="s">
        <v>75</v>
      </c>
      <c r="B1818" s="3" t="s">
        <v>23</v>
      </c>
      <c r="C1818" s="3" t="s">
        <v>16</v>
      </c>
      <c r="D1818" s="3" t="s">
        <v>12</v>
      </c>
      <c r="E1818" s="3" t="s">
        <v>32</v>
      </c>
      <c r="F1818" s="3">
        <v>0</v>
      </c>
      <c r="G1818" s="3">
        <v>-3.0686217021000397E-5</v>
      </c>
      <c r="H1818" s="3">
        <v>-3.0686217021000397E-5</v>
      </c>
      <c r="I1818" s="3">
        <v>6.1646809034005004E-5</v>
      </c>
      <c r="J1818" s="3">
        <v>2.1265376705454E-2</v>
      </c>
      <c r="K1818" s="3">
        <v>1.3746941598946601E-8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</row>
    <row r="1819" spans="1:35" x14ac:dyDescent="0.45">
      <c r="A1819" s="3" t="s">
        <v>75</v>
      </c>
      <c r="B1819" s="3" t="s">
        <v>23</v>
      </c>
      <c r="C1819" s="3" t="s">
        <v>16</v>
      </c>
      <c r="D1819" s="3" t="s">
        <v>13</v>
      </c>
      <c r="E1819" s="3" t="s">
        <v>32</v>
      </c>
      <c r="F1819" s="3">
        <v>0</v>
      </c>
      <c r="G1819" s="3">
        <v>-7.4924616978799797E-4</v>
      </c>
      <c r="H1819" s="3">
        <v>-7.4924616978799797E-4</v>
      </c>
      <c r="I1819" s="3">
        <v>3.1905271801783999E-2</v>
      </c>
      <c r="J1819" s="3">
        <v>-1.7677626598655601E-7</v>
      </c>
      <c r="K1819" s="3">
        <v>3.4296616720219701E-7</v>
      </c>
      <c r="L1819" s="3">
        <v>0</v>
      </c>
      <c r="M1819" s="3">
        <v>0</v>
      </c>
      <c r="N1819" s="3">
        <v>0</v>
      </c>
      <c r="O1819" s="3">
        <v>0</v>
      </c>
      <c r="P1819" s="3">
        <v>0</v>
      </c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</row>
    <row r="1820" spans="1:35" x14ac:dyDescent="0.45">
      <c r="A1820" s="3" t="s">
        <v>75</v>
      </c>
      <c r="B1820" s="3" t="s">
        <v>23</v>
      </c>
      <c r="C1820" s="3" t="s">
        <v>16</v>
      </c>
      <c r="D1820" s="3" t="s">
        <v>14</v>
      </c>
      <c r="E1820" s="3" t="s">
        <v>32</v>
      </c>
      <c r="F1820" s="3">
        <v>0</v>
      </c>
      <c r="G1820" s="3">
        <v>1.5199230568600001E-3</v>
      </c>
      <c r="H1820" s="3">
        <v>1.5199230568600001E-3</v>
      </c>
      <c r="I1820" s="3">
        <v>4.1748528151222999E-2</v>
      </c>
      <c r="J1820" s="3">
        <v>-1.9194258108480001E-3</v>
      </c>
      <c r="K1820" s="3">
        <v>-6.8134525700591599E-7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</row>
    <row r="1821" spans="1:35" x14ac:dyDescent="0.45">
      <c r="A1821" s="3" t="s">
        <v>75</v>
      </c>
      <c r="B1821" s="3" t="s">
        <v>23</v>
      </c>
      <c r="C1821" s="3" t="s">
        <v>17</v>
      </c>
      <c r="D1821" s="3" t="s">
        <v>7</v>
      </c>
      <c r="E1821" s="3" t="s">
        <v>32</v>
      </c>
      <c r="F1821" s="3">
        <v>0</v>
      </c>
      <c r="G1821" s="3">
        <v>1.3184626049948699E-2</v>
      </c>
      <c r="H1821" s="3">
        <v>1.3184626049948699E-2</v>
      </c>
      <c r="I1821" s="3">
        <v>1.1393714256644601E-2</v>
      </c>
      <c r="J1821" s="3">
        <v>1.4553558465087799E-2</v>
      </c>
      <c r="K1821" s="3">
        <v>3.2895601419134703E-2</v>
      </c>
      <c r="L1821" s="3">
        <v>1.7241743379038402E-2</v>
      </c>
      <c r="M1821" s="3">
        <v>1.51994962572312E-2</v>
      </c>
      <c r="N1821" s="3">
        <v>1.51994962572312E-2</v>
      </c>
      <c r="O1821" s="3">
        <v>1.3966807525124299E-2</v>
      </c>
      <c r="P1821" s="3">
        <v>5.9238852679077197E-3</v>
      </c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</row>
    <row r="1822" spans="1:35" x14ac:dyDescent="0.45">
      <c r="A1822" s="3" t="s">
        <v>75</v>
      </c>
      <c r="B1822" s="3" t="s">
        <v>23</v>
      </c>
      <c r="C1822" s="3" t="s">
        <v>17</v>
      </c>
      <c r="D1822" s="3" t="s">
        <v>9</v>
      </c>
      <c r="E1822" s="3" t="s">
        <v>32</v>
      </c>
      <c r="F1822" s="3">
        <v>0</v>
      </c>
      <c r="G1822" s="3">
        <v>6.1678918357520101E-4</v>
      </c>
      <c r="H1822" s="3">
        <v>6.1678918357520101E-4</v>
      </c>
      <c r="I1822" s="3">
        <v>7.1438577508402996E-3</v>
      </c>
      <c r="J1822" s="3">
        <v>2.0156803086708999E-2</v>
      </c>
      <c r="K1822" s="3">
        <v>1.9744421553863498E-2</v>
      </c>
      <c r="L1822" s="3">
        <v>9.1657231017529001E-3</v>
      </c>
      <c r="M1822" s="3">
        <v>2.0422969422942E-3</v>
      </c>
      <c r="N1822" s="3">
        <v>1.7317236056736999E-3</v>
      </c>
      <c r="O1822" s="3">
        <v>1.2327517549745E-3</v>
      </c>
      <c r="P1822" s="3">
        <v>9.2756740121910809E-3</v>
      </c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</row>
    <row r="1823" spans="1:35" x14ac:dyDescent="0.45">
      <c r="A1823" s="3" t="s">
        <v>75</v>
      </c>
      <c r="B1823" s="3" t="s">
        <v>23</v>
      </c>
      <c r="C1823" s="3" t="s">
        <v>17</v>
      </c>
      <c r="D1823" s="3" t="s">
        <v>10</v>
      </c>
      <c r="E1823" s="3" t="s">
        <v>32</v>
      </c>
      <c r="F1823" s="3">
        <v>0</v>
      </c>
      <c r="G1823" s="3">
        <v>1.18447034648798E-4</v>
      </c>
      <c r="H1823" s="3">
        <v>1.18447034648798E-4</v>
      </c>
      <c r="I1823" s="3">
        <v>7.1859174214489901E-4</v>
      </c>
      <c r="J1823" s="3">
        <v>4.9004805714770996E-3</v>
      </c>
      <c r="K1823" s="3">
        <v>1.2364639880132399E-2</v>
      </c>
      <c r="L1823" s="3">
        <v>1.75170642628708E-2</v>
      </c>
      <c r="M1823" s="3">
        <v>1.4324360025574001E-3</v>
      </c>
      <c r="N1823" s="3">
        <v>0.101229157519226</v>
      </c>
      <c r="O1823" s="3">
        <v>0.185220725915859</v>
      </c>
      <c r="P1823" s="3">
        <v>0.31044974154641902</v>
      </c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</row>
    <row r="1824" spans="1:35" x14ac:dyDescent="0.45">
      <c r="A1824" s="3" t="s">
        <v>75</v>
      </c>
      <c r="B1824" s="3" t="s">
        <v>23</v>
      </c>
      <c r="C1824" s="3" t="s">
        <v>17</v>
      </c>
      <c r="D1824" s="3" t="s">
        <v>11</v>
      </c>
      <c r="E1824" s="3" t="s">
        <v>32</v>
      </c>
      <c r="F1824" s="3">
        <v>0</v>
      </c>
      <c r="G1824" s="3">
        <v>7.8783625060301106E-5</v>
      </c>
      <c r="H1824" s="3">
        <v>7.8783625060301106E-5</v>
      </c>
      <c r="I1824" s="3">
        <v>2.1659021812749E-3</v>
      </c>
      <c r="J1824" s="3">
        <v>6.8893482892346102E-3</v>
      </c>
      <c r="K1824" s="3">
        <v>1.6940745382898002E-2</v>
      </c>
      <c r="L1824" s="3">
        <v>0.105704550973341</v>
      </c>
      <c r="M1824" s="3">
        <v>0.31631567921657799</v>
      </c>
      <c r="N1824" s="3">
        <v>0.24332504051977699</v>
      </c>
      <c r="O1824" s="3">
        <v>0.191047732555857</v>
      </c>
      <c r="P1824" s="3">
        <v>0.110236189088274</v>
      </c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</row>
    <row r="1825" spans="1:35" x14ac:dyDescent="0.45">
      <c r="A1825" s="3" t="s">
        <v>75</v>
      </c>
      <c r="B1825" s="3" t="s">
        <v>23</v>
      </c>
      <c r="C1825" s="3" t="s">
        <v>17</v>
      </c>
      <c r="D1825" s="3" t="s">
        <v>12</v>
      </c>
      <c r="E1825" s="3" t="s">
        <v>32</v>
      </c>
      <c r="F1825" s="3">
        <v>0</v>
      </c>
      <c r="G1825" s="3">
        <v>3.0386131563269999E-4</v>
      </c>
      <c r="H1825" s="3">
        <v>3.0386131563269999E-4</v>
      </c>
      <c r="I1825" s="3">
        <v>1.2736269792754201E-2</v>
      </c>
      <c r="J1825" s="3">
        <v>8.4428669287305497E-2</v>
      </c>
      <c r="K1825" s="3">
        <v>0.22690823940777699</v>
      </c>
      <c r="L1825" s="3">
        <v>0.24183882184767999</v>
      </c>
      <c r="M1825" s="3">
        <v>0.110505126679304</v>
      </c>
      <c r="N1825" s="3">
        <v>0.110633498744652</v>
      </c>
      <c r="O1825" s="3">
        <v>8.7904485414920006E-2</v>
      </c>
      <c r="P1825" s="3">
        <v>4.5773827602419E-2</v>
      </c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</row>
    <row r="1826" spans="1:35" x14ac:dyDescent="0.45">
      <c r="A1826" s="3" t="s">
        <v>75</v>
      </c>
      <c r="B1826" s="3" t="s">
        <v>23</v>
      </c>
      <c r="C1826" s="3" t="s">
        <v>17</v>
      </c>
      <c r="D1826" s="3" t="s">
        <v>13</v>
      </c>
      <c r="E1826" s="3" t="s">
        <v>32</v>
      </c>
      <c r="F1826" s="3">
        <v>0</v>
      </c>
      <c r="G1826" s="3">
        <v>7.6988307429454996E-3</v>
      </c>
      <c r="H1826" s="3">
        <v>7.6988307429454996E-3</v>
      </c>
      <c r="I1826" s="3">
        <v>0.22125709986907799</v>
      </c>
      <c r="J1826" s="3">
        <v>0.30029875170410703</v>
      </c>
      <c r="K1826" s="3">
        <v>0.167293285917062</v>
      </c>
      <c r="L1826" s="3">
        <v>8.9926659744471005E-2</v>
      </c>
      <c r="M1826" s="3">
        <v>3.6194820245557001E-2</v>
      </c>
      <c r="N1826" s="3">
        <v>9.6663296181309592E-3</v>
      </c>
      <c r="O1826" s="3">
        <v>2.743946251617E-3</v>
      </c>
      <c r="P1826" s="3">
        <v>4.5713190113999498E-4</v>
      </c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</row>
    <row r="1827" spans="1:35" x14ac:dyDescent="0.45">
      <c r="A1827" s="3" t="s">
        <v>75</v>
      </c>
      <c r="B1827" s="3" t="s">
        <v>23</v>
      </c>
      <c r="C1827" s="3" t="s">
        <v>17</v>
      </c>
      <c r="D1827" s="3" t="s">
        <v>14</v>
      </c>
      <c r="E1827" s="3" t="s">
        <v>32</v>
      </c>
      <c r="F1827" s="3">
        <v>0</v>
      </c>
      <c r="G1827" s="3">
        <v>1.5424253277717E-3</v>
      </c>
      <c r="H1827" s="3">
        <v>1.5424253277717E-3</v>
      </c>
      <c r="I1827" s="3">
        <v>0.18747027694653301</v>
      </c>
      <c r="J1827" s="3">
        <v>4.977450528546E-2</v>
      </c>
      <c r="K1827" s="3">
        <v>5.3724998677759902E-3</v>
      </c>
      <c r="L1827" s="3">
        <v>3.6090225056001303E-4</v>
      </c>
      <c r="M1827" s="3">
        <v>7.4649008183991201E-5</v>
      </c>
      <c r="N1827" s="3">
        <v>-2.01913997979752E-5</v>
      </c>
      <c r="O1827" s="3">
        <v>-3.5096788769201098E-4</v>
      </c>
      <c r="P1827" s="3">
        <v>-3.4900811269800202E-4</v>
      </c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</row>
    <row r="1828" spans="1:35" x14ac:dyDescent="0.45">
      <c r="A1828" s="3" t="s">
        <v>75</v>
      </c>
      <c r="B1828" s="3" t="s">
        <v>23</v>
      </c>
      <c r="C1828" s="3" t="s">
        <v>18</v>
      </c>
      <c r="D1828" s="3" t="s">
        <v>7</v>
      </c>
      <c r="E1828" s="3" t="s">
        <v>32</v>
      </c>
      <c r="F1828" s="3">
        <v>0.18240283033996099</v>
      </c>
      <c r="G1828" s="3">
        <v>0.13609931968160399</v>
      </c>
      <c r="H1828" s="3">
        <v>0.13609931968160399</v>
      </c>
      <c r="I1828" s="3">
        <v>9.6950060697128401E-2</v>
      </c>
      <c r="J1828" s="3">
        <v>5.5598571366434202E-2</v>
      </c>
      <c r="K1828" s="3">
        <v>1.0426886537197699E-2</v>
      </c>
      <c r="L1828" s="3">
        <v>0</v>
      </c>
      <c r="M1828" s="3">
        <v>3.4694469519536099E-17</v>
      </c>
      <c r="N1828" s="3">
        <v>2.7755575615628901E-17</v>
      </c>
      <c r="O1828" s="3">
        <v>0</v>
      </c>
      <c r="P1828" s="3">
        <v>0</v>
      </c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</row>
    <row r="1829" spans="1:35" x14ac:dyDescent="0.45">
      <c r="A1829" s="3" t="s">
        <v>75</v>
      </c>
      <c r="B1829" s="3" t="s">
        <v>23</v>
      </c>
      <c r="C1829" s="3" t="s">
        <v>18</v>
      </c>
      <c r="D1829" s="3" t="s">
        <v>9</v>
      </c>
      <c r="E1829" s="3" t="s">
        <v>32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1.00613961606655E-16</v>
      </c>
      <c r="L1829" s="3">
        <v>0</v>
      </c>
      <c r="M1829" s="3">
        <v>-6.9388939039071999E-18</v>
      </c>
      <c r="N1829" s="3">
        <v>-2.7755575615628901E-17</v>
      </c>
      <c r="O1829" s="3">
        <v>0</v>
      </c>
      <c r="P1829" s="3">
        <v>2.7755575615628901E-17</v>
      </c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</row>
    <row r="1830" spans="1:35" x14ac:dyDescent="0.45">
      <c r="A1830" s="3" t="s">
        <v>75</v>
      </c>
      <c r="B1830" s="3" t="s">
        <v>23</v>
      </c>
      <c r="C1830" s="3" t="s">
        <v>18</v>
      </c>
      <c r="D1830" s="3" t="s">
        <v>10</v>
      </c>
      <c r="E1830" s="3" t="s">
        <v>32</v>
      </c>
      <c r="F1830" s="3">
        <v>0</v>
      </c>
      <c r="G1830" s="3">
        <v>0</v>
      </c>
      <c r="H1830" s="3">
        <v>0</v>
      </c>
      <c r="I1830" s="3">
        <v>-9.7144514654701197E-17</v>
      </c>
      <c r="J1830" s="3">
        <v>0</v>
      </c>
      <c r="K1830" s="3">
        <v>-1.00613961606655E-16</v>
      </c>
      <c r="L1830" s="3">
        <v>0</v>
      </c>
      <c r="M1830" s="3">
        <v>6.9388939039071999E-18</v>
      </c>
      <c r="N1830" s="3">
        <v>1.0408340855860799E-16</v>
      </c>
      <c r="O1830" s="3">
        <v>0</v>
      </c>
      <c r="P1830" s="3">
        <v>-2.7755575615628901E-17</v>
      </c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</row>
    <row r="1831" spans="1:35" x14ac:dyDescent="0.45">
      <c r="A1831" s="3" t="s">
        <v>75</v>
      </c>
      <c r="B1831" s="3" t="s">
        <v>23</v>
      </c>
      <c r="C1831" s="3" t="s">
        <v>18</v>
      </c>
      <c r="D1831" s="3" t="s">
        <v>11</v>
      </c>
      <c r="E1831" s="3" t="s">
        <v>32</v>
      </c>
      <c r="F1831" s="3">
        <v>0</v>
      </c>
      <c r="G1831" s="3">
        <v>0</v>
      </c>
      <c r="H1831" s="3">
        <v>0</v>
      </c>
      <c r="I1831" s="3">
        <v>9.7144514654701197E-17</v>
      </c>
      <c r="J1831" s="3">
        <v>0</v>
      </c>
      <c r="K1831" s="3">
        <v>1.00613961606655E-16</v>
      </c>
      <c r="L1831" s="3">
        <v>0</v>
      </c>
      <c r="M1831" s="3">
        <v>-6.9388939039071999E-18</v>
      </c>
      <c r="N1831" s="3">
        <v>-2.08166817117213E-17</v>
      </c>
      <c r="O1831" s="3">
        <v>0</v>
      </c>
      <c r="P1831" s="3">
        <v>0</v>
      </c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</row>
    <row r="1832" spans="1:35" x14ac:dyDescent="0.45">
      <c r="A1832" s="3" t="s">
        <v>75</v>
      </c>
      <c r="B1832" s="3" t="s">
        <v>23</v>
      </c>
      <c r="C1832" s="3" t="s">
        <v>18</v>
      </c>
      <c r="D1832" s="3" t="s">
        <v>12</v>
      </c>
      <c r="E1832" s="3" t="s">
        <v>32</v>
      </c>
      <c r="F1832" s="3">
        <v>0</v>
      </c>
      <c r="G1832" s="3">
        <v>0</v>
      </c>
      <c r="H1832" s="3">
        <v>0</v>
      </c>
      <c r="I1832" s="3">
        <v>0</v>
      </c>
      <c r="J1832" s="3">
        <v>-1.0408340855860799E-16</v>
      </c>
      <c r="K1832" s="3">
        <v>-1.00613961606655E-16</v>
      </c>
      <c r="L1832" s="3">
        <v>0</v>
      </c>
      <c r="M1832" s="3">
        <v>1.11022302462516E-16</v>
      </c>
      <c r="N1832" s="3">
        <v>6.9388939039072993E-18</v>
      </c>
      <c r="O1832" s="3">
        <v>0</v>
      </c>
      <c r="P1832" s="3">
        <v>0</v>
      </c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</row>
    <row r="1833" spans="1:35" x14ac:dyDescent="0.45">
      <c r="A1833" s="3" t="s">
        <v>75</v>
      </c>
      <c r="B1833" s="3" t="s">
        <v>23</v>
      </c>
      <c r="C1833" s="3" t="s">
        <v>18</v>
      </c>
      <c r="D1833" s="3" t="s">
        <v>13</v>
      </c>
      <c r="E1833" s="3" t="s">
        <v>32</v>
      </c>
      <c r="F1833" s="3">
        <v>0</v>
      </c>
      <c r="G1833" s="3">
        <v>0</v>
      </c>
      <c r="H1833" s="3">
        <v>0</v>
      </c>
      <c r="I1833" s="3">
        <v>-9.7144514654701197E-17</v>
      </c>
      <c r="J1833" s="3">
        <v>1.0408340855860799E-16</v>
      </c>
      <c r="K1833" s="3">
        <v>4.00721122950642E-16</v>
      </c>
      <c r="L1833" s="3">
        <v>2.0122792321330999E-16</v>
      </c>
      <c r="M1833" s="3">
        <v>-1.3877787807814501E-16</v>
      </c>
      <c r="N1833" s="3">
        <v>-9.0205620750794006E-17</v>
      </c>
      <c r="O1833" s="3">
        <v>3.4694469519536099E-17</v>
      </c>
      <c r="P1833" s="3">
        <v>0</v>
      </c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</row>
    <row r="1834" spans="1:35" x14ac:dyDescent="0.45">
      <c r="A1834" s="3" t="s">
        <v>75</v>
      </c>
      <c r="B1834" s="3" t="s">
        <v>23</v>
      </c>
      <c r="C1834" s="3" t="s">
        <v>18</v>
      </c>
      <c r="D1834" s="3" t="s">
        <v>14</v>
      </c>
      <c r="E1834" s="3" t="s">
        <v>32</v>
      </c>
      <c r="F1834" s="3">
        <v>0</v>
      </c>
      <c r="G1834" s="3">
        <v>0</v>
      </c>
      <c r="H1834" s="3">
        <v>0</v>
      </c>
      <c r="I1834" s="3">
        <v>0</v>
      </c>
      <c r="J1834" s="3">
        <v>-2.0122792321330999E-16</v>
      </c>
      <c r="K1834" s="3">
        <v>-6.0021432268797496E-16</v>
      </c>
      <c r="L1834" s="3">
        <v>2.0816681711721599E-16</v>
      </c>
      <c r="M1834" s="3">
        <v>7.63278329429795E-17</v>
      </c>
      <c r="N1834" s="3">
        <v>3.6082248300317602E-16</v>
      </c>
      <c r="O1834" s="3">
        <v>-6.9388939039071999E-18</v>
      </c>
      <c r="P1834" s="3">
        <v>3.05311331771918E-16</v>
      </c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</row>
    <row r="1835" spans="1:35" x14ac:dyDescent="0.45">
      <c r="A1835" s="3" t="s">
        <v>75</v>
      </c>
      <c r="B1835" s="3" t="s">
        <v>23</v>
      </c>
      <c r="C1835" s="3" t="s">
        <v>19</v>
      </c>
      <c r="D1835" s="3" t="s">
        <v>11</v>
      </c>
      <c r="E1835" s="3" t="s">
        <v>32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2.5596316367807602E-3</v>
      </c>
      <c r="N1835" s="3">
        <v>1.771643018658E-2</v>
      </c>
      <c r="O1835" s="3">
        <v>5.7268143144437698E-2</v>
      </c>
      <c r="P1835" s="3">
        <v>0.169674815675563</v>
      </c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</row>
    <row r="1836" spans="1:35" x14ac:dyDescent="0.45">
      <c r="A1836" s="3" t="s">
        <v>75</v>
      </c>
      <c r="B1836" s="3" t="s">
        <v>23</v>
      </c>
      <c r="C1836" s="3" t="s">
        <v>19</v>
      </c>
      <c r="D1836" s="3" t="s">
        <v>12</v>
      </c>
      <c r="E1836" s="3" t="s">
        <v>32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0.13105828136442099</v>
      </c>
      <c r="M1836" s="3">
        <v>0.201286844861852</v>
      </c>
      <c r="N1836" s="3">
        <v>0.20233168000183999</v>
      </c>
      <c r="O1836" s="3">
        <v>0.15453038055633</v>
      </c>
      <c r="P1836" s="3">
        <v>2.9009918622540001E-2</v>
      </c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</row>
    <row r="1837" spans="1:35" x14ac:dyDescent="0.45">
      <c r="A1837" s="3" t="s">
        <v>75</v>
      </c>
      <c r="B1837" s="3" t="s">
        <v>23</v>
      </c>
      <c r="C1837" s="3" t="s">
        <v>19</v>
      </c>
      <c r="D1837" s="3" t="s">
        <v>13</v>
      </c>
      <c r="E1837" s="3" t="s">
        <v>32</v>
      </c>
      <c r="F1837" s="3">
        <v>0</v>
      </c>
      <c r="G1837" s="3">
        <v>0</v>
      </c>
      <c r="H1837" s="3">
        <v>0</v>
      </c>
      <c r="I1837" s="3">
        <v>4.6190086755500702E-2</v>
      </c>
      <c r="J1837" s="3">
        <v>0.36781893206680699</v>
      </c>
      <c r="K1837" s="3">
        <v>0.342241016300527</v>
      </c>
      <c r="L1837" s="3">
        <v>0.186598558847302</v>
      </c>
      <c r="M1837" s="3">
        <v>7.9840291209213002E-2</v>
      </c>
      <c r="N1837" s="3">
        <v>3.2186940109293002E-2</v>
      </c>
      <c r="O1837" s="3">
        <v>2.4330834939779E-2</v>
      </c>
      <c r="P1837" s="3">
        <v>2.3404883117206E-2</v>
      </c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</row>
    <row r="1838" spans="1:35" x14ac:dyDescent="0.45">
      <c r="A1838" s="3" t="s">
        <v>75</v>
      </c>
      <c r="B1838" s="3" t="s">
        <v>23</v>
      </c>
      <c r="C1838" s="3" t="s">
        <v>19</v>
      </c>
      <c r="D1838" s="3" t="s">
        <v>14</v>
      </c>
      <c r="E1838" s="3" t="s">
        <v>32</v>
      </c>
      <c r="F1838" s="3">
        <v>0</v>
      </c>
      <c r="G1838" s="3">
        <v>0</v>
      </c>
      <c r="H1838" s="3">
        <v>0</v>
      </c>
      <c r="I1838" s="3">
        <v>0.46572873747860399</v>
      </c>
      <c r="J1838" s="3">
        <v>0.13302229452865999</v>
      </c>
      <c r="K1838" s="3">
        <v>3.6629221237078999E-2</v>
      </c>
      <c r="L1838" s="3">
        <v>3.5241946596633003E-2</v>
      </c>
      <c r="M1838" s="3">
        <v>4.7404867191185002E-2</v>
      </c>
      <c r="N1838" s="3">
        <v>5.7920292636054999E-2</v>
      </c>
      <c r="O1838" s="3">
        <v>6.2409260622911002E-2</v>
      </c>
      <c r="P1838" s="3">
        <v>6.8154108135304994E-2</v>
      </c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</row>
    <row r="1839" spans="1:35" x14ac:dyDescent="0.45">
      <c r="A1839" s="3" t="s">
        <v>76</v>
      </c>
      <c r="B1839" s="3" t="s">
        <v>26</v>
      </c>
      <c r="C1839" s="3" t="s">
        <v>6</v>
      </c>
      <c r="D1839" s="3" t="s">
        <v>10</v>
      </c>
      <c r="E1839" s="3" t="s">
        <v>32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0.71340893254356297</v>
      </c>
      <c r="M1839" s="3">
        <v>2.93515754555566</v>
      </c>
      <c r="N1839" s="3">
        <v>5.6543552787535303</v>
      </c>
      <c r="O1839" s="3">
        <v>7.7771217652984603</v>
      </c>
      <c r="P1839" s="3">
        <v>8.4036096330726409</v>
      </c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</row>
    <row r="1840" spans="1:35" x14ac:dyDescent="0.45">
      <c r="A1840" s="3" t="s">
        <v>76</v>
      </c>
      <c r="B1840" s="3" t="s">
        <v>26</v>
      </c>
      <c r="C1840" s="3" t="s">
        <v>6</v>
      </c>
      <c r="D1840" s="3" t="s">
        <v>11</v>
      </c>
      <c r="E1840" s="3" t="s">
        <v>32</v>
      </c>
      <c r="F1840" s="3">
        <v>0</v>
      </c>
      <c r="G1840" s="3">
        <v>0</v>
      </c>
      <c r="H1840" s="3">
        <v>0</v>
      </c>
      <c r="I1840" s="3">
        <v>0</v>
      </c>
      <c r="J1840" s="3">
        <v>9.0730755013765808E-3</v>
      </c>
      <c r="K1840" s="3">
        <v>2.4186327867293098</v>
      </c>
      <c r="L1840" s="3">
        <v>5.0762234479775801</v>
      </c>
      <c r="M1840" s="3">
        <v>5.9896388547194102</v>
      </c>
      <c r="N1840" s="3">
        <v>6.07408274326023</v>
      </c>
      <c r="O1840" s="3">
        <v>5.5851819631682798</v>
      </c>
      <c r="P1840" s="3">
        <v>4.4542232173393197</v>
      </c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</row>
    <row r="1841" spans="1:35" x14ac:dyDescent="0.45">
      <c r="A1841" s="3" t="s">
        <v>76</v>
      </c>
      <c r="B1841" s="3" t="s">
        <v>26</v>
      </c>
      <c r="C1841" s="3" t="s">
        <v>6</v>
      </c>
      <c r="D1841" s="3" t="s">
        <v>12</v>
      </c>
      <c r="E1841" s="3" t="s">
        <v>32</v>
      </c>
      <c r="F1841" s="3">
        <v>0</v>
      </c>
      <c r="G1841" s="3">
        <v>0</v>
      </c>
      <c r="H1841" s="3">
        <v>0</v>
      </c>
      <c r="I1841" s="3">
        <v>3.8159578540896801E-3</v>
      </c>
      <c r="J1841" s="3">
        <v>3.1287625043310299</v>
      </c>
      <c r="K1841" s="3">
        <v>4.7382110902905099</v>
      </c>
      <c r="L1841" s="3">
        <v>4.6164236734776098</v>
      </c>
      <c r="M1841" s="3">
        <v>4.2138147585603303</v>
      </c>
      <c r="N1841" s="3">
        <v>2.7444912000141</v>
      </c>
      <c r="O1841" s="3">
        <v>1.42277268181609</v>
      </c>
      <c r="P1841" s="3">
        <v>1.1852066535015999</v>
      </c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</row>
    <row r="1842" spans="1:35" x14ac:dyDescent="0.45">
      <c r="A1842" s="3" t="s">
        <v>76</v>
      </c>
      <c r="B1842" s="3" t="s">
        <v>26</v>
      </c>
      <c r="C1842" s="3" t="s">
        <v>6</v>
      </c>
      <c r="D1842" s="3" t="s">
        <v>13</v>
      </c>
      <c r="E1842" s="3" t="s">
        <v>32</v>
      </c>
      <c r="F1842" s="3">
        <v>0</v>
      </c>
      <c r="G1842" s="3">
        <v>0</v>
      </c>
      <c r="H1842" s="3">
        <v>0</v>
      </c>
      <c r="I1842" s="3">
        <v>4.8205273073081401</v>
      </c>
      <c r="J1842" s="3">
        <v>5.4567481542314704</v>
      </c>
      <c r="K1842" s="3">
        <v>4.4669834571914704</v>
      </c>
      <c r="L1842" s="3">
        <v>3.3139903073297101</v>
      </c>
      <c r="M1842" s="3">
        <v>1.9540918691118201</v>
      </c>
      <c r="N1842" s="3">
        <v>1.89495472866885</v>
      </c>
      <c r="O1842" s="3">
        <v>2.0464042656092598</v>
      </c>
      <c r="P1842" s="3">
        <v>2.1450931034774499</v>
      </c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</row>
    <row r="1843" spans="1:35" x14ac:dyDescent="0.45">
      <c r="A1843" s="3" t="s">
        <v>76</v>
      </c>
      <c r="B1843" s="3" t="s">
        <v>26</v>
      </c>
      <c r="C1843" s="3" t="s">
        <v>6</v>
      </c>
      <c r="D1843" s="3" t="s">
        <v>14</v>
      </c>
      <c r="E1843" s="3" t="s">
        <v>32</v>
      </c>
      <c r="F1843" s="3">
        <v>0</v>
      </c>
      <c r="G1843" s="3">
        <v>2.6617335054688098</v>
      </c>
      <c r="H1843" s="3">
        <v>2.6617335054688098</v>
      </c>
      <c r="I1843" s="3">
        <v>3.5870813181768701</v>
      </c>
      <c r="J1843" s="3">
        <v>3.08187237700281</v>
      </c>
      <c r="K1843" s="3">
        <v>2.3819928181779502</v>
      </c>
      <c r="L1843" s="3">
        <v>2.0536251988676302</v>
      </c>
      <c r="M1843" s="3">
        <v>2.4164093167706402</v>
      </c>
      <c r="N1843" s="3">
        <v>3.45212495970984</v>
      </c>
      <c r="O1843" s="3">
        <v>4.3362160425015599</v>
      </c>
      <c r="P1843" s="3">
        <v>5.11456485868265</v>
      </c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</row>
    <row r="1844" spans="1:35" x14ac:dyDescent="0.45">
      <c r="A1844" s="3" t="s">
        <v>76</v>
      </c>
      <c r="B1844" s="3" t="s">
        <v>26</v>
      </c>
      <c r="C1844" s="3" t="s">
        <v>15</v>
      </c>
      <c r="D1844" s="3" t="s">
        <v>7</v>
      </c>
      <c r="E1844" s="3" t="s">
        <v>32</v>
      </c>
      <c r="F1844" s="3">
        <v>0.62521517292091999</v>
      </c>
      <c r="G1844" s="3">
        <v>0.72914430559443399</v>
      </c>
      <c r="H1844" s="3">
        <v>0.72914430559443399</v>
      </c>
      <c r="I1844" s="3">
        <v>0.84708885959158498</v>
      </c>
      <c r="J1844" s="3">
        <v>0.972629623538661</v>
      </c>
      <c r="K1844" s="3">
        <v>1.11137632024219</v>
      </c>
      <c r="L1844" s="3">
        <v>1.1362571599396101</v>
      </c>
      <c r="M1844" s="3">
        <v>1.0926439994044399</v>
      </c>
      <c r="N1844" s="3">
        <v>1.15804389241893</v>
      </c>
      <c r="O1844" s="3">
        <v>1.09725791597693</v>
      </c>
      <c r="P1844" s="3">
        <v>1.09504208230692</v>
      </c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</row>
    <row r="1845" spans="1:35" x14ac:dyDescent="0.45">
      <c r="A1845" s="3" t="s">
        <v>76</v>
      </c>
      <c r="B1845" s="3" t="s">
        <v>26</v>
      </c>
      <c r="C1845" s="3" t="s">
        <v>15</v>
      </c>
      <c r="D1845" s="3" t="s">
        <v>9</v>
      </c>
      <c r="E1845" s="3" t="s">
        <v>32</v>
      </c>
      <c r="F1845" s="3">
        <v>0</v>
      </c>
      <c r="G1845" s="3">
        <v>-4.38567643539767E-3</v>
      </c>
      <c r="H1845" s="3">
        <v>-4.38567643539767E-3</v>
      </c>
      <c r="I1845" s="3">
        <v>-5.6001922355286603E-4</v>
      </c>
      <c r="J1845" s="3">
        <v>7.0034082809181698E-3</v>
      </c>
      <c r="K1845" s="3">
        <v>-7.8931437679323792E-3</v>
      </c>
      <c r="L1845" s="3">
        <v>0.33965658302045398</v>
      </c>
      <c r="M1845" s="3">
        <v>0.53966702924729704</v>
      </c>
      <c r="N1845" s="3">
        <v>0.635462908349407</v>
      </c>
      <c r="O1845" s="3">
        <v>0.83055544515817703</v>
      </c>
      <c r="P1845" s="3">
        <v>0.94110493736149303</v>
      </c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</row>
    <row r="1846" spans="1:35" x14ac:dyDescent="0.45">
      <c r="A1846" s="3" t="s">
        <v>76</v>
      </c>
      <c r="B1846" s="3" t="s">
        <v>26</v>
      </c>
      <c r="C1846" s="3" t="s">
        <v>15</v>
      </c>
      <c r="D1846" s="3" t="s">
        <v>10</v>
      </c>
      <c r="E1846" s="3" t="s">
        <v>32</v>
      </c>
      <c r="F1846" s="3">
        <v>0</v>
      </c>
      <c r="G1846" s="3">
        <v>1.26804635412145E-2</v>
      </c>
      <c r="H1846" s="3">
        <v>1.26804635412145E-2</v>
      </c>
      <c r="I1846" s="3">
        <v>-1.3025174485714599E-3</v>
      </c>
      <c r="J1846" s="3">
        <v>0.22815225303085401</v>
      </c>
      <c r="K1846" s="3">
        <v>0.26557151677894902</v>
      </c>
      <c r="L1846" s="3">
        <v>4.7425240946129502E-2</v>
      </c>
      <c r="M1846" s="3">
        <v>7.1782176121011801E-2</v>
      </c>
      <c r="N1846" s="3">
        <v>0.116070718271989</v>
      </c>
      <c r="O1846" s="3">
        <v>0.17090453998056199</v>
      </c>
      <c r="P1846" s="3">
        <v>0.21054604738968799</v>
      </c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</row>
    <row r="1847" spans="1:35" x14ac:dyDescent="0.45">
      <c r="A1847" s="3" t="s">
        <v>76</v>
      </c>
      <c r="B1847" s="3" t="s">
        <v>26</v>
      </c>
      <c r="C1847" s="3" t="s">
        <v>15</v>
      </c>
      <c r="D1847" s="3" t="s">
        <v>11</v>
      </c>
      <c r="E1847" s="3" t="s">
        <v>32</v>
      </c>
      <c r="F1847" s="3">
        <v>0</v>
      </c>
      <c r="G1847" s="3">
        <v>2.21929419538636E-3</v>
      </c>
      <c r="H1847" s="3">
        <v>2.21929419538636E-3</v>
      </c>
      <c r="I1847" s="3">
        <v>-4.2266295811873604E-3</v>
      </c>
      <c r="J1847" s="3">
        <v>2.3085955551099401E-2</v>
      </c>
      <c r="K1847" s="3">
        <v>7.3900157522952301E-2</v>
      </c>
      <c r="L1847" s="3">
        <v>0.124281787851758</v>
      </c>
      <c r="M1847" s="3">
        <v>0.17931638615773399</v>
      </c>
      <c r="N1847" s="3">
        <v>0.184255944268337</v>
      </c>
      <c r="O1847" s="3">
        <v>0.14583590720651499</v>
      </c>
      <c r="P1847" s="3">
        <v>0.10693500381592499</v>
      </c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</row>
    <row r="1848" spans="1:35" x14ac:dyDescent="0.45">
      <c r="A1848" s="3" t="s">
        <v>76</v>
      </c>
      <c r="B1848" s="3" t="s">
        <v>26</v>
      </c>
      <c r="C1848" s="3" t="s">
        <v>15</v>
      </c>
      <c r="D1848" s="3" t="s">
        <v>12</v>
      </c>
      <c r="E1848" s="3" t="s">
        <v>32</v>
      </c>
      <c r="F1848" s="3">
        <v>0</v>
      </c>
      <c r="G1848" s="3">
        <v>-1.51204156928106E-2</v>
      </c>
      <c r="H1848" s="3">
        <v>-1.51204156928106E-2</v>
      </c>
      <c r="I1848" s="3">
        <v>0.22551126045794501</v>
      </c>
      <c r="J1848" s="3">
        <v>7.4240812452853494E-2</v>
      </c>
      <c r="K1848" s="3">
        <v>0.11141589244608401</v>
      </c>
      <c r="L1848" s="3">
        <v>7.3271943826680896E-2</v>
      </c>
      <c r="M1848" s="3">
        <v>-5.8204020129475299E-3</v>
      </c>
      <c r="N1848" s="3">
        <v>-7.5009297664204097E-2</v>
      </c>
      <c r="O1848" s="3">
        <v>-0.129744236490827</v>
      </c>
      <c r="P1848" s="3">
        <v>-0.180376381755499</v>
      </c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</row>
    <row r="1849" spans="1:35" x14ac:dyDescent="0.45">
      <c r="A1849" s="3" t="s">
        <v>76</v>
      </c>
      <c r="B1849" s="3" t="s">
        <v>26</v>
      </c>
      <c r="C1849" s="3" t="s">
        <v>15</v>
      </c>
      <c r="D1849" s="3" t="s">
        <v>13</v>
      </c>
      <c r="E1849" s="3" t="s">
        <v>32</v>
      </c>
      <c r="F1849" s="3">
        <v>0</v>
      </c>
      <c r="G1849" s="3">
        <v>0.121316911954164</v>
      </c>
      <c r="H1849" s="3">
        <v>0.121316911954164</v>
      </c>
      <c r="I1849" s="3">
        <v>6.7133538212285696E-2</v>
      </c>
      <c r="J1849" s="3">
        <v>-4.3028625473122703E-3</v>
      </c>
      <c r="K1849" s="3">
        <v>-0.115055590604926</v>
      </c>
      <c r="L1849" s="3">
        <v>-0.212384620276655</v>
      </c>
      <c r="M1849" s="3">
        <v>-0.27760901000277599</v>
      </c>
      <c r="N1849" s="3">
        <v>-0.32085661511733798</v>
      </c>
      <c r="O1849" s="3">
        <v>-0.344756178416257</v>
      </c>
      <c r="P1849" s="3">
        <v>-0.36372544647129001</v>
      </c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</row>
    <row r="1850" spans="1:35" x14ac:dyDescent="0.45">
      <c r="A1850" s="3" t="s">
        <v>76</v>
      </c>
      <c r="B1850" s="3" t="s">
        <v>26</v>
      </c>
      <c r="C1850" s="3" t="s">
        <v>15</v>
      </c>
      <c r="D1850" s="3" t="s">
        <v>14</v>
      </c>
      <c r="E1850" s="3" t="s">
        <v>32</v>
      </c>
      <c r="F1850" s="3">
        <v>0</v>
      </c>
      <c r="G1850" s="3">
        <v>4.52012463430869E-2</v>
      </c>
      <c r="H1850" s="3">
        <v>4.52012463430869E-2</v>
      </c>
      <c r="I1850" s="3">
        <v>-6.6752746446587102E-2</v>
      </c>
      <c r="J1850" s="3">
        <v>-0.14233863461796201</v>
      </c>
      <c r="K1850" s="3">
        <v>-0.184680357259982</v>
      </c>
      <c r="L1850" s="3">
        <v>-0.173769996183959</v>
      </c>
      <c r="M1850" s="3">
        <v>-0.20071591546980699</v>
      </c>
      <c r="N1850" s="3">
        <v>-0.24235907342854299</v>
      </c>
      <c r="O1850" s="3">
        <v>-0.28256382031113098</v>
      </c>
      <c r="P1850" s="3">
        <v>-0.29890276290999301</v>
      </c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</row>
    <row r="1851" spans="1:35" x14ac:dyDescent="0.45">
      <c r="A1851" s="3" t="s">
        <v>76</v>
      </c>
      <c r="B1851" s="3" t="s">
        <v>26</v>
      </c>
      <c r="C1851" s="3" t="s">
        <v>16</v>
      </c>
      <c r="D1851" s="3" t="s">
        <v>7</v>
      </c>
      <c r="E1851" s="3" t="s">
        <v>32</v>
      </c>
      <c r="F1851" s="3">
        <v>1.04505387087933</v>
      </c>
      <c r="G1851" s="3">
        <v>1.0657604378204699</v>
      </c>
      <c r="H1851" s="3">
        <v>1.0657604378204699</v>
      </c>
      <c r="I1851" s="3">
        <v>1.0587100839788901</v>
      </c>
      <c r="J1851" s="3">
        <v>0.74561117428845303</v>
      </c>
      <c r="K1851" s="3">
        <v>0.3214367090311</v>
      </c>
      <c r="L1851" s="3">
        <v>0.3214367090311</v>
      </c>
      <c r="M1851" s="3">
        <v>0.3214367090311</v>
      </c>
      <c r="N1851" s="3">
        <v>0.321436709031101</v>
      </c>
      <c r="O1851" s="3">
        <v>0.3214367090311</v>
      </c>
      <c r="P1851" s="3">
        <v>0.3214367090311</v>
      </c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</row>
    <row r="1852" spans="1:35" x14ac:dyDescent="0.45">
      <c r="A1852" s="3" t="s">
        <v>76</v>
      </c>
      <c r="B1852" s="3" t="s">
        <v>26</v>
      </c>
      <c r="C1852" s="3" t="s">
        <v>16</v>
      </c>
      <c r="D1852" s="3" t="s">
        <v>9</v>
      </c>
      <c r="E1852" s="3" t="s">
        <v>32</v>
      </c>
      <c r="F1852" s="3">
        <v>0</v>
      </c>
      <c r="G1852" s="3">
        <v>4.0700159414464E-4</v>
      </c>
      <c r="H1852" s="3">
        <v>4.0700159414464E-4</v>
      </c>
      <c r="I1852" s="3">
        <v>2.0710826376002501E-4</v>
      </c>
      <c r="J1852" s="3">
        <v>1.13618006478911E-4</v>
      </c>
      <c r="K1852" s="3">
        <v>0</v>
      </c>
      <c r="L1852" s="3">
        <v>0</v>
      </c>
      <c r="M1852" s="3">
        <v>0</v>
      </c>
      <c r="N1852" s="3">
        <v>-6.6613381477509402E-16</v>
      </c>
      <c r="O1852" s="3">
        <v>0</v>
      </c>
      <c r="P1852" s="3">
        <v>-5.4754423131132502E-3</v>
      </c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</row>
    <row r="1853" spans="1:35" x14ac:dyDescent="0.45">
      <c r="A1853" s="3" t="s">
        <v>76</v>
      </c>
      <c r="B1853" s="3" t="s">
        <v>26</v>
      </c>
      <c r="C1853" s="3" t="s">
        <v>16</v>
      </c>
      <c r="D1853" s="3" t="s">
        <v>10</v>
      </c>
      <c r="E1853" s="3" t="s">
        <v>32</v>
      </c>
      <c r="F1853" s="3">
        <v>0</v>
      </c>
      <c r="G1853" s="3">
        <v>7.9193574755720403E-6</v>
      </c>
      <c r="H1853" s="3">
        <v>7.9193574755720403E-6</v>
      </c>
      <c r="I1853" s="3">
        <v>0</v>
      </c>
      <c r="J1853" s="3">
        <v>0</v>
      </c>
      <c r="K1853" s="3">
        <v>0</v>
      </c>
      <c r="L1853" s="3">
        <v>0</v>
      </c>
      <c r="M1853" s="3">
        <v>-8.2461738874803295E-3</v>
      </c>
      <c r="N1853" s="3">
        <v>-5.4754423131132502E-3</v>
      </c>
      <c r="O1853" s="3">
        <v>-1.5292570532757801E-3</v>
      </c>
      <c r="P1853" s="3">
        <v>4.8770099427556399E-3</v>
      </c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</row>
    <row r="1854" spans="1:35" x14ac:dyDescent="0.45">
      <c r="A1854" s="3" t="s">
        <v>76</v>
      </c>
      <c r="B1854" s="3" t="s">
        <v>26</v>
      </c>
      <c r="C1854" s="3" t="s">
        <v>16</v>
      </c>
      <c r="D1854" s="3" t="s">
        <v>11</v>
      </c>
      <c r="E1854" s="3" t="s">
        <v>32</v>
      </c>
      <c r="F1854" s="3">
        <v>0</v>
      </c>
      <c r="G1854" s="3">
        <v>1.61764842552481E-4</v>
      </c>
      <c r="H1854" s="3">
        <v>1.61764842552481E-4</v>
      </c>
      <c r="I1854" s="3">
        <v>4.4767535125167499E-5</v>
      </c>
      <c r="J1854" s="3">
        <v>2.5934208507383301E-5</v>
      </c>
      <c r="K1854" s="3">
        <v>-8.2356574813536899E-3</v>
      </c>
      <c r="L1854" s="3">
        <v>-8.0129424885828603E-3</v>
      </c>
      <c r="M1854" s="3">
        <v>7.6490649303667096E-3</v>
      </c>
      <c r="N1854" s="3">
        <v>5.4754423131132502E-3</v>
      </c>
      <c r="O1854" s="3">
        <v>1.5292570532757801E-3</v>
      </c>
      <c r="P1854" s="3">
        <v>5.9843237035761597E-4</v>
      </c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</row>
    <row r="1855" spans="1:35" x14ac:dyDescent="0.45">
      <c r="A1855" s="3" t="s">
        <v>76</v>
      </c>
      <c r="B1855" s="3" t="s">
        <v>26</v>
      </c>
      <c r="C1855" s="3" t="s">
        <v>16</v>
      </c>
      <c r="D1855" s="3" t="s">
        <v>12</v>
      </c>
      <c r="E1855" s="3" t="s">
        <v>32</v>
      </c>
      <c r="F1855" s="3">
        <v>0</v>
      </c>
      <c r="G1855" s="3">
        <v>4.0764754078104197E-5</v>
      </c>
      <c r="H1855" s="3">
        <v>4.0764754078104197E-5</v>
      </c>
      <c r="I1855" s="3">
        <v>5.4254018607924303E-5</v>
      </c>
      <c r="J1855" s="3">
        <v>-4.01575382021979E-3</v>
      </c>
      <c r="K1855" s="3">
        <v>2.7726220278669902E-3</v>
      </c>
      <c r="L1855" s="3">
        <v>8.0129424885828603E-3</v>
      </c>
      <c r="M1855" s="3">
        <v>5.9710895711362301E-4</v>
      </c>
      <c r="N1855" s="3">
        <v>0</v>
      </c>
      <c r="O1855" s="3">
        <v>0</v>
      </c>
      <c r="P1855" s="3">
        <v>0</v>
      </c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</row>
    <row r="1856" spans="1:35" x14ac:dyDescent="0.45">
      <c r="A1856" s="3" t="s">
        <v>76</v>
      </c>
      <c r="B1856" s="3" t="s">
        <v>26</v>
      </c>
      <c r="C1856" s="3" t="s">
        <v>16</v>
      </c>
      <c r="D1856" s="3" t="s">
        <v>13</v>
      </c>
      <c r="E1856" s="3" t="s">
        <v>32</v>
      </c>
      <c r="F1856" s="3">
        <v>0</v>
      </c>
      <c r="G1856" s="3">
        <v>-2.2214891518095299E-3</v>
      </c>
      <c r="H1856" s="3">
        <v>-2.2214891518095299E-3</v>
      </c>
      <c r="I1856" s="3">
        <v>1.18679870329437E-2</v>
      </c>
      <c r="J1856" s="3">
        <v>1.0423876782889099E-2</v>
      </c>
      <c r="K1856" s="3">
        <v>5.4630354534867002E-3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</row>
    <row r="1857" spans="1:35" x14ac:dyDescent="0.45">
      <c r="A1857" s="3" t="s">
        <v>76</v>
      </c>
      <c r="B1857" s="3" t="s">
        <v>26</v>
      </c>
      <c r="C1857" s="3" t="s">
        <v>16</v>
      </c>
      <c r="D1857" s="3" t="s">
        <v>14</v>
      </c>
      <c r="E1857" s="3" t="s">
        <v>32</v>
      </c>
      <c r="F1857" s="3">
        <v>0</v>
      </c>
      <c r="G1857" s="3">
        <v>-2.58592028374438E-2</v>
      </c>
      <c r="H1857" s="3">
        <v>-2.58592028374438E-2</v>
      </c>
      <c r="I1857" s="3">
        <v>3.10073813289624E-3</v>
      </c>
      <c r="J1857" s="3">
        <v>-3.3150444738454499E-3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</row>
    <row r="1858" spans="1:35" x14ac:dyDescent="0.45">
      <c r="A1858" s="3" t="s">
        <v>76</v>
      </c>
      <c r="B1858" s="3" t="s">
        <v>26</v>
      </c>
      <c r="C1858" s="3" t="s">
        <v>17</v>
      </c>
      <c r="D1858" s="3" t="s">
        <v>10</v>
      </c>
      <c r="E1858" s="3" t="s">
        <v>32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  <c r="L1858" s="3">
        <v>0</v>
      </c>
      <c r="M1858" s="3">
        <v>0.9597899670601</v>
      </c>
      <c r="N1858" s="3">
        <v>1.1491279398361001</v>
      </c>
      <c r="O1858" s="3">
        <v>1.3226336540400301</v>
      </c>
      <c r="P1858" s="3">
        <v>1.2265091362721099</v>
      </c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</row>
    <row r="1859" spans="1:35" x14ac:dyDescent="0.45">
      <c r="A1859" s="3" t="s">
        <v>76</v>
      </c>
      <c r="B1859" s="3" t="s">
        <v>26</v>
      </c>
      <c r="C1859" s="3" t="s">
        <v>17</v>
      </c>
      <c r="D1859" s="3" t="s">
        <v>11</v>
      </c>
      <c r="E1859" s="3" t="s">
        <v>32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0.78057435348193305</v>
      </c>
      <c r="L1859" s="3">
        <v>0.93298752318291001</v>
      </c>
      <c r="M1859" s="3">
        <v>0.23431141470974801</v>
      </c>
      <c r="N1859" s="3">
        <v>0.38339203696421897</v>
      </c>
      <c r="O1859" s="3">
        <v>0.57193296885317801</v>
      </c>
      <c r="P1859" s="3">
        <v>0.81842655505756501</v>
      </c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</row>
    <row r="1860" spans="1:35" x14ac:dyDescent="0.45">
      <c r="A1860" s="3" t="s">
        <v>76</v>
      </c>
      <c r="B1860" s="3" t="s">
        <v>26</v>
      </c>
      <c r="C1860" s="3" t="s">
        <v>17</v>
      </c>
      <c r="D1860" s="3" t="s">
        <v>12</v>
      </c>
      <c r="E1860" s="3" t="s">
        <v>32</v>
      </c>
      <c r="F1860" s="3">
        <v>0</v>
      </c>
      <c r="G1860" s="3">
        <v>0</v>
      </c>
      <c r="H1860" s="3">
        <v>0</v>
      </c>
      <c r="I1860" s="3">
        <v>0</v>
      </c>
      <c r="J1860" s="3">
        <v>0.68231348928541902</v>
      </c>
      <c r="K1860" s="3">
        <v>0.25400327093865299</v>
      </c>
      <c r="L1860" s="3">
        <v>0.63375630292889895</v>
      </c>
      <c r="M1860" s="3">
        <v>0.90081839150130005</v>
      </c>
      <c r="N1860" s="3">
        <v>1.0066480354281699</v>
      </c>
      <c r="O1860" s="3">
        <v>0.79513278213734195</v>
      </c>
      <c r="P1860" s="3">
        <v>0.44375312764654701</v>
      </c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</row>
    <row r="1861" spans="1:35" x14ac:dyDescent="0.45">
      <c r="A1861" s="3" t="s">
        <v>76</v>
      </c>
      <c r="B1861" s="3" t="s">
        <v>26</v>
      </c>
      <c r="C1861" s="3" t="s">
        <v>17</v>
      </c>
      <c r="D1861" s="3" t="s">
        <v>13</v>
      </c>
      <c r="E1861" s="3" t="s">
        <v>32</v>
      </c>
      <c r="F1861" s="3">
        <v>0</v>
      </c>
      <c r="G1861" s="3">
        <v>0</v>
      </c>
      <c r="H1861" s="3">
        <v>0</v>
      </c>
      <c r="I1861" s="3">
        <v>0.77627893436337503</v>
      </c>
      <c r="J1861" s="3">
        <v>1.00179052751572</v>
      </c>
      <c r="K1861" s="3">
        <v>1.4435426419800701</v>
      </c>
      <c r="L1861" s="3">
        <v>1.1303779694432901</v>
      </c>
      <c r="M1861" s="3">
        <v>0.61334252713963899</v>
      </c>
      <c r="N1861" s="3">
        <v>0.169145097856263</v>
      </c>
      <c r="O1861" s="3">
        <v>1.87266297032758E-2</v>
      </c>
      <c r="P1861" s="3">
        <v>-1.5968388964421501E-2</v>
      </c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</row>
    <row r="1862" spans="1:35" x14ac:dyDescent="0.45">
      <c r="A1862" s="3" t="s">
        <v>76</v>
      </c>
      <c r="B1862" s="3" t="s">
        <v>26</v>
      </c>
      <c r="C1862" s="3" t="s">
        <v>17</v>
      </c>
      <c r="D1862" s="3" t="s">
        <v>14</v>
      </c>
      <c r="E1862" s="3" t="s">
        <v>32</v>
      </c>
      <c r="F1862" s="3">
        <v>0</v>
      </c>
      <c r="G1862" s="3">
        <v>8.1882456296229505E-2</v>
      </c>
      <c r="H1862" s="3">
        <v>8.1882456296229505E-2</v>
      </c>
      <c r="I1862" s="3">
        <v>0.99005872846509202</v>
      </c>
      <c r="J1862" s="3">
        <v>0.97233562569447396</v>
      </c>
      <c r="K1862" s="3">
        <v>0.26536573373966599</v>
      </c>
      <c r="L1862" s="3">
        <v>4.7126614595104602E-2</v>
      </c>
      <c r="M1862" s="3">
        <v>3.6656862573858397E-2</v>
      </c>
      <c r="N1862" s="3">
        <v>3.7121071747930202E-2</v>
      </c>
      <c r="O1862" s="3">
        <v>3.7008147098855498E-2</v>
      </c>
      <c r="P1862" s="3">
        <v>3.6401509488035E-2</v>
      </c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</row>
    <row r="1863" spans="1:35" x14ac:dyDescent="0.45">
      <c r="A1863" s="3" t="s">
        <v>76</v>
      </c>
      <c r="B1863" s="3" t="s">
        <v>26</v>
      </c>
      <c r="C1863" s="3" t="s">
        <v>18</v>
      </c>
      <c r="D1863" s="3" t="s">
        <v>7</v>
      </c>
      <c r="E1863" s="3" t="s">
        <v>32</v>
      </c>
      <c r="F1863" s="3">
        <v>0.39803311622314602</v>
      </c>
      <c r="G1863" s="3">
        <v>0.234175549650538</v>
      </c>
      <c r="H1863" s="3">
        <v>0.234175549650538</v>
      </c>
      <c r="I1863" s="3">
        <v>0.15611703310035899</v>
      </c>
      <c r="J1863" s="3">
        <v>7.8058516550179396E-2</v>
      </c>
      <c r="K1863" s="3">
        <v>0</v>
      </c>
      <c r="L1863" s="3">
        <v>7.6581800852978595E-17</v>
      </c>
      <c r="M1863" s="3">
        <v>0</v>
      </c>
      <c r="N1863" s="3">
        <v>0</v>
      </c>
      <c r="O1863" s="3">
        <v>7.6581800852978595E-17</v>
      </c>
      <c r="P1863" s="3">
        <v>0</v>
      </c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</row>
    <row r="1864" spans="1:35" x14ac:dyDescent="0.45">
      <c r="A1864" s="3" t="s">
        <v>76</v>
      </c>
      <c r="B1864" s="3" t="s">
        <v>26</v>
      </c>
      <c r="C1864" s="3" t="s">
        <v>18</v>
      </c>
      <c r="D1864" s="3" t="s">
        <v>9</v>
      </c>
      <c r="E1864" s="3" t="s">
        <v>32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-7.6581800852978595E-17</v>
      </c>
      <c r="M1864" s="3">
        <v>2.2974540255893499E-16</v>
      </c>
      <c r="N1864" s="3">
        <v>3.8290900426489199E-17</v>
      </c>
      <c r="O1864" s="3">
        <v>-3.8290900426489402E-17</v>
      </c>
      <c r="P1864" s="3">
        <v>0</v>
      </c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</row>
    <row r="1865" spans="1:35" x14ac:dyDescent="0.45">
      <c r="A1865" s="3" t="s">
        <v>76</v>
      </c>
      <c r="B1865" s="3" t="s">
        <v>26</v>
      </c>
      <c r="C1865" s="3" t="s">
        <v>18</v>
      </c>
      <c r="D1865" s="3" t="s">
        <v>10</v>
      </c>
      <c r="E1865" s="3" t="s">
        <v>32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2.2974540255893499E-16</v>
      </c>
      <c r="L1865" s="3">
        <v>0</v>
      </c>
      <c r="M1865" s="3">
        <v>-2.2974540255893499E-16</v>
      </c>
      <c r="N1865" s="3">
        <v>1.14872701279467E-16</v>
      </c>
      <c r="O1865" s="3">
        <v>-3.8290900426489199E-17</v>
      </c>
      <c r="P1865" s="3">
        <v>0</v>
      </c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</row>
    <row r="1866" spans="1:35" x14ac:dyDescent="0.45">
      <c r="A1866" s="3" t="s">
        <v>76</v>
      </c>
      <c r="B1866" s="3" t="s">
        <v>26</v>
      </c>
      <c r="C1866" s="3" t="s">
        <v>18</v>
      </c>
      <c r="D1866" s="3" t="s">
        <v>11</v>
      </c>
      <c r="E1866" s="3" t="s">
        <v>32</v>
      </c>
      <c r="F1866" s="3">
        <v>0</v>
      </c>
      <c r="G1866" s="3">
        <v>0</v>
      </c>
      <c r="H1866" s="3">
        <v>0</v>
      </c>
      <c r="I1866" s="3">
        <v>-6.9388939039072303E-16</v>
      </c>
      <c r="J1866" s="3">
        <v>-6.8001160258290799E-16</v>
      </c>
      <c r="K1866" s="3">
        <v>-2.2974540255893499E-16</v>
      </c>
      <c r="L1866" s="3">
        <v>1.5316360170595699E-16</v>
      </c>
      <c r="M1866" s="3">
        <v>0</v>
      </c>
      <c r="N1866" s="3">
        <v>-1.5316360170595699E-16</v>
      </c>
      <c r="O1866" s="3">
        <v>0</v>
      </c>
      <c r="P1866" s="3">
        <v>0</v>
      </c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</row>
    <row r="1867" spans="1:35" x14ac:dyDescent="0.45">
      <c r="A1867" s="3" t="s">
        <v>76</v>
      </c>
      <c r="B1867" s="3" t="s">
        <v>26</v>
      </c>
      <c r="C1867" s="3" t="s">
        <v>18</v>
      </c>
      <c r="D1867" s="3" t="s">
        <v>12</v>
      </c>
      <c r="E1867" s="3" t="s">
        <v>32</v>
      </c>
      <c r="F1867" s="3">
        <v>0</v>
      </c>
      <c r="G1867" s="3">
        <v>0</v>
      </c>
      <c r="H1867" s="3">
        <v>0</v>
      </c>
      <c r="I1867" s="3">
        <v>0</v>
      </c>
      <c r="J1867" s="3">
        <v>1.37390099297363E-15</v>
      </c>
      <c r="K1867" s="3">
        <v>1.8762541208979699E-15</v>
      </c>
      <c r="L1867" s="3">
        <v>-1.5316360170595699E-16</v>
      </c>
      <c r="M1867" s="3">
        <v>0</v>
      </c>
      <c r="N1867" s="3">
        <v>1.5699269174860601E-15</v>
      </c>
      <c r="O1867" s="3">
        <v>1.34018151492712E-15</v>
      </c>
      <c r="P1867" s="3">
        <v>0</v>
      </c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</row>
    <row r="1868" spans="1:35" x14ac:dyDescent="0.45">
      <c r="A1868" s="3" t="s">
        <v>76</v>
      </c>
      <c r="B1868" s="3" t="s">
        <v>26</v>
      </c>
      <c r="C1868" s="3" t="s">
        <v>18</v>
      </c>
      <c r="D1868" s="3" t="s">
        <v>13</v>
      </c>
      <c r="E1868" s="3" t="s">
        <v>32</v>
      </c>
      <c r="F1868" s="3">
        <v>0</v>
      </c>
      <c r="G1868" s="3">
        <v>0</v>
      </c>
      <c r="H1868" s="3">
        <v>0</v>
      </c>
      <c r="I1868" s="3">
        <v>6.9388939039072303E-16</v>
      </c>
      <c r="J1868" s="3">
        <v>-4.1355807667287097E-15</v>
      </c>
      <c r="K1868" s="3">
        <v>-1.8762541208979699E-15</v>
      </c>
      <c r="L1868" s="3">
        <v>0</v>
      </c>
      <c r="M1868" s="3">
        <v>0</v>
      </c>
      <c r="N1868" s="3">
        <v>3.9439627439283898E-15</v>
      </c>
      <c r="O1868" s="3">
        <v>9.5727251066223198E-16</v>
      </c>
      <c r="P1868" s="3">
        <v>4.1354172460608303E-15</v>
      </c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</row>
    <row r="1869" spans="1:35" x14ac:dyDescent="0.45">
      <c r="A1869" s="3" t="s">
        <v>76</v>
      </c>
      <c r="B1869" s="3" t="s">
        <v>26</v>
      </c>
      <c r="C1869" s="3" t="s">
        <v>18</v>
      </c>
      <c r="D1869" s="3" t="s">
        <v>14</v>
      </c>
      <c r="E1869" s="3" t="s">
        <v>32</v>
      </c>
      <c r="F1869" s="3">
        <v>0</v>
      </c>
      <c r="G1869" s="3">
        <v>0</v>
      </c>
      <c r="H1869" s="3">
        <v>0</v>
      </c>
      <c r="I1869" s="3">
        <v>-2.05391259555654E-15</v>
      </c>
      <c r="J1869" s="3">
        <v>6.9388939039072303E-16</v>
      </c>
      <c r="K1869" s="3">
        <v>0</v>
      </c>
      <c r="L1869" s="3">
        <v>1.0721452119417E-15</v>
      </c>
      <c r="M1869" s="3">
        <v>1.30189061450063E-15</v>
      </c>
      <c r="N1869" s="3">
        <v>-5.5138896614144396E-15</v>
      </c>
      <c r="O1869" s="3">
        <v>-1.30189061450063E-15</v>
      </c>
      <c r="P1869" s="3">
        <v>-1.6082178179125499E-15</v>
      </c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</row>
    <row r="1870" spans="1:35" x14ac:dyDescent="0.45">
      <c r="A1870" s="3" t="s">
        <v>76</v>
      </c>
      <c r="B1870" s="3" t="s">
        <v>26</v>
      </c>
      <c r="C1870" s="3" t="s">
        <v>19</v>
      </c>
      <c r="D1870" s="3" t="s">
        <v>10</v>
      </c>
      <c r="E1870" s="3" t="s">
        <v>32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0.24560059834550099</v>
      </c>
      <c r="N1870" s="3">
        <v>0.54562003386325997</v>
      </c>
      <c r="O1870" s="3">
        <v>0.81747181660468904</v>
      </c>
      <c r="P1870" s="3">
        <v>0.35553552987433901</v>
      </c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</row>
    <row r="1871" spans="1:35" x14ac:dyDescent="0.45">
      <c r="A1871" s="3" t="s">
        <v>76</v>
      </c>
      <c r="B1871" s="3" t="s">
        <v>26</v>
      </c>
      <c r="C1871" s="3" t="s">
        <v>19</v>
      </c>
      <c r="D1871" s="3" t="s">
        <v>11</v>
      </c>
      <c r="E1871" s="3" t="s">
        <v>32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8.1307568103899594E-2</v>
      </c>
      <c r="L1871" s="3">
        <v>0.27201120523479</v>
      </c>
      <c r="M1871" s="3">
        <v>0.57108897573569095</v>
      </c>
      <c r="N1871" s="3">
        <v>1.1351640004516601</v>
      </c>
      <c r="O1871" s="3">
        <v>1.9510879971897599</v>
      </c>
      <c r="P1871" s="3">
        <v>3.0005899784405798</v>
      </c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</row>
    <row r="1872" spans="1:35" x14ac:dyDescent="0.45">
      <c r="A1872" s="3" t="s">
        <v>76</v>
      </c>
      <c r="B1872" s="3" t="s">
        <v>26</v>
      </c>
      <c r="C1872" s="3" t="s">
        <v>19</v>
      </c>
      <c r="D1872" s="3" t="s">
        <v>12</v>
      </c>
      <c r="E1872" s="3" t="s">
        <v>32</v>
      </c>
      <c r="F1872" s="3">
        <v>0</v>
      </c>
      <c r="G1872" s="3">
        <v>0</v>
      </c>
      <c r="H1872" s="3">
        <v>0</v>
      </c>
      <c r="I1872" s="3">
        <v>0</v>
      </c>
      <c r="J1872" s="3">
        <v>6.6076812685238101E-2</v>
      </c>
      <c r="K1872" s="3">
        <v>0.78443184715434799</v>
      </c>
      <c r="L1872" s="3">
        <v>2.32068528323946</v>
      </c>
      <c r="M1872" s="3">
        <v>3.5249609605872401</v>
      </c>
      <c r="N1872" s="3">
        <v>4.1293340125940103</v>
      </c>
      <c r="O1872" s="3">
        <v>3.4373800220181301</v>
      </c>
      <c r="P1872" s="3">
        <v>2.15229694512061</v>
      </c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</row>
    <row r="1873" spans="1:35" x14ac:dyDescent="0.45">
      <c r="A1873" s="3" t="s">
        <v>76</v>
      </c>
      <c r="B1873" s="3" t="s">
        <v>26</v>
      </c>
      <c r="C1873" s="3" t="s">
        <v>19</v>
      </c>
      <c r="D1873" s="3" t="s">
        <v>13</v>
      </c>
      <c r="E1873" s="3" t="s">
        <v>32</v>
      </c>
      <c r="F1873" s="3">
        <v>0</v>
      </c>
      <c r="G1873" s="3">
        <v>0</v>
      </c>
      <c r="H1873" s="3">
        <v>0</v>
      </c>
      <c r="I1873" s="3">
        <v>0.853090898691239</v>
      </c>
      <c r="J1873" s="3">
        <v>3.8882187603703602</v>
      </c>
      <c r="K1873" s="3">
        <v>5.8545700372637004</v>
      </c>
      <c r="L1873" s="3">
        <v>4.8511306857432404</v>
      </c>
      <c r="M1873" s="3">
        <v>2.9809040323984299</v>
      </c>
      <c r="N1873" s="3">
        <v>1.33243495823989</v>
      </c>
      <c r="O1873" s="3">
        <v>0.79356986195323698</v>
      </c>
      <c r="P1873" s="3">
        <v>0.70610647936209503</v>
      </c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</row>
    <row r="1874" spans="1:35" x14ac:dyDescent="0.45">
      <c r="A1874" s="3" t="s">
        <v>76</v>
      </c>
      <c r="B1874" s="3" t="s">
        <v>26</v>
      </c>
      <c r="C1874" s="3" t="s">
        <v>19</v>
      </c>
      <c r="D1874" s="3" t="s">
        <v>14</v>
      </c>
      <c r="E1874" s="3" t="s">
        <v>32</v>
      </c>
      <c r="F1874" s="3">
        <v>0</v>
      </c>
      <c r="G1874" s="3">
        <v>1.75362938980369E-2</v>
      </c>
      <c r="H1874" s="3">
        <v>1.75362938980369E-2</v>
      </c>
      <c r="I1874" s="3">
        <v>3.9498122428486901</v>
      </c>
      <c r="J1874" s="3">
        <v>4.1001952406074897</v>
      </c>
      <c r="K1874" s="3">
        <v>1.42702390342347</v>
      </c>
      <c r="L1874" s="3">
        <v>0.56977049320748696</v>
      </c>
      <c r="M1874" s="3">
        <v>0.57439658431748697</v>
      </c>
      <c r="N1874" s="3">
        <v>0.64609617848308398</v>
      </c>
      <c r="O1874" s="3">
        <v>0.71761173800056599</v>
      </c>
      <c r="P1874" s="3">
        <v>0.75379298305665199</v>
      </c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</row>
    <row r="1875" spans="1:35" x14ac:dyDescent="0.45">
      <c r="A1875" s="3" t="s">
        <v>77</v>
      </c>
      <c r="B1875" s="3" t="s">
        <v>27</v>
      </c>
      <c r="C1875" s="3" t="s">
        <v>6</v>
      </c>
      <c r="D1875" s="3" t="s">
        <v>7</v>
      </c>
      <c r="E1875" s="3" t="s">
        <v>32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</row>
    <row r="1876" spans="1:35" x14ac:dyDescent="0.45">
      <c r="A1876" s="3" t="s">
        <v>77</v>
      </c>
      <c r="B1876" s="3" t="s">
        <v>27</v>
      </c>
      <c r="C1876" s="3" t="s">
        <v>6</v>
      </c>
      <c r="D1876" s="3" t="s">
        <v>9</v>
      </c>
      <c r="E1876" s="3" t="s">
        <v>32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7.1138131369213797E-3</v>
      </c>
      <c r="P1876" s="3">
        <v>2.1545133056700999E-2</v>
      </c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</row>
    <row r="1877" spans="1:35" x14ac:dyDescent="0.45">
      <c r="A1877" s="3" t="s">
        <v>77</v>
      </c>
      <c r="B1877" s="3" t="s">
        <v>27</v>
      </c>
      <c r="C1877" s="3" t="s">
        <v>6</v>
      </c>
      <c r="D1877" s="3" t="s">
        <v>10</v>
      </c>
      <c r="E1877" s="3" t="s">
        <v>32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3">
        <v>4.1963452663930402E-3</v>
      </c>
      <c r="M1877" s="3">
        <v>2.2743765640498299E-2</v>
      </c>
      <c r="N1877" s="3">
        <v>3.57131532714327E-2</v>
      </c>
      <c r="O1877" s="3">
        <v>4.47665346162016E-2</v>
      </c>
      <c r="P1877" s="3">
        <v>4.4193640085575699E-2</v>
      </c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</row>
    <row r="1878" spans="1:35" x14ac:dyDescent="0.45">
      <c r="A1878" s="3" t="s">
        <v>77</v>
      </c>
      <c r="B1878" s="3" t="s">
        <v>27</v>
      </c>
      <c r="C1878" s="3" t="s">
        <v>6</v>
      </c>
      <c r="D1878" s="3" t="s">
        <v>11</v>
      </c>
      <c r="E1878" s="3" t="s">
        <v>32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1.9542769664778099E-2</v>
      </c>
      <c r="L1878" s="3">
        <v>3.6845740540941398E-2</v>
      </c>
      <c r="M1878" s="3">
        <v>4.6802992055164597E-2</v>
      </c>
      <c r="N1878" s="3">
        <v>0.18893871685160199</v>
      </c>
      <c r="O1878" s="3">
        <v>0.41500024848387002</v>
      </c>
      <c r="P1878" s="3">
        <v>0.70066697704145797</v>
      </c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</row>
    <row r="1879" spans="1:35" x14ac:dyDescent="0.45">
      <c r="A1879" s="3" t="s">
        <v>77</v>
      </c>
      <c r="B1879" s="3" t="s">
        <v>27</v>
      </c>
      <c r="C1879" s="3" t="s">
        <v>6</v>
      </c>
      <c r="D1879" s="3" t="s">
        <v>12</v>
      </c>
      <c r="E1879" s="3" t="s">
        <v>32</v>
      </c>
      <c r="F1879" s="3">
        <v>0</v>
      </c>
      <c r="G1879" s="3">
        <v>0</v>
      </c>
      <c r="H1879" s="3">
        <v>0</v>
      </c>
      <c r="I1879" s="3">
        <v>1.40486726889654E-8</v>
      </c>
      <c r="J1879" s="3">
        <v>1.9679798344545901E-2</v>
      </c>
      <c r="K1879" s="3">
        <v>6.3673176895812797E-2</v>
      </c>
      <c r="L1879" s="3">
        <v>0.29532655753147702</v>
      </c>
      <c r="M1879" s="3">
        <v>0.60502005236661704</v>
      </c>
      <c r="N1879" s="3">
        <v>0.80120883835800305</v>
      </c>
      <c r="O1879" s="3">
        <v>0.861835387366504</v>
      </c>
      <c r="P1879" s="3">
        <v>0.83643159250431598</v>
      </c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</row>
    <row r="1880" spans="1:35" x14ac:dyDescent="0.45">
      <c r="A1880" s="3" t="s">
        <v>77</v>
      </c>
      <c r="B1880" s="3" t="s">
        <v>27</v>
      </c>
      <c r="C1880" s="3" t="s">
        <v>6</v>
      </c>
      <c r="D1880" s="3" t="s">
        <v>13</v>
      </c>
      <c r="E1880" s="3" t="s">
        <v>32</v>
      </c>
      <c r="F1880" s="3">
        <v>0</v>
      </c>
      <c r="G1880" s="3">
        <v>0</v>
      </c>
      <c r="H1880" s="3">
        <v>0</v>
      </c>
      <c r="I1880" s="3">
        <v>5.2821005806812302E-2</v>
      </c>
      <c r="J1880" s="3">
        <v>0.43978992544981799</v>
      </c>
      <c r="K1880" s="3">
        <v>0.79891565551287402</v>
      </c>
      <c r="L1880" s="3">
        <v>0.88777584645679297</v>
      </c>
      <c r="M1880" s="3">
        <v>0.85823772605416304</v>
      </c>
      <c r="N1880" s="3">
        <v>0.79418292003852098</v>
      </c>
      <c r="O1880" s="3">
        <v>0.73978430723270505</v>
      </c>
      <c r="P1880" s="3">
        <v>0.67891775922967501</v>
      </c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</row>
    <row r="1881" spans="1:35" x14ac:dyDescent="0.45">
      <c r="A1881" s="3" t="s">
        <v>77</v>
      </c>
      <c r="B1881" s="3" t="s">
        <v>27</v>
      </c>
      <c r="C1881" s="3" t="s">
        <v>6</v>
      </c>
      <c r="D1881" s="3" t="s">
        <v>14</v>
      </c>
      <c r="E1881" s="3" t="s">
        <v>32</v>
      </c>
      <c r="F1881" s="3">
        <v>0</v>
      </c>
      <c r="G1881" s="3">
        <v>4.1095486475950099E-2</v>
      </c>
      <c r="H1881" s="3">
        <v>4.1095486475950099E-2</v>
      </c>
      <c r="I1881" s="3">
        <v>0.47479362049078699</v>
      </c>
      <c r="J1881" s="3">
        <v>0.47348700067204402</v>
      </c>
      <c r="K1881" s="3">
        <v>0.40814967840632299</v>
      </c>
      <c r="L1881" s="3">
        <v>0.39386591404264798</v>
      </c>
      <c r="M1881" s="3">
        <v>0.42251106634445101</v>
      </c>
      <c r="N1881" s="3">
        <v>0.41189685468848802</v>
      </c>
      <c r="O1881" s="3">
        <v>0.40988446891263303</v>
      </c>
      <c r="P1881" s="3">
        <v>0.41137977537468301</v>
      </c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</row>
    <row r="1882" spans="1:35" x14ac:dyDescent="0.45">
      <c r="A1882" s="3" t="s">
        <v>77</v>
      </c>
      <c r="B1882" s="3" t="s">
        <v>27</v>
      </c>
      <c r="C1882" s="3" t="s">
        <v>15</v>
      </c>
      <c r="D1882" s="3" t="s">
        <v>7</v>
      </c>
      <c r="E1882" s="3" t="s">
        <v>32</v>
      </c>
      <c r="F1882" s="3">
        <v>0.238887815478774</v>
      </c>
      <c r="G1882" s="3">
        <v>0.27322428572417801</v>
      </c>
      <c r="H1882" s="3">
        <v>0.27322428572417801</v>
      </c>
      <c r="I1882" s="3">
        <v>0.311236644805303</v>
      </c>
      <c r="J1882" s="3">
        <v>0.35000252361435003</v>
      </c>
      <c r="K1882" s="3">
        <v>0.38680555956351598</v>
      </c>
      <c r="L1882" s="3">
        <v>0.40184523274400602</v>
      </c>
      <c r="M1882" s="3">
        <v>0.41039867159492099</v>
      </c>
      <c r="N1882" s="3">
        <v>0.39816213215545598</v>
      </c>
      <c r="O1882" s="3">
        <v>0.40977483863404801</v>
      </c>
      <c r="P1882" s="3">
        <v>0.41025195527251901</v>
      </c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</row>
    <row r="1883" spans="1:35" x14ac:dyDescent="0.45">
      <c r="A1883" s="3" t="s">
        <v>77</v>
      </c>
      <c r="B1883" s="3" t="s">
        <v>27</v>
      </c>
      <c r="C1883" s="3" t="s">
        <v>15</v>
      </c>
      <c r="D1883" s="3" t="s">
        <v>9</v>
      </c>
      <c r="E1883" s="3" t="s">
        <v>32</v>
      </c>
      <c r="F1883" s="3">
        <v>0</v>
      </c>
      <c r="G1883" s="3">
        <v>7.6655529351693497E-4</v>
      </c>
      <c r="H1883" s="3">
        <v>7.6655529351693497E-4</v>
      </c>
      <c r="I1883" s="3">
        <v>-1.3072069004891301E-3</v>
      </c>
      <c r="J1883" s="3">
        <v>-2.5050122672045099E-3</v>
      </c>
      <c r="K1883" s="3">
        <v>-2.12833948619123E-3</v>
      </c>
      <c r="L1883" s="3">
        <v>1.8272326193068601E-2</v>
      </c>
      <c r="M1883" s="3">
        <v>3.3655911338917502E-2</v>
      </c>
      <c r="N1883" s="3">
        <v>6.9043587862424705E-2</v>
      </c>
      <c r="O1883" s="3">
        <v>7.2762917346694198E-2</v>
      </c>
      <c r="P1883" s="3">
        <v>8.4961796909096707E-2</v>
      </c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</row>
    <row r="1884" spans="1:35" x14ac:dyDescent="0.45">
      <c r="A1884" s="3" t="s">
        <v>77</v>
      </c>
      <c r="B1884" s="3" t="s">
        <v>27</v>
      </c>
      <c r="C1884" s="3" t="s">
        <v>15</v>
      </c>
      <c r="D1884" s="3" t="s">
        <v>10</v>
      </c>
      <c r="E1884" s="3" t="s">
        <v>32</v>
      </c>
      <c r="F1884" s="3">
        <v>0</v>
      </c>
      <c r="G1884" s="3">
        <v>-2.4413651473253499E-3</v>
      </c>
      <c r="H1884" s="3">
        <v>-2.4413651473253499E-3</v>
      </c>
      <c r="I1884" s="3">
        <v>-2.3492277786973899E-5</v>
      </c>
      <c r="J1884" s="3">
        <v>7.1736745220096201E-3</v>
      </c>
      <c r="K1884" s="3">
        <v>6.8520429555956096E-3</v>
      </c>
      <c r="L1884" s="3">
        <v>9.8363345238605703E-4</v>
      </c>
      <c r="M1884" s="3">
        <v>5.4748349137901404E-3</v>
      </c>
      <c r="N1884" s="3">
        <v>5.24143879544464E-3</v>
      </c>
      <c r="O1884" s="3">
        <v>7.4745660122098601E-3</v>
      </c>
      <c r="P1884" s="3">
        <v>8.9375285744269194E-3</v>
      </c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</row>
    <row r="1885" spans="1:35" x14ac:dyDescent="0.45">
      <c r="A1885" s="3" t="s">
        <v>77</v>
      </c>
      <c r="B1885" s="3" t="s">
        <v>27</v>
      </c>
      <c r="C1885" s="3" t="s">
        <v>15</v>
      </c>
      <c r="D1885" s="3" t="s">
        <v>11</v>
      </c>
      <c r="E1885" s="3" t="s">
        <v>32</v>
      </c>
      <c r="F1885" s="3">
        <v>0</v>
      </c>
      <c r="G1885" s="3">
        <v>-5.1376363951533E-4</v>
      </c>
      <c r="H1885" s="3">
        <v>-5.1376363951533E-4</v>
      </c>
      <c r="I1885" s="3">
        <v>1.40366032129041E-3</v>
      </c>
      <c r="J1885" s="3">
        <v>5.94540250018039E-4</v>
      </c>
      <c r="K1885" s="3">
        <v>1.72336817360774E-3</v>
      </c>
      <c r="L1885" s="3">
        <v>-8.9572661408693398E-4</v>
      </c>
      <c r="M1885" s="3">
        <v>5.3778569205050197E-3</v>
      </c>
      <c r="N1885" s="3">
        <v>1.7815922186474101E-2</v>
      </c>
      <c r="O1885" s="3">
        <v>3.1097917797159501E-2</v>
      </c>
      <c r="P1885" s="3">
        <v>3.9421068151318898E-2</v>
      </c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</row>
    <row r="1886" spans="1:35" x14ac:dyDescent="0.45">
      <c r="A1886" s="3" t="s">
        <v>77</v>
      </c>
      <c r="B1886" s="3" t="s">
        <v>27</v>
      </c>
      <c r="C1886" s="3" t="s">
        <v>15</v>
      </c>
      <c r="D1886" s="3" t="s">
        <v>12</v>
      </c>
      <c r="E1886" s="3" t="s">
        <v>32</v>
      </c>
      <c r="F1886" s="3">
        <v>0</v>
      </c>
      <c r="G1886" s="3">
        <v>2.8215161068725898E-3</v>
      </c>
      <c r="H1886" s="3">
        <v>2.8215161068725898E-3</v>
      </c>
      <c r="I1886" s="3">
        <v>5.2526358528298699E-4</v>
      </c>
      <c r="J1886" s="3">
        <v>-1.2613683057258701E-3</v>
      </c>
      <c r="K1886" s="3">
        <v>5.0537016246248196E-3</v>
      </c>
      <c r="L1886" s="3">
        <v>2.62282392962555E-2</v>
      </c>
      <c r="M1886" s="3">
        <v>3.6108328250817397E-2</v>
      </c>
      <c r="N1886" s="3">
        <v>3.0920490497149601E-2</v>
      </c>
      <c r="O1886" s="3">
        <v>2.3722973704369502E-2</v>
      </c>
      <c r="P1886" s="3">
        <v>1.64722212700242E-2</v>
      </c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</row>
    <row r="1887" spans="1:35" x14ac:dyDescent="0.45">
      <c r="A1887" s="3" t="s">
        <v>77</v>
      </c>
      <c r="B1887" s="3" t="s">
        <v>27</v>
      </c>
      <c r="C1887" s="3" t="s">
        <v>15</v>
      </c>
      <c r="D1887" s="3" t="s">
        <v>13</v>
      </c>
      <c r="E1887" s="3" t="s">
        <v>32</v>
      </c>
      <c r="F1887" s="3">
        <v>0</v>
      </c>
      <c r="G1887" s="3">
        <v>9.4070757851349995E-4</v>
      </c>
      <c r="H1887" s="3">
        <v>9.4070757851349995E-4</v>
      </c>
      <c r="I1887" s="3">
        <v>6.7979508296269198E-3</v>
      </c>
      <c r="J1887" s="3">
        <v>2.7853779026005301E-2</v>
      </c>
      <c r="K1887" s="3">
        <v>2.4174033956609199E-2</v>
      </c>
      <c r="L1887" s="3">
        <v>7.8581260282775695E-3</v>
      </c>
      <c r="M1887" s="3">
        <v>3.3013427144118501E-4</v>
      </c>
      <c r="N1887" s="3">
        <v>1.390604862328E-4</v>
      </c>
      <c r="O1887" s="3">
        <v>-3.9496113810408903E-3</v>
      </c>
      <c r="P1887" s="3">
        <v>-1.32298220920348E-2</v>
      </c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</row>
    <row r="1888" spans="1:35" x14ac:dyDescent="0.45">
      <c r="A1888" s="3" t="s">
        <v>77</v>
      </c>
      <c r="B1888" s="3" t="s">
        <v>27</v>
      </c>
      <c r="C1888" s="3" t="s">
        <v>15</v>
      </c>
      <c r="D1888" s="3" t="s">
        <v>14</v>
      </c>
      <c r="E1888" s="3" t="s">
        <v>32</v>
      </c>
      <c r="F1888" s="3">
        <v>0</v>
      </c>
      <c r="G1888" s="3">
        <v>-1.6059448085999899E-3</v>
      </c>
      <c r="H1888" s="3">
        <v>-1.6059448085999899E-3</v>
      </c>
      <c r="I1888" s="3">
        <v>1.36223467542514E-2</v>
      </c>
      <c r="J1888" s="3">
        <v>-1.7600661175941799E-2</v>
      </c>
      <c r="K1888" s="3">
        <v>-2.7026055245464999E-2</v>
      </c>
      <c r="L1888" s="3">
        <v>-3.95989679393167E-2</v>
      </c>
      <c r="M1888" s="3">
        <v>-5.3356711035786999E-2</v>
      </c>
      <c r="N1888" s="3">
        <v>-6.5245430204755497E-2</v>
      </c>
      <c r="O1888" s="3">
        <v>-6.7113773031826002E-2</v>
      </c>
      <c r="P1888" s="3">
        <v>-6.2628608269238301E-2</v>
      </c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</row>
    <row r="1889" spans="1:35" x14ac:dyDescent="0.45">
      <c r="A1889" s="3" t="s">
        <v>77</v>
      </c>
      <c r="B1889" s="3" t="s">
        <v>27</v>
      </c>
      <c r="C1889" s="3" t="s">
        <v>16</v>
      </c>
      <c r="D1889" s="3" t="s">
        <v>7</v>
      </c>
      <c r="E1889" s="3" t="s">
        <v>32</v>
      </c>
      <c r="F1889" s="3">
        <v>0.13771232349589299</v>
      </c>
      <c r="G1889" s="3">
        <v>8.9533287817887094E-2</v>
      </c>
      <c r="H1889" s="3">
        <v>8.9533287817887094E-2</v>
      </c>
      <c r="I1889" s="3">
        <v>5.9281781284067803E-2</v>
      </c>
      <c r="J1889" s="3">
        <v>5.5767298153146502E-2</v>
      </c>
      <c r="K1889" s="3">
        <v>5.21276819457911E-2</v>
      </c>
      <c r="L1889" s="3">
        <v>5.21276819457911E-2</v>
      </c>
      <c r="M1889" s="3">
        <v>5.21276819457911E-2</v>
      </c>
      <c r="N1889" s="3">
        <v>5.21276819457911E-2</v>
      </c>
      <c r="O1889" s="3">
        <v>5.21276819457911E-2</v>
      </c>
      <c r="P1889" s="3">
        <v>5.21276819457911E-2</v>
      </c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</row>
    <row r="1890" spans="1:35" x14ac:dyDescent="0.45">
      <c r="A1890" s="3" t="s">
        <v>77</v>
      </c>
      <c r="B1890" s="3" t="s">
        <v>27</v>
      </c>
      <c r="C1890" s="3" t="s">
        <v>16</v>
      </c>
      <c r="D1890" s="3" t="s">
        <v>9</v>
      </c>
      <c r="E1890" s="3" t="s">
        <v>32</v>
      </c>
      <c r="F1890" s="3">
        <v>0</v>
      </c>
      <c r="G1890" s="3">
        <v>-7.6968239702296395E-5</v>
      </c>
      <c r="H1890" s="3">
        <v>-7.6968239702296395E-5</v>
      </c>
      <c r="I1890" s="3">
        <v>-3.9166329367179598E-5</v>
      </c>
      <c r="J1890" s="3">
        <v>-2.1486348169473501E-5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1.0354631591058699E-3</v>
      </c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</row>
    <row r="1891" spans="1:35" x14ac:dyDescent="0.45">
      <c r="A1891" s="3" t="s">
        <v>77</v>
      </c>
      <c r="B1891" s="3" t="s">
        <v>27</v>
      </c>
      <c r="C1891" s="3" t="s">
        <v>16</v>
      </c>
      <c r="D1891" s="3" t="s">
        <v>10</v>
      </c>
      <c r="E1891" s="3" t="s">
        <v>32</v>
      </c>
      <c r="F1891" s="3">
        <v>0</v>
      </c>
      <c r="G1891" s="3">
        <v>-1.4976329655441701E-6</v>
      </c>
      <c r="H1891" s="3">
        <v>-1.4976329655441701E-6</v>
      </c>
      <c r="I1891" s="3">
        <v>0</v>
      </c>
      <c r="J1891" s="3">
        <v>1.3183898417423699E-16</v>
      </c>
      <c r="K1891" s="3">
        <v>0</v>
      </c>
      <c r="L1891" s="3">
        <v>0</v>
      </c>
      <c r="M1891" s="3">
        <v>1.5594373524157701E-3</v>
      </c>
      <c r="N1891" s="3">
        <v>1.0354631591058699E-3</v>
      </c>
      <c r="O1891" s="3">
        <v>2.89198433463082E-4</v>
      </c>
      <c r="P1891" s="3">
        <v>-9.2229336618563501E-4</v>
      </c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</row>
    <row r="1892" spans="1:35" x14ac:dyDescent="0.45">
      <c r="A1892" s="3" t="s">
        <v>77</v>
      </c>
      <c r="B1892" s="3" t="s">
        <v>27</v>
      </c>
      <c r="C1892" s="3" t="s">
        <v>16</v>
      </c>
      <c r="D1892" s="3" t="s">
        <v>11</v>
      </c>
      <c r="E1892" s="3" t="s">
        <v>32</v>
      </c>
      <c r="F1892" s="3">
        <v>0</v>
      </c>
      <c r="G1892" s="3">
        <v>-3.0591416240996503E-5</v>
      </c>
      <c r="H1892" s="3">
        <v>-3.0591416240996503E-5</v>
      </c>
      <c r="I1892" s="3">
        <v>-8.4660070720082892E-6</v>
      </c>
      <c r="J1892" s="3">
        <v>-4.9044288898125698E-6</v>
      </c>
      <c r="K1892" s="3">
        <v>1.5574485905062E-3</v>
      </c>
      <c r="L1892" s="3">
        <v>1.51533086616426E-3</v>
      </c>
      <c r="M1892" s="3">
        <v>-1.4465178307211501E-3</v>
      </c>
      <c r="N1892" s="3">
        <v>-1.0354631591058699E-3</v>
      </c>
      <c r="O1892" s="3">
        <v>-2.89198433463082E-4</v>
      </c>
      <c r="P1892" s="3">
        <v>-1.13169792920233E-4</v>
      </c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</row>
    <row r="1893" spans="1:35" x14ac:dyDescent="0.45">
      <c r="A1893" s="3" t="s">
        <v>77</v>
      </c>
      <c r="B1893" s="3" t="s">
        <v>27</v>
      </c>
      <c r="C1893" s="3" t="s">
        <v>16</v>
      </c>
      <c r="D1893" s="3" t="s">
        <v>12</v>
      </c>
      <c r="E1893" s="3" t="s">
        <v>32</v>
      </c>
      <c r="F1893" s="3">
        <v>0</v>
      </c>
      <c r="G1893" s="3">
        <v>-7.7090394936946104E-6</v>
      </c>
      <c r="H1893" s="3">
        <v>-7.7090394936946104E-6</v>
      </c>
      <c r="I1893" s="3">
        <v>-1.0259999885096899E-5</v>
      </c>
      <c r="J1893" s="3">
        <v>7.5942086485244304E-4</v>
      </c>
      <c r="K1893" s="3">
        <v>-5.2433169775256E-4</v>
      </c>
      <c r="L1893" s="3">
        <v>-1.51533086616426E-3</v>
      </c>
      <c r="M1893" s="3">
        <v>-1.12919521694628E-4</v>
      </c>
      <c r="N1893" s="3">
        <v>0</v>
      </c>
      <c r="O1893" s="3">
        <v>0</v>
      </c>
      <c r="P1893" s="3">
        <v>0</v>
      </c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</row>
    <row r="1894" spans="1:35" x14ac:dyDescent="0.45">
      <c r="A1894" s="3" t="s">
        <v>77</v>
      </c>
      <c r="B1894" s="3" t="s">
        <v>27</v>
      </c>
      <c r="C1894" s="3" t="s">
        <v>16</v>
      </c>
      <c r="D1894" s="3" t="s">
        <v>13</v>
      </c>
      <c r="E1894" s="3" t="s">
        <v>32</v>
      </c>
      <c r="F1894" s="3">
        <v>0</v>
      </c>
      <c r="G1894" s="3">
        <v>4.2010673175003899E-4</v>
      </c>
      <c r="H1894" s="3">
        <v>4.2010673175003899E-4</v>
      </c>
      <c r="I1894" s="3">
        <v>-2.2443599334296101E-3</v>
      </c>
      <c r="J1894" s="3">
        <v>-1.9712636471193499E-3</v>
      </c>
      <c r="K1894" s="3">
        <v>-1.03311689275364E-3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</row>
    <row r="1895" spans="1:35" x14ac:dyDescent="0.45">
      <c r="A1895" s="3" t="s">
        <v>77</v>
      </c>
      <c r="B1895" s="3" t="s">
        <v>27</v>
      </c>
      <c r="C1895" s="3" t="s">
        <v>16</v>
      </c>
      <c r="D1895" s="3" t="s">
        <v>14</v>
      </c>
      <c r="E1895" s="3" t="s">
        <v>32</v>
      </c>
      <c r="F1895" s="3">
        <v>0</v>
      </c>
      <c r="G1895" s="3">
        <v>4.8902445374857002E-3</v>
      </c>
      <c r="H1895" s="3">
        <v>4.8902445374857002E-3</v>
      </c>
      <c r="I1895" s="3">
        <v>-5.8638187000201896E-4</v>
      </c>
      <c r="J1895" s="3">
        <v>6.2690943072098897E-4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</row>
    <row r="1896" spans="1:35" x14ac:dyDescent="0.45">
      <c r="A1896" s="3" t="s">
        <v>77</v>
      </c>
      <c r="B1896" s="3" t="s">
        <v>27</v>
      </c>
      <c r="C1896" s="3" t="s">
        <v>17</v>
      </c>
      <c r="D1896" s="3" t="s">
        <v>7</v>
      </c>
      <c r="E1896" s="3" t="s">
        <v>32</v>
      </c>
      <c r="F1896" s="3">
        <v>7.7073958099915501E-3</v>
      </c>
      <c r="G1896" s="3">
        <v>9.1586739847130498E-3</v>
      </c>
      <c r="H1896" s="3">
        <v>9.1586739847130498E-3</v>
      </c>
      <c r="I1896" s="3">
        <v>1.09228269174446E-2</v>
      </c>
      <c r="J1896" s="3">
        <v>1.33173477532371E-2</v>
      </c>
      <c r="K1896" s="3">
        <v>1.6843877927733699E-2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</row>
    <row r="1897" spans="1:35" x14ac:dyDescent="0.45">
      <c r="A1897" s="3" t="s">
        <v>77</v>
      </c>
      <c r="B1897" s="3" t="s">
        <v>27</v>
      </c>
      <c r="C1897" s="3" t="s">
        <v>17</v>
      </c>
      <c r="D1897" s="3" t="s">
        <v>9</v>
      </c>
      <c r="E1897" s="3" t="s">
        <v>32</v>
      </c>
      <c r="F1897" s="3">
        <v>0</v>
      </c>
      <c r="G1897" s="3">
        <v>3.1385634454756197E-4</v>
      </c>
      <c r="H1897" s="3">
        <v>3.1385634454756197E-4</v>
      </c>
      <c r="I1897" s="3">
        <v>2.0079661684256202E-3</v>
      </c>
      <c r="J1897" s="3">
        <v>2.3487050864272399E-3</v>
      </c>
      <c r="K1897" s="3">
        <v>4.8160253088174801E-3</v>
      </c>
      <c r="L1897" s="3">
        <v>0</v>
      </c>
      <c r="M1897" s="3">
        <v>0</v>
      </c>
      <c r="N1897" s="3">
        <v>0</v>
      </c>
      <c r="O1897" s="3">
        <v>0</v>
      </c>
      <c r="P1897" s="3">
        <v>9.4374132695995401E-4</v>
      </c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</row>
    <row r="1898" spans="1:35" x14ac:dyDescent="0.45">
      <c r="A1898" s="3" t="s">
        <v>77</v>
      </c>
      <c r="B1898" s="3" t="s">
        <v>27</v>
      </c>
      <c r="C1898" s="3" t="s">
        <v>17</v>
      </c>
      <c r="D1898" s="3" t="s">
        <v>10</v>
      </c>
      <c r="E1898" s="3" t="s">
        <v>32</v>
      </c>
      <c r="F1898" s="3">
        <v>0</v>
      </c>
      <c r="G1898" s="3">
        <v>4.5721057040299897E-5</v>
      </c>
      <c r="H1898" s="3">
        <v>4.5721057040299897E-5</v>
      </c>
      <c r="I1898" s="3">
        <v>2.4561393805062898E-4</v>
      </c>
      <c r="J1898" s="3">
        <v>2.4761027099437899E-3</v>
      </c>
      <c r="K1898" s="3">
        <v>2.7670099786665501E-3</v>
      </c>
      <c r="L1898" s="3">
        <v>0</v>
      </c>
      <c r="M1898" s="3">
        <v>3.1662922629530799E-2</v>
      </c>
      <c r="N1898" s="3">
        <v>5.8383024535291803E-2</v>
      </c>
      <c r="O1898" s="3">
        <v>0.128864972345934</v>
      </c>
      <c r="P1898" s="3">
        <v>0.27509786202757203</v>
      </c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</row>
    <row r="1899" spans="1:35" x14ac:dyDescent="0.45">
      <c r="A1899" s="3" t="s">
        <v>77</v>
      </c>
      <c r="B1899" s="3" t="s">
        <v>27</v>
      </c>
      <c r="C1899" s="3" t="s">
        <v>17</v>
      </c>
      <c r="D1899" s="3" t="s">
        <v>11</v>
      </c>
      <c r="E1899" s="3" t="s">
        <v>32</v>
      </c>
      <c r="F1899" s="3">
        <v>0</v>
      </c>
      <c r="G1899" s="3">
        <v>8.7641771610490193E-5</v>
      </c>
      <c r="H1899" s="3">
        <v>8.7641771610490193E-5</v>
      </c>
      <c r="I1899" s="3">
        <v>5.9436856941325598E-4</v>
      </c>
      <c r="J1899" s="3">
        <v>1.9375842188547501E-3</v>
      </c>
      <c r="K1899" s="3">
        <v>3.6467986343360001E-2</v>
      </c>
      <c r="L1899" s="3">
        <v>6.3392596200427503E-2</v>
      </c>
      <c r="M1899" s="3">
        <v>0.233428216908356</v>
      </c>
      <c r="N1899" s="3">
        <v>0.226636590310376</v>
      </c>
      <c r="O1899" s="3">
        <v>0.17677937264558499</v>
      </c>
      <c r="P1899" s="3">
        <v>6.5760071522439706E-2</v>
      </c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</row>
    <row r="1900" spans="1:35" x14ac:dyDescent="0.45">
      <c r="A1900" s="3" t="s">
        <v>77</v>
      </c>
      <c r="B1900" s="3" t="s">
        <v>27</v>
      </c>
      <c r="C1900" s="3" t="s">
        <v>17</v>
      </c>
      <c r="D1900" s="3" t="s">
        <v>12</v>
      </c>
      <c r="E1900" s="3" t="s">
        <v>32</v>
      </c>
      <c r="F1900" s="3">
        <v>0</v>
      </c>
      <c r="G1900" s="3">
        <v>-1.6384975011986101E-4</v>
      </c>
      <c r="H1900" s="3">
        <v>-1.6384975011986101E-4</v>
      </c>
      <c r="I1900" s="3">
        <v>5.7588463628510797E-3</v>
      </c>
      <c r="J1900" s="3">
        <v>4.4827912246623497E-2</v>
      </c>
      <c r="K1900" s="3">
        <v>0.17368190453928101</v>
      </c>
      <c r="L1900" s="3">
        <v>0.204812588667458</v>
      </c>
      <c r="M1900" s="3">
        <v>5.7594254538334201E-2</v>
      </c>
      <c r="N1900" s="3">
        <v>0.117804124976363</v>
      </c>
      <c r="O1900" s="3">
        <v>0.17614291719231201</v>
      </c>
      <c r="P1900" s="3">
        <v>0.21855548859767601</v>
      </c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</row>
    <row r="1901" spans="1:35" x14ac:dyDescent="0.45">
      <c r="A1901" s="3" t="s">
        <v>77</v>
      </c>
      <c r="B1901" s="3" t="s">
        <v>27</v>
      </c>
      <c r="C1901" s="3" t="s">
        <v>17</v>
      </c>
      <c r="D1901" s="3" t="s">
        <v>13</v>
      </c>
      <c r="E1901" s="3" t="s">
        <v>32</v>
      </c>
      <c r="F1901" s="3">
        <v>0</v>
      </c>
      <c r="G1901" s="3">
        <v>2.36409079765494E-3</v>
      </c>
      <c r="H1901" s="3">
        <v>2.36409079765494E-3</v>
      </c>
      <c r="I1901" s="3">
        <v>0.178784970709746</v>
      </c>
      <c r="J1901" s="3">
        <v>0.22410154162879101</v>
      </c>
      <c r="K1901" s="3">
        <v>0.19598902506581301</v>
      </c>
      <c r="L1901" s="3">
        <v>0.29201414057688402</v>
      </c>
      <c r="M1901" s="3">
        <v>0.34498059146028698</v>
      </c>
      <c r="N1901" s="3">
        <v>0.32060662750749103</v>
      </c>
      <c r="O1901" s="3">
        <v>0.26406898289150199</v>
      </c>
      <c r="P1901" s="3">
        <v>0.191042090164111</v>
      </c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</row>
    <row r="1902" spans="1:35" x14ac:dyDescent="0.45">
      <c r="A1902" s="3" t="s">
        <v>77</v>
      </c>
      <c r="B1902" s="3" t="s">
        <v>27</v>
      </c>
      <c r="C1902" s="3" t="s">
        <v>17</v>
      </c>
      <c r="D1902" s="3" t="s">
        <v>14</v>
      </c>
      <c r="E1902" s="3" t="s">
        <v>32</v>
      </c>
      <c r="F1902" s="3">
        <v>0</v>
      </c>
      <c r="G1902" s="3">
        <v>1.01112409525247E-2</v>
      </c>
      <c r="H1902" s="3">
        <v>1.01112409525247E-2</v>
      </c>
      <c r="I1902" s="3">
        <v>0.12427825163389999</v>
      </c>
      <c r="J1902" s="3">
        <v>0.237256150695596</v>
      </c>
      <c r="K1902" s="3">
        <v>0.250990491294035</v>
      </c>
      <c r="L1902" s="3">
        <v>0.18247674980277701</v>
      </c>
      <c r="M1902" s="3">
        <v>8.7781618779032095E-2</v>
      </c>
      <c r="N1902" s="3">
        <v>3.2553406538710798E-2</v>
      </c>
      <c r="O1902" s="3">
        <v>1.0138442891048E-2</v>
      </c>
      <c r="P1902" s="3">
        <v>4.5978050593323801E-3</v>
      </c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</row>
    <row r="1903" spans="1:35" x14ac:dyDescent="0.45">
      <c r="A1903" s="3" t="s">
        <v>77</v>
      </c>
      <c r="B1903" s="3" t="s">
        <v>27</v>
      </c>
      <c r="C1903" s="3" t="s">
        <v>18</v>
      </c>
      <c r="D1903" s="3" t="s">
        <v>7</v>
      </c>
      <c r="E1903" s="3" t="s">
        <v>32</v>
      </c>
      <c r="F1903" s="3">
        <v>0.16871121609324</v>
      </c>
      <c r="G1903" s="3">
        <v>0.12108058138163399</v>
      </c>
      <c r="H1903" s="3">
        <v>0.12108058138163399</v>
      </c>
      <c r="I1903" s="3">
        <v>8.0720387587756098E-2</v>
      </c>
      <c r="J1903" s="3">
        <v>4.0360193793878001E-2</v>
      </c>
      <c r="K1903" s="3">
        <v>2.8964832028758302E-17</v>
      </c>
      <c r="L1903" s="3">
        <v>1.44824160143792E-17</v>
      </c>
      <c r="M1903" s="3">
        <v>7.2412080071895893E-18</v>
      </c>
      <c r="N1903" s="3">
        <v>1.44824160143792E-17</v>
      </c>
      <c r="O1903" s="3">
        <v>0</v>
      </c>
      <c r="P1903" s="3">
        <v>0</v>
      </c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</row>
    <row r="1904" spans="1:35" x14ac:dyDescent="0.45">
      <c r="A1904" s="3" t="s">
        <v>77</v>
      </c>
      <c r="B1904" s="3" t="s">
        <v>27</v>
      </c>
      <c r="C1904" s="3" t="s">
        <v>18</v>
      </c>
      <c r="D1904" s="3" t="s">
        <v>9</v>
      </c>
      <c r="E1904" s="3" t="s">
        <v>32</v>
      </c>
      <c r="F1904" s="3">
        <v>0</v>
      </c>
      <c r="G1904" s="3">
        <v>0</v>
      </c>
      <c r="H1904" s="3">
        <v>0</v>
      </c>
      <c r="I1904" s="3">
        <v>-1.3877787807814501E-16</v>
      </c>
      <c r="J1904" s="3">
        <v>0</v>
      </c>
      <c r="K1904" s="3">
        <v>0</v>
      </c>
      <c r="L1904" s="3">
        <v>-7.2412080071896401E-18</v>
      </c>
      <c r="M1904" s="3">
        <v>5.7929664057516702E-17</v>
      </c>
      <c r="N1904" s="3">
        <v>-7.2412080071896401E-18</v>
      </c>
      <c r="O1904" s="3">
        <v>6.5170872064706304E-17</v>
      </c>
      <c r="P1904" s="3">
        <v>2.8964832028758302E-17</v>
      </c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</row>
    <row r="1905" spans="1:35" x14ac:dyDescent="0.45">
      <c r="A1905" s="3" t="s">
        <v>77</v>
      </c>
      <c r="B1905" s="3" t="s">
        <v>27</v>
      </c>
      <c r="C1905" s="3" t="s">
        <v>18</v>
      </c>
      <c r="D1905" s="3" t="s">
        <v>10</v>
      </c>
      <c r="E1905" s="3" t="s">
        <v>32</v>
      </c>
      <c r="F1905" s="3">
        <v>0</v>
      </c>
      <c r="G1905" s="3">
        <v>0</v>
      </c>
      <c r="H1905" s="3">
        <v>0</v>
      </c>
      <c r="I1905" s="3">
        <v>1.3877787807814501E-16</v>
      </c>
      <c r="J1905" s="3">
        <v>0</v>
      </c>
      <c r="K1905" s="3">
        <v>-2.8964832028758302E-17</v>
      </c>
      <c r="L1905" s="3">
        <v>-7.2412080071895893E-18</v>
      </c>
      <c r="M1905" s="3">
        <v>-6.5170872064706304E-17</v>
      </c>
      <c r="N1905" s="3">
        <v>2.17236240215687E-17</v>
      </c>
      <c r="O1905" s="3">
        <v>-6.5170872064706304E-17</v>
      </c>
      <c r="P1905" s="3">
        <v>-2.8964832028758302E-17</v>
      </c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</row>
    <row r="1906" spans="1:35" x14ac:dyDescent="0.45">
      <c r="A1906" s="3" t="s">
        <v>77</v>
      </c>
      <c r="B1906" s="3" t="s">
        <v>27</v>
      </c>
      <c r="C1906" s="3" t="s">
        <v>18</v>
      </c>
      <c r="D1906" s="3" t="s">
        <v>11</v>
      </c>
      <c r="E1906" s="3" t="s">
        <v>32</v>
      </c>
      <c r="F1906" s="3">
        <v>0</v>
      </c>
      <c r="G1906" s="3">
        <v>0</v>
      </c>
      <c r="H1906" s="3">
        <v>0</v>
      </c>
      <c r="I1906" s="3">
        <v>-1.3877787807814501E-16</v>
      </c>
      <c r="J1906" s="3">
        <v>0</v>
      </c>
      <c r="K1906" s="3">
        <v>3.6206040035947897E-17</v>
      </c>
      <c r="L1906" s="3">
        <v>1.5206536815098101E-16</v>
      </c>
      <c r="M1906" s="3">
        <v>7.2412080071895905E-17</v>
      </c>
      <c r="N1906" s="3">
        <v>-2.8964832028758302E-17</v>
      </c>
      <c r="O1906" s="3">
        <v>5.0688456050327199E-17</v>
      </c>
      <c r="P1906" s="3">
        <v>2.6068348825882502E-16</v>
      </c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</row>
    <row r="1907" spans="1:35" x14ac:dyDescent="0.45">
      <c r="A1907" s="3" t="s">
        <v>77</v>
      </c>
      <c r="B1907" s="3" t="s">
        <v>27</v>
      </c>
      <c r="C1907" s="3" t="s">
        <v>18</v>
      </c>
      <c r="D1907" s="3" t="s">
        <v>12</v>
      </c>
      <c r="E1907" s="3" t="s">
        <v>32</v>
      </c>
      <c r="F1907" s="3">
        <v>0</v>
      </c>
      <c r="G1907" s="3">
        <v>0</v>
      </c>
      <c r="H1907" s="3">
        <v>0</v>
      </c>
      <c r="I1907" s="3">
        <v>1.3877787807814501E-16</v>
      </c>
      <c r="J1907" s="3">
        <v>0</v>
      </c>
      <c r="K1907" s="3">
        <v>1.44824160143792E-17</v>
      </c>
      <c r="L1907" s="3">
        <v>-1.5206536815098101E-16</v>
      </c>
      <c r="M1907" s="3">
        <v>2.6792469626601498E-16</v>
      </c>
      <c r="N1907" s="3">
        <v>0</v>
      </c>
      <c r="O1907" s="3">
        <v>1.1585932811503301E-16</v>
      </c>
      <c r="P1907" s="3">
        <v>2.53442280251636E-16</v>
      </c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</row>
    <row r="1908" spans="1:35" x14ac:dyDescent="0.45">
      <c r="A1908" s="3" t="s">
        <v>77</v>
      </c>
      <c r="B1908" s="3" t="s">
        <v>27</v>
      </c>
      <c r="C1908" s="3" t="s">
        <v>18</v>
      </c>
      <c r="D1908" s="3" t="s">
        <v>13</v>
      </c>
      <c r="E1908" s="3" t="s">
        <v>32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-5.0688456050327199E-17</v>
      </c>
      <c r="L1908" s="3">
        <v>1.9551261619411901E-16</v>
      </c>
      <c r="M1908" s="3">
        <v>-1.5930657615817099E-16</v>
      </c>
      <c r="N1908" s="3">
        <v>4.1999006441699598E-16</v>
      </c>
      <c r="O1908" s="3">
        <v>4.7791972847451304E-16</v>
      </c>
      <c r="P1908" s="3">
        <v>-5.1412576851046101E-16</v>
      </c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</row>
    <row r="1909" spans="1:35" x14ac:dyDescent="0.45">
      <c r="A1909" s="3" t="s">
        <v>77</v>
      </c>
      <c r="B1909" s="3" t="s">
        <v>27</v>
      </c>
      <c r="C1909" s="3" t="s">
        <v>18</v>
      </c>
      <c r="D1909" s="3" t="s">
        <v>14</v>
      </c>
      <c r="E1909" s="3" t="s">
        <v>32</v>
      </c>
      <c r="F1909" s="3">
        <v>0</v>
      </c>
      <c r="G1909" s="3">
        <v>-1.2490009027033001E-16</v>
      </c>
      <c r="H1909" s="3">
        <v>-1.2490009027033001E-16</v>
      </c>
      <c r="I1909" s="3">
        <v>0</v>
      </c>
      <c r="J1909" s="3">
        <v>-3.8857805861880499E-16</v>
      </c>
      <c r="K1909" s="3">
        <v>0</v>
      </c>
      <c r="L1909" s="3">
        <v>6.5170872064706304E-17</v>
      </c>
      <c r="M1909" s="3">
        <v>-1.8103020017974E-16</v>
      </c>
      <c r="N1909" s="3">
        <v>-4.1999006441699598E-16</v>
      </c>
      <c r="O1909" s="3">
        <v>-6.4446751263987396E-16</v>
      </c>
      <c r="P1909" s="3">
        <v>0</v>
      </c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</row>
    <row r="1910" spans="1:35" x14ac:dyDescent="0.45">
      <c r="A1910" s="3" t="s">
        <v>77</v>
      </c>
      <c r="B1910" s="3" t="s">
        <v>27</v>
      </c>
      <c r="C1910" s="3" t="s">
        <v>19</v>
      </c>
      <c r="D1910" s="3" t="s">
        <v>7</v>
      </c>
      <c r="E1910" s="3" t="s">
        <v>32</v>
      </c>
      <c r="F1910" s="3">
        <v>2.91476485174701E-3</v>
      </c>
      <c r="G1910" s="3">
        <v>3.1736265097165798E-3</v>
      </c>
      <c r="H1910" s="3">
        <v>3.1736265097165798E-3</v>
      </c>
      <c r="I1910" s="3">
        <v>0</v>
      </c>
      <c r="J1910" s="3">
        <v>0</v>
      </c>
      <c r="K1910" s="3">
        <v>1.3581515156806901E-4</v>
      </c>
      <c r="L1910" s="3">
        <v>0</v>
      </c>
      <c r="M1910" s="3">
        <v>0</v>
      </c>
      <c r="N1910" s="3">
        <v>0</v>
      </c>
      <c r="O1910" s="3">
        <v>0</v>
      </c>
      <c r="P1910" s="3">
        <v>0</v>
      </c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</row>
    <row r="1911" spans="1:35" x14ac:dyDescent="0.45">
      <c r="A1911" s="3" t="s">
        <v>77</v>
      </c>
      <c r="B1911" s="3" t="s">
        <v>27</v>
      </c>
      <c r="C1911" s="3" t="s">
        <v>19</v>
      </c>
      <c r="D1911" s="3" t="s">
        <v>9</v>
      </c>
      <c r="E1911" s="3" t="s">
        <v>32</v>
      </c>
      <c r="F1911" s="3">
        <v>0</v>
      </c>
      <c r="G1911" s="3">
        <v>-5.6336832797405802E-5</v>
      </c>
      <c r="H1911" s="3">
        <v>-5.6336832797405802E-5</v>
      </c>
      <c r="I1911" s="3">
        <v>0</v>
      </c>
      <c r="J1911" s="3">
        <v>0</v>
      </c>
      <c r="K1911" s="3">
        <v>-1.3581515156806901E-4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</row>
    <row r="1912" spans="1:35" x14ac:dyDescent="0.45">
      <c r="A1912" s="3" t="s">
        <v>77</v>
      </c>
      <c r="B1912" s="3" t="s">
        <v>27</v>
      </c>
      <c r="C1912" s="3" t="s">
        <v>19</v>
      </c>
      <c r="D1912" s="3" t="s">
        <v>10</v>
      </c>
      <c r="E1912" s="3" t="s">
        <v>32</v>
      </c>
      <c r="F1912" s="3">
        <v>0</v>
      </c>
      <c r="G1912" s="3">
        <v>1.37545718830647E-5</v>
      </c>
      <c r="H1912" s="3">
        <v>1.37545718830647E-5</v>
      </c>
      <c r="I1912" s="3">
        <v>0</v>
      </c>
      <c r="J1912" s="3">
        <v>0</v>
      </c>
      <c r="K1912" s="3">
        <v>8.2742897053378697E-4</v>
      </c>
      <c r="L1912" s="3">
        <v>2.6355808656844601E-3</v>
      </c>
      <c r="M1912" s="3">
        <v>5.3564557539044697E-3</v>
      </c>
      <c r="N1912" s="3">
        <v>1.10157908348742E-2</v>
      </c>
      <c r="O1912" s="3">
        <v>1.29667563923948E-2</v>
      </c>
      <c r="P1912" s="3">
        <v>1.5601874396938401E-2</v>
      </c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</row>
    <row r="1913" spans="1:35" x14ac:dyDescent="0.45">
      <c r="A1913" s="3" t="s">
        <v>77</v>
      </c>
      <c r="B1913" s="3" t="s">
        <v>27</v>
      </c>
      <c r="C1913" s="3" t="s">
        <v>19</v>
      </c>
      <c r="D1913" s="3" t="s">
        <v>11</v>
      </c>
      <c r="E1913" s="3" t="s">
        <v>32</v>
      </c>
      <c r="F1913" s="3">
        <v>0</v>
      </c>
      <c r="G1913" s="3">
        <v>4.2823542877067903E-6</v>
      </c>
      <c r="H1913" s="3">
        <v>4.2823542877067903E-6</v>
      </c>
      <c r="I1913" s="3">
        <v>0</v>
      </c>
      <c r="J1913" s="3">
        <v>0</v>
      </c>
      <c r="K1913" s="3">
        <v>2.7727483724807397E-4</v>
      </c>
      <c r="L1913" s="3">
        <v>-1.9963611745898701E-5</v>
      </c>
      <c r="M1913" s="3">
        <v>4.4695720349096401E-3</v>
      </c>
      <c r="N1913" s="3">
        <v>5.8401794072534801E-3</v>
      </c>
      <c r="O1913" s="3">
        <v>2.6146833237866499E-2</v>
      </c>
      <c r="P1913" s="3">
        <v>0.12031095311697</v>
      </c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</row>
    <row r="1914" spans="1:35" x14ac:dyDescent="0.45">
      <c r="A1914" s="3" t="s">
        <v>77</v>
      </c>
      <c r="B1914" s="3" t="s">
        <v>27</v>
      </c>
      <c r="C1914" s="3" t="s">
        <v>19</v>
      </c>
      <c r="D1914" s="3" t="s">
        <v>12</v>
      </c>
      <c r="E1914" s="3" t="s">
        <v>32</v>
      </c>
      <c r="F1914" s="3">
        <v>0</v>
      </c>
      <c r="G1914" s="3">
        <v>2.32092106283351E-4</v>
      </c>
      <c r="H1914" s="3">
        <v>2.32092106283351E-4</v>
      </c>
      <c r="I1914" s="3">
        <v>0</v>
      </c>
      <c r="J1914" s="3">
        <v>0</v>
      </c>
      <c r="K1914" s="3">
        <v>5.15778196595542E-3</v>
      </c>
      <c r="L1914" s="3">
        <v>3.8438020511393702E-2</v>
      </c>
      <c r="M1914" s="3">
        <v>0.152687857135196</v>
      </c>
      <c r="N1914" s="3">
        <v>0.38181348575146001</v>
      </c>
      <c r="O1914" s="3">
        <v>0.60106923240701804</v>
      </c>
      <c r="P1914" s="3">
        <v>0.74384340092280299</v>
      </c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</row>
    <row r="1915" spans="1:35" x14ac:dyDescent="0.45">
      <c r="A1915" s="3" t="s">
        <v>77</v>
      </c>
      <c r="B1915" s="3" t="s">
        <v>27</v>
      </c>
      <c r="C1915" s="3" t="s">
        <v>19</v>
      </c>
      <c r="D1915" s="3" t="s">
        <v>13</v>
      </c>
      <c r="E1915" s="3" t="s">
        <v>32</v>
      </c>
      <c r="F1915" s="3">
        <v>0</v>
      </c>
      <c r="G1915" s="3">
        <v>1.43722568230215E-3</v>
      </c>
      <c r="H1915" s="3">
        <v>1.43722568230215E-3</v>
      </c>
      <c r="I1915" s="3">
        <v>6.8600661252172193E-2</v>
      </c>
      <c r="J1915" s="3">
        <v>0.267793251395337</v>
      </c>
      <c r="K1915" s="3">
        <v>0.68538918509435198</v>
      </c>
      <c r="L1915" s="3">
        <v>1.0387843219577499</v>
      </c>
      <c r="M1915" s="3">
        <v>1.2010660289781401</v>
      </c>
      <c r="N1915" s="3">
        <v>1.08753437163346</v>
      </c>
      <c r="O1915" s="3">
        <v>0.88444801903647696</v>
      </c>
      <c r="P1915" s="3">
        <v>0.66084913629004105</v>
      </c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</row>
    <row r="1916" spans="1:35" x14ac:dyDescent="0.45">
      <c r="A1916" s="3" t="s">
        <v>77</v>
      </c>
      <c r="B1916" s="3" t="s">
        <v>27</v>
      </c>
      <c r="C1916" s="3" t="s">
        <v>19</v>
      </c>
      <c r="D1916" s="3" t="s">
        <v>14</v>
      </c>
      <c r="E1916" s="3" t="s">
        <v>32</v>
      </c>
      <c r="F1916" s="3">
        <v>0</v>
      </c>
      <c r="G1916" s="3">
        <v>6.1451496878096902E-3</v>
      </c>
      <c r="H1916" s="3">
        <v>6.1451496878096902E-3</v>
      </c>
      <c r="I1916" s="3">
        <v>0.43957477987426802</v>
      </c>
      <c r="J1916" s="3">
        <v>0.89736786768106003</v>
      </c>
      <c r="K1916" s="3">
        <v>0.91003622426931396</v>
      </c>
      <c r="L1916" s="3">
        <v>0.68131315196111997</v>
      </c>
      <c r="M1916" s="3">
        <v>0.40242623925973597</v>
      </c>
      <c r="N1916" s="3">
        <v>0.25732326130869498</v>
      </c>
      <c r="O1916" s="3">
        <v>0.19257972272722099</v>
      </c>
      <c r="P1916" s="3">
        <v>0.16174792066669</v>
      </c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</row>
    <row r="1917" spans="1:35" x14ac:dyDescent="0.45">
      <c r="A1917" s="3" t="s">
        <v>28</v>
      </c>
      <c r="B1917" s="3" t="s">
        <v>22</v>
      </c>
      <c r="C1917" s="3" t="s">
        <v>6</v>
      </c>
      <c r="D1917" s="3" t="s">
        <v>10</v>
      </c>
      <c r="E1917" s="3" t="s">
        <v>32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0.40058750666825799</v>
      </c>
      <c r="N1917" s="3">
        <v>1.40383853123205</v>
      </c>
      <c r="O1917" s="3">
        <v>3.0125778637735401</v>
      </c>
      <c r="P1917" s="3">
        <v>4.4848386051730502</v>
      </c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</row>
    <row r="1918" spans="1:35" x14ac:dyDescent="0.45">
      <c r="A1918" s="3" t="s">
        <v>28</v>
      </c>
      <c r="B1918" s="3" t="s">
        <v>22</v>
      </c>
      <c r="C1918" s="3" t="s">
        <v>6</v>
      </c>
      <c r="D1918" s="3" t="s">
        <v>11</v>
      </c>
      <c r="E1918" s="3" t="s">
        <v>32</v>
      </c>
      <c r="F1918" s="3">
        <v>0</v>
      </c>
      <c r="G1918" s="3">
        <v>0</v>
      </c>
      <c r="H1918" s="3">
        <v>0</v>
      </c>
      <c r="I1918" s="3">
        <v>0</v>
      </c>
      <c r="J1918" s="3">
        <v>3.3681955969378499E-3</v>
      </c>
      <c r="K1918" s="3">
        <v>0.49589553650129498</v>
      </c>
      <c r="L1918" s="3">
        <v>2.0110041027094199</v>
      </c>
      <c r="M1918" s="3">
        <v>3.7471769836129001</v>
      </c>
      <c r="N1918" s="3">
        <v>4.8107409511230301</v>
      </c>
      <c r="O1918" s="3">
        <v>4.8416616763172797</v>
      </c>
      <c r="P1918" s="3">
        <v>4.1078199532796598</v>
      </c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</row>
    <row r="1919" spans="1:35" x14ac:dyDescent="0.45">
      <c r="A1919" s="3" t="s">
        <v>28</v>
      </c>
      <c r="B1919" s="3" t="s">
        <v>22</v>
      </c>
      <c r="C1919" s="3" t="s">
        <v>6</v>
      </c>
      <c r="D1919" s="3" t="s">
        <v>12</v>
      </c>
      <c r="E1919" s="3" t="s">
        <v>32</v>
      </c>
      <c r="F1919" s="3">
        <v>0</v>
      </c>
      <c r="G1919" s="3">
        <v>0</v>
      </c>
      <c r="H1919" s="3">
        <v>0</v>
      </c>
      <c r="I1919" s="3">
        <v>0</v>
      </c>
      <c r="J1919" s="3">
        <v>1.0400726262785001</v>
      </c>
      <c r="K1919" s="3">
        <v>3.0829469262487201</v>
      </c>
      <c r="L1919" s="3">
        <v>3.8355109862068799</v>
      </c>
      <c r="M1919" s="3">
        <v>3.5090748316086899</v>
      </c>
      <c r="N1919" s="3">
        <v>2.8583681540151198</v>
      </c>
      <c r="O1919" s="3">
        <v>2.0571906426478299</v>
      </c>
      <c r="P1919" s="3">
        <v>1.8505099675392001</v>
      </c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</row>
    <row r="1920" spans="1:35" x14ac:dyDescent="0.45">
      <c r="A1920" s="3" t="s">
        <v>28</v>
      </c>
      <c r="B1920" s="3" t="s">
        <v>22</v>
      </c>
      <c r="C1920" s="3" t="s">
        <v>6</v>
      </c>
      <c r="D1920" s="3" t="s">
        <v>13</v>
      </c>
      <c r="E1920" s="3" t="s">
        <v>32</v>
      </c>
      <c r="F1920" s="3">
        <v>0</v>
      </c>
      <c r="G1920" s="3">
        <v>0</v>
      </c>
      <c r="H1920" s="3">
        <v>0</v>
      </c>
      <c r="I1920" s="3">
        <v>2.6546756944269099</v>
      </c>
      <c r="J1920" s="3">
        <v>4.1940727446139796</v>
      </c>
      <c r="K1920" s="3">
        <v>3.6608744708517298</v>
      </c>
      <c r="L1920" s="3">
        <v>3.1344142251987002</v>
      </c>
      <c r="M1920" s="3">
        <v>2.7368114258964602</v>
      </c>
      <c r="N1920" s="3">
        <v>2.2842436803842898</v>
      </c>
      <c r="O1920" s="3">
        <v>2.4753930167499698</v>
      </c>
      <c r="P1920" s="3">
        <v>2.7017302714975102</v>
      </c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</row>
    <row r="1921" spans="1:35" x14ac:dyDescent="0.45">
      <c r="A1921" s="3" t="s">
        <v>28</v>
      </c>
      <c r="B1921" s="3" t="s">
        <v>22</v>
      </c>
      <c r="C1921" s="3" t="s">
        <v>6</v>
      </c>
      <c r="D1921" s="3" t="s">
        <v>14</v>
      </c>
      <c r="E1921" s="3" t="s">
        <v>32</v>
      </c>
      <c r="F1921" s="3">
        <v>0</v>
      </c>
      <c r="G1921" s="3">
        <v>0.53302705124196703</v>
      </c>
      <c r="H1921" s="3">
        <v>0.53302705124196703</v>
      </c>
      <c r="I1921" s="3">
        <v>0.75034024687149603</v>
      </c>
      <c r="J1921" s="3">
        <v>0.66640352322096597</v>
      </c>
      <c r="K1921" s="3">
        <v>0.637654839588637</v>
      </c>
      <c r="L1921" s="3">
        <v>1.01004186727423</v>
      </c>
      <c r="M1921" s="3">
        <v>1.24209824047648</v>
      </c>
      <c r="N1921" s="3">
        <v>1.45078452978407</v>
      </c>
      <c r="O1921" s="3">
        <v>1.40644535376573</v>
      </c>
      <c r="P1921" s="3">
        <v>1.35842469533067</v>
      </c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</row>
    <row r="1922" spans="1:35" x14ac:dyDescent="0.45">
      <c r="A1922" s="3" t="s">
        <v>28</v>
      </c>
      <c r="B1922" s="3" t="s">
        <v>22</v>
      </c>
      <c r="C1922" s="3" t="s">
        <v>15</v>
      </c>
      <c r="D1922" s="3" t="s">
        <v>7</v>
      </c>
      <c r="E1922" s="3" t="s">
        <v>32</v>
      </c>
      <c r="F1922" s="3">
        <v>0.34846420708908499</v>
      </c>
      <c r="G1922" s="3">
        <v>0.42251608570856097</v>
      </c>
      <c r="H1922" s="3">
        <v>0.42251608570856097</v>
      </c>
      <c r="I1922" s="3">
        <v>0.57297939857385405</v>
      </c>
      <c r="J1922" s="3">
        <v>0.72751481392538997</v>
      </c>
      <c r="K1922" s="3">
        <v>0.75377805890057803</v>
      </c>
      <c r="L1922" s="3">
        <v>0.81041344694333695</v>
      </c>
      <c r="M1922" s="3">
        <v>0.75504433371305502</v>
      </c>
      <c r="N1922" s="3">
        <v>0.81477302881833702</v>
      </c>
      <c r="O1922" s="3">
        <v>0.817528635327752</v>
      </c>
      <c r="P1922" s="3">
        <v>0.81472179903487196</v>
      </c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</row>
    <row r="1923" spans="1:35" x14ac:dyDescent="0.45">
      <c r="A1923" s="3" t="s">
        <v>28</v>
      </c>
      <c r="B1923" s="3" t="s">
        <v>22</v>
      </c>
      <c r="C1923" s="3" t="s">
        <v>15</v>
      </c>
      <c r="D1923" s="3" t="s">
        <v>9</v>
      </c>
      <c r="E1923" s="3" t="s">
        <v>32</v>
      </c>
      <c r="F1923" s="3">
        <v>0</v>
      </c>
      <c r="G1923" s="3">
        <v>0.49125640910506602</v>
      </c>
      <c r="H1923" s="3">
        <v>0.49125640910506602</v>
      </c>
      <c r="I1923" s="3">
        <v>0.46389941190273998</v>
      </c>
      <c r="J1923" s="3">
        <v>0.37680527356749199</v>
      </c>
      <c r="K1923" s="3">
        <v>0.40432237066945598</v>
      </c>
      <c r="L1923" s="3">
        <v>0.36294281489604102</v>
      </c>
      <c r="M1923" s="3">
        <v>1.22899392038829</v>
      </c>
      <c r="N1923" s="3">
        <v>1.14534380808335</v>
      </c>
      <c r="O1923" s="3">
        <v>1.0930976883447101</v>
      </c>
      <c r="P1923" s="3">
        <v>1.0440774236827699</v>
      </c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</row>
    <row r="1924" spans="1:35" x14ac:dyDescent="0.45">
      <c r="A1924" s="3" t="s">
        <v>28</v>
      </c>
      <c r="B1924" s="3" t="s">
        <v>22</v>
      </c>
      <c r="C1924" s="3" t="s">
        <v>15</v>
      </c>
      <c r="D1924" s="3" t="s">
        <v>10</v>
      </c>
      <c r="E1924" s="3" t="s">
        <v>32</v>
      </c>
      <c r="F1924" s="3">
        <v>0</v>
      </c>
      <c r="G1924" s="3">
        <v>-3.64004920604444E-3</v>
      </c>
      <c r="H1924" s="3">
        <v>-3.64004920604444E-3</v>
      </c>
      <c r="I1924" s="3">
        <v>7.2183070159985699E-3</v>
      </c>
      <c r="J1924" s="3">
        <v>-9.8272959896274995E-3</v>
      </c>
      <c r="K1924" s="3">
        <v>0.82388365605807701</v>
      </c>
      <c r="L1924" s="3">
        <v>0.823325999204781</v>
      </c>
      <c r="M1924" s="3">
        <v>1.4983328056003E-2</v>
      </c>
      <c r="N1924" s="3">
        <v>1.5830016959041501E-2</v>
      </c>
      <c r="O1924" s="3">
        <v>3.10686312814339E-2</v>
      </c>
      <c r="P1924" s="3">
        <v>4.7716887192644802E-2</v>
      </c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</row>
    <row r="1925" spans="1:35" x14ac:dyDescent="0.45">
      <c r="A1925" s="3" t="s">
        <v>28</v>
      </c>
      <c r="B1925" s="3" t="s">
        <v>22</v>
      </c>
      <c r="C1925" s="3" t="s">
        <v>15</v>
      </c>
      <c r="D1925" s="3" t="s">
        <v>11</v>
      </c>
      <c r="E1925" s="3" t="s">
        <v>32</v>
      </c>
      <c r="F1925" s="3">
        <v>0</v>
      </c>
      <c r="G1925" s="3">
        <v>2.6927605927409101E-2</v>
      </c>
      <c r="H1925" s="3">
        <v>2.6927605927409101E-2</v>
      </c>
      <c r="I1925" s="3">
        <v>2.4909031673158801E-2</v>
      </c>
      <c r="J1925" s="3">
        <v>0.858182151438591</v>
      </c>
      <c r="K1925" s="3">
        <v>2.0605571410905001E-2</v>
      </c>
      <c r="L1925" s="3">
        <v>2.4344112158851499E-2</v>
      </c>
      <c r="M1925" s="3">
        <v>2.0081966687966399E-2</v>
      </c>
      <c r="N1925" s="3">
        <v>4.9834832036985202E-2</v>
      </c>
      <c r="O1925" s="3">
        <v>4.7731265725980701E-2</v>
      </c>
      <c r="P1925" s="3">
        <v>-1.26957164882937E-2</v>
      </c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</row>
    <row r="1926" spans="1:35" x14ac:dyDescent="0.45">
      <c r="A1926" s="3" t="s">
        <v>28</v>
      </c>
      <c r="B1926" s="3" t="s">
        <v>22</v>
      </c>
      <c r="C1926" s="3" t="s">
        <v>15</v>
      </c>
      <c r="D1926" s="3" t="s">
        <v>12</v>
      </c>
      <c r="E1926" s="3" t="s">
        <v>32</v>
      </c>
      <c r="F1926" s="3">
        <v>0</v>
      </c>
      <c r="G1926" s="3">
        <v>-1.1264151822072001E-2</v>
      </c>
      <c r="H1926" s="3">
        <v>-1.1264151822072001E-2</v>
      </c>
      <c r="I1926" s="3">
        <v>0.766549097201079</v>
      </c>
      <c r="J1926" s="3">
        <v>1.9912206536855999E-2</v>
      </c>
      <c r="K1926" s="3">
        <v>6.3976030055404601E-2</v>
      </c>
      <c r="L1926" s="3">
        <v>0.106945829194695</v>
      </c>
      <c r="M1926" s="3">
        <v>0.128469523630311</v>
      </c>
      <c r="N1926" s="3">
        <v>8.9224320456336798E-2</v>
      </c>
      <c r="O1926" s="3">
        <v>4.8825141676712702E-2</v>
      </c>
      <c r="P1926" s="3">
        <v>9.3358373571503801E-3</v>
      </c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</row>
    <row r="1927" spans="1:35" x14ac:dyDescent="0.45">
      <c r="A1927" s="3" t="s">
        <v>28</v>
      </c>
      <c r="B1927" s="3" t="s">
        <v>22</v>
      </c>
      <c r="C1927" s="3" t="s">
        <v>15</v>
      </c>
      <c r="D1927" s="3" t="s">
        <v>13</v>
      </c>
      <c r="E1927" s="3" t="s">
        <v>32</v>
      </c>
      <c r="F1927" s="3">
        <v>0</v>
      </c>
      <c r="G1927" s="3">
        <v>0.63737192788033403</v>
      </c>
      <c r="H1927" s="3">
        <v>0.63737192788033403</v>
      </c>
      <c r="I1927" s="3">
        <v>8.2372798855602003E-2</v>
      </c>
      <c r="J1927" s="3">
        <v>0.13044512696329</v>
      </c>
      <c r="K1927" s="3">
        <v>8.7562038908521905E-2</v>
      </c>
      <c r="L1927" s="3">
        <v>1.8758425650651198E-2</v>
      </c>
      <c r="M1927" s="3">
        <v>-1.8191562474092E-2</v>
      </c>
      <c r="N1927" s="3">
        <v>-3.2553057752873198E-2</v>
      </c>
      <c r="O1927" s="3">
        <v>-7.4603423409193195E-2</v>
      </c>
      <c r="P1927" s="3">
        <v>-6.4681259389519005E-2</v>
      </c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</row>
    <row r="1928" spans="1:35" x14ac:dyDescent="0.45">
      <c r="A1928" s="3" t="s">
        <v>28</v>
      </c>
      <c r="B1928" s="3" t="s">
        <v>22</v>
      </c>
      <c r="C1928" s="3" t="s">
        <v>15</v>
      </c>
      <c r="D1928" s="3" t="s">
        <v>14</v>
      </c>
      <c r="E1928" s="3" t="s">
        <v>32</v>
      </c>
      <c r="F1928" s="3">
        <v>0</v>
      </c>
      <c r="G1928" s="3">
        <v>5.7002254712511503E-2</v>
      </c>
      <c r="H1928" s="3">
        <v>5.7002254712511503E-2</v>
      </c>
      <c r="I1928" s="3">
        <v>0.110350448700576</v>
      </c>
      <c r="J1928" s="3">
        <v>2.5233716891255299E-2</v>
      </c>
      <c r="K1928" s="3">
        <v>1.56442020550829E-3</v>
      </c>
      <c r="L1928" s="3">
        <v>-1.22910528972615E-2</v>
      </c>
      <c r="M1928" s="3">
        <v>-3.6503934583710602E-2</v>
      </c>
      <c r="N1928" s="3">
        <v>-7.5839179692919895E-2</v>
      </c>
      <c r="O1928" s="3">
        <v>-9.8945090147846096E-2</v>
      </c>
      <c r="P1928" s="3">
        <v>-0.104434317610757</v>
      </c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</row>
    <row r="1929" spans="1:35" x14ac:dyDescent="0.45">
      <c r="A1929" s="3" t="s">
        <v>28</v>
      </c>
      <c r="B1929" s="3" t="s">
        <v>22</v>
      </c>
      <c r="C1929" s="3" t="s">
        <v>16</v>
      </c>
      <c r="D1929" s="3" t="s">
        <v>7</v>
      </c>
      <c r="E1929" s="3" t="s">
        <v>32</v>
      </c>
      <c r="F1929" s="3">
        <v>1.6664496197441201</v>
      </c>
      <c r="G1929" s="3">
        <v>1.12583797632275</v>
      </c>
      <c r="H1929" s="3">
        <v>1.12583797632275</v>
      </c>
      <c r="I1929" s="3">
        <v>0.55912954481652399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</row>
    <row r="1930" spans="1:35" x14ac:dyDescent="0.45">
      <c r="A1930" s="3" t="s">
        <v>28</v>
      </c>
      <c r="B1930" s="3" t="s">
        <v>22</v>
      </c>
      <c r="C1930" s="3" t="s">
        <v>16</v>
      </c>
      <c r="D1930" s="3" t="s">
        <v>9</v>
      </c>
      <c r="E1930" s="3" t="s">
        <v>32</v>
      </c>
      <c r="F1930" s="3">
        <v>0</v>
      </c>
      <c r="G1930" s="3">
        <v>0</v>
      </c>
      <c r="H1930" s="3">
        <v>0</v>
      </c>
      <c r="I1930" s="3">
        <v>-7.7274688346839996E-5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</row>
    <row r="1931" spans="1:35" x14ac:dyDescent="0.45">
      <c r="A1931" s="3" t="s">
        <v>28</v>
      </c>
      <c r="B1931" s="3" t="s">
        <v>22</v>
      </c>
      <c r="C1931" s="3" t="s">
        <v>16</v>
      </c>
      <c r="D1931" s="3" t="s">
        <v>10</v>
      </c>
      <c r="E1931" s="3" t="s">
        <v>32</v>
      </c>
      <c r="F1931" s="3">
        <v>0</v>
      </c>
      <c r="G1931" s="3">
        <v>0</v>
      </c>
      <c r="H1931" s="3">
        <v>0</v>
      </c>
      <c r="I1931" s="3">
        <v>-8.8817841970012504E-16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0</v>
      </c>
      <c r="P1931" s="3">
        <v>0</v>
      </c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</row>
    <row r="1932" spans="1:35" x14ac:dyDescent="0.45">
      <c r="A1932" s="3" t="s">
        <v>28</v>
      </c>
      <c r="B1932" s="3" t="s">
        <v>22</v>
      </c>
      <c r="C1932" s="3" t="s">
        <v>16</v>
      </c>
      <c r="D1932" s="3" t="s">
        <v>11</v>
      </c>
      <c r="E1932" s="3" t="s">
        <v>32</v>
      </c>
      <c r="F1932" s="3">
        <v>0</v>
      </c>
      <c r="G1932" s="3">
        <v>-3.5315147602932301E-4</v>
      </c>
      <c r="H1932" s="3">
        <v>-3.5315147602932301E-4</v>
      </c>
      <c r="I1932" s="3">
        <v>1.6238684076186301E-5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</row>
    <row r="1933" spans="1:35" x14ac:dyDescent="0.45">
      <c r="A1933" s="3" t="s">
        <v>28</v>
      </c>
      <c r="B1933" s="3" t="s">
        <v>22</v>
      </c>
      <c r="C1933" s="3" t="s">
        <v>16</v>
      </c>
      <c r="D1933" s="3" t="s">
        <v>12</v>
      </c>
      <c r="E1933" s="3" t="s">
        <v>32</v>
      </c>
      <c r="F1933" s="3">
        <v>0</v>
      </c>
      <c r="G1933" s="3">
        <v>-6.3198168654565701E-4</v>
      </c>
      <c r="H1933" s="3">
        <v>-6.3198168654565701E-4</v>
      </c>
      <c r="I1933" s="3">
        <v>2.2065885782129899E-5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</row>
    <row r="1934" spans="1:35" x14ac:dyDescent="0.45">
      <c r="A1934" s="3" t="s">
        <v>28</v>
      </c>
      <c r="B1934" s="3" t="s">
        <v>22</v>
      </c>
      <c r="C1934" s="3" t="s">
        <v>16</v>
      </c>
      <c r="D1934" s="3" t="s">
        <v>13</v>
      </c>
      <c r="E1934" s="3" t="s">
        <v>32</v>
      </c>
      <c r="F1934" s="3">
        <v>0</v>
      </c>
      <c r="G1934" s="3">
        <v>-2.8524802947242898E-3</v>
      </c>
      <c r="H1934" s="3">
        <v>-2.8524802947242898E-3</v>
      </c>
      <c r="I1934" s="3">
        <v>1.0419810086485799E-2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</row>
    <row r="1935" spans="1:35" x14ac:dyDescent="0.45">
      <c r="A1935" s="3" t="s">
        <v>28</v>
      </c>
      <c r="B1935" s="3" t="s">
        <v>22</v>
      </c>
      <c r="C1935" s="3" t="s">
        <v>16</v>
      </c>
      <c r="D1935" s="3" t="s">
        <v>14</v>
      </c>
      <c r="E1935" s="3" t="s">
        <v>32</v>
      </c>
      <c r="F1935" s="3">
        <v>0</v>
      </c>
      <c r="G1935" s="3">
        <v>4.80887394358109E-2</v>
      </c>
      <c r="H1935" s="3">
        <v>4.80887394358109E-2</v>
      </c>
      <c r="I1935" s="3">
        <v>-1.50596372433284E-2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  <c r="O1935" s="3">
        <v>0</v>
      </c>
      <c r="P1935" s="3">
        <v>0</v>
      </c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</row>
    <row r="1936" spans="1:35" x14ac:dyDescent="0.45">
      <c r="A1936" s="3" t="s">
        <v>28</v>
      </c>
      <c r="B1936" s="3" t="s">
        <v>22</v>
      </c>
      <c r="C1936" s="3" t="s">
        <v>17</v>
      </c>
      <c r="D1936" s="3" t="s">
        <v>10</v>
      </c>
      <c r="E1936" s="3" t="s">
        <v>32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6.6631684674494496E-8</v>
      </c>
      <c r="L1936" s="3">
        <v>2.1830830476180901E-7</v>
      </c>
      <c r="M1936" s="3">
        <v>0.16221426274886599</v>
      </c>
      <c r="N1936" s="3">
        <v>1.10049365397401</v>
      </c>
      <c r="O1936" s="3">
        <v>1.13565135078406</v>
      </c>
      <c r="P1936" s="3">
        <v>1.2064900418869799</v>
      </c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</row>
    <row r="1937" spans="1:35" x14ac:dyDescent="0.45">
      <c r="A1937" s="3" t="s">
        <v>28</v>
      </c>
      <c r="B1937" s="3" t="s">
        <v>22</v>
      </c>
      <c r="C1937" s="3" t="s">
        <v>17</v>
      </c>
      <c r="D1937" s="3" t="s">
        <v>11</v>
      </c>
      <c r="E1937" s="3" t="s">
        <v>32</v>
      </c>
      <c r="F1937" s="3">
        <v>0</v>
      </c>
      <c r="G1937" s="3">
        <v>0</v>
      </c>
      <c r="H1937" s="3">
        <v>0</v>
      </c>
      <c r="I1937" s="3">
        <v>0</v>
      </c>
      <c r="J1937" s="3">
        <v>2.1830844613302899E-7</v>
      </c>
      <c r="K1937" s="3">
        <v>0.22904301886450501</v>
      </c>
      <c r="L1937" s="3">
        <v>1.1224642010716499</v>
      </c>
      <c r="M1937" s="3">
        <v>1.1075067644996299</v>
      </c>
      <c r="N1937" s="3">
        <v>0.18356031274881501</v>
      </c>
      <c r="O1937" s="3">
        <v>0.213360727231623</v>
      </c>
      <c r="P1937" s="3">
        <v>0.230826680292474</v>
      </c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</row>
    <row r="1938" spans="1:35" x14ac:dyDescent="0.45">
      <c r="A1938" s="3" t="s">
        <v>28</v>
      </c>
      <c r="B1938" s="3" t="s">
        <v>22</v>
      </c>
      <c r="C1938" s="3" t="s">
        <v>17</v>
      </c>
      <c r="D1938" s="3" t="s">
        <v>12</v>
      </c>
      <c r="E1938" s="3" t="s">
        <v>32</v>
      </c>
      <c r="F1938" s="3">
        <v>0</v>
      </c>
      <c r="G1938" s="3">
        <v>0</v>
      </c>
      <c r="H1938" s="3">
        <v>0</v>
      </c>
      <c r="I1938" s="3">
        <v>0</v>
      </c>
      <c r="J1938" s="3">
        <v>1.0946852884109599</v>
      </c>
      <c r="K1938" s="3">
        <v>1.04937280549753</v>
      </c>
      <c r="L1938" s="3">
        <v>0.22230355042215599</v>
      </c>
      <c r="M1938" s="3">
        <v>0.190472673613787</v>
      </c>
      <c r="N1938" s="3">
        <v>0.18044102954177599</v>
      </c>
      <c r="O1938" s="3">
        <v>0.11777942801467001</v>
      </c>
      <c r="P1938" s="3">
        <v>3.0583645110341E-2</v>
      </c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</row>
    <row r="1939" spans="1:35" x14ac:dyDescent="0.45">
      <c r="A1939" s="3" t="s">
        <v>28</v>
      </c>
      <c r="B1939" s="3" t="s">
        <v>22</v>
      </c>
      <c r="C1939" s="3" t="s">
        <v>17</v>
      </c>
      <c r="D1939" s="3" t="s">
        <v>13</v>
      </c>
      <c r="E1939" s="3" t="s">
        <v>32</v>
      </c>
      <c r="F1939" s="3">
        <v>0</v>
      </c>
      <c r="G1939" s="3">
        <v>0</v>
      </c>
      <c r="H1939" s="3">
        <v>0</v>
      </c>
      <c r="I1939" s="3">
        <v>1.16793687157174</v>
      </c>
      <c r="J1939" s="3">
        <v>0.359454423756698</v>
      </c>
      <c r="K1939" s="3">
        <v>0.188911385257996</v>
      </c>
      <c r="L1939" s="3">
        <v>0.124514267202096</v>
      </c>
      <c r="M1939" s="3">
        <v>9.3655385550923693E-3</v>
      </c>
      <c r="N1939" s="3">
        <v>5.0746578771934097E-3</v>
      </c>
      <c r="O1939" s="3">
        <v>2.7843925145112402E-3</v>
      </c>
      <c r="P1939" s="3">
        <v>1.67761776836683E-3</v>
      </c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</row>
    <row r="1940" spans="1:35" x14ac:dyDescent="0.45">
      <c r="A1940" s="3" t="s">
        <v>28</v>
      </c>
      <c r="B1940" s="3" t="s">
        <v>22</v>
      </c>
      <c r="C1940" s="3" t="s">
        <v>17</v>
      </c>
      <c r="D1940" s="3" t="s">
        <v>14</v>
      </c>
      <c r="E1940" s="3" t="s">
        <v>32</v>
      </c>
      <c r="F1940" s="3">
        <v>0</v>
      </c>
      <c r="G1940" s="3">
        <v>0.67670769153922095</v>
      </c>
      <c r="H1940" s="3">
        <v>0.67670769153922095</v>
      </c>
      <c r="I1940" s="3">
        <v>0.28559259557526201</v>
      </c>
      <c r="J1940" s="3">
        <v>4.1707389650418501E-2</v>
      </c>
      <c r="K1940" s="3">
        <v>2.8856466870855298E-2</v>
      </c>
      <c r="L1940" s="3">
        <v>2.6904554276869299E-2</v>
      </c>
      <c r="M1940" s="3">
        <v>2.6673866152884002E-2</v>
      </c>
      <c r="N1940" s="3">
        <v>2.6667561089120499E-2</v>
      </c>
      <c r="O1940" s="3">
        <v>2.6661504709969201E-2</v>
      </c>
      <c r="P1940" s="3">
        <v>2.6659635275561502E-2</v>
      </c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</row>
    <row r="1941" spans="1:35" x14ac:dyDescent="0.45">
      <c r="A1941" s="3" t="s">
        <v>28</v>
      </c>
      <c r="B1941" s="3" t="s">
        <v>22</v>
      </c>
      <c r="C1941" s="3" t="s">
        <v>18</v>
      </c>
      <c r="D1941" s="3" t="s">
        <v>7</v>
      </c>
      <c r="E1941" s="3" t="s">
        <v>32</v>
      </c>
      <c r="F1941" s="3">
        <v>5.2205604889881796</v>
      </c>
      <c r="G1941" s="3">
        <v>3.4573966355371799</v>
      </c>
      <c r="H1941" s="3">
        <v>3.4573966355371799</v>
      </c>
      <c r="I1941" s="3">
        <v>1.56525166412584</v>
      </c>
      <c r="J1941" s="3">
        <v>4.8718188210495401E-2</v>
      </c>
      <c r="K1941" s="3">
        <v>5.3557225027217699E-3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</row>
    <row r="1942" spans="1:35" x14ac:dyDescent="0.45">
      <c r="A1942" s="3" t="s">
        <v>28</v>
      </c>
      <c r="B1942" s="3" t="s">
        <v>22</v>
      </c>
      <c r="C1942" s="3" t="s">
        <v>18</v>
      </c>
      <c r="D1942" s="3" t="s">
        <v>9</v>
      </c>
      <c r="E1942" s="3" t="s">
        <v>32</v>
      </c>
      <c r="F1942" s="3">
        <v>0</v>
      </c>
      <c r="G1942" s="3">
        <v>0</v>
      </c>
      <c r="H1942" s="3">
        <v>0</v>
      </c>
      <c r="I1942" s="3">
        <v>-9.1038288019262805E-15</v>
      </c>
      <c r="J1942" s="3">
        <v>-3.6776137690708301E-16</v>
      </c>
      <c r="K1942" s="3">
        <v>0</v>
      </c>
      <c r="L1942" s="3">
        <v>0</v>
      </c>
      <c r="M1942" s="3">
        <v>4.0832248264709001E-16</v>
      </c>
      <c r="N1942" s="3">
        <v>8.1664496529418002E-16</v>
      </c>
      <c r="O1942" s="3">
        <v>0</v>
      </c>
      <c r="P1942" s="3">
        <v>4.0832248264709001E-16</v>
      </c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</row>
    <row r="1943" spans="1:35" x14ac:dyDescent="0.45">
      <c r="A1943" s="3" t="s">
        <v>28</v>
      </c>
      <c r="B1943" s="3" t="s">
        <v>22</v>
      </c>
      <c r="C1943" s="3" t="s">
        <v>18</v>
      </c>
      <c r="D1943" s="3" t="s">
        <v>10</v>
      </c>
      <c r="E1943" s="3" t="s">
        <v>32</v>
      </c>
      <c r="F1943" s="3">
        <v>0</v>
      </c>
      <c r="G1943" s="3">
        <v>0</v>
      </c>
      <c r="H1943" s="3">
        <v>0</v>
      </c>
      <c r="I1943" s="3">
        <v>0</v>
      </c>
      <c r="J1943" s="3">
        <v>4.5796699765787697E-16</v>
      </c>
      <c r="K1943" s="3">
        <v>-2.1163626406917E-16</v>
      </c>
      <c r="L1943" s="3">
        <v>0</v>
      </c>
      <c r="M1943" s="3">
        <v>0</v>
      </c>
      <c r="N1943" s="3">
        <v>-8.1664496529418002E-16</v>
      </c>
      <c r="O1943" s="3">
        <v>0</v>
      </c>
      <c r="P1943" s="3">
        <v>0</v>
      </c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</row>
    <row r="1944" spans="1:35" x14ac:dyDescent="0.45">
      <c r="A1944" s="3" t="s">
        <v>28</v>
      </c>
      <c r="B1944" s="3" t="s">
        <v>22</v>
      </c>
      <c r="C1944" s="3" t="s">
        <v>18</v>
      </c>
      <c r="D1944" s="3" t="s">
        <v>11</v>
      </c>
      <c r="E1944" s="3" t="s">
        <v>32</v>
      </c>
      <c r="F1944" s="3">
        <v>0</v>
      </c>
      <c r="G1944" s="3">
        <v>0</v>
      </c>
      <c r="H1944" s="3">
        <v>0</v>
      </c>
      <c r="I1944" s="3">
        <v>0</v>
      </c>
      <c r="J1944" s="3">
        <v>-1.8735013540549499E-16</v>
      </c>
      <c r="K1944" s="3">
        <v>4.1459891075845699E-16</v>
      </c>
      <c r="L1944" s="3">
        <v>4.0832248264709001E-16</v>
      </c>
      <c r="M1944" s="3">
        <v>0</v>
      </c>
      <c r="N1944" s="3">
        <v>0</v>
      </c>
      <c r="O1944" s="3">
        <v>0</v>
      </c>
      <c r="P1944" s="3">
        <v>-4.0832248264709001E-16</v>
      </c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</row>
    <row r="1945" spans="1:35" x14ac:dyDescent="0.45">
      <c r="A1945" s="3" t="s">
        <v>28</v>
      </c>
      <c r="B1945" s="3" t="s">
        <v>22</v>
      </c>
      <c r="C1945" s="3" t="s">
        <v>18</v>
      </c>
      <c r="D1945" s="3" t="s">
        <v>12</v>
      </c>
      <c r="E1945" s="3" t="s">
        <v>32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  <c r="L1945" s="3">
        <v>-4.0832248264709001E-16</v>
      </c>
      <c r="M1945" s="3">
        <v>-4.0832248264709001E-16</v>
      </c>
      <c r="N1945" s="3">
        <v>1.22496744794127E-15</v>
      </c>
      <c r="O1945" s="3">
        <v>0</v>
      </c>
      <c r="P1945" s="3">
        <v>0</v>
      </c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</row>
    <row r="1946" spans="1:35" x14ac:dyDescent="0.45">
      <c r="A1946" s="3" t="s">
        <v>28</v>
      </c>
      <c r="B1946" s="3" t="s">
        <v>22</v>
      </c>
      <c r="C1946" s="3" t="s">
        <v>18</v>
      </c>
      <c r="D1946" s="3" t="s">
        <v>13</v>
      </c>
      <c r="E1946" s="3" t="s">
        <v>32</v>
      </c>
      <c r="F1946" s="3">
        <v>0</v>
      </c>
      <c r="G1946" s="3">
        <v>0</v>
      </c>
      <c r="H1946" s="3">
        <v>0</v>
      </c>
      <c r="I1946" s="3">
        <v>0</v>
      </c>
      <c r="J1946" s="3">
        <v>-4.5796699765787697E-16</v>
      </c>
      <c r="K1946" s="3">
        <v>-8.1878948066105305E-16</v>
      </c>
      <c r="L1946" s="3">
        <v>4.0832248264709001E-16</v>
      </c>
      <c r="M1946" s="3">
        <v>1.22496744794127E-15</v>
      </c>
      <c r="N1946" s="3">
        <v>-1.22496744794127E-15</v>
      </c>
      <c r="O1946" s="3">
        <v>0</v>
      </c>
      <c r="P1946" s="3">
        <v>0</v>
      </c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</row>
    <row r="1947" spans="1:35" x14ac:dyDescent="0.45">
      <c r="A1947" s="3" t="s">
        <v>28</v>
      </c>
      <c r="B1947" s="3" t="s">
        <v>22</v>
      </c>
      <c r="C1947" s="3" t="s">
        <v>18</v>
      </c>
      <c r="D1947" s="3" t="s">
        <v>14</v>
      </c>
      <c r="E1947" s="3" t="s">
        <v>32</v>
      </c>
      <c r="F1947" s="3">
        <v>0</v>
      </c>
      <c r="G1947" s="3">
        <v>0</v>
      </c>
      <c r="H1947" s="3">
        <v>0</v>
      </c>
      <c r="I1947" s="3">
        <v>0</v>
      </c>
      <c r="J1947" s="3">
        <v>8.3266726846886701E-16</v>
      </c>
      <c r="K1947" s="3">
        <v>-8.1792211892306504E-16</v>
      </c>
      <c r="L1947" s="3">
        <v>-4.0832248264709001E-16</v>
      </c>
      <c r="M1947" s="3">
        <v>-1.22496744794127E-15</v>
      </c>
      <c r="N1947" s="3">
        <v>0</v>
      </c>
      <c r="O1947" s="3">
        <v>0</v>
      </c>
      <c r="P1947" s="3">
        <v>0</v>
      </c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</row>
    <row r="1948" spans="1:35" x14ac:dyDescent="0.45">
      <c r="A1948" s="3" t="s">
        <v>28</v>
      </c>
      <c r="B1948" s="3" t="s">
        <v>22</v>
      </c>
      <c r="C1948" s="3" t="s">
        <v>19</v>
      </c>
      <c r="D1948" s="3" t="s">
        <v>11</v>
      </c>
      <c r="E1948" s="3" t="s">
        <v>32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  <c r="L1948" s="3">
        <v>0</v>
      </c>
      <c r="M1948" s="3">
        <v>6.9698937771766004E-3</v>
      </c>
      <c r="N1948" s="3">
        <v>3.5887796798677797E-2</v>
      </c>
      <c r="O1948" s="3">
        <v>0.26996903835422298</v>
      </c>
      <c r="P1948" s="3">
        <v>0.63355959440656096</v>
      </c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</row>
    <row r="1949" spans="1:35" x14ac:dyDescent="0.45">
      <c r="A1949" s="3" t="s">
        <v>28</v>
      </c>
      <c r="B1949" s="3" t="s">
        <v>22</v>
      </c>
      <c r="C1949" s="3" t="s">
        <v>19</v>
      </c>
      <c r="D1949" s="3" t="s">
        <v>12</v>
      </c>
      <c r="E1949" s="3" t="s">
        <v>32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2.6410709032072901E-2</v>
      </c>
      <c r="L1949" s="3">
        <v>0.15000983800439199</v>
      </c>
      <c r="M1949" s="3">
        <v>0.48350673507282199</v>
      </c>
      <c r="N1949" s="3">
        <v>0.53739176360802898</v>
      </c>
      <c r="O1949" s="3">
        <v>0.40364883688523401</v>
      </c>
      <c r="P1949" s="3">
        <v>0.188746980452631</v>
      </c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</row>
    <row r="1950" spans="1:35" x14ac:dyDescent="0.45">
      <c r="A1950" s="3" t="s">
        <v>28</v>
      </c>
      <c r="B1950" s="3" t="s">
        <v>22</v>
      </c>
      <c r="C1950" s="3" t="s">
        <v>19</v>
      </c>
      <c r="D1950" s="3" t="s">
        <v>13</v>
      </c>
      <c r="E1950" s="3" t="s">
        <v>32</v>
      </c>
      <c r="F1950" s="3">
        <v>0</v>
      </c>
      <c r="G1950" s="3">
        <v>0</v>
      </c>
      <c r="H1950" s="3">
        <v>0</v>
      </c>
      <c r="I1950" s="3">
        <v>4.7839130757186002E-2</v>
      </c>
      <c r="J1950" s="3">
        <v>0.702736511221556</v>
      </c>
      <c r="K1950" s="3">
        <v>0.62791538446895701</v>
      </c>
      <c r="L1950" s="3">
        <v>0.51275219125538396</v>
      </c>
      <c r="M1950" s="3">
        <v>0.22549940576590699</v>
      </c>
      <c r="N1950" s="3">
        <v>0.22636209278153899</v>
      </c>
      <c r="O1950" s="3">
        <v>0.27015511097058698</v>
      </c>
      <c r="P1950" s="3">
        <v>0.26422214580032699</v>
      </c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</row>
    <row r="1951" spans="1:35" x14ac:dyDescent="0.45">
      <c r="A1951" s="3" t="s">
        <v>28</v>
      </c>
      <c r="B1951" s="3" t="s">
        <v>22</v>
      </c>
      <c r="C1951" s="3" t="s">
        <v>19</v>
      </c>
      <c r="D1951" s="3" t="s">
        <v>14</v>
      </c>
      <c r="E1951" s="3" t="s">
        <v>32</v>
      </c>
      <c r="F1951" s="3">
        <v>0</v>
      </c>
      <c r="G1951" s="3">
        <v>0</v>
      </c>
      <c r="H1951" s="3">
        <v>0</v>
      </c>
      <c r="I1951" s="3">
        <v>0.84342614167317398</v>
      </c>
      <c r="J1951" s="3">
        <v>0.20538376946526199</v>
      </c>
      <c r="K1951" s="3">
        <v>0.22406187701849301</v>
      </c>
      <c r="L1951" s="3">
        <v>0.27987321705474</v>
      </c>
      <c r="M1951" s="3">
        <v>0.32172081094812</v>
      </c>
      <c r="N1951" s="3">
        <v>0.38278389589401701</v>
      </c>
      <c r="O1951" s="3">
        <v>0.42243320648687699</v>
      </c>
      <c r="P1951" s="3">
        <v>0.42843094668061299</v>
      </c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</row>
    <row r="1952" spans="1:35" x14ac:dyDescent="0.45">
      <c r="A1952" s="3" t="s">
        <v>78</v>
      </c>
      <c r="B1952" s="3" t="s">
        <v>29</v>
      </c>
      <c r="C1952" s="3" t="s">
        <v>6</v>
      </c>
      <c r="D1952" s="3" t="s">
        <v>7</v>
      </c>
      <c r="E1952" s="3" t="s">
        <v>32</v>
      </c>
      <c r="F1952" s="3">
        <v>0</v>
      </c>
      <c r="G1952" s="3">
        <v>0</v>
      </c>
      <c r="H1952" s="3">
        <v>0</v>
      </c>
      <c r="I1952" s="3">
        <v>5.5811101152717605E-4</v>
      </c>
      <c r="J1952" s="3">
        <v>2.5275956446549701E-3</v>
      </c>
      <c r="K1952" s="3">
        <v>4.7711113847513304E-3</v>
      </c>
      <c r="L1952" s="3">
        <v>3.0356319064812502E-4</v>
      </c>
      <c r="M1952" s="3">
        <v>0</v>
      </c>
      <c r="N1952" s="3">
        <v>0</v>
      </c>
      <c r="O1952" s="3">
        <v>0</v>
      </c>
      <c r="P1952" s="3">
        <v>0</v>
      </c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</row>
    <row r="1953" spans="1:35" x14ac:dyDescent="0.45">
      <c r="A1953" s="3" t="s">
        <v>78</v>
      </c>
      <c r="B1953" s="3" t="s">
        <v>29</v>
      </c>
      <c r="C1953" s="3" t="s">
        <v>6</v>
      </c>
      <c r="D1953" s="3" t="s">
        <v>9</v>
      </c>
      <c r="E1953" s="3" t="s">
        <v>32</v>
      </c>
      <c r="F1953" s="3">
        <v>0</v>
      </c>
      <c r="G1953" s="3">
        <v>0</v>
      </c>
      <c r="H1953" s="3">
        <v>0</v>
      </c>
      <c r="I1953" s="3">
        <v>1.1867060439970901E-3</v>
      </c>
      <c r="J1953" s="3">
        <v>1.6230717304989699E-3</v>
      </c>
      <c r="K1953" s="3">
        <v>2.82999986143049E-3</v>
      </c>
      <c r="L1953" s="3">
        <v>3.3638990998802001E-3</v>
      </c>
      <c r="M1953" s="3">
        <v>3.47332387581258E-3</v>
      </c>
      <c r="N1953" s="3">
        <v>3.4042392465336098E-3</v>
      </c>
      <c r="O1953" s="3">
        <v>3.4000182734119401E-3</v>
      </c>
      <c r="P1953" s="3">
        <v>3.4000182734119401E-3</v>
      </c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</row>
    <row r="1954" spans="1:35" x14ac:dyDescent="0.45">
      <c r="A1954" s="3" t="s">
        <v>78</v>
      </c>
      <c r="B1954" s="3" t="s">
        <v>29</v>
      </c>
      <c r="C1954" s="3" t="s">
        <v>6</v>
      </c>
      <c r="D1954" s="3" t="s">
        <v>10</v>
      </c>
      <c r="E1954" s="3" t="s">
        <v>32</v>
      </c>
      <c r="F1954" s="3">
        <v>0</v>
      </c>
      <c r="G1954" s="3">
        <v>0</v>
      </c>
      <c r="H1954" s="3">
        <v>0</v>
      </c>
      <c r="I1954" s="3">
        <v>5.3970057086815705E-4</v>
      </c>
      <c r="J1954" s="3">
        <v>5.6120867304765005E-4</v>
      </c>
      <c r="K1954" s="3">
        <v>2.0906240007956501E-3</v>
      </c>
      <c r="L1954" s="3">
        <v>8.6515118022970799E-4</v>
      </c>
      <c r="M1954" s="3">
        <v>9.45221131740008E-4</v>
      </c>
      <c r="N1954" s="3">
        <v>1.50580009591261E-2</v>
      </c>
      <c r="O1954" s="3">
        <v>2.47621291379128E-2</v>
      </c>
      <c r="P1954" s="3">
        <v>5.8850014094476301E-2</v>
      </c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</row>
    <row r="1955" spans="1:35" x14ac:dyDescent="0.45">
      <c r="A1955" s="3" t="s">
        <v>78</v>
      </c>
      <c r="B1955" s="3" t="s">
        <v>29</v>
      </c>
      <c r="C1955" s="3" t="s">
        <v>6</v>
      </c>
      <c r="D1955" s="3" t="s">
        <v>11</v>
      </c>
      <c r="E1955" s="3" t="s">
        <v>32</v>
      </c>
      <c r="F1955" s="3">
        <v>0</v>
      </c>
      <c r="G1955" s="3">
        <v>0</v>
      </c>
      <c r="H1955" s="3">
        <v>0</v>
      </c>
      <c r="I1955" s="3">
        <v>9.4950364939818896E-4</v>
      </c>
      <c r="J1955" s="3">
        <v>4.8153325097935002E-3</v>
      </c>
      <c r="K1955" s="3">
        <v>4.1934988700153804E-3</v>
      </c>
      <c r="L1955" s="3">
        <v>1.94559372576593E-2</v>
      </c>
      <c r="M1955" s="3">
        <v>6.6001138984075003E-2</v>
      </c>
      <c r="N1955" s="3">
        <v>8.4146555664923198E-2</v>
      </c>
      <c r="O1955" s="3">
        <v>0.11271384434099201</v>
      </c>
      <c r="P1955" s="3">
        <v>0.19353626712962099</v>
      </c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</row>
    <row r="1956" spans="1:35" x14ac:dyDescent="0.45">
      <c r="A1956" s="3" t="s">
        <v>78</v>
      </c>
      <c r="B1956" s="3" t="s">
        <v>29</v>
      </c>
      <c r="C1956" s="3" t="s">
        <v>6</v>
      </c>
      <c r="D1956" s="3" t="s">
        <v>12</v>
      </c>
      <c r="E1956" s="3" t="s">
        <v>32</v>
      </c>
      <c r="F1956" s="3">
        <v>0</v>
      </c>
      <c r="G1956" s="3">
        <v>0</v>
      </c>
      <c r="H1956" s="3">
        <v>0</v>
      </c>
      <c r="I1956" s="3">
        <v>9.1870358244992097E-4</v>
      </c>
      <c r="J1956" s="3">
        <v>2.29794185481112E-2</v>
      </c>
      <c r="K1956" s="3">
        <v>8.0502149507775303E-2</v>
      </c>
      <c r="L1956" s="3">
        <v>0.113572564306357</v>
      </c>
      <c r="M1956" s="3">
        <v>0.20986638166581201</v>
      </c>
      <c r="N1956" s="3">
        <v>0.33009905610111401</v>
      </c>
      <c r="O1956" s="3">
        <v>0.44043346111578302</v>
      </c>
      <c r="P1956" s="3">
        <v>0.46197069578823002</v>
      </c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</row>
    <row r="1957" spans="1:35" x14ac:dyDescent="0.45">
      <c r="A1957" s="3" t="s">
        <v>78</v>
      </c>
      <c r="B1957" s="3" t="s">
        <v>29</v>
      </c>
      <c r="C1957" s="3" t="s">
        <v>6</v>
      </c>
      <c r="D1957" s="3" t="s">
        <v>13</v>
      </c>
      <c r="E1957" s="3" t="s">
        <v>32</v>
      </c>
      <c r="F1957" s="3">
        <v>0</v>
      </c>
      <c r="G1957" s="3">
        <v>2.0125741506381E-4</v>
      </c>
      <c r="H1957" s="3">
        <v>2.0125741506381E-4</v>
      </c>
      <c r="I1957" s="3">
        <v>5.8265093020152502E-2</v>
      </c>
      <c r="J1957" s="3">
        <v>0.220321195543902</v>
      </c>
      <c r="K1957" s="3">
        <v>0.35032003918284699</v>
      </c>
      <c r="L1957" s="3">
        <v>0.47604651962182798</v>
      </c>
      <c r="M1957" s="3">
        <v>0.49380943564274699</v>
      </c>
      <c r="N1957" s="3">
        <v>0.49636284730876501</v>
      </c>
      <c r="O1957" s="3">
        <v>0.50033533949401798</v>
      </c>
      <c r="P1957" s="3">
        <v>0.52738752396808697</v>
      </c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</row>
    <row r="1958" spans="1:35" x14ac:dyDescent="0.45">
      <c r="A1958" s="3" t="s">
        <v>78</v>
      </c>
      <c r="B1958" s="3" t="s">
        <v>29</v>
      </c>
      <c r="C1958" s="3" t="s">
        <v>6</v>
      </c>
      <c r="D1958" s="3" t="s">
        <v>14</v>
      </c>
      <c r="E1958" s="3" t="s">
        <v>32</v>
      </c>
      <c r="F1958" s="3">
        <v>0</v>
      </c>
      <c r="G1958" s="3">
        <v>7.6209688838413201E-3</v>
      </c>
      <c r="H1958" s="3">
        <v>7.6209688838413201E-3</v>
      </c>
      <c r="I1958" s="3">
        <v>0.15410245341527101</v>
      </c>
      <c r="J1958" s="3">
        <v>0.16340080523487599</v>
      </c>
      <c r="K1958" s="3">
        <v>0.183560302952919</v>
      </c>
      <c r="L1958" s="3">
        <v>0.24338244491977701</v>
      </c>
      <c r="M1958" s="3">
        <v>0.32102341018920999</v>
      </c>
      <c r="N1958" s="3">
        <v>0.41313754108615602</v>
      </c>
      <c r="O1958" s="3">
        <v>0.50178700223518102</v>
      </c>
      <c r="P1958" s="3">
        <v>0.54258812740835305</v>
      </c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</row>
    <row r="1959" spans="1:35" x14ac:dyDescent="0.45">
      <c r="A1959" s="3" t="s">
        <v>78</v>
      </c>
      <c r="B1959" s="3" t="s">
        <v>29</v>
      </c>
      <c r="C1959" s="3" t="s">
        <v>15</v>
      </c>
      <c r="D1959" s="3" t="s">
        <v>7</v>
      </c>
      <c r="E1959" s="3" t="s">
        <v>32</v>
      </c>
      <c r="F1959" s="3">
        <v>0.32310598093385801</v>
      </c>
      <c r="G1959" s="3">
        <v>0.357004844586438</v>
      </c>
      <c r="H1959" s="3">
        <v>0.357004844586438</v>
      </c>
      <c r="I1959" s="3">
        <v>0.32172552029235302</v>
      </c>
      <c r="J1959" s="3">
        <v>0.34653214215354999</v>
      </c>
      <c r="K1959" s="3">
        <v>0.37619581657159901</v>
      </c>
      <c r="L1959" s="3">
        <v>0.39086612457158398</v>
      </c>
      <c r="M1959" s="3">
        <v>0.40144374718410403</v>
      </c>
      <c r="N1959" s="3">
        <v>0.41237441116081203</v>
      </c>
      <c r="O1959" s="3">
        <v>0.42240209259608202</v>
      </c>
      <c r="P1959" s="3">
        <v>0.43099371634245798</v>
      </c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</row>
    <row r="1960" spans="1:35" x14ac:dyDescent="0.45">
      <c r="A1960" s="3" t="s">
        <v>78</v>
      </c>
      <c r="B1960" s="3" t="s">
        <v>29</v>
      </c>
      <c r="C1960" s="3" t="s">
        <v>15</v>
      </c>
      <c r="D1960" s="3" t="s">
        <v>9</v>
      </c>
      <c r="E1960" s="3" t="s">
        <v>32</v>
      </c>
      <c r="F1960" s="3">
        <v>0</v>
      </c>
      <c r="G1960" s="3">
        <v>-3.93007556267588E-4</v>
      </c>
      <c r="H1960" s="3">
        <v>-3.93007556267588E-4</v>
      </c>
      <c r="I1960" s="3">
        <v>-5.1280158732352999E-4</v>
      </c>
      <c r="J1960" s="3">
        <v>1.3874402730129599E-4</v>
      </c>
      <c r="K1960" s="3">
        <v>-3.3986215498737999E-4</v>
      </c>
      <c r="L1960" s="3">
        <v>-3.4603696223456399E-3</v>
      </c>
      <c r="M1960" s="3">
        <v>-7.13999688333594E-3</v>
      </c>
      <c r="N1960" s="3">
        <v>-1.2059540978471599E-2</v>
      </c>
      <c r="O1960" s="3">
        <v>-1.68197422915176E-2</v>
      </c>
      <c r="P1960" s="3">
        <v>-2.13544761915993E-2</v>
      </c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</row>
    <row r="1961" spans="1:35" x14ac:dyDescent="0.45">
      <c r="A1961" s="3" t="s">
        <v>78</v>
      </c>
      <c r="B1961" s="3" t="s">
        <v>29</v>
      </c>
      <c r="C1961" s="3" t="s">
        <v>15</v>
      </c>
      <c r="D1961" s="3" t="s">
        <v>10</v>
      </c>
      <c r="E1961" s="3" t="s">
        <v>32</v>
      </c>
      <c r="F1961" s="3">
        <v>0</v>
      </c>
      <c r="G1961" s="3">
        <v>-7.2108341869214801E-6</v>
      </c>
      <c r="H1961" s="3">
        <v>-7.2108341869214801E-6</v>
      </c>
      <c r="I1961" s="3">
        <v>-3.19906344740439E-4</v>
      </c>
      <c r="J1961" s="3">
        <v>8.5607610018911804E-5</v>
      </c>
      <c r="K1961" s="3">
        <v>-1.87737871226795E-3</v>
      </c>
      <c r="L1961" s="3">
        <v>-4.1063863320205396E-3</v>
      </c>
      <c r="M1961" s="3">
        <v>-4.19305283253835E-3</v>
      </c>
      <c r="N1961" s="3">
        <v>-8.9116434527380895E-4</v>
      </c>
      <c r="O1961" s="3">
        <v>-1.2878404806293501E-3</v>
      </c>
      <c r="P1961" s="3">
        <v>-1.52240327762632E-3</v>
      </c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</row>
    <row r="1962" spans="1:35" x14ac:dyDescent="0.45">
      <c r="A1962" s="3" t="s">
        <v>78</v>
      </c>
      <c r="B1962" s="3" t="s">
        <v>29</v>
      </c>
      <c r="C1962" s="3" t="s">
        <v>15</v>
      </c>
      <c r="D1962" s="3" t="s">
        <v>11</v>
      </c>
      <c r="E1962" s="3" t="s">
        <v>32</v>
      </c>
      <c r="F1962" s="3">
        <v>0</v>
      </c>
      <c r="G1962" s="3">
        <v>2.8279402695508E-5</v>
      </c>
      <c r="H1962" s="3">
        <v>2.8279402695508E-5</v>
      </c>
      <c r="I1962" s="3">
        <v>-2.31942466492718E-4</v>
      </c>
      <c r="J1962" s="3">
        <v>-2.1569439858026801E-3</v>
      </c>
      <c r="K1962" s="3">
        <v>-2.2260066309964799E-3</v>
      </c>
      <c r="L1962" s="3">
        <v>6.5862843264779501E-3</v>
      </c>
      <c r="M1962" s="3">
        <v>6.5898363693675001E-3</v>
      </c>
      <c r="N1962" s="3">
        <v>3.5362543364583199E-3</v>
      </c>
      <c r="O1962" s="3">
        <v>2.1564360971539401E-3</v>
      </c>
      <c r="P1962" s="3">
        <v>4.2878956394149003E-4</v>
      </c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</row>
    <row r="1963" spans="1:35" x14ac:dyDescent="0.45">
      <c r="A1963" s="3" t="s">
        <v>78</v>
      </c>
      <c r="B1963" s="3" t="s">
        <v>29</v>
      </c>
      <c r="C1963" s="3" t="s">
        <v>15</v>
      </c>
      <c r="D1963" s="3" t="s">
        <v>12</v>
      </c>
      <c r="E1963" s="3" t="s">
        <v>32</v>
      </c>
      <c r="F1963" s="3">
        <v>0</v>
      </c>
      <c r="G1963" s="3">
        <v>1.21450799485112E-5</v>
      </c>
      <c r="H1963" s="3">
        <v>1.21450799485112E-5</v>
      </c>
      <c r="I1963" s="3">
        <v>-2.8563821127211E-3</v>
      </c>
      <c r="J1963" s="3">
        <v>2.6821493705733199E-3</v>
      </c>
      <c r="K1963" s="3">
        <v>7.0482266502682701E-3</v>
      </c>
      <c r="L1963" s="3">
        <v>-3.7576072758267499E-3</v>
      </c>
      <c r="M1963" s="3">
        <v>-9.0462434905832501E-3</v>
      </c>
      <c r="N1963" s="3">
        <v>-8.7598918349436894E-3</v>
      </c>
      <c r="O1963" s="3">
        <v>-7.3084550596937397E-3</v>
      </c>
      <c r="P1963" s="3">
        <v>-6.05629454257001E-3</v>
      </c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</row>
    <row r="1964" spans="1:35" x14ac:dyDescent="0.45">
      <c r="A1964" s="3" t="s">
        <v>78</v>
      </c>
      <c r="B1964" s="3" t="s">
        <v>29</v>
      </c>
      <c r="C1964" s="3" t="s">
        <v>15</v>
      </c>
      <c r="D1964" s="3" t="s">
        <v>13</v>
      </c>
      <c r="E1964" s="3" t="s">
        <v>32</v>
      </c>
      <c r="F1964" s="3">
        <v>0</v>
      </c>
      <c r="G1964" s="3">
        <v>-2.6013743021275301E-3</v>
      </c>
      <c r="H1964" s="3">
        <v>-2.6013743021275301E-3</v>
      </c>
      <c r="I1964" s="3">
        <v>6.0121307972521602E-3</v>
      </c>
      <c r="J1964" s="3">
        <v>-5.76589400101529E-3</v>
      </c>
      <c r="K1964" s="3">
        <v>-1.6720549946786501E-2</v>
      </c>
      <c r="L1964" s="3">
        <v>-6.9413117327253304E-3</v>
      </c>
      <c r="M1964" s="3">
        <v>6.9455304738696999E-4</v>
      </c>
      <c r="N1964" s="3">
        <v>-3.56208506572042E-3</v>
      </c>
      <c r="O1964" s="3">
        <v>-4.9758506791372503E-3</v>
      </c>
      <c r="P1964" s="3">
        <v>-6.3599284911972096E-3</v>
      </c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</row>
    <row r="1965" spans="1:35" x14ac:dyDescent="0.45">
      <c r="A1965" s="3" t="s">
        <v>78</v>
      </c>
      <c r="B1965" s="3" t="s">
        <v>29</v>
      </c>
      <c r="C1965" s="3" t="s">
        <v>15</v>
      </c>
      <c r="D1965" s="3" t="s">
        <v>14</v>
      </c>
      <c r="E1965" s="3" t="s">
        <v>32</v>
      </c>
      <c r="F1965" s="3">
        <v>0</v>
      </c>
      <c r="G1965" s="3">
        <v>6.2368018129033698E-3</v>
      </c>
      <c r="H1965" s="3">
        <v>6.2368018129033698E-3</v>
      </c>
      <c r="I1965" s="3">
        <v>8.8039909913334401E-3</v>
      </c>
      <c r="J1965" s="3">
        <v>4.5389615509003299E-3</v>
      </c>
      <c r="K1965" s="3">
        <v>-1.84663248650513E-3</v>
      </c>
      <c r="L1965" s="3">
        <v>-6.5711979261979204E-3</v>
      </c>
      <c r="M1965" s="3">
        <v>-9.5864064844843298E-3</v>
      </c>
      <c r="N1965" s="3">
        <v>-8.0387770430914197E-3</v>
      </c>
      <c r="O1965" s="3">
        <v>-6.7999705784417804E-3</v>
      </c>
      <c r="P1965" s="3">
        <v>-9.4673766677931294E-3</v>
      </c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</row>
    <row r="1966" spans="1:35" x14ac:dyDescent="0.45">
      <c r="A1966" s="3" t="s">
        <v>78</v>
      </c>
      <c r="B1966" s="3" t="s">
        <v>29</v>
      </c>
      <c r="C1966" s="3" t="s">
        <v>16</v>
      </c>
      <c r="D1966" s="3" t="s">
        <v>7</v>
      </c>
      <c r="E1966" s="3" t="s">
        <v>32</v>
      </c>
      <c r="F1966" s="3">
        <v>0.13793085276133399</v>
      </c>
      <c r="G1966" s="3">
        <v>0.14724148514260299</v>
      </c>
      <c r="H1966" s="3">
        <v>0.14724148514260299</v>
      </c>
      <c r="I1966" s="3">
        <v>0.14427201411869101</v>
      </c>
      <c r="J1966" s="3">
        <v>0.144271859789004</v>
      </c>
      <c r="K1966" s="3">
        <v>0.142972374547475</v>
      </c>
      <c r="L1966" s="3">
        <v>0.144271859789004</v>
      </c>
      <c r="M1966" s="3">
        <v>0.144271859789004</v>
      </c>
      <c r="N1966" s="3">
        <v>0.144271859789004</v>
      </c>
      <c r="O1966" s="3">
        <v>0.144271859789004</v>
      </c>
      <c r="P1966" s="3">
        <v>0.144271859789004</v>
      </c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</row>
    <row r="1967" spans="1:35" x14ac:dyDescent="0.45">
      <c r="A1967" s="3" t="s">
        <v>78</v>
      </c>
      <c r="B1967" s="3" t="s">
        <v>29</v>
      </c>
      <c r="C1967" s="3" t="s">
        <v>16</v>
      </c>
      <c r="D1967" s="3" t="s">
        <v>9</v>
      </c>
      <c r="E1967" s="3" t="s">
        <v>32</v>
      </c>
      <c r="F1967" s="3">
        <v>0</v>
      </c>
      <c r="G1967" s="3">
        <v>-3.6472403087572902E-5</v>
      </c>
      <c r="H1967" s="3">
        <v>-3.6472403087572902E-5</v>
      </c>
      <c r="I1967" s="3">
        <v>-3.6455821479458597E-5</v>
      </c>
      <c r="J1967" s="3">
        <v>-1.3852136225478201E-3</v>
      </c>
      <c r="K1967" s="3">
        <v>-1.90037381983921E-4</v>
      </c>
      <c r="L1967" s="3">
        <v>-1.3215970555749701E-3</v>
      </c>
      <c r="M1967" s="3">
        <v>-1.21705234976949E-3</v>
      </c>
      <c r="N1967" s="3">
        <v>-1.2091754310848401E-2</v>
      </c>
      <c r="O1967" s="3">
        <v>-1.2089327217096E-2</v>
      </c>
      <c r="P1967" s="3">
        <v>-1.2089327217096E-2</v>
      </c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</row>
    <row r="1968" spans="1:35" x14ac:dyDescent="0.45">
      <c r="A1968" s="3" t="s">
        <v>78</v>
      </c>
      <c r="B1968" s="3" t="s">
        <v>29</v>
      </c>
      <c r="C1968" s="3" t="s">
        <v>16</v>
      </c>
      <c r="D1968" s="3" t="s">
        <v>10</v>
      </c>
      <c r="E1968" s="3" t="s">
        <v>32</v>
      </c>
      <c r="F1968" s="3">
        <v>0</v>
      </c>
      <c r="G1968" s="3">
        <v>-2.2204460492503101E-16</v>
      </c>
      <c r="H1968" s="3">
        <v>-2.2204460492503101E-16</v>
      </c>
      <c r="I1968" s="3">
        <v>0</v>
      </c>
      <c r="J1968" s="3">
        <v>6.3616566973068194E-5</v>
      </c>
      <c r="K1968" s="3">
        <v>-1.2299923025189099E-3</v>
      </c>
      <c r="L1968" s="3">
        <v>-1.0767730161520999E-2</v>
      </c>
      <c r="M1968" s="3">
        <v>-1.08722748673265E-2</v>
      </c>
      <c r="N1968" s="3">
        <v>2.4270937524772902E-6</v>
      </c>
      <c r="O1968" s="3">
        <v>0</v>
      </c>
      <c r="P1968" s="3">
        <v>0</v>
      </c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</row>
    <row r="1969" spans="1:35" x14ac:dyDescent="0.45">
      <c r="A1969" s="3" t="s">
        <v>78</v>
      </c>
      <c r="B1969" s="3" t="s">
        <v>29</v>
      </c>
      <c r="C1969" s="3" t="s">
        <v>16</v>
      </c>
      <c r="D1969" s="3" t="s">
        <v>11</v>
      </c>
      <c r="E1969" s="3" t="s">
        <v>32</v>
      </c>
      <c r="F1969" s="3">
        <v>0</v>
      </c>
      <c r="G1969" s="3">
        <v>2.2204460492503101E-16</v>
      </c>
      <c r="H1969" s="3">
        <v>2.2204460492503101E-16</v>
      </c>
      <c r="I1969" s="3">
        <v>0</v>
      </c>
      <c r="J1969" s="3">
        <v>-1.0767730161521201E-2</v>
      </c>
      <c r="K1969" s="3">
        <v>-9.3698122910635707E-3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</row>
    <row r="1970" spans="1:35" x14ac:dyDescent="0.45">
      <c r="A1970" s="3" t="s">
        <v>78</v>
      </c>
      <c r="B1970" s="3" t="s">
        <v>29</v>
      </c>
      <c r="C1970" s="3" t="s">
        <v>16</v>
      </c>
      <c r="D1970" s="3" t="s">
        <v>12</v>
      </c>
      <c r="E1970" s="3" t="s">
        <v>32</v>
      </c>
      <c r="F1970" s="3">
        <v>0</v>
      </c>
      <c r="G1970" s="3">
        <v>-6.9875124883656006E-5</v>
      </c>
      <c r="H1970" s="3">
        <v>-6.9875124883656006E-5</v>
      </c>
      <c r="I1970" s="3">
        <v>-1.2125141660905199E-2</v>
      </c>
      <c r="J1970" s="3">
        <v>-6.9843167585931205E-5</v>
      </c>
      <c r="K1970" s="3">
        <v>-6.9843167585931205E-5</v>
      </c>
      <c r="L1970" s="3">
        <v>-6.9843167585931205E-5</v>
      </c>
      <c r="M1970" s="3">
        <v>-6.9843167585931205E-5</v>
      </c>
      <c r="N1970" s="3">
        <v>-7.2510494702276995E-5</v>
      </c>
      <c r="O1970" s="3">
        <v>-7.5310430091068997E-5</v>
      </c>
      <c r="P1970" s="3">
        <v>-7.8094600057476704E-5</v>
      </c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</row>
    <row r="1971" spans="1:35" x14ac:dyDescent="0.45">
      <c r="A1971" s="3" t="s">
        <v>78</v>
      </c>
      <c r="B1971" s="3" t="s">
        <v>29</v>
      </c>
      <c r="C1971" s="3" t="s">
        <v>16</v>
      </c>
      <c r="D1971" s="3" t="s">
        <v>13</v>
      </c>
      <c r="E1971" s="3" t="s">
        <v>32</v>
      </c>
      <c r="F1971" s="3">
        <v>0</v>
      </c>
      <c r="G1971" s="3">
        <v>1.06347527971229E-4</v>
      </c>
      <c r="H1971" s="3">
        <v>1.06347527971229E-4</v>
      </c>
      <c r="I1971" s="3">
        <v>1.08726085418398E-4</v>
      </c>
      <c r="J1971" s="3">
        <v>1.0363159232745799E-4</v>
      </c>
      <c r="K1971" s="3">
        <v>9.8047344043589196E-5</v>
      </c>
      <c r="L1971" s="3">
        <v>9.8047344043589196E-5</v>
      </c>
      <c r="M1971" s="3">
        <v>9.8047344043589196E-5</v>
      </c>
      <c r="N1971" s="3">
        <v>1.00714671159935E-4</v>
      </c>
      <c r="O1971" s="3">
        <v>1.03514606548727E-4</v>
      </c>
      <c r="P1971" s="3">
        <v>1.0629877651513499E-4</v>
      </c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</row>
    <row r="1972" spans="1:35" x14ac:dyDescent="0.45">
      <c r="A1972" s="3" t="s">
        <v>78</v>
      </c>
      <c r="B1972" s="3" t="s">
        <v>29</v>
      </c>
      <c r="C1972" s="3" t="s">
        <v>16</v>
      </c>
      <c r="D1972" s="3" t="s">
        <v>14</v>
      </c>
      <c r="E1972" s="3" t="s">
        <v>32</v>
      </c>
      <c r="F1972" s="3">
        <v>0</v>
      </c>
      <c r="G1972" s="3">
        <v>-1.23327047013377E-2</v>
      </c>
      <c r="H1972" s="3">
        <v>-1.23327047013377E-2</v>
      </c>
      <c r="I1972" s="3">
        <v>2.68127960528775E-7</v>
      </c>
      <c r="J1972" s="3">
        <v>-2.49566467991347E-6</v>
      </c>
      <c r="K1972" s="3">
        <v>3.0885836039551401E-6</v>
      </c>
      <c r="L1972" s="3">
        <v>3.0885836039551401E-6</v>
      </c>
      <c r="M1972" s="3">
        <v>3.0885836039551401E-6</v>
      </c>
      <c r="N1972" s="3">
        <v>3.0885836039551401E-6</v>
      </c>
      <c r="O1972" s="3">
        <v>3.0885836039551401E-6</v>
      </c>
      <c r="P1972" s="3">
        <v>3.0885836039551401E-6</v>
      </c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</row>
    <row r="1973" spans="1:35" x14ac:dyDescent="0.45">
      <c r="A1973" s="3" t="s">
        <v>78</v>
      </c>
      <c r="B1973" s="3" t="s">
        <v>29</v>
      </c>
      <c r="C1973" s="3" t="s">
        <v>17</v>
      </c>
      <c r="D1973" s="3" t="s">
        <v>7</v>
      </c>
      <c r="E1973" s="3" t="s">
        <v>32</v>
      </c>
      <c r="F1973" s="3">
        <v>2.4442649363608002E-2</v>
      </c>
      <c r="G1973" s="3">
        <v>5.6029601294071599E-2</v>
      </c>
      <c r="H1973" s="3">
        <v>5.6029601294071599E-2</v>
      </c>
      <c r="I1973" s="3">
        <v>0.140831874779734</v>
      </c>
      <c r="J1973" s="3">
        <v>0.159754148239722</v>
      </c>
      <c r="K1973" s="3">
        <v>0.16831001778986501</v>
      </c>
      <c r="L1973" s="3">
        <v>0.15950237094503</v>
      </c>
      <c r="M1973" s="3">
        <v>0.148053686842997</v>
      </c>
      <c r="N1973" s="3">
        <v>0.135318729544082</v>
      </c>
      <c r="O1973" s="3">
        <v>0.123386633856244</v>
      </c>
      <c r="P1973" s="3">
        <v>0.112084132794441</v>
      </c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</row>
    <row r="1974" spans="1:35" x14ac:dyDescent="0.45">
      <c r="A1974" s="3" t="s">
        <v>78</v>
      </c>
      <c r="B1974" s="3" t="s">
        <v>29</v>
      </c>
      <c r="C1974" s="3" t="s">
        <v>17</v>
      </c>
      <c r="D1974" s="3" t="s">
        <v>9</v>
      </c>
      <c r="E1974" s="3" t="s">
        <v>32</v>
      </c>
      <c r="F1974" s="3">
        <v>0</v>
      </c>
      <c r="G1974" s="3">
        <v>1.74466036329048E-3</v>
      </c>
      <c r="H1974" s="3">
        <v>1.74466036329048E-3</v>
      </c>
      <c r="I1974" s="3">
        <v>3.9733362308458598E-3</v>
      </c>
      <c r="J1974" s="3">
        <v>2.9694749881041E-3</v>
      </c>
      <c r="K1974" s="3">
        <v>1.7472045649803401E-3</v>
      </c>
      <c r="L1974" s="3">
        <v>4.8832634418945996E-3</v>
      </c>
      <c r="M1974" s="3">
        <v>8.7977981098079101E-3</v>
      </c>
      <c r="N1974" s="3">
        <v>4.20637828376162E-2</v>
      </c>
      <c r="O1974" s="3">
        <v>4.7743362142649799E-2</v>
      </c>
      <c r="P1974" s="3">
        <v>5.4327720303358099E-2</v>
      </c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</row>
    <row r="1975" spans="1:35" x14ac:dyDescent="0.45">
      <c r="A1975" s="3" t="s">
        <v>78</v>
      </c>
      <c r="B1975" s="3" t="s">
        <v>29</v>
      </c>
      <c r="C1975" s="3" t="s">
        <v>17</v>
      </c>
      <c r="D1975" s="3" t="s">
        <v>10</v>
      </c>
      <c r="E1975" s="3" t="s">
        <v>32</v>
      </c>
      <c r="F1975" s="3">
        <v>0</v>
      </c>
      <c r="G1975" s="3">
        <v>5.0449035457460201E-4</v>
      </c>
      <c r="H1975" s="3">
        <v>5.0449035457460201E-4</v>
      </c>
      <c r="I1975" s="3">
        <v>1.6863031443209199E-3</v>
      </c>
      <c r="J1975" s="3">
        <v>5.0925089607681295E-4</v>
      </c>
      <c r="K1975" s="3">
        <v>3.0933221016319601E-3</v>
      </c>
      <c r="L1975" s="3">
        <v>3.2414325051474999E-2</v>
      </c>
      <c r="M1975" s="3">
        <v>3.3520988072090099E-2</v>
      </c>
      <c r="N1975" s="3">
        <v>1.6846440676267699E-2</v>
      </c>
      <c r="O1975" s="3">
        <v>1.8499989361183099E-2</v>
      </c>
      <c r="P1975" s="3">
        <v>2.62979388974777E-2</v>
      </c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</row>
    <row r="1976" spans="1:35" x14ac:dyDescent="0.45">
      <c r="A1976" s="3" t="s">
        <v>78</v>
      </c>
      <c r="B1976" s="3" t="s">
        <v>29</v>
      </c>
      <c r="C1976" s="3" t="s">
        <v>17</v>
      </c>
      <c r="D1976" s="3" t="s">
        <v>11</v>
      </c>
      <c r="E1976" s="3" t="s">
        <v>32</v>
      </c>
      <c r="F1976" s="3">
        <v>0</v>
      </c>
      <c r="G1976" s="3">
        <v>4.7937606092994501E-4</v>
      </c>
      <c r="H1976" s="3">
        <v>4.7937606092994501E-4</v>
      </c>
      <c r="I1976" s="3">
        <v>1.46029836437853E-3</v>
      </c>
      <c r="J1976" s="3">
        <v>2.8425729376888201E-2</v>
      </c>
      <c r="K1976" s="3">
        <v>2.60980178761024E-2</v>
      </c>
      <c r="L1976" s="3">
        <v>8.5429438958444792E-3</v>
      </c>
      <c r="M1976" s="3">
        <v>1.40350292034999E-2</v>
      </c>
      <c r="N1976" s="3">
        <v>1.1111787124602E-2</v>
      </c>
      <c r="O1976" s="3">
        <v>1.57229194115956E-2</v>
      </c>
      <c r="P1976" s="3">
        <v>1.27646053876737E-2</v>
      </c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</row>
    <row r="1977" spans="1:35" x14ac:dyDescent="0.45">
      <c r="A1977" s="3" t="s">
        <v>78</v>
      </c>
      <c r="B1977" s="3" t="s">
        <v>29</v>
      </c>
      <c r="C1977" s="3" t="s">
        <v>17</v>
      </c>
      <c r="D1977" s="3" t="s">
        <v>12</v>
      </c>
      <c r="E1977" s="3" t="s">
        <v>32</v>
      </c>
      <c r="F1977" s="3">
        <v>0</v>
      </c>
      <c r="G1977" s="3">
        <v>7.3114560567436699E-4</v>
      </c>
      <c r="H1977" s="3">
        <v>7.3114560567436699E-4</v>
      </c>
      <c r="I1977" s="3">
        <v>3.75738682720353E-2</v>
      </c>
      <c r="J1977" s="3">
        <v>7.0506336159042197E-3</v>
      </c>
      <c r="K1977" s="3">
        <v>8.9793639891985692E-3</v>
      </c>
      <c r="L1977" s="3">
        <v>2.88502298753485E-3</v>
      </c>
      <c r="M1977" s="3">
        <v>4.5993217442776299E-3</v>
      </c>
      <c r="N1977" s="3">
        <v>6.6926973636626296E-3</v>
      </c>
      <c r="O1977" s="3">
        <v>9.7779469023712706E-3</v>
      </c>
      <c r="P1977" s="3">
        <v>1.0313665520359901E-2</v>
      </c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</row>
    <row r="1978" spans="1:35" x14ac:dyDescent="0.45">
      <c r="A1978" s="3" t="s">
        <v>78</v>
      </c>
      <c r="B1978" s="3" t="s">
        <v>29</v>
      </c>
      <c r="C1978" s="3" t="s">
        <v>17</v>
      </c>
      <c r="D1978" s="3" t="s">
        <v>13</v>
      </c>
      <c r="E1978" s="3" t="s">
        <v>32</v>
      </c>
      <c r="F1978" s="3">
        <v>0</v>
      </c>
      <c r="G1978" s="3">
        <v>8.6561554701940595E-3</v>
      </c>
      <c r="H1978" s="3">
        <v>8.6561554701940595E-3</v>
      </c>
      <c r="I1978" s="3">
        <v>1.0018073782753999E-2</v>
      </c>
      <c r="J1978" s="3">
        <v>8.6607077488501695E-3</v>
      </c>
      <c r="K1978" s="3">
        <v>7.7082252304854198E-3</v>
      </c>
      <c r="L1978" s="3">
        <v>7.9416185301932306E-3</v>
      </c>
      <c r="M1978" s="3">
        <v>7.1839091080132004E-3</v>
      </c>
      <c r="N1978" s="3">
        <v>4.1606770351524901E-3</v>
      </c>
      <c r="O1978" s="3">
        <v>1.06426723283362E-3</v>
      </c>
      <c r="P1978" s="3">
        <v>4.0706604682252999E-4</v>
      </c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</row>
    <row r="1979" spans="1:35" x14ac:dyDescent="0.45">
      <c r="A1979" s="3" t="s">
        <v>78</v>
      </c>
      <c r="B1979" s="3" t="s">
        <v>29</v>
      </c>
      <c r="C1979" s="3" t="s">
        <v>17</v>
      </c>
      <c r="D1979" s="3" t="s">
        <v>14</v>
      </c>
      <c r="E1979" s="3" t="s">
        <v>32</v>
      </c>
      <c r="F1979" s="3">
        <v>0</v>
      </c>
      <c r="G1979" s="3">
        <v>4.13998056866147E-2</v>
      </c>
      <c r="H1979" s="3">
        <v>4.13998056866147E-2</v>
      </c>
      <c r="I1979" s="3">
        <v>1.6113437250001798E-2</v>
      </c>
      <c r="J1979" s="3">
        <v>8.5117021027305007E-3</v>
      </c>
      <c r="K1979" s="3">
        <v>-2.90549285459352E-5</v>
      </c>
      <c r="L1979" s="3">
        <v>-2.6231502952966902E-4</v>
      </c>
      <c r="M1979" s="3">
        <v>-2.8339475721078601E-4</v>
      </c>
      <c r="N1979" s="3">
        <v>-2.8677624458744999E-4</v>
      </c>
      <c r="O1979" s="3">
        <v>-2.8778056994921398E-4</v>
      </c>
      <c r="P1979" s="3">
        <v>-2.8779061320299799E-4</v>
      </c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</row>
    <row r="1980" spans="1:35" x14ac:dyDescent="0.45">
      <c r="A1980" s="3" t="s">
        <v>78</v>
      </c>
      <c r="B1980" s="3" t="s">
        <v>29</v>
      </c>
      <c r="C1980" s="3" t="s">
        <v>18</v>
      </c>
      <c r="D1980" s="3" t="s">
        <v>7</v>
      </c>
      <c r="E1980" s="3" t="s">
        <v>32</v>
      </c>
      <c r="F1980" s="3">
        <v>0.24962789428586599</v>
      </c>
      <c r="G1980" s="3">
        <v>0.18657290482757299</v>
      </c>
      <c r="H1980" s="3">
        <v>0.18657290482757299</v>
      </c>
      <c r="I1980" s="3">
        <v>0.12438193655171501</v>
      </c>
      <c r="J1980" s="3">
        <v>6.2190968275857503E-2</v>
      </c>
      <c r="K1980" s="3">
        <v>2.40416271668705E-17</v>
      </c>
      <c r="L1980" s="3">
        <v>1.92333017334964E-16</v>
      </c>
      <c r="M1980" s="3">
        <v>0</v>
      </c>
      <c r="N1980" s="3">
        <v>1.92333017334964E-16</v>
      </c>
      <c r="O1980" s="3">
        <v>0</v>
      </c>
      <c r="P1980" s="3">
        <v>1.6829139016809301E-16</v>
      </c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</row>
    <row r="1981" spans="1:35" x14ac:dyDescent="0.45">
      <c r="A1981" s="3" t="s">
        <v>78</v>
      </c>
      <c r="B1981" s="3" t="s">
        <v>29</v>
      </c>
      <c r="C1981" s="3" t="s">
        <v>18</v>
      </c>
      <c r="D1981" s="3" t="s">
        <v>9</v>
      </c>
      <c r="E1981" s="3" t="s">
        <v>32</v>
      </c>
      <c r="F1981" s="3">
        <v>0</v>
      </c>
      <c r="G1981" s="3">
        <v>0</v>
      </c>
      <c r="H1981" s="3">
        <v>0</v>
      </c>
      <c r="I1981" s="3">
        <v>0</v>
      </c>
      <c r="J1981" s="3">
        <v>2.1510571102112401E-16</v>
      </c>
      <c r="K1981" s="3">
        <v>4.8083254333740901E-17</v>
      </c>
      <c r="L1981" s="3">
        <v>-1.20208135834352E-16</v>
      </c>
      <c r="M1981" s="3">
        <v>2.40416271668705E-17</v>
      </c>
      <c r="N1981" s="3">
        <v>-1.92333017334964E-16</v>
      </c>
      <c r="O1981" s="3">
        <v>0</v>
      </c>
      <c r="P1981" s="3">
        <v>-1.6829139016809301E-16</v>
      </c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</row>
    <row r="1982" spans="1:35" x14ac:dyDescent="0.45">
      <c r="A1982" s="3" t="s">
        <v>78</v>
      </c>
      <c r="B1982" s="3" t="s">
        <v>29</v>
      </c>
      <c r="C1982" s="3" t="s">
        <v>18</v>
      </c>
      <c r="D1982" s="3" t="s">
        <v>10</v>
      </c>
      <c r="E1982" s="3" t="s">
        <v>32</v>
      </c>
      <c r="F1982" s="3">
        <v>0</v>
      </c>
      <c r="G1982" s="3">
        <v>0</v>
      </c>
      <c r="H1982" s="3">
        <v>0</v>
      </c>
      <c r="I1982" s="3">
        <v>0</v>
      </c>
      <c r="J1982" s="3">
        <v>2.2204460492503101E-16</v>
      </c>
      <c r="K1982" s="3">
        <v>-4.8083254333740901E-17</v>
      </c>
      <c r="L1982" s="3">
        <v>-7.2124881500611394E-17</v>
      </c>
      <c r="M1982" s="3">
        <v>-2.40416271668705E-17</v>
      </c>
      <c r="N1982" s="3">
        <v>0</v>
      </c>
      <c r="O1982" s="3">
        <v>1.20208135834352E-16</v>
      </c>
      <c r="P1982" s="3">
        <v>0</v>
      </c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</row>
    <row r="1983" spans="1:35" x14ac:dyDescent="0.45">
      <c r="A1983" s="3" t="s">
        <v>78</v>
      </c>
      <c r="B1983" s="3" t="s">
        <v>29</v>
      </c>
      <c r="C1983" s="3" t="s">
        <v>18</v>
      </c>
      <c r="D1983" s="3" t="s">
        <v>11</v>
      </c>
      <c r="E1983" s="3" t="s">
        <v>32</v>
      </c>
      <c r="F1983" s="3">
        <v>0</v>
      </c>
      <c r="G1983" s="3">
        <v>2.2204460492503101E-16</v>
      </c>
      <c r="H1983" s="3">
        <v>2.2204460492503101E-16</v>
      </c>
      <c r="I1983" s="3">
        <v>0</v>
      </c>
      <c r="J1983" s="3">
        <v>-2.2204460492503101E-16</v>
      </c>
      <c r="K1983" s="3">
        <v>-2.40416271668705E-17</v>
      </c>
      <c r="L1983" s="3">
        <v>1.6829139016809301E-16</v>
      </c>
      <c r="M1983" s="3">
        <v>0</v>
      </c>
      <c r="N1983" s="3">
        <v>9.61665086674819E-17</v>
      </c>
      <c r="O1983" s="3">
        <v>-4.8083254333740901E-17</v>
      </c>
      <c r="P1983" s="3">
        <v>1.6829139016809301E-16</v>
      </c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</row>
    <row r="1984" spans="1:35" x14ac:dyDescent="0.45">
      <c r="A1984" s="3" t="s">
        <v>78</v>
      </c>
      <c r="B1984" s="3" t="s">
        <v>29</v>
      </c>
      <c r="C1984" s="3" t="s">
        <v>18</v>
      </c>
      <c r="D1984" s="3" t="s">
        <v>12</v>
      </c>
      <c r="E1984" s="3" t="s">
        <v>32</v>
      </c>
      <c r="F1984" s="3">
        <v>0</v>
      </c>
      <c r="G1984" s="3">
        <v>0</v>
      </c>
      <c r="H1984" s="3">
        <v>0</v>
      </c>
      <c r="I1984" s="3">
        <v>0</v>
      </c>
      <c r="J1984" s="3">
        <v>-2.1510571102112401E-16</v>
      </c>
      <c r="K1984" s="3">
        <v>0</v>
      </c>
      <c r="L1984" s="3">
        <v>-1.20208135834352E-16</v>
      </c>
      <c r="M1984" s="3">
        <v>0</v>
      </c>
      <c r="N1984" s="3">
        <v>2.64457898835574E-16</v>
      </c>
      <c r="O1984" s="3">
        <v>1.4424976300122301E-16</v>
      </c>
      <c r="P1984" s="3">
        <v>-1.6829139016809301E-16</v>
      </c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</row>
    <row r="1985" spans="1:35" x14ac:dyDescent="0.45">
      <c r="A1985" s="3" t="s">
        <v>78</v>
      </c>
      <c r="B1985" s="3" t="s">
        <v>29</v>
      </c>
      <c r="C1985" s="3" t="s">
        <v>18</v>
      </c>
      <c r="D1985" s="3" t="s">
        <v>13</v>
      </c>
      <c r="E1985" s="3" t="s">
        <v>32</v>
      </c>
      <c r="F1985" s="3">
        <v>0</v>
      </c>
      <c r="G1985" s="3">
        <v>0</v>
      </c>
      <c r="H1985" s="3">
        <v>0</v>
      </c>
      <c r="I1985" s="3">
        <v>-2.08166817117217E-16</v>
      </c>
      <c r="J1985" s="3">
        <v>2.1510571102112401E-16</v>
      </c>
      <c r="K1985" s="3">
        <v>0</v>
      </c>
      <c r="L1985" s="3">
        <v>-4.8083254333740901E-17</v>
      </c>
      <c r="M1985" s="3">
        <v>1.6829139016809301E-16</v>
      </c>
      <c r="N1985" s="3">
        <v>-3.6062440750305602E-16</v>
      </c>
      <c r="O1985" s="3">
        <v>-1.6829139016809301E-16</v>
      </c>
      <c r="P1985" s="3">
        <v>1.6829139016809301E-16</v>
      </c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</row>
    <row r="1986" spans="1:35" x14ac:dyDescent="0.45">
      <c r="A1986" s="3" t="s">
        <v>78</v>
      </c>
      <c r="B1986" s="3" t="s">
        <v>29</v>
      </c>
      <c r="C1986" s="3" t="s">
        <v>18</v>
      </c>
      <c r="D1986" s="3" t="s">
        <v>14</v>
      </c>
      <c r="E1986" s="3" t="s">
        <v>32</v>
      </c>
      <c r="F1986" s="3">
        <v>0</v>
      </c>
      <c r="G1986" s="3">
        <v>0</v>
      </c>
      <c r="H1986" s="3">
        <v>0</v>
      </c>
      <c r="I1986" s="3">
        <v>2.08166817117217E-16</v>
      </c>
      <c r="J1986" s="3">
        <v>-2.1510571102112401E-16</v>
      </c>
      <c r="K1986" s="3">
        <v>1.4424976300122301E-16</v>
      </c>
      <c r="L1986" s="3">
        <v>7.2124881500611394E-17</v>
      </c>
      <c r="M1986" s="3">
        <v>9.6166508667481296E-17</v>
      </c>
      <c r="N1986" s="3">
        <v>2.16374644501834E-16</v>
      </c>
      <c r="O1986" s="3">
        <v>1.9233301733496501E-16</v>
      </c>
      <c r="P1986" s="3">
        <v>-1.6829139016809301E-16</v>
      </c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</row>
    <row r="1987" spans="1:35" x14ac:dyDescent="0.45">
      <c r="A1987" s="3" t="s">
        <v>78</v>
      </c>
      <c r="B1987" s="3" t="s">
        <v>29</v>
      </c>
      <c r="C1987" s="3" t="s">
        <v>19</v>
      </c>
      <c r="D1987" s="3" t="s">
        <v>7</v>
      </c>
      <c r="E1987" s="3" t="s">
        <v>32</v>
      </c>
      <c r="F1987" s="3">
        <v>9.0048471586646403E-3</v>
      </c>
      <c r="G1987" s="3">
        <v>0</v>
      </c>
      <c r="H1987" s="3">
        <v>0</v>
      </c>
      <c r="I1987" s="3">
        <v>0</v>
      </c>
      <c r="J1987" s="3">
        <v>0</v>
      </c>
      <c r="K1987" s="3">
        <v>9.3489705544148594E-3</v>
      </c>
      <c r="L1987" s="3">
        <v>1.66562762086092E-3</v>
      </c>
      <c r="M1987" s="3">
        <v>3.32685851614614E-4</v>
      </c>
      <c r="N1987" s="3">
        <v>2.4368846714370602E-5</v>
      </c>
      <c r="O1987" s="3">
        <v>0</v>
      </c>
      <c r="P1987" s="3">
        <v>0</v>
      </c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</row>
    <row r="1988" spans="1:35" x14ac:dyDescent="0.45">
      <c r="A1988" s="3" t="s">
        <v>78</v>
      </c>
      <c r="B1988" s="3" t="s">
        <v>29</v>
      </c>
      <c r="C1988" s="3" t="s">
        <v>19</v>
      </c>
      <c r="D1988" s="3" t="s">
        <v>9</v>
      </c>
      <c r="E1988" s="3" t="s">
        <v>32</v>
      </c>
      <c r="F1988" s="3">
        <v>0</v>
      </c>
      <c r="G1988" s="3">
        <v>0</v>
      </c>
      <c r="H1988" s="3">
        <v>0</v>
      </c>
      <c r="I1988" s="3">
        <v>0</v>
      </c>
      <c r="J1988" s="3">
        <v>7.5851633486501298E-4</v>
      </c>
      <c r="K1988" s="3">
        <v>3.6035281532736799E-4</v>
      </c>
      <c r="L1988" s="3">
        <v>2.0072842655059499E-3</v>
      </c>
      <c r="M1988" s="3">
        <v>2.1633212195832701E-3</v>
      </c>
      <c r="N1988" s="3">
        <v>2.4006819144778702E-3</v>
      </c>
      <c r="O1988" s="3">
        <v>2.42505076119226E-3</v>
      </c>
      <c r="P1988" s="3">
        <v>2.28380482004114E-3</v>
      </c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</row>
    <row r="1989" spans="1:35" x14ac:dyDescent="0.45">
      <c r="A1989" s="3" t="s">
        <v>78</v>
      </c>
      <c r="B1989" s="3" t="s">
        <v>29</v>
      </c>
      <c r="C1989" s="3" t="s">
        <v>19</v>
      </c>
      <c r="D1989" s="3" t="s">
        <v>10</v>
      </c>
      <c r="E1989" s="3" t="s">
        <v>32</v>
      </c>
      <c r="F1989" s="3">
        <v>0</v>
      </c>
      <c r="G1989" s="3">
        <v>0</v>
      </c>
      <c r="H1989" s="3">
        <v>0</v>
      </c>
      <c r="I1989" s="3">
        <v>0</v>
      </c>
      <c r="J1989" s="3">
        <v>9.8534270851465791E-4</v>
      </c>
      <c r="K1989" s="3">
        <v>1.9238550207335699E-3</v>
      </c>
      <c r="L1989" s="3">
        <v>3.5798113041221298E-3</v>
      </c>
      <c r="M1989" s="3">
        <v>3.0819748833610001E-3</v>
      </c>
      <c r="N1989" s="3">
        <v>2.7708513957624799E-2</v>
      </c>
      <c r="O1989" s="3">
        <v>3.0037703431221599E-2</v>
      </c>
      <c r="P1989" s="3">
        <v>3.0032092109059098E-2</v>
      </c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</row>
    <row r="1990" spans="1:35" x14ac:dyDescent="0.45">
      <c r="A1990" s="3" t="s">
        <v>78</v>
      </c>
      <c r="B1990" s="3" t="s">
        <v>29</v>
      </c>
      <c r="C1990" s="3" t="s">
        <v>19</v>
      </c>
      <c r="D1990" s="3" t="s">
        <v>11</v>
      </c>
      <c r="E1990" s="3" t="s">
        <v>32</v>
      </c>
      <c r="F1990" s="3">
        <v>0</v>
      </c>
      <c r="G1990" s="3">
        <v>0</v>
      </c>
      <c r="H1990" s="3">
        <v>0</v>
      </c>
      <c r="I1990" s="3">
        <v>0</v>
      </c>
      <c r="J1990" s="3">
        <v>1.2859135175394001E-3</v>
      </c>
      <c r="K1990" s="3">
        <v>1.96398450589472E-3</v>
      </c>
      <c r="L1990" s="3">
        <v>3.2247700694726898E-2</v>
      </c>
      <c r="M1990" s="3">
        <v>2.8732010583908899E-2</v>
      </c>
      <c r="N1990" s="3">
        <v>9.2964550952471595E-3</v>
      </c>
      <c r="O1990" s="3">
        <v>7.4512614654332204E-3</v>
      </c>
      <c r="P1990" s="3">
        <v>8.2958349445355802E-3</v>
      </c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</row>
    <row r="1991" spans="1:35" x14ac:dyDescent="0.45">
      <c r="A1991" s="3" t="s">
        <v>78</v>
      </c>
      <c r="B1991" s="3" t="s">
        <v>29</v>
      </c>
      <c r="C1991" s="3" t="s">
        <v>19</v>
      </c>
      <c r="D1991" s="3" t="s">
        <v>12</v>
      </c>
      <c r="E1991" s="3" t="s">
        <v>32</v>
      </c>
      <c r="F1991" s="3">
        <v>0</v>
      </c>
      <c r="G1991" s="3">
        <v>0</v>
      </c>
      <c r="H1991" s="3">
        <v>0</v>
      </c>
      <c r="I1991" s="3">
        <v>0</v>
      </c>
      <c r="J1991" s="3">
        <v>2.3731217276137601E-2</v>
      </c>
      <c r="K1991" s="3">
        <v>2.9166942661965699E-2</v>
      </c>
      <c r="L1991" s="3">
        <v>2.4356848504435598E-3</v>
      </c>
      <c r="M1991" s="3">
        <v>7.0578428929899996E-3</v>
      </c>
      <c r="N1991" s="3">
        <v>5.62585807098657E-3</v>
      </c>
      <c r="O1991" s="3">
        <v>1.0735566773619899E-2</v>
      </c>
      <c r="P1991" s="3">
        <v>1.11294286906826E-2</v>
      </c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</row>
    <row r="1992" spans="1:35" x14ac:dyDescent="0.45">
      <c r="A1992" s="3" t="s">
        <v>78</v>
      </c>
      <c r="B1992" s="3" t="s">
        <v>29</v>
      </c>
      <c r="C1992" s="3" t="s">
        <v>19</v>
      </c>
      <c r="D1992" s="3" t="s">
        <v>13</v>
      </c>
      <c r="E1992" s="3" t="s">
        <v>32</v>
      </c>
      <c r="F1992" s="3">
        <v>0</v>
      </c>
      <c r="G1992" s="3">
        <v>0</v>
      </c>
      <c r="H1992" s="3">
        <v>0</v>
      </c>
      <c r="I1992" s="3">
        <v>3.7442927949005701E-2</v>
      </c>
      <c r="J1992" s="3">
        <v>2.1121846097962499E-2</v>
      </c>
      <c r="K1992" s="3">
        <v>3.4009879783053101E-2</v>
      </c>
      <c r="L1992" s="3">
        <v>2.39844220230035E-2</v>
      </c>
      <c r="M1992" s="3">
        <v>1.5852449993850298E-2</v>
      </c>
      <c r="N1992" s="3">
        <v>1.14913463235089E-2</v>
      </c>
      <c r="O1992" s="3">
        <v>6.4476746067190401E-3</v>
      </c>
      <c r="P1992" s="3">
        <v>6.6572983158992797E-3</v>
      </c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</row>
    <row r="1993" spans="1:35" x14ac:dyDescent="0.45">
      <c r="A1993" s="3" t="s">
        <v>78</v>
      </c>
      <c r="B1993" s="3" t="s">
        <v>29</v>
      </c>
      <c r="C1993" s="3" t="s">
        <v>19</v>
      </c>
      <c r="D1993" s="3" t="s">
        <v>14</v>
      </c>
      <c r="E1993" s="3" t="s">
        <v>32</v>
      </c>
      <c r="F1993" s="3">
        <v>0</v>
      </c>
      <c r="G1993" s="3">
        <v>1.7990193314432999E-2</v>
      </c>
      <c r="H1993" s="3">
        <v>1.7990193314432999E-2</v>
      </c>
      <c r="I1993" s="3">
        <v>3.7341204925368202E-2</v>
      </c>
      <c r="J1993" s="3">
        <v>2.6237164278152598E-2</v>
      </c>
      <c r="K1993" s="3">
        <v>-6.92534756171935E-3</v>
      </c>
      <c r="L1993" s="3">
        <v>-9.0115653204777303E-3</v>
      </c>
      <c r="M1993" s="3">
        <v>-3.1097230438527101E-3</v>
      </c>
      <c r="N1993" s="3">
        <v>-3.03535960993335E-3</v>
      </c>
      <c r="O1993" s="3">
        <v>2.9453488170969001E-4</v>
      </c>
      <c r="P1993" s="3">
        <v>3.2757659492066E-3</v>
      </c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</row>
    <row r="1994" spans="1:35" x14ac:dyDescent="0.45">
      <c r="A1994" s="3" t="s">
        <v>79</v>
      </c>
      <c r="B1994" s="3" t="s">
        <v>29</v>
      </c>
      <c r="C1994" s="3" t="s">
        <v>6</v>
      </c>
      <c r="D1994" s="3" t="s">
        <v>7</v>
      </c>
      <c r="E1994" s="3" t="s">
        <v>32</v>
      </c>
      <c r="F1994" s="3">
        <v>0</v>
      </c>
      <c r="G1994" s="3">
        <v>0</v>
      </c>
      <c r="H1994" s="3">
        <v>0</v>
      </c>
      <c r="I1994" s="3">
        <v>5.6681490881776997E-4</v>
      </c>
      <c r="J1994" s="3">
        <v>2.5670142055305698E-3</v>
      </c>
      <c r="K1994" s="3">
        <v>4.8455182009530503E-3</v>
      </c>
      <c r="L1994" s="3">
        <v>3.0829734349233502E-4</v>
      </c>
      <c r="M1994" s="3">
        <v>0</v>
      </c>
      <c r="N1994" s="3">
        <v>0</v>
      </c>
      <c r="O1994" s="3">
        <v>0</v>
      </c>
      <c r="P1994" s="3">
        <v>0</v>
      </c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</row>
    <row r="1995" spans="1:35" x14ac:dyDescent="0.45">
      <c r="A1995" s="3" t="s">
        <v>79</v>
      </c>
      <c r="B1995" s="3" t="s">
        <v>29</v>
      </c>
      <c r="C1995" s="3" t="s">
        <v>6</v>
      </c>
      <c r="D1995" s="3" t="s">
        <v>9</v>
      </c>
      <c r="E1995" s="3" t="s">
        <v>32</v>
      </c>
      <c r="F1995" s="3">
        <v>0</v>
      </c>
      <c r="G1995" s="3">
        <v>0</v>
      </c>
      <c r="H1995" s="3">
        <v>0</v>
      </c>
      <c r="I1995" s="3">
        <v>1.2052130565944901E-3</v>
      </c>
      <c r="J1995" s="3">
        <v>1.6483839879992801E-3</v>
      </c>
      <c r="K1995" s="3">
        <v>2.87413450062868E-3</v>
      </c>
      <c r="L1995" s="3">
        <v>3.41636004699744E-3</v>
      </c>
      <c r="M1995" s="3">
        <v>3.52749133290918E-3</v>
      </c>
      <c r="N1995" s="3">
        <v>3.4573293095183201E-3</v>
      </c>
      <c r="O1995" s="3">
        <v>3.4530425091405001E-3</v>
      </c>
      <c r="P1995" s="3">
        <v>3.4530425091405001E-3</v>
      </c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</row>
    <row r="1996" spans="1:35" x14ac:dyDescent="0.45">
      <c r="A1996" s="3" t="s">
        <v>79</v>
      </c>
      <c r="B1996" s="3" t="s">
        <v>29</v>
      </c>
      <c r="C1996" s="3" t="s">
        <v>6</v>
      </c>
      <c r="D1996" s="3" t="s">
        <v>10</v>
      </c>
      <c r="E1996" s="3" t="s">
        <v>32</v>
      </c>
      <c r="F1996" s="3">
        <v>0</v>
      </c>
      <c r="G1996" s="3">
        <v>0</v>
      </c>
      <c r="H1996" s="3">
        <v>0</v>
      </c>
      <c r="I1996" s="3">
        <v>5.4811735218852204E-4</v>
      </c>
      <c r="J1996" s="3">
        <v>5.6996087923586304E-4</v>
      </c>
      <c r="K1996" s="3">
        <v>2.1232278666939099E-3</v>
      </c>
      <c r="L1996" s="3">
        <v>8.7864345480954595E-4</v>
      </c>
      <c r="M1996" s="3">
        <v>9.59962119603788E-4</v>
      </c>
      <c r="N1996" s="3">
        <v>1.52928346947861E-2</v>
      </c>
      <c r="O1996" s="3">
        <v>2.5148301466108001E-2</v>
      </c>
      <c r="P1996" s="3">
        <v>5.9767796520640501E-2</v>
      </c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</row>
    <row r="1997" spans="1:35" x14ac:dyDescent="0.45">
      <c r="A1997" s="3" t="s">
        <v>79</v>
      </c>
      <c r="B1997" s="3" t="s">
        <v>29</v>
      </c>
      <c r="C1997" s="3" t="s">
        <v>6</v>
      </c>
      <c r="D1997" s="3" t="s">
        <v>11</v>
      </c>
      <c r="E1997" s="3" t="s">
        <v>32</v>
      </c>
      <c r="F1997" s="3">
        <v>0</v>
      </c>
      <c r="G1997" s="3">
        <v>0</v>
      </c>
      <c r="H1997" s="3">
        <v>0</v>
      </c>
      <c r="I1997" s="3">
        <v>9.6431142432237902E-4</v>
      </c>
      <c r="J1997" s="3">
        <v>4.8904289668059101E-3</v>
      </c>
      <c r="K1997" s="3">
        <v>4.2588976575307202E-3</v>
      </c>
      <c r="L1997" s="3">
        <v>1.97593580396997E-2</v>
      </c>
      <c r="M1997" s="3">
        <v>6.7030445202577504E-2</v>
      </c>
      <c r="N1997" s="3">
        <v>8.54588447306069E-2</v>
      </c>
      <c r="O1997" s="3">
        <v>0.114471648261914</v>
      </c>
      <c r="P1997" s="3">
        <v>0.19655451933448601</v>
      </c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</row>
    <row r="1998" spans="1:35" x14ac:dyDescent="0.45">
      <c r="A1998" s="3" t="s">
        <v>79</v>
      </c>
      <c r="B1998" s="3" t="s">
        <v>29</v>
      </c>
      <c r="C1998" s="3" t="s">
        <v>6</v>
      </c>
      <c r="D1998" s="3" t="s">
        <v>12</v>
      </c>
      <c r="E1998" s="3" t="s">
        <v>32</v>
      </c>
      <c r="F1998" s="3">
        <v>0</v>
      </c>
      <c r="G1998" s="3">
        <v>0</v>
      </c>
      <c r="H1998" s="3">
        <v>0</v>
      </c>
      <c r="I1998" s="3">
        <v>9.3303102171736095E-4</v>
      </c>
      <c r="J1998" s="3">
        <v>2.3337789006155098E-2</v>
      </c>
      <c r="K1998" s="3">
        <v>8.1757603040344906E-2</v>
      </c>
      <c r="L1998" s="3">
        <v>0.115343760205265</v>
      </c>
      <c r="M1998" s="3">
        <v>0.213139306573295</v>
      </c>
      <c r="N1998" s="3">
        <v>0.33524704318734699</v>
      </c>
      <c r="O1998" s="3">
        <v>0.447302144101276</v>
      </c>
      <c r="P1998" s="3">
        <v>0.469175257970944</v>
      </c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</row>
    <row r="1999" spans="1:35" x14ac:dyDescent="0.45">
      <c r="A1999" s="3" t="s">
        <v>79</v>
      </c>
      <c r="B1999" s="3" t="s">
        <v>29</v>
      </c>
      <c r="C1999" s="3" t="s">
        <v>6</v>
      </c>
      <c r="D1999" s="3" t="s">
        <v>13</v>
      </c>
      <c r="E1999" s="3" t="s">
        <v>32</v>
      </c>
      <c r="F1999" s="3">
        <v>0</v>
      </c>
      <c r="G1999" s="3">
        <v>2.0439608072979099E-4</v>
      </c>
      <c r="H1999" s="3">
        <v>2.0439608072979099E-4</v>
      </c>
      <c r="I1999" s="3">
        <v>5.9173753438599798E-2</v>
      </c>
      <c r="J1999" s="3">
        <v>0.223757166197317</v>
      </c>
      <c r="K1999" s="3">
        <v>0.35578337815467798</v>
      </c>
      <c r="L1999" s="3">
        <v>0.48347059821328098</v>
      </c>
      <c r="M1999" s="3">
        <v>0.50151053187663097</v>
      </c>
      <c r="N1999" s="3">
        <v>0.50410376471159601</v>
      </c>
      <c r="O1999" s="3">
        <v>0.50813820902331497</v>
      </c>
      <c r="P1999" s="3">
        <v>0.53561227987892002</v>
      </c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</row>
    <row r="2000" spans="1:35" x14ac:dyDescent="0.45">
      <c r="A2000" s="3" t="s">
        <v>79</v>
      </c>
      <c r="B2000" s="3" t="s">
        <v>29</v>
      </c>
      <c r="C2000" s="3" t="s">
        <v>6</v>
      </c>
      <c r="D2000" s="3" t="s">
        <v>14</v>
      </c>
      <c r="E2000" s="3" t="s">
        <v>32</v>
      </c>
      <c r="F2000" s="3">
        <v>0</v>
      </c>
      <c r="G2000" s="3">
        <v>7.7398200246533702E-3</v>
      </c>
      <c r="H2000" s="3">
        <v>7.7398200246533702E-3</v>
      </c>
      <c r="I2000" s="3">
        <v>0.15650572426829601</v>
      </c>
      <c r="J2000" s="3">
        <v>0.16594908648464601</v>
      </c>
      <c r="K2000" s="3">
        <v>0.186422977206847</v>
      </c>
      <c r="L2000" s="3">
        <v>0.24717806220587701</v>
      </c>
      <c r="M2000" s="3">
        <v>0.32602986003960299</v>
      </c>
      <c r="N2000" s="3">
        <v>0.419580536565967</v>
      </c>
      <c r="O2000" s="3">
        <v>0.50961251085085901</v>
      </c>
      <c r="P2000" s="3">
        <v>0.55104994098041604</v>
      </c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</row>
    <row r="2001" spans="1:35" x14ac:dyDescent="0.45">
      <c r="A2001" s="3" t="s">
        <v>79</v>
      </c>
      <c r="B2001" s="3" t="s">
        <v>29</v>
      </c>
      <c r="C2001" s="3" t="s">
        <v>15</v>
      </c>
      <c r="D2001" s="3" t="s">
        <v>7</v>
      </c>
      <c r="E2001" s="3" t="s">
        <v>32</v>
      </c>
      <c r="F2001" s="3">
        <v>0.32814490905736798</v>
      </c>
      <c r="G2001" s="3">
        <v>0.36257243496782499</v>
      </c>
      <c r="H2001" s="3">
        <v>0.36257243496782499</v>
      </c>
      <c r="I2001" s="3">
        <v>0.32674291974613801</v>
      </c>
      <c r="J2001" s="3">
        <v>0.35193640781199098</v>
      </c>
      <c r="K2001" s="3">
        <v>0.38206269552750899</v>
      </c>
      <c r="L2001" s="3">
        <v>0.39696179108304502</v>
      </c>
      <c r="M2001" s="3">
        <v>0.40770437467805198</v>
      </c>
      <c r="N2001" s="3">
        <v>0.418805505416042</v>
      </c>
      <c r="O2001" s="3">
        <v>0.42898957134735799</v>
      </c>
      <c r="P2001" s="3">
        <v>0.43771518386855401</v>
      </c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</row>
    <row r="2002" spans="1:35" x14ac:dyDescent="0.45">
      <c r="A2002" s="3" t="s">
        <v>79</v>
      </c>
      <c r="B2002" s="3" t="s">
        <v>29</v>
      </c>
      <c r="C2002" s="3" t="s">
        <v>15</v>
      </c>
      <c r="D2002" s="3" t="s">
        <v>9</v>
      </c>
      <c r="E2002" s="3" t="s">
        <v>32</v>
      </c>
      <c r="F2002" s="3">
        <v>0</v>
      </c>
      <c r="G2002" s="3">
        <v>-3.9913661900520302E-4</v>
      </c>
      <c r="H2002" s="3">
        <v>-3.9913661900520302E-4</v>
      </c>
      <c r="I2002" s="3">
        <v>-5.2079887147371605E-4</v>
      </c>
      <c r="J2002" s="3">
        <v>1.4090777920433599E-4</v>
      </c>
      <c r="K2002" s="3">
        <v>-3.4516240033077898E-4</v>
      </c>
      <c r="L2002" s="3">
        <v>-3.5143350542369799E-3</v>
      </c>
      <c r="M2002" s="3">
        <v>-7.2513471313048802E-3</v>
      </c>
      <c r="N2002" s="3">
        <v>-1.2247612892267201E-2</v>
      </c>
      <c r="O2002" s="3">
        <v>-1.7082050875895899E-2</v>
      </c>
      <c r="P2002" s="3">
        <v>-2.16875052192071E-2</v>
      </c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</row>
    <row r="2003" spans="1:35" x14ac:dyDescent="0.45">
      <c r="A2003" s="3" t="s">
        <v>79</v>
      </c>
      <c r="B2003" s="3" t="s">
        <v>29</v>
      </c>
      <c r="C2003" s="3" t="s">
        <v>15</v>
      </c>
      <c r="D2003" s="3" t="s">
        <v>10</v>
      </c>
      <c r="E2003" s="3" t="s">
        <v>32</v>
      </c>
      <c r="F2003" s="3">
        <v>0</v>
      </c>
      <c r="G2003" s="3">
        <v>-7.3232891624752703E-6</v>
      </c>
      <c r="H2003" s="3">
        <v>-7.3232891624752703E-6</v>
      </c>
      <c r="I2003" s="3">
        <v>-3.2489537364283099E-4</v>
      </c>
      <c r="J2003" s="3">
        <v>8.6942684635771302E-5</v>
      </c>
      <c r="K2003" s="3">
        <v>-1.9066569582613701E-3</v>
      </c>
      <c r="L2003" s="3">
        <v>-4.1704265751463798E-3</v>
      </c>
      <c r="M2003" s="3">
        <v>-4.25844466397451E-3</v>
      </c>
      <c r="N2003" s="3">
        <v>-9.0506230243664299E-4</v>
      </c>
      <c r="O2003" s="3">
        <v>-1.30792471304647E-3</v>
      </c>
      <c r="P2003" s="3">
        <v>-1.5461455824539699E-3</v>
      </c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</row>
    <row r="2004" spans="1:35" x14ac:dyDescent="0.45">
      <c r="A2004" s="3" t="s">
        <v>79</v>
      </c>
      <c r="B2004" s="3" t="s">
        <v>29</v>
      </c>
      <c r="C2004" s="3" t="s">
        <v>15</v>
      </c>
      <c r="D2004" s="3" t="s">
        <v>11</v>
      </c>
      <c r="E2004" s="3" t="s">
        <v>32</v>
      </c>
      <c r="F2004" s="3">
        <v>0</v>
      </c>
      <c r="G2004" s="3">
        <v>2.8720427888429E-5</v>
      </c>
      <c r="H2004" s="3">
        <v>2.8720427888429E-5</v>
      </c>
      <c r="I2004" s="3">
        <v>-2.3555967411620401E-4</v>
      </c>
      <c r="J2004" s="3">
        <v>-2.1905821304122899E-3</v>
      </c>
      <c r="K2004" s="3">
        <v>-2.26072182687009E-3</v>
      </c>
      <c r="L2004" s="3">
        <v>6.6889992722867801E-3</v>
      </c>
      <c r="M2004" s="3">
        <v>6.6926067102784396E-3</v>
      </c>
      <c r="N2004" s="3">
        <v>3.59140321168611E-3</v>
      </c>
      <c r="O2004" s="3">
        <v>2.19006632109808E-3</v>
      </c>
      <c r="P2004" s="3">
        <v>4.3547665709453603E-4</v>
      </c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</row>
    <row r="2005" spans="1:35" x14ac:dyDescent="0.45">
      <c r="A2005" s="3" t="s">
        <v>79</v>
      </c>
      <c r="B2005" s="3" t="s">
        <v>29</v>
      </c>
      <c r="C2005" s="3" t="s">
        <v>15</v>
      </c>
      <c r="D2005" s="3" t="s">
        <v>12</v>
      </c>
      <c r="E2005" s="3" t="s">
        <v>32</v>
      </c>
      <c r="F2005" s="3">
        <v>0</v>
      </c>
      <c r="G2005" s="3">
        <v>1.23344858664054E-5</v>
      </c>
      <c r="H2005" s="3">
        <v>1.23344858664054E-5</v>
      </c>
      <c r="I2005" s="3">
        <v>-2.90092819050547E-3</v>
      </c>
      <c r="J2005" s="3">
        <v>2.7239782400228E-3</v>
      </c>
      <c r="K2005" s="3">
        <v>7.15814571579054E-3</v>
      </c>
      <c r="L2005" s="3">
        <v>-3.8162082120413699E-3</v>
      </c>
      <c r="M2005" s="3">
        <v>-9.1873221874401705E-3</v>
      </c>
      <c r="N2005" s="3">
        <v>-8.8965047976577397E-3</v>
      </c>
      <c r="O2005" s="3">
        <v>-7.4224324600292704E-3</v>
      </c>
      <c r="P2005" s="3">
        <v>-6.1507441494965103E-3</v>
      </c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</row>
    <row r="2006" spans="1:35" x14ac:dyDescent="0.45">
      <c r="A2006" s="3" t="s">
        <v>79</v>
      </c>
      <c r="B2006" s="3" t="s">
        <v>29</v>
      </c>
      <c r="C2006" s="3" t="s">
        <v>15</v>
      </c>
      <c r="D2006" s="3" t="s">
        <v>13</v>
      </c>
      <c r="E2006" s="3" t="s">
        <v>32</v>
      </c>
      <c r="F2006" s="3">
        <v>0</v>
      </c>
      <c r="G2006" s="3">
        <v>-2.6419434617972501E-3</v>
      </c>
      <c r="H2006" s="3">
        <v>-2.6419434617972501E-3</v>
      </c>
      <c r="I2006" s="3">
        <v>6.1058916582208403E-3</v>
      </c>
      <c r="J2006" s="3">
        <v>-5.8558147302908998E-3</v>
      </c>
      <c r="K2006" s="3">
        <v>-1.6981311598811302E-2</v>
      </c>
      <c r="L2006" s="3">
        <v>-7.0495634302117404E-3</v>
      </c>
      <c r="M2006" s="3">
        <v>7.0538479638043705E-4</v>
      </c>
      <c r="N2006" s="3">
        <v>-3.6176367783941599E-3</v>
      </c>
      <c r="O2006" s="3">
        <v>-5.0534504618866497E-3</v>
      </c>
      <c r="P2006" s="3">
        <v>-6.4591133544584798E-3</v>
      </c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</row>
    <row r="2007" spans="1:35" x14ac:dyDescent="0.45">
      <c r="A2007" s="3" t="s">
        <v>79</v>
      </c>
      <c r="B2007" s="3" t="s">
        <v>29</v>
      </c>
      <c r="C2007" s="3" t="s">
        <v>15</v>
      </c>
      <c r="D2007" s="3" t="s">
        <v>14</v>
      </c>
      <c r="E2007" s="3" t="s">
        <v>32</v>
      </c>
      <c r="F2007" s="3">
        <v>0</v>
      </c>
      <c r="G2007" s="3">
        <v>6.3340664811863999E-3</v>
      </c>
      <c r="H2007" s="3">
        <v>6.3340664811863999E-3</v>
      </c>
      <c r="I2007" s="3">
        <v>8.9412916927229004E-3</v>
      </c>
      <c r="J2007" s="3">
        <v>4.6097479255265399E-3</v>
      </c>
      <c r="K2007" s="3">
        <v>-1.8754312365101299E-3</v>
      </c>
      <c r="L2007" s="3">
        <v>-6.6736775953756796E-3</v>
      </c>
      <c r="M2007" s="3">
        <v>-9.7359091742781293E-3</v>
      </c>
      <c r="N2007" s="3">
        <v>-8.16414401897958E-3</v>
      </c>
      <c r="O2007" s="3">
        <v>-6.9060180211034704E-3</v>
      </c>
      <c r="P2007" s="3">
        <v>-9.6150230543110005E-3</v>
      </c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</row>
    <row r="2008" spans="1:35" x14ac:dyDescent="0.45">
      <c r="A2008" s="3" t="s">
        <v>79</v>
      </c>
      <c r="B2008" s="3" t="s">
        <v>29</v>
      </c>
      <c r="C2008" s="3" t="s">
        <v>16</v>
      </c>
      <c r="D2008" s="3" t="s">
        <v>7</v>
      </c>
      <c r="E2008" s="3" t="s">
        <v>32</v>
      </c>
      <c r="F2008" s="3">
        <v>0.140081922980059</v>
      </c>
      <c r="G2008" s="3">
        <v>0.14953775727686799</v>
      </c>
      <c r="H2008" s="3">
        <v>0.14953775727686799</v>
      </c>
      <c r="I2008" s="3">
        <v>0.14652197652197699</v>
      </c>
      <c r="J2008" s="3">
        <v>0.14652181978547599</v>
      </c>
      <c r="K2008" s="3">
        <v>0.14520206870822699</v>
      </c>
      <c r="L2008" s="3">
        <v>0.14652181978547599</v>
      </c>
      <c r="M2008" s="3">
        <v>0.14652181978547599</v>
      </c>
      <c r="N2008" s="3">
        <v>0.14652181978547599</v>
      </c>
      <c r="O2008" s="3">
        <v>0.14652181978547599</v>
      </c>
      <c r="P2008" s="3">
        <v>0.14652181978547599</v>
      </c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</row>
    <row r="2009" spans="1:35" x14ac:dyDescent="0.45">
      <c r="A2009" s="3" t="s">
        <v>79</v>
      </c>
      <c r="B2009" s="3" t="s">
        <v>29</v>
      </c>
      <c r="C2009" s="3" t="s">
        <v>16</v>
      </c>
      <c r="D2009" s="3" t="s">
        <v>9</v>
      </c>
      <c r="E2009" s="3" t="s">
        <v>32</v>
      </c>
      <c r="F2009" s="3">
        <v>0</v>
      </c>
      <c r="G2009" s="3">
        <v>-3.7041200412590799E-5</v>
      </c>
      <c r="H2009" s="3">
        <v>-3.7041200412590799E-5</v>
      </c>
      <c r="I2009" s="3">
        <v>-3.7024360209636502E-5</v>
      </c>
      <c r="J2009" s="3">
        <v>-1.40681641634186E-3</v>
      </c>
      <c r="K2009" s="3">
        <v>-1.93001068096527E-4</v>
      </c>
      <c r="L2009" s="3">
        <v>-1.34220773121782E-3</v>
      </c>
      <c r="M2009" s="3">
        <v>-1.23603262149122E-3</v>
      </c>
      <c r="N2009" s="3">
        <v>-1.2280328600570401E-2</v>
      </c>
      <c r="O2009" s="3">
        <v>-1.2277863655612099E-2</v>
      </c>
      <c r="P2009" s="3">
        <v>-1.2277863655612099E-2</v>
      </c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</row>
    <row r="2010" spans="1:35" x14ac:dyDescent="0.45">
      <c r="A2010" s="3" t="s">
        <v>79</v>
      </c>
      <c r="B2010" s="3" t="s">
        <v>29</v>
      </c>
      <c r="C2010" s="3" t="s">
        <v>16</v>
      </c>
      <c r="D2010" s="3" t="s">
        <v>10</v>
      </c>
      <c r="E2010" s="3" t="s">
        <v>32</v>
      </c>
      <c r="F2010" s="3">
        <v>0</v>
      </c>
      <c r="G2010" s="3">
        <v>-1.94289029309402E-16</v>
      </c>
      <c r="H2010" s="3">
        <v>-1.94289029309402E-16</v>
      </c>
      <c r="I2010" s="3">
        <v>0</v>
      </c>
      <c r="J2010" s="3">
        <v>6.46086851242567E-5</v>
      </c>
      <c r="K2010" s="3">
        <v>-1.2491743764221901E-3</v>
      </c>
      <c r="L2010" s="3">
        <v>-1.09356559243943E-2</v>
      </c>
      <c r="M2010" s="3">
        <v>-1.1041831034120901E-2</v>
      </c>
      <c r="N2010" s="3">
        <v>2.4649449582303499E-6</v>
      </c>
      <c r="O2010" s="3">
        <v>0</v>
      </c>
      <c r="P2010" s="3">
        <v>0</v>
      </c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</row>
    <row r="2011" spans="1:35" x14ac:dyDescent="0.45">
      <c r="A2011" s="3" t="s">
        <v>79</v>
      </c>
      <c r="B2011" s="3" t="s">
        <v>29</v>
      </c>
      <c r="C2011" s="3" t="s">
        <v>16</v>
      </c>
      <c r="D2011" s="3" t="s">
        <v>11</v>
      </c>
      <c r="E2011" s="3" t="s">
        <v>32</v>
      </c>
      <c r="F2011" s="3">
        <v>0</v>
      </c>
      <c r="G2011" s="3">
        <v>1.94289029309402E-16</v>
      </c>
      <c r="H2011" s="3">
        <v>1.94289029309402E-16</v>
      </c>
      <c r="I2011" s="3">
        <v>0</v>
      </c>
      <c r="J2011" s="3">
        <v>-1.0935655924394499E-2</v>
      </c>
      <c r="K2011" s="3">
        <v>-9.5159371338442399E-3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</row>
    <row r="2012" spans="1:35" x14ac:dyDescent="0.45">
      <c r="A2012" s="3" t="s">
        <v>79</v>
      </c>
      <c r="B2012" s="3" t="s">
        <v>29</v>
      </c>
      <c r="C2012" s="3" t="s">
        <v>16</v>
      </c>
      <c r="D2012" s="3" t="s">
        <v>12</v>
      </c>
      <c r="E2012" s="3" t="s">
        <v>32</v>
      </c>
      <c r="F2012" s="3">
        <v>0</v>
      </c>
      <c r="G2012" s="3">
        <v>-7.0964846995535998E-5</v>
      </c>
      <c r="H2012" s="3">
        <v>-7.0964846995535998E-5</v>
      </c>
      <c r="I2012" s="3">
        <v>-1.23142366356875E-2</v>
      </c>
      <c r="J2012" s="3">
        <v>-7.0932391314837404E-5</v>
      </c>
      <c r="K2012" s="3">
        <v>-7.0932391314837404E-5</v>
      </c>
      <c r="L2012" s="3">
        <v>-7.0932391314837404E-5</v>
      </c>
      <c r="M2012" s="3">
        <v>-7.0932391314837404E-5</v>
      </c>
      <c r="N2012" s="3">
        <v>-7.3641316143430196E-5</v>
      </c>
      <c r="O2012" s="3">
        <v>-7.6484917307578795E-5</v>
      </c>
      <c r="P2012" s="3">
        <v>-7.9312507183154594E-5</v>
      </c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</row>
    <row r="2013" spans="1:35" x14ac:dyDescent="0.45">
      <c r="A2013" s="3" t="s">
        <v>79</v>
      </c>
      <c r="B2013" s="3" t="s">
        <v>29</v>
      </c>
      <c r="C2013" s="3" t="s">
        <v>16</v>
      </c>
      <c r="D2013" s="3" t="s">
        <v>13</v>
      </c>
      <c r="E2013" s="3" t="s">
        <v>32</v>
      </c>
      <c r="F2013" s="3">
        <v>0</v>
      </c>
      <c r="G2013" s="3">
        <v>1.0800604740812699E-4</v>
      </c>
      <c r="H2013" s="3">
        <v>1.0800604740812699E-4</v>
      </c>
      <c r="I2013" s="3">
        <v>1.10421699123786E-4</v>
      </c>
      <c r="J2013" s="3">
        <v>1.05247755988525E-4</v>
      </c>
      <c r="K2013" s="3">
        <v>9.9576419791136406E-5</v>
      </c>
      <c r="L2013" s="3">
        <v>9.9576419791136406E-5</v>
      </c>
      <c r="M2013" s="3">
        <v>9.9576419791136406E-5</v>
      </c>
      <c r="N2013" s="3">
        <v>1.0228534461972899E-4</v>
      </c>
      <c r="O2013" s="3">
        <v>1.05128945783878E-4</v>
      </c>
      <c r="P2013" s="3">
        <v>1.07956535659454E-4</v>
      </c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</row>
    <row r="2014" spans="1:35" x14ac:dyDescent="0.45">
      <c r="A2014" s="3" t="s">
        <v>79</v>
      </c>
      <c r="B2014" s="3" t="s">
        <v>29</v>
      </c>
      <c r="C2014" s="3" t="s">
        <v>16</v>
      </c>
      <c r="D2014" s="3" t="s">
        <v>14</v>
      </c>
      <c r="E2014" s="3" t="s">
        <v>32</v>
      </c>
      <c r="F2014" s="3">
        <v>0</v>
      </c>
      <c r="G2014" s="3">
        <v>-1.2525036679776801E-2</v>
      </c>
      <c r="H2014" s="3">
        <v>-1.2525036679776801E-2</v>
      </c>
      <c r="I2014" s="3">
        <v>2.7230949106726902E-7</v>
      </c>
      <c r="J2014" s="3">
        <v>-2.5345852684710602E-6</v>
      </c>
      <c r="K2014" s="3">
        <v>3.1367509289170801E-6</v>
      </c>
      <c r="L2014" s="3">
        <v>3.1367509289170801E-6</v>
      </c>
      <c r="M2014" s="3">
        <v>3.1367509289170801E-6</v>
      </c>
      <c r="N2014" s="3">
        <v>3.1367509289170801E-6</v>
      </c>
      <c r="O2014" s="3">
        <v>3.1367509289170801E-6</v>
      </c>
      <c r="P2014" s="3">
        <v>3.1367509289170801E-6</v>
      </c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</row>
    <row r="2015" spans="1:35" x14ac:dyDescent="0.45">
      <c r="A2015" s="3" t="s">
        <v>79</v>
      </c>
      <c r="B2015" s="3" t="s">
        <v>29</v>
      </c>
      <c r="C2015" s="3" t="s">
        <v>17</v>
      </c>
      <c r="D2015" s="3" t="s">
        <v>7</v>
      </c>
      <c r="E2015" s="3" t="s">
        <v>32</v>
      </c>
      <c r="F2015" s="3">
        <v>2.48238393153861E-2</v>
      </c>
      <c r="G2015" s="3">
        <v>5.6903398593935103E-2</v>
      </c>
      <c r="H2015" s="3">
        <v>5.6903398593935103E-2</v>
      </c>
      <c r="I2015" s="3">
        <v>0.14302818724805599</v>
      </c>
      <c r="J2015" s="3">
        <v>0.162245558853929</v>
      </c>
      <c r="K2015" s="3">
        <v>0.170934859582204</v>
      </c>
      <c r="L2015" s="3">
        <v>0.16198985502192101</v>
      </c>
      <c r="M2015" s="3">
        <v>0.15036262548989701</v>
      </c>
      <c r="N2015" s="3">
        <v>0.13742906297079999</v>
      </c>
      <c r="O2015" s="3">
        <v>0.12531088291411199</v>
      </c>
      <c r="P2015" s="3">
        <v>0.113832116187706</v>
      </c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</row>
    <row r="2016" spans="1:35" x14ac:dyDescent="0.45">
      <c r="A2016" s="3" t="s">
        <v>79</v>
      </c>
      <c r="B2016" s="3" t="s">
        <v>29</v>
      </c>
      <c r="C2016" s="3" t="s">
        <v>17</v>
      </c>
      <c r="D2016" s="3" t="s">
        <v>9</v>
      </c>
      <c r="E2016" s="3" t="s">
        <v>32</v>
      </c>
      <c r="F2016" s="3">
        <v>0</v>
      </c>
      <c r="G2016" s="3">
        <v>1.7718688295192599E-3</v>
      </c>
      <c r="H2016" s="3">
        <v>1.7718688295192599E-3</v>
      </c>
      <c r="I2016" s="3">
        <v>4.03530152043877E-3</v>
      </c>
      <c r="J2016" s="3">
        <v>3.0157847809045E-3</v>
      </c>
      <c r="K2016" s="3">
        <v>1.7744527087459E-3</v>
      </c>
      <c r="L2016" s="3">
        <v>4.9594193007887998E-3</v>
      </c>
      <c r="M2016" s="3">
        <v>8.9350022314783097E-3</v>
      </c>
      <c r="N2016" s="3">
        <v>4.2719779293358302E-2</v>
      </c>
      <c r="O2016" s="3">
        <v>4.84879332258474E-2</v>
      </c>
      <c r="P2016" s="3">
        <v>5.51749762932707E-2</v>
      </c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</row>
    <row r="2017" spans="1:35" x14ac:dyDescent="0.45">
      <c r="A2017" s="3" t="s">
        <v>79</v>
      </c>
      <c r="B2017" s="3" t="s">
        <v>29</v>
      </c>
      <c r="C2017" s="3" t="s">
        <v>17</v>
      </c>
      <c r="D2017" s="3" t="s">
        <v>10</v>
      </c>
      <c r="E2017" s="3" t="s">
        <v>32</v>
      </c>
      <c r="F2017" s="3">
        <v>0</v>
      </c>
      <c r="G2017" s="3">
        <v>5.1235802272595098E-4</v>
      </c>
      <c r="H2017" s="3">
        <v>5.1235802272595098E-4</v>
      </c>
      <c r="I2017" s="3">
        <v>1.7126015134013299E-3</v>
      </c>
      <c r="J2017" s="3">
        <v>5.1719280620410302E-4</v>
      </c>
      <c r="K2017" s="3">
        <v>3.1415633247994798E-3</v>
      </c>
      <c r="L2017" s="3">
        <v>3.2919835514742798E-2</v>
      </c>
      <c r="M2017" s="3">
        <v>3.4043757254622997E-2</v>
      </c>
      <c r="N2017" s="3">
        <v>1.7109165629421899E-2</v>
      </c>
      <c r="O2017" s="3">
        <v>1.8788501868464001E-2</v>
      </c>
      <c r="P2017" s="3">
        <v>2.6708062608335199E-2</v>
      </c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</row>
    <row r="2018" spans="1:35" x14ac:dyDescent="0.45">
      <c r="A2018" s="3" t="s">
        <v>79</v>
      </c>
      <c r="B2018" s="3" t="s">
        <v>29</v>
      </c>
      <c r="C2018" s="3" t="s">
        <v>17</v>
      </c>
      <c r="D2018" s="3" t="s">
        <v>11</v>
      </c>
      <c r="E2018" s="3" t="s">
        <v>32</v>
      </c>
      <c r="F2018" s="3">
        <v>0</v>
      </c>
      <c r="G2018" s="3">
        <v>4.8685206464914999E-4</v>
      </c>
      <c r="H2018" s="3">
        <v>4.8685206464914999E-4</v>
      </c>
      <c r="I2018" s="3">
        <v>1.48307212571749E-3</v>
      </c>
      <c r="J2018" s="3">
        <v>2.8869036575270901E-2</v>
      </c>
      <c r="K2018" s="3">
        <v>2.65050237627272E-2</v>
      </c>
      <c r="L2018" s="3">
        <v>8.6761734947826703E-3</v>
      </c>
      <c r="M2018" s="3">
        <v>1.4253909408575001E-2</v>
      </c>
      <c r="N2018" s="3">
        <v>1.1285078552024E-2</v>
      </c>
      <c r="O2018" s="3">
        <v>1.5968122736454499E-2</v>
      </c>
      <c r="P2018" s="3">
        <v>1.29636729780896E-2</v>
      </c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</row>
    <row r="2019" spans="1:35" x14ac:dyDescent="0.45">
      <c r="A2019" s="3" t="s">
        <v>79</v>
      </c>
      <c r="B2019" s="3" t="s">
        <v>29</v>
      </c>
      <c r="C2019" s="3" t="s">
        <v>17</v>
      </c>
      <c r="D2019" s="3" t="s">
        <v>12</v>
      </c>
      <c r="E2019" s="3" t="s">
        <v>32</v>
      </c>
      <c r="F2019" s="3">
        <v>0</v>
      </c>
      <c r="G2019" s="3">
        <v>7.4254802584673696E-4</v>
      </c>
      <c r="H2019" s="3">
        <v>7.4254802584673696E-4</v>
      </c>
      <c r="I2019" s="3">
        <v>3.8159843254602303E-2</v>
      </c>
      <c r="J2019" s="3">
        <v>7.1605902187286703E-3</v>
      </c>
      <c r="K2019" s="3">
        <v>9.1193996815297201E-3</v>
      </c>
      <c r="L2019" s="3">
        <v>2.9300157277708798E-3</v>
      </c>
      <c r="M2019" s="3">
        <v>4.6710494529982301E-3</v>
      </c>
      <c r="N2019" s="3">
        <v>6.7970718505428697E-3</v>
      </c>
      <c r="O2019" s="3">
        <v>9.9304367185428805E-3</v>
      </c>
      <c r="P2019" s="3">
        <v>1.0474510018183201E-2</v>
      </c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</row>
    <row r="2020" spans="1:35" x14ac:dyDescent="0.45">
      <c r="A2020" s="3" t="s">
        <v>79</v>
      </c>
      <c r="B2020" s="3" t="s">
        <v>29</v>
      </c>
      <c r="C2020" s="3" t="s">
        <v>17</v>
      </c>
      <c r="D2020" s="3" t="s">
        <v>13</v>
      </c>
      <c r="E2020" s="3" t="s">
        <v>32</v>
      </c>
      <c r="F2020" s="3">
        <v>0</v>
      </c>
      <c r="G2020" s="3">
        <v>8.7911506352918098E-3</v>
      </c>
      <c r="H2020" s="3">
        <v>8.7911506352918098E-3</v>
      </c>
      <c r="I2020" s="3">
        <v>1.01743084447725E-2</v>
      </c>
      <c r="J2020" s="3">
        <v>8.79577390800651E-3</v>
      </c>
      <c r="K2020" s="3">
        <v>7.8284371584230496E-3</v>
      </c>
      <c r="L2020" s="3">
        <v>8.0654702919040998E-3</v>
      </c>
      <c r="M2020" s="3">
        <v>7.2959441794052098E-3</v>
      </c>
      <c r="N2020" s="3">
        <v>4.2255639569750997E-3</v>
      </c>
      <c r="O2020" s="3">
        <v>1.0808647779330699E-3</v>
      </c>
      <c r="P2020" s="3">
        <v>4.1341435565150903E-4</v>
      </c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</row>
    <row r="2021" spans="1:35" x14ac:dyDescent="0.45">
      <c r="A2021" s="3" t="s">
        <v>79</v>
      </c>
      <c r="B2021" s="3" t="s">
        <v>29</v>
      </c>
      <c r="C2021" s="3" t="s">
        <v>17</v>
      </c>
      <c r="D2021" s="3" t="s">
        <v>14</v>
      </c>
      <c r="E2021" s="3" t="s">
        <v>32</v>
      </c>
      <c r="F2021" s="3">
        <v>0</v>
      </c>
      <c r="G2021" s="3">
        <v>4.2045447233017501E-2</v>
      </c>
      <c r="H2021" s="3">
        <v>4.2045447233017501E-2</v>
      </c>
      <c r="I2021" s="3">
        <v>1.6364730809751999E-2</v>
      </c>
      <c r="J2021" s="3">
        <v>8.6444444771688906E-3</v>
      </c>
      <c r="K2021" s="3">
        <v>-2.9508048281307002E-5</v>
      </c>
      <c r="L2021" s="3">
        <v>-2.6640590576693102E-4</v>
      </c>
      <c r="M2021" s="3">
        <v>-2.8781437769578898E-4</v>
      </c>
      <c r="N2021" s="3">
        <v>-2.9124860031368198E-4</v>
      </c>
      <c r="O2021" s="3">
        <v>-2.9226858841027698E-4</v>
      </c>
      <c r="P2021" s="3">
        <v>-2.92278788291439E-4</v>
      </c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</row>
    <row r="2022" spans="1:35" x14ac:dyDescent="0.45">
      <c r="A2022" s="3" t="s">
        <v>79</v>
      </c>
      <c r="B2022" s="3" t="s">
        <v>29</v>
      </c>
      <c r="C2022" s="3" t="s">
        <v>18</v>
      </c>
      <c r="D2022" s="3" t="s">
        <v>7</v>
      </c>
      <c r="E2022" s="3" t="s">
        <v>32</v>
      </c>
      <c r="F2022" s="3">
        <v>0.25352091110125902</v>
      </c>
      <c r="G2022" s="3">
        <v>0.18948256145015699</v>
      </c>
      <c r="H2022" s="3">
        <v>0.18948256145015699</v>
      </c>
      <c r="I2022" s="3">
        <v>0.126321707633438</v>
      </c>
      <c r="J2022" s="3">
        <v>6.3160853816718807E-2</v>
      </c>
      <c r="K2022" s="3">
        <v>2.4416563065351799E-17</v>
      </c>
      <c r="L2022" s="3">
        <v>1.9533250452281299E-16</v>
      </c>
      <c r="M2022" s="3">
        <v>0</v>
      </c>
      <c r="N2022" s="3">
        <v>1.9533250452281299E-16</v>
      </c>
      <c r="O2022" s="3">
        <v>0</v>
      </c>
      <c r="P2022" s="3">
        <v>1.70915941457462E-16</v>
      </c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</row>
    <row r="2023" spans="1:35" x14ac:dyDescent="0.45">
      <c r="A2023" s="3" t="s">
        <v>79</v>
      </c>
      <c r="B2023" s="3" t="s">
        <v>29</v>
      </c>
      <c r="C2023" s="3" t="s">
        <v>18</v>
      </c>
      <c r="D2023" s="3" t="s">
        <v>9</v>
      </c>
      <c r="E2023" s="3" t="s">
        <v>32</v>
      </c>
      <c r="F2023" s="3">
        <v>0</v>
      </c>
      <c r="G2023" s="3">
        <v>0</v>
      </c>
      <c r="H2023" s="3">
        <v>0</v>
      </c>
      <c r="I2023" s="3">
        <v>0</v>
      </c>
      <c r="J2023" s="3">
        <v>2.08166817117217E-16</v>
      </c>
      <c r="K2023" s="3">
        <v>4.8833126130703303E-17</v>
      </c>
      <c r="L2023" s="3">
        <v>-1.2208281532675801E-16</v>
      </c>
      <c r="M2023" s="3">
        <v>2.4416563065351799E-17</v>
      </c>
      <c r="N2023" s="3">
        <v>-1.9533250452281299E-16</v>
      </c>
      <c r="O2023" s="3">
        <v>0</v>
      </c>
      <c r="P2023" s="3">
        <v>-1.70915941457462E-16</v>
      </c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</row>
    <row r="2024" spans="1:35" x14ac:dyDescent="0.45">
      <c r="A2024" s="3" t="s">
        <v>79</v>
      </c>
      <c r="B2024" s="3" t="s">
        <v>29</v>
      </c>
      <c r="C2024" s="3" t="s">
        <v>18</v>
      </c>
      <c r="D2024" s="3" t="s">
        <v>10</v>
      </c>
      <c r="E2024" s="3" t="s">
        <v>32</v>
      </c>
      <c r="F2024" s="3">
        <v>0</v>
      </c>
      <c r="G2024" s="3">
        <v>0</v>
      </c>
      <c r="H2024" s="3">
        <v>0</v>
      </c>
      <c r="I2024" s="3">
        <v>0</v>
      </c>
      <c r="J2024" s="3">
        <v>2.2204460492503101E-16</v>
      </c>
      <c r="K2024" s="3">
        <v>-4.8833126130703303E-17</v>
      </c>
      <c r="L2024" s="3">
        <v>-7.3249689196055102E-17</v>
      </c>
      <c r="M2024" s="3">
        <v>-2.4416563065351799E-17</v>
      </c>
      <c r="N2024" s="3">
        <v>0</v>
      </c>
      <c r="O2024" s="3">
        <v>1.2208281532675801E-16</v>
      </c>
      <c r="P2024" s="3">
        <v>0</v>
      </c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</row>
    <row r="2025" spans="1:35" x14ac:dyDescent="0.45">
      <c r="A2025" s="3" t="s">
        <v>79</v>
      </c>
      <c r="B2025" s="3" t="s">
        <v>29</v>
      </c>
      <c r="C2025" s="3" t="s">
        <v>18</v>
      </c>
      <c r="D2025" s="3" t="s">
        <v>11</v>
      </c>
      <c r="E2025" s="3" t="s">
        <v>32</v>
      </c>
      <c r="F2025" s="3">
        <v>0</v>
      </c>
      <c r="G2025" s="3">
        <v>2.2204460492503101E-16</v>
      </c>
      <c r="H2025" s="3">
        <v>2.2204460492503101E-16</v>
      </c>
      <c r="I2025" s="3">
        <v>0</v>
      </c>
      <c r="J2025" s="3">
        <v>-2.2204460492503101E-16</v>
      </c>
      <c r="K2025" s="3">
        <v>-2.4416563065351799E-17</v>
      </c>
      <c r="L2025" s="3">
        <v>1.70915941457462E-16</v>
      </c>
      <c r="M2025" s="3">
        <v>0</v>
      </c>
      <c r="N2025" s="3">
        <v>9.7666252261406802E-17</v>
      </c>
      <c r="O2025" s="3">
        <v>-4.8833126130703303E-17</v>
      </c>
      <c r="P2025" s="3">
        <v>1.70915941457462E-16</v>
      </c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</row>
    <row r="2026" spans="1:35" x14ac:dyDescent="0.45">
      <c r="A2026" s="7" t="s">
        <v>79</v>
      </c>
      <c r="B2026" s="7" t="s">
        <v>29</v>
      </c>
      <c r="C2026" s="7" t="s">
        <v>18</v>
      </c>
      <c r="D2026" s="7" t="s">
        <v>12</v>
      </c>
      <c r="E2026" s="7" t="s">
        <v>32</v>
      </c>
      <c r="F2026" s="3">
        <v>0</v>
      </c>
      <c r="G2026" s="3">
        <v>0</v>
      </c>
      <c r="H2026" s="3">
        <v>0</v>
      </c>
      <c r="I2026" s="3">
        <v>0</v>
      </c>
      <c r="J2026" s="3">
        <v>-2.08166817117217E-16</v>
      </c>
      <c r="K2026" s="3">
        <v>0</v>
      </c>
      <c r="L2026" s="3">
        <v>-1.22082815326759E-16</v>
      </c>
      <c r="M2026" s="3">
        <v>0</v>
      </c>
      <c r="N2026" s="3">
        <v>2.6858219371886698E-16</v>
      </c>
      <c r="O2026" s="3">
        <v>1.4649937839211001E-16</v>
      </c>
      <c r="P2026" s="3">
        <v>-1.70915941457462E-16</v>
      </c>
    </row>
    <row r="2027" spans="1:35" x14ac:dyDescent="0.45">
      <c r="A2027" s="7" t="s">
        <v>79</v>
      </c>
      <c r="B2027" s="7" t="s">
        <v>29</v>
      </c>
      <c r="C2027" s="7" t="s">
        <v>18</v>
      </c>
      <c r="D2027" s="7" t="s">
        <v>13</v>
      </c>
      <c r="E2027" s="7" t="s">
        <v>32</v>
      </c>
      <c r="F2027" s="3">
        <v>0</v>
      </c>
      <c r="G2027" s="3">
        <v>0</v>
      </c>
      <c r="H2027" s="3">
        <v>0</v>
      </c>
      <c r="I2027" s="3">
        <v>-2.2204460492503101E-16</v>
      </c>
      <c r="J2027" s="3">
        <v>2.08166817117217E-16</v>
      </c>
      <c r="K2027" s="3">
        <v>0</v>
      </c>
      <c r="L2027" s="3">
        <v>-4.8833126130703303E-17</v>
      </c>
      <c r="M2027" s="3">
        <v>1.70915941457462E-16</v>
      </c>
      <c r="N2027" s="3">
        <v>-3.6624844598027398E-16</v>
      </c>
      <c r="O2027" s="3">
        <v>-1.70915941457462E-16</v>
      </c>
      <c r="P2027" s="3">
        <v>1.70915941457462E-16</v>
      </c>
    </row>
    <row r="2028" spans="1:35" x14ac:dyDescent="0.45">
      <c r="A2028" s="7" t="s">
        <v>79</v>
      </c>
      <c r="B2028" s="7" t="s">
        <v>29</v>
      </c>
      <c r="C2028" s="7" t="s">
        <v>18</v>
      </c>
      <c r="D2028" s="7" t="s">
        <v>14</v>
      </c>
      <c r="E2028" s="7" t="s">
        <v>32</v>
      </c>
      <c r="F2028" s="3">
        <v>0</v>
      </c>
      <c r="G2028" s="3">
        <v>0</v>
      </c>
      <c r="H2028" s="3">
        <v>0</v>
      </c>
      <c r="I2028" s="3">
        <v>2.2204460492503101E-16</v>
      </c>
      <c r="J2028" s="3">
        <v>-2.08166817117217E-16</v>
      </c>
      <c r="K2028" s="3">
        <v>1.4649937839211001E-16</v>
      </c>
      <c r="L2028" s="3">
        <v>7.3249689196055102E-17</v>
      </c>
      <c r="M2028" s="3">
        <v>9.7666252261406198E-17</v>
      </c>
      <c r="N2028" s="3">
        <v>2.1974906758816501E-16</v>
      </c>
      <c r="O2028" s="3">
        <v>1.95332504522814E-16</v>
      </c>
      <c r="P2028" s="3">
        <v>-1.70915941457462E-16</v>
      </c>
    </row>
    <row r="2029" spans="1:35" x14ac:dyDescent="0.45">
      <c r="A2029" s="7" t="s">
        <v>79</v>
      </c>
      <c r="B2029" s="7" t="s">
        <v>29</v>
      </c>
      <c r="C2029" s="7" t="s">
        <v>19</v>
      </c>
      <c r="D2029" s="7" t="s">
        <v>7</v>
      </c>
      <c r="E2029" s="7" t="s">
        <v>32</v>
      </c>
      <c r="F2029" s="3">
        <v>9.1452802681495204E-3</v>
      </c>
      <c r="G2029" s="3">
        <v>0</v>
      </c>
      <c r="H2029" s="3">
        <v>0</v>
      </c>
      <c r="I2029" s="3">
        <v>0</v>
      </c>
      <c r="J2029" s="3">
        <v>0</v>
      </c>
      <c r="K2029" s="3">
        <v>9.4947703644844596E-3</v>
      </c>
      <c r="L2029" s="3">
        <v>1.69160354937141E-3</v>
      </c>
      <c r="M2029" s="3">
        <v>3.3787418050023102E-4</v>
      </c>
      <c r="N2029" s="3">
        <v>2.4748885693196201E-5</v>
      </c>
      <c r="O2029" s="3">
        <v>0</v>
      </c>
      <c r="P2029" s="3">
        <v>0</v>
      </c>
    </row>
    <row r="2030" spans="1:35" x14ac:dyDescent="0.45">
      <c r="A2030" s="7" t="s">
        <v>79</v>
      </c>
      <c r="B2030" s="7" t="s">
        <v>29</v>
      </c>
      <c r="C2030" s="7" t="s">
        <v>19</v>
      </c>
      <c r="D2030" s="7" t="s">
        <v>9</v>
      </c>
      <c r="E2030" s="7" t="s">
        <v>32</v>
      </c>
      <c r="F2030" s="3">
        <v>0</v>
      </c>
      <c r="G2030" s="3">
        <v>0</v>
      </c>
      <c r="H2030" s="3">
        <v>0</v>
      </c>
      <c r="I2030" s="3">
        <v>0</v>
      </c>
      <c r="J2030" s="3">
        <v>7.7034560921284898E-4</v>
      </c>
      <c r="K2030" s="3">
        <v>3.6597261824866098E-4</v>
      </c>
      <c r="L2030" s="3">
        <v>2.0385884249279002E-3</v>
      </c>
      <c r="M2030" s="3">
        <v>2.1970588189370102E-3</v>
      </c>
      <c r="N2030" s="3">
        <v>2.4381212202421901E-3</v>
      </c>
      <c r="O2030" s="3">
        <v>2.46287010593541E-3</v>
      </c>
      <c r="P2030" s="3">
        <v>2.3194213948351198E-3</v>
      </c>
    </row>
    <row r="2031" spans="1:35" x14ac:dyDescent="0.45">
      <c r="A2031" s="7" t="s">
        <v>79</v>
      </c>
      <c r="B2031" s="7" t="s">
        <v>29</v>
      </c>
      <c r="C2031" s="7" t="s">
        <v>19</v>
      </c>
      <c r="D2031" s="7" t="s">
        <v>10</v>
      </c>
      <c r="E2031" s="7" t="s">
        <v>32</v>
      </c>
      <c r="F2031" s="3">
        <v>0</v>
      </c>
      <c r="G2031" s="3">
        <v>0</v>
      </c>
      <c r="H2031" s="3">
        <v>0</v>
      </c>
      <c r="I2031" s="3">
        <v>0</v>
      </c>
      <c r="J2031" s="3">
        <v>1.0007094035875299E-3</v>
      </c>
      <c r="K2031" s="3">
        <v>1.9538580777537901E-3</v>
      </c>
      <c r="L2031" s="3">
        <v>3.6356394624405498E-3</v>
      </c>
      <c r="M2031" s="3">
        <v>3.1300391434865402E-3</v>
      </c>
      <c r="N2031" s="3">
        <v>2.8140635980987601E-2</v>
      </c>
      <c r="O2031" s="3">
        <v>3.0506149815741599E-2</v>
      </c>
      <c r="P2031" s="3">
        <v>3.0500450983440799E-2</v>
      </c>
    </row>
    <row r="2032" spans="1:35" x14ac:dyDescent="0.45">
      <c r="A2032" s="7" t="s">
        <v>79</v>
      </c>
      <c r="B2032" s="7" t="s">
        <v>29</v>
      </c>
      <c r="C2032" s="7" t="s">
        <v>19</v>
      </c>
      <c r="D2032" s="7" t="s">
        <v>11</v>
      </c>
      <c r="E2032" s="7" t="s">
        <v>32</v>
      </c>
      <c r="F2032" s="3">
        <v>0</v>
      </c>
      <c r="G2032" s="3">
        <v>0</v>
      </c>
      <c r="H2032" s="3">
        <v>0</v>
      </c>
      <c r="I2032" s="3">
        <v>0</v>
      </c>
      <c r="J2032" s="3">
        <v>1.3059676984282899E-3</v>
      </c>
      <c r="K2032" s="3">
        <v>1.9946133934575202E-3</v>
      </c>
      <c r="L2032" s="3">
        <v>3.2750612604557701E-2</v>
      </c>
      <c r="M2032" s="3">
        <v>2.9180094323361199E-2</v>
      </c>
      <c r="N2032" s="3">
        <v>9.4414359120460201E-3</v>
      </c>
      <c r="O2032" s="3">
        <v>7.5674659715995298E-3</v>
      </c>
      <c r="P2032" s="3">
        <v>8.4252108102784596E-3</v>
      </c>
    </row>
    <row r="2033" spans="1:16" x14ac:dyDescent="0.45">
      <c r="A2033" s="7" t="s">
        <v>79</v>
      </c>
      <c r="B2033" s="7" t="s">
        <v>29</v>
      </c>
      <c r="C2033" s="7" t="s">
        <v>19</v>
      </c>
      <c r="D2033" s="7" t="s">
        <v>12</v>
      </c>
      <c r="E2033" s="7" t="s">
        <v>32</v>
      </c>
      <c r="F2033" s="3">
        <v>0</v>
      </c>
      <c r="G2033" s="3">
        <v>0</v>
      </c>
      <c r="H2033" s="3">
        <v>0</v>
      </c>
      <c r="I2033" s="3">
        <v>0</v>
      </c>
      <c r="J2033" s="3">
        <v>2.4101312245572201E-2</v>
      </c>
      <c r="K2033" s="3">
        <v>2.9621809288796399E-2</v>
      </c>
      <c r="L2033" s="3">
        <v>2.4736700367822299E-3</v>
      </c>
      <c r="M2033" s="3">
        <v>7.1679119265065398E-3</v>
      </c>
      <c r="N2033" s="3">
        <v>5.7135949007748599E-3</v>
      </c>
      <c r="O2033" s="3">
        <v>1.0902990939465E-2</v>
      </c>
      <c r="P2033" s="3">
        <v>1.13029952432608E-2</v>
      </c>
    </row>
    <row r="2034" spans="1:16" x14ac:dyDescent="0.45">
      <c r="A2034" s="7" t="s">
        <v>79</v>
      </c>
      <c r="B2034" s="7" t="s">
        <v>29</v>
      </c>
      <c r="C2034" s="7" t="s">
        <v>19</v>
      </c>
      <c r="D2034" s="7" t="s">
        <v>13</v>
      </c>
      <c r="E2034" s="7" t="s">
        <v>32</v>
      </c>
      <c r="F2034" s="3">
        <v>0</v>
      </c>
      <c r="G2034" s="3">
        <v>0</v>
      </c>
      <c r="H2034" s="3">
        <v>0</v>
      </c>
      <c r="I2034" s="3">
        <v>3.8026860880620003E-2</v>
      </c>
      <c r="J2034" s="3">
        <v>2.14512471942092E-2</v>
      </c>
      <c r="K2034" s="3">
        <v>3.4540273368528399E-2</v>
      </c>
      <c r="L2034" s="3">
        <v>2.4358465791269799E-2</v>
      </c>
      <c r="M2034" s="3">
        <v>1.60996733843604E-2</v>
      </c>
      <c r="N2034" s="3">
        <v>1.1670557082774801E-2</v>
      </c>
      <c r="O2034" s="3">
        <v>6.5482278951884696E-3</v>
      </c>
      <c r="P2034" s="3">
        <v>6.76112074473092E-3</v>
      </c>
    </row>
    <row r="2035" spans="1:16" x14ac:dyDescent="0.45">
      <c r="A2035" s="7" t="s">
        <v>79</v>
      </c>
      <c r="B2035" s="7" t="s">
        <v>29</v>
      </c>
      <c r="C2035" s="7" t="s">
        <v>19</v>
      </c>
      <c r="D2035" s="7" t="s">
        <v>14</v>
      </c>
      <c r="E2035" s="7" t="s">
        <v>32</v>
      </c>
      <c r="F2035" s="3">
        <v>0</v>
      </c>
      <c r="G2035" s="3">
        <v>1.8270755409809498E-2</v>
      </c>
      <c r="H2035" s="3">
        <v>1.8270755409809498E-2</v>
      </c>
      <c r="I2035" s="3">
        <v>3.7923551457983803E-2</v>
      </c>
      <c r="J2035" s="3">
        <v>2.6646340191827201E-2</v>
      </c>
      <c r="K2035" s="3">
        <v>-7.0333502934947596E-3</v>
      </c>
      <c r="L2035" s="3">
        <v>-9.1521032015747204E-3</v>
      </c>
      <c r="M2035" s="3">
        <v>-3.15822004430039E-3</v>
      </c>
      <c r="N2035" s="3">
        <v>-3.0826968918346402E-3</v>
      </c>
      <c r="O2035" s="3">
        <v>2.9912823555140099E-4</v>
      </c>
      <c r="P2035" s="3">
        <v>3.32685243519421E-3</v>
      </c>
    </row>
    <row r="2036" spans="1:16" x14ac:dyDescent="0.45">
      <c r="A2036" s="7" t="s">
        <v>79</v>
      </c>
      <c r="B2036" s="7" t="s">
        <v>21</v>
      </c>
      <c r="C2036" s="7" t="s">
        <v>6</v>
      </c>
      <c r="D2036" s="7" t="s">
        <v>7</v>
      </c>
      <c r="E2036" s="7" t="s">
        <v>32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1.46351803526182E-4</v>
      </c>
      <c r="L2036" s="3">
        <v>0</v>
      </c>
      <c r="M2036" s="3">
        <v>0</v>
      </c>
      <c r="N2036" s="3">
        <v>0</v>
      </c>
      <c r="O2036" s="3">
        <v>0</v>
      </c>
      <c r="P2036" s="3">
        <v>0</v>
      </c>
    </row>
    <row r="2037" spans="1:16" x14ac:dyDescent="0.45">
      <c r="A2037" s="7" t="s">
        <v>79</v>
      </c>
      <c r="B2037" s="7" t="s">
        <v>21</v>
      </c>
      <c r="C2037" s="7" t="s">
        <v>6</v>
      </c>
      <c r="D2037" s="7" t="s">
        <v>9</v>
      </c>
      <c r="E2037" s="7" t="s">
        <v>32</v>
      </c>
      <c r="F2037" s="3">
        <v>0</v>
      </c>
      <c r="G2037" s="3">
        <v>0</v>
      </c>
      <c r="H2037" s="3">
        <v>0</v>
      </c>
      <c r="I2037" s="3">
        <v>0</v>
      </c>
      <c r="J2037" s="3">
        <v>1.10863941522047E-4</v>
      </c>
      <c r="K2037" s="3">
        <v>-6.1739760612150803E-6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</row>
    <row r="2038" spans="1:16" x14ac:dyDescent="0.45">
      <c r="A2038" s="7" t="s">
        <v>79</v>
      </c>
      <c r="B2038" s="7" t="s">
        <v>21</v>
      </c>
      <c r="C2038" s="7" t="s">
        <v>6</v>
      </c>
      <c r="D2038" s="7" t="s">
        <v>10</v>
      </c>
      <c r="E2038" s="7" t="s">
        <v>32</v>
      </c>
      <c r="F2038" s="3">
        <v>0</v>
      </c>
      <c r="G2038" s="3">
        <v>0</v>
      </c>
      <c r="H2038" s="3">
        <v>0</v>
      </c>
      <c r="I2038" s="3">
        <v>0</v>
      </c>
      <c r="J2038" s="3">
        <v>-1.0437246211124599E-4</v>
      </c>
      <c r="K2038" s="3">
        <v>7.1222414292028999E-4</v>
      </c>
      <c r="L2038" s="3">
        <v>4.2667231181146999E-4</v>
      </c>
      <c r="M2038" s="3">
        <v>2.7007996908357798E-4</v>
      </c>
      <c r="N2038" s="3">
        <v>5.1049483990079202E-3</v>
      </c>
      <c r="O2038" s="3">
        <v>4.2920846519888999E-2</v>
      </c>
      <c r="P2038" s="3">
        <v>0.101600018328876</v>
      </c>
    </row>
    <row r="2039" spans="1:16" x14ac:dyDescent="0.45">
      <c r="A2039" s="7" t="s">
        <v>79</v>
      </c>
      <c r="B2039" s="7" t="s">
        <v>21</v>
      </c>
      <c r="C2039" s="7" t="s">
        <v>6</v>
      </c>
      <c r="D2039" s="7" t="s">
        <v>11</v>
      </c>
      <c r="E2039" s="7" t="s">
        <v>32</v>
      </c>
      <c r="F2039" s="3">
        <v>0</v>
      </c>
      <c r="G2039" s="3">
        <v>0</v>
      </c>
      <c r="H2039" s="3">
        <v>0</v>
      </c>
      <c r="I2039" s="3">
        <v>0</v>
      </c>
      <c r="J2039" s="3">
        <v>5.1055041267403895E-4</v>
      </c>
      <c r="K2039" s="3">
        <v>6.3916567294175399E-4</v>
      </c>
      <c r="L2039" s="3">
        <v>2.03130862963238E-2</v>
      </c>
      <c r="M2039" s="3">
        <v>8.5302814153421003E-2</v>
      </c>
      <c r="N2039" s="3">
        <v>0.16666459115157001</v>
      </c>
      <c r="O2039" s="3">
        <v>0.215276783891822</v>
      </c>
      <c r="P2039" s="3">
        <v>0.23666695052298301</v>
      </c>
    </row>
    <row r="2040" spans="1:16" x14ac:dyDescent="0.45">
      <c r="A2040" s="7" t="s">
        <v>79</v>
      </c>
      <c r="B2040" s="7" t="s">
        <v>21</v>
      </c>
      <c r="C2040" s="7" t="s">
        <v>6</v>
      </c>
      <c r="D2040" s="7" t="s">
        <v>12</v>
      </c>
      <c r="E2040" s="7" t="s">
        <v>32</v>
      </c>
      <c r="F2040" s="3">
        <v>0</v>
      </c>
      <c r="G2040" s="3">
        <v>0</v>
      </c>
      <c r="H2040" s="3">
        <v>0</v>
      </c>
      <c r="I2040" s="3">
        <v>0</v>
      </c>
      <c r="J2040" s="3">
        <v>3.6726415042103101E-3</v>
      </c>
      <c r="K2040" s="3">
        <v>7.3644199884428801E-2</v>
      </c>
      <c r="L2040" s="3">
        <v>0.15536041850113</v>
      </c>
      <c r="M2040" s="3">
        <v>0.18779704493850899</v>
      </c>
      <c r="N2040" s="3">
        <v>0.189179165771343</v>
      </c>
      <c r="O2040" s="3">
        <v>0.18843092457362001</v>
      </c>
      <c r="P2040" s="3">
        <v>0.193684627931756</v>
      </c>
    </row>
    <row r="2041" spans="1:16" x14ac:dyDescent="0.45">
      <c r="A2041" s="7" t="s">
        <v>79</v>
      </c>
      <c r="B2041" s="7" t="s">
        <v>21</v>
      </c>
      <c r="C2041" s="7" t="s">
        <v>6</v>
      </c>
      <c r="D2041" s="7" t="s">
        <v>13</v>
      </c>
      <c r="E2041" s="7" t="s">
        <v>32</v>
      </c>
      <c r="F2041" s="3">
        <v>0</v>
      </c>
      <c r="G2041" s="3">
        <v>0</v>
      </c>
      <c r="H2041" s="3">
        <v>0</v>
      </c>
      <c r="I2041" s="3">
        <v>6.6617787047655405E-2</v>
      </c>
      <c r="J2041" s="3">
        <v>0.184631401304787</v>
      </c>
      <c r="K2041" s="3">
        <v>0.23093136071862799</v>
      </c>
      <c r="L2041" s="3">
        <v>0.234276660295306</v>
      </c>
      <c r="M2041" s="3">
        <v>0.237874581119117</v>
      </c>
      <c r="N2041" s="3">
        <v>0.248523053340132</v>
      </c>
      <c r="O2041" s="3">
        <v>0.26237643684316397</v>
      </c>
      <c r="P2041" s="3">
        <v>0.27580131831027499</v>
      </c>
    </row>
    <row r="2042" spans="1:16" x14ac:dyDescent="0.45">
      <c r="A2042" s="7" t="s">
        <v>79</v>
      </c>
      <c r="B2042" s="7" t="s">
        <v>21</v>
      </c>
      <c r="C2042" s="7" t="s">
        <v>6</v>
      </c>
      <c r="D2042" s="7" t="s">
        <v>14</v>
      </c>
      <c r="E2042" s="7" t="s">
        <v>32</v>
      </c>
      <c r="F2042" s="3">
        <v>0</v>
      </c>
      <c r="G2042" s="3">
        <v>0</v>
      </c>
      <c r="H2042" s="3">
        <v>0</v>
      </c>
      <c r="I2042" s="3">
        <v>9.0164665635324104E-2</v>
      </c>
      <c r="J2042" s="3">
        <v>0.110965272170459</v>
      </c>
      <c r="K2042" s="3">
        <v>0.121866052999049</v>
      </c>
      <c r="L2042" s="3">
        <v>0.1357780684346</v>
      </c>
      <c r="M2042" s="3">
        <v>0.157078378139865</v>
      </c>
      <c r="N2042" s="3">
        <v>0.18268737075868299</v>
      </c>
      <c r="O2042" s="3">
        <v>0.20803536368287401</v>
      </c>
      <c r="P2042" s="3">
        <v>0.23478355607437601</v>
      </c>
    </row>
    <row r="2043" spans="1:16" x14ac:dyDescent="0.45">
      <c r="A2043" s="7" t="s">
        <v>79</v>
      </c>
      <c r="B2043" s="7" t="s">
        <v>21</v>
      </c>
      <c r="C2043" s="7" t="s">
        <v>15</v>
      </c>
      <c r="D2043" s="7" t="s">
        <v>7</v>
      </c>
      <c r="E2043" s="7" t="s">
        <v>32</v>
      </c>
      <c r="F2043" s="3">
        <v>6.2916906413687301E-2</v>
      </c>
      <c r="G2043" s="3">
        <v>5.72781930023364E-2</v>
      </c>
      <c r="H2043" s="3">
        <v>5.72781930023364E-2</v>
      </c>
      <c r="I2043" s="3">
        <v>5.6259708601631403E-2</v>
      </c>
      <c r="J2043" s="3">
        <v>5.8014113422978998E-2</v>
      </c>
      <c r="K2043" s="3">
        <v>5.7128494983171803E-2</v>
      </c>
      <c r="L2043" s="3">
        <v>5.9123178236644203E-2</v>
      </c>
      <c r="M2043" s="3">
        <v>6.0308705669965199E-2</v>
      </c>
      <c r="N2043" s="3">
        <v>6.0318047457554501E-2</v>
      </c>
      <c r="O2043" s="3">
        <v>6.0262361739313097E-2</v>
      </c>
      <c r="P2043" s="3">
        <v>6.1143571060105699E-2</v>
      </c>
    </row>
    <row r="2044" spans="1:16" x14ac:dyDescent="0.45">
      <c r="A2044" s="7" t="s">
        <v>79</v>
      </c>
      <c r="B2044" s="7" t="s">
        <v>21</v>
      </c>
      <c r="C2044" s="7" t="s">
        <v>15</v>
      </c>
      <c r="D2044" s="7" t="s">
        <v>9</v>
      </c>
      <c r="E2044" s="7" t="s">
        <v>32</v>
      </c>
      <c r="F2044" s="3">
        <v>0</v>
      </c>
      <c r="G2044" s="3">
        <v>1.0832503285943E-5</v>
      </c>
      <c r="H2044" s="3">
        <v>1.0832503285943E-5</v>
      </c>
      <c r="I2044" s="3">
        <v>-1.5805441573256399E-4</v>
      </c>
      <c r="J2044" s="3">
        <v>-7.4122206093993304E-4</v>
      </c>
      <c r="K2044" s="3">
        <v>-7.8066293809975196E-4</v>
      </c>
      <c r="L2044" s="3">
        <v>-8.7601776511769098E-4</v>
      </c>
      <c r="M2044" s="3">
        <v>-1.17396702372397E-3</v>
      </c>
      <c r="N2044" s="3">
        <v>-6.6968422456436399E-4</v>
      </c>
      <c r="O2044" s="3">
        <v>-4.02766205676176E-4</v>
      </c>
      <c r="P2044" s="3">
        <v>-8.4426469469130899E-4</v>
      </c>
    </row>
    <row r="2045" spans="1:16" x14ac:dyDescent="0.45">
      <c r="A2045" s="7" t="s">
        <v>79</v>
      </c>
      <c r="B2045" s="7" t="s">
        <v>21</v>
      </c>
      <c r="C2045" s="7" t="s">
        <v>15</v>
      </c>
      <c r="D2045" s="7" t="s">
        <v>10</v>
      </c>
      <c r="E2045" s="7" t="s">
        <v>32</v>
      </c>
      <c r="F2045" s="3">
        <v>0</v>
      </c>
      <c r="G2045" s="3">
        <v>-8.6473065905624799E-5</v>
      </c>
      <c r="H2045" s="3">
        <v>-8.6473065905624799E-5</v>
      </c>
      <c r="I2045" s="3">
        <v>-1.3111134536471201E-4</v>
      </c>
      <c r="J2045" s="3">
        <v>-2.4246970382321701E-4</v>
      </c>
      <c r="K2045" s="3">
        <v>-1.3126294053966001E-4</v>
      </c>
      <c r="L2045" s="3">
        <v>-3.3648632010580001E-6</v>
      </c>
      <c r="M2045" s="3">
        <v>6.4189520697255405E-5</v>
      </c>
      <c r="N2045" s="3">
        <v>-2.9355246139955998E-4</v>
      </c>
      <c r="O2045" s="3">
        <v>-1.3772244461672501E-4</v>
      </c>
      <c r="P2045" s="3">
        <v>-2.8836242530839998E-5</v>
      </c>
    </row>
    <row r="2046" spans="1:16" x14ac:dyDescent="0.45">
      <c r="A2046" s="7" t="s">
        <v>79</v>
      </c>
      <c r="B2046" s="7" t="s">
        <v>21</v>
      </c>
      <c r="C2046" s="7" t="s">
        <v>15</v>
      </c>
      <c r="D2046" s="7" t="s">
        <v>11</v>
      </c>
      <c r="E2046" s="7" t="s">
        <v>32</v>
      </c>
      <c r="F2046" s="3">
        <v>0</v>
      </c>
      <c r="G2046" s="3">
        <v>-7.8137352201648696E-6</v>
      </c>
      <c r="H2046" s="3">
        <v>-7.8137352201648696E-6</v>
      </c>
      <c r="I2046" s="3">
        <v>-1.3264342097554099E-4</v>
      </c>
      <c r="J2046" s="3">
        <v>-1.9299897856925999E-4</v>
      </c>
      <c r="K2046" s="3">
        <v>2.8079156341225702E-4</v>
      </c>
      <c r="L2046" s="3">
        <v>-8.3875406723235601E-4</v>
      </c>
      <c r="M2046" s="3">
        <v>-1.14572666766945E-3</v>
      </c>
      <c r="N2046" s="3">
        <v>-1.30798808658397E-3</v>
      </c>
      <c r="O2046" s="3">
        <v>-1.1653607710262199E-3</v>
      </c>
      <c r="P2046" s="3">
        <v>3.2068067181074099E-3</v>
      </c>
    </row>
    <row r="2047" spans="1:16" x14ac:dyDescent="0.45">
      <c r="A2047" s="7" t="s">
        <v>79</v>
      </c>
      <c r="B2047" s="7" t="s">
        <v>21</v>
      </c>
      <c r="C2047" s="7" t="s">
        <v>15</v>
      </c>
      <c r="D2047" s="7" t="s">
        <v>12</v>
      </c>
      <c r="E2047" s="7" t="s">
        <v>32</v>
      </c>
      <c r="F2047" s="3">
        <v>0</v>
      </c>
      <c r="G2047" s="3">
        <v>-5.7466279205012299E-6</v>
      </c>
      <c r="H2047" s="3">
        <v>-5.7466279205012299E-6</v>
      </c>
      <c r="I2047" s="3">
        <v>-1.5624853122230399E-3</v>
      </c>
      <c r="J2047" s="3">
        <v>-1.15723393642694E-3</v>
      </c>
      <c r="K2047" s="3">
        <v>-6.94694950154354E-4</v>
      </c>
      <c r="L2047" s="3">
        <v>3.1907803669619398E-3</v>
      </c>
      <c r="M2047" s="3">
        <v>7.8710182676546003E-3</v>
      </c>
      <c r="N2047" s="3">
        <v>1.6022172041978901E-2</v>
      </c>
      <c r="O2047" s="3">
        <v>2.12710225338907E-2</v>
      </c>
      <c r="P2047" s="3">
        <v>2.34944633998703E-2</v>
      </c>
    </row>
    <row r="2048" spans="1:16" x14ac:dyDescent="0.45">
      <c r="A2048" s="7" t="s">
        <v>79</v>
      </c>
      <c r="B2048" s="7" t="s">
        <v>21</v>
      </c>
      <c r="C2048" s="7" t="s">
        <v>15</v>
      </c>
      <c r="D2048" s="7" t="s">
        <v>13</v>
      </c>
      <c r="E2048" s="7" t="s">
        <v>32</v>
      </c>
      <c r="F2048" s="3">
        <v>0</v>
      </c>
      <c r="G2048" s="3">
        <v>-1.4633015233710201E-3</v>
      </c>
      <c r="H2048" s="3">
        <v>-1.4633015233710201E-3</v>
      </c>
      <c r="I2048" s="3">
        <v>-3.6827753520823998E-3</v>
      </c>
      <c r="J2048" s="3">
        <v>2.3402704126515199E-3</v>
      </c>
      <c r="K2048" s="3">
        <v>1.3308024370211601E-2</v>
      </c>
      <c r="L2048" s="3">
        <v>2.2410117898926999E-2</v>
      </c>
      <c r="M2048" s="3">
        <v>2.8515572834392398E-2</v>
      </c>
      <c r="N2048" s="3">
        <v>3.1851295489695501E-2</v>
      </c>
      <c r="O2048" s="3">
        <v>3.6153547123031697E-2</v>
      </c>
      <c r="P2048" s="3">
        <v>4.0570550236829102E-2</v>
      </c>
    </row>
    <row r="2049" spans="1:16" x14ac:dyDescent="0.45">
      <c r="A2049" s="7" t="s">
        <v>79</v>
      </c>
      <c r="B2049" s="7" t="s">
        <v>21</v>
      </c>
      <c r="C2049" s="7" t="s">
        <v>15</v>
      </c>
      <c r="D2049" s="7" t="s">
        <v>14</v>
      </c>
      <c r="E2049" s="7" t="s">
        <v>32</v>
      </c>
      <c r="F2049" s="3">
        <v>0</v>
      </c>
      <c r="G2049" s="3">
        <v>2.10815835148613E-2</v>
      </c>
      <c r="H2049" s="3">
        <v>2.10815835148613E-2</v>
      </c>
      <c r="I2049" s="3">
        <v>2.4450043030015902E-3</v>
      </c>
      <c r="J2049" s="3">
        <v>1.6372427668534102E-2</v>
      </c>
      <c r="K2049" s="3">
        <v>2.3105929297690699E-2</v>
      </c>
      <c r="L2049" s="3">
        <v>2.0614019270731601E-2</v>
      </c>
      <c r="M2049" s="3">
        <v>2.2707970011996401E-2</v>
      </c>
      <c r="N2049" s="3">
        <v>2.6202717697811601E-2</v>
      </c>
      <c r="O2049" s="3">
        <v>2.73085198270905E-2</v>
      </c>
      <c r="P2049" s="3">
        <v>2.3141465796165502E-2</v>
      </c>
    </row>
    <row r="2050" spans="1:16" x14ac:dyDescent="0.45">
      <c r="A2050" s="7" t="s">
        <v>79</v>
      </c>
      <c r="B2050" s="7" t="s">
        <v>21</v>
      </c>
      <c r="C2050" s="7" t="s">
        <v>16</v>
      </c>
      <c r="D2050" s="7" t="s">
        <v>7</v>
      </c>
      <c r="E2050" s="7" t="s">
        <v>32</v>
      </c>
      <c r="F2050" s="3">
        <v>7.50844055033726E-2</v>
      </c>
      <c r="G2050" s="3">
        <v>2.7237113087415998E-2</v>
      </c>
      <c r="H2050" s="3">
        <v>2.7237113087415998E-2</v>
      </c>
      <c r="I2050" s="3">
        <v>2.8024607198630799E-2</v>
      </c>
      <c r="J2050" s="3">
        <v>2.8024607198630799E-2</v>
      </c>
      <c r="K2050" s="3">
        <v>2.89781899541489E-2</v>
      </c>
      <c r="L2050" s="3">
        <v>2.8024607198630799E-2</v>
      </c>
      <c r="M2050" s="3">
        <v>2.8024607198630799E-2</v>
      </c>
      <c r="N2050" s="3">
        <v>2.8024607198630799E-2</v>
      </c>
      <c r="O2050" s="3">
        <v>2.8024607198630799E-2</v>
      </c>
      <c r="P2050" s="3">
        <v>2.8024607198630799E-2</v>
      </c>
    </row>
    <row r="2051" spans="1:16" x14ac:dyDescent="0.45">
      <c r="A2051" s="7" t="s">
        <v>79</v>
      </c>
      <c r="B2051" s="7" t="s">
        <v>21</v>
      </c>
      <c r="C2051" s="7" t="s">
        <v>16</v>
      </c>
      <c r="D2051" s="7" t="s">
        <v>9</v>
      </c>
      <c r="E2051" s="7" t="s">
        <v>32</v>
      </c>
      <c r="F2051" s="3">
        <v>0</v>
      </c>
      <c r="G2051" s="3">
        <v>0</v>
      </c>
      <c r="H2051" s="3">
        <v>0</v>
      </c>
      <c r="I2051" s="3">
        <v>0</v>
      </c>
      <c r="J2051" s="3">
        <v>9.8973973743825597E-4</v>
      </c>
      <c r="K2051" s="3">
        <v>1.1270057117180101E-4</v>
      </c>
      <c r="L2051" s="3">
        <v>9.4305689773212904E-4</v>
      </c>
      <c r="M2051" s="3">
        <v>8.6634034455337601E-4</v>
      </c>
      <c r="N2051" s="3">
        <v>8.8463680740544001E-3</v>
      </c>
      <c r="O2051" s="3">
        <v>8.8445870343977495E-3</v>
      </c>
      <c r="P2051" s="3">
        <v>8.8445870343977495E-3</v>
      </c>
    </row>
    <row r="2052" spans="1:16" x14ac:dyDescent="0.45">
      <c r="A2052" s="7" t="s">
        <v>79</v>
      </c>
      <c r="B2052" s="7" t="s">
        <v>21</v>
      </c>
      <c r="C2052" s="7" t="s">
        <v>16</v>
      </c>
      <c r="D2052" s="7" t="s">
        <v>10</v>
      </c>
      <c r="E2052" s="7" t="s">
        <v>32</v>
      </c>
      <c r="F2052" s="3">
        <v>0</v>
      </c>
      <c r="G2052" s="3">
        <v>0</v>
      </c>
      <c r="H2052" s="3">
        <v>0</v>
      </c>
      <c r="I2052" s="3">
        <v>0</v>
      </c>
      <c r="J2052" s="3">
        <v>-4.66828397061268E-5</v>
      </c>
      <c r="K2052" s="3">
        <v>9.0258774137456899E-4</v>
      </c>
      <c r="L2052" s="3">
        <v>7.9015301366656202E-3</v>
      </c>
      <c r="M2052" s="3">
        <v>7.9782466898445301E-3</v>
      </c>
      <c r="N2052" s="3">
        <v>-1.78103965665227E-6</v>
      </c>
      <c r="O2052" s="3">
        <v>0</v>
      </c>
      <c r="P2052" s="3">
        <v>0</v>
      </c>
    </row>
    <row r="2053" spans="1:16" x14ac:dyDescent="0.45">
      <c r="A2053" s="7" t="s">
        <v>79</v>
      </c>
      <c r="B2053" s="7" t="s">
        <v>21</v>
      </c>
      <c r="C2053" s="7" t="s">
        <v>16</v>
      </c>
      <c r="D2053" s="7" t="s">
        <v>11</v>
      </c>
      <c r="E2053" s="7" t="s">
        <v>32</v>
      </c>
      <c r="F2053" s="3">
        <v>0</v>
      </c>
      <c r="G2053" s="3">
        <v>0</v>
      </c>
      <c r="H2053" s="3">
        <v>0</v>
      </c>
      <c r="I2053" s="3">
        <v>0</v>
      </c>
      <c r="J2053" s="3">
        <v>7.9015301366656202E-3</v>
      </c>
      <c r="K2053" s="3">
        <v>6.8757159663333199E-3</v>
      </c>
      <c r="L2053" s="3">
        <v>0</v>
      </c>
      <c r="M2053" s="3">
        <v>-1.5959455978986601E-16</v>
      </c>
      <c r="N2053" s="3">
        <v>0</v>
      </c>
      <c r="O2053" s="3">
        <v>1.5959455978986601E-16</v>
      </c>
      <c r="P2053" s="3">
        <v>0</v>
      </c>
    </row>
    <row r="2054" spans="1:16" x14ac:dyDescent="0.45">
      <c r="A2054" s="7" t="s">
        <v>79</v>
      </c>
      <c r="B2054" s="7" t="s">
        <v>21</v>
      </c>
      <c r="C2054" s="7" t="s">
        <v>16</v>
      </c>
      <c r="D2054" s="7" t="s">
        <v>12</v>
      </c>
      <c r="E2054" s="7" t="s">
        <v>32</v>
      </c>
      <c r="F2054" s="3">
        <v>0</v>
      </c>
      <c r="G2054" s="3">
        <v>0</v>
      </c>
      <c r="H2054" s="3">
        <v>0</v>
      </c>
      <c r="I2054" s="3">
        <v>8.8463680740544001E-3</v>
      </c>
      <c r="J2054" s="3">
        <v>1.5959455978986601E-16</v>
      </c>
      <c r="K2054" s="3">
        <v>0</v>
      </c>
      <c r="L2054" s="3">
        <v>1.5959455978986601E-16</v>
      </c>
      <c r="M2054" s="3">
        <v>0</v>
      </c>
      <c r="N2054" s="3">
        <v>0</v>
      </c>
      <c r="O2054" s="3">
        <v>-1.5959455978986601E-16</v>
      </c>
      <c r="P2054" s="3">
        <v>1.5959455978986601E-16</v>
      </c>
    </row>
    <row r="2055" spans="1:16" x14ac:dyDescent="0.45">
      <c r="A2055" s="7" t="s">
        <v>79</v>
      </c>
      <c r="B2055" s="7" t="s">
        <v>21</v>
      </c>
      <c r="C2055" s="7" t="s">
        <v>16</v>
      </c>
      <c r="D2055" s="7" t="s">
        <v>13</v>
      </c>
      <c r="E2055" s="7" t="s">
        <v>32</v>
      </c>
      <c r="F2055" s="3">
        <v>0</v>
      </c>
      <c r="G2055" s="3">
        <v>0</v>
      </c>
      <c r="H2055" s="3">
        <v>0</v>
      </c>
      <c r="I2055" s="3">
        <v>-1.78103965665227E-6</v>
      </c>
      <c r="J2055" s="3">
        <v>-1.5959455978986601E-16</v>
      </c>
      <c r="K2055" s="3">
        <v>1.5959455978986601E-16</v>
      </c>
      <c r="L2055" s="3">
        <v>0</v>
      </c>
      <c r="M2055" s="3">
        <v>0</v>
      </c>
      <c r="N2055" s="3">
        <v>1.5959455978986601E-16</v>
      </c>
      <c r="O2055" s="3">
        <v>0</v>
      </c>
      <c r="P2055" s="3">
        <v>-1.5959455978986601E-16</v>
      </c>
    </row>
    <row r="2056" spans="1:16" x14ac:dyDescent="0.45">
      <c r="A2056" s="7" t="s">
        <v>79</v>
      </c>
      <c r="B2056" s="7" t="s">
        <v>21</v>
      </c>
      <c r="C2056" s="7" t="s">
        <v>16</v>
      </c>
      <c r="D2056" s="7" t="s">
        <v>14</v>
      </c>
      <c r="E2056" s="7" t="s">
        <v>32</v>
      </c>
      <c r="F2056" s="3">
        <v>0</v>
      </c>
      <c r="G2056" s="3">
        <v>9.1425779518146694E-3</v>
      </c>
      <c r="H2056" s="3">
        <v>9.1425779518146694E-3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-1.5959455978986601E-16</v>
      </c>
      <c r="O2056" s="3">
        <v>1.5959455978986601E-16</v>
      </c>
      <c r="P2056" s="3">
        <v>0</v>
      </c>
    </row>
    <row r="2057" spans="1:16" x14ac:dyDescent="0.45">
      <c r="A2057" s="7" t="s">
        <v>79</v>
      </c>
      <c r="B2057" s="7" t="s">
        <v>21</v>
      </c>
      <c r="C2057" s="7" t="s">
        <v>17</v>
      </c>
      <c r="D2057" s="7" t="s">
        <v>7</v>
      </c>
      <c r="E2057" s="7" t="s">
        <v>32</v>
      </c>
      <c r="F2057" s="3">
        <v>0</v>
      </c>
      <c r="G2057" s="3">
        <v>0</v>
      </c>
      <c r="H2057" s="3">
        <v>0</v>
      </c>
      <c r="I2057" s="3">
        <v>0</v>
      </c>
      <c r="J2057" s="3">
        <v>1.23016674639178E-3</v>
      </c>
      <c r="K2057" s="3">
        <v>2.2165630224728699E-3</v>
      </c>
      <c r="L2057" s="3">
        <v>1.2645891210063499E-3</v>
      </c>
      <c r="M2057" s="3">
        <v>2.19408714766787E-5</v>
      </c>
      <c r="N2057" s="3">
        <v>0</v>
      </c>
      <c r="O2057" s="3">
        <v>0</v>
      </c>
      <c r="P2057" s="3">
        <v>0</v>
      </c>
    </row>
    <row r="2058" spans="1:16" x14ac:dyDescent="0.45">
      <c r="A2058" s="7" t="s">
        <v>79</v>
      </c>
      <c r="B2058" s="7" t="s">
        <v>21</v>
      </c>
      <c r="C2058" s="7" t="s">
        <v>17</v>
      </c>
      <c r="D2058" s="7" t="s">
        <v>9</v>
      </c>
      <c r="E2058" s="7" t="s">
        <v>32</v>
      </c>
      <c r="F2058" s="3">
        <v>0</v>
      </c>
      <c r="G2058" s="3">
        <v>0</v>
      </c>
      <c r="H2058" s="3">
        <v>0</v>
      </c>
      <c r="I2058" s="3">
        <v>3.6015947475040899E-4</v>
      </c>
      <c r="J2058" s="3">
        <v>5.5400985846722797E-5</v>
      </c>
      <c r="K2058" s="3">
        <v>1.12729571264323E-3</v>
      </c>
      <c r="L2058" s="3">
        <v>6.3509357894943504E-4</v>
      </c>
      <c r="M2058" s="3">
        <v>1.26362686076183E-3</v>
      </c>
      <c r="N2058" s="3">
        <v>2.1143105930485101E-2</v>
      </c>
      <c r="O2058" s="3">
        <v>3.4128669774070301E-2</v>
      </c>
      <c r="P2058" s="3">
        <v>3.4062896279809497E-2</v>
      </c>
    </row>
    <row r="2059" spans="1:16" x14ac:dyDescent="0.45">
      <c r="A2059" s="7" t="s">
        <v>79</v>
      </c>
      <c r="B2059" s="7" t="s">
        <v>21</v>
      </c>
      <c r="C2059" s="7" t="s">
        <v>17</v>
      </c>
      <c r="D2059" s="7" t="s">
        <v>10</v>
      </c>
      <c r="E2059" s="7" t="s">
        <v>32</v>
      </c>
      <c r="F2059" s="3">
        <v>0</v>
      </c>
      <c r="G2059" s="3">
        <v>0</v>
      </c>
      <c r="H2059" s="3">
        <v>0</v>
      </c>
      <c r="I2059" s="3">
        <v>4.2406606588368802E-5</v>
      </c>
      <c r="J2059" s="3">
        <v>7.4905773400800999E-4</v>
      </c>
      <c r="K2059" s="3">
        <v>-1.8880093338551099E-8</v>
      </c>
      <c r="L2059" s="3">
        <v>3.1846602278608201E-2</v>
      </c>
      <c r="M2059" s="3">
        <v>3.2937390802092799E-2</v>
      </c>
      <c r="N2059" s="3">
        <v>1.43600114276989E-2</v>
      </c>
      <c r="O2059" s="3">
        <v>1.9613142490544399E-3</v>
      </c>
      <c r="P2059" s="3">
        <v>2.2680657720098802E-3</v>
      </c>
    </row>
    <row r="2060" spans="1:16" x14ac:dyDescent="0.45">
      <c r="A2060" s="7" t="s">
        <v>79</v>
      </c>
      <c r="B2060" s="7" t="s">
        <v>21</v>
      </c>
      <c r="C2060" s="7" t="s">
        <v>17</v>
      </c>
      <c r="D2060" s="7" t="s">
        <v>11</v>
      </c>
      <c r="E2060" s="7" t="s">
        <v>32</v>
      </c>
      <c r="F2060" s="3">
        <v>0</v>
      </c>
      <c r="G2060" s="3">
        <v>0</v>
      </c>
      <c r="H2060" s="3">
        <v>0</v>
      </c>
      <c r="I2060" s="3">
        <v>2.8723216043700798E-4</v>
      </c>
      <c r="J2060" s="3">
        <v>2.2423551263658501E-2</v>
      </c>
      <c r="K2060" s="3">
        <v>3.0940945783705098E-2</v>
      </c>
      <c r="L2060" s="3">
        <v>1.92596998174099E-3</v>
      </c>
      <c r="M2060" s="3">
        <v>3.2477101264123298E-3</v>
      </c>
      <c r="N2060" s="3">
        <v>4.4385378363850604E-3</v>
      </c>
      <c r="O2060" s="3">
        <v>1.4778757465274E-2</v>
      </c>
      <c r="P2060" s="3">
        <v>1.8698610855129701E-2</v>
      </c>
    </row>
    <row r="2061" spans="1:16" x14ac:dyDescent="0.45">
      <c r="A2061" s="7" t="s">
        <v>79</v>
      </c>
      <c r="B2061" s="7" t="s">
        <v>21</v>
      </c>
      <c r="C2061" s="7" t="s">
        <v>17</v>
      </c>
      <c r="D2061" s="7" t="s">
        <v>12</v>
      </c>
      <c r="E2061" s="7" t="s">
        <v>32</v>
      </c>
      <c r="F2061" s="3">
        <v>0</v>
      </c>
      <c r="G2061" s="3">
        <v>0</v>
      </c>
      <c r="H2061" s="3">
        <v>0</v>
      </c>
      <c r="I2061" s="3">
        <v>1.6323938508490999E-2</v>
      </c>
      <c r="J2061" s="3">
        <v>1.19446940353069E-2</v>
      </c>
      <c r="K2061" s="3">
        <v>1.15111083088584E-2</v>
      </c>
      <c r="L2061" s="3">
        <v>1.8151522393795201E-2</v>
      </c>
      <c r="M2061" s="3">
        <v>2.0501737625483098E-2</v>
      </c>
      <c r="N2061" s="3">
        <v>2.5731808773338499E-2</v>
      </c>
      <c r="O2061" s="3">
        <v>2.5652006255748299E-2</v>
      </c>
      <c r="P2061" s="3">
        <v>3.2217744690411401E-2</v>
      </c>
    </row>
    <row r="2062" spans="1:16" x14ac:dyDescent="0.45">
      <c r="A2062" s="7" t="s">
        <v>79</v>
      </c>
      <c r="B2062" s="7" t="s">
        <v>21</v>
      </c>
      <c r="C2062" s="7" t="s">
        <v>17</v>
      </c>
      <c r="D2062" s="7" t="s">
        <v>13</v>
      </c>
      <c r="E2062" s="7" t="s">
        <v>32</v>
      </c>
      <c r="F2062" s="3">
        <v>0</v>
      </c>
      <c r="G2062" s="3">
        <v>0</v>
      </c>
      <c r="H2062" s="3">
        <v>0</v>
      </c>
      <c r="I2062" s="3">
        <v>2.2334487290399E-2</v>
      </c>
      <c r="J2062" s="3">
        <v>1.9166280442156299E-2</v>
      </c>
      <c r="K2062" s="3">
        <v>2.18686159303428E-2</v>
      </c>
      <c r="L2062" s="3">
        <v>3.2412309786903903E-2</v>
      </c>
      <c r="M2062" s="3">
        <v>5.1737258418049999E-2</v>
      </c>
      <c r="N2062" s="3">
        <v>7.0951469740750103E-2</v>
      </c>
      <c r="O2062" s="3">
        <v>8.8666959844582893E-2</v>
      </c>
      <c r="P2062" s="3">
        <v>0.109930010358276</v>
      </c>
    </row>
    <row r="2063" spans="1:16" x14ac:dyDescent="0.45">
      <c r="A2063" s="7" t="s">
        <v>79</v>
      </c>
      <c r="B2063" s="7" t="s">
        <v>21</v>
      </c>
      <c r="C2063" s="7" t="s">
        <v>17</v>
      </c>
      <c r="D2063" s="7" t="s">
        <v>14</v>
      </c>
      <c r="E2063" s="7" t="s">
        <v>32</v>
      </c>
      <c r="F2063" s="3">
        <v>0</v>
      </c>
      <c r="G2063" s="3">
        <v>4.4878950864116002E-2</v>
      </c>
      <c r="H2063" s="3">
        <v>4.4878950864116002E-2</v>
      </c>
      <c r="I2063" s="3">
        <v>1.40630758198537E-2</v>
      </c>
      <c r="J2063" s="3">
        <v>2.1906717078605999E-2</v>
      </c>
      <c r="K2063" s="3">
        <v>4.4370188054300999E-2</v>
      </c>
      <c r="L2063" s="3">
        <v>6.6753655158874298E-2</v>
      </c>
      <c r="M2063" s="3">
        <v>8.7600085402905203E-2</v>
      </c>
      <c r="N2063" s="3">
        <v>0.104961298556508</v>
      </c>
      <c r="O2063" s="3">
        <v>0.11453912678033699</v>
      </c>
      <c r="P2063" s="3">
        <v>0.106383302880285</v>
      </c>
    </row>
    <row r="2064" spans="1:16" x14ac:dyDescent="0.45">
      <c r="A2064" s="7" t="s">
        <v>79</v>
      </c>
      <c r="B2064" s="7" t="s">
        <v>21</v>
      </c>
      <c r="C2064" s="7" t="s">
        <v>18</v>
      </c>
      <c r="D2064" s="7" t="s">
        <v>7</v>
      </c>
      <c r="E2064" s="7" t="s">
        <v>32</v>
      </c>
      <c r="F2064" s="3">
        <v>9.3312683592452293E-3</v>
      </c>
      <c r="G2064" s="3">
        <v>6.1957769984766705E-5</v>
      </c>
      <c r="H2064" s="3">
        <v>6.1957769984766705E-5</v>
      </c>
      <c r="I2064" s="3">
        <v>4.1305179989841497E-5</v>
      </c>
      <c r="J2064" s="3">
        <v>2.0652589994929599E-5</v>
      </c>
      <c r="K2064" s="3">
        <v>1.32315937581969E-17</v>
      </c>
      <c r="L2064" s="3">
        <v>0</v>
      </c>
      <c r="M2064" s="3">
        <v>0</v>
      </c>
      <c r="N2064" s="3">
        <v>0</v>
      </c>
      <c r="O2064" s="3">
        <v>0</v>
      </c>
      <c r="P2064" s="3">
        <v>0</v>
      </c>
    </row>
    <row r="2065" spans="1:16" x14ac:dyDescent="0.45">
      <c r="A2065" s="7" t="s">
        <v>79</v>
      </c>
      <c r="B2065" s="7" t="s">
        <v>21</v>
      </c>
      <c r="C2065" s="7" t="s">
        <v>18</v>
      </c>
      <c r="D2065" s="7" t="s">
        <v>9</v>
      </c>
      <c r="E2065" s="7" t="s">
        <v>32</v>
      </c>
      <c r="F2065" s="3">
        <v>0</v>
      </c>
      <c r="G2065" s="3">
        <v>0</v>
      </c>
      <c r="H2065" s="3">
        <v>0</v>
      </c>
      <c r="I2065" s="3">
        <v>8.9040103415372098E-18</v>
      </c>
      <c r="J2065" s="3">
        <v>4.28937484489578E-18</v>
      </c>
      <c r="K2065" s="3">
        <v>-8.8210625054645695E-18</v>
      </c>
      <c r="L2065" s="3">
        <v>0</v>
      </c>
      <c r="M2065" s="3">
        <v>0</v>
      </c>
      <c r="N2065" s="3">
        <v>8.8210625054645695E-18</v>
      </c>
      <c r="O2065" s="3">
        <v>0</v>
      </c>
      <c r="P2065" s="3">
        <v>0</v>
      </c>
    </row>
    <row r="2066" spans="1:16" x14ac:dyDescent="0.45">
      <c r="A2066" s="7" t="s">
        <v>79</v>
      </c>
      <c r="B2066" s="7" t="s">
        <v>21</v>
      </c>
      <c r="C2066" s="7" t="s">
        <v>18</v>
      </c>
      <c r="D2066" s="7" t="s">
        <v>10</v>
      </c>
      <c r="E2066" s="7" t="s">
        <v>32</v>
      </c>
      <c r="F2066" s="3">
        <v>0</v>
      </c>
      <c r="G2066" s="3">
        <v>0</v>
      </c>
      <c r="H2066" s="3">
        <v>0</v>
      </c>
      <c r="I2066" s="3">
        <v>4.28937484489578E-18</v>
      </c>
      <c r="J2066" s="3">
        <v>-8.7379918838753608E-18</v>
      </c>
      <c r="K2066" s="3">
        <v>-4.4105312527322801E-18</v>
      </c>
      <c r="L2066" s="3">
        <v>0</v>
      </c>
      <c r="M2066" s="3">
        <v>3.0873718769125901E-17</v>
      </c>
      <c r="N2066" s="3">
        <v>8.8210625054646296E-18</v>
      </c>
      <c r="O2066" s="3">
        <v>2.2052656263661501E-17</v>
      </c>
      <c r="P2066" s="3">
        <v>0</v>
      </c>
    </row>
    <row r="2067" spans="1:16" x14ac:dyDescent="0.45">
      <c r="A2067" s="7" t="s">
        <v>79</v>
      </c>
      <c r="B2067" s="7" t="s">
        <v>21</v>
      </c>
      <c r="C2067" s="7" t="s">
        <v>18</v>
      </c>
      <c r="D2067" s="7" t="s">
        <v>11</v>
      </c>
      <c r="E2067" s="7" t="s">
        <v>32</v>
      </c>
      <c r="F2067" s="3">
        <v>0</v>
      </c>
      <c r="G2067" s="3">
        <v>-1.3200161450011E-17</v>
      </c>
      <c r="H2067" s="3">
        <v>-1.3200161450011E-17</v>
      </c>
      <c r="I2067" s="3">
        <v>-4.28937484489578E-18</v>
      </c>
      <c r="J2067" s="3">
        <v>-4.4520051707686003E-18</v>
      </c>
      <c r="K2067" s="3">
        <v>0</v>
      </c>
      <c r="L2067" s="3">
        <v>8.8210625054645695E-18</v>
      </c>
      <c r="M2067" s="3">
        <v>-1.32315937581967E-17</v>
      </c>
      <c r="N2067" s="3">
        <v>-8.8210625054646296E-18</v>
      </c>
      <c r="O2067" s="3">
        <v>-2.2052656263661501E-17</v>
      </c>
      <c r="P2067" s="3">
        <v>5.7336906285519794E-17</v>
      </c>
    </row>
    <row r="2068" spans="1:16" x14ac:dyDescent="0.45">
      <c r="A2068" s="7" t="s">
        <v>79</v>
      </c>
      <c r="B2068" s="7" t="s">
        <v>21</v>
      </c>
      <c r="C2068" s="7" t="s">
        <v>18</v>
      </c>
      <c r="D2068" s="7" t="s">
        <v>12</v>
      </c>
      <c r="E2068" s="7" t="s">
        <v>32</v>
      </c>
      <c r="F2068" s="3">
        <v>0</v>
      </c>
      <c r="G2068" s="3">
        <v>0</v>
      </c>
      <c r="H2068" s="3">
        <v>0</v>
      </c>
      <c r="I2068" s="3">
        <v>-4.4587814343466401E-18</v>
      </c>
      <c r="J2068" s="3">
        <v>-3.0825223016478498E-17</v>
      </c>
      <c r="K2068" s="3">
        <v>0</v>
      </c>
      <c r="L2068" s="3">
        <v>-8.8210625054645695E-18</v>
      </c>
      <c r="M2068" s="3">
        <v>-1.7642125010929201E-17</v>
      </c>
      <c r="N2068" s="3">
        <v>0</v>
      </c>
      <c r="O2068" s="3">
        <v>0</v>
      </c>
      <c r="P2068" s="3">
        <v>-5.7336906285519794E-17</v>
      </c>
    </row>
    <row r="2069" spans="1:16" x14ac:dyDescent="0.45">
      <c r="A2069" s="7" t="s">
        <v>79</v>
      </c>
      <c r="B2069" s="7" t="s">
        <v>21</v>
      </c>
      <c r="C2069" s="7" t="s">
        <v>18</v>
      </c>
      <c r="D2069" s="7" t="s">
        <v>13</v>
      </c>
      <c r="E2069" s="7" t="s">
        <v>32</v>
      </c>
      <c r="F2069" s="3">
        <v>0</v>
      </c>
      <c r="G2069" s="3">
        <v>-4.4452289071905697E-18</v>
      </c>
      <c r="H2069" s="3">
        <v>-4.4452289071905697E-18</v>
      </c>
      <c r="I2069" s="3">
        <v>1.76453903572016E-17</v>
      </c>
      <c r="J2069" s="3">
        <v>9.6934450483782106E-17</v>
      </c>
      <c r="K2069" s="3">
        <v>0</v>
      </c>
      <c r="L2069" s="3">
        <v>1.3672646883470101E-16</v>
      </c>
      <c r="M2069" s="3">
        <v>7.0568500043716704E-17</v>
      </c>
      <c r="N2069" s="3">
        <v>-8.8210625054645695E-18</v>
      </c>
      <c r="O2069" s="3">
        <v>1.7642125010929201E-17</v>
      </c>
      <c r="P2069" s="3">
        <v>4.4987418777869301E-16</v>
      </c>
    </row>
    <row r="2070" spans="1:16" x14ac:dyDescent="0.45">
      <c r="A2070" s="7" t="s">
        <v>79</v>
      </c>
      <c r="B2070" s="7" t="s">
        <v>21</v>
      </c>
      <c r="C2070" s="7" t="s">
        <v>18</v>
      </c>
      <c r="D2070" s="7" t="s">
        <v>14</v>
      </c>
      <c r="E2070" s="7" t="s">
        <v>32</v>
      </c>
      <c r="F2070" s="3">
        <v>0</v>
      </c>
      <c r="G2070" s="3">
        <v>-8.9040103415372098E-18</v>
      </c>
      <c r="H2070" s="3">
        <v>-8.9040103415372098E-18</v>
      </c>
      <c r="I2070" s="3">
        <v>-1.76453903572016E-17</v>
      </c>
      <c r="J2070" s="3">
        <v>-7.9295836390158605E-17</v>
      </c>
      <c r="K2070" s="3">
        <v>0</v>
      </c>
      <c r="L2070" s="3">
        <v>2.6463187516393801E-17</v>
      </c>
      <c r="M2070" s="3">
        <v>-4.4105312527323002E-17</v>
      </c>
      <c r="N2070" s="3">
        <v>0</v>
      </c>
      <c r="O2070" s="3">
        <v>1.7642125010929E-17</v>
      </c>
      <c r="P2070" s="3">
        <v>-4.0135834399863799E-16</v>
      </c>
    </row>
    <row r="2071" spans="1:16" x14ac:dyDescent="0.45">
      <c r="A2071" s="7" t="s">
        <v>79</v>
      </c>
      <c r="B2071" s="7" t="s">
        <v>21</v>
      </c>
      <c r="C2071" s="7" t="s">
        <v>19</v>
      </c>
      <c r="D2071" s="7" t="s">
        <v>12</v>
      </c>
      <c r="E2071" s="7" t="s">
        <v>32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4.3441024628789703E-3</v>
      </c>
      <c r="N2071" s="3">
        <v>1.4350824938213999E-2</v>
      </c>
      <c r="O2071" s="3">
        <v>3.7387562946522797E-2</v>
      </c>
      <c r="P2071" s="3">
        <v>4.9459894460976699E-2</v>
      </c>
    </row>
    <row r="2072" spans="1:16" x14ac:dyDescent="0.45">
      <c r="A2072" s="7" t="s">
        <v>79</v>
      </c>
      <c r="B2072" s="7" t="s">
        <v>21</v>
      </c>
      <c r="C2072" s="7" t="s">
        <v>19</v>
      </c>
      <c r="D2072" s="7" t="s">
        <v>13</v>
      </c>
      <c r="E2072" s="7" t="s">
        <v>32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1.23525453670417E-2</v>
      </c>
      <c r="L2072" s="3">
        <v>4.10085426188933E-2</v>
      </c>
      <c r="M2072" s="3">
        <v>8.5090719778999402E-2</v>
      </c>
      <c r="N2072" s="3">
        <v>0.13544804959182399</v>
      </c>
      <c r="O2072" s="3">
        <v>0.18029602156516999</v>
      </c>
      <c r="P2072" s="3">
        <v>0.23468413346772499</v>
      </c>
    </row>
    <row r="2073" spans="1:16" x14ac:dyDescent="0.45">
      <c r="A2073" s="7" t="s">
        <v>79</v>
      </c>
      <c r="B2073" s="7" t="s">
        <v>21</v>
      </c>
      <c r="C2073" s="7" t="s">
        <v>19</v>
      </c>
      <c r="D2073" s="7" t="s">
        <v>14</v>
      </c>
      <c r="E2073" s="7" t="s">
        <v>32</v>
      </c>
      <c r="F2073" s="3">
        <v>0</v>
      </c>
      <c r="G2073" s="3">
        <v>0</v>
      </c>
      <c r="H2073" s="3">
        <v>0</v>
      </c>
      <c r="I2073" s="3">
        <v>0</v>
      </c>
      <c r="J2073" s="3">
        <v>2.7729631159297899E-2</v>
      </c>
      <c r="K2073" s="3">
        <v>7.6228078779831704E-2</v>
      </c>
      <c r="L2073" s="3">
        <v>0.15146940479229301</v>
      </c>
      <c r="M2073" s="3">
        <v>0.21146569131528001</v>
      </c>
      <c r="N2073" s="3">
        <v>0.25293178436652197</v>
      </c>
      <c r="O2073" s="3">
        <v>0.271265626925076</v>
      </c>
      <c r="P2073" s="3">
        <v>0.25179430638121197</v>
      </c>
    </row>
    <row r="2074" spans="1:16" x14ac:dyDescent="0.45">
      <c r="A2074" s="7" t="s">
        <v>80</v>
      </c>
      <c r="B2074" s="7" t="s">
        <v>29</v>
      </c>
      <c r="C2074" s="7" t="s">
        <v>6</v>
      </c>
      <c r="D2074" s="7" t="s">
        <v>7</v>
      </c>
      <c r="E2074" s="7" t="s">
        <v>32</v>
      </c>
      <c r="F2074" s="3">
        <v>0</v>
      </c>
      <c r="G2074" s="3">
        <v>0</v>
      </c>
      <c r="H2074" s="3">
        <v>0</v>
      </c>
      <c r="I2074" s="3">
        <v>8.3554610730180302E-5</v>
      </c>
      <c r="J2074" s="3">
        <v>3.7840548889109602E-4</v>
      </c>
      <c r="K2074" s="3">
        <v>7.1428147137322202E-4</v>
      </c>
      <c r="L2074" s="3">
        <v>4.5446342578353697E-5</v>
      </c>
      <c r="M2074" s="3">
        <v>0</v>
      </c>
      <c r="N2074" s="3">
        <v>0</v>
      </c>
      <c r="O2074" s="3">
        <v>0</v>
      </c>
      <c r="P2074" s="3">
        <v>0</v>
      </c>
    </row>
    <row r="2075" spans="1:16" x14ac:dyDescent="0.45">
      <c r="A2075" s="7" t="s">
        <v>80</v>
      </c>
      <c r="B2075" s="7" t="s">
        <v>29</v>
      </c>
      <c r="C2075" s="7" t="s">
        <v>6</v>
      </c>
      <c r="D2075" s="7" t="s">
        <v>9</v>
      </c>
      <c r="E2075" s="7" t="s">
        <v>32</v>
      </c>
      <c r="F2075" s="3">
        <v>0</v>
      </c>
      <c r="G2075" s="3">
        <v>0</v>
      </c>
      <c r="H2075" s="3">
        <v>0</v>
      </c>
      <c r="I2075" s="3">
        <v>1.7766136039138299E-4</v>
      </c>
      <c r="J2075" s="3">
        <v>2.4298951969772801E-4</v>
      </c>
      <c r="K2075" s="3">
        <v>4.2367832188305599E-4</v>
      </c>
      <c r="L2075" s="3">
        <v>5.03608196256504E-4</v>
      </c>
      <c r="M2075" s="3">
        <v>5.1999014244360499E-4</v>
      </c>
      <c r="N2075" s="3">
        <v>5.0964750596515997E-4</v>
      </c>
      <c r="O2075" s="3">
        <v>5.0901558550704501E-4</v>
      </c>
      <c r="P2075" s="3">
        <v>5.0901558550704501E-4</v>
      </c>
    </row>
    <row r="2076" spans="1:16" x14ac:dyDescent="0.45">
      <c r="A2076" s="7" t="s">
        <v>80</v>
      </c>
      <c r="B2076" s="7" t="s">
        <v>29</v>
      </c>
      <c r="C2076" s="7" t="s">
        <v>6</v>
      </c>
      <c r="D2076" s="7" t="s">
        <v>10</v>
      </c>
      <c r="E2076" s="7" t="s">
        <v>32</v>
      </c>
      <c r="F2076" s="3">
        <v>0</v>
      </c>
      <c r="G2076" s="3">
        <v>0</v>
      </c>
      <c r="H2076" s="3">
        <v>0</v>
      </c>
      <c r="I2076" s="3">
        <v>8.07983898872585E-5</v>
      </c>
      <c r="J2076" s="3">
        <v>8.4018360588490403E-5</v>
      </c>
      <c r="K2076" s="3">
        <v>3.1298661191376002E-4</v>
      </c>
      <c r="L2076" s="3">
        <v>1.2952149051681901E-4</v>
      </c>
      <c r="M2076" s="3">
        <v>1.41508735870249E-4</v>
      </c>
      <c r="N2076" s="3">
        <v>2.2543282295608398E-3</v>
      </c>
      <c r="O2076" s="3">
        <v>3.70712997635958E-3</v>
      </c>
      <c r="P2076" s="3">
        <v>8.8104157014830004E-3</v>
      </c>
    </row>
    <row r="2077" spans="1:16" x14ac:dyDescent="0.45">
      <c r="A2077" s="7" t="s">
        <v>80</v>
      </c>
      <c r="B2077" s="7" t="s">
        <v>29</v>
      </c>
      <c r="C2077" s="7" t="s">
        <v>6</v>
      </c>
      <c r="D2077" s="7" t="s">
        <v>11</v>
      </c>
      <c r="E2077" s="7" t="s">
        <v>32</v>
      </c>
      <c r="F2077" s="3">
        <v>0</v>
      </c>
      <c r="G2077" s="3">
        <v>0</v>
      </c>
      <c r="H2077" s="3">
        <v>0</v>
      </c>
      <c r="I2077" s="3">
        <v>1.4214987014010599E-4</v>
      </c>
      <c r="J2077" s="3">
        <v>7.2090180104354901E-4</v>
      </c>
      <c r="K2077" s="3">
        <v>6.2780729719489703E-4</v>
      </c>
      <c r="L2077" s="3">
        <v>2.9127417850192002E-3</v>
      </c>
      <c r="M2077" s="3">
        <v>9.8810081895228698E-3</v>
      </c>
      <c r="N2077" s="3">
        <v>1.25975523823288E-2</v>
      </c>
      <c r="O2077" s="3">
        <v>1.6874351505883501E-2</v>
      </c>
      <c r="P2077" s="3">
        <v>2.89742490798361E-2</v>
      </c>
    </row>
    <row r="2078" spans="1:16" x14ac:dyDescent="0.45">
      <c r="A2078" s="7" t="s">
        <v>80</v>
      </c>
      <c r="B2078" s="7" t="s">
        <v>29</v>
      </c>
      <c r="C2078" s="7" t="s">
        <v>6</v>
      </c>
      <c r="D2078" s="7" t="s">
        <v>12</v>
      </c>
      <c r="E2078" s="7" t="s">
        <v>32</v>
      </c>
      <c r="F2078" s="3">
        <v>0</v>
      </c>
      <c r="G2078" s="3">
        <v>0</v>
      </c>
      <c r="H2078" s="3">
        <v>0</v>
      </c>
      <c r="I2078" s="3">
        <v>1.37538802536756E-4</v>
      </c>
      <c r="J2078" s="3">
        <v>3.4402409770405099E-3</v>
      </c>
      <c r="K2078" s="3">
        <v>1.20519495694226E-2</v>
      </c>
      <c r="L2078" s="3">
        <v>1.7002910181398601E-2</v>
      </c>
      <c r="M2078" s="3">
        <v>3.1419025002671103E-2</v>
      </c>
      <c r="N2078" s="3">
        <v>4.9419018018399298E-2</v>
      </c>
      <c r="O2078" s="3">
        <v>6.5937144467688696E-2</v>
      </c>
      <c r="P2078" s="3">
        <v>6.9161476584585393E-2</v>
      </c>
    </row>
    <row r="2079" spans="1:16" x14ac:dyDescent="0.45">
      <c r="A2079" s="7" t="s">
        <v>80</v>
      </c>
      <c r="B2079" s="7" t="s">
        <v>29</v>
      </c>
      <c r="C2079" s="7" t="s">
        <v>6</v>
      </c>
      <c r="D2079" s="7" t="s">
        <v>13</v>
      </c>
      <c r="E2079" s="7" t="s">
        <v>32</v>
      </c>
      <c r="F2079" s="3">
        <v>0</v>
      </c>
      <c r="G2079" s="3">
        <v>3.0130179525046299E-5</v>
      </c>
      <c r="H2079" s="3">
        <v>3.0130179525046299E-5</v>
      </c>
      <c r="I2079" s="3">
        <v>8.72284736532122E-3</v>
      </c>
      <c r="J2079" s="3">
        <v>3.2984211651560097E-2</v>
      </c>
      <c r="K2079" s="3">
        <v>5.2446294554930099E-2</v>
      </c>
      <c r="L2079" s="3">
        <v>7.1268763408947999E-2</v>
      </c>
      <c r="M2079" s="3">
        <v>7.3928043557353607E-2</v>
      </c>
      <c r="N2079" s="3">
        <v>7.4310313954069507E-2</v>
      </c>
      <c r="O2079" s="3">
        <v>7.4905034415253896E-2</v>
      </c>
      <c r="P2079" s="3">
        <v>7.8955007801277705E-2</v>
      </c>
    </row>
    <row r="2080" spans="1:16" x14ac:dyDescent="0.45">
      <c r="A2080" s="7" t="s">
        <v>80</v>
      </c>
      <c r="B2080" s="7" t="s">
        <v>29</v>
      </c>
      <c r="C2080" s="7" t="s">
        <v>6</v>
      </c>
      <c r="D2080" s="7" t="s">
        <v>14</v>
      </c>
      <c r="E2080" s="7" t="s">
        <v>32</v>
      </c>
      <c r="F2080" s="3">
        <v>0</v>
      </c>
      <c r="G2080" s="3">
        <v>1.1409326734725599E-3</v>
      </c>
      <c r="H2080" s="3">
        <v>1.1409326734725599E-3</v>
      </c>
      <c r="I2080" s="3">
        <v>2.3070626168879602E-2</v>
      </c>
      <c r="J2080" s="3">
        <v>2.44626792742169E-2</v>
      </c>
      <c r="K2080" s="3">
        <v>2.7480750857749901E-2</v>
      </c>
      <c r="L2080" s="3">
        <v>3.6436703494142297E-2</v>
      </c>
      <c r="M2080" s="3">
        <v>4.8060306139163698E-2</v>
      </c>
      <c r="N2080" s="3">
        <v>6.1850681514096499E-2</v>
      </c>
      <c r="O2080" s="3">
        <v>7.5122362353144803E-2</v>
      </c>
      <c r="P2080" s="3">
        <v>8.12306850000485E-2</v>
      </c>
    </row>
    <row r="2081" spans="1:16" x14ac:dyDescent="0.45">
      <c r="A2081" s="7" t="s">
        <v>80</v>
      </c>
      <c r="B2081" s="7" t="s">
        <v>29</v>
      </c>
      <c r="C2081" s="7" t="s">
        <v>15</v>
      </c>
      <c r="D2081" s="7" t="s">
        <v>7</v>
      </c>
      <c r="E2081" s="7" t="s">
        <v>32</v>
      </c>
      <c r="F2081" s="3">
        <v>4.8372087100824003E-2</v>
      </c>
      <c r="G2081" s="3">
        <v>5.3447074510472897E-2</v>
      </c>
      <c r="H2081" s="3">
        <v>5.3447074510472897E-2</v>
      </c>
      <c r="I2081" s="3">
        <v>4.8165418805185801E-2</v>
      </c>
      <c r="J2081" s="3">
        <v>5.1879209772096598E-2</v>
      </c>
      <c r="K2081" s="3">
        <v>5.6320148434182399E-2</v>
      </c>
      <c r="L2081" s="3">
        <v>5.85164352819844E-2</v>
      </c>
      <c r="M2081" s="3">
        <v>6.0100007584959599E-2</v>
      </c>
      <c r="N2081" s="3">
        <v>6.1736433591135502E-2</v>
      </c>
      <c r="O2081" s="3">
        <v>6.3237674386506307E-2</v>
      </c>
      <c r="P2081" s="3">
        <v>6.4523923471082295E-2</v>
      </c>
    </row>
    <row r="2082" spans="1:16" x14ac:dyDescent="0.45">
      <c r="A2082" s="7" t="s">
        <v>80</v>
      </c>
      <c r="B2082" s="7" t="s">
        <v>29</v>
      </c>
      <c r="C2082" s="7" t="s">
        <v>15</v>
      </c>
      <c r="D2082" s="7" t="s">
        <v>9</v>
      </c>
      <c r="E2082" s="7" t="s">
        <v>32</v>
      </c>
      <c r="F2082" s="3">
        <v>0</v>
      </c>
      <c r="G2082" s="3">
        <v>-5.8837028296766798E-5</v>
      </c>
      <c r="H2082" s="3">
        <v>-5.8837028296766798E-5</v>
      </c>
      <c r="I2082" s="3">
        <v>-7.6771352160560899E-5</v>
      </c>
      <c r="J2082" s="3">
        <v>2.0771321391020701E-5</v>
      </c>
      <c r="K2082" s="3">
        <v>-5.0880648249859703E-5</v>
      </c>
      <c r="L2082" s="3">
        <v>-5.1805076553940903E-4</v>
      </c>
      <c r="M2082" s="3">
        <v>-1.0689265179867999E-3</v>
      </c>
      <c r="N2082" s="3">
        <v>-1.8054298002177799E-3</v>
      </c>
      <c r="O2082" s="3">
        <v>-2.51807792844681E-3</v>
      </c>
      <c r="P2082" s="3">
        <v>-3.1969714065552099E-3</v>
      </c>
    </row>
    <row r="2083" spans="1:16" x14ac:dyDescent="0.45">
      <c r="A2083" s="7" t="s">
        <v>80</v>
      </c>
      <c r="B2083" s="7" t="s">
        <v>29</v>
      </c>
      <c r="C2083" s="7" t="s">
        <v>15</v>
      </c>
      <c r="D2083" s="7" t="s">
        <v>10</v>
      </c>
      <c r="E2083" s="7" t="s">
        <v>32</v>
      </c>
      <c r="F2083" s="3">
        <v>0</v>
      </c>
      <c r="G2083" s="3">
        <v>-1.0795315467451699E-6</v>
      </c>
      <c r="H2083" s="3">
        <v>-1.0795315467451699E-6</v>
      </c>
      <c r="I2083" s="3">
        <v>-4.7893070648723197E-5</v>
      </c>
      <c r="J2083" s="3">
        <v>1.2816286335391701E-5</v>
      </c>
      <c r="K2083" s="3">
        <v>-2.8106173190785999E-4</v>
      </c>
      <c r="L2083" s="3">
        <v>-6.14765708601327E-4</v>
      </c>
      <c r="M2083" s="3">
        <v>-6.2774052107510104E-4</v>
      </c>
      <c r="N2083" s="3">
        <v>-1.3341591265547001E-4</v>
      </c>
      <c r="O2083" s="3">
        <v>-1.9280216268643301E-4</v>
      </c>
      <c r="P2083" s="3">
        <v>-2.2791847967369001E-4</v>
      </c>
    </row>
    <row r="2084" spans="1:16" x14ac:dyDescent="0.45">
      <c r="A2084" s="7" t="s">
        <v>80</v>
      </c>
      <c r="B2084" s="7" t="s">
        <v>29</v>
      </c>
      <c r="C2084" s="7" t="s">
        <v>15</v>
      </c>
      <c r="D2084" s="7" t="s">
        <v>11</v>
      </c>
      <c r="E2084" s="7" t="s">
        <v>32</v>
      </c>
      <c r="F2084" s="3">
        <v>0</v>
      </c>
      <c r="G2084" s="3">
        <v>4.23369981080585E-6</v>
      </c>
      <c r="H2084" s="3">
        <v>4.23369981080585E-6</v>
      </c>
      <c r="I2084" s="3">
        <v>-3.4724028193898498E-5</v>
      </c>
      <c r="J2084" s="3">
        <v>-3.2291535443351E-4</v>
      </c>
      <c r="K2084" s="3">
        <v>-3.3325469968201199E-4</v>
      </c>
      <c r="L2084" s="3">
        <v>9.860303984171731E-4</v>
      </c>
      <c r="M2084" s="3">
        <v>9.8656217355652708E-4</v>
      </c>
      <c r="N2084" s="3">
        <v>5.2941144041789001E-4</v>
      </c>
      <c r="O2084" s="3">
        <v>3.2283931859573199E-4</v>
      </c>
      <c r="P2084" s="3">
        <v>6.4193940560786103E-5</v>
      </c>
    </row>
    <row r="2085" spans="1:16" x14ac:dyDescent="0.45">
      <c r="A2085" s="7" t="s">
        <v>80</v>
      </c>
      <c r="B2085" s="7" t="s">
        <v>29</v>
      </c>
      <c r="C2085" s="7" t="s">
        <v>15</v>
      </c>
      <c r="D2085" s="7" t="s">
        <v>12</v>
      </c>
      <c r="E2085" s="7" t="s">
        <v>32</v>
      </c>
      <c r="F2085" s="3">
        <v>0</v>
      </c>
      <c r="G2085" s="3">
        <v>1.8182358104759699E-6</v>
      </c>
      <c r="H2085" s="3">
        <v>1.8182358104759699E-6</v>
      </c>
      <c r="I2085" s="3">
        <v>-4.2762799979881999E-4</v>
      </c>
      <c r="J2085" s="3">
        <v>4.0154367491373999E-4</v>
      </c>
      <c r="K2085" s="3">
        <v>1.0551876274395499E-3</v>
      </c>
      <c r="L2085" s="3">
        <v>-5.6255011408838705E-4</v>
      </c>
      <c r="M2085" s="3">
        <v>-1.3543100526861899E-3</v>
      </c>
      <c r="N2085" s="3">
        <v>-1.3114404431914101E-3</v>
      </c>
      <c r="O2085" s="3">
        <v>-1.09414633458095E-3</v>
      </c>
      <c r="P2085" s="3">
        <v>-9.0668580716062703E-4</v>
      </c>
    </row>
    <row r="2086" spans="1:16" x14ac:dyDescent="0.45">
      <c r="A2086" s="7" t="s">
        <v>80</v>
      </c>
      <c r="B2086" s="7" t="s">
        <v>29</v>
      </c>
      <c r="C2086" s="7" t="s">
        <v>15</v>
      </c>
      <c r="D2086" s="7" t="s">
        <v>13</v>
      </c>
      <c r="E2086" s="7" t="s">
        <v>32</v>
      </c>
      <c r="F2086" s="3">
        <v>0</v>
      </c>
      <c r="G2086" s="3">
        <v>-3.8945086674244101E-4</v>
      </c>
      <c r="H2086" s="3">
        <v>-3.8945086674244101E-4</v>
      </c>
      <c r="I2086" s="3">
        <v>9.0007406778942105E-4</v>
      </c>
      <c r="J2086" s="3">
        <v>-8.6321004032519804E-4</v>
      </c>
      <c r="K2086" s="3">
        <v>-2.5032278760732701E-3</v>
      </c>
      <c r="L2086" s="3">
        <v>-1.0391814313028701E-3</v>
      </c>
      <c r="M2086" s="3">
        <v>1.03981301761251E-4</v>
      </c>
      <c r="N2086" s="3">
        <v>-5.33278550157341E-4</v>
      </c>
      <c r="O2086" s="3">
        <v>-7.4493292187369198E-4</v>
      </c>
      <c r="P2086" s="3">
        <v>-9.52142742892098E-4</v>
      </c>
    </row>
    <row r="2087" spans="1:16" x14ac:dyDescent="0.45">
      <c r="A2087" s="7" t="s">
        <v>80</v>
      </c>
      <c r="B2087" s="7" t="s">
        <v>29</v>
      </c>
      <c r="C2087" s="7" t="s">
        <v>15</v>
      </c>
      <c r="D2087" s="7" t="s">
        <v>14</v>
      </c>
      <c r="E2087" s="7" t="s">
        <v>32</v>
      </c>
      <c r="F2087" s="3">
        <v>0</v>
      </c>
      <c r="G2087" s="3">
        <v>9.3370948953772797E-4</v>
      </c>
      <c r="H2087" s="3">
        <v>9.3370948953772797E-4</v>
      </c>
      <c r="I2087" s="3">
        <v>1.3180425129760401E-3</v>
      </c>
      <c r="J2087" s="3">
        <v>6.7952639828225403E-4</v>
      </c>
      <c r="K2087" s="3">
        <v>-2.7645872485017298E-4</v>
      </c>
      <c r="L2087" s="3">
        <v>-9.837718185348801E-4</v>
      </c>
      <c r="M2087" s="3">
        <v>-1.4351776717692699E-3</v>
      </c>
      <c r="N2087" s="3">
        <v>-1.20348259165194E-3</v>
      </c>
      <c r="O2087" s="3">
        <v>-1.0180212949099201E-3</v>
      </c>
      <c r="P2087" s="3">
        <v>-1.4173577581794901E-3</v>
      </c>
    </row>
    <row r="2088" spans="1:16" x14ac:dyDescent="0.45">
      <c r="A2088" s="7" t="s">
        <v>80</v>
      </c>
      <c r="B2088" s="7" t="s">
        <v>29</v>
      </c>
      <c r="C2088" s="7" t="s">
        <v>16</v>
      </c>
      <c r="D2088" s="7" t="s">
        <v>7</v>
      </c>
      <c r="E2088" s="7" t="s">
        <v>32</v>
      </c>
      <c r="F2088" s="3">
        <v>2.0649581305732499E-2</v>
      </c>
      <c r="G2088" s="3">
        <v>2.2043472929802299E-2</v>
      </c>
      <c r="H2088" s="3">
        <v>2.2043472929802299E-2</v>
      </c>
      <c r="I2088" s="3">
        <v>2.1598914427366299E-2</v>
      </c>
      <c r="J2088" s="3">
        <v>2.1598891322721098E-2</v>
      </c>
      <c r="K2088" s="3">
        <v>2.1404345826819601E-2</v>
      </c>
      <c r="L2088" s="3">
        <v>2.1598891322721098E-2</v>
      </c>
      <c r="M2088" s="3">
        <v>2.1598891322721098E-2</v>
      </c>
      <c r="N2088" s="3">
        <v>2.1598891322721098E-2</v>
      </c>
      <c r="O2088" s="3">
        <v>2.1598891322721098E-2</v>
      </c>
      <c r="P2088" s="3">
        <v>2.1598891322721098E-2</v>
      </c>
    </row>
    <row r="2089" spans="1:16" x14ac:dyDescent="0.45">
      <c r="A2089" s="7" t="s">
        <v>80</v>
      </c>
      <c r="B2089" s="7" t="s">
        <v>29</v>
      </c>
      <c r="C2089" s="7" t="s">
        <v>16</v>
      </c>
      <c r="D2089" s="7" t="s">
        <v>9</v>
      </c>
      <c r="E2089" s="7" t="s">
        <v>32</v>
      </c>
      <c r="F2089" s="3">
        <v>0</v>
      </c>
      <c r="G2089" s="3">
        <v>-5.46027112784814E-6</v>
      </c>
      <c r="H2089" s="3">
        <v>-5.46027112784814E-6</v>
      </c>
      <c r="I2089" s="3">
        <v>-5.4577887009070501E-6</v>
      </c>
      <c r="J2089" s="3">
        <v>-2.07379862822314E-4</v>
      </c>
      <c r="K2089" s="3">
        <v>-2.84504321683247E-5</v>
      </c>
      <c r="L2089" s="3">
        <v>-1.97855848101901E-4</v>
      </c>
      <c r="M2089" s="3">
        <v>-1.8220449556260001E-4</v>
      </c>
      <c r="N2089" s="3">
        <v>-1.8102524473103401E-3</v>
      </c>
      <c r="O2089" s="3">
        <v>-1.8098890879257299E-3</v>
      </c>
      <c r="P2089" s="3">
        <v>-1.8098890879257299E-3</v>
      </c>
    </row>
    <row r="2090" spans="1:16" x14ac:dyDescent="0.45">
      <c r="A2090" s="7" t="s">
        <v>80</v>
      </c>
      <c r="B2090" s="7" t="s">
        <v>29</v>
      </c>
      <c r="C2090" s="7" t="s">
        <v>16</v>
      </c>
      <c r="D2090" s="7" t="s">
        <v>10</v>
      </c>
      <c r="E2090" s="7" t="s">
        <v>32</v>
      </c>
      <c r="F2090" s="3">
        <v>0</v>
      </c>
      <c r="G2090" s="3">
        <v>-3.4694469519536099E-17</v>
      </c>
      <c r="H2090" s="3">
        <v>-3.4694469519536099E-17</v>
      </c>
      <c r="I2090" s="3">
        <v>0</v>
      </c>
      <c r="J2090" s="3">
        <v>9.5240147204439501E-6</v>
      </c>
      <c r="K2090" s="3">
        <v>-1.84141731511208E-4</v>
      </c>
      <c r="L2090" s="3">
        <v>-1.61203323982383E-3</v>
      </c>
      <c r="M2090" s="3">
        <v>-1.62768459236313E-3</v>
      </c>
      <c r="N2090" s="3">
        <v>3.6335938461209998E-7</v>
      </c>
      <c r="O2090" s="3">
        <v>0</v>
      </c>
      <c r="P2090" s="3">
        <v>0</v>
      </c>
    </row>
    <row r="2091" spans="1:16" x14ac:dyDescent="0.45">
      <c r="A2091" s="7" t="s">
        <v>80</v>
      </c>
      <c r="B2091" s="7" t="s">
        <v>29</v>
      </c>
      <c r="C2091" s="7" t="s">
        <v>16</v>
      </c>
      <c r="D2091" s="7" t="s">
        <v>11</v>
      </c>
      <c r="E2091" s="7" t="s">
        <v>32</v>
      </c>
      <c r="F2091" s="3">
        <v>0</v>
      </c>
      <c r="G2091" s="3">
        <v>3.4694469519536099E-17</v>
      </c>
      <c r="H2091" s="3">
        <v>3.4694469519536099E-17</v>
      </c>
      <c r="I2091" s="3">
        <v>0</v>
      </c>
      <c r="J2091" s="3">
        <v>-1.6120332398238599E-3</v>
      </c>
      <c r="K2091" s="3">
        <v>-1.4027514283447399E-3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</row>
    <row r="2092" spans="1:16" x14ac:dyDescent="0.45">
      <c r="A2092" s="7" t="s">
        <v>80</v>
      </c>
      <c r="B2092" s="7" t="s">
        <v>29</v>
      </c>
      <c r="C2092" s="7" t="s">
        <v>16</v>
      </c>
      <c r="D2092" s="7" t="s">
        <v>12</v>
      </c>
      <c r="E2092" s="7" t="s">
        <v>32</v>
      </c>
      <c r="F2092" s="3">
        <v>0</v>
      </c>
      <c r="G2092" s="3">
        <v>-1.04609813080039E-5</v>
      </c>
      <c r="H2092" s="3">
        <v>-1.04609813080039E-5</v>
      </c>
      <c r="I2092" s="3">
        <v>-1.8152508561925999E-3</v>
      </c>
      <c r="J2092" s="3">
        <v>-1.04561969917726E-5</v>
      </c>
      <c r="K2092" s="3">
        <v>-1.04561969917726E-5</v>
      </c>
      <c r="L2092" s="3">
        <v>-1.04561969917726E-5</v>
      </c>
      <c r="M2092" s="3">
        <v>-1.04561969917726E-5</v>
      </c>
      <c r="N2092" s="3">
        <v>-1.0855521632019401E-5</v>
      </c>
      <c r="O2092" s="3">
        <v>-1.12746990118748E-5</v>
      </c>
      <c r="P2092" s="3">
        <v>-1.16915161556784E-5</v>
      </c>
    </row>
    <row r="2093" spans="1:16" x14ac:dyDescent="0.45">
      <c r="A2093" s="7" t="s">
        <v>80</v>
      </c>
      <c r="B2093" s="7" t="s">
        <v>29</v>
      </c>
      <c r="C2093" s="7" t="s">
        <v>16</v>
      </c>
      <c r="D2093" s="7" t="s">
        <v>13</v>
      </c>
      <c r="E2093" s="7" t="s">
        <v>32</v>
      </c>
      <c r="F2093" s="3">
        <v>0</v>
      </c>
      <c r="G2093" s="3">
        <v>1.5921252435852101E-5</v>
      </c>
      <c r="H2093" s="3">
        <v>1.5921252435852101E-5</v>
      </c>
      <c r="I2093" s="3">
        <v>1.6277345466615699E-5</v>
      </c>
      <c r="J2093" s="3">
        <v>1.5514650629405699E-5</v>
      </c>
      <c r="K2093" s="3">
        <v>1.46786347079465E-5</v>
      </c>
      <c r="L2093" s="3">
        <v>1.46786347079465E-5</v>
      </c>
      <c r="M2093" s="3">
        <v>1.46786347079465E-5</v>
      </c>
      <c r="N2093" s="3">
        <v>1.5077959348193399E-5</v>
      </c>
      <c r="O2093" s="3">
        <v>1.5497136728048799E-5</v>
      </c>
      <c r="P2093" s="3">
        <v>1.59139538718524E-5</v>
      </c>
    </row>
    <row r="2094" spans="1:16" x14ac:dyDescent="0.45">
      <c r="A2094" s="7" t="s">
        <v>80</v>
      </c>
      <c r="B2094" s="7" t="s">
        <v>29</v>
      </c>
      <c r="C2094" s="7" t="s">
        <v>16</v>
      </c>
      <c r="D2094" s="7" t="s">
        <v>14</v>
      </c>
      <c r="E2094" s="7" t="s">
        <v>32</v>
      </c>
      <c r="F2094" s="3">
        <v>0</v>
      </c>
      <c r="G2094" s="3">
        <v>-1.84632504875844E-3</v>
      </c>
      <c r="H2094" s="3">
        <v>-1.84632504875844E-3</v>
      </c>
      <c r="I2094" s="3">
        <v>4.0141346260846899E-8</v>
      </c>
      <c r="J2094" s="3">
        <v>-3.73625114961224E-7</v>
      </c>
      <c r="K2094" s="3">
        <v>4.6239080649795898E-7</v>
      </c>
      <c r="L2094" s="3">
        <v>4.6239080649795898E-7</v>
      </c>
      <c r="M2094" s="3">
        <v>4.6239080649795898E-7</v>
      </c>
      <c r="N2094" s="3">
        <v>4.6239080649795898E-7</v>
      </c>
      <c r="O2094" s="3">
        <v>4.6239080649795898E-7</v>
      </c>
      <c r="P2094" s="3">
        <v>4.6239080649795898E-7</v>
      </c>
    </row>
    <row r="2095" spans="1:16" x14ac:dyDescent="0.45">
      <c r="A2095" s="7" t="s">
        <v>80</v>
      </c>
      <c r="B2095" s="7" t="s">
        <v>29</v>
      </c>
      <c r="C2095" s="7" t="s">
        <v>17</v>
      </c>
      <c r="D2095" s="7" t="s">
        <v>7</v>
      </c>
      <c r="E2095" s="7" t="s">
        <v>32</v>
      </c>
      <c r="F2095" s="3">
        <v>3.6593007674264699E-3</v>
      </c>
      <c r="G2095" s="3">
        <v>8.3881726552628693E-3</v>
      </c>
      <c r="H2095" s="3">
        <v>8.3881726552628693E-3</v>
      </c>
      <c r="I2095" s="3">
        <v>2.10838923307092E-2</v>
      </c>
      <c r="J2095" s="3">
        <v>2.39167394891142E-2</v>
      </c>
      <c r="K2095" s="3">
        <v>2.5197635825067701E-2</v>
      </c>
      <c r="L2095" s="3">
        <v>2.38790459955005E-2</v>
      </c>
      <c r="M2095" s="3">
        <v>2.2165067371605299E-2</v>
      </c>
      <c r="N2095" s="3">
        <v>2.02585212225431E-2</v>
      </c>
      <c r="O2095" s="3">
        <v>1.84721712136722E-2</v>
      </c>
      <c r="P2095" s="3">
        <v>1.6780077603276801E-2</v>
      </c>
    </row>
    <row r="2096" spans="1:16" x14ac:dyDescent="0.45">
      <c r="A2096" s="7" t="s">
        <v>80</v>
      </c>
      <c r="B2096" s="7" t="s">
        <v>29</v>
      </c>
      <c r="C2096" s="7" t="s">
        <v>17</v>
      </c>
      <c r="D2096" s="7" t="s">
        <v>9</v>
      </c>
      <c r="E2096" s="7" t="s">
        <v>32</v>
      </c>
      <c r="F2096" s="3">
        <v>0</v>
      </c>
      <c r="G2096" s="3">
        <v>2.6119251278025098E-4</v>
      </c>
      <c r="H2096" s="3">
        <v>2.6119251278025098E-4</v>
      </c>
      <c r="I2096" s="3">
        <v>5.94846822964502E-4</v>
      </c>
      <c r="J2096" s="3">
        <v>4.4455909591377797E-4</v>
      </c>
      <c r="K2096" s="3">
        <v>2.6157340435455399E-4</v>
      </c>
      <c r="L2096" s="3">
        <v>7.3107171790778196E-4</v>
      </c>
      <c r="M2096" s="3">
        <v>1.31711537877787E-3</v>
      </c>
      <c r="N2096" s="3">
        <v>6.2973546986981902E-3</v>
      </c>
      <c r="O2096" s="3">
        <v>7.1476425950877101E-3</v>
      </c>
      <c r="P2096" s="3">
        <v>8.1333846278791207E-3</v>
      </c>
    </row>
    <row r="2097" spans="1:16" x14ac:dyDescent="0.45">
      <c r="A2097" s="7" t="s">
        <v>80</v>
      </c>
      <c r="B2097" s="7" t="s">
        <v>29</v>
      </c>
      <c r="C2097" s="7" t="s">
        <v>17</v>
      </c>
      <c r="D2097" s="7" t="s">
        <v>10</v>
      </c>
      <c r="E2097" s="7" t="s">
        <v>32</v>
      </c>
      <c r="F2097" s="3">
        <v>0</v>
      </c>
      <c r="G2097" s="3">
        <v>7.55270803173506E-5</v>
      </c>
      <c r="H2097" s="3">
        <v>7.55270803173506E-5</v>
      </c>
      <c r="I2097" s="3">
        <v>2.5245587327021201E-4</v>
      </c>
      <c r="J2097" s="3">
        <v>7.6239779375184696E-5</v>
      </c>
      <c r="K2097" s="3">
        <v>4.6310020538330897E-4</v>
      </c>
      <c r="L2097" s="3">
        <v>4.8527376378877402E-3</v>
      </c>
      <c r="M2097" s="3">
        <v>5.0184157843266601E-3</v>
      </c>
      <c r="N2097" s="3">
        <v>2.52207493459584E-3</v>
      </c>
      <c r="O2097" s="3">
        <v>2.7696271488290799E-3</v>
      </c>
      <c r="P2097" s="3">
        <v>3.9370555359089596E-3</v>
      </c>
    </row>
    <row r="2098" spans="1:16" x14ac:dyDescent="0.45">
      <c r="A2098" s="7" t="s">
        <v>80</v>
      </c>
      <c r="B2098" s="7" t="s">
        <v>29</v>
      </c>
      <c r="C2098" s="7" t="s">
        <v>17</v>
      </c>
      <c r="D2098" s="7" t="s">
        <v>11</v>
      </c>
      <c r="E2098" s="7" t="s">
        <v>32</v>
      </c>
      <c r="F2098" s="3">
        <v>0</v>
      </c>
      <c r="G2098" s="3">
        <v>7.1767227911823494E-5</v>
      </c>
      <c r="H2098" s="3">
        <v>7.1767227911823494E-5</v>
      </c>
      <c r="I2098" s="3">
        <v>2.18620774121072E-4</v>
      </c>
      <c r="J2098" s="3">
        <v>4.2556063287629599E-3</v>
      </c>
      <c r="K2098" s="3">
        <v>3.9071254274309197E-3</v>
      </c>
      <c r="L2098" s="3">
        <v>1.2789612406210299E-3</v>
      </c>
      <c r="M2098" s="3">
        <v>2.1011794740911399E-3</v>
      </c>
      <c r="N2098" s="3">
        <v>1.66354189137432E-3</v>
      </c>
      <c r="O2098" s="3">
        <v>2.3538729461421801E-3</v>
      </c>
      <c r="P2098" s="3">
        <v>1.91098475440044E-3</v>
      </c>
    </row>
    <row r="2099" spans="1:16" x14ac:dyDescent="0.45">
      <c r="A2099" s="7" t="s">
        <v>80</v>
      </c>
      <c r="B2099" s="7" t="s">
        <v>29</v>
      </c>
      <c r="C2099" s="7" t="s">
        <v>17</v>
      </c>
      <c r="D2099" s="7" t="s">
        <v>12</v>
      </c>
      <c r="E2099" s="7" t="s">
        <v>32</v>
      </c>
      <c r="F2099" s="3">
        <v>0</v>
      </c>
      <c r="G2099" s="3">
        <v>1.09459561283408E-4</v>
      </c>
      <c r="H2099" s="3">
        <v>1.09459561283408E-4</v>
      </c>
      <c r="I2099" s="3">
        <v>5.6251711079957998E-3</v>
      </c>
      <c r="J2099" s="3">
        <v>1.0555479734506499E-3</v>
      </c>
      <c r="K2099" s="3">
        <v>1.3442975451588199E-3</v>
      </c>
      <c r="L2099" s="3">
        <v>4.3191581547815202E-4</v>
      </c>
      <c r="M2099" s="3">
        <v>6.8856290241329403E-4</v>
      </c>
      <c r="N2099" s="3">
        <v>1.0019614582152099E-3</v>
      </c>
      <c r="O2099" s="3">
        <v>1.46385312293416E-3</v>
      </c>
      <c r="P2099" s="3">
        <v>1.5440553760028999E-3</v>
      </c>
    </row>
    <row r="2100" spans="1:16" x14ac:dyDescent="0.45">
      <c r="A2100" s="7" t="s">
        <v>80</v>
      </c>
      <c r="B2100" s="7" t="s">
        <v>29</v>
      </c>
      <c r="C2100" s="7" t="s">
        <v>17</v>
      </c>
      <c r="D2100" s="7" t="s">
        <v>13</v>
      </c>
      <c r="E2100" s="7" t="s">
        <v>32</v>
      </c>
      <c r="F2100" s="3">
        <v>0</v>
      </c>
      <c r="G2100" s="3">
        <v>1.2959101071181201E-3</v>
      </c>
      <c r="H2100" s="3">
        <v>1.2959101071181201E-3</v>
      </c>
      <c r="I2100" s="3">
        <v>1.4998024369628101E-3</v>
      </c>
      <c r="J2100" s="3">
        <v>1.29659162721572E-3</v>
      </c>
      <c r="K2100" s="3">
        <v>1.15399579161037E-3</v>
      </c>
      <c r="L2100" s="3">
        <v>1.18893702355409E-3</v>
      </c>
      <c r="M2100" s="3">
        <v>1.0755006022879899E-3</v>
      </c>
      <c r="N2100" s="3">
        <v>6.22893551400994E-4</v>
      </c>
      <c r="O2100" s="3">
        <v>1.5933108739240399E-4</v>
      </c>
      <c r="P2100" s="3">
        <v>6.09417201618348E-5</v>
      </c>
    </row>
    <row r="2101" spans="1:16" x14ac:dyDescent="0.45">
      <c r="A2101" s="7" t="s">
        <v>80</v>
      </c>
      <c r="B2101" s="7" t="s">
        <v>29</v>
      </c>
      <c r="C2101" s="7" t="s">
        <v>17</v>
      </c>
      <c r="D2101" s="7" t="s">
        <v>14</v>
      </c>
      <c r="E2101" s="7" t="s">
        <v>32</v>
      </c>
      <c r="F2101" s="3">
        <v>0</v>
      </c>
      <c r="G2101" s="3">
        <v>6.1979509040411699E-3</v>
      </c>
      <c r="H2101" s="3">
        <v>6.1979509040411699E-3</v>
      </c>
      <c r="I2101" s="3">
        <v>2.4123372396201701E-3</v>
      </c>
      <c r="J2101" s="3">
        <v>1.27428404234285E-3</v>
      </c>
      <c r="K2101" s="3">
        <v>-4.34980352351233E-6</v>
      </c>
      <c r="L2101" s="3">
        <v>-3.9271094331307099E-5</v>
      </c>
      <c r="M2101" s="3">
        <v>-4.2426933231309901E-5</v>
      </c>
      <c r="N2101" s="3">
        <v>-4.2933174562532998E-5</v>
      </c>
      <c r="O2101" s="3">
        <v>-4.3083531772680802E-5</v>
      </c>
      <c r="P2101" s="3">
        <v>-4.3085035344808702E-5</v>
      </c>
    </row>
    <row r="2102" spans="1:16" x14ac:dyDescent="0.45">
      <c r="A2102" s="7" t="s">
        <v>80</v>
      </c>
      <c r="B2102" s="7" t="s">
        <v>29</v>
      </c>
      <c r="C2102" s="7" t="s">
        <v>18</v>
      </c>
      <c r="D2102" s="7" t="s">
        <v>7</v>
      </c>
      <c r="E2102" s="7" t="s">
        <v>32</v>
      </c>
      <c r="F2102" s="3">
        <v>3.7371707605941898E-2</v>
      </c>
      <c r="G2102" s="3">
        <v>2.7931766465259501E-2</v>
      </c>
      <c r="H2102" s="3">
        <v>2.7931766465259501E-2</v>
      </c>
      <c r="I2102" s="3">
        <v>1.86211776435063E-2</v>
      </c>
      <c r="J2102" s="3">
        <v>9.3105888217531393E-3</v>
      </c>
      <c r="K2102" s="3">
        <v>3.5992638700162598E-18</v>
      </c>
      <c r="L2102" s="3">
        <v>2.8794110960129998E-17</v>
      </c>
      <c r="M2102" s="3">
        <v>0</v>
      </c>
      <c r="N2102" s="3">
        <v>2.8794110960129998E-17</v>
      </c>
      <c r="O2102" s="3">
        <v>0</v>
      </c>
      <c r="P2102" s="3">
        <v>2.5194847090113801E-17</v>
      </c>
    </row>
    <row r="2103" spans="1:16" x14ac:dyDescent="0.45">
      <c r="A2103" s="7" t="s">
        <v>80</v>
      </c>
      <c r="B2103" s="7" t="s">
        <v>29</v>
      </c>
      <c r="C2103" s="7" t="s">
        <v>18</v>
      </c>
      <c r="D2103" s="7" t="s">
        <v>9</v>
      </c>
      <c r="E2103" s="7" t="s">
        <v>32</v>
      </c>
      <c r="F2103" s="3">
        <v>0</v>
      </c>
      <c r="G2103" s="3">
        <v>0</v>
      </c>
      <c r="H2103" s="3">
        <v>0</v>
      </c>
      <c r="I2103" s="3">
        <v>0</v>
      </c>
      <c r="J2103" s="3">
        <v>3.1225022567582503E-17</v>
      </c>
      <c r="K2103" s="3">
        <v>7.1985277400324996E-18</v>
      </c>
      <c r="L2103" s="3">
        <v>-1.7996319350081301E-17</v>
      </c>
      <c r="M2103" s="3">
        <v>3.5992638700162598E-18</v>
      </c>
      <c r="N2103" s="3">
        <v>-2.8794110960129998E-17</v>
      </c>
      <c r="O2103" s="3">
        <v>0</v>
      </c>
      <c r="P2103" s="3">
        <v>-2.5194847090113801E-17</v>
      </c>
    </row>
    <row r="2104" spans="1:16" x14ac:dyDescent="0.45">
      <c r="A2104" s="7" t="s">
        <v>80</v>
      </c>
      <c r="B2104" s="7" t="s">
        <v>29</v>
      </c>
      <c r="C2104" s="7" t="s">
        <v>18</v>
      </c>
      <c r="D2104" s="7" t="s">
        <v>10</v>
      </c>
      <c r="E2104" s="7" t="s">
        <v>32</v>
      </c>
      <c r="F2104" s="3">
        <v>0</v>
      </c>
      <c r="G2104" s="3">
        <v>0</v>
      </c>
      <c r="H2104" s="3">
        <v>0</v>
      </c>
      <c r="I2104" s="3">
        <v>0</v>
      </c>
      <c r="J2104" s="3">
        <v>3.2959746043559298E-17</v>
      </c>
      <c r="K2104" s="3">
        <v>-7.1985277400324996E-18</v>
      </c>
      <c r="L2104" s="3">
        <v>-1.07977916100488E-17</v>
      </c>
      <c r="M2104" s="3">
        <v>-3.5992638700162598E-18</v>
      </c>
      <c r="N2104" s="3">
        <v>0</v>
      </c>
      <c r="O2104" s="3">
        <v>1.7996319350081301E-17</v>
      </c>
      <c r="P2104" s="3">
        <v>0</v>
      </c>
    </row>
    <row r="2105" spans="1:16" x14ac:dyDescent="0.45">
      <c r="A2105" s="7" t="s">
        <v>80</v>
      </c>
      <c r="B2105" s="7" t="s">
        <v>29</v>
      </c>
      <c r="C2105" s="7" t="s">
        <v>18</v>
      </c>
      <c r="D2105" s="7" t="s">
        <v>11</v>
      </c>
      <c r="E2105" s="7" t="s">
        <v>32</v>
      </c>
      <c r="F2105" s="3">
        <v>0</v>
      </c>
      <c r="G2105" s="3">
        <v>3.1225022567582503E-17</v>
      </c>
      <c r="H2105" s="3">
        <v>3.1225022567582503E-17</v>
      </c>
      <c r="I2105" s="3">
        <v>0</v>
      </c>
      <c r="J2105" s="3">
        <v>-3.2959746043559298E-17</v>
      </c>
      <c r="K2105" s="3">
        <v>-3.5992638700162598E-18</v>
      </c>
      <c r="L2105" s="3">
        <v>2.5194847090113801E-17</v>
      </c>
      <c r="M2105" s="3">
        <v>0</v>
      </c>
      <c r="N2105" s="3">
        <v>1.4397055480064999E-17</v>
      </c>
      <c r="O2105" s="3">
        <v>-7.1985277400324904E-18</v>
      </c>
      <c r="P2105" s="3">
        <v>2.5194847090113801E-17</v>
      </c>
    </row>
    <row r="2106" spans="1:16" x14ac:dyDescent="0.45">
      <c r="A2106" s="7" t="s">
        <v>80</v>
      </c>
      <c r="B2106" s="7" t="s">
        <v>29</v>
      </c>
      <c r="C2106" s="7" t="s">
        <v>18</v>
      </c>
      <c r="D2106" s="7" t="s">
        <v>12</v>
      </c>
      <c r="E2106" s="7" t="s">
        <v>32</v>
      </c>
      <c r="F2106" s="3">
        <v>0</v>
      </c>
      <c r="G2106" s="3">
        <v>0</v>
      </c>
      <c r="H2106" s="3">
        <v>0</v>
      </c>
      <c r="I2106" s="3">
        <v>0</v>
      </c>
      <c r="J2106" s="3">
        <v>-3.1225022567582503E-17</v>
      </c>
      <c r="K2106" s="3">
        <v>0</v>
      </c>
      <c r="L2106" s="3">
        <v>-1.7996319350081301E-17</v>
      </c>
      <c r="M2106" s="3">
        <v>0</v>
      </c>
      <c r="N2106" s="3">
        <v>3.9591902570178603E-17</v>
      </c>
      <c r="O2106" s="3">
        <v>2.1595583220097499E-17</v>
      </c>
      <c r="P2106" s="3">
        <v>-2.5194847090113801E-17</v>
      </c>
    </row>
    <row r="2107" spans="1:16" x14ac:dyDescent="0.45">
      <c r="A2107" s="7" t="s">
        <v>80</v>
      </c>
      <c r="B2107" s="7" t="s">
        <v>29</v>
      </c>
      <c r="C2107" s="7" t="s">
        <v>18</v>
      </c>
      <c r="D2107" s="7" t="s">
        <v>13</v>
      </c>
      <c r="E2107" s="7" t="s">
        <v>32</v>
      </c>
      <c r="F2107" s="3">
        <v>0</v>
      </c>
      <c r="G2107" s="3">
        <v>0</v>
      </c>
      <c r="H2107" s="3">
        <v>0</v>
      </c>
      <c r="I2107" s="3">
        <v>-3.1225022567582503E-17</v>
      </c>
      <c r="J2107" s="3">
        <v>3.1225022567582503E-17</v>
      </c>
      <c r="K2107" s="3">
        <v>0</v>
      </c>
      <c r="L2107" s="3">
        <v>-7.1985277400324996E-18</v>
      </c>
      <c r="M2107" s="3">
        <v>2.5194847090113801E-17</v>
      </c>
      <c r="N2107" s="3">
        <v>-5.3988958050243602E-17</v>
      </c>
      <c r="O2107" s="3">
        <v>-2.5194847090113801E-17</v>
      </c>
      <c r="P2107" s="3">
        <v>2.5194847090113801E-17</v>
      </c>
    </row>
    <row r="2108" spans="1:16" x14ac:dyDescent="0.45">
      <c r="A2108" s="7" t="s">
        <v>80</v>
      </c>
      <c r="B2108" s="7" t="s">
        <v>29</v>
      </c>
      <c r="C2108" s="7" t="s">
        <v>18</v>
      </c>
      <c r="D2108" s="7" t="s">
        <v>14</v>
      </c>
      <c r="E2108" s="7" t="s">
        <v>32</v>
      </c>
      <c r="F2108" s="3">
        <v>0</v>
      </c>
      <c r="G2108" s="3">
        <v>0</v>
      </c>
      <c r="H2108" s="3">
        <v>0</v>
      </c>
      <c r="I2108" s="3">
        <v>3.1225022567582503E-17</v>
      </c>
      <c r="J2108" s="3">
        <v>-3.1225022567582503E-17</v>
      </c>
      <c r="K2108" s="3">
        <v>2.1595583220097499E-17</v>
      </c>
      <c r="L2108" s="3">
        <v>1.07977916100488E-17</v>
      </c>
      <c r="M2108" s="3">
        <v>1.4397055480064901E-17</v>
      </c>
      <c r="N2108" s="3">
        <v>3.2393374830146301E-17</v>
      </c>
      <c r="O2108" s="3">
        <v>2.8794110960130097E-17</v>
      </c>
      <c r="P2108" s="3">
        <v>-2.5194847090113801E-17</v>
      </c>
    </row>
    <row r="2109" spans="1:16" x14ac:dyDescent="0.45">
      <c r="A2109" s="7" t="s">
        <v>80</v>
      </c>
      <c r="B2109" s="7" t="s">
        <v>29</v>
      </c>
      <c r="C2109" s="7" t="s">
        <v>19</v>
      </c>
      <c r="D2109" s="7" t="s">
        <v>7</v>
      </c>
      <c r="E2109" s="7" t="s">
        <v>32</v>
      </c>
      <c r="F2109" s="3">
        <v>1.34811262183878E-3</v>
      </c>
      <c r="G2109" s="3">
        <v>0</v>
      </c>
      <c r="H2109" s="3">
        <v>0</v>
      </c>
      <c r="I2109" s="3">
        <v>0</v>
      </c>
      <c r="J2109" s="3">
        <v>0</v>
      </c>
      <c r="K2109" s="3">
        <v>1.3996312190016999E-3</v>
      </c>
      <c r="L2109" s="3">
        <v>2.4936054764741701E-4</v>
      </c>
      <c r="M2109" s="3">
        <v>4.9806286299628201E-5</v>
      </c>
      <c r="N2109" s="3">
        <v>3.64825179777612E-6</v>
      </c>
      <c r="O2109" s="3">
        <v>0</v>
      </c>
      <c r="P2109" s="3">
        <v>0</v>
      </c>
    </row>
    <row r="2110" spans="1:16" x14ac:dyDescent="0.45">
      <c r="A2110" s="7" t="s">
        <v>80</v>
      </c>
      <c r="B2110" s="7" t="s">
        <v>29</v>
      </c>
      <c r="C2110" s="7" t="s">
        <v>19</v>
      </c>
      <c r="D2110" s="7" t="s">
        <v>9</v>
      </c>
      <c r="E2110" s="7" t="s">
        <v>32</v>
      </c>
      <c r="F2110" s="3">
        <v>0</v>
      </c>
      <c r="G2110" s="3">
        <v>0</v>
      </c>
      <c r="H2110" s="3">
        <v>0</v>
      </c>
      <c r="I2110" s="3">
        <v>0</v>
      </c>
      <c r="J2110" s="3">
        <v>1.1355722389118901E-4</v>
      </c>
      <c r="K2110" s="3">
        <v>5.3948298077499403E-5</v>
      </c>
      <c r="L2110" s="3">
        <v>3.0050984833686502E-4</v>
      </c>
      <c r="M2110" s="3">
        <v>3.2387008794542902E-4</v>
      </c>
      <c r="N2110" s="3">
        <v>3.5940527728042402E-4</v>
      </c>
      <c r="O2110" s="3">
        <v>3.6305352907820302E-4</v>
      </c>
      <c r="P2110" s="3">
        <v>3.4190764701110899E-4</v>
      </c>
    </row>
    <row r="2111" spans="1:16" x14ac:dyDescent="0.45">
      <c r="A2111" s="7" t="s">
        <v>80</v>
      </c>
      <c r="B2111" s="7" t="s">
        <v>29</v>
      </c>
      <c r="C2111" s="7" t="s">
        <v>19</v>
      </c>
      <c r="D2111" s="7" t="s">
        <v>10</v>
      </c>
      <c r="E2111" s="7" t="s">
        <v>32</v>
      </c>
      <c r="F2111" s="3">
        <v>0</v>
      </c>
      <c r="G2111" s="3">
        <v>0</v>
      </c>
      <c r="H2111" s="3">
        <v>0</v>
      </c>
      <c r="I2111" s="3">
        <v>0</v>
      </c>
      <c r="J2111" s="3">
        <v>1.4751532355629699E-4</v>
      </c>
      <c r="K2111" s="3">
        <v>2.8801968432559601E-4</v>
      </c>
      <c r="L2111" s="3">
        <v>5.3593233931178096E-4</v>
      </c>
      <c r="M2111" s="3">
        <v>4.6140141717465898E-4</v>
      </c>
      <c r="N2111" s="3">
        <v>4.1482322509746403E-3</v>
      </c>
      <c r="O2111" s="3">
        <v>4.4969344191162202E-3</v>
      </c>
      <c r="P2111" s="3">
        <v>4.4960943499735397E-3</v>
      </c>
    </row>
    <row r="2112" spans="1:16" x14ac:dyDescent="0.45">
      <c r="A2112" s="7" t="s">
        <v>80</v>
      </c>
      <c r="B2112" s="7" t="s">
        <v>29</v>
      </c>
      <c r="C2112" s="7" t="s">
        <v>19</v>
      </c>
      <c r="D2112" s="7" t="s">
        <v>11</v>
      </c>
      <c r="E2112" s="7" t="s">
        <v>32</v>
      </c>
      <c r="F2112" s="3">
        <v>0</v>
      </c>
      <c r="G2112" s="3">
        <v>0</v>
      </c>
      <c r="H2112" s="3">
        <v>0</v>
      </c>
      <c r="I2112" s="3">
        <v>0</v>
      </c>
      <c r="J2112" s="3">
        <v>1.92513677694118E-4</v>
      </c>
      <c r="K2112" s="3">
        <v>2.94027455973513E-4</v>
      </c>
      <c r="L2112" s="3">
        <v>4.8277923618069898E-3</v>
      </c>
      <c r="M2112" s="3">
        <v>4.3014595846529603E-3</v>
      </c>
      <c r="N2112" s="3">
        <v>1.3917691473753599E-3</v>
      </c>
      <c r="O2112" s="3">
        <v>1.1155258332736699E-3</v>
      </c>
      <c r="P2112" s="3">
        <v>1.24196664311603E-3</v>
      </c>
    </row>
    <row r="2113" spans="1:16" x14ac:dyDescent="0.45">
      <c r="A2113" s="7" t="s">
        <v>80</v>
      </c>
      <c r="B2113" s="7" t="s">
        <v>29</v>
      </c>
      <c r="C2113" s="7" t="s">
        <v>19</v>
      </c>
      <c r="D2113" s="7" t="s">
        <v>12</v>
      </c>
      <c r="E2113" s="7" t="s">
        <v>32</v>
      </c>
      <c r="F2113" s="3">
        <v>0</v>
      </c>
      <c r="G2113" s="3">
        <v>0</v>
      </c>
      <c r="H2113" s="3">
        <v>0</v>
      </c>
      <c r="I2113" s="3">
        <v>0</v>
      </c>
      <c r="J2113" s="3">
        <v>3.5527925102844101E-3</v>
      </c>
      <c r="K2113" s="3">
        <v>4.36657311892397E-3</v>
      </c>
      <c r="L2113" s="3">
        <v>3.6464555498256802E-4</v>
      </c>
      <c r="M2113" s="3">
        <v>1.0566272718843001E-3</v>
      </c>
      <c r="N2113" s="3">
        <v>8.4224530861390595E-4</v>
      </c>
      <c r="O2113" s="3">
        <v>1.6072180699018401E-3</v>
      </c>
      <c r="P2113" s="3">
        <v>1.6661830042642E-3</v>
      </c>
    </row>
    <row r="2114" spans="1:16" x14ac:dyDescent="0.45">
      <c r="A2114" s="7" t="s">
        <v>80</v>
      </c>
      <c r="B2114" s="7" t="s">
        <v>29</v>
      </c>
      <c r="C2114" s="7" t="s">
        <v>19</v>
      </c>
      <c r="D2114" s="7" t="s">
        <v>13</v>
      </c>
      <c r="E2114" s="7" t="s">
        <v>32</v>
      </c>
      <c r="F2114" s="3">
        <v>0</v>
      </c>
      <c r="G2114" s="3">
        <v>0</v>
      </c>
      <c r="H2114" s="3">
        <v>0</v>
      </c>
      <c r="I2114" s="3">
        <v>5.6055680765313498E-3</v>
      </c>
      <c r="J2114" s="3">
        <v>3.1621444339341798E-3</v>
      </c>
      <c r="K2114" s="3">
        <v>5.0916075969858598E-3</v>
      </c>
      <c r="L2114" s="3">
        <v>3.5906997072800901E-3</v>
      </c>
      <c r="M2114" s="3">
        <v>2.37326492579212E-3</v>
      </c>
      <c r="N2114" s="3">
        <v>1.72036557064009E-3</v>
      </c>
      <c r="O2114" s="3">
        <v>9.6527918416289098E-4</v>
      </c>
      <c r="P2114" s="3">
        <v>9.9666187874984094E-4</v>
      </c>
    </row>
    <row r="2115" spans="1:16" x14ac:dyDescent="0.45">
      <c r="A2115" s="7" t="s">
        <v>80</v>
      </c>
      <c r="B2115" s="7" t="s">
        <v>29</v>
      </c>
      <c r="C2115" s="7" t="s">
        <v>19</v>
      </c>
      <c r="D2115" s="7" t="s">
        <v>14</v>
      </c>
      <c r="E2115" s="7" t="s">
        <v>32</v>
      </c>
      <c r="F2115" s="3">
        <v>0</v>
      </c>
      <c r="G2115" s="3">
        <v>2.6933057551310302E-3</v>
      </c>
      <c r="H2115" s="3">
        <v>2.6933057551310302E-3</v>
      </c>
      <c r="I2115" s="3">
        <v>5.5903391570748702E-3</v>
      </c>
      <c r="J2115" s="3">
        <v>3.9279569882094802E-3</v>
      </c>
      <c r="K2115" s="3">
        <v>-1.03679144066214E-3</v>
      </c>
      <c r="L2115" s="3">
        <v>-1.3491183955711E-3</v>
      </c>
      <c r="M2115" s="3">
        <v>-4.6555558489483697E-4</v>
      </c>
      <c r="N2115" s="3">
        <v>-4.5442266035946802E-4</v>
      </c>
      <c r="O2115" s="3">
        <v>4.40947175014018E-5</v>
      </c>
      <c r="P2115" s="3">
        <v>4.9041381208406501E-4</v>
      </c>
    </row>
    <row r="2116" spans="1:16" x14ac:dyDescent="0.45">
      <c r="A2116" s="7" t="s">
        <v>81</v>
      </c>
      <c r="B2116" s="7" t="s">
        <v>29</v>
      </c>
      <c r="C2116" s="7" t="s">
        <v>6</v>
      </c>
      <c r="D2116" s="7" t="s">
        <v>7</v>
      </c>
      <c r="E2116" s="7" t="s">
        <v>32</v>
      </c>
      <c r="F2116" s="3">
        <v>0</v>
      </c>
      <c r="G2116" s="3">
        <v>0</v>
      </c>
      <c r="H2116" s="3">
        <v>0</v>
      </c>
      <c r="I2116" s="3">
        <v>2.25282817353751E-4</v>
      </c>
      <c r="J2116" s="3">
        <v>1.0202699036537699E-3</v>
      </c>
      <c r="K2116" s="3">
        <v>1.92587028828582E-3</v>
      </c>
      <c r="L2116" s="3">
        <v>1.2253399309748801E-4</v>
      </c>
      <c r="M2116" s="3">
        <v>0</v>
      </c>
      <c r="N2116" s="3">
        <v>0</v>
      </c>
      <c r="O2116" s="3">
        <v>0</v>
      </c>
      <c r="P2116" s="3">
        <v>0</v>
      </c>
    </row>
    <row r="2117" spans="1:16" x14ac:dyDescent="0.45">
      <c r="A2117" s="7" t="s">
        <v>81</v>
      </c>
      <c r="B2117" s="7" t="s">
        <v>29</v>
      </c>
      <c r="C2117" s="7" t="s">
        <v>6</v>
      </c>
      <c r="D2117" s="7" t="s">
        <v>9</v>
      </c>
      <c r="E2117" s="7" t="s">
        <v>32</v>
      </c>
      <c r="F2117" s="3">
        <v>0</v>
      </c>
      <c r="G2117" s="3">
        <v>0</v>
      </c>
      <c r="H2117" s="3">
        <v>0</v>
      </c>
      <c r="I2117" s="3">
        <v>4.7901667489205399E-4</v>
      </c>
      <c r="J2117" s="3">
        <v>6.5515670657258099E-4</v>
      </c>
      <c r="K2117" s="3">
        <v>1.14233607423232E-3</v>
      </c>
      <c r="L2117" s="3">
        <v>1.35784575265965E-3</v>
      </c>
      <c r="M2117" s="3">
        <v>1.4020153198267501E-3</v>
      </c>
      <c r="N2117" s="3">
        <v>1.3741291473658001E-3</v>
      </c>
      <c r="O2117" s="3">
        <v>1.37242534167628E-3</v>
      </c>
      <c r="P2117" s="3">
        <v>1.37242534167628E-3</v>
      </c>
    </row>
    <row r="2118" spans="1:16" x14ac:dyDescent="0.45">
      <c r="A2118" s="7" t="s">
        <v>81</v>
      </c>
      <c r="B2118" s="7" t="s">
        <v>29</v>
      </c>
      <c r="C2118" s="7" t="s">
        <v>6</v>
      </c>
      <c r="D2118" s="7" t="s">
        <v>10</v>
      </c>
      <c r="E2118" s="7" t="s">
        <v>32</v>
      </c>
      <c r="F2118" s="3">
        <v>0</v>
      </c>
      <c r="G2118" s="3">
        <v>0</v>
      </c>
      <c r="H2118" s="3">
        <v>0</v>
      </c>
      <c r="I2118" s="3">
        <v>2.17851399849483E-4</v>
      </c>
      <c r="J2118" s="3">
        <v>2.2653319568373799E-4</v>
      </c>
      <c r="K2118" s="3">
        <v>8.4388527586626901E-4</v>
      </c>
      <c r="L2118" s="3">
        <v>3.49220300788817E-4</v>
      </c>
      <c r="M2118" s="3">
        <v>3.8154072430502599E-4</v>
      </c>
      <c r="N2118" s="3">
        <v>6.0781973652606104E-3</v>
      </c>
      <c r="O2118" s="3">
        <v>9.9952914396041707E-3</v>
      </c>
      <c r="P2118" s="3">
        <v>2.3754946063926599E-2</v>
      </c>
    </row>
    <row r="2119" spans="1:16" x14ac:dyDescent="0.45">
      <c r="A2119" s="7" t="s">
        <v>81</v>
      </c>
      <c r="B2119" s="7" t="s">
        <v>29</v>
      </c>
      <c r="C2119" s="7" t="s">
        <v>6</v>
      </c>
      <c r="D2119" s="7" t="s">
        <v>11</v>
      </c>
      <c r="E2119" s="7" t="s">
        <v>32</v>
      </c>
      <c r="F2119" s="3">
        <v>0</v>
      </c>
      <c r="G2119" s="3">
        <v>0</v>
      </c>
      <c r="H2119" s="3">
        <v>0</v>
      </c>
      <c r="I2119" s="3">
        <v>3.8326937259089801E-4</v>
      </c>
      <c r="J2119" s="3">
        <v>1.9437202490110101E-3</v>
      </c>
      <c r="K2119" s="3">
        <v>1.6927156434734399E-3</v>
      </c>
      <c r="L2119" s="3">
        <v>7.8534346557143208E-3</v>
      </c>
      <c r="M2119" s="3">
        <v>2.6641514379375199E-2</v>
      </c>
      <c r="N2119" s="3">
        <v>3.3965954333952497E-2</v>
      </c>
      <c r="O2119" s="3">
        <v>4.5497207335918097E-2</v>
      </c>
      <c r="P2119" s="3">
        <v>7.8121367646526094E-2</v>
      </c>
    </row>
    <row r="2120" spans="1:16" x14ac:dyDescent="0.45">
      <c r="A2120" s="7" t="s">
        <v>81</v>
      </c>
      <c r="B2120" s="7" t="s">
        <v>29</v>
      </c>
      <c r="C2120" s="7" t="s">
        <v>6</v>
      </c>
      <c r="D2120" s="7" t="s">
        <v>12</v>
      </c>
      <c r="E2120" s="7" t="s">
        <v>32</v>
      </c>
      <c r="F2120" s="3">
        <v>0</v>
      </c>
      <c r="G2120" s="3">
        <v>0</v>
      </c>
      <c r="H2120" s="3">
        <v>0</v>
      </c>
      <c r="I2120" s="3">
        <v>3.7083685340837298E-4</v>
      </c>
      <c r="J2120" s="3">
        <v>9.2756961334697803E-3</v>
      </c>
      <c r="K2120" s="3">
        <v>3.2494881250450698E-2</v>
      </c>
      <c r="L2120" s="3">
        <v>4.58438316617596E-2</v>
      </c>
      <c r="M2120" s="3">
        <v>8.4713056637495801E-2</v>
      </c>
      <c r="N2120" s="3">
        <v>0.13324525735620901</v>
      </c>
      <c r="O2120" s="3">
        <v>0.17778199843347101</v>
      </c>
      <c r="P2120" s="3">
        <v>0.186475553666759</v>
      </c>
    </row>
    <row r="2121" spans="1:16" x14ac:dyDescent="0.45">
      <c r="A2121" s="7" t="s">
        <v>81</v>
      </c>
      <c r="B2121" s="7" t="s">
        <v>29</v>
      </c>
      <c r="C2121" s="7" t="s">
        <v>6</v>
      </c>
      <c r="D2121" s="7" t="s">
        <v>13</v>
      </c>
      <c r="E2121" s="7" t="s">
        <v>32</v>
      </c>
      <c r="F2121" s="3">
        <v>0</v>
      </c>
      <c r="G2121" s="3">
        <v>8.1238027099382306E-5</v>
      </c>
      <c r="H2121" s="3">
        <v>8.1238027099382306E-5</v>
      </c>
      <c r="I2121" s="3">
        <v>2.3518841301913899E-2</v>
      </c>
      <c r="J2121" s="3">
        <v>8.8933166753080703E-2</v>
      </c>
      <c r="K2121" s="3">
        <v>0.14140750455117099</v>
      </c>
      <c r="L2121" s="3">
        <v>0.192157292934241</v>
      </c>
      <c r="M2121" s="3">
        <v>0.199327335601309</v>
      </c>
      <c r="N2121" s="3">
        <v>0.20035802620246801</v>
      </c>
      <c r="O2121" s="3">
        <v>0.20196153197986</v>
      </c>
      <c r="P2121" s="3">
        <v>0.21288120962107901</v>
      </c>
    </row>
    <row r="2122" spans="1:16" x14ac:dyDescent="0.45">
      <c r="A2122" s="7" t="s">
        <v>81</v>
      </c>
      <c r="B2122" s="7" t="s">
        <v>29</v>
      </c>
      <c r="C2122" s="7" t="s">
        <v>6</v>
      </c>
      <c r="D2122" s="7" t="s">
        <v>14</v>
      </c>
      <c r="E2122" s="7" t="s">
        <v>32</v>
      </c>
      <c r="F2122" s="3">
        <v>0</v>
      </c>
      <c r="G2122" s="3">
        <v>3.0762219444821701E-3</v>
      </c>
      <c r="H2122" s="3">
        <v>3.0762219444821701E-3</v>
      </c>
      <c r="I2122" s="3">
        <v>6.2203816354601697E-2</v>
      </c>
      <c r="J2122" s="3">
        <v>6.5957117850902497E-2</v>
      </c>
      <c r="K2122" s="3">
        <v>7.4094546334762507E-2</v>
      </c>
      <c r="L2122" s="3">
        <v>9.8241894091891796E-2</v>
      </c>
      <c r="M2122" s="3">
        <v>0.12958185162131</v>
      </c>
      <c r="N2122" s="3">
        <v>0.16676393636422299</v>
      </c>
      <c r="O2122" s="3">
        <v>0.202547499046308</v>
      </c>
      <c r="P2122" s="3">
        <v>0.21901696881194299</v>
      </c>
    </row>
    <row r="2123" spans="1:16" x14ac:dyDescent="0.45">
      <c r="A2123" s="7" t="s">
        <v>81</v>
      </c>
      <c r="B2123" s="7" t="s">
        <v>29</v>
      </c>
      <c r="C2123" s="7" t="s">
        <v>15</v>
      </c>
      <c r="D2123" s="7" t="s">
        <v>7</v>
      </c>
      <c r="E2123" s="7" t="s">
        <v>32</v>
      </c>
      <c r="F2123" s="3">
        <v>0.13042248618146501</v>
      </c>
      <c r="G2123" s="3">
        <v>0.14410584191359299</v>
      </c>
      <c r="H2123" s="3">
        <v>0.14410584191359299</v>
      </c>
      <c r="I2123" s="3">
        <v>0.129865260009358</v>
      </c>
      <c r="J2123" s="3">
        <v>0.139878511040954</v>
      </c>
      <c r="K2123" s="3">
        <v>0.151852322716299</v>
      </c>
      <c r="L2123" s="3">
        <v>0.15777402691030901</v>
      </c>
      <c r="M2123" s="3">
        <v>0.16204370905926499</v>
      </c>
      <c r="N2123" s="3">
        <v>0.166455897181986</v>
      </c>
      <c r="O2123" s="3">
        <v>0.17050359428633399</v>
      </c>
      <c r="P2123" s="3">
        <v>0.17397162334014299</v>
      </c>
    </row>
    <row r="2124" spans="1:16" x14ac:dyDescent="0.45">
      <c r="A2124" s="7" t="s">
        <v>81</v>
      </c>
      <c r="B2124" s="7" t="s">
        <v>29</v>
      </c>
      <c r="C2124" s="7" t="s">
        <v>15</v>
      </c>
      <c r="D2124" s="7" t="s">
        <v>9</v>
      </c>
      <c r="E2124" s="7" t="s">
        <v>32</v>
      </c>
      <c r="F2124" s="3">
        <v>0</v>
      </c>
      <c r="G2124" s="3">
        <v>-1.58638420831386E-4</v>
      </c>
      <c r="H2124" s="3">
        <v>-1.58638420831386E-4</v>
      </c>
      <c r="I2124" s="3">
        <v>-2.06993562122365E-4</v>
      </c>
      <c r="J2124" s="3">
        <v>5.6004351671745701E-5</v>
      </c>
      <c r="K2124" s="3">
        <v>-1.3718615509478201E-4</v>
      </c>
      <c r="L2124" s="3">
        <v>-1.3967863050653999E-3</v>
      </c>
      <c r="M2124" s="3">
        <v>-2.8820764696497999E-3</v>
      </c>
      <c r="N2124" s="3">
        <v>-4.8678619692326102E-3</v>
      </c>
      <c r="O2124" s="3">
        <v>-6.7893283815143304E-3</v>
      </c>
      <c r="P2124" s="3">
        <v>-8.6197843443244996E-3</v>
      </c>
    </row>
    <row r="2125" spans="1:16" x14ac:dyDescent="0.45">
      <c r="A2125" s="7" t="s">
        <v>81</v>
      </c>
      <c r="B2125" s="7" t="s">
        <v>29</v>
      </c>
      <c r="C2125" s="7" t="s">
        <v>15</v>
      </c>
      <c r="D2125" s="7" t="s">
        <v>10</v>
      </c>
      <c r="E2125" s="7" t="s">
        <v>32</v>
      </c>
      <c r="F2125" s="3">
        <v>0</v>
      </c>
      <c r="G2125" s="3">
        <v>-2.9106701132097798E-6</v>
      </c>
      <c r="H2125" s="3">
        <v>-2.9106701132097798E-6</v>
      </c>
      <c r="I2125" s="3">
        <v>-1.29130945535849E-4</v>
      </c>
      <c r="J2125" s="3">
        <v>3.4555712346895403E-5</v>
      </c>
      <c r="K2125" s="3">
        <v>-7.5780831555780103E-4</v>
      </c>
      <c r="L2125" s="3">
        <v>-1.6575524634232499E-3</v>
      </c>
      <c r="M2125" s="3">
        <v>-1.6925355994008599E-3</v>
      </c>
      <c r="N2125" s="3">
        <v>-3.5972057580288498E-4</v>
      </c>
      <c r="O2125" s="3">
        <v>-5.1983982717790399E-4</v>
      </c>
      <c r="P2125" s="3">
        <v>-6.1452164972300395E-4</v>
      </c>
    </row>
    <row r="2126" spans="1:16" x14ac:dyDescent="0.45">
      <c r="A2126" s="7" t="s">
        <v>81</v>
      </c>
      <c r="B2126" s="7" t="s">
        <v>29</v>
      </c>
      <c r="C2126" s="7" t="s">
        <v>15</v>
      </c>
      <c r="D2126" s="7" t="s">
        <v>11</v>
      </c>
      <c r="E2126" s="7" t="s">
        <v>32</v>
      </c>
      <c r="F2126" s="3">
        <v>0</v>
      </c>
      <c r="G2126" s="3">
        <v>1.1415047151463999E-5</v>
      </c>
      <c r="H2126" s="3">
        <v>1.1415047151463999E-5</v>
      </c>
      <c r="I2126" s="3">
        <v>-9.3624119998053605E-5</v>
      </c>
      <c r="J2126" s="3">
        <v>-8.7065549318979295E-4</v>
      </c>
      <c r="K2126" s="3">
        <v>-8.9853279172330503E-4</v>
      </c>
      <c r="L2126" s="3">
        <v>2.658569098828E-3</v>
      </c>
      <c r="M2126" s="3">
        <v>2.6600028892621599E-3</v>
      </c>
      <c r="N2126" s="3">
        <v>1.42741734770083E-3</v>
      </c>
      <c r="O2126" s="3">
        <v>8.7045048274683701E-4</v>
      </c>
      <c r="P2126" s="3">
        <v>1.7308191205958601E-4</v>
      </c>
    </row>
    <row r="2127" spans="1:16" x14ac:dyDescent="0.45">
      <c r="A2127" s="7" t="s">
        <v>81</v>
      </c>
      <c r="B2127" s="7" t="s">
        <v>29</v>
      </c>
      <c r="C2127" s="7" t="s">
        <v>15</v>
      </c>
      <c r="D2127" s="7" t="s">
        <v>12</v>
      </c>
      <c r="E2127" s="7" t="s">
        <v>32</v>
      </c>
      <c r="F2127" s="3">
        <v>0</v>
      </c>
      <c r="G2127" s="3">
        <v>4.9023899748867903E-6</v>
      </c>
      <c r="H2127" s="3">
        <v>4.9023899748867903E-6</v>
      </c>
      <c r="I2127" s="3">
        <v>-1.1529853317744901E-3</v>
      </c>
      <c r="J2127" s="3">
        <v>1.0826558772114899E-3</v>
      </c>
      <c r="K2127" s="3">
        <v>2.8450332000713699E-3</v>
      </c>
      <c r="L2127" s="3">
        <v>-1.51676698026584E-3</v>
      </c>
      <c r="M2127" s="3">
        <v>-3.65153737864815E-3</v>
      </c>
      <c r="N2127" s="3">
        <v>-3.5359508619803299E-3</v>
      </c>
      <c r="O2127" s="3">
        <v>-2.95007500720293E-3</v>
      </c>
      <c r="P2127" s="3">
        <v>-2.4446374808856099E-3</v>
      </c>
    </row>
    <row r="2128" spans="1:16" x14ac:dyDescent="0.45">
      <c r="A2128" s="7" t="s">
        <v>81</v>
      </c>
      <c r="B2128" s="7" t="s">
        <v>29</v>
      </c>
      <c r="C2128" s="7" t="s">
        <v>15</v>
      </c>
      <c r="D2128" s="7" t="s">
        <v>13</v>
      </c>
      <c r="E2128" s="7" t="s">
        <v>32</v>
      </c>
      <c r="F2128" s="3">
        <v>0</v>
      </c>
      <c r="G2128" s="3">
        <v>-1.05005083159232E-3</v>
      </c>
      <c r="H2128" s="3">
        <v>-1.05005083159232E-3</v>
      </c>
      <c r="I2128" s="3">
        <v>2.42681068162057E-3</v>
      </c>
      <c r="J2128" s="3">
        <v>-2.32741662193231E-3</v>
      </c>
      <c r="K2128" s="3">
        <v>-6.74928915917428E-3</v>
      </c>
      <c r="L2128" s="3">
        <v>-2.8018767431233198E-3</v>
      </c>
      <c r="M2128" s="3">
        <v>2.80357964786981E-4</v>
      </c>
      <c r="N2128" s="3">
        <v>-1.4378439820840699E-3</v>
      </c>
      <c r="O2128" s="3">
        <v>-2.0085137841310001E-3</v>
      </c>
      <c r="P2128" s="3">
        <v>-2.56720003560715E-3</v>
      </c>
    </row>
    <row r="2129" spans="1:16" x14ac:dyDescent="0.45">
      <c r="A2129" s="7" t="s">
        <v>81</v>
      </c>
      <c r="B2129" s="7" t="s">
        <v>29</v>
      </c>
      <c r="C2129" s="7" t="s">
        <v>15</v>
      </c>
      <c r="D2129" s="7" t="s">
        <v>14</v>
      </c>
      <c r="E2129" s="7" t="s">
        <v>32</v>
      </c>
      <c r="F2129" s="3">
        <v>0</v>
      </c>
      <c r="G2129" s="3">
        <v>2.5174996634507998E-3</v>
      </c>
      <c r="H2129" s="3">
        <v>2.5174996634507998E-3</v>
      </c>
      <c r="I2129" s="3">
        <v>3.5537515897732198E-3</v>
      </c>
      <c r="J2129" s="3">
        <v>1.8321624639677501E-3</v>
      </c>
      <c r="K2129" s="3">
        <v>-7.4539752949595605E-4</v>
      </c>
      <c r="L2129" s="3">
        <v>-2.6524794380103399E-3</v>
      </c>
      <c r="M2129" s="3">
        <v>-3.86957543663824E-3</v>
      </c>
      <c r="N2129" s="3">
        <v>-3.24487118681069E-3</v>
      </c>
      <c r="O2129" s="3">
        <v>-2.7448240550605502E-3</v>
      </c>
      <c r="P2129" s="3">
        <v>-3.82152877226602E-3</v>
      </c>
    </row>
    <row r="2130" spans="1:16" x14ac:dyDescent="0.45">
      <c r="A2130" s="7" t="s">
        <v>81</v>
      </c>
      <c r="B2130" s="7" t="s">
        <v>29</v>
      </c>
      <c r="C2130" s="7" t="s">
        <v>16</v>
      </c>
      <c r="D2130" s="7" t="s">
        <v>7</v>
      </c>
      <c r="E2130" s="7" t="s">
        <v>32</v>
      </c>
      <c r="F2130" s="3">
        <v>5.5676111863572401E-2</v>
      </c>
      <c r="G2130" s="3">
        <v>5.9434370437360502E-2</v>
      </c>
      <c r="H2130" s="3">
        <v>5.9434370437360502E-2</v>
      </c>
      <c r="I2130" s="3">
        <v>5.8235736501637103E-2</v>
      </c>
      <c r="J2130" s="3">
        <v>5.8235674206097501E-2</v>
      </c>
      <c r="K2130" s="3">
        <v>5.7711133943900698E-2</v>
      </c>
      <c r="L2130" s="3">
        <v>5.8235674206097501E-2</v>
      </c>
      <c r="M2130" s="3">
        <v>5.8235674206097501E-2</v>
      </c>
      <c r="N2130" s="3">
        <v>5.8235674206097501E-2</v>
      </c>
      <c r="O2130" s="3">
        <v>5.8235674206097501E-2</v>
      </c>
      <c r="P2130" s="3">
        <v>5.8235674206097501E-2</v>
      </c>
    </row>
    <row r="2131" spans="1:16" x14ac:dyDescent="0.45">
      <c r="A2131" s="7" t="s">
        <v>81</v>
      </c>
      <c r="B2131" s="7" t="s">
        <v>29</v>
      </c>
      <c r="C2131" s="7" t="s">
        <v>16</v>
      </c>
      <c r="D2131" s="7" t="s">
        <v>9</v>
      </c>
      <c r="E2131" s="7" t="s">
        <v>32</v>
      </c>
      <c r="F2131" s="3">
        <v>0</v>
      </c>
      <c r="G2131" s="3">
        <v>-1.4722170954384299E-5</v>
      </c>
      <c r="H2131" s="3">
        <v>-1.4722170954384299E-5</v>
      </c>
      <c r="I2131" s="3">
        <v>-1.4715477749421799E-5</v>
      </c>
      <c r="J2131" s="3">
        <v>-5.5914472404058196E-4</v>
      </c>
      <c r="K2131" s="3">
        <v>-7.6709034460220607E-5</v>
      </c>
      <c r="L2131" s="3">
        <v>-5.33465747740144E-4</v>
      </c>
      <c r="M2131" s="3">
        <v>-4.9126603231286503E-4</v>
      </c>
      <c r="N2131" s="3">
        <v>-4.8808649563164101E-3</v>
      </c>
      <c r="O2131" s="3">
        <v>-4.8798852542369896E-3</v>
      </c>
      <c r="P2131" s="3">
        <v>-4.8798852542369896E-3</v>
      </c>
    </row>
    <row r="2132" spans="1:16" x14ac:dyDescent="0.45">
      <c r="A2132" s="7" t="s">
        <v>81</v>
      </c>
      <c r="B2132" s="7" t="s">
        <v>29</v>
      </c>
      <c r="C2132" s="7" t="s">
        <v>16</v>
      </c>
      <c r="D2132" s="7" t="s">
        <v>10</v>
      </c>
      <c r="E2132" s="7" t="s">
        <v>32</v>
      </c>
      <c r="F2132" s="3">
        <v>0</v>
      </c>
      <c r="G2132" s="3">
        <v>-9.0205620750794006E-17</v>
      </c>
      <c r="H2132" s="3">
        <v>-9.0205620750794006E-17</v>
      </c>
      <c r="I2132" s="3">
        <v>0</v>
      </c>
      <c r="J2132" s="3">
        <v>2.56789763005277E-5</v>
      </c>
      <c r="K2132" s="3">
        <v>-4.9648927455608199E-4</v>
      </c>
      <c r="L2132" s="3">
        <v>-4.3464195064968503E-3</v>
      </c>
      <c r="M2132" s="3">
        <v>-4.38861922192413E-3</v>
      </c>
      <c r="N2132" s="3">
        <v>9.7970207942055201E-7</v>
      </c>
      <c r="O2132" s="3">
        <v>0</v>
      </c>
      <c r="P2132" s="3">
        <v>0</v>
      </c>
    </row>
    <row r="2133" spans="1:16" x14ac:dyDescent="0.45">
      <c r="A2133" s="7" t="s">
        <v>81</v>
      </c>
      <c r="B2133" s="7" t="s">
        <v>29</v>
      </c>
      <c r="C2133" s="7" t="s">
        <v>16</v>
      </c>
      <c r="D2133" s="7" t="s">
        <v>11</v>
      </c>
      <c r="E2133" s="7" t="s">
        <v>32</v>
      </c>
      <c r="F2133" s="3">
        <v>0</v>
      </c>
      <c r="G2133" s="3">
        <v>9.0205620750794006E-17</v>
      </c>
      <c r="H2133" s="3">
        <v>9.0205620750794006E-17</v>
      </c>
      <c r="I2133" s="3">
        <v>0</v>
      </c>
      <c r="J2133" s="3">
        <v>-4.3464195064969397E-3</v>
      </c>
      <c r="K2133" s="3">
        <v>-3.7821466830238598E-3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</row>
    <row r="2134" spans="1:16" x14ac:dyDescent="0.45">
      <c r="A2134" s="7" t="s">
        <v>81</v>
      </c>
      <c r="B2134" s="7" t="s">
        <v>29</v>
      </c>
      <c r="C2134" s="7" t="s">
        <v>16</v>
      </c>
      <c r="D2134" s="7" t="s">
        <v>12</v>
      </c>
      <c r="E2134" s="7" t="s">
        <v>32</v>
      </c>
      <c r="F2134" s="3">
        <v>0</v>
      </c>
      <c r="G2134" s="3">
        <v>-2.8205257863775399E-5</v>
      </c>
      <c r="H2134" s="3">
        <v>-2.8205257863775399E-5</v>
      </c>
      <c r="I2134" s="3">
        <v>-4.8943418383871999E-3</v>
      </c>
      <c r="J2134" s="3">
        <v>-2.8192358225681602E-5</v>
      </c>
      <c r="K2134" s="3">
        <v>-2.8192358225681602E-5</v>
      </c>
      <c r="L2134" s="3">
        <v>-2.8192358225681602E-5</v>
      </c>
      <c r="M2134" s="3">
        <v>-2.8192358225681602E-5</v>
      </c>
      <c r="N2134" s="3">
        <v>-2.9269031065246001E-5</v>
      </c>
      <c r="O2134" s="3">
        <v>-3.03992315446658E-5</v>
      </c>
      <c r="P2134" s="3">
        <v>-3.1523068274398602E-5</v>
      </c>
    </row>
    <row r="2135" spans="1:16" x14ac:dyDescent="0.45">
      <c r="A2135" s="7" t="s">
        <v>81</v>
      </c>
      <c r="B2135" s="7" t="s">
        <v>29</v>
      </c>
      <c r="C2135" s="7" t="s">
        <v>16</v>
      </c>
      <c r="D2135" s="7" t="s">
        <v>13</v>
      </c>
      <c r="E2135" s="7" t="s">
        <v>32</v>
      </c>
      <c r="F2135" s="3">
        <v>0</v>
      </c>
      <c r="G2135" s="3">
        <v>4.2927428818159703E-5</v>
      </c>
      <c r="H2135" s="3">
        <v>4.2927428818159703E-5</v>
      </c>
      <c r="I2135" s="3">
        <v>4.3887539104225903E-5</v>
      </c>
      <c r="J2135" s="3">
        <v>4.1831135032616199E-5</v>
      </c>
      <c r="K2135" s="3">
        <v>3.9577040129974699E-5</v>
      </c>
      <c r="L2135" s="3">
        <v>3.9577040129974699E-5</v>
      </c>
      <c r="M2135" s="3">
        <v>3.9577040129974699E-5</v>
      </c>
      <c r="N2135" s="3">
        <v>4.06537129695392E-5</v>
      </c>
      <c r="O2135" s="3">
        <v>4.1783913448958898E-5</v>
      </c>
      <c r="P2135" s="3">
        <v>4.2907750178691798E-5</v>
      </c>
    </row>
    <row r="2136" spans="1:16" x14ac:dyDescent="0.45">
      <c r="A2136" s="7" t="s">
        <v>81</v>
      </c>
      <c r="B2136" s="7" t="s">
        <v>29</v>
      </c>
      <c r="C2136" s="7" t="s">
        <v>16</v>
      </c>
      <c r="D2136" s="7" t="s">
        <v>14</v>
      </c>
      <c r="E2136" s="7" t="s">
        <v>32</v>
      </c>
      <c r="F2136" s="3">
        <v>0</v>
      </c>
      <c r="G2136" s="3">
        <v>-4.9781251459395702E-3</v>
      </c>
      <c r="H2136" s="3">
        <v>-4.9781251459395702E-3</v>
      </c>
      <c r="I2136" s="3">
        <v>1.08230479439753E-7</v>
      </c>
      <c r="J2136" s="3">
        <v>-1.00738089492403E-6</v>
      </c>
      <c r="K2136" s="3">
        <v>1.2467140077174199E-6</v>
      </c>
      <c r="L2136" s="3">
        <v>1.2467140077174199E-6</v>
      </c>
      <c r="M2136" s="3">
        <v>1.2467140077174199E-6</v>
      </c>
      <c r="N2136" s="3">
        <v>1.2467140077174199E-6</v>
      </c>
      <c r="O2136" s="3">
        <v>1.2467140077174199E-6</v>
      </c>
      <c r="P2136" s="3">
        <v>1.2467140077174199E-6</v>
      </c>
    </row>
    <row r="2137" spans="1:16" x14ac:dyDescent="0.45">
      <c r="A2137" s="7" t="s">
        <v>81</v>
      </c>
      <c r="B2137" s="7" t="s">
        <v>29</v>
      </c>
      <c r="C2137" s="7" t="s">
        <v>17</v>
      </c>
      <c r="D2137" s="7" t="s">
        <v>7</v>
      </c>
      <c r="E2137" s="7" t="s">
        <v>32</v>
      </c>
      <c r="F2137" s="3">
        <v>9.8663326802240405E-3</v>
      </c>
      <c r="G2137" s="3">
        <v>2.2616479829337999E-2</v>
      </c>
      <c r="H2137" s="3">
        <v>2.2616479829337999E-2</v>
      </c>
      <c r="I2137" s="3">
        <v>5.6847116197857497E-2</v>
      </c>
      <c r="J2137" s="3">
        <v>6.4485136211366104E-2</v>
      </c>
      <c r="K2137" s="3">
        <v>6.7938733000100393E-2</v>
      </c>
      <c r="L2137" s="3">
        <v>6.4383505716495995E-2</v>
      </c>
      <c r="M2137" s="3">
        <v>5.9762217556562601E-2</v>
      </c>
      <c r="N2137" s="3">
        <v>5.4621722207207402E-2</v>
      </c>
      <c r="O2137" s="3">
        <v>4.9805303828119901E-2</v>
      </c>
      <c r="P2137" s="3">
        <v>4.5243022794854801E-2</v>
      </c>
    </row>
    <row r="2138" spans="1:16" x14ac:dyDescent="0.45">
      <c r="A2138" s="7" t="s">
        <v>81</v>
      </c>
      <c r="B2138" s="7" t="s">
        <v>29</v>
      </c>
      <c r="C2138" s="7" t="s">
        <v>17</v>
      </c>
      <c r="D2138" s="7" t="s">
        <v>9</v>
      </c>
      <c r="E2138" s="7" t="s">
        <v>32</v>
      </c>
      <c r="F2138" s="3">
        <v>0</v>
      </c>
      <c r="G2138" s="3">
        <v>7.0423624305853197E-4</v>
      </c>
      <c r="H2138" s="3">
        <v>7.0423624305853197E-4</v>
      </c>
      <c r="I2138" s="3">
        <v>1.6038464783723399E-3</v>
      </c>
      <c r="J2138" s="3">
        <v>1.1986355358785299E-3</v>
      </c>
      <c r="K2138" s="3">
        <v>7.0526321603124598E-4</v>
      </c>
      <c r="L2138" s="3">
        <v>1.9711407289032101E-3</v>
      </c>
      <c r="M2138" s="3">
        <v>3.5512518186366598E-3</v>
      </c>
      <c r="N2138" s="3">
        <v>1.6979144490061899E-2</v>
      </c>
      <c r="O2138" s="3">
        <v>1.9271719982741901E-2</v>
      </c>
      <c r="P2138" s="3">
        <v>2.1929511580244299E-2</v>
      </c>
    </row>
    <row r="2139" spans="1:16" x14ac:dyDescent="0.45">
      <c r="A2139" s="7" t="s">
        <v>81</v>
      </c>
      <c r="B2139" s="7" t="s">
        <v>29</v>
      </c>
      <c r="C2139" s="7" t="s">
        <v>17</v>
      </c>
      <c r="D2139" s="7" t="s">
        <v>10</v>
      </c>
      <c r="E2139" s="7" t="s">
        <v>32</v>
      </c>
      <c r="F2139" s="3">
        <v>0</v>
      </c>
      <c r="G2139" s="3">
        <v>2.03638713551568E-4</v>
      </c>
      <c r="H2139" s="3">
        <v>2.03638713551568E-4</v>
      </c>
      <c r="I2139" s="3">
        <v>6.8068021490130803E-4</v>
      </c>
      <c r="J2139" s="3">
        <v>2.0556031728201401E-4</v>
      </c>
      <c r="K2139" s="3">
        <v>1.2486267134049201E-3</v>
      </c>
      <c r="L2139" s="3">
        <v>1.3084118247792299E-2</v>
      </c>
      <c r="M2139" s="3">
        <v>1.35308253687702E-2</v>
      </c>
      <c r="N2139" s="3">
        <v>6.8001052470680603E-3</v>
      </c>
      <c r="O2139" s="3">
        <v>7.46756404769268E-3</v>
      </c>
      <c r="P2139" s="3">
        <v>1.06152246471706E-2</v>
      </c>
    </row>
    <row r="2140" spans="1:16" x14ac:dyDescent="0.45">
      <c r="A2140" s="7" t="s">
        <v>81</v>
      </c>
      <c r="B2140" s="7" t="s">
        <v>29</v>
      </c>
      <c r="C2140" s="7" t="s">
        <v>17</v>
      </c>
      <c r="D2140" s="7" t="s">
        <v>11</v>
      </c>
      <c r="E2140" s="7" t="s">
        <v>32</v>
      </c>
      <c r="F2140" s="3">
        <v>0</v>
      </c>
      <c r="G2140" s="3">
        <v>1.93501270083763E-4</v>
      </c>
      <c r="H2140" s="3">
        <v>1.93501270083763E-4</v>
      </c>
      <c r="I2140" s="3">
        <v>5.8945285599019297E-4</v>
      </c>
      <c r="J2140" s="3">
        <v>1.14741122592039E-2</v>
      </c>
      <c r="K2140" s="3">
        <v>1.0534526058514401E-2</v>
      </c>
      <c r="L2140" s="3">
        <v>3.4483793180940699E-3</v>
      </c>
      <c r="M2140" s="3">
        <v>5.6652724194685804E-3</v>
      </c>
      <c r="N2140" s="3">
        <v>4.4852989057063003E-3</v>
      </c>
      <c r="O2140" s="3">
        <v>6.3465932563807901E-3</v>
      </c>
      <c r="P2140" s="3">
        <v>5.1524628698424698E-3</v>
      </c>
    </row>
    <row r="2141" spans="1:16" x14ac:dyDescent="0.45">
      <c r="A2141" s="7" t="s">
        <v>81</v>
      </c>
      <c r="B2141" s="7" t="s">
        <v>29</v>
      </c>
      <c r="C2141" s="7" t="s">
        <v>17</v>
      </c>
      <c r="D2141" s="7" t="s">
        <v>12</v>
      </c>
      <c r="E2141" s="7" t="s">
        <v>32</v>
      </c>
      <c r="F2141" s="3">
        <v>0</v>
      </c>
      <c r="G2141" s="3">
        <v>2.9512863666929202E-4</v>
      </c>
      <c r="H2141" s="3">
        <v>2.9512863666929202E-4</v>
      </c>
      <c r="I2141" s="3">
        <v>1.5166779956626301E-2</v>
      </c>
      <c r="J2141" s="3">
        <v>2.84600477738937E-3</v>
      </c>
      <c r="K2141" s="3">
        <v>3.6245413112279399E-3</v>
      </c>
      <c r="L2141" s="3">
        <v>1.1645462879933499E-3</v>
      </c>
      <c r="M2141" s="3">
        <v>1.85652699743728E-3</v>
      </c>
      <c r="N2141" s="3">
        <v>2.7015229705936701E-3</v>
      </c>
      <c r="O2141" s="3">
        <v>3.94689117506207E-3</v>
      </c>
      <c r="P2141" s="3">
        <v>4.1631352503027604E-3</v>
      </c>
    </row>
    <row r="2142" spans="1:16" x14ac:dyDescent="0.45">
      <c r="A2142" s="7" t="s">
        <v>81</v>
      </c>
      <c r="B2142" s="7" t="s">
        <v>29</v>
      </c>
      <c r="C2142" s="7" t="s">
        <v>17</v>
      </c>
      <c r="D2142" s="7" t="s">
        <v>13</v>
      </c>
      <c r="E2142" s="7" t="s">
        <v>32</v>
      </c>
      <c r="F2142" s="3">
        <v>0</v>
      </c>
      <c r="G2142" s="3">
        <v>3.49407743531404E-3</v>
      </c>
      <c r="H2142" s="3">
        <v>3.49407743531404E-3</v>
      </c>
      <c r="I2142" s="3">
        <v>4.0438189529014299E-3</v>
      </c>
      <c r="J2142" s="3">
        <v>3.4959149732587298E-3</v>
      </c>
      <c r="K2142" s="3">
        <v>3.1114431732305299E-3</v>
      </c>
      <c r="L2142" s="3">
        <v>3.2056529254549E-3</v>
      </c>
      <c r="M2142" s="3">
        <v>2.8998017420189801E-3</v>
      </c>
      <c r="N2142" s="3">
        <v>1.6794670329355499E-3</v>
      </c>
      <c r="O2142" s="3">
        <v>4.2959396191444299E-4</v>
      </c>
      <c r="P2142" s="3">
        <v>1.6431316348032601E-4</v>
      </c>
    </row>
    <row r="2143" spans="1:16" x14ac:dyDescent="0.45">
      <c r="A2143" s="7" t="s">
        <v>81</v>
      </c>
      <c r="B2143" s="7" t="s">
        <v>29</v>
      </c>
      <c r="C2143" s="7" t="s">
        <v>17</v>
      </c>
      <c r="D2143" s="7" t="s">
        <v>14</v>
      </c>
      <c r="E2143" s="7" t="s">
        <v>32</v>
      </c>
      <c r="F2143" s="3">
        <v>0</v>
      </c>
      <c r="G2143" s="3">
        <v>1.6711128557484599E-2</v>
      </c>
      <c r="H2143" s="3">
        <v>1.6711128557484599E-2</v>
      </c>
      <c r="I2143" s="3">
        <v>6.50422669676447E-3</v>
      </c>
      <c r="J2143" s="3">
        <v>3.4357684951098798E-3</v>
      </c>
      <c r="K2143" s="3">
        <v>-1.1728089977888799E-5</v>
      </c>
      <c r="L2143" s="3">
        <v>-1.05884076225221E-4</v>
      </c>
      <c r="M2143" s="3">
        <v>-1.14392957689599E-4</v>
      </c>
      <c r="N2143" s="3">
        <v>-1.15757902991398E-4</v>
      </c>
      <c r="O2143" s="3">
        <v>-1.16163301276617E-4</v>
      </c>
      <c r="P2143" s="3">
        <v>-1.1616735525954401E-4</v>
      </c>
    </row>
    <row r="2144" spans="1:16" x14ac:dyDescent="0.45">
      <c r="A2144" s="7" t="s">
        <v>81</v>
      </c>
      <c r="B2144" s="7" t="s">
        <v>29</v>
      </c>
      <c r="C2144" s="7" t="s">
        <v>18</v>
      </c>
      <c r="D2144" s="7" t="s">
        <v>7</v>
      </c>
      <c r="E2144" s="7" t="s">
        <v>32</v>
      </c>
      <c r="F2144" s="3">
        <v>0.100762884360445</v>
      </c>
      <c r="G2144" s="3">
        <v>7.5310590139435404E-2</v>
      </c>
      <c r="H2144" s="3">
        <v>7.5310590139435404E-2</v>
      </c>
      <c r="I2144" s="3">
        <v>5.0207060092956897E-2</v>
      </c>
      <c r="J2144" s="3">
        <v>2.51035300464784E-2</v>
      </c>
      <c r="K2144" s="3">
        <v>9.7044591309901694E-18</v>
      </c>
      <c r="L2144" s="3">
        <v>7.7635673047921097E-17</v>
      </c>
      <c r="M2144" s="3">
        <v>0</v>
      </c>
      <c r="N2144" s="3">
        <v>7.7635673047921097E-17</v>
      </c>
      <c r="O2144" s="3">
        <v>0</v>
      </c>
      <c r="P2144" s="3">
        <v>6.7931213916930996E-17</v>
      </c>
    </row>
    <row r="2145" spans="1:16" x14ac:dyDescent="0.45">
      <c r="A2145" s="7" t="s">
        <v>81</v>
      </c>
      <c r="B2145" s="7" t="s">
        <v>29</v>
      </c>
      <c r="C2145" s="7" t="s">
        <v>18</v>
      </c>
      <c r="D2145" s="7" t="s">
        <v>9</v>
      </c>
      <c r="E2145" s="7" t="s">
        <v>32</v>
      </c>
      <c r="F2145" s="3">
        <v>0</v>
      </c>
      <c r="G2145" s="3">
        <v>0</v>
      </c>
      <c r="H2145" s="3">
        <v>0</v>
      </c>
      <c r="I2145" s="3">
        <v>0</v>
      </c>
      <c r="J2145" s="3">
        <v>8.6736173798840404E-17</v>
      </c>
      <c r="K2145" s="3">
        <v>1.9408918261980299E-17</v>
      </c>
      <c r="L2145" s="3">
        <v>-4.8522295654950698E-17</v>
      </c>
      <c r="M2145" s="3">
        <v>9.7044591309901694E-18</v>
      </c>
      <c r="N2145" s="3">
        <v>-7.7635673047921097E-17</v>
      </c>
      <c r="O2145" s="3">
        <v>0</v>
      </c>
      <c r="P2145" s="3">
        <v>-6.7931213916930996E-17</v>
      </c>
    </row>
    <row r="2146" spans="1:16" x14ac:dyDescent="0.45">
      <c r="A2146" s="7" t="s">
        <v>81</v>
      </c>
      <c r="B2146" s="7" t="s">
        <v>29</v>
      </c>
      <c r="C2146" s="7" t="s">
        <v>18</v>
      </c>
      <c r="D2146" s="7" t="s">
        <v>10</v>
      </c>
      <c r="E2146" s="7" t="s">
        <v>32</v>
      </c>
      <c r="F2146" s="3">
        <v>0</v>
      </c>
      <c r="G2146" s="3">
        <v>0</v>
      </c>
      <c r="H2146" s="3">
        <v>0</v>
      </c>
      <c r="I2146" s="3">
        <v>0</v>
      </c>
      <c r="J2146" s="3">
        <v>9.0205620750794006E-17</v>
      </c>
      <c r="K2146" s="3">
        <v>-1.9408918261980299E-17</v>
      </c>
      <c r="L2146" s="3">
        <v>-2.9113377392970399E-17</v>
      </c>
      <c r="M2146" s="3">
        <v>-9.7044591309901694E-18</v>
      </c>
      <c r="N2146" s="3">
        <v>0</v>
      </c>
      <c r="O2146" s="3">
        <v>4.8522295654950698E-17</v>
      </c>
      <c r="P2146" s="3">
        <v>0</v>
      </c>
    </row>
    <row r="2147" spans="1:16" x14ac:dyDescent="0.45">
      <c r="A2147" s="7" t="s">
        <v>81</v>
      </c>
      <c r="B2147" s="7" t="s">
        <v>29</v>
      </c>
      <c r="C2147" s="7" t="s">
        <v>18</v>
      </c>
      <c r="D2147" s="7" t="s">
        <v>11</v>
      </c>
      <c r="E2147" s="7" t="s">
        <v>32</v>
      </c>
      <c r="F2147" s="3">
        <v>0</v>
      </c>
      <c r="G2147" s="3">
        <v>8.3266726846886704E-17</v>
      </c>
      <c r="H2147" s="3">
        <v>8.3266726846886704E-17</v>
      </c>
      <c r="I2147" s="3">
        <v>0</v>
      </c>
      <c r="J2147" s="3">
        <v>-9.0205620750794006E-17</v>
      </c>
      <c r="K2147" s="3">
        <v>-9.7044591309901694E-18</v>
      </c>
      <c r="L2147" s="3">
        <v>6.7931213916930996E-17</v>
      </c>
      <c r="M2147" s="3">
        <v>0</v>
      </c>
      <c r="N2147" s="3">
        <v>3.8817836523960598E-17</v>
      </c>
      <c r="O2147" s="3">
        <v>-1.9408918261980299E-17</v>
      </c>
      <c r="P2147" s="3">
        <v>6.7931213916930996E-17</v>
      </c>
    </row>
    <row r="2148" spans="1:16" x14ac:dyDescent="0.45">
      <c r="A2148" s="7" t="s">
        <v>81</v>
      </c>
      <c r="B2148" s="7" t="s">
        <v>29</v>
      </c>
      <c r="C2148" s="7" t="s">
        <v>18</v>
      </c>
      <c r="D2148" s="7" t="s">
        <v>12</v>
      </c>
      <c r="E2148" s="7" t="s">
        <v>32</v>
      </c>
      <c r="F2148" s="3">
        <v>0</v>
      </c>
      <c r="G2148" s="3">
        <v>0</v>
      </c>
      <c r="H2148" s="3">
        <v>0</v>
      </c>
      <c r="I2148" s="3">
        <v>0</v>
      </c>
      <c r="J2148" s="3">
        <v>-8.6736173798840404E-17</v>
      </c>
      <c r="K2148" s="3">
        <v>0</v>
      </c>
      <c r="L2148" s="3">
        <v>-4.8522295654950802E-17</v>
      </c>
      <c r="M2148" s="3">
        <v>0</v>
      </c>
      <c r="N2148" s="3">
        <v>1.06749050440891E-16</v>
      </c>
      <c r="O2148" s="3">
        <v>5.8226754785940896E-17</v>
      </c>
      <c r="P2148" s="3">
        <v>-6.7931213916930996E-17</v>
      </c>
    </row>
    <row r="2149" spans="1:16" x14ac:dyDescent="0.45">
      <c r="A2149" s="7" t="s">
        <v>81</v>
      </c>
      <c r="B2149" s="7" t="s">
        <v>29</v>
      </c>
      <c r="C2149" s="7" t="s">
        <v>18</v>
      </c>
      <c r="D2149" s="7" t="s">
        <v>13</v>
      </c>
      <c r="E2149" s="7" t="s">
        <v>32</v>
      </c>
      <c r="F2149" s="3">
        <v>0</v>
      </c>
      <c r="G2149" s="3">
        <v>0</v>
      </c>
      <c r="H2149" s="3">
        <v>0</v>
      </c>
      <c r="I2149" s="3">
        <v>-8.3266726846886704E-17</v>
      </c>
      <c r="J2149" s="3">
        <v>8.6736173798840404E-17</v>
      </c>
      <c r="K2149" s="3">
        <v>0</v>
      </c>
      <c r="L2149" s="3">
        <v>-1.9408918261980299E-17</v>
      </c>
      <c r="M2149" s="3">
        <v>6.7931213916930996E-17</v>
      </c>
      <c r="N2149" s="3">
        <v>-1.4556688696485201E-16</v>
      </c>
      <c r="O2149" s="3">
        <v>-6.7931213916930996E-17</v>
      </c>
      <c r="P2149" s="3">
        <v>6.7931213916930996E-17</v>
      </c>
    </row>
    <row r="2150" spans="1:16" x14ac:dyDescent="0.45">
      <c r="A2150" s="7" t="s">
        <v>81</v>
      </c>
      <c r="B2150" s="7" t="s">
        <v>29</v>
      </c>
      <c r="C2150" s="7" t="s">
        <v>18</v>
      </c>
      <c r="D2150" s="7" t="s">
        <v>14</v>
      </c>
      <c r="E2150" s="7" t="s">
        <v>32</v>
      </c>
      <c r="F2150" s="3">
        <v>0</v>
      </c>
      <c r="G2150" s="3">
        <v>0</v>
      </c>
      <c r="H2150" s="3">
        <v>0</v>
      </c>
      <c r="I2150" s="3">
        <v>8.3266726846886704E-17</v>
      </c>
      <c r="J2150" s="3">
        <v>-8.6736173798840404E-17</v>
      </c>
      <c r="K2150" s="3">
        <v>5.8226754785940896E-17</v>
      </c>
      <c r="L2150" s="3">
        <v>2.9113377392970399E-17</v>
      </c>
      <c r="M2150" s="3">
        <v>3.88178365239604E-17</v>
      </c>
      <c r="N2150" s="3">
        <v>8.7340132178911295E-17</v>
      </c>
      <c r="O2150" s="3">
        <v>7.7635673047921503E-17</v>
      </c>
      <c r="P2150" s="3">
        <v>-6.7931213916930996E-17</v>
      </c>
    </row>
    <row r="2151" spans="1:16" x14ac:dyDescent="0.45">
      <c r="A2151" s="7" t="s">
        <v>81</v>
      </c>
      <c r="B2151" s="7" t="s">
        <v>29</v>
      </c>
      <c r="C2151" s="7" t="s">
        <v>19</v>
      </c>
      <c r="D2151" s="7" t="s">
        <v>7</v>
      </c>
      <c r="E2151" s="7" t="s">
        <v>32</v>
      </c>
      <c r="F2151" s="3">
        <v>3.6348276522852798E-3</v>
      </c>
      <c r="G2151" s="3">
        <v>0</v>
      </c>
      <c r="H2151" s="3">
        <v>0</v>
      </c>
      <c r="I2151" s="3">
        <v>0</v>
      </c>
      <c r="J2151" s="3">
        <v>0</v>
      </c>
      <c r="K2151" s="3">
        <v>3.7737338671972802E-3</v>
      </c>
      <c r="L2151" s="3">
        <v>6.7233449141775395E-4</v>
      </c>
      <c r="M2151" s="3">
        <v>1.34289423425617E-4</v>
      </c>
      <c r="N2151" s="3">
        <v>9.8365420679534093E-6</v>
      </c>
      <c r="O2151" s="3">
        <v>0</v>
      </c>
      <c r="P2151" s="3">
        <v>0</v>
      </c>
    </row>
    <row r="2152" spans="1:16" x14ac:dyDescent="0.45">
      <c r="A2152" s="7" t="s">
        <v>81</v>
      </c>
      <c r="B2152" s="7" t="s">
        <v>29</v>
      </c>
      <c r="C2152" s="7" t="s">
        <v>19</v>
      </c>
      <c r="D2152" s="7" t="s">
        <v>9</v>
      </c>
      <c r="E2152" s="7" t="s">
        <v>32</v>
      </c>
      <c r="F2152" s="3">
        <v>0</v>
      </c>
      <c r="G2152" s="3">
        <v>0</v>
      </c>
      <c r="H2152" s="3">
        <v>0</v>
      </c>
      <c r="I2152" s="3">
        <v>0</v>
      </c>
      <c r="J2152" s="3">
        <v>3.06176895631651E-4</v>
      </c>
      <c r="K2152" s="3">
        <v>1.4545725814684501E-4</v>
      </c>
      <c r="L2152" s="3">
        <v>8.1024499646700895E-4</v>
      </c>
      <c r="M2152" s="3">
        <v>8.7322967854602102E-4</v>
      </c>
      <c r="N2152" s="3">
        <v>9.6904087913240501E-4</v>
      </c>
      <c r="O2152" s="3">
        <v>9.7887742120036708E-4</v>
      </c>
      <c r="P2152" s="3">
        <v>9.2186316614161596E-4</v>
      </c>
    </row>
    <row r="2153" spans="1:16" x14ac:dyDescent="0.45">
      <c r="A2153" s="7" t="s">
        <v>81</v>
      </c>
      <c r="B2153" s="7" t="s">
        <v>29</v>
      </c>
      <c r="C2153" s="7" t="s">
        <v>19</v>
      </c>
      <c r="D2153" s="7" t="s">
        <v>10</v>
      </c>
      <c r="E2153" s="7" t="s">
        <v>32</v>
      </c>
      <c r="F2153" s="3">
        <v>0</v>
      </c>
      <c r="G2153" s="3">
        <v>0</v>
      </c>
      <c r="H2153" s="3">
        <v>0</v>
      </c>
      <c r="I2153" s="3">
        <v>0</v>
      </c>
      <c r="J2153" s="3">
        <v>3.9773589276754302E-4</v>
      </c>
      <c r="K2153" s="3">
        <v>7.7656858635535701E-4</v>
      </c>
      <c r="L2153" s="3">
        <v>1.4449992197442399E-3</v>
      </c>
      <c r="M2153" s="3">
        <v>1.2440463821654199E-3</v>
      </c>
      <c r="N2153" s="3">
        <v>1.11846065749152E-2</v>
      </c>
      <c r="O2153" s="3">
        <v>1.2124789362792401E-2</v>
      </c>
      <c r="P2153" s="3">
        <v>1.2122524339455199E-2</v>
      </c>
    </row>
    <row r="2154" spans="1:16" x14ac:dyDescent="0.45">
      <c r="A2154" s="7" t="s">
        <v>81</v>
      </c>
      <c r="B2154" s="7" t="s">
        <v>29</v>
      </c>
      <c r="C2154" s="7" t="s">
        <v>19</v>
      </c>
      <c r="D2154" s="7" t="s">
        <v>11</v>
      </c>
      <c r="E2154" s="7" t="s">
        <v>32</v>
      </c>
      <c r="F2154" s="3">
        <v>0</v>
      </c>
      <c r="G2154" s="3">
        <v>0</v>
      </c>
      <c r="H2154" s="3">
        <v>0</v>
      </c>
      <c r="I2154" s="3">
        <v>0</v>
      </c>
      <c r="J2154" s="3">
        <v>5.1906200401215501E-4</v>
      </c>
      <c r="K2154" s="3">
        <v>7.9276694705661302E-4</v>
      </c>
      <c r="L2154" s="3">
        <v>1.30168599358209E-2</v>
      </c>
      <c r="M2154" s="3">
        <v>1.1597743385978E-2</v>
      </c>
      <c r="N2154" s="3">
        <v>3.7525358790702402E-3</v>
      </c>
      <c r="O2154" s="3">
        <v>3.0077191474486699E-3</v>
      </c>
      <c r="P2154" s="3">
        <v>3.3486332109676901E-3</v>
      </c>
    </row>
    <row r="2155" spans="1:16" x14ac:dyDescent="0.45">
      <c r="A2155" s="7" t="s">
        <v>81</v>
      </c>
      <c r="B2155" s="7" t="s">
        <v>29</v>
      </c>
      <c r="C2155" s="7" t="s">
        <v>19</v>
      </c>
      <c r="D2155" s="7" t="s">
        <v>12</v>
      </c>
      <c r="E2155" s="7" t="s">
        <v>32</v>
      </c>
      <c r="F2155" s="3">
        <v>0</v>
      </c>
      <c r="G2155" s="3">
        <v>0</v>
      </c>
      <c r="H2155" s="3">
        <v>0</v>
      </c>
      <c r="I2155" s="3">
        <v>0</v>
      </c>
      <c r="J2155" s="3">
        <v>9.5791614513628907E-3</v>
      </c>
      <c r="K2155" s="3">
        <v>1.1773304738251E-2</v>
      </c>
      <c r="L2155" s="3">
        <v>9.8316989624035894E-4</v>
      </c>
      <c r="M2155" s="3">
        <v>2.8489148189750602E-3</v>
      </c>
      <c r="N2155" s="3">
        <v>2.27089079069797E-3</v>
      </c>
      <c r="O2155" s="3">
        <v>4.3334366796177097E-3</v>
      </c>
      <c r="P2155" s="3">
        <v>4.4924199651856398E-3</v>
      </c>
    </row>
    <row r="2156" spans="1:16" x14ac:dyDescent="0.45">
      <c r="A2156" s="7" t="s">
        <v>81</v>
      </c>
      <c r="B2156" s="7" t="s">
        <v>29</v>
      </c>
      <c r="C2156" s="7" t="s">
        <v>19</v>
      </c>
      <c r="D2156" s="7" t="s">
        <v>13</v>
      </c>
      <c r="E2156" s="7" t="s">
        <v>32</v>
      </c>
      <c r="F2156" s="3">
        <v>0</v>
      </c>
      <c r="G2156" s="3">
        <v>0</v>
      </c>
      <c r="H2156" s="3">
        <v>0</v>
      </c>
      <c r="I2156" s="3">
        <v>1.51139255884665E-2</v>
      </c>
      <c r="J2156" s="3">
        <v>8.5258826620187994E-3</v>
      </c>
      <c r="K2156" s="3">
        <v>1.37281676532832E-2</v>
      </c>
      <c r="L2156" s="3">
        <v>9.6813681406471997E-3</v>
      </c>
      <c r="M2156" s="3">
        <v>6.3988785793740698E-3</v>
      </c>
      <c r="N2156" s="3">
        <v>4.6385088655819902E-3</v>
      </c>
      <c r="O2156" s="3">
        <v>2.6026189607104202E-3</v>
      </c>
      <c r="P2156" s="3">
        <v>2.68723406203058E-3</v>
      </c>
    </row>
    <row r="2157" spans="1:16" x14ac:dyDescent="0.45">
      <c r="A2157" s="7" t="s">
        <v>81</v>
      </c>
      <c r="B2157" s="7" t="s">
        <v>29</v>
      </c>
      <c r="C2157" s="7" t="s">
        <v>19</v>
      </c>
      <c r="D2157" s="7" t="s">
        <v>14</v>
      </c>
      <c r="E2157" s="7" t="s">
        <v>32</v>
      </c>
      <c r="F2157" s="3">
        <v>0</v>
      </c>
      <c r="G2157" s="3">
        <v>7.2617836790642397E-3</v>
      </c>
      <c r="H2157" s="3">
        <v>7.2617836790642397E-3</v>
      </c>
      <c r="I2157" s="3">
        <v>1.5072864851657E-2</v>
      </c>
      <c r="J2157" s="3">
        <v>1.05906928296963E-2</v>
      </c>
      <c r="K2157" s="3">
        <v>-2.7954327680956301E-3</v>
      </c>
      <c r="L2157" s="3">
        <v>-3.6375394540405399E-3</v>
      </c>
      <c r="M2157" s="3">
        <v>-1.2552469921566999E-3</v>
      </c>
      <c r="N2157" s="3">
        <v>-1.22523001783539E-3</v>
      </c>
      <c r="O2157" s="3">
        <v>1.18889695042833E-4</v>
      </c>
      <c r="P2157" s="3">
        <v>1.3222705999105899E-3</v>
      </c>
    </row>
    <row r="2158" spans="1:16" x14ac:dyDescent="0.45">
      <c r="A2158" s="7" t="s">
        <v>81</v>
      </c>
      <c r="B2158" s="7" t="s">
        <v>5</v>
      </c>
      <c r="C2158" s="7" t="s">
        <v>6</v>
      </c>
      <c r="D2158" s="7" t="s">
        <v>7</v>
      </c>
      <c r="E2158" s="7" t="s">
        <v>32</v>
      </c>
      <c r="F2158" s="3">
        <v>2.5260178400778401E-7</v>
      </c>
      <c r="G2158" s="3">
        <v>0</v>
      </c>
      <c r="H2158" s="3">
        <v>0</v>
      </c>
      <c r="I2158" s="3">
        <v>0</v>
      </c>
      <c r="J2158" s="3">
        <v>0</v>
      </c>
      <c r="K2158" s="3">
        <v>6.3863903348548799E-7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</row>
    <row r="2159" spans="1:16" x14ac:dyDescent="0.45">
      <c r="A2159" s="7" t="s">
        <v>81</v>
      </c>
      <c r="B2159" s="7" t="s">
        <v>5</v>
      </c>
      <c r="C2159" s="7" t="s">
        <v>6</v>
      </c>
      <c r="D2159" s="7" t="s">
        <v>9</v>
      </c>
      <c r="E2159" s="7" t="s">
        <v>32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3">
        <v>1.4454401718848101E-6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</row>
    <row r="2160" spans="1:16" x14ac:dyDescent="0.45">
      <c r="A2160" s="7" t="s">
        <v>81</v>
      </c>
      <c r="B2160" s="7" t="s">
        <v>5</v>
      </c>
      <c r="C2160" s="7" t="s">
        <v>6</v>
      </c>
      <c r="D2160" s="7" t="s">
        <v>10</v>
      </c>
      <c r="E2160" s="7" t="s">
        <v>32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2.7316419053850901E-6</v>
      </c>
      <c r="L2160" s="3">
        <v>0</v>
      </c>
      <c r="M2160" s="3">
        <v>2.0257831281709299E-6</v>
      </c>
      <c r="N2160" s="3">
        <v>2.1450524871716598E-5</v>
      </c>
      <c r="O2160" s="3">
        <v>5.54571796716243E-5</v>
      </c>
      <c r="P2160" s="3">
        <v>6.2588024945997895E-5</v>
      </c>
    </row>
    <row r="2161" spans="1:16" x14ac:dyDescent="0.45">
      <c r="A2161" s="7" t="s">
        <v>81</v>
      </c>
      <c r="B2161" s="7" t="s">
        <v>5</v>
      </c>
      <c r="C2161" s="7" t="s">
        <v>6</v>
      </c>
      <c r="D2161" s="7" t="s">
        <v>11</v>
      </c>
      <c r="E2161" s="7" t="s">
        <v>32</v>
      </c>
      <c r="F2161" s="3">
        <v>0</v>
      </c>
      <c r="G2161" s="3">
        <v>0</v>
      </c>
      <c r="H2161" s="3">
        <v>0</v>
      </c>
      <c r="I2161" s="3">
        <v>0</v>
      </c>
      <c r="J2161" s="3">
        <v>7.6933702437468898E-7</v>
      </c>
      <c r="K2161" s="3">
        <v>6.5683218863706399E-6</v>
      </c>
      <c r="L2161" s="3">
        <v>3.8521589256173498E-5</v>
      </c>
      <c r="M2161" s="3">
        <v>5.6567519043622097E-5</v>
      </c>
      <c r="N2161" s="3">
        <v>5.0328173856416097E-5</v>
      </c>
      <c r="O2161" s="3">
        <v>4.0631470706264498E-5</v>
      </c>
      <c r="P2161" s="3">
        <v>9.2733286453931601E-5</v>
      </c>
    </row>
    <row r="2162" spans="1:16" x14ac:dyDescent="0.45">
      <c r="A2162" s="7" t="s">
        <v>81</v>
      </c>
      <c r="B2162" s="7" t="s">
        <v>5</v>
      </c>
      <c r="C2162" s="7" t="s">
        <v>6</v>
      </c>
      <c r="D2162" s="7" t="s">
        <v>12</v>
      </c>
      <c r="E2162" s="7" t="s">
        <v>32</v>
      </c>
      <c r="F2162" s="3">
        <v>0</v>
      </c>
      <c r="G2162" s="3">
        <v>0</v>
      </c>
      <c r="H2162" s="3">
        <v>0</v>
      </c>
      <c r="I2162" s="3">
        <v>0</v>
      </c>
      <c r="J2162" s="3">
        <v>3.3125486704485503E-5</v>
      </c>
      <c r="K2162" s="3">
        <v>6.8293214617921096E-5</v>
      </c>
      <c r="L2162" s="3">
        <v>6.2196515549676597E-5</v>
      </c>
      <c r="M2162" s="3">
        <v>1.10458460046849E-4</v>
      </c>
      <c r="N2162" s="3">
        <v>1.6089796006723699E-4</v>
      </c>
      <c r="O2162" s="3">
        <v>1.9481635963604501E-4</v>
      </c>
      <c r="P2162" s="3">
        <v>1.8469993186161099E-4</v>
      </c>
    </row>
    <row r="2163" spans="1:16" x14ac:dyDescent="0.45">
      <c r="A2163" s="7" t="s">
        <v>81</v>
      </c>
      <c r="B2163" s="7" t="s">
        <v>5</v>
      </c>
      <c r="C2163" s="7" t="s">
        <v>6</v>
      </c>
      <c r="D2163" s="7" t="s">
        <v>13</v>
      </c>
      <c r="E2163" s="7" t="s">
        <v>32</v>
      </c>
      <c r="F2163" s="3">
        <v>0</v>
      </c>
      <c r="G2163" s="3">
        <v>0</v>
      </c>
      <c r="H2163" s="3">
        <v>0</v>
      </c>
      <c r="I2163" s="3">
        <v>6.27467877456014E-5</v>
      </c>
      <c r="J2163" s="3">
        <v>1.1233282166459701E-4</v>
      </c>
      <c r="K2163" s="3">
        <v>1.32681165057706E-4</v>
      </c>
      <c r="L2163" s="3">
        <v>1.6936902790405599E-4</v>
      </c>
      <c r="M2163" s="3">
        <v>1.5301939501886699E-4</v>
      </c>
      <c r="N2163" s="3">
        <v>1.32652386662432E-4</v>
      </c>
      <c r="O2163" s="3">
        <v>1.12456433477548E-4</v>
      </c>
      <c r="P2163" s="3">
        <v>1.17815519363327E-4</v>
      </c>
    </row>
    <row r="2164" spans="1:16" x14ac:dyDescent="0.45">
      <c r="A2164" s="7" t="s">
        <v>81</v>
      </c>
      <c r="B2164" s="7" t="s">
        <v>5</v>
      </c>
      <c r="C2164" s="7" t="s">
        <v>6</v>
      </c>
      <c r="D2164" s="7" t="s">
        <v>14</v>
      </c>
      <c r="E2164" s="7" t="s">
        <v>32</v>
      </c>
      <c r="F2164" s="3">
        <v>0</v>
      </c>
      <c r="G2164" s="3">
        <v>1.0205745593255501E-6</v>
      </c>
      <c r="H2164" s="3">
        <v>1.0205745593255501E-6</v>
      </c>
      <c r="I2164" s="3">
        <v>1.20798012007281E-4</v>
      </c>
      <c r="J2164" s="3">
        <v>1.03723345623381E-4</v>
      </c>
      <c r="K2164" s="3">
        <v>1.2046540189424901E-4</v>
      </c>
      <c r="L2164" s="3">
        <v>1.4727352844723599E-4</v>
      </c>
      <c r="M2164" s="3">
        <v>1.6249244722335999E-4</v>
      </c>
      <c r="N2164" s="3">
        <v>1.9003015344701201E-4</v>
      </c>
      <c r="O2164" s="3">
        <v>2.0390985756636401E-4</v>
      </c>
      <c r="P2164" s="3">
        <v>1.9522693866272901E-4</v>
      </c>
    </row>
    <row r="2165" spans="1:16" x14ac:dyDescent="0.45">
      <c r="A2165" s="7" t="s">
        <v>81</v>
      </c>
      <c r="B2165" s="7" t="s">
        <v>5</v>
      </c>
      <c r="C2165" s="7" t="s">
        <v>15</v>
      </c>
      <c r="D2165" s="7" t="s">
        <v>7</v>
      </c>
      <c r="E2165" s="7" t="s">
        <v>32</v>
      </c>
      <c r="F2165" s="3">
        <v>9.3113164820604296E-5</v>
      </c>
      <c r="G2165" s="3">
        <v>1.3426481519050401E-4</v>
      </c>
      <c r="H2165" s="3">
        <v>1.3426481519050401E-4</v>
      </c>
      <c r="I2165" s="3">
        <v>1.6529412603804301E-4</v>
      </c>
      <c r="J2165" s="3">
        <v>1.89679636590478E-4</v>
      </c>
      <c r="K2165" s="3">
        <v>2.1173083181942899E-4</v>
      </c>
      <c r="L2165" s="3">
        <v>2.18261635843499E-4</v>
      </c>
      <c r="M2165" s="3">
        <v>2.23442114710926E-4</v>
      </c>
      <c r="N2165" s="3">
        <v>2.2801839347000899E-4</v>
      </c>
      <c r="O2165" s="3">
        <v>2.3234882859862901E-4</v>
      </c>
      <c r="P2165" s="3">
        <v>2.3561073292335E-4</v>
      </c>
    </row>
    <row r="2166" spans="1:16" x14ac:dyDescent="0.45">
      <c r="A2166" s="7" t="s">
        <v>81</v>
      </c>
      <c r="B2166" s="7" t="s">
        <v>5</v>
      </c>
      <c r="C2166" s="7" t="s">
        <v>15</v>
      </c>
      <c r="D2166" s="7" t="s">
        <v>9</v>
      </c>
      <c r="E2166" s="7" t="s">
        <v>32</v>
      </c>
      <c r="F2166" s="3">
        <v>0</v>
      </c>
      <c r="G2166" s="3">
        <v>-2.7058476773539598E-7</v>
      </c>
      <c r="H2166" s="3">
        <v>-2.7058476773539598E-7</v>
      </c>
      <c r="I2166" s="3">
        <v>-6.3402115287757998E-7</v>
      </c>
      <c r="J2166" s="3">
        <v>2.5351563183144801E-7</v>
      </c>
      <c r="K2166" s="3">
        <v>5.2287915401351098E-8</v>
      </c>
      <c r="L2166" s="3">
        <v>4.9966011842420201E-5</v>
      </c>
      <c r="M2166" s="3">
        <v>6.3213593474832801E-5</v>
      </c>
      <c r="N2166" s="3">
        <v>7.5108719823767297E-5</v>
      </c>
      <c r="O2166" s="3">
        <v>8.4568966698991995E-5</v>
      </c>
      <c r="P2166" s="3">
        <v>9.35278974025873E-5</v>
      </c>
    </row>
    <row r="2167" spans="1:16" x14ac:dyDescent="0.45">
      <c r="A2167" s="7" t="s">
        <v>81</v>
      </c>
      <c r="B2167" s="7" t="s">
        <v>5</v>
      </c>
      <c r="C2167" s="7" t="s">
        <v>15</v>
      </c>
      <c r="D2167" s="7" t="s">
        <v>10</v>
      </c>
      <c r="E2167" s="7" t="s">
        <v>32</v>
      </c>
      <c r="F2167" s="3">
        <v>0</v>
      </c>
      <c r="G2167" s="3">
        <v>0</v>
      </c>
      <c r="H2167" s="3">
        <v>0</v>
      </c>
      <c r="I2167" s="3">
        <v>-1.2073862004128799E-7</v>
      </c>
      <c r="J2167" s="3">
        <v>-4.9843158804872704E-7</v>
      </c>
      <c r="K2167" s="3">
        <v>2.8706590417285201E-5</v>
      </c>
      <c r="L2167" s="3">
        <v>-1.4138639506736599E-6</v>
      </c>
      <c r="M2167" s="3">
        <v>-6.6850607644317701E-7</v>
      </c>
      <c r="N2167" s="3">
        <v>1.1193833722514799E-6</v>
      </c>
      <c r="O2167" s="3">
        <v>4.2891995121578703E-6</v>
      </c>
      <c r="P2167" s="3">
        <v>6.2004478481728099E-6</v>
      </c>
    </row>
    <row r="2168" spans="1:16" x14ac:dyDescent="0.45">
      <c r="A2168" s="7" t="s">
        <v>81</v>
      </c>
      <c r="B2168" s="7" t="s">
        <v>5</v>
      </c>
      <c r="C2168" s="7" t="s">
        <v>15</v>
      </c>
      <c r="D2168" s="7" t="s">
        <v>11</v>
      </c>
      <c r="E2168" s="7" t="s">
        <v>32</v>
      </c>
      <c r="F2168" s="3">
        <v>0</v>
      </c>
      <c r="G2168" s="3">
        <v>0</v>
      </c>
      <c r="H2168" s="3">
        <v>0</v>
      </c>
      <c r="I2168" s="3">
        <v>1.9612441310443501E-7</v>
      </c>
      <c r="J2168" s="3">
        <v>2.2246324919221401E-5</v>
      </c>
      <c r="K2168" s="3">
        <v>6.7647291719286497E-7</v>
      </c>
      <c r="L2168" s="3">
        <v>2.97144741074273E-6</v>
      </c>
      <c r="M2168" s="3">
        <v>5.2282164689590499E-6</v>
      </c>
      <c r="N2168" s="3">
        <v>4.1478509975643803E-6</v>
      </c>
      <c r="O2168" s="3">
        <v>9.0019073932225405E-7</v>
      </c>
      <c r="P2168" s="3">
        <v>-2.82038958681149E-6</v>
      </c>
    </row>
    <row r="2169" spans="1:16" x14ac:dyDescent="0.45">
      <c r="A2169" s="7" t="s">
        <v>81</v>
      </c>
      <c r="B2169" s="7" t="s">
        <v>5</v>
      </c>
      <c r="C2169" s="7" t="s">
        <v>15</v>
      </c>
      <c r="D2169" s="7" t="s">
        <v>12</v>
      </c>
      <c r="E2169" s="7" t="s">
        <v>32</v>
      </c>
      <c r="F2169" s="3">
        <v>0</v>
      </c>
      <c r="G2169" s="3">
        <v>-1.2951589497571699E-7</v>
      </c>
      <c r="H2169" s="3">
        <v>-1.2951589497571699E-7</v>
      </c>
      <c r="I2169" s="3">
        <v>2.45850799448196E-5</v>
      </c>
      <c r="J2169" s="3">
        <v>2.53269553548199E-6</v>
      </c>
      <c r="K2169" s="3">
        <v>4.9021087533706903E-6</v>
      </c>
      <c r="L2169" s="3">
        <v>-1.15328324483128E-8</v>
      </c>
      <c r="M2169" s="3">
        <v>-2.1781783814864798E-6</v>
      </c>
      <c r="N2169" s="3">
        <v>-4.1471207592540803E-6</v>
      </c>
      <c r="O2169" s="3">
        <v>-6.5536443537653498E-6</v>
      </c>
      <c r="P2169" s="3">
        <v>-7.9879760697487804E-6</v>
      </c>
    </row>
    <row r="2170" spans="1:16" x14ac:dyDescent="0.45">
      <c r="A2170" s="7" t="s">
        <v>81</v>
      </c>
      <c r="B2170" s="7" t="s">
        <v>5</v>
      </c>
      <c r="C2170" s="7" t="s">
        <v>15</v>
      </c>
      <c r="D2170" s="7" t="s">
        <v>13</v>
      </c>
      <c r="E2170" s="7" t="s">
        <v>32</v>
      </c>
      <c r="F2170" s="3">
        <v>0</v>
      </c>
      <c r="G2170" s="3">
        <v>8.7245673733353696E-6</v>
      </c>
      <c r="H2170" s="3">
        <v>8.7245673733353696E-6</v>
      </c>
      <c r="I2170" s="3">
        <v>-1.01292312041772E-5</v>
      </c>
      <c r="J2170" s="3">
        <v>-6.3838574433699898E-6</v>
      </c>
      <c r="K2170" s="3">
        <v>-8.0586347179212795E-6</v>
      </c>
      <c r="L2170" s="3">
        <v>-1.28079823069154E-5</v>
      </c>
      <c r="M2170" s="3">
        <v>-1.7780206662016699E-5</v>
      </c>
      <c r="N2170" s="3">
        <v>-2.0111804122157899E-5</v>
      </c>
      <c r="O2170" s="3">
        <v>-2.2178675474966502E-5</v>
      </c>
      <c r="P2170" s="3">
        <v>-2.4756852983842601E-5</v>
      </c>
    </row>
    <row r="2171" spans="1:16" x14ac:dyDescent="0.45">
      <c r="A2171" s="7" t="s">
        <v>81</v>
      </c>
      <c r="B2171" s="7" t="s">
        <v>5</v>
      </c>
      <c r="C2171" s="7" t="s">
        <v>15</v>
      </c>
      <c r="D2171" s="7" t="s">
        <v>14</v>
      </c>
      <c r="E2171" s="7" t="s">
        <v>32</v>
      </c>
      <c r="F2171" s="3">
        <v>0</v>
      </c>
      <c r="G2171" s="3">
        <v>-2.55600737357356E-6</v>
      </c>
      <c r="H2171" s="3">
        <v>-2.55600737357356E-6</v>
      </c>
      <c r="I2171" s="3">
        <v>-9.7268107678431802E-6</v>
      </c>
      <c r="J2171" s="3">
        <v>-1.2799183968607699E-5</v>
      </c>
      <c r="K2171" s="3">
        <v>-2.0528668500087901E-5</v>
      </c>
      <c r="L2171" s="3">
        <v>-2.4030261990261298E-5</v>
      </c>
      <c r="M2171" s="3">
        <v>-2.67825354319061E-5</v>
      </c>
      <c r="N2171" s="3">
        <v>-3.0607192708652801E-5</v>
      </c>
      <c r="O2171" s="3">
        <v>-3.2871751683017003E-5</v>
      </c>
      <c r="P2171" s="3">
        <v>-3.5225391449905201E-5</v>
      </c>
    </row>
    <row r="2172" spans="1:16" x14ac:dyDescent="0.45">
      <c r="A2172" s="7" t="s">
        <v>81</v>
      </c>
      <c r="B2172" s="7" t="s">
        <v>5</v>
      </c>
      <c r="C2172" s="7" t="s">
        <v>16</v>
      </c>
      <c r="D2172" s="7" t="s">
        <v>7</v>
      </c>
      <c r="E2172" s="7" t="s">
        <v>32</v>
      </c>
      <c r="F2172" s="3">
        <v>1.4635252519205899E-4</v>
      </c>
      <c r="G2172" s="3">
        <v>1.7728425464474601E-4</v>
      </c>
      <c r="H2172" s="3">
        <v>1.7728425464474601E-4</v>
      </c>
      <c r="I2172" s="3">
        <v>9.0502793683387006E-5</v>
      </c>
      <c r="J2172" s="3">
        <v>5.0809354421016699E-5</v>
      </c>
      <c r="K2172" s="3">
        <v>5.0809354421016699E-5</v>
      </c>
      <c r="L2172" s="3">
        <v>5.0809354421016699E-5</v>
      </c>
      <c r="M2172" s="3">
        <v>5.0809354421016699E-5</v>
      </c>
      <c r="N2172" s="3">
        <v>5.0809354421016699E-5</v>
      </c>
      <c r="O2172" s="3">
        <v>5.0809354421016699E-5</v>
      </c>
      <c r="P2172" s="3">
        <v>5.0809354421016699E-5</v>
      </c>
    </row>
    <row r="2173" spans="1:16" x14ac:dyDescent="0.45">
      <c r="A2173" s="7" t="s">
        <v>81</v>
      </c>
      <c r="B2173" s="7" t="s">
        <v>5</v>
      </c>
      <c r="C2173" s="7" t="s">
        <v>16</v>
      </c>
      <c r="D2173" s="7" t="s">
        <v>9</v>
      </c>
      <c r="E2173" s="7" t="s">
        <v>32</v>
      </c>
      <c r="F2173" s="3">
        <v>0</v>
      </c>
      <c r="G2173" s="3">
        <v>7.8786789649363705E-8</v>
      </c>
      <c r="H2173" s="3">
        <v>7.8786789649363705E-8</v>
      </c>
      <c r="I2173" s="3">
        <v>7.8750970466592994E-8</v>
      </c>
      <c r="J2173" s="3">
        <v>7.8750967550929394E-8</v>
      </c>
      <c r="K2173" s="3">
        <v>7.8750967550929394E-8</v>
      </c>
      <c r="L2173" s="3">
        <v>7.8750967550929394E-8</v>
      </c>
      <c r="M2173" s="3">
        <v>7.8750967550929394E-8</v>
      </c>
      <c r="N2173" s="3">
        <v>7.8750967550929394E-8</v>
      </c>
      <c r="O2173" s="3">
        <v>7.8750967550929394E-8</v>
      </c>
      <c r="P2173" s="3">
        <v>7.8750967550929394E-8</v>
      </c>
    </row>
    <row r="2174" spans="1:16" x14ac:dyDescent="0.45">
      <c r="A2174" s="7" t="s">
        <v>81</v>
      </c>
      <c r="B2174" s="7" t="s">
        <v>5</v>
      </c>
      <c r="C2174" s="7" t="s">
        <v>16</v>
      </c>
      <c r="D2174" s="7" t="s">
        <v>10</v>
      </c>
      <c r="E2174" s="7" t="s">
        <v>32</v>
      </c>
      <c r="F2174" s="3">
        <v>0</v>
      </c>
      <c r="G2174" s="3">
        <v>0</v>
      </c>
      <c r="H2174" s="3">
        <v>0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0</v>
      </c>
      <c r="P2174" s="3">
        <v>0</v>
      </c>
    </row>
    <row r="2175" spans="1:16" x14ac:dyDescent="0.45">
      <c r="A2175" s="7" t="s">
        <v>81</v>
      </c>
      <c r="B2175" s="7" t="s">
        <v>5</v>
      </c>
      <c r="C2175" s="7" t="s">
        <v>16</v>
      </c>
      <c r="D2175" s="7" t="s">
        <v>11</v>
      </c>
      <c r="E2175" s="7" t="s">
        <v>32</v>
      </c>
      <c r="F2175" s="3">
        <v>0</v>
      </c>
      <c r="G2175" s="3">
        <v>4.60785923306339E-19</v>
      </c>
      <c r="H2175" s="3">
        <v>4.60785923306339E-19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0</v>
      </c>
      <c r="P2175" s="3">
        <v>0</v>
      </c>
    </row>
    <row r="2176" spans="1:16" x14ac:dyDescent="0.45">
      <c r="A2176" s="7" t="s">
        <v>81</v>
      </c>
      <c r="B2176" s="7" t="s">
        <v>5</v>
      </c>
      <c r="C2176" s="7" t="s">
        <v>16</v>
      </c>
      <c r="D2176" s="7" t="s">
        <v>12</v>
      </c>
      <c r="E2176" s="7" t="s">
        <v>32</v>
      </c>
      <c r="F2176" s="3">
        <v>0</v>
      </c>
      <c r="G2176" s="3">
        <v>1.5094252914170601E-7</v>
      </c>
      <c r="H2176" s="3">
        <v>1.5094252914170601E-7</v>
      </c>
      <c r="I2176" s="3">
        <v>1.50873501389876E-7</v>
      </c>
      <c r="J2176" s="3">
        <v>1.5087349577228499E-7</v>
      </c>
      <c r="K2176" s="3">
        <v>1.5087349577228499E-7</v>
      </c>
      <c r="L2176" s="3">
        <v>1.5087349577228499E-7</v>
      </c>
      <c r="M2176" s="3">
        <v>1.5087349577228499E-7</v>
      </c>
      <c r="N2176" s="3">
        <v>1.5663539031903701E-7</v>
      </c>
      <c r="O2176" s="3">
        <v>1.6268374199964699E-7</v>
      </c>
      <c r="P2176" s="3">
        <v>1.6869803760132901E-7</v>
      </c>
    </row>
    <row r="2177" spans="1:16" x14ac:dyDescent="0.45">
      <c r="A2177" s="7" t="s">
        <v>81</v>
      </c>
      <c r="B2177" s="7" t="s">
        <v>5</v>
      </c>
      <c r="C2177" s="7" t="s">
        <v>16</v>
      </c>
      <c r="D2177" s="7" t="s">
        <v>13</v>
      </c>
      <c r="E2177" s="7" t="s">
        <v>32</v>
      </c>
      <c r="F2177" s="3">
        <v>0</v>
      </c>
      <c r="G2177" s="3">
        <v>-2.29729318791531E-7</v>
      </c>
      <c r="H2177" s="3">
        <v>-2.29729318791531E-7</v>
      </c>
      <c r="I2177" s="3">
        <v>-2.2962447185646901E-7</v>
      </c>
      <c r="J2177" s="3">
        <v>-2.2386242129771399E-7</v>
      </c>
      <c r="K2177" s="3">
        <v>-2.1179946526399801E-7</v>
      </c>
      <c r="L2177" s="3">
        <v>-2.1179946526399801E-7</v>
      </c>
      <c r="M2177" s="3">
        <v>-2.1179946526399801E-7</v>
      </c>
      <c r="N2177" s="3">
        <v>-2.17561359810749E-7</v>
      </c>
      <c r="O2177" s="3">
        <v>-2.2360971149135901E-7</v>
      </c>
      <c r="P2177" s="3">
        <v>-2.29624007093041E-7</v>
      </c>
    </row>
    <row r="2178" spans="1:16" x14ac:dyDescent="0.45">
      <c r="A2178" s="7" t="s">
        <v>81</v>
      </c>
      <c r="B2178" s="7" t="s">
        <v>5</v>
      </c>
      <c r="C2178" s="7" t="s">
        <v>16</v>
      </c>
      <c r="D2178" s="7" t="s">
        <v>14</v>
      </c>
      <c r="E2178" s="7" t="s">
        <v>32</v>
      </c>
      <c r="F2178" s="3">
        <v>0</v>
      </c>
      <c r="G2178" s="3">
        <v>-2.7272387851542501E-7</v>
      </c>
      <c r="H2178" s="3">
        <v>-2.7272387851542501E-7</v>
      </c>
      <c r="I2178" s="3">
        <v>-5.7920343652826604E-10</v>
      </c>
      <c r="J2178" s="3">
        <v>5.39107356637715E-9</v>
      </c>
      <c r="K2178" s="3">
        <v>-6.6718824673391398E-9</v>
      </c>
      <c r="L2178" s="3">
        <v>-6.6718824673391398E-9</v>
      </c>
      <c r="M2178" s="3">
        <v>-6.6718824673391398E-9</v>
      </c>
      <c r="N2178" s="3">
        <v>-6.6718824673391398E-9</v>
      </c>
      <c r="O2178" s="3">
        <v>-6.6718824673391398E-9</v>
      </c>
      <c r="P2178" s="3">
        <v>-6.6718824673391398E-9</v>
      </c>
    </row>
    <row r="2179" spans="1:16" x14ac:dyDescent="0.45">
      <c r="A2179" s="7" t="s">
        <v>81</v>
      </c>
      <c r="B2179" s="7" t="s">
        <v>5</v>
      </c>
      <c r="C2179" s="7" t="s">
        <v>17</v>
      </c>
      <c r="D2179" s="7" t="s">
        <v>7</v>
      </c>
      <c r="E2179" s="7" t="s">
        <v>32</v>
      </c>
      <c r="F2179" s="3">
        <v>2.4442471135679299E-5</v>
      </c>
      <c r="G2179" s="3">
        <v>2.84790380631455E-5</v>
      </c>
      <c r="H2179" s="3">
        <v>2.84790380631455E-5</v>
      </c>
      <c r="I2179" s="3">
        <v>3.0985212467958099E-5</v>
      </c>
      <c r="J2179" s="3">
        <v>3.0985430629940299E-5</v>
      </c>
      <c r="K2179" s="3">
        <v>3.0985430629940197E-5</v>
      </c>
      <c r="L2179" s="3">
        <v>3.0985430629940299E-5</v>
      </c>
      <c r="M2179" s="3">
        <v>3.0985430629940299E-5</v>
      </c>
      <c r="N2179" s="3">
        <v>3.0985430629940197E-5</v>
      </c>
      <c r="O2179" s="3">
        <v>3.0985430629940299E-5</v>
      </c>
      <c r="P2179" s="3">
        <v>3.0985430629940299E-5</v>
      </c>
    </row>
    <row r="2180" spans="1:16" x14ac:dyDescent="0.45">
      <c r="A2180" s="7" t="s">
        <v>81</v>
      </c>
      <c r="B2180" s="7" t="s">
        <v>5</v>
      </c>
      <c r="C2180" s="7" t="s">
        <v>17</v>
      </c>
      <c r="D2180" s="7" t="s">
        <v>9</v>
      </c>
      <c r="E2180" s="7" t="s">
        <v>32</v>
      </c>
      <c r="F2180" s="3">
        <v>0</v>
      </c>
      <c r="G2180" s="3">
        <v>4.9479890416930602E-8</v>
      </c>
      <c r="H2180" s="3">
        <v>4.9479890416930602E-8</v>
      </c>
      <c r="I2180" s="3">
        <v>4.9457976197966103E-8</v>
      </c>
      <c r="J2180" s="3">
        <v>4.94579742903124E-8</v>
      </c>
      <c r="K2180" s="3">
        <v>4.9457974290407301E-8</v>
      </c>
      <c r="L2180" s="3">
        <v>3.8093935154722499E-6</v>
      </c>
      <c r="M2180" s="3">
        <v>3.0855618292291602E-6</v>
      </c>
      <c r="N2180" s="3">
        <v>3.3037891434409401E-6</v>
      </c>
      <c r="O2180" s="3">
        <v>3.8000123577774999E-6</v>
      </c>
      <c r="P2180" s="3">
        <v>5.8141543151953797E-6</v>
      </c>
    </row>
    <row r="2181" spans="1:16" x14ac:dyDescent="0.45">
      <c r="A2181" s="7" t="s">
        <v>81</v>
      </c>
      <c r="B2181" s="7" t="s">
        <v>5</v>
      </c>
      <c r="C2181" s="7" t="s">
        <v>17</v>
      </c>
      <c r="D2181" s="7" t="s">
        <v>10</v>
      </c>
      <c r="E2181" s="7" t="s">
        <v>32</v>
      </c>
      <c r="F2181" s="3">
        <v>0</v>
      </c>
      <c r="G2181" s="3">
        <v>0</v>
      </c>
      <c r="H2181" s="3">
        <v>0</v>
      </c>
      <c r="I2181" s="3">
        <v>0</v>
      </c>
      <c r="J2181" s="3">
        <v>4.7433845046240801E-20</v>
      </c>
      <c r="K2181" s="3">
        <v>2.6162195504452802E-6</v>
      </c>
      <c r="L2181" s="3">
        <v>-1.0962455233465001E-6</v>
      </c>
      <c r="M2181" s="3">
        <v>1.40739165397106E-5</v>
      </c>
      <c r="N2181" s="3">
        <v>2.5059965861716201E-5</v>
      </c>
      <c r="O2181" s="3">
        <v>2.4786774788214498E-5</v>
      </c>
      <c r="P2181" s="3">
        <v>2.27726328307966E-5</v>
      </c>
    </row>
    <row r="2182" spans="1:16" x14ac:dyDescent="0.45">
      <c r="A2182" s="7" t="s">
        <v>81</v>
      </c>
      <c r="B2182" s="7" t="s">
        <v>5</v>
      </c>
      <c r="C2182" s="7" t="s">
        <v>17</v>
      </c>
      <c r="D2182" s="7" t="s">
        <v>11</v>
      </c>
      <c r="E2182" s="7" t="s">
        <v>32</v>
      </c>
      <c r="F2182" s="3">
        <v>0</v>
      </c>
      <c r="G2182" s="3">
        <v>0</v>
      </c>
      <c r="H2182" s="3">
        <v>0</v>
      </c>
      <c r="I2182" s="3">
        <v>0</v>
      </c>
      <c r="J2182" s="3">
        <v>8.1344898774494605E-7</v>
      </c>
      <c r="K2182" s="3">
        <v>1.7027127968103001E-5</v>
      </c>
      <c r="L2182" s="3">
        <v>2.56504245928023E-5</v>
      </c>
      <c r="M2182" s="3">
        <v>1.1423146682398199E-5</v>
      </c>
      <c r="N2182" s="3">
        <v>2.1887004618138499E-7</v>
      </c>
      <c r="O2182" s="3">
        <v>1.7368169024845301E-8</v>
      </c>
      <c r="P2182" s="3">
        <v>1.47288930765873E-7</v>
      </c>
    </row>
    <row r="2183" spans="1:16" x14ac:dyDescent="0.45">
      <c r="A2183" s="7" t="s">
        <v>81</v>
      </c>
      <c r="B2183" s="7" t="s">
        <v>5</v>
      </c>
      <c r="C2183" s="7" t="s">
        <v>17</v>
      </c>
      <c r="D2183" s="7" t="s">
        <v>12</v>
      </c>
      <c r="E2183" s="7" t="s">
        <v>32</v>
      </c>
      <c r="F2183" s="3">
        <v>0</v>
      </c>
      <c r="G2183" s="3">
        <v>9.4795330974015205E-8</v>
      </c>
      <c r="H2183" s="3">
        <v>9.4795330974015205E-8</v>
      </c>
      <c r="I2183" s="3">
        <v>9.4753099713236195E-8</v>
      </c>
      <c r="J2183" s="3">
        <v>2.7139423238441698E-5</v>
      </c>
      <c r="K2183" s="3">
        <v>9.0237949876853704E-6</v>
      </c>
      <c r="L2183" s="3">
        <v>4.6609320923212002E-7</v>
      </c>
      <c r="M2183" s="3">
        <v>4.4851370463185198E-7</v>
      </c>
      <c r="N2183" s="3">
        <v>6.4616151553351895E-7</v>
      </c>
      <c r="O2183" s="3">
        <v>6.8741435200090701E-7</v>
      </c>
      <c r="P2183" s="3">
        <v>7.3182968002223897E-7</v>
      </c>
    </row>
    <row r="2184" spans="1:16" x14ac:dyDescent="0.45">
      <c r="A2184" s="7" t="s">
        <v>81</v>
      </c>
      <c r="B2184" s="7" t="s">
        <v>5</v>
      </c>
      <c r="C2184" s="7" t="s">
        <v>17</v>
      </c>
      <c r="D2184" s="7" t="s">
        <v>13</v>
      </c>
      <c r="E2184" s="7" t="s">
        <v>32</v>
      </c>
      <c r="F2184" s="3">
        <v>0</v>
      </c>
      <c r="G2184" s="3">
        <v>-1.4427522139094601E-7</v>
      </c>
      <c r="H2184" s="3">
        <v>-1.4427522139094601E-7</v>
      </c>
      <c r="I2184" s="3">
        <v>2.8536317588993999E-5</v>
      </c>
      <c r="J2184" s="3">
        <v>1.0848544824939799E-6</v>
      </c>
      <c r="K2184" s="3">
        <v>5.9994154391399397E-7</v>
      </c>
      <c r="L2184" s="3">
        <v>4.9663034551560801E-7</v>
      </c>
      <c r="M2184" s="3">
        <v>5.3592965244261295E-7</v>
      </c>
      <c r="N2184" s="3">
        <v>3.4310685719066499E-7</v>
      </c>
      <c r="O2184" s="3">
        <v>2.8032375704495398E-7</v>
      </c>
      <c r="P2184" s="3">
        <v>1.2130088936386101E-7</v>
      </c>
    </row>
    <row r="2185" spans="1:16" x14ac:dyDescent="0.45">
      <c r="A2185" s="7" t="s">
        <v>81</v>
      </c>
      <c r="B2185" s="7" t="s">
        <v>5</v>
      </c>
      <c r="C2185" s="7" t="s">
        <v>17</v>
      </c>
      <c r="D2185" s="7" t="s">
        <v>14</v>
      </c>
      <c r="E2185" s="7" t="s">
        <v>32</v>
      </c>
      <c r="F2185" s="3">
        <v>0</v>
      </c>
      <c r="G2185" s="3">
        <v>-1.65323634279561E-7</v>
      </c>
      <c r="H2185" s="3">
        <v>-1.65323634279561E-7</v>
      </c>
      <c r="I2185" s="3">
        <v>4.14422616145116E-7</v>
      </c>
      <c r="J2185" s="3">
        <v>3.9041657977433301E-7</v>
      </c>
      <c r="K2185" s="3">
        <v>2.5364611756128802E-7</v>
      </c>
      <c r="L2185" s="3">
        <v>2.59205099295409E-7</v>
      </c>
      <c r="M2185" s="3">
        <v>2.5212746642948499E-8</v>
      </c>
      <c r="N2185" s="3">
        <v>2.0637504080242799E-8</v>
      </c>
      <c r="O2185" s="3">
        <v>2.1211182629257401E-8</v>
      </c>
      <c r="P2185" s="3">
        <v>6.7815026957542501E-9</v>
      </c>
    </row>
    <row r="2186" spans="1:16" x14ac:dyDescent="0.45">
      <c r="A2186" s="7" t="s">
        <v>81</v>
      </c>
      <c r="B2186" s="7" t="s">
        <v>5</v>
      </c>
      <c r="C2186" s="7" t="s">
        <v>18</v>
      </c>
      <c r="D2186" s="7" t="s">
        <v>7</v>
      </c>
      <c r="E2186" s="7" t="s">
        <v>32</v>
      </c>
      <c r="F2186" s="3">
        <v>1.5336946612124299E-4</v>
      </c>
      <c r="G2186" s="3">
        <v>1.15201018725908E-4</v>
      </c>
      <c r="H2186" s="3">
        <v>1.15201018725908E-4</v>
      </c>
      <c r="I2186" s="3">
        <v>4.2237199468374098E-5</v>
      </c>
      <c r="J2186" s="3">
        <v>1.72586330524682E-5</v>
      </c>
      <c r="K2186" s="3">
        <v>0</v>
      </c>
      <c r="L2186" s="3">
        <v>0</v>
      </c>
      <c r="M2186" s="3">
        <v>0</v>
      </c>
      <c r="N2186" s="3">
        <v>0</v>
      </c>
      <c r="O2186" s="3">
        <v>2.596706635804E-20</v>
      </c>
      <c r="P2186" s="3">
        <v>4.544236612657E-20</v>
      </c>
    </row>
    <row r="2187" spans="1:16" x14ac:dyDescent="0.45">
      <c r="A2187" s="7" t="s">
        <v>81</v>
      </c>
      <c r="B2187" s="7" t="s">
        <v>5</v>
      </c>
      <c r="C2187" s="7" t="s">
        <v>18</v>
      </c>
      <c r="D2187" s="7" t="s">
        <v>9</v>
      </c>
      <c r="E2187" s="7" t="s">
        <v>32</v>
      </c>
      <c r="F2187" s="3">
        <v>0</v>
      </c>
      <c r="G2187" s="3">
        <v>4.74338450462408E-19</v>
      </c>
      <c r="H2187" s="3">
        <v>4.74338450462408E-19</v>
      </c>
      <c r="I2187" s="3">
        <v>0</v>
      </c>
      <c r="J2187" s="3">
        <v>5.0821976835258002E-20</v>
      </c>
      <c r="K2187" s="3">
        <v>0</v>
      </c>
      <c r="L2187" s="3">
        <v>6.4917665895100203E-21</v>
      </c>
      <c r="M2187" s="3">
        <v>7.7901199074119796E-20</v>
      </c>
      <c r="N2187" s="3">
        <v>1.298353317902E-20</v>
      </c>
      <c r="O2187" s="3">
        <v>3.8950599537060199E-20</v>
      </c>
      <c r="P2187" s="3">
        <v>-1.298353317902E-20</v>
      </c>
    </row>
    <row r="2188" spans="1:16" x14ac:dyDescent="0.45">
      <c r="A2188" s="7" t="s">
        <v>81</v>
      </c>
      <c r="B2188" s="7" t="s">
        <v>5</v>
      </c>
      <c r="C2188" s="7" t="s">
        <v>18</v>
      </c>
      <c r="D2188" s="7" t="s">
        <v>10</v>
      </c>
      <c r="E2188" s="7" t="s">
        <v>32</v>
      </c>
      <c r="F2188" s="3">
        <v>0</v>
      </c>
      <c r="G2188" s="3">
        <v>0</v>
      </c>
      <c r="H2188" s="3">
        <v>0</v>
      </c>
      <c r="I2188" s="3">
        <v>0</v>
      </c>
      <c r="J2188" s="3">
        <v>0</v>
      </c>
      <c r="K2188" s="3">
        <v>1.298353317902E-20</v>
      </c>
      <c r="L2188" s="3">
        <v>-6.4917665895100203E-21</v>
      </c>
      <c r="M2188" s="3">
        <v>-5.1934132716079802E-20</v>
      </c>
      <c r="N2188" s="3">
        <v>-1.298353317902E-20</v>
      </c>
      <c r="O2188" s="3">
        <v>-6.4917665895100205E-20</v>
      </c>
      <c r="P2188" s="3">
        <v>-3.245883294755E-20</v>
      </c>
    </row>
    <row r="2189" spans="1:16" x14ac:dyDescent="0.45">
      <c r="A2189" s="7" t="s">
        <v>81</v>
      </c>
      <c r="B2189" s="7" t="s">
        <v>5</v>
      </c>
      <c r="C2189" s="7" t="s">
        <v>18</v>
      </c>
      <c r="D2189" s="7" t="s">
        <v>11</v>
      </c>
      <c r="E2189" s="7" t="s">
        <v>32</v>
      </c>
      <c r="F2189" s="3">
        <v>0</v>
      </c>
      <c r="G2189" s="3">
        <v>0</v>
      </c>
      <c r="H2189" s="3">
        <v>0</v>
      </c>
      <c r="I2189" s="3">
        <v>0</v>
      </c>
      <c r="J2189" s="3">
        <v>-5.0821976835258002E-20</v>
      </c>
      <c r="K2189" s="3">
        <v>-1.298353317902E-20</v>
      </c>
      <c r="L2189" s="3">
        <v>0</v>
      </c>
      <c r="M2189" s="3">
        <v>-1.947529976853E-20</v>
      </c>
      <c r="N2189" s="3">
        <v>0</v>
      </c>
      <c r="O2189" s="3">
        <v>1.298353317902E-20</v>
      </c>
      <c r="P2189" s="3">
        <v>5.1934132716080199E-20</v>
      </c>
    </row>
    <row r="2190" spans="1:16" x14ac:dyDescent="0.45">
      <c r="A2190" s="7" t="s">
        <v>81</v>
      </c>
      <c r="B2190" s="7" t="s">
        <v>5</v>
      </c>
      <c r="C2190" s="7" t="s">
        <v>18</v>
      </c>
      <c r="D2190" s="7" t="s">
        <v>12</v>
      </c>
      <c r="E2190" s="7" t="s">
        <v>32</v>
      </c>
      <c r="F2190" s="3">
        <v>0</v>
      </c>
      <c r="G2190" s="3">
        <v>0</v>
      </c>
      <c r="H2190" s="3">
        <v>0</v>
      </c>
      <c r="I2190" s="3">
        <v>-4.7433845046240801E-20</v>
      </c>
      <c r="J2190" s="3">
        <v>5.0821976835258002E-20</v>
      </c>
      <c r="K2190" s="3">
        <v>0</v>
      </c>
      <c r="L2190" s="3">
        <v>0</v>
      </c>
      <c r="M2190" s="3">
        <v>-6.4917665895100203E-21</v>
      </c>
      <c r="N2190" s="3">
        <v>0</v>
      </c>
      <c r="O2190" s="3">
        <v>3.245883294755E-20</v>
      </c>
      <c r="P2190" s="3">
        <v>-6.4917665895101603E-21</v>
      </c>
    </row>
    <row r="2191" spans="1:16" x14ac:dyDescent="0.45">
      <c r="A2191" s="7" t="s">
        <v>81</v>
      </c>
      <c r="B2191" s="7" t="s">
        <v>5</v>
      </c>
      <c r="C2191" s="7" t="s">
        <v>18</v>
      </c>
      <c r="D2191" s="7" t="s">
        <v>13</v>
      </c>
      <c r="E2191" s="7" t="s">
        <v>32</v>
      </c>
      <c r="F2191" s="3">
        <v>0</v>
      </c>
      <c r="G2191" s="3">
        <v>0</v>
      </c>
      <c r="H2191" s="3">
        <v>0</v>
      </c>
      <c r="I2191" s="3">
        <v>1.3552527156068801E-19</v>
      </c>
      <c r="J2191" s="3">
        <v>0</v>
      </c>
      <c r="K2191" s="3">
        <v>7.7901199074119796E-20</v>
      </c>
      <c r="L2191" s="3">
        <v>5.1934132716080199E-20</v>
      </c>
      <c r="M2191" s="3">
        <v>0</v>
      </c>
      <c r="N2191" s="3">
        <v>9.7376498842650097E-20</v>
      </c>
      <c r="O2191" s="3">
        <v>0</v>
      </c>
      <c r="P2191" s="3">
        <v>-4.544236612657E-20</v>
      </c>
    </row>
    <row r="2192" spans="1:16" x14ac:dyDescent="0.45">
      <c r="A2192" s="7" t="s">
        <v>81</v>
      </c>
      <c r="B2192" s="7" t="s">
        <v>5</v>
      </c>
      <c r="C2192" s="7" t="s">
        <v>18</v>
      </c>
      <c r="D2192" s="7" t="s">
        <v>14</v>
      </c>
      <c r="E2192" s="7" t="s">
        <v>32</v>
      </c>
      <c r="F2192" s="3">
        <v>0</v>
      </c>
      <c r="G2192" s="3">
        <v>-4.74338450462408E-19</v>
      </c>
      <c r="H2192" s="3">
        <v>-4.74338450462408E-19</v>
      </c>
      <c r="I2192" s="3">
        <v>-8.8091426514447199E-20</v>
      </c>
      <c r="J2192" s="3">
        <v>0</v>
      </c>
      <c r="K2192" s="3">
        <v>-7.7901199074119796E-20</v>
      </c>
      <c r="L2192" s="3">
        <v>-2.5967066358040199E-20</v>
      </c>
      <c r="M2192" s="3">
        <v>2.596706635804E-20</v>
      </c>
      <c r="N2192" s="3">
        <v>-9.7376498842650097E-20</v>
      </c>
      <c r="O2192" s="3">
        <v>-4.544236612657E-20</v>
      </c>
      <c r="P2192" s="3">
        <v>0</v>
      </c>
    </row>
    <row r="2193" spans="1:16" x14ac:dyDescent="0.45">
      <c r="A2193" s="7" t="s">
        <v>81</v>
      </c>
      <c r="B2193" s="7" t="s">
        <v>5</v>
      </c>
      <c r="C2193" s="7" t="s">
        <v>19</v>
      </c>
      <c r="D2193" s="7" t="s">
        <v>7</v>
      </c>
      <c r="E2193" s="7" t="s">
        <v>32</v>
      </c>
      <c r="F2193" s="3">
        <v>2.4426615623996099E-6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</row>
    <row r="2194" spans="1:16" x14ac:dyDescent="0.45">
      <c r="A2194" s="7" t="s">
        <v>81</v>
      </c>
      <c r="B2194" s="7" t="s">
        <v>5</v>
      </c>
      <c r="C2194" s="7" t="s">
        <v>19</v>
      </c>
      <c r="D2194" s="7" t="s">
        <v>9</v>
      </c>
      <c r="E2194" s="7" t="s">
        <v>32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</row>
    <row r="2195" spans="1:16" x14ac:dyDescent="0.45">
      <c r="A2195" s="7" t="s">
        <v>81</v>
      </c>
      <c r="B2195" s="7" t="s">
        <v>5</v>
      </c>
      <c r="C2195" s="7" t="s">
        <v>19</v>
      </c>
      <c r="D2195" s="7" t="s">
        <v>10</v>
      </c>
      <c r="E2195" s="7" t="s">
        <v>32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</row>
    <row r="2196" spans="1:16" x14ac:dyDescent="0.45">
      <c r="A2196" s="7" t="s">
        <v>81</v>
      </c>
      <c r="B2196" s="7" t="s">
        <v>5</v>
      </c>
      <c r="C2196" s="7" t="s">
        <v>19</v>
      </c>
      <c r="D2196" s="7" t="s">
        <v>11</v>
      </c>
      <c r="E2196" s="7" t="s">
        <v>32</v>
      </c>
      <c r="F2196" s="3">
        <v>0</v>
      </c>
      <c r="G2196" s="3">
        <v>0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  <c r="O2196" s="3">
        <v>0</v>
      </c>
      <c r="P2196" s="3">
        <v>0</v>
      </c>
    </row>
    <row r="2197" spans="1:16" x14ac:dyDescent="0.45">
      <c r="A2197" s="7" t="s">
        <v>81</v>
      </c>
      <c r="B2197" s="7" t="s">
        <v>5</v>
      </c>
      <c r="C2197" s="7" t="s">
        <v>19</v>
      </c>
      <c r="D2197" s="7" t="s">
        <v>12</v>
      </c>
      <c r="E2197" s="7" t="s">
        <v>32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  <c r="O2197" s="3">
        <v>0</v>
      </c>
      <c r="P2197" s="3">
        <v>3.78673484268193E-7</v>
      </c>
    </row>
    <row r="2198" spans="1:16" x14ac:dyDescent="0.45">
      <c r="A2198" s="7" t="s">
        <v>81</v>
      </c>
      <c r="B2198" s="7" t="s">
        <v>5</v>
      </c>
      <c r="C2198" s="7" t="s">
        <v>19</v>
      </c>
      <c r="D2198" s="7" t="s">
        <v>13</v>
      </c>
      <c r="E2198" s="7" t="s">
        <v>32</v>
      </c>
      <c r="F2198" s="3">
        <v>0</v>
      </c>
      <c r="G2198" s="3">
        <v>0</v>
      </c>
      <c r="H2198" s="3">
        <v>0</v>
      </c>
      <c r="I2198" s="3">
        <v>2.37439454071037E-5</v>
      </c>
      <c r="J2198" s="3">
        <v>1.39210783933816E-5</v>
      </c>
      <c r="K2198" s="3">
        <v>7.3887261776736704E-6</v>
      </c>
      <c r="L2198" s="3">
        <v>5.8533649970532899E-6</v>
      </c>
      <c r="M2198" s="3">
        <v>5.44579851842098E-6</v>
      </c>
      <c r="N2198" s="3">
        <v>5.3783598841382296E-6</v>
      </c>
      <c r="O2198" s="3">
        <v>5.0196233897253298E-6</v>
      </c>
      <c r="P2198" s="3">
        <v>4.4434016173255901E-6</v>
      </c>
    </row>
    <row r="2199" spans="1:16" x14ac:dyDescent="0.45">
      <c r="A2199" s="7" t="s">
        <v>81</v>
      </c>
      <c r="B2199" s="7" t="s">
        <v>5</v>
      </c>
      <c r="C2199" s="7" t="s">
        <v>19</v>
      </c>
      <c r="D2199" s="7" t="s">
        <v>14</v>
      </c>
      <c r="E2199" s="7" t="s">
        <v>32</v>
      </c>
      <c r="F2199" s="3">
        <v>0</v>
      </c>
      <c r="G2199" s="3">
        <v>0</v>
      </c>
      <c r="H2199" s="3">
        <v>0</v>
      </c>
      <c r="I2199" s="3">
        <v>1.0406001808024299E-5</v>
      </c>
      <c r="J2199" s="3">
        <v>1.4485849675045399E-5</v>
      </c>
      <c r="K2199" s="3">
        <v>1.4051325931466E-5</v>
      </c>
      <c r="L2199" s="3">
        <v>1.51373219222949E-5</v>
      </c>
      <c r="M2199" s="3">
        <v>1.5014565551329999E-5</v>
      </c>
      <c r="N2199" s="3">
        <v>1.5119476360190501E-5</v>
      </c>
      <c r="O2199" s="3">
        <v>1.5473929020035701E-5</v>
      </c>
      <c r="P2199" s="3">
        <v>1.58642875595063E-5</v>
      </c>
    </row>
    <row r="2200" spans="1:16" x14ac:dyDescent="0.45">
      <c r="A2200" s="7" t="s">
        <v>82</v>
      </c>
      <c r="B2200" s="7" t="s">
        <v>29</v>
      </c>
      <c r="C2200" s="7" t="s">
        <v>6</v>
      </c>
      <c r="D2200" s="7" t="s">
        <v>7</v>
      </c>
      <c r="E2200" s="7" t="s">
        <v>32</v>
      </c>
      <c r="F2200" s="3">
        <v>0</v>
      </c>
      <c r="G2200" s="3">
        <v>0</v>
      </c>
      <c r="H2200" s="3">
        <v>0</v>
      </c>
      <c r="I2200" s="3">
        <v>7.2930485621531806E-5</v>
      </c>
      <c r="J2200" s="3">
        <v>3.3029052287490902E-4</v>
      </c>
      <c r="K2200" s="3">
        <v>6.2345924566548398E-4</v>
      </c>
      <c r="L2200" s="3">
        <v>3.96677550765568E-5</v>
      </c>
      <c r="M2200" s="3">
        <v>0</v>
      </c>
      <c r="N2200" s="3">
        <v>0</v>
      </c>
      <c r="O2200" s="3">
        <v>0</v>
      </c>
      <c r="P2200" s="3">
        <v>0</v>
      </c>
    </row>
    <row r="2201" spans="1:16" x14ac:dyDescent="0.45">
      <c r="A2201" s="7" t="s">
        <v>82</v>
      </c>
      <c r="B2201" s="7" t="s">
        <v>29</v>
      </c>
      <c r="C2201" s="7" t="s">
        <v>6</v>
      </c>
      <c r="D2201" s="7" t="s">
        <v>9</v>
      </c>
      <c r="E2201" s="7" t="s">
        <v>32</v>
      </c>
      <c r="F2201" s="3">
        <v>0</v>
      </c>
      <c r="G2201" s="3">
        <v>0</v>
      </c>
      <c r="H2201" s="3">
        <v>0</v>
      </c>
      <c r="I2201" s="3">
        <v>1.5507138596297101E-4</v>
      </c>
      <c r="J2201" s="3">
        <v>2.1209294756605301E-4</v>
      </c>
      <c r="K2201" s="3">
        <v>3.6980683043366799E-4</v>
      </c>
      <c r="L2201" s="3">
        <v>4.3957347170913298E-4</v>
      </c>
      <c r="M2201" s="3">
        <v>4.5387242278329001E-4</v>
      </c>
      <c r="N2201" s="3">
        <v>4.4484487188707698E-4</v>
      </c>
      <c r="O2201" s="3">
        <v>4.4429330129771303E-4</v>
      </c>
      <c r="P2201" s="3">
        <v>4.4429330129771303E-4</v>
      </c>
    </row>
    <row r="2202" spans="1:16" x14ac:dyDescent="0.45">
      <c r="A2202" s="7" t="s">
        <v>82</v>
      </c>
      <c r="B2202" s="7" t="s">
        <v>29</v>
      </c>
      <c r="C2202" s="7" t="s">
        <v>6</v>
      </c>
      <c r="D2202" s="7" t="s">
        <v>10</v>
      </c>
      <c r="E2202" s="7" t="s">
        <v>32</v>
      </c>
      <c r="F2202" s="3">
        <v>0</v>
      </c>
      <c r="G2202" s="3">
        <v>0</v>
      </c>
      <c r="H2202" s="3">
        <v>0</v>
      </c>
      <c r="I2202" s="3">
        <v>7.0524723416456097E-5</v>
      </c>
      <c r="J2202" s="3">
        <v>7.3335268817550795E-5</v>
      </c>
      <c r="K2202" s="3">
        <v>2.7318977852246201E-4</v>
      </c>
      <c r="L2202" s="3">
        <v>1.13052590626268E-4</v>
      </c>
      <c r="M2202" s="3">
        <v>1.2351563530148301E-4</v>
      </c>
      <c r="N2202" s="3">
        <v>1.9676861766865302E-3</v>
      </c>
      <c r="O2202" s="3">
        <v>3.2357614627768899E-3</v>
      </c>
      <c r="P2202" s="3">
        <v>7.6901548582600596E-3</v>
      </c>
    </row>
    <row r="2203" spans="1:16" x14ac:dyDescent="0.45">
      <c r="A2203" s="7" t="s">
        <v>82</v>
      </c>
      <c r="B2203" s="7" t="s">
        <v>29</v>
      </c>
      <c r="C2203" s="7" t="s">
        <v>6</v>
      </c>
      <c r="D2203" s="7" t="s">
        <v>11</v>
      </c>
      <c r="E2203" s="7" t="s">
        <v>32</v>
      </c>
      <c r="F2203" s="3">
        <v>0</v>
      </c>
      <c r="G2203" s="3">
        <v>0</v>
      </c>
      <c r="H2203" s="3">
        <v>0</v>
      </c>
      <c r="I2203" s="3">
        <v>1.24075248149184E-4</v>
      </c>
      <c r="J2203" s="3">
        <v>6.2923778802971998E-4</v>
      </c>
      <c r="K2203" s="3">
        <v>5.4798042455156805E-4</v>
      </c>
      <c r="L2203" s="3">
        <v>2.5423812164904001E-3</v>
      </c>
      <c r="M2203" s="3">
        <v>8.6246195080643493E-3</v>
      </c>
      <c r="N2203" s="3">
        <v>1.09957500233326E-2</v>
      </c>
      <c r="O2203" s="3">
        <v>1.47287461352266E-2</v>
      </c>
      <c r="P2203" s="3">
        <v>2.52901190903209E-2</v>
      </c>
    </row>
    <row r="2204" spans="1:16" x14ac:dyDescent="0.45">
      <c r="A2204" s="7" t="s">
        <v>82</v>
      </c>
      <c r="B2204" s="7" t="s">
        <v>29</v>
      </c>
      <c r="C2204" s="7" t="s">
        <v>6</v>
      </c>
      <c r="D2204" s="7" t="s">
        <v>12</v>
      </c>
      <c r="E2204" s="7" t="s">
        <v>32</v>
      </c>
      <c r="F2204" s="3">
        <v>0</v>
      </c>
      <c r="G2204" s="3">
        <v>0</v>
      </c>
      <c r="H2204" s="3">
        <v>0</v>
      </c>
      <c r="I2204" s="3">
        <v>1.20050486420211E-4</v>
      </c>
      <c r="J2204" s="3">
        <v>3.0028078991460299E-3</v>
      </c>
      <c r="K2204" s="3">
        <v>1.0519521629064501E-2</v>
      </c>
      <c r="L2204" s="3">
        <v>1.4840958334580301E-2</v>
      </c>
      <c r="M2204" s="3">
        <v>2.7424037179700302E-2</v>
      </c>
      <c r="N2204" s="3">
        <v>4.3135297400401298E-2</v>
      </c>
      <c r="O2204" s="3">
        <v>5.7553113161577699E-2</v>
      </c>
      <c r="P2204" s="3">
        <v>6.0367465416173702E-2</v>
      </c>
    </row>
    <row r="2205" spans="1:16" x14ac:dyDescent="0.45">
      <c r="A2205" s="7" t="s">
        <v>82</v>
      </c>
      <c r="B2205" s="7" t="s">
        <v>29</v>
      </c>
      <c r="C2205" s="7" t="s">
        <v>6</v>
      </c>
      <c r="D2205" s="7" t="s">
        <v>13</v>
      </c>
      <c r="E2205" s="7" t="s">
        <v>32</v>
      </c>
      <c r="F2205" s="3">
        <v>0</v>
      </c>
      <c r="G2205" s="3">
        <v>2.6299070816349899E-5</v>
      </c>
      <c r="H2205" s="3">
        <v>2.6299070816349899E-5</v>
      </c>
      <c r="I2205" s="3">
        <v>7.6137209999063704E-3</v>
      </c>
      <c r="J2205" s="3">
        <v>2.8790207417276299E-2</v>
      </c>
      <c r="K2205" s="3">
        <v>4.5777650060421698E-2</v>
      </c>
      <c r="L2205" s="3">
        <v>6.2206806777489E-2</v>
      </c>
      <c r="M2205" s="3">
        <v>6.45279544787596E-2</v>
      </c>
      <c r="N2205" s="3">
        <v>6.4861618479197095E-2</v>
      </c>
      <c r="O2205" s="3">
        <v>6.5380719120851694E-2</v>
      </c>
      <c r="P2205" s="3">
        <v>6.8915730812196999E-2</v>
      </c>
    </row>
    <row r="2206" spans="1:16" x14ac:dyDescent="0.45">
      <c r="A2206" s="7" t="s">
        <v>82</v>
      </c>
      <c r="B2206" s="7" t="s">
        <v>29</v>
      </c>
      <c r="C2206" s="7" t="s">
        <v>6</v>
      </c>
      <c r="D2206" s="7" t="s">
        <v>14</v>
      </c>
      <c r="E2206" s="7" t="s">
        <v>32</v>
      </c>
      <c r="F2206" s="3">
        <v>0</v>
      </c>
      <c r="G2206" s="3">
        <v>9.958609490328381E-4</v>
      </c>
      <c r="H2206" s="3">
        <v>9.958609490328381E-4</v>
      </c>
      <c r="I2206" s="3">
        <v>2.0137152879840602E-2</v>
      </c>
      <c r="J2206" s="3">
        <v>2.13522038279092E-2</v>
      </c>
      <c r="K2206" s="3">
        <v>2.3986521961930501E-2</v>
      </c>
      <c r="L2206" s="3">
        <v>3.1803708461485503E-2</v>
      </c>
      <c r="M2206" s="3">
        <v>4.1949348279144698E-2</v>
      </c>
      <c r="N2206" s="3">
        <v>5.3986251619462598E-2</v>
      </c>
      <c r="O2206" s="3">
        <v>6.5570413404757694E-2</v>
      </c>
      <c r="P2206" s="3">
        <v>7.0902051396708493E-2</v>
      </c>
    </row>
    <row r="2207" spans="1:16" x14ac:dyDescent="0.45">
      <c r="A2207" s="7" t="s">
        <v>82</v>
      </c>
      <c r="B2207" s="7" t="s">
        <v>29</v>
      </c>
      <c r="C2207" s="7" t="s">
        <v>15</v>
      </c>
      <c r="D2207" s="7" t="s">
        <v>7</v>
      </c>
      <c r="E2207" s="7" t="s">
        <v>32</v>
      </c>
      <c r="F2207" s="3">
        <v>4.2221485708099499E-2</v>
      </c>
      <c r="G2207" s="3">
        <v>4.6651178971874901E-2</v>
      </c>
      <c r="H2207" s="3">
        <v>4.6651178971874901E-2</v>
      </c>
      <c r="I2207" s="3">
        <v>4.2041095672986598E-2</v>
      </c>
      <c r="J2207" s="3">
        <v>4.52826711689015E-2</v>
      </c>
      <c r="K2207" s="3">
        <v>4.9158936169851002E-2</v>
      </c>
      <c r="L2207" s="3">
        <v>5.1075961035081101E-2</v>
      </c>
      <c r="M2207" s="3">
        <v>5.2458179156421397E-2</v>
      </c>
      <c r="N2207" s="3">
        <v>5.38865305336962E-2</v>
      </c>
      <c r="O2207" s="3">
        <v>5.5196885752689502E-2</v>
      </c>
      <c r="P2207" s="3">
        <v>5.6319585859225897E-2</v>
      </c>
    </row>
    <row r="2208" spans="1:16" x14ac:dyDescent="0.45">
      <c r="A2208" s="7" t="s">
        <v>82</v>
      </c>
      <c r="B2208" s="7" t="s">
        <v>29</v>
      </c>
      <c r="C2208" s="7" t="s">
        <v>15</v>
      </c>
      <c r="D2208" s="7" t="s">
        <v>9</v>
      </c>
      <c r="E2208" s="7" t="s">
        <v>32</v>
      </c>
      <c r="F2208" s="3">
        <v>0</v>
      </c>
      <c r="G2208" s="3">
        <v>-5.1355790048106301E-5</v>
      </c>
      <c r="H2208" s="3">
        <v>-5.1355790048106301E-5</v>
      </c>
      <c r="I2208" s="3">
        <v>-6.7009731072431605E-5</v>
      </c>
      <c r="J2208" s="3">
        <v>1.8130209007136099E-5</v>
      </c>
      <c r="K2208" s="3">
        <v>-4.4411078612811897E-5</v>
      </c>
      <c r="L2208" s="3">
        <v>-4.52179641281587E-4</v>
      </c>
      <c r="M2208" s="3">
        <v>-9.3301051096097304E-4</v>
      </c>
      <c r="N2208" s="3">
        <v>-1.5758660226503499E-3</v>
      </c>
      <c r="O2208" s="3">
        <v>-2.1978996078088802E-3</v>
      </c>
      <c r="P2208" s="3">
        <v>-2.7904705097740899E-3</v>
      </c>
    </row>
    <row r="2209" spans="1:16" x14ac:dyDescent="0.45">
      <c r="A2209" s="7" t="s">
        <v>82</v>
      </c>
      <c r="B2209" s="7" t="s">
        <v>29</v>
      </c>
      <c r="C2209" s="7" t="s">
        <v>15</v>
      </c>
      <c r="D2209" s="7" t="s">
        <v>10</v>
      </c>
      <c r="E2209" s="7" t="s">
        <v>32</v>
      </c>
      <c r="F2209" s="3">
        <v>0</v>
      </c>
      <c r="G2209" s="3">
        <v>-9.4226709047157099E-7</v>
      </c>
      <c r="H2209" s="3">
        <v>-9.4226709047157099E-7</v>
      </c>
      <c r="I2209" s="3">
        <v>-4.1803377094258603E-5</v>
      </c>
      <c r="J2209" s="3">
        <v>1.1186671544947999E-5</v>
      </c>
      <c r="K2209" s="3">
        <v>-2.45324206749789E-4</v>
      </c>
      <c r="L2209" s="3">
        <v>-5.3659709835217296E-4</v>
      </c>
      <c r="M2209" s="3">
        <v>-5.4792213914035804E-4</v>
      </c>
      <c r="N2209" s="3">
        <v>-1.1645182970242801E-4</v>
      </c>
      <c r="O2209" s="3">
        <v>-1.6828700691348E-4</v>
      </c>
      <c r="P2209" s="3">
        <v>-1.98938218483248E-4</v>
      </c>
    </row>
    <row r="2210" spans="1:16" x14ac:dyDescent="0.45">
      <c r="A2210" s="7" t="s">
        <v>82</v>
      </c>
      <c r="B2210" s="7" t="s">
        <v>29</v>
      </c>
      <c r="C2210" s="7" t="s">
        <v>15</v>
      </c>
      <c r="D2210" s="7" t="s">
        <v>11</v>
      </c>
      <c r="E2210" s="7" t="s">
        <v>32</v>
      </c>
      <c r="F2210" s="3">
        <v>0</v>
      </c>
      <c r="G2210" s="3">
        <v>3.69537695740774E-6</v>
      </c>
      <c r="H2210" s="3">
        <v>3.69537695740774E-6</v>
      </c>
      <c r="I2210" s="3">
        <v>-3.0308803030572301E-5</v>
      </c>
      <c r="J2210" s="3">
        <v>-2.8185606285133902E-4</v>
      </c>
      <c r="K2210" s="3">
        <v>-2.9088074100365501E-4</v>
      </c>
      <c r="L2210" s="3">
        <v>8.6065478811669905E-4</v>
      </c>
      <c r="M2210" s="3">
        <v>8.61118947051986E-4</v>
      </c>
      <c r="N2210" s="3">
        <v>4.6209578509023201E-4</v>
      </c>
      <c r="O2210" s="3">
        <v>2.8178969511261797E-4</v>
      </c>
      <c r="P2210" s="3">
        <v>5.6031560893461701E-5</v>
      </c>
    </row>
    <row r="2211" spans="1:16" x14ac:dyDescent="0.45">
      <c r="A2211" s="7" t="s">
        <v>82</v>
      </c>
      <c r="B2211" s="7" t="s">
        <v>29</v>
      </c>
      <c r="C2211" s="7" t="s">
        <v>15</v>
      </c>
      <c r="D2211" s="7" t="s">
        <v>12</v>
      </c>
      <c r="E2211" s="7" t="s">
        <v>32</v>
      </c>
      <c r="F2211" s="3">
        <v>0</v>
      </c>
      <c r="G2211" s="3">
        <v>1.58704372475033E-6</v>
      </c>
      <c r="H2211" s="3">
        <v>1.58704372475033E-6</v>
      </c>
      <c r="I2211" s="3">
        <v>-3.7325429941147099E-4</v>
      </c>
      <c r="J2211" s="3">
        <v>3.50486645246686E-4</v>
      </c>
      <c r="K2211" s="3">
        <v>9.2101854605615397E-4</v>
      </c>
      <c r="L2211" s="3">
        <v>-4.9102081439168798E-4</v>
      </c>
      <c r="M2211" s="3">
        <v>-1.1821069951900201E-3</v>
      </c>
      <c r="N2211" s="3">
        <v>-1.1446883367636699E-3</v>
      </c>
      <c r="O2211" s="3">
        <v>-9.5502358068176596E-4</v>
      </c>
      <c r="P2211" s="3">
        <v>-7.9139901011459496E-4</v>
      </c>
    </row>
    <row r="2212" spans="1:16" x14ac:dyDescent="0.45">
      <c r="A2212" s="7" t="s">
        <v>82</v>
      </c>
      <c r="B2212" s="7" t="s">
        <v>29</v>
      </c>
      <c r="C2212" s="7" t="s">
        <v>15</v>
      </c>
      <c r="D2212" s="7" t="s">
        <v>13</v>
      </c>
      <c r="E2212" s="7" t="s">
        <v>32</v>
      </c>
      <c r="F2212" s="3">
        <v>0</v>
      </c>
      <c r="G2212" s="3">
        <v>-3.3993146026343302E-4</v>
      </c>
      <c r="H2212" s="3">
        <v>-3.3993146026343302E-4</v>
      </c>
      <c r="I2212" s="3">
        <v>7.85627965776872E-4</v>
      </c>
      <c r="J2212" s="3">
        <v>-7.5345126838775205E-4</v>
      </c>
      <c r="K2212" s="3">
        <v>-2.1849377673832898E-3</v>
      </c>
      <c r="L2212" s="3">
        <v>-9.0704756771036604E-4</v>
      </c>
      <c r="M2212" s="3">
        <v>9.0759884663879604E-5</v>
      </c>
      <c r="N2212" s="3">
        <v>-4.6547118458985899E-4</v>
      </c>
      <c r="O2212" s="3">
        <v>-6.5021330687728396E-4</v>
      </c>
      <c r="P2212" s="3">
        <v>-8.3107601140502995E-4</v>
      </c>
    </row>
    <row r="2213" spans="1:16" x14ac:dyDescent="0.45">
      <c r="A2213" s="7" t="s">
        <v>82</v>
      </c>
      <c r="B2213" s="7" t="s">
        <v>29</v>
      </c>
      <c r="C2213" s="7" t="s">
        <v>15</v>
      </c>
      <c r="D2213" s="7" t="s">
        <v>14</v>
      </c>
      <c r="E2213" s="7" t="s">
        <v>32</v>
      </c>
      <c r="F2213" s="3">
        <v>0</v>
      </c>
      <c r="G2213" s="3">
        <v>8.14986580708492E-4</v>
      </c>
      <c r="H2213" s="3">
        <v>8.14986580708492E-4</v>
      </c>
      <c r="I2213" s="3">
        <v>1.1504509410208499E-3</v>
      </c>
      <c r="J2213" s="3">
        <v>5.9312334515460702E-4</v>
      </c>
      <c r="K2213" s="3">
        <v>-2.41306480653014E-4</v>
      </c>
      <c r="L2213" s="3">
        <v>-8.5868339089289298E-4</v>
      </c>
      <c r="M2213" s="3">
        <v>-1.2526921451805101E-3</v>
      </c>
      <c r="N2213" s="3">
        <v>-1.0504575280671201E-3</v>
      </c>
      <c r="O2213" s="3">
        <v>-8.8857798225638201E-4</v>
      </c>
      <c r="P2213" s="3">
        <v>-1.23713806694976E-3</v>
      </c>
    </row>
    <row r="2214" spans="1:16" x14ac:dyDescent="0.45">
      <c r="A2214" s="7" t="s">
        <v>82</v>
      </c>
      <c r="B2214" s="7" t="s">
        <v>29</v>
      </c>
      <c r="C2214" s="7" t="s">
        <v>16</v>
      </c>
      <c r="D2214" s="7" t="s">
        <v>7</v>
      </c>
      <c r="E2214" s="7" t="s">
        <v>32</v>
      </c>
      <c r="F2214" s="3">
        <v>1.8023948401502302E-2</v>
      </c>
      <c r="G2214" s="3">
        <v>1.9240604097206099E-2</v>
      </c>
      <c r="H2214" s="3">
        <v>1.9240604097206099E-2</v>
      </c>
      <c r="I2214" s="3">
        <v>1.88525720402495E-2</v>
      </c>
      <c r="J2214" s="3">
        <v>1.8852551873403199E-2</v>
      </c>
      <c r="K2214" s="3">
        <v>1.8682743201355299E-2</v>
      </c>
      <c r="L2214" s="3">
        <v>1.8852551873403199E-2</v>
      </c>
      <c r="M2214" s="3">
        <v>1.8852551873403199E-2</v>
      </c>
      <c r="N2214" s="3">
        <v>1.8852551873403199E-2</v>
      </c>
      <c r="O2214" s="3">
        <v>1.8852551873403199E-2</v>
      </c>
      <c r="P2214" s="3">
        <v>1.8852551873403199E-2</v>
      </c>
    </row>
    <row r="2215" spans="1:16" x14ac:dyDescent="0.45">
      <c r="A2215" s="7" t="s">
        <v>82</v>
      </c>
      <c r="B2215" s="7" t="s">
        <v>29</v>
      </c>
      <c r="C2215" s="7" t="s">
        <v>16</v>
      </c>
      <c r="D2215" s="7" t="s">
        <v>9</v>
      </c>
      <c r="E2215" s="7" t="s">
        <v>32</v>
      </c>
      <c r="F2215" s="3">
        <v>0</v>
      </c>
      <c r="G2215" s="3">
        <v>-4.7659874362303298E-6</v>
      </c>
      <c r="H2215" s="3">
        <v>-4.7659874362303298E-6</v>
      </c>
      <c r="I2215" s="3">
        <v>-4.7638206545214104E-6</v>
      </c>
      <c r="J2215" s="3">
        <v>-1.8101112519808301E-4</v>
      </c>
      <c r="K2215" s="3">
        <v>-2.4832906479317599E-5</v>
      </c>
      <c r="L2215" s="3">
        <v>-1.7269810677149699E-4</v>
      </c>
      <c r="M2215" s="3">
        <v>-1.59036852995675E-4</v>
      </c>
      <c r="N2215" s="3">
        <v>-1.58007546114056E-3</v>
      </c>
      <c r="O2215" s="3">
        <v>-1.57975830358165E-3</v>
      </c>
      <c r="P2215" s="3">
        <v>-1.57975830358165E-3</v>
      </c>
    </row>
    <row r="2216" spans="1:16" x14ac:dyDescent="0.45">
      <c r="A2216" s="7" t="s">
        <v>82</v>
      </c>
      <c r="B2216" s="7" t="s">
        <v>29</v>
      </c>
      <c r="C2216" s="7" t="s">
        <v>16</v>
      </c>
      <c r="D2216" s="7" t="s">
        <v>10</v>
      </c>
      <c r="E2216" s="7" t="s">
        <v>32</v>
      </c>
      <c r="F2216" s="3">
        <v>0</v>
      </c>
      <c r="G2216" s="3">
        <v>-2.7755575615628901E-17</v>
      </c>
      <c r="H2216" s="3">
        <v>-2.7755575615628901E-17</v>
      </c>
      <c r="I2216" s="3">
        <v>0</v>
      </c>
      <c r="J2216" s="3">
        <v>8.3130184266137808E-6</v>
      </c>
      <c r="K2216" s="3">
        <v>-1.6072776576830201E-4</v>
      </c>
      <c r="L2216" s="3">
        <v>-1.4070601968101499E-3</v>
      </c>
      <c r="M2216" s="3">
        <v>-1.42072145058597E-3</v>
      </c>
      <c r="N2216" s="3">
        <v>3.1715755891004198E-7</v>
      </c>
      <c r="O2216" s="3">
        <v>0</v>
      </c>
      <c r="P2216" s="3">
        <v>0</v>
      </c>
    </row>
    <row r="2217" spans="1:16" x14ac:dyDescent="0.45">
      <c r="A2217" s="7" t="s">
        <v>82</v>
      </c>
      <c r="B2217" s="7" t="s">
        <v>29</v>
      </c>
      <c r="C2217" s="7" t="s">
        <v>16</v>
      </c>
      <c r="D2217" s="7" t="s">
        <v>11</v>
      </c>
      <c r="E2217" s="7" t="s">
        <v>32</v>
      </c>
      <c r="F2217" s="3">
        <v>0</v>
      </c>
      <c r="G2217" s="3">
        <v>2.7755575615628901E-17</v>
      </c>
      <c r="H2217" s="3">
        <v>2.7755575615628901E-17</v>
      </c>
      <c r="I2217" s="3">
        <v>0</v>
      </c>
      <c r="J2217" s="3">
        <v>-1.40706019681018E-3</v>
      </c>
      <c r="K2217" s="3">
        <v>-1.2243889592860799E-3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</row>
    <row r="2218" spans="1:16" x14ac:dyDescent="0.45">
      <c r="A2218" s="7" t="s">
        <v>82</v>
      </c>
      <c r="B2218" s="7" t="s">
        <v>29</v>
      </c>
      <c r="C2218" s="7" t="s">
        <v>16</v>
      </c>
      <c r="D2218" s="7" t="s">
        <v>12</v>
      </c>
      <c r="E2218" s="7" t="s">
        <v>32</v>
      </c>
      <c r="F2218" s="3">
        <v>0</v>
      </c>
      <c r="G2218" s="3">
        <v>-9.1308479592371005E-6</v>
      </c>
      <c r="H2218" s="3">
        <v>-9.1308479592371005E-6</v>
      </c>
      <c r="I2218" s="3">
        <v>-1.58443831298001E-3</v>
      </c>
      <c r="J2218" s="3">
        <v>-9.1266719777702305E-6</v>
      </c>
      <c r="K2218" s="3">
        <v>-9.1266719777702305E-6</v>
      </c>
      <c r="L2218" s="3">
        <v>-9.1266719777702305E-6</v>
      </c>
      <c r="M2218" s="3">
        <v>-9.1266719777702305E-6</v>
      </c>
      <c r="N2218" s="3">
        <v>-9.4752217427579393E-6</v>
      </c>
      <c r="O2218" s="3">
        <v>-9.8410999343663507E-6</v>
      </c>
      <c r="P2218" s="3">
        <v>-1.02049179983507E-5</v>
      </c>
    </row>
    <row r="2219" spans="1:16" x14ac:dyDescent="0.45">
      <c r="A2219" s="7" t="s">
        <v>82</v>
      </c>
      <c r="B2219" s="7" t="s">
        <v>29</v>
      </c>
      <c r="C2219" s="7" t="s">
        <v>16</v>
      </c>
      <c r="D2219" s="7" t="s">
        <v>13</v>
      </c>
      <c r="E2219" s="7" t="s">
        <v>32</v>
      </c>
      <c r="F2219" s="3">
        <v>0</v>
      </c>
      <c r="G2219" s="3">
        <v>1.3896835395467401E-5</v>
      </c>
      <c r="H2219" s="3">
        <v>1.3896835395467401E-5</v>
      </c>
      <c r="I2219" s="3">
        <v>1.4207650531020101E-5</v>
      </c>
      <c r="J2219" s="3">
        <v>1.35419337695813E-5</v>
      </c>
      <c r="K2219" s="3">
        <v>1.2812218836956399E-5</v>
      </c>
      <c r="L2219" s="3">
        <v>1.2812218836956399E-5</v>
      </c>
      <c r="M2219" s="3">
        <v>1.2812218836956399E-5</v>
      </c>
      <c r="N2219" s="3">
        <v>1.31607686019442E-5</v>
      </c>
      <c r="O2219" s="3">
        <v>1.3526646793552599E-5</v>
      </c>
      <c r="P2219" s="3">
        <v>1.38904648575369E-5</v>
      </c>
    </row>
    <row r="2220" spans="1:16" x14ac:dyDescent="0.45">
      <c r="A2220" s="7" t="s">
        <v>82</v>
      </c>
      <c r="B2220" s="7" t="s">
        <v>29</v>
      </c>
      <c r="C2220" s="7" t="s">
        <v>16</v>
      </c>
      <c r="D2220" s="7" t="s">
        <v>14</v>
      </c>
      <c r="E2220" s="7" t="s">
        <v>32</v>
      </c>
      <c r="F2220" s="3">
        <v>0</v>
      </c>
      <c r="G2220" s="3">
        <v>-1.61156136381249E-3</v>
      </c>
      <c r="H2220" s="3">
        <v>-1.61156136381249E-3</v>
      </c>
      <c r="I2220" s="3">
        <v>3.50372989683934E-8</v>
      </c>
      <c r="J2220" s="3">
        <v>-3.26117982438201E-7</v>
      </c>
      <c r="K2220" s="3">
        <v>4.03596950186713E-7</v>
      </c>
      <c r="L2220" s="3">
        <v>4.03596950186713E-7</v>
      </c>
      <c r="M2220" s="3">
        <v>4.03596950186713E-7</v>
      </c>
      <c r="N2220" s="3">
        <v>4.03596950186713E-7</v>
      </c>
      <c r="O2220" s="3">
        <v>4.03596950186713E-7</v>
      </c>
      <c r="P2220" s="3">
        <v>4.03596950186713E-7</v>
      </c>
    </row>
    <row r="2221" spans="1:16" x14ac:dyDescent="0.45">
      <c r="A2221" s="7" t="s">
        <v>82</v>
      </c>
      <c r="B2221" s="7" t="s">
        <v>29</v>
      </c>
      <c r="C2221" s="7" t="s">
        <v>17</v>
      </c>
      <c r="D2221" s="7" t="s">
        <v>7</v>
      </c>
      <c r="E2221" s="7" t="s">
        <v>32</v>
      </c>
      <c r="F2221" s="3">
        <v>3.1940138272615998E-3</v>
      </c>
      <c r="G2221" s="3">
        <v>7.32160080550297E-3</v>
      </c>
      <c r="H2221" s="3">
        <v>7.32160080550297E-3</v>
      </c>
      <c r="I2221" s="3">
        <v>1.8403035966934399E-2</v>
      </c>
      <c r="J2221" s="3">
        <v>2.0875681308090099E-2</v>
      </c>
      <c r="K2221" s="3">
        <v>2.1993709278007801E-2</v>
      </c>
      <c r="L2221" s="3">
        <v>2.0842780612724598E-2</v>
      </c>
      <c r="M2221" s="3">
        <v>1.9346737578196299E-2</v>
      </c>
      <c r="N2221" s="3">
        <v>1.76826123396744E-2</v>
      </c>
      <c r="O2221" s="3">
        <v>1.6123400077197501E-2</v>
      </c>
      <c r="P2221" s="3">
        <v>1.46464593357495E-2</v>
      </c>
    </row>
    <row r="2222" spans="1:16" x14ac:dyDescent="0.45">
      <c r="A2222" s="7" t="s">
        <v>82</v>
      </c>
      <c r="B2222" s="7" t="s">
        <v>29</v>
      </c>
      <c r="C2222" s="7" t="s">
        <v>17</v>
      </c>
      <c r="D2222" s="7" t="s">
        <v>9</v>
      </c>
      <c r="E2222" s="7" t="s">
        <v>32</v>
      </c>
      <c r="F2222" s="3">
        <v>0</v>
      </c>
      <c r="G2222" s="3">
        <v>2.2798139601518501E-4</v>
      </c>
      <c r="H2222" s="3">
        <v>2.2798139601518501E-4</v>
      </c>
      <c r="I2222" s="3">
        <v>5.1921093629793804E-4</v>
      </c>
      <c r="J2222" s="3">
        <v>3.8803257497254501E-4</v>
      </c>
      <c r="K2222" s="3">
        <v>2.2831385651305599E-4</v>
      </c>
      <c r="L2222" s="3">
        <v>6.3811458093387605E-4</v>
      </c>
      <c r="M2222" s="3">
        <v>1.1496416936709101E-3</v>
      </c>
      <c r="N2222" s="3">
        <v>5.4966342646271702E-3</v>
      </c>
      <c r="O2222" s="3">
        <v>6.23880646386165E-3</v>
      </c>
      <c r="P2222" s="3">
        <v>7.09920955258152E-3</v>
      </c>
    </row>
    <row r="2223" spans="1:16" x14ac:dyDescent="0.45">
      <c r="A2223" s="7" t="s">
        <v>82</v>
      </c>
      <c r="B2223" s="7" t="s">
        <v>29</v>
      </c>
      <c r="C2223" s="7" t="s">
        <v>17</v>
      </c>
      <c r="D2223" s="7" t="s">
        <v>10</v>
      </c>
      <c r="E2223" s="7" t="s">
        <v>32</v>
      </c>
      <c r="F2223" s="3">
        <v>0</v>
      </c>
      <c r="G2223" s="3">
        <v>6.5923670722473898E-5</v>
      </c>
      <c r="H2223" s="3">
        <v>6.5923670722473898E-5</v>
      </c>
      <c r="I2223" s="3">
        <v>2.2035563656757099E-4</v>
      </c>
      <c r="J2223" s="3">
        <v>6.6545748761446394E-5</v>
      </c>
      <c r="K2223" s="3">
        <v>4.0421614767737298E-4</v>
      </c>
      <c r="L2223" s="3">
        <v>4.2357029663858299E-3</v>
      </c>
      <c r="M2223" s="3">
        <v>4.38031482647438E-3</v>
      </c>
      <c r="N2223" s="3">
        <v>2.20138838714653E-3</v>
      </c>
      <c r="O2223" s="3">
        <v>2.4174638740998202E-3</v>
      </c>
      <c r="P2223" s="3">
        <v>3.4364515571738202E-3</v>
      </c>
    </row>
    <row r="2224" spans="1:16" x14ac:dyDescent="0.45">
      <c r="A2224" s="7" t="s">
        <v>82</v>
      </c>
      <c r="B2224" s="7" t="s">
        <v>29</v>
      </c>
      <c r="C2224" s="7" t="s">
        <v>17</v>
      </c>
      <c r="D2224" s="7" t="s">
        <v>11</v>
      </c>
      <c r="E2224" s="7" t="s">
        <v>32</v>
      </c>
      <c r="F2224" s="3">
        <v>0</v>
      </c>
      <c r="G2224" s="3">
        <v>6.2641890586055001E-5</v>
      </c>
      <c r="H2224" s="3">
        <v>6.2641890586055001E-5</v>
      </c>
      <c r="I2224" s="3">
        <v>1.90822733590282E-4</v>
      </c>
      <c r="J2224" s="3">
        <v>3.7144980206178101E-3</v>
      </c>
      <c r="K2224" s="3">
        <v>3.4103271179964601E-3</v>
      </c>
      <c r="L2224" s="3">
        <v>1.1163389255778901E-3</v>
      </c>
      <c r="M2224" s="3">
        <v>1.83401057205944E-3</v>
      </c>
      <c r="N2224" s="3">
        <v>1.4520194269287399E-3</v>
      </c>
      <c r="O2224" s="3">
        <v>2.05457359627824E-3</v>
      </c>
      <c r="P2224" s="3">
        <v>1.6679994668855199E-3</v>
      </c>
    </row>
    <row r="2225" spans="1:16" x14ac:dyDescent="0.45">
      <c r="A2225" s="7" t="s">
        <v>82</v>
      </c>
      <c r="B2225" s="7" t="s">
        <v>29</v>
      </c>
      <c r="C2225" s="7" t="s">
        <v>17</v>
      </c>
      <c r="D2225" s="7" t="s">
        <v>12</v>
      </c>
      <c r="E2225" s="7" t="s">
        <v>32</v>
      </c>
      <c r="F2225" s="3">
        <v>0</v>
      </c>
      <c r="G2225" s="3">
        <v>9.5541573236428105E-5</v>
      </c>
      <c r="H2225" s="3">
        <v>9.5541573236428105E-5</v>
      </c>
      <c r="I2225" s="3">
        <v>4.9099200753281898E-3</v>
      </c>
      <c r="J2225" s="3">
        <v>9.2133307339762802E-4</v>
      </c>
      <c r="K2225" s="3">
        <v>1.1733675967309999E-3</v>
      </c>
      <c r="L2225" s="3">
        <v>3.7699691130346801E-4</v>
      </c>
      <c r="M2225" s="3">
        <v>6.0101084087552505E-4</v>
      </c>
      <c r="N2225" s="3">
        <v>8.7456018384990104E-4</v>
      </c>
      <c r="O2225" s="3">
        <v>1.27772145906991E-3</v>
      </c>
      <c r="P2225" s="3">
        <v>1.34772584557986E-3</v>
      </c>
    </row>
    <row r="2226" spans="1:16" x14ac:dyDescent="0.45">
      <c r="A2226" s="7" t="s">
        <v>82</v>
      </c>
      <c r="B2226" s="7" t="s">
        <v>29</v>
      </c>
      <c r="C2226" s="7" t="s">
        <v>17</v>
      </c>
      <c r="D2226" s="7" t="s">
        <v>13</v>
      </c>
      <c r="E2226" s="7" t="s">
        <v>32</v>
      </c>
      <c r="F2226" s="3">
        <v>0</v>
      </c>
      <c r="G2226" s="3">
        <v>1.1311327119837599E-3</v>
      </c>
      <c r="H2226" s="3">
        <v>1.1311327119837599E-3</v>
      </c>
      <c r="I2226" s="3">
        <v>1.3090997505484901E-3</v>
      </c>
      <c r="J2226" s="3">
        <v>1.1317275755256301E-3</v>
      </c>
      <c r="K2226" s="3">
        <v>1.00726306725463E-3</v>
      </c>
      <c r="L2226" s="3">
        <v>1.0377614561717799E-3</v>
      </c>
      <c r="M2226" s="3">
        <v>9.3874868814129405E-4</v>
      </c>
      <c r="N2226" s="3">
        <v>5.4369147073037396E-4</v>
      </c>
      <c r="O2226" s="3">
        <v>1.3907184147693801E-4</v>
      </c>
      <c r="P2226" s="3">
        <v>5.3192866404070498E-5</v>
      </c>
    </row>
    <row r="2227" spans="1:16" x14ac:dyDescent="0.45">
      <c r="A2227" s="7" t="s">
        <v>82</v>
      </c>
      <c r="B2227" s="7" t="s">
        <v>29</v>
      </c>
      <c r="C2227" s="7" t="s">
        <v>17</v>
      </c>
      <c r="D2227" s="7" t="s">
        <v>14</v>
      </c>
      <c r="E2227" s="7" t="s">
        <v>32</v>
      </c>
      <c r="F2227" s="3">
        <v>0</v>
      </c>
      <c r="G2227" s="3">
        <v>5.4098698484734099E-3</v>
      </c>
      <c r="H2227" s="3">
        <v>5.4098698484734099E-3</v>
      </c>
      <c r="I2227" s="3">
        <v>2.1056040454372799E-3</v>
      </c>
      <c r="J2227" s="3">
        <v>1.1122564418131399E-3</v>
      </c>
      <c r="K2227" s="3">
        <v>-3.79671786578106E-6</v>
      </c>
      <c r="L2227" s="3">
        <v>-3.4277701199764103E-5</v>
      </c>
      <c r="M2227" s="3">
        <v>-3.70322692781547E-5</v>
      </c>
      <c r="N2227" s="3">
        <v>-3.7474141076795198E-5</v>
      </c>
      <c r="O2227" s="3">
        <v>-3.7605380086316197E-5</v>
      </c>
      <c r="P2227" s="3">
        <v>-3.76066924764364E-5</v>
      </c>
    </row>
    <row r="2228" spans="1:16" x14ac:dyDescent="0.45">
      <c r="A2228" s="7" t="s">
        <v>82</v>
      </c>
      <c r="B2228" s="7" t="s">
        <v>29</v>
      </c>
      <c r="C2228" s="7" t="s">
        <v>18</v>
      </c>
      <c r="D2228" s="7" t="s">
        <v>7</v>
      </c>
      <c r="E2228" s="7" t="s">
        <v>32</v>
      </c>
      <c r="F2228" s="3">
        <v>3.2619825050812699E-2</v>
      </c>
      <c r="G2228" s="3">
        <v>2.4380190090967601E-2</v>
      </c>
      <c r="H2228" s="3">
        <v>2.4380190090967601E-2</v>
      </c>
      <c r="I2228" s="3">
        <v>1.6253460060645E-2</v>
      </c>
      <c r="J2228" s="3">
        <v>8.1267300303225001E-3</v>
      </c>
      <c r="K2228" s="3">
        <v>3.1416107337031198E-18</v>
      </c>
      <c r="L2228" s="3">
        <v>2.51328858696249E-17</v>
      </c>
      <c r="M2228" s="3">
        <v>0</v>
      </c>
      <c r="N2228" s="3">
        <v>2.51328858696249E-17</v>
      </c>
      <c r="O2228" s="3">
        <v>0</v>
      </c>
      <c r="P2228" s="3">
        <v>2.1991275135921799E-17</v>
      </c>
    </row>
    <row r="2229" spans="1:16" x14ac:dyDescent="0.45">
      <c r="A2229" s="7" t="s">
        <v>82</v>
      </c>
      <c r="B2229" s="7" t="s">
        <v>29</v>
      </c>
      <c r="C2229" s="7" t="s">
        <v>18</v>
      </c>
      <c r="D2229" s="7" t="s">
        <v>9</v>
      </c>
      <c r="E2229" s="7" t="s">
        <v>32</v>
      </c>
      <c r="F2229" s="3">
        <v>0</v>
      </c>
      <c r="G2229" s="3">
        <v>0</v>
      </c>
      <c r="H2229" s="3">
        <v>0</v>
      </c>
      <c r="I2229" s="3">
        <v>0</v>
      </c>
      <c r="J2229" s="3">
        <v>2.7755575615628901E-17</v>
      </c>
      <c r="K2229" s="3">
        <v>6.2832214674062104E-18</v>
      </c>
      <c r="L2229" s="3">
        <v>-1.57080536685155E-17</v>
      </c>
      <c r="M2229" s="3">
        <v>3.1416107337031198E-18</v>
      </c>
      <c r="N2229" s="3">
        <v>-2.51328858696249E-17</v>
      </c>
      <c r="O2229" s="3">
        <v>0</v>
      </c>
      <c r="P2229" s="3">
        <v>-2.1991275135921799E-17</v>
      </c>
    </row>
    <row r="2230" spans="1:16" x14ac:dyDescent="0.45">
      <c r="A2230" s="7" t="s">
        <v>82</v>
      </c>
      <c r="B2230" s="7" t="s">
        <v>29</v>
      </c>
      <c r="C2230" s="7" t="s">
        <v>18</v>
      </c>
      <c r="D2230" s="7" t="s">
        <v>10</v>
      </c>
      <c r="E2230" s="7" t="s">
        <v>32</v>
      </c>
      <c r="F2230" s="3">
        <v>0</v>
      </c>
      <c r="G2230" s="3">
        <v>0</v>
      </c>
      <c r="H2230" s="3">
        <v>0</v>
      </c>
      <c r="I2230" s="3">
        <v>0</v>
      </c>
      <c r="J2230" s="3">
        <v>2.7755575615628901E-17</v>
      </c>
      <c r="K2230" s="3">
        <v>-6.2832214674062104E-18</v>
      </c>
      <c r="L2230" s="3">
        <v>-9.4248322011093202E-18</v>
      </c>
      <c r="M2230" s="3">
        <v>-3.1416107337031198E-18</v>
      </c>
      <c r="N2230" s="3">
        <v>0</v>
      </c>
      <c r="O2230" s="3">
        <v>1.57080536685155E-17</v>
      </c>
      <c r="P2230" s="3">
        <v>0</v>
      </c>
    </row>
    <row r="2231" spans="1:16" x14ac:dyDescent="0.45">
      <c r="A2231" s="7" t="s">
        <v>82</v>
      </c>
      <c r="B2231" s="7" t="s">
        <v>29</v>
      </c>
      <c r="C2231" s="7" t="s">
        <v>18</v>
      </c>
      <c r="D2231" s="7" t="s">
        <v>11</v>
      </c>
      <c r="E2231" s="7" t="s">
        <v>32</v>
      </c>
      <c r="F2231" s="3">
        <v>0</v>
      </c>
      <c r="G2231" s="3">
        <v>2.7755575615628901E-17</v>
      </c>
      <c r="H2231" s="3">
        <v>2.7755575615628901E-17</v>
      </c>
      <c r="I2231" s="3">
        <v>0</v>
      </c>
      <c r="J2231" s="3">
        <v>-2.7755575615628901E-17</v>
      </c>
      <c r="K2231" s="3">
        <v>-3.1416107337031198E-18</v>
      </c>
      <c r="L2231" s="3">
        <v>2.1991275135921799E-17</v>
      </c>
      <c r="M2231" s="3">
        <v>0</v>
      </c>
      <c r="N2231" s="3">
        <v>1.2566442934812401E-17</v>
      </c>
      <c r="O2231" s="3">
        <v>-6.2832214674062104E-18</v>
      </c>
      <c r="P2231" s="3">
        <v>2.1991275135921799E-17</v>
      </c>
    </row>
    <row r="2232" spans="1:16" x14ac:dyDescent="0.45">
      <c r="A2232" s="7" t="s">
        <v>82</v>
      </c>
      <c r="B2232" s="7" t="s">
        <v>29</v>
      </c>
      <c r="C2232" s="7" t="s">
        <v>18</v>
      </c>
      <c r="D2232" s="7" t="s">
        <v>12</v>
      </c>
      <c r="E2232" s="7" t="s">
        <v>32</v>
      </c>
      <c r="F2232" s="3">
        <v>0</v>
      </c>
      <c r="G2232" s="3">
        <v>0</v>
      </c>
      <c r="H2232" s="3">
        <v>0</v>
      </c>
      <c r="I2232" s="3">
        <v>0</v>
      </c>
      <c r="J2232" s="3">
        <v>-2.7755575615628901E-17</v>
      </c>
      <c r="K2232" s="3">
        <v>0</v>
      </c>
      <c r="L2232" s="3">
        <v>-1.5708053668515601E-17</v>
      </c>
      <c r="M2232" s="3">
        <v>0</v>
      </c>
      <c r="N2232" s="3">
        <v>3.4557718070733998E-17</v>
      </c>
      <c r="O2232" s="3">
        <v>1.8849664402218699E-17</v>
      </c>
      <c r="P2232" s="3">
        <v>-2.1991275135921799E-17</v>
      </c>
    </row>
    <row r="2233" spans="1:16" x14ac:dyDescent="0.45">
      <c r="A2233" s="7" t="s">
        <v>82</v>
      </c>
      <c r="B2233" s="7" t="s">
        <v>29</v>
      </c>
      <c r="C2233" s="7" t="s">
        <v>18</v>
      </c>
      <c r="D2233" s="7" t="s">
        <v>13</v>
      </c>
      <c r="E2233" s="7" t="s">
        <v>32</v>
      </c>
      <c r="F2233" s="3">
        <v>0</v>
      </c>
      <c r="G2233" s="3">
        <v>0</v>
      </c>
      <c r="H2233" s="3">
        <v>0</v>
      </c>
      <c r="I2233" s="3">
        <v>-2.7755575615628901E-17</v>
      </c>
      <c r="J2233" s="3">
        <v>2.7755575615628901E-17</v>
      </c>
      <c r="K2233" s="3">
        <v>0</v>
      </c>
      <c r="L2233" s="3">
        <v>-6.2832214674062104E-18</v>
      </c>
      <c r="M2233" s="3">
        <v>2.1991275135921799E-17</v>
      </c>
      <c r="N2233" s="3">
        <v>-4.7124161005546499E-17</v>
      </c>
      <c r="O2233" s="3">
        <v>-2.1991275135921799E-17</v>
      </c>
      <c r="P2233" s="3">
        <v>2.1991275135921799E-17</v>
      </c>
    </row>
    <row r="2234" spans="1:16" x14ac:dyDescent="0.45">
      <c r="A2234" s="7" t="s">
        <v>82</v>
      </c>
      <c r="B2234" s="7" t="s">
        <v>29</v>
      </c>
      <c r="C2234" s="7" t="s">
        <v>18</v>
      </c>
      <c r="D2234" s="7" t="s">
        <v>14</v>
      </c>
      <c r="E2234" s="7" t="s">
        <v>32</v>
      </c>
      <c r="F2234" s="3">
        <v>0</v>
      </c>
      <c r="G2234" s="3">
        <v>0</v>
      </c>
      <c r="H2234" s="3">
        <v>0</v>
      </c>
      <c r="I2234" s="3">
        <v>2.7755575615628901E-17</v>
      </c>
      <c r="J2234" s="3">
        <v>-2.7755575615628901E-17</v>
      </c>
      <c r="K2234" s="3">
        <v>1.88496644022186E-17</v>
      </c>
      <c r="L2234" s="3">
        <v>9.4248322011093202E-18</v>
      </c>
      <c r="M2234" s="3">
        <v>1.2566442934812401E-17</v>
      </c>
      <c r="N2234" s="3">
        <v>2.8274496603328001E-17</v>
      </c>
      <c r="O2234" s="3">
        <v>2.5132885869624999E-17</v>
      </c>
      <c r="P2234" s="3">
        <v>-2.1991275135921799E-17</v>
      </c>
    </row>
    <row r="2235" spans="1:16" x14ac:dyDescent="0.45">
      <c r="A2235" s="7" t="s">
        <v>82</v>
      </c>
      <c r="B2235" s="7" t="s">
        <v>29</v>
      </c>
      <c r="C2235" s="7" t="s">
        <v>19</v>
      </c>
      <c r="D2235" s="7" t="s">
        <v>7</v>
      </c>
      <c r="E2235" s="7" t="s">
        <v>32</v>
      </c>
      <c r="F2235" s="3">
        <v>1.1766975792720099E-3</v>
      </c>
      <c r="G2235" s="3">
        <v>0</v>
      </c>
      <c r="H2235" s="3">
        <v>0</v>
      </c>
      <c r="I2235" s="3">
        <v>0</v>
      </c>
      <c r="J2235" s="3">
        <v>0</v>
      </c>
      <c r="K2235" s="3">
        <v>1.2216654903998E-3</v>
      </c>
      <c r="L2235" s="3">
        <v>2.1765388738994299E-4</v>
      </c>
      <c r="M2235" s="3">
        <v>4.3473323794983503E-5</v>
      </c>
      <c r="N2235" s="3">
        <v>3.1843697547780401E-6</v>
      </c>
      <c r="O2235" s="3">
        <v>0</v>
      </c>
      <c r="P2235" s="3">
        <v>0</v>
      </c>
    </row>
    <row r="2236" spans="1:16" x14ac:dyDescent="0.45">
      <c r="A2236" s="7" t="s">
        <v>82</v>
      </c>
      <c r="B2236" s="7" t="s">
        <v>29</v>
      </c>
      <c r="C2236" s="7" t="s">
        <v>19</v>
      </c>
      <c r="D2236" s="7" t="s">
        <v>9</v>
      </c>
      <c r="E2236" s="7" t="s">
        <v>32</v>
      </c>
      <c r="F2236" s="3">
        <v>0</v>
      </c>
      <c r="G2236" s="3">
        <v>0</v>
      </c>
      <c r="H2236" s="3">
        <v>0</v>
      </c>
      <c r="I2236" s="3">
        <v>0</v>
      </c>
      <c r="J2236" s="3">
        <v>9.9118210375743907E-5</v>
      </c>
      <c r="K2236" s="3">
        <v>4.70886710244231E-5</v>
      </c>
      <c r="L2236" s="3">
        <v>2.6229945878192198E-4</v>
      </c>
      <c r="M2236" s="3">
        <v>2.82689400210642E-4</v>
      </c>
      <c r="N2236" s="3">
        <v>3.1370622372530398E-4</v>
      </c>
      <c r="O2236" s="3">
        <v>3.1689059348008399E-4</v>
      </c>
      <c r="P2236" s="3">
        <v>2.9843344988774698E-4</v>
      </c>
    </row>
    <row r="2237" spans="1:16" x14ac:dyDescent="0.45">
      <c r="A2237" s="7" t="s">
        <v>82</v>
      </c>
      <c r="B2237" s="7" t="s">
        <v>29</v>
      </c>
      <c r="C2237" s="7" t="s">
        <v>19</v>
      </c>
      <c r="D2237" s="7" t="s">
        <v>10</v>
      </c>
      <c r="E2237" s="7" t="s">
        <v>32</v>
      </c>
      <c r="F2237" s="3">
        <v>0</v>
      </c>
      <c r="G2237" s="3">
        <v>0</v>
      </c>
      <c r="H2237" s="3">
        <v>0</v>
      </c>
      <c r="I2237" s="3">
        <v>0</v>
      </c>
      <c r="J2237" s="3">
        <v>1.2875847412322601E-4</v>
      </c>
      <c r="K2237" s="3">
        <v>2.5139744249731499E-4</v>
      </c>
      <c r="L2237" s="3">
        <v>4.6778753948731902E-4</v>
      </c>
      <c r="M2237" s="3">
        <v>4.0273336356836498E-4</v>
      </c>
      <c r="N2237" s="3">
        <v>3.6207767577475401E-3</v>
      </c>
      <c r="O2237" s="3">
        <v>3.92514079268955E-3</v>
      </c>
      <c r="P2237" s="3">
        <v>3.9244075399103703E-3</v>
      </c>
    </row>
    <row r="2238" spans="1:16" x14ac:dyDescent="0.45">
      <c r="A2238" s="7" t="s">
        <v>82</v>
      </c>
      <c r="B2238" s="7" t="s">
        <v>29</v>
      </c>
      <c r="C2238" s="7" t="s">
        <v>19</v>
      </c>
      <c r="D2238" s="7" t="s">
        <v>11</v>
      </c>
      <c r="E2238" s="7" t="s">
        <v>32</v>
      </c>
      <c r="F2238" s="3">
        <v>0</v>
      </c>
      <c r="G2238" s="3">
        <v>0</v>
      </c>
      <c r="H2238" s="3">
        <v>0</v>
      </c>
      <c r="I2238" s="3">
        <v>0</v>
      </c>
      <c r="J2238" s="3">
        <v>1.6803520332777701E-4</v>
      </c>
      <c r="K2238" s="3">
        <v>2.56641314737959E-4</v>
      </c>
      <c r="L2238" s="3">
        <v>4.2139295288384096E-3</v>
      </c>
      <c r="M2238" s="3">
        <v>3.7545209492169901E-3</v>
      </c>
      <c r="N2238" s="3">
        <v>1.2148030958929099E-3</v>
      </c>
      <c r="O2238" s="3">
        <v>9.7368463610862004E-4</v>
      </c>
      <c r="P2238" s="3">
        <v>1.08404826037301E-3</v>
      </c>
    </row>
    <row r="2239" spans="1:16" x14ac:dyDescent="0.45">
      <c r="A2239" s="7" t="s">
        <v>82</v>
      </c>
      <c r="B2239" s="7" t="s">
        <v>29</v>
      </c>
      <c r="C2239" s="7" t="s">
        <v>19</v>
      </c>
      <c r="D2239" s="7" t="s">
        <v>12</v>
      </c>
      <c r="E2239" s="7" t="s">
        <v>32</v>
      </c>
      <c r="F2239" s="3">
        <v>0</v>
      </c>
      <c r="G2239" s="3">
        <v>0</v>
      </c>
      <c r="H2239" s="3">
        <v>0</v>
      </c>
      <c r="I2239" s="3">
        <v>0</v>
      </c>
      <c r="J2239" s="3">
        <v>3.1010482943222202E-3</v>
      </c>
      <c r="K2239" s="3">
        <v>3.8113551757596102E-3</v>
      </c>
      <c r="L2239" s="3">
        <v>3.1828019031157899E-4</v>
      </c>
      <c r="M2239" s="3">
        <v>9.2227513701577304E-4</v>
      </c>
      <c r="N2239" s="3">
        <v>7.3515224154448795E-4</v>
      </c>
      <c r="O2239" s="3">
        <v>1.40285728475428E-3</v>
      </c>
      <c r="P2239" s="3">
        <v>1.4543247173724101E-3</v>
      </c>
    </row>
    <row r="2240" spans="1:16" x14ac:dyDescent="0.45">
      <c r="A2240" s="7" t="s">
        <v>82</v>
      </c>
      <c r="B2240" s="7" t="s">
        <v>29</v>
      </c>
      <c r="C2240" s="7" t="s">
        <v>19</v>
      </c>
      <c r="D2240" s="7" t="s">
        <v>13</v>
      </c>
      <c r="E2240" s="7" t="s">
        <v>32</v>
      </c>
      <c r="F2240" s="3">
        <v>0</v>
      </c>
      <c r="G2240" s="3">
        <v>0</v>
      </c>
      <c r="H2240" s="3">
        <v>0</v>
      </c>
      <c r="I2240" s="3">
        <v>4.8928096059972599E-3</v>
      </c>
      <c r="J2240" s="3">
        <v>2.76007185189296E-3</v>
      </c>
      <c r="K2240" s="3">
        <v>4.4442001631913803E-3</v>
      </c>
      <c r="L2240" s="3">
        <v>3.1341355202848201E-3</v>
      </c>
      <c r="M2240" s="3">
        <v>2.0714998494278198E-3</v>
      </c>
      <c r="N2240" s="3">
        <v>1.5016178690427E-3</v>
      </c>
      <c r="O2240" s="3">
        <v>8.4254212958624305E-4</v>
      </c>
      <c r="P2240" s="3">
        <v>8.6993445583056497E-4</v>
      </c>
    </row>
    <row r="2241" spans="1:16" x14ac:dyDescent="0.45">
      <c r="A2241" s="7" t="s">
        <v>82</v>
      </c>
      <c r="B2241" s="7" t="s">
        <v>29</v>
      </c>
      <c r="C2241" s="7" t="s">
        <v>19</v>
      </c>
      <c r="D2241" s="7" t="s">
        <v>14</v>
      </c>
      <c r="E2241" s="7" t="s">
        <v>32</v>
      </c>
      <c r="F2241" s="3">
        <v>0</v>
      </c>
      <c r="G2241" s="3">
        <v>2.3508468884293802E-3</v>
      </c>
      <c r="H2241" s="3">
        <v>2.3508468884293802E-3</v>
      </c>
      <c r="I2241" s="3">
        <v>4.8795170721472802E-3</v>
      </c>
      <c r="J2241" s="3">
        <v>3.4285099068402901E-3</v>
      </c>
      <c r="K2241" s="3">
        <v>-9.0496146885195501E-4</v>
      </c>
      <c r="L2241" s="3">
        <v>-1.1775754669921901E-3</v>
      </c>
      <c r="M2241" s="3">
        <v>-4.0635932108930002E-4</v>
      </c>
      <c r="N2241" s="3">
        <v>-3.9664196874145298E-4</v>
      </c>
      <c r="O2241" s="3">
        <v>3.8487991657412699E-5</v>
      </c>
      <c r="P2241" s="3">
        <v>4.2805677817464599E-4</v>
      </c>
    </row>
    <row r="2242" spans="1:16" x14ac:dyDescent="0.45">
      <c r="A2242" s="7" t="s">
        <v>82</v>
      </c>
      <c r="B2242" s="7" t="s">
        <v>21</v>
      </c>
      <c r="C2242" s="7" t="s">
        <v>6</v>
      </c>
      <c r="D2242" s="7" t="s">
        <v>7</v>
      </c>
      <c r="E2242" s="7" t="s">
        <v>32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2.5943773194861099E-4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</row>
    <row r="2243" spans="1:16" x14ac:dyDescent="0.45">
      <c r="A2243" s="7" t="s">
        <v>82</v>
      </c>
      <c r="B2243" s="7" t="s">
        <v>21</v>
      </c>
      <c r="C2243" s="7" t="s">
        <v>6</v>
      </c>
      <c r="D2243" s="7" t="s">
        <v>9</v>
      </c>
      <c r="E2243" s="7" t="s">
        <v>32</v>
      </c>
      <c r="F2243" s="3">
        <v>0</v>
      </c>
      <c r="G2243" s="3">
        <v>0</v>
      </c>
      <c r="H2243" s="3">
        <v>0</v>
      </c>
      <c r="I2243" s="3">
        <v>0</v>
      </c>
      <c r="J2243" s="3">
        <v>1.9652842568638199E-4</v>
      </c>
      <c r="K2243" s="3">
        <v>-1.09446027164271E-5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</row>
    <row r="2244" spans="1:16" x14ac:dyDescent="0.45">
      <c r="A2244" s="7" t="s">
        <v>82</v>
      </c>
      <c r="B2244" s="7" t="s">
        <v>21</v>
      </c>
      <c r="C2244" s="7" t="s">
        <v>6</v>
      </c>
      <c r="D2244" s="7" t="s">
        <v>10</v>
      </c>
      <c r="E2244" s="7" t="s">
        <v>32</v>
      </c>
      <c r="F2244" s="3">
        <v>0</v>
      </c>
      <c r="G2244" s="3">
        <v>0</v>
      </c>
      <c r="H2244" s="3">
        <v>0</v>
      </c>
      <c r="I2244" s="3">
        <v>0</v>
      </c>
      <c r="J2244" s="3">
        <v>-1.8502098502113599E-4</v>
      </c>
      <c r="K2244" s="3">
        <v>1.2625592020478801E-3</v>
      </c>
      <c r="L2244" s="3">
        <v>7.5636168598247101E-4</v>
      </c>
      <c r="M2244" s="3">
        <v>4.78770557899271E-4</v>
      </c>
      <c r="N2244" s="3">
        <v>9.0495381843133504E-3</v>
      </c>
      <c r="O2244" s="3">
        <v>7.6085752318333297E-2</v>
      </c>
      <c r="P2244" s="3">
        <v>0.180106276015009</v>
      </c>
    </row>
    <row r="2245" spans="1:16" x14ac:dyDescent="0.45">
      <c r="A2245" s="7" t="s">
        <v>82</v>
      </c>
      <c r="B2245" s="7" t="s">
        <v>21</v>
      </c>
      <c r="C2245" s="7" t="s">
        <v>6</v>
      </c>
      <c r="D2245" s="7" t="s">
        <v>11</v>
      </c>
      <c r="E2245" s="7" t="s">
        <v>32</v>
      </c>
      <c r="F2245" s="3">
        <v>0</v>
      </c>
      <c r="G2245" s="3">
        <v>0</v>
      </c>
      <c r="H2245" s="3">
        <v>0</v>
      </c>
      <c r="I2245" s="3">
        <v>0</v>
      </c>
      <c r="J2245" s="3">
        <v>9.0505233224464005E-4</v>
      </c>
      <c r="K2245" s="3">
        <v>1.13304850730966E-3</v>
      </c>
      <c r="L2245" s="3">
        <v>3.6008992787382198E-2</v>
      </c>
      <c r="M2245" s="3">
        <v>0.15121623444044799</v>
      </c>
      <c r="N2245" s="3">
        <v>0.29544619528225002</v>
      </c>
      <c r="O2245" s="3">
        <v>0.38162099276141898</v>
      </c>
      <c r="P2245" s="3">
        <v>0.41953932504762498</v>
      </c>
    </row>
    <row r="2246" spans="1:16" x14ac:dyDescent="0.45">
      <c r="A2246" s="7" t="s">
        <v>82</v>
      </c>
      <c r="B2246" s="7" t="s">
        <v>21</v>
      </c>
      <c r="C2246" s="7" t="s">
        <v>6</v>
      </c>
      <c r="D2246" s="7" t="s">
        <v>12</v>
      </c>
      <c r="E2246" s="7" t="s">
        <v>32</v>
      </c>
      <c r="F2246" s="3">
        <v>0</v>
      </c>
      <c r="G2246" s="3">
        <v>0</v>
      </c>
      <c r="H2246" s="3">
        <v>0</v>
      </c>
      <c r="I2246" s="3">
        <v>0</v>
      </c>
      <c r="J2246" s="3">
        <v>6.51048883003483E-3</v>
      </c>
      <c r="K2246" s="3">
        <v>0.13054901770150301</v>
      </c>
      <c r="L2246" s="3">
        <v>0.27540729693371802</v>
      </c>
      <c r="M2246" s="3">
        <v>0.33290768020348999</v>
      </c>
      <c r="N2246" s="3">
        <v>0.33535776476350199</v>
      </c>
      <c r="O2246" s="3">
        <v>0.33403135815551599</v>
      </c>
      <c r="P2246" s="3">
        <v>0.343344594143905</v>
      </c>
    </row>
    <row r="2247" spans="1:16" x14ac:dyDescent="0.45">
      <c r="A2247" s="7" t="s">
        <v>82</v>
      </c>
      <c r="B2247" s="7" t="s">
        <v>21</v>
      </c>
      <c r="C2247" s="7" t="s">
        <v>6</v>
      </c>
      <c r="D2247" s="7" t="s">
        <v>13</v>
      </c>
      <c r="E2247" s="7" t="s">
        <v>32</v>
      </c>
      <c r="F2247" s="3">
        <v>0</v>
      </c>
      <c r="G2247" s="3">
        <v>0</v>
      </c>
      <c r="H2247" s="3">
        <v>0</v>
      </c>
      <c r="I2247" s="3">
        <v>0.118093300954692</v>
      </c>
      <c r="J2247" s="3">
        <v>0.32729594611684099</v>
      </c>
      <c r="K2247" s="3">
        <v>0.40937184931875098</v>
      </c>
      <c r="L2247" s="3">
        <v>0.415302059360245</v>
      </c>
      <c r="M2247" s="3">
        <v>0.42168009089637998</v>
      </c>
      <c r="N2247" s="3">
        <v>0.44055662958723402</v>
      </c>
      <c r="O2247" s="3">
        <v>0.46511451209530902</v>
      </c>
      <c r="P2247" s="3">
        <v>0.48891278936684901</v>
      </c>
    </row>
    <row r="2248" spans="1:16" x14ac:dyDescent="0.45">
      <c r="A2248" s="7" t="s">
        <v>82</v>
      </c>
      <c r="B2248" s="7" t="s">
        <v>21</v>
      </c>
      <c r="C2248" s="7" t="s">
        <v>6</v>
      </c>
      <c r="D2248" s="7" t="s">
        <v>14</v>
      </c>
      <c r="E2248" s="7" t="s">
        <v>32</v>
      </c>
      <c r="F2248" s="3">
        <v>0</v>
      </c>
      <c r="G2248" s="3">
        <v>0</v>
      </c>
      <c r="H2248" s="3">
        <v>0</v>
      </c>
      <c r="I2248" s="3">
        <v>0.15983483490279399</v>
      </c>
      <c r="J2248" s="3">
        <v>0.19670805445054901</v>
      </c>
      <c r="K2248" s="3">
        <v>0.216031860420132</v>
      </c>
      <c r="L2248" s="3">
        <v>0.24069367971085001</v>
      </c>
      <c r="M2248" s="3">
        <v>0.27845272269215599</v>
      </c>
      <c r="N2248" s="3">
        <v>0.32384976463107701</v>
      </c>
      <c r="O2248" s="3">
        <v>0.36878413260779502</v>
      </c>
      <c r="P2248" s="3">
        <v>0.416200633126252</v>
      </c>
    </row>
    <row r="2249" spans="1:16" x14ac:dyDescent="0.45">
      <c r="A2249" s="7" t="s">
        <v>82</v>
      </c>
      <c r="B2249" s="7" t="s">
        <v>21</v>
      </c>
      <c r="C2249" s="7" t="s">
        <v>15</v>
      </c>
      <c r="D2249" s="7" t="s">
        <v>7</v>
      </c>
      <c r="E2249" s="7" t="s">
        <v>32</v>
      </c>
      <c r="F2249" s="3">
        <v>0.111532752640591</v>
      </c>
      <c r="G2249" s="3">
        <v>0.101537009620674</v>
      </c>
      <c r="H2249" s="3">
        <v>0.101537009620674</v>
      </c>
      <c r="I2249" s="3">
        <v>9.9731543090180397E-2</v>
      </c>
      <c r="J2249" s="3">
        <v>0.10284157519640399</v>
      </c>
      <c r="K2249" s="3">
        <v>0.10127164005478199</v>
      </c>
      <c r="L2249" s="3">
        <v>0.10480761355677</v>
      </c>
      <c r="M2249" s="3">
        <v>0.106909197145446</v>
      </c>
      <c r="N2249" s="3">
        <v>0.106925757325274</v>
      </c>
      <c r="O2249" s="3">
        <v>0.10682704329446301</v>
      </c>
      <c r="P2249" s="3">
        <v>0.10838916239412601</v>
      </c>
    </row>
    <row r="2250" spans="1:16" x14ac:dyDescent="0.45">
      <c r="A2250" s="7" t="s">
        <v>82</v>
      </c>
      <c r="B2250" s="7" t="s">
        <v>21</v>
      </c>
      <c r="C2250" s="7" t="s">
        <v>15</v>
      </c>
      <c r="D2250" s="7" t="s">
        <v>9</v>
      </c>
      <c r="E2250" s="7" t="s">
        <v>32</v>
      </c>
      <c r="F2250" s="3">
        <v>0</v>
      </c>
      <c r="G2250" s="3">
        <v>1.9202770421125601E-5</v>
      </c>
      <c r="H2250" s="3">
        <v>1.9202770421125601E-5</v>
      </c>
      <c r="I2250" s="3">
        <v>-2.8018294379804403E-4</v>
      </c>
      <c r="J2250" s="3">
        <v>-1.3139637894939199E-3</v>
      </c>
      <c r="K2250" s="3">
        <v>-1.38388060274709E-3</v>
      </c>
      <c r="L2250" s="3">
        <v>-1.55291603282612E-3</v>
      </c>
      <c r="M2250" s="3">
        <v>-2.0810904592844402E-3</v>
      </c>
      <c r="N2250" s="3">
        <v>-1.18714872079906E-3</v>
      </c>
      <c r="O2250" s="3">
        <v>-7.1398334963108901E-4</v>
      </c>
      <c r="P2250" s="3">
        <v>-1.49662738878251E-3</v>
      </c>
    </row>
    <row r="2251" spans="1:16" x14ac:dyDescent="0.45">
      <c r="A2251" s="7" t="s">
        <v>82</v>
      </c>
      <c r="B2251" s="7" t="s">
        <v>21</v>
      </c>
      <c r="C2251" s="7" t="s">
        <v>15</v>
      </c>
      <c r="D2251" s="7" t="s">
        <v>10</v>
      </c>
      <c r="E2251" s="7" t="s">
        <v>32</v>
      </c>
      <c r="F2251" s="3">
        <v>0</v>
      </c>
      <c r="G2251" s="3">
        <v>-1.5329073884071099E-4</v>
      </c>
      <c r="H2251" s="3">
        <v>-1.5329073884071099E-4</v>
      </c>
      <c r="I2251" s="3">
        <v>-2.3242098323761299E-4</v>
      </c>
      <c r="J2251" s="3">
        <v>-4.29825861455096E-4</v>
      </c>
      <c r="K2251" s="3">
        <v>-2.3268971589013299E-4</v>
      </c>
      <c r="L2251" s="3">
        <v>-5.9648904636999703E-6</v>
      </c>
      <c r="M2251" s="3">
        <v>1.13788715023141E-4</v>
      </c>
      <c r="N2251" s="3">
        <v>-5.2038022735954902E-4</v>
      </c>
      <c r="O2251" s="3">
        <v>-2.44140473905322E-4</v>
      </c>
      <c r="P2251" s="3">
        <v>-5.1117985428741901E-5</v>
      </c>
    </row>
    <row r="2252" spans="1:16" x14ac:dyDescent="0.45">
      <c r="A2252" s="7" t="s">
        <v>82</v>
      </c>
      <c r="B2252" s="7" t="s">
        <v>21</v>
      </c>
      <c r="C2252" s="7" t="s">
        <v>15</v>
      </c>
      <c r="D2252" s="7" t="s">
        <v>11</v>
      </c>
      <c r="E2252" s="7" t="s">
        <v>32</v>
      </c>
      <c r="F2252" s="3">
        <v>0</v>
      </c>
      <c r="G2252" s="3">
        <v>-1.38514025432163E-5</v>
      </c>
      <c r="H2252" s="3">
        <v>-1.38514025432163E-5</v>
      </c>
      <c r="I2252" s="3">
        <v>-2.3513689251969399E-4</v>
      </c>
      <c r="J2252" s="3">
        <v>-3.4212914403510003E-4</v>
      </c>
      <c r="K2252" s="3">
        <v>4.9775899310285099E-4</v>
      </c>
      <c r="L2252" s="3">
        <v>-1.48685870363399E-3</v>
      </c>
      <c r="M2252" s="3">
        <v>-2.03102880136373E-3</v>
      </c>
      <c r="N2252" s="3">
        <v>-2.3186694965357398E-3</v>
      </c>
      <c r="O2252" s="3">
        <v>-2.0658341616052599E-3</v>
      </c>
      <c r="P2252" s="3">
        <v>5.6847038553543804E-3</v>
      </c>
    </row>
    <row r="2253" spans="1:16" x14ac:dyDescent="0.45">
      <c r="A2253" s="7" t="s">
        <v>82</v>
      </c>
      <c r="B2253" s="7" t="s">
        <v>21</v>
      </c>
      <c r="C2253" s="7" t="s">
        <v>15</v>
      </c>
      <c r="D2253" s="7" t="s">
        <v>12</v>
      </c>
      <c r="E2253" s="7" t="s">
        <v>32</v>
      </c>
      <c r="F2253" s="3">
        <v>0</v>
      </c>
      <c r="G2253" s="3">
        <v>-1.01870429890516E-5</v>
      </c>
      <c r="H2253" s="3">
        <v>-1.01870429890516E-5</v>
      </c>
      <c r="I2253" s="3">
        <v>-2.7698165368603999E-3</v>
      </c>
      <c r="J2253" s="3">
        <v>-2.05142772802837E-3</v>
      </c>
      <c r="K2253" s="3">
        <v>-1.2314852152262999E-3</v>
      </c>
      <c r="L2253" s="3">
        <v>5.6562939547422199E-3</v>
      </c>
      <c r="M2253" s="3">
        <v>1.39529481583811E-2</v>
      </c>
      <c r="N2253" s="3">
        <v>2.84024923185714E-2</v>
      </c>
      <c r="O2253" s="3">
        <v>3.77071256346573E-2</v>
      </c>
      <c r="P2253" s="3">
        <v>4.1648617584145897E-2</v>
      </c>
    </row>
    <row r="2254" spans="1:16" x14ac:dyDescent="0.45">
      <c r="A2254" s="7" t="s">
        <v>82</v>
      </c>
      <c r="B2254" s="7" t="s">
        <v>21</v>
      </c>
      <c r="C2254" s="7" t="s">
        <v>15</v>
      </c>
      <c r="D2254" s="7" t="s">
        <v>13</v>
      </c>
      <c r="E2254" s="7" t="s">
        <v>32</v>
      </c>
      <c r="F2254" s="3">
        <v>0</v>
      </c>
      <c r="G2254" s="3">
        <v>-2.5939935090202701E-3</v>
      </c>
      <c r="H2254" s="3">
        <v>-2.5939935090202701E-3</v>
      </c>
      <c r="I2254" s="3">
        <v>-6.52845309452972E-3</v>
      </c>
      <c r="J2254" s="3">
        <v>4.1485955989338501E-3</v>
      </c>
      <c r="K2254" s="3">
        <v>2.3591124783828701E-2</v>
      </c>
      <c r="L2254" s="3">
        <v>3.97263991308347E-2</v>
      </c>
      <c r="M2254" s="3">
        <v>5.0549534499222698E-2</v>
      </c>
      <c r="N2254" s="3">
        <v>5.6462767539405899E-2</v>
      </c>
      <c r="O2254" s="3">
        <v>6.4089365771420798E-2</v>
      </c>
      <c r="P2254" s="3">
        <v>7.1919383866473202E-2</v>
      </c>
    </row>
    <row r="2255" spans="1:16" x14ac:dyDescent="0.45">
      <c r="A2255" s="7" t="s">
        <v>82</v>
      </c>
      <c r="B2255" s="7" t="s">
        <v>21</v>
      </c>
      <c r="C2255" s="7" t="s">
        <v>15</v>
      </c>
      <c r="D2255" s="7" t="s">
        <v>14</v>
      </c>
      <c r="E2255" s="7" t="s">
        <v>32</v>
      </c>
      <c r="F2255" s="3">
        <v>0</v>
      </c>
      <c r="G2255" s="3">
        <v>3.73713072282187E-2</v>
      </c>
      <c r="H2255" s="3">
        <v>3.73713072282187E-2</v>
      </c>
      <c r="I2255" s="3">
        <v>4.3342572875218997E-3</v>
      </c>
      <c r="J2255" s="3">
        <v>2.9023390204120599E-2</v>
      </c>
      <c r="K2255" s="3">
        <v>4.0959863473670401E-2</v>
      </c>
      <c r="L2255" s="3">
        <v>3.6542456444595903E-2</v>
      </c>
      <c r="M2255" s="3">
        <v>4.02544013474729E-2</v>
      </c>
      <c r="N2255" s="3">
        <v>4.6449537939543303E-2</v>
      </c>
      <c r="O2255" s="3">
        <v>4.8409792541754197E-2</v>
      </c>
      <c r="P2255" s="3">
        <v>4.1022858997767503E-2</v>
      </c>
    </row>
    <row r="2256" spans="1:16" x14ac:dyDescent="0.45">
      <c r="A2256" s="7" t="s">
        <v>82</v>
      </c>
      <c r="B2256" s="7" t="s">
        <v>21</v>
      </c>
      <c r="C2256" s="7" t="s">
        <v>16</v>
      </c>
      <c r="D2256" s="7" t="s">
        <v>7</v>
      </c>
      <c r="E2256" s="7" t="s">
        <v>32</v>
      </c>
      <c r="F2256" s="3">
        <v>0.13310206911813</v>
      </c>
      <c r="G2256" s="3">
        <v>4.8283209868082697E-2</v>
      </c>
      <c r="H2256" s="3">
        <v>4.8283209868082697E-2</v>
      </c>
      <c r="I2256" s="3">
        <v>4.9679200086268901E-2</v>
      </c>
      <c r="J2256" s="3">
        <v>4.9679200086268901E-2</v>
      </c>
      <c r="K2256" s="3">
        <v>5.1369615519192897E-2</v>
      </c>
      <c r="L2256" s="3">
        <v>4.9679200086268901E-2</v>
      </c>
      <c r="M2256" s="3">
        <v>4.9679200086268901E-2</v>
      </c>
      <c r="N2256" s="3">
        <v>4.9679200086268901E-2</v>
      </c>
      <c r="O2256" s="3">
        <v>4.9679200086268901E-2</v>
      </c>
      <c r="P2256" s="3">
        <v>4.9679200086268901E-2</v>
      </c>
    </row>
    <row r="2257" spans="1:16" x14ac:dyDescent="0.45">
      <c r="A2257" s="7" t="s">
        <v>82</v>
      </c>
      <c r="B2257" s="7" t="s">
        <v>21</v>
      </c>
      <c r="C2257" s="7" t="s">
        <v>16</v>
      </c>
      <c r="D2257" s="7" t="s">
        <v>9</v>
      </c>
      <c r="E2257" s="7" t="s">
        <v>32</v>
      </c>
      <c r="F2257" s="3">
        <v>0</v>
      </c>
      <c r="G2257" s="3">
        <v>0</v>
      </c>
      <c r="H2257" s="3">
        <v>0</v>
      </c>
      <c r="I2257" s="3">
        <v>0</v>
      </c>
      <c r="J2257" s="3">
        <v>1.75451088755772E-3</v>
      </c>
      <c r="K2257" s="3">
        <v>1.9978421768402499E-4</v>
      </c>
      <c r="L2257" s="3">
        <v>1.67175625274988E-3</v>
      </c>
      <c r="M2257" s="3">
        <v>1.53576087667616E-3</v>
      </c>
      <c r="N2257" s="3">
        <v>1.5681950026018601E-2</v>
      </c>
      <c r="O2257" s="3">
        <v>1.5678792778359901E-2</v>
      </c>
      <c r="P2257" s="3">
        <v>1.5678792778359901E-2</v>
      </c>
    </row>
    <row r="2258" spans="1:16" x14ac:dyDescent="0.45">
      <c r="A2258" s="7" t="s">
        <v>82</v>
      </c>
      <c r="B2258" s="7" t="s">
        <v>21</v>
      </c>
      <c r="C2258" s="7" t="s">
        <v>16</v>
      </c>
      <c r="D2258" s="7" t="s">
        <v>10</v>
      </c>
      <c r="E2258" s="7" t="s">
        <v>32</v>
      </c>
      <c r="F2258" s="3">
        <v>0</v>
      </c>
      <c r="G2258" s="3">
        <v>0</v>
      </c>
      <c r="H2258" s="3">
        <v>0</v>
      </c>
      <c r="I2258" s="3">
        <v>0</v>
      </c>
      <c r="J2258" s="3">
        <v>-8.2754634807842605E-5</v>
      </c>
      <c r="K2258" s="3">
        <v>1.60001660973687E-3</v>
      </c>
      <c r="L2258" s="3">
        <v>1.400703652561E-2</v>
      </c>
      <c r="M2258" s="3">
        <v>1.4143031901684E-2</v>
      </c>
      <c r="N2258" s="3">
        <v>-3.1572476587166101E-6</v>
      </c>
      <c r="O2258" s="3">
        <v>0</v>
      </c>
      <c r="P2258" s="3">
        <v>0</v>
      </c>
    </row>
    <row r="2259" spans="1:16" x14ac:dyDescent="0.45">
      <c r="A2259" s="7" t="s">
        <v>82</v>
      </c>
      <c r="B2259" s="7" t="s">
        <v>21</v>
      </c>
      <c r="C2259" s="7" t="s">
        <v>16</v>
      </c>
      <c r="D2259" s="7" t="s">
        <v>11</v>
      </c>
      <c r="E2259" s="7" t="s">
        <v>32</v>
      </c>
      <c r="F2259" s="3">
        <v>0</v>
      </c>
      <c r="G2259" s="3">
        <v>0</v>
      </c>
      <c r="H2259" s="3">
        <v>0</v>
      </c>
      <c r="I2259" s="3">
        <v>0</v>
      </c>
      <c r="J2259" s="3">
        <v>1.400703652561E-2</v>
      </c>
      <c r="K2259" s="3">
        <v>1.2188576518015E-2</v>
      </c>
      <c r="L2259" s="3">
        <v>0</v>
      </c>
      <c r="M2259" s="3">
        <v>-2.7755575615628899E-16</v>
      </c>
      <c r="N2259" s="3">
        <v>0</v>
      </c>
      <c r="O2259" s="3">
        <v>2.7755575615628899E-16</v>
      </c>
      <c r="P2259" s="3">
        <v>0</v>
      </c>
    </row>
    <row r="2260" spans="1:16" x14ac:dyDescent="0.45">
      <c r="A2260" s="7" t="s">
        <v>82</v>
      </c>
      <c r="B2260" s="7" t="s">
        <v>21</v>
      </c>
      <c r="C2260" s="7" t="s">
        <v>16</v>
      </c>
      <c r="D2260" s="7" t="s">
        <v>12</v>
      </c>
      <c r="E2260" s="7" t="s">
        <v>32</v>
      </c>
      <c r="F2260" s="3">
        <v>0</v>
      </c>
      <c r="G2260" s="3">
        <v>0</v>
      </c>
      <c r="H2260" s="3">
        <v>0</v>
      </c>
      <c r="I2260" s="3">
        <v>1.5681950026018601E-2</v>
      </c>
      <c r="J2260" s="3">
        <v>2.7755575615628899E-16</v>
      </c>
      <c r="K2260" s="3">
        <v>0</v>
      </c>
      <c r="L2260" s="3">
        <v>2.7755575615628899E-16</v>
      </c>
      <c r="M2260" s="3">
        <v>0</v>
      </c>
      <c r="N2260" s="3">
        <v>0</v>
      </c>
      <c r="O2260" s="3">
        <v>-2.7755575615628899E-16</v>
      </c>
      <c r="P2260" s="3">
        <v>2.7755575615628899E-16</v>
      </c>
    </row>
    <row r="2261" spans="1:16" x14ac:dyDescent="0.45">
      <c r="A2261" s="7" t="s">
        <v>82</v>
      </c>
      <c r="B2261" s="7" t="s">
        <v>21</v>
      </c>
      <c r="C2261" s="7" t="s">
        <v>16</v>
      </c>
      <c r="D2261" s="7" t="s">
        <v>13</v>
      </c>
      <c r="E2261" s="7" t="s">
        <v>32</v>
      </c>
      <c r="F2261" s="3">
        <v>0</v>
      </c>
      <c r="G2261" s="3">
        <v>0</v>
      </c>
      <c r="H2261" s="3">
        <v>0</v>
      </c>
      <c r="I2261" s="3">
        <v>-3.1572476587166101E-6</v>
      </c>
      <c r="J2261" s="3">
        <v>-2.7755575615628899E-16</v>
      </c>
      <c r="K2261" s="3">
        <v>2.7755575615628899E-16</v>
      </c>
      <c r="L2261" s="3">
        <v>0</v>
      </c>
      <c r="M2261" s="3">
        <v>0</v>
      </c>
      <c r="N2261" s="3">
        <v>2.7755575615628899E-16</v>
      </c>
      <c r="O2261" s="3">
        <v>0</v>
      </c>
      <c r="P2261" s="3">
        <v>-2.7755575615628899E-16</v>
      </c>
    </row>
    <row r="2262" spans="1:16" x14ac:dyDescent="0.45">
      <c r="A2262" s="7" t="s">
        <v>82</v>
      </c>
      <c r="B2262" s="7" t="s">
        <v>21</v>
      </c>
      <c r="C2262" s="7" t="s">
        <v>16</v>
      </c>
      <c r="D2262" s="7" t="s">
        <v>14</v>
      </c>
      <c r="E2262" s="7" t="s">
        <v>32</v>
      </c>
      <c r="F2262" s="3">
        <v>0</v>
      </c>
      <c r="G2262" s="3">
        <v>1.6207041053360498E-2</v>
      </c>
      <c r="H2262" s="3">
        <v>1.6207041053360498E-2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-2.7755575615628899E-16</v>
      </c>
      <c r="O2262" s="3">
        <v>2.7755575615628899E-16</v>
      </c>
      <c r="P2262" s="3">
        <v>0</v>
      </c>
    </row>
    <row r="2263" spans="1:16" x14ac:dyDescent="0.45">
      <c r="A2263" s="7" t="s">
        <v>82</v>
      </c>
      <c r="B2263" s="7" t="s">
        <v>21</v>
      </c>
      <c r="C2263" s="7" t="s">
        <v>17</v>
      </c>
      <c r="D2263" s="7" t="s">
        <v>7</v>
      </c>
      <c r="E2263" s="7" t="s">
        <v>32</v>
      </c>
      <c r="F2263" s="3">
        <v>0</v>
      </c>
      <c r="G2263" s="3">
        <v>0</v>
      </c>
      <c r="H2263" s="3">
        <v>0</v>
      </c>
      <c r="I2263" s="3">
        <v>0</v>
      </c>
      <c r="J2263" s="3">
        <v>2.1807156653548898E-3</v>
      </c>
      <c r="K2263" s="3">
        <v>3.9292996014814703E-3</v>
      </c>
      <c r="L2263" s="3">
        <v>2.24173618292365E-3</v>
      </c>
      <c r="M2263" s="3">
        <v>3.8894566351327297E-5</v>
      </c>
      <c r="N2263" s="3">
        <v>0</v>
      </c>
      <c r="O2263" s="3">
        <v>0</v>
      </c>
      <c r="P2263" s="3">
        <v>0</v>
      </c>
    </row>
    <row r="2264" spans="1:16" x14ac:dyDescent="0.45">
      <c r="A2264" s="7" t="s">
        <v>82</v>
      </c>
      <c r="B2264" s="7" t="s">
        <v>21</v>
      </c>
      <c r="C2264" s="7" t="s">
        <v>17</v>
      </c>
      <c r="D2264" s="7" t="s">
        <v>9</v>
      </c>
      <c r="E2264" s="7" t="s">
        <v>32</v>
      </c>
      <c r="F2264" s="3">
        <v>0</v>
      </c>
      <c r="G2264" s="3">
        <v>0</v>
      </c>
      <c r="H2264" s="3">
        <v>0</v>
      </c>
      <c r="I2264" s="3">
        <v>6.3845442979001802E-4</v>
      </c>
      <c r="J2264" s="3">
        <v>9.8209285908933797E-5</v>
      </c>
      <c r="K2264" s="3">
        <v>1.9983562612621401E-3</v>
      </c>
      <c r="L2264" s="3">
        <v>1.1258299093546301E-3</v>
      </c>
      <c r="M2264" s="3">
        <v>2.2400303849124999E-3</v>
      </c>
      <c r="N2264" s="3">
        <v>3.74803679680858E-2</v>
      </c>
      <c r="O2264" s="3">
        <v>6.0499867219087101E-2</v>
      </c>
      <c r="P2264" s="3">
        <v>6.0383270595320102E-2</v>
      </c>
    </row>
    <row r="2265" spans="1:16" x14ac:dyDescent="0.45">
      <c r="A2265" s="7" t="s">
        <v>82</v>
      </c>
      <c r="B2265" s="7" t="s">
        <v>21</v>
      </c>
      <c r="C2265" s="7" t="s">
        <v>17</v>
      </c>
      <c r="D2265" s="7" t="s">
        <v>10</v>
      </c>
      <c r="E2265" s="7" t="s">
        <v>32</v>
      </c>
      <c r="F2265" s="3">
        <v>0</v>
      </c>
      <c r="G2265" s="3">
        <v>0</v>
      </c>
      <c r="H2265" s="3">
        <v>0</v>
      </c>
      <c r="I2265" s="3">
        <v>7.51741595788071E-5</v>
      </c>
      <c r="J2265" s="3">
        <v>1.32785408124361E-3</v>
      </c>
      <c r="K2265" s="3">
        <v>-3.3468727248832402E-8</v>
      </c>
      <c r="L2265" s="3">
        <v>5.6454447887644199E-2</v>
      </c>
      <c r="M2265" s="3">
        <v>5.8388087882164597E-2</v>
      </c>
      <c r="N2265" s="3">
        <v>2.54559814487825E-2</v>
      </c>
      <c r="O2265" s="3">
        <v>3.4768202929740199E-3</v>
      </c>
      <c r="P2265" s="3">
        <v>4.0205984868184504E-3</v>
      </c>
    </row>
    <row r="2266" spans="1:16" x14ac:dyDescent="0.45">
      <c r="A2266" s="7" t="s">
        <v>82</v>
      </c>
      <c r="B2266" s="7" t="s">
        <v>21</v>
      </c>
      <c r="C2266" s="7" t="s">
        <v>17</v>
      </c>
      <c r="D2266" s="7" t="s">
        <v>11</v>
      </c>
      <c r="E2266" s="7" t="s">
        <v>32</v>
      </c>
      <c r="F2266" s="3">
        <v>0</v>
      </c>
      <c r="G2266" s="3">
        <v>0</v>
      </c>
      <c r="H2266" s="3">
        <v>0</v>
      </c>
      <c r="I2266" s="3">
        <v>5.0917623460066102E-4</v>
      </c>
      <c r="J2266" s="3">
        <v>3.97502124463825E-2</v>
      </c>
      <c r="K2266" s="3">
        <v>5.4848991300837299E-2</v>
      </c>
      <c r="L2266" s="3">
        <v>3.4141655369118902E-3</v>
      </c>
      <c r="M2266" s="3">
        <v>5.7572132964676202E-3</v>
      </c>
      <c r="N2266" s="3">
        <v>7.8681926815738507E-3</v>
      </c>
      <c r="O2266" s="3">
        <v>2.6198292234392399E-2</v>
      </c>
      <c r="P2266" s="3">
        <v>3.3147013388028897E-2</v>
      </c>
    </row>
    <row r="2267" spans="1:16" x14ac:dyDescent="0.45">
      <c r="A2267" s="7" t="s">
        <v>82</v>
      </c>
      <c r="B2267" s="7" t="s">
        <v>21</v>
      </c>
      <c r="C2267" s="7" t="s">
        <v>17</v>
      </c>
      <c r="D2267" s="7" t="s">
        <v>12</v>
      </c>
      <c r="E2267" s="7" t="s">
        <v>32</v>
      </c>
      <c r="F2267" s="3">
        <v>0</v>
      </c>
      <c r="G2267" s="3">
        <v>0</v>
      </c>
      <c r="H2267" s="3">
        <v>0</v>
      </c>
      <c r="I2267" s="3">
        <v>2.8937433506611199E-2</v>
      </c>
      <c r="J2267" s="3">
        <v>2.1174350125352299E-2</v>
      </c>
      <c r="K2267" s="3">
        <v>2.04057330344465E-2</v>
      </c>
      <c r="L2267" s="3">
        <v>3.21771900844268E-2</v>
      </c>
      <c r="M2267" s="3">
        <v>3.6343414856580901E-2</v>
      </c>
      <c r="N2267" s="3">
        <v>4.5614758043593502E-2</v>
      </c>
      <c r="O2267" s="3">
        <v>4.5473292180730401E-2</v>
      </c>
      <c r="P2267" s="3">
        <v>5.7112371761680603E-2</v>
      </c>
    </row>
    <row r="2268" spans="1:16" x14ac:dyDescent="0.45">
      <c r="A2268" s="7" t="s">
        <v>82</v>
      </c>
      <c r="B2268" s="7" t="s">
        <v>21</v>
      </c>
      <c r="C2268" s="7" t="s">
        <v>17</v>
      </c>
      <c r="D2268" s="7" t="s">
        <v>13</v>
      </c>
      <c r="E2268" s="7" t="s">
        <v>32</v>
      </c>
      <c r="F2268" s="3">
        <v>0</v>
      </c>
      <c r="G2268" s="3">
        <v>0</v>
      </c>
      <c r="H2268" s="3">
        <v>0</v>
      </c>
      <c r="I2268" s="3">
        <v>3.9592328808025899E-2</v>
      </c>
      <c r="J2268" s="3">
        <v>3.3976050912925701E-2</v>
      </c>
      <c r="K2268" s="3">
        <v>3.8766478998726102E-2</v>
      </c>
      <c r="L2268" s="3">
        <v>5.7457277161779501E-2</v>
      </c>
      <c r="M2268" s="3">
        <v>9.17145990538943E-2</v>
      </c>
      <c r="N2268" s="3">
        <v>0.125775617002681</v>
      </c>
      <c r="O2268" s="3">
        <v>0.157179852974903</v>
      </c>
      <c r="P2268" s="3">
        <v>0.194872846615356</v>
      </c>
    </row>
    <row r="2269" spans="1:16" x14ac:dyDescent="0.45">
      <c r="A2269" s="7" t="s">
        <v>82</v>
      </c>
      <c r="B2269" s="7" t="s">
        <v>21</v>
      </c>
      <c r="C2269" s="7" t="s">
        <v>17</v>
      </c>
      <c r="D2269" s="7" t="s">
        <v>14</v>
      </c>
      <c r="E2269" s="7" t="s">
        <v>32</v>
      </c>
      <c r="F2269" s="3">
        <v>0</v>
      </c>
      <c r="G2269" s="3">
        <v>7.9556882415435806E-2</v>
      </c>
      <c r="H2269" s="3">
        <v>7.9556882415435806E-2</v>
      </c>
      <c r="I2269" s="3">
        <v>2.4929603920265199E-2</v>
      </c>
      <c r="J2269" s="3">
        <v>3.8834020875572701E-2</v>
      </c>
      <c r="K2269" s="3">
        <v>7.8654998965433903E-2</v>
      </c>
      <c r="L2269" s="3">
        <v>0.118334154253178</v>
      </c>
      <c r="M2269" s="3">
        <v>0.15528860545520101</v>
      </c>
      <c r="N2269" s="3">
        <v>0.18606481494442301</v>
      </c>
      <c r="O2269" s="3">
        <v>0.20304342382735999</v>
      </c>
      <c r="P2269" s="3">
        <v>0.188585600938808</v>
      </c>
    </row>
    <row r="2270" spans="1:16" x14ac:dyDescent="0.45">
      <c r="A2270" s="7" t="s">
        <v>82</v>
      </c>
      <c r="B2270" s="7" t="s">
        <v>21</v>
      </c>
      <c r="C2270" s="7" t="s">
        <v>18</v>
      </c>
      <c r="D2270" s="7" t="s">
        <v>7</v>
      </c>
      <c r="E2270" s="7" t="s">
        <v>32</v>
      </c>
      <c r="F2270" s="3">
        <v>1.65415323965812E-2</v>
      </c>
      <c r="G2270" s="3">
        <v>1.09832492215007E-4</v>
      </c>
      <c r="H2270" s="3">
        <v>1.09832492215007E-4</v>
      </c>
      <c r="I2270" s="3">
        <v>7.3221661476666094E-5</v>
      </c>
      <c r="J2270" s="3">
        <v>3.6610830738348802E-5</v>
      </c>
      <c r="K2270" s="3">
        <v>2.3455636295441201E-17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</row>
    <row r="2271" spans="1:16" x14ac:dyDescent="0.45">
      <c r="A2271" s="7" t="s">
        <v>82</v>
      </c>
      <c r="B2271" s="7" t="s">
        <v>21</v>
      </c>
      <c r="C2271" s="7" t="s">
        <v>18</v>
      </c>
      <c r="D2271" s="7" t="s">
        <v>9</v>
      </c>
      <c r="E2271" s="7" t="s">
        <v>32</v>
      </c>
      <c r="F2271" s="3">
        <v>0</v>
      </c>
      <c r="G2271" s="3">
        <v>0</v>
      </c>
      <c r="H2271" s="3">
        <v>0</v>
      </c>
      <c r="I2271" s="3">
        <v>1.5761589082507999E-17</v>
      </c>
      <c r="J2271" s="3">
        <v>7.6097439981326296E-18</v>
      </c>
      <c r="K2271" s="3">
        <v>-1.5637090863627499E-17</v>
      </c>
      <c r="L2271" s="3">
        <v>0</v>
      </c>
      <c r="M2271" s="3">
        <v>0</v>
      </c>
      <c r="N2271" s="3">
        <v>1.5637090863627499E-17</v>
      </c>
      <c r="O2271" s="3">
        <v>0</v>
      </c>
      <c r="P2271" s="3">
        <v>0</v>
      </c>
    </row>
    <row r="2272" spans="1:16" x14ac:dyDescent="0.45">
      <c r="A2272" s="7" t="s">
        <v>82</v>
      </c>
      <c r="B2272" s="7" t="s">
        <v>21</v>
      </c>
      <c r="C2272" s="7" t="s">
        <v>18</v>
      </c>
      <c r="D2272" s="7" t="s">
        <v>10</v>
      </c>
      <c r="E2272" s="7" t="s">
        <v>32</v>
      </c>
      <c r="F2272" s="3">
        <v>0</v>
      </c>
      <c r="G2272" s="3">
        <v>0</v>
      </c>
      <c r="H2272" s="3">
        <v>0</v>
      </c>
      <c r="I2272" s="3">
        <v>7.6165202617106702E-18</v>
      </c>
      <c r="J2272" s="3">
        <v>-1.5497314802964701E-17</v>
      </c>
      <c r="K2272" s="3">
        <v>-7.8185454318137405E-18</v>
      </c>
      <c r="L2272" s="3">
        <v>0</v>
      </c>
      <c r="M2272" s="3">
        <v>5.4729818022696099E-17</v>
      </c>
      <c r="N2272" s="3">
        <v>1.5637090863627601E-17</v>
      </c>
      <c r="O2272" s="3">
        <v>3.9092727159068799E-17</v>
      </c>
      <c r="P2272" s="3">
        <v>0</v>
      </c>
    </row>
    <row r="2273" spans="1:16" x14ac:dyDescent="0.45">
      <c r="A2273" s="7" t="s">
        <v>82</v>
      </c>
      <c r="B2273" s="7" t="s">
        <v>21</v>
      </c>
      <c r="C2273" s="7" t="s">
        <v>18</v>
      </c>
      <c r="D2273" s="7" t="s">
        <v>11</v>
      </c>
      <c r="E2273" s="7" t="s">
        <v>32</v>
      </c>
      <c r="F2273" s="3">
        <v>0</v>
      </c>
      <c r="G2273" s="3">
        <v>-2.3378109344218699E-17</v>
      </c>
      <c r="H2273" s="3">
        <v>-2.3378109344218699E-17</v>
      </c>
      <c r="I2273" s="3">
        <v>-7.6165202617106702E-18</v>
      </c>
      <c r="J2273" s="3">
        <v>-7.8807945412540104E-18</v>
      </c>
      <c r="K2273" s="3">
        <v>0</v>
      </c>
      <c r="L2273" s="3">
        <v>1.5637090863627499E-17</v>
      </c>
      <c r="M2273" s="3">
        <v>-2.3455636295441001E-17</v>
      </c>
      <c r="N2273" s="3">
        <v>-1.5637090863627601E-17</v>
      </c>
      <c r="O2273" s="3">
        <v>-3.9092727159068799E-17</v>
      </c>
      <c r="P2273" s="3">
        <v>1.0164109061357899E-16</v>
      </c>
    </row>
    <row r="2274" spans="1:16" x14ac:dyDescent="0.45">
      <c r="A2274" s="7" t="s">
        <v>82</v>
      </c>
      <c r="B2274" s="7" t="s">
        <v>21</v>
      </c>
      <c r="C2274" s="7" t="s">
        <v>18</v>
      </c>
      <c r="D2274" s="7" t="s">
        <v>12</v>
      </c>
      <c r="E2274" s="7" t="s">
        <v>32</v>
      </c>
      <c r="F2274" s="3">
        <v>0</v>
      </c>
      <c r="G2274" s="3">
        <v>0</v>
      </c>
      <c r="H2274" s="3">
        <v>0</v>
      </c>
      <c r="I2274" s="3">
        <v>-7.8875708048320401E-18</v>
      </c>
      <c r="J2274" s="3">
        <v>-5.4650565756847501E-17</v>
      </c>
      <c r="K2274" s="3">
        <v>0</v>
      </c>
      <c r="L2274" s="3">
        <v>-1.5637090863627499E-17</v>
      </c>
      <c r="M2274" s="3">
        <v>-3.1274181727255097E-17</v>
      </c>
      <c r="N2274" s="3">
        <v>0</v>
      </c>
      <c r="O2274" s="3">
        <v>0</v>
      </c>
      <c r="P2274" s="3">
        <v>-1.0164109061357899E-16</v>
      </c>
    </row>
    <row r="2275" spans="1:16" x14ac:dyDescent="0.45">
      <c r="A2275" s="7" t="s">
        <v>82</v>
      </c>
      <c r="B2275" s="7" t="s">
        <v>21</v>
      </c>
      <c r="C2275" s="7" t="s">
        <v>18</v>
      </c>
      <c r="D2275" s="7" t="s">
        <v>13</v>
      </c>
      <c r="E2275" s="7" t="s">
        <v>32</v>
      </c>
      <c r="F2275" s="3">
        <v>0</v>
      </c>
      <c r="G2275" s="3">
        <v>-7.8875708048320401E-18</v>
      </c>
      <c r="H2275" s="3">
        <v>-7.8875708048320401E-18</v>
      </c>
      <c r="I2275" s="3">
        <v>3.1279232676206803E-17</v>
      </c>
      <c r="J2275" s="3">
        <v>1.7183249181179599E-16</v>
      </c>
      <c r="K2275" s="3">
        <v>0</v>
      </c>
      <c r="L2275" s="3">
        <v>2.42374908386226E-16</v>
      </c>
      <c r="M2275" s="3">
        <v>1.2509672690902E-16</v>
      </c>
      <c r="N2275" s="3">
        <v>-1.5637090863627499E-17</v>
      </c>
      <c r="O2275" s="3">
        <v>3.1274181727255097E-17</v>
      </c>
      <c r="P2275" s="3">
        <v>7.97491634045002E-16</v>
      </c>
    </row>
    <row r="2276" spans="1:16" x14ac:dyDescent="0.45">
      <c r="A2276" s="7" t="s">
        <v>82</v>
      </c>
      <c r="B2276" s="7" t="s">
        <v>21</v>
      </c>
      <c r="C2276" s="7" t="s">
        <v>18</v>
      </c>
      <c r="D2276" s="7" t="s">
        <v>14</v>
      </c>
      <c r="E2276" s="7" t="s">
        <v>32</v>
      </c>
      <c r="F2276" s="3">
        <v>0</v>
      </c>
      <c r="G2276" s="3">
        <v>-1.5775141609664099E-17</v>
      </c>
      <c r="H2276" s="3">
        <v>-1.5775141609664099E-17</v>
      </c>
      <c r="I2276" s="3">
        <v>-3.1279232676206803E-17</v>
      </c>
      <c r="J2276" s="3">
        <v>-1.4056681166274599E-16</v>
      </c>
      <c r="K2276" s="3">
        <v>0</v>
      </c>
      <c r="L2276" s="3">
        <v>4.69112725908826E-17</v>
      </c>
      <c r="M2276" s="3">
        <v>-7.8185454318137697E-17</v>
      </c>
      <c r="N2276" s="3">
        <v>0</v>
      </c>
      <c r="O2276" s="3">
        <v>3.1274181727254802E-17</v>
      </c>
      <c r="P2276" s="3">
        <v>-7.11487634295051E-16</v>
      </c>
    </row>
    <row r="2277" spans="1:16" x14ac:dyDescent="0.45">
      <c r="A2277" s="7" t="s">
        <v>82</v>
      </c>
      <c r="B2277" s="7" t="s">
        <v>21</v>
      </c>
      <c r="C2277" s="7" t="s">
        <v>19</v>
      </c>
      <c r="D2277" s="7" t="s">
        <v>12</v>
      </c>
      <c r="E2277" s="7" t="s">
        <v>32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7.7007871660431798E-3</v>
      </c>
      <c r="N2277" s="3">
        <v>2.5439696565787501E-2</v>
      </c>
      <c r="O2277" s="3">
        <v>6.6276904692852301E-2</v>
      </c>
      <c r="P2277" s="3">
        <v>8.7677517681412798E-2</v>
      </c>
    </row>
    <row r="2278" spans="1:16" x14ac:dyDescent="0.45">
      <c r="A2278" s="7" t="s">
        <v>82</v>
      </c>
      <c r="B2278" s="7" t="s">
        <v>21</v>
      </c>
      <c r="C2278" s="7" t="s">
        <v>19</v>
      </c>
      <c r="D2278" s="7" t="s">
        <v>13</v>
      </c>
      <c r="E2278" s="7" t="s">
        <v>32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2.1897347874119601E-2</v>
      </c>
      <c r="L2278" s="3">
        <v>7.2695812632471699E-2</v>
      </c>
      <c r="M2278" s="3">
        <v>0.15084025490255801</v>
      </c>
      <c r="N2278" s="3">
        <v>0.24010865555667199</v>
      </c>
      <c r="O2278" s="3">
        <v>0.31961062171575899</v>
      </c>
      <c r="P2278" s="3">
        <v>0.41602438674627901</v>
      </c>
    </row>
    <row r="2279" spans="1:16" x14ac:dyDescent="0.45">
      <c r="A2279" s="7" t="s">
        <v>82</v>
      </c>
      <c r="B2279" s="7" t="s">
        <v>21</v>
      </c>
      <c r="C2279" s="7" t="s">
        <v>19</v>
      </c>
      <c r="D2279" s="7" t="s">
        <v>14</v>
      </c>
      <c r="E2279" s="7" t="s">
        <v>32</v>
      </c>
      <c r="F2279" s="3">
        <v>0</v>
      </c>
      <c r="G2279" s="3">
        <v>0</v>
      </c>
      <c r="H2279" s="3">
        <v>0</v>
      </c>
      <c r="I2279" s="3">
        <v>0</v>
      </c>
      <c r="J2279" s="3">
        <v>4.9156296283378399E-2</v>
      </c>
      <c r="K2279" s="3">
        <v>0.135129457874441</v>
      </c>
      <c r="L2279" s="3">
        <v>0.268509699860914</v>
      </c>
      <c r="M2279" s="3">
        <v>0.37486507181967699</v>
      </c>
      <c r="N2279" s="3">
        <v>0.44837198375916498</v>
      </c>
      <c r="O2279" s="3">
        <v>0.480872372662423</v>
      </c>
      <c r="P2279" s="3">
        <v>0.44635557739081</v>
      </c>
    </row>
    <row r="2280" spans="1:16" x14ac:dyDescent="0.45">
      <c r="A2280" s="7" t="s">
        <v>83</v>
      </c>
      <c r="B2280" s="7" t="s">
        <v>29</v>
      </c>
      <c r="C2280" s="7" t="s">
        <v>6</v>
      </c>
      <c r="D2280" s="7" t="s">
        <v>7</v>
      </c>
      <c r="E2280" s="7" t="s">
        <v>32</v>
      </c>
      <c r="F2280" s="3">
        <v>0</v>
      </c>
      <c r="G2280" s="3">
        <v>0</v>
      </c>
      <c r="H2280" s="3">
        <v>0</v>
      </c>
      <c r="I2280" s="3">
        <v>2.20581629627478E-4</v>
      </c>
      <c r="J2280" s="3">
        <v>9.98978975189347E-4</v>
      </c>
      <c r="K2280" s="3">
        <v>1.8856813476997899E-3</v>
      </c>
      <c r="L2280" s="3">
        <v>1.19976961402095E-4</v>
      </c>
      <c r="M2280" s="3">
        <v>0</v>
      </c>
      <c r="N2280" s="3">
        <v>0</v>
      </c>
      <c r="O2280" s="3">
        <v>0</v>
      </c>
      <c r="P2280" s="3">
        <v>0</v>
      </c>
    </row>
    <row r="2281" spans="1:16" x14ac:dyDescent="0.45">
      <c r="A2281" s="7" t="s">
        <v>83</v>
      </c>
      <c r="B2281" s="7" t="s">
        <v>29</v>
      </c>
      <c r="C2281" s="7" t="s">
        <v>6</v>
      </c>
      <c r="D2281" s="7" t="s">
        <v>9</v>
      </c>
      <c r="E2281" s="7" t="s">
        <v>32</v>
      </c>
      <c r="F2281" s="3">
        <v>0</v>
      </c>
      <c r="G2281" s="3">
        <v>0</v>
      </c>
      <c r="H2281" s="3">
        <v>0</v>
      </c>
      <c r="I2281" s="3">
        <v>4.6902058491442202E-4</v>
      </c>
      <c r="J2281" s="3">
        <v>6.4148493744298901E-4</v>
      </c>
      <c r="K2281" s="3">
        <v>1.11849787656354E-3</v>
      </c>
      <c r="L2281" s="3">
        <v>1.3295103125157499E-3</v>
      </c>
      <c r="M2281" s="3">
        <v>1.37275815192093E-3</v>
      </c>
      <c r="N2281" s="3">
        <v>1.34545390636077E-3</v>
      </c>
      <c r="O2281" s="3">
        <v>1.34378565558169E-3</v>
      </c>
      <c r="P2281" s="3">
        <v>1.34378565558169E-3</v>
      </c>
    </row>
    <row r="2282" spans="1:16" x14ac:dyDescent="0.45">
      <c r="A2282" s="7" t="s">
        <v>83</v>
      </c>
      <c r="B2282" s="7" t="s">
        <v>29</v>
      </c>
      <c r="C2282" s="7" t="s">
        <v>6</v>
      </c>
      <c r="D2282" s="7" t="s">
        <v>10</v>
      </c>
      <c r="E2282" s="7" t="s">
        <v>32</v>
      </c>
      <c r="F2282" s="3">
        <v>0</v>
      </c>
      <c r="G2282" s="3">
        <v>0</v>
      </c>
      <c r="H2282" s="3">
        <v>0</v>
      </c>
      <c r="I2282" s="3">
        <v>2.13305290478365E-4</v>
      </c>
      <c r="J2282" s="3">
        <v>2.2180591514076801E-4</v>
      </c>
      <c r="K2282" s="3">
        <v>8.2627513077004899E-4</v>
      </c>
      <c r="L2282" s="3">
        <v>3.4193279341866598E-4</v>
      </c>
      <c r="M2282" s="3">
        <v>3.7357875636070899E-4</v>
      </c>
      <c r="N2282" s="3">
        <v>5.9513579232335799E-3</v>
      </c>
      <c r="O2282" s="3">
        <v>9.7867103237057294E-3</v>
      </c>
      <c r="P2282" s="3">
        <v>2.3259229336899601E-2</v>
      </c>
    </row>
    <row r="2283" spans="1:16" x14ac:dyDescent="0.45">
      <c r="A2283" s="7" t="s">
        <v>83</v>
      </c>
      <c r="B2283" s="7" t="s">
        <v>29</v>
      </c>
      <c r="C2283" s="7" t="s">
        <v>6</v>
      </c>
      <c r="D2283" s="7" t="s">
        <v>11</v>
      </c>
      <c r="E2283" s="7" t="s">
        <v>32</v>
      </c>
      <c r="F2283" s="3">
        <v>0</v>
      </c>
      <c r="G2283" s="3">
        <v>0</v>
      </c>
      <c r="H2283" s="3">
        <v>0</v>
      </c>
      <c r="I2283" s="3">
        <v>3.7527133132239101E-4</v>
      </c>
      <c r="J2283" s="3">
        <v>1.90315881656225E-3</v>
      </c>
      <c r="K2283" s="3">
        <v>1.65739215941619E-3</v>
      </c>
      <c r="L2283" s="3">
        <v>7.6895496730680097E-3</v>
      </c>
      <c r="M2283" s="3">
        <v>2.6085560925486299E-2</v>
      </c>
      <c r="N2283" s="3">
        <v>3.3257154925717201E-2</v>
      </c>
      <c r="O2283" s="3">
        <v>4.4547774462076403E-2</v>
      </c>
      <c r="P2283" s="3">
        <v>7.6491135838110694E-2</v>
      </c>
    </row>
    <row r="2284" spans="1:16" x14ac:dyDescent="0.45">
      <c r="A2284" s="7" t="s">
        <v>83</v>
      </c>
      <c r="B2284" s="7" t="s">
        <v>29</v>
      </c>
      <c r="C2284" s="7" t="s">
        <v>6</v>
      </c>
      <c r="D2284" s="7" t="s">
        <v>12</v>
      </c>
      <c r="E2284" s="7" t="s">
        <v>32</v>
      </c>
      <c r="F2284" s="3">
        <v>0</v>
      </c>
      <c r="G2284" s="3">
        <v>0</v>
      </c>
      <c r="H2284" s="3">
        <v>0</v>
      </c>
      <c r="I2284" s="3">
        <v>3.6309825317169499E-4</v>
      </c>
      <c r="J2284" s="3">
        <v>9.0821314873617207E-3</v>
      </c>
      <c r="K2284" s="3">
        <v>3.1816780103209402E-2</v>
      </c>
      <c r="L2284" s="3">
        <v>4.4887165453190499E-2</v>
      </c>
      <c r="M2284" s="3">
        <v>8.2945269875960806E-2</v>
      </c>
      <c r="N2284" s="3">
        <v>0.13046470366895899</v>
      </c>
      <c r="O2284" s="3">
        <v>0.17407205482212401</v>
      </c>
      <c r="P2284" s="3">
        <v>0.182584193489158</v>
      </c>
    </row>
    <row r="2285" spans="1:16" x14ac:dyDescent="0.45">
      <c r="A2285" s="7" t="s">
        <v>83</v>
      </c>
      <c r="B2285" s="7" t="s">
        <v>29</v>
      </c>
      <c r="C2285" s="7" t="s">
        <v>6</v>
      </c>
      <c r="D2285" s="7" t="s">
        <v>13</v>
      </c>
      <c r="E2285" s="7" t="s">
        <v>32</v>
      </c>
      <c r="F2285" s="3">
        <v>0</v>
      </c>
      <c r="G2285" s="3">
        <v>7.9542757036656905E-5</v>
      </c>
      <c r="H2285" s="3">
        <v>7.9542757036656905E-5</v>
      </c>
      <c r="I2285" s="3">
        <v>2.3028051594276799E-2</v>
      </c>
      <c r="J2285" s="3">
        <v>8.7077314997899294E-2</v>
      </c>
      <c r="K2285" s="3">
        <v>0.13845662160054201</v>
      </c>
      <c r="L2285" s="3">
        <v>0.18814736657737299</v>
      </c>
      <c r="M2285" s="3">
        <v>0.195167785243023</v>
      </c>
      <c r="N2285" s="3">
        <v>0.19617696745725399</v>
      </c>
      <c r="O2285" s="3">
        <v>0.19774701137648801</v>
      </c>
      <c r="P2285" s="3">
        <v>0.20843881786843499</v>
      </c>
    </row>
    <row r="2286" spans="1:16" x14ac:dyDescent="0.45">
      <c r="A2286" s="7" t="s">
        <v>83</v>
      </c>
      <c r="B2286" s="7" t="s">
        <v>29</v>
      </c>
      <c r="C2286" s="7" t="s">
        <v>6</v>
      </c>
      <c r="D2286" s="7" t="s">
        <v>14</v>
      </c>
      <c r="E2286" s="7" t="s">
        <v>32</v>
      </c>
      <c r="F2286" s="3">
        <v>0</v>
      </c>
      <c r="G2286" s="3">
        <v>3.0120275375648299E-3</v>
      </c>
      <c r="H2286" s="3">
        <v>3.0120275375648299E-3</v>
      </c>
      <c r="I2286" s="3">
        <v>6.0905751009855902E-2</v>
      </c>
      <c r="J2286" s="3">
        <v>6.4580728845547899E-2</v>
      </c>
      <c r="K2286" s="3">
        <v>7.2548345981338497E-2</v>
      </c>
      <c r="L2286" s="3">
        <v>9.6191788397477496E-2</v>
      </c>
      <c r="M2286" s="3">
        <v>0.12687774565554899</v>
      </c>
      <c r="N2286" s="3">
        <v>0.16328391698223299</v>
      </c>
      <c r="O2286" s="3">
        <v>0.19832075051888401</v>
      </c>
      <c r="P2286" s="3">
        <v>0.2144465364207</v>
      </c>
    </row>
    <row r="2287" spans="1:16" x14ac:dyDescent="0.45">
      <c r="A2287" s="7" t="s">
        <v>83</v>
      </c>
      <c r="B2287" s="7" t="s">
        <v>29</v>
      </c>
      <c r="C2287" s="7" t="s">
        <v>15</v>
      </c>
      <c r="D2287" s="7" t="s">
        <v>7</v>
      </c>
      <c r="E2287" s="7" t="s">
        <v>32</v>
      </c>
      <c r="F2287" s="3">
        <v>0.12770083790633899</v>
      </c>
      <c r="G2287" s="3">
        <v>0.14109865022784401</v>
      </c>
      <c r="H2287" s="3">
        <v>0.14109865022784401</v>
      </c>
      <c r="I2287" s="3">
        <v>0.127155239895101</v>
      </c>
      <c r="J2287" s="3">
        <v>0.13695953503115699</v>
      </c>
      <c r="K2287" s="3">
        <v>0.14868347795421</v>
      </c>
      <c r="L2287" s="3">
        <v>0.15448160839589301</v>
      </c>
      <c r="M2287" s="3">
        <v>0.15866219108511401</v>
      </c>
      <c r="N2287" s="3">
        <v>0.16298230594236199</v>
      </c>
      <c r="O2287" s="3">
        <v>0.166945535956987</v>
      </c>
      <c r="P2287" s="3">
        <v>0.17034119439765399</v>
      </c>
    </row>
    <row r="2288" spans="1:16" x14ac:dyDescent="0.45">
      <c r="A2288" s="7" t="s">
        <v>83</v>
      </c>
      <c r="B2288" s="7" t="s">
        <v>29</v>
      </c>
      <c r="C2288" s="7" t="s">
        <v>15</v>
      </c>
      <c r="D2288" s="7" t="s">
        <v>9</v>
      </c>
      <c r="E2288" s="7" t="s">
        <v>32</v>
      </c>
      <c r="F2288" s="3">
        <v>0</v>
      </c>
      <c r="G2288" s="3">
        <v>-1.55327964198759E-4</v>
      </c>
      <c r="H2288" s="3">
        <v>-1.55327964198759E-4</v>
      </c>
      <c r="I2288" s="3">
        <v>-2.0267403342907899E-4</v>
      </c>
      <c r="J2288" s="3">
        <v>5.4835656367824302E-5</v>
      </c>
      <c r="K2288" s="3">
        <v>-1.3432336300026E-4</v>
      </c>
      <c r="L2288" s="3">
        <v>-1.3676382559121799E-3</v>
      </c>
      <c r="M2288" s="3">
        <v>-2.8219334783447002E-3</v>
      </c>
      <c r="N2288" s="3">
        <v>-4.7662797304637598E-3</v>
      </c>
      <c r="O2288" s="3">
        <v>-6.6476491019681599E-3</v>
      </c>
      <c r="P2288" s="3">
        <v>-8.4399072243619092E-3</v>
      </c>
    </row>
    <row r="2289" spans="1:16" x14ac:dyDescent="0.45">
      <c r="A2289" s="7" t="s">
        <v>83</v>
      </c>
      <c r="B2289" s="7" t="s">
        <v>29</v>
      </c>
      <c r="C2289" s="7" t="s">
        <v>15</v>
      </c>
      <c r="D2289" s="7" t="s">
        <v>10</v>
      </c>
      <c r="E2289" s="7" t="s">
        <v>32</v>
      </c>
      <c r="F2289" s="3">
        <v>0</v>
      </c>
      <c r="G2289" s="3">
        <v>-2.8499304315365801E-6</v>
      </c>
      <c r="H2289" s="3">
        <v>-2.8499304315365801E-6</v>
      </c>
      <c r="I2289" s="3">
        <v>-1.2643624905003801E-4</v>
      </c>
      <c r="J2289" s="3">
        <v>3.3834605905391799E-5</v>
      </c>
      <c r="K2289" s="3">
        <v>-7.4199441907954499E-4</v>
      </c>
      <c r="L2289" s="3">
        <v>-1.6229627624055299E-3</v>
      </c>
      <c r="M2289" s="3">
        <v>-1.6572158724920099E-3</v>
      </c>
      <c r="N2289" s="3">
        <v>-3.5221394935125401E-4</v>
      </c>
      <c r="O2289" s="3">
        <v>-5.0899184221453496E-4</v>
      </c>
      <c r="P2289" s="3">
        <v>-6.0169785041533396E-4</v>
      </c>
    </row>
    <row r="2290" spans="1:16" x14ac:dyDescent="0.45">
      <c r="A2290" s="7" t="s">
        <v>83</v>
      </c>
      <c r="B2290" s="7" t="s">
        <v>29</v>
      </c>
      <c r="C2290" s="7" t="s">
        <v>15</v>
      </c>
      <c r="D2290" s="7" t="s">
        <v>11</v>
      </c>
      <c r="E2290" s="7" t="s">
        <v>32</v>
      </c>
      <c r="F2290" s="3">
        <v>0</v>
      </c>
      <c r="G2290" s="3">
        <v>1.11768386622801E-5</v>
      </c>
      <c r="H2290" s="3">
        <v>1.11768386622801E-5</v>
      </c>
      <c r="I2290" s="3">
        <v>-9.1670377724256693E-5</v>
      </c>
      <c r="J2290" s="3">
        <v>-8.5248670887472201E-4</v>
      </c>
      <c r="K2290" s="3">
        <v>-8.7978226568796703E-4</v>
      </c>
      <c r="L2290" s="3">
        <v>2.6030902453421101E-3</v>
      </c>
      <c r="M2290" s="3">
        <v>2.6044941155272702E-3</v>
      </c>
      <c r="N2290" s="3">
        <v>1.3976300918679099E-3</v>
      </c>
      <c r="O2290" s="3">
        <v>8.5228597657682802E-4</v>
      </c>
      <c r="P2290" s="3">
        <v>1.6947004955639199E-4</v>
      </c>
    </row>
    <row r="2291" spans="1:16" x14ac:dyDescent="0.45">
      <c r="A2291" s="7" t="s">
        <v>83</v>
      </c>
      <c r="B2291" s="7" t="s">
        <v>29</v>
      </c>
      <c r="C2291" s="7" t="s">
        <v>15</v>
      </c>
      <c r="D2291" s="7" t="s">
        <v>12</v>
      </c>
      <c r="E2291" s="7" t="s">
        <v>32</v>
      </c>
      <c r="F2291" s="3">
        <v>0</v>
      </c>
      <c r="G2291" s="3">
        <v>4.8000872078513002E-6</v>
      </c>
      <c r="H2291" s="3">
        <v>4.8000872078513002E-6</v>
      </c>
      <c r="I2291" s="3">
        <v>-1.12892490606614E-3</v>
      </c>
      <c r="J2291" s="3">
        <v>1.0600630821572001E-3</v>
      </c>
      <c r="K2291" s="3">
        <v>2.7856632253963299E-3</v>
      </c>
      <c r="L2291" s="3">
        <v>-1.4851151818952601E-3</v>
      </c>
      <c r="M2291" s="3">
        <v>-3.5753373252745101E-3</v>
      </c>
      <c r="N2291" s="3">
        <v>-3.46216286079892E-3</v>
      </c>
      <c r="O2291" s="3">
        <v>-2.88851302667395E-3</v>
      </c>
      <c r="P2291" s="3">
        <v>-2.3936229390074401E-3</v>
      </c>
    </row>
    <row r="2292" spans="1:16" x14ac:dyDescent="0.45">
      <c r="A2292" s="7" t="s">
        <v>83</v>
      </c>
      <c r="B2292" s="7" t="s">
        <v>29</v>
      </c>
      <c r="C2292" s="7" t="s">
        <v>15</v>
      </c>
      <c r="D2292" s="7" t="s">
        <v>13</v>
      </c>
      <c r="E2292" s="7" t="s">
        <v>32</v>
      </c>
      <c r="F2292" s="3">
        <v>0</v>
      </c>
      <c r="G2292" s="3">
        <v>-1.02813843658842E-3</v>
      </c>
      <c r="H2292" s="3">
        <v>-1.02813843658842E-3</v>
      </c>
      <c r="I2292" s="3">
        <v>2.3761681482732402E-3</v>
      </c>
      <c r="J2292" s="3">
        <v>-2.2788482375988902E-3</v>
      </c>
      <c r="K2292" s="3">
        <v>-6.6084454156128099E-3</v>
      </c>
      <c r="L2292" s="3">
        <v>-2.7434073546895601E-3</v>
      </c>
      <c r="M2292" s="3">
        <v>2.7450747233267997E-4</v>
      </c>
      <c r="N2292" s="3">
        <v>-1.40783914389775E-3</v>
      </c>
      <c r="O2292" s="3">
        <v>-1.9666002442484702E-3</v>
      </c>
      <c r="P2292" s="3">
        <v>-2.5136278660113898E-3</v>
      </c>
    </row>
    <row r="2293" spans="1:16" x14ac:dyDescent="0.45">
      <c r="A2293" s="7" t="s">
        <v>83</v>
      </c>
      <c r="B2293" s="7" t="s">
        <v>29</v>
      </c>
      <c r="C2293" s="7" t="s">
        <v>15</v>
      </c>
      <c r="D2293" s="7" t="s">
        <v>14</v>
      </c>
      <c r="E2293" s="7" t="s">
        <v>32</v>
      </c>
      <c r="F2293" s="3">
        <v>0</v>
      </c>
      <c r="G2293" s="3">
        <v>2.4649646381091602E-3</v>
      </c>
      <c r="H2293" s="3">
        <v>2.4649646381091602E-3</v>
      </c>
      <c r="I2293" s="3">
        <v>3.4795921241188299E-3</v>
      </c>
      <c r="J2293" s="3">
        <v>1.7939290123920001E-3</v>
      </c>
      <c r="K2293" s="3">
        <v>-7.2984262052408499E-4</v>
      </c>
      <c r="L2293" s="3">
        <v>-2.59712766318509E-3</v>
      </c>
      <c r="M2293" s="3">
        <v>-3.7888253787230798E-3</v>
      </c>
      <c r="N2293" s="3">
        <v>-3.17715741806451E-3</v>
      </c>
      <c r="O2293" s="3">
        <v>-2.6875452385488898E-3</v>
      </c>
      <c r="P2293" s="3">
        <v>-3.74178134913447E-3</v>
      </c>
    </row>
    <row r="2294" spans="1:16" x14ac:dyDescent="0.45">
      <c r="A2294" s="7" t="s">
        <v>83</v>
      </c>
      <c r="B2294" s="7" t="s">
        <v>29</v>
      </c>
      <c r="C2294" s="7" t="s">
        <v>16</v>
      </c>
      <c r="D2294" s="7" t="s">
        <v>7</v>
      </c>
      <c r="E2294" s="7" t="s">
        <v>32</v>
      </c>
      <c r="F2294" s="3">
        <v>5.4514266247408003E-2</v>
      </c>
      <c r="G2294" s="3">
        <v>5.8194097716604602E-2</v>
      </c>
      <c r="H2294" s="3">
        <v>5.8194097716604602E-2</v>
      </c>
      <c r="I2294" s="3">
        <v>5.70204767987985E-2</v>
      </c>
      <c r="J2294" s="3">
        <v>5.70204158032383E-2</v>
      </c>
      <c r="K2294" s="3">
        <v>5.6506821614388497E-2</v>
      </c>
      <c r="L2294" s="3">
        <v>5.70204158032383E-2</v>
      </c>
      <c r="M2294" s="3">
        <v>5.70204158032383E-2</v>
      </c>
      <c r="N2294" s="3">
        <v>5.70204158032383E-2</v>
      </c>
      <c r="O2294" s="3">
        <v>5.70204158032383E-2</v>
      </c>
      <c r="P2294" s="3">
        <v>5.70204158032383E-2</v>
      </c>
    </row>
    <row r="2295" spans="1:16" x14ac:dyDescent="0.45">
      <c r="A2295" s="7" t="s">
        <v>83</v>
      </c>
      <c r="B2295" s="7" t="s">
        <v>29</v>
      </c>
      <c r="C2295" s="7" t="s">
        <v>16</v>
      </c>
      <c r="D2295" s="7" t="s">
        <v>9</v>
      </c>
      <c r="E2295" s="7" t="s">
        <v>32</v>
      </c>
      <c r="F2295" s="3">
        <v>0</v>
      </c>
      <c r="G2295" s="3">
        <v>-1.4414949612746901E-5</v>
      </c>
      <c r="H2295" s="3">
        <v>-1.4414949612746901E-5</v>
      </c>
      <c r="I2295" s="3">
        <v>-1.4408396081175301E-5</v>
      </c>
      <c r="J2295" s="3">
        <v>-5.4747652695059902E-4</v>
      </c>
      <c r="K2295" s="3">
        <v>-7.5108275132303198E-5</v>
      </c>
      <c r="L2295" s="3">
        <v>-5.2233341791968501E-4</v>
      </c>
      <c r="M2295" s="3">
        <v>-4.8101432351157402E-4</v>
      </c>
      <c r="N2295" s="3">
        <v>-4.7790113720272897E-3</v>
      </c>
      <c r="O2295" s="3">
        <v>-4.7780521143095198E-3</v>
      </c>
      <c r="P2295" s="3">
        <v>-4.7780521143095198E-3</v>
      </c>
    </row>
    <row r="2296" spans="1:16" x14ac:dyDescent="0.45">
      <c r="A2296" s="7" t="s">
        <v>83</v>
      </c>
      <c r="B2296" s="7" t="s">
        <v>29</v>
      </c>
      <c r="C2296" s="7" t="s">
        <v>16</v>
      </c>
      <c r="D2296" s="7" t="s">
        <v>10</v>
      </c>
      <c r="E2296" s="7" t="s">
        <v>32</v>
      </c>
      <c r="F2296" s="3">
        <v>0</v>
      </c>
      <c r="G2296" s="3">
        <v>-9.0205620750794006E-17</v>
      </c>
      <c r="H2296" s="3">
        <v>-9.0205620750794006E-17</v>
      </c>
      <c r="I2296" s="3">
        <v>0</v>
      </c>
      <c r="J2296" s="3">
        <v>2.5143109030997799E-5</v>
      </c>
      <c r="K2296" s="3">
        <v>-4.8612856746271799E-4</v>
      </c>
      <c r="L2296" s="3">
        <v>-4.2557186963898298E-3</v>
      </c>
      <c r="M2296" s="3">
        <v>-4.2970377907979402E-3</v>
      </c>
      <c r="N2296" s="3">
        <v>9.5925771777249903E-7</v>
      </c>
      <c r="O2296" s="3">
        <v>0</v>
      </c>
      <c r="P2296" s="3">
        <v>0</v>
      </c>
    </row>
    <row r="2297" spans="1:16" x14ac:dyDescent="0.45">
      <c r="A2297" s="7" t="s">
        <v>83</v>
      </c>
      <c r="B2297" s="7" t="s">
        <v>29</v>
      </c>
      <c r="C2297" s="7" t="s">
        <v>16</v>
      </c>
      <c r="D2297" s="7" t="s">
        <v>11</v>
      </c>
      <c r="E2297" s="7" t="s">
        <v>32</v>
      </c>
      <c r="F2297" s="3">
        <v>0</v>
      </c>
      <c r="G2297" s="3">
        <v>9.0205620750794006E-17</v>
      </c>
      <c r="H2297" s="3">
        <v>9.0205620750794006E-17</v>
      </c>
      <c r="I2297" s="3">
        <v>0</v>
      </c>
      <c r="J2297" s="3">
        <v>-4.25571869638992E-3</v>
      </c>
      <c r="K2297" s="3">
        <v>-3.70322108286468E-3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</row>
    <row r="2298" spans="1:16" x14ac:dyDescent="0.45">
      <c r="A2298" s="7" t="s">
        <v>83</v>
      </c>
      <c r="B2298" s="7" t="s">
        <v>29</v>
      </c>
      <c r="C2298" s="7" t="s">
        <v>16</v>
      </c>
      <c r="D2298" s="7" t="s">
        <v>12</v>
      </c>
      <c r="E2298" s="7" t="s">
        <v>32</v>
      </c>
      <c r="F2298" s="3">
        <v>0</v>
      </c>
      <c r="G2298" s="3">
        <v>-2.7616672308772301E-5</v>
      </c>
      <c r="H2298" s="3">
        <v>-2.7616672308772301E-5</v>
      </c>
      <c r="I2298" s="3">
        <v>-4.7922070193669002E-3</v>
      </c>
      <c r="J2298" s="3">
        <v>-2.7604041859516401E-5</v>
      </c>
      <c r="K2298" s="3">
        <v>-2.7604041859516401E-5</v>
      </c>
      <c r="L2298" s="3">
        <v>-2.7604041859516401E-5</v>
      </c>
      <c r="M2298" s="3">
        <v>-2.7604041859516401E-5</v>
      </c>
      <c r="N2298" s="3">
        <v>-2.86582467576846E-5</v>
      </c>
      <c r="O2298" s="3">
        <v>-2.9764862284266401E-5</v>
      </c>
      <c r="P2298" s="3">
        <v>-3.0865246859496098E-5</v>
      </c>
    </row>
    <row r="2299" spans="1:16" x14ac:dyDescent="0.45">
      <c r="A2299" s="7" t="s">
        <v>83</v>
      </c>
      <c r="B2299" s="7" t="s">
        <v>29</v>
      </c>
      <c r="C2299" s="7" t="s">
        <v>16</v>
      </c>
      <c r="D2299" s="7" t="s">
        <v>13</v>
      </c>
      <c r="E2299" s="7" t="s">
        <v>32</v>
      </c>
      <c r="F2299" s="3">
        <v>0</v>
      </c>
      <c r="G2299" s="3">
        <v>4.2031621921519198E-5</v>
      </c>
      <c r="H2299" s="3">
        <v>4.2031621921519198E-5</v>
      </c>
      <c r="I2299" s="3">
        <v>4.29716966862531E-5</v>
      </c>
      <c r="J2299" s="3">
        <v>4.0958205526041298E-5</v>
      </c>
      <c r="K2299" s="3">
        <v>3.8751148934687603E-5</v>
      </c>
      <c r="L2299" s="3">
        <v>3.8751148934687603E-5</v>
      </c>
      <c r="M2299" s="3">
        <v>3.8751148934687603E-5</v>
      </c>
      <c r="N2299" s="3">
        <v>3.9805353832855799E-5</v>
      </c>
      <c r="O2299" s="3">
        <v>4.0911969359437597E-5</v>
      </c>
      <c r="P2299" s="3">
        <v>4.2012353934667297E-5</v>
      </c>
    </row>
    <row r="2300" spans="1:16" x14ac:dyDescent="0.45">
      <c r="A2300" s="7" t="s">
        <v>83</v>
      </c>
      <c r="B2300" s="7" t="s">
        <v>29</v>
      </c>
      <c r="C2300" s="7" t="s">
        <v>16</v>
      </c>
      <c r="D2300" s="7" t="s">
        <v>14</v>
      </c>
      <c r="E2300" s="7" t="s">
        <v>32</v>
      </c>
      <c r="F2300" s="3">
        <v>0</v>
      </c>
      <c r="G2300" s="3">
        <v>-4.8742419421034201E-3</v>
      </c>
      <c r="H2300" s="3">
        <v>-4.8742419421034201E-3</v>
      </c>
      <c r="I2300" s="3">
        <v>1.05971932576332E-7</v>
      </c>
      <c r="J2300" s="3">
        <v>-9.86358933488529E-7</v>
      </c>
      <c r="K2300" s="3">
        <v>1.2206976578652E-6</v>
      </c>
      <c r="L2300" s="3">
        <v>1.2206976578652E-6</v>
      </c>
      <c r="M2300" s="3">
        <v>1.2206976578652E-6</v>
      </c>
      <c r="N2300" s="3">
        <v>1.2206976578652E-6</v>
      </c>
      <c r="O2300" s="3">
        <v>1.2206976578652E-6</v>
      </c>
      <c r="P2300" s="3">
        <v>1.2206976578652E-6</v>
      </c>
    </row>
    <row r="2301" spans="1:16" x14ac:dyDescent="0.45">
      <c r="A2301" s="7" t="s">
        <v>83</v>
      </c>
      <c r="B2301" s="7" t="s">
        <v>29</v>
      </c>
      <c r="C2301" s="7" t="s">
        <v>17</v>
      </c>
      <c r="D2301" s="7" t="s">
        <v>7</v>
      </c>
      <c r="E2301" s="7" t="s">
        <v>32</v>
      </c>
      <c r="F2301" s="3">
        <v>9.6604426676414994E-3</v>
      </c>
      <c r="G2301" s="3">
        <v>2.2144520544408498E-2</v>
      </c>
      <c r="H2301" s="3">
        <v>2.2144520544408498E-2</v>
      </c>
      <c r="I2301" s="3">
        <v>5.5660834136568603E-2</v>
      </c>
      <c r="J2301" s="3">
        <v>6.3139464426696101E-2</v>
      </c>
      <c r="K2301" s="3">
        <v>6.6520991773892799E-2</v>
      </c>
      <c r="L2301" s="3">
        <v>6.3039954750629207E-2</v>
      </c>
      <c r="M2301" s="3">
        <v>5.8515103342651698E-2</v>
      </c>
      <c r="N2301" s="3">
        <v>5.3481879528370503E-2</v>
      </c>
      <c r="O2301" s="3">
        <v>4.8765969866433903E-2</v>
      </c>
      <c r="P2301" s="3">
        <v>4.42988942281001E-2</v>
      </c>
    </row>
    <row r="2302" spans="1:16" x14ac:dyDescent="0.45">
      <c r="A2302" s="7" t="s">
        <v>83</v>
      </c>
      <c r="B2302" s="7" t="s">
        <v>29</v>
      </c>
      <c r="C2302" s="7" t="s">
        <v>17</v>
      </c>
      <c r="D2302" s="7" t="s">
        <v>9</v>
      </c>
      <c r="E2302" s="7" t="s">
        <v>32</v>
      </c>
      <c r="F2302" s="3">
        <v>0</v>
      </c>
      <c r="G2302" s="3">
        <v>6.8954028523470997E-4</v>
      </c>
      <c r="H2302" s="3">
        <v>6.8954028523470997E-4</v>
      </c>
      <c r="I2302" s="3">
        <v>1.5703775104878E-3</v>
      </c>
      <c r="J2302" s="3">
        <v>1.17362248456934E-3</v>
      </c>
      <c r="K2302" s="3">
        <v>6.9054582739973302E-4</v>
      </c>
      <c r="L2302" s="3">
        <v>1.93000708759702E-3</v>
      </c>
      <c r="M2302" s="3">
        <v>3.4771445180498501E-3</v>
      </c>
      <c r="N2302" s="3">
        <v>1.6624824766006099E-2</v>
      </c>
      <c r="O2302" s="3">
        <v>1.8869558936856299E-2</v>
      </c>
      <c r="P2302" s="3">
        <v>2.1471887905721802E-2</v>
      </c>
    </row>
    <row r="2303" spans="1:16" x14ac:dyDescent="0.45">
      <c r="A2303" s="7" t="s">
        <v>83</v>
      </c>
      <c r="B2303" s="7" t="s">
        <v>29</v>
      </c>
      <c r="C2303" s="7" t="s">
        <v>17</v>
      </c>
      <c r="D2303" s="7" t="s">
        <v>10</v>
      </c>
      <c r="E2303" s="7" t="s">
        <v>32</v>
      </c>
      <c r="F2303" s="3">
        <v>0</v>
      </c>
      <c r="G2303" s="3">
        <v>1.99389193628174E-4</v>
      </c>
      <c r="H2303" s="3">
        <v>1.99389193628174E-4</v>
      </c>
      <c r="I2303" s="3">
        <v>6.6647582279808599E-4</v>
      </c>
      <c r="J2303" s="3">
        <v>2.01270697452294E-4</v>
      </c>
      <c r="K2303" s="3">
        <v>1.2225704493333499E-3</v>
      </c>
      <c r="L2303" s="3">
        <v>1.2811079687470001E-2</v>
      </c>
      <c r="M2303" s="3">
        <v>1.32484649522182E-2</v>
      </c>
      <c r="N2303" s="3">
        <v>6.6582010765663096E-3</v>
      </c>
      <c r="O2303" s="3">
        <v>7.31173138873298E-3</v>
      </c>
      <c r="P2303" s="3">
        <v>1.03937068039142E-2</v>
      </c>
    </row>
    <row r="2304" spans="1:16" x14ac:dyDescent="0.45">
      <c r="A2304" s="7" t="s">
        <v>83</v>
      </c>
      <c r="B2304" s="7" t="s">
        <v>29</v>
      </c>
      <c r="C2304" s="7" t="s">
        <v>17</v>
      </c>
      <c r="D2304" s="7" t="s">
        <v>11</v>
      </c>
      <c r="E2304" s="7" t="s">
        <v>32</v>
      </c>
      <c r="F2304" s="3">
        <v>0</v>
      </c>
      <c r="G2304" s="3">
        <v>1.8946329769589299E-4</v>
      </c>
      <c r="H2304" s="3">
        <v>1.8946329769589299E-4</v>
      </c>
      <c r="I2304" s="3">
        <v>5.7715219070045298E-4</v>
      </c>
      <c r="J2304" s="3">
        <v>1.1234671203039601E-2</v>
      </c>
      <c r="K2304" s="3">
        <v>1.03146922283532E-2</v>
      </c>
      <c r="L2304" s="3">
        <v>3.37641875440713E-3</v>
      </c>
      <c r="M2304" s="3">
        <v>5.5470498693547298E-3</v>
      </c>
      <c r="N2304" s="3">
        <v>4.3916999689926203E-3</v>
      </c>
      <c r="O2304" s="3">
        <v>6.2141529457036696E-3</v>
      </c>
      <c r="P2304" s="3">
        <v>5.0449415973002204E-3</v>
      </c>
    </row>
    <row r="2305" spans="1:16" x14ac:dyDescent="0.45">
      <c r="A2305" s="7" t="s">
        <v>83</v>
      </c>
      <c r="B2305" s="7" t="s">
        <v>29</v>
      </c>
      <c r="C2305" s="7" t="s">
        <v>17</v>
      </c>
      <c r="D2305" s="7" t="s">
        <v>12</v>
      </c>
      <c r="E2305" s="7" t="s">
        <v>32</v>
      </c>
      <c r="F2305" s="3">
        <v>0</v>
      </c>
      <c r="G2305" s="3">
        <v>2.8896991075899597E-4</v>
      </c>
      <c r="H2305" s="3">
        <v>2.8896991075899597E-4</v>
      </c>
      <c r="I2305" s="3">
        <v>1.48502805421716E-2</v>
      </c>
      <c r="J2305" s="3">
        <v>2.7866145278996998E-3</v>
      </c>
      <c r="K2305" s="3">
        <v>3.5489046100988198E-3</v>
      </c>
      <c r="L2305" s="3">
        <v>1.14024460897451E-3</v>
      </c>
      <c r="M2305" s="3">
        <v>1.8177851083026901E-3</v>
      </c>
      <c r="N2305" s="3">
        <v>2.64514775840137E-3</v>
      </c>
      <c r="O2305" s="3">
        <v>3.8645276971586398E-3</v>
      </c>
      <c r="P2305" s="3">
        <v>4.0762592045775099E-3</v>
      </c>
    </row>
    <row r="2306" spans="1:16" x14ac:dyDescent="0.45">
      <c r="A2306" s="7" t="s">
        <v>83</v>
      </c>
      <c r="B2306" s="7" t="s">
        <v>29</v>
      </c>
      <c r="C2306" s="7" t="s">
        <v>17</v>
      </c>
      <c r="D2306" s="7" t="s">
        <v>13</v>
      </c>
      <c r="E2306" s="7" t="s">
        <v>32</v>
      </c>
      <c r="F2306" s="3">
        <v>0</v>
      </c>
      <c r="G2306" s="3">
        <v>3.4211632461783699E-3</v>
      </c>
      <c r="H2306" s="3">
        <v>3.4211632461783699E-3</v>
      </c>
      <c r="I2306" s="3">
        <v>3.9594327921992599E-3</v>
      </c>
      <c r="J2306" s="3">
        <v>3.4229624384962999E-3</v>
      </c>
      <c r="K2306" s="3">
        <v>3.04651377191707E-3</v>
      </c>
      <c r="L2306" s="3">
        <v>3.1387575609310601E-3</v>
      </c>
      <c r="M2306" s="3">
        <v>2.8392888608399498E-3</v>
      </c>
      <c r="N2306" s="3">
        <v>1.64442002005344E-3</v>
      </c>
      <c r="O2306" s="3">
        <v>4.2062922201659098E-4</v>
      </c>
      <c r="P2306" s="3">
        <v>1.60884286673421E-4</v>
      </c>
    </row>
    <row r="2307" spans="1:16" x14ac:dyDescent="0.45">
      <c r="A2307" s="7" t="s">
        <v>83</v>
      </c>
      <c r="B2307" s="7" t="s">
        <v>29</v>
      </c>
      <c r="C2307" s="7" t="s">
        <v>17</v>
      </c>
      <c r="D2307" s="7" t="s">
        <v>14</v>
      </c>
      <c r="E2307" s="7" t="s">
        <v>32</v>
      </c>
      <c r="F2307" s="3">
        <v>0</v>
      </c>
      <c r="G2307" s="3">
        <v>1.63624017731278E-2</v>
      </c>
      <c r="H2307" s="3">
        <v>1.63624017731278E-2</v>
      </c>
      <c r="I2307" s="3">
        <v>6.3684969013237799E-3</v>
      </c>
      <c r="J2307" s="3">
        <v>3.3640710932873298E-3</v>
      </c>
      <c r="K2307" s="3">
        <v>-1.14833489305993E-5</v>
      </c>
      <c r="L2307" s="3">
        <v>-1.03674493952571E-4</v>
      </c>
      <c r="M2307" s="3">
        <v>-1.12005812611338E-4</v>
      </c>
      <c r="N2307" s="3">
        <v>-1.1334227432004099E-4</v>
      </c>
      <c r="O2307" s="3">
        <v>-1.13739212779226E-4</v>
      </c>
      <c r="P2307" s="3">
        <v>-1.13743182163895E-4</v>
      </c>
    </row>
    <row r="2308" spans="1:16" x14ac:dyDescent="0.45">
      <c r="A2308" s="7" t="s">
        <v>83</v>
      </c>
      <c r="B2308" s="7" t="s">
        <v>29</v>
      </c>
      <c r="C2308" s="7" t="s">
        <v>18</v>
      </c>
      <c r="D2308" s="7" t="s">
        <v>7</v>
      </c>
      <c r="E2308" s="7" t="s">
        <v>32</v>
      </c>
      <c r="F2308" s="3">
        <v>9.8660170798960806E-2</v>
      </c>
      <c r="G2308" s="3">
        <v>7.3739013460038902E-2</v>
      </c>
      <c r="H2308" s="3">
        <v>7.3739013460038902E-2</v>
      </c>
      <c r="I2308" s="3">
        <v>4.9159342306692597E-2</v>
      </c>
      <c r="J2308" s="3">
        <v>2.4579671153346201E-2</v>
      </c>
      <c r="K2308" s="3">
        <v>9.5019470854971999E-18</v>
      </c>
      <c r="L2308" s="3">
        <v>7.6015576683977303E-17</v>
      </c>
      <c r="M2308" s="3">
        <v>0</v>
      </c>
      <c r="N2308" s="3">
        <v>7.6015576683977303E-17</v>
      </c>
      <c r="O2308" s="3">
        <v>0</v>
      </c>
      <c r="P2308" s="3">
        <v>6.6513629598480197E-17</v>
      </c>
    </row>
    <row r="2309" spans="1:16" x14ac:dyDescent="0.45">
      <c r="A2309" s="7" t="s">
        <v>83</v>
      </c>
      <c r="B2309" s="7" t="s">
        <v>29</v>
      </c>
      <c r="C2309" s="7" t="s">
        <v>18</v>
      </c>
      <c r="D2309" s="7" t="s">
        <v>9</v>
      </c>
      <c r="E2309" s="7" t="s">
        <v>32</v>
      </c>
      <c r="F2309" s="3">
        <v>0</v>
      </c>
      <c r="G2309" s="3">
        <v>0</v>
      </c>
      <c r="H2309" s="3">
        <v>0</v>
      </c>
      <c r="I2309" s="3">
        <v>0</v>
      </c>
      <c r="J2309" s="3">
        <v>8.6736173798840404E-17</v>
      </c>
      <c r="K2309" s="3">
        <v>1.9003894170994301E-17</v>
      </c>
      <c r="L2309" s="3">
        <v>-4.7509735427485801E-17</v>
      </c>
      <c r="M2309" s="3">
        <v>9.5019470854971999E-18</v>
      </c>
      <c r="N2309" s="3">
        <v>-7.6015576683977303E-17</v>
      </c>
      <c r="O2309" s="3">
        <v>0</v>
      </c>
      <c r="P2309" s="3">
        <v>-6.6513629598480197E-17</v>
      </c>
    </row>
    <row r="2310" spans="1:16" x14ac:dyDescent="0.45">
      <c r="A2310" s="7" t="s">
        <v>83</v>
      </c>
      <c r="B2310" s="7" t="s">
        <v>29</v>
      </c>
      <c r="C2310" s="7" t="s">
        <v>18</v>
      </c>
      <c r="D2310" s="7" t="s">
        <v>10</v>
      </c>
      <c r="E2310" s="7" t="s">
        <v>32</v>
      </c>
      <c r="F2310" s="3">
        <v>0</v>
      </c>
      <c r="G2310" s="3">
        <v>0</v>
      </c>
      <c r="H2310" s="3">
        <v>0</v>
      </c>
      <c r="I2310" s="3">
        <v>0</v>
      </c>
      <c r="J2310" s="3">
        <v>8.6736173798840404E-17</v>
      </c>
      <c r="K2310" s="3">
        <v>-1.9003894170994301E-17</v>
      </c>
      <c r="L2310" s="3">
        <v>-2.8505841256491502E-17</v>
      </c>
      <c r="M2310" s="3">
        <v>-9.5019470854971999E-18</v>
      </c>
      <c r="N2310" s="3">
        <v>0</v>
      </c>
      <c r="O2310" s="3">
        <v>4.7509735427485801E-17</v>
      </c>
      <c r="P2310" s="3">
        <v>0</v>
      </c>
    </row>
    <row r="2311" spans="1:16" x14ac:dyDescent="0.45">
      <c r="A2311" s="7" t="s">
        <v>83</v>
      </c>
      <c r="B2311" s="7" t="s">
        <v>29</v>
      </c>
      <c r="C2311" s="7" t="s">
        <v>18</v>
      </c>
      <c r="D2311" s="7" t="s">
        <v>11</v>
      </c>
      <c r="E2311" s="7" t="s">
        <v>32</v>
      </c>
      <c r="F2311" s="3">
        <v>0</v>
      </c>
      <c r="G2311" s="3">
        <v>8.3266726846886704E-17</v>
      </c>
      <c r="H2311" s="3">
        <v>8.3266726846886704E-17</v>
      </c>
      <c r="I2311" s="3">
        <v>0</v>
      </c>
      <c r="J2311" s="3">
        <v>-8.6736173798840404E-17</v>
      </c>
      <c r="K2311" s="3">
        <v>-9.5019470854971999E-18</v>
      </c>
      <c r="L2311" s="3">
        <v>6.6513629598480197E-17</v>
      </c>
      <c r="M2311" s="3">
        <v>0</v>
      </c>
      <c r="N2311" s="3">
        <v>3.8007788341988701E-17</v>
      </c>
      <c r="O2311" s="3">
        <v>-1.9003894170994301E-17</v>
      </c>
      <c r="P2311" s="3">
        <v>6.6513629598480197E-17</v>
      </c>
    </row>
    <row r="2312" spans="1:16" x14ac:dyDescent="0.45">
      <c r="A2312" s="7" t="s">
        <v>83</v>
      </c>
      <c r="B2312" s="7" t="s">
        <v>29</v>
      </c>
      <c r="C2312" s="7" t="s">
        <v>18</v>
      </c>
      <c r="D2312" s="7" t="s">
        <v>12</v>
      </c>
      <c r="E2312" s="7" t="s">
        <v>32</v>
      </c>
      <c r="F2312" s="3">
        <v>0</v>
      </c>
      <c r="G2312" s="3">
        <v>0</v>
      </c>
      <c r="H2312" s="3">
        <v>0</v>
      </c>
      <c r="I2312" s="3">
        <v>0</v>
      </c>
      <c r="J2312" s="3">
        <v>-8.6736173798840404E-17</v>
      </c>
      <c r="K2312" s="3">
        <v>0</v>
      </c>
      <c r="L2312" s="3">
        <v>-4.7509735427485899E-17</v>
      </c>
      <c r="M2312" s="3">
        <v>0</v>
      </c>
      <c r="N2312" s="3">
        <v>1.04521417940468E-16</v>
      </c>
      <c r="O2312" s="3">
        <v>5.7011682512983005E-17</v>
      </c>
      <c r="P2312" s="3">
        <v>-6.6513629598480197E-17</v>
      </c>
    </row>
    <row r="2313" spans="1:16" x14ac:dyDescent="0.45">
      <c r="A2313" s="7" t="s">
        <v>83</v>
      </c>
      <c r="B2313" s="7" t="s">
        <v>29</v>
      </c>
      <c r="C2313" s="7" t="s">
        <v>18</v>
      </c>
      <c r="D2313" s="7" t="s">
        <v>13</v>
      </c>
      <c r="E2313" s="7" t="s">
        <v>32</v>
      </c>
      <c r="F2313" s="3">
        <v>0</v>
      </c>
      <c r="G2313" s="3">
        <v>0</v>
      </c>
      <c r="H2313" s="3">
        <v>0</v>
      </c>
      <c r="I2313" s="3">
        <v>-8.3266726846886704E-17</v>
      </c>
      <c r="J2313" s="3">
        <v>8.6736173798840404E-17</v>
      </c>
      <c r="K2313" s="3">
        <v>0</v>
      </c>
      <c r="L2313" s="3">
        <v>-1.9003894170994301E-17</v>
      </c>
      <c r="M2313" s="3">
        <v>6.6513629598480197E-17</v>
      </c>
      <c r="N2313" s="3">
        <v>-1.4252920628245701E-16</v>
      </c>
      <c r="O2313" s="3">
        <v>-6.6513629598480197E-17</v>
      </c>
      <c r="P2313" s="3">
        <v>6.6513629598480197E-17</v>
      </c>
    </row>
    <row r="2314" spans="1:16" x14ac:dyDescent="0.45">
      <c r="A2314" s="7" t="s">
        <v>83</v>
      </c>
      <c r="B2314" s="7" t="s">
        <v>29</v>
      </c>
      <c r="C2314" s="7" t="s">
        <v>18</v>
      </c>
      <c r="D2314" s="7" t="s">
        <v>14</v>
      </c>
      <c r="E2314" s="7" t="s">
        <v>32</v>
      </c>
      <c r="F2314" s="3">
        <v>0</v>
      </c>
      <c r="G2314" s="3">
        <v>0</v>
      </c>
      <c r="H2314" s="3">
        <v>0</v>
      </c>
      <c r="I2314" s="3">
        <v>8.3266726846886704E-17</v>
      </c>
      <c r="J2314" s="3">
        <v>-8.6736173798840404E-17</v>
      </c>
      <c r="K2314" s="3">
        <v>5.7011682512983005E-17</v>
      </c>
      <c r="L2314" s="3">
        <v>2.8505841256491502E-17</v>
      </c>
      <c r="M2314" s="3">
        <v>3.8007788341988399E-17</v>
      </c>
      <c r="N2314" s="3">
        <v>8.5517523769474495E-17</v>
      </c>
      <c r="O2314" s="3">
        <v>7.6015576683977697E-17</v>
      </c>
      <c r="P2314" s="3">
        <v>-6.6513629598480197E-17</v>
      </c>
    </row>
    <row r="2315" spans="1:16" x14ac:dyDescent="0.45">
      <c r="A2315" s="7" t="s">
        <v>83</v>
      </c>
      <c r="B2315" s="7" t="s">
        <v>29</v>
      </c>
      <c r="C2315" s="7" t="s">
        <v>19</v>
      </c>
      <c r="D2315" s="7" t="s">
        <v>7</v>
      </c>
      <c r="E2315" s="7" t="s">
        <v>32</v>
      </c>
      <c r="F2315" s="3">
        <v>3.5589762964350498E-3</v>
      </c>
      <c r="G2315" s="3">
        <v>0</v>
      </c>
      <c r="H2315" s="3">
        <v>0</v>
      </c>
      <c r="I2315" s="3">
        <v>0</v>
      </c>
      <c r="J2315" s="3">
        <v>0</v>
      </c>
      <c r="K2315" s="3">
        <v>3.6949838251519899E-3</v>
      </c>
      <c r="L2315" s="3">
        <v>6.5830425734961402E-4</v>
      </c>
      <c r="M2315" s="3">
        <v>1.3148708014621099E-4</v>
      </c>
      <c r="N2315" s="3">
        <v>9.6312737240023704E-6</v>
      </c>
      <c r="O2315" s="3">
        <v>0</v>
      </c>
      <c r="P2315" s="3">
        <v>0</v>
      </c>
    </row>
    <row r="2316" spans="1:16" x14ac:dyDescent="0.45">
      <c r="A2316" s="7" t="s">
        <v>83</v>
      </c>
      <c r="B2316" s="7" t="s">
        <v>29</v>
      </c>
      <c r="C2316" s="7" t="s">
        <v>19</v>
      </c>
      <c r="D2316" s="7" t="s">
        <v>9</v>
      </c>
      <c r="E2316" s="7" t="s">
        <v>32</v>
      </c>
      <c r="F2316" s="3">
        <v>0</v>
      </c>
      <c r="G2316" s="3">
        <v>0</v>
      </c>
      <c r="H2316" s="3">
        <v>0</v>
      </c>
      <c r="I2316" s="3">
        <v>0</v>
      </c>
      <c r="J2316" s="3">
        <v>2.9978761534512201E-4</v>
      </c>
      <c r="K2316" s="3">
        <v>1.4242186519176E-4</v>
      </c>
      <c r="L2316" s="3">
        <v>7.9333685461487795E-4</v>
      </c>
      <c r="M2316" s="3">
        <v>8.5500717629210295E-4</v>
      </c>
      <c r="N2316" s="3">
        <v>9.4881899474394502E-4</v>
      </c>
      <c r="O2316" s="3">
        <v>9.58450268467956E-4</v>
      </c>
      <c r="P2316" s="3">
        <v>9.0262578331377799E-4</v>
      </c>
    </row>
    <row r="2317" spans="1:16" x14ac:dyDescent="0.45">
      <c r="A2317" s="7" t="s">
        <v>83</v>
      </c>
      <c r="B2317" s="7" t="s">
        <v>29</v>
      </c>
      <c r="C2317" s="7" t="s">
        <v>19</v>
      </c>
      <c r="D2317" s="7" t="s">
        <v>10</v>
      </c>
      <c r="E2317" s="7" t="s">
        <v>32</v>
      </c>
      <c r="F2317" s="3">
        <v>0</v>
      </c>
      <c r="G2317" s="3">
        <v>0</v>
      </c>
      <c r="H2317" s="3">
        <v>0</v>
      </c>
      <c r="I2317" s="3">
        <v>0</v>
      </c>
      <c r="J2317" s="3">
        <v>3.8943596506182298E-4</v>
      </c>
      <c r="K2317" s="3">
        <v>7.6036320172076196E-4</v>
      </c>
      <c r="L2317" s="3">
        <v>1.41484506650641E-3</v>
      </c>
      <c r="M2317" s="3">
        <v>1.21808570015936E-3</v>
      </c>
      <c r="N2317" s="3">
        <v>1.0951206905243E-2</v>
      </c>
      <c r="O2317" s="3">
        <v>1.1871770017573099E-2</v>
      </c>
      <c r="P2317" s="3">
        <v>1.18695522606011E-2</v>
      </c>
    </row>
    <row r="2318" spans="1:16" x14ac:dyDescent="0.45">
      <c r="A2318" s="7" t="s">
        <v>83</v>
      </c>
      <c r="B2318" s="7" t="s">
        <v>29</v>
      </c>
      <c r="C2318" s="7" t="s">
        <v>19</v>
      </c>
      <c r="D2318" s="7" t="s">
        <v>11</v>
      </c>
      <c r="E2318" s="7" t="s">
        <v>32</v>
      </c>
      <c r="F2318" s="3">
        <v>0</v>
      </c>
      <c r="G2318" s="3">
        <v>0</v>
      </c>
      <c r="H2318" s="3">
        <v>0</v>
      </c>
      <c r="I2318" s="3">
        <v>0</v>
      </c>
      <c r="J2318" s="3">
        <v>5.0823025061391496E-4</v>
      </c>
      <c r="K2318" s="3">
        <v>7.7622353604517595E-4</v>
      </c>
      <c r="L2318" s="3">
        <v>1.27452249177414E-2</v>
      </c>
      <c r="M2318" s="3">
        <v>1.13557224032014E-2</v>
      </c>
      <c r="N2318" s="3">
        <v>3.67422819531385E-3</v>
      </c>
      <c r="O2318" s="3">
        <v>2.9449542526104699E-3</v>
      </c>
      <c r="P2318" s="3">
        <v>3.2787541427985799E-3</v>
      </c>
    </row>
    <row r="2319" spans="1:16" x14ac:dyDescent="0.45">
      <c r="A2319" s="7" t="s">
        <v>83</v>
      </c>
      <c r="B2319" s="7" t="s">
        <v>29</v>
      </c>
      <c r="C2319" s="7" t="s">
        <v>19</v>
      </c>
      <c r="D2319" s="7" t="s">
        <v>12</v>
      </c>
      <c r="E2319" s="7" t="s">
        <v>32</v>
      </c>
      <c r="F2319" s="3">
        <v>0</v>
      </c>
      <c r="G2319" s="3">
        <v>0</v>
      </c>
      <c r="H2319" s="3">
        <v>0</v>
      </c>
      <c r="I2319" s="3">
        <v>0</v>
      </c>
      <c r="J2319" s="3">
        <v>9.3792641100027604E-3</v>
      </c>
      <c r="K2319" s="3">
        <v>1.15276201521681E-2</v>
      </c>
      <c r="L2319" s="3">
        <v>9.6265316840758904E-4</v>
      </c>
      <c r="M2319" s="3">
        <v>2.7894638429197898E-3</v>
      </c>
      <c r="N2319" s="3">
        <v>2.22350198387134E-3</v>
      </c>
      <c r="O2319" s="3">
        <v>4.2430067943290796E-3</v>
      </c>
      <c r="P2319" s="3">
        <v>4.3986724266486402E-3</v>
      </c>
    </row>
    <row r="2320" spans="1:16" x14ac:dyDescent="0.45">
      <c r="A2320" s="7" t="s">
        <v>83</v>
      </c>
      <c r="B2320" s="7" t="s">
        <v>29</v>
      </c>
      <c r="C2320" s="7" t="s">
        <v>19</v>
      </c>
      <c r="D2320" s="7" t="s">
        <v>13</v>
      </c>
      <c r="E2320" s="7" t="s">
        <v>32</v>
      </c>
      <c r="F2320" s="3">
        <v>0</v>
      </c>
      <c r="G2320" s="3">
        <v>0</v>
      </c>
      <c r="H2320" s="3">
        <v>0</v>
      </c>
      <c r="I2320" s="3">
        <v>1.4798529135657001E-2</v>
      </c>
      <c r="J2320" s="3">
        <v>8.3479650764827999E-3</v>
      </c>
      <c r="K2320" s="3">
        <v>1.3441689110294801E-2</v>
      </c>
      <c r="L2320" s="3">
        <v>9.4793379564948408E-3</v>
      </c>
      <c r="M2320" s="3">
        <v>6.2653471818506301E-3</v>
      </c>
      <c r="N2320" s="3">
        <v>4.5417127530190003E-3</v>
      </c>
      <c r="O2320" s="3">
        <v>2.5483076712033998E-3</v>
      </c>
      <c r="P2320" s="3">
        <v>2.63115702988745E-3</v>
      </c>
    </row>
    <row r="2321" spans="1:16" x14ac:dyDescent="0.45">
      <c r="A2321" s="7" t="s">
        <v>83</v>
      </c>
      <c r="B2321" s="7" t="s">
        <v>29</v>
      </c>
      <c r="C2321" s="7" t="s">
        <v>19</v>
      </c>
      <c r="D2321" s="7" t="s">
        <v>14</v>
      </c>
      <c r="E2321" s="7" t="s">
        <v>32</v>
      </c>
      <c r="F2321" s="3">
        <v>0</v>
      </c>
      <c r="G2321" s="3">
        <v>7.1102452319519597E-3</v>
      </c>
      <c r="H2321" s="3">
        <v>7.1102452319519597E-3</v>
      </c>
      <c r="I2321" s="3">
        <v>1.47583252517322E-2</v>
      </c>
      <c r="J2321" s="3">
        <v>1.0369686914870901E-2</v>
      </c>
      <c r="K2321" s="3">
        <v>-2.7370978521292799E-3</v>
      </c>
      <c r="L2321" s="3">
        <v>-3.5616315084810901E-3</v>
      </c>
      <c r="M2321" s="3">
        <v>-1.2290525765226701E-3</v>
      </c>
      <c r="N2321" s="3">
        <v>-1.1996619945419599E-3</v>
      </c>
      <c r="O2321" s="3">
        <v>1.1640871233105401E-4</v>
      </c>
      <c r="P2321" s="3">
        <v>1.2946775398267E-3</v>
      </c>
    </row>
    <row r="2322" spans="1:16" x14ac:dyDescent="0.45">
      <c r="A2322" s="7" t="s">
        <v>84</v>
      </c>
      <c r="B2322" s="7" t="s">
        <v>29</v>
      </c>
      <c r="C2322" s="7" t="s">
        <v>6</v>
      </c>
      <c r="D2322" s="7" t="s">
        <v>7</v>
      </c>
      <c r="E2322" s="7" t="s">
        <v>32</v>
      </c>
      <c r="F2322" s="3">
        <v>0</v>
      </c>
      <c r="G2322" s="3">
        <v>0</v>
      </c>
      <c r="H2322" s="3">
        <v>0</v>
      </c>
      <c r="I2322" s="3">
        <v>7.8390189518608895E-5</v>
      </c>
      <c r="J2322" s="3">
        <v>3.5501664994700701E-4</v>
      </c>
      <c r="K2322" s="3">
        <v>6.7013249683363005E-4</v>
      </c>
      <c r="L2322" s="3">
        <v>4.26373527027632E-5</v>
      </c>
      <c r="M2322" s="3">
        <v>0</v>
      </c>
      <c r="N2322" s="3">
        <v>0</v>
      </c>
      <c r="O2322" s="3">
        <v>0</v>
      </c>
      <c r="P2322" s="3">
        <v>0</v>
      </c>
    </row>
    <row r="2323" spans="1:16" x14ac:dyDescent="0.45">
      <c r="A2323" s="7" t="s">
        <v>84</v>
      </c>
      <c r="B2323" s="7" t="s">
        <v>29</v>
      </c>
      <c r="C2323" s="7" t="s">
        <v>6</v>
      </c>
      <c r="D2323" s="7" t="s">
        <v>9</v>
      </c>
      <c r="E2323" s="7" t="s">
        <v>32</v>
      </c>
      <c r="F2323" s="3">
        <v>0</v>
      </c>
      <c r="G2323" s="3">
        <v>0</v>
      </c>
      <c r="H2323" s="3">
        <v>0</v>
      </c>
      <c r="I2323" s="3">
        <v>1.6668030153581899E-4</v>
      </c>
      <c r="J2323" s="3">
        <v>2.2797059711823301E-4</v>
      </c>
      <c r="K2323" s="3">
        <v>3.9749121750551699E-4</v>
      </c>
      <c r="L2323" s="3">
        <v>4.7248071174859198E-4</v>
      </c>
      <c r="M2323" s="3">
        <v>4.8785010734589201E-4</v>
      </c>
      <c r="N2323" s="3">
        <v>4.7814673817712699E-4</v>
      </c>
      <c r="O2323" s="3">
        <v>4.7755387604732401E-4</v>
      </c>
      <c r="P2323" s="3">
        <v>4.7755387604732401E-4</v>
      </c>
    </row>
    <row r="2324" spans="1:16" x14ac:dyDescent="0.45">
      <c r="A2324" s="7" t="s">
        <v>84</v>
      </c>
      <c r="B2324" s="7" t="s">
        <v>29</v>
      </c>
      <c r="C2324" s="7" t="s">
        <v>6</v>
      </c>
      <c r="D2324" s="7" t="s">
        <v>10</v>
      </c>
      <c r="E2324" s="7" t="s">
        <v>32</v>
      </c>
      <c r="F2324" s="3">
        <v>0</v>
      </c>
      <c r="G2324" s="3">
        <v>0</v>
      </c>
      <c r="H2324" s="3">
        <v>0</v>
      </c>
      <c r="I2324" s="3">
        <v>7.5804327740980698E-5</v>
      </c>
      <c r="J2324" s="3">
        <v>7.8825275493691395E-5</v>
      </c>
      <c r="K2324" s="3">
        <v>2.9364124385591601E-4</v>
      </c>
      <c r="L2324" s="3">
        <v>1.21515905581004E-4</v>
      </c>
      <c r="M2324" s="3">
        <v>1.3276223210744701E-4</v>
      </c>
      <c r="N2324" s="3">
        <v>2.1149906104295101E-3</v>
      </c>
      <c r="O2324" s="3">
        <v>3.4779962335696299E-3</v>
      </c>
      <c r="P2324" s="3">
        <v>8.2658533208570702E-3</v>
      </c>
    </row>
    <row r="2325" spans="1:16" x14ac:dyDescent="0.45">
      <c r="A2325" s="7" t="s">
        <v>84</v>
      </c>
      <c r="B2325" s="7" t="s">
        <v>29</v>
      </c>
      <c r="C2325" s="7" t="s">
        <v>6</v>
      </c>
      <c r="D2325" s="7" t="s">
        <v>11</v>
      </c>
      <c r="E2325" s="7" t="s">
        <v>32</v>
      </c>
      <c r="F2325" s="3">
        <v>0</v>
      </c>
      <c r="G2325" s="3">
        <v>0</v>
      </c>
      <c r="H2325" s="3">
        <v>0</v>
      </c>
      <c r="I2325" s="3">
        <v>1.3336373855313299E-4</v>
      </c>
      <c r="J2325" s="3">
        <v>6.7634363100082097E-4</v>
      </c>
      <c r="K2325" s="3">
        <v>5.8900319896406804E-4</v>
      </c>
      <c r="L2325" s="3">
        <v>2.7327083275363998E-3</v>
      </c>
      <c r="M2325" s="3">
        <v>9.2702736311336201E-3</v>
      </c>
      <c r="N2325" s="3">
        <v>1.18189111299954E-2</v>
      </c>
      <c r="O2325" s="3">
        <v>1.58313658694605E-2</v>
      </c>
      <c r="P2325" s="3">
        <v>2.71833817030438E-2</v>
      </c>
    </row>
    <row r="2326" spans="1:16" x14ac:dyDescent="0.45">
      <c r="A2326" s="7" t="s">
        <v>84</v>
      </c>
      <c r="B2326" s="7" t="s">
        <v>29</v>
      </c>
      <c r="C2326" s="7" t="s">
        <v>6</v>
      </c>
      <c r="D2326" s="7" t="s">
        <v>12</v>
      </c>
      <c r="E2326" s="7" t="s">
        <v>32</v>
      </c>
      <c r="F2326" s="3">
        <v>0</v>
      </c>
      <c r="G2326" s="3">
        <v>0</v>
      </c>
      <c r="H2326" s="3">
        <v>0</v>
      </c>
      <c r="I2326" s="3">
        <v>1.2903767611144399E-4</v>
      </c>
      <c r="J2326" s="3">
        <v>3.2276033581289799E-3</v>
      </c>
      <c r="K2326" s="3">
        <v>1.1307031443981101E-2</v>
      </c>
      <c r="L2326" s="3">
        <v>1.5951978470606198E-2</v>
      </c>
      <c r="M2326" s="3">
        <v>2.9477048638318602E-2</v>
      </c>
      <c r="N2326" s="3">
        <v>4.6364481318642202E-2</v>
      </c>
      <c r="O2326" s="3">
        <v>6.1861640021632101E-2</v>
      </c>
      <c r="P2326" s="3">
        <v>6.4886679615565407E-2</v>
      </c>
    </row>
    <row r="2327" spans="1:16" x14ac:dyDescent="0.45">
      <c r="A2327" s="7" t="s">
        <v>84</v>
      </c>
      <c r="B2327" s="7" t="s">
        <v>29</v>
      </c>
      <c r="C2327" s="7" t="s">
        <v>6</v>
      </c>
      <c r="D2327" s="7" t="s">
        <v>13</v>
      </c>
      <c r="E2327" s="7" t="s">
        <v>32</v>
      </c>
      <c r="F2327" s="3">
        <v>0</v>
      </c>
      <c r="G2327" s="3">
        <v>2.82678653225412E-5</v>
      </c>
      <c r="H2327" s="3">
        <v>2.82678653225412E-5</v>
      </c>
      <c r="I2327" s="3">
        <v>8.1836974899871396E-3</v>
      </c>
      <c r="J2327" s="3">
        <v>3.0945492772833399E-2</v>
      </c>
      <c r="K2327" s="3">
        <v>4.9204645127079102E-2</v>
      </c>
      <c r="L2327" s="3">
        <v>6.6863717292938996E-2</v>
      </c>
      <c r="M2327" s="3">
        <v>6.93586301767984E-2</v>
      </c>
      <c r="N2327" s="3">
        <v>6.9717272848747194E-2</v>
      </c>
      <c r="O2327" s="3">
        <v>7.02752342736815E-2</v>
      </c>
      <c r="P2327" s="3">
        <v>7.4074883132090305E-2</v>
      </c>
    </row>
    <row r="2328" spans="1:16" x14ac:dyDescent="0.45">
      <c r="A2328" s="7" t="s">
        <v>84</v>
      </c>
      <c r="B2328" s="7" t="s">
        <v>29</v>
      </c>
      <c r="C2328" s="7" t="s">
        <v>6</v>
      </c>
      <c r="D2328" s="7" t="s">
        <v>14</v>
      </c>
      <c r="E2328" s="7" t="s">
        <v>32</v>
      </c>
      <c r="F2328" s="3">
        <v>0</v>
      </c>
      <c r="G2328" s="3">
        <v>1.07041284400577E-3</v>
      </c>
      <c r="H2328" s="3">
        <v>1.07041284400577E-3</v>
      </c>
      <c r="I2328" s="3">
        <v>2.1644655416223599E-2</v>
      </c>
      <c r="J2328" s="3">
        <v>2.2950667206521402E-2</v>
      </c>
      <c r="K2328" s="3">
        <v>2.57821950102698E-2</v>
      </c>
      <c r="L2328" s="3">
        <v>3.4184589783594899E-2</v>
      </c>
      <c r="M2328" s="3">
        <v>4.5089749968885803E-2</v>
      </c>
      <c r="N2328" s="3">
        <v>5.8027756976837298E-2</v>
      </c>
      <c r="O2328" s="3">
        <v>7.0479129403945101E-2</v>
      </c>
      <c r="P2328" s="3">
        <v>7.6209903154754094E-2</v>
      </c>
    </row>
    <row r="2329" spans="1:16" x14ac:dyDescent="0.45">
      <c r="A2329" s="7" t="s">
        <v>84</v>
      </c>
      <c r="B2329" s="7" t="s">
        <v>29</v>
      </c>
      <c r="C2329" s="7" t="s">
        <v>15</v>
      </c>
      <c r="D2329" s="7" t="s">
        <v>7</v>
      </c>
      <c r="E2329" s="7" t="s">
        <v>32</v>
      </c>
      <c r="F2329" s="3">
        <v>4.5382260082442102E-2</v>
      </c>
      <c r="G2329" s="3">
        <v>5.0143567942897899E-2</v>
      </c>
      <c r="H2329" s="3">
        <v>5.0143567942897899E-2</v>
      </c>
      <c r="I2329" s="3">
        <v>4.5188365733333402E-2</v>
      </c>
      <c r="J2329" s="3">
        <v>4.8672611248745501E-2</v>
      </c>
      <c r="K2329" s="3">
        <v>5.2839060237247298E-2</v>
      </c>
      <c r="L2329" s="3">
        <v>5.4899596941707603E-2</v>
      </c>
      <c r="M2329" s="3">
        <v>5.6385290332674497E-2</v>
      </c>
      <c r="N2329" s="3">
        <v>5.7920570595921303E-2</v>
      </c>
      <c r="O2329" s="3">
        <v>5.9329021301798103E-2</v>
      </c>
      <c r="P2329" s="3">
        <v>6.05357687048068E-2</v>
      </c>
    </row>
    <row r="2330" spans="1:16" x14ac:dyDescent="0.45">
      <c r="A2330" s="7" t="s">
        <v>84</v>
      </c>
      <c r="B2330" s="7" t="s">
        <v>29</v>
      </c>
      <c r="C2330" s="7" t="s">
        <v>15</v>
      </c>
      <c r="D2330" s="7" t="s">
        <v>9</v>
      </c>
      <c r="E2330" s="7" t="s">
        <v>32</v>
      </c>
      <c r="F2330" s="3">
        <v>0</v>
      </c>
      <c r="G2330" s="3">
        <v>-5.5200374444792901E-5</v>
      </c>
      <c r="H2330" s="3">
        <v>-5.5200374444792901E-5</v>
      </c>
      <c r="I2330" s="3">
        <v>-7.2026196913301004E-5</v>
      </c>
      <c r="J2330" s="3">
        <v>1.9487468209886099E-5</v>
      </c>
      <c r="K2330" s="3">
        <v>-4.7735769747238297E-5</v>
      </c>
      <c r="L2330" s="3">
        <v>-4.8603060125593201E-4</v>
      </c>
      <c r="M2330" s="3">
        <v>-1.00285731205239E-3</v>
      </c>
      <c r="N2330" s="3">
        <v>-1.69383811335854E-3</v>
      </c>
      <c r="O2330" s="3">
        <v>-2.3624382222425001E-3</v>
      </c>
      <c r="P2330" s="3">
        <v>-2.9993700198631102E-3</v>
      </c>
    </row>
    <row r="2331" spans="1:16" x14ac:dyDescent="0.45">
      <c r="A2331" s="7" t="s">
        <v>84</v>
      </c>
      <c r="B2331" s="7" t="s">
        <v>29</v>
      </c>
      <c r="C2331" s="7" t="s">
        <v>15</v>
      </c>
      <c r="D2331" s="7" t="s">
        <v>10</v>
      </c>
      <c r="E2331" s="7" t="s">
        <v>32</v>
      </c>
      <c r="F2331" s="3">
        <v>0</v>
      </c>
      <c r="G2331" s="3">
        <v>-1.0128068553133499E-6</v>
      </c>
      <c r="H2331" s="3">
        <v>-1.0128068553133499E-6</v>
      </c>
      <c r="I2331" s="3">
        <v>-4.4932851125417699E-5</v>
      </c>
      <c r="J2331" s="3">
        <v>1.2024125371136501E-5</v>
      </c>
      <c r="K2331" s="3">
        <v>-2.6368960657161699E-4</v>
      </c>
      <c r="L2331" s="3">
        <v>-5.7676769702660197E-4</v>
      </c>
      <c r="M2331" s="3">
        <v>-5.8894055020489199E-4</v>
      </c>
      <c r="N2331" s="3">
        <v>-1.25169617648441E-4</v>
      </c>
      <c r="O2331" s="3">
        <v>-1.80885267018878E-4</v>
      </c>
      <c r="P2331" s="3">
        <v>-2.1383108197475101E-4</v>
      </c>
    </row>
    <row r="2332" spans="1:16" x14ac:dyDescent="0.45">
      <c r="A2332" s="7" t="s">
        <v>84</v>
      </c>
      <c r="B2332" s="7" t="s">
        <v>29</v>
      </c>
      <c r="C2332" s="7" t="s">
        <v>15</v>
      </c>
      <c r="D2332" s="7" t="s">
        <v>11</v>
      </c>
      <c r="E2332" s="7" t="s">
        <v>32</v>
      </c>
      <c r="F2332" s="3">
        <v>0</v>
      </c>
      <c r="G2332" s="3">
        <v>3.9720193491798997E-6</v>
      </c>
      <c r="H2332" s="3">
        <v>3.9720193491798997E-6</v>
      </c>
      <c r="I2332" s="3">
        <v>-3.2577773113676197E-5</v>
      </c>
      <c r="J2332" s="3">
        <v>-3.02956301409328E-4</v>
      </c>
      <c r="K2332" s="3">
        <v>-3.1265658277555798E-4</v>
      </c>
      <c r="L2332" s="3">
        <v>9.2508491305928796E-4</v>
      </c>
      <c r="M2332" s="3">
        <v>9.2558381974548699E-4</v>
      </c>
      <c r="N2332" s="3">
        <v>4.9668908495899299E-4</v>
      </c>
      <c r="O2332" s="3">
        <v>3.0288496526544002E-4</v>
      </c>
      <c r="P2332" s="3">
        <v>6.0226181685607601E-5</v>
      </c>
    </row>
    <row r="2333" spans="1:16" x14ac:dyDescent="0.45">
      <c r="A2333" s="7" t="s">
        <v>84</v>
      </c>
      <c r="B2333" s="7" t="s">
        <v>29</v>
      </c>
      <c r="C2333" s="7" t="s">
        <v>15</v>
      </c>
      <c r="D2333" s="7" t="s">
        <v>12</v>
      </c>
      <c r="E2333" s="7" t="s">
        <v>32</v>
      </c>
      <c r="F2333" s="3">
        <v>0</v>
      </c>
      <c r="G2333" s="3">
        <v>1.7058525978094801E-6</v>
      </c>
      <c r="H2333" s="3">
        <v>1.7058525978094801E-6</v>
      </c>
      <c r="I2333" s="3">
        <v>-4.0119677004951698E-4</v>
      </c>
      <c r="J2333" s="3">
        <v>3.7672468941462499E-4</v>
      </c>
      <c r="K2333" s="3">
        <v>9.8996760764993191E-4</v>
      </c>
      <c r="L2333" s="3">
        <v>-5.2777949261840996E-4</v>
      </c>
      <c r="M2333" s="3">
        <v>-1.2706015954028101E-3</v>
      </c>
      <c r="N2333" s="3">
        <v>-1.2303817106649501E-3</v>
      </c>
      <c r="O2333" s="3">
        <v>-1.02651831873009E-3</v>
      </c>
      <c r="P2333" s="3">
        <v>-8.5064452620903198E-4</v>
      </c>
    </row>
    <row r="2334" spans="1:16" x14ac:dyDescent="0.45">
      <c r="A2334" s="7" t="s">
        <v>84</v>
      </c>
      <c r="B2334" s="7" t="s">
        <v>29</v>
      </c>
      <c r="C2334" s="7" t="s">
        <v>15</v>
      </c>
      <c r="D2334" s="7" t="s">
        <v>13</v>
      </c>
      <c r="E2334" s="7" t="s">
        <v>32</v>
      </c>
      <c r="F2334" s="3">
        <v>0</v>
      </c>
      <c r="G2334" s="3">
        <v>-3.6537932479528701E-4</v>
      </c>
      <c r="H2334" s="3">
        <v>-3.6537932479528701E-4</v>
      </c>
      <c r="I2334" s="3">
        <v>8.4444145138375104E-4</v>
      </c>
      <c r="J2334" s="3">
        <v>-8.0985595006807798E-4</v>
      </c>
      <c r="K2334" s="3">
        <v>-2.3485060357389701E-3</v>
      </c>
      <c r="L2334" s="3">
        <v>-9.7495073739391896E-4</v>
      </c>
      <c r="M2334" s="3">
        <v>9.7554328602852998E-5</v>
      </c>
      <c r="N2334" s="3">
        <v>-5.0031717277743105E-4</v>
      </c>
      <c r="O2334" s="3">
        <v>-6.98889413929572E-4</v>
      </c>
      <c r="P2334" s="3">
        <v>-8.9329181731344397E-4</v>
      </c>
    </row>
    <row r="2335" spans="1:16" x14ac:dyDescent="0.45">
      <c r="A2335" s="7" t="s">
        <v>84</v>
      </c>
      <c r="B2335" s="7" t="s">
        <v>29</v>
      </c>
      <c r="C2335" s="7" t="s">
        <v>15</v>
      </c>
      <c r="D2335" s="7" t="s">
        <v>14</v>
      </c>
      <c r="E2335" s="7" t="s">
        <v>32</v>
      </c>
      <c r="F2335" s="3">
        <v>0</v>
      </c>
      <c r="G2335" s="3">
        <v>8.7599790365306502E-4</v>
      </c>
      <c r="H2335" s="3">
        <v>8.7599790365306502E-4</v>
      </c>
      <c r="I2335" s="3">
        <v>1.23657571357047E-3</v>
      </c>
      <c r="J2335" s="3">
        <v>6.3752559767480505E-4</v>
      </c>
      <c r="K2335" s="3">
        <v>-2.5937110646186802E-4</v>
      </c>
      <c r="L2335" s="3">
        <v>-9.2296593358624096E-4</v>
      </c>
      <c r="M2335" s="3">
        <v>-1.34647087335699E-3</v>
      </c>
      <c r="N2335" s="3">
        <v>-1.12909661857674E-3</v>
      </c>
      <c r="O2335" s="3">
        <v>-9.5509848642192502E-4</v>
      </c>
      <c r="P2335" s="3">
        <v>-1.3297523895857001E-3</v>
      </c>
    </row>
    <row r="2336" spans="1:16" x14ac:dyDescent="0.45">
      <c r="A2336" s="7" t="s">
        <v>84</v>
      </c>
      <c r="B2336" s="7" t="s">
        <v>29</v>
      </c>
      <c r="C2336" s="7" t="s">
        <v>16</v>
      </c>
      <c r="D2336" s="7" t="s">
        <v>7</v>
      </c>
      <c r="E2336" s="7" t="s">
        <v>32</v>
      </c>
      <c r="F2336" s="3">
        <v>1.9373252749193999E-2</v>
      </c>
      <c r="G2336" s="3">
        <v>2.0680989421345799E-2</v>
      </c>
      <c r="H2336" s="3">
        <v>2.0680989421345799E-2</v>
      </c>
      <c r="I2336" s="3">
        <v>2.0263908604937E-2</v>
      </c>
      <c r="J2336" s="3">
        <v>2.0263886928365199E-2</v>
      </c>
      <c r="K2336" s="3">
        <v>2.0081366081694599E-2</v>
      </c>
      <c r="L2336" s="3">
        <v>2.0263886928365199E-2</v>
      </c>
      <c r="M2336" s="3">
        <v>2.0263886928365199E-2</v>
      </c>
      <c r="N2336" s="3">
        <v>2.0263886928365199E-2</v>
      </c>
      <c r="O2336" s="3">
        <v>2.0263886928365199E-2</v>
      </c>
      <c r="P2336" s="3">
        <v>2.0263886928365199E-2</v>
      </c>
    </row>
    <row r="2337" spans="1:16" x14ac:dyDescent="0.45">
      <c r="A2337" s="7" t="s">
        <v>84</v>
      </c>
      <c r="B2337" s="7" t="s">
        <v>29</v>
      </c>
      <c r="C2337" s="7" t="s">
        <v>16</v>
      </c>
      <c r="D2337" s="7" t="s">
        <v>9</v>
      </c>
      <c r="E2337" s="7" t="s">
        <v>32</v>
      </c>
      <c r="F2337" s="3">
        <v>0</v>
      </c>
      <c r="G2337" s="3">
        <v>-5.1227776037068901E-6</v>
      </c>
      <c r="H2337" s="3">
        <v>-5.1227776037068901E-6</v>
      </c>
      <c r="I2337" s="3">
        <v>-5.1204486129219402E-6</v>
      </c>
      <c r="J2337" s="3">
        <v>-1.94561935085557E-4</v>
      </c>
      <c r="K2337" s="3">
        <v>-2.6691941355134999E-5</v>
      </c>
      <c r="L2337" s="3">
        <v>-1.85626589538655E-4</v>
      </c>
      <c r="M2337" s="3">
        <v>-1.7094263037641799E-4</v>
      </c>
      <c r="N2337" s="3">
        <v>-1.69836267778729E-3</v>
      </c>
      <c r="O2337" s="3">
        <v>-1.69802177725799E-3</v>
      </c>
      <c r="P2337" s="3">
        <v>-1.69802177725799E-3</v>
      </c>
    </row>
    <row r="2338" spans="1:16" x14ac:dyDescent="0.45">
      <c r="A2338" s="7" t="s">
        <v>84</v>
      </c>
      <c r="B2338" s="7" t="s">
        <v>29</v>
      </c>
      <c r="C2338" s="7" t="s">
        <v>16</v>
      </c>
      <c r="D2338" s="7" t="s">
        <v>10</v>
      </c>
      <c r="E2338" s="7" t="s">
        <v>32</v>
      </c>
      <c r="F2338" s="3">
        <v>0</v>
      </c>
      <c r="G2338" s="3">
        <v>-2.7755575615628901E-17</v>
      </c>
      <c r="H2338" s="3">
        <v>-2.7755575615628901E-17</v>
      </c>
      <c r="I2338" s="3">
        <v>0</v>
      </c>
      <c r="J2338" s="3">
        <v>8.9353455469329302E-6</v>
      </c>
      <c r="K2338" s="3">
        <v>-1.7276012784097101E-4</v>
      </c>
      <c r="L2338" s="3">
        <v>-1.51239518771934E-3</v>
      </c>
      <c r="M2338" s="3">
        <v>-1.52707914688157E-3</v>
      </c>
      <c r="N2338" s="3">
        <v>3.4090052929494598E-7</v>
      </c>
      <c r="O2338" s="3">
        <v>0</v>
      </c>
      <c r="P2338" s="3">
        <v>0</v>
      </c>
    </row>
    <row r="2339" spans="1:16" x14ac:dyDescent="0.45">
      <c r="A2339" s="7" t="s">
        <v>84</v>
      </c>
      <c r="B2339" s="7" t="s">
        <v>29</v>
      </c>
      <c r="C2339" s="7" t="s">
        <v>16</v>
      </c>
      <c r="D2339" s="7" t="s">
        <v>11</v>
      </c>
      <c r="E2339" s="7" t="s">
        <v>32</v>
      </c>
      <c r="F2339" s="3">
        <v>0</v>
      </c>
      <c r="G2339" s="3">
        <v>2.7755575615628901E-17</v>
      </c>
      <c r="H2339" s="3">
        <v>2.7755575615628901E-17</v>
      </c>
      <c r="I2339" s="3">
        <v>0</v>
      </c>
      <c r="J2339" s="3">
        <v>-1.5123951877193699E-3</v>
      </c>
      <c r="K2339" s="3">
        <v>-1.31604886139126E-3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</row>
    <row r="2340" spans="1:16" x14ac:dyDescent="0.45">
      <c r="A2340" s="7" t="s">
        <v>84</v>
      </c>
      <c r="B2340" s="7" t="s">
        <v>29</v>
      </c>
      <c r="C2340" s="7" t="s">
        <v>16</v>
      </c>
      <c r="D2340" s="7" t="s">
        <v>12</v>
      </c>
      <c r="E2340" s="7" t="s">
        <v>32</v>
      </c>
      <c r="F2340" s="3">
        <v>0</v>
      </c>
      <c r="G2340" s="3">
        <v>-9.81439923086053E-6</v>
      </c>
      <c r="H2340" s="3">
        <v>-9.81439923086053E-6</v>
      </c>
      <c r="I2340" s="3">
        <v>-1.70305214035731E-3</v>
      </c>
      <c r="J2340" s="3">
        <v>-9.8099106281036903E-6</v>
      </c>
      <c r="K2340" s="3">
        <v>-9.8099106281036903E-6</v>
      </c>
      <c r="L2340" s="3">
        <v>-9.8099106281036903E-6</v>
      </c>
      <c r="M2340" s="3">
        <v>-9.8099106281036903E-6</v>
      </c>
      <c r="N2340" s="3">
        <v>-1.0184553439013299E-5</v>
      </c>
      <c r="O2340" s="3">
        <v>-1.0577821912907001E-5</v>
      </c>
      <c r="P2340" s="3">
        <v>-1.09688760344187E-5</v>
      </c>
    </row>
    <row r="2341" spans="1:16" x14ac:dyDescent="0.45">
      <c r="A2341" s="7" t="s">
        <v>84</v>
      </c>
      <c r="B2341" s="7" t="s">
        <v>29</v>
      </c>
      <c r="C2341" s="7" t="s">
        <v>16</v>
      </c>
      <c r="D2341" s="7" t="s">
        <v>13</v>
      </c>
      <c r="E2341" s="7" t="s">
        <v>32</v>
      </c>
      <c r="F2341" s="3">
        <v>0</v>
      </c>
      <c r="G2341" s="3">
        <v>1.49371768345674E-5</v>
      </c>
      <c r="H2341" s="3">
        <v>1.49371768345674E-5</v>
      </c>
      <c r="I2341" s="3">
        <v>1.5271260135580499E-5</v>
      </c>
      <c r="J2341" s="3">
        <v>1.4555706651327199E-5</v>
      </c>
      <c r="K2341" s="3">
        <v>1.3771363980692001E-5</v>
      </c>
      <c r="L2341" s="3">
        <v>1.3771363980692001E-5</v>
      </c>
      <c r="M2341" s="3">
        <v>1.3771363980692001E-5</v>
      </c>
      <c r="N2341" s="3">
        <v>1.41460067916016E-5</v>
      </c>
      <c r="O2341" s="3">
        <v>1.4539275265495299E-5</v>
      </c>
      <c r="P2341" s="3">
        <v>1.49303293870071E-5</v>
      </c>
    </row>
    <row r="2342" spans="1:16" x14ac:dyDescent="0.45">
      <c r="A2342" s="7" t="s">
        <v>84</v>
      </c>
      <c r="B2342" s="7" t="s">
        <v>29</v>
      </c>
      <c r="C2342" s="7" t="s">
        <v>16</v>
      </c>
      <c r="D2342" s="7" t="s">
        <v>14</v>
      </c>
      <c r="E2342" s="7" t="s">
        <v>32</v>
      </c>
      <c r="F2342" s="3">
        <v>0</v>
      </c>
      <c r="G2342" s="3">
        <v>-1.73220567028326E-3</v>
      </c>
      <c r="H2342" s="3">
        <v>-1.73220567028326E-3</v>
      </c>
      <c r="I2342" s="3">
        <v>3.7660252541482602E-8</v>
      </c>
      <c r="J2342" s="3">
        <v>-3.50531745824112E-7</v>
      </c>
      <c r="K2342" s="3">
        <v>4.3381092481101198E-7</v>
      </c>
      <c r="L2342" s="3">
        <v>4.3381092481101198E-7</v>
      </c>
      <c r="M2342" s="3">
        <v>4.3381092481101198E-7</v>
      </c>
      <c r="N2342" s="3">
        <v>4.3381092481101198E-7</v>
      </c>
      <c r="O2342" s="3">
        <v>4.3381092481101198E-7</v>
      </c>
      <c r="P2342" s="3">
        <v>4.3381092481101198E-7</v>
      </c>
    </row>
    <row r="2343" spans="1:16" x14ac:dyDescent="0.45">
      <c r="A2343" s="7" t="s">
        <v>84</v>
      </c>
      <c r="B2343" s="7" t="s">
        <v>29</v>
      </c>
      <c r="C2343" s="7" t="s">
        <v>17</v>
      </c>
      <c r="D2343" s="7" t="s">
        <v>7</v>
      </c>
      <c r="E2343" s="7" t="s">
        <v>32</v>
      </c>
      <c r="F2343" s="3">
        <v>3.43312329693542E-3</v>
      </c>
      <c r="G2343" s="3">
        <v>7.8697086661593408E-3</v>
      </c>
      <c r="H2343" s="3">
        <v>7.8697086661593408E-3</v>
      </c>
      <c r="I2343" s="3">
        <v>1.9780719473775899E-2</v>
      </c>
      <c r="J2343" s="3">
        <v>2.2438471376202099E-2</v>
      </c>
      <c r="K2343" s="3">
        <v>2.3640196878261299E-2</v>
      </c>
      <c r="L2343" s="3">
        <v>2.2403107677153401E-2</v>
      </c>
      <c r="M2343" s="3">
        <v>2.0795068240624E-2</v>
      </c>
      <c r="N2343" s="3">
        <v>1.9006363671900801E-2</v>
      </c>
      <c r="O2343" s="3">
        <v>1.7330426048372701E-2</v>
      </c>
      <c r="P2343" s="3">
        <v>1.57429189360427E-2</v>
      </c>
    </row>
    <row r="2344" spans="1:16" x14ac:dyDescent="0.45">
      <c r="A2344" s="7" t="s">
        <v>84</v>
      </c>
      <c r="B2344" s="7" t="s">
        <v>29</v>
      </c>
      <c r="C2344" s="7" t="s">
        <v>17</v>
      </c>
      <c r="D2344" s="7" t="s">
        <v>9</v>
      </c>
      <c r="E2344" s="7" t="s">
        <v>32</v>
      </c>
      <c r="F2344" s="3">
        <v>0</v>
      </c>
      <c r="G2344" s="3">
        <v>2.4504848264812599E-4</v>
      </c>
      <c r="H2344" s="3">
        <v>2.4504848264812599E-4</v>
      </c>
      <c r="I2344" s="3">
        <v>5.5807997642776097E-4</v>
      </c>
      <c r="J2344" s="3">
        <v>4.1708137320439401E-4</v>
      </c>
      <c r="K2344" s="3">
        <v>2.4540583172119899E-4</v>
      </c>
      <c r="L2344" s="3">
        <v>6.8588495617018198E-4</v>
      </c>
      <c r="M2344" s="3">
        <v>1.2357058845464499E-3</v>
      </c>
      <c r="N2344" s="3">
        <v>5.9081219334619498E-3</v>
      </c>
      <c r="O2344" s="3">
        <v>6.7058544435037804E-3</v>
      </c>
      <c r="P2344" s="3">
        <v>7.6306688145085103E-3</v>
      </c>
    </row>
    <row r="2345" spans="1:16" x14ac:dyDescent="0.45">
      <c r="A2345" s="7" t="s">
        <v>84</v>
      </c>
      <c r="B2345" s="7" t="s">
        <v>29</v>
      </c>
      <c r="C2345" s="7" t="s">
        <v>17</v>
      </c>
      <c r="D2345" s="7" t="s">
        <v>10</v>
      </c>
      <c r="E2345" s="7" t="s">
        <v>32</v>
      </c>
      <c r="F2345" s="3">
        <v>0</v>
      </c>
      <c r="G2345" s="3">
        <v>7.0858832183223405E-5</v>
      </c>
      <c r="H2345" s="3">
        <v>7.0858832183223405E-5</v>
      </c>
      <c r="I2345" s="3">
        <v>2.3685184549114899E-4</v>
      </c>
      <c r="J2345" s="3">
        <v>7.1527480073808894E-5</v>
      </c>
      <c r="K2345" s="3">
        <v>4.3447647650869702E-4</v>
      </c>
      <c r="L2345" s="3">
        <v>4.5527951096144799E-3</v>
      </c>
      <c r="M2345" s="3">
        <v>4.7082328668482396E-3</v>
      </c>
      <c r="N2345" s="3">
        <v>2.3661881777122498E-3</v>
      </c>
      <c r="O2345" s="3">
        <v>2.5984394540919599E-3</v>
      </c>
      <c r="P2345" s="3">
        <v>3.6937103399575098E-3</v>
      </c>
    </row>
    <row r="2346" spans="1:16" x14ac:dyDescent="0.45">
      <c r="A2346" s="7" t="s">
        <v>84</v>
      </c>
      <c r="B2346" s="7" t="s">
        <v>29</v>
      </c>
      <c r="C2346" s="7" t="s">
        <v>17</v>
      </c>
      <c r="D2346" s="7" t="s">
        <v>11</v>
      </c>
      <c r="E2346" s="7" t="s">
        <v>32</v>
      </c>
      <c r="F2346" s="3">
        <v>0</v>
      </c>
      <c r="G2346" s="3">
        <v>6.7331372237498105E-5</v>
      </c>
      <c r="H2346" s="3">
        <v>6.7331372237498105E-5</v>
      </c>
      <c r="I2346" s="3">
        <v>2.05108057667793E-4</v>
      </c>
      <c r="J2346" s="3">
        <v>3.9925718486750498E-3</v>
      </c>
      <c r="K2346" s="3">
        <v>3.6656301795043298E-3</v>
      </c>
      <c r="L2346" s="3">
        <v>1.1999100129015899E-3</v>
      </c>
      <c r="M2346" s="3">
        <v>1.9713078158967601E-3</v>
      </c>
      <c r="N2346" s="3">
        <v>1.56072014455421E-3</v>
      </c>
      <c r="O2346" s="3">
        <v>2.2083825744419602E-3</v>
      </c>
      <c r="P2346" s="3">
        <v>1.7928688286080799E-3</v>
      </c>
    </row>
    <row r="2347" spans="1:16" x14ac:dyDescent="0.45">
      <c r="A2347" s="7" t="s">
        <v>84</v>
      </c>
      <c r="B2347" s="7" t="s">
        <v>29</v>
      </c>
      <c r="C2347" s="7" t="s">
        <v>17</v>
      </c>
      <c r="D2347" s="7" t="s">
        <v>12</v>
      </c>
      <c r="E2347" s="7" t="s">
        <v>32</v>
      </c>
      <c r="F2347" s="3">
        <v>0</v>
      </c>
      <c r="G2347" s="3">
        <v>1.02693982757444E-4</v>
      </c>
      <c r="H2347" s="3">
        <v>1.02693982757444E-4</v>
      </c>
      <c r="I2347" s="3">
        <v>5.2774852922762502E-3</v>
      </c>
      <c r="J2347" s="3">
        <v>9.9030568105910508E-4</v>
      </c>
      <c r="K2347" s="3">
        <v>1.26120795026739E-3</v>
      </c>
      <c r="L2347" s="3">
        <v>4.0521956042321999E-4</v>
      </c>
      <c r="M2347" s="3">
        <v>6.4600356514095804E-4</v>
      </c>
      <c r="N2347" s="3">
        <v>9.4003129107346505E-4</v>
      </c>
      <c r="O2347" s="3">
        <v>1.3733739255249501E-3</v>
      </c>
      <c r="P2347" s="3">
        <v>1.4486189630271899E-3</v>
      </c>
    </row>
    <row r="2348" spans="1:16" x14ac:dyDescent="0.45">
      <c r="A2348" s="7" t="s">
        <v>84</v>
      </c>
      <c r="B2348" s="7" t="s">
        <v>29</v>
      </c>
      <c r="C2348" s="7" t="s">
        <v>17</v>
      </c>
      <c r="D2348" s="7" t="s">
        <v>13</v>
      </c>
      <c r="E2348" s="7" t="s">
        <v>32</v>
      </c>
      <c r="F2348" s="3">
        <v>0</v>
      </c>
      <c r="G2348" s="3">
        <v>1.2158112880702699E-3</v>
      </c>
      <c r="H2348" s="3">
        <v>1.2158112880702699E-3</v>
      </c>
      <c r="I2348" s="3">
        <v>1.4071012508651401E-3</v>
      </c>
      <c r="J2348" s="3">
        <v>1.21645068413883E-3</v>
      </c>
      <c r="K2348" s="3">
        <v>1.08266854476935E-3</v>
      </c>
      <c r="L2348" s="3">
        <v>1.11545009650115E-3</v>
      </c>
      <c r="M2348" s="3">
        <v>1.0090250592272999E-3</v>
      </c>
      <c r="N2348" s="3">
        <v>5.8439316654737897E-4</v>
      </c>
      <c r="O2348" s="3">
        <v>1.49483003125107E-4</v>
      </c>
      <c r="P2348" s="3">
        <v>5.7174977554540901E-5</v>
      </c>
    </row>
    <row r="2349" spans="1:16" x14ac:dyDescent="0.45">
      <c r="A2349" s="7" t="s">
        <v>84</v>
      </c>
      <c r="B2349" s="7" t="s">
        <v>29</v>
      </c>
      <c r="C2349" s="7" t="s">
        <v>17</v>
      </c>
      <c r="D2349" s="7" t="s">
        <v>14</v>
      </c>
      <c r="E2349" s="7" t="s">
        <v>32</v>
      </c>
      <c r="F2349" s="3">
        <v>0</v>
      </c>
      <c r="G2349" s="3">
        <v>5.8148621811402604E-3</v>
      </c>
      <c r="H2349" s="3">
        <v>5.8148621811402604E-3</v>
      </c>
      <c r="I2349" s="3">
        <v>2.2632332524088702E-3</v>
      </c>
      <c r="J2349" s="3">
        <v>1.19552190725142E-3</v>
      </c>
      <c r="K2349" s="3">
        <v>-4.0809468154628902E-6</v>
      </c>
      <c r="L2349" s="3">
        <v>-3.6843789951650899E-5</v>
      </c>
      <c r="M2349" s="3">
        <v>-3.9804569821236298E-5</v>
      </c>
      <c r="N2349" s="3">
        <v>-4.0279520916692402E-5</v>
      </c>
      <c r="O2349" s="3">
        <v>-4.0420584708340098E-5</v>
      </c>
      <c r="P2349" s="3">
        <v>-4.0421995346279903E-5</v>
      </c>
    </row>
    <row r="2350" spans="1:16" x14ac:dyDescent="0.45">
      <c r="A2350" s="7" t="s">
        <v>84</v>
      </c>
      <c r="B2350" s="7" t="s">
        <v>29</v>
      </c>
      <c r="C2350" s="7" t="s">
        <v>18</v>
      </c>
      <c r="D2350" s="7" t="s">
        <v>7</v>
      </c>
      <c r="E2350" s="7" t="s">
        <v>32</v>
      </c>
      <c r="F2350" s="3">
        <v>3.5061802290291197E-2</v>
      </c>
      <c r="G2350" s="3">
        <v>2.62053338249871E-2</v>
      </c>
      <c r="H2350" s="3">
        <v>2.62053338249871E-2</v>
      </c>
      <c r="I2350" s="3">
        <v>1.74702225499914E-2</v>
      </c>
      <c r="J2350" s="3">
        <v>8.7351112749956602E-3</v>
      </c>
      <c r="K2350" s="3">
        <v>3.3767972160050302E-18</v>
      </c>
      <c r="L2350" s="3">
        <v>2.70143777280401E-17</v>
      </c>
      <c r="M2350" s="3">
        <v>0</v>
      </c>
      <c r="N2350" s="3">
        <v>2.70143777280401E-17</v>
      </c>
      <c r="O2350" s="3">
        <v>0</v>
      </c>
      <c r="P2350" s="3">
        <v>2.3637580512035102E-17</v>
      </c>
    </row>
    <row r="2351" spans="1:16" x14ac:dyDescent="0.45">
      <c r="A2351" s="7" t="s">
        <v>84</v>
      </c>
      <c r="B2351" s="7" t="s">
        <v>29</v>
      </c>
      <c r="C2351" s="7" t="s">
        <v>18</v>
      </c>
      <c r="D2351" s="7" t="s">
        <v>9</v>
      </c>
      <c r="E2351" s="7" t="s">
        <v>32</v>
      </c>
      <c r="F2351" s="3">
        <v>0</v>
      </c>
      <c r="G2351" s="3">
        <v>0</v>
      </c>
      <c r="H2351" s="3">
        <v>0</v>
      </c>
      <c r="I2351" s="3">
        <v>0</v>
      </c>
      <c r="J2351" s="3">
        <v>2.9490299091605702E-17</v>
      </c>
      <c r="K2351" s="3">
        <v>6.7535944320100303E-18</v>
      </c>
      <c r="L2351" s="3">
        <v>-1.6883986080025099E-17</v>
      </c>
      <c r="M2351" s="3">
        <v>3.3767972160050302E-18</v>
      </c>
      <c r="N2351" s="3">
        <v>-2.70143777280401E-17</v>
      </c>
      <c r="O2351" s="3">
        <v>0</v>
      </c>
      <c r="P2351" s="3">
        <v>-2.3637580512035102E-17</v>
      </c>
    </row>
    <row r="2352" spans="1:16" x14ac:dyDescent="0.45">
      <c r="A2352" s="7" t="s">
        <v>84</v>
      </c>
      <c r="B2352" s="7" t="s">
        <v>29</v>
      </c>
      <c r="C2352" s="7" t="s">
        <v>18</v>
      </c>
      <c r="D2352" s="7" t="s">
        <v>10</v>
      </c>
      <c r="E2352" s="7" t="s">
        <v>32</v>
      </c>
      <c r="F2352" s="3">
        <v>0</v>
      </c>
      <c r="G2352" s="3">
        <v>0</v>
      </c>
      <c r="H2352" s="3">
        <v>0</v>
      </c>
      <c r="I2352" s="3">
        <v>0</v>
      </c>
      <c r="J2352" s="3">
        <v>3.1225022567582503E-17</v>
      </c>
      <c r="K2352" s="3">
        <v>-6.7535944320100303E-18</v>
      </c>
      <c r="L2352" s="3">
        <v>-1.0130391648015099E-17</v>
      </c>
      <c r="M2352" s="3">
        <v>-3.3767972160050302E-18</v>
      </c>
      <c r="N2352" s="3">
        <v>0</v>
      </c>
      <c r="O2352" s="3">
        <v>1.6883986080025099E-17</v>
      </c>
      <c r="P2352" s="3">
        <v>0</v>
      </c>
    </row>
    <row r="2353" spans="1:16" x14ac:dyDescent="0.45">
      <c r="A2353" s="7" t="s">
        <v>84</v>
      </c>
      <c r="B2353" s="7" t="s">
        <v>29</v>
      </c>
      <c r="C2353" s="7" t="s">
        <v>18</v>
      </c>
      <c r="D2353" s="7" t="s">
        <v>11</v>
      </c>
      <c r="E2353" s="7" t="s">
        <v>32</v>
      </c>
      <c r="F2353" s="3">
        <v>0</v>
      </c>
      <c r="G2353" s="3">
        <v>3.1225022567582503E-17</v>
      </c>
      <c r="H2353" s="3">
        <v>3.1225022567582503E-17</v>
      </c>
      <c r="I2353" s="3">
        <v>0</v>
      </c>
      <c r="J2353" s="3">
        <v>-3.1225022567582503E-17</v>
      </c>
      <c r="K2353" s="3">
        <v>-3.3767972160050302E-18</v>
      </c>
      <c r="L2353" s="3">
        <v>2.3637580512035102E-17</v>
      </c>
      <c r="M2353" s="3">
        <v>0</v>
      </c>
      <c r="N2353" s="3">
        <v>1.3507188864020101E-17</v>
      </c>
      <c r="O2353" s="3">
        <v>-6.7535944320100303E-18</v>
      </c>
      <c r="P2353" s="3">
        <v>2.3637580512035102E-17</v>
      </c>
    </row>
    <row r="2354" spans="1:16" x14ac:dyDescent="0.45">
      <c r="A2354" s="7" t="s">
        <v>84</v>
      </c>
      <c r="B2354" s="7" t="s">
        <v>29</v>
      </c>
      <c r="C2354" s="7" t="s">
        <v>18</v>
      </c>
      <c r="D2354" s="7" t="s">
        <v>12</v>
      </c>
      <c r="E2354" s="7" t="s">
        <v>32</v>
      </c>
      <c r="F2354" s="3">
        <v>0</v>
      </c>
      <c r="G2354" s="3">
        <v>0</v>
      </c>
      <c r="H2354" s="3">
        <v>0</v>
      </c>
      <c r="I2354" s="3">
        <v>0</v>
      </c>
      <c r="J2354" s="3">
        <v>-2.9490299091605702E-17</v>
      </c>
      <c r="K2354" s="3">
        <v>0</v>
      </c>
      <c r="L2354" s="3">
        <v>-1.6883986080025099E-17</v>
      </c>
      <c r="M2354" s="3">
        <v>0</v>
      </c>
      <c r="N2354" s="3">
        <v>3.7144769376054999E-17</v>
      </c>
      <c r="O2354" s="3">
        <v>2.02607832960301E-17</v>
      </c>
      <c r="P2354" s="3">
        <v>-2.3637580512035102E-17</v>
      </c>
    </row>
    <row r="2355" spans="1:16" x14ac:dyDescent="0.45">
      <c r="A2355" s="7" t="s">
        <v>84</v>
      </c>
      <c r="B2355" s="7" t="s">
        <v>29</v>
      </c>
      <c r="C2355" s="7" t="s">
        <v>18</v>
      </c>
      <c r="D2355" s="7" t="s">
        <v>13</v>
      </c>
      <c r="E2355" s="7" t="s">
        <v>32</v>
      </c>
      <c r="F2355" s="3">
        <v>0</v>
      </c>
      <c r="G2355" s="3">
        <v>0</v>
      </c>
      <c r="H2355" s="3">
        <v>0</v>
      </c>
      <c r="I2355" s="3">
        <v>-3.1225022567582503E-17</v>
      </c>
      <c r="J2355" s="3">
        <v>2.9490299091605702E-17</v>
      </c>
      <c r="K2355" s="3">
        <v>0</v>
      </c>
      <c r="L2355" s="3">
        <v>-6.7535944320100303E-18</v>
      </c>
      <c r="M2355" s="3">
        <v>2.3637580512035102E-17</v>
      </c>
      <c r="N2355" s="3">
        <v>-5.0651958240075103E-17</v>
      </c>
      <c r="O2355" s="3">
        <v>-2.3637580512035102E-17</v>
      </c>
      <c r="P2355" s="3">
        <v>2.3637580512035102E-17</v>
      </c>
    </row>
    <row r="2356" spans="1:16" x14ac:dyDescent="0.45">
      <c r="A2356" s="7" t="s">
        <v>84</v>
      </c>
      <c r="B2356" s="7" t="s">
        <v>29</v>
      </c>
      <c r="C2356" s="7" t="s">
        <v>18</v>
      </c>
      <c r="D2356" s="7" t="s">
        <v>14</v>
      </c>
      <c r="E2356" s="7" t="s">
        <v>32</v>
      </c>
      <c r="F2356" s="3">
        <v>0</v>
      </c>
      <c r="G2356" s="3">
        <v>0</v>
      </c>
      <c r="H2356" s="3">
        <v>0</v>
      </c>
      <c r="I2356" s="3">
        <v>3.1225022567582503E-17</v>
      </c>
      <c r="J2356" s="3">
        <v>-2.9490299091605702E-17</v>
      </c>
      <c r="K2356" s="3">
        <v>2.02607832960301E-17</v>
      </c>
      <c r="L2356" s="3">
        <v>1.0130391648015099E-17</v>
      </c>
      <c r="M2356" s="3">
        <v>1.3507188864020001E-17</v>
      </c>
      <c r="N2356" s="3">
        <v>3.03911749440452E-17</v>
      </c>
      <c r="O2356" s="3">
        <v>2.70143777280403E-17</v>
      </c>
      <c r="P2356" s="3">
        <v>-2.3637580512035102E-17</v>
      </c>
    </row>
    <row r="2357" spans="1:16" x14ac:dyDescent="0.45">
      <c r="A2357" s="7" t="s">
        <v>84</v>
      </c>
      <c r="B2357" s="7" t="s">
        <v>29</v>
      </c>
      <c r="C2357" s="7" t="s">
        <v>19</v>
      </c>
      <c r="D2357" s="7" t="s">
        <v>7</v>
      </c>
      <c r="E2357" s="7" t="s">
        <v>32</v>
      </c>
      <c r="F2357" s="3">
        <v>1.2647872211341499E-3</v>
      </c>
      <c r="G2357" s="3">
        <v>0</v>
      </c>
      <c r="H2357" s="3">
        <v>0</v>
      </c>
      <c r="I2357" s="3">
        <v>0</v>
      </c>
      <c r="J2357" s="3">
        <v>0</v>
      </c>
      <c r="K2357" s="3">
        <v>1.3131215088537801E-3</v>
      </c>
      <c r="L2357" s="3">
        <v>2.3394783863775999E-4</v>
      </c>
      <c r="M2357" s="3">
        <v>4.6727812961202502E-5</v>
      </c>
      <c r="N2357" s="3">
        <v>3.4227572522933902E-6</v>
      </c>
      <c r="O2357" s="3">
        <v>0</v>
      </c>
      <c r="P2357" s="3">
        <v>0</v>
      </c>
    </row>
    <row r="2358" spans="1:16" x14ac:dyDescent="0.45">
      <c r="A2358" s="7" t="s">
        <v>84</v>
      </c>
      <c r="B2358" s="7" t="s">
        <v>29</v>
      </c>
      <c r="C2358" s="7" t="s">
        <v>19</v>
      </c>
      <c r="D2358" s="7" t="s">
        <v>9</v>
      </c>
      <c r="E2358" s="7" t="s">
        <v>32</v>
      </c>
      <c r="F2358" s="3">
        <v>0</v>
      </c>
      <c r="G2358" s="3">
        <v>0</v>
      </c>
      <c r="H2358" s="3">
        <v>0</v>
      </c>
      <c r="I2358" s="3">
        <v>0</v>
      </c>
      <c r="J2358" s="3">
        <v>1.06538373217769E-4</v>
      </c>
      <c r="K2358" s="3">
        <v>5.0613811416801301E-5</v>
      </c>
      <c r="L2358" s="3">
        <v>2.8193565570435201E-4</v>
      </c>
      <c r="M2358" s="3">
        <v>3.0385202386300398E-4</v>
      </c>
      <c r="N2358" s="3">
        <v>3.3719082111436499E-4</v>
      </c>
      <c r="O2358" s="3">
        <v>3.4061357836666101E-4</v>
      </c>
      <c r="P2358" s="3">
        <v>3.2077470067587102E-4</v>
      </c>
    </row>
    <row r="2359" spans="1:16" x14ac:dyDescent="0.45">
      <c r="A2359" s="7" t="s">
        <v>84</v>
      </c>
      <c r="B2359" s="7" t="s">
        <v>29</v>
      </c>
      <c r="C2359" s="7" t="s">
        <v>19</v>
      </c>
      <c r="D2359" s="7" t="s">
        <v>10</v>
      </c>
      <c r="E2359" s="7" t="s">
        <v>32</v>
      </c>
      <c r="F2359" s="3">
        <v>0</v>
      </c>
      <c r="G2359" s="3">
        <v>0</v>
      </c>
      <c r="H2359" s="3">
        <v>0</v>
      </c>
      <c r="I2359" s="3">
        <v>0</v>
      </c>
      <c r="J2359" s="3">
        <v>1.38397559026628E-4</v>
      </c>
      <c r="K2359" s="3">
        <v>2.7021749538494601E-4</v>
      </c>
      <c r="L2359" s="3">
        <v>5.0280693405979897E-4</v>
      </c>
      <c r="M2359" s="3">
        <v>4.3288268858407501E-4</v>
      </c>
      <c r="N2359" s="3">
        <v>3.8918344479061898E-3</v>
      </c>
      <c r="O2359" s="3">
        <v>4.2189837076213599E-3</v>
      </c>
      <c r="P2359" s="3">
        <v>4.2181955622547802E-3</v>
      </c>
    </row>
    <row r="2360" spans="1:16" x14ac:dyDescent="0.45">
      <c r="A2360" s="7" t="s">
        <v>84</v>
      </c>
      <c r="B2360" s="7" t="s">
        <v>29</v>
      </c>
      <c r="C2360" s="7" t="s">
        <v>19</v>
      </c>
      <c r="D2360" s="7" t="s">
        <v>11</v>
      </c>
      <c r="E2360" s="7" t="s">
        <v>32</v>
      </c>
      <c r="F2360" s="3">
        <v>0</v>
      </c>
      <c r="G2360" s="3">
        <v>0</v>
      </c>
      <c r="H2360" s="3">
        <v>0</v>
      </c>
      <c r="I2360" s="3">
        <v>0</v>
      </c>
      <c r="J2360" s="3">
        <v>1.80614612975695E-4</v>
      </c>
      <c r="K2360" s="3">
        <v>2.75853933086576E-4</v>
      </c>
      <c r="L2360" s="3">
        <v>4.5293916743943804E-3</v>
      </c>
      <c r="M2360" s="3">
        <v>4.0355909638124503E-3</v>
      </c>
      <c r="N2360" s="3">
        <v>1.30574538347409E-3</v>
      </c>
      <c r="O2360" s="3">
        <v>1.0465763734525001E-3</v>
      </c>
      <c r="P2360" s="3">
        <v>1.1652020119398399E-3</v>
      </c>
    </row>
    <row r="2361" spans="1:16" x14ac:dyDescent="0.45">
      <c r="A2361" s="7" t="s">
        <v>84</v>
      </c>
      <c r="B2361" s="7" t="s">
        <v>29</v>
      </c>
      <c r="C2361" s="7" t="s">
        <v>19</v>
      </c>
      <c r="D2361" s="7" t="s">
        <v>12</v>
      </c>
      <c r="E2361" s="7" t="s">
        <v>32</v>
      </c>
      <c r="F2361" s="3">
        <v>0</v>
      </c>
      <c r="G2361" s="3">
        <v>0</v>
      </c>
      <c r="H2361" s="3">
        <v>0</v>
      </c>
      <c r="I2361" s="3">
        <v>0</v>
      </c>
      <c r="J2361" s="3">
        <v>3.3331982013638001E-3</v>
      </c>
      <c r="K2361" s="3">
        <v>4.0966799001036398E-3</v>
      </c>
      <c r="L2361" s="3">
        <v>3.4210720285094798E-4</v>
      </c>
      <c r="M2361" s="3">
        <v>9.913182692098039E-4</v>
      </c>
      <c r="N2361" s="3">
        <v>7.9018702602315404E-4</v>
      </c>
      <c r="O2361" s="3">
        <v>1.50787763830524E-3</v>
      </c>
      <c r="P2361" s="3">
        <v>1.56319801307839E-3</v>
      </c>
    </row>
    <row r="2362" spans="1:16" x14ac:dyDescent="0.45">
      <c r="A2362" s="7" t="s">
        <v>84</v>
      </c>
      <c r="B2362" s="7" t="s">
        <v>29</v>
      </c>
      <c r="C2362" s="7" t="s">
        <v>19</v>
      </c>
      <c r="D2362" s="7" t="s">
        <v>13</v>
      </c>
      <c r="E2362" s="7" t="s">
        <v>32</v>
      </c>
      <c r="F2362" s="3">
        <v>0</v>
      </c>
      <c r="G2362" s="3">
        <v>0</v>
      </c>
      <c r="H2362" s="3">
        <v>0</v>
      </c>
      <c r="I2362" s="3">
        <v>5.2590939032408903E-3</v>
      </c>
      <c r="J2362" s="3">
        <v>2.9666956652073702E-3</v>
      </c>
      <c r="K2362" s="3">
        <v>4.7769007717720401E-3</v>
      </c>
      <c r="L2362" s="3">
        <v>3.36876239501681E-3</v>
      </c>
      <c r="M2362" s="3">
        <v>2.22657595654998E-3</v>
      </c>
      <c r="N2362" s="3">
        <v>1.61403161292037E-3</v>
      </c>
      <c r="O2362" s="3">
        <v>9.05616309185502E-4</v>
      </c>
      <c r="P2362" s="3">
        <v>9.3505927295227604E-4</v>
      </c>
    </row>
    <row r="2363" spans="1:16" x14ac:dyDescent="0.45">
      <c r="A2363" s="7" t="s">
        <v>84</v>
      </c>
      <c r="B2363" s="7" t="s">
        <v>29</v>
      </c>
      <c r="C2363" s="7" t="s">
        <v>19</v>
      </c>
      <c r="D2363" s="7" t="s">
        <v>14</v>
      </c>
      <c r="E2363" s="7" t="s">
        <v>32</v>
      </c>
      <c r="F2363" s="3">
        <v>0</v>
      </c>
      <c r="G2363" s="3">
        <v>2.5268354041893802E-3</v>
      </c>
      <c r="H2363" s="3">
        <v>2.5268354041893802E-3</v>
      </c>
      <c r="I2363" s="3">
        <v>5.24480626702399E-3</v>
      </c>
      <c r="J2363" s="3">
        <v>3.6851741637695902E-3</v>
      </c>
      <c r="K2363" s="3">
        <v>-9.7270846952099898E-4</v>
      </c>
      <c r="L2363" s="3">
        <v>-1.26573082906675E-3</v>
      </c>
      <c r="M2363" s="3">
        <v>-4.3678009163617603E-4</v>
      </c>
      <c r="N2363" s="3">
        <v>-4.2633528127086599E-4</v>
      </c>
      <c r="O2363" s="3">
        <v>4.1369270127614202E-5</v>
      </c>
      <c r="P2363" s="3">
        <v>4.6010185836372301E-4</v>
      </c>
    </row>
    <row r="2364" spans="1:16" x14ac:dyDescent="0.45">
      <c r="A2364" s="7" t="s">
        <v>84</v>
      </c>
      <c r="B2364" s="7" t="s">
        <v>21</v>
      </c>
      <c r="C2364" s="7" t="s">
        <v>6</v>
      </c>
      <c r="D2364" s="7" t="s">
        <v>7</v>
      </c>
      <c r="E2364" s="7" t="s">
        <v>32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3.7901152726446598E-4</v>
      </c>
      <c r="L2364" s="3">
        <v>0</v>
      </c>
      <c r="M2364" s="3">
        <v>0</v>
      </c>
      <c r="N2364" s="3">
        <v>0</v>
      </c>
      <c r="O2364" s="3">
        <v>0</v>
      </c>
      <c r="P2364" s="3">
        <v>0</v>
      </c>
    </row>
    <row r="2365" spans="1:16" x14ac:dyDescent="0.45">
      <c r="A2365" s="7" t="s">
        <v>84</v>
      </c>
      <c r="B2365" s="7" t="s">
        <v>21</v>
      </c>
      <c r="C2365" s="7" t="s">
        <v>6</v>
      </c>
      <c r="D2365" s="7" t="s">
        <v>9</v>
      </c>
      <c r="E2365" s="7" t="s">
        <v>32</v>
      </c>
      <c r="F2365" s="3">
        <v>0</v>
      </c>
      <c r="G2365" s="3">
        <v>0</v>
      </c>
      <c r="H2365" s="3">
        <v>0</v>
      </c>
      <c r="I2365" s="3">
        <v>0</v>
      </c>
      <c r="J2365" s="3">
        <v>2.8710757764807801E-4</v>
      </c>
      <c r="K2365" s="3">
        <v>-1.5988925588038699E-5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</row>
    <row r="2366" spans="1:16" x14ac:dyDescent="0.45">
      <c r="A2366" s="7" t="s">
        <v>84</v>
      </c>
      <c r="B2366" s="7" t="s">
        <v>21</v>
      </c>
      <c r="C2366" s="7" t="s">
        <v>6</v>
      </c>
      <c r="D2366" s="7" t="s">
        <v>10</v>
      </c>
      <c r="E2366" s="7" t="s">
        <v>32</v>
      </c>
      <c r="F2366" s="3">
        <v>0</v>
      </c>
      <c r="G2366" s="3">
        <v>0</v>
      </c>
      <c r="H2366" s="3">
        <v>0</v>
      </c>
      <c r="I2366" s="3">
        <v>0</v>
      </c>
      <c r="J2366" s="3">
        <v>-2.7029640439011802E-4</v>
      </c>
      <c r="K2366" s="3">
        <v>1.84446760244095E-3</v>
      </c>
      <c r="L2366" s="3">
        <v>1.1049657103282401E-3</v>
      </c>
      <c r="M2366" s="3">
        <v>6.9943396049502397E-4</v>
      </c>
      <c r="N2366" s="3">
        <v>1.3220433521805901E-2</v>
      </c>
      <c r="O2366" s="3">
        <v>0.111153366060684</v>
      </c>
      <c r="P2366" s="3">
        <v>0.263116525995092</v>
      </c>
    </row>
    <row r="2367" spans="1:16" x14ac:dyDescent="0.45">
      <c r="A2367" s="7" t="s">
        <v>84</v>
      </c>
      <c r="B2367" s="7" t="s">
        <v>21</v>
      </c>
      <c r="C2367" s="7" t="s">
        <v>6</v>
      </c>
      <c r="D2367" s="7" t="s">
        <v>11</v>
      </c>
      <c r="E2367" s="7" t="s">
        <v>32</v>
      </c>
      <c r="F2367" s="3">
        <v>0</v>
      </c>
      <c r="G2367" s="3">
        <v>0</v>
      </c>
      <c r="H2367" s="3">
        <v>0</v>
      </c>
      <c r="I2367" s="3">
        <v>0</v>
      </c>
      <c r="J2367" s="3">
        <v>1.32218727060971E-3</v>
      </c>
      <c r="K2367" s="3">
        <v>1.65526595532072E-3</v>
      </c>
      <c r="L2367" s="3">
        <v>5.2605391085920501E-2</v>
      </c>
      <c r="M2367" s="3">
        <v>0.22091118177755301</v>
      </c>
      <c r="N2367" s="3">
        <v>0.43161614487356698</v>
      </c>
      <c r="O2367" s="3">
        <v>0.55750855596955795</v>
      </c>
      <c r="P2367" s="3">
        <v>0.61290329336251004</v>
      </c>
    </row>
    <row r="2368" spans="1:16" x14ac:dyDescent="0.45">
      <c r="A2368" s="7" t="s">
        <v>84</v>
      </c>
      <c r="B2368" s="7" t="s">
        <v>21</v>
      </c>
      <c r="C2368" s="7" t="s">
        <v>6</v>
      </c>
      <c r="D2368" s="7" t="s">
        <v>12</v>
      </c>
      <c r="E2368" s="7" t="s">
        <v>32</v>
      </c>
      <c r="F2368" s="3">
        <v>0</v>
      </c>
      <c r="G2368" s="3">
        <v>0</v>
      </c>
      <c r="H2368" s="3">
        <v>0</v>
      </c>
      <c r="I2368" s="3">
        <v>0</v>
      </c>
      <c r="J2368" s="3">
        <v>9.5111466484702496E-3</v>
      </c>
      <c r="K2368" s="3">
        <v>0.19071852891360999</v>
      </c>
      <c r="L2368" s="3">
        <v>0.40234139979030797</v>
      </c>
      <c r="M2368" s="3">
        <v>0.48634347580940301</v>
      </c>
      <c r="N2368" s="3">
        <v>0.48992279437668401</v>
      </c>
      <c r="O2368" s="3">
        <v>0.48798505235862699</v>
      </c>
      <c r="P2368" s="3">
        <v>0.501590720929738</v>
      </c>
    </row>
    <row r="2369" spans="1:16" x14ac:dyDescent="0.45">
      <c r="A2369" s="7" t="s">
        <v>84</v>
      </c>
      <c r="B2369" s="7" t="s">
        <v>21</v>
      </c>
      <c r="C2369" s="7" t="s">
        <v>6</v>
      </c>
      <c r="D2369" s="7" t="s">
        <v>13</v>
      </c>
      <c r="E2369" s="7" t="s">
        <v>32</v>
      </c>
      <c r="F2369" s="3">
        <v>0</v>
      </c>
      <c r="G2369" s="3">
        <v>0</v>
      </c>
      <c r="H2369" s="3">
        <v>0</v>
      </c>
      <c r="I2369" s="3">
        <v>0.172522022985484</v>
      </c>
      <c r="J2369" s="3">
        <v>0.478145316309596</v>
      </c>
      <c r="K2369" s="3">
        <v>0.59804966942939497</v>
      </c>
      <c r="L2369" s="3">
        <v>0.60671308915614197</v>
      </c>
      <c r="M2369" s="3">
        <v>0.61603072948276305</v>
      </c>
      <c r="N2369" s="3">
        <v>0.643607388070359</v>
      </c>
      <c r="O2369" s="3">
        <v>0.67948389872999804</v>
      </c>
      <c r="P2369" s="3">
        <v>0.71425070518949996</v>
      </c>
    </row>
    <row r="2370" spans="1:16" x14ac:dyDescent="0.45">
      <c r="A2370" s="7" t="s">
        <v>84</v>
      </c>
      <c r="B2370" s="7" t="s">
        <v>21</v>
      </c>
      <c r="C2370" s="7" t="s">
        <v>6</v>
      </c>
      <c r="D2370" s="7" t="s">
        <v>14</v>
      </c>
      <c r="E2370" s="7" t="s">
        <v>32</v>
      </c>
      <c r="F2370" s="3">
        <v>0</v>
      </c>
      <c r="G2370" s="3">
        <v>0</v>
      </c>
      <c r="H2370" s="3">
        <v>0</v>
      </c>
      <c r="I2370" s="3">
        <v>0.233502060134303</v>
      </c>
      <c r="J2370" s="3">
        <v>0.28736999657895601</v>
      </c>
      <c r="K2370" s="3">
        <v>0.31560006611465702</v>
      </c>
      <c r="L2370" s="3">
        <v>0.35162841759726499</v>
      </c>
      <c r="M2370" s="3">
        <v>0.40679044989264601</v>
      </c>
      <c r="N2370" s="3">
        <v>0.47311080379539899</v>
      </c>
      <c r="O2370" s="3">
        <v>0.53875523918883195</v>
      </c>
      <c r="P2370" s="3">
        <v>0.60802581191568905</v>
      </c>
    </row>
    <row r="2371" spans="1:16" x14ac:dyDescent="0.45">
      <c r="A2371" s="7" t="s">
        <v>84</v>
      </c>
      <c r="B2371" s="7" t="s">
        <v>21</v>
      </c>
      <c r="C2371" s="7" t="s">
        <v>15</v>
      </c>
      <c r="D2371" s="7" t="s">
        <v>7</v>
      </c>
      <c r="E2371" s="7" t="s">
        <v>32</v>
      </c>
      <c r="F2371" s="3">
        <v>0.162937744640374</v>
      </c>
      <c r="G2371" s="3">
        <v>0.14833500432320099</v>
      </c>
      <c r="H2371" s="3">
        <v>0.14833500432320099</v>
      </c>
      <c r="I2371" s="3">
        <v>0.14569740561306799</v>
      </c>
      <c r="J2371" s="3">
        <v>0.15024083886608</v>
      </c>
      <c r="K2371" s="3">
        <v>0.14794732700385799</v>
      </c>
      <c r="L2371" s="3">
        <v>0.15311301630930099</v>
      </c>
      <c r="M2371" s="3">
        <v>0.156183211225187</v>
      </c>
      <c r="N2371" s="3">
        <v>0.156207403924534</v>
      </c>
      <c r="O2371" s="3">
        <v>0.15606319299847099</v>
      </c>
      <c r="P2371" s="3">
        <v>0.15834528643678999</v>
      </c>
    </row>
    <row r="2372" spans="1:16" x14ac:dyDescent="0.45">
      <c r="A2372" s="7" t="s">
        <v>84</v>
      </c>
      <c r="B2372" s="7" t="s">
        <v>21</v>
      </c>
      <c r="C2372" s="7" t="s">
        <v>15</v>
      </c>
      <c r="D2372" s="7" t="s">
        <v>9</v>
      </c>
      <c r="E2372" s="7" t="s">
        <v>32</v>
      </c>
      <c r="F2372" s="3">
        <v>0</v>
      </c>
      <c r="G2372" s="3">
        <v>2.80532491953034E-5</v>
      </c>
      <c r="H2372" s="3">
        <v>2.80532491953034E-5</v>
      </c>
      <c r="I2372" s="3">
        <v>-4.0931812286804098E-4</v>
      </c>
      <c r="J2372" s="3">
        <v>-1.9195643551376299E-3</v>
      </c>
      <c r="K2372" s="3">
        <v>-2.0217055432119602E-3</v>
      </c>
      <c r="L2372" s="3">
        <v>-2.2686487154130702E-3</v>
      </c>
      <c r="M2372" s="3">
        <v>-3.0402565865212702E-3</v>
      </c>
      <c r="N2372" s="3">
        <v>-1.7343007371388699E-3</v>
      </c>
      <c r="O2372" s="3">
        <v>-1.0430553711388601E-3</v>
      </c>
      <c r="P2372" s="3">
        <v>-2.18641686430038E-3</v>
      </c>
    </row>
    <row r="2373" spans="1:16" x14ac:dyDescent="0.45">
      <c r="A2373" s="7" t="s">
        <v>84</v>
      </c>
      <c r="B2373" s="7" t="s">
        <v>21</v>
      </c>
      <c r="C2373" s="7" t="s">
        <v>15</v>
      </c>
      <c r="D2373" s="7" t="s">
        <v>10</v>
      </c>
      <c r="E2373" s="7" t="s">
        <v>32</v>
      </c>
      <c r="F2373" s="3">
        <v>0</v>
      </c>
      <c r="G2373" s="3">
        <v>-2.2394181681723E-4</v>
      </c>
      <c r="H2373" s="3">
        <v>-2.2394181681723E-4</v>
      </c>
      <c r="I2373" s="3">
        <v>-3.39542868971143E-4</v>
      </c>
      <c r="J2373" s="3">
        <v>-6.2793085255666303E-4</v>
      </c>
      <c r="K2373" s="3">
        <v>-3.3993545941007902E-4</v>
      </c>
      <c r="L2373" s="3">
        <v>-8.7140842144894892E-6</v>
      </c>
      <c r="M2373" s="3">
        <v>1.6623347090827199E-4</v>
      </c>
      <c r="N2373" s="3">
        <v>-7.6022135734998798E-4</v>
      </c>
      <c r="O2373" s="3">
        <v>-3.5666382521512601E-4</v>
      </c>
      <c r="P2373" s="3">
        <v>-7.4678056975419099E-5</v>
      </c>
    </row>
    <row r="2374" spans="1:16" x14ac:dyDescent="0.45">
      <c r="A2374" s="7" t="s">
        <v>84</v>
      </c>
      <c r="B2374" s="7" t="s">
        <v>21</v>
      </c>
      <c r="C2374" s="7" t="s">
        <v>15</v>
      </c>
      <c r="D2374" s="7" t="s">
        <v>11</v>
      </c>
      <c r="E2374" s="7" t="s">
        <v>32</v>
      </c>
      <c r="F2374" s="3">
        <v>0</v>
      </c>
      <c r="G2374" s="3">
        <v>-2.02354576307184E-5</v>
      </c>
      <c r="H2374" s="3">
        <v>-2.02354576307184E-5</v>
      </c>
      <c r="I2374" s="3">
        <v>-3.4351052979356101E-4</v>
      </c>
      <c r="J2374" s="3">
        <v>-4.9981507480997801E-4</v>
      </c>
      <c r="K2374" s="3">
        <v>7.2717408824290997E-4</v>
      </c>
      <c r="L2374" s="3">
        <v>-2.1721458319039501E-3</v>
      </c>
      <c r="M2374" s="3">
        <v>-2.9671217141054602E-3</v>
      </c>
      <c r="N2374" s="3">
        <v>-3.3873348356190901E-3</v>
      </c>
      <c r="O2374" s="3">
        <v>-3.0179687233012299E-3</v>
      </c>
      <c r="P2374" s="3">
        <v>8.3047607380827802E-3</v>
      </c>
    </row>
    <row r="2375" spans="1:16" x14ac:dyDescent="0.45">
      <c r="A2375" s="7" t="s">
        <v>84</v>
      </c>
      <c r="B2375" s="7" t="s">
        <v>21</v>
      </c>
      <c r="C2375" s="7" t="s">
        <v>15</v>
      </c>
      <c r="D2375" s="7" t="s">
        <v>12</v>
      </c>
      <c r="E2375" s="7" t="s">
        <v>32</v>
      </c>
      <c r="F2375" s="3">
        <v>0</v>
      </c>
      <c r="G2375" s="3">
        <v>-1.4882209663919001E-5</v>
      </c>
      <c r="H2375" s="3">
        <v>-1.4882209663919001E-5</v>
      </c>
      <c r="I2375" s="3">
        <v>-4.0464137116561797E-3</v>
      </c>
      <c r="J2375" s="3">
        <v>-2.9969224230911602E-3</v>
      </c>
      <c r="K2375" s="3">
        <v>-1.7990717414958801E-3</v>
      </c>
      <c r="L2375" s="3">
        <v>8.2632568298441102E-3</v>
      </c>
      <c r="M2375" s="3">
        <v>2.0383805206859701E-2</v>
      </c>
      <c r="N2375" s="3">
        <v>4.1493085492712099E-2</v>
      </c>
      <c r="O2375" s="3">
        <v>5.508618645485E-2</v>
      </c>
      <c r="P2375" s="3">
        <v>6.0844296010680497E-2</v>
      </c>
    </row>
    <row r="2376" spans="1:16" x14ac:dyDescent="0.45">
      <c r="A2376" s="7" t="s">
        <v>84</v>
      </c>
      <c r="B2376" s="7" t="s">
        <v>21</v>
      </c>
      <c r="C2376" s="7" t="s">
        <v>15</v>
      </c>
      <c r="D2376" s="7" t="s">
        <v>13</v>
      </c>
      <c r="E2376" s="7" t="s">
        <v>32</v>
      </c>
      <c r="F2376" s="3">
        <v>0</v>
      </c>
      <c r="G2376" s="3">
        <v>-3.7895545654963998E-3</v>
      </c>
      <c r="H2376" s="3">
        <v>-3.7895545654963998E-3</v>
      </c>
      <c r="I2376" s="3">
        <v>-9.5373905693959E-3</v>
      </c>
      <c r="J2376" s="3">
        <v>6.0606664348500103E-3</v>
      </c>
      <c r="K2376" s="3">
        <v>3.4464178232858599E-2</v>
      </c>
      <c r="L2376" s="3">
        <v>5.8036134891426901E-2</v>
      </c>
      <c r="M2376" s="3">
        <v>7.3847609324819402E-2</v>
      </c>
      <c r="N2376" s="3">
        <v>8.24862274194091E-2</v>
      </c>
      <c r="O2376" s="3">
        <v>9.3627893753128799E-2</v>
      </c>
      <c r="P2376" s="3">
        <v>0.10506673533729</v>
      </c>
    </row>
    <row r="2377" spans="1:16" x14ac:dyDescent="0.45">
      <c r="A2377" s="7" t="s">
        <v>84</v>
      </c>
      <c r="B2377" s="7" t="s">
        <v>21</v>
      </c>
      <c r="C2377" s="7" t="s">
        <v>15</v>
      </c>
      <c r="D2377" s="7" t="s">
        <v>14</v>
      </c>
      <c r="E2377" s="7" t="s">
        <v>32</v>
      </c>
      <c r="F2377" s="3">
        <v>0</v>
      </c>
      <c r="G2377" s="3">
        <v>5.4595590710924E-2</v>
      </c>
      <c r="H2377" s="3">
        <v>5.4595590710924E-2</v>
      </c>
      <c r="I2377" s="3">
        <v>6.3318988404747999E-3</v>
      </c>
      <c r="J2377" s="3">
        <v>4.2400152688026202E-2</v>
      </c>
      <c r="K2377" s="3">
        <v>5.9838097932396701E-2</v>
      </c>
      <c r="L2377" s="3">
        <v>5.3384725972723798E-2</v>
      </c>
      <c r="M2377" s="3">
        <v>5.8807491181909401E-2</v>
      </c>
      <c r="N2377" s="3">
        <v>6.7857941028725402E-2</v>
      </c>
      <c r="O2377" s="3">
        <v>7.0721669003183205E-2</v>
      </c>
      <c r="P2377" s="3">
        <v>5.9930127837297301E-2</v>
      </c>
    </row>
    <row r="2378" spans="1:16" x14ac:dyDescent="0.45">
      <c r="A2378" s="7" t="s">
        <v>84</v>
      </c>
      <c r="B2378" s="7" t="s">
        <v>21</v>
      </c>
      <c r="C2378" s="7" t="s">
        <v>16</v>
      </c>
      <c r="D2378" s="7" t="s">
        <v>7</v>
      </c>
      <c r="E2378" s="7" t="s">
        <v>32</v>
      </c>
      <c r="F2378" s="3">
        <v>0.19444827134287301</v>
      </c>
      <c r="G2378" s="3">
        <v>7.0536744890128802E-2</v>
      </c>
      <c r="H2378" s="3">
        <v>7.0536744890128802E-2</v>
      </c>
      <c r="I2378" s="3">
        <v>7.2576141321276405E-2</v>
      </c>
      <c r="J2378" s="3">
        <v>7.2576141321276405E-2</v>
      </c>
      <c r="K2378" s="3">
        <v>7.5045662350973194E-2</v>
      </c>
      <c r="L2378" s="3">
        <v>7.2576141321276405E-2</v>
      </c>
      <c r="M2378" s="3">
        <v>7.2576141321276405E-2</v>
      </c>
      <c r="N2378" s="3">
        <v>7.2576141321276405E-2</v>
      </c>
      <c r="O2378" s="3">
        <v>7.2576141321276405E-2</v>
      </c>
      <c r="P2378" s="3">
        <v>7.2576141321276405E-2</v>
      </c>
    </row>
    <row r="2379" spans="1:16" x14ac:dyDescent="0.45">
      <c r="A2379" s="7" t="s">
        <v>84</v>
      </c>
      <c r="B2379" s="7" t="s">
        <v>21</v>
      </c>
      <c r="C2379" s="7" t="s">
        <v>16</v>
      </c>
      <c r="D2379" s="7" t="s">
        <v>9</v>
      </c>
      <c r="E2379" s="7" t="s">
        <v>32</v>
      </c>
      <c r="F2379" s="3">
        <v>0</v>
      </c>
      <c r="G2379" s="3">
        <v>0</v>
      </c>
      <c r="H2379" s="3">
        <v>0</v>
      </c>
      <c r="I2379" s="3">
        <v>0</v>
      </c>
      <c r="J2379" s="3">
        <v>2.5631578186441498E-3</v>
      </c>
      <c r="K2379" s="3">
        <v>2.9186395093354399E-4</v>
      </c>
      <c r="L2379" s="3">
        <v>2.4422619092821902E-3</v>
      </c>
      <c r="M2379" s="3">
        <v>2.2435868175772599E-3</v>
      </c>
      <c r="N2379" s="3">
        <v>2.29096970020678E-2</v>
      </c>
      <c r="O2379" s="3">
        <v>2.29050845918062E-2</v>
      </c>
      <c r="P2379" s="3">
        <v>2.29050845918062E-2</v>
      </c>
    </row>
    <row r="2380" spans="1:16" x14ac:dyDescent="0.45">
      <c r="A2380" s="7" t="s">
        <v>84</v>
      </c>
      <c r="B2380" s="7" t="s">
        <v>21</v>
      </c>
      <c r="C2380" s="7" t="s">
        <v>16</v>
      </c>
      <c r="D2380" s="7" t="s">
        <v>10</v>
      </c>
      <c r="E2380" s="7" t="s">
        <v>32</v>
      </c>
      <c r="F2380" s="3">
        <v>0</v>
      </c>
      <c r="G2380" s="3">
        <v>0</v>
      </c>
      <c r="H2380" s="3">
        <v>0</v>
      </c>
      <c r="I2380" s="3">
        <v>0</v>
      </c>
      <c r="J2380" s="3">
        <v>-1.2089590936195701E-4</v>
      </c>
      <c r="K2380" s="3">
        <v>2.3374577566265698E-3</v>
      </c>
      <c r="L2380" s="3">
        <v>2.0462822682524001E-2</v>
      </c>
      <c r="M2380" s="3">
        <v>2.06614977742293E-2</v>
      </c>
      <c r="N2380" s="3">
        <v>-4.6124102615757697E-6</v>
      </c>
      <c r="O2380" s="3">
        <v>0</v>
      </c>
      <c r="P2380" s="3">
        <v>0</v>
      </c>
    </row>
    <row r="2381" spans="1:16" x14ac:dyDescent="0.45">
      <c r="A2381" s="7" t="s">
        <v>84</v>
      </c>
      <c r="B2381" s="7" t="s">
        <v>21</v>
      </c>
      <c r="C2381" s="7" t="s">
        <v>16</v>
      </c>
      <c r="D2381" s="7" t="s">
        <v>11</v>
      </c>
      <c r="E2381" s="7" t="s">
        <v>32</v>
      </c>
      <c r="F2381" s="3">
        <v>0</v>
      </c>
      <c r="G2381" s="3">
        <v>0</v>
      </c>
      <c r="H2381" s="3">
        <v>0</v>
      </c>
      <c r="I2381" s="3">
        <v>0</v>
      </c>
      <c r="J2381" s="3">
        <v>2.0462822682524001E-2</v>
      </c>
      <c r="K2381" s="3">
        <v>1.78062418545493E-2</v>
      </c>
      <c r="L2381" s="3">
        <v>0</v>
      </c>
      <c r="M2381" s="3">
        <v>-4.16333634234434E-16</v>
      </c>
      <c r="N2381" s="3">
        <v>0</v>
      </c>
      <c r="O2381" s="3">
        <v>4.16333634234434E-16</v>
      </c>
      <c r="P2381" s="3">
        <v>0</v>
      </c>
    </row>
    <row r="2382" spans="1:16" x14ac:dyDescent="0.45">
      <c r="A2382" s="7" t="s">
        <v>84</v>
      </c>
      <c r="B2382" s="7" t="s">
        <v>21</v>
      </c>
      <c r="C2382" s="7" t="s">
        <v>16</v>
      </c>
      <c r="D2382" s="7" t="s">
        <v>12</v>
      </c>
      <c r="E2382" s="7" t="s">
        <v>32</v>
      </c>
      <c r="F2382" s="3">
        <v>0</v>
      </c>
      <c r="G2382" s="3">
        <v>0</v>
      </c>
      <c r="H2382" s="3">
        <v>0</v>
      </c>
      <c r="I2382" s="3">
        <v>2.29096970020678E-2</v>
      </c>
      <c r="J2382" s="3">
        <v>4.16333634234434E-16</v>
      </c>
      <c r="K2382" s="3">
        <v>0</v>
      </c>
      <c r="L2382" s="3">
        <v>4.16333634234434E-16</v>
      </c>
      <c r="M2382" s="3">
        <v>0</v>
      </c>
      <c r="N2382" s="3">
        <v>0</v>
      </c>
      <c r="O2382" s="3">
        <v>-4.16333634234434E-16</v>
      </c>
      <c r="P2382" s="3">
        <v>4.16333634234434E-16</v>
      </c>
    </row>
    <row r="2383" spans="1:16" x14ac:dyDescent="0.45">
      <c r="A2383" s="7" t="s">
        <v>84</v>
      </c>
      <c r="B2383" s="7" t="s">
        <v>21</v>
      </c>
      <c r="C2383" s="7" t="s">
        <v>16</v>
      </c>
      <c r="D2383" s="7" t="s">
        <v>13</v>
      </c>
      <c r="E2383" s="7" t="s">
        <v>32</v>
      </c>
      <c r="F2383" s="3">
        <v>0</v>
      </c>
      <c r="G2383" s="3">
        <v>0</v>
      </c>
      <c r="H2383" s="3">
        <v>0</v>
      </c>
      <c r="I2383" s="3">
        <v>-4.6124102615757697E-6</v>
      </c>
      <c r="J2383" s="3">
        <v>-4.16333634234434E-16</v>
      </c>
      <c r="K2383" s="3">
        <v>4.16333634234434E-16</v>
      </c>
      <c r="L2383" s="3">
        <v>0</v>
      </c>
      <c r="M2383" s="3">
        <v>0</v>
      </c>
      <c r="N2383" s="3">
        <v>4.16333634234434E-16</v>
      </c>
      <c r="O2383" s="3">
        <v>0</v>
      </c>
      <c r="P2383" s="3">
        <v>-4.16333634234434E-16</v>
      </c>
    </row>
    <row r="2384" spans="1:16" x14ac:dyDescent="0.45">
      <c r="A2384" s="7" t="s">
        <v>84</v>
      </c>
      <c r="B2384" s="7" t="s">
        <v>21</v>
      </c>
      <c r="C2384" s="7" t="s">
        <v>16</v>
      </c>
      <c r="D2384" s="7" t="s">
        <v>14</v>
      </c>
      <c r="E2384" s="7" t="s">
        <v>32</v>
      </c>
      <c r="F2384" s="3">
        <v>0</v>
      </c>
      <c r="G2384" s="3">
        <v>2.36768003479494E-2</v>
      </c>
      <c r="H2384" s="3">
        <v>2.36768003479494E-2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-4.16333634234434E-16</v>
      </c>
      <c r="O2384" s="3">
        <v>4.16333634234434E-16</v>
      </c>
      <c r="P2384" s="3">
        <v>0</v>
      </c>
    </row>
    <row r="2385" spans="1:16" x14ac:dyDescent="0.45">
      <c r="A2385" s="7" t="s">
        <v>84</v>
      </c>
      <c r="B2385" s="7" t="s">
        <v>21</v>
      </c>
      <c r="C2385" s="7" t="s">
        <v>17</v>
      </c>
      <c r="D2385" s="7" t="s">
        <v>7</v>
      </c>
      <c r="E2385" s="7" t="s">
        <v>32</v>
      </c>
      <c r="F2385" s="3">
        <v>0</v>
      </c>
      <c r="G2385" s="3">
        <v>0</v>
      </c>
      <c r="H2385" s="3">
        <v>0</v>
      </c>
      <c r="I2385" s="3">
        <v>0</v>
      </c>
      <c r="J2385" s="3">
        <v>3.1857986448147698E-3</v>
      </c>
      <c r="K2385" s="3">
        <v>5.7402978042227996E-3</v>
      </c>
      <c r="L2385" s="3">
        <v>3.2749432707120901E-3</v>
      </c>
      <c r="M2385" s="3">
        <v>5.6820913767568997E-5</v>
      </c>
      <c r="N2385" s="3">
        <v>0</v>
      </c>
      <c r="O2385" s="3">
        <v>0</v>
      </c>
      <c r="P2385" s="3">
        <v>0</v>
      </c>
    </row>
    <row r="2386" spans="1:16" x14ac:dyDescent="0.45">
      <c r="A2386" s="7" t="s">
        <v>84</v>
      </c>
      <c r="B2386" s="7" t="s">
        <v>21</v>
      </c>
      <c r="C2386" s="7" t="s">
        <v>17</v>
      </c>
      <c r="D2386" s="7" t="s">
        <v>9</v>
      </c>
      <c r="E2386" s="7" t="s">
        <v>32</v>
      </c>
      <c r="F2386" s="3">
        <v>0</v>
      </c>
      <c r="G2386" s="3">
        <v>0</v>
      </c>
      <c r="H2386" s="3">
        <v>0</v>
      </c>
      <c r="I2386" s="3">
        <v>9.3271547937911505E-4</v>
      </c>
      <c r="J2386" s="3">
        <v>1.4347354628921401E-4</v>
      </c>
      <c r="K2386" s="3">
        <v>2.9193905331761799E-3</v>
      </c>
      <c r="L2386" s="3">
        <v>1.6447203349319801E-3</v>
      </c>
      <c r="M2386" s="3">
        <v>3.2724512773364299E-3</v>
      </c>
      <c r="N2386" s="3">
        <v>5.4754917102159198E-2</v>
      </c>
      <c r="O2386" s="3">
        <v>8.8384009919365195E-2</v>
      </c>
      <c r="P2386" s="3">
        <v>8.8213674385995103E-2</v>
      </c>
    </row>
    <row r="2387" spans="1:16" x14ac:dyDescent="0.45">
      <c r="A2387" s="7" t="s">
        <v>84</v>
      </c>
      <c r="B2387" s="7" t="s">
        <v>21</v>
      </c>
      <c r="C2387" s="7" t="s">
        <v>17</v>
      </c>
      <c r="D2387" s="7" t="s">
        <v>10</v>
      </c>
      <c r="E2387" s="7" t="s">
        <v>32</v>
      </c>
      <c r="F2387" s="3">
        <v>0</v>
      </c>
      <c r="G2387" s="3">
        <v>0</v>
      </c>
      <c r="H2387" s="3">
        <v>0</v>
      </c>
      <c r="I2387" s="3">
        <v>1.09821623935681E-4</v>
      </c>
      <c r="J2387" s="3">
        <v>1.9398566258518801E-3</v>
      </c>
      <c r="K2387" s="3">
        <v>-4.8894327494761198E-8</v>
      </c>
      <c r="L2387" s="3">
        <v>8.2474073273992907E-2</v>
      </c>
      <c r="M2387" s="3">
        <v>8.5298920076338505E-2</v>
      </c>
      <c r="N2387" s="3">
        <v>3.7188539748836798E-2</v>
      </c>
      <c r="O2387" s="3">
        <v>5.0792726230169003E-3</v>
      </c>
      <c r="P2387" s="3">
        <v>5.8736759744265196E-3</v>
      </c>
    </row>
    <row r="2388" spans="1:16" x14ac:dyDescent="0.45">
      <c r="A2388" s="7" t="s">
        <v>84</v>
      </c>
      <c r="B2388" s="7" t="s">
        <v>21</v>
      </c>
      <c r="C2388" s="7" t="s">
        <v>17</v>
      </c>
      <c r="D2388" s="7" t="s">
        <v>11</v>
      </c>
      <c r="E2388" s="7" t="s">
        <v>32</v>
      </c>
      <c r="F2388" s="3">
        <v>0</v>
      </c>
      <c r="G2388" s="3">
        <v>0</v>
      </c>
      <c r="H2388" s="3">
        <v>0</v>
      </c>
      <c r="I2388" s="3">
        <v>7.4385348990405498E-4</v>
      </c>
      <c r="J2388" s="3">
        <v>5.8070923667243098E-2</v>
      </c>
      <c r="K2388" s="3">
        <v>8.0128668276993498E-2</v>
      </c>
      <c r="L2388" s="3">
        <v>4.98774054475239E-3</v>
      </c>
      <c r="M2388" s="3">
        <v>8.4106894856516394E-3</v>
      </c>
      <c r="N2388" s="3">
        <v>1.1494610682324E-2</v>
      </c>
      <c r="O2388" s="3">
        <v>3.8272978555966897E-2</v>
      </c>
      <c r="P2388" s="3">
        <v>4.8424337023348099E-2</v>
      </c>
    </row>
    <row r="2389" spans="1:16" x14ac:dyDescent="0.45">
      <c r="A2389" s="7" t="s">
        <v>84</v>
      </c>
      <c r="B2389" s="7" t="s">
        <v>21</v>
      </c>
      <c r="C2389" s="7" t="s">
        <v>17</v>
      </c>
      <c r="D2389" s="7" t="s">
        <v>12</v>
      </c>
      <c r="E2389" s="7" t="s">
        <v>32</v>
      </c>
      <c r="F2389" s="3">
        <v>0</v>
      </c>
      <c r="G2389" s="3">
        <v>0</v>
      </c>
      <c r="H2389" s="3">
        <v>0</v>
      </c>
      <c r="I2389" s="3">
        <v>4.2274578898288798E-2</v>
      </c>
      <c r="J2389" s="3">
        <v>3.09335219652319E-2</v>
      </c>
      <c r="K2389" s="3">
        <v>2.9810652383703801E-2</v>
      </c>
      <c r="L2389" s="3">
        <v>4.7007526104157198E-2</v>
      </c>
      <c r="M2389" s="3">
        <v>5.3093946926452799E-2</v>
      </c>
      <c r="N2389" s="3">
        <v>6.6638414474444893E-2</v>
      </c>
      <c r="O2389" s="3">
        <v>6.64317475708424E-2</v>
      </c>
      <c r="P2389" s="3">
        <v>8.3435231585273897E-2</v>
      </c>
    </row>
    <row r="2390" spans="1:16" x14ac:dyDescent="0.45">
      <c r="A2390" s="7" t="s">
        <v>84</v>
      </c>
      <c r="B2390" s="7" t="s">
        <v>21</v>
      </c>
      <c r="C2390" s="7" t="s">
        <v>17</v>
      </c>
      <c r="D2390" s="7" t="s">
        <v>13</v>
      </c>
      <c r="E2390" s="7" t="s">
        <v>32</v>
      </c>
      <c r="F2390" s="3">
        <v>0</v>
      </c>
      <c r="G2390" s="3">
        <v>0</v>
      </c>
      <c r="H2390" s="3">
        <v>0</v>
      </c>
      <c r="I2390" s="3">
        <v>5.7840272102205999E-2</v>
      </c>
      <c r="J2390" s="3">
        <v>4.9635474571115799E-2</v>
      </c>
      <c r="K2390" s="3">
        <v>5.66337914751869E-2</v>
      </c>
      <c r="L2390" s="3">
        <v>8.3939102481274203E-2</v>
      </c>
      <c r="M2390" s="3">
        <v>0.13398548468173499</v>
      </c>
      <c r="N2390" s="3">
        <v>0.18374508724991201</v>
      </c>
      <c r="O2390" s="3">
        <v>0.22962340783576701</v>
      </c>
      <c r="P2390" s="3">
        <v>0.28468894891777102</v>
      </c>
    </row>
    <row r="2391" spans="1:16" x14ac:dyDescent="0.45">
      <c r="A2391" s="7" t="s">
        <v>84</v>
      </c>
      <c r="B2391" s="7" t="s">
        <v>21</v>
      </c>
      <c r="C2391" s="7" t="s">
        <v>17</v>
      </c>
      <c r="D2391" s="7" t="s">
        <v>14</v>
      </c>
      <c r="E2391" s="7" t="s">
        <v>32</v>
      </c>
      <c r="F2391" s="3">
        <v>0</v>
      </c>
      <c r="G2391" s="3">
        <v>0.116224325899698</v>
      </c>
      <c r="H2391" s="3">
        <v>0.116224325899698</v>
      </c>
      <c r="I2391" s="3">
        <v>3.6419556958621299E-2</v>
      </c>
      <c r="J2391" s="3">
        <v>5.6732463128325597E-2</v>
      </c>
      <c r="K2391" s="3">
        <v>0.114906768036267</v>
      </c>
      <c r="L2391" s="3">
        <v>0.17287388458950101</v>
      </c>
      <c r="M2391" s="3">
        <v>0.22686049202743999</v>
      </c>
      <c r="N2391" s="3">
        <v>0.27182133127896302</v>
      </c>
      <c r="O2391" s="3">
        <v>0.29662531193056102</v>
      </c>
      <c r="P2391" s="3">
        <v>0.27550393728412198</v>
      </c>
    </row>
    <row r="2392" spans="1:16" x14ac:dyDescent="0.45">
      <c r="A2392" s="7" t="s">
        <v>84</v>
      </c>
      <c r="B2392" s="7" t="s">
        <v>21</v>
      </c>
      <c r="C2392" s="7" t="s">
        <v>18</v>
      </c>
      <c r="D2392" s="7" t="s">
        <v>7</v>
      </c>
      <c r="E2392" s="7" t="s">
        <v>32</v>
      </c>
      <c r="F2392" s="3">
        <v>2.4165457390618601E-2</v>
      </c>
      <c r="G2392" s="3">
        <v>1.6045384110094699E-4</v>
      </c>
      <c r="H2392" s="3">
        <v>1.6045384110094699E-4</v>
      </c>
      <c r="I2392" s="3">
        <v>1.0696922740062401E-4</v>
      </c>
      <c r="J2392" s="3">
        <v>5.3484613700334798E-5</v>
      </c>
      <c r="K2392" s="3">
        <v>3.42662436513126E-17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</row>
    <row r="2393" spans="1:16" x14ac:dyDescent="0.45">
      <c r="A2393" s="7" t="s">
        <v>84</v>
      </c>
      <c r="B2393" s="7" t="s">
        <v>21</v>
      </c>
      <c r="C2393" s="7" t="s">
        <v>18</v>
      </c>
      <c r="D2393" s="7" t="s">
        <v>9</v>
      </c>
      <c r="E2393" s="7" t="s">
        <v>32</v>
      </c>
      <c r="F2393" s="3">
        <v>0</v>
      </c>
      <c r="G2393" s="3">
        <v>0</v>
      </c>
      <c r="H2393" s="3">
        <v>0</v>
      </c>
      <c r="I2393" s="3">
        <v>2.3052848692473001E-17</v>
      </c>
      <c r="J2393" s="3">
        <v>1.11130722679764E-17</v>
      </c>
      <c r="K2393" s="3">
        <v>-2.2844162434208401E-17</v>
      </c>
      <c r="L2393" s="3">
        <v>0</v>
      </c>
      <c r="M2393" s="3">
        <v>0</v>
      </c>
      <c r="N2393" s="3">
        <v>2.2844162434208401E-17</v>
      </c>
      <c r="O2393" s="3">
        <v>0</v>
      </c>
      <c r="P2393" s="3">
        <v>0</v>
      </c>
    </row>
    <row r="2394" spans="1:16" x14ac:dyDescent="0.45">
      <c r="A2394" s="7" t="s">
        <v>84</v>
      </c>
      <c r="B2394" s="7" t="s">
        <v>21</v>
      </c>
      <c r="C2394" s="7" t="s">
        <v>18</v>
      </c>
      <c r="D2394" s="7" t="s">
        <v>10</v>
      </c>
      <c r="E2394" s="7" t="s">
        <v>32</v>
      </c>
      <c r="F2394" s="3">
        <v>0</v>
      </c>
      <c r="G2394" s="3">
        <v>0</v>
      </c>
      <c r="H2394" s="3">
        <v>0</v>
      </c>
      <c r="I2394" s="3">
        <v>1.11130722679764E-17</v>
      </c>
      <c r="J2394" s="3">
        <v>-2.2632720350634899E-17</v>
      </c>
      <c r="K2394" s="3">
        <v>-1.14220812171042E-17</v>
      </c>
      <c r="L2394" s="3">
        <v>0</v>
      </c>
      <c r="M2394" s="3">
        <v>7.9954568519729296E-17</v>
      </c>
      <c r="N2394" s="3">
        <v>2.2844162434208601E-17</v>
      </c>
      <c r="O2394" s="3">
        <v>5.7110406085521201E-17</v>
      </c>
      <c r="P2394" s="3">
        <v>0</v>
      </c>
    </row>
    <row r="2395" spans="1:16" x14ac:dyDescent="0.45">
      <c r="A2395" s="7" t="s">
        <v>84</v>
      </c>
      <c r="B2395" s="7" t="s">
        <v>21</v>
      </c>
      <c r="C2395" s="7" t="s">
        <v>18</v>
      </c>
      <c r="D2395" s="7" t="s">
        <v>11</v>
      </c>
      <c r="E2395" s="7" t="s">
        <v>32</v>
      </c>
      <c r="F2395" s="3">
        <v>0</v>
      </c>
      <c r="G2395" s="3">
        <v>-3.4152368433293402E-17</v>
      </c>
      <c r="H2395" s="3">
        <v>-3.4152368433293402E-17</v>
      </c>
      <c r="I2395" s="3">
        <v>-1.11130722679764E-17</v>
      </c>
      <c r="J2395" s="3">
        <v>-1.1526424346236501E-17</v>
      </c>
      <c r="K2395" s="3">
        <v>0</v>
      </c>
      <c r="L2395" s="3">
        <v>2.2844162434208401E-17</v>
      </c>
      <c r="M2395" s="3">
        <v>-3.4266243651312298E-17</v>
      </c>
      <c r="N2395" s="3">
        <v>-2.2844162434208601E-17</v>
      </c>
      <c r="O2395" s="3">
        <v>-5.7110406085521201E-17</v>
      </c>
      <c r="P2395" s="3">
        <v>1.4848705582235499E-16</v>
      </c>
    </row>
    <row r="2396" spans="1:16" x14ac:dyDescent="0.45">
      <c r="A2396" s="7" t="s">
        <v>84</v>
      </c>
      <c r="B2396" s="7" t="s">
        <v>21</v>
      </c>
      <c r="C2396" s="7" t="s">
        <v>18</v>
      </c>
      <c r="D2396" s="7" t="s">
        <v>12</v>
      </c>
      <c r="E2396" s="7" t="s">
        <v>32</v>
      </c>
      <c r="F2396" s="3">
        <v>0</v>
      </c>
      <c r="G2396" s="3">
        <v>0</v>
      </c>
      <c r="H2396" s="3">
        <v>0</v>
      </c>
      <c r="I2396" s="3">
        <v>-1.15332006098146E-17</v>
      </c>
      <c r="J2396" s="3">
        <v>-7.9831161212823298E-17</v>
      </c>
      <c r="K2396" s="3">
        <v>0</v>
      </c>
      <c r="L2396" s="3">
        <v>-2.2844162434208401E-17</v>
      </c>
      <c r="M2396" s="3">
        <v>-4.5688324868416999E-17</v>
      </c>
      <c r="N2396" s="3">
        <v>0</v>
      </c>
      <c r="O2396" s="3">
        <v>0</v>
      </c>
      <c r="P2396" s="3">
        <v>-1.4848705582235499E-16</v>
      </c>
    </row>
    <row r="2397" spans="1:16" x14ac:dyDescent="0.45">
      <c r="A2397" s="7" t="s">
        <v>84</v>
      </c>
      <c r="B2397" s="7" t="s">
        <v>21</v>
      </c>
      <c r="C2397" s="7" t="s">
        <v>18</v>
      </c>
      <c r="D2397" s="7" t="s">
        <v>13</v>
      </c>
      <c r="E2397" s="7" t="s">
        <v>32</v>
      </c>
      <c r="F2397" s="3">
        <v>0</v>
      </c>
      <c r="G2397" s="3">
        <v>-1.1546753136970601E-17</v>
      </c>
      <c r="H2397" s="3">
        <v>-1.1546753136970601E-17</v>
      </c>
      <c r="I2397" s="3">
        <v>4.56855690431079E-17</v>
      </c>
      <c r="J2397" s="3">
        <v>2.5103346051186199E-16</v>
      </c>
      <c r="K2397" s="3">
        <v>0</v>
      </c>
      <c r="L2397" s="3">
        <v>3.5408451773022999E-16</v>
      </c>
      <c r="M2397" s="3">
        <v>1.8275329947366799E-16</v>
      </c>
      <c r="N2397" s="3">
        <v>-2.2844162434208401E-17</v>
      </c>
      <c r="O2397" s="3">
        <v>4.5688324868416999E-17</v>
      </c>
      <c r="P2397" s="3">
        <v>1.1650522841446301E-15</v>
      </c>
    </row>
    <row r="2398" spans="1:16" x14ac:dyDescent="0.45">
      <c r="A2398" s="7" t="s">
        <v>84</v>
      </c>
      <c r="B2398" s="7" t="s">
        <v>21</v>
      </c>
      <c r="C2398" s="7" t="s">
        <v>18</v>
      </c>
      <c r="D2398" s="7" t="s">
        <v>14</v>
      </c>
      <c r="E2398" s="7" t="s">
        <v>32</v>
      </c>
      <c r="F2398" s="3">
        <v>0</v>
      </c>
      <c r="G2398" s="3">
        <v>-2.3039296165317E-17</v>
      </c>
      <c r="H2398" s="3">
        <v>-2.3039296165317E-17</v>
      </c>
      <c r="I2398" s="3">
        <v>-4.56855690431079E-17</v>
      </c>
      <c r="J2398" s="3">
        <v>-2.0535466773233299E-16</v>
      </c>
      <c r="K2398" s="3">
        <v>0</v>
      </c>
      <c r="L2398" s="3">
        <v>6.8532487302625495E-17</v>
      </c>
      <c r="M2398" s="3">
        <v>-1.1422081217104201E-16</v>
      </c>
      <c r="N2398" s="3">
        <v>0</v>
      </c>
      <c r="O2398" s="3">
        <v>4.5688324868416598E-17</v>
      </c>
      <c r="P2398" s="3">
        <v>-1.0394093907564799E-15</v>
      </c>
    </row>
    <row r="2399" spans="1:16" x14ac:dyDescent="0.45">
      <c r="A2399" s="7" t="s">
        <v>84</v>
      </c>
      <c r="B2399" s="7" t="s">
        <v>21</v>
      </c>
      <c r="C2399" s="7" t="s">
        <v>19</v>
      </c>
      <c r="D2399" s="7" t="s">
        <v>12</v>
      </c>
      <c r="E2399" s="7" t="s">
        <v>32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1.12500486456564E-2</v>
      </c>
      <c r="N2399" s="3">
        <v>3.7164749229512899E-2</v>
      </c>
      <c r="O2399" s="3">
        <v>9.6823660464990205E-2</v>
      </c>
      <c r="P2399" s="3">
        <v>0.12808772892669201</v>
      </c>
    </row>
    <row r="2400" spans="1:16" x14ac:dyDescent="0.45">
      <c r="A2400" s="7" t="s">
        <v>84</v>
      </c>
      <c r="B2400" s="7" t="s">
        <v>21</v>
      </c>
      <c r="C2400" s="7" t="s">
        <v>19</v>
      </c>
      <c r="D2400" s="7" t="s">
        <v>13</v>
      </c>
      <c r="E2400" s="7" t="s">
        <v>32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3.1989746435400299E-2</v>
      </c>
      <c r="L2400" s="3">
        <v>0.106201016963185</v>
      </c>
      <c r="M2400" s="3">
        <v>0.22036191480005801</v>
      </c>
      <c r="N2400" s="3">
        <v>0.35077375819018503</v>
      </c>
      <c r="O2400" s="3">
        <v>0.46691785715437101</v>
      </c>
      <c r="P2400" s="3">
        <v>0.60776833429611898</v>
      </c>
    </row>
    <row r="2401" spans="1:16" x14ac:dyDescent="0.45">
      <c r="A2401" s="7" t="s">
        <v>84</v>
      </c>
      <c r="B2401" s="7" t="s">
        <v>21</v>
      </c>
      <c r="C2401" s="7" t="s">
        <v>19</v>
      </c>
      <c r="D2401" s="7" t="s">
        <v>14</v>
      </c>
      <c r="E2401" s="7" t="s">
        <v>32</v>
      </c>
      <c r="F2401" s="3">
        <v>0</v>
      </c>
      <c r="G2401" s="3">
        <v>0</v>
      </c>
      <c r="H2401" s="3">
        <v>0</v>
      </c>
      <c r="I2401" s="3">
        <v>0</v>
      </c>
      <c r="J2401" s="3">
        <v>7.1812233282698507E-2</v>
      </c>
      <c r="K2401" s="3">
        <v>0.19741007532996699</v>
      </c>
      <c r="L2401" s="3">
        <v>0.39226472828465397</v>
      </c>
      <c r="M2401" s="3">
        <v>0.54763885854746297</v>
      </c>
      <c r="N2401" s="3">
        <v>0.65502480718888201</v>
      </c>
      <c r="O2401" s="3">
        <v>0.70250449313276297</v>
      </c>
      <c r="P2401" s="3">
        <v>0.65207904732767896</v>
      </c>
    </row>
    <row r="2402" spans="1:16" x14ac:dyDescent="0.45">
      <c r="A2402" s="7" t="s">
        <v>85</v>
      </c>
      <c r="B2402" s="7" t="s">
        <v>29</v>
      </c>
      <c r="C2402" s="7" t="s">
        <v>6</v>
      </c>
      <c r="D2402" s="7" t="s">
        <v>7</v>
      </c>
      <c r="E2402" s="7" t="s">
        <v>32</v>
      </c>
      <c r="F2402" s="3">
        <v>0</v>
      </c>
      <c r="G2402" s="3">
        <v>0</v>
      </c>
      <c r="H2402" s="3">
        <v>0</v>
      </c>
      <c r="I2402" s="3">
        <v>2.9100812978262902E-4</v>
      </c>
      <c r="J2402" s="3">
        <v>1.3179293477565499E-3</v>
      </c>
      <c r="K2402" s="3">
        <v>2.4877348276320199E-3</v>
      </c>
      <c r="L2402" s="3">
        <v>1.5828276912084699E-4</v>
      </c>
      <c r="M2402" s="3">
        <v>0</v>
      </c>
      <c r="N2402" s="3">
        <v>0</v>
      </c>
      <c r="O2402" s="3">
        <v>0</v>
      </c>
      <c r="P2402" s="3">
        <v>0</v>
      </c>
    </row>
    <row r="2403" spans="1:16" x14ac:dyDescent="0.45">
      <c r="A2403" s="7" t="s">
        <v>85</v>
      </c>
      <c r="B2403" s="7" t="s">
        <v>29</v>
      </c>
      <c r="C2403" s="7" t="s">
        <v>6</v>
      </c>
      <c r="D2403" s="7" t="s">
        <v>9</v>
      </c>
      <c r="E2403" s="7" t="s">
        <v>32</v>
      </c>
      <c r="F2403" s="3">
        <v>0</v>
      </c>
      <c r="G2403" s="3">
        <v>0</v>
      </c>
      <c r="H2403" s="3">
        <v>0</v>
      </c>
      <c r="I2403" s="3">
        <v>6.1876777080668605E-4</v>
      </c>
      <c r="J2403" s="3">
        <v>8.4629591432557104E-4</v>
      </c>
      <c r="K2403" s="3">
        <v>1.47560780911036E-3</v>
      </c>
      <c r="L2403" s="3">
        <v>1.7539915278771299E-3</v>
      </c>
      <c r="M2403" s="3">
        <v>1.81104738009698E-3</v>
      </c>
      <c r="N2403" s="3">
        <v>1.77502553435667E-3</v>
      </c>
      <c r="O2403" s="3">
        <v>1.77282465053853E-3</v>
      </c>
      <c r="P2403" s="3">
        <v>1.77282465053853E-3</v>
      </c>
    </row>
    <row r="2404" spans="1:16" x14ac:dyDescent="0.45">
      <c r="A2404" s="7" t="s">
        <v>85</v>
      </c>
      <c r="B2404" s="7" t="s">
        <v>29</v>
      </c>
      <c r="C2404" s="7" t="s">
        <v>6</v>
      </c>
      <c r="D2404" s="7" t="s">
        <v>10</v>
      </c>
      <c r="E2404" s="7" t="s">
        <v>32</v>
      </c>
      <c r="F2404" s="3">
        <v>0</v>
      </c>
      <c r="G2404" s="3">
        <v>0</v>
      </c>
      <c r="H2404" s="3">
        <v>0</v>
      </c>
      <c r="I2404" s="3">
        <v>2.8140862754382699E-4</v>
      </c>
      <c r="J2404" s="3">
        <v>2.9262330072022801E-4</v>
      </c>
      <c r="K2404" s="3">
        <v>1.09008524824742E-3</v>
      </c>
      <c r="L2404" s="3">
        <v>4.5110385163153499E-4</v>
      </c>
      <c r="M2404" s="3">
        <v>4.9285362248274798E-4</v>
      </c>
      <c r="N2404" s="3">
        <v>7.8514858278637498E-3</v>
      </c>
      <c r="O2404" s="3">
        <v>1.29113755884192E-2</v>
      </c>
      <c r="P2404" s="3">
        <v>3.06853514544588E-2</v>
      </c>
    </row>
    <row r="2405" spans="1:16" x14ac:dyDescent="0.45">
      <c r="A2405" s="7" t="s">
        <v>85</v>
      </c>
      <c r="B2405" s="7" t="s">
        <v>29</v>
      </c>
      <c r="C2405" s="7" t="s">
        <v>6</v>
      </c>
      <c r="D2405" s="7" t="s">
        <v>11</v>
      </c>
      <c r="E2405" s="7" t="s">
        <v>32</v>
      </c>
      <c r="F2405" s="3">
        <v>0</v>
      </c>
      <c r="G2405" s="3">
        <v>0</v>
      </c>
      <c r="H2405" s="3">
        <v>0</v>
      </c>
      <c r="I2405" s="3">
        <v>4.9508659662002297E-4</v>
      </c>
      <c r="J2405" s="3">
        <v>2.5107924391638099E-3</v>
      </c>
      <c r="K2405" s="3">
        <v>2.1865582979082999E-3</v>
      </c>
      <c r="L2405" s="3">
        <v>1.01446411154422E-2</v>
      </c>
      <c r="M2405" s="3">
        <v>3.4414063909476898E-2</v>
      </c>
      <c r="N2405" s="3">
        <v>4.3875378349360498E-2</v>
      </c>
      <c r="O2405" s="3">
        <v>5.8770825812106998E-2</v>
      </c>
      <c r="P2405" s="3">
        <v>0.100912947387278</v>
      </c>
    </row>
    <row r="2406" spans="1:16" x14ac:dyDescent="0.45">
      <c r="A2406" s="7" t="s">
        <v>85</v>
      </c>
      <c r="B2406" s="7" t="s">
        <v>29</v>
      </c>
      <c r="C2406" s="7" t="s">
        <v>6</v>
      </c>
      <c r="D2406" s="7" t="s">
        <v>12</v>
      </c>
      <c r="E2406" s="7" t="s">
        <v>32</v>
      </c>
      <c r="F2406" s="3">
        <v>0</v>
      </c>
      <c r="G2406" s="3">
        <v>0</v>
      </c>
      <c r="H2406" s="3">
        <v>0</v>
      </c>
      <c r="I2406" s="3">
        <v>4.7902694236724399E-4</v>
      </c>
      <c r="J2406" s="3">
        <v>1.1981841384709001E-2</v>
      </c>
      <c r="K2406" s="3">
        <v>4.1975125894104598E-2</v>
      </c>
      <c r="L2406" s="3">
        <v>5.9218576324042101E-2</v>
      </c>
      <c r="M2406" s="3">
        <v>0.10942773385835899</v>
      </c>
      <c r="N2406" s="3">
        <v>0.172118999580639</v>
      </c>
      <c r="O2406" s="3">
        <v>0.22964914715135201</v>
      </c>
      <c r="P2406" s="3">
        <v>0.24087901048188901</v>
      </c>
    </row>
    <row r="2407" spans="1:16" x14ac:dyDescent="0.45">
      <c r="A2407" s="7" t="s">
        <v>85</v>
      </c>
      <c r="B2407" s="7" t="s">
        <v>29</v>
      </c>
      <c r="C2407" s="7" t="s">
        <v>6</v>
      </c>
      <c r="D2407" s="7" t="s">
        <v>13</v>
      </c>
      <c r="E2407" s="7" t="s">
        <v>32</v>
      </c>
      <c r="F2407" s="3">
        <v>0</v>
      </c>
      <c r="G2407" s="3">
        <v>1.04938879099241E-4</v>
      </c>
      <c r="H2407" s="3">
        <v>1.04938879099241E-4</v>
      </c>
      <c r="I2407" s="3">
        <v>3.03803641232759E-2</v>
      </c>
      <c r="J2407" s="3">
        <v>0.11487904331302</v>
      </c>
      <c r="K2407" s="3">
        <v>0.182662547992055</v>
      </c>
      <c r="L2407" s="3">
        <v>0.24821837323296</v>
      </c>
      <c r="M2407" s="3">
        <v>0.25748024562746702</v>
      </c>
      <c r="N2407" s="3">
        <v>0.25881163586730399</v>
      </c>
      <c r="O2407" s="3">
        <v>0.260882957696707</v>
      </c>
      <c r="P2407" s="3">
        <v>0.27498840526491097</v>
      </c>
    </row>
    <row r="2408" spans="1:16" x14ac:dyDescent="0.45">
      <c r="A2408" s="7" t="s">
        <v>85</v>
      </c>
      <c r="B2408" s="7" t="s">
        <v>29</v>
      </c>
      <c r="C2408" s="7" t="s">
        <v>6</v>
      </c>
      <c r="D2408" s="7" t="s">
        <v>14</v>
      </c>
      <c r="E2408" s="7" t="s">
        <v>32</v>
      </c>
      <c r="F2408" s="3">
        <v>0</v>
      </c>
      <c r="G2408" s="3">
        <v>3.9736967309599103E-3</v>
      </c>
      <c r="H2408" s="3">
        <v>3.9736967309599103E-3</v>
      </c>
      <c r="I2408" s="3">
        <v>8.0351517596081501E-2</v>
      </c>
      <c r="J2408" s="3">
        <v>8.5199828984311998E-2</v>
      </c>
      <c r="K2408" s="3">
        <v>9.5711317930269102E-2</v>
      </c>
      <c r="L2408" s="3">
        <v>0.12690355261800701</v>
      </c>
      <c r="M2408" s="3">
        <v>0.16738681066330199</v>
      </c>
      <c r="N2408" s="3">
        <v>0.215416611912919</v>
      </c>
      <c r="O2408" s="3">
        <v>0.26163987818502599</v>
      </c>
      <c r="P2408" s="3">
        <v>0.28291424633838302</v>
      </c>
    </row>
    <row r="2409" spans="1:16" x14ac:dyDescent="0.45">
      <c r="A2409" s="7" t="s">
        <v>85</v>
      </c>
      <c r="B2409" s="7" t="s">
        <v>29</v>
      </c>
      <c r="C2409" s="7" t="s">
        <v>15</v>
      </c>
      <c r="D2409" s="7" t="s">
        <v>7</v>
      </c>
      <c r="E2409" s="7" t="s">
        <v>32</v>
      </c>
      <c r="F2409" s="3">
        <v>0.16847269681323099</v>
      </c>
      <c r="G2409" s="3">
        <v>0.186148113906867</v>
      </c>
      <c r="H2409" s="3">
        <v>0.186148113906867</v>
      </c>
      <c r="I2409" s="3">
        <v>0.16775290225403799</v>
      </c>
      <c r="J2409" s="3">
        <v>0.180687477069716</v>
      </c>
      <c r="K2409" s="3">
        <v>0.19615459783347999</v>
      </c>
      <c r="L2409" s="3">
        <v>0.20380393426697699</v>
      </c>
      <c r="M2409" s="3">
        <v>0.20931927818680601</v>
      </c>
      <c r="N2409" s="3">
        <v>0.215018703597604</v>
      </c>
      <c r="O2409" s="3">
        <v>0.22024729927169501</v>
      </c>
      <c r="P2409" s="3">
        <v>0.224727111184719</v>
      </c>
    </row>
    <row r="2410" spans="1:16" x14ac:dyDescent="0.45">
      <c r="A2410" s="7" t="s">
        <v>85</v>
      </c>
      <c r="B2410" s="7" t="s">
        <v>29</v>
      </c>
      <c r="C2410" s="7" t="s">
        <v>15</v>
      </c>
      <c r="D2410" s="7" t="s">
        <v>9</v>
      </c>
      <c r="E2410" s="7" t="s">
        <v>32</v>
      </c>
      <c r="F2410" s="3">
        <v>0</v>
      </c>
      <c r="G2410" s="3">
        <v>-2.04920511471252E-4</v>
      </c>
      <c r="H2410" s="3">
        <v>-2.04920511471252E-4</v>
      </c>
      <c r="I2410" s="3">
        <v>-2.6738306142401501E-4</v>
      </c>
      <c r="J2410" s="3">
        <v>7.2343385221856904E-5</v>
      </c>
      <c r="K2410" s="3">
        <v>-1.7720963762413199E-4</v>
      </c>
      <c r="L2410" s="3">
        <v>-1.8042928223185001E-3</v>
      </c>
      <c r="M2410" s="3">
        <v>-3.7229101321399299E-3</v>
      </c>
      <c r="N2410" s="3">
        <v>-6.2880401814309804E-3</v>
      </c>
      <c r="O2410" s="3">
        <v>-8.7700863207963997E-3</v>
      </c>
      <c r="P2410" s="3">
        <v>-1.1134570095652699E-2</v>
      </c>
    </row>
    <row r="2411" spans="1:16" x14ac:dyDescent="0.45">
      <c r="A2411" s="7" t="s">
        <v>85</v>
      </c>
      <c r="B2411" s="7" t="s">
        <v>29</v>
      </c>
      <c r="C2411" s="7" t="s">
        <v>15</v>
      </c>
      <c r="D2411" s="7" t="s">
        <v>10</v>
      </c>
      <c r="E2411" s="7" t="s">
        <v>32</v>
      </c>
      <c r="F2411" s="3">
        <v>0</v>
      </c>
      <c r="G2411" s="3">
        <v>-3.75984585068712E-6</v>
      </c>
      <c r="H2411" s="3">
        <v>-3.75984585068712E-6</v>
      </c>
      <c r="I2411" s="3">
        <v>-1.66804354627903E-4</v>
      </c>
      <c r="J2411" s="3">
        <v>4.4637195776825503E-5</v>
      </c>
      <c r="K2411" s="3">
        <v>-9.7889569757073102E-4</v>
      </c>
      <c r="L2411" s="3">
        <v>-2.1411364082861701E-3</v>
      </c>
      <c r="M2411" s="3">
        <v>-2.18632572673641E-3</v>
      </c>
      <c r="N2411" s="3">
        <v>-4.6466753762386398E-4</v>
      </c>
      <c r="O2411" s="3">
        <v>-6.7150090570833299E-4</v>
      </c>
      <c r="P2411" s="3">
        <v>-7.9380575091092499E-4</v>
      </c>
    </row>
    <row r="2412" spans="1:16" x14ac:dyDescent="0.45">
      <c r="A2412" s="7" t="s">
        <v>85</v>
      </c>
      <c r="B2412" s="7" t="s">
        <v>29</v>
      </c>
      <c r="C2412" s="7" t="s">
        <v>15</v>
      </c>
      <c r="D2412" s="7" t="s">
        <v>11</v>
      </c>
      <c r="E2412" s="7" t="s">
        <v>32</v>
      </c>
      <c r="F2412" s="3">
        <v>0</v>
      </c>
      <c r="G2412" s="3">
        <v>1.47453390451635E-5</v>
      </c>
      <c r="H2412" s="3">
        <v>1.47453390451635E-5</v>
      </c>
      <c r="I2412" s="3">
        <v>-1.2093856239550601E-4</v>
      </c>
      <c r="J2412" s="3">
        <v>-1.12466556364252E-3</v>
      </c>
      <c r="K2412" s="3">
        <v>-1.16067594652447E-3</v>
      </c>
      <c r="L2412" s="3">
        <v>3.4341954279317501E-3</v>
      </c>
      <c r="M2412" s="3">
        <v>3.4360475206818299E-3</v>
      </c>
      <c r="N2412" s="3">
        <v>1.8438603425375E-3</v>
      </c>
      <c r="O2412" s="3">
        <v>1.12440074226694E-3</v>
      </c>
      <c r="P2412" s="3">
        <v>2.2357783038803899E-4</v>
      </c>
    </row>
    <row r="2413" spans="1:16" x14ac:dyDescent="0.45">
      <c r="A2413" s="7" t="s">
        <v>85</v>
      </c>
      <c r="B2413" s="7" t="s">
        <v>29</v>
      </c>
      <c r="C2413" s="7" t="s">
        <v>15</v>
      </c>
      <c r="D2413" s="7" t="s">
        <v>12</v>
      </c>
      <c r="E2413" s="7" t="s">
        <v>32</v>
      </c>
      <c r="F2413" s="3">
        <v>0</v>
      </c>
      <c r="G2413" s="3">
        <v>6.3326415871978198E-6</v>
      </c>
      <c r="H2413" s="3">
        <v>6.3326415871978198E-6</v>
      </c>
      <c r="I2413" s="3">
        <v>-1.4893639426554199E-3</v>
      </c>
      <c r="J2413" s="3">
        <v>1.39851616615197E-3</v>
      </c>
      <c r="K2413" s="3">
        <v>3.6750596447939501E-3</v>
      </c>
      <c r="L2413" s="3">
        <v>-1.9592773538077402E-3</v>
      </c>
      <c r="M2413" s="3">
        <v>-4.7168580181735399E-3</v>
      </c>
      <c r="N2413" s="3">
        <v>-4.5675496224480997E-3</v>
      </c>
      <c r="O2413" s="3">
        <v>-3.8107469564203399E-3</v>
      </c>
      <c r="P2413" s="3">
        <v>-3.1578501621450398E-3</v>
      </c>
    </row>
    <row r="2414" spans="1:16" x14ac:dyDescent="0.45">
      <c r="A2414" s="7" t="s">
        <v>85</v>
      </c>
      <c r="B2414" s="7" t="s">
        <v>29</v>
      </c>
      <c r="C2414" s="7" t="s">
        <v>15</v>
      </c>
      <c r="D2414" s="7" t="s">
        <v>13</v>
      </c>
      <c r="E2414" s="7" t="s">
        <v>32</v>
      </c>
      <c r="F2414" s="3">
        <v>0</v>
      </c>
      <c r="G2414" s="3">
        <v>-1.3563987358989099E-3</v>
      </c>
      <c r="H2414" s="3">
        <v>-1.3563987358989099E-3</v>
      </c>
      <c r="I2414" s="3">
        <v>3.1348224693318102E-3</v>
      </c>
      <c r="J2414" s="3">
        <v>-3.0064306116608899E-3</v>
      </c>
      <c r="K2414" s="3">
        <v>-8.7183658240980993E-3</v>
      </c>
      <c r="L2414" s="3">
        <v>-3.6193124734294501E-3</v>
      </c>
      <c r="M2414" s="3">
        <v>3.6215121934585198E-4</v>
      </c>
      <c r="N2414" s="3">
        <v>-1.85732890355536E-3</v>
      </c>
      <c r="O2414" s="3">
        <v>-2.5944892150597801E-3</v>
      </c>
      <c r="P2414" s="3">
        <v>-3.3161698256233799E-3</v>
      </c>
    </row>
    <row r="2415" spans="1:16" x14ac:dyDescent="0.45">
      <c r="A2415" s="7" t="s">
        <v>85</v>
      </c>
      <c r="B2415" s="7" t="s">
        <v>29</v>
      </c>
      <c r="C2415" s="7" t="s">
        <v>15</v>
      </c>
      <c r="D2415" s="7" t="s">
        <v>14</v>
      </c>
      <c r="E2415" s="7" t="s">
        <v>32</v>
      </c>
      <c r="F2415" s="3">
        <v>0</v>
      </c>
      <c r="G2415" s="3">
        <v>3.2519695793702102E-3</v>
      </c>
      <c r="H2415" s="3">
        <v>3.2519695793702102E-3</v>
      </c>
      <c r="I2415" s="3">
        <v>4.5905436375470697E-3</v>
      </c>
      <c r="J2415" s="3">
        <v>2.36668814053392E-3</v>
      </c>
      <c r="K2415" s="3">
        <v>-9.6286411698498497E-4</v>
      </c>
      <c r="L2415" s="3">
        <v>-3.4263291342375201E-3</v>
      </c>
      <c r="M2415" s="3">
        <v>-4.9985077605837801E-3</v>
      </c>
      <c r="N2415" s="3">
        <v>-4.1915486789058697E-3</v>
      </c>
      <c r="O2415" s="3">
        <v>-3.5456149040931102E-3</v>
      </c>
      <c r="P2415" s="3">
        <v>-4.9364436843905802E-3</v>
      </c>
    </row>
    <row r="2416" spans="1:16" x14ac:dyDescent="0.45">
      <c r="A2416" s="7" t="s">
        <v>85</v>
      </c>
      <c r="B2416" s="7" t="s">
        <v>29</v>
      </c>
      <c r="C2416" s="7" t="s">
        <v>16</v>
      </c>
      <c r="D2416" s="7" t="s">
        <v>7</v>
      </c>
      <c r="E2416" s="7" t="s">
        <v>32</v>
      </c>
      <c r="F2416" s="3">
        <v>7.1919382833112805E-2</v>
      </c>
      <c r="G2416" s="3">
        <v>7.6774097505294098E-2</v>
      </c>
      <c r="H2416" s="3">
        <v>7.6774097505294098E-2</v>
      </c>
      <c r="I2416" s="3">
        <v>7.5225767170889996E-2</v>
      </c>
      <c r="J2416" s="3">
        <v>7.5225686700889194E-2</v>
      </c>
      <c r="K2416" s="3">
        <v>7.4548114028056806E-2</v>
      </c>
      <c r="L2416" s="3">
        <v>7.5225686700889194E-2</v>
      </c>
      <c r="M2416" s="3">
        <v>7.5225686700889194E-2</v>
      </c>
      <c r="N2416" s="3">
        <v>7.5225686700889194E-2</v>
      </c>
      <c r="O2416" s="3">
        <v>7.5225686700889194E-2</v>
      </c>
      <c r="P2416" s="3">
        <v>7.5225686700889194E-2</v>
      </c>
    </row>
    <row r="2417" spans="1:16" x14ac:dyDescent="0.45">
      <c r="A2417" s="7" t="s">
        <v>85</v>
      </c>
      <c r="B2417" s="7" t="s">
        <v>29</v>
      </c>
      <c r="C2417" s="7" t="s">
        <v>16</v>
      </c>
      <c r="D2417" s="7" t="s">
        <v>9</v>
      </c>
      <c r="E2417" s="7" t="s">
        <v>32</v>
      </c>
      <c r="F2417" s="3">
        <v>0</v>
      </c>
      <c r="G2417" s="3">
        <v>-1.9017302278531701E-5</v>
      </c>
      <c r="H2417" s="3">
        <v>-1.9017302278531701E-5</v>
      </c>
      <c r="I2417" s="3">
        <v>-1.9008656359231799E-5</v>
      </c>
      <c r="J2417" s="3">
        <v>-7.2227284056629304E-4</v>
      </c>
      <c r="K2417" s="3">
        <v>-9.9088571946640003E-5</v>
      </c>
      <c r="L2417" s="3">
        <v>-6.8910213116332697E-4</v>
      </c>
      <c r="M2417" s="3">
        <v>-6.3459082662575795E-4</v>
      </c>
      <c r="N2417" s="3">
        <v>-6.3048367351908096E-3</v>
      </c>
      <c r="O2417" s="3">
        <v>-6.30357120915902E-3</v>
      </c>
      <c r="P2417" s="3">
        <v>-6.30357120915902E-3</v>
      </c>
    </row>
    <row r="2418" spans="1:16" x14ac:dyDescent="0.45">
      <c r="A2418" s="7" t="s">
        <v>85</v>
      </c>
      <c r="B2418" s="7" t="s">
        <v>29</v>
      </c>
      <c r="C2418" s="7" t="s">
        <v>16</v>
      </c>
      <c r="D2418" s="7" t="s">
        <v>10</v>
      </c>
      <c r="E2418" s="7" t="s">
        <v>32</v>
      </c>
      <c r="F2418" s="3">
        <v>0</v>
      </c>
      <c r="G2418" s="3">
        <v>-1.11022302462516E-16</v>
      </c>
      <c r="H2418" s="3">
        <v>-1.11022302462516E-16</v>
      </c>
      <c r="I2418" s="3">
        <v>0</v>
      </c>
      <c r="J2418" s="3">
        <v>3.3170709403077001E-5</v>
      </c>
      <c r="K2418" s="3">
        <v>-6.4133792777824905E-4</v>
      </c>
      <c r="L2418" s="3">
        <v>-5.6144690779956902E-3</v>
      </c>
      <c r="M2418" s="3">
        <v>-5.66898038253326E-3</v>
      </c>
      <c r="N2418" s="3">
        <v>1.2655260317878699E-6</v>
      </c>
      <c r="O2418" s="3">
        <v>0</v>
      </c>
      <c r="P2418" s="3">
        <v>0</v>
      </c>
    </row>
    <row r="2419" spans="1:16" x14ac:dyDescent="0.45">
      <c r="A2419" s="7" t="s">
        <v>85</v>
      </c>
      <c r="B2419" s="7" t="s">
        <v>29</v>
      </c>
      <c r="C2419" s="7" t="s">
        <v>16</v>
      </c>
      <c r="D2419" s="7" t="s">
        <v>11</v>
      </c>
      <c r="E2419" s="7" t="s">
        <v>32</v>
      </c>
      <c r="F2419" s="3">
        <v>0</v>
      </c>
      <c r="G2419" s="3">
        <v>1.11022302462516E-16</v>
      </c>
      <c r="H2419" s="3">
        <v>1.11022302462516E-16</v>
      </c>
      <c r="I2419" s="3">
        <v>0</v>
      </c>
      <c r="J2419" s="3">
        <v>-5.6144690779958003E-3</v>
      </c>
      <c r="K2419" s="3">
        <v>-4.8855720366017498E-3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</row>
    <row r="2420" spans="1:16" x14ac:dyDescent="0.45">
      <c r="A2420" s="7" t="s">
        <v>85</v>
      </c>
      <c r="B2420" s="7" t="s">
        <v>29</v>
      </c>
      <c r="C2420" s="7" t="s">
        <v>16</v>
      </c>
      <c r="D2420" s="7" t="s">
        <v>12</v>
      </c>
      <c r="E2420" s="7" t="s">
        <v>32</v>
      </c>
      <c r="F2420" s="3">
        <v>0</v>
      </c>
      <c r="G2420" s="3">
        <v>-3.6434022964507199E-5</v>
      </c>
      <c r="H2420" s="3">
        <v>-3.6434022964507199E-5</v>
      </c>
      <c r="I2420" s="3">
        <v>-6.3222454408026797E-3</v>
      </c>
      <c r="J2420" s="3">
        <v>-3.6417359911361497E-5</v>
      </c>
      <c r="K2420" s="3">
        <v>-3.6417359911361497E-5</v>
      </c>
      <c r="L2420" s="3">
        <v>-3.6417359911361497E-5</v>
      </c>
      <c r="M2420" s="3">
        <v>-3.6417359911361497E-5</v>
      </c>
      <c r="N2420" s="3">
        <v>-3.7808147513848597E-5</v>
      </c>
      <c r="O2420" s="3">
        <v>-3.9268079219514897E-5</v>
      </c>
      <c r="P2420" s="3">
        <v>-4.0719790578347397E-5</v>
      </c>
    </row>
    <row r="2421" spans="1:16" x14ac:dyDescent="0.45">
      <c r="A2421" s="7" t="s">
        <v>85</v>
      </c>
      <c r="B2421" s="7" t="s">
        <v>29</v>
      </c>
      <c r="C2421" s="7" t="s">
        <v>16</v>
      </c>
      <c r="D2421" s="7" t="s">
        <v>13</v>
      </c>
      <c r="E2421" s="7" t="s">
        <v>32</v>
      </c>
      <c r="F2421" s="3">
        <v>0</v>
      </c>
      <c r="G2421" s="3">
        <v>5.5451325243038903E-5</v>
      </c>
      <c r="H2421" s="3">
        <v>5.5451325243038903E-5</v>
      </c>
      <c r="I2421" s="3">
        <v>5.66915436583382E-5</v>
      </c>
      <c r="J2421" s="3">
        <v>5.4035192366269602E-5</v>
      </c>
      <c r="K2421" s="3">
        <v>5.1123474776468301E-5</v>
      </c>
      <c r="L2421" s="3">
        <v>5.1123474776468301E-5</v>
      </c>
      <c r="M2421" s="3">
        <v>5.1123474776468301E-5</v>
      </c>
      <c r="N2421" s="3">
        <v>5.2514262378955401E-5</v>
      </c>
      <c r="O2421" s="3">
        <v>5.3974194084621701E-5</v>
      </c>
      <c r="P2421" s="3">
        <v>5.54259054434542E-5</v>
      </c>
    </row>
    <row r="2422" spans="1:16" x14ac:dyDescent="0.45">
      <c r="A2422" s="7" t="s">
        <v>85</v>
      </c>
      <c r="B2422" s="7" t="s">
        <v>29</v>
      </c>
      <c r="C2422" s="7" t="s">
        <v>16</v>
      </c>
      <c r="D2422" s="7" t="s">
        <v>14</v>
      </c>
      <c r="E2422" s="7" t="s">
        <v>32</v>
      </c>
      <c r="F2422" s="3">
        <v>0</v>
      </c>
      <c r="G2422" s="3">
        <v>-6.4304721751990701E-3</v>
      </c>
      <c r="H2422" s="3">
        <v>-6.4304721751990701E-3</v>
      </c>
      <c r="I2422" s="3">
        <v>1.3980626563381301E-7</v>
      </c>
      <c r="J2422" s="3">
        <v>-1.30128002505392E-6</v>
      </c>
      <c r="K2422" s="3">
        <v>1.61043756474744E-6</v>
      </c>
      <c r="L2422" s="3">
        <v>1.61043756474744E-6</v>
      </c>
      <c r="M2422" s="3">
        <v>1.61043756474744E-6</v>
      </c>
      <c r="N2422" s="3">
        <v>1.61043756474744E-6</v>
      </c>
      <c r="O2422" s="3">
        <v>1.61043756474744E-6</v>
      </c>
      <c r="P2422" s="3">
        <v>1.61043756474744E-6</v>
      </c>
    </row>
    <row r="2423" spans="1:16" x14ac:dyDescent="0.45">
      <c r="A2423" s="7" t="s">
        <v>85</v>
      </c>
      <c r="B2423" s="7" t="s">
        <v>29</v>
      </c>
      <c r="C2423" s="7" t="s">
        <v>17</v>
      </c>
      <c r="D2423" s="7" t="s">
        <v>7</v>
      </c>
      <c r="E2423" s="7" t="s">
        <v>32</v>
      </c>
      <c r="F2423" s="3">
        <v>1.27447936545322E-2</v>
      </c>
      <c r="G2423" s="3">
        <v>2.92147424943974E-2</v>
      </c>
      <c r="H2423" s="3">
        <v>2.92147424943974E-2</v>
      </c>
      <c r="I2423" s="3">
        <v>7.3432022746313802E-2</v>
      </c>
      <c r="J2423" s="3">
        <v>8.3298402905627997E-2</v>
      </c>
      <c r="K2423" s="3">
        <v>8.7759572001070901E-2</v>
      </c>
      <c r="L2423" s="3">
        <v>8.3167122142237093E-2</v>
      </c>
      <c r="M2423" s="3">
        <v>7.7197592639695903E-2</v>
      </c>
      <c r="N2423" s="3">
        <v>7.0557379438601298E-2</v>
      </c>
      <c r="O2423" s="3">
        <v>6.43357912979131E-2</v>
      </c>
      <c r="P2423" s="3">
        <v>5.8442484002539201E-2</v>
      </c>
    </row>
    <row r="2424" spans="1:16" x14ac:dyDescent="0.45">
      <c r="A2424" s="7" t="s">
        <v>85</v>
      </c>
      <c r="B2424" s="7" t="s">
        <v>29</v>
      </c>
      <c r="C2424" s="7" t="s">
        <v>17</v>
      </c>
      <c r="D2424" s="7" t="s">
        <v>9</v>
      </c>
      <c r="E2424" s="7" t="s">
        <v>32</v>
      </c>
      <c r="F2424" s="3">
        <v>0</v>
      </c>
      <c r="G2424" s="3">
        <v>9.0969419871824201E-4</v>
      </c>
      <c r="H2424" s="3">
        <v>9.0969419871824201E-4</v>
      </c>
      <c r="I2424" s="3">
        <v>2.07176192845947E-3</v>
      </c>
      <c r="J2424" s="3">
        <v>1.54833240139786E-3</v>
      </c>
      <c r="K2424" s="3">
        <v>9.1102078672719599E-4</v>
      </c>
      <c r="L2424" s="3">
        <v>2.5462127284912599E-3</v>
      </c>
      <c r="M2424" s="3">
        <v>4.5873145687176401E-3</v>
      </c>
      <c r="N2424" s="3">
        <v>2.1932738330430301E-2</v>
      </c>
      <c r="O2424" s="3">
        <v>2.48941630602297E-2</v>
      </c>
      <c r="P2424" s="3">
        <v>2.83273541541012E-2</v>
      </c>
    </row>
    <row r="2425" spans="1:16" x14ac:dyDescent="0.45">
      <c r="A2425" s="7" t="s">
        <v>85</v>
      </c>
      <c r="B2425" s="7" t="s">
        <v>29</v>
      </c>
      <c r="C2425" s="7" t="s">
        <v>17</v>
      </c>
      <c r="D2425" s="7" t="s">
        <v>10</v>
      </c>
      <c r="E2425" s="7" t="s">
        <v>32</v>
      </c>
      <c r="F2425" s="3">
        <v>0</v>
      </c>
      <c r="G2425" s="3">
        <v>2.6304944992288498E-4</v>
      </c>
      <c r="H2425" s="3">
        <v>2.6304944992288498E-4</v>
      </c>
      <c r="I2425" s="3">
        <v>8.7926579863136E-4</v>
      </c>
      <c r="J2425" s="3">
        <v>2.6553167344241197E-4</v>
      </c>
      <c r="K2425" s="3">
        <v>1.6129082942620799E-3</v>
      </c>
      <c r="L2425" s="3">
        <v>1.6901354598943701E-2</v>
      </c>
      <c r="M2425" s="3">
        <v>1.7478386639661801E-2</v>
      </c>
      <c r="N2425" s="3">
        <v>8.7840072914525408E-3</v>
      </c>
      <c r="O2425" s="3">
        <v>9.6461943839183106E-3</v>
      </c>
      <c r="P2425" s="3">
        <v>1.37121716963654E-2</v>
      </c>
    </row>
    <row r="2426" spans="1:16" x14ac:dyDescent="0.45">
      <c r="A2426" s="7" t="s">
        <v>85</v>
      </c>
      <c r="B2426" s="7" t="s">
        <v>29</v>
      </c>
      <c r="C2426" s="7" t="s">
        <v>17</v>
      </c>
      <c r="D2426" s="7" t="s">
        <v>11</v>
      </c>
      <c r="E2426" s="7" t="s">
        <v>32</v>
      </c>
      <c r="F2426" s="3">
        <v>0</v>
      </c>
      <c r="G2426" s="3">
        <v>2.49954450051187E-4</v>
      </c>
      <c r="H2426" s="3">
        <v>2.49954450051187E-4</v>
      </c>
      <c r="I2426" s="3">
        <v>7.6142324226787005E-4</v>
      </c>
      <c r="J2426" s="3">
        <v>1.4821636149124E-2</v>
      </c>
      <c r="K2426" s="3">
        <v>1.3607929634601701E-2</v>
      </c>
      <c r="L2426" s="3">
        <v>4.45442944973425E-3</v>
      </c>
      <c r="M2426" s="3">
        <v>7.3180917695550903E-3</v>
      </c>
      <c r="N2426" s="3">
        <v>5.7938659565681698E-3</v>
      </c>
      <c r="O2426" s="3">
        <v>8.1981850889688603E-3</v>
      </c>
      <c r="P2426" s="3">
        <v>6.6556721952426802E-3</v>
      </c>
    </row>
    <row r="2427" spans="1:16" x14ac:dyDescent="0.45">
      <c r="A2427" s="7" t="s">
        <v>85</v>
      </c>
      <c r="B2427" s="7" t="s">
        <v>29</v>
      </c>
      <c r="C2427" s="7" t="s">
        <v>17</v>
      </c>
      <c r="D2427" s="7" t="s">
        <v>12</v>
      </c>
      <c r="E2427" s="7" t="s">
        <v>32</v>
      </c>
      <c r="F2427" s="3">
        <v>0</v>
      </c>
      <c r="G2427" s="3">
        <v>3.8123117249358099E-4</v>
      </c>
      <c r="H2427" s="3">
        <v>3.8123117249358099E-4</v>
      </c>
      <c r="I2427" s="3">
        <v>1.9591624083215999E-2</v>
      </c>
      <c r="J2427" s="3">
        <v>3.6763146756994399E-3</v>
      </c>
      <c r="K2427" s="3">
        <v>4.6819859618679504E-3</v>
      </c>
      <c r="L2427" s="3">
        <v>1.50429775912338E-3</v>
      </c>
      <c r="M2427" s="3">
        <v>2.39816092395022E-3</v>
      </c>
      <c r="N2427" s="3">
        <v>3.48968091074074E-3</v>
      </c>
      <c r="O2427" s="3">
        <v>5.0983800398182203E-3</v>
      </c>
      <c r="P2427" s="3">
        <v>5.37771241257326E-3</v>
      </c>
    </row>
    <row r="2428" spans="1:16" x14ac:dyDescent="0.45">
      <c r="A2428" s="7" t="s">
        <v>85</v>
      </c>
      <c r="B2428" s="7" t="s">
        <v>29</v>
      </c>
      <c r="C2428" s="7" t="s">
        <v>17</v>
      </c>
      <c r="D2428" s="7" t="s">
        <v>13</v>
      </c>
      <c r="E2428" s="7" t="s">
        <v>32</v>
      </c>
      <c r="F2428" s="3">
        <v>0</v>
      </c>
      <c r="G2428" s="3">
        <v>4.5134598000422799E-3</v>
      </c>
      <c r="H2428" s="3">
        <v>4.5134598000422799E-3</v>
      </c>
      <c r="I2428" s="3">
        <v>5.2235860883058198E-3</v>
      </c>
      <c r="J2428" s="3">
        <v>4.5158334319373699E-3</v>
      </c>
      <c r="K2428" s="3">
        <v>4.0191936047432901E-3</v>
      </c>
      <c r="L2428" s="3">
        <v>4.1408886550988004E-3</v>
      </c>
      <c r="M2428" s="3">
        <v>3.7458066780134002E-3</v>
      </c>
      <c r="N2428" s="3">
        <v>2.1694444610869399E-3</v>
      </c>
      <c r="O2428" s="3">
        <v>5.5492618962735296E-4</v>
      </c>
      <c r="P2428" s="3">
        <v>2.1225083636979E-4</v>
      </c>
    </row>
    <row r="2429" spans="1:16" x14ac:dyDescent="0.45">
      <c r="A2429" s="7" t="s">
        <v>85</v>
      </c>
      <c r="B2429" s="7" t="s">
        <v>29</v>
      </c>
      <c r="C2429" s="7" t="s">
        <v>17</v>
      </c>
      <c r="D2429" s="7" t="s">
        <v>14</v>
      </c>
      <c r="E2429" s="7" t="s">
        <v>32</v>
      </c>
      <c r="F2429" s="3">
        <v>0</v>
      </c>
      <c r="G2429" s="3">
        <v>2.1586529879171399E-2</v>
      </c>
      <c r="H2429" s="3">
        <v>2.1586529879171399E-2</v>
      </c>
      <c r="I2429" s="3">
        <v>8.4018074211826294E-3</v>
      </c>
      <c r="J2429" s="3">
        <v>4.4381394722972003E-3</v>
      </c>
      <c r="K2429" s="3">
        <v>-1.5149710796760801E-5</v>
      </c>
      <c r="L2429" s="3">
        <v>-1.3677530917805E-4</v>
      </c>
      <c r="M2429" s="3">
        <v>-1.4776662094598299E-4</v>
      </c>
      <c r="N2429" s="3">
        <v>-1.49529783286528E-4</v>
      </c>
      <c r="O2429" s="3">
        <v>-1.5005345481276799E-4</v>
      </c>
      <c r="P2429" s="3">
        <v>-1.5005869152812101E-4</v>
      </c>
    </row>
    <row r="2430" spans="1:16" x14ac:dyDescent="0.45">
      <c r="A2430" s="7" t="s">
        <v>85</v>
      </c>
      <c r="B2430" s="7" t="s">
        <v>29</v>
      </c>
      <c r="C2430" s="7" t="s">
        <v>18</v>
      </c>
      <c r="D2430" s="7" t="s">
        <v>7</v>
      </c>
      <c r="E2430" s="7" t="s">
        <v>32</v>
      </c>
      <c r="F2430" s="3">
        <v>0.130160031171806</v>
      </c>
      <c r="G2430" s="3">
        <v>9.7282137389508694E-2</v>
      </c>
      <c r="H2430" s="3">
        <v>9.7282137389508694E-2</v>
      </c>
      <c r="I2430" s="3">
        <v>6.4854758259672504E-2</v>
      </c>
      <c r="J2430" s="3">
        <v>3.2427379129836099E-2</v>
      </c>
      <c r="K2430" s="3">
        <v>1.25356941795827E-17</v>
      </c>
      <c r="L2430" s="3">
        <v>1.00285553436661E-16</v>
      </c>
      <c r="M2430" s="3">
        <v>0</v>
      </c>
      <c r="N2430" s="3">
        <v>1.00285553436661E-16</v>
      </c>
      <c r="O2430" s="3">
        <v>0</v>
      </c>
      <c r="P2430" s="3">
        <v>8.7749859257078603E-17</v>
      </c>
    </row>
    <row r="2431" spans="1:16" x14ac:dyDescent="0.45">
      <c r="A2431" s="7" t="s">
        <v>85</v>
      </c>
      <c r="B2431" s="7" t="s">
        <v>29</v>
      </c>
      <c r="C2431" s="7" t="s">
        <v>18</v>
      </c>
      <c r="D2431" s="7" t="s">
        <v>9</v>
      </c>
      <c r="E2431" s="7" t="s">
        <v>32</v>
      </c>
      <c r="F2431" s="3">
        <v>0</v>
      </c>
      <c r="G2431" s="3">
        <v>0</v>
      </c>
      <c r="H2431" s="3">
        <v>0</v>
      </c>
      <c r="I2431" s="3">
        <v>0</v>
      </c>
      <c r="J2431" s="3">
        <v>1.11022302462516E-16</v>
      </c>
      <c r="K2431" s="3">
        <v>2.5071388359165301E-17</v>
      </c>
      <c r="L2431" s="3">
        <v>-6.2678470897913302E-17</v>
      </c>
      <c r="M2431" s="3">
        <v>1.25356941795827E-17</v>
      </c>
      <c r="N2431" s="3">
        <v>-1.00285553436661E-16</v>
      </c>
      <c r="O2431" s="3">
        <v>0</v>
      </c>
      <c r="P2431" s="3">
        <v>-8.7749859257078603E-17</v>
      </c>
    </row>
    <row r="2432" spans="1:16" x14ac:dyDescent="0.45">
      <c r="A2432" s="7" t="s">
        <v>85</v>
      </c>
      <c r="B2432" s="7" t="s">
        <v>29</v>
      </c>
      <c r="C2432" s="7" t="s">
        <v>18</v>
      </c>
      <c r="D2432" s="7" t="s">
        <v>10</v>
      </c>
      <c r="E2432" s="7" t="s">
        <v>32</v>
      </c>
      <c r="F2432" s="3">
        <v>0</v>
      </c>
      <c r="G2432" s="3">
        <v>0</v>
      </c>
      <c r="H2432" s="3">
        <v>0</v>
      </c>
      <c r="I2432" s="3">
        <v>0</v>
      </c>
      <c r="J2432" s="3">
        <v>1.11022302462516E-16</v>
      </c>
      <c r="K2432" s="3">
        <v>-2.5071388359165301E-17</v>
      </c>
      <c r="L2432" s="3">
        <v>-3.7607082538748001E-17</v>
      </c>
      <c r="M2432" s="3">
        <v>-1.25356941795827E-17</v>
      </c>
      <c r="N2432" s="3">
        <v>0</v>
      </c>
      <c r="O2432" s="3">
        <v>6.2678470897913204E-17</v>
      </c>
      <c r="P2432" s="3">
        <v>0</v>
      </c>
    </row>
    <row r="2433" spans="1:16" x14ac:dyDescent="0.45">
      <c r="A2433" s="7" t="s">
        <v>85</v>
      </c>
      <c r="B2433" s="7" t="s">
        <v>29</v>
      </c>
      <c r="C2433" s="7" t="s">
        <v>18</v>
      </c>
      <c r="D2433" s="7" t="s">
        <v>11</v>
      </c>
      <c r="E2433" s="7" t="s">
        <v>32</v>
      </c>
      <c r="F2433" s="3">
        <v>0</v>
      </c>
      <c r="G2433" s="3">
        <v>1.11022302462516E-16</v>
      </c>
      <c r="H2433" s="3">
        <v>1.11022302462516E-16</v>
      </c>
      <c r="I2433" s="3">
        <v>0</v>
      </c>
      <c r="J2433" s="3">
        <v>-1.11022302462516E-16</v>
      </c>
      <c r="K2433" s="3">
        <v>-1.25356941795827E-17</v>
      </c>
      <c r="L2433" s="3">
        <v>8.7749859257078603E-17</v>
      </c>
      <c r="M2433" s="3">
        <v>0</v>
      </c>
      <c r="N2433" s="3">
        <v>5.0142776718330701E-17</v>
      </c>
      <c r="O2433" s="3">
        <v>-2.5071388359165301E-17</v>
      </c>
      <c r="P2433" s="3">
        <v>8.7749859257078603E-17</v>
      </c>
    </row>
    <row r="2434" spans="1:16" x14ac:dyDescent="0.45">
      <c r="A2434" s="7" t="s">
        <v>85</v>
      </c>
      <c r="B2434" s="7" t="s">
        <v>29</v>
      </c>
      <c r="C2434" s="7" t="s">
        <v>18</v>
      </c>
      <c r="D2434" s="7" t="s">
        <v>12</v>
      </c>
      <c r="E2434" s="7" t="s">
        <v>32</v>
      </c>
      <c r="F2434" s="3">
        <v>0</v>
      </c>
      <c r="G2434" s="3">
        <v>0</v>
      </c>
      <c r="H2434" s="3">
        <v>0</v>
      </c>
      <c r="I2434" s="3">
        <v>0</v>
      </c>
      <c r="J2434" s="3">
        <v>-1.11022302462516E-16</v>
      </c>
      <c r="K2434" s="3">
        <v>0</v>
      </c>
      <c r="L2434" s="3">
        <v>-6.2678470897913401E-17</v>
      </c>
      <c r="M2434" s="3">
        <v>0</v>
      </c>
      <c r="N2434" s="3">
        <v>1.3789263597540901E-16</v>
      </c>
      <c r="O2434" s="3">
        <v>7.5214165077496002E-17</v>
      </c>
      <c r="P2434" s="3">
        <v>-8.7749859257078603E-17</v>
      </c>
    </row>
    <row r="2435" spans="1:16" x14ac:dyDescent="0.45">
      <c r="A2435" s="7" t="s">
        <v>85</v>
      </c>
      <c r="B2435" s="7" t="s">
        <v>29</v>
      </c>
      <c r="C2435" s="7" t="s">
        <v>18</v>
      </c>
      <c r="D2435" s="7" t="s">
        <v>13</v>
      </c>
      <c r="E2435" s="7" t="s">
        <v>32</v>
      </c>
      <c r="F2435" s="3">
        <v>0</v>
      </c>
      <c r="G2435" s="3">
        <v>0</v>
      </c>
      <c r="H2435" s="3">
        <v>0</v>
      </c>
      <c r="I2435" s="3">
        <v>-1.11022302462516E-16</v>
      </c>
      <c r="J2435" s="3">
        <v>1.11022302462516E-16</v>
      </c>
      <c r="K2435" s="3">
        <v>0</v>
      </c>
      <c r="L2435" s="3">
        <v>-2.5071388359165301E-17</v>
      </c>
      <c r="M2435" s="3">
        <v>8.7749859257078603E-17</v>
      </c>
      <c r="N2435" s="3">
        <v>-1.8803541269373899E-16</v>
      </c>
      <c r="O2435" s="3">
        <v>-8.7749859257078702E-17</v>
      </c>
      <c r="P2435" s="3">
        <v>8.7749859257078603E-17</v>
      </c>
    </row>
    <row r="2436" spans="1:16" x14ac:dyDescent="0.45">
      <c r="A2436" s="7" t="s">
        <v>85</v>
      </c>
      <c r="B2436" s="7" t="s">
        <v>29</v>
      </c>
      <c r="C2436" s="7" t="s">
        <v>18</v>
      </c>
      <c r="D2436" s="7" t="s">
        <v>14</v>
      </c>
      <c r="E2436" s="7" t="s">
        <v>32</v>
      </c>
      <c r="F2436" s="3">
        <v>0</v>
      </c>
      <c r="G2436" s="3">
        <v>0</v>
      </c>
      <c r="H2436" s="3">
        <v>0</v>
      </c>
      <c r="I2436" s="3">
        <v>1.11022302462516E-16</v>
      </c>
      <c r="J2436" s="3">
        <v>-1.11022302462516E-16</v>
      </c>
      <c r="K2436" s="3">
        <v>7.5214165077495904E-17</v>
      </c>
      <c r="L2436" s="3">
        <v>3.7607082538748001E-17</v>
      </c>
      <c r="M2436" s="3">
        <v>5.01427767183303E-17</v>
      </c>
      <c r="N2436" s="3">
        <v>1.12821247616244E-16</v>
      </c>
      <c r="O2436" s="3">
        <v>1.0028555343666201E-16</v>
      </c>
      <c r="P2436" s="3">
        <v>-8.7749859257078603E-17</v>
      </c>
    </row>
    <row r="2437" spans="1:16" x14ac:dyDescent="0.45">
      <c r="A2437" s="7" t="s">
        <v>85</v>
      </c>
      <c r="B2437" s="7" t="s">
        <v>29</v>
      </c>
      <c r="C2437" s="7" t="s">
        <v>19</v>
      </c>
      <c r="D2437" s="7" t="s">
        <v>7</v>
      </c>
      <c r="E2437" s="7" t="s">
        <v>32</v>
      </c>
      <c r="F2437" s="3">
        <v>4.6952732995733304E-3</v>
      </c>
      <c r="G2437" s="3">
        <v>0</v>
      </c>
      <c r="H2437" s="3">
        <v>0</v>
      </c>
      <c r="I2437" s="3">
        <v>0</v>
      </c>
      <c r="J2437" s="3">
        <v>0</v>
      </c>
      <c r="K2437" s="3">
        <v>4.8747048172165597E-3</v>
      </c>
      <c r="L2437" s="3">
        <v>8.6848524549747695E-4</v>
      </c>
      <c r="M2437" s="3">
        <v>1.73467796699789E-4</v>
      </c>
      <c r="N2437" s="3">
        <v>1.2706311756694701E-5</v>
      </c>
      <c r="O2437" s="3">
        <v>0</v>
      </c>
      <c r="P2437" s="3">
        <v>0</v>
      </c>
    </row>
    <row r="2438" spans="1:16" x14ac:dyDescent="0.45">
      <c r="A2438" s="7" t="s">
        <v>85</v>
      </c>
      <c r="B2438" s="7" t="s">
        <v>29</v>
      </c>
      <c r="C2438" s="7" t="s">
        <v>19</v>
      </c>
      <c r="D2438" s="7" t="s">
        <v>9</v>
      </c>
      <c r="E2438" s="7" t="s">
        <v>32</v>
      </c>
      <c r="F2438" s="3">
        <v>0</v>
      </c>
      <c r="G2438" s="3">
        <v>0</v>
      </c>
      <c r="H2438" s="3">
        <v>0</v>
      </c>
      <c r="I2438" s="3">
        <v>0</v>
      </c>
      <c r="J2438" s="3">
        <v>3.9550271444141401E-4</v>
      </c>
      <c r="K2438" s="3">
        <v>1.87893800130149E-4</v>
      </c>
      <c r="L2438" s="3">
        <v>1.04663055912227E-3</v>
      </c>
      <c r="M2438" s="3">
        <v>1.1279907567266301E-3</v>
      </c>
      <c r="N2438" s="3">
        <v>1.2517544712539099E-3</v>
      </c>
      <c r="O2438" s="3">
        <v>1.2644607830106199E-3</v>
      </c>
      <c r="P2438" s="3">
        <v>1.1908128593452101E-3</v>
      </c>
    </row>
    <row r="2439" spans="1:16" x14ac:dyDescent="0.45">
      <c r="A2439" s="7" t="s">
        <v>85</v>
      </c>
      <c r="B2439" s="7" t="s">
        <v>29</v>
      </c>
      <c r="C2439" s="7" t="s">
        <v>19</v>
      </c>
      <c r="D2439" s="7" t="s">
        <v>10</v>
      </c>
      <c r="E2439" s="7" t="s">
        <v>32</v>
      </c>
      <c r="F2439" s="3">
        <v>0</v>
      </c>
      <c r="G2439" s="3">
        <v>0</v>
      </c>
      <c r="H2439" s="3">
        <v>0</v>
      </c>
      <c r="I2439" s="3">
        <v>0</v>
      </c>
      <c r="J2439" s="3">
        <v>5.1377366308394E-4</v>
      </c>
      <c r="K2439" s="3">
        <v>1.0031291983016799E-3</v>
      </c>
      <c r="L2439" s="3">
        <v>1.86657165164456E-3</v>
      </c>
      <c r="M2439" s="3">
        <v>1.6069916706888899E-3</v>
      </c>
      <c r="N2439" s="3">
        <v>1.4447668401668201E-2</v>
      </c>
      <c r="O2439" s="3">
        <v>1.56621455551758E-2</v>
      </c>
      <c r="P2439" s="3">
        <v>1.56592197208268E-2</v>
      </c>
    </row>
    <row r="2440" spans="1:16" x14ac:dyDescent="0.45">
      <c r="A2440" s="7" t="s">
        <v>85</v>
      </c>
      <c r="B2440" s="7" t="s">
        <v>29</v>
      </c>
      <c r="C2440" s="7" t="s">
        <v>19</v>
      </c>
      <c r="D2440" s="7" t="s">
        <v>11</v>
      </c>
      <c r="E2440" s="7" t="s">
        <v>32</v>
      </c>
      <c r="F2440" s="3">
        <v>0</v>
      </c>
      <c r="G2440" s="3">
        <v>0</v>
      </c>
      <c r="H2440" s="3">
        <v>0</v>
      </c>
      <c r="I2440" s="3">
        <v>0</v>
      </c>
      <c r="J2440" s="3">
        <v>6.7049615591238004E-4</v>
      </c>
      <c r="K2440" s="3">
        <v>1.0240533624638101E-3</v>
      </c>
      <c r="L2440" s="3">
        <v>1.68144739579386E-2</v>
      </c>
      <c r="M2440" s="3">
        <v>1.49813361360473E-2</v>
      </c>
      <c r="N2440" s="3">
        <v>4.8473224053998598E-3</v>
      </c>
      <c r="O2440" s="3">
        <v>3.8852085316211401E-3</v>
      </c>
      <c r="P2440" s="3">
        <v>4.3255828362689904E-3</v>
      </c>
    </row>
    <row r="2441" spans="1:16" x14ac:dyDescent="0.45">
      <c r="A2441" s="7" t="s">
        <v>85</v>
      </c>
      <c r="B2441" s="7" t="s">
        <v>29</v>
      </c>
      <c r="C2441" s="7" t="s">
        <v>19</v>
      </c>
      <c r="D2441" s="7" t="s">
        <v>12</v>
      </c>
      <c r="E2441" s="7" t="s">
        <v>32</v>
      </c>
      <c r="F2441" s="3">
        <v>0</v>
      </c>
      <c r="G2441" s="3">
        <v>0</v>
      </c>
      <c r="H2441" s="3">
        <v>0</v>
      </c>
      <c r="I2441" s="3">
        <v>0</v>
      </c>
      <c r="J2441" s="3">
        <v>1.23738414300355E-2</v>
      </c>
      <c r="K2441" s="3">
        <v>1.52081167728806E-2</v>
      </c>
      <c r="L2441" s="3">
        <v>1.2700055695513701E-3</v>
      </c>
      <c r="M2441" s="3">
        <v>3.6800737096523402E-3</v>
      </c>
      <c r="N2441" s="3">
        <v>2.9334136074120301E-3</v>
      </c>
      <c r="O2441" s="3">
        <v>5.5976985660952799E-3</v>
      </c>
      <c r="P2441" s="3">
        <v>5.8030645551363797E-3</v>
      </c>
    </row>
    <row r="2442" spans="1:16" x14ac:dyDescent="0.45">
      <c r="A2442" s="7" t="s">
        <v>85</v>
      </c>
      <c r="B2442" s="7" t="s">
        <v>29</v>
      </c>
      <c r="C2442" s="7" t="s">
        <v>19</v>
      </c>
      <c r="D2442" s="7" t="s">
        <v>13</v>
      </c>
      <c r="E2442" s="7" t="s">
        <v>32</v>
      </c>
      <c r="F2442" s="3">
        <v>0</v>
      </c>
      <c r="G2442" s="3">
        <v>0</v>
      </c>
      <c r="H2442" s="3">
        <v>0</v>
      </c>
      <c r="I2442" s="3">
        <v>1.95233496759189E-2</v>
      </c>
      <c r="J2442" s="3">
        <v>1.1013272993316101E-2</v>
      </c>
      <c r="K2442" s="3">
        <v>1.7733302703912698E-2</v>
      </c>
      <c r="L2442" s="3">
        <v>1.25058664901323E-2</v>
      </c>
      <c r="M2442" s="3">
        <v>8.2657244345704702E-3</v>
      </c>
      <c r="N2442" s="3">
        <v>5.9917742764800603E-3</v>
      </c>
      <c r="O2442" s="3">
        <v>3.36192207283997E-3</v>
      </c>
      <c r="P2442" s="3">
        <v>3.4712232733300199E-3</v>
      </c>
    </row>
    <row r="2443" spans="1:16" x14ac:dyDescent="0.45">
      <c r="A2443" s="7" t="s">
        <v>85</v>
      </c>
      <c r="B2443" s="7" t="s">
        <v>29</v>
      </c>
      <c r="C2443" s="7" t="s">
        <v>19</v>
      </c>
      <c r="D2443" s="7" t="s">
        <v>14</v>
      </c>
      <c r="E2443" s="7" t="s">
        <v>32</v>
      </c>
      <c r="F2443" s="3">
        <v>0</v>
      </c>
      <c r="G2443" s="3">
        <v>9.3803784600766296E-3</v>
      </c>
      <c r="H2443" s="3">
        <v>9.3803784600766296E-3</v>
      </c>
      <c r="I2443" s="3">
        <v>1.94703096422102E-2</v>
      </c>
      <c r="J2443" s="3">
        <v>1.3680482824541099E-2</v>
      </c>
      <c r="K2443" s="3">
        <v>-3.6109884958478401E-3</v>
      </c>
      <c r="L2443" s="3">
        <v>-4.6987762580608496E-3</v>
      </c>
      <c r="M2443" s="3">
        <v>-1.62146001143619E-3</v>
      </c>
      <c r="N2443" s="3">
        <v>-1.5826857113737901E-3</v>
      </c>
      <c r="O2443" s="3">
        <v>1.5357526246892499E-4</v>
      </c>
      <c r="P2443" s="3">
        <v>1.7080374742575899E-3</v>
      </c>
    </row>
    <row r="2444" spans="1:16" x14ac:dyDescent="0.45">
      <c r="A2444" s="7" t="s">
        <v>68</v>
      </c>
      <c r="B2444" s="7" t="s">
        <v>29</v>
      </c>
      <c r="C2444" s="7" t="s">
        <v>6</v>
      </c>
      <c r="D2444" s="7" t="s">
        <v>7</v>
      </c>
      <c r="E2444" s="7" t="s">
        <v>32</v>
      </c>
      <c r="F2444" s="3">
        <v>0</v>
      </c>
      <c r="G2444" s="3">
        <v>0</v>
      </c>
      <c r="H2444" s="3">
        <v>0</v>
      </c>
      <c r="I2444" s="3">
        <v>3.5798035934722801E-4</v>
      </c>
      <c r="J2444" s="3">
        <v>1.62123588044278E-3</v>
      </c>
      <c r="K2444" s="3">
        <v>3.0602588601958899E-3</v>
      </c>
      <c r="L2444" s="3">
        <v>1.9470975814551801E-4</v>
      </c>
      <c r="M2444" s="3">
        <v>0</v>
      </c>
      <c r="N2444" s="3">
        <v>0</v>
      </c>
      <c r="O2444" s="3">
        <v>0</v>
      </c>
      <c r="P2444" s="3">
        <v>0</v>
      </c>
    </row>
    <row r="2445" spans="1:16" x14ac:dyDescent="0.45">
      <c r="A2445" s="7" t="s">
        <v>68</v>
      </c>
      <c r="B2445" s="7" t="s">
        <v>29</v>
      </c>
      <c r="C2445" s="7" t="s">
        <v>6</v>
      </c>
      <c r="D2445" s="7" t="s">
        <v>9</v>
      </c>
      <c r="E2445" s="7" t="s">
        <v>32</v>
      </c>
      <c r="F2445" s="3">
        <v>0</v>
      </c>
      <c r="G2445" s="3">
        <v>0</v>
      </c>
      <c r="H2445" s="3">
        <v>0</v>
      </c>
      <c r="I2445" s="3">
        <v>7.61170174562881E-4</v>
      </c>
      <c r="J2445" s="3">
        <v>1.04106134681068E-3</v>
      </c>
      <c r="K2445" s="3">
        <v>1.81520225622383E-3</v>
      </c>
      <c r="L2445" s="3">
        <v>2.15765283915079E-3</v>
      </c>
      <c r="M2445" s="3">
        <v>2.2278394504175601E-3</v>
      </c>
      <c r="N2445" s="3">
        <v>2.1835275843123201E-3</v>
      </c>
      <c r="O2445" s="3">
        <v>2.1808201919769599E-3</v>
      </c>
      <c r="P2445" s="3">
        <v>2.1808201919769599E-3</v>
      </c>
    </row>
    <row r="2446" spans="1:16" x14ac:dyDescent="0.45">
      <c r="A2446" s="7" t="s">
        <v>68</v>
      </c>
      <c r="B2446" s="7" t="s">
        <v>29</v>
      </c>
      <c r="C2446" s="7" t="s">
        <v>6</v>
      </c>
      <c r="D2446" s="7" t="s">
        <v>10</v>
      </c>
      <c r="E2446" s="7" t="s">
        <v>32</v>
      </c>
      <c r="F2446" s="3">
        <v>0</v>
      </c>
      <c r="G2446" s="3">
        <v>0</v>
      </c>
      <c r="H2446" s="3">
        <v>0</v>
      </c>
      <c r="I2446" s="3">
        <v>3.4617164024522998E-4</v>
      </c>
      <c r="J2446" s="3">
        <v>3.5996724360740599E-4</v>
      </c>
      <c r="K2446" s="3">
        <v>1.34095603850727E-3</v>
      </c>
      <c r="L2446" s="3">
        <v>5.5492030078541001E-4</v>
      </c>
      <c r="M2446" s="3">
        <v>6.0627830917900805E-4</v>
      </c>
      <c r="N2446" s="3">
        <v>9.6584164853669198E-3</v>
      </c>
      <c r="O2446" s="3">
        <v>1.5882782643432701E-2</v>
      </c>
      <c r="P2446" s="3">
        <v>3.7747238018980098E-2</v>
      </c>
    </row>
    <row r="2447" spans="1:16" x14ac:dyDescent="0.45">
      <c r="A2447" s="7" t="s">
        <v>68</v>
      </c>
      <c r="B2447" s="7" t="s">
        <v>29</v>
      </c>
      <c r="C2447" s="7" t="s">
        <v>6</v>
      </c>
      <c r="D2447" s="7" t="s">
        <v>11</v>
      </c>
      <c r="E2447" s="7" t="s">
        <v>32</v>
      </c>
      <c r="F2447" s="3">
        <v>0</v>
      </c>
      <c r="G2447" s="3">
        <v>0</v>
      </c>
      <c r="H2447" s="3">
        <v>0</v>
      </c>
      <c r="I2447" s="3">
        <v>6.09025177057481E-4</v>
      </c>
      <c r="J2447" s="3">
        <v>3.0886229202240602E-3</v>
      </c>
      <c r="K2447" s="3">
        <v>2.6897699586728302E-3</v>
      </c>
      <c r="L2447" s="3">
        <v>1.24793155251961E-2</v>
      </c>
      <c r="M2447" s="3">
        <v>4.2334071471182698E-2</v>
      </c>
      <c r="N2447" s="3">
        <v>5.39728004153417E-2</v>
      </c>
      <c r="O2447" s="3">
        <v>7.2296266633741696E-2</v>
      </c>
      <c r="P2447" s="3">
        <v>0.124136920832656</v>
      </c>
    </row>
    <row r="2448" spans="1:16" x14ac:dyDescent="0.45">
      <c r="A2448" s="7" t="s">
        <v>68</v>
      </c>
      <c r="B2448" s="7" t="s">
        <v>29</v>
      </c>
      <c r="C2448" s="7" t="s">
        <v>6</v>
      </c>
      <c r="D2448" s="7" t="s">
        <v>12</v>
      </c>
      <c r="E2448" s="7" t="s">
        <v>32</v>
      </c>
      <c r="F2448" s="3">
        <v>0</v>
      </c>
      <c r="G2448" s="3">
        <v>0</v>
      </c>
      <c r="H2448" s="3">
        <v>0</v>
      </c>
      <c r="I2448" s="3">
        <v>5.8926957502431301E-4</v>
      </c>
      <c r="J2448" s="3">
        <v>1.47393266564185E-2</v>
      </c>
      <c r="K2448" s="3">
        <v>5.1635226350688901E-2</v>
      </c>
      <c r="L2448" s="3">
        <v>7.2847061861628107E-2</v>
      </c>
      <c r="M2448" s="3">
        <v>0.134611289101885</v>
      </c>
      <c r="N2448" s="3">
        <v>0.21173024054821701</v>
      </c>
      <c r="O2448" s="3">
        <v>0.282500300876243</v>
      </c>
      <c r="P2448" s="3">
        <v>0.29631459023471901</v>
      </c>
    </row>
    <row r="2449" spans="1:16" x14ac:dyDescent="0.45">
      <c r="A2449" s="7" t="s">
        <v>68</v>
      </c>
      <c r="B2449" s="7" t="s">
        <v>29</v>
      </c>
      <c r="C2449" s="7" t="s">
        <v>6</v>
      </c>
      <c r="D2449" s="7" t="s">
        <v>13</v>
      </c>
      <c r="E2449" s="7" t="s">
        <v>32</v>
      </c>
      <c r="F2449" s="3">
        <v>0</v>
      </c>
      <c r="G2449" s="3">
        <v>1.29089375192034E-4</v>
      </c>
      <c r="H2449" s="3">
        <v>1.29089375192034E-4</v>
      </c>
      <c r="I2449" s="3">
        <v>3.7372061303145E-2</v>
      </c>
      <c r="J2449" s="3">
        <v>0.141317155769425</v>
      </c>
      <c r="K2449" s="3">
        <v>0.22470026737163601</v>
      </c>
      <c r="L2449" s="3">
        <v>0.305343024309638</v>
      </c>
      <c r="M2449" s="3">
        <v>0.31673641187750501</v>
      </c>
      <c r="N2449" s="3">
        <v>0.31837420652208898</v>
      </c>
      <c r="O2449" s="3">
        <v>0.320922219642435</v>
      </c>
      <c r="P2449" s="3">
        <v>0.33827387642601298</v>
      </c>
    </row>
    <row r="2450" spans="1:16" x14ac:dyDescent="0.45">
      <c r="A2450" s="7" t="s">
        <v>68</v>
      </c>
      <c r="B2450" s="7" t="s">
        <v>29</v>
      </c>
      <c r="C2450" s="7" t="s">
        <v>6</v>
      </c>
      <c r="D2450" s="7" t="s">
        <v>14</v>
      </c>
      <c r="E2450" s="7" t="s">
        <v>32</v>
      </c>
      <c r="F2450" s="3">
        <v>0</v>
      </c>
      <c r="G2450" s="3">
        <v>4.88819808830939E-3</v>
      </c>
      <c r="H2450" s="3">
        <v>4.88819808830939E-3</v>
      </c>
      <c r="I2450" s="3">
        <v>9.8843510539125295E-2</v>
      </c>
      <c r="J2450" s="3">
        <v>0.10480760595557401</v>
      </c>
      <c r="K2450" s="3">
        <v>0.11773819519017401</v>
      </c>
      <c r="L2450" s="3">
        <v>0.15610896988536899</v>
      </c>
      <c r="M2450" s="3">
        <v>0.205908991875911</v>
      </c>
      <c r="N2450" s="3">
        <v>0.264992308632583</v>
      </c>
      <c r="O2450" s="3">
        <v>0.32185333681984202</v>
      </c>
      <c r="P2450" s="3">
        <v>0.34802376017575498</v>
      </c>
    </row>
    <row r="2451" spans="1:16" x14ac:dyDescent="0.45">
      <c r="A2451" s="7" t="s">
        <v>68</v>
      </c>
      <c r="B2451" s="7" t="s">
        <v>29</v>
      </c>
      <c r="C2451" s="7" t="s">
        <v>15</v>
      </c>
      <c r="D2451" s="7" t="s">
        <v>7</v>
      </c>
      <c r="E2451" s="7" t="s">
        <v>32</v>
      </c>
      <c r="F2451" s="3">
        <v>0.20724478244111599</v>
      </c>
      <c r="G2451" s="3">
        <v>0.22898799685755999</v>
      </c>
      <c r="H2451" s="3">
        <v>0.22898799685755999</v>
      </c>
      <c r="I2451" s="3">
        <v>0.20635933530550399</v>
      </c>
      <c r="J2451" s="3">
        <v>0.22227065621594899</v>
      </c>
      <c r="K2451" s="3">
        <v>0.24129735987957199</v>
      </c>
      <c r="L2451" s="3">
        <v>0.25070710457390899</v>
      </c>
      <c r="M2451" s="3">
        <v>0.25749174251450102</v>
      </c>
      <c r="N2451" s="3">
        <v>0.26450282621911902</v>
      </c>
      <c r="O2451" s="3">
        <v>0.27093472404854002</v>
      </c>
      <c r="P2451" s="3">
        <v>0.276445514003548</v>
      </c>
    </row>
    <row r="2452" spans="1:16" x14ac:dyDescent="0.45">
      <c r="A2452" s="7" t="s">
        <v>68</v>
      </c>
      <c r="B2452" s="7" t="s">
        <v>29</v>
      </c>
      <c r="C2452" s="7" t="s">
        <v>15</v>
      </c>
      <c r="D2452" s="7" t="s">
        <v>9</v>
      </c>
      <c r="E2452" s="7" t="s">
        <v>32</v>
      </c>
      <c r="F2452" s="3">
        <v>0</v>
      </c>
      <c r="G2452" s="3">
        <v>-2.5208064939244402E-4</v>
      </c>
      <c r="H2452" s="3">
        <v>-2.5208064939244402E-4</v>
      </c>
      <c r="I2452" s="3">
        <v>-3.2891824872188801E-4</v>
      </c>
      <c r="J2452" s="3">
        <v>8.8992397076520499E-5</v>
      </c>
      <c r="K2452" s="3">
        <v>-2.17992431358754E-4</v>
      </c>
      <c r="L2452" s="3">
        <v>-2.21953040756512E-3</v>
      </c>
      <c r="M2452" s="3">
        <v>-4.5796957903423401E-3</v>
      </c>
      <c r="N2452" s="3">
        <v>-7.73516150706816E-3</v>
      </c>
      <c r="O2452" s="3">
        <v>-1.0788422491735899E-2</v>
      </c>
      <c r="P2452" s="3">
        <v>-1.3697065463415E-2</v>
      </c>
    </row>
    <row r="2453" spans="1:16" x14ac:dyDescent="0.45">
      <c r="A2453" s="7" t="s">
        <v>68</v>
      </c>
      <c r="B2453" s="7" t="s">
        <v>29</v>
      </c>
      <c r="C2453" s="7" t="s">
        <v>15</v>
      </c>
      <c r="D2453" s="7" t="s">
        <v>10</v>
      </c>
      <c r="E2453" s="7" t="s">
        <v>32</v>
      </c>
      <c r="F2453" s="3">
        <v>0</v>
      </c>
      <c r="G2453" s="3">
        <v>-4.6251318467638303E-6</v>
      </c>
      <c r="H2453" s="3">
        <v>-4.6251318467638303E-6</v>
      </c>
      <c r="I2453" s="3">
        <v>-2.05192490171952E-4</v>
      </c>
      <c r="J2453" s="3">
        <v>5.4909941507058601E-5</v>
      </c>
      <c r="K2453" s="3">
        <v>-1.2041774703737101E-3</v>
      </c>
      <c r="L2453" s="3">
        <v>-2.6338947349073801E-3</v>
      </c>
      <c r="M2453" s="3">
        <v>-2.68948386387624E-3</v>
      </c>
      <c r="N2453" s="3">
        <v>-5.7160551569407402E-4</v>
      </c>
      <c r="O2453" s="3">
        <v>-8.2603924401358796E-4</v>
      </c>
      <c r="P2453" s="3">
        <v>-9.7649116598652597E-4</v>
      </c>
    </row>
    <row r="2454" spans="1:16" x14ac:dyDescent="0.45">
      <c r="A2454" s="7" t="s">
        <v>68</v>
      </c>
      <c r="B2454" s="7" t="s">
        <v>29</v>
      </c>
      <c r="C2454" s="7" t="s">
        <v>15</v>
      </c>
      <c r="D2454" s="7" t="s">
        <v>11</v>
      </c>
      <c r="E2454" s="7" t="s">
        <v>32</v>
      </c>
      <c r="F2454" s="3">
        <v>0</v>
      </c>
      <c r="G2454" s="3">
        <v>1.8138812046319999E-5</v>
      </c>
      <c r="H2454" s="3">
        <v>1.8138812046319999E-5</v>
      </c>
      <c r="I2454" s="3">
        <v>-1.4877120463135899E-4</v>
      </c>
      <c r="J2454" s="3">
        <v>-1.38349462236309E-3</v>
      </c>
      <c r="K2454" s="3">
        <v>-1.4277923875627399E-3</v>
      </c>
      <c r="L2454" s="3">
        <v>4.2245366625251997E-3</v>
      </c>
      <c r="M2454" s="3">
        <v>4.2268149934732704E-3</v>
      </c>
      <c r="N2454" s="3">
        <v>2.2682039450262498E-3</v>
      </c>
      <c r="O2454" s="3">
        <v>1.38316885534323E-3</v>
      </c>
      <c r="P2454" s="3">
        <v>2.7503173923071301E-4</v>
      </c>
    </row>
    <row r="2455" spans="1:16" x14ac:dyDescent="0.45">
      <c r="A2455" s="7" t="s">
        <v>68</v>
      </c>
      <c r="B2455" s="7" t="s">
        <v>29</v>
      </c>
      <c r="C2455" s="7" t="s">
        <v>15</v>
      </c>
      <c r="D2455" s="7" t="s">
        <v>12</v>
      </c>
      <c r="E2455" s="7" t="s">
        <v>32</v>
      </c>
      <c r="F2455" s="3">
        <v>0</v>
      </c>
      <c r="G2455" s="3">
        <v>7.7900274219056004E-6</v>
      </c>
      <c r="H2455" s="3">
        <v>7.7900274219056004E-6</v>
      </c>
      <c r="I2455" s="3">
        <v>-1.83212420831283E-3</v>
      </c>
      <c r="J2455" s="3">
        <v>1.7203688435988001E-3</v>
      </c>
      <c r="K2455" s="3">
        <v>4.5208330545559996E-3</v>
      </c>
      <c r="L2455" s="3">
        <v>-2.4101828759934799E-3</v>
      </c>
      <c r="M2455" s="3">
        <v>-5.8023895401028702E-3</v>
      </c>
      <c r="N2455" s="3">
        <v>-5.6187195058832696E-3</v>
      </c>
      <c r="O2455" s="3">
        <v>-4.6877472662351103E-3</v>
      </c>
      <c r="P2455" s="3">
        <v>-3.88459365947541E-3</v>
      </c>
    </row>
    <row r="2456" spans="1:16" x14ac:dyDescent="0.45">
      <c r="A2456" s="7" t="s">
        <v>68</v>
      </c>
      <c r="B2456" s="7" t="s">
        <v>29</v>
      </c>
      <c r="C2456" s="7" t="s">
        <v>15</v>
      </c>
      <c r="D2456" s="7" t="s">
        <v>13</v>
      </c>
      <c r="E2456" s="7" t="s">
        <v>32</v>
      </c>
      <c r="F2456" s="3">
        <v>0</v>
      </c>
      <c r="G2456" s="3">
        <v>-1.6685585631504901E-3</v>
      </c>
      <c r="H2456" s="3">
        <v>-1.6685585631504901E-3</v>
      </c>
      <c r="I2456" s="3">
        <v>3.8562664036204401E-3</v>
      </c>
      <c r="J2456" s="3">
        <v>-3.6983266121079798E-3</v>
      </c>
      <c r="K2456" s="3">
        <v>-1.0724799107717399E-2</v>
      </c>
      <c r="L2456" s="3">
        <v>-4.4522563022413603E-3</v>
      </c>
      <c r="M2456" s="3">
        <v>4.454962262955E-4</v>
      </c>
      <c r="N2456" s="3">
        <v>-2.2847721430235301E-3</v>
      </c>
      <c r="O2456" s="3">
        <v>-3.19158156242361E-3</v>
      </c>
      <c r="P2456" s="3">
        <v>-4.0793488027974804E-3</v>
      </c>
    </row>
    <row r="2457" spans="1:16" x14ac:dyDescent="0.45">
      <c r="A2457" s="7" t="s">
        <v>68</v>
      </c>
      <c r="B2457" s="7" t="s">
        <v>29</v>
      </c>
      <c r="C2457" s="7" t="s">
        <v>15</v>
      </c>
      <c r="D2457" s="7" t="s">
        <v>14</v>
      </c>
      <c r="E2457" s="7" t="s">
        <v>32</v>
      </c>
      <c r="F2457" s="3">
        <v>0</v>
      </c>
      <c r="G2457" s="3">
        <v>4.0003735960186804E-3</v>
      </c>
      <c r="H2457" s="3">
        <v>4.0003735960186804E-3</v>
      </c>
      <c r="I2457" s="3">
        <v>5.6470053334789503E-3</v>
      </c>
      <c r="J2457" s="3">
        <v>2.9113546471845899E-3</v>
      </c>
      <c r="K2457" s="3">
        <v>-1.18445640284445E-3</v>
      </c>
      <c r="L2457" s="3">
        <v>-4.21486003031055E-3</v>
      </c>
      <c r="M2457" s="3">
        <v>-6.1488577850738199E-3</v>
      </c>
      <c r="N2457" s="3">
        <v>-5.15618619801769E-3</v>
      </c>
      <c r="O2457" s="3">
        <v>-4.3615980708931502E-3</v>
      </c>
      <c r="P2457" s="3">
        <v>-6.0725103637327103E-3</v>
      </c>
    </row>
    <row r="2458" spans="1:16" x14ac:dyDescent="0.45">
      <c r="A2458" s="7" t="s">
        <v>68</v>
      </c>
      <c r="B2458" s="7" t="s">
        <v>29</v>
      </c>
      <c r="C2458" s="7" t="s">
        <v>16</v>
      </c>
      <c r="D2458" s="7" t="s">
        <v>7</v>
      </c>
      <c r="E2458" s="7" t="s">
        <v>32</v>
      </c>
      <c r="F2458" s="3">
        <v>8.8470815333783301E-2</v>
      </c>
      <c r="G2458" s="3">
        <v>9.4442787677558995E-2</v>
      </c>
      <c r="H2458" s="3">
        <v>9.4442787677558995E-2</v>
      </c>
      <c r="I2458" s="3">
        <v>9.2538126629387499E-2</v>
      </c>
      <c r="J2458" s="3">
        <v>9.2538027640126197E-2</v>
      </c>
      <c r="K2458" s="3">
        <v>9.1704519280460903E-2</v>
      </c>
      <c r="L2458" s="3">
        <v>9.2538027640126197E-2</v>
      </c>
      <c r="M2458" s="3">
        <v>9.2538027640126197E-2</v>
      </c>
      <c r="N2458" s="3">
        <v>9.2538027640126197E-2</v>
      </c>
      <c r="O2458" s="3">
        <v>9.2538027640126197E-2</v>
      </c>
      <c r="P2458" s="3">
        <v>9.2538027640126197E-2</v>
      </c>
    </row>
    <row r="2459" spans="1:16" x14ac:dyDescent="0.45">
      <c r="A2459" s="7" t="s">
        <v>68</v>
      </c>
      <c r="B2459" s="7" t="s">
        <v>29</v>
      </c>
      <c r="C2459" s="7" t="s">
        <v>16</v>
      </c>
      <c r="D2459" s="7" t="s">
        <v>9</v>
      </c>
      <c r="E2459" s="7" t="s">
        <v>32</v>
      </c>
      <c r="F2459" s="3">
        <v>0</v>
      </c>
      <c r="G2459" s="3">
        <v>-2.3393919298994599E-5</v>
      </c>
      <c r="H2459" s="3">
        <v>-2.3393919298994599E-5</v>
      </c>
      <c r="I2459" s="3">
        <v>-2.3383283619157802E-5</v>
      </c>
      <c r="J2459" s="3">
        <v>-8.88495765413166E-4</v>
      </c>
      <c r="K2459" s="3">
        <v>-1.21892686019323E-4</v>
      </c>
      <c r="L2459" s="3">
        <v>-8.4769119242494905E-4</v>
      </c>
      <c r="M2459" s="3">
        <v>-7.8063472770892295E-4</v>
      </c>
      <c r="N2459" s="3">
        <v>-7.7558235976950404E-3</v>
      </c>
      <c r="O2459" s="3">
        <v>-7.7542668251610204E-3</v>
      </c>
      <c r="P2459" s="3">
        <v>-7.7542668251610204E-3</v>
      </c>
    </row>
    <row r="2460" spans="1:16" x14ac:dyDescent="0.45">
      <c r="A2460" s="7" t="s">
        <v>68</v>
      </c>
      <c r="B2460" s="7" t="s">
        <v>29</v>
      </c>
      <c r="C2460" s="7" t="s">
        <v>16</v>
      </c>
      <c r="D2460" s="7" t="s">
        <v>10</v>
      </c>
      <c r="E2460" s="7" t="s">
        <v>32</v>
      </c>
      <c r="F2460" s="3">
        <v>0</v>
      </c>
      <c r="G2460" s="3">
        <v>-1.3877787807814501E-16</v>
      </c>
      <c r="H2460" s="3">
        <v>-1.3877787807814501E-16</v>
      </c>
      <c r="I2460" s="3">
        <v>0</v>
      </c>
      <c r="J2460" s="3">
        <v>4.0804572988356602E-5</v>
      </c>
      <c r="K2460" s="3">
        <v>-7.8893459787722497E-4</v>
      </c>
      <c r="L2460" s="3">
        <v>-6.90657563273607E-3</v>
      </c>
      <c r="M2460" s="3">
        <v>-6.9736320974520998E-3</v>
      </c>
      <c r="N2460" s="3">
        <v>1.5567725340226401E-6</v>
      </c>
      <c r="O2460" s="3">
        <v>0</v>
      </c>
      <c r="P2460" s="3">
        <v>0</v>
      </c>
    </row>
    <row r="2461" spans="1:16" x14ac:dyDescent="0.45">
      <c r="A2461" s="7" t="s">
        <v>68</v>
      </c>
      <c r="B2461" s="7" t="s">
        <v>29</v>
      </c>
      <c r="C2461" s="7" t="s">
        <v>16</v>
      </c>
      <c r="D2461" s="7" t="s">
        <v>11</v>
      </c>
      <c r="E2461" s="7" t="s">
        <v>32</v>
      </c>
      <c r="F2461" s="3">
        <v>0</v>
      </c>
      <c r="G2461" s="3">
        <v>1.3877787807814501E-16</v>
      </c>
      <c r="H2461" s="3">
        <v>1.3877787807814501E-16</v>
      </c>
      <c r="I2461" s="3">
        <v>0</v>
      </c>
      <c r="J2461" s="3">
        <v>-6.9065756327362096E-3</v>
      </c>
      <c r="K2461" s="3">
        <v>-6.0099311815991303E-3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</row>
    <row r="2462" spans="1:16" x14ac:dyDescent="0.45">
      <c r="A2462" s="7" t="s">
        <v>68</v>
      </c>
      <c r="B2462" s="7" t="s">
        <v>29</v>
      </c>
      <c r="C2462" s="7" t="s">
        <v>16</v>
      </c>
      <c r="D2462" s="7" t="s">
        <v>12</v>
      </c>
      <c r="E2462" s="7" t="s">
        <v>32</v>
      </c>
      <c r="F2462" s="3">
        <v>0</v>
      </c>
      <c r="G2462" s="3">
        <v>-4.4818901255572197E-5</v>
      </c>
      <c r="H2462" s="3">
        <v>-4.4818901255572197E-5</v>
      </c>
      <c r="I2462" s="3">
        <v>-7.7772387199988701E-3</v>
      </c>
      <c r="J2462" s="3">
        <v>-4.4798403389237399E-5</v>
      </c>
      <c r="K2462" s="3">
        <v>-4.4798403389237399E-5</v>
      </c>
      <c r="L2462" s="3">
        <v>-4.4798403389237399E-5</v>
      </c>
      <c r="M2462" s="3">
        <v>-4.4798403389237399E-5</v>
      </c>
      <c r="N2462" s="3">
        <v>-4.6509265027652701E-5</v>
      </c>
      <c r="O2462" s="3">
        <v>-4.8305183502531102E-5</v>
      </c>
      <c r="P2462" s="3">
        <v>-5.0090989810722097E-5</v>
      </c>
    </row>
    <row r="2463" spans="1:16" x14ac:dyDescent="0.45">
      <c r="A2463" s="7" t="s">
        <v>68</v>
      </c>
      <c r="B2463" s="7" t="s">
        <v>29</v>
      </c>
      <c r="C2463" s="7" t="s">
        <v>16</v>
      </c>
      <c r="D2463" s="7" t="s">
        <v>13</v>
      </c>
      <c r="E2463" s="7" t="s">
        <v>32</v>
      </c>
      <c r="F2463" s="3">
        <v>0</v>
      </c>
      <c r="G2463" s="3">
        <v>6.8212820554566802E-5</v>
      </c>
      <c r="H2463" s="3">
        <v>6.8212820554566802E-5</v>
      </c>
      <c r="I2463" s="3">
        <v>6.9738461210416797E-5</v>
      </c>
      <c r="J2463" s="3">
        <v>6.6470780713673294E-5</v>
      </c>
      <c r="K2463" s="3">
        <v>6.2888964254131902E-5</v>
      </c>
      <c r="L2463" s="3">
        <v>6.2888964254131902E-5</v>
      </c>
      <c r="M2463" s="3">
        <v>6.2888964254131902E-5</v>
      </c>
      <c r="N2463" s="3">
        <v>6.45998258925473E-5</v>
      </c>
      <c r="O2463" s="3">
        <v>6.6395744367425693E-5</v>
      </c>
      <c r="P2463" s="3">
        <v>6.8181550675616695E-5</v>
      </c>
    </row>
    <row r="2464" spans="1:16" x14ac:dyDescent="0.45">
      <c r="A2464" s="7" t="s">
        <v>68</v>
      </c>
      <c r="B2464" s="7" t="s">
        <v>29</v>
      </c>
      <c r="C2464" s="7" t="s">
        <v>16</v>
      </c>
      <c r="D2464" s="7" t="s">
        <v>14</v>
      </c>
      <c r="E2464" s="7" t="s">
        <v>32</v>
      </c>
      <c r="F2464" s="3">
        <v>0</v>
      </c>
      <c r="G2464" s="3">
        <v>-7.91037261319677E-3</v>
      </c>
      <c r="H2464" s="3">
        <v>-7.91037261319677E-3</v>
      </c>
      <c r="I2464" s="3">
        <v>1.71981096364071E-7</v>
      </c>
      <c r="J2464" s="3">
        <v>-1.60075490443501E-6</v>
      </c>
      <c r="K2464" s="3">
        <v>1.9810615551063602E-6</v>
      </c>
      <c r="L2464" s="3">
        <v>1.9810615551063602E-6</v>
      </c>
      <c r="M2464" s="3">
        <v>1.9810615551063602E-6</v>
      </c>
      <c r="N2464" s="3">
        <v>1.9810615551063602E-6</v>
      </c>
      <c r="O2464" s="3">
        <v>1.9810615551063602E-6</v>
      </c>
      <c r="P2464" s="3">
        <v>1.9810615551063602E-6</v>
      </c>
    </row>
    <row r="2465" spans="1:16" x14ac:dyDescent="0.45">
      <c r="A2465" s="7" t="s">
        <v>68</v>
      </c>
      <c r="B2465" s="7" t="s">
        <v>29</v>
      </c>
      <c r="C2465" s="7" t="s">
        <v>17</v>
      </c>
      <c r="D2465" s="7" t="s">
        <v>7</v>
      </c>
      <c r="E2465" s="7" t="s">
        <v>32</v>
      </c>
      <c r="F2465" s="3">
        <v>1.56778637616195E-2</v>
      </c>
      <c r="G2465" s="3">
        <v>3.5938185040373501E-2</v>
      </c>
      <c r="H2465" s="3">
        <v>3.5938185040373501E-2</v>
      </c>
      <c r="I2465" s="3">
        <v>9.0331572213995306E-2</v>
      </c>
      <c r="J2465" s="3">
        <v>0.102468588171336</v>
      </c>
      <c r="K2465" s="3">
        <v>0.107956444875162</v>
      </c>
      <c r="L2465" s="3">
        <v>0.10230709462512801</v>
      </c>
      <c r="M2465" s="3">
        <v>9.4963745427118093E-2</v>
      </c>
      <c r="N2465" s="3">
        <v>8.67953622632332E-2</v>
      </c>
      <c r="O2465" s="3">
        <v>7.9141945982465794E-2</v>
      </c>
      <c r="P2465" s="3">
        <v>7.1892360670476593E-2</v>
      </c>
    </row>
    <row r="2466" spans="1:16" x14ac:dyDescent="0.45">
      <c r="A2466" s="7" t="s">
        <v>68</v>
      </c>
      <c r="B2466" s="7" t="s">
        <v>29</v>
      </c>
      <c r="C2466" s="7" t="s">
        <v>17</v>
      </c>
      <c r="D2466" s="7" t="s">
        <v>9</v>
      </c>
      <c r="E2466" s="7" t="s">
        <v>32</v>
      </c>
      <c r="F2466" s="3">
        <v>0</v>
      </c>
      <c r="G2466" s="3">
        <v>1.11905002927751E-3</v>
      </c>
      <c r="H2466" s="3">
        <v>1.11905002927751E-3</v>
      </c>
      <c r="I2466" s="3">
        <v>2.5485545032223299E-3</v>
      </c>
      <c r="J2466" s="3">
        <v>1.90466359086044E-3</v>
      </c>
      <c r="K2466" s="3">
        <v>1.1206819165121E-3</v>
      </c>
      <c r="L2466" s="3">
        <v>3.13219478851205E-3</v>
      </c>
      <c r="M2466" s="3">
        <v>5.6430331309814301E-3</v>
      </c>
      <c r="N2466" s="3">
        <v>2.69803099826143E-2</v>
      </c>
      <c r="O2466" s="3">
        <v>3.0623273118198301E-2</v>
      </c>
      <c r="P2466" s="3">
        <v>3.4846574310539002E-2</v>
      </c>
    </row>
    <row r="2467" spans="1:16" x14ac:dyDescent="0.45">
      <c r="A2467" s="7" t="s">
        <v>68</v>
      </c>
      <c r="B2467" s="7" t="s">
        <v>29</v>
      </c>
      <c r="C2467" s="7" t="s">
        <v>17</v>
      </c>
      <c r="D2467" s="7" t="s">
        <v>10</v>
      </c>
      <c r="E2467" s="7" t="s">
        <v>32</v>
      </c>
      <c r="F2467" s="3">
        <v>0</v>
      </c>
      <c r="G2467" s="3">
        <v>3.2358730554993297E-4</v>
      </c>
      <c r="H2467" s="3">
        <v>3.2358730554993297E-4</v>
      </c>
      <c r="I2467" s="3">
        <v>1.08161887707706E-3</v>
      </c>
      <c r="J2467" s="3">
        <v>3.2664078473679199E-4</v>
      </c>
      <c r="K2467" s="3">
        <v>1.9841008950689902E-3</v>
      </c>
      <c r="L2467" s="3">
        <v>2.0791010193784501E-2</v>
      </c>
      <c r="M2467" s="3">
        <v>2.1500839632039099E-2</v>
      </c>
      <c r="N2467" s="3">
        <v>1.08055472163326E-2</v>
      </c>
      <c r="O2467" s="3">
        <v>1.1866156916192199E-2</v>
      </c>
      <c r="P2467" s="3">
        <v>1.6867872918060401E-2</v>
      </c>
    </row>
    <row r="2468" spans="1:16" x14ac:dyDescent="0.45">
      <c r="A2468" s="7" t="s">
        <v>68</v>
      </c>
      <c r="B2468" s="7" t="s">
        <v>29</v>
      </c>
      <c r="C2468" s="7" t="s">
        <v>17</v>
      </c>
      <c r="D2468" s="7" t="s">
        <v>11</v>
      </c>
      <c r="E2468" s="7" t="s">
        <v>32</v>
      </c>
      <c r="F2468" s="3">
        <v>0</v>
      </c>
      <c r="G2468" s="3">
        <v>3.0747863957133998E-4</v>
      </c>
      <c r="H2468" s="3">
        <v>3.0747863957133998E-4</v>
      </c>
      <c r="I2468" s="3">
        <v>9.3665618924799999E-4</v>
      </c>
      <c r="J2468" s="3">
        <v>1.8232668065804699E-2</v>
      </c>
      <c r="K2468" s="3">
        <v>1.6739640724832E-2</v>
      </c>
      <c r="L2468" s="3">
        <v>5.4795660048873604E-3</v>
      </c>
      <c r="M2468" s="3">
        <v>9.0022678175972499E-3</v>
      </c>
      <c r="N2468" s="3">
        <v>7.1272586738082202E-3</v>
      </c>
      <c r="O2468" s="3">
        <v>1.0084904660005001E-2</v>
      </c>
      <c r="P2468" s="3">
        <v>8.1873998706841599E-3</v>
      </c>
    </row>
    <row r="2469" spans="1:16" x14ac:dyDescent="0.45">
      <c r="A2469" s="7" t="s">
        <v>68</v>
      </c>
      <c r="B2469" s="7" t="s">
        <v>29</v>
      </c>
      <c r="C2469" s="7" t="s">
        <v>17</v>
      </c>
      <c r="D2469" s="7" t="s">
        <v>12</v>
      </c>
      <c r="E2469" s="7" t="s">
        <v>32</v>
      </c>
      <c r="F2469" s="3">
        <v>0</v>
      </c>
      <c r="G2469" s="3">
        <v>4.6896721485258102E-4</v>
      </c>
      <c r="H2469" s="3">
        <v>4.6896721485258102E-4</v>
      </c>
      <c r="I2469" s="3">
        <v>2.4100414771038199E-2</v>
      </c>
      <c r="J2469" s="3">
        <v>4.5223769166291396E-3</v>
      </c>
      <c r="K2469" s="3">
        <v>5.7594920744658299E-3</v>
      </c>
      <c r="L2469" s="3">
        <v>1.85049487372901E-3</v>
      </c>
      <c r="M2469" s="3">
        <v>2.9500705357250502E-3</v>
      </c>
      <c r="N2469" s="3">
        <v>4.2927915016232098E-3</v>
      </c>
      <c r="O2469" s="3">
        <v>6.2717145397489203E-3</v>
      </c>
      <c r="P2469" s="3">
        <v>6.6153320986496499E-3</v>
      </c>
    </row>
    <row r="2470" spans="1:16" x14ac:dyDescent="0.45">
      <c r="A2470" s="7" t="s">
        <v>68</v>
      </c>
      <c r="B2470" s="7" t="s">
        <v>29</v>
      </c>
      <c r="C2470" s="7" t="s">
        <v>17</v>
      </c>
      <c r="D2470" s="7" t="s">
        <v>13</v>
      </c>
      <c r="E2470" s="7" t="s">
        <v>32</v>
      </c>
      <c r="F2470" s="3">
        <v>0</v>
      </c>
      <c r="G2470" s="3">
        <v>5.5521815226443703E-3</v>
      </c>
      <c r="H2470" s="3">
        <v>5.5521815226443703E-3</v>
      </c>
      <c r="I2470" s="3">
        <v>6.4257353441282599E-3</v>
      </c>
      <c r="J2470" s="3">
        <v>5.5551014190726696E-3</v>
      </c>
      <c r="K2470" s="3">
        <v>4.9441655529926199E-3</v>
      </c>
      <c r="L2470" s="3">
        <v>5.0938673427316002E-3</v>
      </c>
      <c r="M2470" s="3">
        <v>4.6078617172726497E-3</v>
      </c>
      <c r="N2470" s="3">
        <v>2.66871756587644E-3</v>
      </c>
      <c r="O2470" s="3">
        <v>6.8263617556793598E-4</v>
      </c>
      <c r="P2470" s="3">
        <v>2.6109796565532102E-4</v>
      </c>
    </row>
    <row r="2471" spans="1:16" x14ac:dyDescent="0.45">
      <c r="A2471" s="7" t="s">
        <v>68</v>
      </c>
      <c r="B2471" s="7" t="s">
        <v>29</v>
      </c>
      <c r="C2471" s="7" t="s">
        <v>17</v>
      </c>
      <c r="D2471" s="7" t="s">
        <v>14</v>
      </c>
      <c r="E2471" s="7" t="s">
        <v>32</v>
      </c>
      <c r="F2471" s="3">
        <v>0</v>
      </c>
      <c r="G2471" s="3">
        <v>2.65544255721572E-2</v>
      </c>
      <c r="H2471" s="3">
        <v>2.65544255721572E-2</v>
      </c>
      <c r="I2471" s="3">
        <v>1.03353883688672E-2</v>
      </c>
      <c r="J2471" s="3">
        <v>5.4595270733942E-3</v>
      </c>
      <c r="K2471" s="3">
        <v>-1.86362453828415E-5</v>
      </c>
      <c r="L2471" s="3">
        <v>-1.6825259956126899E-4</v>
      </c>
      <c r="M2471" s="3">
        <v>-1.81773437413185E-4</v>
      </c>
      <c r="N2471" s="3">
        <v>-1.8394237162377999E-4</v>
      </c>
      <c r="O2471" s="3">
        <v>-1.8458656022871101E-4</v>
      </c>
      <c r="P2471" s="3">
        <v>-1.8459300211487499E-4</v>
      </c>
    </row>
    <row r="2472" spans="1:16" x14ac:dyDescent="0.45">
      <c r="A2472" s="7" t="s">
        <v>68</v>
      </c>
      <c r="B2472" s="7" t="s">
        <v>29</v>
      </c>
      <c r="C2472" s="7" t="s">
        <v>18</v>
      </c>
      <c r="D2472" s="7" t="s">
        <v>7</v>
      </c>
      <c r="E2472" s="7" t="s">
        <v>32</v>
      </c>
      <c r="F2472" s="3">
        <v>0.16011489014528199</v>
      </c>
      <c r="G2472" s="3">
        <v>0.11967052098089399</v>
      </c>
      <c r="H2472" s="3">
        <v>0.11967052098089399</v>
      </c>
      <c r="I2472" s="3">
        <v>7.9780347320595899E-2</v>
      </c>
      <c r="J2472" s="3">
        <v>3.9890173660297797E-2</v>
      </c>
      <c r="K2472" s="3">
        <v>1.5420642407571101E-17</v>
      </c>
      <c r="L2472" s="3">
        <v>1.23365139260569E-16</v>
      </c>
      <c r="M2472" s="3">
        <v>0</v>
      </c>
      <c r="N2472" s="3">
        <v>1.23365139260569E-16</v>
      </c>
      <c r="O2472" s="3">
        <v>0</v>
      </c>
      <c r="P2472" s="3">
        <v>1.07944496852998E-16</v>
      </c>
    </row>
    <row r="2473" spans="1:16" x14ac:dyDescent="0.45">
      <c r="A2473" s="7" t="s">
        <v>68</v>
      </c>
      <c r="B2473" s="7" t="s">
        <v>29</v>
      </c>
      <c r="C2473" s="7" t="s">
        <v>18</v>
      </c>
      <c r="D2473" s="7" t="s">
        <v>9</v>
      </c>
      <c r="E2473" s="7" t="s">
        <v>32</v>
      </c>
      <c r="F2473" s="3">
        <v>0</v>
      </c>
      <c r="G2473" s="3">
        <v>0</v>
      </c>
      <c r="H2473" s="3">
        <v>0</v>
      </c>
      <c r="I2473" s="3">
        <v>0</v>
      </c>
      <c r="J2473" s="3">
        <v>1.3877787807814501E-16</v>
      </c>
      <c r="K2473" s="3">
        <v>3.0841284815142202E-17</v>
      </c>
      <c r="L2473" s="3">
        <v>-7.7103212037855501E-17</v>
      </c>
      <c r="M2473" s="3">
        <v>1.5420642407571101E-17</v>
      </c>
      <c r="N2473" s="3">
        <v>-1.23365139260569E-16</v>
      </c>
      <c r="O2473" s="3">
        <v>0</v>
      </c>
      <c r="P2473" s="3">
        <v>-1.07944496852998E-16</v>
      </c>
    </row>
    <row r="2474" spans="1:16" x14ac:dyDescent="0.45">
      <c r="A2474" s="7" t="s">
        <v>68</v>
      </c>
      <c r="B2474" s="7" t="s">
        <v>29</v>
      </c>
      <c r="C2474" s="7" t="s">
        <v>18</v>
      </c>
      <c r="D2474" s="7" t="s">
        <v>10</v>
      </c>
      <c r="E2474" s="7" t="s">
        <v>32</v>
      </c>
      <c r="F2474" s="3">
        <v>0</v>
      </c>
      <c r="G2474" s="3">
        <v>0</v>
      </c>
      <c r="H2474" s="3">
        <v>0</v>
      </c>
      <c r="I2474" s="3">
        <v>0</v>
      </c>
      <c r="J2474" s="3">
        <v>1.3877787807814501E-16</v>
      </c>
      <c r="K2474" s="3">
        <v>-3.0841284815142202E-17</v>
      </c>
      <c r="L2474" s="3">
        <v>-4.6261927222713299E-17</v>
      </c>
      <c r="M2474" s="3">
        <v>-1.5420642407571101E-17</v>
      </c>
      <c r="N2474" s="3">
        <v>0</v>
      </c>
      <c r="O2474" s="3">
        <v>7.7103212037855501E-17</v>
      </c>
      <c r="P2474" s="3">
        <v>0</v>
      </c>
    </row>
    <row r="2475" spans="1:16" x14ac:dyDescent="0.45">
      <c r="A2475" s="7" t="s">
        <v>68</v>
      </c>
      <c r="B2475" s="7" t="s">
        <v>29</v>
      </c>
      <c r="C2475" s="7" t="s">
        <v>18</v>
      </c>
      <c r="D2475" s="7" t="s">
        <v>11</v>
      </c>
      <c r="E2475" s="7" t="s">
        <v>32</v>
      </c>
      <c r="F2475" s="3">
        <v>0</v>
      </c>
      <c r="G2475" s="3">
        <v>1.3877787807814501E-16</v>
      </c>
      <c r="H2475" s="3">
        <v>1.3877787807814501E-16</v>
      </c>
      <c r="I2475" s="3">
        <v>0</v>
      </c>
      <c r="J2475" s="3">
        <v>-1.3877787807814501E-16</v>
      </c>
      <c r="K2475" s="3">
        <v>-1.5420642407571101E-17</v>
      </c>
      <c r="L2475" s="3">
        <v>1.07944496852998E-16</v>
      </c>
      <c r="M2475" s="3">
        <v>0</v>
      </c>
      <c r="N2475" s="3">
        <v>6.1682569630284403E-17</v>
      </c>
      <c r="O2475" s="3">
        <v>-3.0841284815142202E-17</v>
      </c>
      <c r="P2475" s="3">
        <v>1.07944496852998E-16</v>
      </c>
    </row>
    <row r="2476" spans="1:16" x14ac:dyDescent="0.45">
      <c r="A2476" s="7" t="s">
        <v>68</v>
      </c>
      <c r="B2476" s="7" t="s">
        <v>29</v>
      </c>
      <c r="C2476" s="7" t="s">
        <v>18</v>
      </c>
      <c r="D2476" s="7" t="s">
        <v>12</v>
      </c>
      <c r="E2476" s="7" t="s">
        <v>32</v>
      </c>
      <c r="F2476" s="3">
        <v>0</v>
      </c>
      <c r="G2476" s="3">
        <v>0</v>
      </c>
      <c r="H2476" s="3">
        <v>0</v>
      </c>
      <c r="I2476" s="3">
        <v>0</v>
      </c>
      <c r="J2476" s="3">
        <v>-1.3877787807814501E-16</v>
      </c>
      <c r="K2476" s="3">
        <v>0</v>
      </c>
      <c r="L2476" s="3">
        <v>-7.71032120378556E-17</v>
      </c>
      <c r="M2476" s="3">
        <v>0</v>
      </c>
      <c r="N2476" s="3">
        <v>1.69627066483281E-16</v>
      </c>
      <c r="O2476" s="3">
        <v>9.2523854445426599E-17</v>
      </c>
      <c r="P2476" s="3">
        <v>-1.07944496852998E-16</v>
      </c>
    </row>
    <row r="2477" spans="1:16" x14ac:dyDescent="0.45">
      <c r="A2477" s="7" t="s">
        <v>68</v>
      </c>
      <c r="B2477" s="7" t="s">
        <v>29</v>
      </c>
      <c r="C2477" s="7" t="s">
        <v>18</v>
      </c>
      <c r="D2477" s="7" t="s">
        <v>13</v>
      </c>
      <c r="E2477" s="7" t="s">
        <v>32</v>
      </c>
      <c r="F2477" s="3">
        <v>0</v>
      </c>
      <c r="G2477" s="3">
        <v>0</v>
      </c>
      <c r="H2477" s="3">
        <v>0</v>
      </c>
      <c r="I2477" s="3">
        <v>-1.3877787807814501E-16</v>
      </c>
      <c r="J2477" s="3">
        <v>1.3877787807814501E-16</v>
      </c>
      <c r="K2477" s="3">
        <v>0</v>
      </c>
      <c r="L2477" s="3">
        <v>-3.0841284815142202E-17</v>
      </c>
      <c r="M2477" s="3">
        <v>1.07944496852998E-16</v>
      </c>
      <c r="N2477" s="3">
        <v>-2.3130963611356599E-16</v>
      </c>
      <c r="O2477" s="3">
        <v>-1.07944496852998E-16</v>
      </c>
      <c r="P2477" s="3">
        <v>1.07944496852998E-16</v>
      </c>
    </row>
    <row r="2478" spans="1:16" x14ac:dyDescent="0.45">
      <c r="A2478" s="7" t="s">
        <v>68</v>
      </c>
      <c r="B2478" s="7" t="s">
        <v>29</v>
      </c>
      <c r="C2478" s="7" t="s">
        <v>18</v>
      </c>
      <c r="D2478" s="7" t="s">
        <v>14</v>
      </c>
      <c r="E2478" s="7" t="s">
        <v>32</v>
      </c>
      <c r="F2478" s="3">
        <v>0</v>
      </c>
      <c r="G2478" s="3">
        <v>0</v>
      </c>
      <c r="H2478" s="3">
        <v>0</v>
      </c>
      <c r="I2478" s="3">
        <v>1.3877787807814501E-16</v>
      </c>
      <c r="J2478" s="3">
        <v>-1.3877787807814501E-16</v>
      </c>
      <c r="K2478" s="3">
        <v>9.2523854445426599E-17</v>
      </c>
      <c r="L2478" s="3">
        <v>4.6261927222713299E-17</v>
      </c>
      <c r="M2478" s="3">
        <v>6.1682569630283997E-17</v>
      </c>
      <c r="N2478" s="3">
        <v>1.3878578166813999E-16</v>
      </c>
      <c r="O2478" s="3">
        <v>1.23365139260569E-16</v>
      </c>
      <c r="P2478" s="3">
        <v>-1.07944496852998E-16</v>
      </c>
    </row>
    <row r="2479" spans="1:16" x14ac:dyDescent="0.45">
      <c r="A2479" s="7" t="s">
        <v>68</v>
      </c>
      <c r="B2479" s="7" t="s">
        <v>29</v>
      </c>
      <c r="C2479" s="7" t="s">
        <v>19</v>
      </c>
      <c r="D2479" s="7" t="s">
        <v>7</v>
      </c>
      <c r="E2479" s="7" t="s">
        <v>32</v>
      </c>
      <c r="F2479" s="3">
        <v>5.77583734265503E-3</v>
      </c>
      <c r="G2479" s="3">
        <v>0</v>
      </c>
      <c r="H2479" s="3">
        <v>0</v>
      </c>
      <c r="I2479" s="3">
        <v>0</v>
      </c>
      <c r="J2479" s="3">
        <v>0</v>
      </c>
      <c r="K2479" s="3">
        <v>5.9965629945882603E-3</v>
      </c>
      <c r="L2479" s="3">
        <v>1.0683573015749901E-3</v>
      </c>
      <c r="M2479" s="3">
        <v>2.1338944806850301E-4</v>
      </c>
      <c r="N2479" s="3">
        <v>1.56305256902517E-5</v>
      </c>
      <c r="O2479" s="3">
        <v>0</v>
      </c>
      <c r="P2479" s="3">
        <v>0</v>
      </c>
    </row>
    <row r="2480" spans="1:16" x14ac:dyDescent="0.45">
      <c r="A2480" s="7" t="s">
        <v>68</v>
      </c>
      <c r="B2480" s="7" t="s">
        <v>29</v>
      </c>
      <c r="C2480" s="7" t="s">
        <v>19</v>
      </c>
      <c r="D2480" s="7" t="s">
        <v>9</v>
      </c>
      <c r="E2480" s="7" t="s">
        <v>32</v>
      </c>
      <c r="F2480" s="3">
        <v>0</v>
      </c>
      <c r="G2480" s="3">
        <v>0</v>
      </c>
      <c r="H2480" s="3">
        <v>0</v>
      </c>
      <c r="I2480" s="3">
        <v>0</v>
      </c>
      <c r="J2480" s="3">
        <v>4.86523190758615E-4</v>
      </c>
      <c r="K2480" s="3">
        <v>2.3113543302020201E-4</v>
      </c>
      <c r="L2480" s="3">
        <v>1.28750074418281E-3</v>
      </c>
      <c r="M2480" s="3">
        <v>1.3875850710252399E-3</v>
      </c>
      <c r="N2480" s="3">
        <v>1.5398316045970601E-3</v>
      </c>
      <c r="O2480" s="3">
        <v>1.55546213028733E-3</v>
      </c>
      <c r="P2480" s="3">
        <v>1.4648649699997001E-3</v>
      </c>
    </row>
    <row r="2481" spans="1:16" x14ac:dyDescent="0.45">
      <c r="A2481" s="7" t="s">
        <v>68</v>
      </c>
      <c r="B2481" s="7" t="s">
        <v>29</v>
      </c>
      <c r="C2481" s="7" t="s">
        <v>19</v>
      </c>
      <c r="D2481" s="7" t="s">
        <v>10</v>
      </c>
      <c r="E2481" s="7" t="s">
        <v>32</v>
      </c>
      <c r="F2481" s="3">
        <v>0</v>
      </c>
      <c r="G2481" s="3">
        <v>0</v>
      </c>
      <c r="H2481" s="3">
        <v>0</v>
      </c>
      <c r="I2481" s="3">
        <v>0</v>
      </c>
      <c r="J2481" s="3">
        <v>6.3201286050431705E-4</v>
      </c>
      <c r="K2481" s="3">
        <v>1.2339880372000799E-3</v>
      </c>
      <c r="L2481" s="3">
        <v>2.2961420050435799E-3</v>
      </c>
      <c r="M2481" s="3">
        <v>1.9768226275015599E-3</v>
      </c>
      <c r="N2481" s="3">
        <v>1.77726358711079E-2</v>
      </c>
      <c r="O2481" s="3">
        <v>1.9266611204911899E-2</v>
      </c>
      <c r="P2481" s="3">
        <v>1.92630120228806E-2</v>
      </c>
    </row>
    <row r="2482" spans="1:16" x14ac:dyDescent="0.45">
      <c r="A2482" s="7" t="s">
        <v>68</v>
      </c>
      <c r="B2482" s="7" t="s">
        <v>29</v>
      </c>
      <c r="C2482" s="7" t="s">
        <v>19</v>
      </c>
      <c r="D2482" s="7" t="s">
        <v>11</v>
      </c>
      <c r="E2482" s="7" t="s">
        <v>32</v>
      </c>
      <c r="F2482" s="3">
        <v>0</v>
      </c>
      <c r="G2482" s="3">
        <v>0</v>
      </c>
      <c r="H2482" s="3">
        <v>0</v>
      </c>
      <c r="I2482" s="3">
        <v>0</v>
      </c>
      <c r="J2482" s="3">
        <v>8.2480326241654296E-4</v>
      </c>
      <c r="K2482" s="3">
        <v>1.25972766107724E-3</v>
      </c>
      <c r="L2482" s="3">
        <v>2.0684134955932701E-2</v>
      </c>
      <c r="M2482" s="3">
        <v>1.8429121198400199E-2</v>
      </c>
      <c r="N2482" s="3">
        <v>5.9628788304061297E-3</v>
      </c>
      <c r="O2482" s="3">
        <v>4.7793453307560397E-3</v>
      </c>
      <c r="P2482" s="3">
        <v>5.3210668006781203E-3</v>
      </c>
    </row>
    <row r="2483" spans="1:16" x14ac:dyDescent="0.45">
      <c r="A2483" s="7" t="s">
        <v>68</v>
      </c>
      <c r="B2483" s="7" t="s">
        <v>29</v>
      </c>
      <c r="C2483" s="7" t="s">
        <v>19</v>
      </c>
      <c r="D2483" s="7" t="s">
        <v>12</v>
      </c>
      <c r="E2483" s="7" t="s">
        <v>32</v>
      </c>
      <c r="F2483" s="3">
        <v>0</v>
      </c>
      <c r="G2483" s="3">
        <v>0</v>
      </c>
      <c r="H2483" s="3">
        <v>0</v>
      </c>
      <c r="I2483" s="3">
        <v>0</v>
      </c>
      <c r="J2483" s="3">
        <v>1.5221541078383201E-2</v>
      </c>
      <c r="K2483" s="3">
        <v>1.8708092833753499E-2</v>
      </c>
      <c r="L2483" s="3">
        <v>1.56228298673503E-3</v>
      </c>
      <c r="M2483" s="3">
        <v>4.5270010497289997E-3</v>
      </c>
      <c r="N2483" s="3">
        <v>3.6085055702044901E-3</v>
      </c>
      <c r="O2483" s="3">
        <v>6.8859455772079603E-3</v>
      </c>
      <c r="P2483" s="3">
        <v>7.1385742257943398E-3</v>
      </c>
    </row>
    <row r="2484" spans="1:16" x14ac:dyDescent="0.45">
      <c r="A2484" s="7" t="s">
        <v>68</v>
      </c>
      <c r="B2484" s="7" t="s">
        <v>29</v>
      </c>
      <c r="C2484" s="7" t="s">
        <v>19</v>
      </c>
      <c r="D2484" s="7" t="s">
        <v>13</v>
      </c>
      <c r="E2484" s="7" t="s">
        <v>32</v>
      </c>
      <c r="F2484" s="3">
        <v>0</v>
      </c>
      <c r="G2484" s="3">
        <v>0</v>
      </c>
      <c r="H2484" s="3">
        <v>0</v>
      </c>
      <c r="I2484" s="3">
        <v>2.4016427781132901E-2</v>
      </c>
      <c r="J2484" s="3">
        <v>1.35478532049305E-2</v>
      </c>
      <c r="K2484" s="3">
        <v>2.18144217451989E-2</v>
      </c>
      <c r="L2484" s="3">
        <v>1.53839502127657E-2</v>
      </c>
      <c r="M2484" s="3">
        <v>1.0167987422079699E-2</v>
      </c>
      <c r="N2484" s="3">
        <v>7.37071335506672E-3</v>
      </c>
      <c r="O2484" s="3">
        <v>4.1356304122211196E-3</v>
      </c>
      <c r="P2484" s="3">
        <v>4.2700860477311699E-3</v>
      </c>
    </row>
    <row r="2485" spans="1:16" x14ac:dyDescent="0.45">
      <c r="A2485" s="7" t="s">
        <v>68</v>
      </c>
      <c r="B2485" s="7" t="s">
        <v>29</v>
      </c>
      <c r="C2485" s="7" t="s">
        <v>19</v>
      </c>
      <c r="D2485" s="7" t="s">
        <v>14</v>
      </c>
      <c r="E2485" s="7" t="s">
        <v>32</v>
      </c>
      <c r="F2485" s="3">
        <v>0</v>
      </c>
      <c r="G2485" s="3">
        <v>1.15391664640418E-2</v>
      </c>
      <c r="H2485" s="3">
        <v>1.15391664640418E-2</v>
      </c>
      <c r="I2485" s="3">
        <v>2.3951181183585898E-2</v>
      </c>
      <c r="J2485" s="3">
        <v>1.68288912108088E-2</v>
      </c>
      <c r="K2485" s="3">
        <v>-4.4420166553693404E-3</v>
      </c>
      <c r="L2485" s="3">
        <v>-5.7801464674175499E-3</v>
      </c>
      <c r="M2485" s="3">
        <v>-1.9946206932248299E-3</v>
      </c>
      <c r="N2485" s="3">
        <v>-1.94692292656744E-3</v>
      </c>
      <c r="O2485" s="3">
        <v>1.8891887208283999E-4</v>
      </c>
      <c r="P2485" s="3">
        <v>2.1011229798630999E-3</v>
      </c>
    </row>
    <row r="2486" spans="1:16" x14ac:dyDescent="0.45">
      <c r="A2486" s="7" t="s">
        <v>30</v>
      </c>
      <c r="B2486" s="7" t="s">
        <v>25</v>
      </c>
      <c r="C2486" s="7" t="s">
        <v>6</v>
      </c>
      <c r="D2486" s="7" t="s">
        <v>10</v>
      </c>
      <c r="E2486" s="7" t="s">
        <v>32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  <c r="L2486" s="3">
        <v>5.9557879677329999E-2</v>
      </c>
      <c r="M2486" s="3">
        <v>0.49911024866305598</v>
      </c>
      <c r="N2486" s="3">
        <v>1.08673673440982</v>
      </c>
      <c r="O2486" s="3">
        <v>1.63636096678869</v>
      </c>
      <c r="P2486" s="3">
        <v>1.9794659836308099</v>
      </c>
    </row>
    <row r="2487" spans="1:16" x14ac:dyDescent="0.45">
      <c r="A2487" s="7" t="s">
        <v>30</v>
      </c>
      <c r="B2487" s="7" t="s">
        <v>25</v>
      </c>
      <c r="C2487" s="7" t="s">
        <v>6</v>
      </c>
      <c r="D2487" s="7" t="s">
        <v>11</v>
      </c>
      <c r="E2487" s="7" t="s">
        <v>32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0.51769839534968198</v>
      </c>
      <c r="L2487" s="3">
        <v>1.1521439360579899</v>
      </c>
      <c r="M2487" s="3">
        <v>1.5304388989514699</v>
      </c>
      <c r="N2487" s="3">
        <v>1.8223444445597701</v>
      </c>
      <c r="O2487" s="3">
        <v>2.0969426011818002</v>
      </c>
      <c r="P2487" s="3">
        <v>2.1123760706691002</v>
      </c>
    </row>
    <row r="2488" spans="1:16" x14ac:dyDescent="0.45">
      <c r="A2488" s="7" t="s">
        <v>30</v>
      </c>
      <c r="B2488" s="7" t="s">
        <v>25</v>
      </c>
      <c r="C2488" s="7" t="s">
        <v>6</v>
      </c>
      <c r="D2488" s="7" t="s">
        <v>12</v>
      </c>
      <c r="E2488" s="7" t="s">
        <v>32</v>
      </c>
      <c r="F2488" s="3">
        <v>0</v>
      </c>
      <c r="G2488" s="3">
        <v>0</v>
      </c>
      <c r="H2488" s="3">
        <v>0</v>
      </c>
      <c r="I2488" s="3">
        <v>0</v>
      </c>
      <c r="J2488" s="3">
        <v>0.74906732047217595</v>
      </c>
      <c r="K2488" s="3">
        <v>1.2927863414551899</v>
      </c>
      <c r="L2488" s="3">
        <v>1.66905888928673</v>
      </c>
      <c r="M2488" s="3">
        <v>1.7388030456433901</v>
      </c>
      <c r="N2488" s="3">
        <v>1.6918737188786701</v>
      </c>
      <c r="O2488" s="3">
        <v>1.5331144500382701</v>
      </c>
      <c r="P2488" s="3">
        <v>1.0860394906852899</v>
      </c>
    </row>
    <row r="2489" spans="1:16" x14ac:dyDescent="0.45">
      <c r="A2489" s="7" t="s">
        <v>30</v>
      </c>
      <c r="B2489" s="7" t="s">
        <v>25</v>
      </c>
      <c r="C2489" s="7" t="s">
        <v>6</v>
      </c>
      <c r="D2489" s="7" t="s">
        <v>13</v>
      </c>
      <c r="E2489" s="7" t="s">
        <v>32</v>
      </c>
      <c r="F2489" s="3">
        <v>0</v>
      </c>
      <c r="G2489" s="3">
        <v>0</v>
      </c>
      <c r="H2489" s="3">
        <v>0</v>
      </c>
      <c r="I2489" s="3">
        <v>1.4150262770464099</v>
      </c>
      <c r="J2489" s="3">
        <v>1.9265894318910399</v>
      </c>
      <c r="K2489" s="3">
        <v>1.88728353351833</v>
      </c>
      <c r="L2489" s="3">
        <v>1.6907731112517199</v>
      </c>
      <c r="M2489" s="3">
        <v>1.6177480202977099</v>
      </c>
      <c r="N2489" s="3">
        <v>1.4214188529807501</v>
      </c>
      <c r="O2489" s="3">
        <v>1.0891118158602799</v>
      </c>
      <c r="P2489" s="3">
        <v>1.1120314766902999</v>
      </c>
    </row>
    <row r="2490" spans="1:16" x14ac:dyDescent="0.45">
      <c r="A2490" s="7" t="s">
        <v>30</v>
      </c>
      <c r="B2490" s="7" t="s">
        <v>25</v>
      </c>
      <c r="C2490" s="7" t="s">
        <v>6</v>
      </c>
      <c r="D2490" s="7" t="s">
        <v>14</v>
      </c>
      <c r="E2490" s="7" t="s">
        <v>32</v>
      </c>
      <c r="F2490" s="3">
        <v>0</v>
      </c>
      <c r="G2490" s="3">
        <v>1.2289087365629201</v>
      </c>
      <c r="H2490" s="3">
        <v>1.2289087365629201</v>
      </c>
      <c r="I2490" s="3">
        <v>1.2908668660504801</v>
      </c>
      <c r="J2490" s="3">
        <v>1.19308577252793</v>
      </c>
      <c r="K2490" s="3">
        <v>1.1263342222975801</v>
      </c>
      <c r="L2490" s="3">
        <v>1.1507464446364799</v>
      </c>
      <c r="M2490" s="3">
        <v>1.20624420972494</v>
      </c>
      <c r="N2490" s="3">
        <v>1.1049669084160101</v>
      </c>
      <c r="O2490" s="3">
        <v>1.0616876395088399</v>
      </c>
      <c r="P2490" s="3">
        <v>0.93394969156906504</v>
      </c>
    </row>
    <row r="2491" spans="1:16" x14ac:dyDescent="0.45">
      <c r="A2491" s="7" t="s">
        <v>30</v>
      </c>
      <c r="B2491" s="7" t="s">
        <v>25</v>
      </c>
      <c r="C2491" s="7" t="s">
        <v>15</v>
      </c>
      <c r="D2491" s="7" t="s">
        <v>7</v>
      </c>
      <c r="E2491" s="7" t="s">
        <v>32</v>
      </c>
      <c r="F2491" s="3">
        <v>0.22432727029854799</v>
      </c>
      <c r="G2491" s="3">
        <v>0.41465784488937102</v>
      </c>
      <c r="H2491" s="3">
        <v>0.41465784488937102</v>
      </c>
      <c r="I2491" s="3">
        <v>0.71985243323356995</v>
      </c>
      <c r="J2491" s="3">
        <v>0.99604743787749805</v>
      </c>
      <c r="K2491" s="3">
        <v>1.3224021506316099</v>
      </c>
      <c r="L2491" s="3">
        <v>1.58327218652521</v>
      </c>
      <c r="M2491" s="3">
        <v>1.7188679170486201</v>
      </c>
      <c r="N2491" s="3">
        <v>1.80284043731998</v>
      </c>
      <c r="O2491" s="3">
        <v>1.8056477338528301</v>
      </c>
      <c r="P2491" s="3">
        <v>1.80771834442858</v>
      </c>
    </row>
    <row r="2492" spans="1:16" x14ac:dyDescent="0.45">
      <c r="A2492" s="7" t="s">
        <v>30</v>
      </c>
      <c r="B2492" s="7" t="s">
        <v>25</v>
      </c>
      <c r="C2492" s="7" t="s">
        <v>15</v>
      </c>
      <c r="D2492" s="7" t="s">
        <v>9</v>
      </c>
      <c r="E2492" s="7" t="s">
        <v>32</v>
      </c>
      <c r="F2492" s="3">
        <v>0</v>
      </c>
      <c r="G2492" s="3">
        <v>-1.6410025896496101E-3</v>
      </c>
      <c r="H2492" s="3">
        <v>-1.6410025896496101E-3</v>
      </c>
      <c r="I2492" s="3">
        <v>-2.7278770612763101E-3</v>
      </c>
      <c r="J2492" s="3">
        <v>-1.2567457696923001E-2</v>
      </c>
      <c r="K2492" s="3">
        <v>-1.7304148992895799E-2</v>
      </c>
      <c r="L2492" s="3">
        <v>0.10677178797567501</v>
      </c>
      <c r="M2492" s="3">
        <v>0.14501768213930499</v>
      </c>
      <c r="N2492" s="3">
        <v>0.102179932755547</v>
      </c>
      <c r="O2492" s="3">
        <v>0.14280726071932801</v>
      </c>
      <c r="P2492" s="3">
        <v>0.17221875961057401</v>
      </c>
    </row>
    <row r="2493" spans="1:16" x14ac:dyDescent="0.45">
      <c r="A2493" s="7" t="s">
        <v>30</v>
      </c>
      <c r="B2493" s="7" t="s">
        <v>25</v>
      </c>
      <c r="C2493" s="7" t="s">
        <v>15</v>
      </c>
      <c r="D2493" s="7" t="s">
        <v>10</v>
      </c>
      <c r="E2493" s="7" t="s">
        <v>32</v>
      </c>
      <c r="F2493" s="3">
        <v>0</v>
      </c>
      <c r="G2493" s="3">
        <v>-1.6442094798596599E-4</v>
      </c>
      <c r="H2493" s="3">
        <v>-1.6442094798596599E-4</v>
      </c>
      <c r="I2493" s="3">
        <v>-3.1980467470149598E-4</v>
      </c>
      <c r="J2493" s="3">
        <v>-1.6915673989739101E-3</v>
      </c>
      <c r="K2493" s="3">
        <v>-1.20426954925466E-2</v>
      </c>
      <c r="L2493" s="3">
        <v>2.3585511315820502E-2</v>
      </c>
      <c r="M2493" s="3">
        <v>1.4006416499457599E-2</v>
      </c>
      <c r="N2493" s="3">
        <v>2.0086315787036301E-2</v>
      </c>
      <c r="O2493" s="3">
        <v>3.3239289504530603E-2</v>
      </c>
      <c r="P2493" s="3">
        <v>5.0279608029864399E-2</v>
      </c>
    </row>
    <row r="2494" spans="1:16" x14ac:dyDescent="0.45">
      <c r="A2494" s="7" t="s">
        <v>30</v>
      </c>
      <c r="B2494" s="7" t="s">
        <v>25</v>
      </c>
      <c r="C2494" s="7" t="s">
        <v>15</v>
      </c>
      <c r="D2494" s="7" t="s">
        <v>11</v>
      </c>
      <c r="E2494" s="7" t="s">
        <v>32</v>
      </c>
      <c r="F2494" s="3">
        <v>0</v>
      </c>
      <c r="G2494" s="3">
        <v>0</v>
      </c>
      <c r="H2494" s="3">
        <v>0</v>
      </c>
      <c r="I2494" s="3">
        <v>-2.2287909873431899E-3</v>
      </c>
      <c r="J2494" s="3">
        <v>-1.3122866169050101E-2</v>
      </c>
      <c r="K2494" s="3">
        <v>-2.1062098913255702E-2</v>
      </c>
      <c r="L2494" s="3">
        <v>-1.6384930072687501E-2</v>
      </c>
      <c r="M2494" s="3">
        <v>6.6457152287835398E-4</v>
      </c>
      <c r="N2494" s="3">
        <v>7.1302571515445799E-3</v>
      </c>
      <c r="O2494" s="3">
        <v>-2.9996122562803199E-3</v>
      </c>
      <c r="P2494" s="3">
        <v>-1.8851697889558799E-2</v>
      </c>
    </row>
    <row r="2495" spans="1:16" x14ac:dyDescent="0.45">
      <c r="A2495" s="7" t="s">
        <v>30</v>
      </c>
      <c r="B2495" s="7" t="s">
        <v>25</v>
      </c>
      <c r="C2495" s="7" t="s">
        <v>15</v>
      </c>
      <c r="D2495" s="7" t="s">
        <v>12</v>
      </c>
      <c r="E2495" s="7" t="s">
        <v>32</v>
      </c>
      <c r="F2495" s="3">
        <v>0</v>
      </c>
      <c r="G2495" s="3">
        <v>-3.4914407664143898E-4</v>
      </c>
      <c r="H2495" s="3">
        <v>-3.4914407664143898E-4</v>
      </c>
      <c r="I2495" s="3">
        <v>-4.5348603118029497E-3</v>
      </c>
      <c r="J2495" s="3">
        <v>-1.9293033630547001E-2</v>
      </c>
      <c r="K2495" s="3">
        <v>-3.1512379112773201E-2</v>
      </c>
      <c r="L2495" s="3">
        <v>-0.105986164496479</v>
      </c>
      <c r="M2495" s="3">
        <v>-8.0596173450602701E-2</v>
      </c>
      <c r="N2495" s="3">
        <v>-3.4766001337798599E-2</v>
      </c>
      <c r="O2495" s="3">
        <v>-3.2222335327637901E-2</v>
      </c>
      <c r="P2495" s="3">
        <v>-4.86411559330251E-2</v>
      </c>
    </row>
    <row r="2496" spans="1:16" x14ac:dyDescent="0.45">
      <c r="A2496" s="7" t="s">
        <v>30</v>
      </c>
      <c r="B2496" s="7" t="s">
        <v>25</v>
      </c>
      <c r="C2496" s="7" t="s">
        <v>15</v>
      </c>
      <c r="D2496" s="7" t="s">
        <v>13</v>
      </c>
      <c r="E2496" s="7" t="s">
        <v>32</v>
      </c>
      <c r="F2496" s="3">
        <v>0</v>
      </c>
      <c r="G2496" s="3">
        <v>-1.13998960221008E-2</v>
      </c>
      <c r="H2496" s="3">
        <v>-1.13998960221008E-2</v>
      </c>
      <c r="I2496" s="3">
        <v>-4.08957291304732E-2</v>
      </c>
      <c r="J2496" s="3">
        <v>-3.4923299300311399E-2</v>
      </c>
      <c r="K2496" s="3">
        <v>-5.9960183588875199E-2</v>
      </c>
      <c r="L2496" s="3">
        <v>-0.107851416287664</v>
      </c>
      <c r="M2496" s="3">
        <v>-0.12281822167804</v>
      </c>
      <c r="N2496" s="3">
        <v>-0.12627900678120599</v>
      </c>
      <c r="O2496" s="3">
        <v>-0.11482818856079099</v>
      </c>
      <c r="P2496" s="3">
        <v>-0.104591362880935</v>
      </c>
    </row>
    <row r="2497" spans="1:16" x14ac:dyDescent="0.45">
      <c r="A2497" s="7" t="s">
        <v>30</v>
      </c>
      <c r="B2497" s="7" t="s">
        <v>25</v>
      </c>
      <c r="C2497" s="7" t="s">
        <v>15</v>
      </c>
      <c r="D2497" s="7" t="s">
        <v>14</v>
      </c>
      <c r="E2497" s="7" t="s">
        <v>32</v>
      </c>
      <c r="F2497" s="3">
        <v>0</v>
      </c>
      <c r="G2497" s="3">
        <v>-3.7419464133333101E-2</v>
      </c>
      <c r="H2497" s="3">
        <v>-3.7419464133333101E-2</v>
      </c>
      <c r="I2497" s="3">
        <v>-6.0736419872839599E-2</v>
      </c>
      <c r="J2497" s="3">
        <v>-6.8288413990180694E-2</v>
      </c>
      <c r="K2497" s="3">
        <v>-8.2395179430941004E-2</v>
      </c>
      <c r="L2497" s="3">
        <v>-0.115090277597638</v>
      </c>
      <c r="M2497" s="3">
        <v>-0.10396927363816801</v>
      </c>
      <c r="N2497" s="3">
        <v>-0.119343209193016</v>
      </c>
      <c r="O2497" s="3">
        <v>-0.121333964414068</v>
      </c>
      <c r="P2497" s="3">
        <v>-0.130403873437413</v>
      </c>
    </row>
    <row r="2498" spans="1:16" x14ac:dyDescent="0.45">
      <c r="A2498" s="7" t="s">
        <v>30</v>
      </c>
      <c r="B2498" s="7" t="s">
        <v>25</v>
      </c>
      <c r="C2498" s="7" t="s">
        <v>16</v>
      </c>
      <c r="D2498" s="7" t="s">
        <v>7</v>
      </c>
      <c r="E2498" s="7" t="s">
        <v>32</v>
      </c>
      <c r="F2498" s="3">
        <v>2.2041393924565602</v>
      </c>
      <c r="G2498" s="3">
        <v>2.2041393924565602</v>
      </c>
      <c r="H2498" s="3">
        <v>2.2041393924565602</v>
      </c>
      <c r="I2498" s="3">
        <v>2.2041393924565602</v>
      </c>
      <c r="J2498" s="3">
        <v>2.2041393924565602</v>
      </c>
      <c r="K2498" s="3">
        <v>2.0476454955921399</v>
      </c>
      <c r="L2498" s="3">
        <v>1.2828091264097199</v>
      </c>
      <c r="M2498" s="3">
        <v>0.67005837530679302</v>
      </c>
      <c r="N2498" s="3">
        <v>0</v>
      </c>
      <c r="O2498" s="3">
        <v>0</v>
      </c>
      <c r="P2498" s="3">
        <v>0</v>
      </c>
    </row>
    <row r="2499" spans="1:16" x14ac:dyDescent="0.45">
      <c r="A2499" s="7" t="s">
        <v>30</v>
      </c>
      <c r="B2499" s="7" t="s">
        <v>25</v>
      </c>
      <c r="C2499" s="7" t="s">
        <v>16</v>
      </c>
      <c r="D2499" s="7" t="s">
        <v>9</v>
      </c>
      <c r="E2499" s="7" t="s">
        <v>32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0</v>
      </c>
      <c r="P2499" s="3">
        <v>0</v>
      </c>
    </row>
    <row r="2500" spans="1:16" x14ac:dyDescent="0.45">
      <c r="A2500" s="7" t="s">
        <v>30</v>
      </c>
      <c r="B2500" s="7" t="s">
        <v>25</v>
      </c>
      <c r="C2500" s="7" t="s">
        <v>16</v>
      </c>
      <c r="D2500" s="7" t="s">
        <v>10</v>
      </c>
      <c r="E2500" s="7" t="s">
        <v>32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0</v>
      </c>
      <c r="P2500" s="3">
        <v>0</v>
      </c>
    </row>
    <row r="2501" spans="1:16" x14ac:dyDescent="0.45">
      <c r="A2501" s="7" t="s">
        <v>30</v>
      </c>
      <c r="B2501" s="7" t="s">
        <v>25</v>
      </c>
      <c r="C2501" s="7" t="s">
        <v>16</v>
      </c>
      <c r="D2501" s="7" t="s">
        <v>11</v>
      </c>
      <c r="E2501" s="7" t="s">
        <v>32</v>
      </c>
      <c r="F2501" s="3">
        <v>0</v>
      </c>
      <c r="G2501" s="3">
        <v>0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0</v>
      </c>
      <c r="N2501" s="3">
        <v>0</v>
      </c>
      <c r="O2501" s="3">
        <v>0</v>
      </c>
      <c r="P2501" s="3">
        <v>0</v>
      </c>
    </row>
    <row r="2502" spans="1:16" x14ac:dyDescent="0.45">
      <c r="A2502" s="7" t="s">
        <v>30</v>
      </c>
      <c r="B2502" s="7" t="s">
        <v>25</v>
      </c>
      <c r="C2502" s="7" t="s">
        <v>16</v>
      </c>
      <c r="D2502" s="7" t="s">
        <v>12</v>
      </c>
      <c r="E2502" s="7" t="s">
        <v>32</v>
      </c>
      <c r="F2502" s="3">
        <v>0</v>
      </c>
      <c r="G2502" s="3">
        <v>0</v>
      </c>
      <c r="H2502" s="3">
        <v>0</v>
      </c>
      <c r="I2502" s="3">
        <v>0</v>
      </c>
      <c r="J2502" s="3">
        <v>0</v>
      </c>
      <c r="K2502" s="3">
        <v>0</v>
      </c>
      <c r="L2502" s="3">
        <v>0</v>
      </c>
      <c r="M2502" s="3">
        <v>0</v>
      </c>
      <c r="N2502" s="3">
        <v>0</v>
      </c>
      <c r="O2502" s="3">
        <v>0</v>
      </c>
      <c r="P2502" s="3">
        <v>0</v>
      </c>
    </row>
    <row r="2503" spans="1:16" x14ac:dyDescent="0.45">
      <c r="A2503" s="7" t="s">
        <v>30</v>
      </c>
      <c r="B2503" s="7" t="s">
        <v>25</v>
      </c>
      <c r="C2503" s="7" t="s">
        <v>16</v>
      </c>
      <c r="D2503" s="7" t="s">
        <v>13</v>
      </c>
      <c r="E2503" s="7" t="s">
        <v>32</v>
      </c>
      <c r="F2503" s="3">
        <v>0</v>
      </c>
      <c r="G2503" s="3">
        <v>0</v>
      </c>
      <c r="H2503" s="3">
        <v>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0</v>
      </c>
    </row>
    <row r="2504" spans="1:16" x14ac:dyDescent="0.45">
      <c r="A2504" s="7" t="s">
        <v>30</v>
      </c>
      <c r="B2504" s="7" t="s">
        <v>25</v>
      </c>
      <c r="C2504" s="7" t="s">
        <v>16</v>
      </c>
      <c r="D2504" s="7" t="s">
        <v>14</v>
      </c>
      <c r="E2504" s="7" t="s">
        <v>32</v>
      </c>
      <c r="F2504" s="3">
        <v>0</v>
      </c>
      <c r="G2504" s="3">
        <v>0</v>
      </c>
      <c r="H2504" s="3">
        <v>0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</row>
    <row r="2505" spans="1:16" x14ac:dyDescent="0.45">
      <c r="A2505" s="7" t="s">
        <v>30</v>
      </c>
      <c r="B2505" s="7" t="s">
        <v>25</v>
      </c>
      <c r="C2505" s="7" t="s">
        <v>17</v>
      </c>
      <c r="D2505" s="7" t="s">
        <v>10</v>
      </c>
      <c r="E2505" s="7" t="s">
        <v>32</v>
      </c>
      <c r="F2505" s="3">
        <v>0</v>
      </c>
      <c r="G2505" s="3">
        <v>0</v>
      </c>
      <c r="H2505" s="3">
        <v>0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0.34286469449690299</v>
      </c>
      <c r="O2505" s="3">
        <v>0.39030619974295</v>
      </c>
      <c r="P2505" s="3">
        <v>0.38633355440494199</v>
      </c>
    </row>
    <row r="2506" spans="1:16" x14ac:dyDescent="0.45">
      <c r="A2506" s="7" t="s">
        <v>30</v>
      </c>
      <c r="B2506" s="7" t="s">
        <v>25</v>
      </c>
      <c r="C2506" s="7" t="s">
        <v>17</v>
      </c>
      <c r="D2506" s="7" t="s">
        <v>11</v>
      </c>
      <c r="E2506" s="7" t="s">
        <v>32</v>
      </c>
      <c r="F2506" s="3">
        <v>0</v>
      </c>
      <c r="G2506" s="3">
        <v>0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  <c r="M2506" s="3">
        <v>0.340483238895604</v>
      </c>
      <c r="N2506" s="3">
        <v>5.2479243021289999E-2</v>
      </c>
      <c r="O2506" s="3">
        <v>5.0377377752421904E-3</v>
      </c>
      <c r="P2506" s="3">
        <v>7.9780598515439803E-3</v>
      </c>
    </row>
    <row r="2507" spans="1:16" x14ac:dyDescent="0.45">
      <c r="A2507" s="7" t="s">
        <v>30</v>
      </c>
      <c r="B2507" s="7" t="s">
        <v>25</v>
      </c>
      <c r="C2507" s="7" t="s">
        <v>17</v>
      </c>
      <c r="D2507" s="7" t="s">
        <v>12</v>
      </c>
      <c r="E2507" s="7" t="s">
        <v>32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4.0844219184481098E-2</v>
      </c>
      <c r="N2507" s="3">
        <v>1.6485217362989201E-2</v>
      </c>
      <c r="O2507" s="3">
        <v>1.6485217362989999E-2</v>
      </c>
      <c r="P2507" s="3">
        <v>1.35448952866875E-2</v>
      </c>
    </row>
    <row r="2508" spans="1:16" x14ac:dyDescent="0.45">
      <c r="A2508" s="7" t="s">
        <v>30</v>
      </c>
      <c r="B2508" s="7" t="s">
        <v>25</v>
      </c>
      <c r="C2508" s="7" t="s">
        <v>17</v>
      </c>
      <c r="D2508" s="7" t="s">
        <v>13</v>
      </c>
      <c r="E2508" s="7" t="s">
        <v>32</v>
      </c>
      <c r="F2508" s="3">
        <v>0</v>
      </c>
      <c r="G2508" s="3">
        <v>0</v>
      </c>
      <c r="H2508" s="3">
        <v>0</v>
      </c>
      <c r="I2508" s="3">
        <v>0</v>
      </c>
      <c r="J2508" s="3">
        <v>0</v>
      </c>
      <c r="K2508" s="3">
        <v>0</v>
      </c>
      <c r="L2508" s="3">
        <v>0</v>
      </c>
      <c r="M2508" s="3">
        <v>6.6686106883739904E-4</v>
      </c>
      <c r="N2508" s="3">
        <v>2.7404862777968798E-4</v>
      </c>
      <c r="O2508" s="3">
        <v>2.7404862777968798E-4</v>
      </c>
      <c r="P2508" s="3">
        <v>2.7404862777968798E-4</v>
      </c>
    </row>
    <row r="2509" spans="1:16" x14ac:dyDescent="0.45">
      <c r="A2509" s="7" t="s">
        <v>30</v>
      </c>
      <c r="B2509" s="7" t="s">
        <v>25</v>
      </c>
      <c r="C2509" s="7" t="s">
        <v>17</v>
      </c>
      <c r="D2509" s="7" t="s">
        <v>14</v>
      </c>
      <c r="E2509" s="7" t="s">
        <v>32</v>
      </c>
      <c r="F2509" s="3">
        <v>0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  <c r="L2509" s="3">
        <v>0</v>
      </c>
      <c r="M2509" s="3">
        <v>3.6097640637722298E-7</v>
      </c>
      <c r="N2509" s="3">
        <v>1.47913182368953E-7</v>
      </c>
      <c r="O2509" s="3">
        <v>1.4791318164730801E-7</v>
      </c>
      <c r="P2509" s="3">
        <v>1.47913182368953E-7</v>
      </c>
    </row>
    <row r="2510" spans="1:16" x14ac:dyDescent="0.45">
      <c r="A2510" s="7" t="s">
        <v>30</v>
      </c>
      <c r="B2510" s="7" t="s">
        <v>25</v>
      </c>
      <c r="C2510" s="7" t="s">
        <v>18</v>
      </c>
      <c r="D2510" s="7" t="s">
        <v>7</v>
      </c>
      <c r="E2510" s="7" t="s">
        <v>32</v>
      </c>
      <c r="F2510" s="3">
        <v>6.4809183559769599</v>
      </c>
      <c r="G2510" s="3">
        <v>6.9086847700984997</v>
      </c>
      <c r="H2510" s="3">
        <v>6.9086847700984997</v>
      </c>
      <c r="I2510" s="3">
        <v>7.1663201617210701</v>
      </c>
      <c r="J2510" s="3">
        <v>6.2960498856652896</v>
      </c>
      <c r="K2510" s="3">
        <v>4.0512625660916699</v>
      </c>
      <c r="L2510" s="3">
        <v>2.5380353212759399</v>
      </c>
      <c r="M2510" s="3">
        <v>1.3257091712506599</v>
      </c>
      <c r="N2510" s="3">
        <v>0</v>
      </c>
      <c r="O2510" s="3">
        <v>0</v>
      </c>
      <c r="P2510" s="3">
        <v>0</v>
      </c>
    </row>
    <row r="2511" spans="1:16" x14ac:dyDescent="0.45">
      <c r="A2511" s="7" t="s">
        <v>30</v>
      </c>
      <c r="B2511" s="7" t="s">
        <v>25</v>
      </c>
      <c r="C2511" s="7" t="s">
        <v>18</v>
      </c>
      <c r="D2511" s="7" t="s">
        <v>9</v>
      </c>
      <c r="E2511" s="7" t="s">
        <v>32</v>
      </c>
      <c r="F2511" s="3">
        <v>0</v>
      </c>
      <c r="G2511" s="3">
        <v>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0</v>
      </c>
      <c r="O2511" s="3">
        <v>3.3336576987332299E-16</v>
      </c>
      <c r="P2511" s="3">
        <v>0</v>
      </c>
    </row>
    <row r="2512" spans="1:16" x14ac:dyDescent="0.45">
      <c r="A2512" s="7" t="s">
        <v>30</v>
      </c>
      <c r="B2512" s="7" t="s">
        <v>25</v>
      </c>
      <c r="C2512" s="7" t="s">
        <v>18</v>
      </c>
      <c r="D2512" s="7" t="s">
        <v>10</v>
      </c>
      <c r="E2512" s="7" t="s">
        <v>32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-3.3336576987332299E-16</v>
      </c>
      <c r="P2512" s="3">
        <v>6.6673153974664599E-16</v>
      </c>
    </row>
    <row r="2513" spans="1:16" x14ac:dyDescent="0.45">
      <c r="A2513" s="7" t="s">
        <v>30</v>
      </c>
      <c r="B2513" s="7" t="s">
        <v>25</v>
      </c>
      <c r="C2513" s="7" t="s">
        <v>18</v>
      </c>
      <c r="D2513" s="7" t="s">
        <v>11</v>
      </c>
      <c r="E2513" s="7" t="s">
        <v>32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  <c r="O2513" s="3">
        <v>0</v>
      </c>
      <c r="P2513" s="3">
        <v>3.3336576987332502E-16</v>
      </c>
    </row>
    <row r="2514" spans="1:16" x14ac:dyDescent="0.45">
      <c r="A2514" s="7" t="s">
        <v>30</v>
      </c>
      <c r="B2514" s="7" t="s">
        <v>25</v>
      </c>
      <c r="C2514" s="7" t="s">
        <v>18</v>
      </c>
      <c r="D2514" s="7" t="s">
        <v>12</v>
      </c>
      <c r="E2514" s="7" t="s">
        <v>32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6.6673153974664599E-16</v>
      </c>
      <c r="O2514" s="3">
        <v>0</v>
      </c>
      <c r="P2514" s="3">
        <v>-1.0000973096199699E-15</v>
      </c>
    </row>
    <row r="2515" spans="1:16" x14ac:dyDescent="0.45">
      <c r="A2515" s="7" t="s">
        <v>30</v>
      </c>
      <c r="B2515" s="7" t="s">
        <v>25</v>
      </c>
      <c r="C2515" s="7" t="s">
        <v>18</v>
      </c>
      <c r="D2515" s="7" t="s">
        <v>13</v>
      </c>
      <c r="E2515" s="7" t="s">
        <v>32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-6.6673153974664599E-16</v>
      </c>
      <c r="O2515" s="3">
        <v>0</v>
      </c>
      <c r="P2515" s="3">
        <v>3.3336576987332299E-16</v>
      </c>
    </row>
    <row r="2516" spans="1:16" x14ac:dyDescent="0.45">
      <c r="A2516" s="7" t="s">
        <v>30</v>
      </c>
      <c r="B2516" s="7" t="s">
        <v>25</v>
      </c>
      <c r="C2516" s="7" t="s">
        <v>18</v>
      </c>
      <c r="D2516" s="7" t="s">
        <v>14</v>
      </c>
      <c r="E2516" s="7" t="s">
        <v>32</v>
      </c>
      <c r="F2516" s="3">
        <v>0</v>
      </c>
      <c r="G2516" s="3">
        <v>0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6.6673153974664599E-16</v>
      </c>
      <c r="P2516" s="3">
        <v>0</v>
      </c>
    </row>
    <row r="2517" spans="1:16" x14ac:dyDescent="0.45">
      <c r="A2517" s="7" t="s">
        <v>30</v>
      </c>
      <c r="B2517" s="7" t="s">
        <v>25</v>
      </c>
      <c r="C2517" s="7" t="s">
        <v>19</v>
      </c>
      <c r="D2517" s="7" t="s">
        <v>7</v>
      </c>
      <c r="E2517" s="7" t="s">
        <v>32</v>
      </c>
      <c r="F2517" s="3">
        <v>0.24721587597747299</v>
      </c>
      <c r="G2517" s="3">
        <v>0.39155791401973999</v>
      </c>
      <c r="H2517" s="3">
        <v>0.39155791401973999</v>
      </c>
      <c r="I2517" s="3">
        <v>0.42103593830863101</v>
      </c>
      <c r="J2517" s="3">
        <v>0.47951354629780701</v>
      </c>
      <c r="K2517" s="3">
        <v>0.50656663101266797</v>
      </c>
      <c r="L2517" s="3">
        <v>0.33726151255640002</v>
      </c>
      <c r="M2517" s="3">
        <v>0.27502326631996599</v>
      </c>
      <c r="N2517" s="3">
        <v>0.27126900224730399</v>
      </c>
      <c r="O2517" s="3">
        <v>0.26846170571445199</v>
      </c>
      <c r="P2517" s="3">
        <v>0.26639109513871001</v>
      </c>
    </row>
    <row r="2518" spans="1:16" x14ac:dyDescent="0.45">
      <c r="A2518" s="7" t="s">
        <v>30</v>
      </c>
      <c r="B2518" s="7" t="s">
        <v>25</v>
      </c>
      <c r="C2518" s="7" t="s">
        <v>19</v>
      </c>
      <c r="D2518" s="7" t="s">
        <v>9</v>
      </c>
      <c r="E2518" s="7" t="s">
        <v>32</v>
      </c>
      <c r="F2518" s="3">
        <v>0</v>
      </c>
      <c r="G2518" s="3">
        <v>1.64100258964817E-3</v>
      </c>
      <c r="H2518" s="3">
        <v>1.64100258964817E-3</v>
      </c>
      <c r="I2518" s="3">
        <v>2.7278770612761999E-3</v>
      </c>
      <c r="J2518" s="3">
        <v>1.2567457696920701E-2</v>
      </c>
      <c r="K2518" s="3">
        <v>1.73041489928988E-2</v>
      </c>
      <c r="L2518" s="3">
        <v>2.7276667765759401E-2</v>
      </c>
      <c r="M2518" s="3">
        <v>2.31186941854724E-2</v>
      </c>
      <c r="N2518" s="3">
        <v>2.0334707140007999E-2</v>
      </c>
      <c r="O2518" s="3">
        <v>2.03710717437455E-2</v>
      </c>
      <c r="P2518" s="3">
        <v>5.5070206892923003E-2</v>
      </c>
    </row>
    <row r="2519" spans="1:16" x14ac:dyDescent="0.45">
      <c r="A2519" s="7" t="s">
        <v>30</v>
      </c>
      <c r="B2519" s="7" t="s">
        <v>25</v>
      </c>
      <c r="C2519" s="7" t="s">
        <v>19</v>
      </c>
      <c r="D2519" s="7" t="s">
        <v>10</v>
      </c>
      <c r="E2519" s="7" t="s">
        <v>32</v>
      </c>
      <c r="F2519" s="3">
        <v>0</v>
      </c>
      <c r="G2519" s="3">
        <v>1.6442094798740901E-4</v>
      </c>
      <c r="H2519" s="3">
        <v>1.6442094798740901E-4</v>
      </c>
      <c r="I2519" s="3">
        <v>3.1980467470221801E-4</v>
      </c>
      <c r="J2519" s="3">
        <v>1.6915673989725301E-3</v>
      </c>
      <c r="K2519" s="3">
        <v>1.2042695492545099E-2</v>
      </c>
      <c r="L2519" s="3">
        <v>4.4423628626521702E-2</v>
      </c>
      <c r="M2519" s="3">
        <v>7.2836205494567999E-2</v>
      </c>
      <c r="N2519" s="3">
        <v>0.129980279462408</v>
      </c>
      <c r="O2519" s="3">
        <v>0.13226883505062201</v>
      </c>
      <c r="P2519" s="3">
        <v>9.9727654280389294E-2</v>
      </c>
    </row>
    <row r="2520" spans="1:16" x14ac:dyDescent="0.45">
      <c r="A2520" s="7" t="s">
        <v>30</v>
      </c>
      <c r="B2520" s="7" t="s">
        <v>25</v>
      </c>
      <c r="C2520" s="7" t="s">
        <v>19</v>
      </c>
      <c r="D2520" s="7" t="s">
        <v>11</v>
      </c>
      <c r="E2520" s="7" t="s">
        <v>32</v>
      </c>
      <c r="F2520" s="3">
        <v>0</v>
      </c>
      <c r="G2520" s="3">
        <v>1.4988010832439599E-15</v>
      </c>
      <c r="H2520" s="3">
        <v>1.4988010832439599E-15</v>
      </c>
      <c r="I2520" s="3">
        <v>2.2287909873388002E-3</v>
      </c>
      <c r="J2520" s="3">
        <v>1.3122866169053801E-2</v>
      </c>
      <c r="K2520" s="3">
        <v>2.1062098913258099E-2</v>
      </c>
      <c r="L2520" s="3">
        <v>5.55312688995084E-2</v>
      </c>
      <c r="M2520" s="3">
        <v>0.117797059453241</v>
      </c>
      <c r="N2520" s="3">
        <v>6.1038548319288399E-2</v>
      </c>
      <c r="O2520" s="3">
        <v>6.1444389751910002E-2</v>
      </c>
      <c r="P2520" s="3">
        <v>6.6770445044540896E-2</v>
      </c>
    </row>
    <row r="2521" spans="1:16" x14ac:dyDescent="0.45">
      <c r="A2521" s="7" t="s">
        <v>30</v>
      </c>
      <c r="B2521" s="7" t="s">
        <v>25</v>
      </c>
      <c r="C2521" s="7" t="s">
        <v>19</v>
      </c>
      <c r="D2521" s="7" t="s">
        <v>12</v>
      </c>
      <c r="E2521" s="7" t="s">
        <v>32</v>
      </c>
      <c r="F2521" s="3">
        <v>0</v>
      </c>
      <c r="G2521" s="3">
        <v>3.4914407663999602E-4</v>
      </c>
      <c r="H2521" s="3">
        <v>3.4914407663999602E-4</v>
      </c>
      <c r="I2521" s="3">
        <v>4.5348603118066698E-3</v>
      </c>
      <c r="J2521" s="3">
        <v>1.9293033630540898E-2</v>
      </c>
      <c r="K2521" s="3">
        <v>3.1512379112772299E-2</v>
      </c>
      <c r="L2521" s="3">
        <v>0.304549642091343</v>
      </c>
      <c r="M2521" s="3">
        <v>0.21302122224226899</v>
      </c>
      <c r="N2521" s="3">
        <v>0.11365807349250499</v>
      </c>
      <c r="O2521" s="3">
        <v>7.8142286175464398E-2</v>
      </c>
      <c r="P2521" s="3">
        <v>7.3006949521178394E-2</v>
      </c>
    </row>
    <row r="2522" spans="1:16" x14ac:dyDescent="0.45">
      <c r="A2522" s="7" t="s">
        <v>30</v>
      </c>
      <c r="B2522" s="7" t="s">
        <v>25</v>
      </c>
      <c r="C2522" s="7" t="s">
        <v>19</v>
      </c>
      <c r="D2522" s="7" t="s">
        <v>13</v>
      </c>
      <c r="E2522" s="7" t="s">
        <v>32</v>
      </c>
      <c r="F2522" s="3">
        <v>0</v>
      </c>
      <c r="G2522" s="3">
        <v>1.1399896022103E-2</v>
      </c>
      <c r="H2522" s="3">
        <v>1.1399896022103E-2</v>
      </c>
      <c r="I2522" s="3">
        <v>4.08957291304732E-2</v>
      </c>
      <c r="J2522" s="3">
        <v>3.4923299300317602E-2</v>
      </c>
      <c r="K2522" s="3">
        <v>5.9960183588879702E-2</v>
      </c>
      <c r="L2522" s="3">
        <v>0.14702404272948899</v>
      </c>
      <c r="M2522" s="3">
        <v>0.161738763742511</v>
      </c>
      <c r="N2522" s="3">
        <v>0.1673403766988</v>
      </c>
      <c r="O2522" s="3">
        <v>0.142897067289493</v>
      </c>
      <c r="P2522" s="3">
        <v>0.119637360666556</v>
      </c>
    </row>
    <row r="2523" spans="1:16" x14ac:dyDescent="0.45">
      <c r="A2523" s="7" t="s">
        <v>30</v>
      </c>
      <c r="B2523" s="7" t="s">
        <v>25</v>
      </c>
      <c r="C2523" s="7" t="s">
        <v>19</v>
      </c>
      <c r="D2523" s="7" t="s">
        <v>14</v>
      </c>
      <c r="E2523" s="7" t="s">
        <v>32</v>
      </c>
      <c r="F2523" s="3">
        <v>0</v>
      </c>
      <c r="G2523" s="3">
        <v>3.7419464133331602E-2</v>
      </c>
      <c r="H2523" s="3">
        <v>3.7419464133331602E-2</v>
      </c>
      <c r="I2523" s="3">
        <v>6.0736419872840397E-2</v>
      </c>
      <c r="J2523" s="3">
        <v>6.8288413990178501E-2</v>
      </c>
      <c r="K2523" s="3">
        <v>8.2395179430938797E-2</v>
      </c>
      <c r="L2523" s="3">
        <v>0.15552395503086799</v>
      </c>
      <c r="M2523" s="3">
        <v>0.14318555548436801</v>
      </c>
      <c r="N2523" s="3">
        <v>0.15598518118058799</v>
      </c>
      <c r="O2523" s="3">
        <v>0.15618587793137401</v>
      </c>
      <c r="P2523" s="3">
        <v>0.16749657781925101</v>
      </c>
    </row>
    <row r="2524" spans="1:16" x14ac:dyDescent="0.45">
      <c r="A2524" s="7" t="s">
        <v>86</v>
      </c>
      <c r="B2524" s="7" t="s">
        <v>27</v>
      </c>
      <c r="C2524" s="7" t="s">
        <v>6</v>
      </c>
      <c r="D2524" s="7" t="s">
        <v>7</v>
      </c>
      <c r="E2524" s="7" t="s">
        <v>32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3">
        <v>0</v>
      </c>
    </row>
    <row r="2525" spans="1:16" x14ac:dyDescent="0.45">
      <c r="A2525" s="7" t="s">
        <v>86</v>
      </c>
      <c r="B2525" s="7" t="s">
        <v>27</v>
      </c>
      <c r="C2525" s="7" t="s">
        <v>6</v>
      </c>
      <c r="D2525" s="7" t="s">
        <v>9</v>
      </c>
      <c r="E2525" s="7" t="s">
        <v>32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2.89336020158147E-3</v>
      </c>
      <c r="P2525" s="3">
        <v>8.76292774693457E-3</v>
      </c>
    </row>
    <row r="2526" spans="1:16" x14ac:dyDescent="0.45">
      <c r="A2526" s="7" t="s">
        <v>86</v>
      </c>
      <c r="B2526" s="7" t="s">
        <v>27</v>
      </c>
      <c r="C2526" s="7" t="s">
        <v>6</v>
      </c>
      <c r="D2526" s="7" t="s">
        <v>10</v>
      </c>
      <c r="E2526" s="7" t="s">
        <v>32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0</v>
      </c>
      <c r="L2526" s="3">
        <v>1.70675531563525E-3</v>
      </c>
      <c r="M2526" s="3">
        <v>9.2504406668731404E-3</v>
      </c>
      <c r="N2526" s="3">
        <v>1.4525404921341601E-2</v>
      </c>
      <c r="O2526" s="3">
        <v>1.82076345172726E-2</v>
      </c>
      <c r="P2526" s="3">
        <v>1.7974624427927799E-2</v>
      </c>
    </row>
    <row r="2527" spans="1:16" x14ac:dyDescent="0.45">
      <c r="A2527" s="7" t="s">
        <v>86</v>
      </c>
      <c r="B2527" s="7" t="s">
        <v>27</v>
      </c>
      <c r="C2527" s="7" t="s">
        <v>6</v>
      </c>
      <c r="D2527" s="7" t="s">
        <v>11</v>
      </c>
      <c r="E2527" s="7" t="s">
        <v>32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7.9485180294197495E-3</v>
      </c>
      <c r="L2527" s="3">
        <v>1.4986055611392299E-2</v>
      </c>
      <c r="M2527" s="3">
        <v>1.90359111099665E-2</v>
      </c>
      <c r="N2527" s="3">
        <v>7.6845954954739698E-2</v>
      </c>
      <c r="O2527" s="3">
        <v>0.16879065832888801</v>
      </c>
      <c r="P2527" s="3">
        <v>0.28497823978709302</v>
      </c>
    </row>
    <row r="2528" spans="1:16" x14ac:dyDescent="0.45">
      <c r="A2528" s="7" t="s">
        <v>86</v>
      </c>
      <c r="B2528" s="7" t="s">
        <v>27</v>
      </c>
      <c r="C2528" s="7" t="s">
        <v>6</v>
      </c>
      <c r="D2528" s="7" t="s">
        <v>12</v>
      </c>
      <c r="E2528" s="7" t="s">
        <v>32</v>
      </c>
      <c r="F2528" s="3">
        <v>0</v>
      </c>
      <c r="G2528" s="3">
        <v>0</v>
      </c>
      <c r="H2528" s="3">
        <v>0</v>
      </c>
      <c r="I2528" s="3">
        <v>5.7139356433655301E-9</v>
      </c>
      <c r="J2528" s="3">
        <v>8.0042509142853498E-3</v>
      </c>
      <c r="K2528" s="3">
        <v>2.5897424122997201E-2</v>
      </c>
      <c r="L2528" s="3">
        <v>0.120116468001777</v>
      </c>
      <c r="M2528" s="3">
        <v>0.24607631757866</v>
      </c>
      <c r="N2528" s="3">
        <v>0.32587105135342398</v>
      </c>
      <c r="O2528" s="3">
        <v>0.35052933808153702</v>
      </c>
      <c r="P2528" s="3">
        <v>0.34019699906606499</v>
      </c>
    </row>
    <row r="2529" spans="1:16" x14ac:dyDescent="0.45">
      <c r="A2529" s="7" t="s">
        <v>86</v>
      </c>
      <c r="B2529" s="7" t="s">
        <v>27</v>
      </c>
      <c r="C2529" s="7" t="s">
        <v>6</v>
      </c>
      <c r="D2529" s="7" t="s">
        <v>13</v>
      </c>
      <c r="E2529" s="7" t="s">
        <v>32</v>
      </c>
      <c r="F2529" s="3">
        <v>0</v>
      </c>
      <c r="G2529" s="3">
        <v>0</v>
      </c>
      <c r="H2529" s="3">
        <v>0</v>
      </c>
      <c r="I2529" s="3">
        <v>2.1483583145546901E-2</v>
      </c>
      <c r="J2529" s="3">
        <v>0.178873220713198</v>
      </c>
      <c r="K2529" s="3">
        <v>0.324938358316464</v>
      </c>
      <c r="L2529" s="3">
        <v>0.361079951444299</v>
      </c>
      <c r="M2529" s="3">
        <v>0.34906608203874501</v>
      </c>
      <c r="N2529" s="3">
        <v>0.32301344010417099</v>
      </c>
      <c r="O2529" s="3">
        <v>0.30088820595981403</v>
      </c>
      <c r="P2529" s="3">
        <v>0.27613230582440101</v>
      </c>
    </row>
    <row r="2530" spans="1:16" x14ac:dyDescent="0.45">
      <c r="A2530" s="7" t="s">
        <v>86</v>
      </c>
      <c r="B2530" s="7" t="s">
        <v>27</v>
      </c>
      <c r="C2530" s="7" t="s">
        <v>6</v>
      </c>
      <c r="D2530" s="7" t="s">
        <v>14</v>
      </c>
      <c r="E2530" s="7" t="s">
        <v>32</v>
      </c>
      <c r="F2530" s="3">
        <v>0</v>
      </c>
      <c r="G2530" s="3">
        <v>1.6714530273085199E-2</v>
      </c>
      <c r="H2530" s="3">
        <v>1.6714530273085199E-2</v>
      </c>
      <c r="I2530" s="3">
        <v>0.19311007177893499</v>
      </c>
      <c r="J2530" s="3">
        <v>0.19257863783354101</v>
      </c>
      <c r="K2530" s="3">
        <v>0.16600436545908401</v>
      </c>
      <c r="L2530" s="3">
        <v>0.16019481233431501</v>
      </c>
      <c r="M2530" s="3">
        <v>0.17184548997274199</v>
      </c>
      <c r="N2530" s="3">
        <v>0.16752843286350599</v>
      </c>
      <c r="O2530" s="3">
        <v>0.16670994679956</v>
      </c>
      <c r="P2530" s="3">
        <v>0.167318124175489</v>
      </c>
    </row>
    <row r="2531" spans="1:16" x14ac:dyDescent="0.45">
      <c r="A2531" s="7" t="s">
        <v>86</v>
      </c>
      <c r="B2531" s="7" t="s">
        <v>27</v>
      </c>
      <c r="C2531" s="7" t="s">
        <v>15</v>
      </c>
      <c r="D2531" s="7" t="s">
        <v>7</v>
      </c>
      <c r="E2531" s="7" t="s">
        <v>32</v>
      </c>
      <c r="F2531" s="3">
        <v>9.7161463851459295E-2</v>
      </c>
      <c r="G2531" s="3">
        <v>0.11112693842306599</v>
      </c>
      <c r="H2531" s="3">
        <v>0.11112693842306599</v>
      </c>
      <c r="I2531" s="3">
        <v>0.126587486067019</v>
      </c>
      <c r="J2531" s="3">
        <v>0.14235450844539499</v>
      </c>
      <c r="K2531" s="3">
        <v>0.15732319506439399</v>
      </c>
      <c r="L2531" s="3">
        <v>0.163440194623937</v>
      </c>
      <c r="M2531" s="3">
        <v>0.16691908549182499</v>
      </c>
      <c r="N2531" s="3">
        <v>0.16194218835694299</v>
      </c>
      <c r="O2531" s="3">
        <v>0.166665357508438</v>
      </c>
      <c r="P2531" s="3">
        <v>0.16685941240792601</v>
      </c>
    </row>
    <row r="2532" spans="1:16" x14ac:dyDescent="0.45">
      <c r="A2532" s="7" t="s">
        <v>86</v>
      </c>
      <c r="B2532" s="7" t="s">
        <v>27</v>
      </c>
      <c r="C2532" s="7" t="s">
        <v>15</v>
      </c>
      <c r="D2532" s="7" t="s">
        <v>9</v>
      </c>
      <c r="E2532" s="7" t="s">
        <v>32</v>
      </c>
      <c r="F2532" s="3">
        <v>0</v>
      </c>
      <c r="G2532" s="3">
        <v>3.1177661485964903E-4</v>
      </c>
      <c r="H2532" s="3">
        <v>3.1177661485964903E-4</v>
      </c>
      <c r="I2532" s="3">
        <v>-5.3167272576753999E-4</v>
      </c>
      <c r="J2532" s="3">
        <v>-1.01884919647183E-3</v>
      </c>
      <c r="K2532" s="3">
        <v>-8.6564724800533598E-4</v>
      </c>
      <c r="L2532" s="3">
        <v>7.4317978810754803E-3</v>
      </c>
      <c r="M2532" s="3">
        <v>1.3688674771420901E-2</v>
      </c>
      <c r="N2532" s="3">
        <v>2.8081700411656599E-2</v>
      </c>
      <c r="O2532" s="3">
        <v>2.9594441848524201E-2</v>
      </c>
      <c r="P2532" s="3">
        <v>3.4556021798741399E-2</v>
      </c>
    </row>
    <row r="2533" spans="1:16" x14ac:dyDescent="0.45">
      <c r="A2533" s="7" t="s">
        <v>86</v>
      </c>
      <c r="B2533" s="7" t="s">
        <v>27</v>
      </c>
      <c r="C2533" s="7" t="s">
        <v>15</v>
      </c>
      <c r="D2533" s="7" t="s">
        <v>10</v>
      </c>
      <c r="E2533" s="7" t="s">
        <v>32</v>
      </c>
      <c r="F2533" s="3">
        <v>0</v>
      </c>
      <c r="G2533" s="3">
        <v>-9.9296237036894408E-4</v>
      </c>
      <c r="H2533" s="3">
        <v>-9.9296237036894408E-4</v>
      </c>
      <c r="I2533" s="3">
        <v>-9.5548786965549103E-6</v>
      </c>
      <c r="J2533" s="3">
        <v>2.9177072775999598E-3</v>
      </c>
      <c r="K2533" s="3">
        <v>2.78689192500028E-3</v>
      </c>
      <c r="L2533" s="3">
        <v>4.00067562824652E-4</v>
      </c>
      <c r="M2533" s="3">
        <v>2.2267480386256601E-3</v>
      </c>
      <c r="N2533" s="3">
        <v>2.13182018108615E-3</v>
      </c>
      <c r="O2533" s="3">
        <v>3.0400871385807501E-3</v>
      </c>
      <c r="P2533" s="3">
        <v>3.6351094666137499E-3</v>
      </c>
    </row>
    <row r="2534" spans="1:16" x14ac:dyDescent="0.45">
      <c r="A2534" s="7" t="s">
        <v>86</v>
      </c>
      <c r="B2534" s="7" t="s">
        <v>27</v>
      </c>
      <c r="C2534" s="7" t="s">
        <v>15</v>
      </c>
      <c r="D2534" s="7" t="s">
        <v>11</v>
      </c>
      <c r="E2534" s="7" t="s">
        <v>32</v>
      </c>
      <c r="F2534" s="3">
        <v>0</v>
      </c>
      <c r="G2534" s="3">
        <v>-2.0896012293017399E-4</v>
      </c>
      <c r="H2534" s="3">
        <v>-2.0896012293017399E-4</v>
      </c>
      <c r="I2534" s="3">
        <v>5.7090266949552703E-4</v>
      </c>
      <c r="J2534" s="3">
        <v>2.41813927992079E-4</v>
      </c>
      <c r="K2534" s="3">
        <v>7.0093560095207995E-4</v>
      </c>
      <c r="L2534" s="3">
        <v>-3.6431372132134099E-4</v>
      </c>
      <c r="M2534" s="3">
        <v>2.1873047385558299E-3</v>
      </c>
      <c r="N2534" s="3">
        <v>7.2461673109289497E-3</v>
      </c>
      <c r="O2534" s="3">
        <v>1.26482768066203E-2</v>
      </c>
      <c r="P2534" s="3">
        <v>1.6033503761980698E-2</v>
      </c>
    </row>
    <row r="2535" spans="1:16" x14ac:dyDescent="0.45">
      <c r="A2535" s="7" t="s">
        <v>86</v>
      </c>
      <c r="B2535" s="7" t="s">
        <v>27</v>
      </c>
      <c r="C2535" s="7" t="s">
        <v>15</v>
      </c>
      <c r="D2535" s="7" t="s">
        <v>12</v>
      </c>
      <c r="E2535" s="7" t="s">
        <v>32</v>
      </c>
      <c r="F2535" s="3">
        <v>0</v>
      </c>
      <c r="G2535" s="3">
        <v>1.1475789783366901E-3</v>
      </c>
      <c r="H2535" s="3">
        <v>1.1475789783366901E-3</v>
      </c>
      <c r="I2535" s="3">
        <v>2.1363742956784199E-4</v>
      </c>
      <c r="J2535" s="3">
        <v>-5.1302905840777701E-4</v>
      </c>
      <c r="K2535" s="3">
        <v>2.0554629240212602E-3</v>
      </c>
      <c r="L2535" s="3">
        <v>1.0667660546701201E-2</v>
      </c>
      <c r="M2535" s="3">
        <v>1.4686132162275E-2</v>
      </c>
      <c r="N2535" s="3">
        <v>1.2576112823866999E-2</v>
      </c>
      <c r="O2535" s="3">
        <v>9.6487083169422595E-3</v>
      </c>
      <c r="P2535" s="3">
        <v>6.6996515844606197E-3</v>
      </c>
    </row>
    <row r="2536" spans="1:16" x14ac:dyDescent="0.45">
      <c r="A2536" s="7" t="s">
        <v>86</v>
      </c>
      <c r="B2536" s="7" t="s">
        <v>27</v>
      </c>
      <c r="C2536" s="7" t="s">
        <v>15</v>
      </c>
      <c r="D2536" s="7" t="s">
        <v>13</v>
      </c>
      <c r="E2536" s="7" t="s">
        <v>32</v>
      </c>
      <c r="F2536" s="3">
        <v>0</v>
      </c>
      <c r="G2536" s="3">
        <v>3.8260856963905098E-4</v>
      </c>
      <c r="H2536" s="3">
        <v>3.8260856963905098E-4</v>
      </c>
      <c r="I2536" s="3">
        <v>2.7648913464800901E-3</v>
      </c>
      <c r="J2536" s="3">
        <v>1.13288069487253E-2</v>
      </c>
      <c r="K2536" s="3">
        <v>9.8321654526901704E-3</v>
      </c>
      <c r="L2536" s="3">
        <v>3.1960902924517099E-3</v>
      </c>
      <c r="M2536" s="3">
        <v>1.3427360879192401E-4</v>
      </c>
      <c r="N2536" s="3">
        <v>5.6559269794476099E-5</v>
      </c>
      <c r="O2536" s="3">
        <v>-1.6064026650217101E-3</v>
      </c>
      <c r="P2536" s="3">
        <v>-5.3808892612636997E-3</v>
      </c>
    </row>
    <row r="2537" spans="1:16" x14ac:dyDescent="0.45">
      <c r="A2537" s="7" t="s">
        <v>86</v>
      </c>
      <c r="B2537" s="7" t="s">
        <v>27</v>
      </c>
      <c r="C2537" s="7" t="s">
        <v>15</v>
      </c>
      <c r="D2537" s="7" t="s">
        <v>14</v>
      </c>
      <c r="E2537" s="7" t="s">
        <v>32</v>
      </c>
      <c r="F2537" s="3">
        <v>0</v>
      </c>
      <c r="G2537" s="3">
        <v>-6.5317667272188405E-4</v>
      </c>
      <c r="H2537" s="3">
        <v>-6.5317667272188405E-4</v>
      </c>
      <c r="I2537" s="3">
        <v>5.5405385539759903E-3</v>
      </c>
      <c r="J2537" s="3">
        <v>-7.1586154412299798E-3</v>
      </c>
      <c r="K2537" s="3">
        <v>-1.0992151627813401E-2</v>
      </c>
      <c r="L2537" s="3">
        <v>-1.6105859917049201E-2</v>
      </c>
      <c r="M2537" s="3">
        <v>-2.1701467444650901E-2</v>
      </c>
      <c r="N2537" s="3">
        <v>-2.6536897646316102E-2</v>
      </c>
      <c r="O2537" s="3">
        <v>-2.7296797952201201E-2</v>
      </c>
      <c r="P2537" s="3">
        <v>-2.54725727481044E-2</v>
      </c>
    </row>
    <row r="2538" spans="1:16" x14ac:dyDescent="0.45">
      <c r="A2538" s="7" t="s">
        <v>86</v>
      </c>
      <c r="B2538" s="7" t="s">
        <v>27</v>
      </c>
      <c r="C2538" s="7" t="s">
        <v>16</v>
      </c>
      <c r="D2538" s="7" t="s">
        <v>7</v>
      </c>
      <c r="E2538" s="7" t="s">
        <v>32</v>
      </c>
      <c r="F2538" s="3">
        <v>5.6010939337488103E-2</v>
      </c>
      <c r="G2538" s="3">
        <v>3.6415357938558802E-2</v>
      </c>
      <c r="H2538" s="3">
        <v>3.6415357938558802E-2</v>
      </c>
      <c r="I2538" s="3">
        <v>2.4111337104984601E-2</v>
      </c>
      <c r="J2538" s="3">
        <v>2.2681911644346499E-2</v>
      </c>
      <c r="K2538" s="3">
        <v>2.1201591529001099E-2</v>
      </c>
      <c r="L2538" s="3">
        <v>2.1201591529001099E-2</v>
      </c>
      <c r="M2538" s="3">
        <v>2.1201591529001099E-2</v>
      </c>
      <c r="N2538" s="3">
        <v>2.1201591529001099E-2</v>
      </c>
      <c r="O2538" s="3">
        <v>2.1201591529001099E-2</v>
      </c>
      <c r="P2538" s="3">
        <v>2.1201591529001099E-2</v>
      </c>
    </row>
    <row r="2539" spans="1:16" x14ac:dyDescent="0.45">
      <c r="A2539" s="7" t="s">
        <v>86</v>
      </c>
      <c r="B2539" s="7" t="s">
        <v>27</v>
      </c>
      <c r="C2539" s="7" t="s">
        <v>16</v>
      </c>
      <c r="D2539" s="7" t="s">
        <v>9</v>
      </c>
      <c r="E2539" s="7" t="s">
        <v>32</v>
      </c>
      <c r="F2539" s="3">
        <v>0</v>
      </c>
      <c r="G2539" s="3">
        <v>-3.1304848363895902E-5</v>
      </c>
      <c r="H2539" s="3">
        <v>-3.1304848363895902E-5</v>
      </c>
      <c r="I2539" s="3">
        <v>-1.59298953250377E-5</v>
      </c>
      <c r="J2539" s="3">
        <v>-8.7390185086848298E-6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4.2114796060798598E-4</v>
      </c>
    </row>
    <row r="2540" spans="1:16" x14ac:dyDescent="0.45">
      <c r="A2540" s="7" t="s">
        <v>86</v>
      </c>
      <c r="B2540" s="7" t="s">
        <v>27</v>
      </c>
      <c r="C2540" s="7" t="s">
        <v>16</v>
      </c>
      <c r="D2540" s="7" t="s">
        <v>10</v>
      </c>
      <c r="E2540" s="7" t="s">
        <v>32</v>
      </c>
      <c r="F2540" s="3">
        <v>0</v>
      </c>
      <c r="G2540" s="3">
        <v>-6.0912362128545704E-7</v>
      </c>
      <c r="H2540" s="3">
        <v>-6.0912362128545704E-7</v>
      </c>
      <c r="I2540" s="3">
        <v>0</v>
      </c>
      <c r="J2540" s="3">
        <v>5.5511151231257802E-17</v>
      </c>
      <c r="K2540" s="3">
        <v>0</v>
      </c>
      <c r="L2540" s="3">
        <v>0</v>
      </c>
      <c r="M2540" s="3">
        <v>6.3426096321276399E-4</v>
      </c>
      <c r="N2540" s="3">
        <v>4.2114796060798598E-4</v>
      </c>
      <c r="O2540" s="3">
        <v>1.17624011431922E-4</v>
      </c>
      <c r="P2540" s="3">
        <v>-3.7511906322843999E-4</v>
      </c>
    </row>
    <row r="2541" spans="1:16" x14ac:dyDescent="0.45">
      <c r="A2541" s="7" t="s">
        <v>86</v>
      </c>
      <c r="B2541" s="7" t="s">
        <v>27</v>
      </c>
      <c r="C2541" s="7" t="s">
        <v>16</v>
      </c>
      <c r="D2541" s="7" t="s">
        <v>11</v>
      </c>
      <c r="E2541" s="7" t="s">
        <v>32</v>
      </c>
      <c r="F2541" s="3">
        <v>0</v>
      </c>
      <c r="G2541" s="3">
        <v>-1.2442270348973801E-5</v>
      </c>
      <c r="H2541" s="3">
        <v>-1.2442270348973801E-5</v>
      </c>
      <c r="I2541" s="3">
        <v>-3.4433302445527298E-6</v>
      </c>
      <c r="J2541" s="3">
        <v>-1.9947500852421401E-6</v>
      </c>
      <c r="K2541" s="3">
        <v>6.3345208554774603E-4</v>
      </c>
      <c r="L2541" s="3">
        <v>6.1632178636126698E-4</v>
      </c>
      <c r="M2541" s="3">
        <v>-5.8833385720584105E-4</v>
      </c>
      <c r="N2541" s="3">
        <v>-4.2114796060798598E-4</v>
      </c>
      <c r="O2541" s="3">
        <v>-1.17624011431922E-4</v>
      </c>
      <c r="P2541" s="3">
        <v>-4.60288973795457E-5</v>
      </c>
    </row>
    <row r="2542" spans="1:16" x14ac:dyDescent="0.45">
      <c r="A2542" s="7" t="s">
        <v>86</v>
      </c>
      <c r="B2542" s="7" t="s">
        <v>27</v>
      </c>
      <c r="C2542" s="7" t="s">
        <v>16</v>
      </c>
      <c r="D2542" s="7" t="s">
        <v>12</v>
      </c>
      <c r="E2542" s="7" t="s">
        <v>32</v>
      </c>
      <c r="F2542" s="3">
        <v>0</v>
      </c>
      <c r="G2542" s="3">
        <v>-3.1354531858235301E-6</v>
      </c>
      <c r="H2542" s="3">
        <v>-3.1354531858235301E-6</v>
      </c>
      <c r="I2542" s="3">
        <v>-4.1729905979268101E-6</v>
      </c>
      <c r="J2542" s="3">
        <v>3.0887486982340801E-4</v>
      </c>
      <c r="K2542" s="3">
        <v>-2.1325840832550299E-4</v>
      </c>
      <c r="L2542" s="3">
        <v>-6.1632178636126698E-4</v>
      </c>
      <c r="M2542" s="3">
        <v>-4.5927106006923199E-5</v>
      </c>
      <c r="N2542" s="3">
        <v>0</v>
      </c>
      <c r="O2542" s="3">
        <v>0</v>
      </c>
      <c r="P2542" s="3">
        <v>0</v>
      </c>
    </row>
    <row r="2543" spans="1:16" x14ac:dyDescent="0.45">
      <c r="A2543" s="7" t="s">
        <v>86</v>
      </c>
      <c r="B2543" s="7" t="s">
        <v>27</v>
      </c>
      <c r="C2543" s="7" t="s">
        <v>16</v>
      </c>
      <c r="D2543" s="7" t="s">
        <v>13</v>
      </c>
      <c r="E2543" s="7" t="s">
        <v>32</v>
      </c>
      <c r="F2543" s="3">
        <v>0</v>
      </c>
      <c r="G2543" s="3">
        <v>1.7086758882566E-4</v>
      </c>
      <c r="H2543" s="3">
        <v>1.7086758882566E-4</v>
      </c>
      <c r="I2543" s="3">
        <v>-9.12835575579869E-4</v>
      </c>
      <c r="J2543" s="3">
        <v>-8.0176069762043602E-4</v>
      </c>
      <c r="K2543" s="3">
        <v>-4.2019367722224299E-4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</row>
    <row r="2544" spans="1:16" x14ac:dyDescent="0.45">
      <c r="A2544" s="7" t="s">
        <v>86</v>
      </c>
      <c r="B2544" s="7" t="s">
        <v>27</v>
      </c>
      <c r="C2544" s="7" t="s">
        <v>16</v>
      </c>
      <c r="D2544" s="7" t="s">
        <v>14</v>
      </c>
      <c r="E2544" s="7" t="s">
        <v>32</v>
      </c>
      <c r="F2544" s="3">
        <v>0</v>
      </c>
      <c r="G2544" s="3">
        <v>1.98898096540186E-3</v>
      </c>
      <c r="H2544" s="3">
        <v>1.98898096540186E-3</v>
      </c>
      <c r="I2544" s="3">
        <v>-2.3849571712632501E-4</v>
      </c>
      <c r="J2544" s="3">
        <v>2.5497925823072702E-4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</row>
    <row r="2545" spans="1:16" x14ac:dyDescent="0.45">
      <c r="A2545" s="7" t="s">
        <v>86</v>
      </c>
      <c r="B2545" s="7" t="s">
        <v>27</v>
      </c>
      <c r="C2545" s="7" t="s">
        <v>17</v>
      </c>
      <c r="D2545" s="7" t="s">
        <v>7</v>
      </c>
      <c r="E2545" s="7" t="s">
        <v>32</v>
      </c>
      <c r="F2545" s="3">
        <v>3.1347846598225601E-3</v>
      </c>
      <c r="G2545" s="3">
        <v>3.7250546642972901E-3</v>
      </c>
      <c r="H2545" s="3">
        <v>3.7250546642972901E-3</v>
      </c>
      <c r="I2545" s="3">
        <v>4.4425784151780603E-3</v>
      </c>
      <c r="J2545" s="3">
        <v>5.4164880688041296E-3</v>
      </c>
      <c r="K2545" s="3">
        <v>6.8508133540168296E-3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</row>
    <row r="2546" spans="1:16" x14ac:dyDescent="0.45">
      <c r="A2546" s="7" t="s">
        <v>86</v>
      </c>
      <c r="B2546" s="7" t="s">
        <v>27</v>
      </c>
      <c r="C2546" s="7" t="s">
        <v>17</v>
      </c>
      <c r="D2546" s="7" t="s">
        <v>9</v>
      </c>
      <c r="E2546" s="7" t="s">
        <v>32</v>
      </c>
      <c r="F2546" s="3">
        <v>0</v>
      </c>
      <c r="G2546" s="3">
        <v>1.27652981438974E-4</v>
      </c>
      <c r="H2546" s="3">
        <v>1.27652981438974E-4</v>
      </c>
      <c r="I2546" s="3">
        <v>8.1668850249825295E-4</v>
      </c>
      <c r="J2546" s="3">
        <v>9.5527527804328599E-4</v>
      </c>
      <c r="K2546" s="3">
        <v>1.9587942064460801E-3</v>
      </c>
      <c r="L2546" s="3">
        <v>0</v>
      </c>
      <c r="M2546" s="3">
        <v>0</v>
      </c>
      <c r="N2546" s="3">
        <v>0</v>
      </c>
      <c r="O2546" s="3">
        <v>0</v>
      </c>
      <c r="P2546" s="3">
        <v>3.8384246865322101E-4</v>
      </c>
    </row>
    <row r="2547" spans="1:16" x14ac:dyDescent="0.45">
      <c r="A2547" s="7" t="s">
        <v>86</v>
      </c>
      <c r="B2547" s="7" t="s">
        <v>27</v>
      </c>
      <c r="C2547" s="7" t="s">
        <v>17</v>
      </c>
      <c r="D2547" s="7" t="s">
        <v>10</v>
      </c>
      <c r="E2547" s="7" t="s">
        <v>32</v>
      </c>
      <c r="F2547" s="3">
        <v>0</v>
      </c>
      <c r="G2547" s="3">
        <v>1.85958619194054E-5</v>
      </c>
      <c r="H2547" s="3">
        <v>1.85958619194054E-5</v>
      </c>
      <c r="I2547" s="3">
        <v>9.98971409047911E-5</v>
      </c>
      <c r="J2547" s="3">
        <v>1.0070909789288999E-3</v>
      </c>
      <c r="K2547" s="3">
        <v>1.1254100150734801E-3</v>
      </c>
      <c r="L2547" s="3">
        <v>0</v>
      </c>
      <c r="M2547" s="3">
        <v>1.2878077964483099E-2</v>
      </c>
      <c r="N2547" s="3">
        <v>2.3745790954451802E-2</v>
      </c>
      <c r="O2547" s="3">
        <v>5.2412507214798697E-2</v>
      </c>
      <c r="P2547" s="3">
        <v>0.11188896731060199</v>
      </c>
    </row>
    <row r="2548" spans="1:16" x14ac:dyDescent="0.45">
      <c r="A2548" s="7" t="s">
        <v>86</v>
      </c>
      <c r="B2548" s="7" t="s">
        <v>27</v>
      </c>
      <c r="C2548" s="7" t="s">
        <v>17</v>
      </c>
      <c r="D2548" s="7" t="s">
        <v>11</v>
      </c>
      <c r="E2548" s="7" t="s">
        <v>32</v>
      </c>
      <c r="F2548" s="3">
        <v>0</v>
      </c>
      <c r="G2548" s="3">
        <v>3.5646032457302298E-5</v>
      </c>
      <c r="H2548" s="3">
        <v>3.5646032457302298E-5</v>
      </c>
      <c r="I2548" s="3">
        <v>2.4174410132952499E-4</v>
      </c>
      <c r="J2548" s="3">
        <v>7.8806245794541495E-4</v>
      </c>
      <c r="K2548" s="3">
        <v>1.4832413824600099E-2</v>
      </c>
      <c r="L2548" s="3">
        <v>2.5783305154486898E-2</v>
      </c>
      <c r="M2548" s="3">
        <v>9.4940912802926505E-2</v>
      </c>
      <c r="N2548" s="3">
        <v>9.2178593674721004E-2</v>
      </c>
      <c r="O2548" s="3">
        <v>7.1900454992079102E-2</v>
      </c>
      <c r="P2548" s="3">
        <v>2.6746214742227499E-2</v>
      </c>
    </row>
    <row r="2549" spans="1:16" x14ac:dyDescent="0.45">
      <c r="A2549" s="7" t="s">
        <v>86</v>
      </c>
      <c r="B2549" s="7" t="s">
        <v>27</v>
      </c>
      <c r="C2549" s="7" t="s">
        <v>17</v>
      </c>
      <c r="D2549" s="7" t="s">
        <v>12</v>
      </c>
      <c r="E2549" s="7" t="s">
        <v>32</v>
      </c>
      <c r="F2549" s="3">
        <v>0</v>
      </c>
      <c r="G2549" s="3">
        <v>-6.6641664169581394E-5</v>
      </c>
      <c r="H2549" s="3">
        <v>-6.6641664169581394E-5</v>
      </c>
      <c r="I2549" s="3">
        <v>2.34226237779792E-3</v>
      </c>
      <c r="J2549" s="3">
        <v>1.8232598287013499E-2</v>
      </c>
      <c r="K2549" s="3">
        <v>7.0640639648050299E-2</v>
      </c>
      <c r="L2549" s="3">
        <v>8.3302243315566807E-2</v>
      </c>
      <c r="M2549" s="3">
        <v>2.3424979081343399E-2</v>
      </c>
      <c r="N2549" s="3">
        <v>4.7913792536901999E-2</v>
      </c>
      <c r="O2549" s="3">
        <v>7.1641593135134393E-2</v>
      </c>
      <c r="P2549" s="3">
        <v>8.8891813767738803E-2</v>
      </c>
    </row>
    <row r="2550" spans="1:16" x14ac:dyDescent="0.45">
      <c r="A2550" s="7" t="s">
        <v>86</v>
      </c>
      <c r="B2550" s="7" t="s">
        <v>27</v>
      </c>
      <c r="C2550" s="7" t="s">
        <v>17</v>
      </c>
      <c r="D2550" s="7" t="s">
        <v>13</v>
      </c>
      <c r="E2550" s="7" t="s">
        <v>32</v>
      </c>
      <c r="F2550" s="3">
        <v>0</v>
      </c>
      <c r="G2550" s="3">
        <v>9.6153301966264595E-4</v>
      </c>
      <c r="H2550" s="3">
        <v>9.6153301966264595E-4</v>
      </c>
      <c r="I2550" s="3">
        <v>7.2716180329183394E-2</v>
      </c>
      <c r="J2550" s="3">
        <v>9.1147527940606696E-2</v>
      </c>
      <c r="K2550" s="3">
        <v>7.9713486165253103E-2</v>
      </c>
      <c r="L2550" s="3">
        <v>0.118769227751998</v>
      </c>
      <c r="M2550" s="3">
        <v>0.140311966934965</v>
      </c>
      <c r="N2550" s="3">
        <v>0.13039848510764801</v>
      </c>
      <c r="O2550" s="3">
        <v>0.107403254888</v>
      </c>
      <c r="P2550" s="3">
        <v>7.7701447854869099E-2</v>
      </c>
    </row>
    <row r="2551" spans="1:16" x14ac:dyDescent="0.45">
      <c r="A2551" s="7" t="s">
        <v>86</v>
      </c>
      <c r="B2551" s="7" t="s">
        <v>27</v>
      </c>
      <c r="C2551" s="7" t="s">
        <v>17</v>
      </c>
      <c r="D2551" s="7" t="s">
        <v>14</v>
      </c>
      <c r="E2551" s="7" t="s">
        <v>32</v>
      </c>
      <c r="F2551" s="3">
        <v>0</v>
      </c>
      <c r="G2551" s="3">
        <v>4.1124867349687797E-3</v>
      </c>
      <c r="H2551" s="3">
        <v>4.1124867349687797E-3</v>
      </c>
      <c r="I2551" s="3">
        <v>5.0546976744917503E-2</v>
      </c>
      <c r="J2551" s="3">
        <v>9.6497826241769197E-2</v>
      </c>
      <c r="K2551" s="3">
        <v>0.102083915406277</v>
      </c>
      <c r="L2551" s="3">
        <v>7.4217716354267702E-2</v>
      </c>
      <c r="M2551" s="3">
        <v>3.5702911689857002E-2</v>
      </c>
      <c r="N2551" s="3">
        <v>1.32402593506651E-2</v>
      </c>
      <c r="O2551" s="3">
        <v>4.1235504225881096E-3</v>
      </c>
      <c r="P2551" s="3">
        <v>1.87003874254976E-3</v>
      </c>
    </row>
    <row r="2552" spans="1:16" x14ac:dyDescent="0.45">
      <c r="A2552" s="7" t="s">
        <v>86</v>
      </c>
      <c r="B2552" s="7" t="s">
        <v>27</v>
      </c>
      <c r="C2552" s="7" t="s">
        <v>18</v>
      </c>
      <c r="D2552" s="7" t="s">
        <v>7</v>
      </c>
      <c r="E2552" s="7" t="s">
        <v>32</v>
      </c>
      <c r="F2552" s="3">
        <v>6.8618940195531095E-2</v>
      </c>
      <c r="G2552" s="3">
        <v>4.9246406759789897E-2</v>
      </c>
      <c r="H2552" s="3">
        <v>4.9246406759789897E-2</v>
      </c>
      <c r="I2552" s="3">
        <v>3.2830937839859901E-2</v>
      </c>
      <c r="J2552" s="3">
        <v>1.6415468919929899E-2</v>
      </c>
      <c r="K2552" s="3">
        <v>1.1780699130617E-17</v>
      </c>
      <c r="L2552" s="3">
        <v>5.8903495653085401E-18</v>
      </c>
      <c r="M2552" s="3">
        <v>2.94517478265426E-18</v>
      </c>
      <c r="N2552" s="3">
        <v>5.8903495653085401E-18</v>
      </c>
      <c r="O2552" s="3">
        <v>0</v>
      </c>
      <c r="P2552" s="3">
        <v>0</v>
      </c>
    </row>
    <row r="2553" spans="1:16" x14ac:dyDescent="0.45">
      <c r="A2553" s="7" t="s">
        <v>86</v>
      </c>
      <c r="B2553" s="7" t="s">
        <v>27</v>
      </c>
      <c r="C2553" s="7" t="s">
        <v>18</v>
      </c>
      <c r="D2553" s="7" t="s">
        <v>9</v>
      </c>
      <c r="E2553" s="7" t="s">
        <v>32</v>
      </c>
      <c r="F2553" s="3">
        <v>0</v>
      </c>
      <c r="G2553" s="3">
        <v>0</v>
      </c>
      <c r="H2553" s="3">
        <v>0</v>
      </c>
      <c r="I2553" s="3">
        <v>-4.8572257327350599E-17</v>
      </c>
      <c r="J2553" s="3">
        <v>0</v>
      </c>
      <c r="K2553" s="3">
        <v>0</v>
      </c>
      <c r="L2553" s="3">
        <v>-2.94517478265428E-18</v>
      </c>
      <c r="M2553" s="3">
        <v>2.3561398261234099E-17</v>
      </c>
      <c r="N2553" s="3">
        <v>-2.94517478265428E-18</v>
      </c>
      <c r="O2553" s="3">
        <v>2.6506573043888301E-17</v>
      </c>
      <c r="P2553" s="3">
        <v>1.1780699130617E-17</v>
      </c>
    </row>
    <row r="2554" spans="1:16" x14ac:dyDescent="0.45">
      <c r="A2554" s="7" t="s">
        <v>86</v>
      </c>
      <c r="B2554" s="7" t="s">
        <v>27</v>
      </c>
      <c r="C2554" s="7" t="s">
        <v>18</v>
      </c>
      <c r="D2554" s="7" t="s">
        <v>10</v>
      </c>
      <c r="E2554" s="7" t="s">
        <v>32</v>
      </c>
      <c r="F2554" s="3">
        <v>0</v>
      </c>
      <c r="G2554" s="3">
        <v>0</v>
      </c>
      <c r="H2554" s="3">
        <v>0</v>
      </c>
      <c r="I2554" s="3">
        <v>4.8572257327350599E-17</v>
      </c>
      <c r="J2554" s="3">
        <v>0</v>
      </c>
      <c r="K2554" s="3">
        <v>-1.1780699130617E-17</v>
      </c>
      <c r="L2554" s="3">
        <v>-2.94517478265426E-18</v>
      </c>
      <c r="M2554" s="3">
        <v>-2.6506573043888301E-17</v>
      </c>
      <c r="N2554" s="3">
        <v>8.83552434796277E-18</v>
      </c>
      <c r="O2554" s="3">
        <v>-2.6506573043888301E-17</v>
      </c>
      <c r="P2554" s="3">
        <v>-1.1780699130617E-17</v>
      </c>
    </row>
    <row r="2555" spans="1:16" x14ac:dyDescent="0.45">
      <c r="A2555" s="7" t="s">
        <v>86</v>
      </c>
      <c r="B2555" s="7" t="s">
        <v>27</v>
      </c>
      <c r="C2555" s="7" t="s">
        <v>18</v>
      </c>
      <c r="D2555" s="7" t="s">
        <v>11</v>
      </c>
      <c r="E2555" s="7" t="s">
        <v>32</v>
      </c>
      <c r="F2555" s="3">
        <v>0</v>
      </c>
      <c r="G2555" s="3">
        <v>0</v>
      </c>
      <c r="H2555" s="3">
        <v>0</v>
      </c>
      <c r="I2555" s="3">
        <v>-4.8572257327350599E-17</v>
      </c>
      <c r="J2555" s="3">
        <v>0</v>
      </c>
      <c r="K2555" s="3">
        <v>1.4725873913271301E-17</v>
      </c>
      <c r="L2555" s="3">
        <v>6.1848670435739304E-17</v>
      </c>
      <c r="M2555" s="3">
        <v>2.9451747826542602E-17</v>
      </c>
      <c r="N2555" s="3">
        <v>-1.1780699130617E-17</v>
      </c>
      <c r="O2555" s="3">
        <v>2.0616223478579801E-17</v>
      </c>
      <c r="P2555" s="3">
        <v>1.0602629217555301E-16</v>
      </c>
    </row>
    <row r="2556" spans="1:16" x14ac:dyDescent="0.45">
      <c r="A2556" s="7" t="s">
        <v>86</v>
      </c>
      <c r="B2556" s="7" t="s">
        <v>27</v>
      </c>
      <c r="C2556" s="7" t="s">
        <v>18</v>
      </c>
      <c r="D2556" s="7" t="s">
        <v>12</v>
      </c>
      <c r="E2556" s="7" t="s">
        <v>32</v>
      </c>
      <c r="F2556" s="3">
        <v>0</v>
      </c>
      <c r="G2556" s="3">
        <v>0</v>
      </c>
      <c r="H2556" s="3">
        <v>0</v>
      </c>
      <c r="I2556" s="3">
        <v>4.8572257327350599E-17</v>
      </c>
      <c r="J2556" s="3">
        <v>0</v>
      </c>
      <c r="K2556" s="3">
        <v>5.8903495653085401E-18</v>
      </c>
      <c r="L2556" s="3">
        <v>-6.1848670435739304E-17</v>
      </c>
      <c r="M2556" s="3">
        <v>1.0897146695820799E-16</v>
      </c>
      <c r="N2556" s="3">
        <v>0</v>
      </c>
      <c r="O2556" s="3">
        <v>4.7122796522468197E-17</v>
      </c>
      <c r="P2556" s="3">
        <v>1.03081117392899E-16</v>
      </c>
    </row>
    <row r="2557" spans="1:16" x14ac:dyDescent="0.45">
      <c r="A2557" s="7" t="s">
        <v>86</v>
      </c>
      <c r="B2557" s="7" t="s">
        <v>27</v>
      </c>
      <c r="C2557" s="7" t="s">
        <v>18</v>
      </c>
      <c r="D2557" s="7" t="s">
        <v>13</v>
      </c>
      <c r="E2557" s="7" t="s">
        <v>32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-2.0616223478579801E-17</v>
      </c>
      <c r="L2557" s="3">
        <v>7.9519719131665004E-17</v>
      </c>
      <c r="M2557" s="3">
        <v>-6.4793845218393602E-17</v>
      </c>
      <c r="N2557" s="3">
        <v>1.70820137393947E-16</v>
      </c>
      <c r="O2557" s="3">
        <v>1.9438153565518099E-16</v>
      </c>
      <c r="P2557" s="3">
        <v>-2.0910740956845301E-16</v>
      </c>
    </row>
    <row r="2558" spans="1:16" x14ac:dyDescent="0.45">
      <c r="A2558" s="7" t="s">
        <v>86</v>
      </c>
      <c r="B2558" s="7" t="s">
        <v>27</v>
      </c>
      <c r="C2558" s="7" t="s">
        <v>18</v>
      </c>
      <c r="D2558" s="7" t="s">
        <v>14</v>
      </c>
      <c r="E2558" s="7" t="s">
        <v>32</v>
      </c>
      <c r="F2558" s="3">
        <v>0</v>
      </c>
      <c r="G2558" s="3">
        <v>-5.5511151231257802E-17</v>
      </c>
      <c r="H2558" s="3">
        <v>-5.5511151231257802E-17</v>
      </c>
      <c r="I2558" s="3">
        <v>0</v>
      </c>
      <c r="J2558" s="3">
        <v>-1.5959455978986601E-16</v>
      </c>
      <c r="K2558" s="3">
        <v>0</v>
      </c>
      <c r="L2558" s="3">
        <v>2.6506573043888301E-17</v>
      </c>
      <c r="M2558" s="3">
        <v>-7.3629369566356803E-17</v>
      </c>
      <c r="N2558" s="3">
        <v>-1.70820137393947E-16</v>
      </c>
      <c r="O2558" s="3">
        <v>-2.6212055565622899E-16</v>
      </c>
      <c r="P2558" s="3">
        <v>0</v>
      </c>
    </row>
    <row r="2559" spans="1:16" x14ac:dyDescent="0.45">
      <c r="A2559" s="7" t="s">
        <v>86</v>
      </c>
      <c r="B2559" s="7" t="s">
        <v>27</v>
      </c>
      <c r="C2559" s="7" t="s">
        <v>19</v>
      </c>
      <c r="D2559" s="7" t="s">
        <v>7</v>
      </c>
      <c r="E2559" s="7" t="s">
        <v>32</v>
      </c>
      <c r="F2559" s="3">
        <v>1.18550550270189E-3</v>
      </c>
      <c r="G2559" s="3">
        <v>1.2907908123478899E-3</v>
      </c>
      <c r="H2559" s="3">
        <v>1.2907908123478899E-3</v>
      </c>
      <c r="I2559" s="3">
        <v>0</v>
      </c>
      <c r="J2559" s="3">
        <v>0</v>
      </c>
      <c r="K2559" s="3">
        <v>5.5239313537671402E-5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</row>
    <row r="2560" spans="1:16" x14ac:dyDescent="0.45">
      <c r="A2560" s="7" t="s">
        <v>86</v>
      </c>
      <c r="B2560" s="7" t="s">
        <v>27</v>
      </c>
      <c r="C2560" s="7" t="s">
        <v>19</v>
      </c>
      <c r="D2560" s="7" t="s">
        <v>9</v>
      </c>
      <c r="E2560" s="7" t="s">
        <v>32</v>
      </c>
      <c r="F2560" s="3">
        <v>0</v>
      </c>
      <c r="G2560" s="3">
        <v>-2.29135551864815E-5</v>
      </c>
      <c r="H2560" s="3">
        <v>-2.29135551864815E-5</v>
      </c>
      <c r="I2560" s="3">
        <v>0</v>
      </c>
      <c r="J2560" s="3">
        <v>0</v>
      </c>
      <c r="K2560" s="3">
        <v>-5.5239313537671402E-5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</row>
    <row r="2561" spans="1:16" x14ac:dyDescent="0.45">
      <c r="A2561" s="7" t="s">
        <v>86</v>
      </c>
      <c r="B2561" s="7" t="s">
        <v>27</v>
      </c>
      <c r="C2561" s="7" t="s">
        <v>19</v>
      </c>
      <c r="D2561" s="7" t="s">
        <v>10</v>
      </c>
      <c r="E2561" s="7" t="s">
        <v>32</v>
      </c>
      <c r="F2561" s="3">
        <v>0</v>
      </c>
      <c r="G2561" s="3">
        <v>5.5943177182573397E-6</v>
      </c>
      <c r="H2561" s="3">
        <v>5.5943177182573397E-6</v>
      </c>
      <c r="I2561" s="3">
        <v>0</v>
      </c>
      <c r="J2561" s="3">
        <v>0</v>
      </c>
      <c r="K2561" s="3">
        <v>3.3653541453775899E-4</v>
      </c>
      <c r="L2561" s="3">
        <v>1.0719546097216199E-3</v>
      </c>
      <c r="M2561" s="3">
        <v>2.1786003654555301E-3</v>
      </c>
      <c r="N2561" s="3">
        <v>4.4803890933188496E-3</v>
      </c>
      <c r="O2561" s="3">
        <v>5.2738940659880201E-3</v>
      </c>
      <c r="P2561" s="3">
        <v>6.3456604188665E-3</v>
      </c>
    </row>
    <row r="2562" spans="1:16" x14ac:dyDescent="0.45">
      <c r="A2562" s="7" t="s">
        <v>86</v>
      </c>
      <c r="B2562" s="7" t="s">
        <v>27</v>
      </c>
      <c r="C2562" s="7" t="s">
        <v>19</v>
      </c>
      <c r="D2562" s="7" t="s">
        <v>11</v>
      </c>
      <c r="E2562" s="7" t="s">
        <v>32</v>
      </c>
      <c r="F2562" s="3">
        <v>0</v>
      </c>
      <c r="G2562" s="3">
        <v>1.74173726897827E-6</v>
      </c>
      <c r="H2562" s="3">
        <v>1.74173726897827E-6</v>
      </c>
      <c r="I2562" s="3">
        <v>0</v>
      </c>
      <c r="J2562" s="3">
        <v>0</v>
      </c>
      <c r="K2562" s="3">
        <v>1.12774395890408E-4</v>
      </c>
      <c r="L2562" s="3">
        <v>-8.1196847026552606E-6</v>
      </c>
      <c r="M2562" s="3">
        <v>1.8178832638701601E-3</v>
      </c>
      <c r="N2562" s="3">
        <v>2.3753424980116501E-3</v>
      </c>
      <c r="O2562" s="3">
        <v>1.06345507299297E-2</v>
      </c>
      <c r="P2562" s="3">
        <v>4.8933380293092903E-2</v>
      </c>
    </row>
    <row r="2563" spans="1:16" x14ac:dyDescent="0.45">
      <c r="A2563" s="7" t="s">
        <v>86</v>
      </c>
      <c r="B2563" s="7" t="s">
        <v>27</v>
      </c>
      <c r="C2563" s="7" t="s">
        <v>19</v>
      </c>
      <c r="D2563" s="7" t="s">
        <v>12</v>
      </c>
      <c r="E2563" s="7" t="s">
        <v>32</v>
      </c>
      <c r="F2563" s="3">
        <v>0</v>
      </c>
      <c r="G2563" s="3">
        <v>9.4397484231934699E-5</v>
      </c>
      <c r="H2563" s="3">
        <v>9.4397484231934699E-5</v>
      </c>
      <c r="I2563" s="3">
        <v>0</v>
      </c>
      <c r="J2563" s="3">
        <v>0</v>
      </c>
      <c r="K2563" s="3">
        <v>2.0977949211621202E-3</v>
      </c>
      <c r="L2563" s="3">
        <v>1.5633674463280799E-2</v>
      </c>
      <c r="M2563" s="3">
        <v>6.2101851791249302E-2</v>
      </c>
      <c r="N2563" s="3">
        <v>0.155292797665256</v>
      </c>
      <c r="O2563" s="3">
        <v>0.24446942335544999</v>
      </c>
      <c r="P2563" s="3">
        <v>0.30253913773316399</v>
      </c>
    </row>
    <row r="2564" spans="1:16" x14ac:dyDescent="0.45">
      <c r="A2564" s="7" t="s">
        <v>86</v>
      </c>
      <c r="B2564" s="7" t="s">
        <v>27</v>
      </c>
      <c r="C2564" s="7" t="s">
        <v>19</v>
      </c>
      <c r="D2564" s="7" t="s">
        <v>13</v>
      </c>
      <c r="E2564" s="7" t="s">
        <v>32</v>
      </c>
      <c r="F2564" s="3">
        <v>0</v>
      </c>
      <c r="G2564" s="3">
        <v>5.8455451525445297E-4</v>
      </c>
      <c r="H2564" s="3">
        <v>5.8455451525445297E-4</v>
      </c>
      <c r="I2564" s="3">
        <v>2.79015514252186E-2</v>
      </c>
      <c r="J2564" s="3">
        <v>0.108918005143819</v>
      </c>
      <c r="K2564" s="3">
        <v>0.278764391554508</v>
      </c>
      <c r="L2564" s="3">
        <v>0.42249875802614401</v>
      </c>
      <c r="M2564" s="3">
        <v>0.48850266106663198</v>
      </c>
      <c r="N2564" s="3">
        <v>0.44232658465610702</v>
      </c>
      <c r="O2564" s="3">
        <v>0.35972644338464799</v>
      </c>
      <c r="P2564" s="3">
        <v>0.268783358993118</v>
      </c>
    </row>
    <row r="2565" spans="1:16" x14ac:dyDescent="0.45">
      <c r="A2565" s="7" t="s">
        <v>86</v>
      </c>
      <c r="B2565" s="7" t="s">
        <v>27</v>
      </c>
      <c r="C2565" s="7" t="s">
        <v>19</v>
      </c>
      <c r="D2565" s="7" t="s">
        <v>14</v>
      </c>
      <c r="E2565" s="7" t="s">
        <v>32</v>
      </c>
      <c r="F2565" s="3">
        <v>0</v>
      </c>
      <c r="G2565" s="3">
        <v>2.4993813018771602E-3</v>
      </c>
      <c r="H2565" s="3">
        <v>2.4993813018771602E-3</v>
      </c>
      <c r="I2565" s="3">
        <v>0.178785715793704</v>
      </c>
      <c r="J2565" s="3">
        <v>0.36498125893282202</v>
      </c>
      <c r="K2565" s="3">
        <v>0.37013378656693302</v>
      </c>
      <c r="L2565" s="3">
        <v>0.27710657009911899</v>
      </c>
      <c r="M2565" s="3">
        <v>0.163676504054213</v>
      </c>
      <c r="N2565" s="3">
        <v>0.104659606441945</v>
      </c>
      <c r="O2565" s="3">
        <v>7.8326840281845805E-2</v>
      </c>
      <c r="P2565" s="3">
        <v>6.5786799194460094E-2</v>
      </c>
    </row>
    <row r="2566" spans="1:16" x14ac:dyDescent="0.45">
      <c r="A2566" s="7" t="s">
        <v>86</v>
      </c>
      <c r="B2566" s="7" t="s">
        <v>26</v>
      </c>
      <c r="C2566" s="7" t="s">
        <v>6</v>
      </c>
      <c r="D2566" s="7" t="s">
        <v>10</v>
      </c>
      <c r="E2566" s="7" t="s">
        <v>32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  <c r="L2566" s="3">
        <v>0.297274332152975</v>
      </c>
      <c r="M2566" s="3">
        <v>1.2230671068385399</v>
      </c>
      <c r="N2566" s="3">
        <v>2.3561447194866201</v>
      </c>
      <c r="O2566" s="3">
        <v>3.24069208190113</v>
      </c>
      <c r="P2566" s="3">
        <v>3.5017467925991101</v>
      </c>
    </row>
    <row r="2567" spans="1:16" x14ac:dyDescent="0.45">
      <c r="A2567" s="7" t="s">
        <v>86</v>
      </c>
      <c r="B2567" s="7" t="s">
        <v>26</v>
      </c>
      <c r="C2567" s="7" t="s">
        <v>6</v>
      </c>
      <c r="D2567" s="7" t="s">
        <v>11</v>
      </c>
      <c r="E2567" s="7" t="s">
        <v>32</v>
      </c>
      <c r="F2567" s="3">
        <v>0</v>
      </c>
      <c r="G2567" s="3">
        <v>0</v>
      </c>
      <c r="H2567" s="3">
        <v>0</v>
      </c>
      <c r="I2567" s="3">
        <v>0</v>
      </c>
      <c r="J2567" s="3">
        <v>3.78071024514476E-3</v>
      </c>
      <c r="K2567" s="3">
        <v>1.0078335350172201</v>
      </c>
      <c r="L2567" s="3">
        <v>2.1152397545353998</v>
      </c>
      <c r="M2567" s="3">
        <v>2.49585589575653</v>
      </c>
      <c r="N2567" s="3">
        <v>2.5310432888844301</v>
      </c>
      <c r="O2567" s="3">
        <v>2.3273205062543898</v>
      </c>
      <c r="P2567" s="3">
        <v>1.8560550222911101</v>
      </c>
    </row>
    <row r="2568" spans="1:16" x14ac:dyDescent="0.45">
      <c r="A2568" s="7" t="s">
        <v>86</v>
      </c>
      <c r="B2568" s="7" t="s">
        <v>26</v>
      </c>
      <c r="C2568" s="7" t="s">
        <v>6</v>
      </c>
      <c r="D2568" s="7" t="s">
        <v>12</v>
      </c>
      <c r="E2568" s="7" t="s">
        <v>32</v>
      </c>
      <c r="F2568" s="3">
        <v>0</v>
      </c>
      <c r="G2568" s="3">
        <v>0</v>
      </c>
      <c r="H2568" s="3">
        <v>0</v>
      </c>
      <c r="I2568" s="3">
        <v>1.5900926815619E-3</v>
      </c>
      <c r="J2568" s="3">
        <v>1.30374143287515</v>
      </c>
      <c r="K2568" s="3">
        <v>1.9743915070476299</v>
      </c>
      <c r="L2568" s="3">
        <v>1.9236432316250001</v>
      </c>
      <c r="M2568" s="3">
        <v>1.75587788577469</v>
      </c>
      <c r="N2568" s="3">
        <v>1.1436172878787001</v>
      </c>
      <c r="O2568" s="3">
        <v>0.59286305441171205</v>
      </c>
      <c r="P2568" s="3">
        <v>0.49387034603948698</v>
      </c>
    </row>
    <row r="2569" spans="1:16" x14ac:dyDescent="0.45">
      <c r="A2569" s="7" t="s">
        <v>86</v>
      </c>
      <c r="B2569" s="7" t="s">
        <v>26</v>
      </c>
      <c r="C2569" s="7" t="s">
        <v>6</v>
      </c>
      <c r="D2569" s="7" t="s">
        <v>13</v>
      </c>
      <c r="E2569" s="7" t="s">
        <v>32</v>
      </c>
      <c r="F2569" s="3">
        <v>0</v>
      </c>
      <c r="G2569" s="3">
        <v>0</v>
      </c>
      <c r="H2569" s="3">
        <v>0</v>
      </c>
      <c r="I2569" s="3">
        <v>2.0086923089061499</v>
      </c>
      <c r="J2569" s="3">
        <v>2.2738027087670201</v>
      </c>
      <c r="K2569" s="3">
        <v>1.8613721575372799</v>
      </c>
      <c r="L2569" s="3">
        <v>1.38092503532357</v>
      </c>
      <c r="M2569" s="3">
        <v>0.81426139883706095</v>
      </c>
      <c r="N2569" s="3">
        <v>0.78961921519080003</v>
      </c>
      <c r="O2569" s="3">
        <v>0.85272756426671803</v>
      </c>
      <c r="P2569" s="3">
        <v>0.893850764481806</v>
      </c>
    </row>
    <row r="2570" spans="1:16" x14ac:dyDescent="0.45">
      <c r="A2570" s="7" t="s">
        <v>86</v>
      </c>
      <c r="B2570" s="7" t="s">
        <v>26</v>
      </c>
      <c r="C2570" s="7" t="s">
        <v>6</v>
      </c>
      <c r="D2570" s="7" t="s">
        <v>14</v>
      </c>
      <c r="E2570" s="7" t="s">
        <v>32</v>
      </c>
      <c r="F2570" s="3">
        <v>0</v>
      </c>
      <c r="G2570" s="3">
        <v>1.1091325242961101</v>
      </c>
      <c r="H2570" s="3">
        <v>1.1091325242961101</v>
      </c>
      <c r="I2570" s="3">
        <v>1.4947208460616299</v>
      </c>
      <c r="J2570" s="3">
        <v>1.28420252517411</v>
      </c>
      <c r="K2570" s="3">
        <v>0.99256582293184603</v>
      </c>
      <c r="L2570" s="3">
        <v>0.85573649506921001</v>
      </c>
      <c r="M2570" s="3">
        <v>1.0069070249654499</v>
      </c>
      <c r="N2570" s="3">
        <v>1.43848513116801</v>
      </c>
      <c r="O2570" s="3">
        <v>1.8068819569019801</v>
      </c>
      <c r="P2570" s="3">
        <v>2.1312164500058501</v>
      </c>
    </row>
    <row r="2571" spans="1:16" x14ac:dyDescent="0.45">
      <c r="A2571" s="7" t="s">
        <v>86</v>
      </c>
      <c r="B2571" s="7" t="s">
        <v>26</v>
      </c>
      <c r="C2571" s="7" t="s">
        <v>15</v>
      </c>
      <c r="D2571" s="7" t="s">
        <v>7</v>
      </c>
      <c r="E2571" s="7" t="s">
        <v>32</v>
      </c>
      <c r="F2571" s="3">
        <v>0.26052438440784997</v>
      </c>
      <c r="G2571" s="3">
        <v>0.30383119218302501</v>
      </c>
      <c r="H2571" s="3">
        <v>0.30383119218302501</v>
      </c>
      <c r="I2571" s="3">
        <v>0.35297816374613</v>
      </c>
      <c r="J2571" s="3">
        <v>0.40529044224155297</v>
      </c>
      <c r="K2571" s="3">
        <v>0.46310557423593002</v>
      </c>
      <c r="L2571" s="3">
        <v>0.47347330957964501</v>
      </c>
      <c r="M2571" s="3">
        <v>0.455299899380044</v>
      </c>
      <c r="N2571" s="3">
        <v>0.48255174419427099</v>
      </c>
      <c r="O2571" s="3">
        <v>0.45722249791383102</v>
      </c>
      <c r="P2571" s="3">
        <v>0.456299169869612</v>
      </c>
    </row>
    <row r="2572" spans="1:16" x14ac:dyDescent="0.45">
      <c r="A2572" s="7" t="s">
        <v>86</v>
      </c>
      <c r="B2572" s="7" t="s">
        <v>26</v>
      </c>
      <c r="C2572" s="7" t="s">
        <v>15</v>
      </c>
      <c r="D2572" s="7" t="s">
        <v>9</v>
      </c>
      <c r="E2572" s="7" t="s">
        <v>32</v>
      </c>
      <c r="F2572" s="3">
        <v>0</v>
      </c>
      <c r="G2572" s="3">
        <v>-1.8274918828441501E-3</v>
      </c>
      <c r="H2572" s="3">
        <v>-1.8274918828441501E-3</v>
      </c>
      <c r="I2572" s="3">
        <v>-2.3335752200487301E-4</v>
      </c>
      <c r="J2572" s="3">
        <v>2.91828911096154E-3</v>
      </c>
      <c r="K2572" s="3">
        <v>-3.2890379348540799E-3</v>
      </c>
      <c r="L2572" s="3">
        <v>0.141533388878056</v>
      </c>
      <c r="M2572" s="3">
        <v>0.224876853072868</v>
      </c>
      <c r="N2572" s="3">
        <v>0.26479457022501202</v>
      </c>
      <c r="O2572" s="3">
        <v>0.34608876341807898</v>
      </c>
      <c r="P2572" s="3">
        <v>0.39215424559170597</v>
      </c>
    </row>
    <row r="2573" spans="1:16" x14ac:dyDescent="0.45">
      <c r="A2573" s="7" t="s">
        <v>86</v>
      </c>
      <c r="B2573" s="7" t="s">
        <v>26</v>
      </c>
      <c r="C2573" s="7" t="s">
        <v>15</v>
      </c>
      <c r="D2573" s="7" t="s">
        <v>10</v>
      </c>
      <c r="E2573" s="7" t="s">
        <v>32</v>
      </c>
      <c r="F2573" s="3">
        <v>0</v>
      </c>
      <c r="G2573" s="3">
        <v>5.2838928118895097E-3</v>
      </c>
      <c r="H2573" s="3">
        <v>5.2838928118895097E-3</v>
      </c>
      <c r="I2573" s="3">
        <v>-5.4275323307367796E-4</v>
      </c>
      <c r="J2573" s="3">
        <v>9.5070030041713993E-2</v>
      </c>
      <c r="K2573" s="3">
        <v>0.110662470972767</v>
      </c>
      <c r="L2573" s="3">
        <v>1.97618871678393E-2</v>
      </c>
      <c r="M2573" s="3">
        <v>2.99113138249891E-2</v>
      </c>
      <c r="N2573" s="3">
        <v>4.8366152542832899E-2</v>
      </c>
      <c r="O2573" s="3">
        <v>7.1215162394298398E-2</v>
      </c>
      <c r="P2573" s="3">
        <v>8.7733602384346701E-2</v>
      </c>
    </row>
    <row r="2574" spans="1:16" x14ac:dyDescent="0.45">
      <c r="A2574" s="7" t="s">
        <v>86</v>
      </c>
      <c r="B2574" s="7" t="s">
        <v>26</v>
      </c>
      <c r="C2574" s="7" t="s">
        <v>15</v>
      </c>
      <c r="D2574" s="7" t="s">
        <v>11</v>
      </c>
      <c r="E2574" s="7" t="s">
        <v>32</v>
      </c>
      <c r="F2574" s="3">
        <v>0</v>
      </c>
      <c r="G2574" s="3">
        <v>9.2477002976715196E-4</v>
      </c>
      <c r="H2574" s="3">
        <v>9.2477002976715196E-4</v>
      </c>
      <c r="I2574" s="3">
        <v>-1.7612177654206E-3</v>
      </c>
      <c r="J2574" s="3">
        <v>9.6198150955268992E-3</v>
      </c>
      <c r="K2574" s="3">
        <v>3.0793867263911399E-2</v>
      </c>
      <c r="L2574" s="3">
        <v>5.1787668750773598E-2</v>
      </c>
      <c r="M2574" s="3">
        <v>7.4720341318224803E-2</v>
      </c>
      <c r="N2574" s="3">
        <v>7.6778633233949706E-2</v>
      </c>
      <c r="O2574" s="3">
        <v>6.0769174510010501E-2</v>
      </c>
      <c r="P2574" s="3">
        <v>4.4559340923606798E-2</v>
      </c>
    </row>
    <row r="2575" spans="1:16" x14ac:dyDescent="0.45">
      <c r="A2575" s="7" t="s">
        <v>86</v>
      </c>
      <c r="B2575" s="7" t="s">
        <v>26</v>
      </c>
      <c r="C2575" s="7" t="s">
        <v>15</v>
      </c>
      <c r="D2575" s="7" t="s">
        <v>12</v>
      </c>
      <c r="E2575" s="7" t="s">
        <v>32</v>
      </c>
      <c r="F2575" s="3">
        <v>0</v>
      </c>
      <c r="G2575" s="3">
        <v>-6.3006100315139996E-3</v>
      </c>
      <c r="H2575" s="3">
        <v>-6.3006100315139996E-3</v>
      </c>
      <c r="I2575" s="3">
        <v>9.3969540171852897E-2</v>
      </c>
      <c r="J2575" s="3">
        <v>3.09358166594987E-2</v>
      </c>
      <c r="K2575" s="3">
        <v>4.6426507304931898E-2</v>
      </c>
      <c r="L2575" s="3">
        <v>3.05320934081473E-2</v>
      </c>
      <c r="M2575" s="3">
        <v>-2.42533565579539E-3</v>
      </c>
      <c r="N2575" s="3">
        <v>-3.1256041032298697E-2</v>
      </c>
      <c r="O2575" s="3">
        <v>-5.4063846826242302E-2</v>
      </c>
      <c r="P2575" s="3">
        <v>-7.5162036773714802E-2</v>
      </c>
    </row>
    <row r="2576" spans="1:16" x14ac:dyDescent="0.45">
      <c r="A2576" s="7" t="s">
        <v>86</v>
      </c>
      <c r="B2576" s="7" t="s">
        <v>26</v>
      </c>
      <c r="C2576" s="7" t="s">
        <v>15</v>
      </c>
      <c r="D2576" s="7" t="s">
        <v>13</v>
      </c>
      <c r="E2576" s="7" t="s">
        <v>32</v>
      </c>
      <c r="F2576" s="3">
        <v>0</v>
      </c>
      <c r="G2576" s="3">
        <v>5.0552218138694503E-2</v>
      </c>
      <c r="H2576" s="3">
        <v>5.0552218138694503E-2</v>
      </c>
      <c r="I2576" s="3">
        <v>2.79742470646803E-2</v>
      </c>
      <c r="J2576" s="3">
        <v>-1.7929837036632099E-3</v>
      </c>
      <c r="K2576" s="3">
        <v>-4.7943153354694998E-2</v>
      </c>
      <c r="L2576" s="3">
        <v>-8.8499727536633405E-2</v>
      </c>
      <c r="M2576" s="3">
        <v>-0.11567844091044401</v>
      </c>
      <c r="N2576" s="3">
        <v>-0.13369952579062599</v>
      </c>
      <c r="O2576" s="3">
        <v>-0.14365836761939699</v>
      </c>
      <c r="P2576" s="3">
        <v>-0.15156277732784501</v>
      </c>
    </row>
    <row r="2577" spans="1:16" x14ac:dyDescent="0.45">
      <c r="A2577" s="7" t="s">
        <v>86</v>
      </c>
      <c r="B2577" s="7" t="s">
        <v>26</v>
      </c>
      <c r="C2577" s="7" t="s">
        <v>15</v>
      </c>
      <c r="D2577" s="7" t="s">
        <v>14</v>
      </c>
      <c r="E2577" s="7" t="s">
        <v>32</v>
      </c>
      <c r="F2577" s="3">
        <v>0</v>
      </c>
      <c r="G2577" s="3">
        <v>1.8835158499088098E-2</v>
      </c>
      <c r="H2577" s="3">
        <v>1.8835158499088098E-2</v>
      </c>
      <c r="I2577" s="3">
        <v>-2.7815572827964801E-2</v>
      </c>
      <c r="J2577" s="3">
        <v>-5.9311876562517102E-2</v>
      </c>
      <c r="K2577" s="3">
        <v>-7.6955484241685995E-2</v>
      </c>
      <c r="L2577" s="3">
        <v>-7.2409185261577996E-2</v>
      </c>
      <c r="M2577" s="3">
        <v>-8.3637430093596907E-2</v>
      </c>
      <c r="N2577" s="3">
        <v>-0.10098994897331801</v>
      </c>
      <c r="O2577" s="3">
        <v>-0.117743088349199</v>
      </c>
      <c r="P2577" s="3">
        <v>-0.12455145312793101</v>
      </c>
    </row>
    <row r="2578" spans="1:16" x14ac:dyDescent="0.45">
      <c r="A2578" s="7" t="s">
        <v>86</v>
      </c>
      <c r="B2578" s="7" t="s">
        <v>26</v>
      </c>
      <c r="C2578" s="7" t="s">
        <v>16</v>
      </c>
      <c r="D2578" s="7" t="s">
        <v>7</v>
      </c>
      <c r="E2578" s="7" t="s">
        <v>32</v>
      </c>
      <c r="F2578" s="3">
        <v>0.435469304290727</v>
      </c>
      <c r="G2578" s="3">
        <v>0.44409763872531299</v>
      </c>
      <c r="H2578" s="3">
        <v>0.44409763872531299</v>
      </c>
      <c r="I2578" s="3">
        <v>0.44115978760782798</v>
      </c>
      <c r="J2578" s="3">
        <v>0.31069286319716899</v>
      </c>
      <c r="K2578" s="3">
        <v>0.13394124834683899</v>
      </c>
      <c r="L2578" s="3">
        <v>0.13394124834683899</v>
      </c>
      <c r="M2578" s="3">
        <v>0.13394124834683899</v>
      </c>
      <c r="N2578" s="3">
        <v>0.13394124834683899</v>
      </c>
      <c r="O2578" s="3">
        <v>0.13394124834683899</v>
      </c>
      <c r="P2578" s="3">
        <v>0.13394124834683899</v>
      </c>
    </row>
    <row r="2579" spans="1:16" x14ac:dyDescent="0.45">
      <c r="A2579" s="7" t="s">
        <v>86</v>
      </c>
      <c r="B2579" s="7" t="s">
        <v>26</v>
      </c>
      <c r="C2579" s="7" t="s">
        <v>16</v>
      </c>
      <c r="D2579" s="7" t="s">
        <v>9</v>
      </c>
      <c r="E2579" s="7" t="s">
        <v>32</v>
      </c>
      <c r="F2579" s="3">
        <v>0</v>
      </c>
      <c r="G2579" s="3">
        <v>1.69595755765362E-4</v>
      </c>
      <c r="H2579" s="3">
        <v>1.69595755765362E-4</v>
      </c>
      <c r="I2579" s="3">
        <v>8.6301093221663501E-5</v>
      </c>
      <c r="J2579" s="3">
        <v>4.7344118437320199E-5</v>
      </c>
      <c r="K2579" s="3">
        <v>0</v>
      </c>
      <c r="L2579" s="3">
        <v>0</v>
      </c>
      <c r="M2579" s="3">
        <v>0</v>
      </c>
      <c r="N2579" s="3">
        <v>-3.05311331771918E-16</v>
      </c>
      <c r="O2579" s="3">
        <v>0</v>
      </c>
      <c r="P2579" s="3">
        <v>-2.2815924817054202E-3</v>
      </c>
    </row>
    <row r="2580" spans="1:16" x14ac:dyDescent="0.45">
      <c r="A2580" s="7" t="s">
        <v>86</v>
      </c>
      <c r="B2580" s="7" t="s">
        <v>26</v>
      </c>
      <c r="C2580" s="7" t="s">
        <v>16</v>
      </c>
      <c r="D2580" s="7" t="s">
        <v>10</v>
      </c>
      <c r="E2580" s="7" t="s">
        <v>32</v>
      </c>
      <c r="F2580" s="3">
        <v>0</v>
      </c>
      <c r="G2580" s="3">
        <v>3.2999610703465798E-6</v>
      </c>
      <c r="H2580" s="3">
        <v>3.2999610703465798E-6</v>
      </c>
      <c r="I2580" s="3">
        <v>0</v>
      </c>
      <c r="J2580" s="3">
        <v>0</v>
      </c>
      <c r="K2580" s="3">
        <v>0</v>
      </c>
      <c r="L2580" s="3">
        <v>0</v>
      </c>
      <c r="M2580" s="3">
        <v>-3.4361440169777E-3</v>
      </c>
      <c r="N2580" s="3">
        <v>-2.2815924817054202E-3</v>
      </c>
      <c r="O2580" s="3">
        <v>-6.3723461883485898E-4</v>
      </c>
      <c r="P2580" s="3">
        <v>2.0322283721161401E-3</v>
      </c>
    </row>
    <row r="2581" spans="1:16" x14ac:dyDescent="0.45">
      <c r="A2581" s="7" t="s">
        <v>86</v>
      </c>
      <c r="B2581" s="7" t="s">
        <v>26</v>
      </c>
      <c r="C2581" s="7" t="s">
        <v>16</v>
      </c>
      <c r="D2581" s="7" t="s">
        <v>11</v>
      </c>
      <c r="E2581" s="7" t="s">
        <v>32</v>
      </c>
      <c r="F2581" s="3">
        <v>0</v>
      </c>
      <c r="G2581" s="3">
        <v>6.7406691088345294E-5</v>
      </c>
      <c r="H2581" s="3">
        <v>6.7406691088345294E-5</v>
      </c>
      <c r="I2581" s="3">
        <v>1.8654432961728899E-5</v>
      </c>
      <c r="J2581" s="3">
        <v>1.08066694461395E-5</v>
      </c>
      <c r="K2581" s="3">
        <v>-3.4317618772744499E-3</v>
      </c>
      <c r="L2581" s="3">
        <v>-3.33895752942259E-3</v>
      </c>
      <c r="M2581" s="3">
        <v>3.1873313678065802E-3</v>
      </c>
      <c r="N2581" s="3">
        <v>2.2815924817054202E-3</v>
      </c>
      <c r="O2581" s="3">
        <v>6.3723461883485898E-4</v>
      </c>
      <c r="P2581" s="3">
        <v>2.4936410958928401E-4</v>
      </c>
    </row>
    <row r="2582" spans="1:16" x14ac:dyDescent="0.45">
      <c r="A2582" s="7" t="s">
        <v>86</v>
      </c>
      <c r="B2582" s="7" t="s">
        <v>26</v>
      </c>
      <c r="C2582" s="7" t="s">
        <v>16</v>
      </c>
      <c r="D2582" s="7" t="s">
        <v>12</v>
      </c>
      <c r="E2582" s="7" t="s">
        <v>32</v>
      </c>
      <c r="F2582" s="3">
        <v>0</v>
      </c>
      <c r="G2582" s="3">
        <v>1.6986491885917498E-5</v>
      </c>
      <c r="H2582" s="3">
        <v>1.6986491885917498E-5</v>
      </c>
      <c r="I2582" s="3">
        <v>2.2607408475816501E-5</v>
      </c>
      <c r="J2582" s="3">
        <v>-1.6733467728534701E-3</v>
      </c>
      <c r="K2582" s="3">
        <v>1.15533927884545E-3</v>
      </c>
      <c r="L2582" s="3">
        <v>3.33895752942259E-3</v>
      </c>
      <c r="M2582" s="3">
        <v>2.48812649171121E-4</v>
      </c>
      <c r="N2582" s="3">
        <v>0</v>
      </c>
      <c r="O2582" s="3">
        <v>0</v>
      </c>
      <c r="P2582" s="3">
        <v>0</v>
      </c>
    </row>
    <row r="2583" spans="1:16" x14ac:dyDescent="0.45">
      <c r="A2583" s="7" t="s">
        <v>86</v>
      </c>
      <c r="B2583" s="7" t="s">
        <v>26</v>
      </c>
      <c r="C2583" s="7" t="s">
        <v>16</v>
      </c>
      <c r="D2583" s="7" t="s">
        <v>13</v>
      </c>
      <c r="E2583" s="7" t="s">
        <v>32</v>
      </c>
      <c r="F2583" s="3">
        <v>0</v>
      </c>
      <c r="G2583" s="3">
        <v>-9.2568465835540803E-4</v>
      </c>
      <c r="H2583" s="3">
        <v>-9.2568465835540803E-4</v>
      </c>
      <c r="I2583" s="3">
        <v>4.9453374611385104E-3</v>
      </c>
      <c r="J2583" s="3">
        <v>4.3435831368554599E-3</v>
      </c>
      <c r="K2583" s="3">
        <v>2.2764225984290001E-3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</row>
    <row r="2584" spans="1:16" x14ac:dyDescent="0.45">
      <c r="A2584" s="7" t="s">
        <v>86</v>
      </c>
      <c r="B2584" s="7" t="s">
        <v>26</v>
      </c>
      <c r="C2584" s="7" t="s">
        <v>16</v>
      </c>
      <c r="D2584" s="7" t="s">
        <v>14</v>
      </c>
      <c r="E2584" s="7" t="s">
        <v>32</v>
      </c>
      <c r="F2584" s="3">
        <v>0</v>
      </c>
      <c r="G2584" s="3">
        <v>-1.07754149168016E-2</v>
      </c>
      <c r="H2584" s="3">
        <v>-1.07754149168016E-2</v>
      </c>
      <c r="I2584" s="3">
        <v>1.2920638018247799E-3</v>
      </c>
      <c r="J2584" s="3">
        <v>-1.3813643018264999E-3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</row>
    <row r="2585" spans="1:16" x14ac:dyDescent="0.45">
      <c r="A2585" s="7" t="s">
        <v>86</v>
      </c>
      <c r="B2585" s="7" t="s">
        <v>26</v>
      </c>
      <c r="C2585" s="7" t="s">
        <v>17</v>
      </c>
      <c r="D2585" s="7" t="s">
        <v>10</v>
      </c>
      <c r="E2585" s="7" t="s">
        <v>32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  <c r="L2585" s="3">
        <v>0</v>
      </c>
      <c r="M2585" s="3">
        <v>0.39994021444004602</v>
      </c>
      <c r="N2585" s="3">
        <v>0.47883650637110797</v>
      </c>
      <c r="O2585" s="3">
        <v>0.55113556650594597</v>
      </c>
      <c r="P2585" s="3">
        <v>0.51108090708206899</v>
      </c>
    </row>
    <row r="2586" spans="1:16" x14ac:dyDescent="0.45">
      <c r="A2586" s="7" t="s">
        <v>86</v>
      </c>
      <c r="B2586" s="7" t="s">
        <v>26</v>
      </c>
      <c r="C2586" s="7" t="s">
        <v>17</v>
      </c>
      <c r="D2586" s="7" t="s">
        <v>11</v>
      </c>
      <c r="E2586" s="7" t="s">
        <v>32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0.32526186460794299</v>
      </c>
      <c r="L2586" s="3">
        <v>0.388771755173281</v>
      </c>
      <c r="M2586" s="3">
        <v>9.7636525345028202E-2</v>
      </c>
      <c r="N2586" s="3">
        <v>0.15975775819760599</v>
      </c>
      <c r="O2586" s="3">
        <v>0.23832192673269401</v>
      </c>
      <c r="P2586" s="3">
        <v>0.34103470880796799</v>
      </c>
    </row>
    <row r="2587" spans="1:16" x14ac:dyDescent="0.45">
      <c r="A2587" s="7" t="s">
        <v>86</v>
      </c>
      <c r="B2587" s="7" t="s">
        <v>26</v>
      </c>
      <c r="C2587" s="7" t="s">
        <v>17</v>
      </c>
      <c r="D2587" s="7" t="s">
        <v>12</v>
      </c>
      <c r="E2587" s="7" t="s">
        <v>32</v>
      </c>
      <c r="F2587" s="3">
        <v>0</v>
      </c>
      <c r="G2587" s="3">
        <v>0</v>
      </c>
      <c r="H2587" s="3">
        <v>0</v>
      </c>
      <c r="I2587" s="3">
        <v>0</v>
      </c>
      <c r="J2587" s="3">
        <v>0.28431699912014102</v>
      </c>
      <c r="K2587" s="3">
        <v>0.105842034334702</v>
      </c>
      <c r="L2587" s="3">
        <v>0.26408343532959999</v>
      </c>
      <c r="M2587" s="3">
        <v>0.37536702094533098</v>
      </c>
      <c r="N2587" s="3">
        <v>0.41946576331484198</v>
      </c>
      <c r="O2587" s="3">
        <v>0.33132829713816597</v>
      </c>
      <c r="P2587" s="3">
        <v>0.18490995646997399</v>
      </c>
    </row>
    <row r="2588" spans="1:16" x14ac:dyDescent="0.45">
      <c r="A2588" s="7" t="s">
        <v>86</v>
      </c>
      <c r="B2588" s="7" t="s">
        <v>26</v>
      </c>
      <c r="C2588" s="7" t="s">
        <v>17</v>
      </c>
      <c r="D2588" s="7" t="s">
        <v>13</v>
      </c>
      <c r="E2588" s="7" t="s">
        <v>32</v>
      </c>
      <c r="F2588" s="3">
        <v>0</v>
      </c>
      <c r="G2588" s="3">
        <v>0</v>
      </c>
      <c r="H2588" s="3">
        <v>0</v>
      </c>
      <c r="I2588" s="3">
        <v>0.323471982547967</v>
      </c>
      <c r="J2588" s="3">
        <v>0.41744166135209898</v>
      </c>
      <c r="K2588" s="3">
        <v>0.60151780452056802</v>
      </c>
      <c r="L2588" s="3">
        <v>0.471023477024058</v>
      </c>
      <c r="M2588" s="3">
        <v>0.255577105666981</v>
      </c>
      <c r="N2588" s="3">
        <v>7.0482010679197696E-2</v>
      </c>
      <c r="O2588" s="3">
        <v>7.8033033854356696E-3</v>
      </c>
      <c r="P2588" s="3">
        <v>-6.6539567258185901E-3</v>
      </c>
    </row>
    <row r="2589" spans="1:16" x14ac:dyDescent="0.45">
      <c r="A2589" s="7" t="s">
        <v>86</v>
      </c>
      <c r="B2589" s="7" t="s">
        <v>26</v>
      </c>
      <c r="C2589" s="7" t="s">
        <v>17</v>
      </c>
      <c r="D2589" s="7" t="s">
        <v>14</v>
      </c>
      <c r="E2589" s="7" t="s">
        <v>32</v>
      </c>
      <c r="F2589" s="3">
        <v>0</v>
      </c>
      <c r="G2589" s="3">
        <v>3.4120055693331798E-2</v>
      </c>
      <c r="H2589" s="3">
        <v>3.4120055693331798E-2</v>
      </c>
      <c r="I2589" s="3">
        <v>0.41255307281803899</v>
      </c>
      <c r="J2589" s="3">
        <v>0.405167934646262</v>
      </c>
      <c r="K2589" s="3">
        <v>0.110576722094696</v>
      </c>
      <c r="L2589" s="3">
        <v>1.9637450894315601E-2</v>
      </c>
      <c r="M2589" s="3">
        <v>1.5274751749483799E-2</v>
      </c>
      <c r="N2589" s="3">
        <v>1.54681856496026E-2</v>
      </c>
      <c r="O2589" s="3">
        <v>1.54211304501148E-2</v>
      </c>
      <c r="P2589" s="3">
        <v>1.51683472532846E-2</v>
      </c>
    </row>
    <row r="2590" spans="1:16" x14ac:dyDescent="0.45">
      <c r="A2590" s="7" t="s">
        <v>86</v>
      </c>
      <c r="B2590" s="7" t="s">
        <v>26</v>
      </c>
      <c r="C2590" s="7" t="s">
        <v>18</v>
      </c>
      <c r="D2590" s="7" t="s">
        <v>7</v>
      </c>
      <c r="E2590" s="7" t="s">
        <v>32</v>
      </c>
      <c r="F2590" s="3">
        <v>0.16585863086705599</v>
      </c>
      <c r="G2590" s="3">
        <v>9.7579910978572604E-2</v>
      </c>
      <c r="H2590" s="3">
        <v>9.7579910978572604E-2</v>
      </c>
      <c r="I2590" s="3">
        <v>6.5053273985715199E-2</v>
      </c>
      <c r="J2590" s="3">
        <v>3.2526636992857599E-2</v>
      </c>
      <c r="K2590" s="3">
        <v>0</v>
      </c>
      <c r="L2590" s="3">
        <v>3.1911296123631297E-17</v>
      </c>
      <c r="M2590" s="3">
        <v>0</v>
      </c>
      <c r="N2590" s="3">
        <v>0</v>
      </c>
      <c r="O2590" s="3">
        <v>3.1911296123631297E-17</v>
      </c>
      <c r="P2590" s="3">
        <v>0</v>
      </c>
    </row>
    <row r="2591" spans="1:16" x14ac:dyDescent="0.45">
      <c r="A2591" s="7" t="s">
        <v>86</v>
      </c>
      <c r="B2591" s="7" t="s">
        <v>26</v>
      </c>
      <c r="C2591" s="7" t="s">
        <v>18</v>
      </c>
      <c r="D2591" s="7" t="s">
        <v>9</v>
      </c>
      <c r="E2591" s="7" t="s">
        <v>32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  <c r="L2591" s="3">
        <v>-3.1911296123631297E-17</v>
      </c>
      <c r="M2591" s="3">
        <v>9.5733888370893498E-17</v>
      </c>
      <c r="N2591" s="3">
        <v>1.5955648061815599E-17</v>
      </c>
      <c r="O2591" s="3">
        <v>-1.5955648061815701E-17</v>
      </c>
      <c r="P2591" s="3">
        <v>0</v>
      </c>
    </row>
    <row r="2592" spans="1:16" x14ac:dyDescent="0.45">
      <c r="A2592" s="7" t="s">
        <v>86</v>
      </c>
      <c r="B2592" s="7" t="s">
        <v>26</v>
      </c>
      <c r="C2592" s="7" t="s">
        <v>18</v>
      </c>
      <c r="D2592" s="7" t="s">
        <v>10</v>
      </c>
      <c r="E2592" s="7" t="s">
        <v>32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9.5733888370893498E-17</v>
      </c>
      <c r="L2592" s="3">
        <v>0</v>
      </c>
      <c r="M2592" s="3">
        <v>-9.5733888370893498E-17</v>
      </c>
      <c r="N2592" s="3">
        <v>4.78669441854467E-17</v>
      </c>
      <c r="O2592" s="3">
        <v>-1.5955648061815599E-17</v>
      </c>
      <c r="P2592" s="3">
        <v>0</v>
      </c>
    </row>
    <row r="2593" spans="1:16" x14ac:dyDescent="0.45">
      <c r="A2593" s="7" t="s">
        <v>86</v>
      </c>
      <c r="B2593" s="7" t="s">
        <v>26</v>
      </c>
      <c r="C2593" s="7" t="s">
        <v>18</v>
      </c>
      <c r="D2593" s="7" t="s">
        <v>11</v>
      </c>
      <c r="E2593" s="7" t="s">
        <v>32</v>
      </c>
      <c r="F2593" s="3">
        <v>0</v>
      </c>
      <c r="G2593" s="3">
        <v>0</v>
      </c>
      <c r="H2593" s="3">
        <v>0</v>
      </c>
      <c r="I2593" s="3">
        <v>-2.9143354396410399E-16</v>
      </c>
      <c r="J2593" s="3">
        <v>-2.9143354396410399E-16</v>
      </c>
      <c r="K2593" s="3">
        <v>-9.5733888370893498E-17</v>
      </c>
      <c r="L2593" s="3">
        <v>6.3822592247262299E-17</v>
      </c>
      <c r="M2593" s="3">
        <v>0</v>
      </c>
      <c r="N2593" s="3">
        <v>-6.3822592247262299E-17</v>
      </c>
      <c r="O2593" s="3">
        <v>0</v>
      </c>
      <c r="P2593" s="3">
        <v>0</v>
      </c>
    </row>
    <row r="2594" spans="1:16" x14ac:dyDescent="0.45">
      <c r="A2594" s="7" t="s">
        <v>86</v>
      </c>
      <c r="B2594" s="7" t="s">
        <v>26</v>
      </c>
      <c r="C2594" s="7" t="s">
        <v>18</v>
      </c>
      <c r="D2594" s="7" t="s">
        <v>12</v>
      </c>
      <c r="E2594" s="7" t="s">
        <v>32</v>
      </c>
      <c r="F2594" s="3">
        <v>0</v>
      </c>
      <c r="G2594" s="3">
        <v>0</v>
      </c>
      <c r="H2594" s="3">
        <v>0</v>
      </c>
      <c r="I2594" s="3">
        <v>0</v>
      </c>
      <c r="J2594" s="3">
        <v>5.7592819402429996E-16</v>
      </c>
      <c r="K2594" s="3">
        <v>7.8182675502896305E-16</v>
      </c>
      <c r="L2594" s="3">
        <v>-6.3822592247262299E-17</v>
      </c>
      <c r="M2594" s="3">
        <v>0</v>
      </c>
      <c r="N2594" s="3">
        <v>6.5418157053443899E-16</v>
      </c>
      <c r="O2594" s="3">
        <v>5.5844768216354398E-16</v>
      </c>
      <c r="P2594" s="3">
        <v>0</v>
      </c>
    </row>
    <row r="2595" spans="1:16" x14ac:dyDescent="0.45">
      <c r="A2595" s="7" t="s">
        <v>86</v>
      </c>
      <c r="B2595" s="7" t="s">
        <v>26</v>
      </c>
      <c r="C2595" s="7" t="s">
        <v>18</v>
      </c>
      <c r="D2595" s="7" t="s">
        <v>13</v>
      </c>
      <c r="E2595" s="7" t="s">
        <v>32</v>
      </c>
      <c r="F2595" s="3">
        <v>0</v>
      </c>
      <c r="G2595" s="3">
        <v>0</v>
      </c>
      <c r="H2595" s="3">
        <v>0</v>
      </c>
      <c r="I2595" s="3">
        <v>2.9143354396410399E-16</v>
      </c>
      <c r="J2595" s="3">
        <v>-1.7208456881689901E-15</v>
      </c>
      <c r="K2595" s="3">
        <v>-7.8182675502896305E-16</v>
      </c>
      <c r="L2595" s="3">
        <v>0</v>
      </c>
      <c r="M2595" s="3">
        <v>0</v>
      </c>
      <c r="N2595" s="3">
        <v>1.6434317503670101E-15</v>
      </c>
      <c r="O2595" s="3">
        <v>3.9889120154539098E-16</v>
      </c>
      <c r="P2595" s="3">
        <v>1.7232099906760801E-15</v>
      </c>
    </row>
    <row r="2596" spans="1:16" x14ac:dyDescent="0.45">
      <c r="A2596" s="7" t="s">
        <v>86</v>
      </c>
      <c r="B2596" s="7" t="s">
        <v>26</v>
      </c>
      <c r="C2596" s="7" t="s">
        <v>18</v>
      </c>
      <c r="D2596" s="7" t="s">
        <v>14</v>
      </c>
      <c r="E2596" s="7" t="s">
        <v>32</v>
      </c>
      <c r="F2596" s="3">
        <v>0</v>
      </c>
      <c r="G2596" s="3">
        <v>0</v>
      </c>
      <c r="H2596" s="3">
        <v>0</v>
      </c>
      <c r="I2596" s="3">
        <v>-8.6042284408449602E-16</v>
      </c>
      <c r="J2596" s="3">
        <v>2.8449465006019602E-16</v>
      </c>
      <c r="K2596" s="3">
        <v>0</v>
      </c>
      <c r="L2596" s="3">
        <v>4.4675814573083696E-16</v>
      </c>
      <c r="M2596" s="3">
        <v>5.4249203410173098E-16</v>
      </c>
      <c r="N2596" s="3">
        <v>-2.29761332090145E-15</v>
      </c>
      <c r="O2596" s="3">
        <v>-5.4249203410173098E-16</v>
      </c>
      <c r="P2596" s="3">
        <v>-6.7013721859625504E-16</v>
      </c>
    </row>
    <row r="2597" spans="1:16" x14ac:dyDescent="0.45">
      <c r="A2597" s="7" t="s">
        <v>86</v>
      </c>
      <c r="B2597" s="7" t="s">
        <v>26</v>
      </c>
      <c r="C2597" s="7" t="s">
        <v>19</v>
      </c>
      <c r="D2597" s="7" t="s">
        <v>10</v>
      </c>
      <c r="E2597" s="7" t="s">
        <v>32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0.102340678002475</v>
      </c>
      <c r="N2597" s="3">
        <v>0.227357443644119</v>
      </c>
      <c r="O2597" s="3">
        <v>0.34063687353704197</v>
      </c>
      <c r="P2597" s="3">
        <v>0.14815007547385101</v>
      </c>
    </row>
    <row r="2598" spans="1:16" x14ac:dyDescent="0.45">
      <c r="A2598" s="7" t="s">
        <v>86</v>
      </c>
      <c r="B2598" s="7" t="s">
        <v>26</v>
      </c>
      <c r="C2598" s="7" t="s">
        <v>19</v>
      </c>
      <c r="D2598" s="7" t="s">
        <v>11</v>
      </c>
      <c r="E2598" s="7" t="s">
        <v>32</v>
      </c>
      <c r="F2598" s="3">
        <v>0</v>
      </c>
      <c r="G2598" s="3">
        <v>0</v>
      </c>
      <c r="H2598" s="3">
        <v>0</v>
      </c>
      <c r="I2598" s="3">
        <v>0</v>
      </c>
      <c r="J2598" s="3">
        <v>0</v>
      </c>
      <c r="K2598" s="3">
        <v>3.3880502338107903E-2</v>
      </c>
      <c r="L2598" s="3">
        <v>0.113345860537512</v>
      </c>
      <c r="M2598" s="3">
        <v>0.237970238550927</v>
      </c>
      <c r="N2598" s="3">
        <v>0.47301779487848</v>
      </c>
      <c r="O2598" s="3">
        <v>0.81300969875486495</v>
      </c>
      <c r="P2598" s="3">
        <v>1.2503325108721799</v>
      </c>
    </row>
    <row r="2599" spans="1:16" x14ac:dyDescent="0.45">
      <c r="A2599" s="7" t="s">
        <v>86</v>
      </c>
      <c r="B2599" s="7" t="s">
        <v>26</v>
      </c>
      <c r="C2599" s="7" t="s">
        <v>19</v>
      </c>
      <c r="D2599" s="7" t="s">
        <v>12</v>
      </c>
      <c r="E2599" s="7" t="s">
        <v>32</v>
      </c>
      <c r="F2599" s="3">
        <v>0</v>
      </c>
      <c r="G2599" s="3">
        <v>0</v>
      </c>
      <c r="H2599" s="3">
        <v>0</v>
      </c>
      <c r="I2599" s="3">
        <v>0</v>
      </c>
      <c r="J2599" s="3">
        <v>2.7533914233127298E-2</v>
      </c>
      <c r="K2599" s="3">
        <v>0.32686926508043701</v>
      </c>
      <c r="L2599" s="3">
        <v>0.96701924554347096</v>
      </c>
      <c r="M2599" s="3">
        <v>1.46883556908631</v>
      </c>
      <c r="N2599" s="3">
        <v>1.72067513432135</v>
      </c>
      <c r="O2599" s="3">
        <v>1.4323409811511201</v>
      </c>
      <c r="P2599" s="3">
        <v>0.896852573284185</v>
      </c>
    </row>
    <row r="2600" spans="1:16" x14ac:dyDescent="0.45">
      <c r="A2600" s="7" t="s">
        <v>86</v>
      </c>
      <c r="B2600" s="7" t="s">
        <v>26</v>
      </c>
      <c r="C2600" s="7" t="s">
        <v>19</v>
      </c>
      <c r="D2600" s="7" t="s">
        <v>13</v>
      </c>
      <c r="E2600" s="7" t="s">
        <v>32</v>
      </c>
      <c r="F2600" s="3">
        <v>0</v>
      </c>
      <c r="G2600" s="3">
        <v>0</v>
      </c>
      <c r="H2600" s="3">
        <v>0</v>
      </c>
      <c r="I2600" s="3">
        <v>0.35547918676884999</v>
      </c>
      <c r="J2600" s="3">
        <v>1.6202034801171801</v>
      </c>
      <c r="K2600" s="3">
        <v>2.43957331970203</v>
      </c>
      <c r="L2600" s="3">
        <v>2.0214446007137199</v>
      </c>
      <c r="M2600" s="3">
        <v>1.2421294646310601</v>
      </c>
      <c r="N2600" s="3">
        <v>0.55521972641385897</v>
      </c>
      <c r="O2600" s="3">
        <v>0.33067703524229702</v>
      </c>
      <c r="P2600" s="3">
        <v>0.29423143236076199</v>
      </c>
    </row>
    <row r="2601" spans="1:16" x14ac:dyDescent="0.45">
      <c r="A2601" s="7" t="s">
        <v>86</v>
      </c>
      <c r="B2601" s="7" t="s">
        <v>26</v>
      </c>
      <c r="C2601" s="7" t="s">
        <v>19</v>
      </c>
      <c r="D2601" s="7" t="s">
        <v>14</v>
      </c>
      <c r="E2601" s="7" t="s">
        <v>32</v>
      </c>
      <c r="F2601" s="3">
        <v>0</v>
      </c>
      <c r="G2601" s="3">
        <v>7.3072957446588902E-3</v>
      </c>
      <c r="H2601" s="3">
        <v>7.3072957446588902E-3</v>
      </c>
      <c r="I2601" s="3">
        <v>1.6458692105748001</v>
      </c>
      <c r="J2601" s="3">
        <v>1.70853313751292</v>
      </c>
      <c r="K2601" s="3">
        <v>0.59463451956517099</v>
      </c>
      <c r="L2601" s="3">
        <v>0.237420832740112</v>
      </c>
      <c r="M2601" s="3">
        <v>0.239348504349578</v>
      </c>
      <c r="N2601" s="3">
        <v>0.26922540664069999</v>
      </c>
      <c r="O2601" s="3">
        <v>0.29902562251171</v>
      </c>
      <c r="P2601" s="3">
        <v>0.31410218655494798</v>
      </c>
    </row>
    <row r="2602" spans="1:16" x14ac:dyDescent="0.45">
      <c r="A2602" s="7" t="s">
        <v>87</v>
      </c>
      <c r="B2602" s="7" t="s">
        <v>27</v>
      </c>
      <c r="C2602" s="7" t="s">
        <v>6</v>
      </c>
      <c r="D2602" s="7" t="s">
        <v>7</v>
      </c>
      <c r="E2602" s="7" t="s">
        <v>32</v>
      </c>
      <c r="F2602" s="3">
        <v>0</v>
      </c>
      <c r="G2602" s="3">
        <v>0</v>
      </c>
      <c r="H2602" s="3">
        <v>0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</row>
    <row r="2603" spans="1:16" x14ac:dyDescent="0.45">
      <c r="A2603" s="7" t="s">
        <v>87</v>
      </c>
      <c r="B2603" s="7" t="s">
        <v>27</v>
      </c>
      <c r="C2603" s="7" t="s">
        <v>6</v>
      </c>
      <c r="D2603" s="7" t="s">
        <v>9</v>
      </c>
      <c r="E2603" s="7" t="s">
        <v>32</v>
      </c>
      <c r="F2603" s="3">
        <v>0</v>
      </c>
      <c r="G2603" s="3">
        <v>0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5.1908350443109598E-3</v>
      </c>
      <c r="P2603" s="3">
        <v>1.5721137110647401E-2</v>
      </c>
    </row>
    <row r="2604" spans="1:16" x14ac:dyDescent="0.45">
      <c r="A2604" s="7" t="s">
        <v>87</v>
      </c>
      <c r="B2604" s="7" t="s">
        <v>27</v>
      </c>
      <c r="C2604" s="7" t="s">
        <v>6</v>
      </c>
      <c r="D2604" s="7" t="s">
        <v>10</v>
      </c>
      <c r="E2604" s="7" t="s">
        <v>32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3">
        <v>0</v>
      </c>
      <c r="L2604" s="3">
        <v>3.0620056568210802E-3</v>
      </c>
      <c r="M2604" s="3">
        <v>1.6595760031080299E-2</v>
      </c>
      <c r="N2604" s="3">
        <v>2.6059313616498499E-2</v>
      </c>
      <c r="O2604" s="3">
        <v>3.2665420390660303E-2</v>
      </c>
      <c r="P2604" s="3">
        <v>3.2247388464739603E-2</v>
      </c>
    </row>
    <row r="2605" spans="1:16" x14ac:dyDescent="0.45">
      <c r="A2605" s="7" t="s">
        <v>87</v>
      </c>
      <c r="B2605" s="7" t="s">
        <v>27</v>
      </c>
      <c r="C2605" s="7" t="s">
        <v>6</v>
      </c>
      <c r="D2605" s="7" t="s">
        <v>11</v>
      </c>
      <c r="E2605" s="7" t="s">
        <v>32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1.42600447448256E-2</v>
      </c>
      <c r="L2605" s="3">
        <v>2.6885744333211201E-2</v>
      </c>
      <c r="M2605" s="3">
        <v>3.4151390634319399E-2</v>
      </c>
      <c r="N2605" s="3">
        <v>0.13786554324434699</v>
      </c>
      <c r="O2605" s="3">
        <v>0.302819007438828</v>
      </c>
      <c r="P2605" s="3">
        <v>0.51126542528107699</v>
      </c>
    </row>
    <row r="2606" spans="1:16" x14ac:dyDescent="0.45">
      <c r="A2606" s="7" t="s">
        <v>87</v>
      </c>
      <c r="B2606" s="7" t="s">
        <v>27</v>
      </c>
      <c r="C2606" s="7" t="s">
        <v>6</v>
      </c>
      <c r="D2606" s="7" t="s">
        <v>12</v>
      </c>
      <c r="E2606" s="7" t="s">
        <v>32</v>
      </c>
      <c r="F2606" s="3">
        <v>0</v>
      </c>
      <c r="G2606" s="3">
        <v>0</v>
      </c>
      <c r="H2606" s="3">
        <v>0</v>
      </c>
      <c r="I2606" s="3">
        <v>1.0251090535602E-8</v>
      </c>
      <c r="J2606" s="3">
        <v>1.4360032368807899E-2</v>
      </c>
      <c r="K2606" s="3">
        <v>4.6461293212494002E-2</v>
      </c>
      <c r="L2606" s="3">
        <v>0.215495039698714</v>
      </c>
      <c r="M2606" s="3">
        <v>0.441473402504162</v>
      </c>
      <c r="N2606" s="3">
        <v>0.58462920460689005</v>
      </c>
      <c r="O2606" s="3">
        <v>0.62886742244475102</v>
      </c>
      <c r="P2606" s="3">
        <v>0.61033068186820605</v>
      </c>
    </row>
    <row r="2607" spans="1:16" x14ac:dyDescent="0.45">
      <c r="A2607" s="7" t="s">
        <v>87</v>
      </c>
      <c r="B2607" s="7" t="s">
        <v>27</v>
      </c>
      <c r="C2607" s="7" t="s">
        <v>6</v>
      </c>
      <c r="D2607" s="7" t="s">
        <v>13</v>
      </c>
      <c r="E2607" s="7" t="s">
        <v>32</v>
      </c>
      <c r="F2607" s="3">
        <v>0</v>
      </c>
      <c r="G2607" s="3">
        <v>0</v>
      </c>
      <c r="H2607" s="3">
        <v>0</v>
      </c>
      <c r="I2607" s="3">
        <v>3.8542638489434899E-2</v>
      </c>
      <c r="J2607" s="3">
        <v>0.320907636062503</v>
      </c>
      <c r="K2607" s="3">
        <v>0.58295590596291402</v>
      </c>
      <c r="L2607" s="3">
        <v>0.64779575827810698</v>
      </c>
      <c r="M2607" s="3">
        <v>0.62624226684138895</v>
      </c>
      <c r="N2607" s="3">
        <v>0.57950250499737299</v>
      </c>
      <c r="O2607" s="3">
        <v>0.53980871205125502</v>
      </c>
      <c r="P2607" s="3">
        <v>0.49539537080666102</v>
      </c>
    </row>
    <row r="2608" spans="1:16" x14ac:dyDescent="0.45">
      <c r="A2608" s="7" t="s">
        <v>87</v>
      </c>
      <c r="B2608" s="7" t="s">
        <v>27</v>
      </c>
      <c r="C2608" s="7" t="s">
        <v>6</v>
      </c>
      <c r="D2608" s="7" t="s">
        <v>14</v>
      </c>
      <c r="E2608" s="7" t="s">
        <v>32</v>
      </c>
      <c r="F2608" s="3">
        <v>0</v>
      </c>
      <c r="G2608" s="3">
        <v>2.9986715599151399E-2</v>
      </c>
      <c r="H2608" s="3">
        <v>2.9986715599151399E-2</v>
      </c>
      <c r="I2608" s="3">
        <v>0.346449269417476</v>
      </c>
      <c r="J2608" s="3">
        <v>0.34549584994831301</v>
      </c>
      <c r="K2608" s="3">
        <v>0.29782025662156503</v>
      </c>
      <c r="L2608" s="3">
        <v>0.28739762347158498</v>
      </c>
      <c r="M2608" s="3">
        <v>0.30829953044551101</v>
      </c>
      <c r="N2608" s="3">
        <v>0.30055451089396401</v>
      </c>
      <c r="O2608" s="3">
        <v>0.29908610535576302</v>
      </c>
      <c r="P2608" s="3">
        <v>0.30017720643415802</v>
      </c>
    </row>
    <row r="2609" spans="1:16" x14ac:dyDescent="0.45">
      <c r="A2609" s="7" t="s">
        <v>87</v>
      </c>
      <c r="B2609" s="7" t="s">
        <v>27</v>
      </c>
      <c r="C2609" s="7" t="s">
        <v>15</v>
      </c>
      <c r="D2609" s="7" t="s">
        <v>7</v>
      </c>
      <c r="E2609" s="7" t="s">
        <v>32</v>
      </c>
      <c r="F2609" s="3">
        <v>0.17431259724974299</v>
      </c>
      <c r="G2609" s="3">
        <v>0.199367367401454</v>
      </c>
      <c r="H2609" s="3">
        <v>0.199367367401454</v>
      </c>
      <c r="I2609" s="3">
        <v>0.22710437452231</v>
      </c>
      <c r="J2609" s="3">
        <v>0.25539121287080802</v>
      </c>
      <c r="K2609" s="3">
        <v>0.282245796350161</v>
      </c>
      <c r="L2609" s="3">
        <v>0.29322000400752601</v>
      </c>
      <c r="M2609" s="3">
        <v>0.299461310783812</v>
      </c>
      <c r="N2609" s="3">
        <v>0.29053250473831599</v>
      </c>
      <c r="O2609" s="3">
        <v>0.29900610990451298</v>
      </c>
      <c r="P2609" s="3">
        <v>0.29935425424279299</v>
      </c>
    </row>
    <row r="2610" spans="1:16" x14ac:dyDescent="0.45">
      <c r="A2610" s="7" t="s">
        <v>87</v>
      </c>
      <c r="B2610" s="7" t="s">
        <v>27</v>
      </c>
      <c r="C2610" s="7" t="s">
        <v>15</v>
      </c>
      <c r="D2610" s="7" t="s">
        <v>9</v>
      </c>
      <c r="E2610" s="7" t="s">
        <v>32</v>
      </c>
      <c r="F2610" s="3">
        <v>0</v>
      </c>
      <c r="G2610" s="3">
        <v>5.5934307022179096E-4</v>
      </c>
      <c r="H2610" s="3">
        <v>5.5934307022179096E-4</v>
      </c>
      <c r="I2610" s="3">
        <v>-9.5384785327107301E-4</v>
      </c>
      <c r="J2610" s="3">
        <v>-1.82786716670225E-3</v>
      </c>
      <c r="K2610" s="3">
        <v>-1.55301509590866E-3</v>
      </c>
      <c r="L2610" s="3">
        <v>1.33330225743192E-2</v>
      </c>
      <c r="M2610" s="3">
        <v>2.4558177262142801E-2</v>
      </c>
      <c r="N2610" s="3">
        <v>5.0379995729876302E-2</v>
      </c>
      <c r="O2610" s="3">
        <v>5.30939306416724E-2</v>
      </c>
      <c r="P2610" s="3">
        <v>6.1995256880507402E-2</v>
      </c>
    </row>
    <row r="2611" spans="1:16" x14ac:dyDescent="0.45">
      <c r="A2611" s="7" t="s">
        <v>87</v>
      </c>
      <c r="B2611" s="7" t="s">
        <v>27</v>
      </c>
      <c r="C2611" s="7" t="s">
        <v>15</v>
      </c>
      <c r="D2611" s="7" t="s">
        <v>10</v>
      </c>
      <c r="E2611" s="7" t="s">
        <v>32</v>
      </c>
      <c r="F2611" s="3">
        <v>0</v>
      </c>
      <c r="G2611" s="3">
        <v>-1.7814248868757701E-3</v>
      </c>
      <c r="H2611" s="3">
        <v>-1.7814248868757701E-3</v>
      </c>
      <c r="I2611" s="3">
        <v>-1.71419373070358E-5</v>
      </c>
      <c r="J2611" s="3">
        <v>5.2345149343412901E-3</v>
      </c>
      <c r="K2611" s="3">
        <v>4.9998255526884101E-3</v>
      </c>
      <c r="L2611" s="3">
        <v>7.17741511778336E-4</v>
      </c>
      <c r="M2611" s="3">
        <v>3.9948989923310804E-3</v>
      </c>
      <c r="N2611" s="3">
        <v>3.8245935981641201E-3</v>
      </c>
      <c r="O2611" s="3">
        <v>5.4540706159151896E-3</v>
      </c>
      <c r="P2611" s="3">
        <v>6.5215708707445103E-3</v>
      </c>
    </row>
    <row r="2612" spans="1:16" x14ac:dyDescent="0.45">
      <c r="A2612" s="7" t="s">
        <v>87</v>
      </c>
      <c r="B2612" s="7" t="s">
        <v>27</v>
      </c>
      <c r="C2612" s="7" t="s">
        <v>15</v>
      </c>
      <c r="D2612" s="7" t="s">
        <v>11</v>
      </c>
      <c r="E2612" s="7" t="s">
        <v>32</v>
      </c>
      <c r="F2612" s="3">
        <v>0</v>
      </c>
      <c r="G2612" s="3">
        <v>-3.7488506559835199E-4</v>
      </c>
      <c r="H2612" s="3">
        <v>-3.7488506559835199E-4</v>
      </c>
      <c r="I2612" s="3">
        <v>1.02422836330168E-3</v>
      </c>
      <c r="J2612" s="3">
        <v>4.3382645926265401E-4</v>
      </c>
      <c r="K2612" s="3">
        <v>1.2575140417147E-3</v>
      </c>
      <c r="L2612" s="3">
        <v>-6.5359730555652996E-4</v>
      </c>
      <c r="M2612" s="3">
        <v>3.92413571019501E-3</v>
      </c>
      <c r="N2612" s="3">
        <v>1.2999991910426899E-2</v>
      </c>
      <c r="O2612" s="3">
        <v>2.2691650511424102E-2</v>
      </c>
      <c r="P2612" s="3">
        <v>2.8764919475041499E-2</v>
      </c>
    </row>
    <row r="2613" spans="1:16" x14ac:dyDescent="0.45">
      <c r="A2613" s="7" t="s">
        <v>87</v>
      </c>
      <c r="B2613" s="7" t="s">
        <v>27</v>
      </c>
      <c r="C2613" s="7" t="s">
        <v>15</v>
      </c>
      <c r="D2613" s="7" t="s">
        <v>12</v>
      </c>
      <c r="E2613" s="7" t="s">
        <v>32</v>
      </c>
      <c r="F2613" s="3">
        <v>0</v>
      </c>
      <c r="G2613" s="3">
        <v>2.0588149286108999E-3</v>
      </c>
      <c r="H2613" s="3">
        <v>2.0588149286108999E-3</v>
      </c>
      <c r="I2613" s="3">
        <v>3.8327639108709499E-4</v>
      </c>
      <c r="J2613" s="3">
        <v>-9.2040016783156997E-4</v>
      </c>
      <c r="K2613" s="3">
        <v>3.6876048037363099E-3</v>
      </c>
      <c r="L2613" s="3">
        <v>1.91383244216752E-2</v>
      </c>
      <c r="M2613" s="3">
        <v>2.6347666443898399E-2</v>
      </c>
      <c r="N2613" s="3">
        <v>2.2562184663926701E-2</v>
      </c>
      <c r="O2613" s="3">
        <v>1.7310272408026701E-2</v>
      </c>
      <c r="P2613" s="3">
        <v>1.20195149605926E-2</v>
      </c>
    </row>
    <row r="2614" spans="1:16" x14ac:dyDescent="0.45">
      <c r="A2614" s="7" t="s">
        <v>87</v>
      </c>
      <c r="B2614" s="7" t="s">
        <v>27</v>
      </c>
      <c r="C2614" s="7" t="s">
        <v>15</v>
      </c>
      <c r="D2614" s="7" t="s">
        <v>13</v>
      </c>
      <c r="E2614" s="7" t="s">
        <v>32</v>
      </c>
      <c r="F2614" s="3">
        <v>0</v>
      </c>
      <c r="G2614" s="3">
        <v>6.8641919193143696E-4</v>
      </c>
      <c r="H2614" s="3">
        <v>6.8641919193143696E-4</v>
      </c>
      <c r="I2614" s="3">
        <v>4.96035539825851E-3</v>
      </c>
      <c r="J2614" s="3">
        <v>2.03244546211475E-2</v>
      </c>
      <c r="K2614" s="3">
        <v>1.7639403820302501E-2</v>
      </c>
      <c r="L2614" s="3">
        <v>5.7339481913700804E-3</v>
      </c>
      <c r="M2614" s="3">
        <v>2.40893668773889E-4</v>
      </c>
      <c r="N2614" s="3">
        <v>1.0147020048501E-4</v>
      </c>
      <c r="O2614" s="3">
        <v>-2.88196790856232E-3</v>
      </c>
      <c r="P2614" s="3">
        <v>-9.6535884234729107E-3</v>
      </c>
    </row>
    <row r="2615" spans="1:16" x14ac:dyDescent="0.45">
      <c r="A2615" s="7" t="s">
        <v>87</v>
      </c>
      <c r="B2615" s="7" t="s">
        <v>27</v>
      </c>
      <c r="C2615" s="7" t="s">
        <v>15</v>
      </c>
      <c r="D2615" s="7" t="s">
        <v>14</v>
      </c>
      <c r="E2615" s="7" t="s">
        <v>32</v>
      </c>
      <c r="F2615" s="3">
        <v>0</v>
      </c>
      <c r="G2615" s="3">
        <v>-1.1718321006274901E-3</v>
      </c>
      <c r="H2615" s="3">
        <v>-1.1718321006274901E-3</v>
      </c>
      <c r="I2615" s="3">
        <v>9.94000735705655E-3</v>
      </c>
      <c r="J2615" s="3">
        <v>-1.2842919412789099E-2</v>
      </c>
      <c r="K2615" s="3">
        <v>-1.97204778896336E-2</v>
      </c>
      <c r="L2615" s="3">
        <v>-2.8894730089425301E-2</v>
      </c>
      <c r="M2615" s="3">
        <v>-3.8933533980005201E-2</v>
      </c>
      <c r="N2615" s="3">
        <v>-4.7608541167635701E-2</v>
      </c>
      <c r="O2615" s="3">
        <v>-4.8971840882553699E-2</v>
      </c>
      <c r="P2615" s="3">
        <v>-4.5699088284047201E-2</v>
      </c>
    </row>
    <row r="2616" spans="1:16" x14ac:dyDescent="0.45">
      <c r="A2616" s="7" t="s">
        <v>87</v>
      </c>
      <c r="B2616" s="7" t="s">
        <v>27</v>
      </c>
      <c r="C2616" s="7" t="s">
        <v>16</v>
      </c>
      <c r="D2616" s="7" t="s">
        <v>7</v>
      </c>
      <c r="E2616" s="7" t="s">
        <v>32</v>
      </c>
      <c r="F2616" s="3">
        <v>0.100486467816517</v>
      </c>
      <c r="G2616" s="3">
        <v>6.5331000279632997E-2</v>
      </c>
      <c r="H2616" s="3">
        <v>6.5331000279632997E-2</v>
      </c>
      <c r="I2616" s="3">
        <v>4.32569624553968E-2</v>
      </c>
      <c r="J2616" s="3">
        <v>4.06925006333759E-2</v>
      </c>
      <c r="K2616" s="3">
        <v>3.8036731217824499E-2</v>
      </c>
      <c r="L2616" s="3">
        <v>3.8036731217824499E-2</v>
      </c>
      <c r="M2616" s="3">
        <v>3.8036731217824499E-2</v>
      </c>
      <c r="N2616" s="3">
        <v>3.8036731217824499E-2</v>
      </c>
      <c r="O2616" s="3">
        <v>3.8036731217824499E-2</v>
      </c>
      <c r="P2616" s="3">
        <v>3.8036731217824499E-2</v>
      </c>
    </row>
    <row r="2617" spans="1:16" x14ac:dyDescent="0.45">
      <c r="A2617" s="7" t="s">
        <v>87</v>
      </c>
      <c r="B2617" s="7" t="s">
        <v>27</v>
      </c>
      <c r="C2617" s="7" t="s">
        <v>16</v>
      </c>
      <c r="D2617" s="7" t="s">
        <v>9</v>
      </c>
      <c r="E2617" s="7" t="s">
        <v>32</v>
      </c>
      <c r="F2617" s="3">
        <v>0</v>
      </c>
      <c r="G2617" s="3">
        <v>-5.6162486736122099E-5</v>
      </c>
      <c r="H2617" s="3">
        <v>-5.6162486736122099E-5</v>
      </c>
      <c r="I2617" s="3">
        <v>-2.8579040680869201E-5</v>
      </c>
      <c r="J2617" s="3">
        <v>-1.5678242723790599E-5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7.5556081526563501E-4</v>
      </c>
    </row>
    <row r="2618" spans="1:16" x14ac:dyDescent="0.45">
      <c r="A2618" s="7" t="s">
        <v>87</v>
      </c>
      <c r="B2618" s="7" t="s">
        <v>27</v>
      </c>
      <c r="C2618" s="7" t="s">
        <v>16</v>
      </c>
      <c r="D2618" s="7" t="s">
        <v>10</v>
      </c>
      <c r="E2618" s="7" t="s">
        <v>32</v>
      </c>
      <c r="F2618" s="3">
        <v>0</v>
      </c>
      <c r="G2618" s="3">
        <v>-1.0927986905801001E-6</v>
      </c>
      <c r="H2618" s="3">
        <v>-1.0927986905801001E-6</v>
      </c>
      <c r="I2618" s="3">
        <v>0</v>
      </c>
      <c r="J2618" s="3">
        <v>9.7144514654701197E-17</v>
      </c>
      <c r="K2618" s="3">
        <v>0</v>
      </c>
      <c r="L2618" s="3">
        <v>0</v>
      </c>
      <c r="M2618" s="3">
        <v>1.1378963577655199E-3</v>
      </c>
      <c r="N2618" s="3">
        <v>7.5556081526563501E-4</v>
      </c>
      <c r="O2618" s="3">
        <v>2.11023446116225E-4</v>
      </c>
      <c r="P2618" s="3">
        <v>-6.7298263732631198E-4</v>
      </c>
    </row>
    <row r="2619" spans="1:16" x14ac:dyDescent="0.45">
      <c r="A2619" s="7" t="s">
        <v>87</v>
      </c>
      <c r="B2619" s="7" t="s">
        <v>27</v>
      </c>
      <c r="C2619" s="7" t="s">
        <v>16</v>
      </c>
      <c r="D2619" s="7" t="s">
        <v>11</v>
      </c>
      <c r="E2619" s="7" t="s">
        <v>32</v>
      </c>
      <c r="F2619" s="3">
        <v>0</v>
      </c>
      <c r="G2619" s="3">
        <v>-2.2322064471253E-5</v>
      </c>
      <c r="H2619" s="3">
        <v>-2.2322064471253E-5</v>
      </c>
      <c r="I2619" s="3">
        <v>-6.1775092132718103E-6</v>
      </c>
      <c r="J2619" s="3">
        <v>-3.57868288969332E-6</v>
      </c>
      <c r="K2619" s="3">
        <v>1.1364451901826301E-3</v>
      </c>
      <c r="L2619" s="3">
        <v>1.10571256405191E-3</v>
      </c>
      <c r="M2619" s="3">
        <v>-1.05550079871475E-3</v>
      </c>
      <c r="N2619" s="3">
        <v>-7.5556081526563501E-4</v>
      </c>
      <c r="O2619" s="3">
        <v>-2.11023446116225E-4</v>
      </c>
      <c r="P2619" s="3">
        <v>-8.2578177939322803E-5</v>
      </c>
    </row>
    <row r="2620" spans="1:16" x14ac:dyDescent="0.45">
      <c r="A2620" s="7" t="s">
        <v>87</v>
      </c>
      <c r="B2620" s="7" t="s">
        <v>27</v>
      </c>
      <c r="C2620" s="7" t="s">
        <v>16</v>
      </c>
      <c r="D2620" s="7" t="s">
        <v>12</v>
      </c>
      <c r="E2620" s="7" t="s">
        <v>32</v>
      </c>
      <c r="F2620" s="3">
        <v>0</v>
      </c>
      <c r="G2620" s="3">
        <v>-5.6251621446401501E-6</v>
      </c>
      <c r="H2620" s="3">
        <v>-5.6251621446401501E-6</v>
      </c>
      <c r="I2620" s="3">
        <v>-7.48655691864414E-6</v>
      </c>
      <c r="J2620" s="3">
        <v>5.5413719235854902E-4</v>
      </c>
      <c r="K2620" s="3">
        <v>-3.8259640774243597E-4</v>
      </c>
      <c r="L2620" s="3">
        <v>-1.10571256405191E-3</v>
      </c>
      <c r="M2620" s="3">
        <v>-8.2395559050762998E-5</v>
      </c>
      <c r="N2620" s="3">
        <v>0</v>
      </c>
      <c r="O2620" s="3">
        <v>0</v>
      </c>
      <c r="P2620" s="3">
        <v>0</v>
      </c>
    </row>
    <row r="2621" spans="1:16" x14ac:dyDescent="0.45">
      <c r="A2621" s="7" t="s">
        <v>87</v>
      </c>
      <c r="B2621" s="7" t="s">
        <v>27</v>
      </c>
      <c r="C2621" s="7" t="s">
        <v>16</v>
      </c>
      <c r="D2621" s="7" t="s">
        <v>13</v>
      </c>
      <c r="E2621" s="7" t="s">
        <v>32</v>
      </c>
      <c r="F2621" s="3">
        <v>0</v>
      </c>
      <c r="G2621" s="3">
        <v>3.06545126157576E-4</v>
      </c>
      <c r="H2621" s="3">
        <v>3.06545126157576E-4</v>
      </c>
      <c r="I2621" s="3">
        <v>-1.6376733504607601E-3</v>
      </c>
      <c r="J2621" s="3">
        <v>-1.4383993821732101E-3</v>
      </c>
      <c r="K2621" s="3">
        <v>-7.5384878244019705E-4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</row>
    <row r="2622" spans="1:16" x14ac:dyDescent="0.45">
      <c r="A2622" s="7" t="s">
        <v>87</v>
      </c>
      <c r="B2622" s="7" t="s">
        <v>27</v>
      </c>
      <c r="C2622" s="7" t="s">
        <v>16</v>
      </c>
      <c r="D2622" s="7" t="s">
        <v>14</v>
      </c>
      <c r="E2622" s="7" t="s">
        <v>32</v>
      </c>
      <c r="F2622" s="3">
        <v>0</v>
      </c>
      <c r="G2622" s="3">
        <v>3.5683327959070599E-3</v>
      </c>
      <c r="H2622" s="3">
        <v>3.5683327959070599E-3</v>
      </c>
      <c r="I2622" s="3">
        <v>-4.2787342056504302E-4</v>
      </c>
      <c r="J2622" s="3">
        <v>4.5744572987249698E-4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</row>
    <row r="2623" spans="1:16" x14ac:dyDescent="0.45">
      <c r="A2623" s="7" t="s">
        <v>87</v>
      </c>
      <c r="B2623" s="7" t="s">
        <v>27</v>
      </c>
      <c r="C2623" s="7" t="s">
        <v>17</v>
      </c>
      <c r="D2623" s="7" t="s">
        <v>7</v>
      </c>
      <c r="E2623" s="7" t="s">
        <v>32</v>
      </c>
      <c r="F2623" s="3">
        <v>5.6239627750741903E-3</v>
      </c>
      <c r="G2623" s="3">
        <v>6.6829371202519099E-3</v>
      </c>
      <c r="H2623" s="3">
        <v>6.6829371202519099E-3</v>
      </c>
      <c r="I2623" s="3">
        <v>7.9702111448139192E-3</v>
      </c>
      <c r="J2623" s="3">
        <v>9.7174544908970404E-3</v>
      </c>
      <c r="K2623" s="3">
        <v>1.22907068468788E-2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</row>
    <row r="2624" spans="1:16" x14ac:dyDescent="0.45">
      <c r="A2624" s="7" t="s">
        <v>87</v>
      </c>
      <c r="B2624" s="7" t="s">
        <v>27</v>
      </c>
      <c r="C2624" s="7" t="s">
        <v>17</v>
      </c>
      <c r="D2624" s="7" t="s">
        <v>9</v>
      </c>
      <c r="E2624" s="7" t="s">
        <v>32</v>
      </c>
      <c r="F2624" s="3">
        <v>0</v>
      </c>
      <c r="G2624" s="3">
        <v>2.2901592729519799E-4</v>
      </c>
      <c r="H2624" s="3">
        <v>2.2901592729519799E-4</v>
      </c>
      <c r="I2624" s="3">
        <v>1.46518062173407E-3</v>
      </c>
      <c r="J2624" s="3">
        <v>1.7138123305631399E-3</v>
      </c>
      <c r="K2624" s="3">
        <v>3.5141762183139298E-3</v>
      </c>
      <c r="L2624" s="3">
        <v>0</v>
      </c>
      <c r="M2624" s="3">
        <v>0</v>
      </c>
      <c r="N2624" s="3">
        <v>0</v>
      </c>
      <c r="O2624" s="3">
        <v>0</v>
      </c>
      <c r="P2624" s="3">
        <v>6.8863286938519296E-4</v>
      </c>
    </row>
    <row r="2625" spans="1:16" x14ac:dyDescent="0.45">
      <c r="A2625" s="7" t="s">
        <v>87</v>
      </c>
      <c r="B2625" s="7" t="s">
        <v>27</v>
      </c>
      <c r="C2625" s="7" t="s">
        <v>17</v>
      </c>
      <c r="D2625" s="7" t="s">
        <v>10</v>
      </c>
      <c r="E2625" s="7" t="s">
        <v>32</v>
      </c>
      <c r="F2625" s="3">
        <v>0</v>
      </c>
      <c r="G2625" s="3">
        <v>3.3361920053250601E-5</v>
      </c>
      <c r="H2625" s="3">
        <v>3.3361920053250601E-5</v>
      </c>
      <c r="I2625" s="3">
        <v>1.7922054072342199E-4</v>
      </c>
      <c r="J2625" s="3">
        <v>1.8067723276819099E-3</v>
      </c>
      <c r="K2625" s="3">
        <v>2.0190426834062599E-3</v>
      </c>
      <c r="L2625" s="3">
        <v>0</v>
      </c>
      <c r="M2625" s="3">
        <v>2.3103925451407499E-2</v>
      </c>
      <c r="N2625" s="3">
        <v>4.2601154109287102E-2</v>
      </c>
      <c r="O2625" s="3">
        <v>9.4030697962207005E-2</v>
      </c>
      <c r="P2625" s="3">
        <v>0.20073448589988199</v>
      </c>
    </row>
    <row r="2626" spans="1:16" x14ac:dyDescent="0.45">
      <c r="A2626" s="7" t="s">
        <v>87</v>
      </c>
      <c r="B2626" s="7" t="s">
        <v>27</v>
      </c>
      <c r="C2626" s="7" t="s">
        <v>17</v>
      </c>
      <c r="D2626" s="7" t="s">
        <v>11</v>
      </c>
      <c r="E2626" s="7" t="s">
        <v>32</v>
      </c>
      <c r="F2626" s="3">
        <v>0</v>
      </c>
      <c r="G2626" s="3">
        <v>6.3950791321756503E-5</v>
      </c>
      <c r="H2626" s="3">
        <v>6.3950791321756503E-5</v>
      </c>
      <c r="I2626" s="3">
        <v>4.3370118668628599E-4</v>
      </c>
      <c r="J2626" s="3">
        <v>1.4138240449885801E-3</v>
      </c>
      <c r="K2626" s="3">
        <v>2.6610103170138798E-2</v>
      </c>
      <c r="L2626" s="3">
        <v>4.6256557991265802E-2</v>
      </c>
      <c r="M2626" s="3">
        <v>0.170328815972146</v>
      </c>
      <c r="N2626" s="3">
        <v>0.16537307526401601</v>
      </c>
      <c r="O2626" s="3">
        <v>0.12899306531927399</v>
      </c>
      <c r="P2626" s="3">
        <v>4.7984066660879302E-2</v>
      </c>
    </row>
    <row r="2627" spans="1:16" x14ac:dyDescent="0.45">
      <c r="A2627" s="7" t="s">
        <v>87</v>
      </c>
      <c r="B2627" s="7" t="s">
        <v>27</v>
      </c>
      <c r="C2627" s="7" t="s">
        <v>17</v>
      </c>
      <c r="D2627" s="7" t="s">
        <v>12</v>
      </c>
      <c r="E2627" s="7" t="s">
        <v>32</v>
      </c>
      <c r="F2627" s="3">
        <v>0</v>
      </c>
      <c r="G2627" s="3">
        <v>-1.1955852769164E-4</v>
      </c>
      <c r="H2627" s="3">
        <v>-1.1955852769164E-4</v>
      </c>
      <c r="I2627" s="3">
        <v>4.20213757934424E-3</v>
      </c>
      <c r="J2627" s="3">
        <v>3.2710206660526903E-2</v>
      </c>
      <c r="K2627" s="3">
        <v>0.12673289265443599</v>
      </c>
      <c r="L2627" s="3">
        <v>0.14944845223066699</v>
      </c>
      <c r="M2627" s="3">
        <v>4.2025601327213301E-2</v>
      </c>
      <c r="N2627" s="3">
        <v>8.5959775513070505E-2</v>
      </c>
      <c r="O2627" s="3">
        <v>0.12852865401026001</v>
      </c>
      <c r="P2627" s="3">
        <v>0.159476425301535</v>
      </c>
    </row>
    <row r="2628" spans="1:16" x14ac:dyDescent="0.45">
      <c r="A2628" s="7" t="s">
        <v>87</v>
      </c>
      <c r="B2628" s="7" t="s">
        <v>27</v>
      </c>
      <c r="C2628" s="7" t="s">
        <v>17</v>
      </c>
      <c r="D2628" s="7" t="s">
        <v>13</v>
      </c>
      <c r="E2628" s="7" t="s">
        <v>32</v>
      </c>
      <c r="F2628" s="3">
        <v>0</v>
      </c>
      <c r="G2628" s="3">
        <v>1.7250390366187001E-3</v>
      </c>
      <c r="H2628" s="3">
        <v>1.7250390366187001E-3</v>
      </c>
      <c r="I2628" s="3">
        <v>0.13045651797340899</v>
      </c>
      <c r="J2628" s="3">
        <v>0.163523291008774</v>
      </c>
      <c r="K2628" s="3">
        <v>0.14301003976781901</v>
      </c>
      <c r="L2628" s="3">
        <v>0.213078022316007</v>
      </c>
      <c r="M2628" s="3">
        <v>0.251726789738836</v>
      </c>
      <c r="N2628" s="3">
        <v>0.23394150021551599</v>
      </c>
      <c r="O2628" s="3">
        <v>0.19268689015662999</v>
      </c>
      <c r="P2628" s="3">
        <v>0.13940034092481701</v>
      </c>
    </row>
    <row r="2629" spans="1:16" x14ac:dyDescent="0.45">
      <c r="A2629" s="7" t="s">
        <v>87</v>
      </c>
      <c r="B2629" s="7" t="s">
        <v>27</v>
      </c>
      <c r="C2629" s="7" t="s">
        <v>17</v>
      </c>
      <c r="D2629" s="7" t="s">
        <v>14</v>
      </c>
      <c r="E2629" s="7" t="s">
        <v>32</v>
      </c>
      <c r="F2629" s="3">
        <v>0</v>
      </c>
      <c r="G2629" s="3">
        <v>7.3780099178359301E-3</v>
      </c>
      <c r="H2629" s="3">
        <v>7.3780099178359301E-3</v>
      </c>
      <c r="I2629" s="3">
        <v>9.0683841620574801E-2</v>
      </c>
      <c r="J2629" s="3">
        <v>0.17312199769728501</v>
      </c>
      <c r="K2629" s="3">
        <v>0.18314372516140201</v>
      </c>
      <c r="L2629" s="3">
        <v>0.13315034980777299</v>
      </c>
      <c r="M2629" s="3">
        <v>6.4052835551671503E-2</v>
      </c>
      <c r="N2629" s="3">
        <v>2.3753697239504701E-2</v>
      </c>
      <c r="O2629" s="3">
        <v>7.39785873492482E-3</v>
      </c>
      <c r="P2629" s="3">
        <v>3.3549444116016702E-3</v>
      </c>
    </row>
    <row r="2630" spans="1:16" x14ac:dyDescent="0.45">
      <c r="A2630" s="7" t="s">
        <v>87</v>
      </c>
      <c r="B2630" s="7" t="s">
        <v>27</v>
      </c>
      <c r="C2630" s="7" t="s">
        <v>18</v>
      </c>
      <c r="D2630" s="7" t="s">
        <v>7</v>
      </c>
      <c r="E2630" s="7" t="s">
        <v>32</v>
      </c>
      <c r="F2630" s="3">
        <v>0.123105861232124</v>
      </c>
      <c r="G2630" s="3">
        <v>8.8350553061241704E-2</v>
      </c>
      <c r="H2630" s="3">
        <v>8.8350553061241704E-2</v>
      </c>
      <c r="I2630" s="3">
        <v>5.8900368707494502E-2</v>
      </c>
      <c r="J2630" s="3">
        <v>2.9450184353747199E-2</v>
      </c>
      <c r="K2630" s="3">
        <v>2.11351721297147E-17</v>
      </c>
      <c r="L2630" s="3">
        <v>1.0567586064857399E-17</v>
      </c>
      <c r="M2630" s="3">
        <v>5.2837930324286797E-18</v>
      </c>
      <c r="N2630" s="3">
        <v>1.0567586064857399E-17</v>
      </c>
      <c r="O2630" s="3">
        <v>0</v>
      </c>
      <c r="P2630" s="3">
        <v>0</v>
      </c>
    </row>
    <row r="2631" spans="1:16" x14ac:dyDescent="0.45">
      <c r="A2631" s="7" t="s">
        <v>87</v>
      </c>
      <c r="B2631" s="7" t="s">
        <v>27</v>
      </c>
      <c r="C2631" s="7" t="s">
        <v>18</v>
      </c>
      <c r="D2631" s="7" t="s">
        <v>9</v>
      </c>
      <c r="E2631" s="7" t="s">
        <v>32</v>
      </c>
      <c r="F2631" s="3">
        <v>0</v>
      </c>
      <c r="G2631" s="3">
        <v>0</v>
      </c>
      <c r="H2631" s="3">
        <v>0</v>
      </c>
      <c r="I2631" s="3">
        <v>-9.0205620750794006E-17</v>
      </c>
      <c r="J2631" s="3">
        <v>0</v>
      </c>
      <c r="K2631" s="3">
        <v>0</v>
      </c>
      <c r="L2631" s="3">
        <v>-5.2837930324287197E-18</v>
      </c>
      <c r="M2631" s="3">
        <v>4.22703442594294E-17</v>
      </c>
      <c r="N2631" s="3">
        <v>-5.2837930324287197E-18</v>
      </c>
      <c r="O2631" s="3">
        <v>4.7554137291858099E-17</v>
      </c>
      <c r="P2631" s="3">
        <v>2.11351721297147E-17</v>
      </c>
    </row>
    <row r="2632" spans="1:16" x14ac:dyDescent="0.45">
      <c r="A2632" s="7" t="s">
        <v>87</v>
      </c>
      <c r="B2632" s="7" t="s">
        <v>27</v>
      </c>
      <c r="C2632" s="7" t="s">
        <v>18</v>
      </c>
      <c r="D2632" s="7" t="s">
        <v>10</v>
      </c>
      <c r="E2632" s="7" t="s">
        <v>32</v>
      </c>
      <c r="F2632" s="3">
        <v>0</v>
      </c>
      <c r="G2632" s="3">
        <v>0</v>
      </c>
      <c r="H2632" s="3">
        <v>0</v>
      </c>
      <c r="I2632" s="3">
        <v>9.0205620750794006E-17</v>
      </c>
      <c r="J2632" s="3">
        <v>0</v>
      </c>
      <c r="K2632" s="3">
        <v>-2.11351721297147E-17</v>
      </c>
      <c r="L2632" s="3">
        <v>-5.2837930324286797E-18</v>
      </c>
      <c r="M2632" s="3">
        <v>-4.7554137291858099E-17</v>
      </c>
      <c r="N2632" s="3">
        <v>1.5851379097286001E-17</v>
      </c>
      <c r="O2632" s="3">
        <v>-4.7554137291858099E-17</v>
      </c>
      <c r="P2632" s="3">
        <v>-2.11351721297147E-17</v>
      </c>
    </row>
    <row r="2633" spans="1:16" x14ac:dyDescent="0.45">
      <c r="A2633" s="7" t="s">
        <v>87</v>
      </c>
      <c r="B2633" s="7" t="s">
        <v>27</v>
      </c>
      <c r="C2633" s="7" t="s">
        <v>18</v>
      </c>
      <c r="D2633" s="7" t="s">
        <v>11</v>
      </c>
      <c r="E2633" s="7" t="s">
        <v>32</v>
      </c>
      <c r="F2633" s="3">
        <v>0</v>
      </c>
      <c r="G2633" s="3">
        <v>0</v>
      </c>
      <c r="H2633" s="3">
        <v>0</v>
      </c>
      <c r="I2633" s="3">
        <v>-9.0205620750794006E-17</v>
      </c>
      <c r="J2633" s="3">
        <v>0</v>
      </c>
      <c r="K2633" s="3">
        <v>2.6418965162143399E-17</v>
      </c>
      <c r="L2633" s="3">
        <v>1.1095965368100201E-16</v>
      </c>
      <c r="M2633" s="3">
        <v>5.2837930324286798E-17</v>
      </c>
      <c r="N2633" s="3">
        <v>-2.11351721297147E-17</v>
      </c>
      <c r="O2633" s="3">
        <v>3.69865512270008E-17</v>
      </c>
      <c r="P2633" s="3">
        <v>1.90216549167432E-16</v>
      </c>
    </row>
    <row r="2634" spans="1:16" x14ac:dyDescent="0.45">
      <c r="A2634" s="7" t="s">
        <v>87</v>
      </c>
      <c r="B2634" s="7" t="s">
        <v>27</v>
      </c>
      <c r="C2634" s="7" t="s">
        <v>18</v>
      </c>
      <c r="D2634" s="7" t="s">
        <v>12</v>
      </c>
      <c r="E2634" s="7" t="s">
        <v>32</v>
      </c>
      <c r="F2634" s="3">
        <v>0</v>
      </c>
      <c r="G2634" s="3">
        <v>0</v>
      </c>
      <c r="H2634" s="3">
        <v>0</v>
      </c>
      <c r="I2634" s="3">
        <v>9.0205620750794006E-17</v>
      </c>
      <c r="J2634" s="3">
        <v>0</v>
      </c>
      <c r="K2634" s="3">
        <v>1.0567586064857399E-17</v>
      </c>
      <c r="L2634" s="3">
        <v>-1.1095965368100201E-16</v>
      </c>
      <c r="M2634" s="3">
        <v>1.9550034219986099E-16</v>
      </c>
      <c r="N2634" s="3">
        <v>0</v>
      </c>
      <c r="O2634" s="3">
        <v>8.4540688518858899E-17</v>
      </c>
      <c r="P2634" s="3">
        <v>1.84932756135004E-16</v>
      </c>
    </row>
    <row r="2635" spans="1:16" x14ac:dyDescent="0.45">
      <c r="A2635" s="7" t="s">
        <v>87</v>
      </c>
      <c r="B2635" s="7" t="s">
        <v>27</v>
      </c>
      <c r="C2635" s="7" t="s">
        <v>18</v>
      </c>
      <c r="D2635" s="7" t="s">
        <v>13</v>
      </c>
      <c r="E2635" s="7" t="s">
        <v>32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-3.69865512270008E-17</v>
      </c>
      <c r="L2635" s="3">
        <v>1.4266241187557399E-16</v>
      </c>
      <c r="M2635" s="3">
        <v>-1.1624344671343099E-16</v>
      </c>
      <c r="N2635" s="3">
        <v>3.06459995880863E-16</v>
      </c>
      <c r="O2635" s="3">
        <v>3.4873034014029298E-16</v>
      </c>
      <c r="P2635" s="3">
        <v>-3.7514930530243701E-16</v>
      </c>
    </row>
    <row r="2636" spans="1:16" x14ac:dyDescent="0.45">
      <c r="A2636" s="7" t="s">
        <v>87</v>
      </c>
      <c r="B2636" s="7" t="s">
        <v>27</v>
      </c>
      <c r="C2636" s="7" t="s">
        <v>18</v>
      </c>
      <c r="D2636" s="7" t="s">
        <v>14</v>
      </c>
      <c r="E2636" s="7" t="s">
        <v>32</v>
      </c>
      <c r="F2636" s="3">
        <v>0</v>
      </c>
      <c r="G2636" s="3">
        <v>-8.3266726846886704E-17</v>
      </c>
      <c r="H2636" s="3">
        <v>-8.3266726846886704E-17</v>
      </c>
      <c r="I2636" s="3">
        <v>0</v>
      </c>
      <c r="J2636" s="3">
        <v>-2.8449465006019602E-16</v>
      </c>
      <c r="K2636" s="3">
        <v>0</v>
      </c>
      <c r="L2636" s="3">
        <v>4.7554137291858099E-17</v>
      </c>
      <c r="M2636" s="3">
        <v>-1.32094825810717E-16</v>
      </c>
      <c r="N2636" s="3">
        <v>-3.06459995880863E-16</v>
      </c>
      <c r="O2636" s="3">
        <v>-4.7025757988615299E-16</v>
      </c>
      <c r="P2636" s="3">
        <v>0</v>
      </c>
    </row>
    <row r="2637" spans="1:16" x14ac:dyDescent="0.45">
      <c r="A2637" s="7" t="s">
        <v>87</v>
      </c>
      <c r="B2637" s="7" t="s">
        <v>27</v>
      </c>
      <c r="C2637" s="7" t="s">
        <v>19</v>
      </c>
      <c r="D2637" s="7" t="s">
        <v>7</v>
      </c>
      <c r="E2637" s="7" t="s">
        <v>32</v>
      </c>
      <c r="F2637" s="3">
        <v>2.1268570381540799E-3</v>
      </c>
      <c r="G2637" s="3">
        <v>2.3157442270574399E-3</v>
      </c>
      <c r="H2637" s="3">
        <v>2.3157442270574399E-3</v>
      </c>
      <c r="I2637" s="3">
        <v>0</v>
      </c>
      <c r="J2637" s="3">
        <v>0</v>
      </c>
      <c r="K2637" s="3">
        <v>9.9102131970398301E-5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</row>
    <row r="2638" spans="1:16" x14ac:dyDescent="0.45">
      <c r="A2638" s="7" t="s">
        <v>87</v>
      </c>
      <c r="B2638" s="7" t="s">
        <v>27</v>
      </c>
      <c r="C2638" s="7" t="s">
        <v>19</v>
      </c>
      <c r="D2638" s="7" t="s">
        <v>9</v>
      </c>
      <c r="E2638" s="7" t="s">
        <v>32</v>
      </c>
      <c r="F2638" s="3">
        <v>0</v>
      </c>
      <c r="G2638" s="3">
        <v>-4.1108080904247E-5</v>
      </c>
      <c r="H2638" s="3">
        <v>-4.1108080904247E-5</v>
      </c>
      <c r="I2638" s="3">
        <v>0</v>
      </c>
      <c r="J2638" s="3">
        <v>0</v>
      </c>
      <c r="K2638" s="3">
        <v>-9.9102131970398301E-5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</row>
    <row r="2639" spans="1:16" x14ac:dyDescent="0.45">
      <c r="A2639" s="7" t="s">
        <v>87</v>
      </c>
      <c r="B2639" s="7" t="s">
        <v>27</v>
      </c>
      <c r="C2639" s="7" t="s">
        <v>19</v>
      </c>
      <c r="D2639" s="7" t="s">
        <v>10</v>
      </c>
      <c r="E2639" s="7" t="s">
        <v>32</v>
      </c>
      <c r="F2639" s="3">
        <v>0</v>
      </c>
      <c r="G2639" s="3">
        <v>1.0036489907156201E-5</v>
      </c>
      <c r="H2639" s="3">
        <v>1.0036489907156201E-5</v>
      </c>
      <c r="I2639" s="3">
        <v>0</v>
      </c>
      <c r="J2639" s="3">
        <v>0</v>
      </c>
      <c r="K2639" s="3">
        <v>6.0376161339313302E-4</v>
      </c>
      <c r="L2639" s="3">
        <v>1.92314097325741E-3</v>
      </c>
      <c r="M2639" s="3">
        <v>3.9085196230922098E-3</v>
      </c>
      <c r="N2639" s="3">
        <v>8.0380454203511E-3</v>
      </c>
      <c r="O2639" s="3">
        <v>9.4616336129704406E-3</v>
      </c>
      <c r="P2639" s="3">
        <v>1.13844368438969E-2</v>
      </c>
    </row>
    <row r="2640" spans="1:16" x14ac:dyDescent="0.45">
      <c r="A2640" s="7" t="s">
        <v>87</v>
      </c>
      <c r="B2640" s="7" t="s">
        <v>27</v>
      </c>
      <c r="C2640" s="7" t="s">
        <v>19</v>
      </c>
      <c r="D2640" s="7" t="s">
        <v>11</v>
      </c>
      <c r="E2640" s="7" t="s">
        <v>32</v>
      </c>
      <c r="F2640" s="3">
        <v>0</v>
      </c>
      <c r="G2640" s="3">
        <v>3.1247650565083401E-6</v>
      </c>
      <c r="H2640" s="3">
        <v>3.1247650565083401E-6</v>
      </c>
      <c r="I2640" s="3">
        <v>0</v>
      </c>
      <c r="J2640" s="3">
        <v>0</v>
      </c>
      <c r="K2640" s="3">
        <v>2.0232298970897599E-4</v>
      </c>
      <c r="L2640" s="3">
        <v>-1.45671264435933E-5</v>
      </c>
      <c r="M2640" s="3">
        <v>3.2613748358762398E-3</v>
      </c>
      <c r="N2640" s="3">
        <v>4.2614849938768604E-3</v>
      </c>
      <c r="O2640" s="3">
        <v>1.9078923730010799E-2</v>
      </c>
      <c r="P2640" s="3">
        <v>8.7788967693391895E-2</v>
      </c>
    </row>
    <row r="2641" spans="1:16" x14ac:dyDescent="0.45">
      <c r="A2641" s="7" t="s">
        <v>87</v>
      </c>
      <c r="B2641" s="7" t="s">
        <v>27</v>
      </c>
      <c r="C2641" s="7" t="s">
        <v>19</v>
      </c>
      <c r="D2641" s="7" t="s">
        <v>12</v>
      </c>
      <c r="E2641" s="7" t="s">
        <v>32</v>
      </c>
      <c r="F2641" s="3">
        <v>0</v>
      </c>
      <c r="G2641" s="3">
        <v>1.6935387753591399E-4</v>
      </c>
      <c r="H2641" s="3">
        <v>1.6935387753591399E-4</v>
      </c>
      <c r="I2641" s="3">
        <v>0</v>
      </c>
      <c r="J2641" s="3">
        <v>0</v>
      </c>
      <c r="K2641" s="3">
        <v>3.7635505550238598E-3</v>
      </c>
      <c r="L2641" s="3">
        <v>2.80476054211952E-2</v>
      </c>
      <c r="M2641" s="3">
        <v>0.111413873882147</v>
      </c>
      <c r="N2641" s="3">
        <v>0.27860316037018001</v>
      </c>
      <c r="O2641" s="3">
        <v>0.43859055271526098</v>
      </c>
      <c r="P2641" s="3">
        <v>0.54277056744008201</v>
      </c>
    </row>
    <row r="2642" spans="1:16" x14ac:dyDescent="0.45">
      <c r="A2642" t="s">
        <v>87</v>
      </c>
      <c r="B2642" t="s">
        <v>27</v>
      </c>
      <c r="C2642" t="s">
        <v>19</v>
      </c>
      <c r="D2642" t="s">
        <v>13</v>
      </c>
      <c r="E2642" t="s">
        <v>32</v>
      </c>
      <c r="F2642">
        <v>0</v>
      </c>
      <c r="G2642" s="14">
        <v>1.04872046744629E-3</v>
      </c>
      <c r="H2642" s="14">
        <v>1.04872046744629E-3</v>
      </c>
      <c r="I2642" s="14">
        <v>5.0056799305356198E-2</v>
      </c>
      <c r="J2642" s="14">
        <v>0.19540442899157501</v>
      </c>
      <c r="K2642" s="14">
        <v>0.50011746618904895</v>
      </c>
      <c r="L2642" s="14">
        <v>0.75798421438894004</v>
      </c>
      <c r="M2642" s="14">
        <v>0.87639856624758505</v>
      </c>
      <c r="N2642" s="14">
        <v>0.79355634165711797</v>
      </c>
      <c r="O2642" s="14">
        <v>0.645367496126386</v>
      </c>
      <c r="P2642" s="14">
        <v>0.48221098722049399</v>
      </c>
    </row>
    <row r="2643" spans="1:16" x14ac:dyDescent="0.45">
      <c r="A2643" t="s">
        <v>87</v>
      </c>
      <c r="B2643" t="s">
        <v>27</v>
      </c>
      <c r="C2643" t="s">
        <v>19</v>
      </c>
      <c r="D2643" t="s">
        <v>14</v>
      </c>
      <c r="E2643" t="s">
        <v>32</v>
      </c>
      <c r="F2643">
        <v>0</v>
      </c>
      <c r="G2643" s="14">
        <v>4.4840169031799496E-3</v>
      </c>
      <c r="H2643" s="14">
        <v>4.4840169031799496E-3</v>
      </c>
      <c r="I2643" s="14">
        <v>0.320750647795915</v>
      </c>
      <c r="J2643" s="14">
        <v>0.65479490191013201</v>
      </c>
      <c r="K2643" s="14">
        <v>0.66403879798477505</v>
      </c>
      <c r="L2643" s="14">
        <v>0.497143250360981</v>
      </c>
      <c r="M2643" s="14">
        <v>0.29364395511852298</v>
      </c>
      <c r="N2643" s="14">
        <v>0.18776464559984399</v>
      </c>
      <c r="O2643" s="14">
        <v>0.14052232667848299</v>
      </c>
      <c r="P2643" s="14">
        <v>0.118024856540502</v>
      </c>
    </row>
    <row r="2644" spans="1:16" x14ac:dyDescent="0.45">
      <c r="A2644" t="s">
        <v>88</v>
      </c>
      <c r="B2644" t="s">
        <v>29</v>
      </c>
      <c r="C2644" t="s">
        <v>6</v>
      </c>
      <c r="D2644" t="s">
        <v>7</v>
      </c>
      <c r="E2644" t="s">
        <v>32</v>
      </c>
      <c r="F2644" s="14">
        <v>0</v>
      </c>
      <c r="G2644" s="14">
        <v>0</v>
      </c>
      <c r="H2644" s="14">
        <v>0</v>
      </c>
      <c r="I2644" s="14">
        <v>1.2258737318608E-7</v>
      </c>
      <c r="J2644" s="14">
        <v>5.5517863678585102E-7</v>
      </c>
      <c r="K2644" s="14">
        <v>1.0479599931820901E-6</v>
      </c>
      <c r="L2644" s="14">
        <v>6.6676724466897504E-8</v>
      </c>
      <c r="M2644" s="14">
        <v>0</v>
      </c>
      <c r="N2644" s="14">
        <v>0</v>
      </c>
      <c r="O2644" s="14">
        <v>0</v>
      </c>
      <c r="P2644" s="14">
        <v>0</v>
      </c>
    </row>
    <row r="2645" spans="1:16" x14ac:dyDescent="0.45">
      <c r="A2645" t="s">
        <v>88</v>
      </c>
      <c r="B2645" t="s">
        <v>29</v>
      </c>
      <c r="C2645" t="s">
        <v>6</v>
      </c>
      <c r="D2645" t="s">
        <v>9</v>
      </c>
      <c r="E2645" t="s">
        <v>32</v>
      </c>
      <c r="F2645">
        <v>0</v>
      </c>
      <c r="G2645" s="14">
        <v>0</v>
      </c>
      <c r="H2645" s="14">
        <v>0</v>
      </c>
      <c r="I2645" s="14">
        <v>2.6065634555315501E-7</v>
      </c>
      <c r="J2645" s="14">
        <v>3.5650273122189902E-7</v>
      </c>
      <c r="K2645" s="14">
        <v>6.2160079619364903E-7</v>
      </c>
      <c r="L2645" s="14">
        <v>7.3887012762738596E-7</v>
      </c>
      <c r="M2645" s="14">
        <v>7.6290494429642095E-7</v>
      </c>
      <c r="N2645" s="14">
        <v>7.4773071720552597E-7</v>
      </c>
      <c r="O2645" s="14">
        <v>7.4680359339576905E-7</v>
      </c>
      <c r="P2645" s="14">
        <v>7.4680359339576905E-7</v>
      </c>
    </row>
    <row r="2646" spans="1:16" x14ac:dyDescent="0.45">
      <c r="A2646" t="s">
        <v>88</v>
      </c>
      <c r="B2646" t="s">
        <v>29</v>
      </c>
      <c r="C2646" t="s">
        <v>6</v>
      </c>
      <c r="D2646" t="s">
        <v>10</v>
      </c>
      <c r="E2646" t="s">
        <v>32</v>
      </c>
      <c r="F2646">
        <v>0</v>
      </c>
      <c r="G2646" s="14">
        <v>0</v>
      </c>
      <c r="H2646" s="14">
        <v>0</v>
      </c>
      <c r="I2646" s="14">
        <v>1.18543576319554E-7</v>
      </c>
      <c r="J2646" s="14">
        <v>1.23267765045355E-7</v>
      </c>
      <c r="K2646" s="14">
        <v>4.59199154440682E-7</v>
      </c>
      <c r="L2646" s="14">
        <v>1.9002780522640301E-7</v>
      </c>
      <c r="M2646" s="14">
        <v>2.0761492467765001E-7</v>
      </c>
      <c r="N2646" s="14">
        <v>3.3074437609852999E-6</v>
      </c>
      <c r="O2646" s="14">
        <v>5.43892577429182E-6</v>
      </c>
      <c r="P2646" s="14">
        <v>1.2926225232619999E-5</v>
      </c>
    </row>
    <row r="2647" spans="1:16" x14ac:dyDescent="0.45">
      <c r="A2647" t="s">
        <v>88</v>
      </c>
      <c r="B2647" t="s">
        <v>29</v>
      </c>
      <c r="C2647" t="s">
        <v>6</v>
      </c>
      <c r="D2647" t="s">
        <v>11</v>
      </c>
      <c r="E2647" t="s">
        <v>32</v>
      </c>
      <c r="F2647">
        <v>0</v>
      </c>
      <c r="G2647" s="14">
        <v>0</v>
      </c>
      <c r="H2647" s="14">
        <v>0</v>
      </c>
      <c r="I2647" s="14">
        <v>2.0855556655623099E-7</v>
      </c>
      <c r="J2647" s="14">
        <v>1.0576730277689199E-6</v>
      </c>
      <c r="K2647" s="14">
        <v>9.2108917458431199E-7</v>
      </c>
      <c r="L2647" s="14">
        <v>4.2734369901847296E-6</v>
      </c>
      <c r="M2647" s="14">
        <v>1.4496947897888199E-5</v>
      </c>
      <c r="N2647" s="14">
        <v>1.8482533059853399E-5</v>
      </c>
      <c r="O2647" s="14">
        <v>2.47572504646671E-5</v>
      </c>
      <c r="P2647" s="14">
        <v>4.2509647926028303E-5</v>
      </c>
    </row>
    <row r="2648" spans="1:16" x14ac:dyDescent="0.45">
      <c r="A2648" t="s">
        <v>88</v>
      </c>
      <c r="B2648" t="s">
        <v>29</v>
      </c>
      <c r="C2648" t="s">
        <v>6</v>
      </c>
      <c r="D2648" t="s">
        <v>12</v>
      </c>
      <c r="E2648" t="s">
        <v>32</v>
      </c>
      <c r="F2648">
        <v>0</v>
      </c>
      <c r="G2648" s="14">
        <v>0</v>
      </c>
      <c r="H2648" s="14">
        <v>0</v>
      </c>
      <c r="I2648" s="14">
        <v>2.0179042624693601E-7</v>
      </c>
      <c r="J2648" s="14">
        <v>5.0473588568844803E-6</v>
      </c>
      <c r="K2648" s="14">
        <v>1.7682050416793801E-5</v>
      </c>
      <c r="L2648" s="14">
        <v>2.4945865673258899E-5</v>
      </c>
      <c r="M2648" s="14">
        <v>4.6096507535448599E-5</v>
      </c>
      <c r="N2648" s="14">
        <v>7.2505245986657595E-5</v>
      </c>
      <c r="O2648" s="14">
        <v>9.6739859895791694E-5</v>
      </c>
      <c r="P2648" s="14">
        <v>1.01470447484384E-4</v>
      </c>
    </row>
    <row r="2649" spans="1:16" x14ac:dyDescent="0.45">
      <c r="A2649" t="s">
        <v>88</v>
      </c>
      <c r="B2649" t="s">
        <v>29</v>
      </c>
      <c r="C2649" t="s">
        <v>6</v>
      </c>
      <c r="D2649" t="s">
        <v>13</v>
      </c>
      <c r="E2649" t="s">
        <v>32</v>
      </c>
      <c r="F2649">
        <v>0</v>
      </c>
      <c r="G2649" s="14">
        <v>4.4205574406037097E-8</v>
      </c>
      <c r="H2649" s="14">
        <v>4.4205574406037097E-8</v>
      </c>
      <c r="I2649" s="14">
        <v>1.2797749111308E-5</v>
      </c>
      <c r="J2649" s="14">
        <v>4.8392875361909301E-5</v>
      </c>
      <c r="K2649" s="14">
        <v>7.6946722947391396E-5</v>
      </c>
      <c r="L2649" s="14">
        <v>1.0456215904991899E-4</v>
      </c>
      <c r="M2649" s="14">
        <v>1.0846372911421699E-4</v>
      </c>
      <c r="N2649" s="14">
        <v>1.09024578160974E-4</v>
      </c>
      <c r="O2649" s="14">
        <v>1.0989712389459101E-4</v>
      </c>
      <c r="P2649" s="14">
        <v>1.15839053304919E-4</v>
      </c>
    </row>
    <row r="2650" spans="1:16" x14ac:dyDescent="0.45">
      <c r="A2650" t="s">
        <v>88</v>
      </c>
      <c r="B2650" t="s">
        <v>29</v>
      </c>
      <c r="C2650" t="s">
        <v>6</v>
      </c>
      <c r="D2650" t="s">
        <v>14</v>
      </c>
      <c r="E2650" t="s">
        <v>32</v>
      </c>
      <c r="F2650">
        <v>0</v>
      </c>
      <c r="G2650" s="14">
        <v>1.67392245862806E-6</v>
      </c>
      <c r="H2650" s="14">
        <v>1.67392245862806E-6</v>
      </c>
      <c r="I2650" s="14">
        <v>3.3848131600228401E-5</v>
      </c>
      <c r="J2650" s="14">
        <v>3.5890486079861898E-5</v>
      </c>
      <c r="K2650" s="14">
        <v>4.0318457968901303E-5</v>
      </c>
      <c r="L2650" s="14">
        <v>5.3458208109317399E-5</v>
      </c>
      <c r="M2650" s="14">
        <v>7.05118081771025E-5</v>
      </c>
      <c r="N2650" s="14">
        <v>9.0744394717684506E-5</v>
      </c>
      <c r="O2650" s="14">
        <v>1.10215977166639E-4</v>
      </c>
      <c r="P2650" s="14">
        <v>1.1917781926383899E-4</v>
      </c>
    </row>
    <row r="2651" spans="1:16" x14ac:dyDescent="0.45">
      <c r="A2651" t="s">
        <v>88</v>
      </c>
      <c r="B2651" t="s">
        <v>29</v>
      </c>
      <c r="C2651" t="s">
        <v>15</v>
      </c>
      <c r="D2651" t="s">
        <v>7</v>
      </c>
      <c r="E2651" t="s">
        <v>32</v>
      </c>
      <c r="F2651" s="14">
        <v>7.0969238458511906E-5</v>
      </c>
      <c r="G2651" s="14">
        <v>7.84150199667318E-5</v>
      </c>
      <c r="H2651" s="14">
        <v>7.84150199667318E-5</v>
      </c>
      <c r="I2651" s="14">
        <v>7.0666024509434403E-5</v>
      </c>
      <c r="J2651" s="14">
        <v>7.6114722974034396E-5</v>
      </c>
      <c r="K2651" s="14">
        <v>8.2630258146876407E-5</v>
      </c>
      <c r="L2651" s="14">
        <v>8.5852546337585799E-5</v>
      </c>
      <c r="M2651" s="14">
        <v>8.81758887261805E-5</v>
      </c>
      <c r="N2651" s="14">
        <v>9.0576775568419594E-5</v>
      </c>
      <c r="O2651" s="14">
        <v>9.2779325062888296E-5</v>
      </c>
      <c r="P2651" s="14">
        <v>9.4666448887213795E-5</v>
      </c>
    </row>
    <row r="2652" spans="1:16" x14ac:dyDescent="0.45">
      <c r="A2652" t="s">
        <v>88</v>
      </c>
      <c r="B2652" t="s">
        <v>29</v>
      </c>
      <c r="C2652" t="s">
        <v>15</v>
      </c>
      <c r="D2652" t="s">
        <v>9</v>
      </c>
      <c r="E2652" t="s">
        <v>32</v>
      </c>
      <c r="F2652">
        <v>0</v>
      </c>
      <c r="G2652" s="14">
        <v>-8.6322905246566895E-8</v>
      </c>
      <c r="H2652" s="14">
        <v>-8.6322905246566895E-8</v>
      </c>
      <c r="I2652" s="14">
        <v>-1.1263529702385201E-7</v>
      </c>
      <c r="J2652" s="14">
        <v>3.0474700374723197E-8</v>
      </c>
      <c r="K2652" s="14">
        <v>-7.4649680735126197E-8</v>
      </c>
      <c r="L2652" s="14">
        <v>-7.6005958222452997E-7</v>
      </c>
      <c r="M2652" s="14">
        <v>-1.56827843279766E-6</v>
      </c>
      <c r="N2652" s="14">
        <v>-2.6488412158998099E-6</v>
      </c>
      <c r="O2652" s="14">
        <v>-3.6944048452689798E-6</v>
      </c>
      <c r="P2652" s="14">
        <v>-4.6904452483919203E-6</v>
      </c>
    </row>
    <row r="2653" spans="1:16" x14ac:dyDescent="0.45">
      <c r="A2653" t="s">
        <v>88</v>
      </c>
      <c r="B2653" t="s">
        <v>29</v>
      </c>
      <c r="C2653" t="s">
        <v>15</v>
      </c>
      <c r="D2653" t="s">
        <v>10</v>
      </c>
      <c r="E2653" t="s">
        <v>32</v>
      </c>
      <c r="F2653">
        <v>0</v>
      </c>
      <c r="G2653" s="14">
        <v>-1.58383762943509E-9</v>
      </c>
      <c r="H2653" s="14">
        <v>-1.58383762943509E-9</v>
      </c>
      <c r="I2653" s="14">
        <v>-7.0266448174861706E-8</v>
      </c>
      <c r="J2653" s="14">
        <v>1.8803449170867599E-8</v>
      </c>
      <c r="K2653" s="14">
        <v>-4.1236048036866798E-7</v>
      </c>
      <c r="L2653" s="14">
        <v>-9.0195517259582703E-7</v>
      </c>
      <c r="M2653" s="14">
        <v>-9.20991203819501E-7</v>
      </c>
      <c r="N2653" s="14">
        <v>-1.9574151720331901E-7</v>
      </c>
      <c r="O2653" s="14">
        <v>-2.82870214603104E-7</v>
      </c>
      <c r="P2653" s="14">
        <v>-3.3439121407659701E-7</v>
      </c>
    </row>
    <row r="2654" spans="1:16" x14ac:dyDescent="0.45">
      <c r="A2654" t="s">
        <v>88</v>
      </c>
      <c r="B2654" t="s">
        <v>29</v>
      </c>
      <c r="C2654" t="s">
        <v>15</v>
      </c>
      <c r="D2654" t="s">
        <v>11</v>
      </c>
      <c r="E2654" t="s">
        <v>32</v>
      </c>
      <c r="F2654">
        <v>0</v>
      </c>
      <c r="G2654" s="14">
        <v>6.2114841315033298E-9</v>
      </c>
      <c r="H2654" s="14">
        <v>6.2114841315033298E-9</v>
      </c>
      <c r="I2654" s="14">
        <v>-5.0945451908997297E-8</v>
      </c>
      <c r="J2654" s="14">
        <v>-4.73766135890305E-7</v>
      </c>
      <c r="K2654" s="14">
        <v>-4.8893553424428296E-7</v>
      </c>
      <c r="L2654" s="14">
        <v>1.4466571666992999E-6</v>
      </c>
      <c r="M2654" s="14">
        <v>1.4474373620337E-6</v>
      </c>
      <c r="N2654" s="14">
        <v>7.7672742710830299E-7</v>
      </c>
      <c r="O2654" s="14">
        <v>4.7365457970519802E-7</v>
      </c>
      <c r="P2654" s="14">
        <v>9.4182313567606505E-8</v>
      </c>
    </row>
    <row r="2655" spans="1:16" x14ac:dyDescent="0.45">
      <c r="A2655" t="s">
        <v>88</v>
      </c>
      <c r="B2655" t="s">
        <v>29</v>
      </c>
      <c r="C2655" t="s">
        <v>15</v>
      </c>
      <c r="D2655" t="s">
        <v>12</v>
      </c>
      <c r="E2655" t="s">
        <v>32</v>
      </c>
      <c r="F2655">
        <v>0</v>
      </c>
      <c r="G2655" s="14">
        <v>2.6676295884992101E-9</v>
      </c>
      <c r="H2655" s="14">
        <v>2.6676295884992101E-9</v>
      </c>
      <c r="I2655" s="14">
        <v>-6.2739557683343496E-7</v>
      </c>
      <c r="J2655" s="14">
        <v>5.89125889008315E-7</v>
      </c>
      <c r="K2655" s="14">
        <v>1.5481213823612899E-6</v>
      </c>
      <c r="L2655" s="14">
        <v>-8.2534692183916297E-7</v>
      </c>
      <c r="M2655" s="14">
        <v>-1.98697965782436E-6</v>
      </c>
      <c r="N2655" s="14">
        <v>-1.9240833942722898E-6</v>
      </c>
      <c r="O2655" s="14">
        <v>-1.6052797549448599E-6</v>
      </c>
      <c r="P2655" s="14">
        <v>-1.3302465349739799E-6</v>
      </c>
    </row>
    <row r="2656" spans="1:16" x14ac:dyDescent="0.45">
      <c r="A2656" t="s">
        <v>88</v>
      </c>
      <c r="B2656" t="s">
        <v>29</v>
      </c>
      <c r="C2656" t="s">
        <v>15</v>
      </c>
      <c r="D2656" t="s">
        <v>13</v>
      </c>
      <c r="E2656" t="s">
        <v>32</v>
      </c>
      <c r="F2656">
        <v>0</v>
      </c>
      <c r="G2656" s="14">
        <v>-5.7138389278322199E-7</v>
      </c>
      <c r="H2656" s="14">
        <v>-5.7138389278322199E-7</v>
      </c>
      <c r="I2656" s="14">
        <v>1.3205461036677499E-6</v>
      </c>
      <c r="J2656" s="14">
        <v>-1.26646094603962E-6</v>
      </c>
      <c r="K2656" s="14">
        <v>-3.6726175507530001E-6</v>
      </c>
      <c r="L2656" s="14">
        <v>-1.5246378483953099E-6</v>
      </c>
      <c r="M2656" s="14">
        <v>1.5255644819581101E-7</v>
      </c>
      <c r="N2656" s="14">
        <v>-7.8240106762482399E-7</v>
      </c>
      <c r="O2656" s="14">
        <v>-1.09293035171E-6</v>
      </c>
      <c r="P2656" s="14">
        <v>-1.3969388012141301E-6</v>
      </c>
    </row>
    <row r="2657" spans="1:16" x14ac:dyDescent="0.45">
      <c r="A2657" t="s">
        <v>88</v>
      </c>
      <c r="B2657" t="s">
        <v>29</v>
      </c>
      <c r="C2657" t="s">
        <v>15</v>
      </c>
      <c r="D2657" t="s">
        <v>14</v>
      </c>
      <c r="E2657" t="s">
        <v>32</v>
      </c>
      <c r="F2657">
        <v>0</v>
      </c>
      <c r="G2657" s="14">
        <v>1.3698944036849099E-6</v>
      </c>
      <c r="H2657" s="14">
        <v>1.3698944036849099E-6</v>
      </c>
      <c r="I2657" s="14">
        <v>1.9337696388184001E-6</v>
      </c>
      <c r="J2657" s="14">
        <v>9.9696899366837402E-7</v>
      </c>
      <c r="K2657" s="14">
        <v>-4.0560716611074398E-7</v>
      </c>
      <c r="L2657" s="14">
        <v>-1.44334348511452E-6</v>
      </c>
      <c r="M2657" s="14">
        <v>-2.1056248039458699E-6</v>
      </c>
      <c r="N2657" s="14">
        <v>-1.76569274031096E-6</v>
      </c>
      <c r="O2657" s="14">
        <v>-1.4935926970385801E-6</v>
      </c>
      <c r="P2657" s="14">
        <v>-2.0794802695116401E-6</v>
      </c>
    </row>
    <row r="2658" spans="1:16" x14ac:dyDescent="0.45">
      <c r="A2658" t="s">
        <v>88</v>
      </c>
      <c r="B2658" t="s">
        <v>29</v>
      </c>
      <c r="C2658" t="s">
        <v>16</v>
      </c>
      <c r="D2658" t="s">
        <v>7</v>
      </c>
      <c r="E2658" t="s">
        <v>32</v>
      </c>
      <c r="F2658" s="14">
        <v>3.02960890792326E-5</v>
      </c>
      <c r="G2658" s="14">
        <v>3.2341140946598503E-5</v>
      </c>
      <c r="H2658" s="14">
        <v>3.2341140946598503E-5</v>
      </c>
      <c r="I2658" s="14">
        <v>3.1688905737016203E-5</v>
      </c>
      <c r="J2658" s="14">
        <v>3.1688871838973498E-5</v>
      </c>
      <c r="K2658" s="14">
        <v>3.1403443888327398E-5</v>
      </c>
      <c r="L2658" s="14">
        <v>3.1688871838973498E-5</v>
      </c>
      <c r="M2658" s="14">
        <v>3.1688871838973498E-5</v>
      </c>
      <c r="N2658" s="14">
        <v>3.1688871838973498E-5</v>
      </c>
      <c r="O2658" s="14">
        <v>3.1688871838973498E-5</v>
      </c>
      <c r="P2658" s="14">
        <v>3.1688871838973498E-5</v>
      </c>
    </row>
    <row r="2659" spans="1:16" x14ac:dyDescent="0.45">
      <c r="A2659" t="s">
        <v>88</v>
      </c>
      <c r="B2659" t="s">
        <v>29</v>
      </c>
      <c r="C2659" t="s">
        <v>16</v>
      </c>
      <c r="D2659" t="s">
        <v>9</v>
      </c>
      <c r="E2659" t="s">
        <v>32</v>
      </c>
      <c r="F2659">
        <v>0</v>
      </c>
      <c r="G2659" s="14">
        <v>-8.0110515577442308E-9</v>
      </c>
      <c r="H2659" s="14">
        <v>-8.0110515577442308E-9</v>
      </c>
      <c r="I2659" s="14">
        <v>-8.0074094583386895E-9</v>
      </c>
      <c r="J2659" s="14">
        <v>-3.0425792679678499E-7</v>
      </c>
      <c r="K2659" s="14">
        <v>-4.1741128527141701E-8</v>
      </c>
      <c r="L2659" s="14">
        <v>-2.9028474283293501E-7</v>
      </c>
      <c r="M2659" s="14">
        <v>-2.67321818610859E-7</v>
      </c>
      <c r="N2659" s="14">
        <v>-2.6559167756291399E-6</v>
      </c>
      <c r="O2659" s="14">
        <v>-2.65538367192495E-6</v>
      </c>
      <c r="P2659" s="14">
        <v>-2.65538367192495E-6</v>
      </c>
    </row>
    <row r="2660" spans="1:16" x14ac:dyDescent="0.45">
      <c r="A2660" t="s">
        <v>88</v>
      </c>
      <c r="B2660" t="s">
        <v>29</v>
      </c>
      <c r="C2660" t="s">
        <v>16</v>
      </c>
      <c r="D2660" t="s">
        <v>10</v>
      </c>
      <c r="E2660" t="s">
        <v>32</v>
      </c>
      <c r="F2660">
        <v>0</v>
      </c>
      <c r="G2660" s="14">
        <v>-4.7433845046240801E-20</v>
      </c>
      <c r="H2660" s="14">
        <v>-4.7433845046240801E-20</v>
      </c>
      <c r="I2660">
        <v>0</v>
      </c>
      <c r="J2660" s="14">
        <v>1.39731839638973E-8</v>
      </c>
      <c r="K2660" s="14">
        <v>-2.7016403957396003E-7</v>
      </c>
      <c r="L2660" s="14">
        <v>-2.3650989290920198E-6</v>
      </c>
      <c r="M2660" s="14">
        <v>-2.38806185331409E-6</v>
      </c>
      <c r="N2660" s="14">
        <v>5.3310370418650397E-10</v>
      </c>
      <c r="O2660" s="14">
        <v>0</v>
      </c>
      <c r="P2660">
        <v>0</v>
      </c>
    </row>
    <row r="2661" spans="1:16" x14ac:dyDescent="0.45">
      <c r="A2661" t="s">
        <v>88</v>
      </c>
      <c r="B2661" t="s">
        <v>29</v>
      </c>
      <c r="C2661" t="s">
        <v>16</v>
      </c>
      <c r="D2661" t="s">
        <v>11</v>
      </c>
      <c r="E2661" t="s">
        <v>32</v>
      </c>
      <c r="F2661">
        <v>0</v>
      </c>
      <c r="G2661" s="14">
        <v>4.7433845046240801E-20</v>
      </c>
      <c r="H2661" s="14">
        <v>4.7433845046240801E-20</v>
      </c>
      <c r="I2661">
        <v>0</v>
      </c>
      <c r="J2661" s="14">
        <v>-2.3650989290920702E-6</v>
      </c>
      <c r="K2661" s="14">
        <v>-2.0580505531778099E-6</v>
      </c>
      <c r="L2661" s="14">
        <v>0</v>
      </c>
      <c r="M2661">
        <v>0</v>
      </c>
      <c r="N2661" s="14">
        <v>0</v>
      </c>
      <c r="O2661" s="14">
        <v>0</v>
      </c>
      <c r="P2661" s="14">
        <v>0</v>
      </c>
    </row>
    <row r="2662" spans="1:16" x14ac:dyDescent="0.45">
      <c r="A2662" t="s">
        <v>88</v>
      </c>
      <c r="B2662" t="s">
        <v>29</v>
      </c>
      <c r="C2662" t="s">
        <v>16</v>
      </c>
      <c r="D2662" t="s">
        <v>12</v>
      </c>
      <c r="E2662" t="s">
        <v>32</v>
      </c>
      <c r="F2662">
        <v>0</v>
      </c>
      <c r="G2662" s="14">
        <v>-1.5347857027761399E-8</v>
      </c>
      <c r="H2662" s="14">
        <v>-1.5347857027761399E-8</v>
      </c>
      <c r="I2662" s="14">
        <v>-2.6632502047437298E-6</v>
      </c>
      <c r="J2662" s="14">
        <v>-1.5340837705260301E-8</v>
      </c>
      <c r="K2662" s="14">
        <v>-1.5340837705260301E-8</v>
      </c>
      <c r="L2662" s="14">
        <v>-1.5340837705260301E-8</v>
      </c>
      <c r="M2662" s="14">
        <v>-1.5340837705260301E-8</v>
      </c>
      <c r="N2662" s="14">
        <v>-1.5926707931552099E-8</v>
      </c>
      <c r="O2662" s="14">
        <v>-1.6541705158473699E-8</v>
      </c>
      <c r="P2662" s="14">
        <v>-1.7153239558683399E-8</v>
      </c>
    </row>
    <row r="2663" spans="1:16" x14ac:dyDescent="0.45">
      <c r="A2663" t="s">
        <v>88</v>
      </c>
      <c r="B2663" t="s">
        <v>29</v>
      </c>
      <c r="C2663" t="s">
        <v>16</v>
      </c>
      <c r="D2663" t="s">
        <v>13</v>
      </c>
      <c r="E2663" t="s">
        <v>32</v>
      </c>
      <c r="F2663">
        <v>0</v>
      </c>
      <c r="G2663" s="14">
        <v>2.3358908585505699E-8</v>
      </c>
      <c r="H2663" s="14">
        <v>2.3358908585505699E-8</v>
      </c>
      <c r="I2663" s="14">
        <v>2.38813514389804E-8</v>
      </c>
      <c r="J2663" s="14">
        <v>2.27623616451335E-8</v>
      </c>
      <c r="K2663" s="14">
        <v>2.15357986241627E-8</v>
      </c>
      <c r="L2663" s="14">
        <v>2.15357986241627E-8</v>
      </c>
      <c r="M2663" s="14">
        <v>2.15357986241627E-8</v>
      </c>
      <c r="N2663" s="14">
        <v>2.2121668850454502E-8</v>
      </c>
      <c r="O2663" s="14">
        <v>2.2736666077376099E-8</v>
      </c>
      <c r="P2663" s="14">
        <v>2.3348200477585799E-8</v>
      </c>
    </row>
    <row r="2664" spans="1:16" x14ac:dyDescent="0.45">
      <c r="A2664" t="s">
        <v>88</v>
      </c>
      <c r="B2664" t="s">
        <v>29</v>
      </c>
      <c r="C2664" t="s">
        <v>16</v>
      </c>
      <c r="D2664" t="s">
        <v>14</v>
      </c>
      <c r="E2664" t="s">
        <v>32</v>
      </c>
      <c r="F2664">
        <v>0</v>
      </c>
      <c r="G2664" s="14">
        <v>-2.7088407904365402E-6</v>
      </c>
      <c r="H2664" s="14">
        <v>-2.7088407904365402E-6</v>
      </c>
      <c r="I2664" s="14">
        <v>5.8893484771431106E-11</v>
      </c>
      <c r="J2664" s="14">
        <v>-5.4816509824010104E-10</v>
      </c>
      <c r="K2664" s="14">
        <v>6.7839792273073195E-10</v>
      </c>
      <c r="L2664" s="14">
        <v>6.7839792273073195E-10</v>
      </c>
      <c r="M2664" s="14">
        <v>6.7839792273073195E-10</v>
      </c>
      <c r="N2664" s="14">
        <v>6.7839792273073195E-10</v>
      </c>
      <c r="O2664" s="14">
        <v>6.7839792273073195E-10</v>
      </c>
      <c r="P2664" s="14">
        <v>6.7839792273073195E-10</v>
      </c>
    </row>
    <row r="2665" spans="1:16" x14ac:dyDescent="0.45">
      <c r="A2665" t="s">
        <v>88</v>
      </c>
      <c r="B2665" t="s">
        <v>29</v>
      </c>
      <c r="C2665" t="s">
        <v>17</v>
      </c>
      <c r="D2665" t="s">
        <v>7</v>
      </c>
      <c r="E2665" t="s">
        <v>32</v>
      </c>
      <c r="F2665" s="14">
        <v>5.3687530210058004E-6</v>
      </c>
      <c r="G2665" s="14">
        <v>1.23067302049983E-5</v>
      </c>
      <c r="H2665" s="14">
        <v>1.23067302049983E-5</v>
      </c>
      <c r="I2665" s="14">
        <v>3.0933289674536301E-5</v>
      </c>
      <c r="J2665" s="14">
        <v>3.5089509047132702E-5</v>
      </c>
      <c r="K2665" s="14">
        <v>3.69687795718351E-5</v>
      </c>
      <c r="L2665" s="14">
        <v>3.5034206935999298E-5</v>
      </c>
      <c r="M2665" s="14">
        <v>3.25195385608582E-5</v>
      </c>
      <c r="N2665" s="14">
        <v>2.9722344220185498E-5</v>
      </c>
      <c r="O2665" s="14">
        <v>2.7101495971779698E-5</v>
      </c>
      <c r="P2665" s="14">
        <v>2.4618936253403798E-5</v>
      </c>
    </row>
    <row r="2666" spans="1:16" x14ac:dyDescent="0.45">
      <c r="A2666" t="s">
        <v>88</v>
      </c>
      <c r="B2666" t="s">
        <v>29</v>
      </c>
      <c r="C2666" t="s">
        <v>17</v>
      </c>
      <c r="D2666" t="s">
        <v>9</v>
      </c>
      <c r="E2666" t="s">
        <v>32</v>
      </c>
      <c r="F2666">
        <v>0</v>
      </c>
      <c r="G2666" s="14">
        <v>3.8320930177031199E-7</v>
      </c>
      <c r="H2666" s="14">
        <v>3.8320930177031199E-7</v>
      </c>
      <c r="I2666" s="14">
        <v>8.7273112564409101E-7</v>
      </c>
      <c r="J2666" s="14">
        <v>6.5223608030482798E-7</v>
      </c>
      <c r="K2666" s="14">
        <v>3.8376812787402999E-7</v>
      </c>
      <c r="L2666" s="14">
        <v>1.07259384881054E-6</v>
      </c>
      <c r="M2666" s="14">
        <v>1.9324093913712399E-6</v>
      </c>
      <c r="N2666" s="14">
        <v>9.2391809834091005E-6</v>
      </c>
      <c r="O2666" s="14">
        <v>1.04866831710132E-5</v>
      </c>
      <c r="P2666" s="14">
        <v>1.1932917261304499E-5</v>
      </c>
    </row>
    <row r="2667" spans="1:16" x14ac:dyDescent="0.45">
      <c r="A2667" t="s">
        <v>88</v>
      </c>
      <c r="B2667" t="s">
        <v>29</v>
      </c>
      <c r="C2667" t="s">
        <v>17</v>
      </c>
      <c r="D2667" t="s">
        <v>10</v>
      </c>
      <c r="E2667" t="s">
        <v>32</v>
      </c>
      <c r="F2667">
        <v>0</v>
      </c>
      <c r="G2667" s="14">
        <v>1.1080976022277E-7</v>
      </c>
      <c r="H2667" s="14">
        <v>1.1080976022277E-7</v>
      </c>
      <c r="I2667" s="14">
        <v>3.7039131747656899E-7</v>
      </c>
      <c r="J2667" s="14">
        <v>1.1185539857365599E-7</v>
      </c>
      <c r="K2667" s="14">
        <v>6.7943871922520601E-7</v>
      </c>
      <c r="L2667" s="14">
        <v>7.1197071542936097E-6</v>
      </c>
      <c r="M2667" s="14">
        <v>7.3627822950763701E-6</v>
      </c>
      <c r="N2667" s="14">
        <v>3.7002690636542602E-6</v>
      </c>
      <c r="O2667" s="14">
        <v>4.0634659645080901E-6</v>
      </c>
      <c r="P2667" s="14">
        <v>5.77626168103811E-6</v>
      </c>
    </row>
    <row r="2668" spans="1:16" x14ac:dyDescent="0.45">
      <c r="A2668" t="s">
        <v>88</v>
      </c>
      <c r="B2668" t="s">
        <v>29</v>
      </c>
      <c r="C2668" t="s">
        <v>17</v>
      </c>
      <c r="D2668" t="s">
        <v>11</v>
      </c>
      <c r="E2668" t="s">
        <v>32</v>
      </c>
      <c r="F2668">
        <v>0</v>
      </c>
      <c r="G2668" s="14">
        <v>1.05293482593887E-7</v>
      </c>
      <c r="H2668" s="14">
        <v>1.05293482593887E-7</v>
      </c>
      <c r="I2668" s="14">
        <v>3.2075006022054802E-7</v>
      </c>
      <c r="J2668" s="14">
        <v>6.2436243385988902E-6</v>
      </c>
      <c r="K2668" s="14">
        <v>5.73234964140997E-6</v>
      </c>
      <c r="L2668" s="14">
        <v>1.8764314443501E-6</v>
      </c>
      <c r="M2668" s="14">
        <v>3.0827511500607699E-6</v>
      </c>
      <c r="N2668" s="14">
        <v>2.4406699865687E-6</v>
      </c>
      <c r="O2668" s="14">
        <v>3.45349106123144E-6</v>
      </c>
      <c r="P2668" s="14">
        <v>2.8037064525031698E-6</v>
      </c>
    </row>
    <row r="2669" spans="1:16" x14ac:dyDescent="0.45">
      <c r="A2669" t="s">
        <v>88</v>
      </c>
      <c r="B2669" t="s">
        <v>29</v>
      </c>
      <c r="C2669" t="s">
        <v>17</v>
      </c>
      <c r="D2669" t="s">
        <v>12</v>
      </c>
      <c r="E2669" t="s">
        <v>32</v>
      </c>
      <c r="F2669">
        <v>0</v>
      </c>
      <c r="G2669" s="14">
        <v>1.6059389147494399E-7</v>
      </c>
      <c r="H2669" s="14">
        <v>1.6059389147494399E-7</v>
      </c>
      <c r="I2669" s="14">
        <v>8.2529850097471802E-6</v>
      </c>
      <c r="J2669" s="14">
        <v>1.54865006498638E-6</v>
      </c>
      <c r="K2669" s="14">
        <v>1.9722897803171901E-6</v>
      </c>
      <c r="L2669" s="14">
        <v>6.3368645720786905E-7</v>
      </c>
      <c r="M2669" s="14">
        <v>1.0102269251520799E-6</v>
      </c>
      <c r="N2669" s="14">
        <v>1.4700304641827701E-6</v>
      </c>
      <c r="O2669" s="14">
        <v>2.1476960697026098E-6</v>
      </c>
      <c r="P2669" s="14">
        <v>2.2653650222760501E-6</v>
      </c>
    </row>
    <row r="2670" spans="1:16" x14ac:dyDescent="0.45">
      <c r="A2670" t="s">
        <v>88</v>
      </c>
      <c r="B2670" t="s">
        <v>29</v>
      </c>
      <c r="C2670" t="s">
        <v>17</v>
      </c>
      <c r="D2670" t="s">
        <v>13</v>
      </c>
      <c r="E2670" t="s">
        <v>32</v>
      </c>
      <c r="F2670">
        <v>0</v>
      </c>
      <c r="G2670" s="14">
        <v>1.90129801968571E-6</v>
      </c>
      <c r="H2670" s="14">
        <v>1.90129801968571E-6</v>
      </c>
      <c r="I2670" s="14">
        <v>2.20043920303902E-6</v>
      </c>
      <c r="J2670" s="14">
        <v>1.9022979137407201E-6</v>
      </c>
      <c r="K2670" s="14">
        <v>1.6930880477456099E-6</v>
      </c>
      <c r="L2670" s="14">
        <v>1.7443521707238101E-6</v>
      </c>
      <c r="M2670" s="14">
        <v>1.5779236183660401E-6</v>
      </c>
      <c r="N2670" s="14">
        <v>9.1387995914887195E-7</v>
      </c>
      <c r="O2670" s="14">
        <v>2.3376303593096499E-7</v>
      </c>
      <c r="P2670" s="14">
        <v>8.9410809610564299E-8</v>
      </c>
    </row>
    <row r="2671" spans="1:16" x14ac:dyDescent="0.45">
      <c r="A2671" t="s">
        <v>88</v>
      </c>
      <c r="B2671" t="s">
        <v>29</v>
      </c>
      <c r="C2671" t="s">
        <v>17</v>
      </c>
      <c r="D2671" t="s">
        <v>14</v>
      </c>
      <c r="E2671" t="s">
        <v>32</v>
      </c>
      <c r="F2671">
        <v>0</v>
      </c>
      <c r="G2671" s="14">
        <v>9.0933404371455108E-6</v>
      </c>
      <c r="H2671" s="14">
        <v>9.0933404371455108E-6</v>
      </c>
      <c r="I2671" s="14">
        <v>3.5392671075802201E-6</v>
      </c>
      <c r="J2671" s="14">
        <v>1.86956928024232E-6</v>
      </c>
      <c r="K2671" s="14">
        <v>-6.3818260077143398E-9</v>
      </c>
      <c r="L2671" s="14">
        <v>-5.7616692294394897E-8</v>
      </c>
      <c r="M2671" s="14">
        <v>-6.22467898744999E-8</v>
      </c>
      <c r="N2671" s="14">
        <v>-6.29895232132197E-8</v>
      </c>
      <c r="O2671" s="14">
        <v>-6.3210120200877205E-8</v>
      </c>
      <c r="P2671" s="14">
        <v>-6.32123261707946E-8</v>
      </c>
    </row>
    <row r="2672" spans="1:16" x14ac:dyDescent="0.45">
      <c r="A2672" t="s">
        <v>88</v>
      </c>
      <c r="B2672" t="s">
        <v>29</v>
      </c>
      <c r="C2672" t="s">
        <v>18</v>
      </c>
      <c r="D2672" t="s">
        <v>7</v>
      </c>
      <c r="E2672" t="s">
        <v>32</v>
      </c>
      <c r="F2672" s="14">
        <v>5.4830001921556401E-5</v>
      </c>
      <c r="G2672" s="14">
        <v>4.0980166737661801E-5</v>
      </c>
      <c r="H2672" s="14">
        <v>4.0980166737661801E-5</v>
      </c>
      <c r="I2672" s="14">
        <v>2.7320111158441199E-5</v>
      </c>
      <c r="J2672" s="14">
        <v>1.3660055579220599E-5</v>
      </c>
      <c r="K2672" s="14">
        <v>5.28066972454325E-21</v>
      </c>
      <c r="L2672" s="14">
        <v>4.2245357796345898E-20</v>
      </c>
      <c r="M2672">
        <v>0</v>
      </c>
      <c r="N2672" s="14">
        <v>4.2245357796345898E-20</v>
      </c>
      <c r="O2672">
        <v>0</v>
      </c>
      <c r="P2672" s="14">
        <v>3.6964688071802699E-20</v>
      </c>
    </row>
    <row r="2673" spans="1:16" x14ac:dyDescent="0.45">
      <c r="A2673" t="s">
        <v>88</v>
      </c>
      <c r="B2673" t="s">
        <v>29</v>
      </c>
      <c r="C2673" t="s">
        <v>18</v>
      </c>
      <c r="D2673" t="s">
        <v>9</v>
      </c>
      <c r="E2673" t="s">
        <v>32</v>
      </c>
      <c r="F2673">
        <v>0</v>
      </c>
      <c r="G2673">
        <v>0</v>
      </c>
      <c r="H2673">
        <v>0</v>
      </c>
      <c r="I2673">
        <v>0</v>
      </c>
      <c r="J2673" s="14">
        <v>4.7433845046240801E-20</v>
      </c>
      <c r="K2673" s="14">
        <v>1.05613394490865E-20</v>
      </c>
      <c r="L2673" s="14">
        <v>-2.6403348622716199E-20</v>
      </c>
      <c r="M2673" s="14">
        <v>5.28066972454325E-21</v>
      </c>
      <c r="N2673" s="14">
        <v>-4.2245357796345898E-20</v>
      </c>
      <c r="O2673">
        <v>0</v>
      </c>
      <c r="P2673" s="14">
        <v>-3.6964688071802699E-20</v>
      </c>
    </row>
    <row r="2674" spans="1:16" x14ac:dyDescent="0.45">
      <c r="A2674" t="s">
        <v>88</v>
      </c>
      <c r="B2674" t="s">
        <v>29</v>
      </c>
      <c r="C2674" t="s">
        <v>18</v>
      </c>
      <c r="D2674" t="s">
        <v>10</v>
      </c>
      <c r="E2674" t="s">
        <v>32</v>
      </c>
      <c r="F2674">
        <v>0</v>
      </c>
      <c r="G2674">
        <v>0</v>
      </c>
      <c r="H2674">
        <v>0</v>
      </c>
      <c r="I2674">
        <v>0</v>
      </c>
      <c r="J2674" s="14">
        <v>4.7433845046240801E-20</v>
      </c>
      <c r="K2674" s="14">
        <v>-1.05613394490865E-20</v>
      </c>
      <c r="L2674" s="14">
        <v>-1.5842009173629699E-20</v>
      </c>
      <c r="M2674" s="14">
        <v>-5.28066972454325E-21</v>
      </c>
      <c r="N2674">
        <v>0</v>
      </c>
      <c r="O2674" s="14">
        <v>2.6403348622716199E-20</v>
      </c>
      <c r="P2674">
        <v>0</v>
      </c>
    </row>
    <row r="2675" spans="1:16" x14ac:dyDescent="0.45">
      <c r="A2675" t="s">
        <v>88</v>
      </c>
      <c r="B2675" t="s">
        <v>29</v>
      </c>
      <c r="C2675" t="s">
        <v>18</v>
      </c>
      <c r="D2675" t="s">
        <v>11</v>
      </c>
      <c r="E2675" t="s">
        <v>32</v>
      </c>
      <c r="F2675">
        <v>0</v>
      </c>
      <c r="G2675" s="14">
        <v>4.7433845046240801E-20</v>
      </c>
      <c r="H2675" s="14">
        <v>4.7433845046240801E-20</v>
      </c>
      <c r="I2675">
        <v>0</v>
      </c>
      <c r="J2675" s="14">
        <v>-4.7433845046240801E-20</v>
      </c>
      <c r="K2675" s="14">
        <v>-5.28066972454325E-21</v>
      </c>
      <c r="L2675" s="14">
        <v>3.6964688071802699E-20</v>
      </c>
      <c r="M2675">
        <v>0</v>
      </c>
      <c r="N2675" s="14">
        <v>2.1122678898173E-20</v>
      </c>
      <c r="O2675" s="14">
        <v>-1.05613394490865E-20</v>
      </c>
      <c r="P2675" s="14">
        <v>3.6964688071802699E-20</v>
      </c>
    </row>
    <row r="2676" spans="1:16" x14ac:dyDescent="0.45">
      <c r="A2676" t="s">
        <v>88</v>
      </c>
      <c r="B2676" t="s">
        <v>29</v>
      </c>
      <c r="C2676" t="s">
        <v>18</v>
      </c>
      <c r="D2676" t="s">
        <v>12</v>
      </c>
      <c r="E2676" t="s">
        <v>32</v>
      </c>
      <c r="F2676">
        <v>0</v>
      </c>
      <c r="G2676">
        <v>0</v>
      </c>
      <c r="H2676">
        <v>0</v>
      </c>
      <c r="I2676">
        <v>0</v>
      </c>
      <c r="J2676" s="14">
        <v>-4.7433845046240801E-20</v>
      </c>
      <c r="K2676">
        <v>0</v>
      </c>
      <c r="L2676" s="14">
        <v>-2.6403348622716199E-20</v>
      </c>
      <c r="M2676" s="14">
        <v>0</v>
      </c>
      <c r="N2676" s="14">
        <v>5.8087366969975404E-20</v>
      </c>
      <c r="O2676" s="14">
        <v>3.1684018347259398E-20</v>
      </c>
      <c r="P2676" s="14">
        <v>-3.6964688071802699E-20</v>
      </c>
    </row>
    <row r="2677" spans="1:16" x14ac:dyDescent="0.45">
      <c r="A2677" t="s">
        <v>88</v>
      </c>
      <c r="B2677" t="s">
        <v>29</v>
      </c>
      <c r="C2677" t="s">
        <v>18</v>
      </c>
      <c r="D2677" t="s">
        <v>13</v>
      </c>
      <c r="E2677" t="s">
        <v>32</v>
      </c>
      <c r="F2677">
        <v>0</v>
      </c>
      <c r="G2677">
        <v>0</v>
      </c>
      <c r="H2677">
        <v>0</v>
      </c>
      <c r="I2677" s="14">
        <v>-4.7433845046240801E-20</v>
      </c>
      <c r="J2677" s="14">
        <v>4.7433845046240801E-20</v>
      </c>
      <c r="K2677">
        <v>0</v>
      </c>
      <c r="L2677" s="14">
        <v>-1.05613394490865E-20</v>
      </c>
      <c r="M2677" s="14">
        <v>3.6964688071802699E-20</v>
      </c>
      <c r="N2677" s="14">
        <v>-7.9210045868148296E-20</v>
      </c>
      <c r="O2677" s="14">
        <v>-3.6964688071802699E-20</v>
      </c>
      <c r="P2677" s="14">
        <v>3.6964688071802699E-20</v>
      </c>
    </row>
    <row r="2678" spans="1:16" x14ac:dyDescent="0.45">
      <c r="A2678" t="s">
        <v>88</v>
      </c>
      <c r="B2678" t="s">
        <v>29</v>
      </c>
      <c r="C2678" t="s">
        <v>18</v>
      </c>
      <c r="D2678" t="s">
        <v>14</v>
      </c>
      <c r="E2678" t="s">
        <v>32</v>
      </c>
      <c r="F2678">
        <v>0</v>
      </c>
      <c r="G2678" s="14">
        <v>0</v>
      </c>
      <c r="H2678" s="14">
        <v>0</v>
      </c>
      <c r="I2678" s="14">
        <v>4.7433845046240801E-20</v>
      </c>
      <c r="J2678" s="14">
        <v>-4.7433845046240801E-20</v>
      </c>
      <c r="K2678" s="14">
        <v>3.1684018347259398E-20</v>
      </c>
      <c r="L2678" s="14">
        <v>1.5842009173629699E-20</v>
      </c>
      <c r="M2678" s="14">
        <v>2.1122678898172801E-20</v>
      </c>
      <c r="N2678" s="14">
        <v>4.7526027520889103E-20</v>
      </c>
      <c r="O2678" s="14">
        <v>4.2245357796346102E-20</v>
      </c>
      <c r="P2678" s="14">
        <v>-3.6964688071802699E-20</v>
      </c>
    </row>
    <row r="2679" spans="1:16" x14ac:dyDescent="0.45">
      <c r="A2679" t="s">
        <v>88</v>
      </c>
      <c r="B2679" t="s">
        <v>29</v>
      </c>
      <c r="C2679" t="s">
        <v>19</v>
      </c>
      <c r="D2679" t="s">
        <v>7</v>
      </c>
      <c r="E2679" t="s">
        <v>32</v>
      </c>
      <c r="F2679" s="14">
        <v>1.9778870803897202E-6</v>
      </c>
      <c r="G2679">
        <v>0</v>
      </c>
      <c r="H2679">
        <v>0</v>
      </c>
      <c r="I2679">
        <v>0</v>
      </c>
      <c r="J2679">
        <v>0</v>
      </c>
      <c r="K2679" s="14">
        <v>2.0534727295985702E-6</v>
      </c>
      <c r="L2679" s="14">
        <v>3.6585000211481798E-7</v>
      </c>
      <c r="M2679" s="14">
        <v>7.3073427693199795E-8</v>
      </c>
      <c r="N2679" s="14">
        <v>5.3525424952907902E-9</v>
      </c>
      <c r="O2679" s="14">
        <v>0</v>
      </c>
      <c r="P2679">
        <v>0</v>
      </c>
    </row>
    <row r="2680" spans="1:16" x14ac:dyDescent="0.45">
      <c r="A2680" t="s">
        <v>88</v>
      </c>
      <c r="B2680" t="s">
        <v>29</v>
      </c>
      <c r="C2680" t="s">
        <v>19</v>
      </c>
      <c r="D2680" t="s">
        <v>9</v>
      </c>
      <c r="E2680" t="s">
        <v>32</v>
      </c>
      <c r="F2680">
        <v>0</v>
      </c>
      <c r="G2680" s="14">
        <v>0</v>
      </c>
      <c r="H2680" s="14">
        <v>0</v>
      </c>
      <c r="I2680" s="14">
        <v>0</v>
      </c>
      <c r="J2680" s="14">
        <v>1.66605788255994E-7</v>
      </c>
      <c r="K2680" s="14">
        <v>7.9150391479132795E-8</v>
      </c>
      <c r="L2680" s="14">
        <v>4.4089383700350801E-7</v>
      </c>
      <c r="M2680" s="14">
        <v>4.7516687574530602E-7</v>
      </c>
      <c r="N2680" s="14">
        <v>5.2730242491702404E-7</v>
      </c>
      <c r="O2680" s="14">
        <v>5.3265496741231903E-7</v>
      </c>
      <c r="P2680" s="14">
        <v>5.0163072932833503E-7</v>
      </c>
    </row>
    <row r="2681" spans="1:16" x14ac:dyDescent="0.45">
      <c r="A2681" t="s">
        <v>88</v>
      </c>
      <c r="B2681" t="s">
        <v>29</v>
      </c>
      <c r="C2681" t="s">
        <v>19</v>
      </c>
      <c r="D2681" t="s">
        <v>10</v>
      </c>
      <c r="E2681" t="s">
        <v>32</v>
      </c>
      <c r="F2681">
        <v>0</v>
      </c>
      <c r="G2681">
        <v>0</v>
      </c>
      <c r="H2681">
        <v>0</v>
      </c>
      <c r="I2681" s="14">
        <v>0</v>
      </c>
      <c r="J2681" s="14">
        <v>2.1642750605179201E-7</v>
      </c>
      <c r="K2681" s="14">
        <v>4.2256885908279101E-7</v>
      </c>
      <c r="L2681" s="14">
        <v>7.86294581562473E-7</v>
      </c>
      <c r="M2681" s="14">
        <v>6.7694633750888796E-7</v>
      </c>
      <c r="N2681" s="14">
        <v>6.0860901698759501E-6</v>
      </c>
      <c r="O2681" s="14">
        <v>6.5976894992631296E-6</v>
      </c>
      <c r="P2681" s="14">
        <v>6.5964569895476797E-6</v>
      </c>
    </row>
    <row r="2682" spans="1:16" x14ac:dyDescent="0.45">
      <c r="A2682" t="s">
        <v>88</v>
      </c>
      <c r="B2682" t="s">
        <v>29</v>
      </c>
      <c r="C2682" t="s">
        <v>19</v>
      </c>
      <c r="D2682" t="s">
        <v>11</v>
      </c>
      <c r="E2682" t="s">
        <v>32</v>
      </c>
      <c r="F2682">
        <v>0</v>
      </c>
      <c r="G2682">
        <v>0</v>
      </c>
      <c r="H2682">
        <v>0</v>
      </c>
      <c r="I2682" s="14">
        <v>0</v>
      </c>
      <c r="J2682" s="14">
        <v>2.8244696306614902E-7</v>
      </c>
      <c r="K2682" s="14">
        <v>4.3138317750978998E-7</v>
      </c>
      <c r="L2682" s="14">
        <v>7.0831086250034003E-6</v>
      </c>
      <c r="M2682" s="14">
        <v>6.3108980670318602E-6</v>
      </c>
      <c r="N2682" s="14">
        <v>2.0419378699415101E-6</v>
      </c>
      <c r="O2682" s="14">
        <v>1.63664674429317E-6</v>
      </c>
      <c r="P2682" s="14">
        <v>1.82215472053339E-6</v>
      </c>
    </row>
    <row r="2683" spans="1:16" x14ac:dyDescent="0.45">
      <c r="A2683" t="s">
        <v>88</v>
      </c>
      <c r="B2683" t="s">
        <v>29</v>
      </c>
      <c r="C2683" t="s">
        <v>19</v>
      </c>
      <c r="D2683" t="s">
        <v>12</v>
      </c>
      <c r="E2683" t="s">
        <v>32</v>
      </c>
      <c r="F2683">
        <v>0</v>
      </c>
      <c r="G2683" s="14">
        <v>0</v>
      </c>
      <c r="H2683" s="14">
        <v>0</v>
      </c>
      <c r="I2683">
        <v>0</v>
      </c>
      <c r="J2683" s="14">
        <v>5.2124891433864501E-6</v>
      </c>
      <c r="K2683" s="14">
        <v>6.4064295649993704E-6</v>
      </c>
      <c r="L2683" s="14">
        <v>5.3499071252506401E-7</v>
      </c>
      <c r="M2683" s="14">
        <v>1.55023356060331E-6</v>
      </c>
      <c r="N2683" s="14">
        <v>1.23570248319025E-6</v>
      </c>
      <c r="O2683" s="14">
        <v>2.3580343395137402E-6</v>
      </c>
      <c r="P2683" s="14">
        <v>2.4445449024904999E-6</v>
      </c>
    </row>
    <row r="2684" spans="1:16" x14ac:dyDescent="0.45">
      <c r="A2684" t="s">
        <v>88</v>
      </c>
      <c r="B2684" t="s">
        <v>29</v>
      </c>
      <c r="C2684" t="s">
        <v>19</v>
      </c>
      <c r="D2684" t="s">
        <v>13</v>
      </c>
      <c r="E2684" t="s">
        <v>32</v>
      </c>
      <c r="F2684">
        <v>0</v>
      </c>
      <c r="G2684">
        <v>0</v>
      </c>
      <c r="H2684">
        <v>0</v>
      </c>
      <c r="I2684" s="14">
        <v>8.2242243690989798E-6</v>
      </c>
      <c r="J2684" s="14">
        <v>4.6393487612881699E-6</v>
      </c>
      <c r="K2684" s="14">
        <v>7.4701658610365103E-6</v>
      </c>
      <c r="L2684" s="14">
        <v>5.2681047900149097E-6</v>
      </c>
      <c r="M2684" s="14">
        <v>3.4819420566390001E-6</v>
      </c>
      <c r="N2684" s="14">
        <v>2.5240390013374302E-6</v>
      </c>
      <c r="O2684" s="14">
        <v>1.4162119665646401E-6</v>
      </c>
      <c r="P2684" s="14">
        <v>1.46225517183237E-6</v>
      </c>
    </row>
    <row r="2685" spans="1:16" x14ac:dyDescent="0.45">
      <c r="A2685" t="s">
        <v>88</v>
      </c>
      <c r="B2685" t="s">
        <v>29</v>
      </c>
      <c r="C2685" t="s">
        <v>19</v>
      </c>
      <c r="D2685" t="s">
        <v>14</v>
      </c>
      <c r="E2685" t="s">
        <v>32</v>
      </c>
      <c r="F2685">
        <v>0</v>
      </c>
      <c r="G2685" s="14">
        <v>3.9514908252598496E-6</v>
      </c>
      <c r="H2685" s="14">
        <v>3.9514908252598496E-6</v>
      </c>
      <c r="I2685" s="14">
        <v>8.2018812187172307E-6</v>
      </c>
      <c r="J2685" s="14">
        <v>5.7629127221650898E-6</v>
      </c>
      <c r="K2685" s="14">
        <v>-1.52113136716075E-6</v>
      </c>
      <c r="L2685" s="14">
        <v>-1.97936270404218E-6</v>
      </c>
      <c r="M2685" s="14">
        <v>-6.8304113591846503E-7</v>
      </c>
      <c r="N2685" s="14">
        <v>-6.6670743556676296E-7</v>
      </c>
      <c r="O2685" s="14">
        <v>6.4693684078485995E-8</v>
      </c>
      <c r="P2685" s="14">
        <v>7.1951195119197303E-7</v>
      </c>
    </row>
    <row r="2686" spans="1:16" x14ac:dyDescent="0.45">
      <c r="A2686" t="s">
        <v>88</v>
      </c>
      <c r="B2686" t="s">
        <v>5</v>
      </c>
      <c r="C2686" t="s">
        <v>6</v>
      </c>
      <c r="D2686" t="s">
        <v>7</v>
      </c>
      <c r="E2686" t="s">
        <v>32</v>
      </c>
      <c r="F2686" s="14">
        <v>8.9976614504639292E-6</v>
      </c>
      <c r="G2686">
        <v>0</v>
      </c>
      <c r="H2686">
        <v>0</v>
      </c>
      <c r="I2686">
        <v>0</v>
      </c>
      <c r="J2686">
        <v>0</v>
      </c>
      <c r="K2686" s="14">
        <v>2.2748286734890398E-5</v>
      </c>
      <c r="L2686">
        <v>0</v>
      </c>
      <c r="M2686">
        <v>0</v>
      </c>
      <c r="N2686">
        <v>0</v>
      </c>
      <c r="O2686">
        <v>0</v>
      </c>
      <c r="P2686">
        <v>0</v>
      </c>
    </row>
    <row r="2687" spans="1:16" x14ac:dyDescent="0.45">
      <c r="A2687" t="s">
        <v>88</v>
      </c>
      <c r="B2687" t="s">
        <v>5</v>
      </c>
      <c r="C2687" t="s">
        <v>6</v>
      </c>
      <c r="D2687" t="s">
        <v>9</v>
      </c>
      <c r="E2687" t="s">
        <v>32</v>
      </c>
      <c r="F2687">
        <v>0</v>
      </c>
      <c r="G2687" s="14">
        <v>0</v>
      </c>
      <c r="H2687" s="14">
        <v>0</v>
      </c>
      <c r="I2687" s="14">
        <v>0</v>
      </c>
      <c r="J2687" s="14">
        <v>0</v>
      </c>
      <c r="K2687" s="14">
        <v>5.1486498262890801E-5</v>
      </c>
      <c r="L2687" s="14">
        <v>0</v>
      </c>
      <c r="M2687" s="14">
        <v>0</v>
      </c>
      <c r="N2687" s="14">
        <v>0</v>
      </c>
      <c r="O2687" s="14">
        <v>0</v>
      </c>
      <c r="P2687" s="14">
        <v>0</v>
      </c>
    </row>
    <row r="2688" spans="1:16" x14ac:dyDescent="0.45">
      <c r="A2688" t="s">
        <v>88</v>
      </c>
      <c r="B2688" t="s">
        <v>5</v>
      </c>
      <c r="C2688" t="s">
        <v>6</v>
      </c>
      <c r="D2688" t="s">
        <v>10</v>
      </c>
      <c r="E2688" t="s">
        <v>32</v>
      </c>
      <c r="F2688">
        <v>0</v>
      </c>
      <c r="G2688">
        <v>0</v>
      </c>
      <c r="H2688">
        <v>0</v>
      </c>
      <c r="I2688" s="14">
        <v>0</v>
      </c>
      <c r="J2688" s="14">
        <v>0</v>
      </c>
      <c r="K2688" s="14">
        <v>9.7300932236479899E-5</v>
      </c>
      <c r="L2688">
        <v>0</v>
      </c>
      <c r="M2688" s="14">
        <v>7.2158281981025602E-5</v>
      </c>
      <c r="N2688" s="14">
        <v>7.6406649893064396E-4</v>
      </c>
      <c r="O2688">
        <v>1.9753816452359298E-3</v>
      </c>
      <c r="P2688">
        <v>2.2293819559878001E-3</v>
      </c>
    </row>
    <row r="2689" spans="1:16" x14ac:dyDescent="0.45">
      <c r="A2689" t="s">
        <v>88</v>
      </c>
      <c r="B2689" t="s">
        <v>5</v>
      </c>
      <c r="C2689" t="s">
        <v>6</v>
      </c>
      <c r="D2689" t="s">
        <v>11</v>
      </c>
      <c r="E2689" t="s">
        <v>32</v>
      </c>
      <c r="F2689">
        <v>0</v>
      </c>
      <c r="G2689" s="14">
        <v>0</v>
      </c>
      <c r="H2689" s="14">
        <v>0</v>
      </c>
      <c r="I2689" s="14">
        <v>0</v>
      </c>
      <c r="J2689" s="14">
        <v>2.74037418770466E-5</v>
      </c>
      <c r="K2689" s="14">
        <v>2.3396325906160101E-4</v>
      </c>
      <c r="L2689">
        <v>1.3721368596913701E-3</v>
      </c>
      <c r="M2689" s="14">
        <v>2.0149318717064199E-3</v>
      </c>
      <c r="N2689" s="14">
        <v>1.79268674431123E-3</v>
      </c>
      <c r="O2689" s="14">
        <v>1.44729071920626E-3</v>
      </c>
      <c r="P2689">
        <v>3.3031544887096201E-3</v>
      </c>
    </row>
    <row r="2690" spans="1:16" x14ac:dyDescent="0.45">
      <c r="A2690" t="s">
        <v>88</v>
      </c>
      <c r="B2690" t="s">
        <v>5</v>
      </c>
      <c r="C2690" t="s">
        <v>6</v>
      </c>
      <c r="D2690" t="s">
        <v>12</v>
      </c>
      <c r="E2690" t="s">
        <v>32</v>
      </c>
      <c r="F2690">
        <v>0</v>
      </c>
      <c r="G2690" s="14">
        <v>0</v>
      </c>
      <c r="H2690" s="14">
        <v>0</v>
      </c>
      <c r="I2690" s="14">
        <v>0</v>
      </c>
      <c r="J2690" s="14">
        <v>1.1799279879180101E-3</v>
      </c>
      <c r="K2690" s="14">
        <v>2.432600493736E-3</v>
      </c>
      <c r="L2690" s="14">
        <v>2.2154364131381598E-3</v>
      </c>
      <c r="M2690" s="14">
        <v>3.93452418297456E-3</v>
      </c>
      <c r="N2690" s="14">
        <v>5.7311763590341801E-3</v>
      </c>
      <c r="O2690" s="14">
        <v>6.9393478589325598E-3</v>
      </c>
      <c r="P2690" s="14">
        <v>6.5790012661324903E-3</v>
      </c>
    </row>
    <row r="2691" spans="1:16" x14ac:dyDescent="0.45">
      <c r="A2691" t="s">
        <v>88</v>
      </c>
      <c r="B2691" t="s">
        <v>5</v>
      </c>
      <c r="C2691" t="s">
        <v>6</v>
      </c>
      <c r="D2691" t="s">
        <v>13</v>
      </c>
      <c r="E2691" t="s">
        <v>32</v>
      </c>
      <c r="F2691">
        <v>0</v>
      </c>
      <c r="G2691" s="14">
        <v>0</v>
      </c>
      <c r="H2691" s="14">
        <v>0</v>
      </c>
      <c r="I2691" s="14">
        <v>2.2350370780502599E-3</v>
      </c>
      <c r="J2691" s="14">
        <v>4.00128883920406E-3</v>
      </c>
      <c r="K2691" s="14">
        <v>4.7260956953715499E-3</v>
      </c>
      <c r="L2691" s="14">
        <v>6.0329153226721397E-3</v>
      </c>
      <c r="M2691" s="14">
        <v>5.45054231165741E-3</v>
      </c>
      <c r="N2691" s="14">
        <v>4.7250706105378196E-3</v>
      </c>
      <c r="O2691" s="14">
        <v>4.0056918850835104E-3</v>
      </c>
      <c r="P2691" s="14">
        <v>4.1965822252828296E-3</v>
      </c>
    </row>
    <row r="2692" spans="1:16" x14ac:dyDescent="0.45">
      <c r="A2692" t="s">
        <v>88</v>
      </c>
      <c r="B2692" t="s">
        <v>5</v>
      </c>
      <c r="C2692" t="s">
        <v>6</v>
      </c>
      <c r="D2692" t="s">
        <v>14</v>
      </c>
      <c r="E2692" t="s">
        <v>32</v>
      </c>
      <c r="F2692">
        <v>0</v>
      </c>
      <c r="G2692" s="14">
        <v>3.6352808852231701E-5</v>
      </c>
      <c r="H2692" s="14">
        <v>3.6352808852231701E-5</v>
      </c>
      <c r="I2692" s="14">
        <v>4.3028184468289401E-3</v>
      </c>
      <c r="J2692" s="14">
        <v>3.6946197830490602E-3</v>
      </c>
      <c r="K2692" s="14">
        <v>4.29097089316334E-3</v>
      </c>
      <c r="L2692" s="14">
        <v>5.2458748650115201E-3</v>
      </c>
      <c r="M2692" s="14">
        <v>5.7879719025583703E-3</v>
      </c>
      <c r="N2692" s="14">
        <v>6.7688634615630499E-3</v>
      </c>
      <c r="O2692" s="14">
        <v>7.2632577477676399E-3</v>
      </c>
      <c r="P2692" s="14">
        <v>6.9539726609515896E-3</v>
      </c>
    </row>
    <row r="2693" spans="1:16" x14ac:dyDescent="0.45">
      <c r="A2693" t="s">
        <v>88</v>
      </c>
      <c r="B2693" t="s">
        <v>5</v>
      </c>
      <c r="C2693" t="s">
        <v>15</v>
      </c>
      <c r="D2693" t="s">
        <v>7</v>
      </c>
      <c r="E2693" t="s">
        <v>32</v>
      </c>
      <c r="F2693">
        <v>3.3166857349322199E-3</v>
      </c>
      <c r="G2693" s="14">
        <v>4.78250522472969E-3</v>
      </c>
      <c r="H2693" s="14">
        <v>4.78250522472969E-3</v>
      </c>
      <c r="I2693" s="14">
        <v>5.8877675455957998E-3</v>
      </c>
      <c r="J2693" s="14">
        <v>6.7563780706931097E-3</v>
      </c>
      <c r="K2693">
        <v>7.5418404142293602E-3</v>
      </c>
      <c r="L2693" s="14">
        <v>7.7744672891294003E-3</v>
      </c>
      <c r="M2693" s="14">
        <v>7.9589956573017998E-3</v>
      </c>
      <c r="N2693">
        <v>8.1220024513310399E-3</v>
      </c>
      <c r="O2693" s="14">
        <v>8.2762523089619996E-3</v>
      </c>
      <c r="P2693" s="14">
        <v>8.39244115898506E-3</v>
      </c>
    </row>
    <row r="2694" spans="1:16" x14ac:dyDescent="0.45">
      <c r="A2694" t="s">
        <v>88</v>
      </c>
      <c r="B2694" t="s">
        <v>5</v>
      </c>
      <c r="C2694" t="s">
        <v>15</v>
      </c>
      <c r="D2694" t="s">
        <v>9</v>
      </c>
      <c r="E2694" t="s">
        <v>32</v>
      </c>
      <c r="F2694">
        <v>0</v>
      </c>
      <c r="G2694" s="14">
        <v>-9.6382143273407803E-6</v>
      </c>
      <c r="H2694" s="14">
        <v>-9.6382143273407803E-6</v>
      </c>
      <c r="I2694" s="14">
        <v>-2.25837980853275E-5</v>
      </c>
      <c r="J2694" s="14">
        <v>9.0302126589478904E-6</v>
      </c>
      <c r="K2694" s="14">
        <v>1.8624926287824301E-6</v>
      </c>
      <c r="L2694" s="14">
        <v>1.7797865535823601E-3</v>
      </c>
      <c r="M2694" s="14">
        <v>2.2516646720764102E-3</v>
      </c>
      <c r="N2694" s="14">
        <v>2.67536840884379E-3</v>
      </c>
      <c r="O2694" s="14">
        <v>3.0123418746307901E-3</v>
      </c>
      <c r="P2694">
        <v>3.3314584863592101E-3</v>
      </c>
    </row>
    <row r="2695" spans="1:16" x14ac:dyDescent="0.45">
      <c r="A2695" t="s">
        <v>88</v>
      </c>
      <c r="B2695" t="s">
        <v>5</v>
      </c>
      <c r="C2695" t="s">
        <v>15</v>
      </c>
      <c r="D2695" t="s">
        <v>10</v>
      </c>
      <c r="E2695" t="s">
        <v>32</v>
      </c>
      <c r="F2695">
        <v>0</v>
      </c>
      <c r="G2695">
        <v>0</v>
      </c>
      <c r="H2695">
        <v>0</v>
      </c>
      <c r="I2695" s="14">
        <v>-4.3007029083145001E-6</v>
      </c>
      <c r="J2695" s="14">
        <v>-1.77541053524057E-5</v>
      </c>
      <c r="K2695" s="14">
        <v>1.0225271487548399E-3</v>
      </c>
      <c r="L2695" s="14">
        <v>-5.0361755025391703E-5</v>
      </c>
      <c r="M2695" s="14">
        <v>-2.3812149138378501E-5</v>
      </c>
      <c r="N2695" s="14">
        <v>3.9872373254843497E-5</v>
      </c>
      <c r="O2695">
        <v>1.52781047273612E-4</v>
      </c>
      <c r="P2695">
        <v>2.2085960634940499E-4</v>
      </c>
    </row>
    <row r="2696" spans="1:16" x14ac:dyDescent="0.45">
      <c r="A2696" t="s">
        <v>88</v>
      </c>
      <c r="B2696" t="s">
        <v>5</v>
      </c>
      <c r="C2696" t="s">
        <v>15</v>
      </c>
      <c r="D2696" t="s">
        <v>11</v>
      </c>
      <c r="E2696" t="s">
        <v>32</v>
      </c>
      <c r="F2696">
        <v>0</v>
      </c>
      <c r="G2696">
        <v>0</v>
      </c>
      <c r="H2696">
        <v>0</v>
      </c>
      <c r="I2696" s="14">
        <v>6.9859406504830004E-6</v>
      </c>
      <c r="J2696" s="14">
        <v>7.9241285221487597E-4</v>
      </c>
      <c r="K2696" s="14">
        <v>2.4095927561309E-5</v>
      </c>
      <c r="L2696">
        <v>1.0584279095549399E-4</v>
      </c>
      <c r="M2696">
        <v>1.8622877887506899E-4</v>
      </c>
      <c r="N2696" s="14">
        <v>1.4774622107143601E-4</v>
      </c>
      <c r="O2696" s="14">
        <v>3.2064743901471703E-5</v>
      </c>
      <c r="P2696" s="14">
        <v>-1.00462119696517E-4</v>
      </c>
    </row>
    <row r="2697" spans="1:16" x14ac:dyDescent="0.45">
      <c r="A2697" t="s">
        <v>88</v>
      </c>
      <c r="B2697" t="s">
        <v>5</v>
      </c>
      <c r="C2697" t="s">
        <v>15</v>
      </c>
      <c r="D2697" t="s">
        <v>12</v>
      </c>
      <c r="E2697" t="s">
        <v>32</v>
      </c>
      <c r="F2697">
        <v>0</v>
      </c>
      <c r="G2697" s="14">
        <v>-4.6133489516823204E-6</v>
      </c>
      <c r="H2697" s="14">
        <v>-4.6133489516823204E-6</v>
      </c>
      <c r="I2697" s="14">
        <v>8.7571917571754496E-4</v>
      </c>
      <c r="J2697" s="14">
        <v>9.02144736423015E-5</v>
      </c>
      <c r="K2697">
        <v>1.74612840243542E-4</v>
      </c>
      <c r="L2697" s="14">
        <v>-4.1079884824379901E-7</v>
      </c>
      <c r="M2697" s="14">
        <v>-7.7586592400039802E-5</v>
      </c>
      <c r="N2697" s="14">
        <v>-1.47720210023574E-4</v>
      </c>
      <c r="O2697" s="14">
        <v>-2.33440446169249E-4</v>
      </c>
      <c r="P2697" s="14">
        <v>-2.8453126185281502E-4</v>
      </c>
    </row>
    <row r="2698" spans="1:16" x14ac:dyDescent="0.45">
      <c r="A2698" t="s">
        <v>88</v>
      </c>
      <c r="B2698" t="s">
        <v>5</v>
      </c>
      <c r="C2698" t="s">
        <v>15</v>
      </c>
      <c r="D2698" t="s">
        <v>13</v>
      </c>
      <c r="E2698" t="s">
        <v>32</v>
      </c>
      <c r="F2698">
        <v>0</v>
      </c>
      <c r="G2698" s="14">
        <v>3.10768602982694E-4</v>
      </c>
      <c r="H2698" s="14">
        <v>3.10768602982694E-4</v>
      </c>
      <c r="I2698">
        <v>-3.6080265025306902E-4</v>
      </c>
      <c r="J2698" s="14">
        <v>-2.2739264589555501E-4</v>
      </c>
      <c r="K2698" s="14">
        <v>-2.8704811895776701E-4</v>
      </c>
      <c r="L2698" s="14">
        <v>-4.5621961505072498E-4</v>
      </c>
      <c r="M2698" s="14">
        <v>-6.3332996911526196E-4</v>
      </c>
      <c r="N2698" s="14">
        <v>-7.16381340535767E-4</v>
      </c>
      <c r="O2698" s="14">
        <v>-7.9000318278554598E-4</v>
      </c>
      <c r="P2698" s="14">
        <v>-8.8183772178212399E-4</v>
      </c>
    </row>
    <row r="2699" spans="1:16" x14ac:dyDescent="0.45">
      <c r="A2699" t="s">
        <v>88</v>
      </c>
      <c r="B2699" t="s">
        <v>5</v>
      </c>
      <c r="C2699" t="s">
        <v>15</v>
      </c>
      <c r="D2699" t="s">
        <v>14</v>
      </c>
      <c r="E2699" t="s">
        <v>32</v>
      </c>
      <c r="F2699">
        <v>0</v>
      </c>
      <c r="G2699" s="14">
        <v>-9.1044840014256305E-5</v>
      </c>
      <c r="H2699" s="14">
        <v>-9.1044840014256305E-5</v>
      </c>
      <c r="I2699" s="14">
        <v>-3.4646845676704899E-4</v>
      </c>
      <c r="J2699" s="14">
        <v>-4.5590621873117299E-4</v>
      </c>
      <c r="K2699" s="14">
        <v>-7.3123002641542001E-4</v>
      </c>
      <c r="L2699" s="14">
        <v>-8.5595659113658603E-4</v>
      </c>
      <c r="M2699" s="14">
        <v>-9.5399241754333896E-4</v>
      </c>
      <c r="N2699" s="14">
        <v>-1.0902264963143699E-3</v>
      </c>
      <c r="O2699" s="14">
        <v>-1.1708899606124299E-3</v>
      </c>
      <c r="P2699" s="14">
        <v>-1.25472647776925E-3</v>
      </c>
    </row>
    <row r="2700" spans="1:16" x14ac:dyDescent="0.45">
      <c r="A2700" t="s">
        <v>88</v>
      </c>
      <c r="B2700" t="s">
        <v>5</v>
      </c>
      <c r="C2700" t="s">
        <v>16</v>
      </c>
      <c r="D2700" t="s">
        <v>7</v>
      </c>
      <c r="E2700" t="s">
        <v>32</v>
      </c>
      <c r="F2700">
        <v>5.2130687804566702E-3</v>
      </c>
      <c r="G2700">
        <v>6.3148552574835096E-3</v>
      </c>
      <c r="H2700">
        <v>6.3148552574835096E-3</v>
      </c>
      <c r="I2700">
        <v>3.2237044606906202E-3</v>
      </c>
      <c r="J2700">
        <v>1.8098263691710701E-3</v>
      </c>
      <c r="K2700">
        <v>1.8098263691710701E-3</v>
      </c>
      <c r="L2700">
        <v>1.8098263691710701E-3</v>
      </c>
      <c r="M2700">
        <v>1.8098263691710701E-3</v>
      </c>
      <c r="N2700">
        <v>1.8098263691710701E-3</v>
      </c>
      <c r="O2700" s="14">
        <v>1.8098263691710701E-3</v>
      </c>
      <c r="P2700" s="14">
        <v>1.8098263691710701E-3</v>
      </c>
    </row>
    <row r="2701" spans="1:16" x14ac:dyDescent="0.45">
      <c r="A2701" t="s">
        <v>88</v>
      </c>
      <c r="B2701" t="s">
        <v>5</v>
      </c>
      <c r="C2701" t="s">
        <v>16</v>
      </c>
      <c r="D2701" t="s">
        <v>9</v>
      </c>
      <c r="E2701" t="s">
        <v>32</v>
      </c>
      <c r="F2701">
        <v>0</v>
      </c>
      <c r="G2701" s="14">
        <v>2.80638105078484E-6</v>
      </c>
      <c r="H2701" s="14">
        <v>2.80638105078484E-6</v>
      </c>
      <c r="I2701" s="14">
        <v>2.8051051734938698E-6</v>
      </c>
      <c r="J2701" s="14">
        <v>2.8051050696374898E-6</v>
      </c>
      <c r="K2701" s="14">
        <v>2.8051050696374898E-6</v>
      </c>
      <c r="L2701" s="14">
        <v>2.8051050696374898E-6</v>
      </c>
      <c r="M2701" s="14">
        <v>2.8051050696374898E-6</v>
      </c>
      <c r="N2701" s="14">
        <v>2.8051050696374898E-6</v>
      </c>
      <c r="O2701" s="14">
        <v>2.8051050696374898E-6</v>
      </c>
      <c r="P2701" s="14">
        <v>2.8051050696374898E-6</v>
      </c>
    </row>
    <row r="2702" spans="1:16" x14ac:dyDescent="0.45">
      <c r="A2702" t="s">
        <v>88</v>
      </c>
      <c r="B2702" t="s">
        <v>5</v>
      </c>
      <c r="C2702" t="s">
        <v>16</v>
      </c>
      <c r="D2702" t="s">
        <v>10</v>
      </c>
      <c r="E2702" t="s">
        <v>32</v>
      </c>
      <c r="F2702">
        <v>0</v>
      </c>
      <c r="G2702">
        <v>0</v>
      </c>
      <c r="H2702">
        <v>0</v>
      </c>
      <c r="I2702">
        <v>0</v>
      </c>
      <c r="J2702">
        <v>0</v>
      </c>
      <c r="K2702" s="14">
        <v>0</v>
      </c>
      <c r="L2702" s="14">
        <v>0</v>
      </c>
      <c r="M2702" s="14">
        <v>0</v>
      </c>
      <c r="N2702" s="14">
        <v>0</v>
      </c>
      <c r="O2702" s="14">
        <v>0</v>
      </c>
      <c r="P2702" s="14">
        <v>0</v>
      </c>
    </row>
    <row r="2703" spans="1:16" x14ac:dyDescent="0.45">
      <c r="A2703" t="s">
        <v>88</v>
      </c>
      <c r="B2703" t="s">
        <v>5</v>
      </c>
      <c r="C2703" t="s">
        <v>16</v>
      </c>
      <c r="D2703" t="s">
        <v>11</v>
      </c>
      <c r="E2703" t="s">
        <v>32</v>
      </c>
      <c r="F2703">
        <v>0</v>
      </c>
      <c r="G2703" s="14">
        <v>1.7347234759768099E-17</v>
      </c>
      <c r="H2703" s="14">
        <v>1.7347234759768099E-17</v>
      </c>
      <c r="I2703" s="14">
        <v>0</v>
      </c>
      <c r="J2703" s="14">
        <v>0</v>
      </c>
      <c r="K2703" s="14">
        <v>0</v>
      </c>
      <c r="L2703" s="14">
        <v>0</v>
      </c>
      <c r="M2703" s="14">
        <v>0</v>
      </c>
      <c r="N2703" s="14">
        <v>0</v>
      </c>
      <c r="O2703" s="14">
        <v>0</v>
      </c>
      <c r="P2703" s="14">
        <v>0</v>
      </c>
    </row>
    <row r="2704" spans="1:16" x14ac:dyDescent="0.45">
      <c r="A2704" t="s">
        <v>88</v>
      </c>
      <c r="B2704" t="s">
        <v>5</v>
      </c>
      <c r="C2704" t="s">
        <v>16</v>
      </c>
      <c r="D2704" t="s">
        <v>12</v>
      </c>
      <c r="E2704" t="s">
        <v>32</v>
      </c>
      <c r="F2704">
        <v>0</v>
      </c>
      <c r="G2704" s="14">
        <v>5.3765644650082303E-6</v>
      </c>
      <c r="H2704" s="14">
        <v>5.3765644650082303E-6</v>
      </c>
      <c r="I2704" s="14">
        <v>5.3741057003393704E-6</v>
      </c>
      <c r="J2704" s="14">
        <v>5.3741055002414001E-6</v>
      </c>
      <c r="K2704" s="14">
        <v>5.3741055002414001E-6</v>
      </c>
      <c r="L2704" s="14">
        <v>5.3741055002414001E-6</v>
      </c>
      <c r="M2704" s="14">
        <v>5.3741055002414001E-6</v>
      </c>
      <c r="N2704" s="14">
        <v>5.5793438624668398E-6</v>
      </c>
      <c r="O2704" s="14">
        <v>5.7947858118150798E-6</v>
      </c>
      <c r="P2704" s="14">
        <v>6.0090146855322698E-6</v>
      </c>
    </row>
    <row r="2705" spans="1:16" x14ac:dyDescent="0.45">
      <c r="A2705" t="s">
        <v>88</v>
      </c>
      <c r="B2705" t="s">
        <v>5</v>
      </c>
      <c r="C2705" t="s">
        <v>16</v>
      </c>
      <c r="D2705" t="s">
        <v>13</v>
      </c>
      <c r="E2705" t="s">
        <v>32</v>
      </c>
      <c r="F2705">
        <v>0</v>
      </c>
      <c r="G2705" s="14">
        <v>-8.1829455158104192E-6</v>
      </c>
      <c r="H2705" s="14">
        <v>-8.1829455158104192E-6</v>
      </c>
      <c r="I2705" s="14">
        <v>-8.1792108738332394E-6</v>
      </c>
      <c r="J2705" s="14">
        <v>-7.9739669544688501E-6</v>
      </c>
      <c r="K2705" s="14">
        <v>-7.5442851336950398E-6</v>
      </c>
      <c r="L2705" s="14">
        <v>-7.5442851336950398E-6</v>
      </c>
      <c r="M2705" s="14">
        <v>-7.5442851336950398E-6</v>
      </c>
      <c r="N2705" s="14">
        <v>-7.7495234959204795E-6</v>
      </c>
      <c r="O2705" s="14">
        <v>-7.9649654452687101E-6</v>
      </c>
      <c r="P2705" s="14">
        <v>-8.1791943189858992E-6</v>
      </c>
    </row>
    <row r="2706" spans="1:16" x14ac:dyDescent="0.45">
      <c r="A2706" t="s">
        <v>88</v>
      </c>
      <c r="B2706" t="s">
        <v>5</v>
      </c>
      <c r="C2706" t="s">
        <v>16</v>
      </c>
      <c r="D2706" t="s">
        <v>14</v>
      </c>
      <c r="E2706" t="s">
        <v>32</v>
      </c>
      <c r="F2706">
        <v>0</v>
      </c>
      <c r="G2706" s="14">
        <v>-9.7144093339557001E-6</v>
      </c>
      <c r="H2706" s="14">
        <v>-9.7144093339557001E-6</v>
      </c>
      <c r="I2706" s="14">
        <v>-2.0631194087763301E-8</v>
      </c>
      <c r="J2706" s="14">
        <v>1.9202973959727399E-7</v>
      </c>
      <c r="K2706" s="14">
        <v>-2.3765208117653601E-7</v>
      </c>
      <c r="L2706" s="14">
        <v>-2.3765208117653601E-7</v>
      </c>
      <c r="M2706" s="14">
        <v>-2.3765208117653601E-7</v>
      </c>
      <c r="N2706" s="14">
        <v>-2.3765208117653601E-7</v>
      </c>
      <c r="O2706" s="14">
        <v>-2.3765208117653601E-7</v>
      </c>
      <c r="P2706" s="14">
        <v>-2.3765208117653601E-7</v>
      </c>
    </row>
    <row r="2707" spans="1:16" x14ac:dyDescent="0.45">
      <c r="A2707" t="s">
        <v>88</v>
      </c>
      <c r="B2707" t="s">
        <v>5</v>
      </c>
      <c r="C2707" t="s">
        <v>17</v>
      </c>
      <c r="D2707" t="s">
        <v>7</v>
      </c>
      <c r="E2707" t="s">
        <v>32</v>
      </c>
      <c r="F2707" s="14">
        <v>8.7063945789393998E-4</v>
      </c>
      <c r="G2707" s="14">
        <v>1.0144217465984399E-3</v>
      </c>
      <c r="H2707" s="14">
        <v>1.0144217465984399E-3</v>
      </c>
      <c r="I2707">
        <v>1.1036915390462601E-3</v>
      </c>
      <c r="J2707">
        <v>1.1036993099638899E-3</v>
      </c>
      <c r="K2707" s="14">
        <v>1.1036993099638899E-3</v>
      </c>
      <c r="L2707" s="14">
        <v>1.1036993099638899E-3</v>
      </c>
      <c r="M2707" s="14">
        <v>1.1036993099638899E-3</v>
      </c>
      <c r="N2707" s="14">
        <v>1.1036993099638899E-3</v>
      </c>
      <c r="O2707" s="14">
        <v>1.1036993099638899E-3</v>
      </c>
      <c r="P2707" s="14">
        <v>1.1036993099638899E-3</v>
      </c>
    </row>
    <row r="2708" spans="1:16" x14ac:dyDescent="0.45">
      <c r="A2708" t="s">
        <v>88</v>
      </c>
      <c r="B2708" t="s">
        <v>5</v>
      </c>
      <c r="C2708" t="s">
        <v>17</v>
      </c>
      <c r="D2708" t="s">
        <v>9</v>
      </c>
      <c r="E2708" t="s">
        <v>32</v>
      </c>
      <c r="F2708">
        <v>0</v>
      </c>
      <c r="G2708" s="14">
        <v>1.7624709355333999E-6</v>
      </c>
      <c r="H2708" s="14">
        <v>1.7624709355333999E-6</v>
      </c>
      <c r="I2708" s="14">
        <v>1.7616903522767301E-6</v>
      </c>
      <c r="J2708" s="14">
        <v>1.76169028432631E-6</v>
      </c>
      <c r="K2708" s="14">
        <v>1.7616902843295601E-6</v>
      </c>
      <c r="L2708" s="14">
        <v>1.3569038444619899E-4</v>
      </c>
      <c r="M2708" s="14">
        <v>1.09907540174074E-4</v>
      </c>
      <c r="N2708" s="14">
        <v>1.17680784928597E-4</v>
      </c>
      <c r="O2708" s="14">
        <v>1.3535622813260701E-4</v>
      </c>
      <c r="P2708">
        <v>2.0709985226102001E-4</v>
      </c>
    </row>
    <row r="2709" spans="1:16" x14ac:dyDescent="0.45">
      <c r="A2709" t="s">
        <v>88</v>
      </c>
      <c r="B2709" t="s">
        <v>5</v>
      </c>
      <c r="C2709" t="s">
        <v>17</v>
      </c>
      <c r="D2709" t="s">
        <v>10</v>
      </c>
      <c r="E2709" t="s">
        <v>32</v>
      </c>
      <c r="F2709">
        <v>0</v>
      </c>
      <c r="G2709">
        <v>0</v>
      </c>
      <c r="H2709">
        <v>0</v>
      </c>
      <c r="I2709">
        <v>0</v>
      </c>
      <c r="J2709" s="14">
        <v>1.5178830414797101E-18</v>
      </c>
      <c r="K2709" s="14">
        <v>9.3189594394417399E-5</v>
      </c>
      <c r="L2709" s="14">
        <v>-3.9048204368004598E-5</v>
      </c>
      <c r="M2709">
        <v>5.0131212178018095E-4</v>
      </c>
      <c r="N2709">
        <v>8.9263458557742499E-4</v>
      </c>
      <c r="O2709">
        <v>8.8290353478412702E-4</v>
      </c>
      <c r="P2709">
        <v>8.11159910655715E-4</v>
      </c>
    </row>
    <row r="2710" spans="1:16" x14ac:dyDescent="0.45">
      <c r="A2710" t="s">
        <v>88</v>
      </c>
      <c r="B2710" t="s">
        <v>5</v>
      </c>
      <c r="C2710" t="s">
        <v>17</v>
      </c>
      <c r="D2710" t="s">
        <v>11</v>
      </c>
      <c r="E2710" t="s">
        <v>32</v>
      </c>
      <c r="F2710">
        <v>0</v>
      </c>
      <c r="G2710">
        <v>0</v>
      </c>
      <c r="H2710">
        <v>0</v>
      </c>
      <c r="I2710">
        <v>0</v>
      </c>
      <c r="J2710" s="14">
        <v>2.8975007550722901E-5</v>
      </c>
      <c r="K2710">
        <v>6.0650534806197596E-4</v>
      </c>
      <c r="L2710">
        <v>9.1366669262944397E-4</v>
      </c>
      <c r="M2710">
        <v>4.06891847383162E-4</v>
      </c>
      <c r="N2710" s="14">
        <v>7.7961388314138295E-6</v>
      </c>
      <c r="O2710" s="14">
        <v>6.1865321147186501E-7</v>
      </c>
      <c r="P2710" s="14">
        <v>5.2464234947414301E-6</v>
      </c>
    </row>
    <row r="2711" spans="1:16" x14ac:dyDescent="0.45">
      <c r="A2711" t="s">
        <v>88</v>
      </c>
      <c r="B2711" t="s">
        <v>5</v>
      </c>
      <c r="C2711" t="s">
        <v>17</v>
      </c>
      <c r="D2711" t="s">
        <v>12</v>
      </c>
      <c r="E2711" t="s">
        <v>32</v>
      </c>
      <c r="F2711">
        <v>0</v>
      </c>
      <c r="G2711" s="14">
        <v>3.3766043994471902E-6</v>
      </c>
      <c r="H2711" s="14">
        <v>3.3766043994471902E-6</v>
      </c>
      <c r="I2711" s="14">
        <v>3.37510012429461E-6</v>
      </c>
      <c r="J2711">
        <v>9.6670474129678804E-4</v>
      </c>
      <c r="K2711">
        <v>3.21427073908094E-4</v>
      </c>
      <c r="L2711" s="14">
        <v>1.6602214103530201E-5</v>
      </c>
      <c r="M2711" s="14">
        <v>1.5976033130654501E-5</v>
      </c>
      <c r="N2711" s="14">
        <v>2.3016237125665699E-5</v>
      </c>
      <c r="O2711" s="14">
        <v>2.4485660858609E-5</v>
      </c>
      <c r="P2711" s="14">
        <v>2.60677323642281E-5</v>
      </c>
    </row>
    <row r="2712" spans="1:16" x14ac:dyDescent="0.45">
      <c r="A2712" t="s">
        <v>88</v>
      </c>
      <c r="B2712" t="s">
        <v>5</v>
      </c>
      <c r="C2712" t="s">
        <v>17</v>
      </c>
      <c r="D2712" t="s">
        <v>13</v>
      </c>
      <c r="E2712" t="s">
        <v>32</v>
      </c>
      <c r="F2712">
        <v>0</v>
      </c>
      <c r="G2712" s="14">
        <v>-5.1390753349805797E-6</v>
      </c>
      <c r="H2712" s="14">
        <v>-5.1390753349805797E-6</v>
      </c>
      <c r="I2712">
        <v>1.0164620401128101E-3</v>
      </c>
      <c r="J2712" s="14">
        <v>3.8642456128490203E-5</v>
      </c>
      <c r="K2712" s="14">
        <v>2.13698843157832E-5</v>
      </c>
      <c r="L2712" s="14">
        <v>1.7689945193889299E-5</v>
      </c>
      <c r="M2712" s="14">
        <v>1.9089784313616999E-5</v>
      </c>
      <c r="N2712" s="14">
        <v>1.2221447106799299E-5</v>
      </c>
      <c r="O2712" s="14">
        <v>9.9851165830835802E-6</v>
      </c>
      <c r="P2712" s="14">
        <v>4.32073091020859E-6</v>
      </c>
    </row>
    <row r="2713" spans="1:16" x14ac:dyDescent="0.45">
      <c r="A2713" t="s">
        <v>88</v>
      </c>
      <c r="B2713" t="s">
        <v>5</v>
      </c>
      <c r="C2713" t="s">
        <v>17</v>
      </c>
      <c r="D2713" t="s">
        <v>14</v>
      </c>
      <c r="E2713" t="s">
        <v>32</v>
      </c>
      <c r="F2713">
        <v>0</v>
      </c>
      <c r="G2713" s="14">
        <v>-5.8888186275120299E-6</v>
      </c>
      <c r="H2713" s="14">
        <v>-5.8888186275120299E-6</v>
      </c>
      <c r="I2713" s="14">
        <v>1.4761710461135499E-5</v>
      </c>
      <c r="J2713" s="14">
        <v>1.39066167852133E-5</v>
      </c>
      <c r="K2713" s="14">
        <v>9.0348605533631595E-6</v>
      </c>
      <c r="L2713" s="14">
        <v>9.23287117252569E-6</v>
      </c>
      <c r="M2713" s="14">
        <v>8.9807662847921403E-7</v>
      </c>
      <c r="N2713" s="14">
        <v>7.3510674370716098E-7</v>
      </c>
      <c r="O2713" s="14">
        <v>7.5554114161010805E-7</v>
      </c>
      <c r="P2713" s="14">
        <v>2.41556747595725E-7</v>
      </c>
    </row>
    <row r="2714" spans="1:16" x14ac:dyDescent="0.45">
      <c r="A2714" t="s">
        <v>88</v>
      </c>
      <c r="B2714" t="s">
        <v>5</v>
      </c>
      <c r="C2714" t="s">
        <v>18</v>
      </c>
      <c r="D2714" t="s">
        <v>7</v>
      </c>
      <c r="E2714" t="s">
        <v>32</v>
      </c>
      <c r="F2714">
        <v>5.4630118247890897E-3</v>
      </c>
      <c r="G2714">
        <v>4.1034538584744599E-3</v>
      </c>
      <c r="H2714">
        <v>4.1034538584744599E-3</v>
      </c>
      <c r="I2714">
        <v>1.5044866881084101E-3</v>
      </c>
      <c r="J2714">
        <v>6.1475154624842699E-4</v>
      </c>
      <c r="K2714">
        <v>0</v>
      </c>
      <c r="L2714">
        <v>0</v>
      </c>
      <c r="M2714" s="14">
        <v>0</v>
      </c>
      <c r="N2714">
        <v>0</v>
      </c>
      <c r="O2714" s="14">
        <v>9.2494545463770701E-19</v>
      </c>
      <c r="P2714" s="14">
        <v>1.6186545456159901E-18</v>
      </c>
    </row>
    <row r="2715" spans="1:16" x14ac:dyDescent="0.45">
      <c r="A2715" t="s">
        <v>88</v>
      </c>
      <c r="B2715" t="s">
        <v>5</v>
      </c>
      <c r="C2715" t="s">
        <v>18</v>
      </c>
      <c r="D2715" t="s">
        <v>9</v>
      </c>
      <c r="E2715" t="s">
        <v>32</v>
      </c>
      <c r="F2715">
        <v>0</v>
      </c>
      <c r="G2715" s="14">
        <v>1.6479873021779701E-17</v>
      </c>
      <c r="H2715" s="14">
        <v>1.6479873021779701E-17</v>
      </c>
      <c r="I2715">
        <v>0</v>
      </c>
      <c r="J2715" s="14">
        <v>1.7347234759768102E-18</v>
      </c>
      <c r="K2715" s="14">
        <v>0</v>
      </c>
      <c r="L2715" s="14">
        <v>2.31236363659428E-19</v>
      </c>
      <c r="M2715" s="14">
        <v>2.7748363639131098E-18</v>
      </c>
      <c r="N2715" s="14">
        <v>4.6247272731885398E-19</v>
      </c>
      <c r="O2715" s="14">
        <v>1.3874181819565699E-18</v>
      </c>
      <c r="P2715" s="14">
        <v>-4.6247272731885398E-19</v>
      </c>
    </row>
    <row r="2716" spans="1:16" x14ac:dyDescent="0.45">
      <c r="A2716" t="s">
        <v>88</v>
      </c>
      <c r="B2716" t="s">
        <v>5</v>
      </c>
      <c r="C2716" t="s">
        <v>18</v>
      </c>
      <c r="D2716" t="s">
        <v>10</v>
      </c>
      <c r="E2716" t="s">
        <v>32</v>
      </c>
      <c r="F2716">
        <v>0</v>
      </c>
      <c r="G2716">
        <v>0</v>
      </c>
      <c r="H2716">
        <v>0</v>
      </c>
      <c r="I2716" s="14">
        <v>0</v>
      </c>
      <c r="J2716" s="14">
        <v>0</v>
      </c>
      <c r="K2716" s="14">
        <v>4.6247272731885398E-19</v>
      </c>
      <c r="L2716" s="14">
        <v>-2.31236363659428E-19</v>
      </c>
      <c r="M2716" s="14">
        <v>-1.8498909092754102E-18</v>
      </c>
      <c r="N2716" s="14">
        <v>-4.6247272731885398E-19</v>
      </c>
      <c r="O2716" s="14">
        <v>-2.31236363659428E-18</v>
      </c>
      <c r="P2716" s="14">
        <v>-1.15618181829713E-18</v>
      </c>
    </row>
    <row r="2717" spans="1:16" x14ac:dyDescent="0.45">
      <c r="A2717" t="s">
        <v>88</v>
      </c>
      <c r="B2717" t="s">
        <v>5</v>
      </c>
      <c r="C2717" t="s">
        <v>18</v>
      </c>
      <c r="D2717" t="s">
        <v>11</v>
      </c>
      <c r="E2717" t="s">
        <v>32</v>
      </c>
      <c r="F2717">
        <v>0</v>
      </c>
      <c r="G2717">
        <v>0</v>
      </c>
      <c r="H2717">
        <v>0</v>
      </c>
      <c r="I2717">
        <v>0</v>
      </c>
      <c r="J2717" s="14">
        <v>-1.7347234759768102E-18</v>
      </c>
      <c r="K2717" s="14">
        <v>-4.6247272731885398E-19</v>
      </c>
      <c r="L2717">
        <v>0</v>
      </c>
      <c r="M2717" s="14">
        <v>-6.93709090978279E-19</v>
      </c>
      <c r="N2717" s="14">
        <v>0</v>
      </c>
      <c r="O2717" s="14">
        <v>4.6247272731885398E-19</v>
      </c>
      <c r="P2717" s="14">
        <v>1.8498909092754202E-18</v>
      </c>
    </row>
    <row r="2718" spans="1:16" x14ac:dyDescent="0.45">
      <c r="A2718" t="s">
        <v>88</v>
      </c>
      <c r="B2718" t="s">
        <v>5</v>
      </c>
      <c r="C2718" t="s">
        <v>18</v>
      </c>
      <c r="D2718" t="s">
        <v>12</v>
      </c>
      <c r="E2718" t="s">
        <v>32</v>
      </c>
      <c r="F2718">
        <v>0</v>
      </c>
      <c r="G2718">
        <v>0</v>
      </c>
      <c r="H2718">
        <v>0</v>
      </c>
      <c r="I2718" s="14">
        <v>-1.7347234759768102E-18</v>
      </c>
      <c r="J2718" s="14">
        <v>1.7347234759768102E-18</v>
      </c>
      <c r="K2718">
        <v>0</v>
      </c>
      <c r="L2718">
        <v>0</v>
      </c>
      <c r="M2718" s="14">
        <v>-2.31236363659428E-19</v>
      </c>
      <c r="N2718">
        <v>0</v>
      </c>
      <c r="O2718" s="14">
        <v>1.15618181829713E-18</v>
      </c>
      <c r="P2718" s="14">
        <v>-2.3123636365943301E-19</v>
      </c>
    </row>
    <row r="2719" spans="1:16" x14ac:dyDescent="0.45">
      <c r="A2719" t="s">
        <v>88</v>
      </c>
      <c r="B2719" t="s">
        <v>5</v>
      </c>
      <c r="C2719" t="s">
        <v>18</v>
      </c>
      <c r="D2719" t="s">
        <v>13</v>
      </c>
      <c r="E2719" t="s">
        <v>32</v>
      </c>
      <c r="F2719">
        <v>0</v>
      </c>
      <c r="G2719">
        <v>0</v>
      </c>
      <c r="H2719">
        <v>0</v>
      </c>
      <c r="I2719" s="14">
        <v>4.9873299934333196E-18</v>
      </c>
      <c r="J2719" s="14">
        <v>0</v>
      </c>
      <c r="K2719" s="14">
        <v>2.7748363639131098E-18</v>
      </c>
      <c r="L2719" s="14">
        <v>1.8498909092754202E-18</v>
      </c>
      <c r="M2719">
        <v>0</v>
      </c>
      <c r="N2719" s="14">
        <v>3.4685454548914098E-18</v>
      </c>
      <c r="O2719">
        <v>0</v>
      </c>
      <c r="P2719" s="14">
        <v>-1.6186545456159901E-18</v>
      </c>
    </row>
    <row r="2720" spans="1:16" x14ac:dyDescent="0.45">
      <c r="A2720" t="s">
        <v>88</v>
      </c>
      <c r="B2720" t="s">
        <v>5</v>
      </c>
      <c r="C2720" t="s">
        <v>18</v>
      </c>
      <c r="D2720" t="s">
        <v>14</v>
      </c>
      <c r="E2720" t="s">
        <v>32</v>
      </c>
      <c r="F2720">
        <v>0</v>
      </c>
      <c r="G2720" s="14">
        <v>-1.6479873021779701E-17</v>
      </c>
      <c r="H2720" s="14">
        <v>-1.6479873021779701E-17</v>
      </c>
      <c r="I2720" s="14">
        <v>-3.2526065174565098E-18</v>
      </c>
      <c r="J2720">
        <v>0</v>
      </c>
      <c r="K2720" s="14">
        <v>-2.7748363639131098E-18</v>
      </c>
      <c r="L2720" s="14">
        <v>-9.2494545463771394E-19</v>
      </c>
      <c r="M2720" s="14">
        <v>9.2494545463770701E-19</v>
      </c>
      <c r="N2720" s="14">
        <v>-3.4685454548914098E-18</v>
      </c>
      <c r="O2720" s="14">
        <v>-1.6186545456159901E-18</v>
      </c>
      <c r="P2720">
        <v>0</v>
      </c>
    </row>
    <row r="2721" spans="1:16" x14ac:dyDescent="0.45">
      <c r="A2721" t="s">
        <v>88</v>
      </c>
      <c r="B2721" t="s">
        <v>5</v>
      </c>
      <c r="C2721" t="s">
        <v>19</v>
      </c>
      <c r="D2721" t="s">
        <v>7</v>
      </c>
      <c r="E2721" t="s">
        <v>32</v>
      </c>
      <c r="F2721" s="14">
        <v>8.7007468545256795E-5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</row>
    <row r="2722" spans="1:16" x14ac:dyDescent="0.45">
      <c r="A2722" t="s">
        <v>88</v>
      </c>
      <c r="B2722" t="s">
        <v>5</v>
      </c>
      <c r="C2722" t="s">
        <v>19</v>
      </c>
      <c r="D2722" t="s">
        <v>9</v>
      </c>
      <c r="E2722" t="s">
        <v>32</v>
      </c>
      <c r="F2722">
        <v>0</v>
      </c>
      <c r="G2722" s="14">
        <v>0</v>
      </c>
      <c r="H2722" s="14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</row>
    <row r="2723" spans="1:16" x14ac:dyDescent="0.45">
      <c r="A2723" t="s">
        <v>88</v>
      </c>
      <c r="B2723" t="s">
        <v>5</v>
      </c>
      <c r="C2723" t="s">
        <v>19</v>
      </c>
      <c r="D2723" t="s">
        <v>10</v>
      </c>
      <c r="E2723" t="s">
        <v>32</v>
      </c>
      <c r="F2723">
        <v>0</v>
      </c>
      <c r="G2723" s="14">
        <v>0</v>
      </c>
      <c r="H2723" s="14">
        <v>0</v>
      </c>
      <c r="I2723">
        <v>0</v>
      </c>
      <c r="J2723">
        <v>0</v>
      </c>
      <c r="K2723">
        <v>0</v>
      </c>
      <c r="L2723" s="14">
        <v>0</v>
      </c>
      <c r="M2723" s="14">
        <v>0</v>
      </c>
      <c r="N2723">
        <v>0</v>
      </c>
      <c r="O2723">
        <v>0</v>
      </c>
      <c r="P2723" s="14">
        <v>0</v>
      </c>
    </row>
    <row r="2724" spans="1:16" x14ac:dyDescent="0.45">
      <c r="A2724" t="s">
        <v>88</v>
      </c>
      <c r="B2724" t="s">
        <v>5</v>
      </c>
      <c r="C2724" t="s">
        <v>19</v>
      </c>
      <c r="D2724" t="s">
        <v>11</v>
      </c>
      <c r="E2724" t="s">
        <v>32</v>
      </c>
      <c r="F2724">
        <v>0</v>
      </c>
      <c r="G2724" s="14">
        <v>0</v>
      </c>
      <c r="H2724" s="1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</row>
    <row r="2725" spans="1:16" x14ac:dyDescent="0.45">
      <c r="A2725" t="s">
        <v>88</v>
      </c>
      <c r="B2725" t="s">
        <v>5</v>
      </c>
      <c r="C2725" t="s">
        <v>19</v>
      </c>
      <c r="D2725" t="s">
        <v>12</v>
      </c>
      <c r="E2725" t="s">
        <v>32</v>
      </c>
      <c r="F2725">
        <v>0</v>
      </c>
      <c r="G2725" s="14">
        <v>0</v>
      </c>
      <c r="H2725" s="14">
        <v>0</v>
      </c>
      <c r="I2725" s="14">
        <v>0</v>
      </c>
      <c r="J2725" s="14">
        <v>0</v>
      </c>
      <c r="K2725" s="14">
        <v>0</v>
      </c>
      <c r="L2725">
        <v>0</v>
      </c>
      <c r="M2725">
        <v>0</v>
      </c>
      <c r="N2725">
        <v>0</v>
      </c>
      <c r="O2725">
        <v>0</v>
      </c>
      <c r="P2725" s="14">
        <v>1.34883283785826E-5</v>
      </c>
    </row>
    <row r="2726" spans="1:16" x14ac:dyDescent="0.45">
      <c r="A2726" t="s">
        <v>88</v>
      </c>
      <c r="B2726" t="s">
        <v>5</v>
      </c>
      <c r="C2726" t="s">
        <v>19</v>
      </c>
      <c r="D2726" t="s">
        <v>13</v>
      </c>
      <c r="E2726" t="s">
        <v>32</v>
      </c>
      <c r="F2726">
        <v>0</v>
      </c>
      <c r="G2726">
        <v>0</v>
      </c>
      <c r="H2726">
        <v>0</v>
      </c>
      <c r="I2726" s="14">
        <v>8.4575801042178903E-4</v>
      </c>
      <c r="J2726" s="14">
        <v>4.9586803553674196E-4</v>
      </c>
      <c r="K2726" s="14">
        <v>2.6318601413693701E-4</v>
      </c>
      <c r="L2726">
        <v>2.0849653456073199E-4</v>
      </c>
      <c r="M2726">
        <v>1.9397903933521E-4</v>
      </c>
      <c r="N2726" s="14">
        <v>1.9157687894532499E-4</v>
      </c>
      <c r="O2726">
        <v>1.78798705032847E-4</v>
      </c>
      <c r="P2726">
        <v>1.5827371765477199E-4</v>
      </c>
    </row>
    <row r="2727" spans="1:16" x14ac:dyDescent="0.45">
      <c r="A2727" t="s">
        <v>88</v>
      </c>
      <c r="B2727" t="s">
        <v>5</v>
      </c>
      <c r="C2727" t="s">
        <v>19</v>
      </c>
      <c r="D2727" t="s">
        <v>14</v>
      </c>
      <c r="E2727" t="s">
        <v>32</v>
      </c>
      <c r="F2727">
        <v>0</v>
      </c>
      <c r="G2727">
        <v>0</v>
      </c>
      <c r="H2727">
        <v>0</v>
      </c>
      <c r="I2727" s="14">
        <v>3.7066120371752001E-4</v>
      </c>
      <c r="J2727" s="14">
        <v>5.1598515707377299E-4</v>
      </c>
      <c r="K2727" s="14">
        <v>5.0050744557512896E-4</v>
      </c>
      <c r="L2727">
        <v>5.3919056216680903E-4</v>
      </c>
      <c r="M2727" s="14">
        <v>5.3481798708319105E-4</v>
      </c>
      <c r="N2727" s="14">
        <v>5.3855490424048198E-4</v>
      </c>
      <c r="O2727" s="14">
        <v>5.5118048820470699E-4</v>
      </c>
      <c r="P2727">
        <v>5.6508503759754303E-4</v>
      </c>
    </row>
    <row r="2728" spans="1:16" x14ac:dyDescent="0.45">
      <c r="A2728" t="s">
        <v>89</v>
      </c>
      <c r="B2728" t="s">
        <v>29</v>
      </c>
      <c r="C2728" t="s">
        <v>6</v>
      </c>
      <c r="D2728" t="s">
        <v>7</v>
      </c>
      <c r="E2728" t="s">
        <v>32</v>
      </c>
      <c r="F2728">
        <v>0</v>
      </c>
      <c r="G2728" s="14">
        <v>0</v>
      </c>
      <c r="H2728" s="14">
        <v>0</v>
      </c>
      <c r="I2728" s="14">
        <v>2.61697643380239E-5</v>
      </c>
      <c r="J2728" s="14">
        <v>1.1851868355264499E-4</v>
      </c>
      <c r="K2728">
        <v>2.2371689142586501E-4</v>
      </c>
      <c r="L2728" s="14">
        <v>1.4234044834955299E-5</v>
      </c>
      <c r="M2728" s="14">
        <v>0</v>
      </c>
      <c r="N2728" s="14">
        <v>0</v>
      </c>
      <c r="O2728" s="14">
        <v>0</v>
      </c>
      <c r="P2728" s="14">
        <v>0</v>
      </c>
    </row>
    <row r="2729" spans="1:16" x14ac:dyDescent="0.45">
      <c r="A2729" t="s">
        <v>89</v>
      </c>
      <c r="B2729" t="s">
        <v>29</v>
      </c>
      <c r="C2729" t="s">
        <v>6</v>
      </c>
      <c r="D2729" t="s">
        <v>9</v>
      </c>
      <c r="E2729" t="s">
        <v>32</v>
      </c>
      <c r="F2729">
        <v>0</v>
      </c>
      <c r="G2729">
        <v>0</v>
      </c>
      <c r="H2729">
        <v>0</v>
      </c>
      <c r="I2729" s="14">
        <v>5.56445167152921E-5</v>
      </c>
      <c r="J2729" s="14">
        <v>7.6105656067670206E-5</v>
      </c>
      <c r="K2729" s="14">
        <v>1.32698384229371E-4</v>
      </c>
      <c r="L2729" s="14">
        <v>1.5773286117374701E-4</v>
      </c>
      <c r="M2729" s="14">
        <v>1.6286377695886201E-4</v>
      </c>
      <c r="N2729">
        <v>1.59624406241801E-4</v>
      </c>
      <c r="O2729">
        <v>1.5942648527341E-4</v>
      </c>
      <c r="P2729" s="14">
        <v>1.5942648527341E-4</v>
      </c>
    </row>
    <row r="2730" spans="1:16" x14ac:dyDescent="0.45">
      <c r="A2730" t="s">
        <v>89</v>
      </c>
      <c r="B2730" t="s">
        <v>29</v>
      </c>
      <c r="C2730" t="s">
        <v>6</v>
      </c>
      <c r="D2730" t="s">
        <v>10</v>
      </c>
      <c r="E2730" t="s">
        <v>32</v>
      </c>
      <c r="F2730">
        <v>0</v>
      </c>
      <c r="G2730" s="14">
        <v>0</v>
      </c>
      <c r="H2730" s="14">
        <v>0</v>
      </c>
      <c r="I2730" s="14">
        <v>2.5306500787485199E-5</v>
      </c>
      <c r="J2730" s="14">
        <v>2.6315013348194801E-5</v>
      </c>
      <c r="K2730" s="14">
        <v>9.8029130925998293E-5</v>
      </c>
      <c r="L2730" s="14">
        <v>4.0566844293973003E-5</v>
      </c>
      <c r="M2730" s="14">
        <v>4.4321315569943303E-5</v>
      </c>
      <c r="N2730" s="14">
        <v>7.0606801937804302E-4</v>
      </c>
      <c r="O2730" s="14">
        <v>1.1610935291774701E-3</v>
      </c>
      <c r="P2730" s="14">
        <v>2.7594707295375402E-3</v>
      </c>
    </row>
    <row r="2731" spans="1:16" x14ac:dyDescent="0.45">
      <c r="A2731" t="s">
        <v>89</v>
      </c>
      <c r="B2731" t="s">
        <v>29</v>
      </c>
      <c r="C2731" t="s">
        <v>6</v>
      </c>
      <c r="D2731" t="s">
        <v>11</v>
      </c>
      <c r="E2731" t="s">
        <v>32</v>
      </c>
      <c r="F2731">
        <v>0</v>
      </c>
      <c r="G2731" s="14">
        <v>0</v>
      </c>
      <c r="H2731" s="14">
        <v>0</v>
      </c>
      <c r="I2731" s="14">
        <v>4.4522122354925703E-5</v>
      </c>
      <c r="J2731" s="14">
        <v>2.2579041514644101E-4</v>
      </c>
      <c r="K2731">
        <v>1.9663270373358001E-4</v>
      </c>
      <c r="L2731" s="14">
        <v>9.1228677179312604E-4</v>
      </c>
      <c r="M2731" s="14">
        <v>3.0947861941088102E-3</v>
      </c>
      <c r="N2731">
        <v>3.9456227992739103E-3</v>
      </c>
      <c r="O2731" s="14">
        <v>5.2851398433532799E-3</v>
      </c>
      <c r="P2731" s="14">
        <v>9.0748944153315608E-3</v>
      </c>
    </row>
    <row r="2732" spans="1:16" x14ac:dyDescent="0.45">
      <c r="A2732" t="s">
        <v>89</v>
      </c>
      <c r="B2732" t="s">
        <v>29</v>
      </c>
      <c r="C2732" t="s">
        <v>6</v>
      </c>
      <c r="D2732" t="s">
        <v>12</v>
      </c>
      <c r="E2732" t="s">
        <v>32</v>
      </c>
      <c r="F2732">
        <v>0</v>
      </c>
      <c r="G2732">
        <v>0</v>
      </c>
      <c r="H2732">
        <v>0</v>
      </c>
      <c r="I2732" s="14">
        <v>4.3077910581669401E-5</v>
      </c>
      <c r="J2732" s="14">
        <v>1.0775024244430299E-3</v>
      </c>
      <c r="K2732">
        <v>3.7747369928397599E-3</v>
      </c>
      <c r="L2732" s="14">
        <v>5.32540512868508E-3</v>
      </c>
      <c r="M2732">
        <v>9.8406117013168093E-3</v>
      </c>
      <c r="N2732">
        <v>1.5478308666106E-2</v>
      </c>
      <c r="O2732" s="14">
        <v>2.06518768594822E-2</v>
      </c>
      <c r="P2732" s="14">
        <v>2.1661755439602599E-2</v>
      </c>
    </row>
    <row r="2733" spans="1:16" x14ac:dyDescent="0.45">
      <c r="A2733" t="s">
        <v>89</v>
      </c>
      <c r="B2733" t="s">
        <v>29</v>
      </c>
      <c r="C2733" t="s">
        <v>6</v>
      </c>
      <c r="D2733" t="s">
        <v>13</v>
      </c>
      <c r="E2733" t="s">
        <v>32</v>
      </c>
      <c r="F2733">
        <v>0</v>
      </c>
      <c r="G2733" s="14">
        <v>9.4369381981694194E-6</v>
      </c>
      <c r="H2733" s="14">
        <v>9.4369381981694194E-6</v>
      </c>
      <c r="I2733" s="14">
        <v>2.7320438442848898E-3</v>
      </c>
      <c r="J2733" s="14">
        <v>1.0330836781518801E-2</v>
      </c>
      <c r="K2733" s="14">
        <v>1.6426468352982799E-2</v>
      </c>
      <c r="L2733">
        <v>2.23217692809007E-2</v>
      </c>
      <c r="M2733">
        <v>2.3154670471922802E-2</v>
      </c>
      <c r="N2733" s="14">
        <v>2.3274399665895899E-2</v>
      </c>
      <c r="O2733">
        <v>2.3460669390333401E-2</v>
      </c>
      <c r="P2733" s="14">
        <v>2.47291433639573E-2</v>
      </c>
    </row>
    <row r="2734" spans="1:16" x14ac:dyDescent="0.45">
      <c r="A2734" t="s">
        <v>89</v>
      </c>
      <c r="B2734" t="s">
        <v>29</v>
      </c>
      <c r="C2734" t="s">
        <v>6</v>
      </c>
      <c r="D2734" t="s">
        <v>14</v>
      </c>
      <c r="E2734" t="s">
        <v>32</v>
      </c>
      <c r="F2734">
        <v>0</v>
      </c>
      <c r="G2734">
        <v>3.5734639811497299E-4</v>
      </c>
      <c r="H2734">
        <v>3.5734639811497299E-4</v>
      </c>
      <c r="I2734">
        <v>7.2258471997422502E-3</v>
      </c>
      <c r="J2734">
        <v>7.6618459004043999E-3</v>
      </c>
      <c r="K2734">
        <v>8.6071225452971599E-3</v>
      </c>
      <c r="L2734">
        <v>1.14121762445329E-2</v>
      </c>
      <c r="M2734">
        <v>1.50527526211178E-2</v>
      </c>
      <c r="N2734" s="14">
        <v>1.93719741522945E-2</v>
      </c>
      <c r="O2734" s="14">
        <v>2.3528737697623401E-2</v>
      </c>
      <c r="P2734">
        <v>2.5441897998091899E-2</v>
      </c>
    </row>
    <row r="2735" spans="1:16" x14ac:dyDescent="0.45">
      <c r="A2735" t="s">
        <v>89</v>
      </c>
      <c r="B2735" t="s">
        <v>29</v>
      </c>
      <c r="C2735" t="s">
        <v>15</v>
      </c>
      <c r="D2735" t="s">
        <v>7</v>
      </c>
      <c r="E2735" t="s">
        <v>32</v>
      </c>
      <c r="F2735">
        <v>1.51504041357431E-2</v>
      </c>
      <c r="G2735">
        <v>1.6739918147816401E-2</v>
      </c>
      <c r="H2735">
        <v>1.6739918147816401E-2</v>
      </c>
      <c r="I2735">
        <v>1.5085674487125E-2</v>
      </c>
      <c r="J2735">
        <v>1.6248854275234901E-2</v>
      </c>
      <c r="K2735">
        <v>1.76397807269385E-2</v>
      </c>
      <c r="L2735">
        <v>1.8327669865830901E-2</v>
      </c>
      <c r="M2735" s="14">
        <v>1.8823653434169401E-2</v>
      </c>
      <c r="N2735">
        <v>1.9336191073492801E-2</v>
      </c>
      <c r="O2735">
        <v>1.9806387960129599E-2</v>
      </c>
      <c r="P2735">
        <v>2.0209248258672E-2</v>
      </c>
    </row>
    <row r="2736" spans="1:16" x14ac:dyDescent="0.45">
      <c r="A2736" t="s">
        <v>89</v>
      </c>
      <c r="B2736" t="s">
        <v>29</v>
      </c>
      <c r="C2736" t="s">
        <v>15</v>
      </c>
      <c r="D2736" t="s">
        <v>9</v>
      </c>
      <c r="E2736" t="s">
        <v>32</v>
      </c>
      <c r="F2736">
        <v>0</v>
      </c>
      <c r="G2736" s="14">
        <v>-1.8428081364034498E-5</v>
      </c>
      <c r="H2736" s="14">
        <v>-1.8428081364034498E-5</v>
      </c>
      <c r="I2736" s="14">
        <v>-2.40452103886998E-5</v>
      </c>
      <c r="J2736" s="14">
        <v>6.5056922776869599E-6</v>
      </c>
      <c r="K2736" s="14">
        <v>-1.5936099305932599E-5</v>
      </c>
      <c r="L2736">
        <v>-1.62256353429483E-4</v>
      </c>
      <c r="M2736">
        <v>-3.3479367357371802E-4</v>
      </c>
      <c r="N2736">
        <v>-5.6547055856821403E-4</v>
      </c>
      <c r="O2736">
        <v>-7.8867587792411402E-4</v>
      </c>
      <c r="P2736">
        <v>-1.00130905492605E-3</v>
      </c>
    </row>
    <row r="2737" spans="1:16" x14ac:dyDescent="0.45">
      <c r="A2737" t="s">
        <v>89</v>
      </c>
      <c r="B2737" t="s">
        <v>29</v>
      </c>
      <c r="C2737" t="s">
        <v>15</v>
      </c>
      <c r="D2737" t="s">
        <v>10</v>
      </c>
      <c r="E2737" t="s">
        <v>32</v>
      </c>
      <c r="F2737">
        <v>0</v>
      </c>
      <c r="G2737" s="14">
        <v>-3.3811522699711502E-7</v>
      </c>
      <c r="H2737" s="14">
        <v>-3.3811522699711502E-7</v>
      </c>
      <c r="I2737" s="14">
        <v>-1.50003735443025E-5</v>
      </c>
      <c r="J2737" s="14">
        <v>4.01413147825894E-6</v>
      </c>
      <c r="K2737" s="14">
        <v>-8.8030082651187295E-5</v>
      </c>
      <c r="L2737">
        <v>-1.9254800634699301E-4</v>
      </c>
      <c r="M2737">
        <v>-1.96611789085029E-4</v>
      </c>
      <c r="N2737" s="14">
        <v>-4.1786598760074802E-5</v>
      </c>
      <c r="O2737" s="14">
        <v>-6.0386699396623001E-5</v>
      </c>
      <c r="P2737" s="14">
        <v>-7.1385323313900197E-5</v>
      </c>
    </row>
    <row r="2738" spans="1:16" x14ac:dyDescent="0.45">
      <c r="A2738" t="s">
        <v>89</v>
      </c>
      <c r="B2738" t="s">
        <v>29</v>
      </c>
      <c r="C2738" t="s">
        <v>15</v>
      </c>
      <c r="D2738" t="s">
        <v>11</v>
      </c>
      <c r="E2738" t="s">
        <v>32</v>
      </c>
      <c r="F2738">
        <v>0</v>
      </c>
      <c r="G2738" s="14">
        <v>1.3260181019117399E-6</v>
      </c>
      <c r="H2738" s="14">
        <v>1.3260181019117399E-6</v>
      </c>
      <c r="I2738" s="14">
        <v>-1.0875756906291601E-5</v>
      </c>
      <c r="J2738">
        <v>-1.01138867775276E-4</v>
      </c>
      <c r="K2738">
        <v>-1.0437720766098799E-4</v>
      </c>
      <c r="L2738">
        <v>3.0883015229445402E-4</v>
      </c>
      <c r="M2738">
        <v>3.08996707197362E-4</v>
      </c>
      <c r="N2738">
        <v>1.6581457938126201E-4</v>
      </c>
      <c r="O2738">
        <v>1.01115052932043E-4</v>
      </c>
      <c r="P2738" s="14">
        <v>2.01058957934666E-5</v>
      </c>
    </row>
    <row r="2739" spans="1:16" x14ac:dyDescent="0.45">
      <c r="A2739" t="s">
        <v>89</v>
      </c>
      <c r="B2739" t="s">
        <v>29</v>
      </c>
      <c r="C2739" t="s">
        <v>15</v>
      </c>
      <c r="D2739" t="s">
        <v>12</v>
      </c>
      <c r="E2739" t="s">
        <v>32</v>
      </c>
      <c r="F2739">
        <v>0</v>
      </c>
      <c r="G2739" s="14">
        <v>5.6948147152471905E-7</v>
      </c>
      <c r="H2739" s="14">
        <v>5.6948147152471905E-7</v>
      </c>
      <c r="I2739">
        <v>-1.3393544510923399E-4</v>
      </c>
      <c r="J2739">
        <v>1.2576569087073899E-4</v>
      </c>
      <c r="K2739">
        <v>3.3049057737417198E-4</v>
      </c>
      <c r="L2739">
        <v>-1.7619379451795999E-4</v>
      </c>
      <c r="M2739">
        <v>-4.24177368665693E-4</v>
      </c>
      <c r="N2739">
        <v>-4.1075037082634699E-4</v>
      </c>
      <c r="O2739">
        <v>-3.4269265905338702E-4</v>
      </c>
      <c r="P2739">
        <v>-2.8397898924629702E-4</v>
      </c>
    </row>
    <row r="2740" spans="1:16" x14ac:dyDescent="0.45">
      <c r="A2740" t="s">
        <v>89</v>
      </c>
      <c r="B2740" t="s">
        <v>29</v>
      </c>
      <c r="C2740" t="s">
        <v>15</v>
      </c>
      <c r="D2740" t="s">
        <v>13</v>
      </c>
      <c r="E2740" t="s">
        <v>32</v>
      </c>
      <c r="F2740">
        <v>0</v>
      </c>
      <c r="G2740">
        <v>-1.21978156738721E-4</v>
      </c>
      <c r="H2740">
        <v>-1.21978156738721E-4</v>
      </c>
      <c r="I2740">
        <v>2.8190815605472701E-4</v>
      </c>
      <c r="J2740">
        <v>-2.7036213958886798E-4</v>
      </c>
      <c r="K2740">
        <v>-7.8402475971978505E-4</v>
      </c>
      <c r="L2740">
        <v>-3.2547734857465299E-4</v>
      </c>
      <c r="M2740" s="14">
        <v>3.2567516488588702E-5</v>
      </c>
      <c r="N2740">
        <v>-1.6702577945348199E-4</v>
      </c>
      <c r="O2740">
        <v>-2.3331709456493599E-4</v>
      </c>
      <c r="P2740">
        <v>-2.9821635191516402E-4</v>
      </c>
    </row>
    <row r="2741" spans="1:16" x14ac:dyDescent="0.45">
      <c r="A2741" t="s">
        <v>89</v>
      </c>
      <c r="B2741" t="s">
        <v>29</v>
      </c>
      <c r="C2741" t="s">
        <v>15</v>
      </c>
      <c r="D2741" t="s">
        <v>14</v>
      </c>
      <c r="E2741" t="s">
        <v>32</v>
      </c>
      <c r="F2741">
        <v>0</v>
      </c>
      <c r="G2741">
        <v>2.92442955425711E-4</v>
      </c>
      <c r="H2741">
        <v>2.92442955425711E-4</v>
      </c>
      <c r="I2741">
        <v>4.1281817545013903E-4</v>
      </c>
      <c r="J2741">
        <v>2.12831411086804E-4</v>
      </c>
      <c r="K2741" s="14">
        <v>-8.6588395485233394E-5</v>
      </c>
      <c r="L2741">
        <v>-3.0812275263402197E-4</v>
      </c>
      <c r="M2741">
        <v>-4.4950555241865899E-4</v>
      </c>
      <c r="N2741">
        <v>-3.7693737704255098E-4</v>
      </c>
      <c r="O2741">
        <v>-3.1884987729659302E-4</v>
      </c>
      <c r="P2741">
        <v>-4.4392425732203402E-4</v>
      </c>
    </row>
    <row r="2742" spans="1:16" x14ac:dyDescent="0.45">
      <c r="A2742" t="s">
        <v>89</v>
      </c>
      <c r="B2742" t="s">
        <v>29</v>
      </c>
      <c r="C2742" t="s">
        <v>16</v>
      </c>
      <c r="D2742" t="s">
        <v>7</v>
      </c>
      <c r="E2742" t="s">
        <v>32</v>
      </c>
      <c r="F2742">
        <v>6.4675626123728803E-3</v>
      </c>
      <c r="G2742" s="14">
        <v>6.9041371472294503E-3</v>
      </c>
      <c r="H2742" s="14">
        <v>6.9041371472294503E-3</v>
      </c>
      <c r="I2742" s="14">
        <v>6.7648989754332403E-3</v>
      </c>
      <c r="J2742" s="14">
        <v>6.7648917389310902E-3</v>
      </c>
      <c r="K2742" s="14">
        <v>6.7039590179684399E-3</v>
      </c>
      <c r="L2742">
        <v>6.7648917389310902E-3</v>
      </c>
      <c r="M2742">
        <v>6.7648917389310902E-3</v>
      </c>
      <c r="N2742">
        <v>6.7648917389310902E-3</v>
      </c>
      <c r="O2742">
        <v>6.7648917389310902E-3</v>
      </c>
      <c r="P2742">
        <v>6.7648917389310902E-3</v>
      </c>
    </row>
    <row r="2743" spans="1:16" x14ac:dyDescent="0.45">
      <c r="A2743" t="s">
        <v>89</v>
      </c>
      <c r="B2743" t="s">
        <v>29</v>
      </c>
      <c r="C2743" t="s">
        <v>16</v>
      </c>
      <c r="D2743" t="s">
        <v>9</v>
      </c>
      <c r="E2743" t="s">
        <v>32</v>
      </c>
      <c r="F2743">
        <v>0</v>
      </c>
      <c r="G2743" s="14">
        <v>-1.71018699493368E-6</v>
      </c>
      <c r="H2743" s="14">
        <v>-1.71018699493368E-6</v>
      </c>
      <c r="I2743" s="14">
        <v>-1.70940948514189E-6</v>
      </c>
      <c r="J2743" s="14">
        <v>-6.4952515379876902E-5</v>
      </c>
      <c r="K2743" s="14">
        <v>-8.9108320732210808E-6</v>
      </c>
      <c r="L2743" s="14">
        <v>-6.1969541506778005E-5</v>
      </c>
      <c r="M2743" s="14">
        <v>-5.7067451676600697E-5</v>
      </c>
      <c r="N2743" s="14">
        <v>-5.6698103820297099E-4</v>
      </c>
      <c r="O2743">
        <v>-5.6686723204215901E-4</v>
      </c>
      <c r="P2743">
        <v>-5.6686723204215901E-4</v>
      </c>
    </row>
    <row r="2744" spans="1:16" x14ac:dyDescent="0.45">
      <c r="A2744" t="s">
        <v>89</v>
      </c>
      <c r="B2744" t="s">
        <v>29</v>
      </c>
      <c r="C2744" t="s">
        <v>16</v>
      </c>
      <c r="D2744" t="s">
        <v>10</v>
      </c>
      <c r="E2744" t="s">
        <v>32</v>
      </c>
      <c r="F2744">
        <v>0</v>
      </c>
      <c r="G2744" s="14">
        <v>-9.5409791178724406E-18</v>
      </c>
      <c r="H2744" s="14">
        <v>-9.5409791178724406E-18</v>
      </c>
      <c r="I2744" s="14">
        <v>0</v>
      </c>
      <c r="J2744" s="14">
        <v>2.9829738731083601E-6</v>
      </c>
      <c r="K2744" s="14">
        <v>-5.7674204646893802E-5</v>
      </c>
      <c r="L2744">
        <v>-5.0489769053538097E-4</v>
      </c>
      <c r="M2744" s="14">
        <v>-5.0979978036555897E-4</v>
      </c>
      <c r="N2744" s="14">
        <v>1.1380616081122E-7</v>
      </c>
      <c r="O2744" s="14">
        <v>0</v>
      </c>
      <c r="P2744">
        <v>0</v>
      </c>
    </row>
    <row r="2745" spans="1:16" x14ac:dyDescent="0.45">
      <c r="A2745" t="s">
        <v>89</v>
      </c>
      <c r="B2745" t="s">
        <v>29</v>
      </c>
      <c r="C2745" t="s">
        <v>16</v>
      </c>
      <c r="D2745" t="s">
        <v>11</v>
      </c>
      <c r="E2745" t="s">
        <v>32</v>
      </c>
      <c r="F2745">
        <v>0</v>
      </c>
      <c r="G2745" s="14">
        <v>9.5409791178724406E-18</v>
      </c>
      <c r="H2745" s="14">
        <v>9.5409791178724406E-18</v>
      </c>
      <c r="I2745" s="14">
        <v>0</v>
      </c>
      <c r="J2745" s="14">
        <v>-5.0489769053539105E-4</v>
      </c>
      <c r="K2745">
        <v>-4.39349474359392E-4</v>
      </c>
      <c r="L2745" s="14">
        <v>0</v>
      </c>
      <c r="M2745" s="14">
        <v>0</v>
      </c>
      <c r="N2745" s="14">
        <v>0</v>
      </c>
      <c r="O2745" s="14">
        <v>0</v>
      </c>
      <c r="P2745" s="14">
        <v>0</v>
      </c>
    </row>
    <row r="2746" spans="1:16" x14ac:dyDescent="0.45">
      <c r="A2746" t="s">
        <v>89</v>
      </c>
      <c r="B2746" t="s">
        <v>29</v>
      </c>
      <c r="C2746" t="s">
        <v>16</v>
      </c>
      <c r="D2746" t="s">
        <v>12</v>
      </c>
      <c r="E2746" t="s">
        <v>32</v>
      </c>
      <c r="F2746">
        <v>0</v>
      </c>
      <c r="G2746" s="14">
        <v>-3.2764369695759501E-6</v>
      </c>
      <c r="H2746" s="14">
        <v>-3.2764369695759501E-6</v>
      </c>
      <c r="I2746" s="14">
        <v>-5.6854656739843701E-4</v>
      </c>
      <c r="J2746" s="14">
        <v>-3.2749384953787899E-6</v>
      </c>
      <c r="K2746" s="14">
        <v>-3.2749384953787899E-6</v>
      </c>
      <c r="L2746" s="14">
        <v>-3.2749384953787899E-6</v>
      </c>
      <c r="M2746" s="14">
        <v>-3.2749384953787899E-6</v>
      </c>
      <c r="N2746" s="14">
        <v>-3.4000091723683499E-6</v>
      </c>
      <c r="O2746" s="14">
        <v>-3.5312978367615201E-6</v>
      </c>
      <c r="P2746" s="14">
        <v>-3.66184726222161E-6</v>
      </c>
    </row>
    <row r="2747" spans="1:16" x14ac:dyDescent="0.45">
      <c r="A2747" t="s">
        <v>89</v>
      </c>
      <c r="B2747" t="s">
        <v>29</v>
      </c>
      <c r="C2747" t="s">
        <v>16</v>
      </c>
      <c r="D2747" t="s">
        <v>13</v>
      </c>
      <c r="E2747" t="s">
        <v>32</v>
      </c>
      <c r="F2747">
        <v>0</v>
      </c>
      <c r="G2747" s="14">
        <v>4.98662396450963E-6</v>
      </c>
      <c r="H2747" s="14">
        <v>4.98662396450963E-6</v>
      </c>
      <c r="I2747" s="14">
        <v>5.0981542632699498E-6</v>
      </c>
      <c r="J2747" s="14">
        <v>4.8592740389810296E-6</v>
      </c>
      <c r="K2747" s="14">
        <v>4.5974292472187803E-6</v>
      </c>
      <c r="L2747" s="14">
        <v>4.5974292472187803E-6</v>
      </c>
      <c r="M2747" s="14">
        <v>4.5974292472187803E-6</v>
      </c>
      <c r="N2747" s="14">
        <v>4.7224999242083399E-6</v>
      </c>
      <c r="O2747" s="14">
        <v>4.85378858860151E-6</v>
      </c>
      <c r="P2747" s="14">
        <v>4.9843380140616004E-6</v>
      </c>
    </row>
    <row r="2748" spans="1:16" x14ac:dyDescent="0.45">
      <c r="A2748" t="s">
        <v>89</v>
      </c>
      <c r="B2748" t="s">
        <v>29</v>
      </c>
      <c r="C2748" t="s">
        <v>16</v>
      </c>
      <c r="D2748" t="s">
        <v>14</v>
      </c>
      <c r="E2748" t="s">
        <v>32</v>
      </c>
      <c r="F2748">
        <v>0</v>
      </c>
      <c r="G2748" s="14">
        <v>-5.7827917568104004E-4</v>
      </c>
      <c r="H2748" s="14">
        <v>-5.7827917568104004E-4</v>
      </c>
      <c r="I2748" s="14">
        <v>1.25724907672209E-8</v>
      </c>
      <c r="J2748" s="14">
        <v>-1.1702144410517099E-7</v>
      </c>
      <c r="K2748" s="14">
        <v>1.4482334765707899E-7</v>
      </c>
      <c r="L2748" s="14">
        <v>1.4482334765707899E-7</v>
      </c>
      <c r="M2748" s="14">
        <v>1.4482334765707899E-7</v>
      </c>
      <c r="N2748" s="14">
        <v>1.4482334765707899E-7</v>
      </c>
      <c r="O2748" s="14">
        <v>1.4482334765707899E-7</v>
      </c>
      <c r="P2748" s="14">
        <v>1.4482334765707899E-7</v>
      </c>
    </row>
    <row r="2749" spans="1:16" x14ac:dyDescent="0.45">
      <c r="A2749" t="s">
        <v>89</v>
      </c>
      <c r="B2749" t="s">
        <v>29</v>
      </c>
      <c r="C2749" t="s">
        <v>17</v>
      </c>
      <c r="D2749" t="s">
        <v>7</v>
      </c>
      <c r="E2749" t="s">
        <v>32</v>
      </c>
      <c r="F2749">
        <v>1.14611315747427E-3</v>
      </c>
      <c r="G2749">
        <v>2.6272218815519598E-3</v>
      </c>
      <c r="H2749">
        <v>2.6272218815519598E-3</v>
      </c>
      <c r="I2749">
        <v>6.60359121778101E-3</v>
      </c>
      <c r="J2749">
        <v>7.4908545524221201E-3</v>
      </c>
      <c r="K2749">
        <v>7.8920383406105108E-3</v>
      </c>
      <c r="L2749">
        <v>7.4790487425891701E-3</v>
      </c>
      <c r="M2749">
        <v>6.9422211962004302E-3</v>
      </c>
      <c r="N2749">
        <v>6.3450804401786604E-3</v>
      </c>
      <c r="O2749">
        <v>5.7855857773605702E-3</v>
      </c>
      <c r="P2749">
        <v>5.2556127377527302E-3</v>
      </c>
    </row>
    <row r="2750" spans="1:16" x14ac:dyDescent="0.45">
      <c r="A2750" t="s">
        <v>89</v>
      </c>
      <c r="B2750" t="s">
        <v>29</v>
      </c>
      <c r="C2750" t="s">
        <v>17</v>
      </c>
      <c r="D2750" t="s">
        <v>9</v>
      </c>
      <c r="E2750" t="s">
        <v>32</v>
      </c>
      <c r="F2750">
        <v>0</v>
      </c>
      <c r="G2750" s="14">
        <v>8.1806933771597204E-5</v>
      </c>
      <c r="H2750" s="14">
        <v>8.1806933771597204E-5</v>
      </c>
      <c r="I2750">
        <v>1.8630930164312699E-4</v>
      </c>
      <c r="J2750">
        <v>1.3923835767672599E-4</v>
      </c>
      <c r="K2750" s="14">
        <v>8.1926231110796693E-5</v>
      </c>
      <c r="L2750">
        <v>2.2897568912891099E-4</v>
      </c>
      <c r="M2750">
        <v>4.1252779191219098E-4</v>
      </c>
      <c r="N2750">
        <v>1.9723661803663002E-3</v>
      </c>
      <c r="O2750">
        <v>2.2386810332933899E-3</v>
      </c>
      <c r="P2750">
        <v>2.5474208678854002E-3</v>
      </c>
    </row>
    <row r="2751" spans="1:16" x14ac:dyDescent="0.45">
      <c r="A2751" t="s">
        <v>89</v>
      </c>
      <c r="B2751" t="s">
        <v>29</v>
      </c>
      <c r="C2751" t="s">
        <v>17</v>
      </c>
      <c r="D2751" t="s">
        <v>10</v>
      </c>
      <c r="E2751" t="s">
        <v>32</v>
      </c>
      <c r="F2751">
        <v>0</v>
      </c>
      <c r="G2751" s="14">
        <v>2.36554975933862E-5</v>
      </c>
      <c r="H2751" s="14">
        <v>2.36554975933862E-5</v>
      </c>
      <c r="I2751" s="14">
        <v>7.9070570151613096E-5</v>
      </c>
      <c r="J2751" s="14">
        <v>2.3878718864175401E-5</v>
      </c>
      <c r="K2751">
        <v>1.4504553529556599E-4</v>
      </c>
      <c r="L2751">
        <v>1.5199041593034401E-3</v>
      </c>
      <c r="M2751">
        <v>1.5717954673997499E-3</v>
      </c>
      <c r="N2751">
        <v>7.8992776226734403E-4</v>
      </c>
      <c r="O2751">
        <v>8.6746247939696098E-4</v>
      </c>
      <c r="P2751">
        <v>1.2331074809643599E-3</v>
      </c>
    </row>
    <row r="2752" spans="1:16" x14ac:dyDescent="0.45">
      <c r="A2752" t="s">
        <v>89</v>
      </c>
      <c r="B2752" t="s">
        <v>29</v>
      </c>
      <c r="C2752" t="s">
        <v>17</v>
      </c>
      <c r="D2752" t="s">
        <v>11</v>
      </c>
      <c r="E2752" t="s">
        <v>32</v>
      </c>
      <c r="F2752">
        <v>0</v>
      </c>
      <c r="G2752" s="14">
        <v>2.24778911089734E-5</v>
      </c>
      <c r="H2752" s="14">
        <v>2.24778911089734E-5</v>
      </c>
      <c r="I2752" s="14">
        <v>6.8473230718772503E-5</v>
      </c>
      <c r="J2752">
        <v>1.33287934401091E-3</v>
      </c>
      <c r="K2752">
        <v>1.22373320612019E-3</v>
      </c>
      <c r="L2752">
        <v>4.0057770567087899E-4</v>
      </c>
      <c r="M2752">
        <v>6.5810098555095704E-4</v>
      </c>
      <c r="N2752">
        <v>5.2103048393440298E-4</v>
      </c>
      <c r="O2752">
        <v>7.3724597294952702E-4</v>
      </c>
      <c r="P2752">
        <v>5.9853095166359299E-4</v>
      </c>
    </row>
    <row r="2753" spans="1:16" x14ac:dyDescent="0.45">
      <c r="A2753" t="s">
        <v>89</v>
      </c>
      <c r="B2753" t="s">
        <v>29</v>
      </c>
      <c r="C2753" t="s">
        <v>17</v>
      </c>
      <c r="D2753" t="s">
        <v>12</v>
      </c>
      <c r="E2753" t="s">
        <v>32</v>
      </c>
      <c r="F2753">
        <v>0</v>
      </c>
      <c r="G2753" s="14">
        <v>3.4283337547709798E-5</v>
      </c>
      <c r="H2753" s="14">
        <v>3.4283337547709798E-5</v>
      </c>
      <c r="I2753">
        <v>1.76183457706109E-3</v>
      </c>
      <c r="J2753">
        <v>3.30603439729802E-4</v>
      </c>
      <c r="K2753">
        <v>4.21041396154613E-4</v>
      </c>
      <c r="L2753">
        <v>1.3527841259927E-4</v>
      </c>
      <c r="M2753">
        <v>2.1566169395787599E-4</v>
      </c>
      <c r="N2753">
        <v>3.1381984797882199E-4</v>
      </c>
      <c r="O2753">
        <v>4.58486861681115E-4</v>
      </c>
      <c r="P2753">
        <v>4.8360664913324101E-4</v>
      </c>
    </row>
    <row r="2754" spans="1:16" x14ac:dyDescent="0.45">
      <c r="A2754" t="s">
        <v>89</v>
      </c>
      <c r="B2754" t="s">
        <v>29</v>
      </c>
      <c r="C2754" t="s">
        <v>17</v>
      </c>
      <c r="D2754" t="s">
        <v>13</v>
      </c>
      <c r="E2754" t="s">
        <v>32</v>
      </c>
      <c r="F2754">
        <v>0</v>
      </c>
      <c r="G2754">
        <v>4.0588618401994099E-4</v>
      </c>
      <c r="H2754">
        <v>4.0588618401994099E-4</v>
      </c>
      <c r="I2754">
        <v>4.6974638486028801E-4</v>
      </c>
      <c r="J2754">
        <v>4.0609963986863598E-4</v>
      </c>
      <c r="K2754">
        <v>3.6143783867341098E-4</v>
      </c>
      <c r="L2754">
        <v>3.7238162499060601E-4</v>
      </c>
      <c r="M2754">
        <v>3.3685271298993999E-4</v>
      </c>
      <c r="N2754">
        <v>1.9509369148375399E-4</v>
      </c>
      <c r="O2754" s="14">
        <v>4.9903374240413398E-5</v>
      </c>
      <c r="P2754" s="14">
        <v>1.9087282449788502E-5</v>
      </c>
    </row>
    <row r="2755" spans="1:16" x14ac:dyDescent="0.45">
      <c r="A2755" t="s">
        <v>89</v>
      </c>
      <c r="B2755" t="s">
        <v>29</v>
      </c>
      <c r="C2755" t="s">
        <v>17</v>
      </c>
      <c r="D2755" t="s">
        <v>14</v>
      </c>
      <c r="E2755" t="s">
        <v>32</v>
      </c>
      <c r="F2755">
        <v>0</v>
      </c>
      <c r="G2755">
        <v>1.9412323643177799E-3</v>
      </c>
      <c r="H2755">
        <v>1.9412323643177799E-3</v>
      </c>
      <c r="I2755">
        <v>7.5555731171512595E-4</v>
      </c>
      <c r="J2755">
        <v>3.9911278140598698E-4</v>
      </c>
      <c r="K2755" s="14">
        <v>-1.3623824242879599E-6</v>
      </c>
      <c r="L2755" s="14">
        <v>-1.22999230678655E-5</v>
      </c>
      <c r="M2755" s="14">
        <v>-1.32883491951626E-5</v>
      </c>
      <c r="N2755" s="14">
        <v>-1.3446906768712499E-5</v>
      </c>
      <c r="O2755" s="14">
        <v>-1.34939994751674E-5</v>
      </c>
      <c r="P2755" s="14">
        <v>-1.3494470402240801E-5</v>
      </c>
    </row>
    <row r="2756" spans="1:16" x14ac:dyDescent="0.45">
      <c r="A2756" t="s">
        <v>89</v>
      </c>
      <c r="B2756" t="s">
        <v>29</v>
      </c>
      <c r="C2756" t="s">
        <v>18</v>
      </c>
      <c r="D2756" t="s">
        <v>7</v>
      </c>
      <c r="E2756" t="s">
        <v>32</v>
      </c>
      <c r="F2756">
        <v>1.17050246827824E-2</v>
      </c>
      <c r="G2756">
        <v>8.7483831179711608E-3</v>
      </c>
      <c r="H2756">
        <v>8.7483831179711608E-3</v>
      </c>
      <c r="I2756">
        <v>5.8322554119807704E-3</v>
      </c>
      <c r="J2756">
        <v>2.91612770599037E-3</v>
      </c>
      <c r="K2756" s="14">
        <v>1.12730927049448E-18</v>
      </c>
      <c r="L2756" s="14">
        <v>9.0184741639557803E-18</v>
      </c>
      <c r="M2756">
        <v>0</v>
      </c>
      <c r="N2756" s="14">
        <v>9.0184741639557803E-18</v>
      </c>
      <c r="O2756">
        <v>0</v>
      </c>
      <c r="P2756" s="14">
        <v>7.8911648934613197E-18</v>
      </c>
    </row>
    <row r="2757" spans="1:16" x14ac:dyDescent="0.45">
      <c r="A2757" t="s">
        <v>89</v>
      </c>
      <c r="B2757" t="s">
        <v>29</v>
      </c>
      <c r="C2757" t="s">
        <v>18</v>
      </c>
      <c r="D2757" t="s">
        <v>9</v>
      </c>
      <c r="E2757" t="s">
        <v>32</v>
      </c>
      <c r="F2757">
        <v>0</v>
      </c>
      <c r="G2757">
        <v>0</v>
      </c>
      <c r="H2757">
        <v>0</v>
      </c>
      <c r="I2757">
        <v>0</v>
      </c>
      <c r="J2757" s="14">
        <v>1.0408340855860799E-17</v>
      </c>
      <c r="K2757" s="14">
        <v>2.2546185409889401E-18</v>
      </c>
      <c r="L2757" s="14">
        <v>-5.63654635247236E-18</v>
      </c>
      <c r="M2757" s="14">
        <v>1.12730927049448E-18</v>
      </c>
      <c r="N2757" s="14">
        <v>-9.0184741639557803E-18</v>
      </c>
      <c r="O2757">
        <v>0</v>
      </c>
      <c r="P2757" s="14">
        <v>-7.8911648934613197E-18</v>
      </c>
    </row>
    <row r="2758" spans="1:16" x14ac:dyDescent="0.45">
      <c r="A2758" t="s">
        <v>89</v>
      </c>
      <c r="B2758" t="s">
        <v>29</v>
      </c>
      <c r="C2758" t="s">
        <v>18</v>
      </c>
      <c r="D2758" t="s">
        <v>10</v>
      </c>
      <c r="E2758" t="s">
        <v>32</v>
      </c>
      <c r="F2758">
        <v>0</v>
      </c>
      <c r="G2758">
        <v>0</v>
      </c>
      <c r="H2758">
        <v>0</v>
      </c>
      <c r="I2758">
        <v>0</v>
      </c>
      <c r="J2758" s="14">
        <v>9.9746599868666393E-18</v>
      </c>
      <c r="K2758" s="14">
        <v>-2.2546185409889401E-18</v>
      </c>
      <c r="L2758" s="14">
        <v>-3.3819278114834199E-18</v>
      </c>
      <c r="M2758" s="14">
        <v>-1.12730927049448E-18</v>
      </c>
      <c r="N2758">
        <v>0</v>
      </c>
      <c r="O2758" s="14">
        <v>5.63654635247236E-18</v>
      </c>
      <c r="P2758">
        <v>0</v>
      </c>
    </row>
    <row r="2759" spans="1:16" x14ac:dyDescent="0.45">
      <c r="A2759" t="s">
        <v>89</v>
      </c>
      <c r="B2759" t="s">
        <v>29</v>
      </c>
      <c r="C2759" t="s">
        <v>18</v>
      </c>
      <c r="D2759" t="s">
        <v>11</v>
      </c>
      <c r="E2759" t="s">
        <v>32</v>
      </c>
      <c r="F2759">
        <v>0</v>
      </c>
      <c r="G2759" s="14">
        <v>8.6736173798840401E-18</v>
      </c>
      <c r="H2759" s="14">
        <v>8.6736173798840401E-18</v>
      </c>
      <c r="I2759">
        <v>0</v>
      </c>
      <c r="J2759" s="14">
        <v>-9.9746599868666393E-18</v>
      </c>
      <c r="K2759" s="14">
        <v>-1.12730927049448E-18</v>
      </c>
      <c r="L2759" s="14">
        <v>7.8911648934613197E-18</v>
      </c>
      <c r="M2759">
        <v>0</v>
      </c>
      <c r="N2759" s="14">
        <v>4.5092370819779002E-18</v>
      </c>
      <c r="O2759" s="14">
        <v>-2.2546185409889401E-18</v>
      </c>
      <c r="P2759" s="14">
        <v>7.8911648934613197E-18</v>
      </c>
    </row>
    <row r="2760" spans="1:16" x14ac:dyDescent="0.45">
      <c r="A2760" t="s">
        <v>89</v>
      </c>
      <c r="B2760" t="s">
        <v>29</v>
      </c>
      <c r="C2760" t="s">
        <v>18</v>
      </c>
      <c r="D2760" t="s">
        <v>12</v>
      </c>
      <c r="E2760" t="s">
        <v>32</v>
      </c>
      <c r="F2760">
        <v>0</v>
      </c>
      <c r="G2760">
        <v>0</v>
      </c>
      <c r="H2760">
        <v>0</v>
      </c>
      <c r="I2760">
        <v>0</v>
      </c>
      <c r="J2760" s="14">
        <v>-1.0408340855860799E-17</v>
      </c>
      <c r="K2760">
        <v>0</v>
      </c>
      <c r="L2760" s="14">
        <v>-5.63654635247237E-18</v>
      </c>
      <c r="M2760">
        <v>0</v>
      </c>
      <c r="N2760" s="14">
        <v>1.2400401975439201E-17</v>
      </c>
      <c r="O2760" s="14">
        <v>6.7638556229668398E-18</v>
      </c>
      <c r="P2760" s="14">
        <v>-7.8911648934613197E-18</v>
      </c>
    </row>
    <row r="2761" spans="1:16" x14ac:dyDescent="0.45">
      <c r="A2761" t="s">
        <v>89</v>
      </c>
      <c r="B2761" t="s">
        <v>29</v>
      </c>
      <c r="C2761" t="s">
        <v>18</v>
      </c>
      <c r="D2761" t="s">
        <v>13</v>
      </c>
      <c r="E2761" t="s">
        <v>32</v>
      </c>
      <c r="F2761">
        <v>0</v>
      </c>
      <c r="G2761">
        <v>0</v>
      </c>
      <c r="H2761">
        <v>0</v>
      </c>
      <c r="I2761" s="14">
        <v>-1.0408340855860799E-17</v>
      </c>
      <c r="J2761" s="14">
        <v>1.0408340855860799E-17</v>
      </c>
      <c r="K2761">
        <v>0</v>
      </c>
      <c r="L2761" s="14">
        <v>-2.2546185409889401E-18</v>
      </c>
      <c r="M2761" s="14">
        <v>7.8911648934613197E-18</v>
      </c>
      <c r="N2761" s="14">
        <v>-1.6909639057417102E-17</v>
      </c>
      <c r="O2761" s="14">
        <v>-7.8911648934613197E-18</v>
      </c>
      <c r="P2761" s="14">
        <v>7.8911648934613197E-18</v>
      </c>
    </row>
    <row r="2762" spans="1:16" x14ac:dyDescent="0.45">
      <c r="A2762" t="s">
        <v>89</v>
      </c>
      <c r="B2762" t="s">
        <v>29</v>
      </c>
      <c r="C2762" t="s">
        <v>18</v>
      </c>
      <c r="D2762" t="s">
        <v>14</v>
      </c>
      <c r="E2762" t="s">
        <v>32</v>
      </c>
      <c r="F2762">
        <v>0</v>
      </c>
      <c r="G2762">
        <v>0</v>
      </c>
      <c r="H2762">
        <v>0</v>
      </c>
      <c r="I2762" s="14">
        <v>1.0408340855860799E-17</v>
      </c>
      <c r="J2762" s="14">
        <v>-1.0408340855860799E-17</v>
      </c>
      <c r="K2762" s="14">
        <v>6.7638556229668398E-18</v>
      </c>
      <c r="L2762" s="14">
        <v>3.3819278114834199E-18</v>
      </c>
      <c r="M2762" s="14">
        <v>4.5092370819778701E-18</v>
      </c>
      <c r="N2762" s="14">
        <v>1.0145783434450299E-17</v>
      </c>
      <c r="O2762" s="14">
        <v>9.0184741639558296E-18</v>
      </c>
      <c r="P2762" s="14">
        <v>-7.8911648934613197E-18</v>
      </c>
    </row>
    <row r="2763" spans="1:16" x14ac:dyDescent="0.45">
      <c r="A2763" t="s">
        <v>89</v>
      </c>
      <c r="B2763" t="s">
        <v>29</v>
      </c>
      <c r="C2763" t="s">
        <v>19</v>
      </c>
      <c r="D2763" t="s">
        <v>7</v>
      </c>
      <c r="E2763" t="s">
        <v>32</v>
      </c>
      <c r="F2763">
        <v>4.2223629918597801E-4</v>
      </c>
      <c r="G2763">
        <v>0</v>
      </c>
      <c r="H2763">
        <v>0</v>
      </c>
      <c r="I2763">
        <v>0</v>
      </c>
      <c r="J2763">
        <v>0</v>
      </c>
      <c r="K2763">
        <v>4.3837220760559799E-4</v>
      </c>
      <c r="L2763" s="14">
        <v>7.8101097116072796E-5</v>
      </c>
      <c r="M2763" s="14">
        <v>1.5599603225039199E-5</v>
      </c>
      <c r="N2763" s="14">
        <v>1.14265255931696E-6</v>
      </c>
      <c r="O2763">
        <v>0</v>
      </c>
      <c r="P2763">
        <v>0</v>
      </c>
    </row>
    <row r="2764" spans="1:16" x14ac:dyDescent="0.45">
      <c r="A2764" t="s">
        <v>89</v>
      </c>
      <c r="B2764" t="s">
        <v>29</v>
      </c>
      <c r="C2764" t="s">
        <v>19</v>
      </c>
      <c r="D2764" t="s">
        <v>9</v>
      </c>
      <c r="E2764" t="s">
        <v>32</v>
      </c>
      <c r="F2764">
        <v>0</v>
      </c>
      <c r="G2764">
        <v>0</v>
      </c>
      <c r="H2764">
        <v>0</v>
      </c>
      <c r="I2764">
        <v>0</v>
      </c>
      <c r="J2764" s="14">
        <v>3.5566748048282298E-5</v>
      </c>
      <c r="K2764" s="14">
        <v>1.6896904129979701E-5</v>
      </c>
      <c r="L2764" s="14">
        <v>9.4121339845946403E-5</v>
      </c>
      <c r="M2764">
        <v>1.01437895570322E-4</v>
      </c>
      <c r="N2764">
        <v>1.12567712614254E-4</v>
      </c>
      <c r="O2764">
        <v>1.13710365173572E-4</v>
      </c>
      <c r="P2764">
        <v>1.0708735842888699E-4</v>
      </c>
    </row>
    <row r="2765" spans="1:16" x14ac:dyDescent="0.45">
      <c r="A2765" t="s">
        <v>89</v>
      </c>
      <c r="B2765" t="s">
        <v>29</v>
      </c>
      <c r="C2765" t="s">
        <v>19</v>
      </c>
      <c r="D2765" t="s">
        <v>10</v>
      </c>
      <c r="E2765" t="s">
        <v>32</v>
      </c>
      <c r="F2765">
        <v>0</v>
      </c>
      <c r="G2765">
        <v>0</v>
      </c>
      <c r="H2765">
        <v>0</v>
      </c>
      <c r="I2765">
        <v>0</v>
      </c>
      <c r="J2765" s="14">
        <v>4.6202611920268799E-5</v>
      </c>
      <c r="K2765" s="14">
        <v>9.0209351676033295E-5</v>
      </c>
      <c r="L2765">
        <v>1.6785696083494801E-4</v>
      </c>
      <c r="M2765">
        <v>1.44513465470908E-4</v>
      </c>
      <c r="N2765">
        <v>1.29924919138167E-3</v>
      </c>
      <c r="O2765">
        <v>1.4084646312559699E-3</v>
      </c>
      <c r="P2765">
        <v>1.408201516973E-3</v>
      </c>
    </row>
    <row r="2766" spans="1:16" x14ac:dyDescent="0.45">
      <c r="A2766" t="s">
        <v>89</v>
      </c>
      <c r="B2766" t="s">
        <v>29</v>
      </c>
      <c r="C2766" t="s">
        <v>19</v>
      </c>
      <c r="D2766" t="s">
        <v>11</v>
      </c>
      <c r="E2766" t="s">
        <v>32</v>
      </c>
      <c r="F2766">
        <v>0</v>
      </c>
      <c r="G2766">
        <v>0</v>
      </c>
      <c r="H2766">
        <v>0</v>
      </c>
      <c r="I2766">
        <v>0</v>
      </c>
      <c r="J2766" s="14">
        <v>6.0296344307922302E-5</v>
      </c>
      <c r="K2766" s="14">
        <v>9.2091018849737495E-5</v>
      </c>
      <c r="L2766">
        <v>1.5120911614248599E-3</v>
      </c>
      <c r="M2766">
        <v>1.3472408363365399E-3</v>
      </c>
      <c r="N2766">
        <v>4.3590976346431299E-4</v>
      </c>
      <c r="O2766">
        <v>3.4938883581208698E-4</v>
      </c>
      <c r="P2766">
        <v>3.8899079394900802E-4</v>
      </c>
    </row>
    <row r="2767" spans="1:16" x14ac:dyDescent="0.45">
      <c r="A2767" t="s">
        <v>89</v>
      </c>
      <c r="B2767" t="s">
        <v>29</v>
      </c>
      <c r="C2767" t="s">
        <v>19</v>
      </c>
      <c r="D2767" t="s">
        <v>12</v>
      </c>
      <c r="E2767" t="s">
        <v>32</v>
      </c>
      <c r="F2767">
        <v>0</v>
      </c>
      <c r="G2767">
        <v>0</v>
      </c>
      <c r="H2767">
        <v>0</v>
      </c>
      <c r="I2767">
        <v>0</v>
      </c>
      <c r="J2767">
        <v>1.11275418464078E-3</v>
      </c>
      <c r="K2767">
        <v>1.3676347539455999E-3</v>
      </c>
      <c r="L2767">
        <v>1.14208996456432E-4</v>
      </c>
      <c r="M2767">
        <v>3.3094148194449599E-4</v>
      </c>
      <c r="N2767">
        <v>2.6379587013348099E-4</v>
      </c>
      <c r="O2767">
        <v>5.0338955279163595E-4</v>
      </c>
      <c r="P2767">
        <v>5.2185769503998295E-4</v>
      </c>
    </row>
    <row r="2768" spans="1:16" x14ac:dyDescent="0.45">
      <c r="A2768" t="s">
        <v>89</v>
      </c>
      <c r="B2768" t="s">
        <v>29</v>
      </c>
      <c r="C2768" t="s">
        <v>19</v>
      </c>
      <c r="D2768" t="s">
        <v>13</v>
      </c>
      <c r="E2768" t="s">
        <v>32</v>
      </c>
      <c r="F2768">
        <v>0</v>
      </c>
      <c r="G2768">
        <v>0</v>
      </c>
      <c r="H2768">
        <v>0</v>
      </c>
      <c r="I2768">
        <v>1.75569479962388E-3</v>
      </c>
      <c r="J2768">
        <v>9.9040105525811505E-4</v>
      </c>
      <c r="K2768">
        <v>1.5947195462988699E-3</v>
      </c>
      <c r="L2768">
        <v>1.1246269275501501E-3</v>
      </c>
      <c r="M2768">
        <v>7.4331964779585904E-4</v>
      </c>
      <c r="N2768">
        <v>5.3882797329147603E-4</v>
      </c>
      <c r="O2768">
        <v>3.02330757682752E-4</v>
      </c>
      <c r="P2768">
        <v>3.1215999049773998E-4</v>
      </c>
    </row>
    <row r="2769" spans="1:16" x14ac:dyDescent="0.45">
      <c r="A2769" t="s">
        <v>89</v>
      </c>
      <c r="B2769" t="s">
        <v>29</v>
      </c>
      <c r="C2769" t="s">
        <v>19</v>
      </c>
      <c r="D2769" t="s">
        <v>14</v>
      </c>
      <c r="E2769" t="s">
        <v>32</v>
      </c>
      <c r="F2769">
        <v>0</v>
      </c>
      <c r="G2769">
        <v>8.4355819847729504E-4</v>
      </c>
      <c r="H2769">
        <v>8.4355819847729504E-4</v>
      </c>
      <c r="I2769">
        <v>1.7509250181622E-3</v>
      </c>
      <c r="J2769">
        <v>1.23025776570588E-3</v>
      </c>
      <c r="K2769">
        <v>-3.24728790340807E-4</v>
      </c>
      <c r="L2769">
        <v>-4.22551313059209E-4</v>
      </c>
      <c r="M2769">
        <v>-1.4581457368394E-4</v>
      </c>
      <c r="N2769">
        <v>-1.4232768039417899E-4</v>
      </c>
      <c r="O2769" s="14">
        <v>1.38107084154799E-5</v>
      </c>
      <c r="P2769">
        <v>1.5360030737018599E-4</v>
      </c>
    </row>
    <row r="2770" spans="1:16" x14ac:dyDescent="0.45">
      <c r="A2770" t="s">
        <v>31</v>
      </c>
      <c r="B2770" t="s">
        <v>21</v>
      </c>
      <c r="C2770" t="s">
        <v>6</v>
      </c>
      <c r="D2770" t="s">
        <v>7</v>
      </c>
      <c r="E2770" t="s">
        <v>32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1.19477392374413E-4</v>
      </c>
      <c r="L2770">
        <v>0</v>
      </c>
      <c r="M2770">
        <v>0</v>
      </c>
      <c r="N2770">
        <v>0</v>
      </c>
      <c r="O2770">
        <v>0</v>
      </c>
      <c r="P2770">
        <v>0</v>
      </c>
    </row>
    <row r="2771" spans="1:16" x14ac:dyDescent="0.45">
      <c r="A2771" t="s">
        <v>31</v>
      </c>
      <c r="B2771" t="s">
        <v>21</v>
      </c>
      <c r="C2771" t="s">
        <v>6</v>
      </c>
      <c r="D2771" t="s">
        <v>9</v>
      </c>
      <c r="E2771" t="s">
        <v>32</v>
      </c>
      <c r="F2771">
        <v>0</v>
      </c>
      <c r="G2771">
        <v>0</v>
      </c>
      <c r="H2771">
        <v>0</v>
      </c>
      <c r="I2771">
        <v>0</v>
      </c>
      <c r="J2771" s="14">
        <v>9.0506125119489399E-5</v>
      </c>
      <c r="K2771" s="14">
        <v>-5.0402560310373102E-6</v>
      </c>
      <c r="L2771">
        <v>0</v>
      </c>
      <c r="M2771">
        <v>0</v>
      </c>
      <c r="N2771">
        <v>0</v>
      </c>
      <c r="O2771">
        <v>0</v>
      </c>
      <c r="P2771">
        <v>0</v>
      </c>
    </row>
    <row r="2772" spans="1:16" x14ac:dyDescent="0.45">
      <c r="A2772" t="s">
        <v>31</v>
      </c>
      <c r="B2772" t="s">
        <v>21</v>
      </c>
      <c r="C2772" t="s">
        <v>6</v>
      </c>
      <c r="D2772" t="s">
        <v>10</v>
      </c>
      <c r="E2772" t="s">
        <v>32</v>
      </c>
      <c r="F2772">
        <v>0</v>
      </c>
      <c r="G2772">
        <v>0</v>
      </c>
      <c r="H2772">
        <v>0</v>
      </c>
      <c r="I2772">
        <v>0</v>
      </c>
      <c r="J2772" s="14">
        <v>-8.5206668508994198E-5</v>
      </c>
      <c r="K2772">
        <v>5.8143925344243696E-4</v>
      </c>
      <c r="L2772">
        <v>3.4832297235392099E-4</v>
      </c>
      <c r="M2772">
        <v>2.20485499059089E-4</v>
      </c>
      <c r="N2772">
        <v>4.1675326728056799E-3</v>
      </c>
      <c r="O2772">
        <v>3.5039341484994699E-2</v>
      </c>
      <c r="P2772">
        <v>8.2943325347917901E-2</v>
      </c>
    </row>
    <row r="2773" spans="1:16" x14ac:dyDescent="0.45">
      <c r="A2773" t="s">
        <v>31</v>
      </c>
      <c r="B2773" t="s">
        <v>21</v>
      </c>
      <c r="C2773" t="s">
        <v>6</v>
      </c>
      <c r="D2773" t="s">
        <v>11</v>
      </c>
      <c r="E2773" t="s">
        <v>32</v>
      </c>
      <c r="F2773">
        <v>0</v>
      </c>
      <c r="G2773">
        <v>0</v>
      </c>
      <c r="H2773">
        <v>0</v>
      </c>
      <c r="I2773">
        <v>0</v>
      </c>
      <c r="J2773">
        <v>4.1679863529021699E-4</v>
      </c>
      <c r="K2773">
        <v>5.2179642517802001E-4</v>
      </c>
      <c r="L2773">
        <v>1.6583017928624402E-2</v>
      </c>
      <c r="M2773">
        <v>6.9638757785630098E-2</v>
      </c>
      <c r="N2773">
        <v>0.136060166476697</v>
      </c>
      <c r="O2773">
        <v>0.17574575890719099</v>
      </c>
      <c r="P2773">
        <v>0.19320807416378499</v>
      </c>
    </row>
    <row r="2774" spans="1:16" x14ac:dyDescent="0.45">
      <c r="A2774" t="s">
        <v>31</v>
      </c>
      <c r="B2774" t="s">
        <v>21</v>
      </c>
      <c r="C2774" t="s">
        <v>6</v>
      </c>
      <c r="D2774" t="s">
        <v>12</v>
      </c>
      <c r="E2774" t="s">
        <v>32</v>
      </c>
      <c r="F2774">
        <v>0</v>
      </c>
      <c r="G2774">
        <v>0</v>
      </c>
      <c r="H2774">
        <v>0</v>
      </c>
      <c r="I2774">
        <v>0</v>
      </c>
      <c r="J2774">
        <v>2.9982386241696698E-3</v>
      </c>
      <c r="K2774">
        <v>6.0121001270185999E-2</v>
      </c>
      <c r="L2774">
        <v>0.12683176587838799</v>
      </c>
      <c r="M2774">
        <v>0.15331209239836599</v>
      </c>
      <c r="N2774">
        <v>0.15444041599312</v>
      </c>
      <c r="O2774">
        <v>0.15382957345468101</v>
      </c>
      <c r="P2774">
        <v>0.15811854538680001</v>
      </c>
    </row>
    <row r="2775" spans="1:16" x14ac:dyDescent="0.45">
      <c r="A2775" t="s">
        <v>31</v>
      </c>
      <c r="B2775" t="s">
        <v>21</v>
      </c>
      <c r="C2775" t="s">
        <v>6</v>
      </c>
      <c r="D2775" t="s">
        <v>13</v>
      </c>
      <c r="E2775" t="s">
        <v>32</v>
      </c>
      <c r="F2775">
        <v>0</v>
      </c>
      <c r="G2775">
        <v>0</v>
      </c>
      <c r="H2775">
        <v>0</v>
      </c>
      <c r="I2775">
        <v>5.4384840435423201E-2</v>
      </c>
      <c r="J2775">
        <v>0.15072775221648299</v>
      </c>
      <c r="K2775">
        <v>0.18852570403207</v>
      </c>
      <c r="L2775">
        <v>0.19125671014543899</v>
      </c>
      <c r="M2775">
        <v>0.19419394896068701</v>
      </c>
      <c r="N2775">
        <v>0.20288705463540199</v>
      </c>
      <c r="O2775">
        <v>0.21419655746779401</v>
      </c>
      <c r="P2775">
        <v>0.22515624359382799</v>
      </c>
    </row>
    <row r="2776" spans="1:16" x14ac:dyDescent="0.45">
      <c r="A2776" t="s">
        <v>31</v>
      </c>
      <c r="B2776" t="s">
        <v>21</v>
      </c>
      <c r="C2776" t="s">
        <v>6</v>
      </c>
      <c r="D2776" t="s">
        <v>14</v>
      </c>
      <c r="E2776" t="s">
        <v>32</v>
      </c>
      <c r="F2776">
        <v>0</v>
      </c>
      <c r="G2776">
        <v>0</v>
      </c>
      <c r="H2776">
        <v>0</v>
      </c>
      <c r="I2776">
        <v>7.3607833144961304E-2</v>
      </c>
      <c r="J2776">
        <v>9.0588848539004493E-2</v>
      </c>
      <c r="K2776">
        <v>9.9487931685677197E-2</v>
      </c>
      <c r="L2776">
        <v>0.110845299937137</v>
      </c>
      <c r="M2776">
        <v>0.128234258590436</v>
      </c>
      <c r="N2776">
        <v>0.149140701734367</v>
      </c>
      <c r="O2776">
        <v>0.16983407225347799</v>
      </c>
      <c r="P2776">
        <v>0.19167052524323699</v>
      </c>
    </row>
    <row r="2777" spans="1:16" x14ac:dyDescent="0.45">
      <c r="A2777" t="s">
        <v>31</v>
      </c>
      <c r="B2777" t="s">
        <v>21</v>
      </c>
      <c r="C2777" t="s">
        <v>15</v>
      </c>
      <c r="D2777" t="s">
        <v>7</v>
      </c>
      <c r="E2777" t="s">
        <v>32</v>
      </c>
      <c r="F2777">
        <v>5.1363548199988798E-2</v>
      </c>
      <c r="G2777">
        <v>4.6760265162111403E-2</v>
      </c>
      <c r="H2777">
        <v>4.6760265162111403E-2</v>
      </c>
      <c r="I2777">
        <v>4.5928803865165499E-2</v>
      </c>
      <c r="J2777">
        <v>4.7361049373409E-2</v>
      </c>
      <c r="K2777">
        <v>4.66380560157773E-2</v>
      </c>
      <c r="L2777">
        <v>4.8266457907627999E-2</v>
      </c>
      <c r="M2777">
        <v>4.92342883197497E-2</v>
      </c>
      <c r="N2777">
        <v>4.9241914685769203E-2</v>
      </c>
      <c r="O2777">
        <v>4.9196454471083201E-2</v>
      </c>
      <c r="P2777">
        <v>4.9915848351087498E-2</v>
      </c>
    </row>
    <row r="2778" spans="1:16" x14ac:dyDescent="0.45">
      <c r="A2778" t="s">
        <v>31</v>
      </c>
      <c r="B2778" t="s">
        <v>21</v>
      </c>
      <c r="C2778" t="s">
        <v>15</v>
      </c>
      <c r="D2778" t="s">
        <v>9</v>
      </c>
      <c r="E2778" t="s">
        <v>32</v>
      </c>
      <c r="F2778">
        <v>0</v>
      </c>
      <c r="G2778" s="14">
        <v>8.8433433296231101E-6</v>
      </c>
      <c r="H2778" s="14">
        <v>8.8433433296231101E-6</v>
      </c>
      <c r="I2778">
        <v>-1.2903106753726199E-4</v>
      </c>
      <c r="J2778">
        <v>-6.0511231756463202E-4</v>
      </c>
      <c r="K2778">
        <v>-6.3731071240826604E-4</v>
      </c>
      <c r="L2778">
        <v>-7.1515564364875396E-4</v>
      </c>
      <c r="M2778">
        <v>-9.5839282706890205E-4</v>
      </c>
      <c r="N2778">
        <v>-5.4671089072651203E-4</v>
      </c>
      <c r="O2778">
        <v>-3.2880671663275402E-4</v>
      </c>
      <c r="P2778">
        <v>-6.8923335254595503E-4</v>
      </c>
    </row>
    <row r="2779" spans="1:16" x14ac:dyDescent="0.45">
      <c r="A2779" t="s">
        <v>31</v>
      </c>
      <c r="B2779" t="s">
        <v>21</v>
      </c>
      <c r="C2779" t="s">
        <v>15</v>
      </c>
      <c r="D2779" t="s">
        <v>10</v>
      </c>
      <c r="E2779" t="s">
        <v>32</v>
      </c>
      <c r="F2779">
        <v>0</v>
      </c>
      <c r="G2779" s="14">
        <v>-7.0594117572160594E-5</v>
      </c>
      <c r="H2779" s="14">
        <v>-7.0594117572160594E-5</v>
      </c>
      <c r="I2779">
        <v>-1.0703552178689E-4</v>
      </c>
      <c r="J2779">
        <v>-1.9794527463688801E-4</v>
      </c>
      <c r="K2779">
        <v>-1.07159279716502E-4</v>
      </c>
      <c r="L2779" s="14">
        <v>-2.7469772922034098E-6</v>
      </c>
      <c r="M2779" s="14">
        <v>5.2402473805522598E-5</v>
      </c>
      <c r="N2779">
        <v>-2.3964776496133999E-4</v>
      </c>
      <c r="O2779">
        <v>-1.12432632586534E-4</v>
      </c>
      <c r="P2779" s="14">
        <v>-2.3541076915010999E-5</v>
      </c>
    </row>
    <row r="2780" spans="1:16" x14ac:dyDescent="0.45">
      <c r="A2780" t="s">
        <v>31</v>
      </c>
      <c r="B2780" t="s">
        <v>21</v>
      </c>
      <c r="C2780" t="s">
        <v>15</v>
      </c>
      <c r="D2780" t="s">
        <v>11</v>
      </c>
      <c r="E2780" t="s">
        <v>32</v>
      </c>
      <c r="F2780">
        <v>0</v>
      </c>
      <c r="G2780" s="14">
        <v>-6.3789081262838298E-6</v>
      </c>
      <c r="H2780" s="14">
        <v>-6.3789081262838298E-6</v>
      </c>
      <c r="I2780">
        <v>-1.08286264138481E-4</v>
      </c>
      <c r="J2780">
        <v>-1.5755880101781699E-4</v>
      </c>
      <c r="K2780">
        <v>2.2923013580238699E-4</v>
      </c>
      <c r="L2780">
        <v>-6.8473463518628497E-4</v>
      </c>
      <c r="M2780">
        <v>-9.3533821469089101E-4</v>
      </c>
      <c r="N2780">
        <v>-1.0678037583178399E-3</v>
      </c>
      <c r="O2780">
        <v>-9.5136693052599896E-4</v>
      </c>
      <c r="P2780">
        <v>2.6179445370461598E-3</v>
      </c>
    </row>
    <row r="2781" spans="1:16" x14ac:dyDescent="0.45">
      <c r="A2781" t="s">
        <v>31</v>
      </c>
      <c r="B2781" t="s">
        <v>21</v>
      </c>
      <c r="C2781" t="s">
        <v>15</v>
      </c>
      <c r="D2781" t="s">
        <v>12</v>
      </c>
      <c r="E2781" t="s">
        <v>32</v>
      </c>
      <c r="F2781">
        <v>0</v>
      </c>
      <c r="G2781" s="14">
        <v>-4.6913813314536402E-6</v>
      </c>
      <c r="H2781" s="14">
        <v>-4.6913813314536402E-6</v>
      </c>
      <c r="I2781">
        <v>-1.2755679549540501E-3</v>
      </c>
      <c r="J2781">
        <v>-9.4473241709476497E-4</v>
      </c>
      <c r="K2781">
        <v>-5.6712892591901504E-4</v>
      </c>
      <c r="L2781">
        <v>2.6048610860875702E-3</v>
      </c>
      <c r="M2781">
        <v>6.4256723545091403E-3</v>
      </c>
      <c r="N2781">
        <v>1.30800392590133E-2</v>
      </c>
      <c r="O2781">
        <v>1.73650494510783E-2</v>
      </c>
      <c r="P2781">
        <v>1.91802024616008E-2</v>
      </c>
    </row>
    <row r="2782" spans="1:16" x14ac:dyDescent="0.45">
      <c r="A2782" t="s">
        <v>31</v>
      </c>
      <c r="B2782" t="s">
        <v>21</v>
      </c>
      <c r="C2782" t="s">
        <v>15</v>
      </c>
      <c r="D2782" t="s">
        <v>13</v>
      </c>
      <c r="E2782" t="s">
        <v>32</v>
      </c>
      <c r="F2782">
        <v>0</v>
      </c>
      <c r="G2782">
        <v>-1.19459716967956E-3</v>
      </c>
      <c r="H2782">
        <v>-1.19459716967956E-3</v>
      </c>
      <c r="I2782">
        <v>-3.0065116053650102E-3</v>
      </c>
      <c r="J2782">
        <v>1.9105292836693499E-3</v>
      </c>
      <c r="K2782">
        <v>1.08642873616762E-2</v>
      </c>
      <c r="L2782">
        <v>1.8294974061511701E-2</v>
      </c>
      <c r="M2782">
        <v>2.3279291421279599E-2</v>
      </c>
      <c r="N2782">
        <v>2.6002479212187599E-2</v>
      </c>
      <c r="O2782">
        <v>2.9514713391096199E-2</v>
      </c>
      <c r="P2782">
        <v>3.3120627369817898E-2</v>
      </c>
    </row>
    <row r="2783" spans="1:16" x14ac:dyDescent="0.45">
      <c r="A2783" t="s">
        <v>31</v>
      </c>
      <c r="B2783" t="s">
        <v>21</v>
      </c>
      <c r="C2783" t="s">
        <v>15</v>
      </c>
      <c r="D2783" t="s">
        <v>14</v>
      </c>
      <c r="E2783" t="s">
        <v>32</v>
      </c>
      <c r="F2783">
        <v>0</v>
      </c>
      <c r="G2783">
        <v>1.7210396898378E-2</v>
      </c>
      <c r="H2783">
        <v>1.7210396898378E-2</v>
      </c>
      <c r="I2783">
        <v>1.9960310117708201E-3</v>
      </c>
      <c r="J2783">
        <v>1.3365977852983499E-2</v>
      </c>
      <c r="K2783">
        <v>1.8863014423882801E-2</v>
      </c>
      <c r="L2783">
        <v>1.682869093159E-2</v>
      </c>
      <c r="M2783">
        <v>1.8538131938116698E-2</v>
      </c>
      <c r="N2783">
        <v>2.13911431784806E-2</v>
      </c>
      <c r="O2783">
        <v>2.2293888151245299E-2</v>
      </c>
      <c r="P2783">
        <v>1.8892025396550001E-2</v>
      </c>
    </row>
    <row r="2784" spans="1:16" x14ac:dyDescent="0.45">
      <c r="A2784" t="s">
        <v>31</v>
      </c>
      <c r="B2784" t="s">
        <v>21</v>
      </c>
      <c r="C2784" t="s">
        <v>16</v>
      </c>
      <c r="D2784" t="s">
        <v>7</v>
      </c>
      <c r="E2784" t="s">
        <v>32</v>
      </c>
      <c r="F2784">
        <v>6.1296743609456902E-2</v>
      </c>
      <c r="G2784">
        <v>2.2235593747973799E-2</v>
      </c>
      <c r="H2784">
        <v>2.2235593747973799E-2</v>
      </c>
      <c r="I2784">
        <v>2.2878481233137699E-2</v>
      </c>
      <c r="J2784">
        <v>2.2878481233137699E-2</v>
      </c>
      <c r="K2784">
        <v>2.3656958698378701E-2</v>
      </c>
      <c r="L2784">
        <v>2.2878481233137699E-2</v>
      </c>
      <c r="M2784">
        <v>2.2878481233137699E-2</v>
      </c>
      <c r="N2784">
        <v>2.2878481233137699E-2</v>
      </c>
      <c r="O2784">
        <v>2.2878481233137699E-2</v>
      </c>
      <c r="P2784">
        <v>2.2878481233137699E-2</v>
      </c>
    </row>
    <row r="2785" spans="1:16" x14ac:dyDescent="0.45">
      <c r="A2785" t="s">
        <v>31</v>
      </c>
      <c r="B2785" t="s">
        <v>21</v>
      </c>
      <c r="C2785" t="s">
        <v>16</v>
      </c>
      <c r="D2785" t="s">
        <v>9</v>
      </c>
      <c r="E2785" t="s">
        <v>32</v>
      </c>
      <c r="F2785">
        <v>0</v>
      </c>
      <c r="G2785">
        <v>0</v>
      </c>
      <c r="H2785">
        <v>0</v>
      </c>
      <c r="I2785">
        <v>0</v>
      </c>
      <c r="J2785">
        <v>8.0799498270142005E-4</v>
      </c>
      <c r="K2785" s="14">
        <v>9.2005496606706303E-5</v>
      </c>
      <c r="L2785">
        <v>7.6988445845548395E-4</v>
      </c>
      <c r="M2785">
        <v>7.0725527654649095E-4</v>
      </c>
      <c r="N2785">
        <v>7.2219198124414798E-3</v>
      </c>
      <c r="O2785">
        <v>7.2204658230217104E-3</v>
      </c>
      <c r="P2785">
        <v>7.2204658230217104E-3</v>
      </c>
    </row>
    <row r="2786" spans="1:16" x14ac:dyDescent="0.45">
      <c r="A2786" t="s">
        <v>31</v>
      </c>
      <c r="B2786" t="s">
        <v>21</v>
      </c>
      <c r="C2786" t="s">
        <v>16</v>
      </c>
      <c r="D2786" t="s">
        <v>10</v>
      </c>
      <c r="E2786" t="s">
        <v>32</v>
      </c>
      <c r="F2786">
        <v>0</v>
      </c>
      <c r="G2786">
        <v>0</v>
      </c>
      <c r="H2786">
        <v>0</v>
      </c>
      <c r="I2786">
        <v>0</v>
      </c>
      <c r="J2786" s="14">
        <v>-3.8110524245935799E-5</v>
      </c>
      <c r="K2786">
        <v>7.3684660612503101E-4</v>
      </c>
      <c r="L2786">
        <v>6.4505813645662196E-3</v>
      </c>
      <c r="M2786">
        <v>6.5132105464753504E-3</v>
      </c>
      <c r="N2786" s="14">
        <v>-1.45398941977376E-6</v>
      </c>
      <c r="O2786">
        <v>0</v>
      </c>
      <c r="P2786">
        <v>0</v>
      </c>
    </row>
    <row r="2787" spans="1:16" x14ac:dyDescent="0.45">
      <c r="A2787" t="s">
        <v>31</v>
      </c>
      <c r="B2787" t="s">
        <v>21</v>
      </c>
      <c r="C2787" t="s">
        <v>16</v>
      </c>
      <c r="D2787" t="s">
        <v>11</v>
      </c>
      <c r="E2787" t="s">
        <v>32</v>
      </c>
      <c r="F2787">
        <v>0</v>
      </c>
      <c r="G2787">
        <v>0</v>
      </c>
      <c r="H2787">
        <v>0</v>
      </c>
      <c r="I2787">
        <v>0</v>
      </c>
      <c r="J2787">
        <v>6.4505813645662196E-3</v>
      </c>
      <c r="K2787">
        <v>5.61313625504901E-3</v>
      </c>
      <c r="L2787">
        <v>0</v>
      </c>
      <c r="M2787" s="14">
        <v>-1.3183898417423699E-16</v>
      </c>
      <c r="N2787">
        <v>0</v>
      </c>
      <c r="O2787" s="14">
        <v>1.3183898417423699E-16</v>
      </c>
      <c r="P2787">
        <v>0</v>
      </c>
    </row>
    <row r="2788" spans="1:16" x14ac:dyDescent="0.45">
      <c r="A2788" t="s">
        <v>31</v>
      </c>
      <c r="B2788" t="s">
        <v>21</v>
      </c>
      <c r="C2788" t="s">
        <v>16</v>
      </c>
      <c r="D2788" t="s">
        <v>12</v>
      </c>
      <c r="E2788" t="s">
        <v>32</v>
      </c>
      <c r="F2788">
        <v>0</v>
      </c>
      <c r="G2788">
        <v>0</v>
      </c>
      <c r="H2788">
        <v>0</v>
      </c>
      <c r="I2788">
        <v>7.2219198124414798E-3</v>
      </c>
      <c r="J2788" s="14">
        <v>1.3183898417423699E-16</v>
      </c>
      <c r="K2788">
        <v>0</v>
      </c>
      <c r="L2788" s="14">
        <v>1.3183898417423699E-16</v>
      </c>
      <c r="M2788">
        <v>0</v>
      </c>
      <c r="N2788">
        <v>0</v>
      </c>
      <c r="O2788" s="14">
        <v>-1.3183898417423699E-16</v>
      </c>
      <c r="P2788" s="14">
        <v>1.3183898417423699E-16</v>
      </c>
    </row>
    <row r="2789" spans="1:16" x14ac:dyDescent="0.45">
      <c r="A2789" t="s">
        <v>31</v>
      </c>
      <c r="B2789" t="s">
        <v>21</v>
      </c>
      <c r="C2789" t="s">
        <v>16</v>
      </c>
      <c r="D2789" t="s">
        <v>13</v>
      </c>
      <c r="E2789" t="s">
        <v>32</v>
      </c>
      <c r="F2789">
        <v>0</v>
      </c>
      <c r="G2789">
        <v>0</v>
      </c>
      <c r="H2789">
        <v>0</v>
      </c>
      <c r="I2789" s="14">
        <v>-1.45398941977376E-6</v>
      </c>
      <c r="J2789" s="14">
        <v>-1.3183898417423699E-16</v>
      </c>
      <c r="K2789" s="14">
        <v>1.3183898417423699E-16</v>
      </c>
      <c r="L2789">
        <v>0</v>
      </c>
      <c r="M2789">
        <v>0</v>
      </c>
      <c r="N2789" s="14">
        <v>1.3183898417423699E-16</v>
      </c>
      <c r="O2789">
        <v>0</v>
      </c>
      <c r="P2789" s="14">
        <v>-1.3183898417423699E-16</v>
      </c>
    </row>
    <row r="2790" spans="1:16" x14ac:dyDescent="0.45">
      <c r="A2790" t="s">
        <v>31</v>
      </c>
      <c r="B2790" t="s">
        <v>21</v>
      </c>
      <c r="C2790" t="s">
        <v>16</v>
      </c>
      <c r="D2790" t="s">
        <v>14</v>
      </c>
      <c r="E2790" t="s">
        <v>32</v>
      </c>
      <c r="F2790">
        <v>0</v>
      </c>
      <c r="G2790">
        <v>7.4637370154936496E-3</v>
      </c>
      <c r="H2790">
        <v>7.4637370154936496E-3</v>
      </c>
      <c r="I2790">
        <v>0</v>
      </c>
      <c r="J2790">
        <v>0</v>
      </c>
      <c r="K2790">
        <v>0</v>
      </c>
      <c r="L2790">
        <v>0</v>
      </c>
      <c r="M2790">
        <v>0</v>
      </c>
      <c r="N2790" s="14">
        <v>-1.3183898417423699E-16</v>
      </c>
      <c r="O2790" s="14">
        <v>1.3183898417423699E-16</v>
      </c>
      <c r="P2790">
        <v>0</v>
      </c>
    </row>
    <row r="2791" spans="1:16" x14ac:dyDescent="0.45">
      <c r="A2791" t="s">
        <v>31</v>
      </c>
      <c r="B2791" t="s">
        <v>21</v>
      </c>
      <c r="C2791" t="s">
        <v>17</v>
      </c>
      <c r="D2791" t="s">
        <v>7</v>
      </c>
      <c r="E2791" t="s">
        <v>32</v>
      </c>
      <c r="F2791">
        <v>0</v>
      </c>
      <c r="G2791">
        <v>0</v>
      </c>
      <c r="H2791">
        <v>0</v>
      </c>
      <c r="I2791">
        <v>0</v>
      </c>
      <c r="J2791">
        <v>1.00427266014738E-3</v>
      </c>
      <c r="K2791">
        <v>1.80953813740484E-3</v>
      </c>
      <c r="L2791">
        <v>1.0323740942205801E-3</v>
      </c>
      <c r="M2791" s="14">
        <v>1.79118948130129E-5</v>
      </c>
      <c r="N2791">
        <v>0</v>
      </c>
      <c r="O2791">
        <v>0</v>
      </c>
      <c r="P2791">
        <v>0</v>
      </c>
    </row>
    <row r="2792" spans="1:16" x14ac:dyDescent="0.45">
      <c r="A2792" t="s">
        <v>31</v>
      </c>
      <c r="B2792" t="s">
        <v>21</v>
      </c>
      <c r="C2792" t="s">
        <v>17</v>
      </c>
      <c r="D2792" t="s">
        <v>9</v>
      </c>
      <c r="E2792" t="s">
        <v>32</v>
      </c>
      <c r="F2792">
        <v>0</v>
      </c>
      <c r="G2792">
        <v>0</v>
      </c>
      <c r="H2792">
        <v>0</v>
      </c>
      <c r="I2792">
        <v>2.9402381006134301E-4</v>
      </c>
      <c r="J2792" s="14">
        <v>4.5227767369153402E-5</v>
      </c>
      <c r="K2792">
        <v>9.20291714460309E-4</v>
      </c>
      <c r="L2792">
        <v>5.1847208506068903E-4</v>
      </c>
      <c r="M2792">
        <v>1.0315885327035199E-3</v>
      </c>
      <c r="N2792">
        <v>1.7260622024507101E-2</v>
      </c>
      <c r="O2792">
        <v>2.7861661910328898E-2</v>
      </c>
      <c r="P2792">
        <v>2.7807966326179701E-2</v>
      </c>
    </row>
    <row r="2793" spans="1:16" x14ac:dyDescent="0.45">
      <c r="A2793" t="s">
        <v>31</v>
      </c>
      <c r="B2793" t="s">
        <v>21</v>
      </c>
      <c r="C2793" t="s">
        <v>17</v>
      </c>
      <c r="D2793" t="s">
        <v>10</v>
      </c>
      <c r="E2793" t="s">
        <v>32</v>
      </c>
      <c r="F2793">
        <v>0</v>
      </c>
      <c r="G2793">
        <v>0</v>
      </c>
      <c r="H2793">
        <v>0</v>
      </c>
      <c r="I2793" s="14">
        <v>3.4619530832904897E-5</v>
      </c>
      <c r="J2793">
        <v>6.1150913511737604E-4</v>
      </c>
      <c r="K2793" s="14">
        <v>-1.5413163797790101E-8</v>
      </c>
      <c r="L2793">
        <v>2.5998647809983701E-2</v>
      </c>
      <c r="M2793">
        <v>2.68891361078923E-2</v>
      </c>
      <c r="N2793">
        <v>1.17230992615769E-2</v>
      </c>
      <c r="O2793">
        <v>1.6011603988322701E-3</v>
      </c>
      <c r="P2793">
        <v>1.85158349705558E-3</v>
      </c>
    </row>
    <row r="2794" spans="1:16" x14ac:dyDescent="0.45">
      <c r="A2794" t="s">
        <v>31</v>
      </c>
      <c r="B2794" t="s">
        <v>21</v>
      </c>
      <c r="C2794" t="s">
        <v>17</v>
      </c>
      <c r="D2794" t="s">
        <v>11</v>
      </c>
      <c r="E2794" t="s">
        <v>32</v>
      </c>
      <c r="F2794">
        <v>0</v>
      </c>
      <c r="G2794">
        <v>0</v>
      </c>
      <c r="H2794">
        <v>0</v>
      </c>
      <c r="I2794">
        <v>2.3448805350009499E-4</v>
      </c>
      <c r="J2794">
        <v>1.83059406731301E-2</v>
      </c>
      <c r="K2794">
        <v>2.5259295961964998E-2</v>
      </c>
      <c r="L2794" s="14">
        <v>1.57230635814231E-3</v>
      </c>
      <c r="M2794" s="14">
        <v>2.6513369001448799E-3</v>
      </c>
      <c r="N2794" s="14">
        <v>3.6234943052928402E-3</v>
      </c>
      <c r="O2794" s="14">
        <v>1.20649514521968E-2</v>
      </c>
      <c r="P2794">
        <v>1.5265006731503101E-2</v>
      </c>
    </row>
    <row r="2795" spans="1:16" x14ac:dyDescent="0.45">
      <c r="A2795" t="s">
        <v>31</v>
      </c>
      <c r="B2795" t="s">
        <v>21</v>
      </c>
      <c r="C2795" t="s">
        <v>17</v>
      </c>
      <c r="D2795" t="s">
        <v>12</v>
      </c>
      <c r="E2795" t="s">
        <v>32</v>
      </c>
      <c r="F2795">
        <v>0</v>
      </c>
      <c r="G2795">
        <v>0</v>
      </c>
      <c r="H2795">
        <v>0</v>
      </c>
      <c r="I2795">
        <v>1.33263927008994E-2</v>
      </c>
      <c r="J2795">
        <v>9.7513037876118206E-3</v>
      </c>
      <c r="K2795" s="14">
        <v>9.3973369028950808E-3</v>
      </c>
      <c r="L2795">
        <v>1.48183794868536E-2</v>
      </c>
      <c r="M2795">
        <v>1.67370274340275E-2</v>
      </c>
      <c r="N2795">
        <v>2.1006706711103398E-2</v>
      </c>
      <c r="O2795">
        <v>2.0941558236832001E-2</v>
      </c>
      <c r="P2795">
        <v>2.6301637773164199E-2</v>
      </c>
    </row>
    <row r="2796" spans="1:16" x14ac:dyDescent="0.45">
      <c r="A2796" t="s">
        <v>31</v>
      </c>
      <c r="B2796" t="s">
        <v>21</v>
      </c>
      <c r="C2796" t="s">
        <v>17</v>
      </c>
      <c r="D2796" t="s">
        <v>13</v>
      </c>
      <c r="E2796" t="s">
        <v>32</v>
      </c>
      <c r="F2796">
        <v>0</v>
      </c>
      <c r="G2796">
        <v>0</v>
      </c>
      <c r="H2796">
        <v>0</v>
      </c>
      <c r="I2796">
        <v>1.8233231413502599E-2</v>
      </c>
      <c r="J2796">
        <v>1.5646798697194601E-2</v>
      </c>
      <c r="K2796">
        <v>1.7852907468458301E-2</v>
      </c>
      <c r="L2796">
        <v>2.6460475107695901E-2</v>
      </c>
      <c r="M2796">
        <v>4.2236805939216998E-2</v>
      </c>
      <c r="N2796">
        <v>5.79227340252104E-2</v>
      </c>
      <c r="O2796">
        <v>7.2385149323440798E-2</v>
      </c>
      <c r="P2796">
        <v>8.9743690647101096E-2</v>
      </c>
    </row>
    <row r="2797" spans="1:16" x14ac:dyDescent="0.45">
      <c r="A2797" t="s">
        <v>31</v>
      </c>
      <c r="B2797" t="s">
        <v>21</v>
      </c>
      <c r="C2797" t="s">
        <v>17</v>
      </c>
      <c r="D2797" t="s">
        <v>14</v>
      </c>
      <c r="E2797" t="s">
        <v>32</v>
      </c>
      <c r="F2797">
        <v>0</v>
      </c>
      <c r="G2797">
        <v>3.6637881410082798E-2</v>
      </c>
      <c r="H2797">
        <v>3.6637881410082798E-2</v>
      </c>
      <c r="I2797">
        <v>1.14806895934097E-2</v>
      </c>
      <c r="J2797">
        <v>1.7884012147261499E-2</v>
      </c>
      <c r="K2797">
        <v>3.62225421222215E-2</v>
      </c>
      <c r="L2797">
        <v>5.4495759243693001E-2</v>
      </c>
      <c r="M2797">
        <v>7.1514183792361699E-2</v>
      </c>
      <c r="N2797">
        <v>8.5687377603928194E-2</v>
      </c>
      <c r="O2797">
        <v>9.3506440391141102E-2</v>
      </c>
      <c r="P2797">
        <v>8.6848260930655494E-2</v>
      </c>
    </row>
    <row r="2798" spans="1:16" x14ac:dyDescent="0.45">
      <c r="A2798" t="s">
        <v>31</v>
      </c>
      <c r="B2798" t="s">
        <v>21</v>
      </c>
      <c r="C2798" t="s">
        <v>18</v>
      </c>
      <c r="D2798" t="s">
        <v>7</v>
      </c>
      <c r="E2798" t="s">
        <v>32</v>
      </c>
      <c r="F2798">
        <v>7.6177784232706004E-3</v>
      </c>
      <c r="G2798" s="14">
        <v>5.0580536875920999E-5</v>
      </c>
      <c r="H2798" s="14">
        <v>5.0580536875920999E-5</v>
      </c>
      <c r="I2798" s="14">
        <v>3.3720357917278303E-5</v>
      </c>
      <c r="J2798" s="14">
        <v>1.6860178958646399E-5</v>
      </c>
      <c r="K2798" s="14">
        <v>1.08018916138885E-17</v>
      </c>
      <c r="L2798">
        <v>0</v>
      </c>
      <c r="M2798">
        <v>0</v>
      </c>
      <c r="N2798">
        <v>0</v>
      </c>
      <c r="O2798">
        <v>0</v>
      </c>
      <c r="P2798">
        <v>0</v>
      </c>
    </row>
    <row r="2799" spans="1:16" x14ac:dyDescent="0.45">
      <c r="A2799" t="s">
        <v>31</v>
      </c>
      <c r="B2799" t="s">
        <v>21</v>
      </c>
      <c r="C2799" t="s">
        <v>18</v>
      </c>
      <c r="D2799" t="s">
        <v>9</v>
      </c>
      <c r="E2799" t="s">
        <v>32</v>
      </c>
      <c r="F2799">
        <v>0</v>
      </c>
      <c r="G2799">
        <v>0</v>
      </c>
      <c r="H2799">
        <v>0</v>
      </c>
      <c r="I2799" s="14">
        <v>7.2641545556528797E-18</v>
      </c>
      <c r="J2799" s="14">
        <v>3.5033282698437901E-18</v>
      </c>
      <c r="K2799" s="14">
        <v>-7.2012610759256505E-18</v>
      </c>
      <c r="L2799">
        <v>0</v>
      </c>
      <c r="M2799">
        <v>0</v>
      </c>
      <c r="N2799" s="14">
        <v>7.2012610759256505E-18</v>
      </c>
      <c r="O2799">
        <v>0</v>
      </c>
      <c r="P2799">
        <v>0</v>
      </c>
    </row>
    <row r="2800" spans="1:16" x14ac:dyDescent="0.45">
      <c r="A2800" t="s">
        <v>31</v>
      </c>
      <c r="B2800" t="s">
        <v>21</v>
      </c>
      <c r="C2800" t="s">
        <v>18</v>
      </c>
      <c r="D2800" t="s">
        <v>10</v>
      </c>
      <c r="E2800" t="s">
        <v>32</v>
      </c>
      <c r="F2800">
        <v>0</v>
      </c>
      <c r="G2800">
        <v>0</v>
      </c>
      <c r="H2800">
        <v>0</v>
      </c>
      <c r="I2800" s="14">
        <v>3.5033282698437901E-18</v>
      </c>
      <c r="J2800" s="14">
        <v>-7.1354055476702307E-18</v>
      </c>
      <c r="K2800" s="14">
        <v>-3.6006305379628299E-18</v>
      </c>
      <c r="L2800">
        <v>0</v>
      </c>
      <c r="M2800" s="14">
        <v>2.52044137657397E-17</v>
      </c>
      <c r="N2800" s="14">
        <v>7.2012610759256998E-18</v>
      </c>
      <c r="O2800" s="14">
        <v>1.80031526898142E-17</v>
      </c>
      <c r="P2800">
        <v>0</v>
      </c>
    </row>
    <row r="2801" spans="1:16" x14ac:dyDescent="0.45">
      <c r="A2801" t="s">
        <v>31</v>
      </c>
      <c r="B2801" t="s">
        <v>21</v>
      </c>
      <c r="C2801" t="s">
        <v>18</v>
      </c>
      <c r="D2801" t="s">
        <v>11</v>
      </c>
      <c r="E2801" t="s">
        <v>32</v>
      </c>
      <c r="F2801">
        <v>0</v>
      </c>
      <c r="G2801" s="14">
        <v>-1.07674828254967E-17</v>
      </c>
      <c r="H2801" s="14">
        <v>-1.07674828254967E-17</v>
      </c>
      <c r="I2801" s="14">
        <v>-3.5033282698437901E-18</v>
      </c>
      <c r="J2801" s="14">
        <v>-3.6320772778264399E-18</v>
      </c>
      <c r="K2801">
        <v>0</v>
      </c>
      <c r="L2801" s="14">
        <v>7.2012610759256505E-18</v>
      </c>
      <c r="M2801" s="14">
        <v>-1.08018916138884E-17</v>
      </c>
      <c r="N2801" s="14">
        <v>-7.2012610759256998E-18</v>
      </c>
      <c r="O2801" s="14">
        <v>-1.80031526898142E-17</v>
      </c>
      <c r="P2801" s="14">
        <v>4.6808196993516799E-17</v>
      </c>
    </row>
    <row r="2802" spans="1:16" x14ac:dyDescent="0.45">
      <c r="A2802" t="s">
        <v>31</v>
      </c>
      <c r="B2802" t="s">
        <v>21</v>
      </c>
      <c r="C2802" t="s">
        <v>18</v>
      </c>
      <c r="D2802" t="s">
        <v>12</v>
      </c>
      <c r="E2802" t="s">
        <v>32</v>
      </c>
      <c r="F2802">
        <v>0</v>
      </c>
      <c r="G2802" s="14">
        <v>0</v>
      </c>
      <c r="H2802" s="14">
        <v>0</v>
      </c>
      <c r="I2802" s="14">
        <v>-3.6320772778264399E-18</v>
      </c>
      <c r="J2802" s="14">
        <v>-2.5167042928819799E-17</v>
      </c>
      <c r="K2802">
        <v>0</v>
      </c>
      <c r="L2802" s="14">
        <v>-7.2012610759256505E-18</v>
      </c>
      <c r="M2802" s="14">
        <v>-1.44025221518514E-17</v>
      </c>
      <c r="N2802">
        <v>0</v>
      </c>
      <c r="O2802">
        <v>0</v>
      </c>
      <c r="P2802" s="14">
        <v>-4.6808196993516799E-17</v>
      </c>
    </row>
    <row r="2803" spans="1:16" x14ac:dyDescent="0.45">
      <c r="A2803" t="s">
        <v>31</v>
      </c>
      <c r="B2803" t="s">
        <v>21</v>
      </c>
      <c r="C2803" t="s">
        <v>18</v>
      </c>
      <c r="D2803" t="s">
        <v>13</v>
      </c>
      <c r="E2803" t="s">
        <v>32</v>
      </c>
      <c r="F2803">
        <v>0</v>
      </c>
      <c r="G2803" s="14">
        <v>-3.6388535414044696E-18</v>
      </c>
      <c r="H2803" s="14">
        <v>-3.6388535414044696E-18</v>
      </c>
      <c r="I2803" s="14">
        <v>1.43995601033231E-17</v>
      </c>
      <c r="J2803" s="14">
        <v>7.9133206064285804E-17</v>
      </c>
      <c r="K2803">
        <v>0</v>
      </c>
      <c r="L2803" s="14">
        <v>1.1161954667684801E-16</v>
      </c>
      <c r="M2803" s="14">
        <v>5.7610088607405303E-17</v>
      </c>
      <c r="N2803" s="14">
        <v>-7.2012610759256505E-18</v>
      </c>
      <c r="O2803" s="14">
        <v>1.44025221518514E-17</v>
      </c>
      <c r="P2803" s="14">
        <v>3.6726431487220901E-16</v>
      </c>
    </row>
    <row r="2804" spans="1:16" x14ac:dyDescent="0.45">
      <c r="A2804" t="s">
        <v>31</v>
      </c>
      <c r="B2804" t="s">
        <v>21</v>
      </c>
      <c r="C2804" t="s">
        <v>18</v>
      </c>
      <c r="D2804" t="s">
        <v>14</v>
      </c>
      <c r="E2804" t="s">
        <v>32</v>
      </c>
      <c r="F2804">
        <v>0</v>
      </c>
      <c r="G2804" s="14">
        <v>-7.2641545556528797E-18</v>
      </c>
      <c r="H2804" s="14">
        <v>-7.2641545556528797E-18</v>
      </c>
      <c r="I2804" s="14">
        <v>-1.43995601033231E-17</v>
      </c>
      <c r="J2804" s="14">
        <v>-6.47336459609626E-17</v>
      </c>
      <c r="K2804">
        <v>0</v>
      </c>
      <c r="L2804" s="14">
        <v>2.1603783227777001E-17</v>
      </c>
      <c r="M2804" s="14">
        <v>-3.60063053796284E-17</v>
      </c>
      <c r="N2804">
        <v>0</v>
      </c>
      <c r="O2804" s="14">
        <v>1.4402522151851199E-17</v>
      </c>
      <c r="P2804" s="14">
        <v>-3.2765737895461702E-16</v>
      </c>
    </row>
    <row r="2805" spans="1:16" x14ac:dyDescent="0.45">
      <c r="A2805" t="s">
        <v>31</v>
      </c>
      <c r="B2805" t="s">
        <v>21</v>
      </c>
      <c r="C2805" t="s">
        <v>19</v>
      </c>
      <c r="D2805" t="s">
        <v>12</v>
      </c>
      <c r="E2805" t="s">
        <v>32</v>
      </c>
      <c r="F2805">
        <v>0</v>
      </c>
      <c r="G2805" s="14">
        <v>0</v>
      </c>
      <c r="H2805" s="14">
        <v>0</v>
      </c>
      <c r="I2805">
        <v>0</v>
      </c>
      <c r="J2805">
        <v>0</v>
      </c>
      <c r="K2805">
        <v>0</v>
      </c>
      <c r="L2805">
        <v>0</v>
      </c>
      <c r="M2805">
        <v>3.5463999893871599E-3</v>
      </c>
      <c r="N2805">
        <v>1.1715599676452E-2</v>
      </c>
      <c r="O2805">
        <v>3.05221283268001E-2</v>
      </c>
      <c r="P2805">
        <v>4.0377631671986901E-2</v>
      </c>
    </row>
    <row r="2806" spans="1:16" x14ac:dyDescent="0.45">
      <c r="A2806" t="s">
        <v>31</v>
      </c>
      <c r="B2806" t="s">
        <v>21</v>
      </c>
      <c r="C2806" t="s">
        <v>19</v>
      </c>
      <c r="D2806" t="s">
        <v>13</v>
      </c>
      <c r="E2806" t="s">
        <v>32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1.0084261854530201E-2</v>
      </c>
      <c r="L2806">
        <v>3.3478191721114103E-2</v>
      </c>
      <c r="M2806">
        <v>6.9465610054050206E-2</v>
      </c>
      <c r="N2806">
        <v>0.110575882069921</v>
      </c>
      <c r="O2806">
        <v>0.147188473206849</v>
      </c>
      <c r="P2806">
        <v>0.191589359493997</v>
      </c>
    </row>
    <row r="2807" spans="1:16" x14ac:dyDescent="0.45">
      <c r="A2807" t="s">
        <v>31</v>
      </c>
      <c r="B2807" t="s">
        <v>21</v>
      </c>
      <c r="C2807" t="s">
        <v>19</v>
      </c>
      <c r="D2807" t="s">
        <v>14</v>
      </c>
      <c r="E2807" t="s">
        <v>32</v>
      </c>
      <c r="F2807">
        <v>0</v>
      </c>
      <c r="G2807">
        <v>0</v>
      </c>
      <c r="H2807">
        <v>0</v>
      </c>
      <c r="I2807">
        <v>0</v>
      </c>
      <c r="J2807" s="14">
        <v>2.2637671300200099E-2</v>
      </c>
      <c r="K2807">
        <v>6.2230405494772802E-2</v>
      </c>
      <c r="L2807">
        <v>0.123655254483079</v>
      </c>
      <c r="M2807">
        <v>0.172634492819778</v>
      </c>
      <c r="N2807">
        <v>0.20648621552048799</v>
      </c>
      <c r="O2807">
        <v>0.22145343593268599</v>
      </c>
      <c r="P2807">
        <v>0.20555761129222699</v>
      </c>
    </row>
    <row r="2808" spans="1:16" x14ac:dyDescent="0.45">
      <c r="A2808" t="s">
        <v>91</v>
      </c>
      <c r="B2808" t="s">
        <v>20</v>
      </c>
      <c r="C2808" t="s">
        <v>6</v>
      </c>
      <c r="D2808" t="s">
        <v>7</v>
      </c>
      <c r="E2808" t="s">
        <v>32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2.11783321203923E-4</v>
      </c>
      <c r="L2808" s="14">
        <v>4.7268777016973897E-5</v>
      </c>
      <c r="M2808" s="14">
        <v>3.2968769465154503E-5</v>
      </c>
      <c r="N2808" s="14">
        <v>1.6640142569999101E-5</v>
      </c>
      <c r="O2808" s="14">
        <v>1.4824378295065E-6</v>
      </c>
      <c r="P2808">
        <v>0</v>
      </c>
    </row>
    <row r="2809" spans="1:16" x14ac:dyDescent="0.45">
      <c r="A2809" t="s">
        <v>91</v>
      </c>
      <c r="B2809" t="s">
        <v>20</v>
      </c>
      <c r="C2809" t="s">
        <v>6</v>
      </c>
      <c r="D2809" t="s">
        <v>9</v>
      </c>
      <c r="E2809" t="s">
        <v>32</v>
      </c>
      <c r="F2809">
        <v>0</v>
      </c>
      <c r="G2809">
        <v>0</v>
      </c>
      <c r="H2809">
        <v>0</v>
      </c>
      <c r="I2809">
        <v>0</v>
      </c>
      <c r="J2809">
        <v>0</v>
      </c>
      <c r="K2809" s="14">
        <v>3.7900329648858103E-5</v>
      </c>
      <c r="L2809">
        <v>2.9632770626637702E-4</v>
      </c>
      <c r="M2809">
        <v>2.23839293042349E-4</v>
      </c>
      <c r="N2809">
        <v>2.0753121964776799E-4</v>
      </c>
      <c r="O2809">
        <v>9.5316670499497203E-3</v>
      </c>
      <c r="P2809">
        <v>3.2444346180828601E-2</v>
      </c>
    </row>
    <row r="2810" spans="1:16" x14ac:dyDescent="0.45">
      <c r="A2810" t="s">
        <v>91</v>
      </c>
      <c r="B2810" t="s">
        <v>20</v>
      </c>
      <c r="C2810" t="s">
        <v>6</v>
      </c>
      <c r="D2810" t="s">
        <v>10</v>
      </c>
      <c r="E2810" t="s">
        <v>32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-1.7776773735006101E-4</v>
      </c>
      <c r="L2810">
        <v>9.3791035886074594E-3</v>
      </c>
      <c r="M2810" s="14">
        <v>4.2650803231027899E-2</v>
      </c>
      <c r="N2810">
        <v>8.0156960725255202E-2</v>
      </c>
      <c r="O2810">
        <v>9.9210812771632906E-2</v>
      </c>
      <c r="P2810">
        <v>0.104143030501877</v>
      </c>
    </row>
    <row r="2811" spans="1:16" x14ac:dyDescent="0.45">
      <c r="A2811" t="s">
        <v>91</v>
      </c>
      <c r="B2811" t="s">
        <v>20</v>
      </c>
      <c r="C2811" t="s">
        <v>6</v>
      </c>
      <c r="D2811" t="s">
        <v>11</v>
      </c>
      <c r="E2811" t="s">
        <v>32</v>
      </c>
      <c r="F2811">
        <v>0</v>
      </c>
      <c r="G2811">
        <v>0</v>
      </c>
      <c r="H2811">
        <v>0</v>
      </c>
      <c r="I2811">
        <v>0</v>
      </c>
      <c r="J2811">
        <v>3.8226539727619801E-4</v>
      </c>
      <c r="K2811">
        <v>3.56214422863603E-2</v>
      </c>
      <c r="L2811">
        <v>6.9108459119629803E-2</v>
      </c>
      <c r="M2811" s="14">
        <v>6.8593659475624E-2</v>
      </c>
      <c r="N2811">
        <v>6.0034222597552499E-2</v>
      </c>
      <c r="O2811">
        <v>5.6731801174310398E-2</v>
      </c>
      <c r="P2811">
        <v>4.2014169018274698E-2</v>
      </c>
    </row>
    <row r="2812" spans="1:16" x14ac:dyDescent="0.45">
      <c r="A2812" t="s">
        <v>91</v>
      </c>
      <c r="B2812" t="s">
        <v>20</v>
      </c>
      <c r="C2812" t="s">
        <v>6</v>
      </c>
      <c r="D2812" t="s">
        <v>12</v>
      </c>
      <c r="E2812" t="s">
        <v>32</v>
      </c>
      <c r="F2812">
        <v>0</v>
      </c>
      <c r="G2812">
        <v>0</v>
      </c>
      <c r="H2812">
        <v>0</v>
      </c>
      <c r="I2812" s="14">
        <v>1.07275712215757E-5</v>
      </c>
      <c r="J2812">
        <v>4.3067084950193797E-2</v>
      </c>
      <c r="K2812">
        <v>5.5352769582040502E-2</v>
      </c>
      <c r="L2812">
        <v>4.8324539487851002E-2</v>
      </c>
      <c r="M2812" s="14">
        <v>4.1763384005546897E-2</v>
      </c>
      <c r="N2812">
        <v>2.7984207605133801E-2</v>
      </c>
      <c r="O2812">
        <v>1.6705380464654002E-2</v>
      </c>
      <c r="P2812">
        <v>1.4758605285004601E-2</v>
      </c>
    </row>
    <row r="2813" spans="1:16" x14ac:dyDescent="0.45">
      <c r="A2813" t="s">
        <v>91</v>
      </c>
      <c r="B2813" t="s">
        <v>20</v>
      </c>
      <c r="C2813" t="s">
        <v>6</v>
      </c>
      <c r="D2813" t="s">
        <v>13</v>
      </c>
      <c r="E2813" t="s">
        <v>32</v>
      </c>
      <c r="F2813">
        <v>0</v>
      </c>
      <c r="G2813">
        <v>0</v>
      </c>
      <c r="H2813">
        <v>0</v>
      </c>
      <c r="I2813">
        <v>5.7339081560828502E-2</v>
      </c>
      <c r="J2813">
        <v>6.3727452749046204E-2</v>
      </c>
      <c r="K2813">
        <v>4.6511037034196803E-2</v>
      </c>
      <c r="L2813">
        <v>3.7377645193665099E-2</v>
      </c>
      <c r="M2813" s="14">
        <v>3.6017617642666901E-2</v>
      </c>
      <c r="N2813">
        <v>4.0322104876693E-2</v>
      </c>
      <c r="O2813">
        <v>4.1893001165298101E-2</v>
      </c>
      <c r="P2813">
        <v>4.4035479183180799E-2</v>
      </c>
    </row>
    <row r="2814" spans="1:16" x14ac:dyDescent="0.45">
      <c r="A2814" t="s">
        <v>91</v>
      </c>
      <c r="B2814" t="s">
        <v>20</v>
      </c>
      <c r="C2814" t="s">
        <v>6</v>
      </c>
      <c r="D2814" t="s">
        <v>14</v>
      </c>
      <c r="E2814" t="s">
        <v>32</v>
      </c>
      <c r="F2814">
        <v>0</v>
      </c>
      <c r="G2814">
        <v>4.9165404552035497E-2</v>
      </c>
      <c r="H2814">
        <v>4.9165404552035497E-2</v>
      </c>
      <c r="I2814">
        <v>6.0344985674985502E-2</v>
      </c>
      <c r="J2814">
        <v>4.92197402952608E-2</v>
      </c>
      <c r="K2814">
        <v>5.5039838410840501E-2</v>
      </c>
      <c r="L2814">
        <v>5.9136625126494299E-2</v>
      </c>
      <c r="M2814">
        <v>5.5837757837869803E-2</v>
      </c>
      <c r="N2814">
        <v>5.6470895241075E-2</v>
      </c>
      <c r="O2814">
        <v>5.68499689811253E-2</v>
      </c>
      <c r="P2814">
        <v>5.4342124334888102E-2</v>
      </c>
    </row>
    <row r="2815" spans="1:16" x14ac:dyDescent="0.45">
      <c r="A2815" t="s">
        <v>91</v>
      </c>
      <c r="B2815" t="s">
        <v>20</v>
      </c>
      <c r="C2815" t="s">
        <v>15</v>
      </c>
      <c r="D2815" t="s">
        <v>7</v>
      </c>
      <c r="E2815" t="s">
        <v>32</v>
      </c>
      <c r="F2815">
        <v>2.8022379942936899E-3</v>
      </c>
      <c r="G2815">
        <v>5.5244818631438103E-3</v>
      </c>
      <c r="H2815">
        <v>5.5244818631438103E-3</v>
      </c>
      <c r="I2815">
        <v>8.3503672538341595E-3</v>
      </c>
      <c r="J2815">
        <v>1.0920277237349899E-2</v>
      </c>
      <c r="K2815">
        <v>1.3094441594374499E-2</v>
      </c>
      <c r="L2815">
        <v>1.31200612169398E-2</v>
      </c>
      <c r="M2815">
        <v>1.34151397997995E-2</v>
      </c>
      <c r="N2815">
        <v>1.7536068887901501E-2</v>
      </c>
      <c r="O2815">
        <v>2.1463011198476101E-2</v>
      </c>
      <c r="P2815">
        <v>2.1463011198476101E-2</v>
      </c>
    </row>
    <row r="2816" spans="1:16" x14ac:dyDescent="0.45">
      <c r="A2816" t="s">
        <v>91</v>
      </c>
      <c r="B2816" t="s">
        <v>20</v>
      </c>
      <c r="C2816" t="s">
        <v>15</v>
      </c>
      <c r="D2816" t="s">
        <v>9</v>
      </c>
      <c r="E2816" t="s">
        <v>32</v>
      </c>
      <c r="F2816">
        <v>0</v>
      </c>
      <c r="G2816" s="14">
        <v>-3.61131480991397E-6</v>
      </c>
      <c r="H2816" s="14">
        <v>-3.61131480991397E-6</v>
      </c>
      <c r="I2816">
        <v>1.36146228465946E-3</v>
      </c>
      <c r="J2816">
        <v>1.5366800469591899E-3</v>
      </c>
      <c r="K2816">
        <v>2.0576067272171199E-3</v>
      </c>
      <c r="L2816">
        <v>9.6617148744712299E-3</v>
      </c>
      <c r="M2816">
        <v>1.5463902734487601E-2</v>
      </c>
      <c r="N2816">
        <v>1.7637705744402501E-2</v>
      </c>
      <c r="O2816">
        <v>1.9501362893623999E-2</v>
      </c>
      <c r="P2816">
        <v>2.5705472021755299E-2</v>
      </c>
    </row>
    <row r="2817" spans="1:16" x14ac:dyDescent="0.45">
      <c r="A2817" t="s">
        <v>91</v>
      </c>
      <c r="B2817" t="s">
        <v>20</v>
      </c>
      <c r="C2817" t="s">
        <v>15</v>
      </c>
      <c r="D2817" t="s">
        <v>10</v>
      </c>
      <c r="E2817" t="s">
        <v>32</v>
      </c>
      <c r="F2817">
        <v>0</v>
      </c>
      <c r="G2817" s="14">
        <v>1.38631471554955E-6</v>
      </c>
      <c r="H2817" s="14">
        <v>1.38631471554955E-6</v>
      </c>
      <c r="I2817">
        <v>1.8174711881011399E-4</v>
      </c>
      <c r="J2817">
        <v>2.6082955648734801E-3</v>
      </c>
      <c r="K2817">
        <v>3.8997005510612399E-3</v>
      </c>
      <c r="L2817">
        <v>8.9307762185019898E-4</v>
      </c>
      <c r="M2817">
        <v>1.5286115493114501E-3</v>
      </c>
      <c r="N2817">
        <v>2.3570277868399702E-3</v>
      </c>
      <c r="O2817">
        <v>4.1232427194672497E-3</v>
      </c>
      <c r="P2817">
        <v>6.0523078827617698E-3</v>
      </c>
    </row>
    <row r="2818" spans="1:16" x14ac:dyDescent="0.45">
      <c r="A2818" t="s">
        <v>91</v>
      </c>
      <c r="B2818" t="s">
        <v>20</v>
      </c>
      <c r="C2818" t="s">
        <v>15</v>
      </c>
      <c r="D2818" t="s">
        <v>11</v>
      </c>
      <c r="E2818" t="s">
        <v>32</v>
      </c>
      <c r="F2818">
        <v>0</v>
      </c>
      <c r="G2818" s="14">
        <v>-9.2388592601040002E-7</v>
      </c>
      <c r="H2818" s="14">
        <v>-9.2388592601040002E-7</v>
      </c>
      <c r="I2818">
        <v>1.7242532942025701E-3</v>
      </c>
      <c r="J2818">
        <v>7.4017286442045404E-4</v>
      </c>
      <c r="K2818">
        <v>1.3669428610945699E-3</v>
      </c>
      <c r="L2818">
        <v>2.6199873732554702E-3</v>
      </c>
      <c r="M2818">
        <v>3.0367562771191499E-3</v>
      </c>
      <c r="N2818">
        <v>2.8582345567931102E-3</v>
      </c>
      <c r="O2818">
        <v>1.3139340664833101E-3</v>
      </c>
      <c r="P2818">
        <v>-1.24282894086855E-3</v>
      </c>
    </row>
    <row r="2819" spans="1:16" x14ac:dyDescent="0.45">
      <c r="A2819" t="s">
        <v>91</v>
      </c>
      <c r="B2819" t="s">
        <v>20</v>
      </c>
      <c r="C2819" t="s">
        <v>15</v>
      </c>
      <c r="D2819" t="s">
        <v>12</v>
      </c>
      <c r="E2819" t="s">
        <v>32</v>
      </c>
      <c r="F2819">
        <v>0</v>
      </c>
      <c r="G2819" s="14">
        <v>1.91251869541735E-5</v>
      </c>
      <c r="H2819" s="14">
        <v>1.91251869541735E-5</v>
      </c>
      <c r="I2819">
        <v>5.7270080496831498E-4</v>
      </c>
      <c r="J2819">
        <v>9.4579512060228796E-4</v>
      </c>
      <c r="K2819">
        <v>1.3206408004690401E-3</v>
      </c>
      <c r="L2819">
        <v>1.3004394231106901E-4</v>
      </c>
      <c r="M2819">
        <v>-1.2200973263908101E-3</v>
      </c>
      <c r="N2819">
        <v>-2.4638260753344701E-3</v>
      </c>
      <c r="O2819">
        <v>-3.6188980629813E-3</v>
      </c>
      <c r="P2819">
        <v>-5.3253593833342498E-3</v>
      </c>
    </row>
    <row r="2820" spans="1:16" x14ac:dyDescent="0.45">
      <c r="A2820" t="s">
        <v>91</v>
      </c>
      <c r="B2820" t="s">
        <v>20</v>
      </c>
      <c r="C2820" t="s">
        <v>15</v>
      </c>
      <c r="D2820" t="s">
        <v>13</v>
      </c>
      <c r="E2820" t="s">
        <v>32</v>
      </c>
      <c r="F2820">
        <v>0</v>
      </c>
      <c r="G2820">
        <v>1.7865053576261E-3</v>
      </c>
      <c r="H2820">
        <v>1.7865053576261E-3</v>
      </c>
      <c r="I2820">
        <v>8.2149536749109202E-4</v>
      </c>
      <c r="J2820">
        <v>2.0829558985539101E-4</v>
      </c>
      <c r="K2820">
        <v>-1.31558830157062E-3</v>
      </c>
      <c r="L2820">
        <v>-2.3947354793365798E-3</v>
      </c>
      <c r="M2820">
        <v>-3.8628158696783501E-3</v>
      </c>
      <c r="N2820">
        <v>-4.7986756745555196E-3</v>
      </c>
      <c r="O2820" s="14">
        <v>-5.8034349580258597E-3</v>
      </c>
      <c r="P2820">
        <v>-6.2397926191865996E-3</v>
      </c>
    </row>
    <row r="2821" spans="1:16" x14ac:dyDescent="0.45">
      <c r="A2821" t="s">
        <v>91</v>
      </c>
      <c r="B2821" t="s">
        <v>20</v>
      </c>
      <c r="C2821" t="s">
        <v>15</v>
      </c>
      <c r="D2821" t="s">
        <v>14</v>
      </c>
      <c r="E2821" t="s">
        <v>32</v>
      </c>
      <c r="F2821">
        <v>0</v>
      </c>
      <c r="G2821">
        <v>1.31821163496798E-3</v>
      </c>
      <c r="H2821">
        <v>1.31821163496798E-3</v>
      </c>
      <c r="I2821">
        <v>-3.5881959480843799E-4</v>
      </c>
      <c r="J2821" s="14">
        <v>-2.40837388781195E-6</v>
      </c>
      <c r="K2821">
        <v>-4.2820603971928698E-4</v>
      </c>
      <c r="L2821">
        <v>-8.46419695298448E-4</v>
      </c>
      <c r="M2821">
        <v>-1.11138732789146E-3</v>
      </c>
      <c r="N2821" s="14">
        <v>-1.86281721191611E-3</v>
      </c>
      <c r="O2821" s="14">
        <v>-2.3975233886771499E-3</v>
      </c>
      <c r="P2821" s="14">
        <v>-2.8835815422458902E-3</v>
      </c>
    </row>
    <row r="2822" spans="1:16" x14ac:dyDescent="0.45">
      <c r="A2822" t="s">
        <v>91</v>
      </c>
      <c r="B2822" t="s">
        <v>20</v>
      </c>
      <c r="C2822" t="s">
        <v>16</v>
      </c>
      <c r="D2822" t="s">
        <v>7</v>
      </c>
      <c r="E2822" t="s">
        <v>32</v>
      </c>
      <c r="F2822">
        <v>6.9610105329695401E-2</v>
      </c>
      <c r="G2822">
        <v>6.9610105329695401E-2</v>
      </c>
      <c r="H2822">
        <v>6.9610105329695401E-2</v>
      </c>
      <c r="I2822">
        <v>6.9610105329695401E-2</v>
      </c>
      <c r="J2822">
        <v>6.9610105329695401E-2</v>
      </c>
      <c r="K2822">
        <v>6.9610105329695401E-2</v>
      </c>
      <c r="L2822">
        <v>6.9610105329695401E-2</v>
      </c>
      <c r="M2822">
        <v>6.7173751643156004E-2</v>
      </c>
      <c r="N2822" s="14">
        <v>3.27863596102866E-2</v>
      </c>
      <c r="O2822" s="14">
        <v>0</v>
      </c>
      <c r="P2822" s="14">
        <v>0</v>
      </c>
    </row>
    <row r="2823" spans="1:16" x14ac:dyDescent="0.45">
      <c r="A2823" t="s">
        <v>91</v>
      </c>
      <c r="B2823" t="s">
        <v>20</v>
      </c>
      <c r="C2823" t="s">
        <v>16</v>
      </c>
      <c r="D2823" t="s">
        <v>9</v>
      </c>
      <c r="E2823" t="s">
        <v>32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 s="14">
        <v>0</v>
      </c>
      <c r="O2823" s="14">
        <v>0</v>
      </c>
      <c r="P2823">
        <v>0</v>
      </c>
    </row>
    <row r="2824" spans="1:16" x14ac:dyDescent="0.45">
      <c r="A2824" t="s">
        <v>91</v>
      </c>
      <c r="B2824" t="s">
        <v>20</v>
      </c>
      <c r="C2824" t="s">
        <v>16</v>
      </c>
      <c r="D2824" t="s">
        <v>10</v>
      </c>
      <c r="E2824" t="s">
        <v>32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 s="14">
        <v>0</v>
      </c>
      <c r="M2824" s="14">
        <v>1.52655665885959E-16</v>
      </c>
      <c r="N2824" s="14">
        <v>0</v>
      </c>
      <c r="O2824" s="14">
        <v>0</v>
      </c>
      <c r="P2824">
        <v>0</v>
      </c>
    </row>
    <row r="2825" spans="1:16" x14ac:dyDescent="0.45">
      <c r="A2825" t="s">
        <v>91</v>
      </c>
      <c r="B2825" t="s">
        <v>20</v>
      </c>
      <c r="C2825" t="s">
        <v>16</v>
      </c>
      <c r="D2825" t="s">
        <v>11</v>
      </c>
      <c r="E2825" t="s">
        <v>32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 s="14">
        <v>0</v>
      </c>
      <c r="M2825" s="14">
        <v>-1.52655665885959E-16</v>
      </c>
      <c r="N2825" s="14">
        <v>0</v>
      </c>
      <c r="O2825" s="14">
        <v>0</v>
      </c>
      <c r="P2825" s="14">
        <v>0</v>
      </c>
    </row>
    <row r="2826" spans="1:16" x14ac:dyDescent="0.45">
      <c r="A2826" t="s">
        <v>91</v>
      </c>
      <c r="B2826" t="s">
        <v>20</v>
      </c>
      <c r="C2826" t="s">
        <v>16</v>
      </c>
      <c r="D2826" t="s">
        <v>12</v>
      </c>
      <c r="E2826" t="s">
        <v>32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 s="14">
        <v>1.52655665885959E-16</v>
      </c>
      <c r="N2826" s="14">
        <v>0</v>
      </c>
      <c r="O2826" s="14">
        <v>0</v>
      </c>
      <c r="P2826" s="14">
        <v>0</v>
      </c>
    </row>
    <row r="2827" spans="1:16" x14ac:dyDescent="0.45">
      <c r="A2827" t="s">
        <v>91</v>
      </c>
      <c r="B2827" t="s">
        <v>20</v>
      </c>
      <c r="C2827" t="s">
        <v>16</v>
      </c>
      <c r="D2827" t="s">
        <v>13</v>
      </c>
      <c r="E2827" t="s">
        <v>32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 s="14">
        <v>-1.52655665885959E-16</v>
      </c>
      <c r="N2827">
        <v>0</v>
      </c>
      <c r="O2827">
        <v>0</v>
      </c>
      <c r="P2827">
        <v>0</v>
      </c>
    </row>
    <row r="2828" spans="1:16" x14ac:dyDescent="0.45">
      <c r="A2828" t="s">
        <v>91</v>
      </c>
      <c r="B2828" t="s">
        <v>20</v>
      </c>
      <c r="C2828" t="s">
        <v>16</v>
      </c>
      <c r="D2828" t="s">
        <v>14</v>
      </c>
      <c r="E2828" t="s">
        <v>32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</row>
    <row r="2829" spans="1:16" x14ac:dyDescent="0.45">
      <c r="A2829" t="s">
        <v>91</v>
      </c>
      <c r="B2829" t="s">
        <v>20</v>
      </c>
      <c r="C2829" t="s">
        <v>17</v>
      </c>
      <c r="D2829" t="s">
        <v>10</v>
      </c>
      <c r="E2829" t="s">
        <v>32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2.9799481907783601E-2</v>
      </c>
      <c r="O2829">
        <v>3.4030287728054401E-2</v>
      </c>
      <c r="P2829">
        <v>1.8804346519229499E-2</v>
      </c>
    </row>
    <row r="2830" spans="1:16" x14ac:dyDescent="0.45">
      <c r="A2830" t="s">
        <v>91</v>
      </c>
      <c r="B2830" t="s">
        <v>20</v>
      </c>
      <c r="C2830" t="s">
        <v>17</v>
      </c>
      <c r="D2830" t="s">
        <v>11</v>
      </c>
      <c r="E2830" t="s">
        <v>32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2.3505923407528601E-4</v>
      </c>
      <c r="M2830">
        <v>3.6768007653141199E-2</v>
      </c>
      <c r="N2830">
        <v>2.1483473824302102E-2</v>
      </c>
      <c r="O2830">
        <v>2.8000783017950899E-2</v>
      </c>
      <c r="P2830">
        <v>3.3803058027003001E-2</v>
      </c>
    </row>
    <row r="2831" spans="1:16" x14ac:dyDescent="0.45">
      <c r="A2831" t="s">
        <v>91</v>
      </c>
      <c r="B2831" t="s">
        <v>20</v>
      </c>
      <c r="C2831" t="s">
        <v>17</v>
      </c>
      <c r="D2831" t="s">
        <v>12</v>
      </c>
      <c r="E2831" t="s">
        <v>32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2.8942493944033799E-2</v>
      </c>
      <c r="L2831">
        <v>5.3958737568982298E-2</v>
      </c>
      <c r="M2831">
        <v>3.4253258937180897E-2</v>
      </c>
      <c r="N2831">
        <v>3.4645762791410399E-2</v>
      </c>
      <c r="O2831">
        <v>3.0037666457710398E-2</v>
      </c>
      <c r="P2831">
        <v>1.8820976250461099E-2</v>
      </c>
    </row>
    <row r="2832" spans="1:16" x14ac:dyDescent="0.45">
      <c r="A2832" t="s">
        <v>91</v>
      </c>
      <c r="B2832" t="s">
        <v>20</v>
      </c>
      <c r="C2832" t="s">
        <v>17</v>
      </c>
      <c r="D2832" t="s">
        <v>13</v>
      </c>
      <c r="E2832" t="s">
        <v>32</v>
      </c>
      <c r="F2832">
        <v>0</v>
      </c>
      <c r="G2832">
        <v>0</v>
      </c>
      <c r="H2832">
        <v>0</v>
      </c>
      <c r="I2832">
        <v>1.19732647490717E-2</v>
      </c>
      <c r="J2832">
        <v>6.0125609311153697E-2</v>
      </c>
      <c r="K2832">
        <v>5.7664715828513E-2</v>
      </c>
      <c r="L2832">
        <v>4.6363989340531798E-2</v>
      </c>
      <c r="M2832">
        <v>2.99538424800137E-2</v>
      </c>
      <c r="N2832">
        <v>1.5046390546839501E-2</v>
      </c>
      <c r="O2832">
        <v>7.4133602038395797E-3</v>
      </c>
      <c r="P2832">
        <v>6.3710482595265199E-3</v>
      </c>
    </row>
    <row r="2833" spans="1:16" x14ac:dyDescent="0.45">
      <c r="A2833" t="s">
        <v>91</v>
      </c>
      <c r="B2833" t="s">
        <v>20</v>
      </c>
      <c r="C2833" t="s">
        <v>17</v>
      </c>
      <c r="D2833" t="s">
        <v>14</v>
      </c>
      <c r="E2833" t="s">
        <v>32</v>
      </c>
      <c r="F2833">
        <v>0</v>
      </c>
      <c r="G2833">
        <v>0</v>
      </c>
      <c r="H2833">
        <v>0</v>
      </c>
      <c r="I2833">
        <v>4.7881238753017502E-2</v>
      </c>
      <c r="J2833">
        <v>3.7226655479019301E-2</v>
      </c>
      <c r="K2833">
        <v>1.7209521674628699E-2</v>
      </c>
      <c r="L2833">
        <v>3.25908183632798E-3</v>
      </c>
      <c r="M2833">
        <v>2.8417589095815501E-3</v>
      </c>
      <c r="N2833">
        <v>2.84175890958173E-3</v>
      </c>
      <c r="O2833">
        <v>2.84175890958173E-3</v>
      </c>
      <c r="P2833">
        <v>2.8417589095818801E-3</v>
      </c>
    </row>
    <row r="2834" spans="1:16" x14ac:dyDescent="0.45">
      <c r="A2834" t="s">
        <v>91</v>
      </c>
      <c r="B2834" t="s">
        <v>20</v>
      </c>
      <c r="C2834" t="s">
        <v>18</v>
      </c>
      <c r="D2834" t="s">
        <v>7</v>
      </c>
      <c r="E2834" t="s">
        <v>32</v>
      </c>
      <c r="F2834">
        <v>6.9900351187583407E-2</v>
      </c>
      <c r="G2834">
        <v>8.65075787504785E-2</v>
      </c>
      <c r="H2834">
        <v>8.65075787504785E-2</v>
      </c>
      <c r="I2834">
        <v>0.10071667812636299</v>
      </c>
      <c r="J2834">
        <v>0.108306943706098</v>
      </c>
      <c r="K2834">
        <v>9.9781787869122798E-2</v>
      </c>
      <c r="L2834">
        <v>7.5992356253978002E-2</v>
      </c>
      <c r="M2834">
        <v>3.3435924389068901E-2</v>
      </c>
      <c r="N2834">
        <v>1.6319502991970401E-2</v>
      </c>
      <c r="O2834" s="14">
        <v>3.7146245262946698E-18</v>
      </c>
      <c r="P2834">
        <v>0</v>
      </c>
    </row>
    <row r="2835" spans="1:16" x14ac:dyDescent="0.45">
      <c r="A2835" t="s">
        <v>91</v>
      </c>
      <c r="B2835" t="s">
        <v>20</v>
      </c>
      <c r="C2835" t="s">
        <v>18</v>
      </c>
      <c r="D2835" t="s">
        <v>9</v>
      </c>
      <c r="E2835" t="s">
        <v>32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 s="14">
        <v>1.7347234759768099E-17</v>
      </c>
      <c r="O2835" s="14">
        <v>3.7146245262946898E-18</v>
      </c>
      <c r="P2835" s="14">
        <v>2.22877471577681E-17</v>
      </c>
    </row>
    <row r="2836" spans="1:16" x14ac:dyDescent="0.45">
      <c r="A2836" t="s">
        <v>91</v>
      </c>
      <c r="B2836" t="s">
        <v>20</v>
      </c>
      <c r="C2836" t="s">
        <v>18</v>
      </c>
      <c r="D2836" t="s">
        <v>10</v>
      </c>
      <c r="E2836" t="s">
        <v>32</v>
      </c>
      <c r="F2836">
        <v>0</v>
      </c>
      <c r="G2836">
        <v>0</v>
      </c>
      <c r="H2836">
        <v>0</v>
      </c>
      <c r="I2836" s="14">
        <v>0</v>
      </c>
      <c r="J2836">
        <v>0</v>
      </c>
      <c r="K2836">
        <v>0</v>
      </c>
      <c r="L2836">
        <v>0</v>
      </c>
      <c r="M2836">
        <v>0</v>
      </c>
      <c r="N2836" s="14">
        <v>1.7347234759768099E-17</v>
      </c>
      <c r="O2836" s="14">
        <v>-7.4292490525893503E-18</v>
      </c>
      <c r="P2836" s="14">
        <v>-2.22877471577681E-17</v>
      </c>
    </row>
    <row r="2837" spans="1:16" x14ac:dyDescent="0.45">
      <c r="A2837" t="s">
        <v>91</v>
      </c>
      <c r="B2837" t="s">
        <v>20</v>
      </c>
      <c r="C2837" t="s">
        <v>18</v>
      </c>
      <c r="D2837" t="s">
        <v>11</v>
      </c>
      <c r="E2837" t="s">
        <v>32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 s="14">
        <v>-6.5919492087118694E-17</v>
      </c>
      <c r="O2837" s="14">
        <v>2.22877471577681E-17</v>
      </c>
      <c r="P2837">
        <v>0</v>
      </c>
    </row>
    <row r="2838" spans="1:16" x14ac:dyDescent="0.45">
      <c r="A2838" t="s">
        <v>91</v>
      </c>
      <c r="B2838" t="s">
        <v>20</v>
      </c>
      <c r="C2838" t="s">
        <v>18</v>
      </c>
      <c r="D2838" t="s">
        <v>12</v>
      </c>
      <c r="E2838" t="s">
        <v>32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 s="14">
        <v>-1.6653345369377299E-16</v>
      </c>
      <c r="M2838">
        <v>0</v>
      </c>
      <c r="N2838" s="14">
        <v>4.8572257327350599E-17</v>
      </c>
      <c r="O2838" s="14">
        <v>2.22877471577681E-17</v>
      </c>
      <c r="P2838">
        <v>0</v>
      </c>
    </row>
    <row r="2839" spans="1:16" x14ac:dyDescent="0.45">
      <c r="A2839" t="s">
        <v>91</v>
      </c>
      <c r="B2839" t="s">
        <v>20</v>
      </c>
      <c r="C2839" t="s">
        <v>18</v>
      </c>
      <c r="D2839" t="s">
        <v>13</v>
      </c>
      <c r="E2839" t="s">
        <v>32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 s="14">
        <v>1.6653345369377299E-16</v>
      </c>
      <c r="M2839">
        <v>0</v>
      </c>
      <c r="N2839" s="14">
        <v>-4.8572257327350599E-17</v>
      </c>
      <c r="O2839" s="14">
        <v>-4.45754943155362E-17</v>
      </c>
      <c r="P2839" s="14">
        <v>7.4292490525893503E-18</v>
      </c>
    </row>
    <row r="2840" spans="1:16" x14ac:dyDescent="0.45">
      <c r="A2840" t="s">
        <v>91</v>
      </c>
      <c r="B2840" t="s">
        <v>20</v>
      </c>
      <c r="C2840" t="s">
        <v>18</v>
      </c>
      <c r="D2840" t="s">
        <v>14</v>
      </c>
      <c r="E2840" t="s">
        <v>32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 s="14">
        <v>2.9837243786801102E-16</v>
      </c>
      <c r="O2840" s="14">
        <v>1.4858498105178701E-17</v>
      </c>
      <c r="P2840" s="14">
        <v>1.41155731999198E-16</v>
      </c>
    </row>
    <row r="2841" spans="1:16" x14ac:dyDescent="0.45">
      <c r="A2841" t="s">
        <v>91</v>
      </c>
      <c r="B2841" t="s">
        <v>20</v>
      </c>
      <c r="C2841" t="s">
        <v>19</v>
      </c>
      <c r="D2841" t="s">
        <v>10</v>
      </c>
      <c r="E2841" t="s">
        <v>32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2.19680228778266E-2</v>
      </c>
      <c r="N2841">
        <v>3.2150486173313203E-2</v>
      </c>
      <c r="O2841">
        <v>2.30046752489989E-2</v>
      </c>
      <c r="P2841">
        <v>2.35036005596874E-2</v>
      </c>
    </row>
    <row r="2842" spans="1:16" x14ac:dyDescent="0.45">
      <c r="A2842" t="s">
        <v>91</v>
      </c>
      <c r="B2842" t="s">
        <v>20</v>
      </c>
      <c r="C2842" t="s">
        <v>19</v>
      </c>
      <c r="D2842" t="s">
        <v>11</v>
      </c>
      <c r="E2842" t="s">
        <v>32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5.4920129257374998E-3</v>
      </c>
      <c r="L2842">
        <v>3.7159652867100199E-2</v>
      </c>
      <c r="M2842">
        <v>5.4634008781738998E-2</v>
      </c>
      <c r="N2842">
        <v>7.8218114986494405E-2</v>
      </c>
      <c r="O2842">
        <v>0.10467860113555</v>
      </c>
      <c r="P2842">
        <v>0.12868304056722901</v>
      </c>
    </row>
    <row r="2843" spans="1:16" x14ac:dyDescent="0.45">
      <c r="A2843" t="s">
        <v>91</v>
      </c>
      <c r="B2843" t="s">
        <v>20</v>
      </c>
      <c r="C2843" t="s">
        <v>19</v>
      </c>
      <c r="D2843" t="s">
        <v>12</v>
      </c>
      <c r="E2843" t="s">
        <v>32</v>
      </c>
      <c r="F2843">
        <v>0</v>
      </c>
      <c r="G2843">
        <v>0</v>
      </c>
      <c r="H2843">
        <v>0</v>
      </c>
      <c r="I2843">
        <v>0</v>
      </c>
      <c r="J2843">
        <v>1.9868116078751E-2</v>
      </c>
      <c r="K2843">
        <v>8.0149040913860006E-2</v>
      </c>
      <c r="L2843">
        <v>0.104408426283828</v>
      </c>
      <c r="M2843">
        <v>0.12001007220884</v>
      </c>
      <c r="N2843">
        <v>0.13124854717808301</v>
      </c>
      <c r="O2843">
        <v>0.111915694587103</v>
      </c>
      <c r="P2843">
        <v>7.4204259736115899E-2</v>
      </c>
    </row>
    <row r="2844" spans="1:16" x14ac:dyDescent="0.45">
      <c r="A2844" t="s">
        <v>91</v>
      </c>
      <c r="B2844" t="s">
        <v>20</v>
      </c>
      <c r="C2844" t="s">
        <v>19</v>
      </c>
      <c r="D2844" t="s">
        <v>13</v>
      </c>
      <c r="E2844" t="s">
        <v>32</v>
      </c>
      <c r="F2844">
        <v>0</v>
      </c>
      <c r="G2844">
        <v>0</v>
      </c>
      <c r="H2844">
        <v>0</v>
      </c>
      <c r="I2844">
        <v>7.9981578122634706E-2</v>
      </c>
      <c r="J2844">
        <v>0.160774890061845</v>
      </c>
      <c r="K2844">
        <v>0.18252256571784201</v>
      </c>
      <c r="L2844">
        <v>0.16750206498320699</v>
      </c>
      <c r="M2844">
        <v>0.11007242867185101</v>
      </c>
      <c r="N2844">
        <v>6.0143393863112599E-2</v>
      </c>
      <c r="O2844">
        <v>3.8491451421683802E-2</v>
      </c>
      <c r="P2844">
        <v>3.62496346683562E-2</v>
      </c>
    </row>
    <row r="2845" spans="1:16" x14ac:dyDescent="0.45">
      <c r="A2845" t="s">
        <v>91</v>
      </c>
      <c r="B2845" t="s">
        <v>20</v>
      </c>
      <c r="C2845" t="s">
        <v>19</v>
      </c>
      <c r="D2845" t="s">
        <v>14</v>
      </c>
      <c r="E2845" t="s">
        <v>32</v>
      </c>
      <c r="F2845">
        <v>0</v>
      </c>
      <c r="G2845">
        <v>0</v>
      </c>
      <c r="H2845">
        <v>0</v>
      </c>
      <c r="I2845">
        <v>0.108665639885799</v>
      </c>
      <c r="J2845">
        <v>0.13069630918182701</v>
      </c>
      <c r="K2845">
        <v>5.82553515479576E-2</v>
      </c>
      <c r="L2845">
        <v>1.43675368703861E-2</v>
      </c>
      <c r="M2845">
        <v>1.28670844469692E-2</v>
      </c>
      <c r="N2845">
        <v>1.37814647376743E-2</v>
      </c>
      <c r="O2845">
        <v>1.42829514908141E-2</v>
      </c>
      <c r="P2845">
        <v>1.49769588041525E-2</v>
      </c>
    </row>
    <row r="2846" spans="1:16" x14ac:dyDescent="0.45">
      <c r="A2846" t="s">
        <v>92</v>
      </c>
      <c r="B2846" t="s">
        <v>29</v>
      </c>
      <c r="C2846" t="s">
        <v>6</v>
      </c>
      <c r="D2846" t="s">
        <v>7</v>
      </c>
      <c r="E2846" t="s">
        <v>32</v>
      </c>
      <c r="F2846">
        <v>0</v>
      </c>
      <c r="G2846">
        <v>0</v>
      </c>
      <c r="H2846">
        <v>0</v>
      </c>
      <c r="I2846" s="14">
        <v>9.6365311829548202E-5</v>
      </c>
      <c r="J2846">
        <v>4.3642310838786202E-4</v>
      </c>
      <c r="K2846">
        <v>8.2379603137911199E-4</v>
      </c>
      <c r="L2846" s="14">
        <v>5.2414234664056202E-5</v>
      </c>
      <c r="M2846">
        <v>0</v>
      </c>
      <c r="N2846">
        <v>0</v>
      </c>
      <c r="O2846">
        <v>0</v>
      </c>
      <c r="P2846">
        <v>0</v>
      </c>
    </row>
    <row r="2847" spans="1:16" x14ac:dyDescent="0.45">
      <c r="A2847" t="s">
        <v>92</v>
      </c>
      <c r="B2847" t="s">
        <v>29</v>
      </c>
      <c r="C2847" t="s">
        <v>6</v>
      </c>
      <c r="D2847" t="s">
        <v>9</v>
      </c>
      <c r="E2847" t="s">
        <v>32</v>
      </c>
      <c r="F2847">
        <v>0</v>
      </c>
      <c r="G2847">
        <v>0</v>
      </c>
      <c r="H2847">
        <v>0</v>
      </c>
      <c r="I2847">
        <v>2.0490063019339101E-4</v>
      </c>
      <c r="J2847">
        <v>2.8024498746812899E-4</v>
      </c>
      <c r="K2847">
        <v>4.8863723075108696E-4</v>
      </c>
      <c r="L2847">
        <v>5.8082205695256695E-4</v>
      </c>
      <c r="M2847">
        <v>5.9971570433957702E-4</v>
      </c>
      <c r="N2847">
        <v>5.8778732144514198E-4</v>
      </c>
      <c r="O2847">
        <v>5.8705851412421E-4</v>
      </c>
      <c r="P2847">
        <v>5.8705851412421E-4</v>
      </c>
    </row>
    <row r="2848" spans="1:16" x14ac:dyDescent="0.45">
      <c r="A2848" t="s">
        <v>92</v>
      </c>
      <c r="B2848" t="s">
        <v>29</v>
      </c>
      <c r="C2848" t="s">
        <v>6</v>
      </c>
      <c r="D2848" t="s">
        <v>10</v>
      </c>
      <c r="E2848" t="s">
        <v>32</v>
      </c>
      <c r="F2848">
        <v>0</v>
      </c>
      <c r="G2848" s="14">
        <v>0</v>
      </c>
      <c r="H2848" s="14">
        <v>0</v>
      </c>
      <c r="I2848" s="14">
        <v>9.3186503638376499E-5</v>
      </c>
      <c r="J2848" s="14">
        <v>9.6900164416573994E-5</v>
      </c>
      <c r="K2848">
        <v>3.6097412449136098E-4</v>
      </c>
      <c r="L2848">
        <v>1.4937989314062799E-4</v>
      </c>
      <c r="M2848">
        <v>1.6320503847211599E-4</v>
      </c>
      <c r="N2848">
        <v>2.59996475250546E-3</v>
      </c>
      <c r="O2848">
        <v>4.2755119441364401E-3</v>
      </c>
      <c r="P2848">
        <v>1.01612400441079E-2</v>
      </c>
    </row>
    <row r="2849" spans="1:16" x14ac:dyDescent="0.45">
      <c r="A2849" t="s">
        <v>92</v>
      </c>
      <c r="B2849" t="s">
        <v>29</v>
      </c>
      <c r="C2849" t="s">
        <v>6</v>
      </c>
      <c r="D2849" t="s">
        <v>11</v>
      </c>
      <c r="E2849" t="s">
        <v>32</v>
      </c>
      <c r="F2849">
        <v>0</v>
      </c>
      <c r="G2849">
        <v>0</v>
      </c>
      <c r="H2849">
        <v>0</v>
      </c>
      <c r="I2849" s="14">
        <v>1.63944472278335E-4</v>
      </c>
      <c r="J2849" s="14">
        <v>8.3143139856615598E-4</v>
      </c>
      <c r="K2849">
        <v>7.2406352485344797E-4</v>
      </c>
      <c r="L2849">
        <v>3.35932712676674E-3</v>
      </c>
      <c r="M2849">
        <v>1.13959771585622E-2</v>
      </c>
      <c r="N2849">
        <v>1.4529025424251E-2</v>
      </c>
      <c r="O2849">
        <v>1.9461548926808798E-2</v>
      </c>
      <c r="P2849">
        <v>3.3416618463125498E-2</v>
      </c>
    </row>
    <row r="2850" spans="1:16" x14ac:dyDescent="0.45">
      <c r="A2850" t="s">
        <v>92</v>
      </c>
      <c r="B2850" t="s">
        <v>29</v>
      </c>
      <c r="C2850" t="s">
        <v>6</v>
      </c>
      <c r="D2850" t="s">
        <v>12</v>
      </c>
      <c r="E2850" t="s">
        <v>32</v>
      </c>
      <c r="F2850">
        <v>0</v>
      </c>
      <c r="G2850" s="14">
        <v>0</v>
      </c>
      <c r="H2850" s="14">
        <v>0</v>
      </c>
      <c r="I2850" s="14">
        <v>1.5862642981986501E-4</v>
      </c>
      <c r="J2850">
        <v>3.9677031778876104E-3</v>
      </c>
      <c r="K2850">
        <v>1.38997700816515E-2</v>
      </c>
      <c r="L2850">
        <v>1.9609818384905001E-2</v>
      </c>
      <c r="M2850">
        <v>3.6236230595819797E-2</v>
      </c>
      <c r="N2850">
        <v>5.6996005846185499E-2</v>
      </c>
      <c r="O2850">
        <v>7.6046712829501401E-2</v>
      </c>
      <c r="P2850">
        <v>7.97654037212603E-2</v>
      </c>
    </row>
    <row r="2851" spans="1:16" x14ac:dyDescent="0.45">
      <c r="A2851" t="s">
        <v>92</v>
      </c>
      <c r="B2851" t="s">
        <v>29</v>
      </c>
      <c r="C2851" t="s">
        <v>6</v>
      </c>
      <c r="D2851" t="s">
        <v>13</v>
      </c>
      <c r="E2851" t="s">
        <v>32</v>
      </c>
      <c r="F2851">
        <v>0</v>
      </c>
      <c r="G2851" s="14">
        <v>3.4749777660834703E-5</v>
      </c>
      <c r="H2851" s="14">
        <v>3.4749777660834703E-5</v>
      </c>
      <c r="I2851">
        <v>1.0060245617266801E-2</v>
      </c>
      <c r="J2851">
        <v>3.8041393688239701E-2</v>
      </c>
      <c r="K2851">
        <v>6.0487428340859302E-2</v>
      </c>
      <c r="L2851">
        <v>8.2195782489940805E-2</v>
      </c>
      <c r="M2851">
        <v>8.5262786913799196E-2</v>
      </c>
      <c r="N2851">
        <v>8.5703667502683697E-2</v>
      </c>
      <c r="O2851">
        <v>8.6389571274990404E-2</v>
      </c>
      <c r="P2851">
        <v>9.1060491824256795E-2</v>
      </c>
    </row>
    <row r="2852" spans="1:16" x14ac:dyDescent="0.45">
      <c r="A2852" t="s">
        <v>92</v>
      </c>
      <c r="B2852" t="s">
        <v>29</v>
      </c>
      <c r="C2852" t="s">
        <v>6</v>
      </c>
      <c r="D2852" t="s">
        <v>14</v>
      </c>
      <c r="E2852" t="s">
        <v>32</v>
      </c>
      <c r="F2852">
        <v>0</v>
      </c>
      <c r="G2852">
        <v>1.3158619481903799E-3</v>
      </c>
      <c r="H2852">
        <v>1.3158619481903799E-3</v>
      </c>
      <c r="I2852">
        <v>2.6607844443753598E-2</v>
      </c>
      <c r="J2852">
        <v>2.8213328933559999E-2</v>
      </c>
      <c r="K2852">
        <v>3.1694135159924301E-2</v>
      </c>
      <c r="L2852">
        <v>4.2023226050235597E-2</v>
      </c>
      <c r="M2852">
        <v>5.5428974502435301E-2</v>
      </c>
      <c r="N2852">
        <v>7.1333708084922204E-2</v>
      </c>
      <c r="O2852">
        <v>8.6640220213703698E-2</v>
      </c>
      <c r="P2852">
        <v>9.3685078797572999E-2</v>
      </c>
    </row>
    <row r="2853" spans="1:16" x14ac:dyDescent="0.45">
      <c r="A2853" t="s">
        <v>92</v>
      </c>
      <c r="B2853" t="s">
        <v>29</v>
      </c>
      <c r="C2853" t="s">
        <v>15</v>
      </c>
      <c r="D2853" t="s">
        <v>7</v>
      </c>
      <c r="E2853" t="s">
        <v>32</v>
      </c>
      <c r="F2853">
        <v>5.5788558124815202E-2</v>
      </c>
      <c r="G2853">
        <v>6.1641649174944399E-2</v>
      </c>
      <c r="H2853">
        <v>6.1641649174944399E-2</v>
      </c>
      <c r="I2853">
        <v>5.5550203178506299E-2</v>
      </c>
      <c r="J2853">
        <v>5.9833397384889603E-2</v>
      </c>
      <c r="K2853">
        <v>6.4955226512545594E-2</v>
      </c>
      <c r="L2853">
        <v>6.7488250903491906E-2</v>
      </c>
      <c r="M2853">
        <v>6.9314618562287295E-2</v>
      </c>
      <c r="N2853">
        <v>7.1201943522490499E-2</v>
      </c>
      <c r="O2853">
        <v>7.2933356500336902E-2</v>
      </c>
      <c r="P2853">
        <v>7.4416814959929301E-2</v>
      </c>
    </row>
    <row r="2854" spans="1:16" x14ac:dyDescent="0.45">
      <c r="A2854" t="s">
        <v>92</v>
      </c>
      <c r="B2854" t="s">
        <v>29</v>
      </c>
      <c r="C2854" t="s">
        <v>15</v>
      </c>
      <c r="D2854" t="s">
        <v>9</v>
      </c>
      <c r="E2854" t="s">
        <v>32</v>
      </c>
      <c r="F2854">
        <v>0</v>
      </c>
      <c r="G2854" s="14">
        <v>-6.7857997654380303E-5</v>
      </c>
      <c r="H2854" s="14">
        <v>-6.7857997654380303E-5</v>
      </c>
      <c r="I2854" s="14">
        <v>-8.8542035273413104E-5</v>
      </c>
      <c r="J2854" s="14">
        <v>2.39560072803277E-5</v>
      </c>
      <c r="K2854" s="14">
        <v>-5.86817351171803E-5</v>
      </c>
      <c r="L2854">
        <v>-5.9747897965742303E-4</v>
      </c>
      <c r="M2854">
        <v>-1.23281571571568E-3</v>
      </c>
      <c r="N2854">
        <v>-2.0822406347649099E-3</v>
      </c>
      <c r="O2854">
        <v>-2.90415289671418E-3</v>
      </c>
      <c r="P2854">
        <v>-3.68713520188255E-3</v>
      </c>
    </row>
    <row r="2855" spans="1:16" x14ac:dyDescent="0.45">
      <c r="A2855" t="s">
        <v>92</v>
      </c>
      <c r="B2855" t="s">
        <v>29</v>
      </c>
      <c r="C2855" t="s">
        <v>15</v>
      </c>
      <c r="D2855" t="s">
        <v>10</v>
      </c>
      <c r="E2855" t="s">
        <v>32</v>
      </c>
      <c r="F2855">
        <v>0</v>
      </c>
      <c r="G2855" s="14">
        <v>-1.2450467212141201E-6</v>
      </c>
      <c r="H2855" s="14">
        <v>-1.2450467212141201E-6</v>
      </c>
      <c r="I2855" s="14">
        <v>-5.5236098250074903E-5</v>
      </c>
      <c r="J2855" s="14">
        <v>1.47812959502072E-5</v>
      </c>
      <c r="K2855">
        <v>-3.2415448054826101E-4</v>
      </c>
      <c r="L2855">
        <v>-7.0902238301112598E-4</v>
      </c>
      <c r="M2855">
        <v>-7.2398651053250096E-4</v>
      </c>
      <c r="N2855">
        <v>-1.53871413123882E-4</v>
      </c>
      <c r="O2855">
        <v>-2.22362839899848E-4</v>
      </c>
      <c r="P2855">
        <v>-2.6286323607439799E-4</v>
      </c>
    </row>
    <row r="2856" spans="1:16" x14ac:dyDescent="0.45">
      <c r="A2856" t="s">
        <v>92</v>
      </c>
      <c r="B2856" t="s">
        <v>29</v>
      </c>
      <c r="C2856" t="s">
        <v>15</v>
      </c>
      <c r="D2856" t="s">
        <v>11</v>
      </c>
      <c r="E2856" t="s">
        <v>32</v>
      </c>
      <c r="F2856">
        <v>0</v>
      </c>
      <c r="G2856" s="14">
        <v>4.8828161473696302E-6</v>
      </c>
      <c r="H2856" s="14">
        <v>4.8828161473696302E-6</v>
      </c>
      <c r="I2856" s="14">
        <v>-4.0047961155476001E-5</v>
      </c>
      <c r="J2856">
        <v>-3.7242515466946703E-4</v>
      </c>
      <c r="K2856">
        <v>-3.8434974171831798E-4</v>
      </c>
      <c r="L2856">
        <v>1.13720985576397E-3</v>
      </c>
      <c r="M2856">
        <v>1.1378231633562301E-3</v>
      </c>
      <c r="N2856">
        <v>6.10581487917497E-4</v>
      </c>
      <c r="O2856">
        <v>3.7233746091858101E-4</v>
      </c>
      <c r="P2856" s="14">
        <v>7.4036238642577495E-5</v>
      </c>
    </row>
    <row r="2857" spans="1:16" x14ac:dyDescent="0.45">
      <c r="A2857" t="s">
        <v>92</v>
      </c>
      <c r="B2857" t="s">
        <v>29</v>
      </c>
      <c r="C2857" t="s">
        <v>15</v>
      </c>
      <c r="D2857" t="s">
        <v>12</v>
      </c>
      <c r="E2857" t="s">
        <v>32</v>
      </c>
      <c r="F2857">
        <v>0</v>
      </c>
      <c r="G2857" s="14">
        <v>2.0970100790967899E-6</v>
      </c>
      <c r="H2857" s="14">
        <v>2.0970100790967899E-6</v>
      </c>
      <c r="I2857">
        <v>-4.9319247839872704E-4</v>
      </c>
      <c r="J2857">
        <v>4.6310887104963899E-4</v>
      </c>
      <c r="K2857">
        <v>1.2169703606813001E-3</v>
      </c>
      <c r="L2857">
        <v>-6.48801025941392E-4</v>
      </c>
      <c r="M2857">
        <v>-1.56195462345511E-3</v>
      </c>
      <c r="N2857">
        <v>-1.5125121899272199E-3</v>
      </c>
      <c r="O2857">
        <v>-1.2619022672433599E-3</v>
      </c>
      <c r="P2857">
        <v>-1.0457000490446801E-3</v>
      </c>
    </row>
    <row r="2858" spans="1:16" x14ac:dyDescent="0.45">
      <c r="A2858" t="s">
        <v>92</v>
      </c>
      <c r="B2858" t="s">
        <v>29</v>
      </c>
      <c r="C2858" t="s">
        <v>15</v>
      </c>
      <c r="D2858" t="s">
        <v>13</v>
      </c>
      <c r="E2858" t="s">
        <v>32</v>
      </c>
      <c r="F2858">
        <v>0</v>
      </c>
      <c r="G2858">
        <v>-4.4916197787235601E-4</v>
      </c>
      <c r="H2858">
        <v>-4.4916197787235601E-4</v>
      </c>
      <c r="I2858">
        <v>1.0380745892325401E-3</v>
      </c>
      <c r="J2858">
        <v>-9.9555852134786799E-4</v>
      </c>
      <c r="K2858">
        <v>-2.88702601508366E-3</v>
      </c>
      <c r="L2858">
        <v>-1.19851007382894E-3</v>
      </c>
      <c r="M2858">
        <v>1.1992384957693101E-4</v>
      </c>
      <c r="N2858">
        <v>-6.1504150792912604E-4</v>
      </c>
      <c r="O2858">
        <v>-8.5914700195623096E-4</v>
      </c>
      <c r="P2858">
        <v>-1.0981265010178199E-3</v>
      </c>
    </row>
    <row r="2859" spans="1:16" x14ac:dyDescent="0.45">
      <c r="A2859" t="s">
        <v>92</v>
      </c>
      <c r="B2859" t="s">
        <v>29</v>
      </c>
      <c r="C2859" t="s">
        <v>15</v>
      </c>
      <c r="D2859" t="s">
        <v>14</v>
      </c>
      <c r="E2859" t="s">
        <v>32</v>
      </c>
      <c r="F2859">
        <v>0</v>
      </c>
      <c r="G2859">
        <v>1.07686703739272E-3</v>
      </c>
      <c r="H2859">
        <v>1.07686703739272E-3</v>
      </c>
      <c r="I2859">
        <v>1.5201264975992399E-3</v>
      </c>
      <c r="J2859">
        <v>7.8371226548276001E-4</v>
      </c>
      <c r="K2859">
        <v>-3.1884573448875302E-4</v>
      </c>
      <c r="L2859">
        <v>-1.1346049874898501E-3</v>
      </c>
      <c r="M2859">
        <v>-1.6552209705992401E-3</v>
      </c>
      <c r="N2859">
        <v>-1.3880021008114401E-3</v>
      </c>
      <c r="O2859">
        <v>-1.17410563792716E-3</v>
      </c>
      <c r="P2859">
        <v>-1.6346688847855601E-3</v>
      </c>
    </row>
    <row r="2860" spans="1:16" x14ac:dyDescent="0.45">
      <c r="A2860" t="s">
        <v>92</v>
      </c>
      <c r="B2860" t="s">
        <v>29</v>
      </c>
      <c r="C2860" t="s">
        <v>16</v>
      </c>
      <c r="D2860" t="s">
        <v>7</v>
      </c>
      <c r="E2860" t="s">
        <v>32</v>
      </c>
      <c r="F2860">
        <v>2.3815601847544301E-2</v>
      </c>
      <c r="G2860">
        <v>2.54232067401556E-2</v>
      </c>
      <c r="H2860">
        <v>2.54232067401556E-2</v>
      </c>
      <c r="I2860">
        <v>2.4910487952534598E-2</v>
      </c>
      <c r="J2860">
        <v>2.4910461305455298E-2</v>
      </c>
      <c r="K2860" s="14">
        <v>2.4686087842234701E-2</v>
      </c>
      <c r="L2860" s="14">
        <v>2.4910461305455298E-2</v>
      </c>
      <c r="M2860" s="14">
        <v>2.4910461305455298E-2</v>
      </c>
      <c r="N2860" s="14">
        <v>2.4910461305455298E-2</v>
      </c>
      <c r="O2860">
        <v>2.4910461305455298E-2</v>
      </c>
      <c r="P2860">
        <v>2.4910461305455298E-2</v>
      </c>
    </row>
    <row r="2861" spans="1:16" x14ac:dyDescent="0.45">
      <c r="A2861" t="s">
        <v>92</v>
      </c>
      <c r="B2861" t="s">
        <v>29</v>
      </c>
      <c r="C2861" t="s">
        <v>16</v>
      </c>
      <c r="D2861" t="s">
        <v>9</v>
      </c>
      <c r="E2861" t="s">
        <v>32</v>
      </c>
      <c r="F2861">
        <v>0</v>
      </c>
      <c r="G2861" s="14">
        <v>-6.2974469668478101E-6</v>
      </c>
      <c r="H2861" s="14">
        <v>-6.2974469668478101E-6</v>
      </c>
      <c r="I2861" s="14">
        <v>-6.2945839309942699E-6</v>
      </c>
      <c r="J2861">
        <v>-2.3917561189502201E-4</v>
      </c>
      <c r="K2861" s="14">
        <v>-3.2812489264528303E-5</v>
      </c>
      <c r="L2861" s="14">
        <v>-2.28191362906471E-4</v>
      </c>
      <c r="M2861" s="14">
        <v>-2.1014032473127799E-4</v>
      </c>
      <c r="N2861" s="14">
        <v>-2.0878026963538198E-3</v>
      </c>
      <c r="O2861" s="14">
        <v>-2.0873836262379E-3</v>
      </c>
      <c r="P2861" s="14">
        <v>-2.0873836262379E-3</v>
      </c>
    </row>
    <row r="2862" spans="1:16" x14ac:dyDescent="0.45">
      <c r="A2862" t="s">
        <v>92</v>
      </c>
      <c r="B2862" t="s">
        <v>29</v>
      </c>
      <c r="C2862" t="s">
        <v>16</v>
      </c>
      <c r="D2862" t="s">
        <v>10</v>
      </c>
      <c r="E2862" t="s">
        <v>32</v>
      </c>
      <c r="F2862">
        <v>0</v>
      </c>
      <c r="G2862" s="14">
        <v>-3.4694469519536099E-17</v>
      </c>
      <c r="H2862" s="14">
        <v>-3.4694469519536099E-17</v>
      </c>
      <c r="I2862" s="14">
        <v>0</v>
      </c>
      <c r="J2862" s="14">
        <v>1.0984248988588801E-5</v>
      </c>
      <c r="K2862" s="14">
        <v>-2.12374580203761E-4</v>
      </c>
      <c r="L2862" s="14">
        <v>-1.85919226333143E-3</v>
      </c>
      <c r="M2862" s="14">
        <v>-1.87724330150662E-3</v>
      </c>
      <c r="N2862" s="14">
        <v>4.19070115921516E-7</v>
      </c>
      <c r="O2862" s="14">
        <v>0</v>
      </c>
      <c r="P2862" s="14">
        <v>0</v>
      </c>
    </row>
    <row r="2863" spans="1:16" x14ac:dyDescent="0.45">
      <c r="A2863" t="s">
        <v>92</v>
      </c>
      <c r="B2863" t="s">
        <v>29</v>
      </c>
      <c r="C2863" t="s">
        <v>16</v>
      </c>
      <c r="D2863" t="s">
        <v>11</v>
      </c>
      <c r="E2863" t="s">
        <v>32</v>
      </c>
      <c r="F2863">
        <v>0</v>
      </c>
      <c r="G2863" s="14">
        <v>3.4694469519536099E-17</v>
      </c>
      <c r="H2863" s="14">
        <v>3.4694469519536099E-17</v>
      </c>
      <c r="I2863" s="14">
        <v>0</v>
      </c>
      <c r="J2863">
        <v>-1.8591922633314599E-3</v>
      </c>
      <c r="K2863" s="14">
        <v>-1.6178230935490301E-3</v>
      </c>
      <c r="L2863" s="14">
        <v>0</v>
      </c>
      <c r="M2863" s="14">
        <v>0</v>
      </c>
      <c r="N2863" s="14">
        <v>0</v>
      </c>
      <c r="O2863" s="14">
        <v>0</v>
      </c>
      <c r="P2863" s="14">
        <v>0</v>
      </c>
    </row>
    <row r="2864" spans="1:16" x14ac:dyDescent="0.45">
      <c r="A2864" t="s">
        <v>92</v>
      </c>
      <c r="B2864" t="s">
        <v>29</v>
      </c>
      <c r="C2864" t="s">
        <v>16</v>
      </c>
      <c r="D2864" t="s">
        <v>12</v>
      </c>
      <c r="E2864" t="s">
        <v>32</v>
      </c>
      <c r="F2864">
        <v>0</v>
      </c>
      <c r="G2864" s="14">
        <v>-1.2064872506486301E-5</v>
      </c>
      <c r="H2864" s="14">
        <v>-1.2064872506486301E-5</v>
      </c>
      <c r="I2864" s="14">
        <v>-2.0935674677575902E-3</v>
      </c>
      <c r="J2864" s="14">
        <v>-1.20593546527013E-5</v>
      </c>
      <c r="K2864" s="14">
        <v>-1.20593546527013E-5</v>
      </c>
      <c r="L2864" s="14">
        <v>-1.20593546527013E-5</v>
      </c>
      <c r="M2864" s="14">
        <v>-1.20593546527013E-5</v>
      </c>
      <c r="N2864" s="14">
        <v>-1.25199042638156E-5</v>
      </c>
      <c r="O2864" s="14">
        <v>-1.30033504622783E-5</v>
      </c>
      <c r="P2864" s="14">
        <v>-1.34840745502456E-5</v>
      </c>
    </row>
    <row r="2865" spans="1:16" x14ac:dyDescent="0.45">
      <c r="A2865" t="s">
        <v>92</v>
      </c>
      <c r="B2865" t="s">
        <v>29</v>
      </c>
      <c r="C2865" t="s">
        <v>16</v>
      </c>
      <c r="D2865" t="s">
        <v>13</v>
      </c>
      <c r="E2865" t="s">
        <v>32</v>
      </c>
      <c r="F2865">
        <v>0</v>
      </c>
      <c r="G2865" s="14">
        <v>1.83623194733341E-5</v>
      </c>
      <c r="H2865" s="14">
        <v>1.83623194733341E-5</v>
      </c>
      <c r="I2865" s="14">
        <v>1.8773009148626001E-5</v>
      </c>
      <c r="J2865" s="14">
        <v>1.78933769514784E-5</v>
      </c>
      <c r="K2865" s="14">
        <v>1.69291819865115E-5</v>
      </c>
      <c r="L2865" s="14">
        <v>1.69291819865115E-5</v>
      </c>
      <c r="M2865" s="14">
        <v>1.69291819865115E-5</v>
      </c>
      <c r="N2865" s="14">
        <v>1.7389731597625799E-5</v>
      </c>
      <c r="O2865" s="14">
        <v>1.78731777960885E-5</v>
      </c>
      <c r="P2865" s="14">
        <v>1.8353901884055799E-5</v>
      </c>
    </row>
    <row r="2866" spans="1:16" x14ac:dyDescent="0.45">
      <c r="A2866" t="s">
        <v>92</v>
      </c>
      <c r="B2866" t="s">
        <v>29</v>
      </c>
      <c r="C2866" t="s">
        <v>16</v>
      </c>
      <c r="D2866" t="s">
        <v>14</v>
      </c>
      <c r="E2866" t="s">
        <v>32</v>
      </c>
      <c r="F2866">
        <v>0</v>
      </c>
      <c r="G2866" s="14">
        <v>-2.12940599576089E-3</v>
      </c>
      <c r="H2866" s="14">
        <v>-2.12940599576089E-3</v>
      </c>
      <c r="I2866" s="14">
        <v>4.6295869447071601E-8</v>
      </c>
      <c r="J2866" s="14">
        <v>-4.30909801337614E-7</v>
      </c>
      <c r="K2866" s="14">
        <v>5.3328516362929901E-7</v>
      </c>
      <c r="L2866" s="14">
        <v>5.3328516362929901E-7</v>
      </c>
      <c r="M2866" s="14">
        <v>5.3328516362929901E-7</v>
      </c>
      <c r="N2866" s="14">
        <v>5.3328516362929901E-7</v>
      </c>
      <c r="O2866" s="14">
        <v>5.3328516362929901E-7</v>
      </c>
      <c r="P2866" s="14">
        <v>5.3328516362929901E-7</v>
      </c>
    </row>
    <row r="2867" spans="1:16" x14ac:dyDescent="0.45">
      <c r="A2867" t="s">
        <v>92</v>
      </c>
      <c r="B2867" t="s">
        <v>29</v>
      </c>
      <c r="C2867" t="s">
        <v>17</v>
      </c>
      <c r="D2867" t="s">
        <v>7</v>
      </c>
      <c r="E2867" t="s">
        <v>32</v>
      </c>
      <c r="F2867">
        <v>4.2203494989628996E-3</v>
      </c>
      <c r="G2867">
        <v>9.6742581473427194E-3</v>
      </c>
      <c r="H2867">
        <v>9.6742581473427194E-3</v>
      </c>
      <c r="I2867">
        <v>2.4316502001194E-2</v>
      </c>
      <c r="J2867">
        <v>2.75836849537506E-2</v>
      </c>
      <c r="K2867">
        <v>2.9060969974371201E-2</v>
      </c>
      <c r="L2867">
        <v>2.75402122448925E-2</v>
      </c>
      <c r="M2867">
        <v>2.5563444199210202E-2</v>
      </c>
      <c r="N2867">
        <v>2.33645839260757E-2</v>
      </c>
      <c r="O2867">
        <v>2.1304348420970499E-2</v>
      </c>
      <c r="P2867">
        <v>1.9352820827393501E-2</v>
      </c>
    </row>
    <row r="2868" spans="1:16" x14ac:dyDescent="0.45">
      <c r="A2868" t="s">
        <v>92</v>
      </c>
      <c r="B2868" t="s">
        <v>29</v>
      </c>
      <c r="C2868" t="s">
        <v>17</v>
      </c>
      <c r="D2868" t="s">
        <v>9</v>
      </c>
      <c r="E2868" t="s">
        <v>32</v>
      </c>
      <c r="F2868">
        <v>0</v>
      </c>
      <c r="G2868">
        <v>3.0123888701836398E-4</v>
      </c>
      <c r="H2868">
        <v>3.0123888701836398E-4</v>
      </c>
      <c r="I2868">
        <v>6.8604950803852205E-4</v>
      </c>
      <c r="J2868">
        <v>5.1271947209155196E-4</v>
      </c>
      <c r="K2868">
        <v>3.0167817738199803E-4</v>
      </c>
      <c r="L2868">
        <v>8.43160580251499E-4</v>
      </c>
      <c r="M2868">
        <v>1.51905721398541E-3</v>
      </c>
      <c r="N2868">
        <v>7.2628732745938897E-3</v>
      </c>
      <c r="O2868">
        <v>8.2435284121669308E-3</v>
      </c>
      <c r="P2868">
        <v>9.3804056897140407E-3</v>
      </c>
    </row>
    <row r="2869" spans="1:16" x14ac:dyDescent="0.45">
      <c r="A2869" t="s">
        <v>92</v>
      </c>
      <c r="B2869" t="s">
        <v>29</v>
      </c>
      <c r="C2869" t="s">
        <v>17</v>
      </c>
      <c r="D2869" t="s">
        <v>10</v>
      </c>
      <c r="E2869" t="s">
        <v>32</v>
      </c>
      <c r="F2869">
        <v>0</v>
      </c>
      <c r="G2869" s="14">
        <v>8.7106990060190098E-5</v>
      </c>
      <c r="H2869" s="14">
        <v>8.7106990060190098E-5</v>
      </c>
      <c r="I2869">
        <v>2.9116273462689201E-4</v>
      </c>
      <c r="J2869" s="14">
        <v>8.7928961060339996E-5</v>
      </c>
      <c r="K2869">
        <v>5.3410332847102899E-4</v>
      </c>
      <c r="L2869">
        <v>5.5967656556040303E-3</v>
      </c>
      <c r="M2869">
        <v>5.7878457899665304E-3</v>
      </c>
      <c r="N2869">
        <v>2.90876272902112E-3</v>
      </c>
      <c r="O2869">
        <v>3.1942699692584799E-3</v>
      </c>
      <c r="P2869">
        <v>4.5406899881717403E-3</v>
      </c>
    </row>
    <row r="2870" spans="1:16" x14ac:dyDescent="0.45">
      <c r="A2870" t="s">
        <v>92</v>
      </c>
      <c r="B2870" t="s">
        <v>29</v>
      </c>
      <c r="C2870" t="s">
        <v>17</v>
      </c>
      <c r="D2870" t="s">
        <v>11</v>
      </c>
      <c r="E2870" t="s">
        <v>32</v>
      </c>
      <c r="F2870">
        <v>0</v>
      </c>
      <c r="G2870" s="14">
        <v>8.2770672215782396E-5</v>
      </c>
      <c r="H2870" s="14">
        <v>8.2770672215782396E-5</v>
      </c>
      <c r="I2870">
        <v>2.5213999426825997E-4</v>
      </c>
      <c r="J2870">
        <v>4.9080814010292999E-3</v>
      </c>
      <c r="K2870">
        <v>4.5061709567098696E-3</v>
      </c>
      <c r="L2870" s="14">
        <v>1.47505323396634E-3</v>
      </c>
      <c r="M2870">
        <v>2.4233350315580101E-3</v>
      </c>
      <c r="N2870">
        <v>1.9185982880283901E-3</v>
      </c>
      <c r="O2870">
        <v>2.71477179391844E-3</v>
      </c>
      <c r="P2870">
        <v>2.2039794111899801E-3</v>
      </c>
    </row>
    <row r="2871" spans="1:16" x14ac:dyDescent="0.45">
      <c r="A2871" t="s">
        <v>92</v>
      </c>
      <c r="B2871" t="s">
        <v>29</v>
      </c>
      <c r="C2871" t="s">
        <v>17</v>
      </c>
      <c r="D2871" t="s">
        <v>12</v>
      </c>
      <c r="E2871" t="s">
        <v>32</v>
      </c>
      <c r="F2871">
        <v>0</v>
      </c>
      <c r="G2871">
        <v>1.26242042941996E-4</v>
      </c>
      <c r="H2871">
        <v>1.26242042941996E-4</v>
      </c>
      <c r="I2871">
        <v>6.4876296254562302E-3</v>
      </c>
      <c r="J2871">
        <v>1.2173859554093799E-3</v>
      </c>
      <c r="K2871">
        <v>1.55040698530995E-3</v>
      </c>
      <c r="L2871">
        <v>4.9813770752966903E-4</v>
      </c>
      <c r="M2871">
        <v>7.9413425812716E-4</v>
      </c>
      <c r="N2871">
        <v>1.15558348627698E-3</v>
      </c>
      <c r="O2871">
        <v>1.6882929790642399E-3</v>
      </c>
      <c r="P2871">
        <v>1.7807919454152299E-3</v>
      </c>
    </row>
    <row r="2872" spans="1:16" x14ac:dyDescent="0.45">
      <c r="A2872" t="s">
        <v>92</v>
      </c>
      <c r="B2872" t="s">
        <v>29</v>
      </c>
      <c r="C2872" t="s">
        <v>17</v>
      </c>
      <c r="D2872" t="s">
        <v>13</v>
      </c>
      <c r="E2872" t="s">
        <v>32</v>
      </c>
      <c r="F2872">
        <v>0</v>
      </c>
      <c r="G2872">
        <v>1.4946007226192899E-3</v>
      </c>
      <c r="H2872">
        <v>1.4946007226192899E-3</v>
      </c>
      <c r="I2872">
        <v>1.7297540884650799E-3</v>
      </c>
      <c r="J2872">
        <v>1.4953867342606499E-3</v>
      </c>
      <c r="K2872">
        <v>1.3309279205145201E-3</v>
      </c>
      <c r="L2872">
        <v>1.3712263873799601E-3</v>
      </c>
      <c r="M2872">
        <v>1.24039774713371E-3</v>
      </c>
      <c r="N2872">
        <v>7.1839639719236499E-4</v>
      </c>
      <c r="O2872">
        <v>1.8375993600511199E-4</v>
      </c>
      <c r="P2872" s="14">
        <v>7.0285383601258203E-5</v>
      </c>
    </row>
    <row r="2873" spans="1:16" x14ac:dyDescent="0.45">
      <c r="A2873" t="s">
        <v>92</v>
      </c>
      <c r="B2873" t="s">
        <v>29</v>
      </c>
      <c r="C2873" t="s">
        <v>17</v>
      </c>
      <c r="D2873" t="s">
        <v>14</v>
      </c>
      <c r="E2873" t="s">
        <v>32</v>
      </c>
      <c r="F2873">
        <v>0</v>
      </c>
      <c r="G2873">
        <v>7.1482287614371299E-3</v>
      </c>
      <c r="H2873">
        <v>7.1482287614371299E-3</v>
      </c>
      <c r="I2873">
        <v>2.7821999085690398E-3</v>
      </c>
      <c r="J2873">
        <v>1.4696589215923599E-3</v>
      </c>
      <c r="K2873" s="14">
        <v>-5.0167210316337504E-6</v>
      </c>
      <c r="L2873" s="14">
        <v>-4.5292189360383899E-5</v>
      </c>
      <c r="M2873" s="14">
        <v>-4.8931885566545797E-5</v>
      </c>
      <c r="N2873" s="14">
        <v>-4.9515744474128201E-5</v>
      </c>
      <c r="O2873" s="14">
        <v>-4.9689154646412299E-5</v>
      </c>
      <c r="P2873" s="14">
        <v>-4.96908887481703E-5</v>
      </c>
    </row>
    <row r="2874" spans="1:16" x14ac:dyDescent="0.45">
      <c r="A2874" t="s">
        <v>92</v>
      </c>
      <c r="B2874" t="s">
        <v>29</v>
      </c>
      <c r="C2874" t="s">
        <v>18</v>
      </c>
      <c r="D2874" t="s">
        <v>7</v>
      </c>
      <c r="E2874" t="s">
        <v>32</v>
      </c>
      <c r="F2874">
        <v>4.3101586203051698E-2</v>
      </c>
      <c r="G2874">
        <v>3.2214301064329098E-2</v>
      </c>
      <c r="H2874">
        <v>3.2214301064329098E-2</v>
      </c>
      <c r="I2874">
        <v>2.1476200709552699E-2</v>
      </c>
      <c r="J2874">
        <v>1.0738100354776301E-2</v>
      </c>
      <c r="K2874" s="14">
        <v>4.1511076667090803E-18</v>
      </c>
      <c r="L2874" s="14">
        <v>3.3208861333672501E-17</v>
      </c>
      <c r="M2874">
        <v>0</v>
      </c>
      <c r="N2874" s="14">
        <v>3.3208861333672501E-17</v>
      </c>
      <c r="O2874">
        <v>0</v>
      </c>
      <c r="P2874" s="14">
        <v>2.9057753666963498E-17</v>
      </c>
    </row>
    <row r="2875" spans="1:16" x14ac:dyDescent="0.45">
      <c r="A2875" t="s">
        <v>92</v>
      </c>
      <c r="B2875" t="s">
        <v>29</v>
      </c>
      <c r="C2875" t="s">
        <v>18</v>
      </c>
      <c r="D2875" t="s">
        <v>9</v>
      </c>
      <c r="E2875" t="s">
        <v>32</v>
      </c>
      <c r="F2875">
        <v>0</v>
      </c>
      <c r="G2875">
        <v>0</v>
      </c>
      <c r="H2875">
        <v>0</v>
      </c>
      <c r="I2875">
        <v>0</v>
      </c>
      <c r="J2875" s="14">
        <v>3.64291929955129E-17</v>
      </c>
      <c r="K2875" s="14">
        <v>8.3022153334181098E-18</v>
      </c>
      <c r="L2875" s="14">
        <v>-2.0755538333545299E-17</v>
      </c>
      <c r="M2875" s="14">
        <v>4.1511076667090803E-18</v>
      </c>
      <c r="N2875" s="14">
        <v>-3.3208861333672501E-17</v>
      </c>
      <c r="O2875">
        <v>0</v>
      </c>
      <c r="P2875" s="14">
        <v>-2.9057753666963498E-17</v>
      </c>
    </row>
    <row r="2876" spans="1:16" x14ac:dyDescent="0.45">
      <c r="A2876" t="s">
        <v>92</v>
      </c>
      <c r="B2876" t="s">
        <v>29</v>
      </c>
      <c r="C2876" t="s">
        <v>18</v>
      </c>
      <c r="D2876" t="s">
        <v>10</v>
      </c>
      <c r="E2876" t="s">
        <v>32</v>
      </c>
      <c r="F2876">
        <v>0</v>
      </c>
      <c r="G2876">
        <v>0</v>
      </c>
      <c r="H2876">
        <v>0</v>
      </c>
      <c r="I2876">
        <v>0</v>
      </c>
      <c r="J2876" s="14">
        <v>3.8163916471489799E-17</v>
      </c>
      <c r="K2876" s="14">
        <v>-8.3022153334181098E-18</v>
      </c>
      <c r="L2876" s="14">
        <v>-1.24533230001272E-17</v>
      </c>
      <c r="M2876" s="14">
        <v>-4.1511076667090803E-18</v>
      </c>
      <c r="N2876">
        <v>0</v>
      </c>
      <c r="O2876" s="14">
        <v>2.0755538333545299E-17</v>
      </c>
      <c r="P2876">
        <v>0</v>
      </c>
    </row>
    <row r="2877" spans="1:16" x14ac:dyDescent="0.45">
      <c r="A2877" t="s">
        <v>92</v>
      </c>
      <c r="B2877" t="s">
        <v>29</v>
      </c>
      <c r="C2877" t="s">
        <v>18</v>
      </c>
      <c r="D2877" t="s">
        <v>11</v>
      </c>
      <c r="E2877" t="s">
        <v>32</v>
      </c>
      <c r="F2877">
        <v>0</v>
      </c>
      <c r="G2877" s="14">
        <v>3.4694469519536099E-17</v>
      </c>
      <c r="H2877" s="14">
        <v>3.4694469519536099E-17</v>
      </c>
      <c r="I2877">
        <v>0</v>
      </c>
      <c r="J2877" s="14">
        <v>-3.8163916471489799E-17</v>
      </c>
      <c r="K2877" s="14">
        <v>-4.1511076667090803E-18</v>
      </c>
      <c r="L2877" s="14">
        <v>2.9057753666963498E-17</v>
      </c>
      <c r="M2877">
        <v>0</v>
      </c>
      <c r="N2877" s="14">
        <v>1.66044306668363E-17</v>
      </c>
      <c r="O2877" s="14">
        <v>-8.3022153334181098E-18</v>
      </c>
      <c r="P2877" s="14">
        <v>2.9057753666963498E-17</v>
      </c>
    </row>
    <row r="2878" spans="1:16" x14ac:dyDescent="0.45">
      <c r="A2878" t="s">
        <v>92</v>
      </c>
      <c r="B2878" t="s">
        <v>29</v>
      </c>
      <c r="C2878" t="s">
        <v>18</v>
      </c>
      <c r="D2878" t="s">
        <v>12</v>
      </c>
      <c r="E2878" t="s">
        <v>32</v>
      </c>
      <c r="F2878">
        <v>0</v>
      </c>
      <c r="G2878">
        <v>0</v>
      </c>
      <c r="H2878">
        <v>0</v>
      </c>
      <c r="I2878">
        <v>0</v>
      </c>
      <c r="J2878" s="14">
        <v>-3.64291929955129E-17</v>
      </c>
      <c r="K2878">
        <v>0</v>
      </c>
      <c r="L2878" s="14">
        <v>-2.0755538333545299E-17</v>
      </c>
      <c r="M2878">
        <v>0</v>
      </c>
      <c r="N2878" s="14">
        <v>4.5662184333799502E-17</v>
      </c>
      <c r="O2878" s="14">
        <v>2.49066460002544E-17</v>
      </c>
      <c r="P2878" s="14">
        <v>-2.9057753666963498E-17</v>
      </c>
    </row>
    <row r="2879" spans="1:16" x14ac:dyDescent="0.45">
      <c r="A2879" t="s">
        <v>92</v>
      </c>
      <c r="B2879" t="s">
        <v>29</v>
      </c>
      <c r="C2879" t="s">
        <v>18</v>
      </c>
      <c r="D2879" t="s">
        <v>13</v>
      </c>
      <c r="E2879" t="s">
        <v>32</v>
      </c>
      <c r="F2879">
        <v>0</v>
      </c>
      <c r="G2879">
        <v>0</v>
      </c>
      <c r="H2879">
        <v>0</v>
      </c>
      <c r="I2879" s="14">
        <v>-3.8163916471489799E-17</v>
      </c>
      <c r="J2879" s="14">
        <v>3.64291929955129E-17</v>
      </c>
      <c r="K2879">
        <v>0</v>
      </c>
      <c r="L2879" s="14">
        <v>-8.3022153334181098E-18</v>
      </c>
      <c r="M2879" s="14">
        <v>2.9057753666963498E-17</v>
      </c>
      <c r="N2879" s="14">
        <v>-6.2266615000635802E-17</v>
      </c>
      <c r="O2879" s="14">
        <v>-2.9057753666963498E-17</v>
      </c>
      <c r="P2879" s="14">
        <v>2.9057753666963498E-17</v>
      </c>
    </row>
    <row r="2880" spans="1:16" x14ac:dyDescent="0.45">
      <c r="A2880" t="s">
        <v>92</v>
      </c>
      <c r="B2880" t="s">
        <v>29</v>
      </c>
      <c r="C2880" t="s">
        <v>18</v>
      </c>
      <c r="D2880" t="s">
        <v>14</v>
      </c>
      <c r="E2880" t="s">
        <v>32</v>
      </c>
      <c r="F2880">
        <v>0</v>
      </c>
      <c r="G2880">
        <v>0</v>
      </c>
      <c r="H2880">
        <v>0</v>
      </c>
      <c r="I2880" s="14">
        <v>3.8163916471489799E-17</v>
      </c>
      <c r="J2880" s="14">
        <v>-3.64291929955129E-17</v>
      </c>
      <c r="K2880" s="14">
        <v>2.49066460002544E-17</v>
      </c>
      <c r="L2880" s="14">
        <v>1.24533230001272E-17</v>
      </c>
      <c r="M2880" s="14">
        <v>1.6604430666836201E-17</v>
      </c>
      <c r="N2880" s="14">
        <v>3.7359969000381602E-17</v>
      </c>
      <c r="O2880" s="14">
        <v>3.3208861333672599E-17</v>
      </c>
      <c r="P2880" s="14">
        <v>-2.9057753666963498E-17</v>
      </c>
    </row>
    <row r="2881" spans="1:16" x14ac:dyDescent="0.45">
      <c r="A2881" t="s">
        <v>92</v>
      </c>
      <c r="B2881" t="s">
        <v>29</v>
      </c>
      <c r="C2881" t="s">
        <v>19</v>
      </c>
      <c r="D2881" t="s">
        <v>7</v>
      </c>
      <c r="E2881" t="s">
        <v>32</v>
      </c>
      <c r="F2881">
        <v>1.5548069944860501E-3</v>
      </c>
      <c r="G2881">
        <v>0</v>
      </c>
      <c r="H2881">
        <v>0</v>
      </c>
      <c r="I2881">
        <v>0</v>
      </c>
      <c r="J2881">
        <v>0</v>
      </c>
      <c r="K2881">
        <v>1.61422448966962E-3</v>
      </c>
      <c r="L2881">
        <v>2.87592829671943E-4</v>
      </c>
      <c r="M2881" s="14">
        <v>5.7442650601707501E-5</v>
      </c>
      <c r="N2881" s="14">
        <v>4.20760648698013E-6</v>
      </c>
      <c r="O2881">
        <v>0</v>
      </c>
      <c r="P2881">
        <v>0</v>
      </c>
    </row>
    <row r="2882" spans="1:16" x14ac:dyDescent="0.45">
      <c r="A2882" t="s">
        <v>92</v>
      </c>
      <c r="B2882" t="s">
        <v>29</v>
      </c>
      <c r="C2882" t="s">
        <v>19</v>
      </c>
      <c r="D2882" t="s">
        <v>9</v>
      </c>
      <c r="E2882" t="s">
        <v>32</v>
      </c>
      <c r="F2882">
        <v>0</v>
      </c>
      <c r="G2882">
        <v>0</v>
      </c>
      <c r="H2882">
        <v>0</v>
      </c>
      <c r="I2882">
        <v>0</v>
      </c>
      <c r="J2882">
        <v>1.30967964486244E-4</v>
      </c>
      <c r="K2882" s="14">
        <v>6.2219720988225999E-5</v>
      </c>
      <c r="L2882">
        <v>3.46584407368584E-4</v>
      </c>
      <c r="M2882">
        <v>3.7352626915957099E-4</v>
      </c>
      <c r="N2882">
        <v>4.1450975973254399E-4</v>
      </c>
      <c r="O2882">
        <v>4.1871736621952799E-4</v>
      </c>
      <c r="P2882">
        <v>3.9432937013530501E-4</v>
      </c>
    </row>
    <row r="2883" spans="1:16" x14ac:dyDescent="0.45">
      <c r="A2883" t="s">
        <v>92</v>
      </c>
      <c r="B2883" t="s">
        <v>29</v>
      </c>
      <c r="C2883" t="s">
        <v>19</v>
      </c>
      <c r="D2883" t="s">
        <v>10</v>
      </c>
      <c r="E2883" t="s">
        <v>32</v>
      </c>
      <c r="F2883">
        <v>0</v>
      </c>
      <c r="G2883">
        <v>0</v>
      </c>
      <c r="H2883">
        <v>0</v>
      </c>
      <c r="I2883">
        <v>0</v>
      </c>
      <c r="J2883">
        <v>1.7013256395921001E-4</v>
      </c>
      <c r="K2883">
        <v>3.32179235239485E-4</v>
      </c>
      <c r="L2883">
        <v>6.1810217947271895E-4</v>
      </c>
      <c r="M2883">
        <v>5.3214407985472496E-4</v>
      </c>
      <c r="N2883">
        <v>4.7842445906120402E-3</v>
      </c>
      <c r="O2883">
        <v>5.1864102266547304E-3</v>
      </c>
      <c r="P2883">
        <v>5.1854413570234202E-3</v>
      </c>
    </row>
    <row r="2884" spans="1:16" x14ac:dyDescent="0.45">
      <c r="A2884" t="s">
        <v>92</v>
      </c>
      <c r="B2884" t="s">
        <v>29</v>
      </c>
      <c r="C2884" t="s">
        <v>19</v>
      </c>
      <c r="D2884" t="s">
        <v>11</v>
      </c>
      <c r="E2884" t="s">
        <v>32</v>
      </c>
      <c r="F2884">
        <v>0</v>
      </c>
      <c r="G2884">
        <v>0</v>
      </c>
      <c r="H2884">
        <v>0</v>
      </c>
      <c r="I2884">
        <v>0</v>
      </c>
      <c r="J2884">
        <v>2.2203012401499899E-4</v>
      </c>
      <c r="K2884">
        <v>3.3910812621501399E-4</v>
      </c>
      <c r="L2884">
        <v>5.56799573749672E-3</v>
      </c>
      <c r="M2884">
        <v>4.9609649374807996E-3</v>
      </c>
      <c r="N2884">
        <v>1.60515699504213E-3</v>
      </c>
      <c r="O2884">
        <v>1.2865596983567199E-3</v>
      </c>
      <c r="P2884">
        <v>1.43238657687317E-3</v>
      </c>
    </row>
    <row r="2885" spans="1:16" x14ac:dyDescent="0.45">
      <c r="A2885" t="s">
        <v>92</v>
      </c>
      <c r="B2885" t="s">
        <v>29</v>
      </c>
      <c r="C2885" t="s">
        <v>19</v>
      </c>
      <c r="D2885" t="s">
        <v>12</v>
      </c>
      <c r="E2885" t="s">
        <v>32</v>
      </c>
      <c r="F2885">
        <v>0</v>
      </c>
      <c r="G2885">
        <v>0</v>
      </c>
      <c r="H2885">
        <v>0</v>
      </c>
      <c r="I2885">
        <v>0</v>
      </c>
      <c r="J2885">
        <v>4.0975112579344003E-3</v>
      </c>
      <c r="K2885">
        <v>5.0360617631319002E-3</v>
      </c>
      <c r="L2885">
        <v>4.2055348359682301E-4</v>
      </c>
      <c r="M2885">
        <v>1.2186307332763E-3</v>
      </c>
      <c r="N2885">
        <v>9.7137944982653905E-4</v>
      </c>
      <c r="O2885">
        <v>1.85363882532256E-3</v>
      </c>
      <c r="P2885">
        <v>1.9216443397661301E-3</v>
      </c>
    </row>
    <row r="2886" spans="1:16" x14ac:dyDescent="0.45">
      <c r="A2886" t="s">
        <v>92</v>
      </c>
      <c r="B2886" t="s">
        <v>29</v>
      </c>
      <c r="C2886" t="s">
        <v>19</v>
      </c>
      <c r="D2886" t="s">
        <v>13</v>
      </c>
      <c r="E2886" t="s">
        <v>32</v>
      </c>
      <c r="F2886">
        <v>0</v>
      </c>
      <c r="G2886">
        <v>0</v>
      </c>
      <c r="H2886">
        <v>0</v>
      </c>
      <c r="I2886">
        <v>6.4650210318266503E-3</v>
      </c>
      <c r="J2886">
        <v>3.6469685127270999E-3</v>
      </c>
      <c r="K2886">
        <v>5.8722594661076198E-3</v>
      </c>
      <c r="L2886">
        <v>4.1412304354537504E-3</v>
      </c>
      <c r="M2886">
        <v>2.7371369769960499E-3</v>
      </c>
      <c r="N2886">
        <v>1.9841342473715801E-3</v>
      </c>
      <c r="O2886">
        <v>1.11327703847263E-3</v>
      </c>
      <c r="P2886">
        <v>1.14947136842635E-3</v>
      </c>
    </row>
    <row r="2887" spans="1:16" x14ac:dyDescent="0.45">
      <c r="A2887" t="s">
        <v>92</v>
      </c>
      <c r="B2887" t="s">
        <v>29</v>
      </c>
      <c r="C2887" t="s">
        <v>19</v>
      </c>
      <c r="D2887" t="s">
        <v>14</v>
      </c>
      <c r="E2887" t="s">
        <v>32</v>
      </c>
      <c r="F2887">
        <v>0</v>
      </c>
      <c r="G2887">
        <v>3.10624688066162E-3</v>
      </c>
      <c r="H2887">
        <v>3.10624688066162E-3</v>
      </c>
      <c r="I2887">
        <v>6.4474571947214796E-3</v>
      </c>
      <c r="J2887">
        <v>4.53019643935864E-3</v>
      </c>
      <c r="K2887">
        <v>-1.1957536467287399E-3</v>
      </c>
      <c r="L2887">
        <v>-1.5559669747492401E-3</v>
      </c>
      <c r="M2887">
        <v>-5.3693516994836299E-4</v>
      </c>
      <c r="N2887">
        <v>-5.2409533100889404E-4</v>
      </c>
      <c r="O2887" s="14">
        <v>5.0855376680291803E-5</v>
      </c>
      <c r="P2887">
        <v>5.6560469271540103E-4</v>
      </c>
    </row>
    <row r="2888" spans="1:16" x14ac:dyDescent="0.45">
      <c r="A2888" t="s">
        <v>93</v>
      </c>
      <c r="B2888" t="s">
        <v>27</v>
      </c>
      <c r="C2888" t="s">
        <v>6</v>
      </c>
      <c r="D2888" t="s">
        <v>7</v>
      </c>
      <c r="E2888" t="s">
        <v>32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</row>
    <row r="2889" spans="1:16" x14ac:dyDescent="0.45">
      <c r="A2889" t="s">
        <v>93</v>
      </c>
      <c r="B2889" t="s">
        <v>27</v>
      </c>
      <c r="C2889" t="s">
        <v>6</v>
      </c>
      <c r="D2889" t="s">
        <v>9</v>
      </c>
      <c r="E2889" t="s">
        <v>32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3.4499595174323897E-2</v>
      </c>
      <c r="P2889">
        <v>0.104486631027084</v>
      </c>
    </row>
    <row r="2890" spans="1:16" x14ac:dyDescent="0.45">
      <c r="A2890" t="s">
        <v>93</v>
      </c>
      <c r="B2890" t="s">
        <v>27</v>
      </c>
      <c r="C2890" t="s">
        <v>6</v>
      </c>
      <c r="D2890" t="s">
        <v>10</v>
      </c>
      <c r="E2890" t="s">
        <v>32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2.0350859674802001E-2</v>
      </c>
      <c r="M2890">
        <v>0.110299594919703</v>
      </c>
      <c r="N2890">
        <v>0.17319675208621199</v>
      </c>
      <c r="O2890">
        <v>0.217102599111099</v>
      </c>
      <c r="P2890">
        <v>0.21432425379842901</v>
      </c>
    </row>
    <row r="2891" spans="1:16" x14ac:dyDescent="0.45">
      <c r="A2891" t="s">
        <v>93</v>
      </c>
      <c r="B2891" t="s">
        <v>27</v>
      </c>
      <c r="C2891" t="s">
        <v>6</v>
      </c>
      <c r="D2891" t="s">
        <v>11</v>
      </c>
      <c r="E2891" t="s">
        <v>32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9.4775843706189897E-2</v>
      </c>
      <c r="L2891">
        <v>0.17868941847280101</v>
      </c>
      <c r="M2891">
        <v>0.22697873106476599</v>
      </c>
      <c r="N2891">
        <v>0.91628907291728101</v>
      </c>
      <c r="O2891">
        <v>2.0126112809498702</v>
      </c>
      <c r="P2891">
        <v>3.3979985971923798</v>
      </c>
    </row>
    <row r="2892" spans="1:16" x14ac:dyDescent="0.45">
      <c r="A2892" t="s">
        <v>93</v>
      </c>
      <c r="B2892" t="s">
        <v>27</v>
      </c>
      <c r="C2892" t="s">
        <v>6</v>
      </c>
      <c r="D2892" t="s">
        <v>12</v>
      </c>
      <c r="E2892" t="s">
        <v>32</v>
      </c>
      <c r="F2892">
        <v>0</v>
      </c>
      <c r="G2892">
        <v>0</v>
      </c>
      <c r="H2892">
        <v>0</v>
      </c>
      <c r="I2892" s="14">
        <v>6.8131325799153104E-8</v>
      </c>
      <c r="J2892">
        <v>9.5440386601578303E-2</v>
      </c>
      <c r="K2892">
        <v>0.30879343948009802</v>
      </c>
      <c r="L2892">
        <v>1.4322342297947801</v>
      </c>
      <c r="M2892">
        <v>2.9341432614618301</v>
      </c>
      <c r="N2892">
        <v>3.8855927252263598</v>
      </c>
      <c r="O2892">
        <v>4.17961104667397</v>
      </c>
      <c r="P2892">
        <v>4.0564112069019096</v>
      </c>
    </row>
    <row r="2893" spans="1:16" x14ac:dyDescent="0.45">
      <c r="A2893" t="s">
        <v>93</v>
      </c>
      <c r="B2893" t="s">
        <v>27</v>
      </c>
      <c r="C2893" t="s">
        <v>6</v>
      </c>
      <c r="D2893" t="s">
        <v>13</v>
      </c>
      <c r="E2893" t="s">
        <v>32</v>
      </c>
      <c r="F2893">
        <v>0</v>
      </c>
      <c r="G2893">
        <v>0</v>
      </c>
      <c r="H2893">
        <v>0</v>
      </c>
      <c r="I2893">
        <v>0.256164068687397</v>
      </c>
      <c r="J2893">
        <v>2.1328328559851699</v>
      </c>
      <c r="K2893">
        <v>3.8744715616119998</v>
      </c>
      <c r="L2893">
        <v>4.3054135270070901</v>
      </c>
      <c r="M2893">
        <v>4.1621636023201196</v>
      </c>
      <c r="N2893">
        <v>3.8515193902814202</v>
      </c>
      <c r="O2893">
        <v>3.5877044595651499</v>
      </c>
      <c r="P2893">
        <v>3.2925222239137</v>
      </c>
    </row>
    <row r="2894" spans="1:16" x14ac:dyDescent="0.45">
      <c r="A2894" t="s">
        <v>93</v>
      </c>
      <c r="B2894" t="s">
        <v>27</v>
      </c>
      <c r="C2894" t="s">
        <v>6</v>
      </c>
      <c r="D2894" t="s">
        <v>14</v>
      </c>
      <c r="E2894" t="s">
        <v>32</v>
      </c>
      <c r="F2894">
        <v>0</v>
      </c>
      <c r="G2894">
        <v>0.19929925338547</v>
      </c>
      <c r="H2894">
        <v>0.19929925338547</v>
      </c>
      <c r="I2894">
        <v>2.3025889748592001</v>
      </c>
      <c r="J2894">
        <v>2.2962523092867801</v>
      </c>
      <c r="K2894">
        <v>1.9793883258567599</v>
      </c>
      <c r="L2894">
        <v>1.91011688470031</v>
      </c>
      <c r="M2894">
        <v>2.0490362151772299</v>
      </c>
      <c r="N2894">
        <v>1.99756086740281</v>
      </c>
      <c r="O2894">
        <v>1.98780147489905</v>
      </c>
      <c r="P2894">
        <v>1.9950532070727001</v>
      </c>
    </row>
    <row r="2895" spans="1:16" x14ac:dyDescent="0.45">
      <c r="A2895" t="s">
        <v>93</v>
      </c>
      <c r="B2895" t="s">
        <v>27</v>
      </c>
      <c r="C2895" t="s">
        <v>15</v>
      </c>
      <c r="D2895" t="s">
        <v>7</v>
      </c>
      <c r="E2895" t="s">
        <v>32</v>
      </c>
      <c r="F2895">
        <v>1.1585253600944201</v>
      </c>
      <c r="G2895">
        <v>1.3250456636758501</v>
      </c>
      <c r="H2895">
        <v>1.3250456636758501</v>
      </c>
      <c r="I2895">
        <v>1.5093927887237999</v>
      </c>
      <c r="J2895">
        <v>1.69739423039054</v>
      </c>
      <c r="K2895">
        <v>1.8758765459918001</v>
      </c>
      <c r="L2895">
        <v>1.9488138900426399</v>
      </c>
      <c r="M2895">
        <v>1.99029518453621</v>
      </c>
      <c r="N2895">
        <v>1.93095209400644</v>
      </c>
      <c r="O2895">
        <v>1.98726980501158</v>
      </c>
      <c r="P2895">
        <v>1.9895836598404</v>
      </c>
    </row>
    <row r="2896" spans="1:16" x14ac:dyDescent="0.45">
      <c r="A2896" t="s">
        <v>93</v>
      </c>
      <c r="B2896" t="s">
        <v>27</v>
      </c>
      <c r="C2896" t="s">
        <v>15</v>
      </c>
      <c r="D2896" t="s">
        <v>9</v>
      </c>
      <c r="E2896" t="s">
        <v>32</v>
      </c>
      <c r="F2896">
        <v>0</v>
      </c>
      <c r="G2896">
        <v>3.7175347167628398E-3</v>
      </c>
      <c r="H2896">
        <v>3.7175347167628398E-3</v>
      </c>
      <c r="I2896">
        <v>-6.3395127209475701E-3</v>
      </c>
      <c r="J2896">
        <v>-1.2148464889629101E-2</v>
      </c>
      <c r="K2896">
        <v>-1.03217289031723E-2</v>
      </c>
      <c r="L2896">
        <v>8.8614621219425399E-2</v>
      </c>
      <c r="M2896">
        <v>0.163219822346652</v>
      </c>
      <c r="N2896">
        <v>0.334838121945294</v>
      </c>
      <c r="O2896">
        <v>0.35287561591055699</v>
      </c>
      <c r="P2896">
        <v>0.41203606873422299</v>
      </c>
    </row>
    <row r="2897" spans="1:16" x14ac:dyDescent="0.45">
      <c r="A2897" t="s">
        <v>93</v>
      </c>
      <c r="B2897" t="s">
        <v>27</v>
      </c>
      <c r="C2897" t="s">
        <v>15</v>
      </c>
      <c r="D2897" t="s">
        <v>10</v>
      </c>
      <c r="E2897" t="s">
        <v>32</v>
      </c>
      <c r="F2897">
        <v>0</v>
      </c>
      <c r="G2897">
        <v>-1.1839797817893899E-2</v>
      </c>
      <c r="H2897">
        <v>-1.1839797817893899E-2</v>
      </c>
      <c r="I2897">
        <v>-1.13929626456732E-4</v>
      </c>
      <c r="J2897">
        <v>3.47899027087459E-2</v>
      </c>
      <c r="K2897">
        <v>3.3230098055039702E-2</v>
      </c>
      <c r="L2897">
        <v>4.7702905957871496E-3</v>
      </c>
      <c r="M2897">
        <v>2.65511034007502E-2</v>
      </c>
      <c r="N2897">
        <v>2.54192109201354E-2</v>
      </c>
      <c r="O2897">
        <v>3.6249124985674903E-2</v>
      </c>
      <c r="P2897">
        <v>4.3344000150406597E-2</v>
      </c>
    </row>
    <row r="2898" spans="1:16" x14ac:dyDescent="0.45">
      <c r="A2898" t="s">
        <v>93</v>
      </c>
      <c r="B2898" t="s">
        <v>27</v>
      </c>
      <c r="C2898" t="s">
        <v>15</v>
      </c>
      <c r="D2898" t="s">
        <v>11</v>
      </c>
      <c r="E2898" t="s">
        <v>32</v>
      </c>
      <c r="F2898">
        <v>0</v>
      </c>
      <c r="G2898">
        <v>-2.4915804277421101E-3</v>
      </c>
      <c r="H2898">
        <v>-2.4915804277421101E-3</v>
      </c>
      <c r="I2898">
        <v>6.8072792909679202E-3</v>
      </c>
      <c r="J2898">
        <v>2.88331975350986E-3</v>
      </c>
      <c r="K2898">
        <v>8.3577545799173904E-3</v>
      </c>
      <c r="L2898">
        <v>-4.3439720692806097E-3</v>
      </c>
      <c r="M2898">
        <v>2.6080792831051799E-2</v>
      </c>
      <c r="N2898">
        <v>8.6401215671601E-2</v>
      </c>
      <c r="O2898">
        <v>0.150814416138952</v>
      </c>
      <c r="P2898">
        <v>0.19117888906883701</v>
      </c>
    </row>
    <row r="2899" spans="1:16" x14ac:dyDescent="0.45">
      <c r="A2899" t="s">
        <v>93</v>
      </c>
      <c r="B2899" t="s">
        <v>27</v>
      </c>
      <c r="C2899" t="s">
        <v>15</v>
      </c>
      <c r="D2899" t="s">
        <v>12</v>
      </c>
      <c r="E2899" t="s">
        <v>32</v>
      </c>
      <c r="F2899">
        <v>0</v>
      </c>
      <c r="G2899">
        <v>1.36834017975156E-2</v>
      </c>
      <c r="H2899">
        <v>1.36834017975156E-2</v>
      </c>
      <c r="I2899">
        <v>2.54735128731798E-3</v>
      </c>
      <c r="J2899">
        <v>-6.1172109915861297E-3</v>
      </c>
      <c r="K2899">
        <v>2.4508748940351498E-2</v>
      </c>
      <c r="L2899">
        <v>0.12719811730220701</v>
      </c>
      <c r="M2899">
        <v>0.17511321749644801</v>
      </c>
      <c r="N2899">
        <v>0.149953953556452</v>
      </c>
      <c r="O2899">
        <v>0.115048423873286</v>
      </c>
      <c r="P2899">
        <v>7.9884719277805202E-2</v>
      </c>
    </row>
    <row r="2900" spans="1:16" x14ac:dyDescent="0.45">
      <c r="A2900" t="s">
        <v>93</v>
      </c>
      <c r="B2900" t="s">
        <v>27</v>
      </c>
      <c r="C2900" t="s">
        <v>15</v>
      </c>
      <c r="D2900" t="s">
        <v>13</v>
      </c>
      <c r="E2900" t="s">
        <v>32</v>
      </c>
      <c r="F2900">
        <v>0</v>
      </c>
      <c r="G2900">
        <v>4.5621145806731302E-3</v>
      </c>
      <c r="H2900">
        <v>4.5621145806731302E-3</v>
      </c>
      <c r="I2900">
        <v>3.29677694821464E-2</v>
      </c>
      <c r="J2900">
        <v>0.13508143691389099</v>
      </c>
      <c r="K2900">
        <v>0.11723591401422399</v>
      </c>
      <c r="L2900">
        <v>3.8109261740001198E-2</v>
      </c>
      <c r="M2900">
        <v>1.6010399062604799E-3</v>
      </c>
      <c r="N2900">
        <v>6.7439647168621197E-4</v>
      </c>
      <c r="O2900">
        <v>-1.9154283521253899E-2</v>
      </c>
      <c r="P2900">
        <v>-6.41601764930608E-2</v>
      </c>
    </row>
    <row r="2901" spans="1:16" x14ac:dyDescent="0.45">
      <c r="A2901" t="s">
        <v>93</v>
      </c>
      <c r="B2901" t="s">
        <v>27</v>
      </c>
      <c r="C2901" t="s">
        <v>15</v>
      </c>
      <c r="D2901" t="s">
        <v>14</v>
      </c>
      <c r="E2901" t="s">
        <v>32</v>
      </c>
      <c r="F2901">
        <v>0</v>
      </c>
      <c r="G2901">
        <v>-7.78829085085908E-3</v>
      </c>
      <c r="H2901">
        <v>-7.78829085085908E-3</v>
      </c>
      <c r="I2901">
        <v>6.6063788758629699E-2</v>
      </c>
      <c r="J2901">
        <v>-8.5357272349328606E-2</v>
      </c>
      <c r="K2901">
        <v>-0.13106725565903199</v>
      </c>
      <c r="L2901">
        <v>-0.192041643058772</v>
      </c>
      <c r="M2901">
        <v>-0.25876205842604699</v>
      </c>
      <c r="N2901">
        <v>-0.31641833791726498</v>
      </c>
      <c r="O2901">
        <v>-0.32547917068587501</v>
      </c>
      <c r="P2901">
        <v>-0.30372763383479801</v>
      </c>
    </row>
    <row r="2902" spans="1:16" x14ac:dyDescent="0.45">
      <c r="A2902" t="s">
        <v>93</v>
      </c>
      <c r="B2902" t="s">
        <v>27</v>
      </c>
      <c r="C2902" t="s">
        <v>16</v>
      </c>
      <c r="D2902" t="s">
        <v>7</v>
      </c>
      <c r="E2902" t="s">
        <v>32</v>
      </c>
      <c r="F2902">
        <v>0.66785833696777697</v>
      </c>
      <c r="G2902">
        <v>0.434206258288095</v>
      </c>
      <c r="H2902">
        <v>0.434206258288095</v>
      </c>
      <c r="I2902">
        <v>0.28749665139478803</v>
      </c>
      <c r="J2902">
        <v>0.27045259317592901</v>
      </c>
      <c r="K2902">
        <v>0.25280168172704998</v>
      </c>
      <c r="L2902">
        <v>0.25280168172704998</v>
      </c>
      <c r="M2902">
        <v>0.25280168172704998</v>
      </c>
      <c r="N2902">
        <v>0.25280168172704998</v>
      </c>
      <c r="O2902">
        <v>0.25280168172704998</v>
      </c>
      <c r="P2902">
        <v>0.25280168172704998</v>
      </c>
    </row>
    <row r="2903" spans="1:16" x14ac:dyDescent="0.45">
      <c r="A2903" t="s">
        <v>93</v>
      </c>
      <c r="B2903" t="s">
        <v>27</v>
      </c>
      <c r="C2903" t="s">
        <v>16</v>
      </c>
      <c r="D2903" t="s">
        <v>9</v>
      </c>
      <c r="E2903" t="s">
        <v>32</v>
      </c>
      <c r="F2903">
        <v>0</v>
      </c>
      <c r="G2903">
        <v>-3.7327001144127299E-4</v>
      </c>
      <c r="H2903">
        <v>-3.7327001144127299E-4</v>
      </c>
      <c r="I2903">
        <v>-1.8994349185513801E-4</v>
      </c>
      <c r="J2903">
        <v>-1.04201544144311E-4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5.0216471981352501E-3</v>
      </c>
    </row>
    <row r="2904" spans="1:16" x14ac:dyDescent="0.45">
      <c r="A2904" t="s">
        <v>93</v>
      </c>
      <c r="B2904" t="s">
        <v>27</v>
      </c>
      <c r="C2904" t="s">
        <v>16</v>
      </c>
      <c r="D2904" t="s">
        <v>10</v>
      </c>
      <c r="E2904" t="s">
        <v>32</v>
      </c>
      <c r="F2904">
        <v>0</v>
      </c>
      <c r="G2904" s="14">
        <v>-7.2630149311469998E-6</v>
      </c>
      <c r="H2904" s="14">
        <v>-7.2630149311469998E-6</v>
      </c>
      <c r="I2904">
        <v>0</v>
      </c>
      <c r="J2904" s="14">
        <v>6.10622663543836E-16</v>
      </c>
      <c r="K2904">
        <v>0</v>
      </c>
      <c r="L2904">
        <v>0</v>
      </c>
      <c r="M2904">
        <v>7.56274536912371E-3</v>
      </c>
      <c r="N2904">
        <v>5.0216471981352501E-3</v>
      </c>
      <c r="O2904">
        <v>1.40251489426141E-3</v>
      </c>
      <c r="P2904">
        <v>-4.4728118595393504E-3</v>
      </c>
    </row>
    <row r="2905" spans="1:16" x14ac:dyDescent="0.45">
      <c r="A2905" t="s">
        <v>93</v>
      </c>
      <c r="B2905" t="s">
        <v>27</v>
      </c>
      <c r="C2905" t="s">
        <v>16</v>
      </c>
      <c r="D2905" t="s">
        <v>11</v>
      </c>
      <c r="E2905" t="s">
        <v>32</v>
      </c>
      <c r="F2905">
        <v>0</v>
      </c>
      <c r="G2905">
        <v>-1.4835805436691499E-4</v>
      </c>
      <c r="H2905">
        <v>-1.4835805436691499E-4</v>
      </c>
      <c r="I2905" s="14">
        <v>-4.1057279844991503E-5</v>
      </c>
      <c r="J2905" s="14">
        <v>-2.3784826506279E-5</v>
      </c>
      <c r="K2905">
        <v>7.5531005444062797E-3</v>
      </c>
      <c r="L2905">
        <v>7.3488437820350997E-3</v>
      </c>
      <c r="M2905">
        <v>-7.0151237615889697E-3</v>
      </c>
      <c r="N2905">
        <v>-5.0216471981352501E-3</v>
      </c>
      <c r="O2905">
        <v>-1.40251489426141E-3</v>
      </c>
      <c r="P2905">
        <v>-5.4883533859589905E-4</v>
      </c>
    </row>
    <row r="2906" spans="1:16" x14ac:dyDescent="0.45">
      <c r="A2906" t="s">
        <v>93</v>
      </c>
      <c r="B2906" t="s">
        <v>27</v>
      </c>
      <c r="C2906" t="s">
        <v>16</v>
      </c>
      <c r="D2906" t="s">
        <v>12</v>
      </c>
      <c r="E2906" t="s">
        <v>32</v>
      </c>
      <c r="F2906">
        <v>0</v>
      </c>
      <c r="G2906" s="14">
        <v>-3.7386242314252401E-5</v>
      </c>
      <c r="H2906" s="14">
        <v>-3.7386242314252401E-5</v>
      </c>
      <c r="I2906" s="14">
        <v>-4.9757540114048198E-5</v>
      </c>
      <c r="J2906">
        <v>3.6829351432307602E-3</v>
      </c>
      <c r="K2906">
        <v>-2.5428319469968401E-3</v>
      </c>
      <c r="L2906">
        <v>-7.3488437820350997E-3</v>
      </c>
      <c r="M2906">
        <v>-5.4762160753474298E-4</v>
      </c>
      <c r="N2906">
        <v>0</v>
      </c>
      <c r="O2906">
        <v>0</v>
      </c>
      <c r="P2906">
        <v>0</v>
      </c>
    </row>
    <row r="2907" spans="1:16" x14ac:dyDescent="0.45">
      <c r="A2907" t="s">
        <v>93</v>
      </c>
      <c r="B2907" t="s">
        <v>27</v>
      </c>
      <c r="C2907" t="s">
        <v>16</v>
      </c>
      <c r="D2907" t="s">
        <v>13</v>
      </c>
      <c r="E2907" t="s">
        <v>32</v>
      </c>
      <c r="F2907">
        <v>0</v>
      </c>
      <c r="G2907">
        <v>2.0373760030554799E-3</v>
      </c>
      <c r="H2907">
        <v>2.0373760030554799E-3</v>
      </c>
      <c r="I2907">
        <v>-1.0884388954065599E-2</v>
      </c>
      <c r="J2907">
        <v>-9.5599640443902508E-3</v>
      </c>
      <c r="K2907">
        <v>-5.0102685974094396E-3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 spans="1:16" x14ac:dyDescent="0.45">
      <c r="A2908" t="s">
        <v>93</v>
      </c>
      <c r="B2908" t="s">
        <v>27</v>
      </c>
      <c r="C2908" t="s">
        <v>16</v>
      </c>
      <c r="D2908" t="s">
        <v>14</v>
      </c>
      <c r="E2908" t="s">
        <v>32</v>
      </c>
      <c r="F2908">
        <v>0</v>
      </c>
      <c r="G2908">
        <v>2.3716037179986701E-2</v>
      </c>
      <c r="H2908">
        <v>2.3716037179986701E-2</v>
      </c>
      <c r="I2908">
        <v>-2.84375436116491E-3</v>
      </c>
      <c r="J2908">
        <v>3.0402993661146601E-3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 spans="1:16" x14ac:dyDescent="0.45">
      <c r="A2909" t="s">
        <v>93</v>
      </c>
      <c r="B2909" t="s">
        <v>27</v>
      </c>
      <c r="C2909" t="s">
        <v>17</v>
      </c>
      <c r="D2909" t="s">
        <v>7</v>
      </c>
      <c r="E2909" t="s">
        <v>32</v>
      </c>
      <c r="F2909">
        <v>3.7378271002499498E-2</v>
      </c>
      <c r="G2909">
        <v>4.4416480827461503E-2</v>
      </c>
      <c r="H2909">
        <v>4.4416480827461503E-2</v>
      </c>
      <c r="I2909">
        <v>5.2972027737873302E-2</v>
      </c>
      <c r="J2909">
        <v>6.4584646439167503E-2</v>
      </c>
      <c r="K2909">
        <v>8.1687128757507096E-2</v>
      </c>
      <c r="L2909">
        <v>0</v>
      </c>
      <c r="M2909">
        <v>0</v>
      </c>
      <c r="N2909">
        <v>0</v>
      </c>
      <c r="O2909">
        <v>0</v>
      </c>
      <c r="P2909">
        <v>0</v>
      </c>
    </row>
    <row r="2910" spans="1:16" x14ac:dyDescent="0.45">
      <c r="A2910" t="s">
        <v>93</v>
      </c>
      <c r="B2910" t="s">
        <v>27</v>
      </c>
      <c r="C2910" t="s">
        <v>17</v>
      </c>
      <c r="D2910" t="s">
        <v>9</v>
      </c>
      <c r="E2910" t="s">
        <v>32</v>
      </c>
      <c r="F2910">
        <v>0</v>
      </c>
      <c r="G2910">
        <v>1.5220974491986601E-3</v>
      </c>
      <c r="H2910">
        <v>1.5220974491986601E-3</v>
      </c>
      <c r="I2910">
        <v>9.7379588978635297E-3</v>
      </c>
      <c r="J2910">
        <v>1.13904277644102E-2</v>
      </c>
      <c r="K2910">
        <v>2.3356098945186199E-2</v>
      </c>
      <c r="L2910">
        <v>0</v>
      </c>
      <c r="M2910">
        <v>0</v>
      </c>
      <c r="N2910">
        <v>0</v>
      </c>
      <c r="O2910">
        <v>0</v>
      </c>
      <c r="P2910">
        <v>4.5768272377601296E-3</v>
      </c>
    </row>
    <row r="2911" spans="1:16" x14ac:dyDescent="0.45">
      <c r="A2911" t="s">
        <v>93</v>
      </c>
      <c r="B2911" t="s">
        <v>27</v>
      </c>
      <c r="C2911" t="s">
        <v>17</v>
      </c>
      <c r="D2911" t="s">
        <v>10</v>
      </c>
      <c r="E2911" t="s">
        <v>32</v>
      </c>
      <c r="F2911">
        <v>0</v>
      </c>
      <c r="G2911">
        <v>2.2173171103495601E-4</v>
      </c>
      <c r="H2911">
        <v>2.2173171103495601E-4</v>
      </c>
      <c r="I2911">
        <v>1.19114478674447E-3</v>
      </c>
      <c r="J2911">
        <v>1.2008263284249801E-2</v>
      </c>
      <c r="K2911">
        <v>1.34190654533587E-2</v>
      </c>
      <c r="L2911">
        <v>0</v>
      </c>
      <c r="M2911">
        <v>0.15355449907523</v>
      </c>
      <c r="N2911">
        <v>0.283137984193926</v>
      </c>
      <c r="O2911">
        <v>0.62495166692122905</v>
      </c>
      <c r="P2911">
        <v>1.3341318770400701</v>
      </c>
    </row>
    <row r="2912" spans="1:16" x14ac:dyDescent="0.45">
      <c r="A2912" t="s">
        <v>93</v>
      </c>
      <c r="B2912" t="s">
        <v>27</v>
      </c>
      <c r="C2912" t="s">
        <v>17</v>
      </c>
      <c r="D2912" t="s">
        <v>11</v>
      </c>
      <c r="E2912" t="s">
        <v>32</v>
      </c>
      <c r="F2912">
        <v>0</v>
      </c>
      <c r="G2912">
        <v>4.2503304243819701E-4</v>
      </c>
      <c r="H2912">
        <v>4.2503304243819701E-4</v>
      </c>
      <c r="I2912">
        <v>2.88248716046165E-3</v>
      </c>
      <c r="J2912">
        <v>9.3966301728830599E-3</v>
      </c>
      <c r="K2912">
        <v>0.17685743798060599</v>
      </c>
      <c r="L2912">
        <v>0.30743271770989999</v>
      </c>
      <c r="M2912">
        <v>1.13204814782184</v>
      </c>
      <c r="N2912">
        <v>1.09911104873087</v>
      </c>
      <c r="O2912">
        <v>0.857320353242087</v>
      </c>
      <c r="P2912">
        <v>0.318914174788202</v>
      </c>
    </row>
    <row r="2913" spans="1:16" x14ac:dyDescent="0.45">
      <c r="A2913" t="s">
        <v>93</v>
      </c>
      <c r="B2913" t="s">
        <v>27</v>
      </c>
      <c r="C2913" t="s">
        <v>17</v>
      </c>
      <c r="D2913" t="s">
        <v>12</v>
      </c>
      <c r="E2913" t="s">
        <v>32</v>
      </c>
      <c r="F2913">
        <v>0</v>
      </c>
      <c r="G2913">
        <v>-7.9461604342838399E-4</v>
      </c>
      <c r="H2913">
        <v>-7.9461604342838399E-4</v>
      </c>
      <c r="I2913">
        <v>2.79284631695388E-2</v>
      </c>
      <c r="J2913">
        <v>0.21740025992416201</v>
      </c>
      <c r="K2913">
        <v>0.84229867728911101</v>
      </c>
      <c r="L2913">
        <v>0.99327199908578601</v>
      </c>
      <c r="M2913">
        <v>0.27931271565553001</v>
      </c>
      <c r="N2913">
        <v>0.57131028652642302</v>
      </c>
      <c r="O2913">
        <v>0.85423375888519204</v>
      </c>
      <c r="P2913">
        <v>1.0599204301013501</v>
      </c>
    </row>
    <row r="2914" spans="1:16" x14ac:dyDescent="0.45">
      <c r="A2914" t="s">
        <v>93</v>
      </c>
      <c r="B2914" t="s">
        <v>27</v>
      </c>
      <c r="C2914" t="s">
        <v>17</v>
      </c>
      <c r="D2914" t="s">
        <v>13</v>
      </c>
      <c r="E2914" t="s">
        <v>32</v>
      </c>
      <c r="F2914">
        <v>0</v>
      </c>
      <c r="G2914">
        <v>1.14650432763176E-2</v>
      </c>
      <c r="H2914">
        <v>1.14650432763176E-2</v>
      </c>
      <c r="I2914">
        <v>0.86704682763271101</v>
      </c>
      <c r="J2914">
        <v>1.0868169173587601</v>
      </c>
      <c r="K2914">
        <v>0.95048069062819696</v>
      </c>
      <c r="L2914">
        <v>1.41617012440117</v>
      </c>
      <c r="M2914">
        <v>1.6730395526708199</v>
      </c>
      <c r="N2914">
        <v>1.55483404558479</v>
      </c>
      <c r="O2914">
        <v>1.2806455317991301</v>
      </c>
      <c r="P2914">
        <v>0.92648972429585497</v>
      </c>
    </row>
    <row r="2915" spans="1:16" x14ac:dyDescent="0.45">
      <c r="A2915" t="s">
        <v>93</v>
      </c>
      <c r="B2915" t="s">
        <v>27</v>
      </c>
      <c r="C2915" t="s">
        <v>17</v>
      </c>
      <c r="D2915" t="s">
        <v>14</v>
      </c>
      <c r="E2915" t="s">
        <v>32</v>
      </c>
      <c r="F2915">
        <v>0</v>
      </c>
      <c r="G2915">
        <v>4.9036109447641703E-2</v>
      </c>
      <c r="H2915">
        <v>4.9036109447641703E-2</v>
      </c>
      <c r="I2915">
        <v>0.60270761795660699</v>
      </c>
      <c r="J2915">
        <v>1.1506123360387801</v>
      </c>
      <c r="K2915">
        <v>1.21721925718114</v>
      </c>
      <c r="L2915">
        <v>0.88495071148953597</v>
      </c>
      <c r="M2915">
        <v>0.42571125405383398</v>
      </c>
      <c r="N2915">
        <v>0.15787304579337599</v>
      </c>
      <c r="O2915">
        <v>4.9168029677895998E-2</v>
      </c>
      <c r="P2915">
        <v>2.22978043117497E-2</v>
      </c>
    </row>
    <row r="2916" spans="1:16" x14ac:dyDescent="0.45">
      <c r="A2916" t="s">
        <v>93</v>
      </c>
      <c r="B2916" t="s">
        <v>27</v>
      </c>
      <c r="C2916" t="s">
        <v>18</v>
      </c>
      <c r="D2916" t="s">
        <v>7</v>
      </c>
      <c r="E2916" t="s">
        <v>32</v>
      </c>
      <c r="F2916">
        <v>0.81819251427562101</v>
      </c>
      <c r="G2916">
        <v>0.58719999538052503</v>
      </c>
      <c r="H2916">
        <v>0.58719999538052503</v>
      </c>
      <c r="I2916">
        <v>0.39146666358701698</v>
      </c>
      <c r="J2916">
        <v>0.19573333179350799</v>
      </c>
      <c r="K2916" s="14">
        <v>1.4046966936734899E-16</v>
      </c>
      <c r="L2916" s="14">
        <v>7.0234834683675E-17</v>
      </c>
      <c r="M2916" s="14">
        <v>3.5117417341837401E-17</v>
      </c>
      <c r="N2916" s="14">
        <v>7.0234834683675E-17</v>
      </c>
      <c r="O2916">
        <v>0</v>
      </c>
      <c r="P2916">
        <v>0</v>
      </c>
    </row>
    <row r="2917" spans="1:16" x14ac:dyDescent="0.45">
      <c r="A2917" t="s">
        <v>93</v>
      </c>
      <c r="B2917" t="s">
        <v>27</v>
      </c>
      <c r="C2917" t="s">
        <v>18</v>
      </c>
      <c r="D2917" t="s">
        <v>9</v>
      </c>
      <c r="E2917" t="s">
        <v>32</v>
      </c>
      <c r="F2917">
        <v>0</v>
      </c>
      <c r="G2917">
        <v>0</v>
      </c>
      <c r="H2917">
        <v>0</v>
      </c>
      <c r="I2917" s="14">
        <v>-6.10622663543836E-16</v>
      </c>
      <c r="J2917">
        <v>0</v>
      </c>
      <c r="K2917">
        <v>0</v>
      </c>
      <c r="L2917" s="14">
        <v>-3.5117417341837599E-17</v>
      </c>
      <c r="M2917" s="14">
        <v>2.8093933873469901E-16</v>
      </c>
      <c r="N2917" s="14">
        <v>-3.5117417341837599E-17</v>
      </c>
      <c r="O2917" s="14">
        <v>3.1605675607653599E-16</v>
      </c>
      <c r="P2917" s="14">
        <v>1.4046966936734899E-16</v>
      </c>
    </row>
    <row r="2918" spans="1:16" x14ac:dyDescent="0.45">
      <c r="A2918" t="s">
        <v>93</v>
      </c>
      <c r="B2918" t="s">
        <v>27</v>
      </c>
      <c r="C2918" t="s">
        <v>18</v>
      </c>
      <c r="D2918" t="s">
        <v>10</v>
      </c>
      <c r="E2918" t="s">
        <v>32</v>
      </c>
      <c r="F2918">
        <v>0</v>
      </c>
      <c r="G2918">
        <v>0</v>
      </c>
      <c r="H2918">
        <v>0</v>
      </c>
      <c r="I2918" s="14">
        <v>6.10622663543836E-16</v>
      </c>
      <c r="J2918">
        <v>0</v>
      </c>
      <c r="K2918" s="14">
        <v>-1.4046966936734899E-16</v>
      </c>
      <c r="L2918" s="14">
        <v>-3.5117417341837401E-17</v>
      </c>
      <c r="M2918" s="14">
        <v>-3.1605675607653599E-16</v>
      </c>
      <c r="N2918" s="14">
        <v>1.05352252025512E-16</v>
      </c>
      <c r="O2918" s="14">
        <v>-3.1605675607653599E-16</v>
      </c>
      <c r="P2918" s="14">
        <v>-1.4046966936734899E-16</v>
      </c>
    </row>
    <row r="2919" spans="1:16" x14ac:dyDescent="0.45">
      <c r="A2919" t="s">
        <v>93</v>
      </c>
      <c r="B2919" t="s">
        <v>27</v>
      </c>
      <c r="C2919" t="s">
        <v>18</v>
      </c>
      <c r="D2919" t="s">
        <v>11</v>
      </c>
      <c r="E2919" t="s">
        <v>32</v>
      </c>
      <c r="F2919">
        <v>0</v>
      </c>
      <c r="G2919">
        <v>0</v>
      </c>
      <c r="H2919">
        <v>0</v>
      </c>
      <c r="I2919" s="14">
        <v>-6.10622663543836E-16</v>
      </c>
      <c r="J2919">
        <v>0</v>
      </c>
      <c r="K2919" s="14">
        <v>1.75587086709187E-16</v>
      </c>
      <c r="L2919" s="14">
        <v>7.3746576417858202E-16</v>
      </c>
      <c r="M2919" s="14">
        <v>3.51174173418374E-16</v>
      </c>
      <c r="N2919" s="14">
        <v>-1.4046966936734899E-16</v>
      </c>
      <c r="O2919" s="14">
        <v>2.4582192139286199E-16</v>
      </c>
      <c r="P2919" s="14">
        <v>1.26422702430614E-15</v>
      </c>
    </row>
    <row r="2920" spans="1:16" x14ac:dyDescent="0.45">
      <c r="A2920" t="s">
        <v>93</v>
      </c>
      <c r="B2920" t="s">
        <v>27</v>
      </c>
      <c r="C2920" t="s">
        <v>18</v>
      </c>
      <c r="D2920" t="s">
        <v>12</v>
      </c>
      <c r="E2920" t="s">
        <v>32</v>
      </c>
      <c r="F2920">
        <v>0</v>
      </c>
      <c r="G2920">
        <v>0</v>
      </c>
      <c r="H2920">
        <v>0</v>
      </c>
      <c r="I2920" s="14">
        <v>6.10622663543836E-16</v>
      </c>
      <c r="J2920">
        <v>0</v>
      </c>
      <c r="K2920" s="14">
        <v>7.0234834683675E-17</v>
      </c>
      <c r="L2920" s="14">
        <v>-7.3746576417858202E-16</v>
      </c>
      <c r="M2920" s="14">
        <v>1.29934444164798E-15</v>
      </c>
      <c r="N2920">
        <v>0</v>
      </c>
      <c r="O2920" s="14">
        <v>5.6187867746939803E-16</v>
      </c>
      <c r="P2920" s="14">
        <v>1.22910960696431E-15</v>
      </c>
    </row>
    <row r="2921" spans="1:16" x14ac:dyDescent="0.45">
      <c r="A2921" t="s">
        <v>93</v>
      </c>
      <c r="B2921" t="s">
        <v>27</v>
      </c>
      <c r="C2921" t="s">
        <v>18</v>
      </c>
      <c r="D2921" t="s">
        <v>13</v>
      </c>
      <c r="E2921" t="s">
        <v>32</v>
      </c>
      <c r="F2921">
        <v>0</v>
      </c>
      <c r="G2921">
        <v>0</v>
      </c>
      <c r="H2921">
        <v>0</v>
      </c>
      <c r="I2921">
        <v>0</v>
      </c>
      <c r="J2921">
        <v>0</v>
      </c>
      <c r="K2921" s="14">
        <v>-2.4582192139286199E-16</v>
      </c>
      <c r="L2921" s="14">
        <v>9.4817026822960792E-16</v>
      </c>
      <c r="M2921" s="14">
        <v>-7.7258318152042097E-16</v>
      </c>
      <c r="N2921" s="14">
        <v>2.0368102058265701E-15</v>
      </c>
      <c r="O2921" s="14">
        <v>2.3177495445612698E-15</v>
      </c>
      <c r="P2921" s="14">
        <v>-2.4933366312704599E-15</v>
      </c>
    </row>
    <row r="2922" spans="1:16" x14ac:dyDescent="0.45">
      <c r="A2922" t="s">
        <v>93</v>
      </c>
      <c r="B2922" t="s">
        <v>27</v>
      </c>
      <c r="C2922" t="s">
        <v>18</v>
      </c>
      <c r="D2922" t="s">
        <v>14</v>
      </c>
      <c r="E2922" t="s">
        <v>32</v>
      </c>
      <c r="F2922">
        <v>0</v>
      </c>
      <c r="G2922" s="14">
        <v>-6.6613381477509402E-16</v>
      </c>
      <c r="H2922" s="14">
        <v>-6.6613381477509402E-16</v>
      </c>
      <c r="I2922">
        <v>0</v>
      </c>
      <c r="J2922" s="14">
        <v>-1.9151347174784002E-15</v>
      </c>
      <c r="K2922">
        <v>0</v>
      </c>
      <c r="L2922" s="14">
        <v>3.1605675607653599E-16</v>
      </c>
      <c r="M2922" s="14">
        <v>-8.7793543354593702E-16</v>
      </c>
      <c r="N2922" s="14">
        <v>-2.0368102058265701E-15</v>
      </c>
      <c r="O2922" s="14">
        <v>-3.12545014342353E-15</v>
      </c>
      <c r="P2922">
        <v>0</v>
      </c>
    </row>
    <row r="2923" spans="1:16" x14ac:dyDescent="0.45">
      <c r="A2923" t="s">
        <v>93</v>
      </c>
      <c r="B2923" t="s">
        <v>27</v>
      </c>
      <c r="C2923" t="s">
        <v>19</v>
      </c>
      <c r="D2923" t="s">
        <v>7</v>
      </c>
      <c r="E2923" t="s">
        <v>32</v>
      </c>
      <c r="F2923">
        <v>1.4135626769799899E-2</v>
      </c>
      <c r="G2923">
        <v>1.53910185314634E-2</v>
      </c>
      <c r="H2923">
        <v>1.53910185314634E-2</v>
      </c>
      <c r="I2923">
        <v>0</v>
      </c>
      <c r="J2923">
        <v>0</v>
      </c>
      <c r="K2923">
        <v>6.5865769278072004E-4</v>
      </c>
      <c r="L2923">
        <v>0</v>
      </c>
      <c r="M2923">
        <v>0</v>
      </c>
      <c r="N2923">
        <v>0</v>
      </c>
      <c r="O2923">
        <v>0</v>
      </c>
      <c r="P2923">
        <v>0</v>
      </c>
    </row>
    <row r="2924" spans="1:16" x14ac:dyDescent="0.45">
      <c r="A2924" t="s">
        <v>93</v>
      </c>
      <c r="B2924" t="s">
        <v>27</v>
      </c>
      <c r="C2924" t="s">
        <v>19</v>
      </c>
      <c r="D2924" t="s">
        <v>9</v>
      </c>
      <c r="E2924" t="s">
        <v>32</v>
      </c>
      <c r="F2924">
        <v>0</v>
      </c>
      <c r="G2924">
        <v>-2.7321464417256298E-4</v>
      </c>
      <c r="H2924">
        <v>-2.7321464417256298E-4</v>
      </c>
      <c r="I2924">
        <v>0</v>
      </c>
      <c r="J2924">
        <v>0</v>
      </c>
      <c r="K2924">
        <v>-6.5865769278072004E-4</v>
      </c>
      <c r="L2924">
        <v>0</v>
      </c>
      <c r="M2924">
        <v>0</v>
      </c>
      <c r="N2924">
        <v>0</v>
      </c>
      <c r="O2924">
        <v>0</v>
      </c>
      <c r="P2924">
        <v>0</v>
      </c>
    </row>
    <row r="2925" spans="1:16" x14ac:dyDescent="0.45">
      <c r="A2925" t="s">
        <v>93</v>
      </c>
      <c r="B2925" t="s">
        <v>27</v>
      </c>
      <c r="C2925" t="s">
        <v>19</v>
      </c>
      <c r="D2925" t="s">
        <v>10</v>
      </c>
      <c r="E2925" t="s">
        <v>32</v>
      </c>
      <c r="F2925">
        <v>0</v>
      </c>
      <c r="G2925" s="14">
        <v>6.6705036051486699E-5</v>
      </c>
      <c r="H2925" s="14">
        <v>6.6705036051486699E-5</v>
      </c>
      <c r="I2925">
        <v>0</v>
      </c>
      <c r="J2925">
        <v>0</v>
      </c>
      <c r="K2925">
        <v>4.0127515257277297E-3</v>
      </c>
      <c r="L2925">
        <v>1.27816785688945E-2</v>
      </c>
      <c r="M2925">
        <v>2.5977004388796101E-2</v>
      </c>
      <c r="N2925">
        <v>5.3422871393084603E-2</v>
      </c>
      <c r="O2925">
        <v>6.2884396546757496E-2</v>
      </c>
      <c r="P2925">
        <v>7.5663830395180098E-2</v>
      </c>
    </row>
    <row r="2926" spans="1:16" x14ac:dyDescent="0.45">
      <c r="A2926" t="s">
        <v>93</v>
      </c>
      <c r="B2926" t="s">
        <v>27</v>
      </c>
      <c r="C2926" t="s">
        <v>19</v>
      </c>
      <c r="D2926" t="s">
        <v>11</v>
      </c>
      <c r="E2926" t="s">
        <v>32</v>
      </c>
      <c r="F2926">
        <v>0</v>
      </c>
      <c r="G2926" s="14">
        <v>2.0767974428809902E-5</v>
      </c>
      <c r="H2926" s="14">
        <v>2.0767974428809902E-5</v>
      </c>
      <c r="I2926">
        <v>0</v>
      </c>
      <c r="J2926">
        <v>0</v>
      </c>
      <c r="K2926">
        <v>1.3446894728563099E-3</v>
      </c>
      <c r="L2926" s="14">
        <v>-9.6816785905758402E-5</v>
      </c>
      <c r="M2926">
        <v>2.1675917379184E-2</v>
      </c>
      <c r="N2926">
        <v>2.8322901012109401E-2</v>
      </c>
      <c r="O2926">
        <v>0.126803325366419</v>
      </c>
      <c r="P2926">
        <v>0.58346755778979897</v>
      </c>
    </row>
    <row r="2927" spans="1:16" x14ac:dyDescent="0.45">
      <c r="A2927" t="s">
        <v>93</v>
      </c>
      <c r="B2927" t="s">
        <v>27</v>
      </c>
      <c r="C2927" t="s">
        <v>19</v>
      </c>
      <c r="D2927" t="s">
        <v>12</v>
      </c>
      <c r="E2927" t="s">
        <v>32</v>
      </c>
      <c r="F2927">
        <v>0</v>
      </c>
      <c r="G2927">
        <v>1.1255684617823599E-3</v>
      </c>
      <c r="H2927">
        <v>1.1255684617823599E-3</v>
      </c>
      <c r="I2927">
        <v>0</v>
      </c>
      <c r="J2927">
        <v>0</v>
      </c>
      <c r="K2927">
        <v>2.50135035033964E-2</v>
      </c>
      <c r="L2927">
        <v>0.18641143946597</v>
      </c>
      <c r="M2927">
        <v>0.74048462586956998</v>
      </c>
      <c r="N2927">
        <v>1.8516666711635601</v>
      </c>
      <c r="O2927">
        <v>2.9149831167420599</v>
      </c>
      <c r="P2927">
        <v>3.6073896953715598</v>
      </c>
    </row>
    <row r="2928" spans="1:16" x14ac:dyDescent="0.45">
      <c r="A2928" t="s">
        <v>93</v>
      </c>
      <c r="B2928" t="s">
        <v>27</v>
      </c>
      <c r="C2928" t="s">
        <v>19</v>
      </c>
      <c r="D2928" t="s">
        <v>13</v>
      </c>
      <c r="E2928" t="s">
        <v>32</v>
      </c>
      <c r="F2928">
        <v>0</v>
      </c>
      <c r="G2928">
        <v>6.9700599747583398E-3</v>
      </c>
      <c r="H2928">
        <v>6.9700599747583398E-3</v>
      </c>
      <c r="I2928">
        <v>0.33269007722560101</v>
      </c>
      <c r="J2928">
        <v>1.2987069783440099</v>
      </c>
      <c r="K2928">
        <v>3.3239064574091302</v>
      </c>
      <c r="L2928">
        <v>5.0377537181818903</v>
      </c>
      <c r="M2928">
        <v>5.8247652812695101</v>
      </c>
      <c r="N2928">
        <v>5.2741750222236501</v>
      </c>
      <c r="O2928">
        <v>4.2892746860506099</v>
      </c>
      <c r="P2928">
        <v>3.20489549479151</v>
      </c>
    </row>
    <row r="2929" spans="1:16" x14ac:dyDescent="0.45">
      <c r="A2929" t="s">
        <v>93</v>
      </c>
      <c r="B2929" t="s">
        <v>27</v>
      </c>
      <c r="C2929" t="s">
        <v>19</v>
      </c>
      <c r="D2929" t="s">
        <v>14</v>
      </c>
      <c r="E2929" t="s">
        <v>32</v>
      </c>
      <c r="F2929">
        <v>0</v>
      </c>
      <c r="G2929">
        <v>2.9801904047033499E-2</v>
      </c>
      <c r="H2929">
        <v>2.9801904047033499E-2</v>
      </c>
      <c r="I2929">
        <v>2.1317894724836401</v>
      </c>
      <c r="J2929">
        <v>4.3519315958362004</v>
      </c>
      <c r="K2929">
        <v>4.41336885394331</v>
      </c>
      <c r="L2929">
        <v>3.3041390710149301</v>
      </c>
      <c r="M2929">
        <v>1.9516315757479701</v>
      </c>
      <c r="N2929">
        <v>1.2479310565541</v>
      </c>
      <c r="O2929">
        <v>0.93394672378869104</v>
      </c>
      <c r="P2929">
        <v>0.784422879247066</v>
      </c>
    </row>
  </sheetData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241F-914D-4125-A34B-9CEECB474344}">
  <dimension ref="A1:AI215"/>
  <sheetViews>
    <sheetView tabSelected="1" workbookViewId="0">
      <selection activeCell="M24" sqref="M24"/>
    </sheetView>
  </sheetViews>
  <sheetFormatPr defaultRowHeight="14.25" x14ac:dyDescent="0.45"/>
  <cols>
    <col min="1" max="1" width="3" bestFit="1" customWidth="1"/>
    <col min="2" max="2" width="2" bestFit="1" customWidth="1"/>
    <col min="4" max="4" width="11.59765625" bestFit="1" customWidth="1"/>
    <col min="5" max="5" width="13.3984375" bestFit="1" customWidth="1"/>
    <col min="6" max="6" width="10.1328125" bestFit="1" customWidth="1"/>
    <col min="7" max="8" width="5" bestFit="1" customWidth="1"/>
    <col min="9" max="16" width="6" bestFit="1" customWidth="1"/>
    <col min="17" max="17" width="6" customWidth="1"/>
    <col min="18" max="18" width="2.73046875" bestFit="1" customWidth="1"/>
    <col min="19" max="19" width="2" bestFit="1" customWidth="1"/>
    <col min="20" max="20" width="13.3984375" bestFit="1" customWidth="1"/>
    <col min="21" max="21" width="5" bestFit="1" customWidth="1"/>
    <col min="22" max="29" width="5.59765625" bestFit="1" customWidth="1"/>
    <col min="30" max="30" width="2" bestFit="1" customWidth="1"/>
    <col min="31" max="31" width="6.265625" customWidth="1"/>
    <col min="32" max="32" width="13.3984375" bestFit="1" customWidth="1"/>
    <col min="33" max="33" width="26.265625" bestFit="1" customWidth="1"/>
    <col min="34" max="34" width="4.59765625" bestFit="1" customWidth="1"/>
    <col min="35" max="35" width="5" bestFit="1" customWidth="1"/>
  </cols>
  <sheetData>
    <row r="1" spans="1:35" ht="15" thickTop="1" thickBot="1" x14ac:dyDescent="0.5">
      <c r="C1" s="9" t="str">
        <f>D2</f>
        <v>scenSDGs</v>
      </c>
      <c r="D1" s="7" t="s">
        <v>8</v>
      </c>
      <c r="G1" s="10">
        <f>SUM(G6:G999)/1000</f>
        <v>46.881220931999991</v>
      </c>
      <c r="H1" s="10">
        <f t="shared" ref="H1:Q1" si="0">SUM(H6:H999)/1000</f>
        <v>59.624766306437685</v>
      </c>
      <c r="I1" s="10">
        <f t="shared" si="0"/>
        <v>59.624766306437685</v>
      </c>
      <c r="J1" s="10">
        <f t="shared" si="0"/>
        <v>119.07180277911006</v>
      </c>
      <c r="K1" s="10">
        <f t="shared" si="0"/>
        <v>155.90441834791795</v>
      </c>
      <c r="L1" s="10">
        <f t="shared" si="0"/>
        <v>172.76532643653749</v>
      </c>
      <c r="M1" s="10">
        <f t="shared" si="0"/>
        <v>185.49487299959998</v>
      </c>
      <c r="N1" s="10">
        <f t="shared" si="0"/>
        <v>195.76937078199018</v>
      </c>
      <c r="O1" s="10">
        <f t="shared" si="0"/>
        <v>203.55797048155779</v>
      </c>
      <c r="P1" s="10">
        <f t="shared" si="0"/>
        <v>209.9681167229601</v>
      </c>
      <c r="Q1" s="10">
        <f t="shared" si="0"/>
        <v>213.40925404434782</v>
      </c>
      <c r="R1" s="5" t="s">
        <v>54</v>
      </c>
      <c r="T1" t="s">
        <v>65</v>
      </c>
    </row>
    <row r="2" spans="1:35" ht="14.65" thickTop="1" x14ac:dyDescent="0.45">
      <c r="D2" s="7" t="s">
        <v>32</v>
      </c>
    </row>
    <row r="4" spans="1:35" x14ac:dyDescent="0.45">
      <c r="F4" t="s">
        <v>55</v>
      </c>
      <c r="T4" t="s">
        <v>67</v>
      </c>
      <c r="AE4" t="s">
        <v>56</v>
      </c>
    </row>
    <row r="5" spans="1:35" ht="14.65" thickBot="1" x14ac:dyDescent="0.5">
      <c r="D5" s="12" t="s">
        <v>50</v>
      </c>
      <c r="E5" s="12" t="s">
        <v>51</v>
      </c>
      <c r="F5" s="12" t="s">
        <v>52</v>
      </c>
      <c r="G5" s="13" t="str">
        <f>'Globiom data'!F1</f>
        <v>*2010</v>
      </c>
      <c r="H5" s="13">
        <f>'Globiom data'!G1</f>
        <v>2018</v>
      </c>
      <c r="I5" s="13">
        <f>'Globiom data'!H1</f>
        <v>2020</v>
      </c>
      <c r="J5" s="13">
        <f>'Globiom data'!I1</f>
        <v>2030</v>
      </c>
      <c r="K5" s="13">
        <f>'Globiom data'!J1</f>
        <v>2040</v>
      </c>
      <c r="L5" s="13">
        <f>'Globiom data'!K1</f>
        <v>2050</v>
      </c>
      <c r="M5" s="13">
        <f>'Globiom data'!L1</f>
        <v>2060</v>
      </c>
      <c r="N5" s="13">
        <f>'Globiom data'!M1</f>
        <v>2070</v>
      </c>
      <c r="O5" s="13">
        <f>'Globiom data'!N1</f>
        <v>2080</v>
      </c>
      <c r="P5" s="13">
        <f>'Globiom data'!O1</f>
        <v>2090</v>
      </c>
      <c r="Q5" s="13">
        <f>'Globiom data'!P1</f>
        <v>2100</v>
      </c>
      <c r="R5" s="12">
        <v>0</v>
      </c>
      <c r="T5" s="12" t="s">
        <v>51</v>
      </c>
      <c r="U5" s="13">
        <f t="shared" ref="U5:AB5" si="1">I5</f>
        <v>2020</v>
      </c>
      <c r="V5" s="13">
        <f t="shared" si="1"/>
        <v>2030</v>
      </c>
      <c r="W5" s="13">
        <f t="shared" si="1"/>
        <v>2040</v>
      </c>
      <c r="X5" s="13">
        <f t="shared" si="1"/>
        <v>2050</v>
      </c>
      <c r="Y5" s="13">
        <f t="shared" si="1"/>
        <v>2060</v>
      </c>
      <c r="Z5" s="13">
        <f t="shared" si="1"/>
        <v>2070</v>
      </c>
      <c r="AA5" s="13">
        <f t="shared" si="1"/>
        <v>2080</v>
      </c>
      <c r="AB5" s="13">
        <f t="shared" si="1"/>
        <v>2090</v>
      </c>
      <c r="AC5" s="13">
        <f>Q5</f>
        <v>2100</v>
      </c>
      <c r="AE5" s="12" t="s">
        <v>57</v>
      </c>
      <c r="AF5" s="12" t="s">
        <v>58</v>
      </c>
      <c r="AG5" s="12" t="s">
        <v>59</v>
      </c>
      <c r="AH5" s="12" t="s">
        <v>60</v>
      </c>
      <c r="AI5" s="12" t="s">
        <v>61</v>
      </c>
    </row>
    <row r="6" spans="1:35" x14ac:dyDescent="0.45">
      <c r="A6" s="8">
        <v>1</v>
      </c>
      <c r="B6" s="8">
        <v>1</v>
      </c>
      <c r="D6" t="str">
        <f>VLOOKUP(A6,'Globiom data'!$S$21:$T$51,2,FALSE)</f>
        <v>Africa_north</v>
      </c>
      <c r="E6" t="str">
        <f>VLOOKUP(B6,'Globiom data'!$V$21:$X$30,3,FALSE)</f>
        <v>MinBIOBSL-01</v>
      </c>
      <c r="F6" t="s">
        <v>53</v>
      </c>
      <c r="G6" s="2">
        <f>MAX(SUMIFS('Globiom data'!F$2:F$9999,'Globiom data'!$A$2:$A$9999,Veda!$D6,'Globiom data'!$D$2:$D$9999,VLOOKUP(Veda!$B6,'Globiom data'!$V$21:$X$29,2,FALSE),'Globiom data'!$E$2:$E$9999,Veda!$C$1),0)*1000</f>
        <v>106.52457071141656</v>
      </c>
      <c r="H6" s="2">
        <f>MAX(SUMIFS('Globiom data'!G$2:G$9999,'Globiom data'!$A$2:$A$9999,Veda!$D6,'Globiom data'!$D$2:$D$9999,VLOOKUP(Veda!$B6,'Globiom data'!$V$21:$X$29,2,FALSE),'Globiom data'!$E$2:$E$9999,Veda!$C$1),0)*1000</f>
        <v>115.46718460293989</v>
      </c>
      <c r="I6" s="2">
        <f>MAX(SUMIFS('Globiom data'!H$2:H$9999,'Globiom data'!$A$2:$A$9999,Veda!$D6,'Globiom data'!$D$2:$D$9999,VLOOKUP(Veda!$B6,'Globiom data'!$V$21:$X$29,2,FALSE),'Globiom data'!$E$2:$E$9999,Veda!$C$1),0)*1000</f>
        <v>115.46718460293989</v>
      </c>
      <c r="J6" s="2">
        <f>MAX(SUMIFS('Globiom data'!I$2:I$9999,'Globiom data'!$A$2:$A$9999,Veda!$D6,'Globiom data'!$D$2:$D$9999,VLOOKUP(Veda!$B6,'Globiom data'!$V$21:$X$29,2,FALSE),'Globiom data'!$E$2:$E$9999,Veda!$C$1),0)*1000</f>
        <v>83.454536813538155</v>
      </c>
      <c r="K6" s="2">
        <f>MAX(SUMIFS('Globiom data'!J$2:J$9999,'Globiom data'!$A$2:$A$9999,Veda!$D6,'Globiom data'!$D$2:$D$9999,VLOOKUP(Veda!$B6,'Globiom data'!$V$21:$X$29,2,FALSE),'Globiom data'!$E$2:$E$9999,Veda!$C$1),0)*1000</f>
        <v>73.236071633935921</v>
      </c>
      <c r="L6" s="2">
        <f>MAX(SUMIFS('Globiom data'!K$2:K$9999,'Globiom data'!$A$2:$A$9999,Veda!$D6,'Globiom data'!$D$2:$D$9999,VLOOKUP(Veda!$B6,'Globiom data'!$V$21:$X$29,2,FALSE),'Globiom data'!$E$2:$E$9999,Veda!$C$1),0)*1000</f>
        <v>74.613675737121326</v>
      </c>
      <c r="M6" s="2">
        <f>MAX(SUMIFS('Globiom data'!L$2:L$9999,'Globiom data'!$A$2:$A$9999,Veda!$D6,'Globiom data'!$D$2:$D$9999,VLOOKUP(Veda!$B6,'Globiom data'!$V$21:$X$29,2,FALSE),'Globiom data'!$E$2:$E$9999,Veda!$C$1),0)*1000</f>
        <v>76.108201598688694</v>
      </c>
      <c r="N6" s="2">
        <f>MAX(SUMIFS('Globiom data'!M$2:M$9999,'Globiom data'!$A$2:$A$9999,Veda!$D6,'Globiom data'!$D$2:$D$9999,VLOOKUP(Veda!$B6,'Globiom data'!$V$21:$X$29,2,FALSE),'Globiom data'!$E$2:$E$9999,Veda!$C$1),0)*1000</f>
        <v>77.422210906819998</v>
      </c>
      <c r="O6" s="2">
        <f>MAX(SUMIFS('Globiom data'!N$2:N$9999,'Globiom data'!$A$2:$A$9999,Veda!$D6,'Globiom data'!$D$2:$D$9999,VLOOKUP(Veda!$B6,'Globiom data'!$V$21:$X$29,2,FALSE),'Globiom data'!$E$2:$E$9999,Veda!$C$1),0)*1000</f>
        <v>78.58296709170628</v>
      </c>
      <c r="P6" s="2">
        <f>MAX(SUMIFS('Globiom data'!O$2:O$9999,'Globiom data'!$A$2:$A$9999,Veda!$D6,'Globiom data'!$D$2:$D$9999,VLOOKUP(Veda!$B6,'Globiom data'!$V$21:$X$29,2,FALSE),'Globiom data'!$E$2:$E$9999,Veda!$C$1),0)*1000</f>
        <v>79.68136594881679</v>
      </c>
      <c r="Q6" s="2">
        <f>MAX(SUMIFS('Globiom data'!P$2:P$9999,'Globiom data'!$A$2:$A$9999,Veda!$D6,'Globiom data'!$D$2:$D$9999,VLOOKUP(Veda!$B6,'Globiom data'!$V$21:$X$29,2,FALSE),'Globiom data'!$E$2:$E$9999,Veda!$C$1),0)*1000</f>
        <v>80.508735918775798</v>
      </c>
      <c r="R6">
        <v>3</v>
      </c>
      <c r="T6" t="str">
        <f>E6</f>
        <v>MinBIOBSL-01</v>
      </c>
      <c r="U6" s="11">
        <f>U7</f>
        <v>0.17647058823529399</v>
      </c>
      <c r="V6" s="11">
        <f t="shared" ref="V6:AC6" si="2">V7</f>
        <v>0.52941176470588203</v>
      </c>
      <c r="W6" s="11">
        <f t="shared" si="2"/>
        <v>0.88235294117647101</v>
      </c>
      <c r="X6" s="11">
        <f t="shared" si="2"/>
        <v>1.23529411764706</v>
      </c>
      <c r="Y6" s="11">
        <f t="shared" si="2"/>
        <v>1.5882352941176501</v>
      </c>
      <c r="Z6" s="11">
        <f t="shared" si="2"/>
        <v>1.9411764705882399</v>
      </c>
      <c r="AA6" s="11">
        <f t="shared" si="2"/>
        <v>2.2941176470588198</v>
      </c>
      <c r="AB6" s="11">
        <f t="shared" si="2"/>
        <v>2.6470588235294099</v>
      </c>
      <c r="AC6" s="11">
        <f t="shared" si="2"/>
        <v>3</v>
      </c>
      <c r="AE6" t="s">
        <v>64</v>
      </c>
      <c r="AF6" t="str">
        <f>T6</f>
        <v>MinBIOBSL-01</v>
      </c>
      <c r="AG6" t="str">
        <f>"Globium step - "&amp;'Globiom data'!W21</f>
        <v>Globium step - BIO00</v>
      </c>
      <c r="AH6" t="s">
        <v>62</v>
      </c>
      <c r="AI6" t="s">
        <v>63</v>
      </c>
    </row>
    <row r="7" spans="1:35" x14ac:dyDescent="0.45">
      <c r="A7" s="8">
        <v>1</v>
      </c>
      <c r="B7" s="8">
        <v>2</v>
      </c>
      <c r="D7" t="str">
        <f>VLOOKUP(A7,'Globiom data'!$S$21:$T$51,2,FALSE)</f>
        <v>Africa_north</v>
      </c>
      <c r="E7" t="str">
        <f>VLOOKUP(B7,'Globiom data'!$V$21:$X$30,3,FALSE)</f>
        <v>MinBIOBSL-02</v>
      </c>
      <c r="F7" t="s">
        <v>53</v>
      </c>
      <c r="G7" s="2">
        <f>MAX(SUMIFS('Globiom data'!F$2:F$9999,'Globiom data'!$A$2:$A$9999,Veda!$D7,'Globiom data'!$D$2:$D$9999,VLOOKUP(Veda!$B7,'Globiom data'!$V$21:$X$29,2,FALSE),'Globiom data'!$E$2:$E$9999,Veda!$C$1),0)*1000</f>
        <v>0</v>
      </c>
      <c r="H7" s="2">
        <f>MAX(SUMIFS('Globiom data'!G$2:G$9999,'Globiom data'!$A$2:$A$9999,Veda!$D7,'Globiom data'!$D$2:$D$9999,VLOOKUP(Veda!$B7,'Globiom data'!$V$21:$X$29,2,FALSE),'Globiom data'!$E$2:$E$9999,Veda!$C$1),0)*1000</f>
        <v>0</v>
      </c>
      <c r="I7" s="2">
        <f>MAX(SUMIFS('Globiom data'!H$2:H$9999,'Globiom data'!$A$2:$A$9999,Veda!$D7,'Globiom data'!$D$2:$D$9999,VLOOKUP(Veda!$B7,'Globiom data'!$V$21:$X$29,2,FALSE),'Globiom data'!$E$2:$E$9999,Veda!$C$1),0)*1000</f>
        <v>0</v>
      </c>
      <c r="J7" s="2">
        <f>MAX(SUMIFS('Globiom data'!I$2:I$9999,'Globiom data'!$A$2:$A$9999,Veda!$D7,'Globiom data'!$D$2:$D$9999,VLOOKUP(Veda!$B7,'Globiom data'!$V$21:$X$29,2,FALSE),'Globiom data'!$E$2:$E$9999,Veda!$C$1),0)*1000</f>
        <v>0</v>
      </c>
      <c r="K7" s="2">
        <f>MAX(SUMIFS('Globiom data'!J$2:J$9999,'Globiom data'!$A$2:$A$9999,Veda!$D7,'Globiom data'!$D$2:$D$9999,VLOOKUP(Veda!$B7,'Globiom data'!$V$21:$X$29,2,FALSE),'Globiom data'!$E$2:$E$9999,Veda!$C$1),0)*1000</f>
        <v>9.6823026554988437E-2</v>
      </c>
      <c r="L7" s="2">
        <f>MAX(SUMIFS('Globiom data'!K$2:K$9999,'Globiom data'!$A$2:$A$9999,Veda!$D7,'Globiom data'!$D$2:$D$9999,VLOOKUP(Veda!$B7,'Globiom data'!$V$21:$X$29,2,FALSE),'Globiom data'!$E$2:$E$9999,Veda!$C$1),0)*1000</f>
        <v>0.41241291498020244</v>
      </c>
      <c r="M7" s="2">
        <f>MAX(SUMIFS('Globiom data'!L$2:L$9999,'Globiom data'!$A$2:$A$9999,Veda!$D7,'Globiom data'!$D$2:$D$9999,VLOOKUP(Veda!$B7,'Globiom data'!$V$21:$X$29,2,FALSE),'Globiom data'!$E$2:$E$9999,Veda!$C$1),0)*1000</f>
        <v>13.659907607795748</v>
      </c>
      <c r="N7" s="2">
        <f>MAX(SUMIFS('Globiom data'!M$2:M$9999,'Globiom data'!$A$2:$A$9999,Veda!$D7,'Globiom data'!$D$2:$D$9999,VLOOKUP(Veda!$B7,'Globiom data'!$V$21:$X$29,2,FALSE),'Globiom data'!$E$2:$E$9999,Veda!$C$1),0)*1000</f>
        <v>16.836510470795009</v>
      </c>
      <c r="O7" s="2">
        <f>MAX(SUMIFS('Globiom data'!N$2:N$9999,'Globiom data'!$A$2:$A$9999,Veda!$D7,'Globiom data'!$D$2:$D$9999,VLOOKUP(Veda!$B7,'Globiom data'!$V$21:$X$29,2,FALSE),'Globiom data'!$E$2:$E$9999,Veda!$C$1),0)*1000</f>
        <v>19.909017834186013</v>
      </c>
      <c r="P7" s="2">
        <f>MAX(SUMIFS('Globiom data'!O$2:O$9999,'Globiom data'!$A$2:$A$9999,Veda!$D7,'Globiom data'!$D$2:$D$9999,VLOOKUP(Veda!$B7,'Globiom data'!$V$21:$X$29,2,FALSE),'Globiom data'!$E$2:$E$9999,Veda!$C$1),0)*1000</f>
        <v>22.434439654951415</v>
      </c>
      <c r="Q7" s="2">
        <f>MAX(SUMIFS('Globiom data'!P$2:P$9999,'Globiom data'!$A$2:$A$9999,Veda!$D7,'Globiom data'!$D$2:$D$9999,VLOOKUP(Veda!$B7,'Globiom data'!$V$21:$X$29,2,FALSE),'Globiom data'!$E$2:$E$9999,Veda!$C$1),0)*1000</f>
        <v>25.217718958730131</v>
      </c>
      <c r="R7">
        <v>3</v>
      </c>
      <c r="T7" t="str">
        <f t="shared" ref="T7:T12" si="3">E7</f>
        <v>MinBIOBSL-02</v>
      </c>
      <c r="U7" s="1">
        <f>'Globiom data'!AA5</f>
        <v>0.17647058823529399</v>
      </c>
      <c r="V7" s="1">
        <f>'Globiom data'!AB5</f>
        <v>0.52941176470588203</v>
      </c>
      <c r="W7" s="1">
        <f>'Globiom data'!AC5</f>
        <v>0.88235294117647101</v>
      </c>
      <c r="X7" s="1">
        <f>'Globiom data'!AD5</f>
        <v>1.23529411764706</v>
      </c>
      <c r="Y7" s="1">
        <f>'Globiom data'!AE5</f>
        <v>1.5882352941176501</v>
      </c>
      <c r="Z7" s="1">
        <f>'Globiom data'!AF5</f>
        <v>1.9411764705882399</v>
      </c>
      <c r="AA7" s="1">
        <f>'Globiom data'!AG5</f>
        <v>2.2941176470588198</v>
      </c>
      <c r="AB7" s="1">
        <f>'Globiom data'!AH5</f>
        <v>2.6470588235294099</v>
      </c>
      <c r="AC7" s="1">
        <f>'Globiom data'!AI5</f>
        <v>3</v>
      </c>
      <c r="AF7" t="str">
        <f t="shared" ref="AF7:AF12" si="4">T7</f>
        <v>MinBIOBSL-02</v>
      </c>
      <c r="AG7" t="str">
        <f>"Globium step - "&amp;'Globiom data'!W22</f>
        <v>Globium step - BIO03</v>
      </c>
      <c r="AH7" t="s">
        <v>62</v>
      </c>
      <c r="AI7" t="s">
        <v>63</v>
      </c>
    </row>
    <row r="8" spans="1:35" x14ac:dyDescent="0.45">
      <c r="A8" s="8">
        <v>1</v>
      </c>
      <c r="B8" s="8">
        <v>3</v>
      </c>
      <c r="D8" t="str">
        <f>VLOOKUP(A8,'Globiom data'!$S$21:$T$51,2,FALSE)</f>
        <v>Africa_north</v>
      </c>
      <c r="E8" t="str">
        <f>VLOOKUP(B8,'Globiom data'!$V$21:$X$30,3,FALSE)</f>
        <v>MinBIOBSL-03</v>
      </c>
      <c r="F8" t="s">
        <v>53</v>
      </c>
      <c r="G8" s="2">
        <f>MAX(SUMIFS('Globiom data'!F$2:F$9999,'Globiom data'!$A$2:$A$9999,Veda!$D8,'Globiom data'!$D$2:$D$9999,VLOOKUP(Veda!$B8,'Globiom data'!$V$21:$X$29,2,FALSE),'Globiom data'!$E$2:$E$9999,Veda!$C$1),0)*1000</f>
        <v>0</v>
      </c>
      <c r="H8" s="2">
        <f>MAX(SUMIFS('Globiom data'!G$2:G$9999,'Globiom data'!$A$2:$A$9999,Veda!$D8,'Globiom data'!$D$2:$D$9999,VLOOKUP(Veda!$B8,'Globiom data'!$V$21:$X$29,2,FALSE),'Globiom data'!$E$2:$E$9999,Veda!$C$1),0)*1000</f>
        <v>0</v>
      </c>
      <c r="I8" s="2">
        <f>MAX(SUMIFS('Globiom data'!H$2:H$9999,'Globiom data'!$A$2:$A$9999,Veda!$D8,'Globiom data'!$D$2:$D$9999,VLOOKUP(Veda!$B8,'Globiom data'!$V$21:$X$29,2,FALSE),'Globiom data'!$E$2:$E$9999,Veda!$C$1),0)*1000</f>
        <v>0</v>
      </c>
      <c r="J8" s="2">
        <f>MAX(SUMIFS('Globiom data'!I$2:I$9999,'Globiom data'!$A$2:$A$9999,Veda!$D8,'Globiom data'!$D$2:$D$9999,VLOOKUP(Veda!$B8,'Globiom data'!$V$21:$X$29,2,FALSE),'Globiom data'!$E$2:$E$9999,Veda!$C$1),0)*1000</f>
        <v>0</v>
      </c>
      <c r="K8" s="2">
        <f>MAX(SUMIFS('Globiom data'!J$2:J$9999,'Globiom data'!$A$2:$A$9999,Veda!$D8,'Globiom data'!$D$2:$D$9999,VLOOKUP(Veda!$B8,'Globiom data'!$V$21:$X$29,2,FALSE),'Globiom data'!$E$2:$E$9999,Veda!$C$1),0)*1000</f>
        <v>0</v>
      </c>
      <c r="L8" s="2">
        <f>MAX(SUMIFS('Globiom data'!K$2:K$9999,'Globiom data'!$A$2:$A$9999,Veda!$D8,'Globiom data'!$D$2:$D$9999,VLOOKUP(Veda!$B8,'Globiom data'!$V$21:$X$29,2,FALSE),'Globiom data'!$E$2:$E$9999,Veda!$C$1),0)*1000</f>
        <v>8.6377857896385297</v>
      </c>
      <c r="M8" s="2">
        <f>MAX(SUMIFS('Globiom data'!L$2:L$9999,'Globiom data'!$A$2:$A$9999,Veda!$D8,'Globiom data'!$D$2:$D$9999,VLOOKUP(Veda!$B8,'Globiom data'!$V$21:$X$29,2,FALSE),'Globiom data'!$E$2:$E$9999,Veda!$C$1),0)*1000</f>
        <v>0</v>
      </c>
      <c r="N8" s="2">
        <f>MAX(SUMIFS('Globiom data'!M$2:M$9999,'Globiom data'!$A$2:$A$9999,Veda!$D8,'Globiom data'!$D$2:$D$9999,VLOOKUP(Veda!$B8,'Globiom data'!$V$21:$X$29,2,FALSE),'Globiom data'!$E$2:$E$9999,Veda!$C$1),0)*1000</f>
        <v>3.9140651923548928</v>
      </c>
      <c r="O8" s="2">
        <f>MAX(SUMIFS('Globiom data'!N$2:N$9999,'Globiom data'!$A$2:$A$9999,Veda!$D8,'Globiom data'!$D$2:$D$9999,VLOOKUP(Veda!$B8,'Globiom data'!$V$21:$X$29,2,FALSE),'Globiom data'!$E$2:$E$9999,Veda!$C$1),0)*1000</f>
        <v>12.081141439165146</v>
      </c>
      <c r="P8" s="2">
        <f>MAX(SUMIFS('Globiom data'!O$2:O$9999,'Globiom data'!$A$2:$A$9999,Veda!$D8,'Globiom data'!$D$2:$D$9999,VLOOKUP(Veda!$B8,'Globiom data'!$V$21:$X$29,2,FALSE),'Globiom data'!$E$2:$E$9999,Veda!$C$1),0)*1000</f>
        <v>21.441521914762706</v>
      </c>
      <c r="Q8" s="2">
        <f>MAX(SUMIFS('Globiom data'!P$2:P$9999,'Globiom data'!$A$2:$A$9999,Veda!$D8,'Globiom data'!$D$2:$D$9999,VLOOKUP(Veda!$B8,'Globiom data'!$V$21:$X$29,2,FALSE),'Globiom data'!$E$2:$E$9999,Veda!$C$1),0)*1000</f>
        <v>23.224135863284985</v>
      </c>
      <c r="R8">
        <v>3</v>
      </c>
      <c r="T8" t="str">
        <f t="shared" si="3"/>
        <v>MinBIOBSL-03</v>
      </c>
      <c r="U8" s="1">
        <f>'Globiom data'!AA6</f>
        <v>0.29411764705882398</v>
      </c>
      <c r="V8" s="1">
        <f>'Globiom data'!AB6</f>
        <v>0.88235294117647101</v>
      </c>
      <c r="W8" s="1">
        <f>'Globiom data'!AC6</f>
        <v>1.47058823529412</v>
      </c>
      <c r="X8" s="1">
        <f>'Globiom data'!AD6</f>
        <v>2.0588235294117698</v>
      </c>
      <c r="Y8" s="1">
        <f>'Globiom data'!AE6</f>
        <v>2.6470588235294099</v>
      </c>
      <c r="Z8" s="1">
        <f>'Globiom data'!AF6</f>
        <v>3.2352941176470602</v>
      </c>
      <c r="AA8" s="1">
        <f>'Globiom data'!AG6</f>
        <v>3.8235294117647101</v>
      </c>
      <c r="AB8" s="1">
        <f>'Globiom data'!AH6</f>
        <v>4.4117647058823497</v>
      </c>
      <c r="AC8" s="1">
        <f>'Globiom data'!AI6</f>
        <v>5</v>
      </c>
      <c r="AF8" t="str">
        <f t="shared" si="4"/>
        <v>MinBIOBSL-03</v>
      </c>
      <c r="AG8" t="str">
        <f>"Globium step - "&amp;'Globiom data'!W23</f>
        <v>Globium step - BIO05</v>
      </c>
      <c r="AH8" t="s">
        <v>62</v>
      </c>
      <c r="AI8" t="s">
        <v>63</v>
      </c>
    </row>
    <row r="9" spans="1:35" x14ac:dyDescent="0.45">
      <c r="A9" s="8">
        <v>1</v>
      </c>
      <c r="B9" s="8">
        <v>4</v>
      </c>
      <c r="D9" t="str">
        <f>VLOOKUP(A9,'Globiom data'!$S$21:$T$51,2,FALSE)</f>
        <v>Africa_north</v>
      </c>
      <c r="E9" t="str">
        <f>VLOOKUP(B9,'Globiom data'!$V$21:$X$30,3,FALSE)</f>
        <v>MinBIOBSL-04</v>
      </c>
      <c r="F9" t="s">
        <v>53</v>
      </c>
      <c r="G9" s="2">
        <f>MAX(SUMIFS('Globiom data'!F$2:F$9999,'Globiom data'!$A$2:$A$9999,Veda!$D9,'Globiom data'!$D$2:$D$9999,VLOOKUP(Veda!$B9,'Globiom data'!$V$21:$X$29,2,FALSE),'Globiom data'!$E$2:$E$9999,Veda!$C$1),0)*1000</f>
        <v>0</v>
      </c>
      <c r="H9" s="2">
        <f>MAX(SUMIFS('Globiom data'!G$2:G$9999,'Globiom data'!$A$2:$A$9999,Veda!$D9,'Globiom data'!$D$2:$D$9999,VLOOKUP(Veda!$B9,'Globiom data'!$V$21:$X$29,2,FALSE),'Globiom data'!$E$2:$E$9999,Veda!$C$1),0)*1000</f>
        <v>1.1796119636642301E-13</v>
      </c>
      <c r="I9" s="2">
        <f>MAX(SUMIFS('Globiom data'!H$2:H$9999,'Globiom data'!$A$2:$A$9999,Veda!$D9,'Globiom data'!$D$2:$D$9999,VLOOKUP(Veda!$B9,'Globiom data'!$V$21:$X$29,2,FALSE),'Globiom data'!$E$2:$E$9999,Veda!$C$1),0)*1000</f>
        <v>1.1796119636642301E-13</v>
      </c>
      <c r="J9" s="2">
        <f>MAX(SUMIFS('Globiom data'!I$2:I$9999,'Globiom data'!$A$2:$A$9999,Veda!$D9,'Globiom data'!$D$2:$D$9999,VLOOKUP(Veda!$B9,'Globiom data'!$V$21:$X$29,2,FALSE),'Globiom data'!$E$2:$E$9999,Veda!$C$1),0)*1000</f>
        <v>4.9746232146881397E-2</v>
      </c>
      <c r="K9" s="2">
        <f>MAX(SUMIFS('Globiom data'!J$2:J$9999,'Globiom data'!$A$2:$A$9999,Veda!$D9,'Globiom data'!$D$2:$D$9999,VLOOKUP(Veda!$B9,'Globiom data'!$V$21:$X$29,2,FALSE),'Globiom data'!$E$2:$E$9999,Veda!$C$1),0)*1000</f>
        <v>6.0441658714510424</v>
      </c>
      <c r="L9" s="2">
        <f>MAX(SUMIFS('Globiom data'!K$2:K$9999,'Globiom data'!$A$2:$A$9999,Veda!$D9,'Globiom data'!$D$2:$D$9999,VLOOKUP(Veda!$B9,'Globiom data'!$V$21:$X$29,2,FALSE),'Globiom data'!$E$2:$E$9999,Veda!$C$1),0)*1000</f>
        <v>6.1564834573014595</v>
      </c>
      <c r="M9" s="2">
        <f>MAX(SUMIFS('Globiom data'!L$2:L$9999,'Globiom data'!$A$2:$A$9999,Veda!$D9,'Globiom data'!$D$2:$D$9999,VLOOKUP(Veda!$B9,'Globiom data'!$V$21:$X$29,2,FALSE),'Globiom data'!$E$2:$E$9999,Veda!$C$1),0)*1000</f>
        <v>17.030690662626732</v>
      </c>
      <c r="N9" s="2">
        <f>MAX(SUMIFS('Globiom data'!M$2:M$9999,'Globiom data'!$A$2:$A$9999,Veda!$D9,'Globiom data'!$D$2:$D$9999,VLOOKUP(Veda!$B9,'Globiom data'!$V$21:$X$29,2,FALSE),'Globiom data'!$E$2:$E$9999,Veda!$C$1),0)*1000</f>
        <v>18.571698716909896</v>
      </c>
      <c r="O9" s="2">
        <f>MAX(SUMIFS('Globiom data'!N$2:N$9999,'Globiom data'!$A$2:$A$9999,Veda!$D9,'Globiom data'!$D$2:$D$9999,VLOOKUP(Veda!$B9,'Globiom data'!$V$21:$X$29,2,FALSE),'Globiom data'!$E$2:$E$9999,Veda!$C$1),0)*1000</f>
        <v>13.873157838354782</v>
      </c>
      <c r="P9" s="2">
        <f>MAX(SUMIFS('Globiom data'!O$2:O$9999,'Globiom data'!$A$2:$A$9999,Veda!$D9,'Globiom data'!$D$2:$D$9999,VLOOKUP(Veda!$B9,'Globiom data'!$V$21:$X$29,2,FALSE),'Globiom data'!$E$2:$E$9999,Veda!$C$1),0)*1000</f>
        <v>10.538757720005821</v>
      </c>
      <c r="Q9" s="2">
        <f>MAX(SUMIFS('Globiom data'!P$2:P$9999,'Globiom data'!$A$2:$A$9999,Veda!$D9,'Globiom data'!$D$2:$D$9999,VLOOKUP(Veda!$B9,'Globiom data'!$V$21:$X$29,2,FALSE),'Globiom data'!$E$2:$E$9999,Veda!$C$1),0)*1000</f>
        <v>22.843433099309902</v>
      </c>
      <c r="R9">
        <v>3</v>
      </c>
      <c r="T9" t="str">
        <f t="shared" si="3"/>
        <v>MinBIOBSL-04</v>
      </c>
      <c r="U9" s="1">
        <f>'Globiom data'!AA7</f>
        <v>0.47058823529411797</v>
      </c>
      <c r="V9" s="1">
        <f>'Globiom data'!AB7</f>
        <v>1.4117647058823499</v>
      </c>
      <c r="W9" s="1">
        <f>'Globiom data'!AC7</f>
        <v>2.3529411764705901</v>
      </c>
      <c r="X9" s="1">
        <f>'Globiom data'!AD7</f>
        <v>3.29411764705883</v>
      </c>
      <c r="Y9" s="1">
        <f>'Globiom data'!AE7</f>
        <v>4.2352941176470598</v>
      </c>
      <c r="Z9" s="1">
        <f>'Globiom data'!AF7</f>
        <v>5.1764705882352899</v>
      </c>
      <c r="AA9" s="1">
        <f>'Globiom data'!AG7</f>
        <v>6.1176470588235299</v>
      </c>
      <c r="AB9" s="1">
        <f>'Globiom data'!AH7</f>
        <v>7.0588235294117601</v>
      </c>
      <c r="AC9" s="1">
        <f>'Globiom data'!AI7</f>
        <v>8</v>
      </c>
      <c r="AF9" t="str">
        <f t="shared" si="4"/>
        <v>MinBIOBSL-04</v>
      </c>
      <c r="AG9" t="str">
        <f>"Globium step - "&amp;'Globiom data'!W24</f>
        <v>Globium step - BIO08</v>
      </c>
      <c r="AH9" t="s">
        <v>62</v>
      </c>
      <c r="AI9" t="s">
        <v>63</v>
      </c>
    </row>
    <row r="10" spans="1:35" x14ac:dyDescent="0.45">
      <c r="A10" s="8">
        <v>1</v>
      </c>
      <c r="B10" s="8">
        <v>5</v>
      </c>
      <c r="D10" t="str">
        <f>VLOOKUP(A10,'Globiom data'!$S$21:$T$51,2,FALSE)</f>
        <v>Africa_north</v>
      </c>
      <c r="E10" t="str">
        <f>VLOOKUP(B10,'Globiom data'!$V$21:$X$30,3,FALSE)</f>
        <v>MinBIOBSL-05</v>
      </c>
      <c r="F10" t="s">
        <v>53</v>
      </c>
      <c r="G10" s="2">
        <f>MAX(SUMIFS('Globiom data'!F$2:F$9999,'Globiom data'!$A$2:$A$9999,Veda!$D10,'Globiom data'!$D$2:$D$9999,VLOOKUP(Veda!$B10,'Globiom data'!$V$21:$X$29,2,FALSE),'Globiom data'!$E$2:$E$9999,Veda!$C$1),0)*1000</f>
        <v>0</v>
      </c>
      <c r="H10" s="2">
        <f>MAX(SUMIFS('Globiom data'!G$2:G$9999,'Globiom data'!$A$2:$A$9999,Veda!$D10,'Globiom data'!$D$2:$D$9999,VLOOKUP(Veda!$B10,'Globiom data'!$V$21:$X$29,2,FALSE),'Globiom data'!$E$2:$E$9999,Veda!$C$1),0)*1000</f>
        <v>2.9479271687317406E-2</v>
      </c>
      <c r="I10" s="2">
        <f>MAX(SUMIFS('Globiom data'!H$2:H$9999,'Globiom data'!$A$2:$A$9999,Veda!$D10,'Globiom data'!$D$2:$D$9999,VLOOKUP(Veda!$B10,'Globiom data'!$V$21:$X$29,2,FALSE),'Globiom data'!$E$2:$E$9999,Veda!$C$1),0)*1000</f>
        <v>2.9479271687317406E-2</v>
      </c>
      <c r="J10" s="2">
        <f>MAX(SUMIFS('Globiom data'!I$2:I$9999,'Globiom data'!$A$2:$A$9999,Veda!$D10,'Globiom data'!$D$2:$D$9999,VLOOKUP(Veda!$B10,'Globiom data'!$V$21:$X$29,2,FALSE),'Globiom data'!$E$2:$E$9999,Veda!$C$1),0)*1000</f>
        <v>6.2982168953475144</v>
      </c>
      <c r="K10" s="2">
        <f>MAX(SUMIFS('Globiom data'!J$2:J$9999,'Globiom data'!$A$2:$A$9999,Veda!$D10,'Globiom data'!$D$2:$D$9999,VLOOKUP(Veda!$B10,'Globiom data'!$V$21:$X$29,2,FALSE),'Globiom data'!$E$2:$E$9999,Veda!$C$1),0)*1000</f>
        <v>15.966648918281326</v>
      </c>
      <c r="L10" s="2">
        <f>MAX(SUMIFS('Globiom data'!K$2:K$9999,'Globiom data'!$A$2:$A$9999,Veda!$D10,'Globiom data'!$D$2:$D$9999,VLOOKUP(Veda!$B10,'Globiom data'!$V$21:$X$29,2,FALSE),'Globiom data'!$E$2:$E$9999,Veda!$C$1),0)*1000</f>
        <v>20.892843842754257</v>
      </c>
      <c r="M10" s="2">
        <f>MAX(SUMIFS('Globiom data'!L$2:L$9999,'Globiom data'!$A$2:$A$9999,Veda!$D10,'Globiom data'!$D$2:$D$9999,VLOOKUP(Veda!$B10,'Globiom data'!$V$21:$X$29,2,FALSE),'Globiom data'!$E$2:$E$9999,Veda!$C$1),0)*1000</f>
        <v>15.929482239272648</v>
      </c>
      <c r="N10" s="2">
        <f>MAX(SUMIFS('Globiom data'!M$2:M$9999,'Globiom data'!$A$2:$A$9999,Veda!$D10,'Globiom data'!$D$2:$D$9999,VLOOKUP(Veda!$B10,'Globiom data'!$V$21:$X$29,2,FALSE),'Globiom data'!$E$2:$E$9999,Veda!$C$1),0)*1000</f>
        <v>27.616925388005761</v>
      </c>
      <c r="O10" s="2">
        <f>MAX(SUMIFS('Globiom data'!N$2:N$9999,'Globiom data'!$A$2:$A$9999,Veda!$D10,'Globiom data'!$D$2:$D$9999,VLOOKUP(Veda!$B10,'Globiom data'!$V$21:$X$29,2,FALSE),'Globiom data'!$E$2:$E$9999,Veda!$C$1),0)*1000</f>
        <v>39.962897217210219</v>
      </c>
      <c r="P10" s="2">
        <f>MAX(SUMIFS('Globiom data'!O$2:O$9999,'Globiom data'!$A$2:$A$9999,Veda!$D10,'Globiom data'!$D$2:$D$9999,VLOOKUP(Veda!$B10,'Globiom data'!$V$21:$X$29,2,FALSE),'Globiom data'!$E$2:$E$9999,Veda!$C$1),0)*1000</f>
        <v>47.967765803618192</v>
      </c>
      <c r="Q10" s="2">
        <f>MAX(SUMIFS('Globiom data'!P$2:P$9999,'Globiom data'!$A$2:$A$9999,Veda!$D10,'Globiom data'!$D$2:$D$9999,VLOOKUP(Veda!$B10,'Globiom data'!$V$21:$X$29,2,FALSE),'Globiom data'!$E$2:$E$9999,Veda!$C$1),0)*1000</f>
        <v>45.146798788316815</v>
      </c>
      <c r="R10">
        <v>3</v>
      </c>
      <c r="T10" t="str">
        <f t="shared" si="3"/>
        <v>MinBIOBSL-05</v>
      </c>
      <c r="U10" s="1">
        <f>'Globiom data'!AA8</f>
        <v>0.76470588235294101</v>
      </c>
      <c r="V10" s="1">
        <f>'Globiom data'!AB8</f>
        <v>2.2941176470588198</v>
      </c>
      <c r="W10" s="1">
        <f>'Globiom data'!AC8</f>
        <v>3.8235294117647101</v>
      </c>
      <c r="X10" s="1">
        <f>'Globiom data'!AD8</f>
        <v>5.3529411764705896</v>
      </c>
      <c r="Y10" s="1">
        <f>'Globiom data'!AE8</f>
        <v>6.8823529411764701</v>
      </c>
      <c r="Z10" s="1">
        <f>'Globiom data'!AF8</f>
        <v>8.4117647058823604</v>
      </c>
      <c r="AA10" s="1">
        <f>'Globiom data'!AG8</f>
        <v>9.9411764705882408</v>
      </c>
      <c r="AB10" s="1">
        <f>'Globiom data'!AH8</f>
        <v>11.4705882352941</v>
      </c>
      <c r="AC10" s="1">
        <f>'Globiom data'!AI8</f>
        <v>13</v>
      </c>
      <c r="AF10" t="str">
        <f t="shared" si="4"/>
        <v>MinBIOBSL-05</v>
      </c>
      <c r="AG10" t="str">
        <f>"Globium step - "&amp;'Globiom data'!W25</f>
        <v>Globium step - BIO13</v>
      </c>
      <c r="AH10" t="s">
        <v>62</v>
      </c>
      <c r="AI10" t="s">
        <v>63</v>
      </c>
    </row>
    <row r="11" spans="1:35" x14ac:dyDescent="0.45">
      <c r="A11" s="8">
        <v>1</v>
      </c>
      <c r="B11" s="8">
        <v>6</v>
      </c>
      <c r="D11" t="str">
        <f>VLOOKUP(A11,'Globiom data'!$S$21:$T$51,2,FALSE)</f>
        <v>Africa_north</v>
      </c>
      <c r="E11" t="str">
        <f>VLOOKUP(B11,'Globiom data'!$V$21:$X$30,3,FALSE)</f>
        <v>MinBIOBSL-06</v>
      </c>
      <c r="F11" t="s">
        <v>53</v>
      </c>
      <c r="G11" s="2">
        <f>MAX(SUMIFS('Globiom data'!F$2:F$9999,'Globiom data'!$A$2:$A$9999,Veda!$D11,'Globiom data'!$D$2:$D$9999,VLOOKUP(Veda!$B11,'Globiom data'!$V$21:$X$29,2,FALSE),'Globiom data'!$E$2:$E$9999,Veda!$C$1),0)*1000</f>
        <v>0</v>
      </c>
      <c r="H11" s="2">
        <f>MAX(SUMIFS('Globiom data'!G$2:G$9999,'Globiom data'!$A$2:$A$9999,Veda!$D11,'Globiom data'!$D$2:$D$9999,VLOOKUP(Veda!$B11,'Globiom data'!$V$21:$X$29,2,FALSE),'Globiom data'!$E$2:$E$9999,Veda!$C$1),0)*1000</f>
        <v>2.1180893835685306</v>
      </c>
      <c r="I11" s="2">
        <f>MAX(SUMIFS('Globiom data'!H$2:H$9999,'Globiom data'!$A$2:$A$9999,Veda!$D11,'Globiom data'!$D$2:$D$9999,VLOOKUP(Veda!$B11,'Globiom data'!$V$21:$X$29,2,FALSE),'Globiom data'!$E$2:$E$9999,Veda!$C$1),0)*1000</f>
        <v>2.1180893835685306</v>
      </c>
      <c r="J11" s="2">
        <f>MAX(SUMIFS('Globiom data'!I$2:I$9999,'Globiom data'!$A$2:$A$9999,Veda!$D11,'Globiom data'!$D$2:$D$9999,VLOOKUP(Veda!$B11,'Globiom data'!$V$21:$X$29,2,FALSE),'Globiom data'!$E$2:$E$9999,Veda!$C$1),0)*1000</f>
        <v>26.548700631974274</v>
      </c>
      <c r="K11" s="2">
        <f>MAX(SUMIFS('Globiom data'!J$2:J$9999,'Globiom data'!$A$2:$A$9999,Veda!$D11,'Globiom data'!$D$2:$D$9999,VLOOKUP(Veda!$B11,'Globiom data'!$V$21:$X$29,2,FALSE),'Globiom data'!$E$2:$E$9999,Veda!$C$1),0)*1000</f>
        <v>30.622980501245465</v>
      </c>
      <c r="L11" s="2">
        <f>MAX(SUMIFS('Globiom data'!K$2:K$9999,'Globiom data'!$A$2:$A$9999,Veda!$D11,'Globiom data'!$D$2:$D$9999,VLOOKUP(Veda!$B11,'Globiom data'!$V$21:$X$29,2,FALSE),'Globiom data'!$E$2:$E$9999,Veda!$C$1),0)*1000</f>
        <v>33.582617861866005</v>
      </c>
      <c r="M11" s="2">
        <f>MAX(SUMIFS('Globiom data'!L$2:L$9999,'Globiom data'!$A$2:$A$9999,Veda!$D11,'Globiom data'!$D$2:$D$9999,VLOOKUP(Veda!$B11,'Globiom data'!$V$21:$X$29,2,FALSE),'Globiom data'!$E$2:$E$9999,Veda!$C$1),0)*1000</f>
        <v>41.268060963929379</v>
      </c>
      <c r="N11" s="2">
        <f>MAX(SUMIFS('Globiom data'!M$2:M$9999,'Globiom data'!$A$2:$A$9999,Veda!$D11,'Globiom data'!$D$2:$D$9999,VLOOKUP(Veda!$B11,'Globiom data'!$V$21:$X$29,2,FALSE),'Globiom data'!$E$2:$E$9999,Veda!$C$1),0)*1000</f>
        <v>35.766441113476333</v>
      </c>
      <c r="O11" s="2">
        <f>MAX(SUMIFS('Globiom data'!N$2:N$9999,'Globiom data'!$A$2:$A$9999,Veda!$D11,'Globiom data'!$D$2:$D$9999,VLOOKUP(Veda!$B11,'Globiom data'!$V$21:$X$29,2,FALSE),'Globiom data'!$E$2:$E$9999,Veda!$C$1),0)*1000</f>
        <v>29.941547851515306</v>
      </c>
      <c r="P11" s="2">
        <f>MAX(SUMIFS('Globiom data'!O$2:O$9999,'Globiom data'!$A$2:$A$9999,Veda!$D11,'Globiom data'!$D$2:$D$9999,VLOOKUP(Veda!$B11,'Globiom data'!$V$21:$X$29,2,FALSE),'Globiom data'!$E$2:$E$9999,Veda!$C$1),0)*1000</f>
        <v>24.186213703448832</v>
      </c>
      <c r="Q11" s="2">
        <f>MAX(SUMIFS('Globiom data'!P$2:P$9999,'Globiom data'!$A$2:$A$9999,Veda!$D11,'Globiom data'!$D$2:$D$9999,VLOOKUP(Veda!$B11,'Globiom data'!$V$21:$X$29,2,FALSE),'Globiom data'!$E$2:$E$9999,Veda!$C$1),0)*1000</f>
        <v>24.703563241913326</v>
      </c>
      <c r="R11">
        <v>3</v>
      </c>
      <c r="T11" t="str">
        <f t="shared" si="3"/>
        <v>MinBIOBSL-06</v>
      </c>
      <c r="U11" s="1">
        <f>'Globiom data'!AA9</f>
        <v>1.76470588235294</v>
      </c>
      <c r="V11" s="1">
        <f>'Globiom data'!AB9</f>
        <v>5.2941176470588198</v>
      </c>
      <c r="W11" s="1">
        <f>'Globiom data'!AC9</f>
        <v>8.8235294117647101</v>
      </c>
      <c r="X11" s="1">
        <f>'Globiom data'!AD9</f>
        <v>12.352941176470599</v>
      </c>
      <c r="Y11" s="1">
        <f>'Globiom data'!AE9</f>
        <v>15.882352941176499</v>
      </c>
      <c r="Z11" s="1">
        <f>'Globiom data'!AF9</f>
        <v>19.411764705882401</v>
      </c>
      <c r="AA11" s="1">
        <f>'Globiom data'!AG9</f>
        <v>22.9411764705882</v>
      </c>
      <c r="AB11" s="1">
        <f>'Globiom data'!AH9</f>
        <v>26.470588235294102</v>
      </c>
      <c r="AC11" s="1">
        <f>'Globiom data'!AI9</f>
        <v>30</v>
      </c>
      <c r="AF11" t="str">
        <f t="shared" si="4"/>
        <v>MinBIOBSL-06</v>
      </c>
      <c r="AG11" t="str">
        <f>"Globium step - "&amp;'Globiom data'!W26</f>
        <v>Globium step - BIO30</v>
      </c>
      <c r="AH11" t="s">
        <v>62</v>
      </c>
      <c r="AI11" t="s">
        <v>63</v>
      </c>
    </row>
    <row r="12" spans="1:35" x14ac:dyDescent="0.45">
      <c r="A12" s="8">
        <v>1</v>
      </c>
      <c r="B12" s="8">
        <v>7</v>
      </c>
      <c r="D12" t="str">
        <f>VLOOKUP(A12,'Globiom data'!$S$21:$T$51,2,FALSE)</f>
        <v>Africa_north</v>
      </c>
      <c r="E12" t="str">
        <f>VLOOKUP(B12,'Globiom data'!$V$21:$X$30,3,FALSE)</f>
        <v>MinBIOBSL-07</v>
      </c>
      <c r="F12" t="s">
        <v>53</v>
      </c>
      <c r="G12" s="2">
        <f>MAX(SUMIFS('Globiom data'!F$2:F$9999,'Globiom data'!$A$2:$A$9999,Veda!$D12,'Globiom data'!$D$2:$D$9999,VLOOKUP(Veda!$B12,'Globiom data'!$V$21:$X$29,2,FALSE),'Globiom data'!$E$2:$E$9999,Veda!$C$1),0)*1000</f>
        <v>0</v>
      </c>
      <c r="H12" s="2">
        <f>MAX(SUMIFS('Globiom data'!G$2:G$9999,'Globiom data'!$A$2:$A$9999,Veda!$D12,'Globiom data'!$D$2:$D$9999,VLOOKUP(Veda!$B12,'Globiom data'!$V$21:$X$29,2,FALSE),'Globiom data'!$E$2:$E$9999,Veda!$C$1),0)*1000</f>
        <v>0</v>
      </c>
      <c r="I12" s="2">
        <f>MAX(SUMIFS('Globiom data'!H$2:H$9999,'Globiom data'!$A$2:$A$9999,Veda!$D12,'Globiom data'!$D$2:$D$9999,VLOOKUP(Veda!$B12,'Globiom data'!$V$21:$X$29,2,FALSE),'Globiom data'!$E$2:$E$9999,Veda!$C$1),0)*1000</f>
        <v>0</v>
      </c>
      <c r="J12" s="2">
        <f>MAX(SUMIFS('Globiom data'!I$2:I$9999,'Globiom data'!$A$2:$A$9999,Veda!$D12,'Globiom data'!$D$2:$D$9999,VLOOKUP(Veda!$B12,'Globiom data'!$V$21:$X$29,2,FALSE),'Globiom data'!$E$2:$E$9999,Veda!$C$1),0)*1000</f>
        <v>30.917213200809812</v>
      </c>
      <c r="K12" s="2">
        <f>MAX(SUMIFS('Globiom data'!J$2:J$9999,'Globiom data'!$A$2:$A$9999,Veda!$D12,'Globiom data'!$D$2:$D$9999,VLOOKUP(Veda!$B12,'Globiom data'!$V$21:$X$29,2,FALSE),'Globiom data'!$E$2:$E$9999,Veda!$C$1),0)*1000</f>
        <v>26.837254731893161</v>
      </c>
      <c r="L12" s="2">
        <f>MAX(SUMIFS('Globiom data'!K$2:K$9999,'Globiom data'!$A$2:$A$9999,Veda!$D12,'Globiom data'!$D$2:$D$9999,VLOOKUP(Veda!$B12,'Globiom data'!$V$21:$X$29,2,FALSE),'Globiom data'!$E$2:$E$9999,Veda!$C$1),0)*1000</f>
        <v>28.97529383958938</v>
      </c>
      <c r="M12" s="2">
        <f>MAX(SUMIFS('Globiom data'!L$2:L$9999,'Globiom data'!$A$2:$A$9999,Veda!$D12,'Globiom data'!$D$2:$D$9999,VLOOKUP(Veda!$B12,'Globiom data'!$V$21:$X$29,2,FALSE),'Globiom data'!$E$2:$E$9999,Veda!$C$1),0)*1000</f>
        <v>35.163778649491704</v>
      </c>
      <c r="N12" s="2">
        <f>MAX(SUMIFS('Globiom data'!M$2:M$9999,'Globiom data'!$A$2:$A$9999,Veda!$D12,'Globiom data'!$D$2:$D$9999,VLOOKUP(Veda!$B12,'Globiom data'!$V$21:$X$29,2,FALSE),'Globiom data'!$E$2:$E$9999,Veda!$C$1),0)*1000</f>
        <v>38.23540914435425</v>
      </c>
      <c r="O12" s="2">
        <f>MAX(SUMIFS('Globiom data'!N$2:N$9999,'Globiom data'!$A$2:$A$9999,Veda!$D12,'Globiom data'!$D$2:$D$9999,VLOOKUP(Veda!$B12,'Globiom data'!$V$21:$X$29,2,FALSE),'Globiom data'!$E$2:$E$9999,Veda!$C$1),0)*1000</f>
        <v>44.275586067998532</v>
      </c>
      <c r="P12" s="2">
        <f>MAX(SUMIFS('Globiom data'!O$2:O$9999,'Globiom data'!$A$2:$A$9999,Veda!$D12,'Globiom data'!$D$2:$D$9999,VLOOKUP(Veda!$B12,'Globiom data'!$V$21:$X$29,2,FALSE),'Globiom data'!$E$2:$E$9999,Veda!$C$1),0)*1000</f>
        <v>47.311775800957236</v>
      </c>
      <c r="Q12" s="2">
        <f>MAX(SUMIFS('Globiom data'!P$2:P$9999,'Globiom data'!$A$2:$A$9999,Veda!$D12,'Globiom data'!$D$2:$D$9999,VLOOKUP(Veda!$B12,'Globiom data'!$V$21:$X$29,2,FALSE),'Globiom data'!$E$2:$E$9999,Veda!$C$1),0)*1000</f>
        <v>44.607746470723789</v>
      </c>
      <c r="R12">
        <v>3</v>
      </c>
      <c r="T12" t="str">
        <f t="shared" si="3"/>
        <v>MinBIOBSL-07</v>
      </c>
      <c r="U12" s="1">
        <f>'Globiom data'!AA10</f>
        <v>3.52941176470588</v>
      </c>
      <c r="V12" s="1">
        <f>'Globiom data'!AB10</f>
        <v>10.588235294117601</v>
      </c>
      <c r="W12" s="1">
        <f>'Globiom data'!AC10</f>
        <v>17.647058823529399</v>
      </c>
      <c r="X12" s="1">
        <f>'Globiom data'!AD10</f>
        <v>24.705882352941199</v>
      </c>
      <c r="Y12" s="1">
        <f>'Globiom data'!AE10</f>
        <v>31.764705882352899</v>
      </c>
      <c r="Z12" s="1">
        <f>'Globiom data'!AF10</f>
        <v>38.823529411764703</v>
      </c>
      <c r="AA12" s="1">
        <f>'Globiom data'!AG10</f>
        <v>45.882352941176499</v>
      </c>
      <c r="AB12" s="1">
        <f>'Globiom data'!AH10</f>
        <v>52.941176470588204</v>
      </c>
      <c r="AC12" s="1">
        <f>'Globiom data'!AI10</f>
        <v>60</v>
      </c>
      <c r="AF12" t="str">
        <f t="shared" si="4"/>
        <v>MinBIOBSL-07</v>
      </c>
      <c r="AG12" t="str">
        <f>"Globium step - "&amp;'Globiom data'!W27</f>
        <v>Globium step - BIO60</v>
      </c>
      <c r="AH12" t="s">
        <v>62</v>
      </c>
      <c r="AI12" t="s">
        <v>63</v>
      </c>
    </row>
    <row r="13" spans="1:35" x14ac:dyDescent="0.45">
      <c r="A13" s="8">
        <f>A6+1</f>
        <v>2</v>
      </c>
      <c r="B13" s="8">
        <f>B6</f>
        <v>1</v>
      </c>
      <c r="D13" t="str">
        <f>VLOOKUP(A13,'Globiom data'!$S$21:$T$51,2,FALSE)</f>
        <v>Africa_other</v>
      </c>
      <c r="E13" t="str">
        <f>VLOOKUP(B13,'Globiom data'!$V$21:$X$30,3,FALSE)</f>
        <v>MinBIOBSL-01</v>
      </c>
      <c r="F13" t="s">
        <v>53</v>
      </c>
      <c r="G13" s="2">
        <f>MAX(SUMIFS('Globiom data'!F$2:F$9999,'Globiom data'!$A$2:$A$9999,Veda!$D13,'Globiom data'!$D$2:$D$9999,VLOOKUP(Veda!$B13,'Globiom data'!$V$21:$X$29,2,FALSE),'Globiom data'!$E$2:$E$9999,Veda!$C$1),0)*1000</f>
        <v>9140.4346214148827</v>
      </c>
      <c r="H13" s="2">
        <f>MAX(SUMIFS('Globiom data'!G$2:G$9999,'Globiom data'!$A$2:$A$9999,Veda!$D13,'Globiom data'!$D$2:$D$9999,VLOOKUP(Veda!$B13,'Globiom data'!$V$21:$X$29,2,FALSE),'Globiom data'!$E$2:$E$9999,Veda!$C$1),0)*1000</f>
        <v>10341.674917567896</v>
      </c>
      <c r="I13" s="2">
        <f>MAX(SUMIFS('Globiom data'!H$2:H$9999,'Globiom data'!$A$2:$A$9999,Veda!$D13,'Globiom data'!$D$2:$D$9999,VLOOKUP(Veda!$B13,'Globiom data'!$V$21:$X$29,2,FALSE),'Globiom data'!$E$2:$E$9999,Veda!$C$1),0)*1000</f>
        <v>10341.674917567896</v>
      </c>
      <c r="J13" s="2">
        <f>MAX(SUMIFS('Globiom data'!I$2:I$9999,'Globiom data'!$A$2:$A$9999,Veda!$D13,'Globiom data'!$D$2:$D$9999,VLOOKUP(Veda!$B13,'Globiom data'!$V$21:$X$29,2,FALSE),'Globiom data'!$E$2:$E$9999,Veda!$C$1),0)*1000</f>
        <v>11109.748742171942</v>
      </c>
      <c r="K13" s="2">
        <f>MAX(SUMIFS('Globiom data'!J$2:J$9999,'Globiom data'!$A$2:$A$9999,Veda!$D13,'Globiom data'!$D$2:$D$9999,VLOOKUP(Veda!$B13,'Globiom data'!$V$21:$X$29,2,FALSE),'Globiom data'!$E$2:$E$9999,Veda!$C$1),0)*1000</f>
        <v>11632.492730500606</v>
      </c>
      <c r="L13" s="2">
        <f>MAX(SUMIFS('Globiom data'!K$2:K$9999,'Globiom data'!$A$2:$A$9999,Veda!$D13,'Globiom data'!$D$2:$D$9999,VLOOKUP(Veda!$B13,'Globiom data'!$V$21:$X$29,2,FALSE),'Globiom data'!$E$2:$E$9999,Veda!$C$1),0)*1000</f>
        <v>11281.690006187207</v>
      </c>
      <c r="M13" s="2">
        <f>MAX(SUMIFS('Globiom data'!L$2:L$9999,'Globiom data'!$A$2:$A$9999,Veda!$D13,'Globiom data'!$D$2:$D$9999,VLOOKUP(Veda!$B13,'Globiom data'!$V$21:$X$29,2,FALSE),'Globiom data'!$E$2:$E$9999,Veda!$C$1),0)*1000</f>
        <v>9886.1694710587926</v>
      </c>
      <c r="N13" s="2">
        <f>MAX(SUMIFS('Globiom data'!M$2:M$9999,'Globiom data'!$A$2:$A$9999,Veda!$D13,'Globiom data'!$D$2:$D$9999,VLOOKUP(Veda!$B13,'Globiom data'!$V$21:$X$29,2,FALSE),'Globiom data'!$E$2:$E$9999,Veda!$C$1),0)*1000</f>
        <v>7267.7569287357728</v>
      </c>
      <c r="O13" s="2">
        <f>MAX(SUMIFS('Globiom data'!N$2:N$9999,'Globiom data'!$A$2:$A$9999,Veda!$D13,'Globiom data'!$D$2:$D$9999,VLOOKUP(Veda!$B13,'Globiom data'!$V$21:$X$29,2,FALSE),'Globiom data'!$E$2:$E$9999,Veda!$C$1),0)*1000</f>
        <v>4490.285487868563</v>
      </c>
      <c r="P13" s="2">
        <f>MAX(SUMIFS('Globiom data'!O$2:O$9999,'Globiom data'!$A$2:$A$9999,Veda!$D13,'Globiom data'!$D$2:$D$9999,VLOOKUP(Veda!$B13,'Globiom data'!$V$21:$X$29,2,FALSE),'Globiom data'!$E$2:$E$9999,Veda!$C$1),0)*1000</f>
        <v>1841.9683980774996</v>
      </c>
      <c r="Q13" s="2">
        <f>MAX(SUMIFS('Globiom data'!P$2:P$9999,'Globiom data'!$A$2:$A$9999,Veda!$D13,'Globiom data'!$D$2:$D$9999,VLOOKUP(Veda!$B13,'Globiom data'!$V$21:$X$29,2,FALSE),'Globiom data'!$E$2:$E$9999,Veda!$C$1),0)*1000</f>
        <v>1847.9075887976287</v>
      </c>
      <c r="R13">
        <v>3</v>
      </c>
    </row>
    <row r="14" spans="1:35" x14ac:dyDescent="0.45">
      <c r="A14" s="8">
        <f t="shared" ref="A14:A77" si="5">A7+1</f>
        <v>2</v>
      </c>
      <c r="B14" s="8">
        <f t="shared" ref="B14:B77" si="6">B7</f>
        <v>2</v>
      </c>
      <c r="D14" t="str">
        <f>VLOOKUP(A14,'Globiom data'!$S$21:$T$51,2,FALSE)</f>
        <v>Africa_other</v>
      </c>
      <c r="E14" t="str">
        <f>VLOOKUP(B14,'Globiom data'!$V$21:$X$30,3,FALSE)</f>
        <v>MinBIOBSL-02</v>
      </c>
      <c r="F14" t="s">
        <v>53</v>
      </c>
      <c r="G14" s="2">
        <f>MAX(SUMIFS('Globiom data'!F$2:F$9999,'Globiom data'!$A$2:$A$9999,Veda!$D14,'Globiom data'!$D$2:$D$9999,VLOOKUP(Veda!$B14,'Globiom data'!$V$21:$X$29,2,FALSE),'Globiom data'!$E$2:$E$9999,Veda!$C$1),0)*1000</f>
        <v>0</v>
      </c>
      <c r="H14" s="2">
        <f>MAX(SUMIFS('Globiom data'!G$2:G$9999,'Globiom data'!$A$2:$A$9999,Veda!$D14,'Globiom data'!$D$2:$D$9999,VLOOKUP(Veda!$B14,'Globiom data'!$V$21:$X$29,2,FALSE),'Globiom data'!$E$2:$E$9999,Veda!$C$1),0)*1000</f>
        <v>0</v>
      </c>
      <c r="I14" s="2">
        <f>MAX(SUMIFS('Globiom data'!H$2:H$9999,'Globiom data'!$A$2:$A$9999,Veda!$D14,'Globiom data'!$D$2:$D$9999,VLOOKUP(Veda!$B14,'Globiom data'!$V$21:$X$29,2,FALSE),'Globiom data'!$E$2:$E$9999,Veda!$C$1),0)*1000</f>
        <v>0</v>
      </c>
      <c r="J14" s="2">
        <f>MAX(SUMIFS('Globiom data'!I$2:I$9999,'Globiom data'!$A$2:$A$9999,Veda!$D14,'Globiom data'!$D$2:$D$9999,VLOOKUP(Veda!$B14,'Globiom data'!$V$21:$X$29,2,FALSE),'Globiom data'!$E$2:$E$9999,Veda!$C$1),0)*1000</f>
        <v>79.086536511765061</v>
      </c>
      <c r="K14" s="2">
        <f>MAX(SUMIFS('Globiom data'!J$2:J$9999,'Globiom data'!$A$2:$A$9999,Veda!$D14,'Globiom data'!$D$2:$D$9999,VLOOKUP(Veda!$B14,'Globiom data'!$V$21:$X$29,2,FALSE),'Globiom data'!$E$2:$E$9999,Veda!$C$1),0)*1000</f>
        <v>91.024810074546693</v>
      </c>
      <c r="L14" s="2">
        <f>MAX(SUMIFS('Globiom data'!K$2:K$9999,'Globiom data'!$A$2:$A$9999,Veda!$D14,'Globiom data'!$D$2:$D$9999,VLOOKUP(Veda!$B14,'Globiom data'!$V$21:$X$29,2,FALSE),'Globiom data'!$E$2:$E$9999,Veda!$C$1),0)*1000</f>
        <v>126.16897238613481</v>
      </c>
      <c r="M14" s="2">
        <f>MAX(SUMIFS('Globiom data'!L$2:L$9999,'Globiom data'!$A$2:$A$9999,Veda!$D14,'Globiom data'!$D$2:$D$9999,VLOOKUP(Veda!$B14,'Globiom data'!$V$21:$X$29,2,FALSE),'Globiom data'!$E$2:$E$9999,Veda!$C$1),0)*1000</f>
        <v>684.78658408765136</v>
      </c>
      <c r="N14" s="2">
        <f>MAX(SUMIFS('Globiom data'!M$2:M$9999,'Globiom data'!$A$2:$A$9999,Veda!$D14,'Globiom data'!$D$2:$D$9999,VLOOKUP(Veda!$B14,'Globiom data'!$V$21:$X$29,2,FALSE),'Globiom data'!$E$2:$E$9999,Veda!$C$1),0)*1000</f>
        <v>1044.6916301964952</v>
      </c>
      <c r="O14" s="2">
        <f>MAX(SUMIFS('Globiom data'!N$2:N$9999,'Globiom data'!$A$2:$A$9999,Veda!$D14,'Globiom data'!$D$2:$D$9999,VLOOKUP(Veda!$B14,'Globiom data'!$V$21:$X$29,2,FALSE),'Globiom data'!$E$2:$E$9999,Veda!$C$1),0)*1000</f>
        <v>1193.8793431137258</v>
      </c>
      <c r="P14" s="2">
        <f>MAX(SUMIFS('Globiom data'!O$2:O$9999,'Globiom data'!$A$2:$A$9999,Veda!$D14,'Globiom data'!$D$2:$D$9999,VLOOKUP(Veda!$B14,'Globiom data'!$V$21:$X$29,2,FALSE),'Globiom data'!$E$2:$E$9999,Veda!$C$1),0)*1000</f>
        <v>1869.8451195227506</v>
      </c>
      <c r="Q14" s="2">
        <f>MAX(SUMIFS('Globiom data'!P$2:P$9999,'Globiom data'!$A$2:$A$9999,Veda!$D14,'Globiom data'!$D$2:$D$9999,VLOOKUP(Veda!$B14,'Globiom data'!$V$21:$X$29,2,FALSE),'Globiom data'!$E$2:$E$9999,Veda!$C$1),0)*1000</f>
        <v>3601.4798646978634</v>
      </c>
      <c r="R14">
        <v>3</v>
      </c>
    </row>
    <row r="15" spans="1:35" x14ac:dyDescent="0.45">
      <c r="A15" s="8">
        <f t="shared" si="5"/>
        <v>2</v>
      </c>
      <c r="B15" s="8">
        <f t="shared" si="6"/>
        <v>3</v>
      </c>
      <c r="D15" t="str">
        <f>VLOOKUP(A15,'Globiom data'!$S$21:$T$51,2,FALSE)</f>
        <v>Africa_other</v>
      </c>
      <c r="E15" t="str">
        <f>VLOOKUP(B15,'Globiom data'!$V$21:$X$30,3,FALSE)</f>
        <v>MinBIOBSL-03</v>
      </c>
      <c r="F15" t="s">
        <v>53</v>
      </c>
      <c r="G15" s="2">
        <f>MAX(SUMIFS('Globiom data'!F$2:F$9999,'Globiom data'!$A$2:$A$9999,Veda!$D15,'Globiom data'!$D$2:$D$9999,VLOOKUP(Veda!$B15,'Globiom data'!$V$21:$X$29,2,FALSE),'Globiom data'!$E$2:$E$9999,Veda!$C$1),0)*1000</f>
        <v>0</v>
      </c>
      <c r="H15" s="2">
        <f>MAX(SUMIFS('Globiom data'!G$2:G$9999,'Globiom data'!$A$2:$A$9999,Veda!$D15,'Globiom data'!$D$2:$D$9999,VLOOKUP(Veda!$B15,'Globiom data'!$V$21:$X$29,2,FALSE),'Globiom data'!$E$2:$E$9999,Veda!$C$1),0)*1000</f>
        <v>8.1481738606448098E-2</v>
      </c>
      <c r="I15" s="2">
        <f>MAX(SUMIFS('Globiom data'!H$2:H$9999,'Globiom data'!$A$2:$A$9999,Veda!$D15,'Globiom data'!$D$2:$D$9999,VLOOKUP(Veda!$B15,'Globiom data'!$V$21:$X$29,2,FALSE),'Globiom data'!$E$2:$E$9999,Veda!$C$1),0)*1000</f>
        <v>8.1481738606448098E-2</v>
      </c>
      <c r="J15" s="2">
        <f>MAX(SUMIFS('Globiom data'!I$2:I$9999,'Globiom data'!$A$2:$A$9999,Veda!$D15,'Globiom data'!$D$2:$D$9999,VLOOKUP(Veda!$B15,'Globiom data'!$V$21:$X$29,2,FALSE),'Globiom data'!$E$2:$E$9999,Veda!$C$1),0)*1000</f>
        <v>10.459267070096383</v>
      </c>
      <c r="K15" s="2">
        <f>MAX(SUMIFS('Globiom data'!J$2:J$9999,'Globiom data'!$A$2:$A$9999,Veda!$D15,'Globiom data'!$D$2:$D$9999,VLOOKUP(Veda!$B15,'Globiom data'!$V$21:$X$29,2,FALSE),'Globiom data'!$E$2:$E$9999,Veda!$C$1),0)*1000</f>
        <v>152.38377955510191</v>
      </c>
      <c r="L15" s="2">
        <f>MAX(SUMIFS('Globiom data'!K$2:K$9999,'Globiom data'!$A$2:$A$9999,Veda!$D15,'Globiom data'!$D$2:$D$9999,VLOOKUP(Veda!$B15,'Globiom data'!$V$21:$X$29,2,FALSE),'Globiom data'!$E$2:$E$9999,Veda!$C$1),0)*1000</f>
        <v>281.67464961173471</v>
      </c>
      <c r="M15" s="2">
        <f>MAX(SUMIFS('Globiom data'!L$2:L$9999,'Globiom data'!$A$2:$A$9999,Veda!$D15,'Globiom data'!$D$2:$D$9999,VLOOKUP(Veda!$B15,'Globiom data'!$V$21:$X$29,2,FALSE),'Globiom data'!$E$2:$E$9999,Veda!$C$1),0)*1000</f>
        <v>599.11814431126254</v>
      </c>
      <c r="N15" s="2">
        <f>MAX(SUMIFS('Globiom data'!M$2:M$9999,'Globiom data'!$A$2:$A$9999,Veda!$D15,'Globiom data'!$D$2:$D$9999,VLOOKUP(Veda!$B15,'Globiom data'!$V$21:$X$29,2,FALSE),'Globiom data'!$E$2:$E$9999,Veda!$C$1),0)*1000</f>
        <v>3916.3766267347364</v>
      </c>
      <c r="O15" s="2">
        <f>MAX(SUMIFS('Globiom data'!N$2:N$9999,'Globiom data'!$A$2:$A$9999,Veda!$D15,'Globiom data'!$D$2:$D$9999,VLOOKUP(Veda!$B15,'Globiom data'!$V$21:$X$29,2,FALSE),'Globiom data'!$E$2:$E$9999,Veda!$C$1),0)*1000</f>
        <v>8578.9782793528957</v>
      </c>
      <c r="P15" s="2">
        <f>MAX(SUMIFS('Globiom data'!O$2:O$9999,'Globiom data'!$A$2:$A$9999,Veda!$D15,'Globiom data'!$D$2:$D$9999,VLOOKUP(Veda!$B15,'Globiom data'!$V$21:$X$29,2,FALSE),'Globiom data'!$E$2:$E$9999,Veda!$C$1),0)*1000</f>
        <v>9581.9890986406535</v>
      </c>
      <c r="Q15" s="2">
        <f>MAX(SUMIFS('Globiom data'!P$2:P$9999,'Globiom data'!$A$2:$A$9999,Veda!$D15,'Globiom data'!$D$2:$D$9999,VLOOKUP(Veda!$B15,'Globiom data'!$V$21:$X$29,2,FALSE),'Globiom data'!$E$2:$E$9999,Veda!$C$1),0)*1000</f>
        <v>9132.6584914170144</v>
      </c>
      <c r="R15">
        <v>3</v>
      </c>
    </row>
    <row r="16" spans="1:35" x14ac:dyDescent="0.45">
      <c r="A16" s="8">
        <f t="shared" si="5"/>
        <v>2</v>
      </c>
      <c r="B16" s="8">
        <f t="shared" si="6"/>
        <v>4</v>
      </c>
      <c r="D16" t="str">
        <f>VLOOKUP(A16,'Globiom data'!$S$21:$T$51,2,FALSE)</f>
        <v>Africa_other</v>
      </c>
      <c r="E16" t="str">
        <f>VLOOKUP(B16,'Globiom data'!$V$21:$X$30,3,FALSE)</f>
        <v>MinBIOBSL-04</v>
      </c>
      <c r="F16" t="s">
        <v>53</v>
      </c>
      <c r="G16" s="2">
        <f>MAX(SUMIFS('Globiom data'!F$2:F$9999,'Globiom data'!$A$2:$A$9999,Veda!$D16,'Globiom data'!$D$2:$D$9999,VLOOKUP(Veda!$B16,'Globiom data'!$V$21:$X$29,2,FALSE),'Globiom data'!$E$2:$E$9999,Veda!$C$1),0)*1000</f>
        <v>0</v>
      </c>
      <c r="H16" s="2">
        <f>MAX(SUMIFS('Globiom data'!G$2:G$9999,'Globiom data'!$A$2:$A$9999,Veda!$D16,'Globiom data'!$D$2:$D$9999,VLOOKUP(Veda!$B16,'Globiom data'!$V$21:$X$29,2,FALSE),'Globiom data'!$E$2:$E$9999,Veda!$C$1),0)*1000</f>
        <v>0</v>
      </c>
      <c r="I16" s="2">
        <f>MAX(SUMIFS('Globiom data'!H$2:H$9999,'Globiom data'!$A$2:$A$9999,Veda!$D16,'Globiom data'!$D$2:$D$9999,VLOOKUP(Veda!$B16,'Globiom data'!$V$21:$X$29,2,FALSE),'Globiom data'!$E$2:$E$9999,Veda!$C$1),0)*1000</f>
        <v>0</v>
      </c>
      <c r="J16" s="2">
        <f>MAX(SUMIFS('Globiom data'!I$2:I$9999,'Globiom data'!$A$2:$A$9999,Veda!$D16,'Globiom data'!$D$2:$D$9999,VLOOKUP(Veda!$B16,'Globiom data'!$V$21:$X$29,2,FALSE),'Globiom data'!$E$2:$E$9999,Veda!$C$1),0)*1000</f>
        <v>101.70668164913452</v>
      </c>
      <c r="K16" s="2">
        <f>MAX(SUMIFS('Globiom data'!J$2:J$9999,'Globiom data'!$A$2:$A$9999,Veda!$D16,'Globiom data'!$D$2:$D$9999,VLOOKUP(Veda!$B16,'Globiom data'!$V$21:$X$29,2,FALSE),'Globiom data'!$E$2:$E$9999,Veda!$C$1),0)*1000</f>
        <v>109.99613822323539</v>
      </c>
      <c r="L16" s="2">
        <f>MAX(SUMIFS('Globiom data'!K$2:K$9999,'Globiom data'!$A$2:$A$9999,Veda!$D16,'Globiom data'!$D$2:$D$9999,VLOOKUP(Veda!$B16,'Globiom data'!$V$21:$X$29,2,FALSE),'Globiom data'!$E$2:$E$9999,Veda!$C$1),0)*1000</f>
        <v>2541.6608685591927</v>
      </c>
      <c r="M16" s="2">
        <f>MAX(SUMIFS('Globiom data'!L$2:L$9999,'Globiom data'!$A$2:$A$9999,Veda!$D16,'Globiom data'!$D$2:$D$9999,VLOOKUP(Veda!$B16,'Globiom data'!$V$21:$X$29,2,FALSE),'Globiom data'!$E$2:$E$9999,Veda!$C$1),0)*1000</f>
        <v>6537.8461360720066</v>
      </c>
      <c r="N16" s="2">
        <f>MAX(SUMIFS('Globiom data'!M$2:M$9999,'Globiom data'!$A$2:$A$9999,Veda!$D16,'Globiom data'!$D$2:$D$9999,VLOOKUP(Veda!$B16,'Globiom data'!$V$21:$X$29,2,FALSE),'Globiom data'!$E$2:$E$9999,Veda!$C$1),0)*1000</f>
        <v>9717.6303791252958</v>
      </c>
      <c r="O16" s="2">
        <f>MAX(SUMIFS('Globiom data'!N$2:N$9999,'Globiom data'!$A$2:$A$9999,Veda!$D16,'Globiom data'!$D$2:$D$9999,VLOOKUP(Veda!$B16,'Globiom data'!$V$21:$X$29,2,FALSE),'Globiom data'!$E$2:$E$9999,Veda!$C$1),0)*1000</f>
        <v>9657.6410789315032</v>
      </c>
      <c r="P16" s="2">
        <f>MAX(SUMIFS('Globiom data'!O$2:O$9999,'Globiom data'!$A$2:$A$9999,Veda!$D16,'Globiom data'!$D$2:$D$9999,VLOOKUP(Veda!$B16,'Globiom data'!$V$21:$X$29,2,FALSE),'Globiom data'!$E$2:$E$9999,Veda!$C$1),0)*1000</f>
        <v>11286.780261890606</v>
      </c>
      <c r="Q16" s="2">
        <f>MAX(SUMIFS('Globiom data'!P$2:P$9999,'Globiom data'!$A$2:$A$9999,Veda!$D16,'Globiom data'!$D$2:$D$9999,VLOOKUP(Veda!$B16,'Globiom data'!$V$21:$X$29,2,FALSE),'Globiom data'!$E$2:$E$9999,Veda!$C$1),0)*1000</f>
        <v>12113.000867792431</v>
      </c>
      <c r="R16">
        <v>3</v>
      </c>
    </row>
    <row r="17" spans="1:18" x14ac:dyDescent="0.45">
      <c r="A17" s="8">
        <f t="shared" si="5"/>
        <v>2</v>
      </c>
      <c r="B17" s="8">
        <f t="shared" si="6"/>
        <v>5</v>
      </c>
      <c r="D17" t="str">
        <f>VLOOKUP(A17,'Globiom data'!$S$21:$T$51,2,FALSE)</f>
        <v>Africa_other</v>
      </c>
      <c r="E17" t="str">
        <f>VLOOKUP(B17,'Globiom data'!$V$21:$X$30,3,FALSE)</f>
        <v>MinBIOBSL-05</v>
      </c>
      <c r="F17" t="s">
        <v>53</v>
      </c>
      <c r="G17" s="2">
        <f>MAX(SUMIFS('Globiom data'!F$2:F$9999,'Globiom data'!$A$2:$A$9999,Veda!$D17,'Globiom data'!$D$2:$D$9999,VLOOKUP(Veda!$B17,'Globiom data'!$V$21:$X$29,2,FALSE),'Globiom data'!$E$2:$E$9999,Veda!$C$1),0)*1000</f>
        <v>0</v>
      </c>
      <c r="H17" s="2">
        <f>MAX(SUMIFS('Globiom data'!G$2:G$9999,'Globiom data'!$A$2:$A$9999,Veda!$D17,'Globiom data'!$D$2:$D$9999,VLOOKUP(Veda!$B17,'Globiom data'!$V$21:$X$29,2,FALSE),'Globiom data'!$E$2:$E$9999,Veda!$C$1),0)*1000</f>
        <v>1.3388163562383133</v>
      </c>
      <c r="I17" s="2">
        <f>MAX(SUMIFS('Globiom data'!H$2:H$9999,'Globiom data'!$A$2:$A$9999,Veda!$D17,'Globiom data'!$D$2:$D$9999,VLOOKUP(Veda!$B17,'Globiom data'!$V$21:$X$29,2,FALSE),'Globiom data'!$E$2:$E$9999,Veda!$C$1),0)*1000</f>
        <v>1.3388163562383133</v>
      </c>
      <c r="J17" s="2">
        <f>MAX(SUMIFS('Globiom data'!I$2:I$9999,'Globiom data'!$A$2:$A$9999,Veda!$D17,'Globiom data'!$D$2:$D$9999,VLOOKUP(Veda!$B17,'Globiom data'!$V$21:$X$29,2,FALSE),'Globiom data'!$E$2:$E$9999,Veda!$C$1),0)*1000</f>
        <v>80.165841687494549</v>
      </c>
      <c r="K17" s="2">
        <f>MAX(SUMIFS('Globiom data'!J$2:J$9999,'Globiom data'!$A$2:$A$9999,Veda!$D17,'Globiom data'!$D$2:$D$9999,VLOOKUP(Veda!$B17,'Globiom data'!$V$21:$X$29,2,FALSE),'Globiom data'!$E$2:$E$9999,Veda!$C$1),0)*1000</f>
        <v>3870.9522567320978</v>
      </c>
      <c r="L17" s="2">
        <f>MAX(SUMIFS('Globiom data'!K$2:K$9999,'Globiom data'!$A$2:$A$9999,Veda!$D17,'Globiom data'!$D$2:$D$9999,VLOOKUP(Veda!$B17,'Globiom data'!$V$21:$X$29,2,FALSE),'Globiom data'!$E$2:$E$9999,Veda!$C$1),0)*1000</f>
        <v>9895.1425304765944</v>
      </c>
      <c r="M17" s="2">
        <f>MAX(SUMIFS('Globiom data'!L$2:L$9999,'Globiom data'!$A$2:$A$9999,Veda!$D17,'Globiom data'!$D$2:$D$9999,VLOOKUP(Veda!$B17,'Globiom data'!$V$21:$X$29,2,FALSE),'Globiom data'!$E$2:$E$9999,Veda!$C$1),0)*1000</f>
        <v>12272.136705249932</v>
      </c>
      <c r="N17" s="2">
        <f>MAX(SUMIFS('Globiom data'!M$2:M$9999,'Globiom data'!$A$2:$A$9999,Veda!$D17,'Globiom data'!$D$2:$D$9999,VLOOKUP(Veda!$B17,'Globiom data'!$V$21:$X$29,2,FALSE),'Globiom data'!$E$2:$E$9999,Veda!$C$1),0)*1000</f>
        <v>11651.065949878595</v>
      </c>
      <c r="O17" s="2">
        <f>MAX(SUMIFS('Globiom data'!N$2:N$9999,'Globiom data'!$A$2:$A$9999,Veda!$D17,'Globiom data'!$D$2:$D$9999,VLOOKUP(Veda!$B17,'Globiom data'!$V$21:$X$29,2,FALSE),'Globiom data'!$E$2:$E$9999,Veda!$C$1),0)*1000</f>
        <v>11541.627277440946</v>
      </c>
      <c r="P17" s="2">
        <f>MAX(SUMIFS('Globiom data'!O$2:O$9999,'Globiom data'!$A$2:$A$9999,Veda!$D17,'Globiom data'!$D$2:$D$9999,VLOOKUP(Veda!$B17,'Globiom data'!$V$21:$X$29,2,FALSE),'Globiom data'!$E$2:$E$9999,Veda!$C$1),0)*1000</f>
        <v>9461.972085745545</v>
      </c>
      <c r="Q17" s="2">
        <f>MAX(SUMIFS('Globiom data'!P$2:P$9999,'Globiom data'!$A$2:$A$9999,Veda!$D17,'Globiom data'!$D$2:$D$9999,VLOOKUP(Veda!$B17,'Globiom data'!$V$21:$X$29,2,FALSE),'Globiom data'!$E$2:$E$9999,Veda!$C$1),0)*1000</f>
        <v>6350.9140690799695</v>
      </c>
      <c r="R17">
        <v>3</v>
      </c>
    </row>
    <row r="18" spans="1:18" x14ac:dyDescent="0.45">
      <c r="A18" s="8">
        <f t="shared" si="5"/>
        <v>2</v>
      </c>
      <c r="B18" s="8">
        <f t="shared" si="6"/>
        <v>6</v>
      </c>
      <c r="D18" t="str">
        <f>VLOOKUP(A18,'Globiom data'!$S$21:$T$51,2,FALSE)</f>
        <v>Africa_other</v>
      </c>
      <c r="E18" t="str">
        <f>VLOOKUP(B18,'Globiom data'!$V$21:$X$30,3,FALSE)</f>
        <v>MinBIOBSL-06</v>
      </c>
      <c r="F18" t="s">
        <v>53</v>
      </c>
      <c r="G18" s="2">
        <f>MAX(SUMIFS('Globiom data'!F$2:F$9999,'Globiom data'!$A$2:$A$9999,Veda!$D18,'Globiom data'!$D$2:$D$9999,VLOOKUP(Veda!$B18,'Globiom data'!$V$21:$X$29,2,FALSE),'Globiom data'!$E$2:$E$9999,Veda!$C$1),0)*1000</f>
        <v>0</v>
      </c>
      <c r="H18" s="2">
        <f>MAX(SUMIFS('Globiom data'!G$2:G$9999,'Globiom data'!$A$2:$A$9999,Veda!$D18,'Globiom data'!$D$2:$D$9999,VLOOKUP(Veda!$B18,'Globiom data'!$V$21:$X$29,2,FALSE),'Globiom data'!$E$2:$E$9999,Veda!$C$1),0)*1000</f>
        <v>120.43080548871227</v>
      </c>
      <c r="I18" s="2">
        <f>MAX(SUMIFS('Globiom data'!H$2:H$9999,'Globiom data'!$A$2:$A$9999,Veda!$D18,'Globiom data'!$D$2:$D$9999,VLOOKUP(Veda!$B18,'Globiom data'!$V$21:$X$29,2,FALSE),'Globiom data'!$E$2:$E$9999,Veda!$C$1),0)*1000</f>
        <v>120.43080548871227</v>
      </c>
      <c r="J18" s="2">
        <f>MAX(SUMIFS('Globiom data'!I$2:I$9999,'Globiom data'!$A$2:$A$9999,Veda!$D18,'Globiom data'!$D$2:$D$9999,VLOOKUP(Veda!$B18,'Globiom data'!$V$21:$X$29,2,FALSE),'Globiom data'!$E$2:$E$9999,Veda!$C$1),0)*1000</f>
        <v>9016.5249701231896</v>
      </c>
      <c r="K18" s="2">
        <f>MAX(SUMIFS('Globiom data'!J$2:J$9999,'Globiom data'!$A$2:$A$9999,Veda!$D18,'Globiom data'!$D$2:$D$9999,VLOOKUP(Veda!$B18,'Globiom data'!$V$21:$X$29,2,FALSE),'Globiom data'!$E$2:$E$9999,Veda!$C$1),0)*1000</f>
        <v>16964.523541799048</v>
      </c>
      <c r="L18" s="2">
        <f>MAX(SUMIFS('Globiom data'!K$2:K$9999,'Globiom data'!$A$2:$A$9999,Veda!$D18,'Globiom data'!$D$2:$D$9999,VLOOKUP(Veda!$B18,'Globiom data'!$V$21:$X$29,2,FALSE),'Globiom data'!$E$2:$E$9999,Veda!$C$1),0)*1000</f>
        <v>17018.20062237278</v>
      </c>
      <c r="M18" s="2">
        <f>MAX(SUMIFS('Globiom data'!L$2:L$9999,'Globiom data'!$A$2:$A$9999,Veda!$D18,'Globiom data'!$D$2:$D$9999,VLOOKUP(Veda!$B18,'Globiom data'!$V$21:$X$29,2,FALSE),'Globiom data'!$E$2:$E$9999,Veda!$C$1),0)*1000</f>
        <v>14926.878286779594</v>
      </c>
      <c r="N18" s="2">
        <f>MAX(SUMIFS('Globiom data'!M$2:M$9999,'Globiom data'!$A$2:$A$9999,Veda!$D18,'Globiom data'!$D$2:$D$9999,VLOOKUP(Veda!$B18,'Globiom data'!$V$21:$X$29,2,FALSE),'Globiom data'!$E$2:$E$9999,Veda!$C$1),0)*1000</f>
        <v>10380.590441042328</v>
      </c>
      <c r="O18" s="2">
        <f>MAX(SUMIFS('Globiom data'!N$2:N$9999,'Globiom data'!$A$2:$A$9999,Veda!$D18,'Globiom data'!$D$2:$D$9999,VLOOKUP(Veda!$B18,'Globiom data'!$V$21:$X$29,2,FALSE),'Globiom data'!$E$2:$E$9999,Veda!$C$1),0)*1000</f>
        <v>6725.3417991828464</v>
      </c>
      <c r="P18" s="2">
        <f>MAX(SUMIFS('Globiom data'!O$2:O$9999,'Globiom data'!$A$2:$A$9999,Veda!$D18,'Globiom data'!$D$2:$D$9999,VLOOKUP(Veda!$B18,'Globiom data'!$V$21:$X$29,2,FALSE),'Globiom data'!$E$2:$E$9999,Veda!$C$1),0)*1000</f>
        <v>4995.4494413572338</v>
      </c>
      <c r="Q18" s="2">
        <f>MAX(SUMIFS('Globiom data'!P$2:P$9999,'Globiom data'!$A$2:$A$9999,Veda!$D18,'Globiom data'!$D$2:$D$9999,VLOOKUP(Veda!$B18,'Globiom data'!$V$21:$X$29,2,FALSE),'Globiom data'!$E$2:$E$9999,Veda!$C$1),0)*1000</f>
        <v>4906.4689825690193</v>
      </c>
      <c r="R18">
        <v>3</v>
      </c>
    </row>
    <row r="19" spans="1:18" x14ac:dyDescent="0.45">
      <c r="A19" s="8">
        <f t="shared" si="5"/>
        <v>2</v>
      </c>
      <c r="B19" s="8">
        <f t="shared" si="6"/>
        <v>7</v>
      </c>
      <c r="D19" t="str">
        <f>VLOOKUP(A19,'Globiom data'!$S$21:$T$51,2,FALSE)</f>
        <v>Africa_other</v>
      </c>
      <c r="E19" t="str">
        <f>VLOOKUP(B19,'Globiom data'!$V$21:$X$30,3,FALSE)</f>
        <v>MinBIOBSL-07</v>
      </c>
      <c r="F19" t="s">
        <v>53</v>
      </c>
      <c r="G19" s="2">
        <f>MAX(SUMIFS('Globiom data'!F$2:F$9999,'Globiom data'!$A$2:$A$9999,Veda!$D19,'Globiom data'!$D$2:$D$9999,VLOOKUP(Veda!$B19,'Globiom data'!$V$21:$X$29,2,FALSE),'Globiom data'!$E$2:$E$9999,Veda!$C$1),0)*1000</f>
        <v>0</v>
      </c>
      <c r="H19" s="2">
        <f>MAX(SUMIFS('Globiom data'!G$2:G$9999,'Globiom data'!$A$2:$A$9999,Veda!$D19,'Globiom data'!$D$2:$D$9999,VLOOKUP(Veda!$B19,'Globiom data'!$V$21:$X$29,2,FALSE),'Globiom data'!$E$2:$E$9999,Veda!$C$1),0)*1000</f>
        <v>2963.568301166169</v>
      </c>
      <c r="I19" s="2">
        <f>MAX(SUMIFS('Globiom data'!H$2:H$9999,'Globiom data'!$A$2:$A$9999,Veda!$D19,'Globiom data'!$D$2:$D$9999,VLOOKUP(Veda!$B19,'Globiom data'!$V$21:$X$29,2,FALSE),'Globiom data'!$E$2:$E$9999,Veda!$C$1),0)*1000</f>
        <v>2963.568301166169</v>
      </c>
      <c r="J19" s="2">
        <f>MAX(SUMIFS('Globiom data'!I$2:I$9999,'Globiom data'!$A$2:$A$9999,Veda!$D19,'Globiom data'!$D$2:$D$9999,VLOOKUP(Veda!$B19,'Globiom data'!$V$21:$X$29,2,FALSE),'Globiom data'!$E$2:$E$9999,Veda!$C$1),0)*1000</f>
        <v>12952.092128268752</v>
      </c>
      <c r="K19" s="2">
        <f>MAX(SUMIFS('Globiom data'!J$2:J$9999,'Globiom data'!$A$2:$A$9999,Veda!$D19,'Globiom data'!$D$2:$D$9999,VLOOKUP(Veda!$B19,'Globiom data'!$V$21:$X$29,2,FALSE),'Globiom data'!$E$2:$E$9999,Veda!$C$1),0)*1000</f>
        <v>12958.066603927615</v>
      </c>
      <c r="L19" s="2">
        <f>MAX(SUMIFS('Globiom data'!K$2:K$9999,'Globiom data'!$A$2:$A$9999,Veda!$D19,'Globiom data'!$D$2:$D$9999,VLOOKUP(Veda!$B19,'Globiom data'!$V$21:$X$29,2,FALSE),'Globiom data'!$E$2:$E$9999,Veda!$C$1),0)*1000</f>
        <v>7856.3966135623505</v>
      </c>
      <c r="M19" s="2">
        <f>MAX(SUMIFS('Globiom data'!L$2:L$9999,'Globiom data'!$A$2:$A$9999,Veda!$D19,'Globiom data'!$D$2:$D$9999,VLOOKUP(Veda!$B19,'Globiom data'!$V$21:$X$29,2,FALSE),'Globiom data'!$E$2:$E$9999,Veda!$C$1),0)*1000</f>
        <v>4718.193828735135</v>
      </c>
      <c r="N19" s="2">
        <f>MAX(SUMIFS('Globiom data'!M$2:M$9999,'Globiom data'!$A$2:$A$9999,Veda!$D19,'Globiom data'!$D$2:$D$9999,VLOOKUP(Veda!$B19,'Globiom data'!$V$21:$X$29,2,FALSE),'Globiom data'!$E$2:$E$9999,Veda!$C$1),0)*1000</f>
        <v>4418.3807332886026</v>
      </c>
      <c r="O19" s="2">
        <f>MAX(SUMIFS('Globiom data'!N$2:N$9999,'Globiom data'!$A$2:$A$9999,Veda!$D19,'Globiom data'!$D$2:$D$9999,VLOOKUP(Veda!$B19,'Globiom data'!$V$21:$X$29,2,FALSE),'Globiom data'!$E$2:$E$9999,Veda!$C$1),0)*1000</f>
        <v>4509.1663124933857</v>
      </c>
      <c r="P19" s="2">
        <f>MAX(SUMIFS('Globiom data'!O$2:O$9999,'Globiom data'!$A$2:$A$9999,Veda!$D19,'Globiom data'!$D$2:$D$9999,VLOOKUP(Veda!$B19,'Globiom data'!$V$21:$X$29,2,FALSE),'Globiom data'!$E$2:$E$9999,Veda!$C$1),0)*1000</f>
        <v>4551.6088949261521</v>
      </c>
      <c r="Q19" s="2">
        <f>MAX(SUMIFS('Globiom data'!P$2:P$9999,'Globiom data'!$A$2:$A$9999,Veda!$D19,'Globiom data'!$D$2:$D$9999,VLOOKUP(Veda!$B19,'Globiom data'!$V$21:$X$29,2,FALSE),'Globiom data'!$E$2:$E$9999,Veda!$C$1),0)*1000</f>
        <v>4396.7353643984006</v>
      </c>
      <c r="R19">
        <v>3</v>
      </c>
    </row>
    <row r="20" spans="1:18" x14ac:dyDescent="0.45">
      <c r="A20" s="8">
        <f t="shared" si="5"/>
        <v>3</v>
      </c>
      <c r="B20" s="8">
        <f t="shared" si="6"/>
        <v>1</v>
      </c>
      <c r="D20" t="str">
        <f>VLOOKUP(A20,'Globiom data'!$S$21:$T$51,2,FALSE)</f>
        <v>Arg-Chi</v>
      </c>
      <c r="E20" t="str">
        <f>VLOOKUP(B20,'Globiom data'!$V$21:$X$30,3,FALSE)</f>
        <v>MinBIOBSL-01</v>
      </c>
      <c r="F20" t="s">
        <v>53</v>
      </c>
      <c r="G20" s="2">
        <f>MAX(SUMIFS('Globiom data'!F$2:F$9999,'Globiom data'!$A$2:$A$9999,Veda!$D20,'Globiom data'!$D$2:$D$9999,VLOOKUP(Veda!$B20,'Globiom data'!$V$21:$X$29,2,FALSE),'Globiom data'!$E$2:$E$9999,Veda!$C$1),0)*1000</f>
        <v>446.3073659125821</v>
      </c>
      <c r="H20" s="2">
        <f>MAX(SUMIFS('Globiom data'!G$2:G$9999,'Globiom data'!$A$2:$A$9999,Veda!$D20,'Globiom data'!$D$2:$D$9999,VLOOKUP(Veda!$B20,'Globiom data'!$V$21:$X$29,2,FALSE),'Globiom data'!$E$2:$E$9999,Veda!$C$1),0)*1000</f>
        <v>404.37696021982674</v>
      </c>
      <c r="I20" s="2">
        <f>MAX(SUMIFS('Globiom data'!H$2:H$9999,'Globiom data'!$A$2:$A$9999,Veda!$D20,'Globiom data'!$D$2:$D$9999,VLOOKUP(Veda!$B20,'Globiom data'!$V$21:$X$29,2,FALSE),'Globiom data'!$E$2:$E$9999,Veda!$C$1),0)*1000</f>
        <v>404.37696021982674</v>
      </c>
      <c r="J20" s="2">
        <f>MAX(SUMIFS('Globiom data'!I$2:I$9999,'Globiom data'!$A$2:$A$9999,Veda!$D20,'Globiom data'!$D$2:$D$9999,VLOOKUP(Veda!$B20,'Globiom data'!$V$21:$X$29,2,FALSE),'Globiom data'!$E$2:$E$9999,Veda!$C$1),0)*1000</f>
        <v>382.33758011280651</v>
      </c>
      <c r="K20" s="2">
        <f>MAX(SUMIFS('Globiom data'!J$2:J$9999,'Globiom data'!$A$2:$A$9999,Veda!$D20,'Globiom data'!$D$2:$D$9999,VLOOKUP(Veda!$B20,'Globiom data'!$V$21:$X$29,2,FALSE),'Globiom data'!$E$2:$E$9999,Veda!$C$1),0)*1000</f>
        <v>371.71973757841965</v>
      </c>
      <c r="L20" s="2">
        <f>MAX(SUMIFS('Globiom data'!K$2:K$9999,'Globiom data'!$A$2:$A$9999,Veda!$D20,'Globiom data'!$D$2:$D$9999,VLOOKUP(Veda!$B20,'Globiom data'!$V$21:$X$29,2,FALSE),'Globiom data'!$E$2:$E$9999,Veda!$C$1),0)*1000</f>
        <v>357.31198329936876</v>
      </c>
      <c r="M20" s="2">
        <f>MAX(SUMIFS('Globiom data'!L$2:L$9999,'Globiom data'!$A$2:$A$9999,Veda!$D20,'Globiom data'!$D$2:$D$9999,VLOOKUP(Veda!$B20,'Globiom data'!$V$21:$X$29,2,FALSE),'Globiom data'!$E$2:$E$9999,Veda!$C$1),0)*1000</f>
        <v>356.8146133762836</v>
      </c>
      <c r="N20" s="2">
        <f>MAX(SUMIFS('Globiom data'!M$2:M$9999,'Globiom data'!$A$2:$A$9999,Veda!$D20,'Globiom data'!$D$2:$D$9999,VLOOKUP(Veda!$B20,'Globiom data'!$V$21:$X$29,2,FALSE),'Globiom data'!$E$2:$E$9999,Veda!$C$1),0)*1000</f>
        <v>361.19002770221732</v>
      </c>
      <c r="O20" s="2">
        <f>MAX(SUMIFS('Globiom data'!N$2:N$9999,'Globiom data'!$A$2:$A$9999,Veda!$D20,'Globiom data'!$D$2:$D$9999,VLOOKUP(Veda!$B20,'Globiom data'!$V$21:$X$29,2,FALSE),'Globiom data'!$E$2:$E$9999,Veda!$C$1),0)*1000</f>
        <v>355.02987353876603</v>
      </c>
      <c r="P20" s="2">
        <f>MAX(SUMIFS('Globiom data'!O$2:O$9999,'Globiom data'!$A$2:$A$9999,Veda!$D20,'Globiom data'!$D$2:$D$9999,VLOOKUP(Veda!$B20,'Globiom data'!$V$21:$X$29,2,FALSE),'Globiom data'!$E$2:$E$9999,Veda!$C$1),0)*1000</f>
        <v>360.9182413172868</v>
      </c>
      <c r="Q20" s="2">
        <f>MAX(SUMIFS('Globiom data'!P$2:P$9999,'Globiom data'!$A$2:$A$9999,Veda!$D20,'Globiom data'!$D$2:$D$9999,VLOOKUP(Veda!$B20,'Globiom data'!$V$21:$X$29,2,FALSE),'Globiom data'!$E$2:$E$9999,Veda!$C$1),0)*1000</f>
        <v>361.16946954510632</v>
      </c>
      <c r="R20">
        <v>3</v>
      </c>
    </row>
    <row r="21" spans="1:18" x14ac:dyDescent="0.45">
      <c r="A21" s="8">
        <f t="shared" si="5"/>
        <v>3</v>
      </c>
      <c r="B21" s="8">
        <f t="shared" si="6"/>
        <v>2</v>
      </c>
      <c r="D21" t="str">
        <f>VLOOKUP(A21,'Globiom data'!$S$21:$T$51,2,FALSE)</f>
        <v>Arg-Chi</v>
      </c>
      <c r="E21" t="str">
        <f>VLOOKUP(B21,'Globiom data'!$V$21:$X$30,3,FALSE)</f>
        <v>MinBIOBSL-02</v>
      </c>
      <c r="F21" t="s">
        <v>53</v>
      </c>
      <c r="G21" s="2">
        <f>MAX(SUMIFS('Globiom data'!F$2:F$9999,'Globiom data'!$A$2:$A$9999,Veda!$D21,'Globiom data'!$D$2:$D$9999,VLOOKUP(Veda!$B21,'Globiom data'!$V$21:$X$29,2,FALSE),'Globiom data'!$E$2:$E$9999,Veda!$C$1),0)*1000</f>
        <v>0</v>
      </c>
      <c r="H21" s="2">
        <f>MAX(SUMIFS('Globiom data'!G$2:G$9999,'Globiom data'!$A$2:$A$9999,Veda!$D21,'Globiom data'!$D$2:$D$9999,VLOOKUP(Veda!$B21,'Globiom data'!$V$21:$X$29,2,FALSE),'Globiom data'!$E$2:$E$9999,Veda!$C$1),0)*1000</f>
        <v>0.51257136653729563</v>
      </c>
      <c r="I21" s="2">
        <f>MAX(SUMIFS('Globiom data'!H$2:H$9999,'Globiom data'!$A$2:$A$9999,Veda!$D21,'Globiom data'!$D$2:$D$9999,VLOOKUP(Veda!$B21,'Globiom data'!$V$21:$X$29,2,FALSE),'Globiom data'!$E$2:$E$9999,Veda!$C$1),0)*1000</f>
        <v>0.51257136653729563</v>
      </c>
      <c r="J21" s="2">
        <f>MAX(SUMIFS('Globiom data'!I$2:I$9999,'Globiom data'!$A$2:$A$9999,Veda!$D21,'Globiom data'!$D$2:$D$9999,VLOOKUP(Veda!$B21,'Globiom data'!$V$21:$X$29,2,FALSE),'Globiom data'!$E$2:$E$9999,Veda!$C$1),0)*1000</f>
        <v>0.43818555555757382</v>
      </c>
      <c r="K21" s="2">
        <f>MAX(SUMIFS('Globiom data'!J$2:J$9999,'Globiom data'!$A$2:$A$9999,Veda!$D21,'Globiom data'!$D$2:$D$9999,VLOOKUP(Veda!$B21,'Globiom data'!$V$21:$X$29,2,FALSE),'Globiom data'!$E$2:$E$9999,Veda!$C$1),0)*1000</f>
        <v>0.11416007539336245</v>
      </c>
      <c r="L21" s="2">
        <f>MAX(SUMIFS('Globiom data'!K$2:K$9999,'Globiom data'!$A$2:$A$9999,Veda!$D21,'Globiom data'!$D$2:$D$9999,VLOOKUP(Veda!$B21,'Globiom data'!$V$21:$X$29,2,FALSE),'Globiom data'!$E$2:$E$9999,Veda!$C$1),0)*1000</f>
        <v>1.4744282526066828</v>
      </c>
      <c r="M21" s="2">
        <f>MAX(SUMIFS('Globiom data'!L$2:L$9999,'Globiom data'!$A$2:$A$9999,Veda!$D21,'Globiom data'!$D$2:$D$9999,VLOOKUP(Veda!$B21,'Globiom data'!$V$21:$X$29,2,FALSE),'Globiom data'!$E$2:$E$9999,Veda!$C$1),0)*1000</f>
        <v>23.641577065442196</v>
      </c>
      <c r="N21" s="2">
        <f>MAX(SUMIFS('Globiom data'!M$2:M$9999,'Globiom data'!$A$2:$A$9999,Veda!$D21,'Globiom data'!$D$2:$D$9999,VLOOKUP(Veda!$B21,'Globiom data'!$V$21:$X$29,2,FALSE),'Globiom data'!$E$2:$E$9999,Veda!$C$1),0)*1000</f>
        <v>40.707014534281647</v>
      </c>
      <c r="O21" s="2">
        <f>MAX(SUMIFS('Globiom data'!N$2:N$9999,'Globiom data'!$A$2:$A$9999,Veda!$D21,'Globiom data'!$D$2:$D$9999,VLOOKUP(Veda!$B21,'Globiom data'!$V$21:$X$29,2,FALSE),'Globiom data'!$E$2:$E$9999,Veda!$C$1),0)*1000</f>
        <v>67.932143430369862</v>
      </c>
      <c r="P21" s="2">
        <f>MAX(SUMIFS('Globiom data'!O$2:O$9999,'Globiom data'!$A$2:$A$9999,Veda!$D21,'Globiom data'!$D$2:$D$9999,VLOOKUP(Veda!$B21,'Globiom data'!$V$21:$X$29,2,FALSE),'Globiom data'!$E$2:$E$9999,Veda!$C$1),0)*1000</f>
        <v>81.741151338056227</v>
      </c>
      <c r="Q21" s="2">
        <f>MAX(SUMIFS('Globiom data'!P$2:P$9999,'Globiom data'!$A$2:$A$9999,Veda!$D21,'Globiom data'!$D$2:$D$9999,VLOOKUP(Veda!$B21,'Globiom data'!$V$21:$X$29,2,FALSE),'Globiom data'!$E$2:$E$9999,Veda!$C$1),0)*1000</f>
        <v>104.66391132763488</v>
      </c>
      <c r="R21">
        <v>3</v>
      </c>
    </row>
    <row r="22" spans="1:18" x14ac:dyDescent="0.45">
      <c r="A22" s="8">
        <f t="shared" si="5"/>
        <v>3</v>
      </c>
      <c r="B22" s="8">
        <f t="shared" si="6"/>
        <v>3</v>
      </c>
      <c r="D22" t="str">
        <f>VLOOKUP(A22,'Globiom data'!$S$21:$T$51,2,FALSE)</f>
        <v>Arg-Chi</v>
      </c>
      <c r="E22" t="str">
        <f>VLOOKUP(B22,'Globiom data'!$V$21:$X$30,3,FALSE)</f>
        <v>MinBIOBSL-03</v>
      </c>
      <c r="F22" t="s">
        <v>53</v>
      </c>
      <c r="G22" s="2">
        <f>MAX(SUMIFS('Globiom data'!F$2:F$9999,'Globiom data'!$A$2:$A$9999,Veda!$D22,'Globiom data'!$D$2:$D$9999,VLOOKUP(Veda!$B22,'Globiom data'!$V$21:$X$29,2,FALSE),'Globiom data'!$E$2:$E$9999,Veda!$C$1),0)*1000</f>
        <v>0</v>
      </c>
      <c r="H22" s="2">
        <f>MAX(SUMIFS('Globiom data'!G$2:G$9999,'Globiom data'!$A$2:$A$9999,Veda!$D22,'Globiom data'!$D$2:$D$9999,VLOOKUP(Veda!$B22,'Globiom data'!$V$21:$X$29,2,FALSE),'Globiom data'!$E$2:$E$9999,Veda!$C$1),0)*1000</f>
        <v>0</v>
      </c>
      <c r="I22" s="2">
        <f>MAX(SUMIFS('Globiom data'!H$2:H$9999,'Globiom data'!$A$2:$A$9999,Veda!$D22,'Globiom data'!$D$2:$D$9999,VLOOKUP(Veda!$B22,'Globiom data'!$V$21:$X$29,2,FALSE),'Globiom data'!$E$2:$E$9999,Veda!$C$1),0)*1000</f>
        <v>0</v>
      </c>
      <c r="J22" s="2">
        <f>MAX(SUMIFS('Globiom data'!I$2:I$9999,'Globiom data'!$A$2:$A$9999,Veda!$D22,'Globiom data'!$D$2:$D$9999,VLOOKUP(Veda!$B22,'Globiom data'!$V$21:$X$29,2,FALSE),'Globiom data'!$E$2:$E$9999,Veda!$C$1),0)*1000</f>
        <v>0.10801131981582988</v>
      </c>
      <c r="K22" s="2">
        <f>MAX(SUMIFS('Globiom data'!J$2:J$9999,'Globiom data'!$A$2:$A$9999,Veda!$D22,'Globiom data'!$D$2:$D$9999,VLOOKUP(Veda!$B22,'Globiom data'!$V$21:$X$29,2,FALSE),'Globiom data'!$E$2:$E$9999,Veda!$C$1),0)*1000</f>
        <v>14.09623180216383</v>
      </c>
      <c r="L22" s="2">
        <f>MAX(SUMIFS('Globiom data'!K$2:K$9999,'Globiom data'!$A$2:$A$9999,Veda!$D22,'Globiom data'!$D$2:$D$9999,VLOOKUP(Veda!$B22,'Globiom data'!$V$21:$X$29,2,FALSE),'Globiom data'!$E$2:$E$9999,Veda!$C$1),0)*1000</f>
        <v>15.873755897223761</v>
      </c>
      <c r="M22" s="2">
        <f>MAX(SUMIFS('Globiom data'!L$2:L$9999,'Globiom data'!$A$2:$A$9999,Veda!$D22,'Globiom data'!$D$2:$D$9999,VLOOKUP(Veda!$B22,'Globiom data'!$V$21:$X$29,2,FALSE),'Globiom data'!$E$2:$E$9999,Veda!$C$1),0)*1000</f>
        <v>30.441538137261617</v>
      </c>
      <c r="N22" s="2">
        <f>MAX(SUMIFS('Globiom data'!M$2:M$9999,'Globiom data'!$A$2:$A$9999,Veda!$D22,'Globiom data'!$D$2:$D$9999,VLOOKUP(Veda!$B22,'Globiom data'!$V$21:$X$29,2,FALSE),'Globiom data'!$E$2:$E$9999,Veda!$C$1),0)*1000</f>
        <v>184.26287017285782</v>
      </c>
      <c r="O22" s="2">
        <f>MAX(SUMIFS('Globiom data'!N$2:N$9999,'Globiom data'!$A$2:$A$9999,Veda!$D22,'Globiom data'!$D$2:$D$9999,VLOOKUP(Veda!$B22,'Globiom data'!$V$21:$X$29,2,FALSE),'Globiom data'!$E$2:$E$9999,Veda!$C$1),0)*1000</f>
        <v>322.10276202953963</v>
      </c>
      <c r="P22" s="2">
        <f>MAX(SUMIFS('Globiom data'!O$2:O$9999,'Globiom data'!$A$2:$A$9999,Veda!$D22,'Globiom data'!$D$2:$D$9999,VLOOKUP(Veda!$B22,'Globiom data'!$V$21:$X$29,2,FALSE),'Globiom data'!$E$2:$E$9999,Veda!$C$1),0)*1000</f>
        <v>465.27584267771351</v>
      </c>
      <c r="Q22" s="2">
        <f>MAX(SUMIFS('Globiom data'!P$2:P$9999,'Globiom data'!$A$2:$A$9999,Veda!$D22,'Globiom data'!$D$2:$D$9999,VLOOKUP(Veda!$B22,'Globiom data'!$V$21:$X$29,2,FALSE),'Globiom data'!$E$2:$E$9999,Veda!$C$1),0)*1000</f>
        <v>570.05868229080784</v>
      </c>
      <c r="R22">
        <v>3</v>
      </c>
    </row>
    <row r="23" spans="1:18" x14ac:dyDescent="0.45">
      <c r="A23" s="8">
        <f t="shared" si="5"/>
        <v>3</v>
      </c>
      <c r="B23" s="8">
        <f t="shared" si="6"/>
        <v>4</v>
      </c>
      <c r="D23" t="str">
        <f>VLOOKUP(A23,'Globiom data'!$S$21:$T$51,2,FALSE)</f>
        <v>Arg-Chi</v>
      </c>
      <c r="E23" t="str">
        <f>VLOOKUP(B23,'Globiom data'!$V$21:$X$30,3,FALSE)</f>
        <v>MinBIOBSL-04</v>
      </c>
      <c r="F23" t="s">
        <v>53</v>
      </c>
      <c r="G23" s="2">
        <f>MAX(SUMIFS('Globiom data'!F$2:F$9999,'Globiom data'!$A$2:$A$9999,Veda!$D23,'Globiom data'!$D$2:$D$9999,VLOOKUP(Veda!$B23,'Globiom data'!$V$21:$X$29,2,FALSE),'Globiom data'!$E$2:$E$9999,Veda!$C$1),0)*1000</f>
        <v>0</v>
      </c>
      <c r="H23" s="2">
        <f>MAX(SUMIFS('Globiom data'!G$2:G$9999,'Globiom data'!$A$2:$A$9999,Veda!$D23,'Globiom data'!$D$2:$D$9999,VLOOKUP(Veda!$B23,'Globiom data'!$V$21:$X$29,2,FALSE),'Globiom data'!$E$2:$E$9999,Veda!$C$1),0)*1000</f>
        <v>0</v>
      </c>
      <c r="I23" s="2">
        <f>MAX(SUMIFS('Globiom data'!H$2:H$9999,'Globiom data'!$A$2:$A$9999,Veda!$D23,'Globiom data'!$D$2:$D$9999,VLOOKUP(Veda!$B23,'Globiom data'!$V$21:$X$29,2,FALSE),'Globiom data'!$E$2:$E$9999,Veda!$C$1),0)*1000</f>
        <v>0</v>
      </c>
      <c r="J23" s="2">
        <f>MAX(SUMIFS('Globiom data'!I$2:I$9999,'Globiom data'!$A$2:$A$9999,Veda!$D23,'Globiom data'!$D$2:$D$9999,VLOOKUP(Veda!$B23,'Globiom data'!$V$21:$X$29,2,FALSE),'Globiom data'!$E$2:$E$9999,Veda!$C$1),0)*1000</f>
        <v>1.2146644539534381</v>
      </c>
      <c r="K23" s="2">
        <f>MAX(SUMIFS('Globiom data'!J$2:J$9999,'Globiom data'!$A$2:$A$9999,Veda!$D23,'Globiom data'!$D$2:$D$9999,VLOOKUP(Veda!$B23,'Globiom data'!$V$21:$X$29,2,FALSE),'Globiom data'!$E$2:$E$9999,Veda!$C$1),0)*1000</f>
        <v>2.7812948436168803</v>
      </c>
      <c r="L23" s="2">
        <f>MAX(SUMIFS('Globiom data'!K$2:K$9999,'Globiom data'!$A$2:$A$9999,Veda!$D23,'Globiom data'!$D$2:$D$9999,VLOOKUP(Veda!$B23,'Globiom data'!$V$21:$X$29,2,FALSE),'Globiom data'!$E$2:$E$9999,Veda!$C$1),0)*1000</f>
        <v>151.01457138849287</v>
      </c>
      <c r="M23" s="2">
        <f>MAX(SUMIFS('Globiom data'!L$2:L$9999,'Globiom data'!$A$2:$A$9999,Veda!$D23,'Globiom data'!$D$2:$D$9999,VLOOKUP(Veda!$B23,'Globiom data'!$V$21:$X$29,2,FALSE),'Globiom data'!$E$2:$E$9999,Veda!$C$1),0)*1000</f>
        <v>279.84815760377575</v>
      </c>
      <c r="N23" s="2">
        <f>MAX(SUMIFS('Globiom data'!M$2:M$9999,'Globiom data'!$A$2:$A$9999,Veda!$D23,'Globiom data'!$D$2:$D$9999,VLOOKUP(Veda!$B23,'Globiom data'!$V$21:$X$29,2,FALSE),'Globiom data'!$E$2:$E$9999,Veda!$C$1),0)*1000</f>
        <v>426.84041993882607</v>
      </c>
      <c r="O23" s="2">
        <f>MAX(SUMIFS('Globiom data'!N$2:N$9999,'Globiom data'!$A$2:$A$9999,Veda!$D23,'Globiom data'!$D$2:$D$9999,VLOOKUP(Veda!$B23,'Globiom data'!$V$21:$X$29,2,FALSE),'Globiom data'!$E$2:$E$9999,Veda!$C$1),0)*1000</f>
        <v>554.96727652049105</v>
      </c>
      <c r="P23" s="2">
        <f>MAX(SUMIFS('Globiom data'!O$2:O$9999,'Globiom data'!$A$2:$A$9999,Veda!$D23,'Globiom data'!$D$2:$D$9999,VLOOKUP(Veda!$B23,'Globiom data'!$V$21:$X$29,2,FALSE),'Globiom data'!$E$2:$E$9999,Veda!$C$1),0)*1000</f>
        <v>713.74840584252206</v>
      </c>
      <c r="Q23" s="2">
        <f>MAX(SUMIFS('Globiom data'!P$2:P$9999,'Globiom data'!$A$2:$A$9999,Veda!$D23,'Globiom data'!$D$2:$D$9999,VLOOKUP(Veda!$B23,'Globiom data'!$V$21:$X$29,2,FALSE),'Globiom data'!$E$2:$E$9999,Veda!$C$1),0)*1000</f>
        <v>906.43700195756003</v>
      </c>
      <c r="R23">
        <v>3</v>
      </c>
    </row>
    <row r="24" spans="1:18" x14ac:dyDescent="0.45">
      <c r="A24" s="8">
        <f t="shared" si="5"/>
        <v>3</v>
      </c>
      <c r="B24" s="8">
        <f t="shared" si="6"/>
        <v>5</v>
      </c>
      <c r="D24" t="str">
        <f>VLOOKUP(A24,'Globiom data'!$S$21:$T$51,2,FALSE)</f>
        <v>Arg-Chi</v>
      </c>
      <c r="E24" t="str">
        <f>VLOOKUP(B24,'Globiom data'!$V$21:$X$30,3,FALSE)</f>
        <v>MinBIOBSL-05</v>
      </c>
      <c r="F24" t="s">
        <v>53</v>
      </c>
      <c r="G24" s="2">
        <f>MAX(SUMIFS('Globiom data'!F$2:F$9999,'Globiom data'!$A$2:$A$9999,Veda!$D24,'Globiom data'!$D$2:$D$9999,VLOOKUP(Veda!$B24,'Globiom data'!$V$21:$X$29,2,FALSE),'Globiom data'!$E$2:$E$9999,Veda!$C$1),0)*1000</f>
        <v>0</v>
      </c>
      <c r="H24" s="2">
        <f>MAX(SUMIFS('Globiom data'!G$2:G$9999,'Globiom data'!$A$2:$A$9999,Veda!$D24,'Globiom data'!$D$2:$D$9999,VLOOKUP(Veda!$B24,'Globiom data'!$V$21:$X$29,2,FALSE),'Globiom data'!$E$2:$E$9999,Veda!$C$1),0)*1000</f>
        <v>1.4615856886163472</v>
      </c>
      <c r="I24" s="2">
        <f>MAX(SUMIFS('Globiom data'!H$2:H$9999,'Globiom data'!$A$2:$A$9999,Veda!$D24,'Globiom data'!$D$2:$D$9999,VLOOKUP(Veda!$B24,'Globiom data'!$V$21:$X$29,2,FALSE),'Globiom data'!$E$2:$E$9999,Veda!$C$1),0)*1000</f>
        <v>1.4615856886163472</v>
      </c>
      <c r="J24" s="2">
        <f>MAX(SUMIFS('Globiom data'!I$2:I$9999,'Globiom data'!$A$2:$A$9999,Veda!$D24,'Globiom data'!$D$2:$D$9999,VLOOKUP(Veda!$B24,'Globiom data'!$V$21:$X$29,2,FALSE),'Globiom data'!$E$2:$E$9999,Veda!$C$1),0)*1000</f>
        <v>11.84142326926878</v>
      </c>
      <c r="K24" s="2">
        <f>MAX(SUMIFS('Globiom data'!J$2:J$9999,'Globiom data'!$A$2:$A$9999,Veda!$D24,'Globiom data'!$D$2:$D$9999,VLOOKUP(Veda!$B24,'Globiom data'!$V$21:$X$29,2,FALSE),'Globiom data'!$E$2:$E$9999,Veda!$C$1),0)*1000</f>
        <v>173.88669407626207</v>
      </c>
      <c r="L24" s="2">
        <f>MAX(SUMIFS('Globiom data'!K$2:K$9999,'Globiom data'!$A$2:$A$9999,Veda!$D24,'Globiom data'!$D$2:$D$9999,VLOOKUP(Veda!$B24,'Globiom data'!$V$21:$X$29,2,FALSE),'Globiom data'!$E$2:$E$9999,Veda!$C$1),0)*1000</f>
        <v>362.52476606876877</v>
      </c>
      <c r="M24" s="2">
        <f>MAX(SUMIFS('Globiom data'!L$2:L$9999,'Globiom data'!$A$2:$A$9999,Veda!$D24,'Globiom data'!$D$2:$D$9999,VLOOKUP(Veda!$B24,'Globiom data'!$V$21:$X$29,2,FALSE),'Globiom data'!$E$2:$E$9999,Veda!$C$1),0)*1000</f>
        <v>635.72260780315355</v>
      </c>
      <c r="N24" s="2">
        <f>MAX(SUMIFS('Globiom data'!M$2:M$9999,'Globiom data'!$A$2:$A$9999,Veda!$D24,'Globiom data'!$D$2:$D$9999,VLOOKUP(Veda!$B24,'Globiom data'!$V$21:$X$29,2,FALSE),'Globiom data'!$E$2:$E$9999,Veda!$C$1),0)*1000</f>
        <v>863.98828748236406</v>
      </c>
      <c r="O24" s="2">
        <f>MAX(SUMIFS('Globiom data'!N$2:N$9999,'Globiom data'!$A$2:$A$9999,Veda!$D24,'Globiom data'!$D$2:$D$9999,VLOOKUP(Veda!$B24,'Globiom data'!$V$21:$X$29,2,FALSE),'Globiom data'!$E$2:$E$9999,Veda!$C$1),0)*1000</f>
        <v>1163.2874723022812</v>
      </c>
      <c r="P24" s="2">
        <f>MAX(SUMIFS('Globiom data'!O$2:O$9999,'Globiom data'!$A$2:$A$9999,Veda!$D24,'Globiom data'!$D$2:$D$9999,VLOOKUP(Veda!$B24,'Globiom data'!$V$21:$X$29,2,FALSE),'Globiom data'!$E$2:$E$9999,Veda!$C$1),0)*1000</f>
        <v>1313.0651462266121</v>
      </c>
      <c r="Q24" s="2">
        <f>MAX(SUMIFS('Globiom data'!P$2:P$9999,'Globiom data'!$A$2:$A$9999,Veda!$D24,'Globiom data'!$D$2:$D$9999,VLOOKUP(Veda!$B24,'Globiom data'!$V$21:$X$29,2,FALSE),'Globiom data'!$E$2:$E$9999,Veda!$C$1),0)*1000</f>
        <v>1353.2130501127515</v>
      </c>
      <c r="R24">
        <v>3</v>
      </c>
    </row>
    <row r="25" spans="1:18" x14ac:dyDescent="0.45">
      <c r="A25" s="8">
        <f t="shared" si="5"/>
        <v>3</v>
      </c>
      <c r="B25" s="8">
        <f t="shared" si="6"/>
        <v>6</v>
      </c>
      <c r="D25" t="str">
        <f>VLOOKUP(A25,'Globiom data'!$S$21:$T$51,2,FALSE)</f>
        <v>Arg-Chi</v>
      </c>
      <c r="E25" t="str">
        <f>VLOOKUP(B25,'Globiom data'!$V$21:$X$30,3,FALSE)</f>
        <v>MinBIOBSL-06</v>
      </c>
      <c r="F25" t="s">
        <v>53</v>
      </c>
      <c r="G25" s="2">
        <f>MAX(SUMIFS('Globiom data'!F$2:F$9999,'Globiom data'!$A$2:$A$9999,Veda!$D25,'Globiom data'!$D$2:$D$9999,VLOOKUP(Veda!$B25,'Globiom data'!$V$21:$X$29,2,FALSE),'Globiom data'!$E$2:$E$9999,Veda!$C$1),0)*1000</f>
        <v>0</v>
      </c>
      <c r="H25" s="2">
        <f>MAX(SUMIFS('Globiom data'!G$2:G$9999,'Globiom data'!$A$2:$A$9999,Veda!$D25,'Globiom data'!$D$2:$D$9999,VLOOKUP(Veda!$B25,'Globiom data'!$V$21:$X$29,2,FALSE),'Globiom data'!$E$2:$E$9999,Veda!$C$1),0)*1000</f>
        <v>7.4431872566129744</v>
      </c>
      <c r="I25" s="2">
        <f>MAX(SUMIFS('Globiom data'!H$2:H$9999,'Globiom data'!$A$2:$A$9999,Veda!$D25,'Globiom data'!$D$2:$D$9999,VLOOKUP(Veda!$B25,'Globiom data'!$V$21:$X$29,2,FALSE),'Globiom data'!$E$2:$E$9999,Veda!$C$1),0)*1000</f>
        <v>7.4431872566129744</v>
      </c>
      <c r="J25" s="2">
        <f>MAX(SUMIFS('Globiom data'!I$2:I$9999,'Globiom data'!$A$2:$A$9999,Veda!$D25,'Globiom data'!$D$2:$D$9999,VLOOKUP(Veda!$B25,'Globiom data'!$V$21:$X$29,2,FALSE),'Globiom data'!$E$2:$E$9999,Veda!$C$1),0)*1000</f>
        <v>422.84213359584908</v>
      </c>
      <c r="K25" s="2">
        <f>MAX(SUMIFS('Globiom data'!J$2:J$9999,'Globiom data'!$A$2:$A$9999,Veda!$D25,'Globiom data'!$D$2:$D$9999,VLOOKUP(Veda!$B25,'Globiom data'!$V$21:$X$29,2,FALSE),'Globiom data'!$E$2:$E$9999,Veda!$C$1),0)*1000</f>
        <v>993.00062496535952</v>
      </c>
      <c r="L25" s="2">
        <f>MAX(SUMIFS('Globiom data'!K$2:K$9999,'Globiom data'!$A$2:$A$9999,Veda!$D25,'Globiom data'!$D$2:$D$9999,VLOOKUP(Veda!$B25,'Globiom data'!$V$21:$X$29,2,FALSE),'Globiom data'!$E$2:$E$9999,Veda!$C$1),0)*1000</f>
        <v>1543.1635801645157</v>
      </c>
      <c r="M25" s="2">
        <f>MAX(SUMIFS('Globiom data'!L$2:L$9999,'Globiom data'!$A$2:$A$9999,Veda!$D25,'Globiom data'!$D$2:$D$9999,VLOOKUP(Veda!$B25,'Globiom data'!$V$21:$X$29,2,FALSE),'Globiom data'!$E$2:$E$9999,Veda!$C$1),0)*1000</f>
        <v>1813.8122876295586</v>
      </c>
      <c r="N25" s="2">
        <f>MAX(SUMIFS('Globiom data'!M$2:M$9999,'Globiom data'!$A$2:$A$9999,Veda!$D25,'Globiom data'!$D$2:$D$9999,VLOOKUP(Veda!$B25,'Globiom data'!$V$21:$X$29,2,FALSE),'Globiom data'!$E$2:$E$9999,Veda!$C$1),0)*1000</f>
        <v>1809.0561087742301</v>
      </c>
      <c r="O25" s="2">
        <f>MAX(SUMIFS('Globiom data'!N$2:N$9999,'Globiom data'!$A$2:$A$9999,Veda!$D25,'Globiom data'!$D$2:$D$9999,VLOOKUP(Veda!$B25,'Globiom data'!$V$21:$X$29,2,FALSE),'Globiom data'!$E$2:$E$9999,Veda!$C$1),0)*1000</f>
        <v>1599.1118335480476</v>
      </c>
      <c r="P25" s="2">
        <f>MAX(SUMIFS('Globiom data'!O$2:O$9999,'Globiom data'!$A$2:$A$9999,Veda!$D25,'Globiom data'!$D$2:$D$9999,VLOOKUP(Veda!$B25,'Globiom data'!$V$21:$X$29,2,FALSE),'Globiom data'!$E$2:$E$9999,Veda!$C$1),0)*1000</f>
        <v>1364.2645952812488</v>
      </c>
      <c r="Q25" s="2">
        <f>MAX(SUMIFS('Globiom data'!P$2:P$9999,'Globiom data'!$A$2:$A$9999,Veda!$D25,'Globiom data'!$D$2:$D$9999,VLOOKUP(Veda!$B25,'Globiom data'!$V$21:$X$29,2,FALSE),'Globiom data'!$E$2:$E$9999,Veda!$C$1),0)*1000</f>
        <v>1113.4811493368591</v>
      </c>
      <c r="R25">
        <v>3</v>
      </c>
    </row>
    <row r="26" spans="1:18" x14ac:dyDescent="0.45">
      <c r="A26" s="8">
        <f t="shared" si="5"/>
        <v>3</v>
      </c>
      <c r="B26" s="8">
        <f t="shared" si="6"/>
        <v>7</v>
      </c>
      <c r="D26" t="str">
        <f>VLOOKUP(A26,'Globiom data'!$S$21:$T$51,2,FALSE)</f>
        <v>Arg-Chi</v>
      </c>
      <c r="E26" t="str">
        <f>VLOOKUP(B26,'Globiom data'!$V$21:$X$30,3,FALSE)</f>
        <v>MinBIOBSL-07</v>
      </c>
      <c r="F26" t="s">
        <v>53</v>
      </c>
      <c r="G26" s="2">
        <f>MAX(SUMIFS('Globiom data'!F$2:F$9999,'Globiom data'!$A$2:$A$9999,Veda!$D26,'Globiom data'!$D$2:$D$9999,VLOOKUP(Veda!$B26,'Globiom data'!$V$21:$X$29,2,FALSE),'Globiom data'!$E$2:$E$9999,Veda!$C$1),0)*1000</f>
        <v>0</v>
      </c>
      <c r="H26" s="2">
        <f>MAX(SUMIFS('Globiom data'!G$2:G$9999,'Globiom data'!$A$2:$A$9999,Veda!$D26,'Globiom data'!$D$2:$D$9999,VLOOKUP(Veda!$B26,'Globiom data'!$V$21:$X$29,2,FALSE),'Globiom data'!$E$2:$E$9999,Veda!$C$1),0)*1000</f>
        <v>133.05786686763841</v>
      </c>
      <c r="I26" s="2">
        <f>MAX(SUMIFS('Globiom data'!H$2:H$9999,'Globiom data'!$A$2:$A$9999,Veda!$D26,'Globiom data'!$D$2:$D$9999,VLOOKUP(Veda!$B26,'Globiom data'!$V$21:$X$29,2,FALSE),'Globiom data'!$E$2:$E$9999,Veda!$C$1),0)*1000</f>
        <v>133.05786686763841</v>
      </c>
      <c r="J26" s="2">
        <f>MAX(SUMIFS('Globiom data'!I$2:I$9999,'Globiom data'!$A$2:$A$9999,Veda!$D26,'Globiom data'!$D$2:$D$9999,VLOOKUP(Veda!$B26,'Globiom data'!$V$21:$X$29,2,FALSE),'Globiom data'!$E$2:$E$9999,Veda!$C$1),0)*1000</f>
        <v>994.58748559671471</v>
      </c>
      <c r="K26" s="2">
        <f>MAX(SUMIFS('Globiom data'!J$2:J$9999,'Globiom data'!$A$2:$A$9999,Veda!$D26,'Globiom data'!$D$2:$D$9999,VLOOKUP(Veda!$B26,'Globiom data'!$V$21:$X$29,2,FALSE),'Globiom data'!$E$2:$E$9999,Veda!$C$1),0)*1000</f>
        <v>1346.3700466219109</v>
      </c>
      <c r="L26" s="2">
        <f>MAX(SUMIFS('Globiom data'!K$2:K$9999,'Globiom data'!$A$2:$A$9999,Veda!$D26,'Globiom data'!$D$2:$D$9999,VLOOKUP(Veda!$B26,'Globiom data'!$V$21:$X$29,2,FALSE),'Globiom data'!$E$2:$E$9999,Veda!$C$1),0)*1000</f>
        <v>1177.0256052530028</v>
      </c>
      <c r="M26" s="2">
        <f>MAX(SUMIFS('Globiom data'!L$2:L$9999,'Globiom data'!$A$2:$A$9999,Veda!$D26,'Globiom data'!$D$2:$D$9999,VLOOKUP(Veda!$B26,'Globiom data'!$V$21:$X$29,2,FALSE),'Globiom data'!$E$2:$E$9999,Veda!$C$1),0)*1000</f>
        <v>910.65893952288275</v>
      </c>
      <c r="N26" s="2">
        <f>MAX(SUMIFS('Globiom data'!M$2:M$9999,'Globiom data'!$A$2:$A$9999,Veda!$D26,'Globiom data'!$D$2:$D$9999,VLOOKUP(Veda!$B26,'Globiom data'!$V$21:$X$29,2,FALSE),'Globiom data'!$E$2:$E$9999,Veda!$C$1),0)*1000</f>
        <v>677.66800549551817</v>
      </c>
      <c r="O26" s="2">
        <f>MAX(SUMIFS('Globiom data'!N$2:N$9999,'Globiom data'!$A$2:$A$9999,Veda!$D26,'Globiom data'!$D$2:$D$9999,VLOOKUP(Veda!$B26,'Globiom data'!$V$21:$X$29,2,FALSE),'Globiom data'!$E$2:$E$9999,Veda!$C$1),0)*1000</f>
        <v>561.36879029410136</v>
      </c>
      <c r="P26" s="2">
        <f>MAX(SUMIFS('Globiom data'!O$2:O$9999,'Globiom data'!$A$2:$A$9999,Veda!$D26,'Globiom data'!$D$2:$D$9999,VLOOKUP(Veda!$B26,'Globiom data'!$V$21:$X$29,2,FALSE),'Globiom data'!$E$2:$E$9999,Veda!$C$1),0)*1000</f>
        <v>529.69645109030205</v>
      </c>
      <c r="Q26" s="2">
        <f>MAX(SUMIFS('Globiom data'!P$2:P$9999,'Globiom data'!$A$2:$A$9999,Veda!$D26,'Globiom data'!$D$2:$D$9999,VLOOKUP(Veda!$B26,'Globiom data'!$V$21:$X$29,2,FALSE),'Globiom data'!$E$2:$E$9999,Veda!$C$1),0)*1000</f>
        <v>535.37303780548598</v>
      </c>
      <c r="R26">
        <v>3</v>
      </c>
    </row>
    <row r="27" spans="1:18" x14ac:dyDescent="0.45">
      <c r="A27" s="8">
        <f t="shared" si="5"/>
        <v>4</v>
      </c>
      <c r="B27" s="8">
        <f t="shared" si="6"/>
        <v>1</v>
      </c>
      <c r="D27" t="str">
        <f>VLOOKUP(A27,'Globiom data'!$S$21:$T$51,2,FALSE)</f>
        <v>Asia_central</v>
      </c>
      <c r="E27" t="str">
        <f>VLOOKUP(B27,'Globiom data'!$V$21:$X$30,3,FALSE)</f>
        <v>MinBIOBSL-01</v>
      </c>
      <c r="F27" t="s">
        <v>53</v>
      </c>
      <c r="G27" s="2">
        <f>MAX(SUMIFS('Globiom data'!F$2:F$9999,'Globiom data'!$A$2:$A$9999,Veda!$D27,'Globiom data'!$D$2:$D$9999,VLOOKUP(Veda!$B27,'Globiom data'!$V$21:$X$29,2,FALSE),'Globiom data'!$E$2:$E$9999,Veda!$C$1),0)*1000</f>
        <v>16.82887169352832</v>
      </c>
      <c r="H27" s="2">
        <f>MAX(SUMIFS('Globiom data'!G$2:G$9999,'Globiom data'!$A$2:$A$9999,Veda!$D27,'Globiom data'!$D$2:$D$9999,VLOOKUP(Veda!$B27,'Globiom data'!$V$21:$X$29,2,FALSE),'Globiom data'!$E$2:$E$9999,Veda!$C$1),0)*1000</f>
        <v>9.6607275798462027</v>
      </c>
      <c r="I27" s="2">
        <f>MAX(SUMIFS('Globiom data'!H$2:H$9999,'Globiom data'!$A$2:$A$9999,Veda!$D27,'Globiom data'!$D$2:$D$9999,VLOOKUP(Veda!$B27,'Globiom data'!$V$21:$X$29,2,FALSE),'Globiom data'!$E$2:$E$9999,Veda!$C$1),0)*1000</f>
        <v>9.6607275798462027</v>
      </c>
      <c r="J27" s="2">
        <f>MAX(SUMIFS('Globiom data'!I$2:I$9999,'Globiom data'!$A$2:$A$9999,Veda!$D27,'Globiom data'!$D$2:$D$9999,VLOOKUP(Veda!$B27,'Globiom data'!$V$21:$X$29,2,FALSE),'Globiom data'!$E$2:$E$9999,Veda!$C$1),0)*1000</f>
        <v>9.6319840003643087</v>
      </c>
      <c r="K27" s="2">
        <f>MAX(SUMIFS('Globiom data'!J$2:J$9999,'Globiom data'!$A$2:$A$9999,Veda!$D27,'Globiom data'!$D$2:$D$9999,VLOOKUP(Veda!$B27,'Globiom data'!$V$21:$X$29,2,FALSE),'Globiom data'!$E$2:$E$9999,Veda!$C$1),0)*1000</f>
        <v>9.9705337772903047</v>
      </c>
      <c r="L27" s="2">
        <f>MAX(SUMIFS('Globiom data'!K$2:K$9999,'Globiom data'!$A$2:$A$9999,Veda!$D27,'Globiom data'!$D$2:$D$9999,VLOOKUP(Veda!$B27,'Globiom data'!$V$21:$X$29,2,FALSE),'Globiom data'!$E$2:$E$9999,Veda!$C$1),0)*1000</f>
        <v>10.105324568418999</v>
      </c>
      <c r="M27" s="2">
        <f>MAX(SUMIFS('Globiom data'!L$2:L$9999,'Globiom data'!$A$2:$A$9999,Veda!$D27,'Globiom data'!$D$2:$D$9999,VLOOKUP(Veda!$B27,'Globiom data'!$V$21:$X$29,2,FALSE),'Globiom data'!$E$2:$E$9999,Veda!$C$1),0)*1000</f>
        <v>10.098788093831523</v>
      </c>
      <c r="N27" s="2">
        <f>MAX(SUMIFS('Globiom data'!M$2:M$9999,'Globiom data'!$A$2:$A$9999,Veda!$D27,'Globiom data'!$D$2:$D$9999,VLOOKUP(Veda!$B27,'Globiom data'!$V$21:$X$29,2,FALSE),'Globiom data'!$E$2:$E$9999,Veda!$C$1),0)*1000</f>
        <v>10.09226354315031</v>
      </c>
      <c r="O27" s="2">
        <f>MAX(SUMIFS('Globiom data'!N$2:N$9999,'Globiom data'!$A$2:$A$9999,Veda!$D27,'Globiom data'!$D$2:$D$9999,VLOOKUP(Veda!$B27,'Globiom data'!$V$21:$X$29,2,FALSE),'Globiom data'!$E$2:$E$9999,Veda!$C$1),0)*1000</f>
        <v>10.090824429236759</v>
      </c>
      <c r="P27" s="2">
        <f>MAX(SUMIFS('Globiom data'!O$2:O$9999,'Globiom data'!$A$2:$A$9999,Veda!$D27,'Globiom data'!$D$2:$D$9999,VLOOKUP(Veda!$B27,'Globiom data'!$V$21:$X$29,2,FALSE),'Globiom data'!$E$2:$E$9999,Veda!$C$1),0)*1000</f>
        <v>10.084463800747869</v>
      </c>
      <c r="Q27" s="2">
        <f>MAX(SUMIFS('Globiom data'!P$2:P$9999,'Globiom data'!$A$2:$A$9999,Veda!$D27,'Globiom data'!$D$2:$D$9999,VLOOKUP(Veda!$B27,'Globiom data'!$V$21:$X$29,2,FALSE),'Globiom data'!$E$2:$E$9999,Veda!$C$1),0)*1000</f>
        <v>10.185118785320521</v>
      </c>
      <c r="R27">
        <v>3</v>
      </c>
    </row>
    <row r="28" spans="1:18" x14ac:dyDescent="0.45">
      <c r="A28" s="8">
        <f t="shared" si="5"/>
        <v>4</v>
      </c>
      <c r="B28" s="8">
        <f t="shared" si="6"/>
        <v>2</v>
      </c>
      <c r="D28" t="str">
        <f>VLOOKUP(A28,'Globiom data'!$S$21:$T$51,2,FALSE)</f>
        <v>Asia_central</v>
      </c>
      <c r="E28" t="str">
        <f>VLOOKUP(B28,'Globiom data'!$V$21:$X$30,3,FALSE)</f>
        <v>MinBIOBSL-02</v>
      </c>
      <c r="F28" t="s">
        <v>53</v>
      </c>
      <c r="G28" s="2">
        <f>MAX(SUMIFS('Globiom data'!F$2:F$9999,'Globiom data'!$A$2:$A$9999,Veda!$D28,'Globiom data'!$D$2:$D$9999,VLOOKUP(Veda!$B28,'Globiom data'!$V$21:$X$29,2,FALSE),'Globiom data'!$E$2:$E$9999,Veda!$C$1),0)*1000</f>
        <v>0</v>
      </c>
      <c r="H28" s="2">
        <f>MAX(SUMIFS('Globiom data'!G$2:G$9999,'Globiom data'!$A$2:$A$9999,Veda!$D28,'Globiom data'!$D$2:$D$9999,VLOOKUP(Veda!$B28,'Globiom data'!$V$21:$X$29,2,FALSE),'Globiom data'!$E$2:$E$9999,Veda!$C$1),0)*1000</f>
        <v>1.2373285499843801E-3</v>
      </c>
      <c r="I28" s="2">
        <f>MAX(SUMIFS('Globiom data'!H$2:H$9999,'Globiom data'!$A$2:$A$9999,Veda!$D28,'Globiom data'!$D$2:$D$9999,VLOOKUP(Veda!$B28,'Globiom data'!$V$21:$X$29,2,FALSE),'Globiom data'!$E$2:$E$9999,Veda!$C$1),0)*1000</f>
        <v>1.2373285499843801E-3</v>
      </c>
      <c r="J28" s="2">
        <f>MAX(SUMIFS('Globiom data'!I$2:I$9999,'Globiom data'!$A$2:$A$9999,Veda!$D28,'Globiom data'!$D$2:$D$9999,VLOOKUP(Veda!$B28,'Globiom data'!$V$21:$X$29,2,FALSE),'Globiom data'!$E$2:$E$9999,Veda!$C$1),0)*1000</f>
        <v>2.3085186592443217E-2</v>
      </c>
      <c r="K28" s="2">
        <f>MAX(SUMIFS('Globiom data'!J$2:J$9999,'Globiom data'!$A$2:$A$9999,Veda!$D28,'Globiom data'!$D$2:$D$9999,VLOOKUP(Veda!$B28,'Globiom data'!$V$21:$X$29,2,FALSE),'Globiom data'!$E$2:$E$9999,Veda!$C$1),0)*1000</f>
        <v>4.7378001580480146E-2</v>
      </c>
      <c r="L28" s="2">
        <f>MAX(SUMIFS('Globiom data'!K$2:K$9999,'Globiom data'!$A$2:$A$9999,Veda!$D28,'Globiom data'!$D$2:$D$9999,VLOOKUP(Veda!$B28,'Globiom data'!$V$21:$X$29,2,FALSE),'Globiom data'!$E$2:$E$9999,Veda!$C$1),0)*1000</f>
        <v>5.1761537565732436E-2</v>
      </c>
      <c r="M28" s="2">
        <f>MAX(SUMIFS('Globiom data'!L$2:L$9999,'Globiom data'!$A$2:$A$9999,Veda!$D28,'Globiom data'!$D$2:$D$9999,VLOOKUP(Veda!$B28,'Globiom data'!$V$21:$X$29,2,FALSE),'Globiom data'!$E$2:$E$9999,Veda!$C$1),0)*1000</f>
        <v>8.0200192602191411E-2</v>
      </c>
      <c r="N28" s="2">
        <f>MAX(SUMIFS('Globiom data'!M$2:M$9999,'Globiom data'!$A$2:$A$9999,Veda!$D28,'Globiom data'!$D$2:$D$9999,VLOOKUP(Veda!$B28,'Globiom data'!$V$21:$X$29,2,FALSE),'Globiom data'!$E$2:$E$9999,Veda!$C$1),0)*1000</f>
        <v>0.10919787303539219</v>
      </c>
      <c r="O28" s="2">
        <f>MAX(SUMIFS('Globiom data'!N$2:N$9999,'Globiom data'!$A$2:$A$9999,Veda!$D28,'Globiom data'!$D$2:$D$9999,VLOOKUP(Veda!$B28,'Globiom data'!$V$21:$X$29,2,FALSE),'Globiom data'!$E$2:$E$9999,Veda!$C$1),0)*1000</f>
        <v>3.3490147214083548</v>
      </c>
      <c r="P28" s="2">
        <f>MAX(SUMIFS('Globiom data'!O$2:O$9999,'Globiom data'!$A$2:$A$9999,Veda!$D28,'Globiom data'!$D$2:$D$9999,VLOOKUP(Veda!$B28,'Globiom data'!$V$21:$X$29,2,FALSE),'Globiom data'!$E$2:$E$9999,Veda!$C$1),0)*1000</f>
        <v>4.8625587289748662</v>
      </c>
      <c r="Q28" s="2">
        <f>MAX(SUMIFS('Globiom data'!P$2:P$9999,'Globiom data'!$A$2:$A$9999,Veda!$D28,'Globiom data'!$D$2:$D$9999,VLOOKUP(Veda!$B28,'Globiom data'!$V$21:$X$29,2,FALSE),'Globiom data'!$E$2:$E$9999,Veda!$C$1),0)*1000</f>
        <v>4.8046162487423016</v>
      </c>
      <c r="R28">
        <v>3</v>
      </c>
    </row>
    <row r="29" spans="1:18" x14ac:dyDescent="0.45">
      <c r="A29" s="8">
        <f t="shared" si="5"/>
        <v>4</v>
      </c>
      <c r="B29" s="8">
        <f t="shared" si="6"/>
        <v>3</v>
      </c>
      <c r="D29" t="str">
        <f>VLOOKUP(A29,'Globiom data'!$S$21:$T$51,2,FALSE)</f>
        <v>Asia_central</v>
      </c>
      <c r="E29" t="str">
        <f>VLOOKUP(B29,'Globiom data'!$V$21:$X$30,3,FALSE)</f>
        <v>MinBIOBSL-03</v>
      </c>
      <c r="F29" t="s">
        <v>53</v>
      </c>
      <c r="G29" s="2">
        <f>MAX(SUMIFS('Globiom data'!F$2:F$9999,'Globiom data'!$A$2:$A$9999,Veda!$D29,'Globiom data'!$D$2:$D$9999,VLOOKUP(Veda!$B29,'Globiom data'!$V$21:$X$29,2,FALSE),'Globiom data'!$E$2:$E$9999,Veda!$C$1),0)*1000</f>
        <v>0</v>
      </c>
      <c r="H29" s="2">
        <f>MAX(SUMIFS('Globiom data'!G$2:G$9999,'Globiom data'!$A$2:$A$9999,Veda!$D29,'Globiom data'!$D$2:$D$9999,VLOOKUP(Veda!$B29,'Globiom data'!$V$21:$X$29,2,FALSE),'Globiom data'!$E$2:$E$9999,Veda!$C$1),0)*1000</f>
        <v>0</v>
      </c>
      <c r="I29" s="2">
        <f>MAX(SUMIFS('Globiom data'!H$2:H$9999,'Globiom data'!$A$2:$A$9999,Veda!$D29,'Globiom data'!$D$2:$D$9999,VLOOKUP(Veda!$B29,'Globiom data'!$V$21:$X$29,2,FALSE),'Globiom data'!$E$2:$E$9999,Veda!$C$1),0)*1000</f>
        <v>0</v>
      </c>
      <c r="J29" s="2">
        <f>MAX(SUMIFS('Globiom data'!I$2:I$9999,'Globiom data'!$A$2:$A$9999,Veda!$D29,'Globiom data'!$D$2:$D$9999,VLOOKUP(Veda!$B29,'Globiom data'!$V$21:$X$29,2,FALSE),'Globiom data'!$E$2:$E$9999,Veda!$C$1),0)*1000</f>
        <v>0</v>
      </c>
      <c r="K29" s="2">
        <f>MAX(SUMIFS('Globiom data'!J$2:J$9999,'Globiom data'!$A$2:$A$9999,Veda!$D29,'Globiom data'!$D$2:$D$9999,VLOOKUP(Veda!$B29,'Globiom data'!$V$21:$X$29,2,FALSE),'Globiom data'!$E$2:$E$9999,Veda!$C$1),0)*1000</f>
        <v>4.0610261880464016E-2</v>
      </c>
      <c r="L29" s="2">
        <f>MAX(SUMIFS('Globiom data'!K$2:K$9999,'Globiom data'!$A$2:$A$9999,Veda!$D29,'Globiom data'!$D$2:$D$9999,VLOOKUP(Veda!$B29,'Globiom data'!$V$21:$X$29,2,FALSE),'Globiom data'!$E$2:$E$9999,Veda!$C$1),0)*1000</f>
        <v>0.16945428531853529</v>
      </c>
      <c r="M29" s="2">
        <f>MAX(SUMIFS('Globiom data'!L$2:L$9999,'Globiom data'!$A$2:$A$9999,Veda!$D29,'Globiom data'!$D$2:$D$9999,VLOOKUP(Veda!$B29,'Globiom data'!$V$21:$X$29,2,FALSE),'Globiom data'!$E$2:$E$9999,Veda!$C$1),0)*1000</f>
        <v>4.588530289402124</v>
      </c>
      <c r="N29" s="2">
        <f>MAX(SUMIFS('Globiom data'!M$2:M$9999,'Globiom data'!$A$2:$A$9999,Veda!$D29,'Globiom data'!$D$2:$D$9999,VLOOKUP(Veda!$B29,'Globiom data'!$V$21:$X$29,2,FALSE),'Globiom data'!$E$2:$E$9999,Veda!$C$1),0)*1000</f>
        <v>4.7117167883942681</v>
      </c>
      <c r="O29" s="2">
        <f>MAX(SUMIFS('Globiom data'!N$2:N$9999,'Globiom data'!$A$2:$A$9999,Veda!$D29,'Globiom data'!$D$2:$D$9999,VLOOKUP(Veda!$B29,'Globiom data'!$V$21:$X$29,2,FALSE),'Globiom data'!$E$2:$E$9999,Veda!$C$1),0)*1000</f>
        <v>2.1896255481459215</v>
      </c>
      <c r="P29" s="2">
        <f>MAX(SUMIFS('Globiom data'!O$2:O$9999,'Globiom data'!$A$2:$A$9999,Veda!$D29,'Globiom data'!$D$2:$D$9999,VLOOKUP(Veda!$B29,'Globiom data'!$V$21:$X$29,2,FALSE),'Globiom data'!$E$2:$E$9999,Veda!$C$1),0)*1000</f>
        <v>5.1108750701774559</v>
      </c>
      <c r="Q29" s="2">
        <f>MAX(SUMIFS('Globiom data'!P$2:P$9999,'Globiom data'!$A$2:$A$9999,Veda!$D29,'Globiom data'!$D$2:$D$9999,VLOOKUP(Veda!$B29,'Globiom data'!$V$21:$X$29,2,FALSE),'Globiom data'!$E$2:$E$9999,Veda!$C$1),0)*1000</f>
        <v>11.860902562647803</v>
      </c>
      <c r="R29">
        <v>3</v>
      </c>
    </row>
    <row r="30" spans="1:18" x14ac:dyDescent="0.45">
      <c r="A30" s="8">
        <f t="shared" si="5"/>
        <v>4</v>
      </c>
      <c r="B30" s="8">
        <f t="shared" si="6"/>
        <v>4</v>
      </c>
      <c r="D30" t="str">
        <f>VLOOKUP(A30,'Globiom data'!$S$21:$T$51,2,FALSE)</f>
        <v>Asia_central</v>
      </c>
      <c r="E30" t="str">
        <f>VLOOKUP(B30,'Globiom data'!$V$21:$X$30,3,FALSE)</f>
        <v>MinBIOBSL-04</v>
      </c>
      <c r="F30" t="s">
        <v>53</v>
      </c>
      <c r="G30" s="2">
        <f>MAX(SUMIFS('Globiom data'!F$2:F$9999,'Globiom data'!$A$2:$A$9999,Veda!$D30,'Globiom data'!$D$2:$D$9999,VLOOKUP(Veda!$B30,'Globiom data'!$V$21:$X$29,2,FALSE),'Globiom data'!$E$2:$E$9999,Veda!$C$1),0)*1000</f>
        <v>0</v>
      </c>
      <c r="H30" s="2">
        <f>MAX(SUMIFS('Globiom data'!G$2:G$9999,'Globiom data'!$A$2:$A$9999,Veda!$D30,'Globiom data'!$D$2:$D$9999,VLOOKUP(Veda!$B30,'Globiom data'!$V$21:$X$29,2,FALSE),'Globiom data'!$E$2:$E$9999,Veda!$C$1),0)*1000</f>
        <v>0</v>
      </c>
      <c r="I30" s="2">
        <f>MAX(SUMIFS('Globiom data'!H$2:H$9999,'Globiom data'!$A$2:$A$9999,Veda!$D30,'Globiom data'!$D$2:$D$9999,VLOOKUP(Veda!$B30,'Globiom data'!$V$21:$X$29,2,FALSE),'Globiom data'!$E$2:$E$9999,Veda!$C$1),0)*1000</f>
        <v>0</v>
      </c>
      <c r="J30" s="2">
        <f>MAX(SUMIFS('Globiom data'!I$2:I$9999,'Globiom data'!$A$2:$A$9999,Veda!$D30,'Globiom data'!$D$2:$D$9999,VLOOKUP(Veda!$B30,'Globiom data'!$V$21:$X$29,2,FALSE),'Globiom data'!$E$2:$E$9999,Veda!$C$1),0)*1000</f>
        <v>1.7657697006204211E-2</v>
      </c>
      <c r="K30" s="2">
        <f>MAX(SUMIFS('Globiom data'!J$2:J$9999,'Globiom data'!$A$2:$A$9999,Veda!$D30,'Globiom data'!$D$2:$D$9999,VLOOKUP(Veda!$B30,'Globiom data'!$V$21:$X$29,2,FALSE),'Globiom data'!$E$2:$E$9999,Veda!$C$1),0)*1000</f>
        <v>3.5001147428179258</v>
      </c>
      <c r="L30" s="2">
        <f>MAX(SUMIFS('Globiom data'!K$2:K$9999,'Globiom data'!$A$2:$A$9999,Veda!$D30,'Globiom data'!$D$2:$D$9999,VLOOKUP(Veda!$B30,'Globiom data'!$V$21:$X$29,2,FALSE),'Globiom data'!$E$2:$E$9999,Veda!$C$1),0)*1000</f>
        <v>4.4246397473019323</v>
      </c>
      <c r="M30" s="2">
        <f>MAX(SUMIFS('Globiom data'!L$2:L$9999,'Globiom data'!$A$2:$A$9999,Veda!$D30,'Globiom data'!$D$2:$D$9999,VLOOKUP(Veda!$B30,'Globiom data'!$V$21:$X$29,2,FALSE),'Globiom data'!$E$2:$E$9999,Veda!$C$1),0)*1000</f>
        <v>2.4444215898033108</v>
      </c>
      <c r="N30" s="2">
        <f>MAX(SUMIFS('Globiom data'!M$2:M$9999,'Globiom data'!$A$2:$A$9999,Veda!$D30,'Globiom data'!$D$2:$D$9999,VLOOKUP(Veda!$B30,'Globiom data'!$V$21:$X$29,2,FALSE),'Globiom data'!$E$2:$E$9999,Veda!$C$1),0)*1000</f>
        <v>9.9836989324110466</v>
      </c>
      <c r="O30" s="2">
        <f>MAX(SUMIFS('Globiom data'!N$2:N$9999,'Globiom data'!$A$2:$A$9999,Veda!$D30,'Globiom data'!$D$2:$D$9999,VLOOKUP(Veda!$B30,'Globiom data'!$V$21:$X$29,2,FALSE),'Globiom data'!$E$2:$E$9999,Veda!$C$1),0)*1000</f>
        <v>19.394628364309437</v>
      </c>
      <c r="P30" s="2">
        <f>MAX(SUMIFS('Globiom data'!O$2:O$9999,'Globiom data'!$A$2:$A$9999,Veda!$D30,'Globiom data'!$D$2:$D$9999,VLOOKUP(Veda!$B30,'Globiom data'!$V$21:$X$29,2,FALSE),'Globiom data'!$E$2:$E$9999,Veda!$C$1),0)*1000</f>
        <v>26.14468214543988</v>
      </c>
      <c r="Q30" s="2">
        <f>MAX(SUMIFS('Globiom data'!P$2:P$9999,'Globiom data'!$A$2:$A$9999,Veda!$D30,'Globiom data'!$D$2:$D$9999,VLOOKUP(Veda!$B30,'Globiom data'!$V$21:$X$29,2,FALSE),'Globiom data'!$E$2:$E$9999,Veda!$C$1),0)*1000</f>
        <v>29.535091274600433</v>
      </c>
      <c r="R30">
        <v>3</v>
      </c>
    </row>
    <row r="31" spans="1:18" x14ac:dyDescent="0.45">
      <c r="A31" s="8">
        <f t="shared" si="5"/>
        <v>4</v>
      </c>
      <c r="B31" s="8">
        <f t="shared" si="6"/>
        <v>5</v>
      </c>
      <c r="D31" t="str">
        <f>VLOOKUP(A31,'Globiom data'!$S$21:$T$51,2,FALSE)</f>
        <v>Asia_central</v>
      </c>
      <c r="E31" t="str">
        <f>VLOOKUP(B31,'Globiom data'!$V$21:$X$30,3,FALSE)</f>
        <v>MinBIOBSL-05</v>
      </c>
      <c r="F31" t="s">
        <v>53</v>
      </c>
      <c r="G31" s="2">
        <f>MAX(SUMIFS('Globiom data'!F$2:F$9999,'Globiom data'!$A$2:$A$9999,Veda!$D31,'Globiom data'!$D$2:$D$9999,VLOOKUP(Veda!$B31,'Globiom data'!$V$21:$X$29,2,FALSE),'Globiom data'!$E$2:$E$9999,Veda!$C$1),0)*1000</f>
        <v>0</v>
      </c>
      <c r="H31" s="2">
        <f>MAX(SUMIFS('Globiom data'!G$2:G$9999,'Globiom data'!$A$2:$A$9999,Veda!$D31,'Globiom data'!$D$2:$D$9999,VLOOKUP(Veda!$B31,'Globiom data'!$V$21:$X$29,2,FALSE),'Globiom data'!$E$2:$E$9999,Veda!$C$1),0)*1000</f>
        <v>0</v>
      </c>
      <c r="I31" s="2">
        <f>MAX(SUMIFS('Globiom data'!H$2:H$9999,'Globiom data'!$A$2:$A$9999,Veda!$D31,'Globiom data'!$D$2:$D$9999,VLOOKUP(Veda!$B31,'Globiom data'!$V$21:$X$29,2,FALSE),'Globiom data'!$E$2:$E$9999,Veda!$C$1),0)*1000</f>
        <v>0</v>
      </c>
      <c r="J31" s="2">
        <f>MAX(SUMIFS('Globiom data'!I$2:I$9999,'Globiom data'!$A$2:$A$9999,Veda!$D31,'Globiom data'!$D$2:$D$9999,VLOOKUP(Veda!$B31,'Globiom data'!$V$21:$X$29,2,FALSE),'Globiom data'!$E$2:$E$9999,Veda!$C$1),0)*1000</f>
        <v>2.6965725732687695</v>
      </c>
      <c r="K31" s="2">
        <f>MAX(SUMIFS('Globiom data'!J$2:J$9999,'Globiom data'!$A$2:$A$9999,Veda!$D31,'Globiom data'!$D$2:$D$9999,VLOOKUP(Veda!$B31,'Globiom data'!$V$21:$X$29,2,FALSE),'Globiom data'!$E$2:$E$9999,Veda!$C$1),0)*1000</f>
        <v>1.6516862332650588</v>
      </c>
      <c r="L31" s="2">
        <f>MAX(SUMIFS('Globiom data'!K$2:K$9999,'Globiom data'!$A$2:$A$9999,Veda!$D31,'Globiom data'!$D$2:$D$9999,VLOOKUP(Veda!$B31,'Globiom data'!$V$21:$X$29,2,FALSE),'Globiom data'!$E$2:$E$9999,Veda!$C$1),0)*1000</f>
        <v>9.6474033154090861</v>
      </c>
      <c r="M31" s="2">
        <f>MAX(SUMIFS('Globiom data'!L$2:L$9999,'Globiom data'!$A$2:$A$9999,Veda!$D31,'Globiom data'!$D$2:$D$9999,VLOOKUP(Veda!$B31,'Globiom data'!$V$21:$X$29,2,FALSE),'Globiom data'!$E$2:$E$9999,Veda!$C$1),0)*1000</f>
        <v>20.183637715682128</v>
      </c>
      <c r="N31" s="2">
        <f>MAX(SUMIFS('Globiom data'!M$2:M$9999,'Globiom data'!$A$2:$A$9999,Veda!$D31,'Globiom data'!$D$2:$D$9999,VLOOKUP(Veda!$B31,'Globiom data'!$V$21:$X$29,2,FALSE),'Globiom data'!$E$2:$E$9999,Veda!$C$1),0)*1000</f>
        <v>25.18791280396454</v>
      </c>
      <c r="O31" s="2">
        <f>MAX(SUMIFS('Globiom data'!N$2:N$9999,'Globiom data'!$A$2:$A$9999,Veda!$D31,'Globiom data'!$D$2:$D$9999,VLOOKUP(Veda!$B31,'Globiom data'!$V$21:$X$29,2,FALSE),'Globiom data'!$E$2:$E$9999,Veda!$C$1),0)*1000</f>
        <v>28.017241519356091</v>
      </c>
      <c r="P31" s="2">
        <f>MAX(SUMIFS('Globiom data'!O$2:O$9999,'Globiom data'!$A$2:$A$9999,Veda!$D31,'Globiom data'!$D$2:$D$9999,VLOOKUP(Veda!$B31,'Globiom data'!$V$21:$X$29,2,FALSE),'Globiom data'!$E$2:$E$9999,Veda!$C$1),0)*1000</f>
        <v>31.153543736679243</v>
      </c>
      <c r="Q31" s="2">
        <f>MAX(SUMIFS('Globiom data'!P$2:P$9999,'Globiom data'!$A$2:$A$9999,Veda!$D31,'Globiom data'!$D$2:$D$9999,VLOOKUP(Veda!$B31,'Globiom data'!$V$21:$X$29,2,FALSE),'Globiom data'!$E$2:$E$9999,Veda!$C$1),0)*1000</f>
        <v>34.136519991803084</v>
      </c>
      <c r="R31">
        <v>3</v>
      </c>
    </row>
    <row r="32" spans="1:18" x14ac:dyDescent="0.45">
      <c r="A32" s="8">
        <f t="shared" si="5"/>
        <v>4</v>
      </c>
      <c r="B32" s="8">
        <f t="shared" si="6"/>
        <v>6</v>
      </c>
      <c r="D32" t="str">
        <f>VLOOKUP(A32,'Globiom data'!$S$21:$T$51,2,FALSE)</f>
        <v>Asia_central</v>
      </c>
      <c r="E32" t="str">
        <f>VLOOKUP(B32,'Globiom data'!$V$21:$X$30,3,FALSE)</f>
        <v>MinBIOBSL-06</v>
      </c>
      <c r="F32" t="s">
        <v>53</v>
      </c>
      <c r="G32" s="2">
        <f>MAX(SUMIFS('Globiom data'!F$2:F$9999,'Globiom data'!$A$2:$A$9999,Veda!$D32,'Globiom data'!$D$2:$D$9999,VLOOKUP(Veda!$B32,'Globiom data'!$V$21:$X$29,2,FALSE),'Globiom data'!$E$2:$E$9999,Veda!$C$1),0)*1000</f>
        <v>0</v>
      </c>
      <c r="H32" s="2">
        <f>MAX(SUMIFS('Globiom data'!G$2:G$9999,'Globiom data'!$A$2:$A$9999,Veda!$D32,'Globiom data'!$D$2:$D$9999,VLOOKUP(Veda!$B32,'Globiom data'!$V$21:$X$29,2,FALSE),'Globiom data'!$E$2:$E$9999,Veda!$C$1),0)*1000</f>
        <v>0</v>
      </c>
      <c r="I32" s="2">
        <f>MAX(SUMIFS('Globiom data'!H$2:H$9999,'Globiom data'!$A$2:$A$9999,Veda!$D32,'Globiom data'!$D$2:$D$9999,VLOOKUP(Veda!$B32,'Globiom data'!$V$21:$X$29,2,FALSE),'Globiom data'!$E$2:$E$9999,Veda!$C$1),0)*1000</f>
        <v>0</v>
      </c>
      <c r="J32" s="2">
        <f>MAX(SUMIFS('Globiom data'!I$2:I$9999,'Globiom data'!$A$2:$A$9999,Veda!$D32,'Globiom data'!$D$2:$D$9999,VLOOKUP(Veda!$B32,'Globiom data'!$V$21:$X$29,2,FALSE),'Globiom data'!$E$2:$E$9999,Veda!$C$1),0)*1000</f>
        <v>9.73959379675156</v>
      </c>
      <c r="K32" s="2">
        <f>MAX(SUMIFS('Globiom data'!J$2:J$9999,'Globiom data'!$A$2:$A$9999,Veda!$D32,'Globiom data'!$D$2:$D$9999,VLOOKUP(Veda!$B32,'Globiom data'!$V$21:$X$29,2,FALSE),'Globiom data'!$E$2:$E$9999,Veda!$C$1),0)*1000</f>
        <v>23.545838548097539</v>
      </c>
      <c r="L32" s="2">
        <f>MAX(SUMIFS('Globiom data'!K$2:K$9999,'Globiom data'!$A$2:$A$9999,Veda!$D32,'Globiom data'!$D$2:$D$9999,VLOOKUP(Veda!$B32,'Globiom data'!$V$21:$X$29,2,FALSE),'Globiom data'!$E$2:$E$9999,Veda!$C$1),0)*1000</f>
        <v>31.806792483069167</v>
      </c>
      <c r="M32" s="2">
        <f>MAX(SUMIFS('Globiom data'!L$2:L$9999,'Globiom data'!$A$2:$A$9999,Veda!$D32,'Globiom data'!$D$2:$D$9999,VLOOKUP(Veda!$B32,'Globiom data'!$V$21:$X$29,2,FALSE),'Globiom data'!$E$2:$E$9999,Veda!$C$1),0)*1000</f>
        <v>37.706113271105117</v>
      </c>
      <c r="N32" s="2">
        <f>MAX(SUMIFS('Globiom data'!M$2:M$9999,'Globiom data'!$A$2:$A$9999,Veda!$D32,'Globiom data'!$D$2:$D$9999,VLOOKUP(Veda!$B32,'Globiom data'!$V$21:$X$29,2,FALSE),'Globiom data'!$E$2:$E$9999,Veda!$C$1),0)*1000</f>
        <v>46.057064891825583</v>
      </c>
      <c r="O32" s="2">
        <f>MAX(SUMIFS('Globiom data'!N$2:N$9999,'Globiom data'!$A$2:$A$9999,Veda!$D32,'Globiom data'!$D$2:$D$9999,VLOOKUP(Veda!$B32,'Globiom data'!$V$21:$X$29,2,FALSE),'Globiom data'!$E$2:$E$9999,Veda!$C$1),0)*1000</f>
        <v>55.601109786475384</v>
      </c>
      <c r="P32" s="2">
        <f>MAX(SUMIFS('Globiom data'!O$2:O$9999,'Globiom data'!$A$2:$A$9999,Veda!$D32,'Globiom data'!$D$2:$D$9999,VLOOKUP(Veda!$B32,'Globiom data'!$V$21:$X$29,2,FALSE),'Globiom data'!$E$2:$E$9999,Veda!$C$1),0)*1000</f>
        <v>64.821143316578869</v>
      </c>
      <c r="Q32" s="2">
        <f>MAX(SUMIFS('Globiom data'!P$2:P$9999,'Globiom data'!$A$2:$A$9999,Veda!$D32,'Globiom data'!$D$2:$D$9999,VLOOKUP(Veda!$B32,'Globiom data'!$V$21:$X$29,2,FALSE),'Globiom data'!$E$2:$E$9999,Veda!$C$1),0)*1000</f>
        <v>75.500264589018784</v>
      </c>
      <c r="R32">
        <v>3</v>
      </c>
    </row>
    <row r="33" spans="1:18" x14ac:dyDescent="0.45">
      <c r="A33" s="8">
        <f t="shared" si="5"/>
        <v>4</v>
      </c>
      <c r="B33" s="8">
        <f t="shared" si="6"/>
        <v>7</v>
      </c>
      <c r="D33" t="str">
        <f>VLOOKUP(A33,'Globiom data'!$S$21:$T$51,2,FALSE)</f>
        <v>Asia_central</v>
      </c>
      <c r="E33" t="str">
        <f>VLOOKUP(B33,'Globiom data'!$V$21:$X$30,3,FALSE)</f>
        <v>MinBIOBSL-07</v>
      </c>
      <c r="F33" t="s">
        <v>53</v>
      </c>
      <c r="G33" s="2">
        <f>MAX(SUMIFS('Globiom data'!F$2:F$9999,'Globiom data'!$A$2:$A$9999,Veda!$D33,'Globiom data'!$D$2:$D$9999,VLOOKUP(Veda!$B33,'Globiom data'!$V$21:$X$29,2,FALSE),'Globiom data'!$E$2:$E$9999,Veda!$C$1),0)*1000</f>
        <v>0</v>
      </c>
      <c r="H33" s="2">
        <f>MAX(SUMIFS('Globiom data'!G$2:G$9999,'Globiom data'!$A$2:$A$9999,Veda!$D33,'Globiom data'!$D$2:$D$9999,VLOOKUP(Veda!$B33,'Globiom data'!$V$21:$X$29,2,FALSE),'Globiom data'!$E$2:$E$9999,Veda!$C$1),0)*1000</f>
        <v>8.5785549864751083</v>
      </c>
      <c r="I33" s="2">
        <f>MAX(SUMIFS('Globiom data'!H$2:H$9999,'Globiom data'!$A$2:$A$9999,Veda!$D33,'Globiom data'!$D$2:$D$9999,VLOOKUP(Veda!$B33,'Globiom data'!$V$21:$X$29,2,FALSE),'Globiom data'!$E$2:$E$9999,Veda!$C$1),0)*1000</f>
        <v>8.5785549864751083</v>
      </c>
      <c r="J33" s="2">
        <f>MAX(SUMIFS('Globiom data'!I$2:I$9999,'Globiom data'!$A$2:$A$9999,Veda!$D33,'Globiom data'!$D$2:$D$9999,VLOOKUP(Veda!$B33,'Globiom data'!$V$21:$X$29,2,FALSE),'Globiom data'!$E$2:$E$9999,Veda!$C$1),0)*1000</f>
        <v>12.184555162165148</v>
      </c>
      <c r="K33" s="2">
        <f>MAX(SUMIFS('Globiom data'!J$2:J$9999,'Globiom data'!$A$2:$A$9999,Veda!$D33,'Globiom data'!$D$2:$D$9999,VLOOKUP(Veda!$B33,'Globiom data'!$V$21:$X$29,2,FALSE),'Globiom data'!$E$2:$E$9999,Veda!$C$1),0)*1000</f>
        <v>20.21462966700912</v>
      </c>
      <c r="L33" s="2">
        <f>MAX(SUMIFS('Globiom data'!K$2:K$9999,'Globiom data'!$A$2:$A$9999,Veda!$D33,'Globiom data'!$D$2:$D$9999,VLOOKUP(Veda!$B33,'Globiom data'!$V$21:$X$29,2,FALSE),'Globiom data'!$E$2:$E$9999,Veda!$C$1),0)*1000</f>
        <v>30.334415102621907</v>
      </c>
      <c r="M33" s="2">
        <f>MAX(SUMIFS('Globiom data'!L$2:L$9999,'Globiom data'!$A$2:$A$9999,Veda!$D33,'Globiom data'!$D$2:$D$9999,VLOOKUP(Veda!$B33,'Globiom data'!$V$21:$X$29,2,FALSE),'Globiom data'!$E$2:$E$9999,Veda!$C$1),0)*1000</f>
        <v>42.789926318675164</v>
      </c>
      <c r="N33" s="2">
        <f>MAX(SUMIFS('Globiom data'!M$2:M$9999,'Globiom data'!$A$2:$A$9999,Veda!$D33,'Globiom data'!$D$2:$D$9999,VLOOKUP(Veda!$B33,'Globiom data'!$V$21:$X$29,2,FALSE),'Globiom data'!$E$2:$E$9999,Veda!$C$1),0)*1000</f>
        <v>54.696258997830355</v>
      </c>
      <c r="O33" s="2">
        <f>MAX(SUMIFS('Globiom data'!N$2:N$9999,'Globiom data'!$A$2:$A$9999,Veda!$D33,'Globiom data'!$D$2:$D$9999,VLOOKUP(Veda!$B33,'Globiom data'!$V$21:$X$29,2,FALSE),'Globiom data'!$E$2:$E$9999,Veda!$C$1),0)*1000</f>
        <v>64.740068023712553</v>
      </c>
      <c r="P33" s="2">
        <f>MAX(SUMIFS('Globiom data'!O$2:O$9999,'Globiom data'!$A$2:$A$9999,Veda!$D33,'Globiom data'!$D$2:$D$9999,VLOOKUP(Veda!$B33,'Globiom data'!$V$21:$X$29,2,FALSE),'Globiom data'!$E$2:$E$9999,Veda!$C$1),0)*1000</f>
        <v>70.949892404678806</v>
      </c>
      <c r="Q33" s="2">
        <f>MAX(SUMIFS('Globiom data'!P$2:P$9999,'Globiom data'!$A$2:$A$9999,Veda!$D33,'Globiom data'!$D$2:$D$9999,VLOOKUP(Veda!$B33,'Globiom data'!$V$21:$X$29,2,FALSE),'Globiom data'!$E$2:$E$9999,Veda!$C$1),0)*1000</f>
        <v>70.373518945515713</v>
      </c>
      <c r="R33">
        <v>3</v>
      </c>
    </row>
    <row r="34" spans="1:18" x14ac:dyDescent="0.45">
      <c r="A34" s="8">
        <f t="shared" si="5"/>
        <v>5</v>
      </c>
      <c r="B34" s="8">
        <f t="shared" si="6"/>
        <v>1</v>
      </c>
      <c r="D34" t="str">
        <f>VLOOKUP(A34,'Globiom data'!$S$21:$T$51,2,FALSE)</f>
        <v>Asia_east</v>
      </c>
      <c r="E34" t="str">
        <f>VLOOKUP(B34,'Globiom data'!$V$21:$X$30,3,FALSE)</f>
        <v>MinBIOBSL-01</v>
      </c>
      <c r="F34" t="s">
        <v>53</v>
      </c>
      <c r="G34" s="2">
        <f>MAX(SUMIFS('Globiom data'!F$2:F$9999,'Globiom data'!$A$2:$A$9999,Veda!$D34,'Globiom data'!$D$2:$D$9999,VLOOKUP(Veda!$B34,'Globiom data'!$V$21:$X$29,2,FALSE),'Globiom data'!$E$2:$E$9999,Veda!$C$1),0)*1000</f>
        <v>633.78639931949806</v>
      </c>
      <c r="H34" s="2">
        <f>MAX(SUMIFS('Globiom data'!G$2:G$9999,'Globiom data'!$A$2:$A$9999,Veda!$D34,'Globiom data'!$D$2:$D$9999,VLOOKUP(Veda!$B34,'Globiom data'!$V$21:$X$29,2,FALSE),'Globiom data'!$E$2:$E$9999,Veda!$C$1),0)*1000</f>
        <v>438.47529160123253</v>
      </c>
      <c r="I34" s="2">
        <f>MAX(SUMIFS('Globiom data'!H$2:H$9999,'Globiom data'!$A$2:$A$9999,Veda!$D34,'Globiom data'!$D$2:$D$9999,VLOOKUP(Veda!$B34,'Globiom data'!$V$21:$X$29,2,FALSE),'Globiom data'!$E$2:$E$9999,Veda!$C$1),0)*1000</f>
        <v>438.47529160123253</v>
      </c>
      <c r="J34" s="2">
        <f>MAX(SUMIFS('Globiom data'!I$2:I$9999,'Globiom data'!$A$2:$A$9999,Veda!$D34,'Globiom data'!$D$2:$D$9999,VLOOKUP(Veda!$B34,'Globiom data'!$V$21:$X$29,2,FALSE),'Globiom data'!$E$2:$E$9999,Veda!$C$1),0)*1000</f>
        <v>236.27344835787531</v>
      </c>
      <c r="K34" s="2">
        <f>MAX(SUMIFS('Globiom data'!J$2:J$9999,'Globiom data'!$A$2:$A$9999,Veda!$D34,'Globiom data'!$D$2:$D$9999,VLOOKUP(Veda!$B34,'Globiom data'!$V$21:$X$29,2,FALSE),'Globiom data'!$E$2:$E$9999,Veda!$C$1),0)*1000</f>
        <v>67.993596270656937</v>
      </c>
      <c r="L34" s="2">
        <f>MAX(SUMIFS('Globiom data'!K$2:K$9999,'Globiom data'!$A$2:$A$9999,Veda!$D34,'Globiom data'!$D$2:$D$9999,VLOOKUP(Veda!$B34,'Globiom data'!$V$21:$X$29,2,FALSE),'Globiom data'!$E$2:$E$9999,Veda!$C$1),0)*1000</f>
        <v>66.495801783904753</v>
      </c>
      <c r="M34" s="2">
        <f>MAX(SUMIFS('Globiom data'!L$2:L$9999,'Globiom data'!$A$2:$A$9999,Veda!$D34,'Globiom data'!$D$2:$D$9999,VLOOKUP(Veda!$B34,'Globiom data'!$V$21:$X$29,2,FALSE),'Globiom data'!$E$2:$E$9999,Veda!$C$1),0)*1000</f>
        <v>70.987608839298687</v>
      </c>
      <c r="N34" s="2">
        <f>MAX(SUMIFS('Globiom data'!M$2:M$9999,'Globiom data'!$A$2:$A$9999,Veda!$D34,'Globiom data'!$D$2:$D$9999,VLOOKUP(Veda!$B34,'Globiom data'!$V$21:$X$29,2,FALSE),'Globiom data'!$E$2:$E$9999,Veda!$C$1),0)*1000</f>
        <v>66.13758942440009</v>
      </c>
      <c r="O34" s="2">
        <f>MAX(SUMIFS('Globiom data'!N$2:N$9999,'Globiom data'!$A$2:$A$9999,Veda!$D34,'Globiom data'!$D$2:$D$9999,VLOOKUP(Veda!$B34,'Globiom data'!$V$21:$X$29,2,FALSE),'Globiom data'!$E$2:$E$9999,Veda!$C$1),0)*1000</f>
        <v>71.3694834170376</v>
      </c>
      <c r="P34" s="2">
        <f>MAX(SUMIFS('Globiom data'!O$2:O$9999,'Globiom data'!$A$2:$A$9999,Veda!$D34,'Globiom data'!$D$2:$D$9999,VLOOKUP(Veda!$B34,'Globiom data'!$V$21:$X$29,2,FALSE),'Globiom data'!$E$2:$E$9999,Veda!$C$1),0)*1000</f>
        <v>71.610858875136387</v>
      </c>
      <c r="Q34" s="2">
        <f>MAX(SUMIFS('Globiom data'!P$2:P$9999,'Globiom data'!$A$2:$A$9999,Veda!$D34,'Globiom data'!$D$2:$D$9999,VLOOKUP(Veda!$B34,'Globiom data'!$V$21:$X$29,2,FALSE),'Globiom data'!$E$2:$E$9999,Veda!$C$1),0)*1000</f>
        <v>71.364995979368302</v>
      </c>
      <c r="R34">
        <v>3</v>
      </c>
    </row>
    <row r="35" spans="1:18" x14ac:dyDescent="0.45">
      <c r="A35" s="8">
        <f t="shared" si="5"/>
        <v>5</v>
      </c>
      <c r="B35" s="8">
        <f t="shared" si="6"/>
        <v>2</v>
      </c>
      <c r="D35" t="str">
        <f>VLOOKUP(A35,'Globiom data'!$S$21:$T$51,2,FALSE)</f>
        <v>Asia_east</v>
      </c>
      <c r="E35" t="str">
        <f>VLOOKUP(B35,'Globiom data'!$V$21:$X$30,3,FALSE)</f>
        <v>MinBIOBSL-02</v>
      </c>
      <c r="F35" t="s">
        <v>53</v>
      </c>
      <c r="G35" s="2">
        <f>MAX(SUMIFS('Globiom data'!F$2:F$9999,'Globiom data'!$A$2:$A$9999,Veda!$D35,'Globiom data'!$D$2:$D$9999,VLOOKUP(Veda!$B35,'Globiom data'!$V$21:$X$29,2,FALSE),'Globiom data'!$E$2:$E$9999,Veda!$C$1),0)*1000</f>
        <v>0</v>
      </c>
      <c r="H35" s="2">
        <f>MAX(SUMIFS('Globiom data'!G$2:G$9999,'Globiom data'!$A$2:$A$9999,Veda!$D35,'Globiom data'!$D$2:$D$9999,VLOOKUP(Veda!$B35,'Globiom data'!$V$21:$X$29,2,FALSE),'Globiom data'!$E$2:$E$9999,Veda!$C$1),0)*1000</f>
        <v>43.031267485603799</v>
      </c>
      <c r="I35" s="2">
        <f>MAX(SUMIFS('Globiom data'!H$2:H$9999,'Globiom data'!$A$2:$A$9999,Veda!$D35,'Globiom data'!$D$2:$D$9999,VLOOKUP(Veda!$B35,'Globiom data'!$V$21:$X$29,2,FALSE),'Globiom data'!$E$2:$E$9999,Veda!$C$1),0)*1000</f>
        <v>43.031267485603799</v>
      </c>
      <c r="J35" s="2">
        <f>MAX(SUMIFS('Globiom data'!I$2:I$9999,'Globiom data'!$A$2:$A$9999,Veda!$D35,'Globiom data'!$D$2:$D$9999,VLOOKUP(Veda!$B35,'Globiom data'!$V$21:$X$29,2,FALSE),'Globiom data'!$E$2:$E$9999,Veda!$C$1),0)*1000</f>
        <v>40.628181296557784</v>
      </c>
      <c r="K35" s="2">
        <f>MAX(SUMIFS('Globiom data'!J$2:J$9999,'Globiom data'!$A$2:$A$9999,Veda!$D35,'Globiom data'!$D$2:$D$9999,VLOOKUP(Veda!$B35,'Globiom data'!$V$21:$X$29,2,FALSE),'Globiom data'!$E$2:$E$9999,Veda!$C$1),0)*1000</f>
        <v>33.005998937310672</v>
      </c>
      <c r="L35" s="2">
        <f>MAX(SUMIFS('Globiom data'!K$2:K$9999,'Globiom data'!$A$2:$A$9999,Veda!$D35,'Globiom data'!$D$2:$D$9999,VLOOKUP(Veda!$B35,'Globiom data'!$V$21:$X$29,2,FALSE),'Globiom data'!$E$2:$E$9999,Veda!$C$1),0)*1000</f>
        <v>35.416340143808199</v>
      </c>
      <c r="M35" s="2">
        <f>MAX(SUMIFS('Globiom data'!L$2:L$9999,'Globiom data'!$A$2:$A$9999,Veda!$D35,'Globiom data'!$D$2:$D$9999,VLOOKUP(Veda!$B35,'Globiom data'!$V$21:$X$29,2,FALSE),'Globiom data'!$E$2:$E$9999,Veda!$C$1),0)*1000</f>
        <v>31.7917263984831</v>
      </c>
      <c r="N35" s="2">
        <f>MAX(SUMIFS('Globiom data'!M$2:M$9999,'Globiom data'!$A$2:$A$9999,Veda!$D35,'Globiom data'!$D$2:$D$9999,VLOOKUP(Veda!$B35,'Globiom data'!$V$21:$X$29,2,FALSE),'Globiom data'!$E$2:$E$9999,Veda!$C$1),0)*1000</f>
        <v>107.65287769527804</v>
      </c>
      <c r="O35" s="2">
        <f>MAX(SUMIFS('Globiom data'!N$2:N$9999,'Globiom data'!$A$2:$A$9999,Veda!$D35,'Globiom data'!$D$2:$D$9999,VLOOKUP(Veda!$B35,'Globiom data'!$V$21:$X$29,2,FALSE),'Globiom data'!$E$2:$E$9999,Veda!$C$1),0)*1000</f>
        <v>100.32560360565907</v>
      </c>
      <c r="P35" s="2">
        <f>MAX(SUMIFS('Globiom data'!O$2:O$9999,'Globiom data'!$A$2:$A$9999,Veda!$D35,'Globiom data'!$D$2:$D$9999,VLOOKUP(Veda!$B35,'Globiom data'!$V$21:$X$29,2,FALSE),'Globiom data'!$E$2:$E$9999,Veda!$C$1),0)*1000</f>
        <v>95.749140659041188</v>
      </c>
      <c r="Q35" s="2">
        <f>MAX(SUMIFS('Globiom data'!P$2:P$9999,'Globiom data'!$A$2:$A$9999,Veda!$D35,'Globiom data'!$D$2:$D$9999,VLOOKUP(Veda!$B35,'Globiom data'!$V$21:$X$29,2,FALSE),'Globiom data'!$E$2:$E$9999,Veda!$C$1),0)*1000</f>
        <v>91.455244270542337</v>
      </c>
      <c r="R35">
        <v>3</v>
      </c>
    </row>
    <row r="36" spans="1:18" x14ac:dyDescent="0.45">
      <c r="A36" s="8">
        <f t="shared" si="5"/>
        <v>5</v>
      </c>
      <c r="B36" s="8">
        <f t="shared" si="6"/>
        <v>3</v>
      </c>
      <c r="D36" t="str">
        <f>VLOOKUP(A36,'Globiom data'!$S$21:$T$51,2,FALSE)</f>
        <v>Asia_east</v>
      </c>
      <c r="E36" t="str">
        <f>VLOOKUP(B36,'Globiom data'!$V$21:$X$30,3,FALSE)</f>
        <v>MinBIOBSL-03</v>
      </c>
      <c r="F36" t="s">
        <v>53</v>
      </c>
      <c r="G36" s="2">
        <f>MAX(SUMIFS('Globiom data'!F$2:F$9999,'Globiom data'!$A$2:$A$9999,Veda!$D36,'Globiom data'!$D$2:$D$9999,VLOOKUP(Veda!$B36,'Globiom data'!$V$21:$X$29,2,FALSE),'Globiom data'!$E$2:$E$9999,Veda!$C$1),0)*1000</f>
        <v>0</v>
      </c>
      <c r="H36" s="2">
        <f>MAX(SUMIFS('Globiom data'!G$2:G$9999,'Globiom data'!$A$2:$A$9999,Veda!$D36,'Globiom data'!$D$2:$D$9999,VLOOKUP(Veda!$B36,'Globiom data'!$V$21:$X$29,2,FALSE),'Globiom data'!$E$2:$E$9999,Veda!$C$1),0)*1000</f>
        <v>0</v>
      </c>
      <c r="I36" s="2">
        <f>MAX(SUMIFS('Globiom data'!H$2:H$9999,'Globiom data'!$A$2:$A$9999,Veda!$D36,'Globiom data'!$D$2:$D$9999,VLOOKUP(Veda!$B36,'Globiom data'!$V$21:$X$29,2,FALSE),'Globiom data'!$E$2:$E$9999,Veda!$C$1),0)*1000</f>
        <v>0</v>
      </c>
      <c r="J36" s="2">
        <f>MAX(SUMIFS('Globiom data'!I$2:I$9999,'Globiom data'!$A$2:$A$9999,Veda!$D36,'Globiom data'!$D$2:$D$9999,VLOOKUP(Veda!$B36,'Globiom data'!$V$21:$X$29,2,FALSE),'Globiom data'!$E$2:$E$9999,Veda!$C$1),0)*1000</f>
        <v>0.63228264149155167</v>
      </c>
      <c r="K36" s="2">
        <f>MAX(SUMIFS('Globiom data'!J$2:J$9999,'Globiom data'!$A$2:$A$9999,Veda!$D36,'Globiom data'!$D$2:$D$9999,VLOOKUP(Veda!$B36,'Globiom data'!$V$21:$X$29,2,FALSE),'Globiom data'!$E$2:$E$9999,Veda!$C$1),0)*1000</f>
        <v>0</v>
      </c>
      <c r="L36" s="2">
        <f>MAX(SUMIFS('Globiom data'!K$2:K$9999,'Globiom data'!$A$2:$A$9999,Veda!$D36,'Globiom data'!$D$2:$D$9999,VLOOKUP(Veda!$B36,'Globiom data'!$V$21:$X$29,2,FALSE),'Globiom data'!$E$2:$E$9999,Veda!$C$1),0)*1000</f>
        <v>72.167528384379494</v>
      </c>
      <c r="M36" s="2">
        <f>MAX(SUMIFS('Globiom data'!L$2:L$9999,'Globiom data'!$A$2:$A$9999,Veda!$D36,'Globiom data'!$D$2:$D$9999,VLOOKUP(Veda!$B36,'Globiom data'!$V$21:$X$29,2,FALSE),'Globiom data'!$E$2:$E$9999,Veda!$C$1),0)*1000</f>
        <v>72.118694101635214</v>
      </c>
      <c r="N36" s="2">
        <f>MAX(SUMIFS('Globiom data'!M$2:M$9999,'Globiom data'!$A$2:$A$9999,Veda!$D36,'Globiom data'!$D$2:$D$9999,VLOOKUP(Veda!$B36,'Globiom data'!$V$21:$X$29,2,FALSE),'Globiom data'!$E$2:$E$9999,Veda!$C$1),0)*1000</f>
        <v>50.610688466853865</v>
      </c>
      <c r="O36" s="2">
        <f>MAX(SUMIFS('Globiom data'!N$2:N$9999,'Globiom data'!$A$2:$A$9999,Veda!$D36,'Globiom data'!$D$2:$D$9999,VLOOKUP(Veda!$B36,'Globiom data'!$V$21:$X$29,2,FALSE),'Globiom data'!$E$2:$E$9999,Veda!$C$1),0)*1000</f>
        <v>220.75187584022208</v>
      </c>
      <c r="P36" s="2">
        <f>MAX(SUMIFS('Globiom data'!O$2:O$9999,'Globiom data'!$A$2:$A$9999,Veda!$D36,'Globiom data'!$D$2:$D$9999,VLOOKUP(Veda!$B36,'Globiom data'!$V$21:$X$29,2,FALSE),'Globiom data'!$E$2:$E$9999,Veda!$C$1),0)*1000</f>
        <v>366.08272212453574</v>
      </c>
      <c r="Q36" s="2">
        <f>MAX(SUMIFS('Globiom data'!P$2:P$9999,'Globiom data'!$A$2:$A$9999,Veda!$D36,'Globiom data'!$D$2:$D$9999,VLOOKUP(Veda!$B36,'Globiom data'!$V$21:$X$29,2,FALSE),'Globiom data'!$E$2:$E$9999,Veda!$C$1),0)*1000</f>
        <v>502.70774878311909</v>
      </c>
      <c r="R36">
        <v>3</v>
      </c>
    </row>
    <row r="37" spans="1:18" x14ac:dyDescent="0.45">
      <c r="A37" s="8">
        <f t="shared" si="5"/>
        <v>5</v>
      </c>
      <c r="B37" s="8">
        <f t="shared" si="6"/>
        <v>4</v>
      </c>
      <c r="D37" t="str">
        <f>VLOOKUP(A37,'Globiom data'!$S$21:$T$51,2,FALSE)</f>
        <v>Asia_east</v>
      </c>
      <c r="E37" t="str">
        <f>VLOOKUP(B37,'Globiom data'!$V$21:$X$30,3,FALSE)</f>
        <v>MinBIOBSL-04</v>
      </c>
      <c r="F37" t="s">
        <v>53</v>
      </c>
      <c r="G37" s="2">
        <f>MAX(SUMIFS('Globiom data'!F$2:F$9999,'Globiom data'!$A$2:$A$9999,Veda!$D37,'Globiom data'!$D$2:$D$9999,VLOOKUP(Veda!$B37,'Globiom data'!$V$21:$X$29,2,FALSE),'Globiom data'!$E$2:$E$9999,Veda!$C$1),0)*1000</f>
        <v>0</v>
      </c>
      <c r="H37" s="2">
        <f>MAX(SUMIFS('Globiom data'!G$2:G$9999,'Globiom data'!$A$2:$A$9999,Veda!$D37,'Globiom data'!$D$2:$D$9999,VLOOKUP(Veda!$B37,'Globiom data'!$V$21:$X$29,2,FALSE),'Globiom data'!$E$2:$E$9999,Veda!$C$1),0)*1000</f>
        <v>2.3277710714543312</v>
      </c>
      <c r="I37" s="2">
        <f>MAX(SUMIFS('Globiom data'!H$2:H$9999,'Globiom data'!$A$2:$A$9999,Veda!$D37,'Globiom data'!$D$2:$D$9999,VLOOKUP(Veda!$B37,'Globiom data'!$V$21:$X$29,2,FALSE),'Globiom data'!$E$2:$E$9999,Veda!$C$1),0)*1000</f>
        <v>2.3277710714543312</v>
      </c>
      <c r="J37" s="2">
        <f>MAX(SUMIFS('Globiom data'!I$2:I$9999,'Globiom data'!$A$2:$A$9999,Veda!$D37,'Globiom data'!$D$2:$D$9999,VLOOKUP(Veda!$B37,'Globiom data'!$V$21:$X$29,2,FALSE),'Globiom data'!$E$2:$E$9999,Veda!$C$1),0)*1000</f>
        <v>2.1833119243107655</v>
      </c>
      <c r="K37" s="2">
        <f>MAX(SUMIFS('Globiom data'!J$2:J$9999,'Globiom data'!$A$2:$A$9999,Veda!$D37,'Globiom data'!$D$2:$D$9999,VLOOKUP(Veda!$B37,'Globiom data'!$V$21:$X$29,2,FALSE),'Globiom data'!$E$2:$E$9999,Veda!$C$1),0)*1000</f>
        <v>75.466929575998265</v>
      </c>
      <c r="L37" s="2">
        <f>MAX(SUMIFS('Globiom data'!K$2:K$9999,'Globiom data'!$A$2:$A$9999,Veda!$D37,'Globiom data'!$D$2:$D$9999,VLOOKUP(Veda!$B37,'Globiom data'!$V$21:$X$29,2,FALSE),'Globiom data'!$E$2:$E$9999,Veda!$C$1),0)*1000</f>
        <v>65.30542532787176</v>
      </c>
      <c r="M37" s="2">
        <f>MAX(SUMIFS('Globiom data'!L$2:L$9999,'Globiom data'!$A$2:$A$9999,Veda!$D37,'Globiom data'!$D$2:$D$9999,VLOOKUP(Veda!$B37,'Globiom data'!$V$21:$X$29,2,FALSE),'Globiom data'!$E$2:$E$9999,Veda!$C$1),0)*1000</f>
        <v>276.6064080206429</v>
      </c>
      <c r="N37" s="2">
        <f>MAX(SUMIFS('Globiom data'!M$2:M$9999,'Globiom data'!$A$2:$A$9999,Veda!$D37,'Globiom data'!$D$2:$D$9999,VLOOKUP(Veda!$B37,'Globiom data'!$V$21:$X$29,2,FALSE),'Globiom data'!$E$2:$E$9999,Veda!$C$1),0)*1000</f>
        <v>427.6122751240793</v>
      </c>
      <c r="O37" s="2">
        <f>MAX(SUMIFS('Globiom data'!N$2:N$9999,'Globiom data'!$A$2:$A$9999,Veda!$D37,'Globiom data'!$D$2:$D$9999,VLOOKUP(Veda!$B37,'Globiom data'!$V$21:$X$29,2,FALSE),'Globiom data'!$E$2:$E$9999,Veda!$C$1),0)*1000</f>
        <v>444.98120107701754</v>
      </c>
      <c r="P37" s="2">
        <f>MAX(SUMIFS('Globiom data'!O$2:O$9999,'Globiom data'!$A$2:$A$9999,Veda!$D37,'Globiom data'!$D$2:$D$9999,VLOOKUP(Veda!$B37,'Globiom data'!$V$21:$X$29,2,FALSE),'Globiom data'!$E$2:$E$9999,Veda!$C$1),0)*1000</f>
        <v>470.61995258064803</v>
      </c>
      <c r="Q37" s="2">
        <f>MAX(SUMIFS('Globiom data'!P$2:P$9999,'Globiom data'!$A$2:$A$9999,Veda!$D37,'Globiom data'!$D$2:$D$9999,VLOOKUP(Veda!$B37,'Globiom data'!$V$21:$X$29,2,FALSE),'Globiom data'!$E$2:$E$9999,Veda!$C$1),0)*1000</f>
        <v>434.42491428537102</v>
      </c>
      <c r="R37">
        <v>3</v>
      </c>
    </row>
    <row r="38" spans="1:18" x14ac:dyDescent="0.45">
      <c r="A38" s="8">
        <f t="shared" si="5"/>
        <v>5</v>
      </c>
      <c r="B38" s="8">
        <f t="shared" si="6"/>
        <v>5</v>
      </c>
      <c r="D38" t="str">
        <f>VLOOKUP(A38,'Globiom data'!$S$21:$T$51,2,FALSE)</f>
        <v>Asia_east</v>
      </c>
      <c r="E38" t="str">
        <f>VLOOKUP(B38,'Globiom data'!$V$21:$X$30,3,FALSE)</f>
        <v>MinBIOBSL-05</v>
      </c>
      <c r="F38" t="s">
        <v>53</v>
      </c>
      <c r="G38" s="2">
        <f>MAX(SUMIFS('Globiom data'!F$2:F$9999,'Globiom data'!$A$2:$A$9999,Veda!$D38,'Globiom data'!$D$2:$D$9999,VLOOKUP(Veda!$B38,'Globiom data'!$V$21:$X$29,2,FALSE),'Globiom data'!$E$2:$E$9999,Veda!$C$1),0)*1000</f>
        <v>0</v>
      </c>
      <c r="H38" s="2">
        <f>MAX(SUMIFS('Globiom data'!G$2:G$9999,'Globiom data'!$A$2:$A$9999,Veda!$D38,'Globiom data'!$D$2:$D$9999,VLOOKUP(Veda!$B38,'Globiom data'!$V$21:$X$29,2,FALSE),'Globiom data'!$E$2:$E$9999,Veda!$C$1),0)*1000</f>
        <v>0</v>
      </c>
      <c r="I38" s="2">
        <f>MAX(SUMIFS('Globiom data'!H$2:H$9999,'Globiom data'!$A$2:$A$9999,Veda!$D38,'Globiom data'!$D$2:$D$9999,VLOOKUP(Veda!$B38,'Globiom data'!$V$21:$X$29,2,FALSE),'Globiom data'!$E$2:$E$9999,Veda!$C$1),0)*1000</f>
        <v>0</v>
      </c>
      <c r="J38" s="2">
        <f>MAX(SUMIFS('Globiom data'!I$2:I$9999,'Globiom data'!$A$2:$A$9999,Veda!$D38,'Globiom data'!$D$2:$D$9999,VLOOKUP(Veda!$B38,'Globiom data'!$V$21:$X$29,2,FALSE),'Globiom data'!$E$2:$E$9999,Veda!$C$1),0)*1000</f>
        <v>67.147274120318485</v>
      </c>
      <c r="K38" s="2">
        <f>MAX(SUMIFS('Globiom data'!J$2:J$9999,'Globiom data'!$A$2:$A$9999,Veda!$D38,'Globiom data'!$D$2:$D$9999,VLOOKUP(Veda!$B38,'Globiom data'!$V$21:$X$29,2,FALSE),'Globiom data'!$E$2:$E$9999,Veda!$C$1),0)*1000</f>
        <v>188.73684823498817</v>
      </c>
      <c r="L38" s="2">
        <f>MAX(SUMIFS('Globiom data'!K$2:K$9999,'Globiom data'!$A$2:$A$9999,Veda!$D38,'Globiom data'!$D$2:$D$9999,VLOOKUP(Veda!$B38,'Globiom data'!$V$21:$X$29,2,FALSE),'Globiom data'!$E$2:$E$9999,Veda!$C$1),0)*1000</f>
        <v>369.88507079359817</v>
      </c>
      <c r="M38" s="2">
        <f>MAX(SUMIFS('Globiom data'!L$2:L$9999,'Globiom data'!$A$2:$A$9999,Veda!$D38,'Globiom data'!$D$2:$D$9999,VLOOKUP(Veda!$B38,'Globiom data'!$V$21:$X$29,2,FALSE),'Globiom data'!$E$2:$E$9999,Veda!$C$1),0)*1000</f>
        <v>377.94933020432467</v>
      </c>
      <c r="N38" s="2">
        <f>MAX(SUMIFS('Globiom data'!M$2:M$9999,'Globiom data'!$A$2:$A$9999,Veda!$D38,'Globiom data'!$D$2:$D$9999,VLOOKUP(Veda!$B38,'Globiom data'!$V$21:$X$29,2,FALSE),'Globiom data'!$E$2:$E$9999,Veda!$C$1),0)*1000</f>
        <v>377.66496053253661</v>
      </c>
      <c r="O38" s="2">
        <f>MAX(SUMIFS('Globiom data'!N$2:N$9999,'Globiom data'!$A$2:$A$9999,Veda!$D38,'Globiom data'!$D$2:$D$9999,VLOOKUP(Veda!$B38,'Globiom data'!$V$21:$X$29,2,FALSE),'Globiom data'!$E$2:$E$9999,Veda!$C$1),0)*1000</f>
        <v>321.07040685095319</v>
      </c>
      <c r="P38" s="2">
        <f>MAX(SUMIFS('Globiom data'!O$2:O$9999,'Globiom data'!$A$2:$A$9999,Veda!$D38,'Globiom data'!$D$2:$D$9999,VLOOKUP(Veda!$B38,'Globiom data'!$V$21:$X$29,2,FALSE),'Globiom data'!$E$2:$E$9999,Veda!$C$1),0)*1000</f>
        <v>230.14915549214638</v>
      </c>
      <c r="Q38" s="2">
        <f>MAX(SUMIFS('Globiom data'!P$2:P$9999,'Globiom data'!$A$2:$A$9999,Veda!$D38,'Globiom data'!$D$2:$D$9999,VLOOKUP(Veda!$B38,'Globiom data'!$V$21:$X$29,2,FALSE),'Globiom data'!$E$2:$E$9999,Veda!$C$1),0)*1000</f>
        <v>182.12403028358887</v>
      </c>
      <c r="R38">
        <v>3</v>
      </c>
    </row>
    <row r="39" spans="1:18" x14ac:dyDescent="0.45">
      <c r="A39" s="8">
        <f t="shared" si="5"/>
        <v>5</v>
      </c>
      <c r="B39" s="8">
        <f t="shared" si="6"/>
        <v>6</v>
      </c>
      <c r="D39" t="str">
        <f>VLOOKUP(A39,'Globiom data'!$S$21:$T$51,2,FALSE)</f>
        <v>Asia_east</v>
      </c>
      <c r="E39" t="str">
        <f>VLOOKUP(B39,'Globiom data'!$V$21:$X$30,3,FALSE)</f>
        <v>MinBIOBSL-06</v>
      </c>
      <c r="F39" t="s">
        <v>53</v>
      </c>
      <c r="G39" s="2">
        <f>MAX(SUMIFS('Globiom data'!F$2:F$9999,'Globiom data'!$A$2:$A$9999,Veda!$D39,'Globiom data'!$D$2:$D$9999,VLOOKUP(Veda!$B39,'Globiom data'!$V$21:$X$29,2,FALSE),'Globiom data'!$E$2:$E$9999,Veda!$C$1),0)*1000</f>
        <v>0</v>
      </c>
      <c r="H39" s="2">
        <f>MAX(SUMIFS('Globiom data'!G$2:G$9999,'Globiom data'!$A$2:$A$9999,Veda!$D39,'Globiom data'!$D$2:$D$9999,VLOOKUP(Veda!$B39,'Globiom data'!$V$21:$X$29,2,FALSE),'Globiom data'!$E$2:$E$9999,Veda!$C$1),0)*1000</f>
        <v>55.580294868039786</v>
      </c>
      <c r="I39" s="2">
        <f>MAX(SUMIFS('Globiom data'!H$2:H$9999,'Globiom data'!$A$2:$A$9999,Veda!$D39,'Globiom data'!$D$2:$D$9999,VLOOKUP(Veda!$B39,'Globiom data'!$V$21:$X$29,2,FALSE),'Globiom data'!$E$2:$E$9999,Veda!$C$1),0)*1000</f>
        <v>55.580294868039786</v>
      </c>
      <c r="J39" s="2">
        <f>MAX(SUMIFS('Globiom data'!I$2:I$9999,'Globiom data'!$A$2:$A$9999,Veda!$D39,'Globiom data'!$D$2:$D$9999,VLOOKUP(Veda!$B39,'Globiom data'!$V$21:$X$29,2,FALSE),'Globiom data'!$E$2:$E$9999,Veda!$C$1),0)*1000</f>
        <v>347.15766078241489</v>
      </c>
      <c r="K39" s="2">
        <f>MAX(SUMIFS('Globiom data'!J$2:J$9999,'Globiom data'!$A$2:$A$9999,Veda!$D39,'Globiom data'!$D$2:$D$9999,VLOOKUP(Veda!$B39,'Globiom data'!$V$21:$X$29,2,FALSE),'Globiom data'!$E$2:$E$9999,Veda!$C$1),0)*1000</f>
        <v>471.84505530262453</v>
      </c>
      <c r="L39" s="2">
        <f>MAX(SUMIFS('Globiom data'!K$2:K$9999,'Globiom data'!$A$2:$A$9999,Veda!$D39,'Globiom data'!$D$2:$D$9999,VLOOKUP(Veda!$B39,'Globiom data'!$V$21:$X$29,2,FALSE),'Globiom data'!$E$2:$E$9999,Veda!$C$1),0)*1000</f>
        <v>399.89109898778662</v>
      </c>
      <c r="M39" s="2">
        <f>MAX(SUMIFS('Globiom data'!L$2:L$9999,'Globiom data'!$A$2:$A$9999,Veda!$D39,'Globiom data'!$D$2:$D$9999,VLOOKUP(Veda!$B39,'Globiom data'!$V$21:$X$29,2,FALSE),'Globiom data'!$E$2:$E$9999,Veda!$C$1),0)*1000</f>
        <v>332.02090838389842</v>
      </c>
      <c r="N39" s="2">
        <f>MAX(SUMIFS('Globiom data'!M$2:M$9999,'Globiom data'!$A$2:$A$9999,Veda!$D39,'Globiom data'!$D$2:$D$9999,VLOOKUP(Veda!$B39,'Globiom data'!$V$21:$X$29,2,FALSE),'Globiom data'!$E$2:$E$9999,Veda!$C$1),0)*1000</f>
        <v>258.70847162726869</v>
      </c>
      <c r="O39" s="2">
        <f>MAX(SUMIFS('Globiom data'!N$2:N$9999,'Globiom data'!$A$2:$A$9999,Veda!$D39,'Globiom data'!$D$2:$D$9999,VLOOKUP(Veda!$B39,'Globiom data'!$V$21:$X$29,2,FALSE),'Globiom data'!$E$2:$E$9999,Veda!$C$1),0)*1000</f>
        <v>217.50783546117614</v>
      </c>
      <c r="P39" s="2">
        <f>MAX(SUMIFS('Globiom data'!O$2:O$9999,'Globiom data'!$A$2:$A$9999,Veda!$D39,'Globiom data'!$D$2:$D$9999,VLOOKUP(Veda!$B39,'Globiom data'!$V$21:$X$29,2,FALSE),'Globiom data'!$E$2:$E$9999,Veda!$C$1),0)*1000</f>
        <v>234.20346242230843</v>
      </c>
      <c r="Q39" s="2">
        <f>MAX(SUMIFS('Globiom data'!P$2:P$9999,'Globiom data'!$A$2:$A$9999,Veda!$D39,'Globiom data'!$D$2:$D$9999,VLOOKUP(Veda!$B39,'Globiom data'!$V$21:$X$29,2,FALSE),'Globiom data'!$E$2:$E$9999,Veda!$C$1),0)*1000</f>
        <v>254.28180263482969</v>
      </c>
      <c r="R39">
        <v>3</v>
      </c>
    </row>
    <row r="40" spans="1:18" x14ac:dyDescent="0.45">
      <c r="A40" s="8">
        <f t="shared" si="5"/>
        <v>5</v>
      </c>
      <c r="B40" s="8">
        <f t="shared" si="6"/>
        <v>7</v>
      </c>
      <c r="D40" t="str">
        <f>VLOOKUP(A40,'Globiom data'!$S$21:$T$51,2,FALSE)</f>
        <v>Asia_east</v>
      </c>
      <c r="E40" t="str">
        <f>VLOOKUP(B40,'Globiom data'!$V$21:$X$30,3,FALSE)</f>
        <v>MinBIOBSL-07</v>
      </c>
      <c r="F40" t="s">
        <v>53</v>
      </c>
      <c r="G40" s="2">
        <f>MAX(SUMIFS('Globiom data'!F$2:F$9999,'Globiom data'!$A$2:$A$9999,Veda!$D40,'Globiom data'!$D$2:$D$9999,VLOOKUP(Veda!$B40,'Globiom data'!$V$21:$X$29,2,FALSE),'Globiom data'!$E$2:$E$9999,Veda!$C$1),0)*1000</f>
        <v>0</v>
      </c>
      <c r="H40" s="2">
        <f>MAX(SUMIFS('Globiom data'!G$2:G$9999,'Globiom data'!$A$2:$A$9999,Veda!$D40,'Globiom data'!$D$2:$D$9999,VLOOKUP(Veda!$B40,'Globiom data'!$V$21:$X$29,2,FALSE),'Globiom data'!$E$2:$E$9999,Veda!$C$1),0)*1000</f>
        <v>115.17125666785817</v>
      </c>
      <c r="I40" s="2">
        <f>MAX(SUMIFS('Globiom data'!H$2:H$9999,'Globiom data'!$A$2:$A$9999,Veda!$D40,'Globiom data'!$D$2:$D$9999,VLOOKUP(Veda!$B40,'Globiom data'!$V$21:$X$29,2,FALSE),'Globiom data'!$E$2:$E$9999,Veda!$C$1),0)*1000</f>
        <v>115.17125666785817</v>
      </c>
      <c r="J40" s="2">
        <f>MAX(SUMIFS('Globiom data'!I$2:I$9999,'Globiom data'!$A$2:$A$9999,Veda!$D40,'Globiom data'!$D$2:$D$9999,VLOOKUP(Veda!$B40,'Globiom data'!$V$21:$X$29,2,FALSE),'Globiom data'!$E$2:$E$9999,Veda!$C$1),0)*1000</f>
        <v>172.96809154850433</v>
      </c>
      <c r="K40" s="2">
        <f>MAX(SUMIFS('Globiom data'!J$2:J$9999,'Globiom data'!$A$2:$A$9999,Veda!$D40,'Globiom data'!$D$2:$D$9999,VLOOKUP(Veda!$B40,'Globiom data'!$V$21:$X$29,2,FALSE),'Globiom data'!$E$2:$E$9999,Veda!$C$1),0)*1000</f>
        <v>82.227268886112981</v>
      </c>
      <c r="L40" s="2">
        <f>MAX(SUMIFS('Globiom data'!K$2:K$9999,'Globiom data'!$A$2:$A$9999,Veda!$D40,'Globiom data'!$D$2:$D$9999,VLOOKUP(Veda!$B40,'Globiom data'!$V$21:$X$29,2,FALSE),'Globiom data'!$E$2:$E$9999,Veda!$C$1),0)*1000</f>
        <v>78.146180175044847</v>
      </c>
      <c r="M40" s="2">
        <f>MAX(SUMIFS('Globiom data'!L$2:L$9999,'Globiom data'!$A$2:$A$9999,Veda!$D40,'Globiom data'!$D$2:$D$9999,VLOOKUP(Veda!$B40,'Globiom data'!$V$21:$X$29,2,FALSE),'Globiom data'!$E$2:$E$9999,Veda!$C$1),0)*1000</f>
        <v>114.2692847845091</v>
      </c>
      <c r="N40" s="2">
        <f>MAX(SUMIFS('Globiom data'!M$2:M$9999,'Globiom data'!$A$2:$A$9999,Veda!$D40,'Globiom data'!$D$2:$D$9999,VLOOKUP(Veda!$B40,'Globiom data'!$V$21:$X$29,2,FALSE),'Globiom data'!$E$2:$E$9999,Veda!$C$1),0)*1000</f>
        <v>136.12059681563377</v>
      </c>
      <c r="O40" s="2">
        <f>MAX(SUMIFS('Globiom data'!N$2:N$9999,'Globiom data'!$A$2:$A$9999,Veda!$D40,'Globiom data'!$D$2:$D$9999,VLOOKUP(Veda!$B40,'Globiom data'!$V$21:$X$29,2,FALSE),'Globiom data'!$E$2:$E$9999,Veda!$C$1),0)*1000</f>
        <v>156.3030117928673</v>
      </c>
      <c r="P40" s="2">
        <f>MAX(SUMIFS('Globiom data'!O$2:O$9999,'Globiom data'!$A$2:$A$9999,Veda!$D40,'Globiom data'!$D$2:$D$9999,VLOOKUP(Veda!$B40,'Globiom data'!$V$21:$X$29,2,FALSE),'Globiom data'!$E$2:$E$9999,Veda!$C$1),0)*1000</f>
        <v>153.867729405956</v>
      </c>
      <c r="Q40" s="2">
        <f>MAX(SUMIFS('Globiom data'!P$2:P$9999,'Globiom data'!$A$2:$A$9999,Veda!$D40,'Globiom data'!$D$2:$D$9999,VLOOKUP(Veda!$B40,'Globiom data'!$V$21:$X$29,2,FALSE),'Globiom data'!$E$2:$E$9999,Veda!$C$1),0)*1000</f>
        <v>149.70577190911533</v>
      </c>
      <c r="R40">
        <v>3</v>
      </c>
    </row>
    <row r="41" spans="1:18" x14ac:dyDescent="0.45">
      <c r="A41" s="8">
        <f t="shared" si="5"/>
        <v>6</v>
      </c>
      <c r="B41" s="8">
        <f t="shared" si="6"/>
        <v>1</v>
      </c>
      <c r="D41" t="str">
        <f>VLOOKUP(A41,'Globiom data'!$S$21:$T$51,2,FALSE)</f>
        <v>Asia_other</v>
      </c>
      <c r="E41" t="str">
        <f>VLOOKUP(B41,'Globiom data'!$V$21:$X$30,3,FALSE)</f>
        <v>MinBIOBSL-01</v>
      </c>
      <c r="F41" t="s">
        <v>53</v>
      </c>
      <c r="G41" s="2">
        <f>MAX(SUMIFS('Globiom data'!F$2:F$9999,'Globiom data'!$A$2:$A$9999,Veda!$D41,'Globiom data'!$D$2:$D$9999,VLOOKUP(Veda!$B41,'Globiom data'!$V$21:$X$29,2,FALSE),'Globiom data'!$E$2:$E$9999,Veda!$C$1),0)*1000</f>
        <v>8417.9379746092964</v>
      </c>
      <c r="H41" s="2">
        <f>MAX(SUMIFS('Globiom data'!G$2:G$9999,'Globiom data'!$A$2:$A$9999,Veda!$D41,'Globiom data'!$D$2:$D$9999,VLOOKUP(Veda!$B41,'Globiom data'!$V$21:$X$29,2,FALSE),'Globiom data'!$E$2:$E$9999,Veda!$C$1),0)*1000</f>
        <v>7711.4752577451727</v>
      </c>
      <c r="I41" s="2">
        <f>MAX(SUMIFS('Globiom data'!H$2:H$9999,'Globiom data'!$A$2:$A$9999,Veda!$D41,'Globiom data'!$D$2:$D$9999,VLOOKUP(Veda!$B41,'Globiom data'!$V$21:$X$29,2,FALSE),'Globiom data'!$E$2:$E$9999,Veda!$C$1),0)*1000</f>
        <v>7711.4752577451727</v>
      </c>
      <c r="J41" s="2">
        <f>MAX(SUMIFS('Globiom data'!I$2:I$9999,'Globiom data'!$A$2:$A$9999,Veda!$D41,'Globiom data'!$D$2:$D$9999,VLOOKUP(Veda!$B41,'Globiom data'!$V$21:$X$29,2,FALSE),'Globiom data'!$E$2:$E$9999,Veda!$C$1),0)*1000</f>
        <v>6864.5732443914931</v>
      </c>
      <c r="K41" s="2">
        <f>MAX(SUMIFS('Globiom data'!J$2:J$9999,'Globiom data'!$A$2:$A$9999,Veda!$D41,'Globiom data'!$D$2:$D$9999,VLOOKUP(Veda!$B41,'Globiom data'!$V$21:$X$29,2,FALSE),'Globiom data'!$E$2:$E$9999,Veda!$C$1),0)*1000</f>
        <v>5748.2017256179852</v>
      </c>
      <c r="L41" s="2">
        <f>MAX(SUMIFS('Globiom data'!K$2:K$9999,'Globiom data'!$A$2:$A$9999,Veda!$D41,'Globiom data'!$D$2:$D$9999,VLOOKUP(Veda!$B41,'Globiom data'!$V$21:$X$29,2,FALSE),'Globiom data'!$E$2:$E$9999,Veda!$C$1),0)*1000</f>
        <v>4329.2271925593068</v>
      </c>
      <c r="M41" s="2">
        <f>MAX(SUMIFS('Globiom data'!L$2:L$9999,'Globiom data'!$A$2:$A$9999,Veda!$D41,'Globiom data'!$D$2:$D$9999,VLOOKUP(Veda!$B41,'Globiom data'!$V$21:$X$29,2,FALSE),'Globiom data'!$E$2:$E$9999,Veda!$C$1),0)*1000</f>
        <v>2973.4274977920327</v>
      </c>
      <c r="N41" s="2">
        <f>MAX(SUMIFS('Globiom data'!M$2:M$9999,'Globiom data'!$A$2:$A$9999,Veda!$D41,'Globiom data'!$D$2:$D$9999,VLOOKUP(Veda!$B41,'Globiom data'!$V$21:$X$29,2,FALSE),'Globiom data'!$E$2:$E$9999,Veda!$C$1),0)*1000</f>
        <v>2430.6901447050404</v>
      </c>
      <c r="O41" s="2">
        <f>MAX(SUMIFS('Globiom data'!N$2:N$9999,'Globiom data'!$A$2:$A$9999,Veda!$D41,'Globiom data'!$D$2:$D$9999,VLOOKUP(Veda!$B41,'Globiom data'!$V$21:$X$29,2,FALSE),'Globiom data'!$E$2:$E$9999,Veda!$C$1),0)*1000</f>
        <v>1745.1813950034823</v>
      </c>
      <c r="P41" s="2">
        <f>MAX(SUMIFS('Globiom data'!O$2:O$9999,'Globiom data'!$A$2:$A$9999,Veda!$D41,'Globiom data'!$D$2:$D$9999,VLOOKUP(Veda!$B41,'Globiom data'!$V$21:$X$29,2,FALSE),'Globiom data'!$E$2:$E$9999,Veda!$C$1),0)*1000</f>
        <v>1748.6706378128913</v>
      </c>
      <c r="Q41" s="2">
        <f>MAX(SUMIFS('Globiom data'!P$2:P$9999,'Globiom data'!$A$2:$A$9999,Veda!$D41,'Globiom data'!$D$2:$D$9999,VLOOKUP(Veda!$B41,'Globiom data'!$V$21:$X$29,2,FALSE),'Globiom data'!$E$2:$E$9999,Veda!$C$1),0)*1000</f>
        <v>1764.3698013478704</v>
      </c>
      <c r="R41">
        <v>3</v>
      </c>
    </row>
    <row r="42" spans="1:18" x14ac:dyDescent="0.45">
      <c r="A42" s="8">
        <f t="shared" si="5"/>
        <v>6</v>
      </c>
      <c r="B42" s="8">
        <f t="shared" si="6"/>
        <v>2</v>
      </c>
      <c r="D42" t="str">
        <f>VLOOKUP(A42,'Globiom data'!$S$21:$T$51,2,FALSE)</f>
        <v>Asia_other</v>
      </c>
      <c r="E42" t="str">
        <f>VLOOKUP(B42,'Globiom data'!$V$21:$X$30,3,FALSE)</f>
        <v>MinBIOBSL-02</v>
      </c>
      <c r="F42" t="s">
        <v>53</v>
      </c>
      <c r="G42" s="2">
        <f>MAX(SUMIFS('Globiom data'!F$2:F$9999,'Globiom data'!$A$2:$A$9999,Veda!$D42,'Globiom data'!$D$2:$D$9999,VLOOKUP(Veda!$B42,'Globiom data'!$V$21:$X$29,2,FALSE),'Globiom data'!$E$2:$E$9999,Veda!$C$1),0)*1000</f>
        <v>0</v>
      </c>
      <c r="H42" s="2">
        <f>MAX(SUMIFS('Globiom data'!G$2:G$9999,'Globiom data'!$A$2:$A$9999,Veda!$D42,'Globiom data'!$D$2:$D$9999,VLOOKUP(Veda!$B42,'Globiom data'!$V$21:$X$29,2,FALSE),'Globiom data'!$E$2:$E$9999,Veda!$C$1),0)*1000</f>
        <v>73.227969633017452</v>
      </c>
      <c r="I42" s="2">
        <f>MAX(SUMIFS('Globiom data'!H$2:H$9999,'Globiom data'!$A$2:$A$9999,Veda!$D42,'Globiom data'!$D$2:$D$9999,VLOOKUP(Veda!$B42,'Globiom data'!$V$21:$X$29,2,FALSE),'Globiom data'!$E$2:$E$9999,Veda!$C$1),0)*1000</f>
        <v>73.227969633017452</v>
      </c>
      <c r="J42" s="2">
        <f>MAX(SUMIFS('Globiom data'!I$2:I$9999,'Globiom data'!$A$2:$A$9999,Veda!$D42,'Globiom data'!$D$2:$D$9999,VLOOKUP(Veda!$B42,'Globiom data'!$V$21:$X$29,2,FALSE),'Globiom data'!$E$2:$E$9999,Veda!$C$1),0)*1000</f>
        <v>97.765103386367059</v>
      </c>
      <c r="K42" s="2">
        <f>MAX(SUMIFS('Globiom data'!J$2:J$9999,'Globiom data'!$A$2:$A$9999,Veda!$D42,'Globiom data'!$D$2:$D$9999,VLOOKUP(Veda!$B42,'Globiom data'!$V$21:$X$29,2,FALSE),'Globiom data'!$E$2:$E$9999,Veda!$C$1),0)*1000</f>
        <v>160.30208417034606</v>
      </c>
      <c r="L42" s="2">
        <f>MAX(SUMIFS('Globiom data'!K$2:K$9999,'Globiom data'!$A$2:$A$9999,Veda!$D42,'Globiom data'!$D$2:$D$9999,VLOOKUP(Veda!$B42,'Globiom data'!$V$21:$X$29,2,FALSE),'Globiom data'!$E$2:$E$9999,Veda!$C$1),0)*1000</f>
        <v>109.69587210973603</v>
      </c>
      <c r="M42" s="2">
        <f>MAX(SUMIFS('Globiom data'!L$2:L$9999,'Globiom data'!$A$2:$A$9999,Veda!$D42,'Globiom data'!$D$2:$D$9999,VLOOKUP(Veda!$B42,'Globiom data'!$V$21:$X$29,2,FALSE),'Globiom data'!$E$2:$E$9999,Veda!$C$1),0)*1000</f>
        <v>225.450753208035</v>
      </c>
      <c r="N42" s="2">
        <f>MAX(SUMIFS('Globiom data'!M$2:M$9999,'Globiom data'!$A$2:$A$9999,Veda!$D42,'Globiom data'!$D$2:$D$9999,VLOOKUP(Veda!$B42,'Globiom data'!$V$21:$X$29,2,FALSE),'Globiom data'!$E$2:$E$9999,Veda!$C$1),0)*1000</f>
        <v>424.56239079723298</v>
      </c>
      <c r="O42" s="2">
        <f>MAX(SUMIFS('Globiom data'!N$2:N$9999,'Globiom data'!$A$2:$A$9999,Veda!$D42,'Globiom data'!$D$2:$D$9999,VLOOKUP(Veda!$B42,'Globiom data'!$V$21:$X$29,2,FALSE),'Globiom data'!$E$2:$E$9999,Veda!$C$1),0)*1000</f>
        <v>486.71814772695183</v>
      </c>
      <c r="P42" s="2">
        <f>MAX(SUMIFS('Globiom data'!O$2:O$9999,'Globiom data'!$A$2:$A$9999,Veda!$D42,'Globiom data'!$D$2:$D$9999,VLOOKUP(Veda!$B42,'Globiom data'!$V$21:$X$29,2,FALSE),'Globiom data'!$E$2:$E$9999,Veda!$C$1),0)*1000</f>
        <v>515.79901351502645</v>
      </c>
      <c r="Q42" s="2">
        <f>MAX(SUMIFS('Globiom data'!P$2:P$9999,'Globiom data'!$A$2:$A$9999,Veda!$D42,'Globiom data'!$D$2:$D$9999,VLOOKUP(Veda!$B42,'Globiom data'!$V$21:$X$29,2,FALSE),'Globiom data'!$E$2:$E$9999,Veda!$C$1),0)*1000</f>
        <v>699.40779431081876</v>
      </c>
      <c r="R42">
        <v>3</v>
      </c>
    </row>
    <row r="43" spans="1:18" x14ac:dyDescent="0.45">
      <c r="A43" s="8">
        <f t="shared" si="5"/>
        <v>6</v>
      </c>
      <c r="B43" s="8">
        <f t="shared" si="6"/>
        <v>3</v>
      </c>
      <c r="D43" t="str">
        <f>VLOOKUP(A43,'Globiom data'!$S$21:$T$51,2,FALSE)</f>
        <v>Asia_other</v>
      </c>
      <c r="E43" t="str">
        <f>VLOOKUP(B43,'Globiom data'!$V$21:$X$30,3,FALSE)</f>
        <v>MinBIOBSL-03</v>
      </c>
      <c r="F43" t="s">
        <v>53</v>
      </c>
      <c r="G43" s="2">
        <f>MAX(SUMIFS('Globiom data'!F$2:F$9999,'Globiom data'!$A$2:$A$9999,Veda!$D43,'Globiom data'!$D$2:$D$9999,VLOOKUP(Veda!$B43,'Globiom data'!$V$21:$X$29,2,FALSE),'Globiom data'!$E$2:$E$9999,Veda!$C$1),0)*1000</f>
        <v>0</v>
      </c>
      <c r="H43" s="2">
        <f>MAX(SUMIFS('Globiom data'!G$2:G$9999,'Globiom data'!$A$2:$A$9999,Veda!$D43,'Globiom data'!$D$2:$D$9999,VLOOKUP(Veda!$B43,'Globiom data'!$V$21:$X$29,2,FALSE),'Globiom data'!$E$2:$E$9999,Veda!$C$1),0)*1000</f>
        <v>8.0410358256405523</v>
      </c>
      <c r="I43" s="2">
        <f>MAX(SUMIFS('Globiom data'!H$2:H$9999,'Globiom data'!$A$2:$A$9999,Veda!$D43,'Globiom data'!$D$2:$D$9999,VLOOKUP(Veda!$B43,'Globiom data'!$V$21:$X$29,2,FALSE),'Globiom data'!$E$2:$E$9999,Veda!$C$1),0)*1000</f>
        <v>8.0410358256405523</v>
      </c>
      <c r="J43" s="2">
        <f>MAX(SUMIFS('Globiom data'!I$2:I$9999,'Globiom data'!$A$2:$A$9999,Veda!$D43,'Globiom data'!$D$2:$D$9999,VLOOKUP(Veda!$B43,'Globiom data'!$V$21:$X$29,2,FALSE),'Globiom data'!$E$2:$E$9999,Veda!$C$1),0)*1000</f>
        <v>3.6472528167522942</v>
      </c>
      <c r="K43" s="2">
        <f>MAX(SUMIFS('Globiom data'!J$2:J$9999,'Globiom data'!$A$2:$A$9999,Veda!$D43,'Globiom data'!$D$2:$D$9999,VLOOKUP(Veda!$B43,'Globiom data'!$V$21:$X$29,2,FALSE),'Globiom data'!$E$2:$E$9999,Veda!$C$1),0)*1000</f>
        <v>18.01137608531824</v>
      </c>
      <c r="L43" s="2">
        <f>MAX(SUMIFS('Globiom data'!K$2:K$9999,'Globiom data'!$A$2:$A$9999,Veda!$D43,'Globiom data'!$D$2:$D$9999,VLOOKUP(Veda!$B43,'Globiom data'!$V$21:$X$29,2,FALSE),'Globiom data'!$E$2:$E$9999,Veda!$C$1),0)*1000</f>
        <v>183.17723494744629</v>
      </c>
      <c r="M43" s="2">
        <f>MAX(SUMIFS('Globiom data'!L$2:L$9999,'Globiom data'!$A$2:$A$9999,Veda!$D43,'Globiom data'!$D$2:$D$9999,VLOOKUP(Veda!$B43,'Globiom data'!$V$21:$X$29,2,FALSE),'Globiom data'!$E$2:$E$9999,Veda!$C$1),0)*1000</f>
        <v>266.02809818802729</v>
      </c>
      <c r="N43" s="2">
        <f>MAX(SUMIFS('Globiom data'!M$2:M$9999,'Globiom data'!$A$2:$A$9999,Veda!$D43,'Globiom data'!$D$2:$D$9999,VLOOKUP(Veda!$B43,'Globiom data'!$V$21:$X$29,2,FALSE),'Globiom data'!$E$2:$E$9999,Veda!$C$1),0)*1000</f>
        <v>871.22466371500764</v>
      </c>
      <c r="O43" s="2">
        <f>MAX(SUMIFS('Globiom data'!N$2:N$9999,'Globiom data'!$A$2:$A$9999,Veda!$D43,'Globiom data'!$D$2:$D$9999,VLOOKUP(Veda!$B43,'Globiom data'!$V$21:$X$29,2,FALSE),'Globiom data'!$E$2:$E$9999,Veda!$C$1),0)*1000</f>
        <v>2790.5676363883122</v>
      </c>
      <c r="P43" s="2">
        <f>MAX(SUMIFS('Globiom data'!O$2:O$9999,'Globiom data'!$A$2:$A$9999,Veda!$D43,'Globiom data'!$D$2:$D$9999,VLOOKUP(Veda!$B43,'Globiom data'!$V$21:$X$29,2,FALSE),'Globiom data'!$E$2:$E$9999,Veda!$C$1),0)*1000</f>
        <v>4086.704698424734</v>
      </c>
      <c r="Q43" s="2">
        <f>MAX(SUMIFS('Globiom data'!P$2:P$9999,'Globiom data'!$A$2:$A$9999,Veda!$D43,'Globiom data'!$D$2:$D$9999,VLOOKUP(Veda!$B43,'Globiom data'!$V$21:$X$29,2,FALSE),'Globiom data'!$E$2:$E$9999,Veda!$C$1),0)*1000</f>
        <v>4868.2863562188859</v>
      </c>
      <c r="R43">
        <v>3</v>
      </c>
    </row>
    <row r="44" spans="1:18" x14ac:dyDescent="0.45">
      <c r="A44" s="8">
        <f t="shared" si="5"/>
        <v>6</v>
      </c>
      <c r="B44" s="8">
        <f t="shared" si="6"/>
        <v>4</v>
      </c>
      <c r="D44" t="str">
        <f>VLOOKUP(A44,'Globiom data'!$S$21:$T$51,2,FALSE)</f>
        <v>Asia_other</v>
      </c>
      <c r="E44" t="str">
        <f>VLOOKUP(B44,'Globiom data'!$V$21:$X$30,3,FALSE)</f>
        <v>MinBIOBSL-04</v>
      </c>
      <c r="F44" t="s">
        <v>53</v>
      </c>
      <c r="G44" s="2">
        <f>MAX(SUMIFS('Globiom data'!F$2:F$9999,'Globiom data'!$A$2:$A$9999,Veda!$D44,'Globiom data'!$D$2:$D$9999,VLOOKUP(Veda!$B44,'Globiom data'!$V$21:$X$29,2,FALSE),'Globiom data'!$E$2:$E$9999,Veda!$C$1),0)*1000</f>
        <v>0</v>
      </c>
      <c r="H44" s="2">
        <f>MAX(SUMIFS('Globiom data'!G$2:G$9999,'Globiom data'!$A$2:$A$9999,Veda!$D44,'Globiom data'!$D$2:$D$9999,VLOOKUP(Veda!$B44,'Globiom data'!$V$21:$X$29,2,FALSE),'Globiom data'!$E$2:$E$9999,Veda!$C$1),0)*1000</f>
        <v>0</v>
      </c>
      <c r="I44" s="2">
        <f>MAX(SUMIFS('Globiom data'!H$2:H$9999,'Globiom data'!$A$2:$A$9999,Veda!$D44,'Globiom data'!$D$2:$D$9999,VLOOKUP(Veda!$B44,'Globiom data'!$V$21:$X$29,2,FALSE),'Globiom data'!$E$2:$E$9999,Veda!$C$1),0)*1000</f>
        <v>0</v>
      </c>
      <c r="J44" s="2">
        <f>MAX(SUMIFS('Globiom data'!I$2:I$9999,'Globiom data'!$A$2:$A$9999,Veda!$D44,'Globiom data'!$D$2:$D$9999,VLOOKUP(Veda!$B44,'Globiom data'!$V$21:$X$29,2,FALSE),'Globiom data'!$E$2:$E$9999,Veda!$C$1),0)*1000</f>
        <v>4.3460765731003477</v>
      </c>
      <c r="K44" s="2">
        <f>MAX(SUMIFS('Globiom data'!J$2:J$9999,'Globiom data'!$A$2:$A$9999,Veda!$D44,'Globiom data'!$D$2:$D$9999,VLOOKUP(Veda!$B44,'Globiom data'!$V$21:$X$29,2,FALSE),'Globiom data'!$E$2:$E$9999,Veda!$C$1),0)*1000</f>
        <v>141.64086207916597</v>
      </c>
      <c r="L44" s="2">
        <f>MAX(SUMIFS('Globiom data'!K$2:K$9999,'Globiom data'!$A$2:$A$9999,Veda!$D44,'Globiom data'!$D$2:$D$9999,VLOOKUP(Veda!$B44,'Globiom data'!$V$21:$X$29,2,FALSE),'Globiom data'!$E$2:$E$9999,Veda!$C$1),0)*1000</f>
        <v>883.74019295687071</v>
      </c>
      <c r="M44" s="2">
        <f>MAX(SUMIFS('Globiom data'!L$2:L$9999,'Globiom data'!$A$2:$A$9999,Veda!$D44,'Globiom data'!$D$2:$D$9999,VLOOKUP(Veda!$B44,'Globiom data'!$V$21:$X$29,2,FALSE),'Globiom data'!$E$2:$E$9999,Veda!$C$1),0)*1000</f>
        <v>2850.9571018040938</v>
      </c>
      <c r="N44" s="2">
        <f>MAX(SUMIFS('Globiom data'!M$2:M$9999,'Globiom data'!$A$2:$A$9999,Veda!$D44,'Globiom data'!$D$2:$D$9999,VLOOKUP(Veda!$B44,'Globiom data'!$V$21:$X$29,2,FALSE),'Globiom data'!$E$2:$E$9999,Veda!$C$1),0)*1000</f>
        <v>3450.6205906989153</v>
      </c>
      <c r="O44" s="2">
        <f>MAX(SUMIFS('Globiom data'!N$2:N$9999,'Globiom data'!$A$2:$A$9999,Veda!$D44,'Globiom data'!$D$2:$D$9999,VLOOKUP(Veda!$B44,'Globiom data'!$V$21:$X$29,2,FALSE),'Globiom data'!$E$2:$E$9999,Veda!$C$1),0)*1000</f>
        <v>2787.9768496194138</v>
      </c>
      <c r="P44" s="2">
        <f>MAX(SUMIFS('Globiom data'!O$2:O$9999,'Globiom data'!$A$2:$A$9999,Veda!$D44,'Globiom data'!$D$2:$D$9999,VLOOKUP(Veda!$B44,'Globiom data'!$V$21:$X$29,2,FALSE),'Globiom data'!$E$2:$E$9999,Veda!$C$1),0)*1000</f>
        <v>2590.9596649297637</v>
      </c>
      <c r="Q44" s="2">
        <f>MAX(SUMIFS('Globiom data'!P$2:P$9999,'Globiom data'!$A$2:$A$9999,Veda!$D44,'Globiom data'!$D$2:$D$9999,VLOOKUP(Veda!$B44,'Globiom data'!$V$21:$X$29,2,FALSE),'Globiom data'!$E$2:$E$9999,Veda!$C$1),0)*1000</f>
        <v>2516.9219399238204</v>
      </c>
      <c r="R44">
        <v>3</v>
      </c>
    </row>
    <row r="45" spans="1:18" x14ac:dyDescent="0.45">
      <c r="A45" s="8">
        <f t="shared" si="5"/>
        <v>6</v>
      </c>
      <c r="B45" s="8">
        <f t="shared" si="6"/>
        <v>5</v>
      </c>
      <c r="D45" t="str">
        <f>VLOOKUP(A45,'Globiom data'!$S$21:$T$51,2,FALSE)</f>
        <v>Asia_other</v>
      </c>
      <c r="E45" t="str">
        <f>VLOOKUP(B45,'Globiom data'!$V$21:$X$30,3,FALSE)</f>
        <v>MinBIOBSL-05</v>
      </c>
      <c r="F45" t="s">
        <v>53</v>
      </c>
      <c r="G45" s="2">
        <f>MAX(SUMIFS('Globiom data'!F$2:F$9999,'Globiom data'!$A$2:$A$9999,Veda!$D45,'Globiom data'!$D$2:$D$9999,VLOOKUP(Veda!$B45,'Globiom data'!$V$21:$X$29,2,FALSE),'Globiom data'!$E$2:$E$9999,Veda!$C$1),0)*1000</f>
        <v>0</v>
      </c>
      <c r="H45" s="2">
        <f>MAX(SUMIFS('Globiom data'!G$2:G$9999,'Globiom data'!$A$2:$A$9999,Veda!$D45,'Globiom data'!$D$2:$D$9999,VLOOKUP(Veda!$B45,'Globiom data'!$V$21:$X$29,2,FALSE),'Globiom data'!$E$2:$E$9999,Veda!$C$1),0)*1000</f>
        <v>18.959444634345328</v>
      </c>
      <c r="I45" s="2">
        <f>MAX(SUMIFS('Globiom data'!H$2:H$9999,'Globiom data'!$A$2:$A$9999,Veda!$D45,'Globiom data'!$D$2:$D$9999,VLOOKUP(Veda!$B45,'Globiom data'!$V$21:$X$29,2,FALSE),'Globiom data'!$E$2:$E$9999,Veda!$C$1),0)*1000</f>
        <v>18.959444634345328</v>
      </c>
      <c r="J45" s="2">
        <f>MAX(SUMIFS('Globiom data'!I$2:I$9999,'Globiom data'!$A$2:$A$9999,Veda!$D45,'Globiom data'!$D$2:$D$9999,VLOOKUP(Veda!$B45,'Globiom data'!$V$21:$X$29,2,FALSE),'Globiom data'!$E$2:$E$9999,Veda!$C$1),0)*1000</f>
        <v>154.05327412104228</v>
      </c>
      <c r="K45" s="2">
        <f>MAX(SUMIFS('Globiom data'!J$2:J$9999,'Globiom data'!$A$2:$A$9999,Veda!$D45,'Globiom data'!$D$2:$D$9999,VLOOKUP(Veda!$B45,'Globiom data'!$V$21:$X$29,2,FALSE),'Globiom data'!$E$2:$E$9999,Veda!$C$1),0)*1000</f>
        <v>2177.9804377737378</v>
      </c>
      <c r="L45" s="2">
        <f>MAX(SUMIFS('Globiom data'!K$2:K$9999,'Globiom data'!$A$2:$A$9999,Veda!$D45,'Globiom data'!$D$2:$D$9999,VLOOKUP(Veda!$B45,'Globiom data'!$V$21:$X$29,2,FALSE),'Globiom data'!$E$2:$E$9999,Veda!$C$1),0)*1000</f>
        <v>2961.7906812777237</v>
      </c>
      <c r="M45" s="2">
        <f>MAX(SUMIFS('Globiom data'!L$2:L$9999,'Globiom data'!$A$2:$A$9999,Veda!$D45,'Globiom data'!$D$2:$D$9999,VLOOKUP(Veda!$B45,'Globiom data'!$V$21:$X$29,2,FALSE),'Globiom data'!$E$2:$E$9999,Veda!$C$1),0)*1000</f>
        <v>2307.884205438048</v>
      </c>
      <c r="N45" s="2">
        <f>MAX(SUMIFS('Globiom data'!M$2:M$9999,'Globiom data'!$A$2:$A$9999,Veda!$D45,'Globiom data'!$D$2:$D$9999,VLOOKUP(Veda!$B45,'Globiom data'!$V$21:$X$29,2,FALSE),'Globiom data'!$E$2:$E$9999,Veda!$C$1),0)*1000</f>
        <v>2231.3323363070945</v>
      </c>
      <c r="O45" s="2">
        <f>MAX(SUMIFS('Globiom data'!N$2:N$9999,'Globiom data'!$A$2:$A$9999,Veda!$D45,'Globiom data'!$D$2:$D$9999,VLOOKUP(Veda!$B45,'Globiom data'!$V$21:$X$29,2,FALSE),'Globiom data'!$E$2:$E$9999,Veda!$C$1),0)*1000</f>
        <v>2059.0055602785569</v>
      </c>
      <c r="P45" s="2">
        <f>MAX(SUMIFS('Globiom data'!O$2:O$9999,'Globiom data'!$A$2:$A$9999,Veda!$D45,'Globiom data'!$D$2:$D$9999,VLOOKUP(Veda!$B45,'Globiom data'!$V$21:$X$29,2,FALSE),'Globiom data'!$E$2:$E$9999,Veda!$C$1),0)*1000</f>
        <v>1933.3897644418291</v>
      </c>
      <c r="Q45" s="2">
        <f>MAX(SUMIFS('Globiom data'!P$2:P$9999,'Globiom data'!$A$2:$A$9999,Veda!$D45,'Globiom data'!$D$2:$D$9999,VLOOKUP(Veda!$B45,'Globiom data'!$V$21:$X$29,2,FALSE),'Globiom data'!$E$2:$E$9999,Veda!$C$1),0)*1000</f>
        <v>1730.8657265847908</v>
      </c>
      <c r="R45">
        <v>3</v>
      </c>
    </row>
    <row r="46" spans="1:18" x14ac:dyDescent="0.45">
      <c r="A46" s="8">
        <f t="shared" si="5"/>
        <v>6</v>
      </c>
      <c r="B46" s="8">
        <f t="shared" si="6"/>
        <v>6</v>
      </c>
      <c r="D46" t="str">
        <f>VLOOKUP(A46,'Globiom data'!$S$21:$T$51,2,FALSE)</f>
        <v>Asia_other</v>
      </c>
      <c r="E46" t="str">
        <f>VLOOKUP(B46,'Globiom data'!$V$21:$X$30,3,FALSE)</f>
        <v>MinBIOBSL-06</v>
      </c>
      <c r="F46" t="s">
        <v>53</v>
      </c>
      <c r="G46" s="2">
        <f>MAX(SUMIFS('Globiom data'!F$2:F$9999,'Globiom data'!$A$2:$A$9999,Veda!$D46,'Globiom data'!$D$2:$D$9999,VLOOKUP(Veda!$B46,'Globiom data'!$V$21:$X$29,2,FALSE),'Globiom data'!$E$2:$E$9999,Veda!$C$1),0)*1000</f>
        <v>0</v>
      </c>
      <c r="H46" s="2">
        <f>MAX(SUMIFS('Globiom data'!G$2:G$9999,'Globiom data'!$A$2:$A$9999,Veda!$D46,'Globiom data'!$D$2:$D$9999,VLOOKUP(Veda!$B46,'Globiom data'!$V$21:$X$29,2,FALSE),'Globiom data'!$E$2:$E$9999,Veda!$C$1),0)*1000</f>
        <v>119.43267989642983</v>
      </c>
      <c r="I46" s="2">
        <f>MAX(SUMIFS('Globiom data'!H$2:H$9999,'Globiom data'!$A$2:$A$9999,Veda!$D46,'Globiom data'!$D$2:$D$9999,VLOOKUP(Veda!$B46,'Globiom data'!$V$21:$X$29,2,FALSE),'Globiom data'!$E$2:$E$9999,Veda!$C$1),0)*1000</f>
        <v>119.43267989642983</v>
      </c>
      <c r="J46" s="2">
        <f>MAX(SUMIFS('Globiom data'!I$2:I$9999,'Globiom data'!$A$2:$A$9999,Veda!$D46,'Globiom data'!$D$2:$D$9999,VLOOKUP(Veda!$B46,'Globiom data'!$V$21:$X$29,2,FALSE),'Globiom data'!$E$2:$E$9999,Veda!$C$1),0)*1000</f>
        <v>3524.1418593890508</v>
      </c>
      <c r="K46" s="2">
        <f>MAX(SUMIFS('Globiom data'!J$2:J$9999,'Globiom data'!$A$2:$A$9999,Veda!$D46,'Globiom data'!$D$2:$D$9999,VLOOKUP(Veda!$B46,'Globiom data'!$V$21:$X$29,2,FALSE),'Globiom data'!$E$2:$E$9999,Veda!$C$1),0)*1000</f>
        <v>3261.8815617372629</v>
      </c>
      <c r="L46" s="2">
        <f>MAX(SUMIFS('Globiom data'!K$2:K$9999,'Globiom data'!$A$2:$A$9999,Veda!$D46,'Globiom data'!$D$2:$D$9999,VLOOKUP(Veda!$B46,'Globiom data'!$V$21:$X$29,2,FALSE),'Globiom data'!$E$2:$E$9999,Veda!$C$1),0)*1000</f>
        <v>2721.3978518044105</v>
      </c>
      <c r="M46" s="2">
        <f>MAX(SUMIFS('Globiom data'!L$2:L$9999,'Globiom data'!$A$2:$A$9999,Veda!$D46,'Globiom data'!$D$2:$D$9999,VLOOKUP(Veda!$B46,'Globiom data'!$V$21:$X$29,2,FALSE),'Globiom data'!$E$2:$E$9999,Veda!$C$1),0)*1000</f>
        <v>2687.8490915610237</v>
      </c>
      <c r="N46" s="2">
        <f>MAX(SUMIFS('Globiom data'!M$2:M$9999,'Globiom data'!$A$2:$A$9999,Veda!$D46,'Globiom data'!$D$2:$D$9999,VLOOKUP(Veda!$B46,'Globiom data'!$V$21:$X$29,2,FALSE),'Globiom data'!$E$2:$E$9999,Veda!$C$1),0)*1000</f>
        <v>2959.6278614836488</v>
      </c>
      <c r="O46" s="2">
        <f>MAX(SUMIFS('Globiom data'!N$2:N$9999,'Globiom data'!$A$2:$A$9999,Veda!$D46,'Globiom data'!$D$2:$D$9999,VLOOKUP(Veda!$B46,'Globiom data'!$V$21:$X$29,2,FALSE),'Globiom data'!$E$2:$E$9999,Veda!$C$1),0)*1000</f>
        <v>3294.8922720443452</v>
      </c>
      <c r="P46" s="2">
        <f>MAX(SUMIFS('Globiom data'!O$2:O$9999,'Globiom data'!$A$2:$A$9999,Veda!$D46,'Globiom data'!$D$2:$D$9999,VLOOKUP(Veda!$B46,'Globiom data'!$V$21:$X$29,2,FALSE),'Globiom data'!$E$2:$E$9999,Veda!$C$1),0)*1000</f>
        <v>3670.1208638280796</v>
      </c>
      <c r="Q46" s="2">
        <f>MAX(SUMIFS('Globiom data'!P$2:P$9999,'Globiom data'!$A$2:$A$9999,Veda!$D46,'Globiom data'!$D$2:$D$9999,VLOOKUP(Veda!$B46,'Globiom data'!$V$21:$X$29,2,FALSE),'Globiom data'!$E$2:$E$9999,Veda!$C$1),0)*1000</f>
        <v>4249.9818249294485</v>
      </c>
      <c r="R46">
        <v>3</v>
      </c>
    </row>
    <row r="47" spans="1:18" x14ac:dyDescent="0.45">
      <c r="A47" s="8">
        <f t="shared" si="5"/>
        <v>6</v>
      </c>
      <c r="B47" s="8">
        <f t="shared" si="6"/>
        <v>7</v>
      </c>
      <c r="D47" t="str">
        <f>VLOOKUP(A47,'Globiom data'!$S$21:$T$51,2,FALSE)</f>
        <v>Asia_other</v>
      </c>
      <c r="E47" t="str">
        <f>VLOOKUP(B47,'Globiom data'!$V$21:$X$30,3,FALSE)</f>
        <v>MinBIOBSL-07</v>
      </c>
      <c r="F47" t="s">
        <v>53</v>
      </c>
      <c r="G47" s="2">
        <f>MAX(SUMIFS('Globiom data'!F$2:F$9999,'Globiom data'!$A$2:$A$9999,Veda!$D47,'Globiom data'!$D$2:$D$9999,VLOOKUP(Veda!$B47,'Globiom data'!$V$21:$X$29,2,FALSE),'Globiom data'!$E$2:$E$9999,Veda!$C$1),0)*1000</f>
        <v>0</v>
      </c>
      <c r="H47" s="2">
        <f>MAX(SUMIFS('Globiom data'!G$2:G$9999,'Globiom data'!$A$2:$A$9999,Veda!$D47,'Globiom data'!$D$2:$D$9999,VLOOKUP(Veda!$B47,'Globiom data'!$V$21:$X$29,2,FALSE),'Globiom data'!$E$2:$E$9999,Veda!$C$1),0)*1000</f>
        <v>1832.3929098588892</v>
      </c>
      <c r="I47" s="2">
        <f>MAX(SUMIFS('Globiom data'!H$2:H$9999,'Globiom data'!$A$2:$A$9999,Veda!$D47,'Globiom data'!$D$2:$D$9999,VLOOKUP(Veda!$B47,'Globiom data'!$V$21:$X$29,2,FALSE),'Globiom data'!$E$2:$E$9999,Veda!$C$1),0)*1000</f>
        <v>1832.3929098588892</v>
      </c>
      <c r="J47" s="2">
        <f>MAX(SUMIFS('Globiom data'!I$2:I$9999,'Globiom data'!$A$2:$A$9999,Veda!$D47,'Globiom data'!$D$2:$D$9999,VLOOKUP(Veda!$B47,'Globiom data'!$V$21:$X$29,2,FALSE),'Globiom data'!$E$2:$E$9999,Veda!$C$1),0)*1000</f>
        <v>2104.3915994754211</v>
      </c>
      <c r="K47" s="2">
        <f>MAX(SUMIFS('Globiom data'!J$2:J$9999,'Globiom data'!$A$2:$A$9999,Veda!$D47,'Globiom data'!$D$2:$D$9999,VLOOKUP(Veda!$B47,'Globiom data'!$V$21:$X$29,2,FALSE),'Globiom data'!$E$2:$E$9999,Veda!$C$1),0)*1000</f>
        <v>1926.6661107662637</v>
      </c>
      <c r="L47" s="2">
        <f>MAX(SUMIFS('Globiom data'!K$2:K$9999,'Globiom data'!$A$2:$A$9999,Veda!$D47,'Globiom data'!$D$2:$D$9999,VLOOKUP(Veda!$B47,'Globiom data'!$V$21:$X$29,2,FALSE),'Globiom data'!$E$2:$E$9999,Veda!$C$1),0)*1000</f>
        <v>2345.9219838044601</v>
      </c>
      <c r="M47" s="2">
        <f>MAX(SUMIFS('Globiom data'!L$2:L$9999,'Globiom data'!$A$2:$A$9999,Veda!$D47,'Globiom data'!$D$2:$D$9999,VLOOKUP(Veda!$B47,'Globiom data'!$V$21:$X$29,2,FALSE),'Globiom data'!$E$2:$E$9999,Veda!$C$1),0)*1000</f>
        <v>3004.4198991693747</v>
      </c>
      <c r="N47" s="2">
        <f>MAX(SUMIFS('Globiom data'!M$2:M$9999,'Globiom data'!$A$2:$A$9999,Veda!$D47,'Globiom data'!$D$2:$D$9999,VLOOKUP(Veda!$B47,'Globiom data'!$V$21:$X$29,2,FALSE),'Globiom data'!$E$2:$E$9999,Veda!$C$1),0)*1000</f>
        <v>3579.5011055405648</v>
      </c>
      <c r="O47" s="2">
        <f>MAX(SUMIFS('Globiom data'!N$2:N$9999,'Globiom data'!$A$2:$A$9999,Veda!$D47,'Globiom data'!$D$2:$D$9999,VLOOKUP(Veda!$B47,'Globiom data'!$V$21:$X$29,2,FALSE),'Globiom data'!$E$2:$E$9999,Veda!$C$1),0)*1000</f>
        <v>3870.6694840800669</v>
      </c>
      <c r="P47" s="2">
        <f>MAX(SUMIFS('Globiom data'!O$2:O$9999,'Globiom data'!$A$2:$A$9999,Veda!$D47,'Globiom data'!$D$2:$D$9999,VLOOKUP(Veda!$B47,'Globiom data'!$V$21:$X$29,2,FALSE),'Globiom data'!$E$2:$E$9999,Veda!$C$1),0)*1000</f>
        <v>3952.1499885295802</v>
      </c>
      <c r="Q47" s="2">
        <f>MAX(SUMIFS('Globiom data'!P$2:P$9999,'Globiom data'!$A$2:$A$9999,Veda!$D47,'Globiom data'!$D$2:$D$9999,VLOOKUP(Veda!$B47,'Globiom data'!$V$21:$X$29,2,FALSE),'Globiom data'!$E$2:$E$9999,Veda!$C$1),0)*1000</f>
        <v>3965.1064258323217</v>
      </c>
      <c r="R47">
        <v>3</v>
      </c>
    </row>
    <row r="48" spans="1:18" x14ac:dyDescent="0.45">
      <c r="A48" s="8">
        <f t="shared" si="5"/>
        <v>7</v>
      </c>
      <c r="B48" s="8">
        <f t="shared" si="6"/>
        <v>1</v>
      </c>
      <c r="D48" t="str">
        <f>VLOOKUP(A48,'Globiom data'!$S$21:$T$51,2,FALSE)</f>
        <v>Australia_NZ</v>
      </c>
      <c r="E48" t="str">
        <f>VLOOKUP(B48,'Globiom data'!$V$21:$X$30,3,FALSE)</f>
        <v>MinBIOBSL-01</v>
      </c>
      <c r="F48" t="s">
        <v>53</v>
      </c>
      <c r="G48" s="2">
        <f>MAX(SUMIFS('Globiom data'!F$2:F$9999,'Globiom data'!$A$2:$A$9999,Veda!$D48,'Globiom data'!$D$2:$D$9999,VLOOKUP(Veda!$B48,'Globiom data'!$V$21:$X$29,2,FALSE),'Globiom data'!$E$2:$E$9999,Veda!$C$1),0)*1000</f>
        <v>409.09941554028296</v>
      </c>
      <c r="H48" s="2">
        <f>MAX(SUMIFS('Globiom data'!G$2:G$9999,'Globiom data'!$A$2:$A$9999,Veda!$D48,'Globiom data'!$D$2:$D$9999,VLOOKUP(Veda!$B48,'Globiom data'!$V$21:$X$29,2,FALSE),'Globiom data'!$E$2:$E$9999,Veda!$C$1),0)*1000</f>
        <v>415.38741326804467</v>
      </c>
      <c r="I48" s="2">
        <f>MAX(SUMIFS('Globiom data'!H$2:H$9999,'Globiom data'!$A$2:$A$9999,Veda!$D48,'Globiom data'!$D$2:$D$9999,VLOOKUP(Veda!$B48,'Globiom data'!$V$21:$X$29,2,FALSE),'Globiom data'!$E$2:$E$9999,Veda!$C$1),0)*1000</f>
        <v>415.38741326804467</v>
      </c>
      <c r="J48" s="2">
        <f>MAX(SUMIFS('Globiom data'!I$2:I$9999,'Globiom data'!$A$2:$A$9999,Veda!$D48,'Globiom data'!$D$2:$D$9999,VLOOKUP(Veda!$B48,'Globiom data'!$V$21:$X$29,2,FALSE),'Globiom data'!$E$2:$E$9999,Veda!$C$1),0)*1000</f>
        <v>415.67815278704802</v>
      </c>
      <c r="K48" s="2">
        <f>MAX(SUMIFS('Globiom data'!J$2:J$9999,'Globiom data'!$A$2:$A$9999,Veda!$D48,'Globiom data'!$D$2:$D$9999,VLOOKUP(Veda!$B48,'Globiom data'!$V$21:$X$29,2,FALSE),'Globiom data'!$E$2:$E$9999,Veda!$C$1),0)*1000</f>
        <v>401.346445811443</v>
      </c>
      <c r="L48" s="2">
        <f>MAX(SUMIFS('Globiom data'!K$2:K$9999,'Globiom data'!$A$2:$A$9999,Veda!$D48,'Globiom data'!$D$2:$D$9999,VLOOKUP(Veda!$B48,'Globiom data'!$V$21:$X$29,2,FALSE),'Globiom data'!$E$2:$E$9999,Veda!$C$1),0)*1000</f>
        <v>403.09249608657768</v>
      </c>
      <c r="M48" s="2">
        <f>MAX(SUMIFS('Globiom data'!L$2:L$9999,'Globiom data'!$A$2:$A$9999,Veda!$D48,'Globiom data'!$D$2:$D$9999,VLOOKUP(Veda!$B48,'Globiom data'!$V$21:$X$29,2,FALSE),'Globiom data'!$E$2:$E$9999,Veda!$C$1),0)*1000</f>
        <v>383.20763334821959</v>
      </c>
      <c r="N48" s="2">
        <f>MAX(SUMIFS('Globiom data'!M$2:M$9999,'Globiom data'!$A$2:$A$9999,Veda!$D48,'Globiom data'!$D$2:$D$9999,VLOOKUP(Veda!$B48,'Globiom data'!$V$21:$X$29,2,FALSE),'Globiom data'!$E$2:$E$9999,Veda!$C$1),0)*1000</f>
        <v>403.52379548416775</v>
      </c>
      <c r="O48" s="2">
        <f>MAX(SUMIFS('Globiom data'!N$2:N$9999,'Globiom data'!$A$2:$A$9999,Veda!$D48,'Globiom data'!$D$2:$D$9999,VLOOKUP(Veda!$B48,'Globiom data'!$V$21:$X$29,2,FALSE),'Globiom data'!$E$2:$E$9999,Veda!$C$1),0)*1000</f>
        <v>387.62046157475226</v>
      </c>
      <c r="P48" s="2">
        <f>MAX(SUMIFS('Globiom data'!O$2:O$9999,'Globiom data'!$A$2:$A$9999,Veda!$D48,'Globiom data'!$D$2:$D$9999,VLOOKUP(Veda!$B48,'Globiom data'!$V$21:$X$29,2,FALSE),'Globiom data'!$E$2:$E$9999,Veda!$C$1),0)*1000</f>
        <v>381.0314854670541</v>
      </c>
      <c r="Q48" s="2">
        <f>MAX(SUMIFS('Globiom data'!P$2:P$9999,'Globiom data'!$A$2:$A$9999,Veda!$D48,'Globiom data'!$D$2:$D$9999,VLOOKUP(Veda!$B48,'Globiom data'!$V$21:$X$29,2,FALSE),'Globiom data'!$E$2:$E$9999,Veda!$C$1),0)*1000</f>
        <v>368.02839779018444</v>
      </c>
      <c r="R48">
        <v>3</v>
      </c>
    </row>
    <row r="49" spans="1:18" x14ac:dyDescent="0.45">
      <c r="A49" s="8">
        <f t="shared" si="5"/>
        <v>7</v>
      </c>
      <c r="B49" s="8">
        <f t="shared" si="6"/>
        <v>2</v>
      </c>
      <c r="D49" t="str">
        <f>VLOOKUP(A49,'Globiom data'!$S$21:$T$51,2,FALSE)</f>
        <v>Australia_NZ</v>
      </c>
      <c r="E49" t="str">
        <f>VLOOKUP(B49,'Globiom data'!$V$21:$X$30,3,FALSE)</f>
        <v>MinBIOBSL-02</v>
      </c>
      <c r="F49" t="s">
        <v>53</v>
      </c>
      <c r="G49" s="2">
        <f>MAX(SUMIFS('Globiom data'!F$2:F$9999,'Globiom data'!$A$2:$A$9999,Veda!$D49,'Globiom data'!$D$2:$D$9999,VLOOKUP(Veda!$B49,'Globiom data'!$V$21:$X$29,2,FALSE),'Globiom data'!$E$2:$E$9999,Veda!$C$1),0)*1000</f>
        <v>0</v>
      </c>
      <c r="H49" s="2">
        <f>MAX(SUMIFS('Globiom data'!G$2:G$9999,'Globiom data'!$A$2:$A$9999,Veda!$D49,'Globiom data'!$D$2:$D$9999,VLOOKUP(Veda!$B49,'Globiom data'!$V$21:$X$29,2,FALSE),'Globiom data'!$E$2:$E$9999,Veda!$C$1),0)*1000</f>
        <v>0</v>
      </c>
      <c r="I49" s="2">
        <f>MAX(SUMIFS('Globiom data'!H$2:H$9999,'Globiom data'!$A$2:$A$9999,Veda!$D49,'Globiom data'!$D$2:$D$9999,VLOOKUP(Veda!$B49,'Globiom data'!$V$21:$X$29,2,FALSE),'Globiom data'!$E$2:$E$9999,Veda!$C$1),0)*1000</f>
        <v>0</v>
      </c>
      <c r="J49" s="2">
        <f>MAX(SUMIFS('Globiom data'!I$2:I$9999,'Globiom data'!$A$2:$A$9999,Veda!$D49,'Globiom data'!$D$2:$D$9999,VLOOKUP(Veda!$B49,'Globiom data'!$V$21:$X$29,2,FALSE),'Globiom data'!$E$2:$E$9999,Veda!$C$1),0)*1000</f>
        <v>0.22940469214931866</v>
      </c>
      <c r="K49" s="2">
        <f>MAX(SUMIFS('Globiom data'!J$2:J$9999,'Globiom data'!$A$2:$A$9999,Veda!$D49,'Globiom data'!$D$2:$D$9999,VLOOKUP(Veda!$B49,'Globiom data'!$V$21:$X$29,2,FALSE),'Globiom data'!$E$2:$E$9999,Veda!$C$1),0)*1000</f>
        <v>14.301314599421014</v>
      </c>
      <c r="L49" s="2">
        <f>MAX(SUMIFS('Globiom data'!K$2:K$9999,'Globiom data'!$A$2:$A$9999,Veda!$D49,'Globiom data'!$D$2:$D$9999,VLOOKUP(Veda!$B49,'Globiom data'!$V$21:$X$29,2,FALSE),'Globiom data'!$E$2:$E$9999,Veda!$C$1),0)*1000</f>
        <v>12.662183387250424</v>
      </c>
      <c r="M49" s="2">
        <f>MAX(SUMIFS('Globiom data'!L$2:L$9999,'Globiom data'!$A$2:$A$9999,Veda!$D49,'Globiom data'!$D$2:$D$9999,VLOOKUP(Veda!$B49,'Globiom data'!$V$21:$X$29,2,FALSE),'Globiom data'!$E$2:$E$9999,Veda!$C$1),0)*1000</f>
        <v>2.7539478385057699</v>
      </c>
      <c r="N49" s="2">
        <f>MAX(SUMIFS('Globiom data'!M$2:M$9999,'Globiom data'!$A$2:$A$9999,Veda!$D49,'Globiom data'!$D$2:$D$9999,VLOOKUP(Veda!$B49,'Globiom data'!$V$21:$X$29,2,FALSE),'Globiom data'!$E$2:$E$9999,Veda!$C$1),0)*1000</f>
        <v>4.9646868698711435</v>
      </c>
      <c r="O49" s="2">
        <f>MAX(SUMIFS('Globiom data'!N$2:N$9999,'Globiom data'!$A$2:$A$9999,Veda!$D49,'Globiom data'!$D$2:$D$9999,VLOOKUP(Veda!$B49,'Globiom data'!$V$21:$X$29,2,FALSE),'Globiom data'!$E$2:$E$9999,Veda!$C$1),0)*1000</f>
        <v>41.079549192373044</v>
      </c>
      <c r="P49" s="2">
        <f>MAX(SUMIFS('Globiom data'!O$2:O$9999,'Globiom data'!$A$2:$A$9999,Veda!$D49,'Globiom data'!$D$2:$D$9999,VLOOKUP(Veda!$B49,'Globiom data'!$V$21:$X$29,2,FALSE),'Globiom data'!$E$2:$E$9999,Veda!$C$1),0)*1000</f>
        <v>52.257821542738078</v>
      </c>
      <c r="Q49" s="2">
        <f>MAX(SUMIFS('Globiom data'!P$2:P$9999,'Globiom data'!$A$2:$A$9999,Veda!$D49,'Globiom data'!$D$2:$D$9999,VLOOKUP(Veda!$B49,'Globiom data'!$V$21:$X$29,2,FALSE),'Globiom data'!$E$2:$E$9999,Veda!$C$1),0)*1000</f>
        <v>79.600648900136505</v>
      </c>
      <c r="R49">
        <v>3</v>
      </c>
    </row>
    <row r="50" spans="1:18" x14ac:dyDescent="0.45">
      <c r="A50" s="8">
        <f t="shared" si="5"/>
        <v>7</v>
      </c>
      <c r="B50" s="8">
        <f t="shared" si="6"/>
        <v>3</v>
      </c>
      <c r="D50" t="str">
        <f>VLOOKUP(A50,'Globiom data'!$S$21:$T$51,2,FALSE)</f>
        <v>Australia_NZ</v>
      </c>
      <c r="E50" t="str">
        <f>VLOOKUP(B50,'Globiom data'!$V$21:$X$30,3,FALSE)</f>
        <v>MinBIOBSL-03</v>
      </c>
      <c r="F50" t="s">
        <v>53</v>
      </c>
      <c r="G50" s="2">
        <f>MAX(SUMIFS('Globiom data'!F$2:F$9999,'Globiom data'!$A$2:$A$9999,Veda!$D50,'Globiom data'!$D$2:$D$9999,VLOOKUP(Veda!$B50,'Globiom data'!$V$21:$X$29,2,FALSE),'Globiom data'!$E$2:$E$9999,Veda!$C$1),0)*1000</f>
        <v>0</v>
      </c>
      <c r="H50" s="2">
        <f>MAX(SUMIFS('Globiom data'!G$2:G$9999,'Globiom data'!$A$2:$A$9999,Veda!$D50,'Globiom data'!$D$2:$D$9999,VLOOKUP(Veda!$B50,'Globiom data'!$V$21:$X$29,2,FALSE),'Globiom data'!$E$2:$E$9999,Veda!$C$1),0)*1000</f>
        <v>1.8112876368958131</v>
      </c>
      <c r="I50" s="2">
        <f>MAX(SUMIFS('Globiom data'!H$2:H$9999,'Globiom data'!$A$2:$A$9999,Veda!$D50,'Globiom data'!$D$2:$D$9999,VLOOKUP(Veda!$B50,'Globiom data'!$V$21:$X$29,2,FALSE),'Globiom data'!$E$2:$E$9999,Veda!$C$1),0)*1000</f>
        <v>1.8112876368958131</v>
      </c>
      <c r="J50" s="2">
        <f>MAX(SUMIFS('Globiom data'!I$2:I$9999,'Globiom data'!$A$2:$A$9999,Veda!$D50,'Globiom data'!$D$2:$D$9999,VLOOKUP(Veda!$B50,'Globiom data'!$V$21:$X$29,2,FALSE),'Globiom data'!$E$2:$E$9999,Veda!$C$1),0)*1000</f>
        <v>0.19398751588780411</v>
      </c>
      <c r="K50" s="2">
        <f>MAX(SUMIFS('Globiom data'!J$2:J$9999,'Globiom data'!$A$2:$A$9999,Veda!$D50,'Globiom data'!$D$2:$D$9999,VLOOKUP(Veda!$B50,'Globiom data'!$V$21:$X$29,2,FALSE),'Globiom data'!$E$2:$E$9999,Veda!$C$1),0)*1000</f>
        <v>5.7109235072462408</v>
      </c>
      <c r="L50" s="2">
        <f>MAX(SUMIFS('Globiom data'!K$2:K$9999,'Globiom data'!$A$2:$A$9999,Veda!$D50,'Globiom data'!$D$2:$D$9999,VLOOKUP(Veda!$B50,'Globiom data'!$V$21:$X$29,2,FALSE),'Globiom data'!$E$2:$E$9999,Veda!$C$1),0)*1000</f>
        <v>13.842241397384974</v>
      </c>
      <c r="M50" s="2">
        <f>MAX(SUMIFS('Globiom data'!L$2:L$9999,'Globiom data'!$A$2:$A$9999,Veda!$D50,'Globiom data'!$D$2:$D$9999,VLOOKUP(Veda!$B50,'Globiom data'!$V$21:$X$29,2,FALSE),'Globiom data'!$E$2:$E$9999,Veda!$C$1),0)*1000</f>
        <v>17.072497093035679</v>
      </c>
      <c r="N50" s="2">
        <f>MAX(SUMIFS('Globiom data'!M$2:M$9999,'Globiom data'!$A$2:$A$9999,Veda!$D50,'Globiom data'!$D$2:$D$9999,VLOOKUP(Veda!$B50,'Globiom data'!$V$21:$X$29,2,FALSE),'Globiom data'!$E$2:$E$9999,Veda!$C$1),0)*1000</f>
        <v>30.165674416481899</v>
      </c>
      <c r="O50" s="2">
        <f>MAX(SUMIFS('Globiom data'!N$2:N$9999,'Globiom data'!$A$2:$A$9999,Veda!$D50,'Globiom data'!$D$2:$D$9999,VLOOKUP(Veda!$B50,'Globiom data'!$V$21:$X$29,2,FALSE),'Globiom data'!$E$2:$E$9999,Veda!$C$1),0)*1000</f>
        <v>138.80839543742152</v>
      </c>
      <c r="P50" s="2">
        <f>MAX(SUMIFS('Globiom data'!O$2:O$9999,'Globiom data'!$A$2:$A$9999,Veda!$D50,'Globiom data'!$D$2:$D$9999,VLOOKUP(Veda!$B50,'Globiom data'!$V$21:$X$29,2,FALSE),'Globiom data'!$E$2:$E$9999,Veda!$C$1),0)*1000</f>
        <v>229.4827322379567</v>
      </c>
      <c r="Q50" s="2">
        <f>MAX(SUMIFS('Globiom data'!P$2:P$9999,'Globiom data'!$A$2:$A$9999,Veda!$D50,'Globiom data'!$D$2:$D$9999,VLOOKUP(Veda!$B50,'Globiom data'!$V$21:$X$29,2,FALSE),'Globiom data'!$E$2:$E$9999,Veda!$C$1),0)*1000</f>
        <v>349.33988038345751</v>
      </c>
      <c r="R50">
        <v>3</v>
      </c>
    </row>
    <row r="51" spans="1:18" x14ac:dyDescent="0.45">
      <c r="A51" s="8">
        <f t="shared" si="5"/>
        <v>7</v>
      </c>
      <c r="B51" s="8">
        <f t="shared" si="6"/>
        <v>4</v>
      </c>
      <c r="D51" t="str">
        <f>VLOOKUP(A51,'Globiom data'!$S$21:$T$51,2,FALSE)</f>
        <v>Australia_NZ</v>
      </c>
      <c r="E51" t="str">
        <f>VLOOKUP(B51,'Globiom data'!$V$21:$X$30,3,FALSE)</f>
        <v>MinBIOBSL-04</v>
      </c>
      <c r="F51" t="s">
        <v>53</v>
      </c>
      <c r="G51" s="2">
        <f>MAX(SUMIFS('Globiom data'!F$2:F$9999,'Globiom data'!$A$2:$A$9999,Veda!$D51,'Globiom data'!$D$2:$D$9999,VLOOKUP(Veda!$B51,'Globiom data'!$V$21:$X$29,2,FALSE),'Globiom data'!$E$2:$E$9999,Veda!$C$1),0)*1000</f>
        <v>0</v>
      </c>
      <c r="H51" s="2">
        <f>MAX(SUMIFS('Globiom data'!G$2:G$9999,'Globiom data'!$A$2:$A$9999,Veda!$D51,'Globiom data'!$D$2:$D$9999,VLOOKUP(Veda!$B51,'Globiom data'!$V$21:$X$29,2,FALSE),'Globiom data'!$E$2:$E$9999,Veda!$C$1),0)*1000</f>
        <v>0</v>
      </c>
      <c r="I51" s="2">
        <f>MAX(SUMIFS('Globiom data'!H$2:H$9999,'Globiom data'!$A$2:$A$9999,Veda!$D51,'Globiom data'!$D$2:$D$9999,VLOOKUP(Veda!$B51,'Globiom data'!$V$21:$X$29,2,FALSE),'Globiom data'!$E$2:$E$9999,Veda!$C$1),0)*1000</f>
        <v>0</v>
      </c>
      <c r="J51" s="2">
        <f>MAX(SUMIFS('Globiom data'!I$2:I$9999,'Globiom data'!$A$2:$A$9999,Veda!$D51,'Globiom data'!$D$2:$D$9999,VLOOKUP(Veda!$B51,'Globiom data'!$V$21:$X$29,2,FALSE),'Globiom data'!$E$2:$E$9999,Veda!$C$1),0)*1000</f>
        <v>3.753664285216995</v>
      </c>
      <c r="K51" s="2">
        <f>MAX(SUMIFS('Globiom data'!J$2:J$9999,'Globiom data'!$A$2:$A$9999,Veda!$D51,'Globiom data'!$D$2:$D$9999,VLOOKUP(Veda!$B51,'Globiom data'!$V$21:$X$29,2,FALSE),'Globiom data'!$E$2:$E$9999,Veda!$C$1),0)*1000</f>
        <v>3.5839064157866103</v>
      </c>
      <c r="L51" s="2">
        <f>MAX(SUMIFS('Globiom data'!K$2:K$9999,'Globiom data'!$A$2:$A$9999,Veda!$D51,'Globiom data'!$D$2:$D$9999,VLOOKUP(Veda!$B51,'Globiom data'!$V$21:$X$29,2,FALSE),'Globiom data'!$E$2:$E$9999,Veda!$C$1),0)*1000</f>
        <v>31.6797354049224</v>
      </c>
      <c r="M51" s="2">
        <f>MAX(SUMIFS('Globiom data'!L$2:L$9999,'Globiom data'!$A$2:$A$9999,Veda!$D51,'Globiom data'!$D$2:$D$9999,VLOOKUP(Veda!$B51,'Globiom data'!$V$21:$X$29,2,FALSE),'Globiom data'!$E$2:$E$9999,Veda!$C$1),0)*1000</f>
        <v>113.71903137915609</v>
      </c>
      <c r="N51" s="2">
        <f>MAX(SUMIFS('Globiom data'!M$2:M$9999,'Globiom data'!$A$2:$A$9999,Veda!$D51,'Globiom data'!$D$2:$D$9999,VLOOKUP(Veda!$B51,'Globiom data'!$V$21:$X$29,2,FALSE),'Globiom data'!$E$2:$E$9999,Veda!$C$1),0)*1000</f>
        <v>317.31896029818762</v>
      </c>
      <c r="O51" s="2">
        <f>MAX(SUMIFS('Globiom data'!N$2:N$9999,'Globiom data'!$A$2:$A$9999,Veda!$D51,'Globiom data'!$D$2:$D$9999,VLOOKUP(Veda!$B51,'Globiom data'!$V$21:$X$29,2,FALSE),'Globiom data'!$E$2:$E$9999,Veda!$C$1),0)*1000</f>
        <v>612.62096769699804</v>
      </c>
      <c r="P51" s="2">
        <f>MAX(SUMIFS('Globiom data'!O$2:O$9999,'Globiom data'!$A$2:$A$9999,Veda!$D51,'Globiom data'!$D$2:$D$9999,VLOOKUP(Veda!$B51,'Globiom data'!$V$21:$X$29,2,FALSE),'Globiom data'!$E$2:$E$9999,Veda!$C$1),0)*1000</f>
        <v>959.01446199153884</v>
      </c>
      <c r="Q51" s="2">
        <f>MAX(SUMIFS('Globiom data'!P$2:P$9999,'Globiom data'!$A$2:$A$9999,Veda!$D51,'Globiom data'!$D$2:$D$9999,VLOOKUP(Veda!$B51,'Globiom data'!$V$21:$X$29,2,FALSE),'Globiom data'!$E$2:$E$9999,Veda!$C$1),0)*1000</f>
        <v>1166.240072415887</v>
      </c>
      <c r="R51">
        <v>3</v>
      </c>
    </row>
    <row r="52" spans="1:18" x14ac:dyDescent="0.45">
      <c r="A52" s="8">
        <f t="shared" si="5"/>
        <v>7</v>
      </c>
      <c r="B52" s="8">
        <f t="shared" si="6"/>
        <v>5</v>
      </c>
      <c r="D52" t="str">
        <f>VLOOKUP(A52,'Globiom data'!$S$21:$T$51,2,FALSE)</f>
        <v>Australia_NZ</v>
      </c>
      <c r="E52" t="str">
        <f>VLOOKUP(B52,'Globiom data'!$V$21:$X$30,3,FALSE)</f>
        <v>MinBIOBSL-05</v>
      </c>
      <c r="F52" t="s">
        <v>53</v>
      </c>
      <c r="G52" s="2">
        <f>MAX(SUMIFS('Globiom data'!F$2:F$9999,'Globiom data'!$A$2:$A$9999,Veda!$D52,'Globiom data'!$D$2:$D$9999,VLOOKUP(Veda!$B52,'Globiom data'!$V$21:$X$29,2,FALSE),'Globiom data'!$E$2:$E$9999,Veda!$C$1),0)*1000</f>
        <v>0</v>
      </c>
      <c r="H52" s="2">
        <f>MAX(SUMIFS('Globiom data'!G$2:G$9999,'Globiom data'!$A$2:$A$9999,Veda!$D52,'Globiom data'!$D$2:$D$9999,VLOOKUP(Veda!$B52,'Globiom data'!$V$21:$X$29,2,FALSE),'Globiom data'!$E$2:$E$9999,Veda!$C$1),0)*1000</f>
        <v>2.0505192026397201</v>
      </c>
      <c r="I52" s="2">
        <f>MAX(SUMIFS('Globiom data'!H$2:H$9999,'Globiom data'!$A$2:$A$9999,Veda!$D52,'Globiom data'!$D$2:$D$9999,VLOOKUP(Veda!$B52,'Globiom data'!$V$21:$X$29,2,FALSE),'Globiom data'!$E$2:$E$9999,Veda!$C$1),0)*1000</f>
        <v>2.0505192026397201</v>
      </c>
      <c r="J52" s="2">
        <f>MAX(SUMIFS('Globiom data'!I$2:I$9999,'Globiom data'!$A$2:$A$9999,Veda!$D52,'Globiom data'!$D$2:$D$9999,VLOOKUP(Veda!$B52,'Globiom data'!$V$21:$X$29,2,FALSE),'Globiom data'!$E$2:$E$9999,Veda!$C$1),0)*1000</f>
        <v>7.5543270283141952</v>
      </c>
      <c r="K52" s="2">
        <f>MAX(SUMIFS('Globiom data'!J$2:J$9999,'Globiom data'!$A$2:$A$9999,Veda!$D52,'Globiom data'!$D$2:$D$9999,VLOOKUP(Veda!$B52,'Globiom data'!$V$21:$X$29,2,FALSE),'Globiom data'!$E$2:$E$9999,Veda!$C$1),0)*1000</f>
        <v>118.7621056642823</v>
      </c>
      <c r="L52" s="2">
        <f>MAX(SUMIFS('Globiom data'!K$2:K$9999,'Globiom data'!$A$2:$A$9999,Veda!$D52,'Globiom data'!$D$2:$D$9999,VLOOKUP(Veda!$B52,'Globiom data'!$V$21:$X$29,2,FALSE),'Globiom data'!$E$2:$E$9999,Veda!$C$1),0)*1000</f>
        <v>280.52576274009147</v>
      </c>
      <c r="M52" s="2">
        <f>MAX(SUMIFS('Globiom data'!L$2:L$9999,'Globiom data'!$A$2:$A$9999,Veda!$D52,'Globiom data'!$D$2:$D$9999,VLOOKUP(Veda!$B52,'Globiom data'!$V$21:$X$29,2,FALSE),'Globiom data'!$E$2:$E$9999,Veda!$C$1),0)*1000</f>
        <v>917.21046751640006</v>
      </c>
      <c r="N52" s="2">
        <f>MAX(SUMIFS('Globiom data'!M$2:M$9999,'Globiom data'!$A$2:$A$9999,Veda!$D52,'Globiom data'!$D$2:$D$9999,VLOOKUP(Veda!$B52,'Globiom data'!$V$21:$X$29,2,FALSE),'Globiom data'!$E$2:$E$9999,Veda!$C$1),0)*1000</f>
        <v>1189.5694690099251</v>
      </c>
      <c r="O52" s="2">
        <f>MAX(SUMIFS('Globiom data'!N$2:N$9999,'Globiom data'!$A$2:$A$9999,Veda!$D52,'Globiom data'!$D$2:$D$9999,VLOOKUP(Veda!$B52,'Globiom data'!$V$21:$X$29,2,FALSE),'Globiom data'!$E$2:$E$9999,Veda!$C$1),0)*1000</f>
        <v>892.79258397116303</v>
      </c>
      <c r="P52" s="2">
        <f>MAX(SUMIFS('Globiom data'!O$2:O$9999,'Globiom data'!$A$2:$A$9999,Veda!$D52,'Globiom data'!$D$2:$D$9999,VLOOKUP(Veda!$B52,'Globiom data'!$V$21:$X$29,2,FALSE),'Globiom data'!$E$2:$E$9999,Veda!$C$1),0)*1000</f>
        <v>503.43964628919599</v>
      </c>
      <c r="Q52" s="2">
        <f>MAX(SUMIFS('Globiom data'!P$2:P$9999,'Globiom data'!$A$2:$A$9999,Veda!$D52,'Globiom data'!$D$2:$D$9999,VLOOKUP(Veda!$B52,'Globiom data'!$V$21:$X$29,2,FALSE),'Globiom data'!$E$2:$E$9999,Veda!$C$1),0)*1000</f>
        <v>190.51214904444609</v>
      </c>
      <c r="R52">
        <v>3</v>
      </c>
    </row>
    <row r="53" spans="1:18" x14ac:dyDescent="0.45">
      <c r="A53" s="8">
        <f t="shared" si="5"/>
        <v>7</v>
      </c>
      <c r="B53" s="8">
        <f t="shared" si="6"/>
        <v>6</v>
      </c>
      <c r="D53" t="str">
        <f>VLOOKUP(A53,'Globiom data'!$S$21:$T$51,2,FALSE)</f>
        <v>Australia_NZ</v>
      </c>
      <c r="E53" t="str">
        <f>VLOOKUP(B53,'Globiom data'!$V$21:$X$30,3,FALSE)</f>
        <v>MinBIOBSL-06</v>
      </c>
      <c r="F53" t="s">
        <v>53</v>
      </c>
      <c r="G53" s="2">
        <f>MAX(SUMIFS('Globiom data'!F$2:F$9999,'Globiom data'!$A$2:$A$9999,Veda!$D53,'Globiom data'!$D$2:$D$9999,VLOOKUP(Veda!$B53,'Globiom data'!$V$21:$X$29,2,FALSE),'Globiom data'!$E$2:$E$9999,Veda!$C$1),0)*1000</f>
        <v>0</v>
      </c>
      <c r="H53" s="2">
        <f>MAX(SUMIFS('Globiom data'!G$2:G$9999,'Globiom data'!$A$2:$A$9999,Veda!$D53,'Globiom data'!$D$2:$D$9999,VLOOKUP(Veda!$B53,'Globiom data'!$V$21:$X$29,2,FALSE),'Globiom data'!$E$2:$E$9999,Veda!$C$1),0)*1000</f>
        <v>5.2097686257285023</v>
      </c>
      <c r="I53" s="2">
        <f>MAX(SUMIFS('Globiom data'!H$2:H$9999,'Globiom data'!$A$2:$A$9999,Veda!$D53,'Globiom data'!$D$2:$D$9999,VLOOKUP(Veda!$B53,'Globiom data'!$V$21:$X$29,2,FALSE),'Globiom data'!$E$2:$E$9999,Veda!$C$1),0)*1000</f>
        <v>5.2097686257285023</v>
      </c>
      <c r="J53" s="2">
        <f>MAX(SUMIFS('Globiom data'!I$2:I$9999,'Globiom data'!$A$2:$A$9999,Veda!$D53,'Globiom data'!$D$2:$D$9999,VLOOKUP(Veda!$B53,'Globiom data'!$V$21:$X$29,2,FALSE),'Globiom data'!$E$2:$E$9999,Veda!$C$1),0)*1000</f>
        <v>372.51929819543346</v>
      </c>
      <c r="K53" s="2">
        <f>MAX(SUMIFS('Globiom data'!J$2:J$9999,'Globiom data'!$A$2:$A$9999,Veda!$D53,'Globiom data'!$D$2:$D$9999,VLOOKUP(Veda!$B53,'Globiom data'!$V$21:$X$29,2,FALSE),'Globiom data'!$E$2:$E$9999,Veda!$C$1),0)*1000</f>
        <v>1356.0387289811881</v>
      </c>
      <c r="L53" s="2">
        <f>MAX(SUMIFS('Globiom data'!K$2:K$9999,'Globiom data'!$A$2:$A$9999,Veda!$D53,'Globiom data'!$D$2:$D$9999,VLOOKUP(Veda!$B53,'Globiom data'!$V$21:$X$29,2,FALSE),'Globiom data'!$E$2:$E$9999,Veda!$C$1),0)*1000</f>
        <v>1430.1500081115257</v>
      </c>
      <c r="M53" s="2">
        <f>MAX(SUMIFS('Globiom data'!L$2:L$9999,'Globiom data'!$A$2:$A$9999,Veda!$D53,'Globiom data'!$D$2:$D$9999,VLOOKUP(Veda!$B53,'Globiom data'!$V$21:$X$29,2,FALSE),'Globiom data'!$E$2:$E$9999,Veda!$C$1),0)*1000</f>
        <v>806.68756377806221</v>
      </c>
      <c r="N53" s="2">
        <f>MAX(SUMIFS('Globiom data'!M$2:M$9999,'Globiom data'!$A$2:$A$9999,Veda!$D53,'Globiom data'!$D$2:$D$9999,VLOOKUP(Veda!$B53,'Globiom data'!$V$21:$X$29,2,FALSE),'Globiom data'!$E$2:$E$9999,Veda!$C$1),0)*1000</f>
        <v>375.06632280096983</v>
      </c>
      <c r="O53" s="2">
        <f>MAX(SUMIFS('Globiom data'!N$2:N$9999,'Globiom data'!$A$2:$A$9999,Veda!$D53,'Globiom data'!$D$2:$D$9999,VLOOKUP(Veda!$B53,'Globiom data'!$V$21:$X$29,2,FALSE),'Globiom data'!$E$2:$E$9999,Veda!$C$1),0)*1000</f>
        <v>369.42994289710185</v>
      </c>
      <c r="P53" s="2">
        <f>MAX(SUMIFS('Globiom data'!O$2:O$9999,'Globiom data'!$A$2:$A$9999,Veda!$D53,'Globiom data'!$D$2:$D$9999,VLOOKUP(Veda!$B53,'Globiom data'!$V$21:$X$29,2,FALSE),'Globiom data'!$E$2:$E$9999,Veda!$C$1),0)*1000</f>
        <v>446.70350840933111</v>
      </c>
      <c r="Q53" s="2">
        <f>MAX(SUMIFS('Globiom data'!P$2:P$9999,'Globiom data'!$A$2:$A$9999,Veda!$D53,'Globiom data'!$D$2:$D$9999,VLOOKUP(Veda!$B53,'Globiom data'!$V$21:$X$29,2,FALSE),'Globiom data'!$E$2:$E$9999,Veda!$C$1),0)*1000</f>
        <v>577.15947580609998</v>
      </c>
      <c r="R53">
        <v>3</v>
      </c>
    </row>
    <row r="54" spans="1:18" x14ac:dyDescent="0.45">
      <c r="A54" s="8">
        <f t="shared" si="5"/>
        <v>7</v>
      </c>
      <c r="B54" s="8">
        <f t="shared" si="6"/>
        <v>7</v>
      </c>
      <c r="D54" t="str">
        <f>VLOOKUP(A54,'Globiom data'!$S$21:$T$51,2,FALSE)</f>
        <v>Australia_NZ</v>
      </c>
      <c r="E54" t="str">
        <f>VLOOKUP(B54,'Globiom data'!$V$21:$X$30,3,FALSE)</f>
        <v>MinBIOBSL-07</v>
      </c>
      <c r="F54" t="s">
        <v>53</v>
      </c>
      <c r="G54" s="2">
        <f>MAX(SUMIFS('Globiom data'!F$2:F$9999,'Globiom data'!$A$2:$A$9999,Veda!$D54,'Globiom data'!$D$2:$D$9999,VLOOKUP(Veda!$B54,'Globiom data'!$V$21:$X$29,2,FALSE),'Globiom data'!$E$2:$E$9999,Veda!$C$1),0)*1000</f>
        <v>0</v>
      </c>
      <c r="H54" s="2">
        <f>MAX(SUMIFS('Globiom data'!G$2:G$9999,'Globiom data'!$A$2:$A$9999,Veda!$D54,'Globiom data'!$D$2:$D$9999,VLOOKUP(Veda!$B54,'Globiom data'!$V$21:$X$29,2,FALSE),'Globiom data'!$E$2:$E$9999,Veda!$C$1),0)*1000</f>
        <v>110.2388193154887</v>
      </c>
      <c r="I54" s="2">
        <f>MAX(SUMIFS('Globiom data'!H$2:H$9999,'Globiom data'!$A$2:$A$9999,Veda!$D54,'Globiom data'!$D$2:$D$9999,VLOOKUP(Veda!$B54,'Globiom data'!$V$21:$X$29,2,FALSE),'Globiom data'!$E$2:$E$9999,Veda!$C$1),0)*1000</f>
        <v>110.2388193154887</v>
      </c>
      <c r="J54" s="2">
        <f>MAX(SUMIFS('Globiom data'!I$2:I$9999,'Globiom data'!$A$2:$A$9999,Veda!$D54,'Globiom data'!$D$2:$D$9999,VLOOKUP(Veda!$B54,'Globiom data'!$V$21:$X$29,2,FALSE),'Globiom data'!$E$2:$E$9999,Veda!$C$1),0)*1000</f>
        <v>1470.3674661366128</v>
      </c>
      <c r="K54" s="2">
        <f>MAX(SUMIFS('Globiom data'!J$2:J$9999,'Globiom data'!$A$2:$A$9999,Veda!$D54,'Globiom data'!$D$2:$D$9999,VLOOKUP(Veda!$B54,'Globiom data'!$V$21:$X$29,2,FALSE),'Globiom data'!$E$2:$E$9999,Veda!$C$1),0)*1000</f>
        <v>613.16149643947983</v>
      </c>
      <c r="L54" s="2">
        <f>MAX(SUMIFS('Globiom data'!K$2:K$9999,'Globiom data'!$A$2:$A$9999,Veda!$D54,'Globiom data'!$D$2:$D$9999,VLOOKUP(Veda!$B54,'Globiom data'!$V$21:$X$29,2,FALSE),'Globiom data'!$E$2:$E$9999,Veda!$C$1),0)*1000</f>
        <v>317.87615497378243</v>
      </c>
      <c r="M54" s="2">
        <f>MAX(SUMIFS('Globiom data'!L$2:L$9999,'Globiom data'!$A$2:$A$9999,Veda!$D54,'Globiom data'!$D$2:$D$9999,VLOOKUP(Veda!$B54,'Globiom data'!$V$21:$X$29,2,FALSE),'Globiom data'!$E$2:$E$9999,Veda!$C$1),0)*1000</f>
        <v>357.58135416914524</v>
      </c>
      <c r="N54" s="2">
        <f>MAX(SUMIFS('Globiom data'!M$2:M$9999,'Globiom data'!$A$2:$A$9999,Veda!$D54,'Globiom data'!$D$2:$D$9999,VLOOKUP(Veda!$B54,'Globiom data'!$V$21:$X$29,2,FALSE),'Globiom data'!$E$2:$E$9999,Veda!$C$1),0)*1000</f>
        <v>467.60338004495503</v>
      </c>
      <c r="O54" s="2">
        <f>MAX(SUMIFS('Globiom data'!N$2:N$9999,'Globiom data'!$A$2:$A$9999,Veda!$D54,'Globiom data'!$D$2:$D$9999,VLOOKUP(Veda!$B54,'Globiom data'!$V$21:$X$29,2,FALSE),'Globiom data'!$E$2:$E$9999,Veda!$C$1),0)*1000</f>
        <v>537.7979255596365</v>
      </c>
      <c r="P54" s="2">
        <f>MAX(SUMIFS('Globiom data'!O$2:O$9999,'Globiom data'!$A$2:$A$9999,Veda!$D54,'Globiom data'!$D$2:$D$9999,VLOOKUP(Veda!$B54,'Globiom data'!$V$21:$X$29,2,FALSE),'Globiom data'!$E$2:$E$9999,Veda!$C$1),0)*1000</f>
        <v>582.73284087159789</v>
      </c>
      <c r="Q54" s="2">
        <f>MAX(SUMIFS('Globiom data'!P$2:P$9999,'Globiom data'!$A$2:$A$9999,Veda!$D54,'Globiom data'!$D$2:$D$9999,VLOOKUP(Veda!$B54,'Globiom data'!$V$21:$X$29,2,FALSE),'Globiom data'!$E$2:$E$9999,Veda!$C$1),0)*1000</f>
        <v>560.72736345505632</v>
      </c>
      <c r="R54">
        <v>3</v>
      </c>
    </row>
    <row r="55" spans="1:18" x14ac:dyDescent="0.45">
      <c r="A55" s="8">
        <f t="shared" si="5"/>
        <v>8</v>
      </c>
      <c r="B55" s="8">
        <f t="shared" si="6"/>
        <v>1</v>
      </c>
      <c r="D55" t="str">
        <f>VLOOKUP(A55,'Globiom data'!$S$21:$T$51,2,FALSE)</f>
        <v>Brazil</v>
      </c>
      <c r="E55" t="str">
        <f>VLOOKUP(B55,'Globiom data'!$V$21:$X$30,3,FALSE)</f>
        <v>MinBIOBSL-01</v>
      </c>
      <c r="F55" t="s">
        <v>53</v>
      </c>
      <c r="G55" s="2">
        <f>MAX(SUMIFS('Globiom data'!F$2:F$9999,'Globiom data'!$A$2:$A$9999,Veda!$D55,'Globiom data'!$D$2:$D$9999,VLOOKUP(Veda!$B55,'Globiom data'!$V$21:$X$29,2,FALSE),'Globiom data'!$E$2:$E$9999,Veda!$C$1),0)*1000</f>
        <v>2068.302160023396</v>
      </c>
      <c r="H55" s="2">
        <f>MAX(SUMIFS('Globiom data'!G$2:G$9999,'Globiom data'!$A$2:$A$9999,Veda!$D55,'Globiom data'!$D$2:$D$9999,VLOOKUP(Veda!$B55,'Globiom data'!$V$21:$X$29,2,FALSE),'Globiom data'!$E$2:$E$9999,Veda!$C$1),0)*1000</f>
        <v>2029.0802930654418</v>
      </c>
      <c r="I55" s="2">
        <f>MAX(SUMIFS('Globiom data'!H$2:H$9999,'Globiom data'!$A$2:$A$9999,Veda!$D55,'Globiom data'!$D$2:$D$9999,VLOOKUP(Veda!$B55,'Globiom data'!$V$21:$X$29,2,FALSE),'Globiom data'!$E$2:$E$9999,Veda!$C$1),0)*1000</f>
        <v>2029.0802930654418</v>
      </c>
      <c r="J55" s="2">
        <f>MAX(SUMIFS('Globiom data'!I$2:I$9999,'Globiom data'!$A$2:$A$9999,Veda!$D55,'Globiom data'!$D$2:$D$9999,VLOOKUP(Veda!$B55,'Globiom data'!$V$21:$X$29,2,FALSE),'Globiom data'!$E$2:$E$9999,Veda!$C$1),0)*1000</f>
        <v>2061.915976670834</v>
      </c>
      <c r="K55" s="2">
        <f>MAX(SUMIFS('Globiom data'!J$2:J$9999,'Globiom data'!$A$2:$A$9999,Veda!$D55,'Globiom data'!$D$2:$D$9999,VLOOKUP(Veda!$B55,'Globiom data'!$V$21:$X$29,2,FALSE),'Globiom data'!$E$2:$E$9999,Veda!$C$1),0)*1000</f>
        <v>1796.2993143772933</v>
      </c>
      <c r="L55" s="2">
        <f>MAX(SUMIFS('Globiom data'!K$2:K$9999,'Globiom data'!$A$2:$A$9999,Veda!$D55,'Globiom data'!$D$2:$D$9999,VLOOKUP(Veda!$B55,'Globiom data'!$V$21:$X$29,2,FALSE),'Globiom data'!$E$2:$E$9999,Veda!$C$1),0)*1000</f>
        <v>1432.8130292732899</v>
      </c>
      <c r="M55" s="2">
        <f>MAX(SUMIFS('Globiom data'!L$2:L$9999,'Globiom data'!$A$2:$A$9999,Veda!$D55,'Globiom data'!$D$2:$D$9999,VLOOKUP(Veda!$B55,'Globiom data'!$V$21:$X$29,2,FALSE),'Globiom data'!$E$2:$E$9999,Veda!$C$1),0)*1000</f>
        <v>1457.6938689707099</v>
      </c>
      <c r="N55" s="2">
        <f>MAX(SUMIFS('Globiom data'!M$2:M$9999,'Globiom data'!$A$2:$A$9999,Veda!$D55,'Globiom data'!$D$2:$D$9999,VLOOKUP(Veda!$B55,'Globiom data'!$V$21:$X$29,2,FALSE),'Globiom data'!$E$2:$E$9999,Veda!$C$1),0)*1000</f>
        <v>1414.0807084355397</v>
      </c>
      <c r="O55" s="2">
        <f>MAX(SUMIFS('Globiom data'!N$2:N$9999,'Globiom data'!$A$2:$A$9999,Veda!$D55,'Globiom data'!$D$2:$D$9999,VLOOKUP(Veda!$B55,'Globiom data'!$V$21:$X$29,2,FALSE),'Globiom data'!$E$2:$E$9999,Veda!$C$1),0)*1000</f>
        <v>1479.4806014500309</v>
      </c>
      <c r="P55" s="2">
        <f>MAX(SUMIFS('Globiom data'!O$2:O$9999,'Globiom data'!$A$2:$A$9999,Veda!$D55,'Globiom data'!$D$2:$D$9999,VLOOKUP(Veda!$B55,'Globiom data'!$V$21:$X$29,2,FALSE),'Globiom data'!$E$2:$E$9999,Veda!$C$1),0)*1000</f>
        <v>1418.69462500803</v>
      </c>
      <c r="Q55" s="2">
        <f>MAX(SUMIFS('Globiom data'!P$2:P$9999,'Globiom data'!$A$2:$A$9999,Veda!$D55,'Globiom data'!$D$2:$D$9999,VLOOKUP(Veda!$B55,'Globiom data'!$V$21:$X$29,2,FALSE),'Globiom data'!$E$2:$E$9999,Veda!$C$1),0)*1000</f>
        <v>1416.4787913380201</v>
      </c>
      <c r="R55">
        <v>3</v>
      </c>
    </row>
    <row r="56" spans="1:18" x14ac:dyDescent="0.45">
      <c r="A56" s="8">
        <f t="shared" si="5"/>
        <v>8</v>
      </c>
      <c r="B56" s="8">
        <f t="shared" si="6"/>
        <v>2</v>
      </c>
      <c r="D56" t="str">
        <f>VLOOKUP(A56,'Globiom data'!$S$21:$T$51,2,FALSE)</f>
        <v>Brazil</v>
      </c>
      <c r="E56" t="str">
        <f>VLOOKUP(B56,'Globiom data'!$V$21:$X$30,3,FALSE)</f>
        <v>MinBIOBSL-02</v>
      </c>
      <c r="F56" t="s">
        <v>53</v>
      </c>
      <c r="G56" s="2">
        <f>MAX(SUMIFS('Globiom data'!F$2:F$9999,'Globiom data'!$A$2:$A$9999,Veda!$D56,'Globiom data'!$D$2:$D$9999,VLOOKUP(Veda!$B56,'Globiom data'!$V$21:$X$29,2,FALSE),'Globiom data'!$E$2:$E$9999,Veda!$C$1),0)*1000</f>
        <v>0</v>
      </c>
      <c r="H56" s="2">
        <f>MAX(SUMIFS('Globiom data'!G$2:G$9999,'Globiom data'!$A$2:$A$9999,Veda!$D56,'Globiom data'!$D$2:$D$9999,VLOOKUP(Veda!$B56,'Globiom data'!$V$21:$X$29,2,FALSE),'Globiom data'!$E$2:$E$9999,Veda!$C$1),0)*1000</f>
        <v>0</v>
      </c>
      <c r="I56" s="2">
        <f>MAX(SUMIFS('Globiom data'!H$2:H$9999,'Globiom data'!$A$2:$A$9999,Veda!$D56,'Globiom data'!$D$2:$D$9999,VLOOKUP(Veda!$B56,'Globiom data'!$V$21:$X$29,2,FALSE),'Globiom data'!$E$2:$E$9999,Veda!$C$1),0)*1000</f>
        <v>0</v>
      </c>
      <c r="J56" s="2">
        <f>MAX(SUMIFS('Globiom data'!I$2:I$9999,'Globiom data'!$A$2:$A$9999,Veda!$D56,'Globiom data'!$D$2:$D$9999,VLOOKUP(Veda!$B56,'Globiom data'!$V$21:$X$29,2,FALSE),'Globiom data'!$E$2:$E$9999,Veda!$C$1),0)*1000</f>
        <v>0</v>
      </c>
      <c r="K56" s="2">
        <f>MAX(SUMIFS('Globiom data'!J$2:J$9999,'Globiom data'!$A$2:$A$9999,Veda!$D56,'Globiom data'!$D$2:$D$9999,VLOOKUP(Veda!$B56,'Globiom data'!$V$21:$X$29,2,FALSE),'Globiom data'!$E$2:$E$9999,Veda!$C$1),0)*1000</f>
        <v>7.1170262873970813</v>
      </c>
      <c r="L56" s="2">
        <f>MAX(SUMIFS('Globiom data'!K$2:K$9999,'Globiom data'!$A$2:$A$9999,Veda!$D56,'Globiom data'!$D$2:$D$9999,VLOOKUP(Veda!$B56,'Globiom data'!$V$21:$X$29,2,FALSE),'Globiom data'!$E$2:$E$9999,Veda!$C$1),0)*1000</f>
        <v>0</v>
      </c>
      <c r="M56" s="2">
        <f>MAX(SUMIFS('Globiom data'!L$2:L$9999,'Globiom data'!$A$2:$A$9999,Veda!$D56,'Globiom data'!$D$2:$D$9999,VLOOKUP(Veda!$B56,'Globiom data'!$V$21:$X$29,2,FALSE),'Globiom data'!$E$2:$E$9999,Veda!$C$1),0)*1000</f>
        <v>339.65658302045392</v>
      </c>
      <c r="N56" s="2">
        <f>MAX(SUMIFS('Globiom data'!M$2:M$9999,'Globiom data'!$A$2:$A$9999,Veda!$D56,'Globiom data'!$D$2:$D$9999,VLOOKUP(Veda!$B56,'Globiom data'!$V$21:$X$29,2,FALSE),'Globiom data'!$E$2:$E$9999,Veda!$C$1),0)*1000</f>
        <v>539.66702924729725</v>
      </c>
      <c r="O56" s="2">
        <f>MAX(SUMIFS('Globiom data'!N$2:N$9999,'Globiom data'!$A$2:$A$9999,Veda!$D56,'Globiom data'!$D$2:$D$9999,VLOOKUP(Veda!$B56,'Globiom data'!$V$21:$X$29,2,FALSE),'Globiom data'!$E$2:$E$9999,Veda!$C$1),0)*1000</f>
        <v>635.46290834940635</v>
      </c>
      <c r="P56" s="2">
        <f>MAX(SUMIFS('Globiom data'!O$2:O$9999,'Globiom data'!$A$2:$A$9999,Veda!$D56,'Globiom data'!$D$2:$D$9999,VLOOKUP(Veda!$B56,'Globiom data'!$V$21:$X$29,2,FALSE),'Globiom data'!$E$2:$E$9999,Veda!$C$1),0)*1000</f>
        <v>830.55544515817701</v>
      </c>
      <c r="Q56" s="2">
        <f>MAX(SUMIFS('Globiom data'!P$2:P$9999,'Globiom data'!$A$2:$A$9999,Veda!$D56,'Globiom data'!$D$2:$D$9999,VLOOKUP(Veda!$B56,'Globiom data'!$V$21:$X$29,2,FALSE),'Globiom data'!$E$2:$E$9999,Veda!$C$1),0)*1000</f>
        <v>935.62949504837979</v>
      </c>
      <c r="R56">
        <v>3</v>
      </c>
    </row>
    <row r="57" spans="1:18" x14ac:dyDescent="0.45">
      <c r="A57" s="8">
        <f t="shared" si="5"/>
        <v>8</v>
      </c>
      <c r="B57" s="8">
        <f t="shared" si="6"/>
        <v>3</v>
      </c>
      <c r="D57" t="str">
        <f>VLOOKUP(A57,'Globiom data'!$S$21:$T$51,2,FALSE)</f>
        <v>Brazil</v>
      </c>
      <c r="E57" t="str">
        <f>VLOOKUP(B57,'Globiom data'!$V$21:$X$30,3,FALSE)</f>
        <v>MinBIOBSL-03</v>
      </c>
      <c r="F57" t="s">
        <v>53</v>
      </c>
      <c r="G57" s="2">
        <f>MAX(SUMIFS('Globiom data'!F$2:F$9999,'Globiom data'!$A$2:$A$9999,Veda!$D57,'Globiom data'!$D$2:$D$9999,VLOOKUP(Veda!$B57,'Globiom data'!$V$21:$X$29,2,FALSE),'Globiom data'!$E$2:$E$9999,Veda!$C$1),0)*1000</f>
        <v>0</v>
      </c>
      <c r="H57" s="2">
        <f>MAX(SUMIFS('Globiom data'!G$2:G$9999,'Globiom data'!$A$2:$A$9999,Veda!$D57,'Globiom data'!$D$2:$D$9999,VLOOKUP(Veda!$B57,'Globiom data'!$V$21:$X$29,2,FALSE),'Globiom data'!$E$2:$E$9999,Veda!$C$1),0)*1000</f>
        <v>12.688382898690072</v>
      </c>
      <c r="I57" s="2">
        <f>MAX(SUMIFS('Globiom data'!H$2:H$9999,'Globiom data'!$A$2:$A$9999,Veda!$D57,'Globiom data'!$D$2:$D$9999,VLOOKUP(Veda!$B57,'Globiom data'!$V$21:$X$29,2,FALSE),'Globiom data'!$E$2:$E$9999,Veda!$C$1),0)*1000</f>
        <v>12.688382898690072</v>
      </c>
      <c r="J57" s="2">
        <f>MAX(SUMIFS('Globiom data'!I$2:I$9999,'Globiom data'!$A$2:$A$9999,Veda!$D57,'Globiom data'!$D$2:$D$9999,VLOOKUP(Veda!$B57,'Globiom data'!$V$21:$X$29,2,FALSE),'Globiom data'!$E$2:$E$9999,Veda!$C$1),0)*1000</f>
        <v>0</v>
      </c>
      <c r="K57" s="2">
        <f>MAX(SUMIFS('Globiom data'!J$2:J$9999,'Globiom data'!$A$2:$A$9999,Veda!$D57,'Globiom data'!$D$2:$D$9999,VLOOKUP(Veda!$B57,'Globiom data'!$V$21:$X$29,2,FALSE),'Globiom data'!$E$2:$E$9999,Veda!$C$1),0)*1000</f>
        <v>228.15225303085401</v>
      </c>
      <c r="L57" s="2">
        <f>MAX(SUMIFS('Globiom data'!K$2:K$9999,'Globiom data'!$A$2:$A$9999,Veda!$D57,'Globiom data'!$D$2:$D$9999,VLOOKUP(Veda!$B57,'Globiom data'!$V$21:$X$29,2,FALSE),'Globiom data'!$E$2:$E$9999,Veda!$C$1),0)*1000</f>
        <v>265.57151677894927</v>
      </c>
      <c r="M57" s="2">
        <f>MAX(SUMIFS('Globiom data'!L$2:L$9999,'Globiom data'!$A$2:$A$9999,Veda!$D57,'Globiom data'!$D$2:$D$9999,VLOOKUP(Veda!$B57,'Globiom data'!$V$21:$X$29,2,FALSE),'Globiom data'!$E$2:$E$9999,Veda!$C$1),0)*1000</f>
        <v>760.83417348969249</v>
      </c>
      <c r="N57" s="2">
        <f>MAX(SUMIFS('Globiom data'!M$2:M$9999,'Globiom data'!$A$2:$A$9999,Veda!$D57,'Globiom data'!$D$2:$D$9999,VLOOKUP(Veda!$B57,'Globiom data'!$V$21:$X$29,2,FALSE),'Globiom data'!$E$2:$E$9999,Veda!$C$1),0)*1000</f>
        <v>4204.0841131947918</v>
      </c>
      <c r="O57" s="2">
        <f>MAX(SUMIFS('Globiom data'!N$2:N$9999,'Globiom data'!$A$2:$A$9999,Veda!$D57,'Globiom data'!$D$2:$D$9999,VLOOKUP(Veda!$B57,'Globiom data'!$V$21:$X$29,2,FALSE),'Globiom data'!$E$2:$E$9999,Veda!$C$1),0)*1000</f>
        <v>7459.6985284117673</v>
      </c>
      <c r="P57" s="2">
        <f>MAX(SUMIFS('Globiom data'!O$2:O$9999,'Globiom data'!$A$2:$A$9999,Veda!$D57,'Globiom data'!$D$2:$D$9999,VLOOKUP(Veda!$B57,'Globiom data'!$V$21:$X$29,2,FALSE),'Globiom data'!$E$2:$E$9999,Veda!$C$1),0)*1000</f>
        <v>10086.602518870466</v>
      </c>
      <c r="Q57" s="2">
        <f>MAX(SUMIFS('Globiom data'!P$2:P$9999,'Globiom data'!$A$2:$A$9999,Veda!$D57,'Globiom data'!$D$2:$D$9999,VLOOKUP(Veda!$B57,'Globiom data'!$V$21:$X$29,2,FALSE),'Globiom data'!$E$2:$E$9999,Veda!$C$1),0)*1000</f>
        <v>10201.077356551536</v>
      </c>
      <c r="R57">
        <v>3</v>
      </c>
    </row>
    <row r="58" spans="1:18" x14ac:dyDescent="0.45">
      <c r="A58" s="8">
        <f t="shared" si="5"/>
        <v>8</v>
      </c>
      <c r="B58" s="8">
        <f t="shared" si="6"/>
        <v>4</v>
      </c>
      <c r="D58" t="str">
        <f>VLOOKUP(A58,'Globiom data'!$S$21:$T$51,2,FALSE)</f>
        <v>Brazil</v>
      </c>
      <c r="E58" t="str">
        <f>VLOOKUP(B58,'Globiom data'!$V$21:$X$30,3,FALSE)</f>
        <v>MinBIOBSL-04</v>
      </c>
      <c r="F58" t="s">
        <v>53</v>
      </c>
      <c r="G58" s="2">
        <f>MAX(SUMIFS('Globiom data'!F$2:F$9999,'Globiom data'!$A$2:$A$9999,Veda!$D58,'Globiom data'!$D$2:$D$9999,VLOOKUP(Veda!$B58,'Globiom data'!$V$21:$X$29,2,FALSE),'Globiom data'!$E$2:$E$9999,Veda!$C$1),0)*1000</f>
        <v>0</v>
      </c>
      <c r="H58" s="2">
        <f>MAX(SUMIFS('Globiom data'!G$2:G$9999,'Globiom data'!$A$2:$A$9999,Veda!$D58,'Globiom data'!$D$2:$D$9999,VLOOKUP(Veda!$B58,'Globiom data'!$V$21:$X$29,2,FALSE),'Globiom data'!$E$2:$E$9999,Veda!$C$1),0)*1000</f>
        <v>2.381059037938841</v>
      </c>
      <c r="I58" s="2">
        <f>MAX(SUMIFS('Globiom data'!H$2:H$9999,'Globiom data'!$A$2:$A$9999,Veda!$D58,'Globiom data'!$D$2:$D$9999,VLOOKUP(Veda!$B58,'Globiom data'!$V$21:$X$29,2,FALSE),'Globiom data'!$E$2:$E$9999,Veda!$C$1),0)*1000</f>
        <v>2.381059037938841</v>
      </c>
      <c r="J58" s="2">
        <f>MAX(SUMIFS('Globiom data'!I$2:I$9999,'Globiom data'!$A$2:$A$9999,Veda!$D58,'Globiom data'!$D$2:$D$9999,VLOOKUP(Veda!$B58,'Globiom data'!$V$21:$X$29,2,FALSE),'Globiom data'!$E$2:$E$9999,Veda!$C$1),0)*1000</f>
        <v>0</v>
      </c>
      <c r="K58" s="2">
        <f>MAX(SUMIFS('Globiom data'!J$2:J$9999,'Globiom data'!$A$2:$A$9999,Veda!$D58,'Globiom data'!$D$2:$D$9999,VLOOKUP(Veda!$B58,'Globiom data'!$V$21:$X$29,2,FALSE),'Globiom data'!$E$2:$E$9999,Veda!$C$1),0)*1000</f>
        <v>32.184965260982686</v>
      </c>
      <c r="L58" s="2">
        <f>MAX(SUMIFS('Globiom data'!K$2:K$9999,'Globiom data'!$A$2:$A$9999,Veda!$D58,'Globiom data'!$D$2:$D$9999,VLOOKUP(Veda!$B58,'Globiom data'!$V$21:$X$29,2,FALSE),'Globiom data'!$E$2:$E$9999,Veda!$C$1),0)*1000</f>
        <v>3346.1792083567407</v>
      </c>
      <c r="M58" s="2">
        <f>MAX(SUMIFS('Globiom data'!L$2:L$9999,'Globiom data'!$A$2:$A$9999,Veda!$D58,'Globiom data'!$D$2:$D$9999,VLOOKUP(Veda!$B58,'Globiom data'!$V$21:$X$29,2,FALSE),'Globiom data'!$E$2:$E$9999,Veda!$C$1),0)*1000</f>
        <v>6397.4910217584547</v>
      </c>
      <c r="N58" s="2">
        <f>MAX(SUMIFS('Globiom data'!M$2:M$9999,'Globiom data'!$A$2:$A$9999,Veda!$D58,'Globiom data'!$D$2:$D$9999,VLOOKUP(Veda!$B58,'Globiom data'!$V$21:$X$29,2,FALSE),'Globiom data'!$E$2:$E$9999,Veda!$C$1),0)*1000</f>
        <v>6982.0046962529505</v>
      </c>
      <c r="O58" s="2">
        <f>MAX(SUMIFS('Globiom data'!N$2:N$9999,'Globiom data'!$A$2:$A$9999,Veda!$D58,'Globiom data'!$D$2:$D$9999,VLOOKUP(Veda!$B58,'Globiom data'!$V$21:$X$29,2,FALSE),'Globiom data'!$E$2:$E$9999,Veda!$C$1),0)*1000</f>
        <v>7782.3701672575589</v>
      </c>
      <c r="P58" s="2">
        <f>MAX(SUMIFS('Globiom data'!O$2:O$9999,'Globiom data'!$A$2:$A$9999,Veda!$D58,'Globiom data'!$D$2:$D$9999,VLOOKUP(Veda!$B58,'Globiom data'!$V$21:$X$29,2,FALSE),'Globiom data'!$E$2:$E$9999,Veda!$C$1),0)*1000</f>
        <v>8255.568093471009</v>
      </c>
      <c r="Q58" s="2">
        <f>MAX(SUMIFS('Globiom data'!P$2:P$9999,'Globiom data'!$A$2:$A$9999,Veda!$D58,'Globiom data'!$D$2:$D$9999,VLOOKUP(Veda!$B58,'Globiom data'!$V$21:$X$29,2,FALSE),'Globiom data'!$E$2:$E$9999,Veda!$C$1),0)*1000</f>
        <v>8380.7731870237476</v>
      </c>
      <c r="R58">
        <v>3</v>
      </c>
    </row>
    <row r="59" spans="1:18" x14ac:dyDescent="0.45">
      <c r="A59" s="8">
        <f t="shared" si="5"/>
        <v>8</v>
      </c>
      <c r="B59" s="8">
        <f t="shared" si="6"/>
        <v>5</v>
      </c>
      <c r="D59" t="str">
        <f>VLOOKUP(A59,'Globiom data'!$S$21:$T$51,2,FALSE)</f>
        <v>Brazil</v>
      </c>
      <c r="E59" t="str">
        <f>VLOOKUP(B59,'Globiom data'!$V$21:$X$30,3,FALSE)</f>
        <v>MinBIOBSL-05</v>
      </c>
      <c r="F59" t="s">
        <v>53</v>
      </c>
      <c r="G59" s="2">
        <f>MAX(SUMIFS('Globiom data'!F$2:F$9999,'Globiom data'!$A$2:$A$9999,Veda!$D59,'Globiom data'!$D$2:$D$9999,VLOOKUP(Veda!$B59,'Globiom data'!$V$21:$X$29,2,FALSE),'Globiom data'!$E$2:$E$9999,Veda!$C$1),0)*1000</f>
        <v>0</v>
      </c>
      <c r="H59" s="2">
        <f>MAX(SUMIFS('Globiom data'!G$2:G$9999,'Globiom data'!$A$2:$A$9999,Veda!$D59,'Globiom data'!$D$2:$D$9999,VLOOKUP(Veda!$B59,'Globiom data'!$V$21:$X$29,2,FALSE),'Globiom data'!$E$2:$E$9999,Veda!$C$1),0)*1000</f>
        <v>0</v>
      </c>
      <c r="I59" s="2">
        <f>MAX(SUMIFS('Globiom data'!H$2:H$9999,'Globiom data'!$A$2:$A$9999,Veda!$D59,'Globiom data'!$D$2:$D$9999,VLOOKUP(Veda!$B59,'Globiom data'!$V$21:$X$29,2,FALSE),'Globiom data'!$E$2:$E$9999,Veda!$C$1),0)*1000</f>
        <v>0</v>
      </c>
      <c r="J59" s="2">
        <f>MAX(SUMIFS('Globiom data'!I$2:I$9999,'Globiom data'!$A$2:$A$9999,Veda!$D59,'Globiom data'!$D$2:$D$9999,VLOOKUP(Veda!$B59,'Globiom data'!$V$21:$X$29,2,FALSE),'Globiom data'!$E$2:$E$9999,Veda!$C$1),0)*1000</f>
        <v>229.38147233064259</v>
      </c>
      <c r="K59" s="2">
        <f>MAX(SUMIFS('Globiom data'!J$2:J$9999,'Globiom data'!$A$2:$A$9999,Veda!$D59,'Globiom data'!$D$2:$D$9999,VLOOKUP(Veda!$B59,'Globiom data'!$V$21:$X$29,2,FALSE),'Globiom data'!$E$2:$E$9999,Veda!$C$1),0)*1000</f>
        <v>3947.3778649343217</v>
      </c>
      <c r="L59" s="2">
        <f>MAX(SUMIFS('Globiom data'!K$2:K$9999,'Globiom data'!$A$2:$A$9999,Veda!$D59,'Globiom data'!$D$2:$D$9999,VLOOKUP(Veda!$B59,'Globiom data'!$V$21:$X$29,2,FALSE),'Globiom data'!$E$2:$E$9999,Veda!$C$1),0)*1000</f>
        <v>5890.8347228574639</v>
      </c>
      <c r="M59" s="2">
        <f>MAX(SUMIFS('Globiom data'!L$2:L$9999,'Globiom data'!$A$2:$A$9999,Veda!$D59,'Globiom data'!$D$2:$D$9999,VLOOKUP(Veda!$B59,'Globiom data'!$V$21:$X$29,2,FALSE),'Globiom data'!$E$2:$E$9999,Veda!$C$1),0)*1000</f>
        <v>7652.1501459612327</v>
      </c>
      <c r="N59" s="2">
        <f>MAX(SUMIFS('Globiom data'!M$2:M$9999,'Globiom data'!$A$2:$A$9999,Veda!$D59,'Globiom data'!$D$2:$D$9999,VLOOKUP(Veda!$B59,'Globiom data'!$V$21:$X$29,2,FALSE),'Globiom data'!$E$2:$E$9999,Veda!$C$1),0)*1000</f>
        <v>8634.3708175930369</v>
      </c>
      <c r="O59" s="2">
        <f>MAX(SUMIFS('Globiom data'!N$2:N$9999,'Globiom data'!$A$2:$A$9999,Veda!$D59,'Globiom data'!$D$2:$D$9999,VLOOKUP(Veda!$B59,'Globiom data'!$V$21:$X$29,2,FALSE),'Globiom data'!$E$2:$E$9999,Veda!$C$1),0)*1000</f>
        <v>7805.4639503720773</v>
      </c>
      <c r="P59" s="2">
        <f>MAX(SUMIFS('Globiom data'!O$2:O$9999,'Globiom data'!$A$2:$A$9999,Veda!$D59,'Globiom data'!$D$2:$D$9999,VLOOKUP(Veda!$B59,'Globiom data'!$V$21:$X$29,2,FALSE),'Globiom data'!$E$2:$E$9999,Veda!$C$1),0)*1000</f>
        <v>5525.541249480736</v>
      </c>
      <c r="Q59" s="2">
        <f>MAX(SUMIFS('Globiom data'!P$2:P$9999,'Globiom data'!$A$2:$A$9999,Veda!$D59,'Globiom data'!$D$2:$D$9999,VLOOKUP(Veda!$B59,'Globiom data'!$V$21:$X$29,2,FALSE),'Globiom data'!$E$2:$E$9999,Veda!$C$1),0)*1000</f>
        <v>3600.880344513258</v>
      </c>
      <c r="R59">
        <v>3</v>
      </c>
    </row>
    <row r="60" spans="1:18" x14ac:dyDescent="0.45">
      <c r="A60" s="8">
        <f t="shared" si="5"/>
        <v>8</v>
      </c>
      <c r="B60" s="8">
        <f t="shared" si="6"/>
        <v>6</v>
      </c>
      <c r="D60" t="str">
        <f>VLOOKUP(A60,'Globiom data'!$S$21:$T$51,2,FALSE)</f>
        <v>Brazil</v>
      </c>
      <c r="E60" t="str">
        <f>VLOOKUP(B60,'Globiom data'!$V$21:$X$30,3,FALSE)</f>
        <v>MinBIOBSL-06</v>
      </c>
      <c r="F60" t="s">
        <v>53</v>
      </c>
      <c r="G60" s="2">
        <f>MAX(SUMIFS('Globiom data'!F$2:F$9999,'Globiom data'!$A$2:$A$9999,Veda!$D60,'Globiom data'!$D$2:$D$9999,VLOOKUP(Veda!$B60,'Globiom data'!$V$21:$X$29,2,FALSE),'Globiom data'!$E$2:$E$9999,Veda!$C$1),0)*1000</f>
        <v>0</v>
      </c>
      <c r="H60" s="2">
        <f>MAX(SUMIFS('Globiom data'!G$2:G$9999,'Globiom data'!$A$2:$A$9999,Veda!$D60,'Globiom data'!$D$2:$D$9999,VLOOKUP(Veda!$B60,'Globiom data'!$V$21:$X$29,2,FALSE),'Globiom data'!$E$2:$E$9999,Veda!$C$1),0)*1000</f>
        <v>119.09542280235446</v>
      </c>
      <c r="I60" s="2">
        <f>MAX(SUMIFS('Globiom data'!H$2:H$9999,'Globiom data'!$A$2:$A$9999,Veda!$D60,'Globiom data'!$D$2:$D$9999,VLOOKUP(Veda!$B60,'Globiom data'!$V$21:$X$29,2,FALSE),'Globiom data'!$E$2:$E$9999,Veda!$C$1),0)*1000</f>
        <v>119.09542280235446</v>
      </c>
      <c r="J60" s="2">
        <f>MAX(SUMIFS('Globiom data'!I$2:I$9999,'Globiom data'!$A$2:$A$9999,Veda!$D60,'Globiom data'!$D$2:$D$9999,VLOOKUP(Veda!$B60,'Globiom data'!$V$21:$X$29,2,FALSE),'Globiom data'!$E$2:$E$9999,Veda!$C$1),0)*1000</f>
        <v>6528.8986656079833</v>
      </c>
      <c r="K60" s="2">
        <f>MAX(SUMIFS('Globiom data'!J$2:J$9999,'Globiom data'!$A$2:$A$9999,Veda!$D60,'Globiom data'!$D$2:$D$9999,VLOOKUP(Veda!$B60,'Globiom data'!$V$21:$X$29,2,FALSE),'Globiom data'!$E$2:$E$9999,Veda!$C$1),0)*1000</f>
        <v>10352.878456353123</v>
      </c>
      <c r="L60" s="2">
        <f>MAX(SUMIFS('Globiom data'!K$2:K$9999,'Globiom data'!$A$2:$A$9999,Veda!$D60,'Globiom data'!$D$2:$D$9999,VLOOKUP(Veda!$B60,'Globiom data'!$V$21:$X$29,2,FALSE),'Globiom data'!$E$2:$E$9999,Veda!$C$1),0)*1000</f>
        <v>11655.5035812838</v>
      </c>
      <c r="M60" s="2">
        <f>MAX(SUMIFS('Globiom data'!L$2:L$9999,'Globiom data'!$A$2:$A$9999,Veda!$D60,'Globiom data'!$D$2:$D$9999,VLOOKUP(Veda!$B60,'Globiom data'!$V$21:$X$29,2,FALSE),'Globiom data'!$E$2:$E$9999,Veda!$C$1),0)*1000</f>
        <v>9083.1143422395853</v>
      </c>
      <c r="N60" s="2">
        <f>MAX(SUMIFS('Globiom data'!M$2:M$9999,'Globiom data'!$A$2:$A$9999,Veda!$D60,'Globiom data'!$D$2:$D$9999,VLOOKUP(Veda!$B60,'Globiom data'!$V$21:$X$29,2,FALSE),'Globiom data'!$E$2:$E$9999,Veda!$C$1),0)*1000</f>
        <v>5270.7294186471127</v>
      </c>
      <c r="O60" s="2">
        <f>MAX(SUMIFS('Globiom data'!N$2:N$9999,'Globiom data'!$A$2:$A$9999,Veda!$D60,'Globiom data'!$D$2:$D$9999,VLOOKUP(Veda!$B60,'Globiom data'!$V$21:$X$29,2,FALSE),'Globiom data'!$E$2:$E$9999,Veda!$C$1),0)*1000</f>
        <v>3075.6781696476692</v>
      </c>
      <c r="P60" s="2">
        <f>MAX(SUMIFS('Globiom data'!O$2:O$9999,'Globiom data'!$A$2:$A$9999,Veda!$D60,'Globiom data'!$D$2:$D$9999,VLOOKUP(Veda!$B60,'Globiom data'!$V$21:$X$29,2,FALSE),'Globiom data'!$E$2:$E$9999,Veda!$C$1),0)*1000</f>
        <v>2513.9445788495163</v>
      </c>
      <c r="Q60" s="2">
        <f>MAX(SUMIFS('Globiom data'!P$2:P$9999,'Globiom data'!$A$2:$A$9999,Veda!$D60,'Globiom data'!$D$2:$D$9999,VLOOKUP(Veda!$B60,'Globiom data'!$V$21:$X$29,2,FALSE),'Globiom data'!$E$2:$E$9999,Veda!$C$1),0)*1000</f>
        <v>2471.5057474038376</v>
      </c>
      <c r="R60">
        <v>3</v>
      </c>
    </row>
    <row r="61" spans="1:18" x14ac:dyDescent="0.45">
      <c r="A61" s="8">
        <f t="shared" si="5"/>
        <v>8</v>
      </c>
      <c r="B61" s="8">
        <f t="shared" si="6"/>
        <v>7</v>
      </c>
      <c r="D61" t="str">
        <f>VLOOKUP(A61,'Globiom data'!$S$21:$T$51,2,FALSE)</f>
        <v>Brazil</v>
      </c>
      <c r="E61" t="str">
        <f>VLOOKUP(B61,'Globiom data'!$V$21:$X$30,3,FALSE)</f>
        <v>MinBIOBSL-07</v>
      </c>
      <c r="F61" t="s">
        <v>53</v>
      </c>
      <c r="G61" s="2">
        <f>MAX(SUMIFS('Globiom data'!F$2:F$9999,'Globiom data'!$A$2:$A$9999,Veda!$D61,'Globiom data'!$D$2:$D$9999,VLOOKUP(Veda!$B61,'Globiom data'!$V$21:$X$29,2,FALSE),'Globiom data'!$E$2:$E$9999,Veda!$C$1),0)*1000</f>
        <v>0</v>
      </c>
      <c r="H61" s="2">
        <f>MAX(SUMIFS('Globiom data'!G$2:G$9999,'Globiom data'!$A$2:$A$9999,Veda!$D61,'Globiom data'!$D$2:$D$9999,VLOOKUP(Veda!$B61,'Globiom data'!$V$21:$X$29,2,FALSE),'Globiom data'!$E$2:$E$9999,Veda!$C$1),0)*1000</f>
        <v>2780.494299168719</v>
      </c>
      <c r="I61" s="2">
        <f>MAX(SUMIFS('Globiom data'!H$2:H$9999,'Globiom data'!$A$2:$A$9999,Veda!$D61,'Globiom data'!$D$2:$D$9999,VLOOKUP(Veda!$B61,'Globiom data'!$V$21:$X$29,2,FALSE),'Globiom data'!$E$2:$E$9999,Veda!$C$1),0)*1000</f>
        <v>2780.494299168719</v>
      </c>
      <c r="J61" s="2">
        <f>MAX(SUMIFS('Globiom data'!I$2:I$9999,'Globiom data'!$A$2:$A$9999,Veda!$D61,'Globiom data'!$D$2:$D$9999,VLOOKUP(Veda!$B61,'Globiom data'!$V$21:$X$29,2,FALSE),'Globiom data'!$E$2:$E$9999,Veda!$C$1),0)*1000</f>
        <v>8463.3002811769602</v>
      </c>
      <c r="K61" s="2">
        <f>MAX(SUMIFS('Globiom data'!J$2:J$9999,'Globiom data'!$A$2:$A$9999,Veda!$D61,'Globiom data'!$D$2:$D$9999,VLOOKUP(Veda!$B61,'Globiom data'!$V$21:$X$29,2,FALSE),'Globiom data'!$E$2:$E$9999,Veda!$C$1),0)*1000</f>
        <v>8008.7495642129679</v>
      </c>
      <c r="L61" s="2">
        <f>MAX(SUMIFS('Globiom data'!K$2:K$9999,'Globiom data'!$A$2:$A$9999,Veda!$D61,'Globiom data'!$D$2:$D$9999,VLOOKUP(Veda!$B61,'Globiom data'!$V$21:$X$29,2,FALSE),'Globiom data'!$E$2:$E$9999,Veda!$C$1),0)*1000</f>
        <v>3889.7020980811039</v>
      </c>
      <c r="M61" s="2">
        <f>MAX(SUMIFS('Globiom data'!L$2:L$9999,'Globiom data'!$A$2:$A$9999,Veda!$D61,'Globiom data'!$D$2:$D$9999,VLOOKUP(Veda!$B61,'Globiom data'!$V$21:$X$29,2,FALSE),'Globiom data'!$E$2:$E$9999,Veda!$C$1),0)*1000</f>
        <v>2496.7523104862639</v>
      </c>
      <c r="N61" s="2">
        <f>MAX(SUMIFS('Globiom data'!M$2:M$9999,'Globiom data'!$A$2:$A$9999,Veda!$D61,'Globiom data'!$D$2:$D$9999,VLOOKUP(Veda!$B61,'Globiom data'!$V$21:$X$29,2,FALSE),'Globiom data'!$E$2:$E$9999,Veda!$C$1),0)*1000</f>
        <v>2826.7468481921801</v>
      </c>
      <c r="O61" s="2">
        <f>MAX(SUMIFS('Globiom data'!N$2:N$9999,'Globiom data'!$A$2:$A$9999,Veda!$D61,'Globiom data'!$D$2:$D$9999,VLOOKUP(Veda!$B61,'Globiom data'!$V$21:$X$29,2,FALSE),'Globiom data'!$E$2:$E$9999,Veda!$C$1),0)*1000</f>
        <v>3892.9831365123059</v>
      </c>
      <c r="P61" s="2">
        <f>MAX(SUMIFS('Globiom data'!O$2:O$9999,'Globiom data'!$A$2:$A$9999,Veda!$D61,'Globiom data'!$D$2:$D$9999,VLOOKUP(Veda!$B61,'Globiom data'!$V$21:$X$29,2,FALSE),'Globiom data'!$E$2:$E$9999,Veda!$C$1),0)*1000</f>
        <v>4808.2721072898503</v>
      </c>
      <c r="Q61" s="2">
        <f>MAX(SUMIFS('Globiom data'!P$2:P$9999,'Globiom data'!$A$2:$A$9999,Veda!$D61,'Globiom data'!$D$2:$D$9999,VLOOKUP(Veda!$B61,'Globiom data'!$V$21:$X$29,2,FALSE),'Globiom data'!$E$2:$E$9999,Veda!$C$1),0)*1000</f>
        <v>5605.8565883173424</v>
      </c>
      <c r="R61">
        <v>3</v>
      </c>
    </row>
    <row r="62" spans="1:18" x14ac:dyDescent="0.45">
      <c r="A62" s="8">
        <f t="shared" si="5"/>
        <v>9</v>
      </c>
      <c r="B62" s="8">
        <f t="shared" si="6"/>
        <v>1</v>
      </c>
      <c r="D62" t="str">
        <f>VLOOKUP(A62,'Globiom data'!$S$21:$T$51,2,FALSE)</f>
        <v>Canada</v>
      </c>
      <c r="E62" t="str">
        <f>VLOOKUP(B62,'Globiom data'!$V$21:$X$30,3,FALSE)</f>
        <v>MinBIOBSL-01</v>
      </c>
      <c r="F62" t="s">
        <v>53</v>
      </c>
      <c r="G62" s="2">
        <f>MAX(SUMIFS('Globiom data'!F$2:F$9999,'Globiom data'!$A$2:$A$9999,Veda!$D62,'Globiom data'!$D$2:$D$9999,VLOOKUP(Veda!$B62,'Globiom data'!$V$21:$X$29,2,FALSE),'Globiom data'!$E$2:$E$9999,Veda!$C$1),0)*1000</f>
        <v>555.93351572964559</v>
      </c>
      <c r="H62" s="2">
        <f>MAX(SUMIFS('Globiom data'!G$2:G$9999,'Globiom data'!$A$2:$A$9999,Veda!$D62,'Globiom data'!$D$2:$D$9999,VLOOKUP(Veda!$B62,'Globiom data'!$V$21:$X$29,2,FALSE),'Globiom data'!$E$2:$E$9999,Veda!$C$1),0)*1000</f>
        <v>496.17045541812871</v>
      </c>
      <c r="I62" s="2">
        <f>MAX(SUMIFS('Globiom data'!H$2:H$9999,'Globiom data'!$A$2:$A$9999,Veda!$D62,'Globiom data'!$D$2:$D$9999,VLOOKUP(Veda!$B62,'Globiom data'!$V$21:$X$29,2,FALSE),'Globiom data'!$E$2:$E$9999,Veda!$C$1),0)*1000</f>
        <v>496.17045541812871</v>
      </c>
      <c r="J62" s="2">
        <f>MAX(SUMIFS('Globiom data'!I$2:I$9999,'Globiom data'!$A$2:$A$9999,Veda!$D62,'Globiom data'!$D$2:$D$9999,VLOOKUP(Veda!$B62,'Globiom data'!$V$21:$X$29,2,FALSE),'Globiom data'!$E$2:$E$9999,Veda!$C$1),0)*1000</f>
        <v>462.16164059457157</v>
      </c>
      <c r="K62" s="2">
        <f>MAX(SUMIFS('Globiom data'!J$2:J$9999,'Globiom data'!$A$2:$A$9999,Veda!$D62,'Globiom data'!$D$2:$D$9999,VLOOKUP(Veda!$B62,'Globiom data'!$V$21:$X$29,2,FALSE),'Globiom data'!$E$2:$E$9999,Veda!$C$1),0)*1000</f>
        <v>459.44736331461166</v>
      </c>
      <c r="L62" s="2">
        <f>MAX(SUMIFS('Globiom data'!K$2:K$9999,'Globiom data'!$A$2:$A$9999,Veda!$D62,'Globiom data'!$D$2:$D$9999,VLOOKUP(Veda!$B62,'Globiom data'!$V$21:$X$29,2,FALSE),'Globiom data'!$E$2:$E$9999,Veda!$C$1),0)*1000</f>
        <v>455.91293458860889</v>
      </c>
      <c r="M62" s="2">
        <f>MAX(SUMIFS('Globiom data'!L$2:L$9999,'Globiom data'!$A$2:$A$9999,Veda!$D62,'Globiom data'!$D$2:$D$9999,VLOOKUP(Veda!$B62,'Globiom data'!$V$21:$X$29,2,FALSE),'Globiom data'!$E$2:$E$9999,Veda!$C$1),0)*1000</f>
        <v>453.97291468979711</v>
      </c>
      <c r="N62" s="2">
        <f>MAX(SUMIFS('Globiom data'!M$2:M$9999,'Globiom data'!$A$2:$A$9999,Veda!$D62,'Globiom data'!$D$2:$D$9999,VLOOKUP(Veda!$B62,'Globiom data'!$V$21:$X$29,2,FALSE),'Globiom data'!$E$2:$E$9999,Veda!$C$1),0)*1000</f>
        <v>462.52635354071208</v>
      </c>
      <c r="O62" s="2">
        <f>MAX(SUMIFS('Globiom data'!N$2:N$9999,'Globiom data'!$A$2:$A$9999,Veda!$D62,'Globiom data'!$D$2:$D$9999,VLOOKUP(Veda!$B62,'Globiom data'!$V$21:$X$29,2,FALSE),'Globiom data'!$E$2:$E$9999,Veda!$C$1),0)*1000</f>
        <v>450.28981410124709</v>
      </c>
      <c r="P62" s="2">
        <f>MAX(SUMIFS('Globiom data'!O$2:O$9999,'Globiom data'!$A$2:$A$9999,Veda!$D62,'Globiom data'!$D$2:$D$9999,VLOOKUP(Veda!$B62,'Globiom data'!$V$21:$X$29,2,FALSE),'Globiom data'!$E$2:$E$9999,Veda!$C$1),0)*1000</f>
        <v>461.90252057983912</v>
      </c>
      <c r="Q62" s="2">
        <f>MAX(SUMIFS('Globiom data'!P$2:P$9999,'Globiom data'!$A$2:$A$9999,Veda!$D62,'Globiom data'!$D$2:$D$9999,VLOOKUP(Veda!$B62,'Globiom data'!$V$21:$X$29,2,FALSE),'Globiom data'!$E$2:$E$9999,Veda!$C$1),0)*1000</f>
        <v>462.37963721831011</v>
      </c>
      <c r="R62">
        <v>3</v>
      </c>
    </row>
    <row r="63" spans="1:18" x14ac:dyDescent="0.45">
      <c r="A63" s="8">
        <f t="shared" si="5"/>
        <v>9</v>
      </c>
      <c r="B63" s="8">
        <f t="shared" si="6"/>
        <v>2</v>
      </c>
      <c r="D63" t="str">
        <f>VLOOKUP(A63,'Globiom data'!$S$21:$T$51,2,FALSE)</f>
        <v>Canada</v>
      </c>
      <c r="E63" t="str">
        <f>VLOOKUP(B63,'Globiom data'!$V$21:$X$30,3,FALSE)</f>
        <v>MinBIOBSL-02</v>
      </c>
      <c r="F63" t="s">
        <v>53</v>
      </c>
      <c r="G63" s="2">
        <f>MAX(SUMIFS('Globiom data'!F$2:F$9999,'Globiom data'!$A$2:$A$9999,Veda!$D63,'Globiom data'!$D$2:$D$9999,VLOOKUP(Veda!$B63,'Globiom data'!$V$21:$X$29,2,FALSE),'Globiom data'!$E$2:$E$9999,Veda!$C$1),0)*1000</f>
        <v>0</v>
      </c>
      <c r="H63" s="2">
        <f>MAX(SUMIFS('Globiom data'!G$2:G$9999,'Globiom data'!$A$2:$A$9999,Veda!$D63,'Globiom data'!$D$2:$D$9999,VLOOKUP(Veda!$B63,'Globiom data'!$V$21:$X$29,2,FALSE),'Globiom data'!$E$2:$E$9999,Veda!$C$1),0)*1000</f>
        <v>0.94710656556479478</v>
      </c>
      <c r="I63" s="2">
        <f>MAX(SUMIFS('Globiom data'!H$2:H$9999,'Globiom data'!$A$2:$A$9999,Veda!$D63,'Globiom data'!$D$2:$D$9999,VLOOKUP(Veda!$B63,'Globiom data'!$V$21:$X$29,2,FALSE),'Globiom data'!$E$2:$E$9999,Veda!$C$1),0)*1000</f>
        <v>0.94710656556479478</v>
      </c>
      <c r="J63" s="2">
        <f>MAX(SUMIFS('Globiom data'!I$2:I$9999,'Globiom data'!$A$2:$A$9999,Veda!$D63,'Globiom data'!$D$2:$D$9999,VLOOKUP(Veda!$B63,'Globiom data'!$V$21:$X$29,2,FALSE),'Globiom data'!$E$2:$E$9999,Veda!$C$1),0)*1000</f>
        <v>0.66159293856917167</v>
      </c>
      <c r="K63" s="2">
        <f>MAX(SUMIFS('Globiom data'!J$2:J$9999,'Globiom data'!$A$2:$A$9999,Veda!$D63,'Globiom data'!$D$2:$D$9999,VLOOKUP(Veda!$B63,'Globiom data'!$V$21:$X$29,2,FALSE),'Globiom data'!$E$2:$E$9999,Veda!$C$1),0)*1000</f>
        <v>0</v>
      </c>
      <c r="L63" s="2">
        <f>MAX(SUMIFS('Globiom data'!K$2:K$9999,'Globiom data'!$A$2:$A$9999,Veda!$D63,'Globiom data'!$D$2:$D$9999,VLOOKUP(Veda!$B63,'Globiom data'!$V$21:$X$29,2,FALSE),'Globiom data'!$E$2:$E$9999,Veda!$C$1),0)*1000</f>
        <v>2.5518706710581811</v>
      </c>
      <c r="M63" s="2">
        <f>MAX(SUMIFS('Globiom data'!L$2:L$9999,'Globiom data'!$A$2:$A$9999,Veda!$D63,'Globiom data'!$D$2:$D$9999,VLOOKUP(Veda!$B63,'Globiom data'!$V$21:$X$29,2,FALSE),'Globiom data'!$E$2:$E$9999,Veda!$C$1),0)*1000</f>
        <v>18.272326193068594</v>
      </c>
      <c r="N63" s="2">
        <f>MAX(SUMIFS('Globiom data'!M$2:M$9999,'Globiom data'!$A$2:$A$9999,Veda!$D63,'Globiom data'!$D$2:$D$9999,VLOOKUP(Veda!$B63,'Globiom data'!$V$21:$X$29,2,FALSE),'Globiom data'!$E$2:$E$9999,Veda!$C$1),0)*1000</f>
        <v>33.655911338917555</v>
      </c>
      <c r="O63" s="2">
        <f>MAX(SUMIFS('Globiom data'!N$2:N$9999,'Globiom data'!$A$2:$A$9999,Veda!$D63,'Globiom data'!$D$2:$D$9999,VLOOKUP(Veda!$B63,'Globiom data'!$V$21:$X$29,2,FALSE),'Globiom data'!$E$2:$E$9999,Veda!$C$1),0)*1000</f>
        <v>69.043587862424687</v>
      </c>
      <c r="P63" s="2">
        <f>MAX(SUMIFS('Globiom data'!O$2:O$9999,'Globiom data'!$A$2:$A$9999,Veda!$D63,'Globiom data'!$D$2:$D$9999,VLOOKUP(Veda!$B63,'Globiom data'!$V$21:$X$29,2,FALSE),'Globiom data'!$E$2:$E$9999,Veda!$C$1),0)*1000</f>
        <v>79.876730483615646</v>
      </c>
      <c r="Q63" s="2">
        <f>MAX(SUMIFS('Globiom data'!P$2:P$9999,'Globiom data'!$A$2:$A$9999,Veda!$D63,'Globiom data'!$D$2:$D$9999,VLOOKUP(Veda!$B63,'Globiom data'!$V$21:$X$29,2,FALSE),'Globiom data'!$E$2:$E$9999,Veda!$C$1),0)*1000</f>
        <v>108.48613445186356</v>
      </c>
      <c r="R63">
        <v>3</v>
      </c>
    </row>
    <row r="64" spans="1:18" x14ac:dyDescent="0.45">
      <c r="A64" s="8">
        <f t="shared" si="5"/>
        <v>9</v>
      </c>
      <c r="B64" s="8">
        <f t="shared" si="6"/>
        <v>3</v>
      </c>
      <c r="D64" t="str">
        <f>VLOOKUP(A64,'Globiom data'!$S$21:$T$51,2,FALSE)</f>
        <v>Canada</v>
      </c>
      <c r="E64" t="str">
        <f>VLOOKUP(B64,'Globiom data'!$V$21:$X$30,3,FALSE)</f>
        <v>MinBIOBSL-03</v>
      </c>
      <c r="F64" t="s">
        <v>53</v>
      </c>
      <c r="G64" s="2">
        <f>MAX(SUMIFS('Globiom data'!F$2:F$9999,'Globiom data'!$A$2:$A$9999,Veda!$D64,'Globiom data'!$D$2:$D$9999,VLOOKUP(Veda!$B64,'Globiom data'!$V$21:$X$29,2,FALSE),'Globiom data'!$E$2:$E$9999,Veda!$C$1),0)*1000</f>
        <v>0</v>
      </c>
      <c r="H64" s="2">
        <f>MAX(SUMIFS('Globiom data'!G$2:G$9999,'Globiom data'!$A$2:$A$9999,Veda!$D64,'Globiom data'!$D$2:$D$9999,VLOOKUP(Veda!$B64,'Globiom data'!$V$21:$X$29,2,FALSE),'Globiom data'!$E$2:$E$9999,Veda!$C$1),0)*1000</f>
        <v>0</v>
      </c>
      <c r="I64" s="2">
        <f>MAX(SUMIFS('Globiom data'!H$2:H$9999,'Globiom data'!$A$2:$A$9999,Veda!$D64,'Globiom data'!$D$2:$D$9999,VLOOKUP(Veda!$B64,'Globiom data'!$V$21:$X$29,2,FALSE),'Globiom data'!$E$2:$E$9999,Veda!$C$1),0)*1000</f>
        <v>0</v>
      </c>
      <c r="J64" s="2">
        <f>MAX(SUMIFS('Globiom data'!I$2:I$9999,'Globiom data'!$A$2:$A$9999,Veda!$D64,'Globiom data'!$D$2:$D$9999,VLOOKUP(Veda!$B64,'Globiom data'!$V$21:$X$29,2,FALSE),'Globiom data'!$E$2:$E$9999,Veda!$C$1),0)*1000</f>
        <v>0.22212166026379385</v>
      </c>
      <c r="K64" s="2">
        <f>MAX(SUMIFS('Globiom data'!J$2:J$9999,'Globiom data'!$A$2:$A$9999,Veda!$D64,'Globiom data'!$D$2:$D$9999,VLOOKUP(Veda!$B64,'Globiom data'!$V$21:$X$29,2,FALSE),'Globiom data'!$E$2:$E$9999,Veda!$C$1),0)*1000</f>
        <v>9.6497772319535411</v>
      </c>
      <c r="L64" s="2">
        <f>MAX(SUMIFS('Globiom data'!K$2:K$9999,'Globiom data'!$A$2:$A$9999,Veda!$D64,'Globiom data'!$D$2:$D$9999,VLOOKUP(Veda!$B64,'Globiom data'!$V$21:$X$29,2,FALSE),'Globiom data'!$E$2:$E$9999,Veda!$C$1),0)*1000</f>
        <v>10.446481904795917</v>
      </c>
      <c r="M64" s="2">
        <f>MAX(SUMIFS('Globiom data'!L$2:L$9999,'Globiom data'!$A$2:$A$9999,Veda!$D64,'Globiom data'!$D$2:$D$9999,VLOOKUP(Veda!$B64,'Globiom data'!$V$21:$X$29,2,FALSE),'Globiom data'!$E$2:$E$9999,Veda!$C$1),0)*1000</f>
        <v>7.8155595844635499</v>
      </c>
      <c r="N64" s="2">
        <f>MAX(SUMIFS('Globiom data'!M$2:M$9999,'Globiom data'!$A$2:$A$9999,Veda!$D64,'Globiom data'!$D$2:$D$9999,VLOOKUP(Veda!$B64,'Globiom data'!$V$21:$X$29,2,FALSE),'Globiom data'!$E$2:$E$9999,Veda!$C$1),0)*1000</f>
        <v>66.79741629013941</v>
      </c>
      <c r="O64" s="2">
        <f>MAX(SUMIFS('Globiom data'!N$2:N$9999,'Globiom data'!$A$2:$A$9999,Veda!$D64,'Globiom data'!$D$2:$D$9999,VLOOKUP(Veda!$B64,'Globiom data'!$V$21:$X$29,2,FALSE),'Globiom data'!$E$2:$E$9999,Veda!$C$1),0)*1000</f>
        <v>111.38887059614925</v>
      </c>
      <c r="P64" s="2">
        <f>MAX(SUMIFS('Globiom data'!O$2:O$9999,'Globiom data'!$A$2:$A$9999,Veda!$D64,'Globiom data'!$D$2:$D$9999,VLOOKUP(Veda!$B64,'Globiom data'!$V$21:$X$29,2,FALSE),'Globiom data'!$E$2:$E$9999,Veda!$C$1),0)*1000</f>
        <v>194.36202780020329</v>
      </c>
      <c r="Q64" s="2">
        <f>MAX(SUMIFS('Globiom data'!P$2:P$9999,'Globiom data'!$A$2:$A$9999,Veda!$D64,'Globiom data'!$D$2:$D$9999,VLOOKUP(Veda!$B64,'Globiom data'!$V$21:$X$29,2,FALSE),'Globiom data'!$E$2:$E$9999,Veda!$C$1),0)*1000</f>
        <v>342.90861171832734</v>
      </c>
      <c r="R64">
        <v>3</v>
      </c>
    </row>
    <row r="65" spans="1:18" x14ac:dyDescent="0.45">
      <c r="A65" s="8">
        <f t="shared" si="5"/>
        <v>9</v>
      </c>
      <c r="B65" s="8">
        <f t="shared" si="6"/>
        <v>4</v>
      </c>
      <c r="D65" t="str">
        <f>VLOOKUP(A65,'Globiom data'!$S$21:$T$51,2,FALSE)</f>
        <v>Canada</v>
      </c>
      <c r="E65" t="str">
        <f>VLOOKUP(B65,'Globiom data'!$V$21:$X$30,3,FALSE)</f>
        <v>MinBIOBSL-04</v>
      </c>
      <c r="F65" t="s">
        <v>53</v>
      </c>
      <c r="G65" s="2">
        <f>MAX(SUMIFS('Globiom data'!F$2:F$9999,'Globiom data'!$A$2:$A$9999,Veda!$D65,'Globiom data'!$D$2:$D$9999,VLOOKUP(Veda!$B65,'Globiom data'!$V$21:$X$29,2,FALSE),'Globiom data'!$E$2:$E$9999,Veda!$C$1),0)*1000</f>
        <v>0</v>
      </c>
      <c r="H65" s="2">
        <f>MAX(SUMIFS('Globiom data'!G$2:G$9999,'Globiom data'!$A$2:$A$9999,Veda!$D65,'Globiom data'!$D$2:$D$9999,VLOOKUP(Veda!$B65,'Globiom data'!$V$21:$X$29,2,FALSE),'Globiom data'!$E$2:$E$9999,Veda!$C$1),0)*1000</f>
        <v>0</v>
      </c>
      <c r="I65" s="2">
        <f>MAX(SUMIFS('Globiom data'!H$2:H$9999,'Globiom data'!$A$2:$A$9999,Veda!$D65,'Globiom data'!$D$2:$D$9999,VLOOKUP(Veda!$B65,'Globiom data'!$V$21:$X$29,2,FALSE),'Globiom data'!$E$2:$E$9999,Veda!$C$1),0)*1000</f>
        <v>0</v>
      </c>
      <c r="J65" s="2">
        <f>MAX(SUMIFS('Globiom data'!I$2:I$9999,'Globiom data'!$A$2:$A$9999,Veda!$D65,'Globiom data'!$D$2:$D$9999,VLOOKUP(Veda!$B65,'Globiom data'!$V$21:$X$29,2,FALSE),'Globiom data'!$E$2:$E$9999,Veda!$C$1),0)*1000</f>
        <v>1.9895628836315189</v>
      </c>
      <c r="K65" s="2">
        <f>MAX(SUMIFS('Globiom data'!J$2:J$9999,'Globiom data'!$A$2:$A$9999,Veda!$D65,'Globiom data'!$D$2:$D$9999,VLOOKUP(Veda!$B65,'Globiom data'!$V$21:$X$29,2,FALSE),'Globiom data'!$E$2:$E$9999,Veda!$C$1),0)*1000</f>
        <v>2.5272200399829763</v>
      </c>
      <c r="L65" s="2">
        <f>MAX(SUMIFS('Globiom data'!K$2:K$9999,'Globiom data'!$A$2:$A$9999,Veda!$D65,'Globiom data'!$D$2:$D$9999,VLOOKUP(Veda!$B65,'Globiom data'!$V$21:$X$29,2,FALSE),'Globiom data'!$E$2:$E$9999,Veda!$C$1),0)*1000</f>
        <v>59.568847609500153</v>
      </c>
      <c r="M65" s="2">
        <f>MAX(SUMIFS('Globiom data'!L$2:L$9999,'Globiom data'!$A$2:$A$9999,Veda!$D65,'Globiom data'!$D$2:$D$9999,VLOOKUP(Veda!$B65,'Globiom data'!$V$21:$X$29,2,FALSE),'Globiom data'!$E$2:$E$9999,Veda!$C$1),0)*1000</f>
        <v>100.83797738170047</v>
      </c>
      <c r="N65" s="2">
        <f>MAX(SUMIFS('Globiom data'!M$2:M$9999,'Globiom data'!$A$2:$A$9999,Veda!$D65,'Globiom data'!$D$2:$D$9999,VLOOKUP(Veda!$B65,'Globiom data'!$V$21:$X$29,2,FALSE),'Globiom data'!$E$2:$E$9999,Veda!$C$1),0)*1000</f>
        <v>288.63212008821415</v>
      </c>
      <c r="O65" s="2">
        <f>MAX(SUMIFS('Globiom data'!N$2:N$9999,'Globiom data'!$A$2:$A$9999,Veda!$D65,'Globiom data'!$D$2:$D$9999,VLOOKUP(Veda!$B65,'Globiom data'!$V$21:$X$29,2,FALSE),'Globiom data'!$E$2:$E$9999,Veda!$C$1),0)*1000</f>
        <v>438.19594559659964</v>
      </c>
      <c r="P65" s="2">
        <f>MAX(SUMIFS('Globiom data'!O$2:O$9999,'Globiom data'!$A$2:$A$9999,Veda!$D65,'Globiom data'!$D$2:$D$9999,VLOOKUP(Veda!$B65,'Globiom data'!$V$21:$X$29,2,FALSE),'Globiom data'!$E$2:$E$9999,Veda!$C$1),0)*1000</f>
        <v>648.73517373101788</v>
      </c>
      <c r="Q65" s="2">
        <f>MAX(SUMIFS('Globiom data'!P$2:P$9999,'Globiom data'!$A$2:$A$9999,Veda!$D65,'Globiom data'!$D$2:$D$9999,VLOOKUP(Veda!$B65,'Globiom data'!$V$21:$X$29,2,FALSE),'Globiom data'!$E$2:$E$9999,Veda!$C$1),0)*1000</f>
        <v>926.0459000392666</v>
      </c>
      <c r="R65">
        <v>3</v>
      </c>
    </row>
    <row r="66" spans="1:18" x14ac:dyDescent="0.45">
      <c r="A66" s="8">
        <f t="shared" si="5"/>
        <v>9</v>
      </c>
      <c r="B66" s="8">
        <f t="shared" si="6"/>
        <v>5</v>
      </c>
      <c r="D66" t="str">
        <f>VLOOKUP(A66,'Globiom data'!$S$21:$T$51,2,FALSE)</f>
        <v>Canada</v>
      </c>
      <c r="E66" t="str">
        <f>VLOOKUP(B66,'Globiom data'!$V$21:$X$30,3,FALSE)</f>
        <v>MinBIOBSL-05</v>
      </c>
      <c r="F66" t="s">
        <v>53</v>
      </c>
      <c r="G66" s="2">
        <f>MAX(SUMIFS('Globiom data'!F$2:F$9999,'Globiom data'!$A$2:$A$9999,Veda!$D66,'Globiom data'!$D$2:$D$9999,VLOOKUP(Veda!$B66,'Globiom data'!$V$21:$X$29,2,FALSE),'Globiom data'!$E$2:$E$9999,Veda!$C$1),0)*1000</f>
        <v>0</v>
      </c>
      <c r="H66" s="2">
        <f>MAX(SUMIFS('Globiom data'!G$2:G$9999,'Globiom data'!$A$2:$A$9999,Veda!$D66,'Globiom data'!$D$2:$D$9999,VLOOKUP(Veda!$B66,'Globiom data'!$V$21:$X$29,2,FALSE),'Globiom data'!$E$2:$E$9999,Veda!$C$1),0)*1000</f>
        <v>2.8820494235423855</v>
      </c>
      <c r="I66" s="2">
        <f>MAX(SUMIFS('Globiom data'!H$2:H$9999,'Globiom data'!$A$2:$A$9999,Veda!$D66,'Globiom data'!$D$2:$D$9999,VLOOKUP(Veda!$B66,'Globiom data'!$V$21:$X$29,2,FALSE),'Globiom data'!$E$2:$E$9999,Veda!$C$1),0)*1000</f>
        <v>2.8820494235423855</v>
      </c>
      <c r="J66" s="2">
        <f>MAX(SUMIFS('Globiom data'!I$2:I$9999,'Globiom data'!$A$2:$A$9999,Veda!$D66,'Globiom data'!$D$2:$D$9999,VLOOKUP(Veda!$B66,'Globiom data'!$V$21:$X$29,2,FALSE),'Globiom data'!$E$2:$E$9999,Veda!$C$1),0)*1000</f>
        <v>6.273863996921798</v>
      </c>
      <c r="K66" s="2">
        <f>MAX(SUMIFS('Globiom data'!J$2:J$9999,'Globiom data'!$A$2:$A$9999,Veda!$D66,'Globiom data'!$D$2:$D$9999,VLOOKUP(Veda!$B66,'Globiom data'!$V$21:$X$29,2,FALSE),'Globiom data'!$E$2:$E$9999,Veda!$C$1),0)*1000</f>
        <v>64.005763150295962</v>
      </c>
      <c r="L66" s="2">
        <f>MAX(SUMIFS('Globiom data'!K$2:K$9999,'Globiom data'!$A$2:$A$9999,Veda!$D66,'Globiom data'!$D$2:$D$9999,VLOOKUP(Veda!$B66,'Globiom data'!$V$21:$X$29,2,FALSE),'Globiom data'!$E$2:$E$9999,Veda!$C$1),0)*1000</f>
        <v>247.04223332792154</v>
      </c>
      <c r="M66" s="2">
        <f>MAX(SUMIFS('Globiom data'!L$2:L$9999,'Globiom data'!$A$2:$A$9999,Veda!$D66,'Globiom data'!$D$2:$D$9999,VLOOKUP(Veda!$B66,'Globiom data'!$V$21:$X$29,2,FALSE),'Globiom data'!$E$2:$E$9999,Veda!$C$1),0)*1000</f>
        <v>563.29007514041984</v>
      </c>
      <c r="N66" s="2">
        <f>MAX(SUMIFS('Globiom data'!M$2:M$9999,'Globiom data'!$A$2:$A$9999,Veda!$D66,'Globiom data'!$D$2:$D$9999,VLOOKUP(Veda!$B66,'Globiom data'!$V$21:$X$29,2,FALSE),'Globiom data'!$E$2:$E$9999,Veda!$C$1),0)*1000</f>
        <v>851.29757276927023</v>
      </c>
      <c r="O66" s="2">
        <f>MAX(SUMIFS('Globiom data'!N$2:N$9999,'Globiom data'!$A$2:$A$9999,Veda!$D66,'Globiom data'!$D$2:$D$9999,VLOOKUP(Veda!$B66,'Globiom data'!$V$21:$X$29,2,FALSE),'Globiom data'!$E$2:$E$9999,Veda!$C$1),0)*1000</f>
        <v>1331.7469395829758</v>
      </c>
      <c r="P66" s="2">
        <f>MAX(SUMIFS('Globiom data'!O$2:O$9999,'Globiom data'!$A$2:$A$9999,Veda!$D66,'Globiom data'!$D$2:$D$9999,VLOOKUP(Veda!$B66,'Globiom data'!$V$21:$X$29,2,FALSE),'Globiom data'!$E$2:$E$9999,Veda!$C$1),0)*1000</f>
        <v>1662.770510670204</v>
      </c>
      <c r="Q66" s="2">
        <f>MAX(SUMIFS('Globiom data'!P$2:P$9999,'Globiom data'!$A$2:$A$9999,Veda!$D66,'Globiom data'!$D$2:$D$9999,VLOOKUP(Veda!$B66,'Globiom data'!$V$21:$X$29,2,FALSE),'Globiom data'!$E$2:$E$9999,Veda!$C$1),0)*1000</f>
        <v>1815.3027032948194</v>
      </c>
      <c r="R66">
        <v>3</v>
      </c>
    </row>
    <row r="67" spans="1:18" x14ac:dyDescent="0.45">
      <c r="A67" s="8">
        <f t="shared" si="5"/>
        <v>9</v>
      </c>
      <c r="B67" s="8">
        <f t="shared" si="6"/>
        <v>6</v>
      </c>
      <c r="D67" t="str">
        <f>VLOOKUP(A67,'Globiom data'!$S$21:$T$51,2,FALSE)</f>
        <v>Canada</v>
      </c>
      <c r="E67" t="str">
        <f>VLOOKUP(B67,'Globiom data'!$V$21:$X$30,3,FALSE)</f>
        <v>MinBIOBSL-06</v>
      </c>
      <c r="F67" t="s">
        <v>53</v>
      </c>
      <c r="G67" s="2">
        <f>MAX(SUMIFS('Globiom data'!F$2:F$9999,'Globiom data'!$A$2:$A$9999,Veda!$D67,'Globiom data'!$D$2:$D$9999,VLOOKUP(Veda!$B67,'Globiom data'!$V$21:$X$29,2,FALSE),'Globiom data'!$E$2:$E$9999,Veda!$C$1),0)*1000</f>
        <v>0</v>
      </c>
      <c r="H67" s="2">
        <f>MAX(SUMIFS('Globiom data'!G$2:G$9999,'Globiom data'!$A$2:$A$9999,Veda!$D67,'Globiom data'!$D$2:$D$9999,VLOOKUP(Veda!$B67,'Globiom data'!$V$21:$X$29,2,FALSE),'Globiom data'!$E$2:$E$9999,Veda!$C$1),0)*1000</f>
        <v>5.1621307902206297</v>
      </c>
      <c r="I67" s="2">
        <f>MAX(SUMIFS('Globiom data'!H$2:H$9999,'Globiom data'!$A$2:$A$9999,Veda!$D67,'Globiom data'!$D$2:$D$9999,VLOOKUP(Veda!$B67,'Globiom data'!$V$21:$X$29,2,FALSE),'Globiom data'!$E$2:$E$9999,Veda!$C$1),0)*1000</f>
        <v>5.1621307902206297</v>
      </c>
      <c r="J67" s="2">
        <f>MAX(SUMIFS('Globiom data'!I$2:I$9999,'Globiom data'!$A$2:$A$9999,Veda!$D67,'Globiom data'!$D$2:$D$9999,VLOOKUP(Veda!$B67,'Globiom data'!$V$21:$X$29,2,FALSE),'Globiom data'!$E$2:$E$9999,Veda!$C$1),0)*1000</f>
        <v>304.76022866492781</v>
      </c>
      <c r="K67" s="2">
        <f>MAX(SUMIFS('Globiom data'!J$2:J$9999,'Globiom data'!$A$2:$A$9999,Veda!$D67,'Globiom data'!$D$2:$D$9999,VLOOKUP(Veda!$B67,'Globiom data'!$V$21:$X$29,2,FALSE),'Globiom data'!$E$2:$E$9999,Veda!$C$1),0)*1000</f>
        <v>957.56723385283181</v>
      </c>
      <c r="L67" s="2">
        <f>MAX(SUMIFS('Globiom data'!K$2:K$9999,'Globiom data'!$A$2:$A$9999,Veda!$D67,'Globiom data'!$D$2:$D$9999,VLOOKUP(Veda!$B67,'Globiom data'!$V$21:$X$29,2,FALSE),'Globiom data'!$E$2:$E$9999,Veda!$C$1),0)*1000</f>
        <v>1703.4347827368945</v>
      </c>
      <c r="M67" s="2">
        <f>MAX(SUMIFS('Globiom data'!L$2:L$9999,'Globiom data'!$A$2:$A$9999,Veda!$D67,'Globiom data'!$D$2:$D$9999,VLOOKUP(Veda!$B67,'Globiom data'!$V$21:$X$29,2,FALSE),'Globiom data'!$E$2:$E$9999,Veda!$C$1),0)*1000</f>
        <v>2226.4324350197048</v>
      </c>
      <c r="N67" s="2">
        <f>MAX(SUMIFS('Globiom data'!M$2:M$9999,'Globiom data'!$A$2:$A$9999,Veda!$D67,'Globiom data'!$D$2:$D$9999,VLOOKUP(Veda!$B67,'Globiom data'!$V$21:$X$29,2,FALSE),'Globiom data'!$E$2:$E$9999,Veda!$C$1),0)*1000</f>
        <v>2404.6144807640308</v>
      </c>
      <c r="O67" s="2">
        <f>MAX(SUMIFS('Globiom data'!N$2:N$9999,'Globiom data'!$A$2:$A$9999,Veda!$D67,'Globiom data'!$D$2:$D$9999,VLOOKUP(Veda!$B67,'Globiom data'!$V$21:$X$29,2,FALSE),'Globiom data'!$E$2:$E$9999,Veda!$C$1),0)*1000</f>
        <v>2202.4629796657055</v>
      </c>
      <c r="P67" s="2">
        <f>MAX(SUMIFS('Globiom data'!O$2:O$9999,'Globiom data'!$A$2:$A$9999,Veda!$D67,'Globiom data'!$D$2:$D$9999,VLOOKUP(Veda!$B67,'Globiom data'!$V$21:$X$29,2,FALSE),'Globiom data'!$E$2:$E$9999,Veda!$C$1),0)*1000</f>
        <v>1884.3516977796435</v>
      </c>
      <c r="Q67" s="2">
        <f>MAX(SUMIFS('Globiom data'!P$2:P$9999,'Globiom data'!$A$2:$A$9999,Veda!$D67,'Globiom data'!$D$2:$D$9999,VLOOKUP(Veda!$B67,'Globiom data'!$V$21:$X$29,2,FALSE),'Globiom data'!$E$2:$E$9999,Veda!$C$1),0)*1000</f>
        <v>1517.5791635917917</v>
      </c>
      <c r="R67">
        <v>3</v>
      </c>
    </row>
    <row r="68" spans="1:18" x14ac:dyDescent="0.45">
      <c r="A68" s="8">
        <f t="shared" si="5"/>
        <v>9</v>
      </c>
      <c r="B68" s="8">
        <f t="shared" si="6"/>
        <v>7</v>
      </c>
      <c r="D68" t="str">
        <f>VLOOKUP(A68,'Globiom data'!$S$21:$T$51,2,FALSE)</f>
        <v>Canada</v>
      </c>
      <c r="E68" t="str">
        <f>VLOOKUP(B68,'Globiom data'!$V$21:$X$30,3,FALSE)</f>
        <v>MinBIOBSL-07</v>
      </c>
      <c r="F68" t="s">
        <v>53</v>
      </c>
      <c r="G68" s="2">
        <f>MAX(SUMIFS('Globiom data'!F$2:F$9999,'Globiom data'!$A$2:$A$9999,Veda!$D68,'Globiom data'!$D$2:$D$9999,VLOOKUP(Veda!$B68,'Globiom data'!$V$21:$X$29,2,FALSE),'Globiom data'!$E$2:$E$9999,Veda!$C$1),0)*1000</f>
        <v>0</v>
      </c>
      <c r="H68" s="2">
        <f>MAX(SUMIFS('Globiom data'!G$2:G$9999,'Globiom data'!$A$2:$A$9999,Veda!$D68,'Globiom data'!$D$2:$D$9999,VLOOKUP(Veda!$B68,'Globiom data'!$V$21:$X$29,2,FALSE),'Globiom data'!$E$2:$E$9999,Veda!$C$1),0)*1000</f>
        <v>60.63617684517007</v>
      </c>
      <c r="I68" s="2">
        <f>MAX(SUMIFS('Globiom data'!H$2:H$9999,'Globiom data'!$A$2:$A$9999,Veda!$D68,'Globiom data'!$D$2:$D$9999,VLOOKUP(Veda!$B68,'Globiom data'!$V$21:$X$29,2,FALSE),'Globiom data'!$E$2:$E$9999,Veda!$C$1),0)*1000</f>
        <v>60.63617684517007</v>
      </c>
      <c r="J68" s="2">
        <f>MAX(SUMIFS('Globiom data'!I$2:I$9999,'Globiom data'!$A$2:$A$9999,Veda!$D68,'Globiom data'!$D$2:$D$9999,VLOOKUP(Veda!$B68,'Globiom data'!$V$21:$X$29,2,FALSE),'Globiom data'!$E$2:$E$9999,Veda!$C$1),0)*1000</f>
        <v>1051.6826168832042</v>
      </c>
      <c r="K68" s="2">
        <f>MAX(SUMIFS('Globiom data'!J$2:J$9999,'Globiom data'!$A$2:$A$9999,Veda!$D68,'Globiom data'!$D$2:$D$9999,VLOOKUP(Veda!$B68,'Globiom data'!$V$21:$X$29,2,FALSE),'Globiom data'!$E$2:$E$9999,Veda!$C$1),0)*1000</f>
        <v>1591.1372673034787</v>
      </c>
      <c r="L68" s="2">
        <f>MAX(SUMIFS('Globiom data'!K$2:K$9999,'Globiom data'!$A$2:$A$9999,Veda!$D68,'Globiom data'!$D$2:$D$9999,VLOOKUP(Veda!$B68,'Globiom data'!$V$21:$X$29,2,FALSE),'Globiom data'!$E$2:$E$9999,Veda!$C$1),0)*1000</f>
        <v>1542.1503387242069</v>
      </c>
      <c r="M68" s="2">
        <f>MAX(SUMIFS('Globiom data'!L$2:L$9999,'Globiom data'!$A$2:$A$9999,Veda!$D68,'Globiom data'!$D$2:$D$9999,VLOOKUP(Veda!$B68,'Globiom data'!$V$21:$X$29,2,FALSE),'Globiom data'!$E$2:$E$9999,Veda!$C$1),0)*1000</f>
        <v>1218.0568478672283</v>
      </c>
      <c r="N68" s="2">
        <f>MAX(SUMIFS('Globiom data'!M$2:M$9999,'Globiom data'!$A$2:$A$9999,Veda!$D68,'Globiom data'!$D$2:$D$9999,VLOOKUP(Veda!$B68,'Globiom data'!$V$21:$X$29,2,FALSE),'Globiom data'!$E$2:$E$9999,Veda!$C$1),0)*1000</f>
        <v>859.36221334743186</v>
      </c>
      <c r="O68" s="2">
        <f>MAX(SUMIFS('Globiom data'!N$2:N$9999,'Globiom data'!$A$2:$A$9999,Veda!$D68,'Globiom data'!$D$2:$D$9999,VLOOKUP(Veda!$B68,'Globiom data'!$V$21:$X$29,2,FALSE),'Globiom data'!$E$2:$E$9999,Veda!$C$1),0)*1000</f>
        <v>636.52809233113783</v>
      </c>
      <c r="P68" s="2">
        <f>MAX(SUMIFS('Globiom data'!O$2:O$9999,'Globiom data'!$A$2:$A$9999,Veda!$D68,'Globiom data'!$D$2:$D$9999,VLOOKUP(Veda!$B68,'Globiom data'!$V$21:$X$29,2,FALSE),'Globiom data'!$E$2:$E$9999,Veda!$C$1),0)*1000</f>
        <v>545.48886149907526</v>
      </c>
      <c r="Q68" s="2">
        <f>MAX(SUMIFS('Globiom data'!P$2:P$9999,'Globiom data'!$A$2:$A$9999,Veda!$D68,'Globiom data'!$D$2:$D$9999,VLOOKUP(Veda!$B68,'Globiom data'!$V$21:$X$29,2,FALSE),'Globiom data'!$E$2:$E$9999,Veda!$C$1),0)*1000</f>
        <v>515.09689283146713</v>
      </c>
      <c r="R68">
        <v>3</v>
      </c>
    </row>
    <row r="69" spans="1:18" x14ac:dyDescent="0.45">
      <c r="A69" s="8">
        <f t="shared" si="5"/>
        <v>10</v>
      </c>
      <c r="B69" s="8">
        <f t="shared" si="6"/>
        <v>1</v>
      </c>
      <c r="D69" t="str">
        <f>VLOOKUP(A69,'Globiom data'!$S$21:$T$51,2,FALSE)</f>
        <v>China</v>
      </c>
      <c r="E69" t="str">
        <f>VLOOKUP(B69,'Globiom data'!$V$21:$X$30,3,FALSE)</f>
        <v>MinBIOBSL-01</v>
      </c>
      <c r="F69" t="s">
        <v>53</v>
      </c>
      <c r="G69" s="2">
        <f>MAX(SUMIFS('Globiom data'!F$2:F$9999,'Globiom data'!$A$2:$A$9999,Veda!$D69,'Globiom data'!$D$2:$D$9999,VLOOKUP(Veda!$B69,'Globiom data'!$V$21:$X$29,2,FALSE),'Globiom data'!$E$2:$E$9999,Veda!$C$1),0)*1000</f>
        <v>7235.4743158213851</v>
      </c>
      <c r="H69" s="2">
        <f>MAX(SUMIFS('Globiom data'!G$2:G$9999,'Globiom data'!$A$2:$A$9999,Veda!$D69,'Globiom data'!$D$2:$D$9999,VLOOKUP(Veda!$B69,'Globiom data'!$V$21:$X$29,2,FALSE),'Globiom data'!$E$2:$E$9999,Veda!$C$1),0)*1000</f>
        <v>5005.750697568491</v>
      </c>
      <c r="I69" s="2">
        <f>MAX(SUMIFS('Globiom data'!H$2:H$9999,'Globiom data'!$A$2:$A$9999,Veda!$D69,'Globiom data'!$D$2:$D$9999,VLOOKUP(Veda!$B69,'Globiom data'!$V$21:$X$29,2,FALSE),'Globiom data'!$E$2:$E$9999,Veda!$C$1),0)*1000</f>
        <v>5005.750697568491</v>
      </c>
      <c r="J69" s="2">
        <f>MAX(SUMIFS('Globiom data'!I$2:I$9999,'Globiom data'!$A$2:$A$9999,Veda!$D69,'Globiom data'!$D$2:$D$9999,VLOOKUP(Veda!$B69,'Globiom data'!$V$21:$X$29,2,FALSE),'Globiom data'!$E$2:$E$9999,Veda!$C$1),0)*1000</f>
        <v>2697.3606075162179</v>
      </c>
      <c r="K69" s="2">
        <f>MAX(SUMIFS('Globiom data'!J$2:J$9999,'Globiom data'!$A$2:$A$9999,Veda!$D69,'Globiom data'!$D$2:$D$9999,VLOOKUP(Veda!$B69,'Globiom data'!$V$21:$X$29,2,FALSE),'Globiom data'!$E$2:$E$9999,Veda!$C$1),0)*1000</f>
        <v>776.23300213588539</v>
      </c>
      <c r="L69" s="2">
        <f>MAX(SUMIFS('Globiom data'!K$2:K$9999,'Globiom data'!$A$2:$A$9999,Veda!$D69,'Globiom data'!$D$2:$D$9999,VLOOKUP(Veda!$B69,'Globiom data'!$V$21:$X$29,2,FALSE),'Globiom data'!$E$2:$E$9999,Veda!$C$1),0)*1000</f>
        <v>759.13378140329974</v>
      </c>
      <c r="M69" s="2">
        <f>MAX(SUMIFS('Globiom data'!L$2:L$9999,'Globiom data'!$A$2:$A$9999,Veda!$D69,'Globiom data'!$D$2:$D$9999,VLOOKUP(Veda!$B69,'Globiom data'!$V$21:$X$29,2,FALSE),'Globiom data'!$E$2:$E$9999,Veda!$C$1),0)*1000</f>
        <v>810.41344694333691</v>
      </c>
      <c r="N69" s="2">
        <f>MAX(SUMIFS('Globiom data'!M$2:M$9999,'Globiom data'!$A$2:$A$9999,Veda!$D69,'Globiom data'!$D$2:$D$9999,VLOOKUP(Veda!$B69,'Globiom data'!$V$21:$X$29,2,FALSE),'Globiom data'!$E$2:$E$9999,Veda!$C$1),0)*1000</f>
        <v>755.04433371305504</v>
      </c>
      <c r="O69" s="2">
        <f>MAX(SUMIFS('Globiom data'!N$2:N$9999,'Globiom data'!$A$2:$A$9999,Veda!$D69,'Globiom data'!$D$2:$D$9999,VLOOKUP(Veda!$B69,'Globiom data'!$V$21:$X$29,2,FALSE),'Globiom data'!$E$2:$E$9999,Veda!$C$1),0)*1000</f>
        <v>814.77302881833702</v>
      </c>
      <c r="P69" s="2">
        <f>MAX(SUMIFS('Globiom data'!O$2:O$9999,'Globiom data'!$A$2:$A$9999,Veda!$D69,'Globiom data'!$D$2:$D$9999,VLOOKUP(Veda!$B69,'Globiom data'!$V$21:$X$29,2,FALSE),'Globiom data'!$E$2:$E$9999,Veda!$C$1),0)*1000</f>
        <v>817.528635327752</v>
      </c>
      <c r="Q69" s="2">
        <f>MAX(SUMIFS('Globiom data'!P$2:P$9999,'Globiom data'!$A$2:$A$9999,Veda!$D69,'Globiom data'!$D$2:$D$9999,VLOOKUP(Veda!$B69,'Globiom data'!$V$21:$X$29,2,FALSE),'Globiom data'!$E$2:$E$9999,Veda!$C$1),0)*1000</f>
        <v>814.72179903487199</v>
      </c>
      <c r="R69">
        <v>3</v>
      </c>
    </row>
    <row r="70" spans="1:18" x14ac:dyDescent="0.45">
      <c r="A70" s="8">
        <f t="shared" si="5"/>
        <v>10</v>
      </c>
      <c r="B70" s="8">
        <f t="shared" si="6"/>
        <v>2</v>
      </c>
      <c r="D70" t="str">
        <f>VLOOKUP(A70,'Globiom data'!$S$21:$T$51,2,FALSE)</f>
        <v>China</v>
      </c>
      <c r="E70" t="str">
        <f>VLOOKUP(B70,'Globiom data'!$V$21:$X$30,3,FALSE)</f>
        <v>MinBIOBSL-02</v>
      </c>
      <c r="F70" t="s">
        <v>53</v>
      </c>
      <c r="G70" s="2">
        <f>MAX(SUMIFS('Globiom data'!F$2:F$9999,'Globiom data'!$A$2:$A$9999,Veda!$D70,'Globiom data'!$D$2:$D$9999,VLOOKUP(Veda!$B70,'Globiom data'!$V$21:$X$29,2,FALSE),'Globiom data'!$E$2:$E$9999,Veda!$C$1),0)*1000</f>
        <v>0</v>
      </c>
      <c r="H70" s="2">
        <f>MAX(SUMIFS('Globiom data'!G$2:G$9999,'Globiom data'!$A$2:$A$9999,Veda!$D70,'Globiom data'!$D$2:$D$9999,VLOOKUP(Veda!$B70,'Globiom data'!$V$21:$X$29,2,FALSE),'Globiom data'!$E$2:$E$9999,Veda!$C$1),0)*1000</f>
        <v>491.25640910506604</v>
      </c>
      <c r="I70" s="2">
        <f>MAX(SUMIFS('Globiom data'!H$2:H$9999,'Globiom data'!$A$2:$A$9999,Veda!$D70,'Globiom data'!$D$2:$D$9999,VLOOKUP(Veda!$B70,'Globiom data'!$V$21:$X$29,2,FALSE),'Globiom data'!$E$2:$E$9999,Veda!$C$1),0)*1000</f>
        <v>491.25640910506604</v>
      </c>
      <c r="J70" s="2">
        <f>MAX(SUMIFS('Globiom data'!I$2:I$9999,'Globiom data'!$A$2:$A$9999,Veda!$D70,'Globiom data'!$D$2:$D$9999,VLOOKUP(Veda!$B70,'Globiom data'!$V$21:$X$29,2,FALSE),'Globiom data'!$E$2:$E$9999,Veda!$C$1),0)*1000</f>
        <v>463.82213721438404</v>
      </c>
      <c r="K70" s="2">
        <f>MAX(SUMIFS('Globiom data'!J$2:J$9999,'Globiom data'!$A$2:$A$9999,Veda!$D70,'Globiom data'!$D$2:$D$9999,VLOOKUP(Veda!$B70,'Globiom data'!$V$21:$X$29,2,FALSE),'Globiom data'!$E$2:$E$9999,Veda!$C$1),0)*1000</f>
        <v>376.80527356749161</v>
      </c>
      <c r="L70" s="2">
        <f>MAX(SUMIFS('Globiom data'!K$2:K$9999,'Globiom data'!$A$2:$A$9999,Veda!$D70,'Globiom data'!$D$2:$D$9999,VLOOKUP(Veda!$B70,'Globiom data'!$V$21:$X$29,2,FALSE),'Globiom data'!$E$2:$E$9999,Veda!$C$1),0)*1000</f>
        <v>404.32237066945595</v>
      </c>
      <c r="M70" s="2">
        <f>MAX(SUMIFS('Globiom data'!L$2:L$9999,'Globiom data'!$A$2:$A$9999,Veda!$D70,'Globiom data'!$D$2:$D$9999,VLOOKUP(Veda!$B70,'Globiom data'!$V$21:$X$29,2,FALSE),'Globiom data'!$E$2:$E$9999,Veda!$C$1),0)*1000</f>
        <v>362.942814896041</v>
      </c>
      <c r="N70" s="2">
        <f>MAX(SUMIFS('Globiom data'!M$2:M$9999,'Globiom data'!$A$2:$A$9999,Veda!$D70,'Globiom data'!$D$2:$D$9999,VLOOKUP(Veda!$B70,'Globiom data'!$V$21:$X$29,2,FALSE),'Globiom data'!$E$2:$E$9999,Veda!$C$1),0)*1000</f>
        <v>1228.9939203882905</v>
      </c>
      <c r="O70" s="2">
        <f>MAX(SUMIFS('Globiom data'!N$2:N$9999,'Globiom data'!$A$2:$A$9999,Veda!$D70,'Globiom data'!$D$2:$D$9999,VLOOKUP(Veda!$B70,'Globiom data'!$V$21:$X$29,2,FALSE),'Globiom data'!$E$2:$E$9999,Veda!$C$1),0)*1000</f>
        <v>1145.343808083351</v>
      </c>
      <c r="P70" s="2">
        <f>MAX(SUMIFS('Globiom data'!O$2:O$9999,'Globiom data'!$A$2:$A$9999,Veda!$D70,'Globiom data'!$D$2:$D$9999,VLOOKUP(Veda!$B70,'Globiom data'!$V$21:$X$29,2,FALSE),'Globiom data'!$E$2:$E$9999,Veda!$C$1),0)*1000</f>
        <v>1093.0976883447101</v>
      </c>
      <c r="Q70" s="2">
        <f>MAX(SUMIFS('Globiom data'!P$2:P$9999,'Globiom data'!$A$2:$A$9999,Veda!$D70,'Globiom data'!$D$2:$D$9999,VLOOKUP(Veda!$B70,'Globiom data'!$V$21:$X$29,2,FALSE),'Globiom data'!$E$2:$E$9999,Veda!$C$1),0)*1000</f>
        <v>1044.0774236827704</v>
      </c>
      <c r="R70">
        <v>3</v>
      </c>
    </row>
    <row r="71" spans="1:18" x14ac:dyDescent="0.45">
      <c r="A71" s="8">
        <f t="shared" si="5"/>
        <v>10</v>
      </c>
      <c r="B71" s="8">
        <f t="shared" si="6"/>
        <v>3</v>
      </c>
      <c r="D71" t="str">
        <f>VLOOKUP(A71,'Globiom data'!$S$21:$T$51,2,FALSE)</f>
        <v>China</v>
      </c>
      <c r="E71" t="str">
        <f>VLOOKUP(B71,'Globiom data'!$V$21:$X$30,3,FALSE)</f>
        <v>MinBIOBSL-03</v>
      </c>
      <c r="F71" t="s">
        <v>53</v>
      </c>
      <c r="G71" s="2">
        <f>MAX(SUMIFS('Globiom data'!F$2:F$9999,'Globiom data'!$A$2:$A$9999,Veda!$D71,'Globiom data'!$D$2:$D$9999,VLOOKUP(Veda!$B71,'Globiom data'!$V$21:$X$29,2,FALSE),'Globiom data'!$E$2:$E$9999,Veda!$C$1),0)*1000</f>
        <v>0</v>
      </c>
      <c r="H71" s="2">
        <f>MAX(SUMIFS('Globiom data'!G$2:G$9999,'Globiom data'!$A$2:$A$9999,Veda!$D71,'Globiom data'!$D$2:$D$9999,VLOOKUP(Veda!$B71,'Globiom data'!$V$21:$X$29,2,FALSE),'Globiom data'!$E$2:$E$9999,Veda!$C$1),0)*1000</f>
        <v>0</v>
      </c>
      <c r="I71" s="2">
        <f>MAX(SUMIFS('Globiom data'!H$2:H$9999,'Globiom data'!$A$2:$A$9999,Veda!$D71,'Globiom data'!$D$2:$D$9999,VLOOKUP(Veda!$B71,'Globiom data'!$V$21:$X$29,2,FALSE),'Globiom data'!$E$2:$E$9999,Veda!$C$1),0)*1000</f>
        <v>0</v>
      </c>
      <c r="J71" s="2">
        <f>MAX(SUMIFS('Globiom data'!I$2:I$9999,'Globiom data'!$A$2:$A$9999,Veda!$D71,'Globiom data'!$D$2:$D$9999,VLOOKUP(Veda!$B71,'Globiom data'!$V$21:$X$29,2,FALSE),'Globiom data'!$E$2:$E$9999,Veda!$C$1),0)*1000</f>
        <v>7.2183070159976817</v>
      </c>
      <c r="K71" s="2">
        <f>MAX(SUMIFS('Globiom data'!J$2:J$9999,'Globiom data'!$A$2:$A$9999,Veda!$D71,'Globiom data'!$D$2:$D$9999,VLOOKUP(Veda!$B71,'Globiom data'!$V$21:$X$29,2,FALSE),'Globiom data'!$E$2:$E$9999,Veda!$C$1),0)*1000</f>
        <v>0</v>
      </c>
      <c r="L71" s="2">
        <f>MAX(SUMIFS('Globiom data'!K$2:K$9999,'Globiom data'!$A$2:$A$9999,Veda!$D71,'Globiom data'!$D$2:$D$9999,VLOOKUP(Veda!$B71,'Globiom data'!$V$21:$X$29,2,FALSE),'Globiom data'!$E$2:$E$9999,Veda!$C$1),0)*1000</f>
        <v>823.8837226897615</v>
      </c>
      <c r="M71" s="2">
        <f>MAX(SUMIFS('Globiom data'!L$2:L$9999,'Globiom data'!$A$2:$A$9999,Veda!$D71,'Globiom data'!$D$2:$D$9999,VLOOKUP(Veda!$B71,'Globiom data'!$V$21:$X$29,2,FALSE),'Globiom data'!$E$2:$E$9999,Veda!$C$1),0)*1000</f>
        <v>823.32621751308579</v>
      </c>
      <c r="N71" s="2">
        <f>MAX(SUMIFS('Globiom data'!M$2:M$9999,'Globiom data'!$A$2:$A$9999,Veda!$D71,'Globiom data'!$D$2:$D$9999,VLOOKUP(Veda!$B71,'Globiom data'!$V$21:$X$29,2,FALSE),'Globiom data'!$E$2:$E$9999,Veda!$C$1),0)*1000</f>
        <v>577.78509747312705</v>
      </c>
      <c r="O71" s="2">
        <f>MAX(SUMIFS('Globiom data'!N$2:N$9999,'Globiom data'!$A$2:$A$9999,Veda!$D71,'Globiom data'!$D$2:$D$9999,VLOOKUP(Veda!$B71,'Globiom data'!$V$21:$X$29,2,FALSE),'Globiom data'!$E$2:$E$9999,Veda!$C$1),0)*1000</f>
        <v>2520.1622021651006</v>
      </c>
      <c r="P71" s="2">
        <f>MAX(SUMIFS('Globiom data'!O$2:O$9999,'Globiom data'!$A$2:$A$9999,Veda!$D71,'Globiom data'!$D$2:$D$9999,VLOOKUP(Veda!$B71,'Globiom data'!$V$21:$X$29,2,FALSE),'Globiom data'!$E$2:$E$9999,Veda!$C$1),0)*1000</f>
        <v>4179.2978458390344</v>
      </c>
      <c r="Q71" s="2">
        <f>MAX(SUMIFS('Globiom data'!P$2:P$9999,'Globiom data'!$A$2:$A$9999,Veda!$D71,'Globiom data'!$D$2:$D$9999,VLOOKUP(Veda!$B71,'Globiom data'!$V$21:$X$29,2,FALSE),'Globiom data'!$E$2:$E$9999,Veda!$C$1),0)*1000</f>
        <v>5739.0455342526748</v>
      </c>
      <c r="R71">
        <v>3</v>
      </c>
    </row>
    <row r="72" spans="1:18" x14ac:dyDescent="0.45">
      <c r="A72" s="8">
        <f t="shared" si="5"/>
        <v>10</v>
      </c>
      <c r="B72" s="8">
        <f t="shared" si="6"/>
        <v>4</v>
      </c>
      <c r="D72" t="str">
        <f>VLOOKUP(A72,'Globiom data'!$S$21:$T$51,2,FALSE)</f>
        <v>China</v>
      </c>
      <c r="E72" t="str">
        <f>VLOOKUP(B72,'Globiom data'!$V$21:$X$30,3,FALSE)</f>
        <v>MinBIOBSL-04</v>
      </c>
      <c r="F72" t="s">
        <v>53</v>
      </c>
      <c r="G72" s="2">
        <f>MAX(SUMIFS('Globiom data'!F$2:F$9999,'Globiom data'!$A$2:$A$9999,Veda!$D72,'Globiom data'!$D$2:$D$9999,VLOOKUP(Veda!$B72,'Globiom data'!$V$21:$X$29,2,FALSE),'Globiom data'!$E$2:$E$9999,Veda!$C$1),0)*1000</f>
        <v>0</v>
      </c>
      <c r="H72" s="2">
        <f>MAX(SUMIFS('Globiom data'!G$2:G$9999,'Globiom data'!$A$2:$A$9999,Veda!$D72,'Globiom data'!$D$2:$D$9999,VLOOKUP(Veda!$B72,'Globiom data'!$V$21:$X$29,2,FALSE),'Globiom data'!$E$2:$E$9999,Veda!$C$1),0)*1000</f>
        <v>26.574454451379779</v>
      </c>
      <c r="I72" s="2">
        <f>MAX(SUMIFS('Globiom data'!H$2:H$9999,'Globiom data'!$A$2:$A$9999,Veda!$D72,'Globiom data'!$D$2:$D$9999,VLOOKUP(Veda!$B72,'Globiom data'!$V$21:$X$29,2,FALSE),'Globiom data'!$E$2:$E$9999,Veda!$C$1),0)*1000</f>
        <v>26.574454451379779</v>
      </c>
      <c r="J72" s="2">
        <f>MAX(SUMIFS('Globiom data'!I$2:I$9999,'Globiom data'!$A$2:$A$9999,Veda!$D72,'Globiom data'!$D$2:$D$9999,VLOOKUP(Veda!$B72,'Globiom data'!$V$21:$X$29,2,FALSE),'Globiom data'!$E$2:$E$9999,Veda!$C$1),0)*1000</f>
        <v>24.925270357234986</v>
      </c>
      <c r="K72" s="2">
        <f>MAX(SUMIFS('Globiom data'!J$2:J$9999,'Globiom data'!$A$2:$A$9999,Veda!$D72,'Globiom data'!$D$2:$D$9999,VLOOKUP(Veda!$B72,'Globiom data'!$V$21:$X$29,2,FALSE),'Globiom data'!$E$2:$E$9999,Veda!$C$1),0)*1000</f>
        <v>861.55056534397465</v>
      </c>
      <c r="L72" s="2">
        <f>MAX(SUMIFS('Globiom data'!K$2:K$9999,'Globiom data'!$A$2:$A$9999,Veda!$D72,'Globiom data'!$D$2:$D$9999,VLOOKUP(Veda!$B72,'Globiom data'!$V$21:$X$29,2,FALSE),'Globiom data'!$E$2:$E$9999,Veda!$C$1),0)*1000</f>
        <v>745.5441267767053</v>
      </c>
      <c r="M72" s="2">
        <f>MAX(SUMIFS('Globiom data'!L$2:L$9999,'Globiom data'!$A$2:$A$9999,Veda!$D72,'Globiom data'!$D$2:$D$9999,VLOOKUP(Veda!$B72,'Globiom data'!$V$21:$X$29,2,FALSE),'Globiom data'!$E$2:$E$9999,Veda!$C$1),0)*1000</f>
        <v>3157.8124159399217</v>
      </c>
      <c r="N72" s="2">
        <f>MAX(SUMIFS('Globiom data'!M$2:M$9999,'Globiom data'!$A$2:$A$9999,Veda!$D72,'Globiom data'!$D$2:$D$9999,VLOOKUP(Veda!$B72,'Globiom data'!$V$21:$X$29,2,FALSE),'Globiom data'!$E$2:$E$9999,Veda!$C$1),0)*1000</f>
        <v>4881.7356085776728</v>
      </c>
      <c r="O72" s="2">
        <f>MAX(SUMIFS('Globiom data'!N$2:N$9999,'Globiom data'!$A$2:$A$9999,Veda!$D72,'Globiom data'!$D$2:$D$9999,VLOOKUP(Veda!$B72,'Globiom data'!$V$21:$X$29,2,FALSE),'Globiom data'!$E$2:$E$9999,Veda!$C$1),0)*1000</f>
        <v>5080.0238927075079</v>
      </c>
      <c r="P72" s="2">
        <f>MAX(SUMIFS('Globiom data'!O$2:O$9999,'Globiom data'!$A$2:$A$9999,Veda!$D72,'Globiom data'!$D$2:$D$9999,VLOOKUP(Veda!$B72,'Globiom data'!$V$21:$X$29,2,FALSE),'Globiom data'!$E$2:$E$9999,Veda!$C$1),0)*1000</f>
        <v>5372.7227076291056</v>
      </c>
      <c r="Q72" s="2">
        <f>MAX(SUMIFS('Globiom data'!P$2:P$9999,'Globiom data'!$A$2:$A$9999,Veda!$D72,'Globiom data'!$D$2:$D$9999,VLOOKUP(Veda!$B72,'Globiom data'!$V$21:$X$29,2,FALSE),'Globiom data'!$E$2:$E$9999,Veda!$C$1),0)*1000</f>
        <v>4959.5105114904018</v>
      </c>
      <c r="R72">
        <v>3</v>
      </c>
    </row>
    <row r="73" spans="1:18" x14ac:dyDescent="0.45">
      <c r="A73" s="8">
        <f t="shared" si="5"/>
        <v>10</v>
      </c>
      <c r="B73" s="8">
        <f t="shared" si="6"/>
        <v>5</v>
      </c>
      <c r="D73" t="str">
        <f>VLOOKUP(A73,'Globiom data'!$S$21:$T$51,2,FALSE)</f>
        <v>China</v>
      </c>
      <c r="E73" t="str">
        <f>VLOOKUP(B73,'Globiom data'!$V$21:$X$30,3,FALSE)</f>
        <v>MinBIOBSL-05</v>
      </c>
      <c r="F73" t="s">
        <v>53</v>
      </c>
      <c r="G73" s="2">
        <f>MAX(SUMIFS('Globiom data'!F$2:F$9999,'Globiom data'!$A$2:$A$9999,Veda!$D73,'Globiom data'!$D$2:$D$9999,VLOOKUP(Veda!$B73,'Globiom data'!$V$21:$X$29,2,FALSE),'Globiom data'!$E$2:$E$9999,Veda!$C$1),0)*1000</f>
        <v>0</v>
      </c>
      <c r="H73" s="2">
        <f>MAX(SUMIFS('Globiom data'!G$2:G$9999,'Globiom data'!$A$2:$A$9999,Veda!$D73,'Globiom data'!$D$2:$D$9999,VLOOKUP(Veda!$B73,'Globiom data'!$V$21:$X$29,2,FALSE),'Globiom data'!$E$2:$E$9999,Veda!$C$1),0)*1000</f>
        <v>0</v>
      </c>
      <c r="I73" s="2">
        <f>MAX(SUMIFS('Globiom data'!H$2:H$9999,'Globiom data'!$A$2:$A$9999,Veda!$D73,'Globiom data'!$D$2:$D$9999,VLOOKUP(Veda!$B73,'Globiom data'!$V$21:$X$29,2,FALSE),'Globiom data'!$E$2:$E$9999,Veda!$C$1),0)*1000</f>
        <v>0</v>
      </c>
      <c r="J73" s="2">
        <f>MAX(SUMIFS('Globiom data'!I$2:I$9999,'Globiom data'!$A$2:$A$9999,Veda!$D73,'Globiom data'!$D$2:$D$9999,VLOOKUP(Veda!$B73,'Globiom data'!$V$21:$X$29,2,FALSE),'Globiom data'!$E$2:$E$9999,Veda!$C$1),0)*1000</f>
        <v>766.57116308686113</v>
      </c>
      <c r="K73" s="2">
        <f>MAX(SUMIFS('Globiom data'!J$2:J$9999,'Globiom data'!$A$2:$A$9999,Veda!$D73,'Globiom data'!$D$2:$D$9999,VLOOKUP(Veda!$B73,'Globiom data'!$V$21:$X$29,2,FALSE),'Globiom data'!$E$2:$E$9999,Veda!$C$1),0)*1000</f>
        <v>2154.670121226316</v>
      </c>
      <c r="L73" s="2">
        <f>MAX(SUMIFS('Globiom data'!K$2:K$9999,'Globiom data'!$A$2:$A$9999,Veda!$D73,'Globiom data'!$D$2:$D$9999,VLOOKUP(Veda!$B73,'Globiom data'!$V$21:$X$29,2,FALSE),'Globiom data'!$E$2:$E$9999,Veda!$C$1),0)*1000</f>
        <v>4222.7064708337284</v>
      </c>
      <c r="M73" s="2">
        <f>MAX(SUMIFS('Globiom data'!L$2:L$9999,'Globiom data'!$A$2:$A$9999,Veda!$D73,'Globiom data'!$D$2:$D$9999,VLOOKUP(Veda!$B73,'Globiom data'!$V$21:$X$29,2,FALSE),'Globiom data'!$E$2:$E$9999,Veda!$C$1),0)*1000</f>
        <v>4314.7702038281232</v>
      </c>
      <c r="N73" s="2">
        <f>MAX(SUMIFS('Globiom data'!M$2:M$9999,'Globiom data'!$A$2:$A$9999,Veda!$D73,'Globiom data'!$D$2:$D$9999,VLOOKUP(Veda!$B73,'Globiom data'!$V$21:$X$29,2,FALSE),'Globiom data'!$E$2:$E$9999,Veda!$C$1),0)*1000</f>
        <v>4311.5237639256102</v>
      </c>
      <c r="O73" s="2">
        <f>MAX(SUMIFS('Globiom data'!N$2:N$9999,'Globiom data'!$A$2:$A$9999,Veda!$D73,'Globiom data'!$D$2:$D$9999,VLOOKUP(Veda!$B73,'Globiom data'!$V$21:$X$29,2,FALSE),'Globiom data'!$E$2:$E$9999,Veda!$C$1),0)*1000</f>
        <v>3665.4252676212627</v>
      </c>
      <c r="P73" s="2">
        <f>MAX(SUMIFS('Globiom data'!O$2:O$9999,'Globiom data'!$A$2:$A$9999,Veda!$D73,'Globiom data'!$D$2:$D$9999,VLOOKUP(Veda!$B73,'Globiom data'!$V$21:$X$29,2,FALSE),'Globiom data'!$E$2:$E$9999,Veda!$C$1),0)*1000</f>
        <v>2627.4440492244462</v>
      </c>
      <c r="Q73" s="2">
        <f>MAX(SUMIFS('Globiom data'!P$2:P$9999,'Globiom data'!$A$2:$A$9999,Veda!$D73,'Globiom data'!$D$2:$D$9999,VLOOKUP(Veda!$B73,'Globiom data'!$V$21:$X$29,2,FALSE),'Globiom data'!$E$2:$E$9999,Veda!$C$1),0)*1000</f>
        <v>2079.1764304593225</v>
      </c>
      <c r="R73">
        <v>3</v>
      </c>
    </row>
    <row r="74" spans="1:18" x14ac:dyDescent="0.45">
      <c r="A74" s="8">
        <f t="shared" si="5"/>
        <v>10</v>
      </c>
      <c r="B74" s="8">
        <f t="shared" si="6"/>
        <v>6</v>
      </c>
      <c r="D74" t="str">
        <f>VLOOKUP(A74,'Globiom data'!$S$21:$T$51,2,FALSE)</f>
        <v>China</v>
      </c>
      <c r="E74" t="str">
        <f>VLOOKUP(B74,'Globiom data'!$V$21:$X$30,3,FALSE)</f>
        <v>MinBIOBSL-06</v>
      </c>
      <c r="F74" t="s">
        <v>53</v>
      </c>
      <c r="G74" s="2">
        <f>MAX(SUMIFS('Globiom data'!F$2:F$9999,'Globiom data'!$A$2:$A$9999,Veda!$D74,'Globiom data'!$D$2:$D$9999,VLOOKUP(Veda!$B74,'Globiom data'!$V$21:$X$29,2,FALSE),'Globiom data'!$E$2:$E$9999,Veda!$C$1),0)*1000</f>
        <v>0</v>
      </c>
      <c r="H74" s="2">
        <f>MAX(SUMIFS('Globiom data'!G$2:G$9999,'Globiom data'!$A$2:$A$9999,Veda!$D74,'Globiom data'!$D$2:$D$9999,VLOOKUP(Veda!$B74,'Globiom data'!$V$21:$X$29,2,FALSE),'Globiom data'!$E$2:$E$9999,Veda!$C$1),0)*1000</f>
        <v>634.51944758560978</v>
      </c>
      <c r="I74" s="2">
        <f>MAX(SUMIFS('Globiom data'!H$2:H$9999,'Globiom data'!$A$2:$A$9999,Veda!$D74,'Globiom data'!$D$2:$D$9999,VLOOKUP(Veda!$B74,'Globiom data'!$V$21:$X$29,2,FALSE),'Globiom data'!$E$2:$E$9999,Veda!$C$1),0)*1000</f>
        <v>634.51944758560978</v>
      </c>
      <c r="J74" s="2">
        <f>MAX(SUMIFS('Globiom data'!I$2:I$9999,'Globiom data'!$A$2:$A$9999,Veda!$D74,'Globiom data'!$D$2:$D$9999,VLOOKUP(Veda!$B74,'Globiom data'!$V$21:$X$29,2,FALSE),'Globiom data'!$E$2:$E$9999,Veda!$C$1),0)*1000</f>
        <v>3963.2443056979232</v>
      </c>
      <c r="K74" s="2">
        <f>MAX(SUMIFS('Globiom data'!J$2:J$9999,'Globiom data'!$A$2:$A$9999,Veda!$D74,'Globiom data'!$D$2:$D$9999,VLOOKUP(Veda!$B74,'Globiom data'!$V$21:$X$29,2,FALSE),'Globiom data'!$E$2:$E$9999,Veda!$C$1),0)*1000</f>
        <v>5386.7088065555217</v>
      </c>
      <c r="L74" s="2">
        <f>MAX(SUMIFS('Globiom data'!K$2:K$9999,'Globiom data'!$A$2:$A$9999,Veda!$D74,'Globiom data'!$D$2:$D$9999,VLOOKUP(Veda!$B74,'Globiom data'!$V$21:$X$29,2,FALSE),'Globiom data'!$E$2:$E$9999,Veda!$C$1),0)*1000</f>
        <v>4565.2632794872043</v>
      </c>
      <c r="M74" s="2">
        <f>MAX(SUMIFS('Globiom data'!L$2:L$9999,'Globiom data'!$A$2:$A$9999,Veda!$D74,'Globiom data'!$D$2:$D$9999,VLOOKUP(Veda!$B74,'Globiom data'!$V$21:$X$29,2,FALSE),'Globiom data'!$E$2:$E$9999,Veda!$C$1),0)*1000</f>
        <v>3790.4391093068316</v>
      </c>
      <c r="N74" s="2">
        <f>MAX(SUMIFS('Globiom data'!M$2:M$9999,'Globiom data'!$A$2:$A$9999,Veda!$D74,'Globiom data'!$D$2:$D$9999,VLOOKUP(Veda!$B74,'Globiom data'!$V$21:$X$29,2,FALSE),'Globiom data'!$E$2:$E$9999,Veda!$C$1),0)*1000</f>
        <v>2953.4848077433685</v>
      </c>
      <c r="O74" s="2">
        <f>MAX(SUMIFS('Globiom data'!N$2:N$9999,'Globiom data'!$A$2:$A$9999,Veda!$D74,'Globiom data'!$D$2:$D$9999,VLOOKUP(Veda!$B74,'Globiom data'!$V$21:$X$29,2,FALSE),'Globiom data'!$E$2:$E$9999,Veda!$C$1),0)*1000</f>
        <v>2483.1273732901473</v>
      </c>
      <c r="P74" s="2">
        <f>MAX(SUMIFS('Globiom data'!O$2:O$9999,'Globiom data'!$A$2:$A$9999,Veda!$D74,'Globiom data'!$D$2:$D$9999,VLOOKUP(Veda!$B74,'Globiom data'!$V$21:$X$29,2,FALSE),'Globiom data'!$E$2:$E$9999,Veda!$C$1),0)*1000</f>
        <v>2673.7290968258749</v>
      </c>
      <c r="Q74" s="2">
        <f>MAX(SUMIFS('Globiom data'!P$2:P$9999,'Globiom data'!$A$2:$A$9999,Veda!$D74,'Globiom data'!$D$2:$D$9999,VLOOKUP(Veda!$B74,'Globiom data'!$V$21:$X$29,2,FALSE),'Globiom data'!$E$2:$E$9999,Veda!$C$1),0)*1000</f>
        <v>2902.9487756766848</v>
      </c>
      <c r="R74">
        <v>3</v>
      </c>
    </row>
    <row r="75" spans="1:18" x14ac:dyDescent="0.45">
      <c r="A75" s="8">
        <f t="shared" si="5"/>
        <v>10</v>
      </c>
      <c r="B75" s="8">
        <f t="shared" si="6"/>
        <v>7</v>
      </c>
      <c r="D75" t="str">
        <f>VLOOKUP(A75,'Globiom data'!$S$21:$T$51,2,FALSE)</f>
        <v>China</v>
      </c>
      <c r="E75" t="str">
        <f>VLOOKUP(B75,'Globiom data'!$V$21:$X$30,3,FALSE)</f>
        <v>MinBIOBSL-07</v>
      </c>
      <c r="F75" t="s">
        <v>53</v>
      </c>
      <c r="G75" s="2">
        <f>MAX(SUMIFS('Globiom data'!F$2:F$9999,'Globiom data'!$A$2:$A$9999,Veda!$D75,'Globiom data'!$D$2:$D$9999,VLOOKUP(Veda!$B75,'Globiom data'!$V$21:$X$29,2,FALSE),'Globiom data'!$E$2:$E$9999,Veda!$C$1),0)*1000</f>
        <v>0</v>
      </c>
      <c r="H75" s="2">
        <f>MAX(SUMIFS('Globiom data'!G$2:G$9999,'Globiom data'!$A$2:$A$9999,Veda!$D75,'Globiom data'!$D$2:$D$9999,VLOOKUP(Veda!$B75,'Globiom data'!$V$21:$X$29,2,FALSE),'Globiom data'!$E$2:$E$9999,Veda!$C$1),0)*1000</f>
        <v>1314.8257369295104</v>
      </c>
      <c r="I75" s="2">
        <f>MAX(SUMIFS('Globiom data'!H$2:H$9999,'Globiom data'!$A$2:$A$9999,Veda!$D75,'Globiom data'!$D$2:$D$9999,VLOOKUP(Veda!$B75,'Globiom data'!$V$21:$X$29,2,FALSE),'Globiom data'!$E$2:$E$9999,Veda!$C$1),0)*1000</f>
        <v>1314.8257369295104</v>
      </c>
      <c r="J75" s="2">
        <f>MAX(SUMIFS('Globiom data'!I$2:I$9999,'Globiom data'!$A$2:$A$9999,Veda!$D75,'Globiom data'!$D$2:$D$9999,VLOOKUP(Veda!$B75,'Globiom data'!$V$21:$X$29,2,FALSE),'Globiom data'!$E$2:$E$9999,Veda!$C$1),0)*1000</f>
        <v>1974.6497955771795</v>
      </c>
      <c r="K75" s="2">
        <f>MAX(SUMIFS('Globiom data'!J$2:J$9999,'Globiom data'!$A$2:$A$9999,Veda!$D75,'Globiom data'!$D$2:$D$9999,VLOOKUP(Veda!$B75,'Globiom data'!$V$21:$X$29,2,FALSE),'Globiom data'!$E$2:$E$9999,Veda!$C$1),0)*1000</f>
        <v>938.72839922790274</v>
      </c>
      <c r="L75" s="2">
        <f>MAX(SUMIFS('Globiom data'!K$2:K$9999,'Globiom data'!$A$2:$A$9999,Veda!$D75,'Globiom data'!$D$2:$D$9999,VLOOKUP(Veda!$B75,'Globiom data'!$V$21:$X$29,2,FALSE),'Globiom data'!$E$2:$E$9999,Veda!$C$1),0)*1000</f>
        <v>892.13760368349278</v>
      </c>
      <c r="M75" s="2">
        <f>MAX(SUMIFS('Globiom data'!L$2:L$9999,'Globiom data'!$A$2:$A$9999,Veda!$D75,'Globiom data'!$D$2:$D$9999,VLOOKUP(Veda!$B75,'Globiom data'!$V$21:$X$29,2,FALSE),'Globiom data'!$E$2:$E$9999,Veda!$C$1),0)*1000</f>
        <v>1304.5285857085773</v>
      </c>
      <c r="N75" s="2">
        <f>MAX(SUMIFS('Globiom data'!M$2:M$9999,'Globiom data'!$A$2:$A$9999,Veda!$D75,'Globiom data'!$D$2:$D$9999,VLOOKUP(Veda!$B75,'Globiom data'!$V$21:$X$29,2,FALSE),'Globiom data'!$E$2:$E$9999,Veda!$C$1),0)*1000</f>
        <v>1553.988982993772</v>
      </c>
      <c r="O75" s="2">
        <f>MAX(SUMIFS('Globiom data'!N$2:N$9999,'Globiom data'!$A$2:$A$9999,Veda!$D75,'Globiom data'!$D$2:$D$9999,VLOOKUP(Veda!$B75,'Globiom data'!$V$21:$X$29,2,FALSE),'Globiom data'!$E$2:$E$9999,Veda!$C$1),0)*1000</f>
        <v>1784.3968070742876</v>
      </c>
      <c r="P75" s="2">
        <f>MAX(SUMIFS('Globiom data'!O$2:O$9999,'Globiom data'!$A$2:$A$9999,Veda!$D75,'Globiom data'!$D$2:$D$9999,VLOOKUP(Veda!$B75,'Globiom data'!$V$21:$X$29,2,FALSE),'Globiom data'!$E$2:$E$9999,Veda!$C$1),0)*1000</f>
        <v>1756.59497481473</v>
      </c>
      <c r="Q75" s="2">
        <f>MAX(SUMIFS('Globiom data'!P$2:P$9999,'Globiom data'!$A$2:$A$9999,Veda!$D75,'Globiom data'!$D$2:$D$9999,VLOOKUP(Veda!$B75,'Globiom data'!$V$21:$X$29,2,FALSE),'Globiom data'!$E$2:$E$9999,Veda!$C$1),0)*1000</f>
        <v>1709.0809596760876</v>
      </c>
      <c r="R75">
        <v>3</v>
      </c>
    </row>
    <row r="76" spans="1:18" x14ac:dyDescent="0.45">
      <c r="A76" s="8">
        <f t="shared" si="5"/>
        <v>11</v>
      </c>
      <c r="B76" s="8">
        <f t="shared" si="6"/>
        <v>1</v>
      </c>
      <c r="D76" t="str">
        <f>VLOOKUP(A76,'Globiom data'!$S$21:$T$51,2,FALSE)</f>
        <v>EU_north</v>
      </c>
      <c r="E76" t="str">
        <f>VLOOKUP(B76,'Globiom data'!$V$21:$X$30,3,FALSE)</f>
        <v>MinBIOBSL-01</v>
      </c>
      <c r="F76" t="s">
        <v>53</v>
      </c>
      <c r="G76" s="2">
        <f>MAX(SUMIFS('Globiom data'!F$2:F$9999,'Globiom data'!$A$2:$A$9999,Veda!$D76,'Globiom data'!$D$2:$D$9999,VLOOKUP(Veda!$B76,'Globiom data'!$V$21:$X$29,2,FALSE),'Globiom data'!$E$2:$E$9999,Veda!$C$1),0)*1000</f>
        <v>744.11222450333071</v>
      </c>
      <c r="H76" s="2">
        <f>MAX(SUMIFS('Globiom data'!G$2:G$9999,'Globiom data'!$A$2:$A$9999,Veda!$D76,'Globiom data'!$D$2:$D$9999,VLOOKUP(Veda!$B76,'Globiom data'!$V$21:$X$29,2,FALSE),'Globiom data'!$E$2:$E$9999,Veda!$C$1),0)*1000</f>
        <v>746.84883585068553</v>
      </c>
      <c r="I76" s="2">
        <f>MAX(SUMIFS('Globiom data'!H$2:H$9999,'Globiom data'!$A$2:$A$9999,Veda!$D76,'Globiom data'!$D$2:$D$9999,VLOOKUP(Veda!$B76,'Globiom data'!$V$21:$X$29,2,FALSE),'Globiom data'!$E$2:$E$9999,Veda!$C$1),0)*1000</f>
        <v>746.84883585068553</v>
      </c>
      <c r="J76" s="2">
        <f>MAX(SUMIFS('Globiom data'!I$2:I$9999,'Globiom data'!$A$2:$A$9999,Veda!$D76,'Globiom data'!$D$2:$D$9999,VLOOKUP(Veda!$B76,'Globiom data'!$V$21:$X$29,2,FALSE),'Globiom data'!$E$2:$E$9999,Veda!$C$1),0)*1000</f>
        <v>731.76945675402033</v>
      </c>
      <c r="K76" s="2">
        <f>MAX(SUMIFS('Globiom data'!J$2:J$9999,'Globiom data'!$A$2:$A$9999,Veda!$D76,'Globiom data'!$D$2:$D$9999,VLOOKUP(Veda!$B76,'Globiom data'!$V$21:$X$29,2,FALSE),'Globiom data'!$E$2:$E$9999,Veda!$C$1),0)*1000</f>
        <v>715.27671410278845</v>
      </c>
      <c r="L76" s="2">
        <f>MAX(SUMIFS('Globiom data'!K$2:K$9999,'Globiom data'!$A$2:$A$9999,Veda!$D76,'Globiom data'!$D$2:$D$9999,VLOOKUP(Veda!$B76,'Globiom data'!$V$21:$X$29,2,FALSE),'Globiom data'!$E$2:$E$9999,Veda!$C$1),0)*1000</f>
        <v>701.59829084810519</v>
      </c>
      <c r="M76" s="2">
        <f>MAX(SUMIFS('Globiom data'!L$2:L$9999,'Globiom data'!$A$2:$A$9999,Veda!$D76,'Globiom data'!$D$2:$D$9999,VLOOKUP(Veda!$B76,'Globiom data'!$V$21:$X$29,2,FALSE),'Globiom data'!$E$2:$E$9999,Veda!$C$1),0)*1000</f>
        <v>696.60954611712714</v>
      </c>
      <c r="N76" s="2">
        <f>MAX(SUMIFS('Globiom data'!M$2:M$9999,'Globiom data'!$A$2:$A$9999,Veda!$D76,'Globiom data'!$D$2:$D$9999,VLOOKUP(Veda!$B76,'Globiom data'!$V$21:$X$29,2,FALSE),'Globiom data'!$E$2:$E$9999,Veda!$C$1),0)*1000</f>
        <v>694.10197966771966</v>
      </c>
      <c r="O76" s="2">
        <f>MAX(SUMIFS('Globiom data'!N$2:N$9999,'Globiom data'!$A$2:$A$9999,Veda!$D76,'Globiom data'!$D$2:$D$9999,VLOOKUP(Veda!$B76,'Globiom data'!$V$21:$X$29,2,FALSE),'Globiom data'!$E$2:$E$9999,Veda!$C$1),0)*1000</f>
        <v>691.9893693406126</v>
      </c>
      <c r="P76" s="2">
        <f>MAX(SUMIFS('Globiom data'!O$2:O$9999,'Globiom data'!$A$2:$A$9999,Veda!$D76,'Globiom data'!$D$2:$D$9999,VLOOKUP(Veda!$B76,'Globiom data'!$V$21:$X$29,2,FALSE),'Globiom data'!$E$2:$E$9999,Veda!$C$1),0)*1000</f>
        <v>690.06058624133004</v>
      </c>
      <c r="Q76" s="2">
        <f>MAX(SUMIFS('Globiom data'!P$2:P$9999,'Globiom data'!$A$2:$A$9999,Veda!$D76,'Globiom data'!$D$2:$D$9999,VLOOKUP(Veda!$B76,'Globiom data'!$V$21:$X$29,2,FALSE),'Globiom data'!$E$2:$E$9999,Veda!$C$1),0)*1000</f>
        <v>687.3497089259032</v>
      </c>
      <c r="R76">
        <v>3</v>
      </c>
    </row>
    <row r="77" spans="1:18" x14ac:dyDescent="0.45">
      <c r="A77" s="8">
        <f t="shared" si="5"/>
        <v>11</v>
      </c>
      <c r="B77" s="8">
        <f t="shared" si="6"/>
        <v>2</v>
      </c>
      <c r="D77" t="str">
        <f>VLOOKUP(A77,'Globiom data'!$S$21:$T$51,2,FALSE)</f>
        <v>EU_north</v>
      </c>
      <c r="E77" t="str">
        <f>VLOOKUP(B77,'Globiom data'!$V$21:$X$30,3,FALSE)</f>
        <v>MinBIOBSL-02</v>
      </c>
      <c r="F77" t="s">
        <v>53</v>
      </c>
      <c r="G77" s="2">
        <f>MAX(SUMIFS('Globiom data'!F$2:F$9999,'Globiom data'!$A$2:$A$9999,Veda!$D77,'Globiom data'!$D$2:$D$9999,VLOOKUP(Veda!$B77,'Globiom data'!$V$21:$X$29,2,FALSE),'Globiom data'!$E$2:$E$9999,Veda!$C$1),0)*1000</f>
        <v>0</v>
      </c>
      <c r="H77" s="2">
        <f>MAX(SUMIFS('Globiom data'!G$2:G$9999,'Globiom data'!$A$2:$A$9999,Veda!$D77,'Globiom data'!$D$2:$D$9999,VLOOKUP(Veda!$B77,'Globiom data'!$V$21:$X$29,2,FALSE),'Globiom data'!$E$2:$E$9999,Veda!$C$1),0)*1000</f>
        <v>1.3151804039353192</v>
      </c>
      <c r="I77" s="2">
        <f>MAX(SUMIFS('Globiom data'!H$2:H$9999,'Globiom data'!$A$2:$A$9999,Veda!$D77,'Globiom data'!$D$2:$D$9999,VLOOKUP(Veda!$B77,'Globiom data'!$V$21:$X$29,2,FALSE),'Globiom data'!$E$2:$E$9999,Veda!$C$1),0)*1000</f>
        <v>1.3151804039353192</v>
      </c>
      <c r="J77" s="2">
        <f>MAX(SUMIFS('Globiom data'!I$2:I$9999,'Globiom data'!$A$2:$A$9999,Veda!$D77,'Globiom data'!$D$2:$D$9999,VLOOKUP(Veda!$B77,'Globiom data'!$V$21:$X$29,2,FALSE),'Globiom data'!$E$2:$E$9999,Veda!$C$1),0)*1000</f>
        <v>4.6107848660399613</v>
      </c>
      <c r="K77" s="2">
        <f>MAX(SUMIFS('Globiom data'!J$2:J$9999,'Globiom data'!$A$2:$A$9999,Veda!$D77,'Globiom data'!$D$2:$D$9999,VLOOKUP(Veda!$B77,'Globiom data'!$V$21:$X$29,2,FALSE),'Globiom data'!$E$2:$E$9999,Veda!$C$1),0)*1000</f>
        <v>4.1045934582217738</v>
      </c>
      <c r="L77" s="2">
        <f>MAX(SUMIFS('Globiom data'!K$2:K$9999,'Globiom data'!$A$2:$A$9999,Veda!$D77,'Globiom data'!$D$2:$D$9999,VLOOKUP(Veda!$B77,'Globiom data'!$V$21:$X$29,2,FALSE),'Globiom data'!$E$2:$E$9999,Veda!$C$1),0)*1000</f>
        <v>4.4076577047669439</v>
      </c>
      <c r="M77" s="2">
        <f>MAX(SUMIFS('Globiom data'!L$2:L$9999,'Globiom data'!$A$2:$A$9999,Veda!$D77,'Globiom data'!$D$2:$D$9999,VLOOKUP(Veda!$B77,'Globiom data'!$V$21:$X$29,2,FALSE),'Globiom data'!$E$2:$E$9999,Veda!$C$1),0)*1000</f>
        <v>5.4724801293600196</v>
      </c>
      <c r="N77" s="2">
        <f>MAX(SUMIFS('Globiom data'!M$2:M$9999,'Globiom data'!$A$2:$A$9999,Veda!$D77,'Globiom data'!$D$2:$D$9999,VLOOKUP(Veda!$B77,'Globiom data'!$V$21:$X$29,2,FALSE),'Globiom data'!$E$2:$E$9999,Veda!$C$1),0)*1000</f>
        <v>6.0773939720983545</v>
      </c>
      <c r="O77" s="2">
        <f>MAX(SUMIFS('Globiom data'!N$2:N$9999,'Globiom data'!$A$2:$A$9999,Veda!$D77,'Globiom data'!$D$2:$D$9999,VLOOKUP(Veda!$B77,'Globiom data'!$V$21:$X$29,2,FALSE),'Globiom data'!$E$2:$E$9999,Veda!$C$1),0)*1000</f>
        <v>23.717408709307488</v>
      </c>
      <c r="P77" s="2">
        <f>MAX(SUMIFS('Globiom data'!O$2:O$9999,'Globiom data'!$A$2:$A$9999,Veda!$D77,'Globiom data'!$D$2:$D$9999,VLOOKUP(Veda!$B77,'Globiom data'!$V$21:$X$29,2,FALSE),'Globiom data'!$E$2:$E$9999,Veda!$C$1),0)*1000</f>
        <v>24.659361668640397</v>
      </c>
      <c r="Q77" s="2">
        <f>MAX(SUMIFS('Globiom data'!P$2:P$9999,'Globiom data'!$A$2:$A$9999,Veda!$D77,'Globiom data'!$D$2:$D$9999,VLOOKUP(Veda!$B77,'Globiom data'!$V$21:$X$29,2,FALSE),'Globiom data'!$E$2:$E$9999,Veda!$C$1),0)*1000</f>
        <v>26.567739988115711</v>
      </c>
      <c r="R77">
        <v>3</v>
      </c>
    </row>
    <row r="78" spans="1:18" x14ac:dyDescent="0.45">
      <c r="A78" s="8">
        <f t="shared" ref="A78:A141" si="7">A71+1</f>
        <v>11</v>
      </c>
      <c r="B78" s="8">
        <f t="shared" ref="B78:B141" si="8">B71</f>
        <v>3</v>
      </c>
      <c r="D78" t="str">
        <f>VLOOKUP(A78,'Globiom data'!$S$21:$T$51,2,FALSE)</f>
        <v>EU_north</v>
      </c>
      <c r="E78" t="str">
        <f>VLOOKUP(B78,'Globiom data'!$V$21:$X$30,3,FALSE)</f>
        <v>MinBIOBSL-03</v>
      </c>
      <c r="F78" t="s">
        <v>53</v>
      </c>
      <c r="G78" s="2">
        <f>MAX(SUMIFS('Globiom data'!F$2:F$9999,'Globiom data'!$A$2:$A$9999,Veda!$D78,'Globiom data'!$D$2:$D$9999,VLOOKUP(Veda!$B78,'Globiom data'!$V$21:$X$29,2,FALSE),'Globiom data'!$E$2:$E$9999,Veda!$C$1),0)*1000</f>
        <v>0</v>
      </c>
      <c r="H78" s="2">
        <f>MAX(SUMIFS('Globiom data'!G$2:G$9999,'Globiom data'!$A$2:$A$9999,Veda!$D78,'Globiom data'!$D$2:$D$9999,VLOOKUP(Veda!$B78,'Globiom data'!$V$21:$X$29,2,FALSE),'Globiom data'!$E$2:$E$9999,Veda!$C$1),0)*1000</f>
        <v>0.49727952038745848</v>
      </c>
      <c r="I78" s="2">
        <f>MAX(SUMIFS('Globiom data'!H$2:H$9999,'Globiom data'!$A$2:$A$9999,Veda!$D78,'Globiom data'!$D$2:$D$9999,VLOOKUP(Veda!$B78,'Globiom data'!$V$21:$X$29,2,FALSE),'Globiom data'!$E$2:$E$9999,Veda!$C$1),0)*1000</f>
        <v>0.49727952038745848</v>
      </c>
      <c r="J78" s="2">
        <f>MAX(SUMIFS('Globiom data'!I$2:I$9999,'Globiom data'!$A$2:$A$9999,Veda!$D78,'Globiom data'!$D$2:$D$9999,VLOOKUP(Veda!$B78,'Globiom data'!$V$21:$X$29,2,FALSE),'Globiom data'!$E$2:$E$9999,Veda!$C$1),0)*1000</f>
        <v>1.9060973704486379</v>
      </c>
      <c r="K78" s="2">
        <f>MAX(SUMIFS('Globiom data'!J$2:J$9999,'Globiom data'!$A$2:$A$9999,Veda!$D78,'Globiom data'!$D$2:$D$9999,VLOOKUP(Veda!$B78,'Globiom data'!$V$21:$X$29,2,FALSE),'Globiom data'!$E$2:$E$9999,Veda!$C$1),0)*1000</f>
        <v>2.2050264546313225</v>
      </c>
      <c r="L78" s="2">
        <f>MAX(SUMIFS('Globiom data'!K$2:K$9999,'Globiom data'!$A$2:$A$9999,Veda!$D78,'Globiom data'!$D$2:$D$9999,VLOOKUP(Veda!$B78,'Globiom data'!$V$21:$X$29,2,FALSE),'Globiom data'!$E$2:$E$9999,Veda!$C$1),0)*1000</f>
        <v>4.0004301083742719</v>
      </c>
      <c r="M78" s="2">
        <f>MAX(SUMIFS('Globiom data'!L$2:L$9999,'Globiom data'!$A$2:$A$9999,Veda!$D78,'Globiom data'!$D$2:$D$9999,VLOOKUP(Veda!$B78,'Globiom data'!$V$21:$X$29,2,FALSE),'Globiom data'!$E$2:$E$9999,Veda!$C$1),0)*1000</f>
        <v>21.98517104228522</v>
      </c>
      <c r="N78" s="2">
        <f>MAX(SUMIFS('Globiom data'!M$2:M$9999,'Globiom data'!$A$2:$A$9999,Veda!$D78,'Globiom data'!$D$2:$D$9999,VLOOKUP(Veda!$B78,'Globiom data'!$V$21:$X$29,2,FALSE),'Globiom data'!$E$2:$E$9999,Veda!$C$1),0)*1000</f>
        <v>22.482856387326233</v>
      </c>
      <c r="O78" s="2">
        <f>MAX(SUMIFS('Globiom data'!N$2:N$9999,'Globiom data'!$A$2:$A$9999,Veda!$D78,'Globiom data'!$D$2:$D$9999,VLOOKUP(Veda!$B78,'Globiom data'!$V$21:$X$29,2,FALSE),'Globiom data'!$E$2:$E$9999,Veda!$C$1),0)*1000</f>
        <v>58.72421834149727</v>
      </c>
      <c r="P78" s="2">
        <f>MAX(SUMIFS('Globiom data'!O$2:O$9999,'Globiom data'!$A$2:$A$9999,Veda!$D78,'Globiom data'!$D$2:$D$9999,VLOOKUP(Veda!$B78,'Globiom data'!$V$21:$X$29,2,FALSE),'Globiom data'!$E$2:$E$9999,Veda!$C$1),0)*1000</f>
        <v>72.011981449688264</v>
      </c>
      <c r="Q78" s="2">
        <f>MAX(SUMIFS('Globiom data'!P$2:P$9999,'Globiom data'!$A$2:$A$9999,Veda!$D78,'Globiom data'!$D$2:$D$9999,VLOOKUP(Veda!$B78,'Globiom data'!$V$21:$X$29,2,FALSE),'Globiom data'!$E$2:$E$9999,Veda!$C$1),0)*1000</f>
        <v>113.65764182338678</v>
      </c>
      <c r="R78">
        <v>3</v>
      </c>
    </row>
    <row r="79" spans="1:18" x14ac:dyDescent="0.45">
      <c r="A79" s="8">
        <f t="shared" si="7"/>
        <v>11</v>
      </c>
      <c r="B79" s="8">
        <f t="shared" si="8"/>
        <v>4</v>
      </c>
      <c r="D79" t="str">
        <f>VLOOKUP(A79,'Globiom data'!$S$21:$T$51,2,FALSE)</f>
        <v>EU_north</v>
      </c>
      <c r="E79" t="str">
        <f>VLOOKUP(B79,'Globiom data'!$V$21:$X$30,3,FALSE)</f>
        <v>MinBIOBSL-04</v>
      </c>
      <c r="F79" t="s">
        <v>53</v>
      </c>
      <c r="G79" s="2">
        <f>MAX(SUMIFS('Globiom data'!F$2:F$9999,'Globiom data'!$A$2:$A$9999,Veda!$D79,'Globiom data'!$D$2:$D$9999,VLOOKUP(Veda!$B79,'Globiom data'!$V$21:$X$29,2,FALSE),'Globiom data'!$E$2:$E$9999,Veda!$C$1),0)*1000</f>
        <v>0</v>
      </c>
      <c r="H79" s="2">
        <f>MAX(SUMIFS('Globiom data'!G$2:G$9999,'Globiom data'!$A$2:$A$9999,Veda!$D79,'Globiom data'!$D$2:$D$9999,VLOOKUP(Veda!$B79,'Globiom data'!$V$21:$X$29,2,FALSE),'Globiom data'!$E$2:$E$9999,Veda!$C$1),0)*1000</f>
        <v>0.50765546362589709</v>
      </c>
      <c r="I79" s="2">
        <f>MAX(SUMIFS('Globiom data'!H$2:H$9999,'Globiom data'!$A$2:$A$9999,Veda!$D79,'Globiom data'!$D$2:$D$9999,VLOOKUP(Veda!$B79,'Globiom data'!$V$21:$X$29,2,FALSE),'Globiom data'!$E$2:$E$9999,Veda!$C$1),0)*1000</f>
        <v>0.50765546362589709</v>
      </c>
      <c r="J79" s="2">
        <f>MAX(SUMIFS('Globiom data'!I$2:I$9999,'Globiom data'!$A$2:$A$9999,Veda!$D79,'Globiom data'!$D$2:$D$9999,VLOOKUP(Veda!$B79,'Globiom data'!$V$21:$X$29,2,FALSE),'Globiom data'!$E$2:$E$9999,Veda!$C$1),0)*1000</f>
        <v>2.177859547284001</v>
      </c>
      <c r="K79" s="2">
        <f>MAX(SUMIFS('Globiom data'!J$2:J$9999,'Globiom data'!$A$2:$A$9999,Veda!$D79,'Globiom data'!$D$2:$D$9999,VLOOKUP(Veda!$B79,'Globiom data'!$V$21:$X$29,2,FALSE),'Globiom data'!$E$2:$E$9999,Veda!$C$1),0)*1000</f>
        <v>21.602301256897</v>
      </c>
      <c r="L79" s="2">
        <f>MAX(SUMIFS('Globiom data'!K$2:K$9999,'Globiom data'!$A$2:$A$9999,Veda!$D79,'Globiom data'!$D$2:$D$9999,VLOOKUP(Veda!$B79,'Globiom data'!$V$21:$X$29,2,FALSE),'Globiom data'!$E$2:$E$9999,Veda!$C$1),0)*1000</f>
        <v>20.659682329952425</v>
      </c>
      <c r="M79" s="2">
        <f>MAX(SUMIFS('Globiom data'!L$2:L$9999,'Globiom data'!$A$2:$A$9999,Veda!$D79,'Globiom data'!$D$2:$D$9999,VLOOKUP(Veda!$B79,'Globiom data'!$V$21:$X$29,2,FALSE),'Globiom data'!$E$2:$E$9999,Veda!$C$1),0)*1000</f>
        <v>66.832866174708798</v>
      </c>
      <c r="N79" s="2">
        <f>MAX(SUMIFS('Globiom data'!M$2:M$9999,'Globiom data'!$A$2:$A$9999,Veda!$D79,'Globiom data'!$D$2:$D$9999,VLOOKUP(Veda!$B79,'Globiom data'!$V$21:$X$29,2,FALSE),'Globiom data'!$E$2:$E$9999,Veda!$C$1),0)*1000</f>
        <v>115.35801514085129</v>
      </c>
      <c r="O79" s="2">
        <f>MAX(SUMIFS('Globiom data'!N$2:N$9999,'Globiom data'!$A$2:$A$9999,Veda!$D79,'Globiom data'!$D$2:$D$9999,VLOOKUP(Veda!$B79,'Globiom data'!$V$21:$X$29,2,FALSE),'Globiom data'!$E$2:$E$9999,Veda!$C$1),0)*1000</f>
        <v>108.09105222123078</v>
      </c>
      <c r="P79" s="2">
        <f>MAX(SUMIFS('Globiom data'!O$2:O$9999,'Globiom data'!$A$2:$A$9999,Veda!$D79,'Globiom data'!$D$2:$D$9999,VLOOKUP(Veda!$B79,'Globiom data'!$V$21:$X$29,2,FALSE),'Globiom data'!$E$2:$E$9999,Veda!$C$1),0)*1000</f>
        <v>138.04446131517471</v>
      </c>
      <c r="Q79" s="2">
        <f>MAX(SUMIFS('Globiom data'!P$2:P$9999,'Globiom data'!$A$2:$A$9999,Veda!$D79,'Globiom data'!$D$2:$D$9999,VLOOKUP(Veda!$B79,'Globiom data'!$V$21:$X$29,2,FALSE),'Globiom data'!$E$2:$E$9999,Veda!$C$1),0)*1000</f>
        <v>215.02549702577195</v>
      </c>
      <c r="R79">
        <v>3</v>
      </c>
    </row>
    <row r="80" spans="1:18" x14ac:dyDescent="0.45">
      <c r="A80" s="8">
        <f t="shared" si="7"/>
        <v>11</v>
      </c>
      <c r="B80" s="8">
        <f t="shared" si="8"/>
        <v>5</v>
      </c>
      <c r="D80" t="str">
        <f>VLOOKUP(A80,'Globiom data'!$S$21:$T$51,2,FALSE)</f>
        <v>EU_north</v>
      </c>
      <c r="E80" t="str">
        <f>VLOOKUP(B80,'Globiom data'!$V$21:$X$30,3,FALSE)</f>
        <v>MinBIOBSL-05</v>
      </c>
      <c r="F80" t="s">
        <v>53</v>
      </c>
      <c r="G80" s="2">
        <f>MAX(SUMIFS('Globiom data'!F$2:F$9999,'Globiom data'!$A$2:$A$9999,Veda!$D80,'Globiom data'!$D$2:$D$9999,VLOOKUP(Veda!$B80,'Globiom data'!$V$21:$X$29,2,FALSE),'Globiom data'!$E$2:$E$9999,Veda!$C$1),0)*1000</f>
        <v>0</v>
      </c>
      <c r="H80" s="2">
        <f>MAX(SUMIFS('Globiom data'!G$2:G$9999,'Globiom data'!$A$2:$A$9999,Veda!$D80,'Globiom data'!$D$2:$D$9999,VLOOKUP(Veda!$B80,'Globiom data'!$V$21:$X$29,2,FALSE),'Globiom data'!$E$2:$E$9999,Veda!$C$1),0)*1000</f>
        <v>0.67341556073922226</v>
      </c>
      <c r="I80" s="2">
        <f>MAX(SUMIFS('Globiom data'!H$2:H$9999,'Globiom data'!$A$2:$A$9999,Veda!$D80,'Globiom data'!$D$2:$D$9999,VLOOKUP(Veda!$B80,'Globiom data'!$V$21:$X$29,2,FALSE),'Globiom data'!$E$2:$E$9999,Veda!$C$1),0)*1000</f>
        <v>0.67341556073922226</v>
      </c>
      <c r="J80" s="2">
        <f>MAX(SUMIFS('Globiom data'!I$2:I$9999,'Globiom data'!$A$2:$A$9999,Veda!$D80,'Globiom data'!$D$2:$D$9999,VLOOKUP(Veda!$B80,'Globiom data'!$V$21:$X$29,2,FALSE),'Globiom data'!$E$2:$E$9999,Veda!$C$1),0)*1000</f>
        <v>23.511048080858924</v>
      </c>
      <c r="K80" s="2">
        <f>MAX(SUMIFS('Globiom data'!J$2:J$9999,'Globiom data'!$A$2:$A$9999,Veda!$D80,'Globiom data'!$D$2:$D$9999,VLOOKUP(Veda!$B80,'Globiom data'!$V$21:$X$29,2,FALSE),'Globiom data'!$E$2:$E$9999,Veda!$C$1),0)*1000</f>
        <v>56.373575643140192</v>
      </c>
      <c r="L80" s="2">
        <f>MAX(SUMIFS('Globiom data'!K$2:K$9999,'Globiom data'!$A$2:$A$9999,Veda!$D80,'Globiom data'!$D$2:$D$9999,VLOOKUP(Veda!$B80,'Globiom data'!$V$21:$X$29,2,FALSE),'Globiom data'!$E$2:$E$9999,Veda!$C$1),0)*1000</f>
        <v>125.62683964162191</v>
      </c>
      <c r="M80" s="2">
        <f>MAX(SUMIFS('Globiom data'!L$2:L$9999,'Globiom data'!$A$2:$A$9999,Veda!$D80,'Globiom data'!$D$2:$D$9999,VLOOKUP(Veda!$B80,'Globiom data'!$V$21:$X$29,2,FALSE),'Globiom data'!$E$2:$E$9999,Veda!$C$1),0)*1000</f>
        <v>115.0658217009226</v>
      </c>
      <c r="N80" s="2">
        <f>MAX(SUMIFS('Globiom data'!M$2:M$9999,'Globiom data'!$A$2:$A$9999,Veda!$D80,'Globiom data'!$D$2:$D$9999,VLOOKUP(Veda!$B80,'Globiom data'!$V$21:$X$29,2,FALSE),'Globiom data'!$E$2:$E$9999,Veda!$C$1),0)*1000</f>
        <v>212.40745964491046</v>
      </c>
      <c r="O80" s="2">
        <f>MAX(SUMIFS('Globiom data'!N$2:N$9999,'Globiom data'!$A$2:$A$9999,Veda!$D80,'Globiom data'!$D$2:$D$9999,VLOOKUP(Veda!$B80,'Globiom data'!$V$21:$X$29,2,FALSE),'Globiom data'!$E$2:$E$9999,Veda!$C$1),0)*1000</f>
        <v>333.5852092061175</v>
      </c>
      <c r="P80" s="2">
        <f>MAX(SUMIFS('Globiom data'!O$2:O$9999,'Globiom data'!$A$2:$A$9999,Veda!$D80,'Globiom data'!$D$2:$D$9999,VLOOKUP(Veda!$B80,'Globiom data'!$V$21:$X$29,2,FALSE),'Globiom data'!$E$2:$E$9999,Veda!$C$1),0)*1000</f>
        <v>453.56320930198956</v>
      </c>
      <c r="Q80" s="2">
        <f>MAX(SUMIFS('Globiom data'!P$2:P$9999,'Globiom data'!$A$2:$A$9999,Veda!$D80,'Globiom data'!$D$2:$D$9999,VLOOKUP(Veda!$B80,'Globiom data'!$V$21:$X$29,2,FALSE),'Globiom data'!$E$2:$E$9999,Veda!$C$1),0)*1000</f>
        <v>477.27940085664488</v>
      </c>
      <c r="R80">
        <v>3</v>
      </c>
    </row>
    <row r="81" spans="1:18" x14ac:dyDescent="0.45">
      <c r="A81" s="8">
        <f t="shared" si="7"/>
        <v>11</v>
      </c>
      <c r="B81" s="8">
        <f t="shared" si="8"/>
        <v>6</v>
      </c>
      <c r="D81" t="str">
        <f>VLOOKUP(A81,'Globiom data'!$S$21:$T$51,2,FALSE)</f>
        <v>EU_north</v>
      </c>
      <c r="E81" t="str">
        <f>VLOOKUP(B81,'Globiom data'!$V$21:$X$30,3,FALSE)</f>
        <v>MinBIOBSL-06</v>
      </c>
      <c r="F81" t="s">
        <v>53</v>
      </c>
      <c r="G81" s="2">
        <f>MAX(SUMIFS('Globiom data'!F$2:F$9999,'Globiom data'!$A$2:$A$9999,Veda!$D81,'Globiom data'!$D$2:$D$9999,VLOOKUP(Veda!$B81,'Globiom data'!$V$21:$X$29,2,FALSE),'Globiom data'!$E$2:$E$9999,Veda!$C$1),0)*1000</f>
        <v>0</v>
      </c>
      <c r="H81" s="2">
        <f>MAX(SUMIFS('Globiom data'!G$2:G$9999,'Globiom data'!$A$2:$A$9999,Veda!$D81,'Globiom data'!$D$2:$D$9999,VLOOKUP(Veda!$B81,'Globiom data'!$V$21:$X$29,2,FALSE),'Globiom data'!$E$2:$E$9999,Veda!$C$1),0)*1000</f>
        <v>6.3623861111015687</v>
      </c>
      <c r="I81" s="2">
        <f>MAX(SUMIFS('Globiom data'!H$2:H$9999,'Globiom data'!$A$2:$A$9999,Veda!$D81,'Globiom data'!$D$2:$D$9999,VLOOKUP(Veda!$B81,'Globiom data'!$V$21:$X$29,2,FALSE),'Globiom data'!$E$2:$E$9999,Veda!$C$1),0)*1000</f>
        <v>6.3623861111015687</v>
      </c>
      <c r="J81" s="2">
        <f>MAX(SUMIFS('Globiom data'!I$2:I$9999,'Globiom data'!$A$2:$A$9999,Veda!$D81,'Globiom data'!$D$2:$D$9999,VLOOKUP(Veda!$B81,'Globiom data'!$V$21:$X$29,2,FALSE),'Globiom data'!$E$2:$E$9999,Veda!$C$1),0)*1000</f>
        <v>111.84695163458255</v>
      </c>
      <c r="K81" s="2">
        <f>MAX(SUMIFS('Globiom data'!J$2:J$9999,'Globiom data'!$A$2:$A$9999,Veda!$D81,'Globiom data'!$D$2:$D$9999,VLOOKUP(Veda!$B81,'Globiom data'!$V$21:$X$29,2,FALSE),'Globiom data'!$E$2:$E$9999,Veda!$C$1),0)*1000</f>
        <v>244.44148698202704</v>
      </c>
      <c r="L81" s="2">
        <f>MAX(SUMIFS('Globiom data'!K$2:K$9999,'Globiom data'!$A$2:$A$9999,Veda!$D81,'Globiom data'!$D$2:$D$9999,VLOOKUP(Veda!$B81,'Globiom data'!$V$21:$X$29,2,FALSE),'Globiom data'!$E$2:$E$9999,Veda!$C$1),0)*1000</f>
        <v>375.41564159364259</v>
      </c>
      <c r="M81" s="2">
        <f>MAX(SUMIFS('Globiom data'!L$2:L$9999,'Globiom data'!$A$2:$A$9999,Veda!$D81,'Globiom data'!$D$2:$D$9999,VLOOKUP(Veda!$B81,'Globiom data'!$V$21:$X$29,2,FALSE),'Globiom data'!$E$2:$E$9999,Veda!$C$1),0)*1000</f>
        <v>501.12929578634294</v>
      </c>
      <c r="N81" s="2">
        <f>MAX(SUMIFS('Globiom data'!M$2:M$9999,'Globiom data'!$A$2:$A$9999,Veda!$D81,'Globiom data'!$D$2:$D$9999,VLOOKUP(Veda!$B81,'Globiom data'!$V$21:$X$29,2,FALSE),'Globiom data'!$E$2:$E$9999,Veda!$C$1),0)*1000</f>
        <v>517.63839513604125</v>
      </c>
      <c r="O81" s="2">
        <f>MAX(SUMIFS('Globiom data'!N$2:N$9999,'Globiom data'!$A$2:$A$9999,Veda!$D81,'Globiom data'!$D$2:$D$9999,VLOOKUP(Veda!$B81,'Globiom data'!$V$21:$X$29,2,FALSE),'Globiom data'!$E$2:$E$9999,Veda!$C$1),0)*1000</f>
        <v>508.55350027286562</v>
      </c>
      <c r="P81" s="2">
        <f>MAX(SUMIFS('Globiom data'!O$2:O$9999,'Globiom data'!$A$2:$A$9999,Veda!$D81,'Globiom data'!$D$2:$D$9999,VLOOKUP(Veda!$B81,'Globiom data'!$V$21:$X$29,2,FALSE),'Globiom data'!$E$2:$E$9999,Veda!$C$1),0)*1000</f>
        <v>502.97494526098194</v>
      </c>
      <c r="Q81" s="2">
        <f>MAX(SUMIFS('Globiom data'!P$2:P$9999,'Globiom data'!$A$2:$A$9999,Veda!$D81,'Globiom data'!$D$2:$D$9999,VLOOKUP(Veda!$B81,'Globiom data'!$V$21:$X$29,2,FALSE),'Globiom data'!$E$2:$E$9999,Veda!$C$1),0)*1000</f>
        <v>528.19825861612674</v>
      </c>
      <c r="R81">
        <v>3</v>
      </c>
    </row>
    <row r="82" spans="1:18" x14ac:dyDescent="0.45">
      <c r="A82" s="8">
        <f t="shared" si="7"/>
        <v>11</v>
      </c>
      <c r="B82" s="8">
        <f t="shared" si="8"/>
        <v>7</v>
      </c>
      <c r="D82" t="str">
        <f>VLOOKUP(A82,'Globiom data'!$S$21:$T$51,2,FALSE)</f>
        <v>EU_north</v>
      </c>
      <c r="E82" t="str">
        <f>VLOOKUP(B82,'Globiom data'!$V$21:$X$30,3,FALSE)</f>
        <v>MinBIOBSL-07</v>
      </c>
      <c r="F82" t="s">
        <v>53</v>
      </c>
      <c r="G82" s="2">
        <f>MAX(SUMIFS('Globiom data'!F$2:F$9999,'Globiom data'!$A$2:$A$9999,Veda!$D82,'Globiom data'!$D$2:$D$9999,VLOOKUP(Veda!$B82,'Globiom data'!$V$21:$X$29,2,FALSE),'Globiom data'!$E$2:$E$9999,Veda!$C$1),0)*1000</f>
        <v>0</v>
      </c>
      <c r="H82" s="2">
        <f>MAX(SUMIFS('Globiom data'!G$2:G$9999,'Globiom data'!$A$2:$A$9999,Veda!$D82,'Globiom data'!$D$2:$D$9999,VLOOKUP(Veda!$B82,'Globiom data'!$V$21:$X$29,2,FALSE),'Globiom data'!$E$2:$E$9999,Veda!$C$1),0)*1000</f>
        <v>60.915064996454689</v>
      </c>
      <c r="I82" s="2">
        <f>MAX(SUMIFS('Globiom data'!H$2:H$9999,'Globiom data'!$A$2:$A$9999,Veda!$D82,'Globiom data'!$D$2:$D$9999,VLOOKUP(Veda!$B82,'Globiom data'!$V$21:$X$29,2,FALSE),'Globiom data'!$E$2:$E$9999,Veda!$C$1),0)*1000</f>
        <v>60.915064996454689</v>
      </c>
      <c r="J82" s="2">
        <f>MAX(SUMIFS('Globiom data'!I$2:I$9999,'Globiom data'!$A$2:$A$9999,Veda!$D82,'Globiom data'!$D$2:$D$9999,VLOOKUP(Veda!$B82,'Globiom data'!$V$21:$X$29,2,FALSE),'Globiom data'!$E$2:$E$9999,Veda!$C$1),0)*1000</f>
        <v>216.36135470993517</v>
      </c>
      <c r="K82" s="2">
        <f>MAX(SUMIFS('Globiom data'!J$2:J$9999,'Globiom data'!$A$2:$A$9999,Veda!$D82,'Globiom data'!$D$2:$D$9999,VLOOKUP(Veda!$B82,'Globiom data'!$V$21:$X$29,2,FALSE),'Globiom data'!$E$2:$E$9999,Veda!$C$1),0)*1000</f>
        <v>202.68613750197929</v>
      </c>
      <c r="L82" s="2">
        <f>MAX(SUMIFS('Globiom data'!K$2:K$9999,'Globiom data'!$A$2:$A$9999,Veda!$D82,'Globiom data'!$D$2:$D$9999,VLOOKUP(Veda!$B82,'Globiom data'!$V$21:$X$29,2,FALSE),'Globiom data'!$E$2:$E$9999,Veda!$C$1),0)*1000</f>
        <v>174.7623565597527</v>
      </c>
      <c r="M82" s="2">
        <f>MAX(SUMIFS('Globiom data'!L$2:L$9999,'Globiom data'!$A$2:$A$9999,Veda!$D82,'Globiom data'!$D$2:$D$9999,VLOOKUP(Veda!$B82,'Globiom data'!$V$21:$X$29,2,FALSE),'Globiom data'!$E$2:$E$9999,Veda!$C$1),0)*1000</f>
        <v>227.54045522717573</v>
      </c>
      <c r="N82" s="2">
        <f>MAX(SUMIFS('Globiom data'!M$2:M$9999,'Globiom data'!$A$2:$A$9999,Veda!$D82,'Globiom data'!$D$2:$D$9999,VLOOKUP(Veda!$B82,'Globiom data'!$V$21:$X$29,2,FALSE),'Globiom data'!$E$2:$E$9999,Veda!$C$1),0)*1000</f>
        <v>308.0469744872662</v>
      </c>
      <c r="O82" s="2">
        <f>MAX(SUMIFS('Globiom data'!N$2:N$9999,'Globiom data'!$A$2:$A$9999,Veda!$D82,'Globiom data'!$D$2:$D$9999,VLOOKUP(Veda!$B82,'Globiom data'!$V$21:$X$29,2,FALSE),'Globiom data'!$E$2:$E$9999,Veda!$C$1),0)*1000</f>
        <v>401.77971677214799</v>
      </c>
      <c r="P82" s="2">
        <f>MAX(SUMIFS('Globiom data'!O$2:O$9999,'Globiom data'!$A$2:$A$9999,Veda!$D82,'Globiom data'!$D$2:$D$9999,VLOOKUP(Veda!$B82,'Globiom data'!$V$21:$X$29,2,FALSE),'Globiom data'!$E$2:$E$9999,Veda!$C$1),0)*1000</f>
        <v>494.9968745521038</v>
      </c>
      <c r="Q82" s="2">
        <f>MAX(SUMIFS('Globiom data'!P$2:P$9999,'Globiom data'!$A$2:$A$9999,Veda!$D82,'Globiom data'!$D$2:$D$9999,VLOOKUP(Veda!$B82,'Globiom data'!$V$21:$X$29,2,FALSE),'Globiom data'!$E$2:$E$9999,Veda!$C$1),0)*1000</f>
        <v>536.11181466016728</v>
      </c>
      <c r="R82">
        <v>3</v>
      </c>
    </row>
    <row r="83" spans="1:18" x14ac:dyDescent="0.45">
      <c r="A83" s="8">
        <f t="shared" si="7"/>
        <v>12</v>
      </c>
      <c r="B83" s="8">
        <f t="shared" si="8"/>
        <v>1</v>
      </c>
      <c r="D83" t="str">
        <f>VLOOKUP(A83,'Globiom data'!$S$21:$T$51,2,FALSE)</f>
        <v>EU_northeast</v>
      </c>
      <c r="E83" t="str">
        <f>VLOOKUP(B83,'Globiom data'!$V$21:$X$30,3,FALSE)</f>
        <v>MinBIOBSL-01</v>
      </c>
      <c r="F83" t="s">
        <v>53</v>
      </c>
      <c r="G83" s="2">
        <f>MAX(SUMIFS('Globiom data'!F$2:F$9999,'Globiom data'!$A$2:$A$9999,Veda!$D83,'Globiom data'!$D$2:$D$9999,VLOOKUP(Veda!$B83,'Globiom data'!$V$21:$X$29,2,FALSE),'Globiom data'!$E$2:$E$9999,Veda!$C$1),0)*1000</f>
        <v>903.04944299852684</v>
      </c>
      <c r="H83" s="2">
        <f>MAX(SUMIFS('Globiom data'!G$2:G$9999,'Globiom data'!$A$2:$A$9999,Veda!$D83,'Globiom data'!$D$2:$D$9999,VLOOKUP(Veda!$B83,'Globiom data'!$V$21:$X$29,2,FALSE),'Globiom data'!$E$2:$E$9999,Veda!$C$1),0)*1000</f>
        <v>843.07341614852226</v>
      </c>
      <c r="I83" s="2">
        <f>MAX(SUMIFS('Globiom data'!H$2:H$9999,'Globiom data'!$A$2:$A$9999,Veda!$D83,'Globiom data'!$D$2:$D$9999,VLOOKUP(Veda!$B83,'Globiom data'!$V$21:$X$29,2,FALSE),'Globiom data'!$E$2:$E$9999,Veda!$C$1),0)*1000</f>
        <v>843.07341614852226</v>
      </c>
      <c r="J83" s="2">
        <f>MAX(SUMIFS('Globiom data'!I$2:I$9999,'Globiom data'!$A$2:$A$9999,Veda!$D83,'Globiom data'!$D$2:$D$9999,VLOOKUP(Veda!$B83,'Globiom data'!$V$21:$X$29,2,FALSE),'Globiom data'!$E$2:$E$9999,Veda!$C$1),0)*1000</f>
        <v>827.50722703867871</v>
      </c>
      <c r="K83" s="2">
        <f>MAX(SUMIFS('Globiom data'!J$2:J$9999,'Globiom data'!$A$2:$A$9999,Veda!$D83,'Globiom data'!$D$2:$D$9999,VLOOKUP(Veda!$B83,'Globiom data'!$V$21:$X$29,2,FALSE),'Globiom data'!$E$2:$E$9999,Veda!$C$1),0)*1000</f>
        <v>813.72119443164183</v>
      </c>
      <c r="L83" s="2">
        <f>MAX(SUMIFS('Globiom data'!K$2:K$9999,'Globiom data'!$A$2:$A$9999,Veda!$D83,'Globiom data'!$D$2:$D$9999,VLOOKUP(Veda!$B83,'Globiom data'!$V$21:$X$29,2,FALSE),'Globiom data'!$E$2:$E$9999,Veda!$C$1),0)*1000</f>
        <v>801.00951214669726</v>
      </c>
      <c r="M83" s="2">
        <f>MAX(SUMIFS('Globiom data'!L$2:L$9999,'Globiom data'!$A$2:$A$9999,Veda!$D83,'Globiom data'!$D$2:$D$9999,VLOOKUP(Veda!$B83,'Globiom data'!$V$21:$X$29,2,FALSE),'Globiom data'!$E$2:$E$9999,Veda!$C$1),0)*1000</f>
        <v>795.88574133958718</v>
      </c>
      <c r="N83" s="2">
        <f>MAX(SUMIFS('Globiom data'!M$2:M$9999,'Globiom data'!$A$2:$A$9999,Veda!$D83,'Globiom data'!$D$2:$D$9999,VLOOKUP(Veda!$B83,'Globiom data'!$V$21:$X$29,2,FALSE),'Globiom data'!$E$2:$E$9999,Veda!$C$1),0)*1000</f>
        <v>793.28194787399775</v>
      </c>
      <c r="O83" s="2">
        <f>MAX(SUMIFS('Globiom data'!N$2:N$9999,'Globiom data'!$A$2:$A$9999,Veda!$D83,'Globiom data'!$D$2:$D$9999,VLOOKUP(Veda!$B83,'Globiom data'!$V$21:$X$29,2,FALSE),'Globiom data'!$E$2:$E$9999,Veda!$C$1),0)*1000</f>
        <v>791.12379171419661</v>
      </c>
      <c r="P83" s="2">
        <f>MAX(SUMIFS('Globiom data'!O$2:O$9999,'Globiom data'!$A$2:$A$9999,Veda!$D83,'Globiom data'!$D$2:$D$9999,VLOOKUP(Veda!$B83,'Globiom data'!$V$21:$X$29,2,FALSE),'Globiom data'!$E$2:$E$9999,Veda!$C$1),0)*1000</f>
        <v>789.10924298488987</v>
      </c>
      <c r="Q83" s="2">
        <f>MAX(SUMIFS('Globiom data'!P$2:P$9999,'Globiom data'!$A$2:$A$9999,Veda!$D83,'Globiom data'!$D$2:$D$9999,VLOOKUP(Veda!$B83,'Globiom data'!$V$21:$X$29,2,FALSE),'Globiom data'!$E$2:$E$9999,Veda!$C$1),0)*1000</f>
        <v>787.23729810047257</v>
      </c>
      <c r="R83">
        <v>3</v>
      </c>
    </row>
    <row r="84" spans="1:18" x14ac:dyDescent="0.45">
      <c r="A84" s="8">
        <f t="shared" si="7"/>
        <v>12</v>
      </c>
      <c r="B84" s="8">
        <f t="shared" si="8"/>
        <v>2</v>
      </c>
      <c r="D84" t="str">
        <f>VLOOKUP(A84,'Globiom data'!$S$21:$T$51,2,FALSE)</f>
        <v>EU_northeast</v>
      </c>
      <c r="E84" t="str">
        <f>VLOOKUP(B84,'Globiom data'!$V$21:$X$30,3,FALSE)</f>
        <v>MinBIOBSL-02</v>
      </c>
      <c r="F84" t="s">
        <v>53</v>
      </c>
      <c r="G84" s="2">
        <f>MAX(SUMIFS('Globiom data'!F$2:F$9999,'Globiom data'!$A$2:$A$9999,Veda!$D84,'Globiom data'!$D$2:$D$9999,VLOOKUP(Veda!$B84,'Globiom data'!$V$21:$X$29,2,FALSE),'Globiom data'!$E$2:$E$9999,Veda!$C$1),0)*1000</f>
        <v>0</v>
      </c>
      <c r="H84" s="2">
        <f>MAX(SUMIFS('Globiom data'!G$2:G$9999,'Globiom data'!$A$2:$A$9999,Veda!$D84,'Globiom data'!$D$2:$D$9999,VLOOKUP(Veda!$B84,'Globiom data'!$V$21:$X$29,2,FALSE),'Globiom data'!$E$2:$E$9999,Veda!$C$1),0)*1000</f>
        <v>1.3465235133874089</v>
      </c>
      <c r="I84" s="2">
        <f>MAX(SUMIFS('Globiom data'!H$2:H$9999,'Globiom data'!$A$2:$A$9999,Veda!$D84,'Globiom data'!$D$2:$D$9999,VLOOKUP(Veda!$B84,'Globiom data'!$V$21:$X$29,2,FALSE),'Globiom data'!$E$2:$E$9999,Veda!$C$1),0)*1000</f>
        <v>1.3465235133874089</v>
      </c>
      <c r="J84" s="2">
        <f>MAX(SUMIFS('Globiom data'!I$2:I$9999,'Globiom data'!$A$2:$A$9999,Veda!$D84,'Globiom data'!$D$2:$D$9999,VLOOKUP(Veda!$B84,'Globiom data'!$V$21:$X$29,2,FALSE),'Globiom data'!$E$2:$E$9999,Veda!$C$1),0)*1000</f>
        <v>4.8847964043677612</v>
      </c>
      <c r="K84" s="2">
        <f>MAX(SUMIFS('Globiom data'!J$2:J$9999,'Globiom data'!$A$2:$A$9999,Veda!$D84,'Globiom data'!$D$2:$D$9999,VLOOKUP(Veda!$B84,'Globiom data'!$V$21:$X$29,2,FALSE),'Globiom data'!$E$2:$E$9999,Veda!$C$1),0)*1000</f>
        <v>4.5833883448464103</v>
      </c>
      <c r="L84" s="2">
        <f>MAX(SUMIFS('Globiom data'!K$2:K$9999,'Globiom data'!$A$2:$A$9999,Veda!$D84,'Globiom data'!$D$2:$D$9999,VLOOKUP(Veda!$B84,'Globiom data'!$V$21:$X$29,2,FALSE),'Globiom data'!$E$2:$E$9999,Veda!$C$1),0)*1000</f>
        <v>4.9295557288500378</v>
      </c>
      <c r="M84" s="2">
        <f>MAX(SUMIFS('Globiom data'!L$2:L$9999,'Globiom data'!$A$2:$A$9999,Veda!$D84,'Globiom data'!$D$2:$D$9999,VLOOKUP(Veda!$B84,'Globiom data'!$V$21:$X$29,2,FALSE),'Globiom data'!$E$2:$E$9999,Veda!$C$1),0)*1000</f>
        <v>6.2599576988230918</v>
      </c>
      <c r="N84" s="2">
        <f>MAX(SUMIFS('Globiom data'!M$2:M$9999,'Globiom data'!$A$2:$A$9999,Veda!$D84,'Globiom data'!$D$2:$D$9999,VLOOKUP(Veda!$B84,'Globiom data'!$V$21:$X$29,2,FALSE),'Globiom data'!$E$2:$E$9999,Veda!$C$1),0)*1000</f>
        <v>7.1281728121196597</v>
      </c>
      <c r="O84" s="2">
        <f>MAX(SUMIFS('Globiom data'!N$2:N$9999,'Globiom data'!$A$2:$A$9999,Veda!$D84,'Globiom data'!$D$2:$D$9999,VLOOKUP(Veda!$B84,'Globiom data'!$V$21:$X$29,2,FALSE),'Globiom data'!$E$2:$E$9999,Veda!$C$1),0)*1000</f>
        <v>53.407078110256165</v>
      </c>
      <c r="P84" s="2">
        <f>MAX(SUMIFS('Globiom data'!O$2:O$9999,'Globiom data'!$A$2:$A$9999,Veda!$D84,'Globiom data'!$D$2:$D$9999,VLOOKUP(Veda!$B84,'Globiom data'!$V$21:$X$29,2,FALSE),'Globiom data'!$E$2:$E$9999,Veda!$C$1),0)*1000</f>
        <v>67.614421912207177</v>
      </c>
      <c r="Q84" s="2">
        <f>MAX(SUMIFS('Globiom data'!P$2:P$9999,'Globiom data'!$A$2:$A$9999,Veda!$D84,'Globiom data'!$D$2:$D$9999,VLOOKUP(Veda!$B84,'Globiom data'!$V$21:$X$29,2,FALSE),'Globiom data'!$E$2:$E$9999,Veda!$C$1),0)*1000</f>
        <v>69.045289941942897</v>
      </c>
      <c r="R84">
        <v>3</v>
      </c>
    </row>
    <row r="85" spans="1:18" x14ac:dyDescent="0.45">
      <c r="A85" s="8">
        <f t="shared" si="7"/>
        <v>12</v>
      </c>
      <c r="B85" s="8">
        <f t="shared" si="8"/>
        <v>3</v>
      </c>
      <c r="D85" t="str">
        <f>VLOOKUP(A85,'Globiom data'!$S$21:$T$51,2,FALSE)</f>
        <v>EU_northeast</v>
      </c>
      <c r="E85" t="str">
        <f>VLOOKUP(B85,'Globiom data'!$V$21:$X$30,3,FALSE)</f>
        <v>MinBIOBSL-03</v>
      </c>
      <c r="F85" t="s">
        <v>53</v>
      </c>
      <c r="G85" s="2">
        <f>MAX(SUMIFS('Globiom data'!F$2:F$9999,'Globiom data'!$A$2:$A$9999,Veda!$D85,'Globiom data'!$D$2:$D$9999,VLOOKUP(Veda!$B85,'Globiom data'!$V$21:$X$29,2,FALSE),'Globiom data'!$E$2:$E$9999,Veda!$C$1),0)*1000</f>
        <v>0</v>
      </c>
      <c r="H85" s="2">
        <f>MAX(SUMIFS('Globiom data'!G$2:G$9999,'Globiom data'!$A$2:$A$9999,Veda!$D85,'Globiom data'!$D$2:$D$9999,VLOOKUP(Veda!$B85,'Globiom data'!$V$21:$X$29,2,FALSE),'Globiom data'!$E$2:$E$9999,Veda!$C$1),0)*1000</f>
        <v>0.41856166765765662</v>
      </c>
      <c r="I85" s="2">
        <f>MAX(SUMIFS('Globiom data'!H$2:H$9999,'Globiom data'!$A$2:$A$9999,Veda!$D85,'Globiom data'!$D$2:$D$9999,VLOOKUP(Veda!$B85,'Globiom data'!$V$21:$X$29,2,FALSE),'Globiom data'!$E$2:$E$9999,Veda!$C$1),0)*1000</f>
        <v>0.41856166765765662</v>
      </c>
      <c r="J85" s="2">
        <f>MAX(SUMIFS('Globiom data'!I$2:I$9999,'Globiom data'!$A$2:$A$9999,Veda!$D85,'Globiom data'!$D$2:$D$9999,VLOOKUP(Veda!$B85,'Globiom data'!$V$21:$X$29,2,FALSE),'Globiom data'!$E$2:$E$9999,Veda!$C$1),0)*1000</f>
        <v>1.8471187531706821</v>
      </c>
      <c r="K85" s="2">
        <f>MAX(SUMIFS('Globiom data'!J$2:J$9999,'Globiom data'!$A$2:$A$9999,Veda!$D85,'Globiom data'!$D$2:$D$9999,VLOOKUP(Veda!$B85,'Globiom data'!$V$21:$X$29,2,FALSE),'Globiom data'!$E$2:$E$9999,Veda!$C$1),0)*1000</f>
        <v>2.594947187155157</v>
      </c>
      <c r="L85" s="2">
        <f>MAX(SUMIFS('Globiom data'!K$2:K$9999,'Globiom data'!$A$2:$A$9999,Veda!$D85,'Globiom data'!$D$2:$D$9999,VLOOKUP(Veda!$B85,'Globiom data'!$V$21:$X$29,2,FALSE),'Globiom data'!$E$2:$E$9999,Veda!$C$1),0)*1000</f>
        <v>5.5463479982254267</v>
      </c>
      <c r="M85" s="2">
        <f>MAX(SUMIFS('Globiom data'!L$2:L$9999,'Globiom data'!$A$2:$A$9999,Veda!$D85,'Globiom data'!$D$2:$D$9999,VLOOKUP(Veda!$B85,'Globiom data'!$V$21:$X$29,2,FALSE),'Globiom data'!$E$2:$E$9999,Veda!$C$1),0)*1000</f>
        <v>62.49947579633637</v>
      </c>
      <c r="N85" s="2">
        <f>MAX(SUMIFS('Globiom data'!M$2:M$9999,'Globiom data'!$A$2:$A$9999,Veda!$D85,'Globiom data'!$D$2:$D$9999,VLOOKUP(Veda!$B85,'Globiom data'!$V$21:$X$29,2,FALSE),'Globiom data'!$E$2:$E$9999,Veda!$C$1),0)*1000</f>
        <v>64.083389801336068</v>
      </c>
      <c r="O85" s="2">
        <f>MAX(SUMIFS('Globiom data'!N$2:N$9999,'Globiom data'!$A$2:$A$9999,Veda!$D85,'Globiom data'!$D$2:$D$9999,VLOOKUP(Veda!$B85,'Globiom data'!$V$21:$X$29,2,FALSE),'Globiom data'!$E$2:$E$9999,Veda!$C$1),0)*1000</f>
        <v>78.809665273367798</v>
      </c>
      <c r="P85" s="2">
        <f>MAX(SUMIFS('Globiom data'!O$2:O$9999,'Globiom data'!$A$2:$A$9999,Veda!$D85,'Globiom data'!$D$2:$D$9999,VLOOKUP(Veda!$B85,'Globiom data'!$V$21:$X$29,2,FALSE),'Globiom data'!$E$2:$E$9999,Veda!$C$1),0)*1000</f>
        <v>117.87946676159399</v>
      </c>
      <c r="Q85" s="2">
        <f>MAX(SUMIFS('Globiom data'!P$2:P$9999,'Globiom data'!$A$2:$A$9999,Veda!$D85,'Globiom data'!$D$2:$D$9999,VLOOKUP(Veda!$B85,'Globiom data'!$V$21:$X$29,2,FALSE),'Globiom data'!$E$2:$E$9999,Veda!$C$1),0)*1000</f>
        <v>219.26941238831756</v>
      </c>
      <c r="R85">
        <v>3</v>
      </c>
    </row>
    <row r="86" spans="1:18" x14ac:dyDescent="0.45">
      <c r="A86" s="8">
        <f t="shared" si="7"/>
        <v>12</v>
      </c>
      <c r="B86" s="8">
        <f t="shared" si="8"/>
        <v>4</v>
      </c>
      <c r="D86" t="str">
        <f>VLOOKUP(A86,'Globiom data'!$S$21:$T$51,2,FALSE)</f>
        <v>EU_northeast</v>
      </c>
      <c r="E86" t="str">
        <f>VLOOKUP(B86,'Globiom data'!$V$21:$X$30,3,FALSE)</f>
        <v>MinBIOBSL-04</v>
      </c>
      <c r="F86" t="s">
        <v>53</v>
      </c>
      <c r="G86" s="2">
        <f>MAX(SUMIFS('Globiom data'!F$2:F$9999,'Globiom data'!$A$2:$A$9999,Veda!$D86,'Globiom data'!$D$2:$D$9999,VLOOKUP(Veda!$B86,'Globiom data'!$V$21:$X$29,2,FALSE),'Globiom data'!$E$2:$E$9999,Veda!$C$1),0)*1000</f>
        <v>0</v>
      </c>
      <c r="H86" s="2">
        <f>MAX(SUMIFS('Globiom data'!G$2:G$9999,'Globiom data'!$A$2:$A$9999,Veda!$D86,'Globiom data'!$D$2:$D$9999,VLOOKUP(Veda!$B86,'Globiom data'!$V$21:$X$29,2,FALSE),'Globiom data'!$E$2:$E$9999,Veda!$C$1),0)*1000</f>
        <v>0.50775875731781728</v>
      </c>
      <c r="I86" s="2">
        <f>MAX(SUMIFS('Globiom data'!H$2:H$9999,'Globiom data'!$A$2:$A$9999,Veda!$D86,'Globiom data'!$D$2:$D$9999,VLOOKUP(Veda!$B86,'Globiom data'!$V$21:$X$29,2,FALSE),'Globiom data'!$E$2:$E$9999,Veda!$C$1),0)*1000</f>
        <v>0.50775875731781728</v>
      </c>
      <c r="J86" s="2">
        <f>MAX(SUMIFS('Globiom data'!I$2:I$9999,'Globiom data'!$A$2:$A$9999,Veda!$D86,'Globiom data'!$D$2:$D$9999,VLOOKUP(Veda!$B86,'Globiom data'!$V$21:$X$29,2,FALSE),'Globiom data'!$E$2:$E$9999,Veda!$C$1),0)*1000</f>
        <v>2.3664126153851277</v>
      </c>
      <c r="K86" s="2">
        <f>MAX(SUMIFS('Globiom data'!J$2:J$9999,'Globiom data'!$A$2:$A$9999,Veda!$D86,'Globiom data'!$D$2:$D$9999,VLOOKUP(Veda!$B86,'Globiom data'!$V$21:$X$29,2,FALSE),'Globiom data'!$E$2:$E$9999,Veda!$C$1),0)*1000</f>
        <v>52.581828020126977</v>
      </c>
      <c r="L86" s="2">
        <f>MAX(SUMIFS('Globiom data'!K$2:K$9999,'Globiom data'!$A$2:$A$9999,Veda!$D86,'Globiom data'!$D$2:$D$9999,VLOOKUP(Veda!$B86,'Globiom data'!$V$21:$X$29,2,FALSE),'Globiom data'!$E$2:$E$9999,Veda!$C$1),0)*1000</f>
        <v>59.718494839393507</v>
      </c>
      <c r="M86" s="2">
        <f>MAX(SUMIFS('Globiom data'!L$2:L$9999,'Globiom data'!$A$2:$A$9999,Veda!$D86,'Globiom data'!$D$2:$D$9999,VLOOKUP(Veda!$B86,'Globiom data'!$V$21:$X$29,2,FALSE),'Globiom data'!$E$2:$E$9999,Veda!$C$1),0)*1000</f>
        <v>89.275445622159481</v>
      </c>
      <c r="N86" s="2">
        <f>MAX(SUMIFS('Globiom data'!M$2:M$9999,'Globiom data'!$A$2:$A$9999,Veda!$D86,'Globiom data'!$D$2:$D$9999,VLOOKUP(Veda!$B86,'Globiom data'!$V$21:$X$29,2,FALSE),'Globiom data'!$E$2:$E$9999,Veda!$C$1),0)*1000</f>
        <v>204.56185325695586</v>
      </c>
      <c r="O86" s="2">
        <f>MAX(SUMIFS('Globiom data'!N$2:N$9999,'Globiom data'!$A$2:$A$9999,Veda!$D86,'Globiom data'!$D$2:$D$9999,VLOOKUP(Veda!$B86,'Globiom data'!$V$21:$X$29,2,FALSE),'Globiom data'!$E$2:$E$9999,Veda!$C$1),0)*1000</f>
        <v>279.57190330773426</v>
      </c>
      <c r="P86" s="2">
        <f>MAX(SUMIFS('Globiom data'!O$2:O$9999,'Globiom data'!$A$2:$A$9999,Veda!$D86,'Globiom data'!$D$2:$D$9999,VLOOKUP(Veda!$B86,'Globiom data'!$V$21:$X$29,2,FALSE),'Globiom data'!$E$2:$E$9999,Veda!$C$1),0)*1000</f>
        <v>369.08748387713604</v>
      </c>
      <c r="Q86" s="2">
        <f>MAX(SUMIFS('Globiom data'!P$2:P$9999,'Globiom data'!$A$2:$A$9999,Veda!$D86,'Globiom data'!$D$2:$D$9999,VLOOKUP(Veda!$B86,'Globiom data'!$V$21:$X$29,2,FALSE),'Globiom data'!$E$2:$E$9999,Veda!$C$1),0)*1000</f>
        <v>476.95124787616896</v>
      </c>
      <c r="R86">
        <v>3</v>
      </c>
    </row>
    <row r="87" spans="1:18" x14ac:dyDescent="0.45">
      <c r="A87" s="8">
        <f t="shared" si="7"/>
        <v>12</v>
      </c>
      <c r="B87" s="8">
        <f t="shared" si="8"/>
        <v>5</v>
      </c>
      <c r="D87" t="str">
        <f>VLOOKUP(A87,'Globiom data'!$S$21:$T$51,2,FALSE)</f>
        <v>EU_northeast</v>
      </c>
      <c r="E87" t="str">
        <f>VLOOKUP(B87,'Globiom data'!$V$21:$X$30,3,FALSE)</f>
        <v>MinBIOBSL-05</v>
      </c>
      <c r="F87" t="s">
        <v>53</v>
      </c>
      <c r="G87" s="2">
        <f>MAX(SUMIFS('Globiom data'!F$2:F$9999,'Globiom data'!$A$2:$A$9999,Veda!$D87,'Globiom data'!$D$2:$D$9999,VLOOKUP(Veda!$B87,'Globiom data'!$V$21:$X$29,2,FALSE),'Globiom data'!$E$2:$E$9999,Veda!$C$1),0)*1000</f>
        <v>0</v>
      </c>
      <c r="H87" s="2">
        <f>MAX(SUMIFS('Globiom data'!G$2:G$9999,'Globiom data'!$A$2:$A$9999,Veda!$D87,'Globiom data'!$D$2:$D$9999,VLOOKUP(Veda!$B87,'Globiom data'!$V$21:$X$29,2,FALSE),'Globiom data'!$E$2:$E$9999,Veda!$C$1),0)*1000</f>
        <v>0.67817103679710522</v>
      </c>
      <c r="I87" s="2">
        <f>MAX(SUMIFS('Globiom data'!H$2:H$9999,'Globiom data'!$A$2:$A$9999,Veda!$D87,'Globiom data'!$D$2:$D$9999,VLOOKUP(Veda!$B87,'Globiom data'!$V$21:$X$29,2,FALSE),'Globiom data'!$E$2:$E$9999,Veda!$C$1),0)*1000</f>
        <v>0.67817103679710522</v>
      </c>
      <c r="J87" s="2">
        <f>MAX(SUMIFS('Globiom data'!I$2:I$9999,'Globiom data'!$A$2:$A$9999,Veda!$D87,'Globiom data'!$D$2:$D$9999,VLOOKUP(Veda!$B87,'Globiom data'!$V$21:$X$29,2,FALSE),'Globiom data'!$E$2:$E$9999,Veda!$C$1),0)*1000</f>
        <v>47.485530720449042</v>
      </c>
      <c r="K87" s="2">
        <f>MAX(SUMIFS('Globiom data'!J$2:J$9999,'Globiom data'!$A$2:$A$9999,Veda!$D87,'Globiom data'!$D$2:$D$9999,VLOOKUP(Veda!$B87,'Globiom data'!$V$21:$X$29,2,FALSE),'Globiom data'!$E$2:$E$9999,Veda!$C$1),0)*1000</f>
        <v>71.712838922254122</v>
      </c>
      <c r="L87" s="2">
        <f>MAX(SUMIFS('Globiom data'!K$2:K$9999,'Globiom data'!$A$2:$A$9999,Veda!$D87,'Globiom data'!$D$2:$D$9999,VLOOKUP(Veda!$B87,'Globiom data'!$V$21:$X$29,2,FALSE),'Globiom data'!$E$2:$E$9999,Veda!$C$1),0)*1000</f>
        <v>212.04663857827958</v>
      </c>
      <c r="M87" s="2">
        <f>MAX(SUMIFS('Globiom data'!L$2:L$9999,'Globiom data'!$A$2:$A$9999,Veda!$D87,'Globiom data'!$D$2:$D$9999,VLOOKUP(Veda!$B87,'Globiom data'!$V$21:$X$29,2,FALSE),'Globiom data'!$E$2:$E$9999,Veda!$C$1),0)*1000</f>
        <v>293.56302662834912</v>
      </c>
      <c r="N87" s="2">
        <f>MAX(SUMIFS('Globiom data'!M$2:M$9999,'Globiom data'!$A$2:$A$9999,Veda!$D87,'Globiom data'!$D$2:$D$9999,VLOOKUP(Veda!$B87,'Globiom data'!$V$21:$X$29,2,FALSE),'Globiom data'!$E$2:$E$9999,Veda!$C$1),0)*1000</f>
        <v>436.23391666857043</v>
      </c>
      <c r="O87" s="2">
        <f>MAX(SUMIFS('Globiom data'!N$2:N$9999,'Globiom data'!$A$2:$A$9999,Veda!$D87,'Globiom data'!$D$2:$D$9999,VLOOKUP(Veda!$B87,'Globiom data'!$V$21:$X$29,2,FALSE),'Globiom data'!$E$2:$E$9999,Veda!$C$1),0)*1000</f>
        <v>584.07153534973816</v>
      </c>
      <c r="P87" s="2">
        <f>MAX(SUMIFS('Globiom data'!O$2:O$9999,'Globiom data'!$A$2:$A$9999,Veda!$D87,'Globiom data'!$D$2:$D$9999,VLOOKUP(Veda!$B87,'Globiom data'!$V$21:$X$29,2,FALSE),'Globiom data'!$E$2:$E$9999,Veda!$C$1),0)*1000</f>
        <v>733.37817069172888</v>
      </c>
      <c r="Q87" s="2">
        <f>MAX(SUMIFS('Globiom data'!P$2:P$9999,'Globiom data'!$A$2:$A$9999,Veda!$D87,'Globiom data'!$D$2:$D$9999,VLOOKUP(Veda!$B87,'Globiom data'!$V$21:$X$29,2,FALSE),'Globiom data'!$E$2:$E$9999,Veda!$C$1),0)*1000</f>
        <v>783.57943705872242</v>
      </c>
      <c r="R87">
        <v>3</v>
      </c>
    </row>
    <row r="88" spans="1:18" x14ac:dyDescent="0.45">
      <c r="A88" s="8">
        <f t="shared" si="7"/>
        <v>12</v>
      </c>
      <c r="B88" s="8">
        <f t="shared" si="8"/>
        <v>6</v>
      </c>
      <c r="D88" t="str">
        <f>VLOOKUP(A88,'Globiom data'!$S$21:$T$51,2,FALSE)</f>
        <v>EU_northeast</v>
      </c>
      <c r="E88" t="str">
        <f>VLOOKUP(B88,'Globiom data'!$V$21:$X$30,3,FALSE)</f>
        <v>MinBIOBSL-06</v>
      </c>
      <c r="F88" t="s">
        <v>53</v>
      </c>
      <c r="G88" s="2">
        <f>MAX(SUMIFS('Globiom data'!F$2:F$9999,'Globiom data'!$A$2:$A$9999,Veda!$D88,'Globiom data'!$D$2:$D$9999,VLOOKUP(Veda!$B88,'Globiom data'!$V$21:$X$29,2,FALSE),'Globiom data'!$E$2:$E$9999,Veda!$C$1),0)*1000</f>
        <v>0</v>
      </c>
      <c r="H88" s="2">
        <f>MAX(SUMIFS('Globiom data'!G$2:G$9999,'Globiom data'!$A$2:$A$9999,Veda!$D88,'Globiom data'!$D$2:$D$9999,VLOOKUP(Veda!$B88,'Globiom data'!$V$21:$X$29,2,FALSE),'Globiom data'!$E$2:$E$9999,Veda!$C$1),0)*1000</f>
        <v>4.9983077782614531</v>
      </c>
      <c r="I88" s="2">
        <f>MAX(SUMIFS('Globiom data'!H$2:H$9999,'Globiom data'!$A$2:$A$9999,Veda!$D88,'Globiom data'!$D$2:$D$9999,VLOOKUP(Veda!$B88,'Globiom data'!$V$21:$X$29,2,FALSE),'Globiom data'!$E$2:$E$9999,Veda!$C$1),0)*1000</f>
        <v>4.9983077782614531</v>
      </c>
      <c r="J88" s="2">
        <f>MAX(SUMIFS('Globiom data'!I$2:I$9999,'Globiom data'!$A$2:$A$9999,Veda!$D88,'Globiom data'!$D$2:$D$9999,VLOOKUP(Veda!$B88,'Globiom data'!$V$21:$X$29,2,FALSE),'Globiom data'!$E$2:$E$9999,Veda!$C$1),0)*1000</f>
        <v>198.85895406765212</v>
      </c>
      <c r="K88" s="2">
        <f>MAX(SUMIFS('Globiom data'!J$2:J$9999,'Globiom data'!$A$2:$A$9999,Veda!$D88,'Globiom data'!$D$2:$D$9999,VLOOKUP(Veda!$B88,'Globiom data'!$V$21:$X$29,2,FALSE),'Globiom data'!$E$2:$E$9999,Veda!$C$1),0)*1000</f>
        <v>454.3915724848253</v>
      </c>
      <c r="L88" s="2">
        <f>MAX(SUMIFS('Globiom data'!K$2:K$9999,'Globiom data'!$A$2:$A$9999,Veda!$D88,'Globiom data'!$D$2:$D$9999,VLOOKUP(Veda!$B88,'Globiom data'!$V$21:$X$29,2,FALSE),'Globiom data'!$E$2:$E$9999,Veda!$C$1),0)*1000</f>
        <v>659.73089988883351</v>
      </c>
      <c r="M88" s="2">
        <f>MAX(SUMIFS('Globiom data'!L$2:L$9999,'Globiom data'!$A$2:$A$9999,Veda!$D88,'Globiom data'!$D$2:$D$9999,VLOOKUP(Veda!$B88,'Globiom data'!$V$21:$X$29,2,FALSE),'Globiom data'!$E$2:$E$9999,Veda!$C$1),0)*1000</f>
        <v>839.05217788606456</v>
      </c>
      <c r="N88" s="2">
        <f>MAX(SUMIFS('Globiom data'!M$2:M$9999,'Globiom data'!$A$2:$A$9999,Veda!$D88,'Globiom data'!$D$2:$D$9999,VLOOKUP(Veda!$B88,'Globiom data'!$V$21:$X$29,2,FALSE),'Globiom data'!$E$2:$E$9999,Veda!$C$1),0)*1000</f>
        <v>928.92924280712703</v>
      </c>
      <c r="O88" s="2">
        <f>MAX(SUMIFS('Globiom data'!N$2:N$9999,'Globiom data'!$A$2:$A$9999,Veda!$D88,'Globiom data'!$D$2:$D$9999,VLOOKUP(Veda!$B88,'Globiom data'!$V$21:$X$29,2,FALSE),'Globiom data'!$E$2:$E$9999,Veda!$C$1),0)*1000</f>
        <v>1003.2584024799729</v>
      </c>
      <c r="P88" s="2">
        <f>MAX(SUMIFS('Globiom data'!O$2:O$9999,'Globiom data'!$A$2:$A$9999,Veda!$D88,'Globiom data'!$D$2:$D$9999,VLOOKUP(Veda!$B88,'Globiom data'!$V$21:$X$29,2,FALSE),'Globiom data'!$E$2:$E$9999,Veda!$C$1),0)*1000</f>
        <v>1078.3119455562819</v>
      </c>
      <c r="Q88" s="2">
        <f>MAX(SUMIFS('Globiom data'!P$2:P$9999,'Globiom data'!$A$2:$A$9999,Veda!$D88,'Globiom data'!$D$2:$D$9999,VLOOKUP(Veda!$B88,'Globiom data'!$V$21:$X$29,2,FALSE),'Globiom data'!$E$2:$E$9999,Veda!$C$1),0)*1000</f>
        <v>1197.4216705336089</v>
      </c>
      <c r="R88">
        <v>3</v>
      </c>
    </row>
    <row r="89" spans="1:18" x14ac:dyDescent="0.45">
      <c r="A89" s="8">
        <f t="shared" si="7"/>
        <v>12</v>
      </c>
      <c r="B89" s="8">
        <f t="shared" si="8"/>
        <v>7</v>
      </c>
      <c r="D89" t="str">
        <f>VLOOKUP(A89,'Globiom data'!$S$21:$T$51,2,FALSE)</f>
        <v>EU_northeast</v>
      </c>
      <c r="E89" t="str">
        <f>VLOOKUP(B89,'Globiom data'!$V$21:$X$30,3,FALSE)</f>
        <v>MinBIOBSL-07</v>
      </c>
      <c r="F89" t="s">
        <v>53</v>
      </c>
      <c r="G89" s="2">
        <f>MAX(SUMIFS('Globiom data'!F$2:F$9999,'Globiom data'!$A$2:$A$9999,Veda!$D89,'Globiom data'!$D$2:$D$9999,VLOOKUP(Veda!$B89,'Globiom data'!$V$21:$X$29,2,FALSE),'Globiom data'!$E$2:$E$9999,Veda!$C$1),0)*1000</f>
        <v>0</v>
      </c>
      <c r="H89" s="2">
        <f>MAX(SUMIFS('Globiom data'!G$2:G$9999,'Globiom data'!$A$2:$A$9999,Veda!$D89,'Globiom data'!$D$2:$D$9999,VLOOKUP(Veda!$B89,'Globiom data'!$V$21:$X$29,2,FALSE),'Globiom data'!$E$2:$E$9999,Veda!$C$1),0)*1000</f>
        <v>136.96816479968194</v>
      </c>
      <c r="I89" s="2">
        <f>MAX(SUMIFS('Globiom data'!H$2:H$9999,'Globiom data'!$A$2:$A$9999,Veda!$D89,'Globiom data'!$D$2:$D$9999,VLOOKUP(Veda!$B89,'Globiom data'!$V$21:$X$29,2,FALSE),'Globiom data'!$E$2:$E$9999,Veda!$C$1),0)*1000</f>
        <v>136.96816479968194</v>
      </c>
      <c r="J89" s="2">
        <f>MAX(SUMIFS('Globiom data'!I$2:I$9999,'Globiom data'!$A$2:$A$9999,Veda!$D89,'Globiom data'!$D$2:$D$9999,VLOOKUP(Veda!$B89,'Globiom data'!$V$21:$X$29,2,FALSE),'Globiom data'!$E$2:$E$9999,Veda!$C$1),0)*1000</f>
        <v>326.40831629642543</v>
      </c>
      <c r="K89" s="2">
        <f>MAX(SUMIFS('Globiom data'!J$2:J$9999,'Globiom data'!$A$2:$A$9999,Veda!$D89,'Globiom data'!$D$2:$D$9999,VLOOKUP(Veda!$B89,'Globiom data'!$V$21:$X$29,2,FALSE),'Globiom data'!$E$2:$E$9999,Veda!$C$1),0)*1000</f>
        <v>382.82113257079686</v>
      </c>
      <c r="L89" s="2">
        <f>MAX(SUMIFS('Globiom data'!K$2:K$9999,'Globiom data'!$A$2:$A$9999,Veda!$D89,'Globiom data'!$D$2:$D$9999,VLOOKUP(Veda!$B89,'Globiom data'!$V$21:$X$29,2,FALSE),'Globiom data'!$E$2:$E$9999,Veda!$C$1),0)*1000</f>
        <v>443.05807351036219</v>
      </c>
      <c r="M89" s="2">
        <f>MAX(SUMIFS('Globiom data'!L$2:L$9999,'Globiom data'!$A$2:$A$9999,Veda!$D89,'Globiom data'!$D$2:$D$9999,VLOOKUP(Veda!$B89,'Globiom data'!$V$21:$X$29,2,FALSE),'Globiom data'!$E$2:$E$9999,Veda!$C$1),0)*1000</f>
        <v>605.70415991058758</v>
      </c>
      <c r="N89" s="2">
        <f>MAX(SUMIFS('Globiom data'!M$2:M$9999,'Globiom data'!$A$2:$A$9999,Veda!$D89,'Globiom data'!$D$2:$D$9999,VLOOKUP(Veda!$B89,'Globiom data'!$V$21:$X$29,2,FALSE),'Globiom data'!$E$2:$E$9999,Veda!$C$1),0)*1000</f>
        <v>791.70317806430432</v>
      </c>
      <c r="O89" s="2">
        <f>MAX(SUMIFS('Globiom data'!N$2:N$9999,'Globiom data'!$A$2:$A$9999,Veda!$D89,'Globiom data'!$D$2:$D$9999,VLOOKUP(Veda!$B89,'Globiom data'!$V$21:$X$29,2,FALSE),'Globiom data'!$E$2:$E$9999,Veda!$C$1),0)*1000</f>
        <v>974.82875518529261</v>
      </c>
      <c r="P89" s="2">
        <f>MAX(SUMIFS('Globiom data'!O$2:O$9999,'Globiom data'!$A$2:$A$9999,Veda!$D89,'Globiom data'!$D$2:$D$9999,VLOOKUP(Veda!$B89,'Globiom data'!$V$21:$X$29,2,FALSE),'Globiom data'!$E$2:$E$9999,Veda!$C$1),0)*1000</f>
        <v>1123.8651264432033</v>
      </c>
      <c r="Q89" s="2">
        <f>MAX(SUMIFS('Globiom data'!P$2:P$9999,'Globiom data'!$A$2:$A$9999,Veda!$D89,'Globiom data'!$D$2:$D$9999,VLOOKUP(Veda!$B89,'Globiom data'!$V$21:$X$29,2,FALSE),'Globiom data'!$E$2:$E$9999,Veda!$C$1),0)*1000</f>
        <v>1160.5752594559747</v>
      </c>
      <c r="R89">
        <v>3</v>
      </c>
    </row>
    <row r="90" spans="1:18" x14ac:dyDescent="0.45">
      <c r="A90" s="8">
        <f t="shared" si="7"/>
        <v>13</v>
      </c>
      <c r="B90" s="8">
        <f t="shared" si="8"/>
        <v>1</v>
      </c>
      <c r="D90" t="str">
        <f>VLOOKUP(A90,'Globiom data'!$S$21:$T$51,2,FALSE)</f>
        <v>EU_northwest</v>
      </c>
      <c r="E90" t="str">
        <f>VLOOKUP(B90,'Globiom data'!$V$21:$X$30,3,FALSE)</f>
        <v>MinBIOBSL-01</v>
      </c>
      <c r="F90" t="s">
        <v>53</v>
      </c>
      <c r="G90" s="2">
        <f>MAX(SUMIFS('Globiom data'!F$2:F$9999,'Globiom data'!$A$2:$A$9999,Veda!$D90,'Globiom data'!$D$2:$D$9999,VLOOKUP(Veda!$B90,'Globiom data'!$V$21:$X$29,2,FALSE),'Globiom data'!$E$2:$E$9999,Veda!$C$1),0)*1000</f>
        <v>111.40078940176365</v>
      </c>
      <c r="H90" s="2">
        <f>MAX(SUMIFS('Globiom data'!G$2:G$9999,'Globiom data'!$A$2:$A$9999,Veda!$D90,'Globiom data'!$D$2:$D$9999,VLOOKUP(Veda!$B90,'Globiom data'!$V$21:$X$29,2,FALSE),'Globiom data'!$E$2:$E$9999,Veda!$C$1),0)*1000</f>
        <v>111.81048656079756</v>
      </c>
      <c r="I90" s="2">
        <f>MAX(SUMIFS('Globiom data'!H$2:H$9999,'Globiom data'!$A$2:$A$9999,Veda!$D90,'Globiom data'!$D$2:$D$9999,VLOOKUP(Veda!$B90,'Globiom data'!$V$21:$X$29,2,FALSE),'Globiom data'!$E$2:$E$9999,Veda!$C$1),0)*1000</f>
        <v>111.81048656079756</v>
      </c>
      <c r="J90" s="2">
        <f>MAX(SUMIFS('Globiom data'!I$2:I$9999,'Globiom data'!$A$2:$A$9999,Veda!$D90,'Globiom data'!$D$2:$D$9999,VLOOKUP(Veda!$B90,'Globiom data'!$V$21:$X$29,2,FALSE),'Globiom data'!$E$2:$E$9999,Veda!$C$1),0)*1000</f>
        <v>109.55295781749777</v>
      </c>
      <c r="K90" s="2">
        <f>MAX(SUMIFS('Globiom data'!J$2:J$9999,'Globiom data'!$A$2:$A$9999,Veda!$D90,'Globiom data'!$D$2:$D$9999,VLOOKUP(Veda!$B90,'Globiom data'!$V$21:$X$29,2,FALSE),'Globiom data'!$E$2:$E$9999,Veda!$C$1),0)*1000</f>
        <v>107.08383489457613</v>
      </c>
      <c r="L90" s="2">
        <f>MAX(SUMIFS('Globiom data'!K$2:K$9999,'Globiom data'!$A$2:$A$9999,Veda!$D90,'Globiom data'!$D$2:$D$9999,VLOOKUP(Veda!$B90,'Globiom data'!$V$21:$X$29,2,FALSE),'Globiom data'!$E$2:$E$9999,Veda!$C$1),0)*1000</f>
        <v>105.03604277644463</v>
      </c>
      <c r="M90" s="2">
        <f>MAX(SUMIFS('Globiom data'!L$2:L$9999,'Globiom data'!$A$2:$A$9999,Veda!$D90,'Globiom data'!$D$2:$D$9999,VLOOKUP(Veda!$B90,'Globiom data'!$V$21:$X$29,2,FALSE),'Globiom data'!$E$2:$E$9999,Veda!$C$1),0)*1000</f>
        <v>104.28917949043181</v>
      </c>
      <c r="N90" s="2">
        <f>MAX(SUMIFS('Globiom data'!M$2:M$9999,'Globiom data'!$A$2:$A$9999,Veda!$D90,'Globiom data'!$D$2:$D$9999,VLOOKUP(Veda!$B90,'Globiom data'!$V$21:$X$29,2,FALSE),'Globiom data'!$E$2:$E$9999,Veda!$C$1),0)*1000</f>
        <v>103.91377256558562</v>
      </c>
      <c r="O90" s="2">
        <f>MAX(SUMIFS('Globiom data'!N$2:N$9999,'Globiom data'!$A$2:$A$9999,Veda!$D90,'Globiom data'!$D$2:$D$9999,VLOOKUP(Veda!$B90,'Globiom data'!$V$21:$X$29,2,FALSE),'Globiom data'!$E$2:$E$9999,Veda!$C$1),0)*1000</f>
        <v>103.5974943881975</v>
      </c>
      <c r="P90" s="2">
        <f>MAX(SUMIFS('Globiom data'!O$2:O$9999,'Globiom data'!$A$2:$A$9999,Veda!$D90,'Globiom data'!$D$2:$D$9999,VLOOKUP(Veda!$B90,'Globiom data'!$V$21:$X$29,2,FALSE),'Globiom data'!$E$2:$E$9999,Veda!$C$1),0)*1000</f>
        <v>103.3087369228996</v>
      </c>
      <c r="Q90" s="2">
        <f>MAX(SUMIFS('Globiom data'!P$2:P$9999,'Globiom data'!$A$2:$A$9999,Veda!$D90,'Globiom data'!$D$2:$D$9999,VLOOKUP(Veda!$B90,'Globiom data'!$V$21:$X$29,2,FALSE),'Globiom data'!$E$2:$E$9999,Veda!$C$1),0)*1000</f>
        <v>102.90289239708022</v>
      </c>
      <c r="R90">
        <v>3</v>
      </c>
    </row>
    <row r="91" spans="1:18" x14ac:dyDescent="0.45">
      <c r="A91" s="8">
        <f t="shared" si="7"/>
        <v>13</v>
      </c>
      <c r="B91" s="8">
        <f t="shared" si="8"/>
        <v>2</v>
      </c>
      <c r="D91" t="str">
        <f>VLOOKUP(A91,'Globiom data'!$S$21:$T$51,2,FALSE)</f>
        <v>EU_northwest</v>
      </c>
      <c r="E91" t="str">
        <f>VLOOKUP(B91,'Globiom data'!$V$21:$X$30,3,FALSE)</f>
        <v>MinBIOBSL-02</v>
      </c>
      <c r="F91" t="s">
        <v>53</v>
      </c>
      <c r="G91" s="2">
        <f>MAX(SUMIFS('Globiom data'!F$2:F$9999,'Globiom data'!$A$2:$A$9999,Veda!$D91,'Globiom data'!$D$2:$D$9999,VLOOKUP(Veda!$B91,'Globiom data'!$V$21:$X$29,2,FALSE),'Globiom data'!$E$2:$E$9999,Veda!$C$1),0)*1000</f>
        <v>0</v>
      </c>
      <c r="H91" s="2">
        <f>MAX(SUMIFS('Globiom data'!G$2:G$9999,'Globiom data'!$A$2:$A$9999,Veda!$D91,'Globiom data'!$D$2:$D$9999,VLOOKUP(Veda!$B91,'Globiom data'!$V$21:$X$29,2,FALSE),'Globiom data'!$E$2:$E$9999,Veda!$C$1),0)*1000</f>
        <v>0.19689521335563603</v>
      </c>
      <c r="I91" s="2">
        <f>MAX(SUMIFS('Globiom data'!H$2:H$9999,'Globiom data'!$A$2:$A$9999,Veda!$D91,'Globiom data'!$D$2:$D$9999,VLOOKUP(Veda!$B91,'Globiom data'!$V$21:$X$29,2,FALSE),'Globiom data'!$E$2:$E$9999,Veda!$C$1),0)*1000</f>
        <v>0.19689521335563603</v>
      </c>
      <c r="J91" s="2">
        <f>MAX(SUMIFS('Globiom data'!I$2:I$9999,'Globiom data'!$A$2:$A$9999,Veda!$D91,'Globiom data'!$D$2:$D$9999,VLOOKUP(Veda!$B91,'Globiom data'!$V$21:$X$29,2,FALSE),'Globiom data'!$E$2:$E$9999,Veda!$C$1),0)*1000</f>
        <v>0.69027904249441707</v>
      </c>
      <c r="K91" s="2">
        <f>MAX(SUMIFS('Globiom data'!J$2:J$9999,'Globiom data'!$A$2:$A$9999,Veda!$D91,'Globiom data'!$D$2:$D$9999,VLOOKUP(Veda!$B91,'Globiom data'!$V$21:$X$29,2,FALSE),'Globiom data'!$E$2:$E$9999,Veda!$C$1),0)*1000</f>
        <v>0.61449729807143294</v>
      </c>
      <c r="L91" s="2">
        <f>MAX(SUMIFS('Globiom data'!K$2:K$9999,'Globiom data'!$A$2:$A$9999,Veda!$D91,'Globiom data'!$D$2:$D$9999,VLOOKUP(Veda!$B91,'Globiom data'!$V$21:$X$29,2,FALSE),'Globiom data'!$E$2:$E$9999,Veda!$C$1),0)*1000</f>
        <v>0.65986894389693207</v>
      </c>
      <c r="M91" s="2">
        <f>MAX(SUMIFS('Globiom data'!L$2:L$9999,'Globiom data'!$A$2:$A$9999,Veda!$D91,'Globiom data'!$D$2:$D$9999,VLOOKUP(Veda!$B91,'Globiom data'!$V$21:$X$29,2,FALSE),'Globiom data'!$E$2:$E$9999,Veda!$C$1),0)*1000</f>
        <v>0.81928314885982301</v>
      </c>
      <c r="N91" s="2">
        <f>MAX(SUMIFS('Globiom data'!M$2:M$9999,'Globiom data'!$A$2:$A$9999,Veda!$D91,'Globiom data'!$D$2:$D$9999,VLOOKUP(Veda!$B91,'Globiom data'!$V$21:$X$29,2,FALSE),'Globiom data'!$E$2:$E$9999,Veda!$C$1),0)*1000</f>
        <v>0.90984459561750763</v>
      </c>
      <c r="O91" s="2">
        <f>MAX(SUMIFS('Globiom data'!N$2:N$9999,'Globiom data'!$A$2:$A$9999,Veda!$D91,'Globiom data'!$D$2:$D$9999,VLOOKUP(Veda!$B91,'Globiom data'!$V$21:$X$29,2,FALSE),'Globiom data'!$E$2:$E$9999,Veda!$C$1),0)*1000</f>
        <v>3.5507252344156255</v>
      </c>
      <c r="P91" s="2">
        <f>MAX(SUMIFS('Globiom data'!O$2:O$9999,'Globiom data'!$A$2:$A$9999,Veda!$D91,'Globiom data'!$D$2:$D$9999,VLOOKUP(Veda!$B91,'Globiom data'!$V$21:$X$29,2,FALSE),'Globiom data'!$E$2:$E$9999,Veda!$C$1),0)*1000</f>
        <v>3.6917446933004183</v>
      </c>
      <c r="Q91" s="2">
        <f>MAX(SUMIFS('Globiom data'!P$2:P$9999,'Globiom data'!$A$2:$A$9999,Veda!$D91,'Globiom data'!$D$2:$D$9999,VLOOKUP(Veda!$B91,'Globiom data'!$V$21:$X$29,2,FALSE),'Globiom data'!$E$2:$E$9999,Veda!$C$1),0)*1000</f>
        <v>3.9774473659163099</v>
      </c>
      <c r="R91">
        <v>3</v>
      </c>
    </row>
    <row r="92" spans="1:18" x14ac:dyDescent="0.45">
      <c r="A92" s="8">
        <f t="shared" si="7"/>
        <v>13</v>
      </c>
      <c r="B92" s="8">
        <f t="shared" si="8"/>
        <v>3</v>
      </c>
      <c r="D92" t="str">
        <f>VLOOKUP(A92,'Globiom data'!$S$21:$T$51,2,FALSE)</f>
        <v>EU_northwest</v>
      </c>
      <c r="E92" t="str">
        <f>VLOOKUP(B92,'Globiom data'!$V$21:$X$30,3,FALSE)</f>
        <v>MinBIOBSL-03</v>
      </c>
      <c r="F92" t="s">
        <v>53</v>
      </c>
      <c r="G92" s="2">
        <f>MAX(SUMIFS('Globiom data'!F$2:F$9999,'Globiom data'!$A$2:$A$9999,Veda!$D92,'Globiom data'!$D$2:$D$9999,VLOOKUP(Veda!$B92,'Globiom data'!$V$21:$X$29,2,FALSE),'Globiom data'!$E$2:$E$9999,Veda!$C$1),0)*1000</f>
        <v>0</v>
      </c>
      <c r="H92" s="2">
        <f>MAX(SUMIFS('Globiom data'!G$2:G$9999,'Globiom data'!$A$2:$A$9999,Veda!$D92,'Globiom data'!$D$2:$D$9999,VLOOKUP(Veda!$B92,'Globiom data'!$V$21:$X$29,2,FALSE),'Globiom data'!$E$2:$E$9999,Veda!$C$1),0)*1000</f>
        <v>7.4447548770570734E-2</v>
      </c>
      <c r="I92" s="2">
        <f>MAX(SUMIFS('Globiom data'!H$2:H$9999,'Globiom data'!$A$2:$A$9999,Veda!$D92,'Globiom data'!$D$2:$D$9999,VLOOKUP(Veda!$B92,'Globiom data'!$V$21:$X$29,2,FALSE),'Globiom data'!$E$2:$E$9999,Veda!$C$1),0)*1000</f>
        <v>7.4447548770570734E-2</v>
      </c>
      <c r="J92" s="2">
        <f>MAX(SUMIFS('Globiom data'!I$2:I$9999,'Globiom data'!$A$2:$A$9999,Veda!$D92,'Globiom data'!$D$2:$D$9999,VLOOKUP(Veda!$B92,'Globiom data'!$V$21:$X$29,2,FALSE),'Globiom data'!$E$2:$E$9999,Veda!$C$1),0)*1000</f>
        <v>0.28536119250874731</v>
      </c>
      <c r="K92" s="2">
        <f>MAX(SUMIFS('Globiom data'!J$2:J$9999,'Globiom data'!$A$2:$A$9999,Veda!$D92,'Globiom data'!$D$2:$D$9999,VLOOKUP(Veda!$B92,'Globiom data'!$V$21:$X$29,2,FALSE),'Globiom data'!$E$2:$E$9999,Veda!$C$1),0)*1000</f>
        <v>0.33011376457584074</v>
      </c>
      <c r="L92" s="2">
        <f>MAX(SUMIFS('Globiom data'!K$2:K$9999,'Globiom data'!$A$2:$A$9999,Veda!$D92,'Globiom data'!$D$2:$D$9999,VLOOKUP(Veda!$B92,'Globiom data'!$V$21:$X$29,2,FALSE),'Globiom data'!$E$2:$E$9999,Veda!$C$1),0)*1000</f>
        <v>0.59890303820358981</v>
      </c>
      <c r="M92" s="2">
        <f>MAX(SUMIFS('Globiom data'!L$2:L$9999,'Globiom data'!$A$2:$A$9999,Veda!$D92,'Globiom data'!$D$2:$D$9999,VLOOKUP(Veda!$B92,'Globiom data'!$V$21:$X$29,2,FALSE),'Globiom data'!$E$2:$E$9999,Veda!$C$1),0)*1000</f>
        <v>3.2913925192911724</v>
      </c>
      <c r="N92" s="2">
        <f>MAX(SUMIFS('Globiom data'!M$2:M$9999,'Globiom data'!$A$2:$A$9999,Veda!$D92,'Globiom data'!$D$2:$D$9999,VLOOKUP(Veda!$B92,'Globiom data'!$V$21:$X$29,2,FALSE),'Globiom data'!$E$2:$E$9999,Veda!$C$1),0)*1000</f>
        <v>3.3659008239333339</v>
      </c>
      <c r="O92" s="2">
        <f>MAX(SUMIFS('Globiom data'!N$2:N$9999,'Globiom data'!$A$2:$A$9999,Veda!$D92,'Globiom data'!$D$2:$D$9999,VLOOKUP(Veda!$B92,'Globiom data'!$V$21:$X$29,2,FALSE),'Globiom data'!$E$2:$E$9999,Veda!$C$1),0)*1000</f>
        <v>8.7915828618604621</v>
      </c>
      <c r="P92" s="2">
        <f>MAX(SUMIFS('Globiom data'!O$2:O$9999,'Globiom data'!$A$2:$A$9999,Veda!$D92,'Globiom data'!$D$2:$D$9999,VLOOKUP(Veda!$B92,'Globiom data'!$V$21:$X$29,2,FALSE),'Globiom data'!$E$2:$E$9999,Veda!$C$1),0)*1000</f>
        <v>10.780889381618465</v>
      </c>
      <c r="Q92" s="2">
        <f>MAX(SUMIFS('Globiom data'!P$2:P$9999,'Globiom data'!$A$2:$A$9999,Veda!$D92,'Globiom data'!$D$2:$D$9999,VLOOKUP(Veda!$B92,'Globiom data'!$V$21:$X$29,2,FALSE),'Globiom data'!$E$2:$E$9999,Veda!$C$1),0)*1000</f>
        <v>17.015647107691809</v>
      </c>
      <c r="R92">
        <v>3</v>
      </c>
    </row>
    <row r="93" spans="1:18" x14ac:dyDescent="0.45">
      <c r="A93" s="8">
        <f t="shared" si="7"/>
        <v>13</v>
      </c>
      <c r="B93" s="8">
        <f t="shared" si="8"/>
        <v>4</v>
      </c>
      <c r="D93" t="str">
        <f>VLOOKUP(A93,'Globiom data'!$S$21:$T$51,2,FALSE)</f>
        <v>EU_northwest</v>
      </c>
      <c r="E93" t="str">
        <f>VLOOKUP(B93,'Globiom data'!$V$21:$X$30,3,FALSE)</f>
        <v>MinBIOBSL-04</v>
      </c>
      <c r="F93" t="s">
        <v>53</v>
      </c>
      <c r="G93" s="2">
        <f>MAX(SUMIFS('Globiom data'!F$2:F$9999,'Globiom data'!$A$2:$A$9999,Veda!$D93,'Globiom data'!$D$2:$D$9999,VLOOKUP(Veda!$B93,'Globiom data'!$V$21:$X$29,2,FALSE),'Globiom data'!$E$2:$E$9999,Veda!$C$1),0)*1000</f>
        <v>0</v>
      </c>
      <c r="H93" s="2">
        <f>MAX(SUMIFS('Globiom data'!G$2:G$9999,'Globiom data'!$A$2:$A$9999,Veda!$D93,'Globiom data'!$D$2:$D$9999,VLOOKUP(Veda!$B93,'Globiom data'!$V$21:$X$29,2,FALSE),'Globiom data'!$E$2:$E$9999,Veda!$C$1),0)*1000</f>
        <v>7.6000927722695261E-2</v>
      </c>
      <c r="I93" s="2">
        <f>MAX(SUMIFS('Globiom data'!H$2:H$9999,'Globiom data'!$A$2:$A$9999,Veda!$D93,'Globiom data'!$D$2:$D$9999,VLOOKUP(Veda!$B93,'Globiom data'!$V$21:$X$29,2,FALSE),'Globiom data'!$E$2:$E$9999,Veda!$C$1),0)*1000</f>
        <v>7.6000927722695261E-2</v>
      </c>
      <c r="J93" s="2">
        <f>MAX(SUMIFS('Globiom data'!I$2:I$9999,'Globiom data'!$A$2:$A$9999,Veda!$D93,'Globiom data'!$D$2:$D$9999,VLOOKUP(Veda!$B93,'Globiom data'!$V$21:$X$29,2,FALSE),'Globiom data'!$E$2:$E$9999,Veda!$C$1),0)*1000</f>
        <v>0.32604661606727953</v>
      </c>
      <c r="K93" s="2">
        <f>MAX(SUMIFS('Globiom data'!J$2:J$9999,'Globiom data'!$A$2:$A$9999,Veda!$D93,'Globiom data'!$D$2:$D$9999,VLOOKUP(Veda!$B93,'Globiom data'!$V$21:$X$29,2,FALSE),'Globiom data'!$E$2:$E$9999,Veda!$C$1),0)*1000</f>
        <v>3.2340732132432239</v>
      </c>
      <c r="L93" s="2">
        <f>MAX(SUMIFS('Globiom data'!K$2:K$9999,'Globiom data'!$A$2:$A$9999,Veda!$D93,'Globiom data'!$D$2:$D$9999,VLOOKUP(Veda!$B93,'Globiom data'!$V$21:$X$29,2,FALSE),'Globiom data'!$E$2:$E$9999,Veda!$C$1),0)*1000</f>
        <v>3.0929540525725741</v>
      </c>
      <c r="M93" s="2">
        <f>MAX(SUMIFS('Globiom data'!L$2:L$9999,'Globiom data'!$A$2:$A$9999,Veda!$D93,'Globiom data'!$D$2:$D$9999,VLOOKUP(Veda!$B93,'Globiom data'!$V$21:$X$29,2,FALSE),'Globiom data'!$E$2:$E$9999,Veda!$C$1),0)*1000</f>
        <v>10.005525785864418</v>
      </c>
      <c r="N93" s="2">
        <f>MAX(SUMIFS('Globiom data'!M$2:M$9999,'Globiom data'!$A$2:$A$9999,Veda!$D93,'Globiom data'!$D$2:$D$9999,VLOOKUP(Veda!$B93,'Globiom data'!$V$21:$X$29,2,FALSE),'Globiom data'!$E$2:$E$9999,Veda!$C$1),0)*1000</f>
        <v>17.270209421823495</v>
      </c>
      <c r="O93" s="2">
        <f>MAX(SUMIFS('Globiom data'!N$2:N$9999,'Globiom data'!$A$2:$A$9999,Veda!$D93,'Globiom data'!$D$2:$D$9999,VLOOKUP(Veda!$B93,'Globiom data'!$V$21:$X$29,2,FALSE),'Globiom data'!$E$2:$E$9999,Veda!$C$1),0)*1000</f>
        <v>16.182274861496385</v>
      </c>
      <c r="P93" s="2">
        <f>MAX(SUMIFS('Globiom data'!O$2:O$9999,'Globiom data'!$A$2:$A$9999,Veda!$D93,'Globiom data'!$D$2:$D$9999,VLOOKUP(Veda!$B93,'Globiom data'!$V$21:$X$29,2,FALSE),'Globiom data'!$E$2:$E$9999,Veda!$C$1),0)*1000</f>
        <v>20.66658960389508</v>
      </c>
      <c r="Q93" s="2">
        <f>MAX(SUMIFS('Globiom data'!P$2:P$9999,'Globiom data'!$A$2:$A$9999,Veda!$D93,'Globiom data'!$D$2:$D$9999,VLOOKUP(Veda!$B93,'Globiom data'!$V$21:$X$29,2,FALSE),'Globiom data'!$E$2:$E$9999,Veda!$C$1),0)*1000</f>
        <v>32.191394417913379</v>
      </c>
      <c r="R93">
        <v>3</v>
      </c>
    </row>
    <row r="94" spans="1:18" x14ac:dyDescent="0.45">
      <c r="A94" s="8">
        <f t="shared" si="7"/>
        <v>13</v>
      </c>
      <c r="B94" s="8">
        <f t="shared" si="8"/>
        <v>5</v>
      </c>
      <c r="D94" t="str">
        <f>VLOOKUP(A94,'Globiom data'!$S$21:$T$51,2,FALSE)</f>
        <v>EU_northwest</v>
      </c>
      <c r="E94" t="str">
        <f>VLOOKUP(B94,'Globiom data'!$V$21:$X$30,3,FALSE)</f>
        <v>MinBIOBSL-05</v>
      </c>
      <c r="F94" t="s">
        <v>53</v>
      </c>
      <c r="G94" s="2">
        <f>MAX(SUMIFS('Globiom data'!F$2:F$9999,'Globiom data'!$A$2:$A$9999,Veda!$D94,'Globiom data'!$D$2:$D$9999,VLOOKUP(Veda!$B94,'Globiom data'!$V$21:$X$29,2,FALSE),'Globiom data'!$E$2:$E$9999,Veda!$C$1),0)*1000</f>
        <v>0</v>
      </c>
      <c r="H94" s="2">
        <f>MAX(SUMIFS('Globiom data'!G$2:G$9999,'Globiom data'!$A$2:$A$9999,Veda!$D94,'Globiom data'!$D$2:$D$9999,VLOOKUP(Veda!$B94,'Globiom data'!$V$21:$X$29,2,FALSE),'Globiom data'!$E$2:$E$9999,Veda!$C$1),0)*1000</f>
        <v>0.10081681578588007</v>
      </c>
      <c r="I94" s="2">
        <f>MAX(SUMIFS('Globiom data'!H$2:H$9999,'Globiom data'!$A$2:$A$9999,Veda!$D94,'Globiom data'!$D$2:$D$9999,VLOOKUP(Veda!$B94,'Globiom data'!$V$21:$X$29,2,FALSE),'Globiom data'!$E$2:$E$9999,Veda!$C$1),0)*1000</f>
        <v>0.10081681578588007</v>
      </c>
      <c r="J94" s="2">
        <f>MAX(SUMIFS('Globiom data'!I$2:I$9999,'Globiom data'!$A$2:$A$9999,Veda!$D94,'Globiom data'!$D$2:$D$9999,VLOOKUP(Veda!$B94,'Globiom data'!$V$21:$X$29,2,FALSE),'Globiom data'!$E$2:$E$9999,Veda!$C$1),0)*1000</f>
        <v>3.5198310545411355</v>
      </c>
      <c r="K94" s="2">
        <f>MAX(SUMIFS('Globiom data'!J$2:J$9999,'Globiom data'!$A$2:$A$9999,Veda!$D94,'Globiom data'!$D$2:$D$9999,VLOOKUP(Veda!$B94,'Globiom data'!$V$21:$X$29,2,FALSE),'Globiom data'!$E$2:$E$9999,Veda!$C$1),0)*1000</f>
        <v>8.4396689386975066</v>
      </c>
      <c r="L94" s="2">
        <f>MAX(SUMIFS('Globiom data'!K$2:K$9999,'Globiom data'!$A$2:$A$9999,Veda!$D94,'Globiom data'!$D$2:$D$9999,VLOOKUP(Veda!$B94,'Globiom data'!$V$21:$X$29,2,FALSE),'Globiom data'!$E$2:$E$9999,Veda!$C$1),0)*1000</f>
        <v>18.80755166395317</v>
      </c>
      <c r="M94" s="2">
        <f>MAX(SUMIFS('Globiom data'!L$2:L$9999,'Globiom data'!$A$2:$A$9999,Veda!$D94,'Globiom data'!$D$2:$D$9999,VLOOKUP(Veda!$B94,'Globiom data'!$V$21:$X$29,2,FALSE),'Globiom data'!$E$2:$E$9999,Veda!$C$1),0)*1000</f>
        <v>17.226465240779142</v>
      </c>
      <c r="N94" s="2">
        <f>MAX(SUMIFS('Globiom data'!M$2:M$9999,'Globiom data'!$A$2:$A$9999,Veda!$D94,'Globiom data'!$D$2:$D$9999,VLOOKUP(Veda!$B94,'Globiom data'!$V$21:$X$29,2,FALSE),'Globiom data'!$E$2:$E$9999,Veda!$C$1),0)*1000</f>
        <v>31.799448927290733</v>
      </c>
      <c r="O94" s="2">
        <f>MAX(SUMIFS('Globiom data'!N$2:N$9999,'Globiom data'!$A$2:$A$9999,Veda!$D94,'Globiom data'!$D$2:$D$9999,VLOOKUP(Veda!$B94,'Globiom data'!$V$21:$X$29,2,FALSE),'Globiom data'!$E$2:$E$9999,Veda!$C$1),0)*1000</f>
        <v>49.940928820405027</v>
      </c>
      <c r="P94" s="2">
        <f>MAX(SUMIFS('Globiom data'!O$2:O$9999,'Globiom data'!$A$2:$A$9999,Veda!$D94,'Globiom data'!$D$2:$D$9999,VLOOKUP(Veda!$B94,'Globiom data'!$V$21:$X$29,2,FALSE),'Globiom data'!$E$2:$E$9999,Veda!$C$1),0)*1000</f>
        <v>67.902794626931893</v>
      </c>
      <c r="Q94" s="2">
        <f>MAX(SUMIFS('Globiom data'!P$2:P$9999,'Globiom data'!$A$2:$A$9999,Veda!$D94,'Globiom data'!$D$2:$D$9999,VLOOKUP(Veda!$B94,'Globiom data'!$V$21:$X$29,2,FALSE),'Globiom data'!$E$2:$E$9999,Veda!$C$1),0)*1000</f>
        <v>71.453337641536166</v>
      </c>
      <c r="R94">
        <v>3</v>
      </c>
    </row>
    <row r="95" spans="1:18" x14ac:dyDescent="0.45">
      <c r="A95" s="8">
        <f t="shared" si="7"/>
        <v>13</v>
      </c>
      <c r="B95" s="8">
        <f t="shared" si="8"/>
        <v>6</v>
      </c>
      <c r="D95" t="str">
        <f>VLOOKUP(A95,'Globiom data'!$S$21:$T$51,2,FALSE)</f>
        <v>EU_northwest</v>
      </c>
      <c r="E95" t="str">
        <f>VLOOKUP(B95,'Globiom data'!$V$21:$X$30,3,FALSE)</f>
        <v>MinBIOBSL-06</v>
      </c>
      <c r="F95" t="s">
        <v>53</v>
      </c>
      <c r="G95" s="2">
        <f>MAX(SUMIFS('Globiom data'!F$2:F$9999,'Globiom data'!$A$2:$A$9999,Veda!$D95,'Globiom data'!$D$2:$D$9999,VLOOKUP(Veda!$B95,'Globiom data'!$V$21:$X$29,2,FALSE),'Globiom data'!$E$2:$E$9999,Veda!$C$1),0)*1000</f>
        <v>0</v>
      </c>
      <c r="H95" s="2">
        <f>MAX(SUMIFS('Globiom data'!G$2:G$9999,'Globiom data'!$A$2:$A$9999,Veda!$D95,'Globiom data'!$D$2:$D$9999,VLOOKUP(Veda!$B95,'Globiom data'!$V$21:$X$29,2,FALSE),'Globiom data'!$E$2:$E$9999,Veda!$C$1),0)*1000</f>
        <v>0.95251067233657749</v>
      </c>
      <c r="I95" s="2">
        <f>MAX(SUMIFS('Globiom data'!H$2:H$9999,'Globiom data'!$A$2:$A$9999,Veda!$D95,'Globiom data'!$D$2:$D$9999,VLOOKUP(Veda!$B95,'Globiom data'!$V$21:$X$29,2,FALSE),'Globiom data'!$E$2:$E$9999,Veda!$C$1),0)*1000</f>
        <v>0.95251067233657749</v>
      </c>
      <c r="J95" s="2">
        <f>MAX(SUMIFS('Globiom data'!I$2:I$9999,'Globiom data'!$A$2:$A$9999,Veda!$D95,'Globiom data'!$D$2:$D$9999,VLOOKUP(Veda!$B95,'Globiom data'!$V$21:$X$29,2,FALSE),'Globiom data'!$E$2:$E$9999,Veda!$C$1),0)*1000</f>
        <v>16.744569292071386</v>
      </c>
      <c r="K95" s="2">
        <f>MAX(SUMIFS('Globiom data'!J$2:J$9999,'Globiom data'!$A$2:$A$9999,Veda!$D95,'Globiom data'!$D$2:$D$9999,VLOOKUP(Veda!$B95,'Globiom data'!$V$21:$X$29,2,FALSE),'Globiom data'!$E$2:$E$9999,Veda!$C$1),0)*1000</f>
        <v>36.595252323014229</v>
      </c>
      <c r="L95" s="2">
        <f>MAX(SUMIFS('Globiom data'!K$2:K$9999,'Globiom data'!$A$2:$A$9999,Veda!$D95,'Globiom data'!$D$2:$D$9999,VLOOKUP(Veda!$B95,'Globiom data'!$V$21:$X$29,2,FALSE),'Globiom data'!$E$2:$E$9999,Veda!$C$1),0)*1000</f>
        <v>56.203348702161001</v>
      </c>
      <c r="M95" s="2">
        <f>MAX(SUMIFS('Globiom data'!L$2:L$9999,'Globiom data'!$A$2:$A$9999,Veda!$D95,'Globiom data'!$D$2:$D$9999,VLOOKUP(Veda!$B95,'Globiom data'!$V$21:$X$29,2,FALSE),'Globiom data'!$E$2:$E$9999,Veda!$C$1),0)*1000</f>
        <v>75.02389734318723</v>
      </c>
      <c r="N95" s="2">
        <f>MAX(SUMIFS('Globiom data'!M$2:M$9999,'Globiom data'!$A$2:$A$9999,Veda!$D95,'Globiom data'!$D$2:$D$9999,VLOOKUP(Veda!$B95,'Globiom data'!$V$21:$X$29,2,FALSE),'Globiom data'!$E$2:$E$9999,Veda!$C$1),0)*1000</f>
        <v>77.495469021902949</v>
      </c>
      <c r="O95" s="2">
        <f>MAX(SUMIFS('Globiom data'!N$2:N$9999,'Globiom data'!$A$2:$A$9999,Veda!$D95,'Globiom data'!$D$2:$D$9999,VLOOKUP(Veda!$B95,'Globiom data'!$V$21:$X$29,2,FALSE),'Globiom data'!$E$2:$E$9999,Veda!$C$1),0)*1000</f>
        <v>76.135372485301403</v>
      </c>
      <c r="P95" s="2">
        <f>MAX(SUMIFS('Globiom data'!O$2:O$9999,'Globiom data'!$A$2:$A$9999,Veda!$D95,'Globiom data'!$D$2:$D$9999,VLOOKUP(Veda!$B95,'Globiom data'!$V$21:$X$29,2,FALSE),'Globiom data'!$E$2:$E$9999,Veda!$C$1),0)*1000</f>
        <v>75.30020890166351</v>
      </c>
      <c r="Q95" s="2">
        <f>MAX(SUMIFS('Globiom data'!P$2:P$9999,'Globiom data'!$A$2:$A$9999,Veda!$D95,'Globiom data'!$D$2:$D$9999,VLOOKUP(Veda!$B95,'Globiom data'!$V$21:$X$29,2,FALSE),'Globiom data'!$E$2:$E$9999,Veda!$C$1),0)*1000</f>
        <v>79.076382611169151</v>
      </c>
      <c r="R95">
        <v>3</v>
      </c>
    </row>
    <row r="96" spans="1:18" x14ac:dyDescent="0.45">
      <c r="A96" s="8">
        <f t="shared" si="7"/>
        <v>13</v>
      </c>
      <c r="B96" s="8">
        <f t="shared" si="8"/>
        <v>7</v>
      </c>
      <c r="D96" t="str">
        <f>VLOOKUP(A96,'Globiom data'!$S$21:$T$51,2,FALSE)</f>
        <v>EU_northwest</v>
      </c>
      <c r="E96" t="str">
        <f>VLOOKUP(B96,'Globiom data'!$V$21:$X$30,3,FALSE)</f>
        <v>MinBIOBSL-07</v>
      </c>
      <c r="F96" t="s">
        <v>53</v>
      </c>
      <c r="G96" s="2">
        <f>MAX(SUMIFS('Globiom data'!F$2:F$9999,'Globiom data'!$A$2:$A$9999,Veda!$D96,'Globiom data'!$D$2:$D$9999,VLOOKUP(Veda!$B96,'Globiom data'!$V$21:$X$29,2,FALSE),'Globiom data'!$E$2:$E$9999,Veda!$C$1),0)*1000</f>
        <v>0</v>
      </c>
      <c r="H96" s="2">
        <f>MAX(SUMIFS('Globiom data'!G$2:G$9999,'Globiom data'!$A$2:$A$9999,Veda!$D96,'Globiom data'!$D$2:$D$9999,VLOOKUP(Veda!$B96,'Globiom data'!$V$21:$X$29,2,FALSE),'Globiom data'!$E$2:$E$9999,Veda!$C$1),0)*1000</f>
        <v>9.1195737734240474</v>
      </c>
      <c r="I96" s="2">
        <f>MAX(SUMIFS('Globiom data'!H$2:H$9999,'Globiom data'!$A$2:$A$9999,Veda!$D96,'Globiom data'!$D$2:$D$9999,VLOOKUP(Veda!$B96,'Globiom data'!$V$21:$X$29,2,FALSE),'Globiom data'!$E$2:$E$9999,Veda!$C$1),0)*1000</f>
        <v>9.1195737734240474</v>
      </c>
      <c r="J96" s="2">
        <f>MAX(SUMIFS('Globiom data'!I$2:I$9999,'Globiom data'!$A$2:$A$9999,Veda!$D96,'Globiom data'!$D$2:$D$9999,VLOOKUP(Veda!$B96,'Globiom data'!$V$21:$X$29,2,FALSE),'Globiom data'!$E$2:$E$9999,Veda!$C$1),0)*1000</f>
        <v>32.391385219896968</v>
      </c>
      <c r="K96" s="2">
        <f>MAX(SUMIFS('Globiom data'!J$2:J$9999,'Globiom data'!$A$2:$A$9999,Veda!$D96,'Globiom data'!$D$2:$D$9999,VLOOKUP(Veda!$B96,'Globiom data'!$V$21:$X$29,2,FALSE),'Globiom data'!$E$2:$E$9999,Veda!$C$1),0)*1000</f>
        <v>30.344073077936489</v>
      </c>
      <c r="L96" s="2">
        <f>MAX(SUMIFS('Globiom data'!K$2:K$9999,'Globiom data'!$A$2:$A$9999,Veda!$D96,'Globiom data'!$D$2:$D$9999,VLOOKUP(Veda!$B96,'Globiom data'!$V$21:$X$29,2,FALSE),'Globiom data'!$E$2:$E$9999,Veda!$C$1),0)*1000</f>
        <v>26.163613279520593</v>
      </c>
      <c r="M96" s="2">
        <f>MAX(SUMIFS('Globiom data'!L$2:L$9999,'Globiom data'!$A$2:$A$9999,Veda!$D96,'Globiom data'!$D$2:$D$9999,VLOOKUP(Veda!$B96,'Globiom data'!$V$21:$X$29,2,FALSE),'Globiom data'!$E$2:$E$9999,Veda!$C$1),0)*1000</f>
        <v>34.065004576511519</v>
      </c>
      <c r="N96" s="2">
        <f>MAX(SUMIFS('Globiom data'!M$2:M$9999,'Globiom data'!$A$2:$A$9999,Veda!$D96,'Globiom data'!$D$2:$D$9999,VLOOKUP(Veda!$B96,'Globiom data'!$V$21:$X$29,2,FALSE),'Globiom data'!$E$2:$E$9999,Veda!$C$1),0)*1000</f>
        <v>46.117608340074796</v>
      </c>
      <c r="O96" s="2">
        <f>MAX(SUMIFS('Globiom data'!N$2:N$9999,'Globiom data'!$A$2:$A$9999,Veda!$D96,'Globiom data'!$D$2:$D$9999,VLOOKUP(Veda!$B96,'Globiom data'!$V$21:$X$29,2,FALSE),'Globiom data'!$E$2:$E$9999,Veda!$C$1),0)*1000</f>
        <v>60.150305478329088</v>
      </c>
      <c r="P96" s="2">
        <f>MAX(SUMIFS('Globiom data'!O$2:O$9999,'Globiom data'!$A$2:$A$9999,Veda!$D96,'Globiom data'!$D$2:$D$9999,VLOOKUP(Veda!$B96,'Globiom data'!$V$21:$X$29,2,FALSE),'Globiom data'!$E$2:$E$9999,Veda!$C$1),0)*1000</f>
        <v>74.105814634770127</v>
      </c>
      <c r="Q96" s="2">
        <f>MAX(SUMIFS('Globiom data'!P$2:P$9999,'Globiom data'!$A$2:$A$9999,Veda!$D96,'Globiom data'!$D$2:$D$9999,VLOOKUP(Veda!$B96,'Globiom data'!$V$21:$X$29,2,FALSE),'Globiom data'!$E$2:$E$9999,Veda!$C$1),0)*1000</f>
        <v>80.261118409414749</v>
      </c>
      <c r="R96">
        <v>3</v>
      </c>
    </row>
    <row r="97" spans="1:18" x14ac:dyDescent="0.45">
      <c r="A97" s="8">
        <f t="shared" si="7"/>
        <v>14</v>
      </c>
      <c r="B97" s="8">
        <f t="shared" si="8"/>
        <v>1</v>
      </c>
      <c r="D97" t="str">
        <f>VLOOKUP(A97,'Globiom data'!$S$21:$T$51,2,FALSE)</f>
        <v>EU_south</v>
      </c>
      <c r="E97" t="str">
        <f>VLOOKUP(B97,'Globiom data'!$V$21:$X$30,3,FALSE)</f>
        <v>MinBIOBSL-01</v>
      </c>
      <c r="F97" t="s">
        <v>53</v>
      </c>
      <c r="G97" s="2">
        <f>MAX(SUMIFS('Globiom data'!F$2:F$9999,'Globiom data'!$A$2:$A$9999,Veda!$D97,'Globiom data'!$D$2:$D$9999,VLOOKUP(Veda!$B97,'Globiom data'!$V$21:$X$29,2,FALSE),'Globiom data'!$E$2:$E$9999,Veda!$C$1),0)*1000</f>
        <v>300.78261562860774</v>
      </c>
      <c r="H97" s="2">
        <f>MAX(SUMIFS('Globiom data'!G$2:G$9999,'Globiom data'!$A$2:$A$9999,Veda!$D97,'Globiom data'!$D$2:$D$9999,VLOOKUP(Veda!$B97,'Globiom data'!$V$21:$X$29,2,FALSE),'Globiom data'!$E$2:$E$9999,Veda!$C$1),0)*1000</f>
        <v>301.92251144635122</v>
      </c>
      <c r="I97" s="2">
        <f>MAX(SUMIFS('Globiom data'!H$2:H$9999,'Globiom data'!$A$2:$A$9999,Veda!$D97,'Globiom data'!$D$2:$D$9999,VLOOKUP(Veda!$B97,'Globiom data'!$V$21:$X$29,2,FALSE),'Globiom data'!$E$2:$E$9999,Veda!$C$1),0)*1000</f>
        <v>301.92251144635122</v>
      </c>
      <c r="J97" s="2">
        <f>MAX(SUMIFS('Globiom data'!I$2:I$9999,'Globiom data'!$A$2:$A$9999,Veda!$D97,'Globiom data'!$D$2:$D$9999,VLOOKUP(Veda!$B97,'Globiom data'!$V$21:$X$29,2,FALSE),'Globiom data'!$E$2:$E$9999,Veda!$C$1),0)*1000</f>
        <v>295.70947495082106</v>
      </c>
      <c r="K97" s="2">
        <f>MAX(SUMIFS('Globiom data'!J$2:J$9999,'Globiom data'!$A$2:$A$9999,Veda!$D97,'Globiom data'!$D$2:$D$9999,VLOOKUP(Veda!$B97,'Globiom data'!$V$21:$X$29,2,FALSE),'Globiom data'!$E$2:$E$9999,Veda!$C$1),0)*1000</f>
        <v>289.01185446324371</v>
      </c>
      <c r="L97" s="2">
        <f>MAX(SUMIFS('Globiom data'!K$2:K$9999,'Globiom data'!$A$2:$A$9999,Veda!$D97,'Globiom data'!$D$2:$D$9999,VLOOKUP(Veda!$B97,'Globiom data'!$V$21:$X$29,2,FALSE),'Globiom data'!$E$2:$E$9999,Veda!$C$1),0)*1000</f>
        <v>283.49595807168703</v>
      </c>
      <c r="M97" s="2">
        <f>MAX(SUMIFS('Globiom data'!L$2:L$9999,'Globiom data'!$A$2:$A$9999,Veda!$D97,'Globiom data'!$D$2:$D$9999,VLOOKUP(Veda!$B97,'Globiom data'!$V$21:$X$29,2,FALSE),'Globiom data'!$E$2:$E$9999,Veda!$C$1),0)*1000</f>
        <v>281.48813173831229</v>
      </c>
      <c r="N97" s="2">
        <f>MAX(SUMIFS('Globiom data'!M$2:M$9999,'Globiom data'!$A$2:$A$9999,Veda!$D97,'Globiom data'!$D$2:$D$9999,VLOOKUP(Veda!$B97,'Globiom data'!$V$21:$X$29,2,FALSE),'Globiom data'!$E$2:$E$9999,Veda!$C$1),0)*1000</f>
        <v>280.48112714511262</v>
      </c>
      <c r="O97" s="2">
        <f>MAX(SUMIFS('Globiom data'!N$2:N$9999,'Globiom data'!$A$2:$A$9999,Veda!$D97,'Globiom data'!$D$2:$D$9999,VLOOKUP(Veda!$B97,'Globiom data'!$V$21:$X$29,2,FALSE),'Globiom data'!$E$2:$E$9999,Veda!$C$1),0)*1000</f>
        <v>279.63294331587991</v>
      </c>
      <c r="P97" s="2">
        <f>MAX(SUMIFS('Globiom data'!O$2:O$9999,'Globiom data'!$A$2:$A$9999,Veda!$D97,'Globiom data'!$D$2:$D$9999,VLOOKUP(Veda!$B97,'Globiom data'!$V$21:$X$29,2,FALSE),'Globiom data'!$E$2:$E$9999,Veda!$C$1),0)*1000</f>
        <v>278.85871593420103</v>
      </c>
      <c r="Q97" s="2">
        <f>MAX(SUMIFS('Globiom data'!P$2:P$9999,'Globiom data'!$A$2:$A$9999,Veda!$D97,'Globiom data'!$D$2:$D$9999,VLOOKUP(Veda!$B97,'Globiom data'!$V$21:$X$29,2,FALSE),'Globiom data'!$E$2:$E$9999,Veda!$C$1),0)*1000</f>
        <v>277.76772585906969</v>
      </c>
      <c r="R97">
        <v>3</v>
      </c>
    </row>
    <row r="98" spans="1:18" x14ac:dyDescent="0.45">
      <c r="A98" s="8">
        <f t="shared" si="7"/>
        <v>14</v>
      </c>
      <c r="B98" s="8">
        <f t="shared" si="8"/>
        <v>2</v>
      </c>
      <c r="D98" t="str">
        <f>VLOOKUP(A98,'Globiom data'!$S$21:$T$51,2,FALSE)</f>
        <v>EU_south</v>
      </c>
      <c r="E98" t="str">
        <f>VLOOKUP(B98,'Globiom data'!$V$21:$X$30,3,FALSE)</f>
        <v>MinBIOBSL-02</v>
      </c>
      <c r="F98" t="s">
        <v>53</v>
      </c>
      <c r="G98" s="2">
        <f>MAX(SUMIFS('Globiom data'!F$2:F$9999,'Globiom data'!$A$2:$A$9999,Veda!$D98,'Globiom data'!$D$2:$D$9999,VLOOKUP(Veda!$B98,'Globiom data'!$V$21:$X$29,2,FALSE),'Globiom data'!$E$2:$E$9999,Veda!$C$1),0)*1000</f>
        <v>0</v>
      </c>
      <c r="H98" s="2">
        <f>MAX(SUMIFS('Globiom data'!G$2:G$9999,'Globiom data'!$A$2:$A$9999,Veda!$D98,'Globiom data'!$D$2:$D$9999,VLOOKUP(Veda!$B98,'Globiom data'!$V$21:$X$29,2,FALSE),'Globiom data'!$E$2:$E$9999,Veda!$C$1),0)*1000</f>
        <v>0.53073333318509319</v>
      </c>
      <c r="I98" s="2">
        <f>MAX(SUMIFS('Globiom data'!H$2:H$9999,'Globiom data'!$A$2:$A$9999,Veda!$D98,'Globiom data'!$D$2:$D$9999,VLOOKUP(Veda!$B98,'Globiom data'!$V$21:$X$29,2,FALSE),'Globiom data'!$E$2:$E$9999,Veda!$C$1),0)*1000</f>
        <v>0.53073333318509319</v>
      </c>
      <c r="J98" s="2">
        <f>MAX(SUMIFS('Globiom data'!I$2:I$9999,'Globiom data'!$A$2:$A$9999,Veda!$D98,'Globiom data'!$D$2:$D$9999,VLOOKUP(Veda!$B98,'Globiom data'!$V$21:$X$29,2,FALSE),'Globiom data'!$E$2:$E$9999,Veda!$C$1),0)*1000</f>
        <v>1.8606483011863941</v>
      </c>
      <c r="K98" s="2">
        <f>MAX(SUMIFS('Globiom data'!J$2:J$9999,'Globiom data'!$A$2:$A$9999,Veda!$D98,'Globiom data'!$D$2:$D$9999,VLOOKUP(Veda!$B98,'Globiom data'!$V$21:$X$29,2,FALSE),'Globiom data'!$E$2:$E$9999,Veda!$C$1),0)*1000</f>
        <v>1.6572104902876847</v>
      </c>
      <c r="L98" s="2">
        <f>MAX(SUMIFS('Globiom data'!K$2:K$9999,'Globiom data'!$A$2:$A$9999,Veda!$D98,'Globiom data'!$D$2:$D$9999,VLOOKUP(Veda!$B98,'Globiom data'!$V$21:$X$29,2,FALSE),'Globiom data'!$E$2:$E$9999,Veda!$C$1),0)*1000</f>
        <v>1.7807872958845554</v>
      </c>
      <c r="M98" s="2">
        <f>MAX(SUMIFS('Globiom data'!L$2:L$9999,'Globiom data'!$A$2:$A$9999,Veda!$D98,'Globiom data'!$D$2:$D$9999,VLOOKUP(Veda!$B98,'Globiom data'!$V$21:$X$29,2,FALSE),'Globiom data'!$E$2:$E$9999,Veda!$C$1),0)*1000</f>
        <v>2.26283358154972</v>
      </c>
      <c r="N98" s="2">
        <f>MAX(SUMIFS('Globiom data'!M$2:M$9999,'Globiom data'!$A$2:$A$9999,Veda!$D98,'Globiom data'!$D$2:$D$9999,VLOOKUP(Veda!$B98,'Globiom data'!$V$21:$X$29,2,FALSE),'Globiom data'!$E$2:$E$9999,Veda!$C$1),0)*1000</f>
        <v>2.5195322213183888</v>
      </c>
      <c r="O98" s="2">
        <f>MAX(SUMIFS('Globiom data'!N$2:N$9999,'Globiom data'!$A$2:$A$9999,Veda!$D98,'Globiom data'!$D$2:$D$9999,VLOOKUP(Veda!$B98,'Globiom data'!$V$21:$X$29,2,FALSE),'Globiom data'!$E$2:$E$9999,Veda!$C$1),0)*1000</f>
        <v>9.6520788509457649</v>
      </c>
      <c r="P98" s="2">
        <f>MAX(SUMIFS('Globiom data'!O$2:O$9999,'Globiom data'!$A$2:$A$9999,Veda!$D98,'Globiom data'!$D$2:$D$9999,VLOOKUP(Veda!$B98,'Globiom data'!$V$21:$X$29,2,FALSE),'Globiom data'!$E$2:$E$9999,Veda!$C$1),0)*1000</f>
        <v>10.04225683989155</v>
      </c>
      <c r="Q98" s="2">
        <f>MAX(SUMIFS('Globiom data'!P$2:P$9999,'Globiom data'!$A$2:$A$9999,Veda!$D98,'Globiom data'!$D$2:$D$9999,VLOOKUP(Veda!$B98,'Globiom data'!$V$21:$X$29,2,FALSE),'Globiom data'!$E$2:$E$9999,Veda!$C$1),0)*1000</f>
        <v>10.823551292185972</v>
      </c>
      <c r="R98">
        <v>3</v>
      </c>
    </row>
    <row r="99" spans="1:18" x14ac:dyDescent="0.45">
      <c r="A99" s="8">
        <f t="shared" si="7"/>
        <v>14</v>
      </c>
      <c r="B99" s="8">
        <f t="shared" si="8"/>
        <v>3</v>
      </c>
      <c r="D99" t="str">
        <f>VLOOKUP(A99,'Globiom data'!$S$21:$T$51,2,FALSE)</f>
        <v>EU_south</v>
      </c>
      <c r="E99" t="str">
        <f>VLOOKUP(B99,'Globiom data'!$V$21:$X$30,3,FALSE)</f>
        <v>MinBIOBSL-03</v>
      </c>
      <c r="F99" t="s">
        <v>53</v>
      </c>
      <c r="G99" s="2">
        <f>MAX(SUMIFS('Globiom data'!F$2:F$9999,'Globiom data'!$A$2:$A$9999,Veda!$D99,'Globiom data'!$D$2:$D$9999,VLOOKUP(Veda!$B99,'Globiom data'!$V$21:$X$29,2,FALSE),'Globiom data'!$E$2:$E$9999,Veda!$C$1),0)*1000</f>
        <v>0</v>
      </c>
      <c r="H99" s="2">
        <f>MAX(SUMIFS('Globiom data'!G$2:G$9999,'Globiom data'!$A$2:$A$9999,Veda!$D99,'Globiom data'!$D$2:$D$9999,VLOOKUP(Veda!$B99,'Globiom data'!$V$21:$X$29,2,FALSE),'Globiom data'!$E$2:$E$9999,Veda!$C$1),0)*1000</f>
        <v>0.20072804343826803</v>
      </c>
      <c r="I99" s="2">
        <f>MAX(SUMIFS('Globiom data'!H$2:H$9999,'Globiom data'!$A$2:$A$9999,Veda!$D99,'Globiom data'!$D$2:$D$9999,VLOOKUP(Veda!$B99,'Globiom data'!$V$21:$X$29,2,FALSE),'Globiom data'!$E$2:$E$9999,Veda!$C$1),0)*1000</f>
        <v>0.20072804343826803</v>
      </c>
      <c r="J99" s="2">
        <f>MAX(SUMIFS('Globiom data'!I$2:I$9999,'Globiom data'!$A$2:$A$9999,Veda!$D99,'Globiom data'!$D$2:$D$9999,VLOOKUP(Veda!$B99,'Globiom data'!$V$21:$X$29,2,FALSE),'Globiom data'!$E$2:$E$9999,Veda!$C$1),0)*1000</f>
        <v>0.76927993059490085</v>
      </c>
      <c r="K99" s="2">
        <f>MAX(SUMIFS('Globiom data'!J$2:J$9999,'Globiom data'!$A$2:$A$9999,Veda!$D99,'Globiom data'!$D$2:$D$9999,VLOOKUP(Veda!$B99,'Globiom data'!$V$21:$X$29,2,FALSE),'Globiom data'!$E$2:$E$9999,Veda!$C$1),0)*1000</f>
        <v>0.88956566279275961</v>
      </c>
      <c r="L99" s="2">
        <f>MAX(SUMIFS('Globiom data'!K$2:K$9999,'Globiom data'!$A$2:$A$9999,Veda!$D99,'Globiom data'!$D$2:$D$9999,VLOOKUP(Veda!$B99,'Globiom data'!$V$21:$X$29,2,FALSE),'Globiom data'!$E$2:$E$9999,Veda!$C$1),0)*1000</f>
        <v>1.6488374373857593</v>
      </c>
      <c r="M99" s="2">
        <f>MAX(SUMIFS('Globiom data'!L$2:L$9999,'Globiom data'!$A$2:$A$9999,Veda!$D99,'Globiom data'!$D$2:$D$9999,VLOOKUP(Veda!$B99,'Globiom data'!$V$21:$X$29,2,FALSE),'Globiom data'!$E$2:$E$9999,Veda!$C$1),0)*1000</f>
        <v>8.8718556889312055</v>
      </c>
      <c r="N99" s="2">
        <f>MAX(SUMIFS('Globiom data'!M$2:M$9999,'Globiom data'!$A$2:$A$9999,Veda!$D99,'Globiom data'!$D$2:$D$9999,VLOOKUP(Veda!$B99,'Globiom data'!$V$21:$X$29,2,FALSE),'Globiom data'!$E$2:$E$9999,Veda!$C$1),0)*1000</f>
        <v>9.0906888475070833</v>
      </c>
      <c r="O99" s="2">
        <f>MAX(SUMIFS('Globiom data'!N$2:N$9999,'Globiom data'!$A$2:$A$9999,Veda!$D99,'Globiom data'!$D$2:$D$9999,VLOOKUP(Veda!$B99,'Globiom data'!$V$21:$X$29,2,FALSE),'Globiom data'!$E$2:$E$9999,Veda!$C$1),0)*1000</f>
        <v>23.751798187626097</v>
      </c>
      <c r="P99" s="2">
        <f>MAX(SUMIFS('Globiom data'!O$2:O$9999,'Globiom data'!$A$2:$A$9999,Veda!$D99,'Globiom data'!$D$2:$D$9999,VLOOKUP(Veda!$B99,'Globiom data'!$V$21:$X$29,2,FALSE),'Globiom data'!$E$2:$E$9999,Veda!$C$1),0)*1000</f>
        <v>29.152338176883394</v>
      </c>
      <c r="Q99" s="2">
        <f>MAX(SUMIFS('Globiom data'!P$2:P$9999,'Globiom data'!$A$2:$A$9999,Veda!$D99,'Globiom data'!$D$2:$D$9999,VLOOKUP(Veda!$B99,'Globiom data'!$V$21:$X$29,2,FALSE),'Globiom data'!$E$2:$E$9999,Veda!$C$1),0)*1000</f>
        <v>45.969734506454365</v>
      </c>
      <c r="R99">
        <v>3</v>
      </c>
    </row>
    <row r="100" spans="1:18" x14ac:dyDescent="0.45">
      <c r="A100" s="8">
        <f t="shared" si="7"/>
        <v>14</v>
      </c>
      <c r="B100" s="8">
        <f t="shared" si="8"/>
        <v>4</v>
      </c>
      <c r="D100" t="str">
        <f>VLOOKUP(A100,'Globiom data'!$S$21:$T$51,2,FALSE)</f>
        <v>EU_south</v>
      </c>
      <c r="E100" t="str">
        <f>VLOOKUP(B100,'Globiom data'!$V$21:$X$30,3,FALSE)</f>
        <v>MinBIOBSL-04</v>
      </c>
      <c r="F100" t="s">
        <v>53</v>
      </c>
      <c r="G100" s="2">
        <f>MAX(SUMIFS('Globiom data'!F$2:F$9999,'Globiom data'!$A$2:$A$9999,Veda!$D100,'Globiom data'!$D$2:$D$9999,VLOOKUP(Veda!$B100,'Globiom data'!$V$21:$X$29,2,FALSE),'Globiom data'!$E$2:$E$9999,Veda!$C$1),0)*1000</f>
        <v>0</v>
      </c>
      <c r="H100" s="2">
        <f>MAX(SUMIFS('Globiom data'!G$2:G$9999,'Globiom data'!$A$2:$A$9999,Veda!$D100,'Globiom data'!$D$2:$D$9999,VLOOKUP(Veda!$B100,'Globiom data'!$V$21:$X$29,2,FALSE),'Globiom data'!$E$2:$E$9999,Veda!$C$1),0)*1000</f>
        <v>0.20491631723540094</v>
      </c>
      <c r="I100" s="2">
        <f>MAX(SUMIFS('Globiom data'!H$2:H$9999,'Globiom data'!$A$2:$A$9999,Veda!$D100,'Globiom data'!$D$2:$D$9999,VLOOKUP(Veda!$B100,'Globiom data'!$V$21:$X$29,2,FALSE),'Globiom data'!$E$2:$E$9999,Veda!$C$1),0)*1000</f>
        <v>0.20491631723540094</v>
      </c>
      <c r="J100" s="2">
        <f>MAX(SUMIFS('Globiom data'!I$2:I$9999,'Globiom data'!$A$2:$A$9999,Veda!$D100,'Globiom data'!$D$2:$D$9999,VLOOKUP(Veda!$B100,'Globiom data'!$V$21:$X$29,2,FALSE),'Globiom data'!$E$2:$E$9999,Veda!$C$1),0)*1000</f>
        <v>0.87929423299614173</v>
      </c>
      <c r="K100" s="2">
        <f>MAX(SUMIFS('Globiom data'!J$2:J$9999,'Globiom data'!$A$2:$A$9999,Veda!$D100,'Globiom data'!$D$2:$D$9999,VLOOKUP(Veda!$B100,'Globiom data'!$V$21:$X$29,2,FALSE),'Globiom data'!$E$2:$E$9999,Veda!$C$1),0)*1000</f>
        <v>8.743648623471584</v>
      </c>
      <c r="L100" s="2">
        <f>MAX(SUMIFS('Globiom data'!K$2:K$9999,'Globiom data'!$A$2:$A$9999,Veda!$D100,'Globiom data'!$D$2:$D$9999,VLOOKUP(Veda!$B100,'Globiom data'!$V$21:$X$29,2,FALSE),'Globiom data'!$E$2:$E$9999,Veda!$C$1),0)*1000</f>
        <v>8.3636010970689441</v>
      </c>
      <c r="M100" s="2">
        <f>MAX(SUMIFS('Globiom data'!L$2:L$9999,'Globiom data'!$A$2:$A$9999,Veda!$D100,'Globiom data'!$D$2:$D$9999,VLOOKUP(Veda!$B100,'Globiom data'!$V$21:$X$29,2,FALSE),'Globiom data'!$E$2:$E$9999,Veda!$C$1),0)*1000</f>
        <v>27.044386469717079</v>
      </c>
      <c r="N100" s="2">
        <f>MAX(SUMIFS('Globiom data'!M$2:M$9999,'Globiom data'!$A$2:$A$9999,Veda!$D100,'Globiom data'!$D$2:$D$9999,VLOOKUP(Veda!$B100,'Globiom data'!$V$21:$X$29,2,FALSE),'Globiom data'!$E$2:$E$9999,Veda!$C$1),0)*1000</f>
        <v>46.637751956278912</v>
      </c>
      <c r="O100" s="2">
        <f>MAX(SUMIFS('Globiom data'!N$2:N$9999,'Globiom data'!$A$2:$A$9999,Veda!$D100,'Globiom data'!$D$2:$D$9999,VLOOKUP(Veda!$B100,'Globiom data'!$V$21:$X$29,2,FALSE),'Globiom data'!$E$2:$E$9999,Veda!$C$1),0)*1000</f>
        <v>43.685901361330075</v>
      </c>
      <c r="P100" s="2">
        <f>MAX(SUMIFS('Globiom data'!O$2:O$9999,'Globiom data'!$A$2:$A$9999,Veda!$D100,'Globiom data'!$D$2:$D$9999,VLOOKUP(Veda!$B100,'Globiom data'!$V$21:$X$29,2,FALSE),'Globiom data'!$E$2:$E$9999,Veda!$C$1),0)*1000</f>
        <v>55.763519252108992</v>
      </c>
      <c r="Q100" s="2">
        <f>MAX(SUMIFS('Globiom data'!P$2:P$9999,'Globiom data'!$A$2:$A$9999,Veda!$D100,'Globiom data'!$D$2:$D$9999,VLOOKUP(Veda!$B100,'Globiom data'!$V$21:$X$29,2,FALSE),'Globiom data'!$E$2:$E$9999,Veda!$C$1),0)*1000</f>
        <v>86.885605825193792</v>
      </c>
      <c r="R100">
        <v>3</v>
      </c>
    </row>
    <row r="101" spans="1:18" x14ac:dyDescent="0.45">
      <c r="A101" s="8">
        <f t="shared" si="7"/>
        <v>14</v>
      </c>
      <c r="B101" s="8">
        <f t="shared" si="8"/>
        <v>5</v>
      </c>
      <c r="D101" t="str">
        <f>VLOOKUP(A101,'Globiom data'!$S$21:$T$51,2,FALSE)</f>
        <v>EU_south</v>
      </c>
      <c r="E101" t="str">
        <f>VLOOKUP(B101,'Globiom data'!$V$21:$X$30,3,FALSE)</f>
        <v>MinBIOBSL-05</v>
      </c>
      <c r="F101" t="s">
        <v>53</v>
      </c>
      <c r="G101" s="2">
        <f>MAX(SUMIFS('Globiom data'!F$2:F$9999,'Globiom data'!$A$2:$A$9999,Veda!$D101,'Globiom data'!$D$2:$D$9999,VLOOKUP(Veda!$B101,'Globiom data'!$V$21:$X$29,2,FALSE),'Globiom data'!$E$2:$E$9999,Veda!$C$1),0)*1000</f>
        <v>0</v>
      </c>
      <c r="H101" s="2">
        <f>MAX(SUMIFS('Globiom data'!G$2:G$9999,'Globiom data'!$A$2:$A$9999,Veda!$D101,'Globiom data'!$D$2:$D$9999,VLOOKUP(Veda!$B101,'Globiom data'!$V$21:$X$29,2,FALSE),'Globiom data'!$E$2:$E$9999,Veda!$C$1),0)*1000</f>
        <v>0.27194199074554337</v>
      </c>
      <c r="I101" s="2">
        <f>MAX(SUMIFS('Globiom data'!H$2:H$9999,'Globiom data'!$A$2:$A$9999,Veda!$D101,'Globiom data'!$D$2:$D$9999,VLOOKUP(Veda!$B101,'Globiom data'!$V$21:$X$29,2,FALSE),'Globiom data'!$E$2:$E$9999,Veda!$C$1),0)*1000</f>
        <v>0.27194199074554337</v>
      </c>
      <c r="J101" s="2">
        <f>MAX(SUMIFS('Globiom data'!I$2:I$9999,'Globiom data'!$A$2:$A$9999,Veda!$D101,'Globiom data'!$D$2:$D$9999,VLOOKUP(Veda!$B101,'Globiom data'!$V$21:$X$29,2,FALSE),'Globiom data'!$E$2:$E$9999,Veda!$C$1),0)*1000</f>
        <v>9.5151203464189074</v>
      </c>
      <c r="K101" s="2">
        <f>MAX(SUMIFS('Globiom data'!J$2:J$9999,'Globiom data'!$A$2:$A$9999,Veda!$D101,'Globiom data'!$D$2:$D$9999,VLOOKUP(Veda!$B101,'Globiom data'!$V$21:$X$29,2,FALSE),'Globiom data'!$E$2:$E$9999,Veda!$C$1),0)*1000</f>
        <v>22.818274360181945</v>
      </c>
      <c r="L101" s="2">
        <f>MAX(SUMIFS('Globiom data'!K$2:K$9999,'Globiom data'!$A$2:$A$9999,Veda!$D101,'Globiom data'!$D$2:$D$9999,VLOOKUP(Veda!$B101,'Globiom data'!$V$21:$X$29,2,FALSE),'Globiom data'!$E$2:$E$9999,Veda!$C$1),0)*1000</f>
        <v>50.791938133630076</v>
      </c>
      <c r="M101" s="2">
        <f>MAX(SUMIFS('Globiom data'!L$2:L$9999,'Globiom data'!$A$2:$A$9999,Veda!$D101,'Globiom data'!$D$2:$D$9999,VLOOKUP(Veda!$B101,'Globiom data'!$V$21:$X$29,2,FALSE),'Globiom data'!$E$2:$E$9999,Veda!$C$1),0)*1000</f>
        <v>46.509390456923974</v>
      </c>
      <c r="N101" s="2">
        <f>MAX(SUMIFS('Globiom data'!M$2:M$9999,'Globiom data'!$A$2:$A$9999,Veda!$D101,'Globiom data'!$D$2:$D$9999,VLOOKUP(Veda!$B101,'Globiom data'!$V$21:$X$29,2,FALSE),'Globiom data'!$E$2:$E$9999,Veda!$C$1),0)*1000</f>
        <v>85.847648385900087</v>
      </c>
      <c r="O101" s="2">
        <f>MAX(SUMIFS('Globiom data'!N$2:N$9999,'Globiom data'!$A$2:$A$9999,Veda!$D101,'Globiom data'!$D$2:$D$9999,VLOOKUP(Veda!$B101,'Globiom data'!$V$21:$X$29,2,FALSE),'Globiom data'!$E$2:$E$9999,Veda!$C$1),0)*1000</f>
        <v>134.81000486066907</v>
      </c>
      <c r="P101" s="2">
        <f>MAX(SUMIFS('Globiom data'!O$2:O$9999,'Globiom data'!$A$2:$A$9999,Veda!$D101,'Globiom data'!$D$2:$D$9999,VLOOKUP(Veda!$B101,'Globiom data'!$V$21:$X$29,2,FALSE),'Globiom data'!$E$2:$E$9999,Veda!$C$1),0)*1000</f>
        <v>183.27096486277955</v>
      </c>
      <c r="Q101" s="2">
        <f>MAX(SUMIFS('Globiom data'!P$2:P$9999,'Globiom data'!$A$2:$A$9999,Veda!$D101,'Globiom data'!$D$2:$D$9999,VLOOKUP(Veda!$B101,'Globiom data'!$V$21:$X$29,2,FALSE),'Globiom data'!$E$2:$E$9999,Veda!$C$1),0)*1000</f>
        <v>192.83293949008109</v>
      </c>
      <c r="R101">
        <v>3</v>
      </c>
    </row>
    <row r="102" spans="1:18" x14ac:dyDescent="0.45">
      <c r="A102" s="8">
        <f t="shared" si="7"/>
        <v>14</v>
      </c>
      <c r="B102" s="8">
        <f t="shared" si="8"/>
        <v>6</v>
      </c>
      <c r="D102" t="str">
        <f>VLOOKUP(A102,'Globiom data'!$S$21:$T$51,2,FALSE)</f>
        <v>EU_south</v>
      </c>
      <c r="E102" t="str">
        <f>VLOOKUP(B102,'Globiom data'!$V$21:$X$30,3,FALSE)</f>
        <v>MinBIOBSL-06</v>
      </c>
      <c r="F102" t="s">
        <v>53</v>
      </c>
      <c r="G102" s="2">
        <f>MAX(SUMIFS('Globiom data'!F$2:F$9999,'Globiom data'!$A$2:$A$9999,Veda!$D102,'Globiom data'!$D$2:$D$9999,VLOOKUP(Veda!$B102,'Globiom data'!$V$21:$X$29,2,FALSE),'Globiom data'!$E$2:$E$9999,Veda!$C$1),0)*1000</f>
        <v>0</v>
      </c>
      <c r="H102" s="2">
        <f>MAX(SUMIFS('Globiom data'!G$2:G$9999,'Globiom data'!$A$2:$A$9999,Veda!$D102,'Globiom data'!$D$2:$D$9999,VLOOKUP(Veda!$B102,'Globiom data'!$V$21:$X$29,2,FALSE),'Globiom data'!$E$2:$E$9999,Veda!$C$1),0)*1000</f>
        <v>2.5765426224724144</v>
      </c>
      <c r="I102" s="2">
        <f>MAX(SUMIFS('Globiom data'!H$2:H$9999,'Globiom data'!$A$2:$A$9999,Veda!$D102,'Globiom data'!$D$2:$D$9999,VLOOKUP(Veda!$B102,'Globiom data'!$V$21:$X$29,2,FALSE),'Globiom data'!$E$2:$E$9999,Veda!$C$1),0)*1000</f>
        <v>2.5765426224724144</v>
      </c>
      <c r="J102" s="2">
        <f>MAX(SUMIFS('Globiom data'!I$2:I$9999,'Globiom data'!$A$2:$A$9999,Veda!$D102,'Globiom data'!$D$2:$D$9999,VLOOKUP(Veda!$B102,'Globiom data'!$V$21:$X$29,2,FALSE),'Globiom data'!$E$2:$E$9999,Veda!$C$1),0)*1000</f>
        <v>45.251952259072205</v>
      </c>
      <c r="K102" s="2">
        <f>MAX(SUMIFS('Globiom data'!J$2:J$9999,'Globiom data'!$A$2:$A$9999,Veda!$D102,'Globiom data'!$D$2:$D$9999,VLOOKUP(Veda!$B102,'Globiom data'!$V$21:$X$29,2,FALSE),'Globiom data'!$E$2:$E$9999,Veda!$C$1),0)*1000</f>
        <v>98.790109936134428</v>
      </c>
      <c r="L102" s="2">
        <f>MAX(SUMIFS('Globiom data'!K$2:K$9999,'Globiom data'!$A$2:$A$9999,Veda!$D102,'Globiom data'!$D$2:$D$9999,VLOOKUP(Veda!$B102,'Globiom data'!$V$21:$X$29,2,FALSE),'Globiom data'!$E$2:$E$9999,Veda!$C$1),0)*1000</f>
        <v>151.66980265723652</v>
      </c>
      <c r="M102" s="2">
        <f>MAX(SUMIFS('Globiom data'!L$2:L$9999,'Globiom data'!$A$2:$A$9999,Veda!$D102,'Globiom data'!$D$2:$D$9999,VLOOKUP(Veda!$B102,'Globiom data'!$V$21:$X$29,2,FALSE),'Globiom data'!$E$2:$E$9999,Veda!$C$1),0)*1000</f>
        <v>202.44471353882417</v>
      </c>
      <c r="N102" s="2">
        <f>MAX(SUMIFS('Globiom data'!M$2:M$9999,'Globiom data'!$A$2:$A$9999,Veda!$D102,'Globiom data'!$D$2:$D$9999,VLOOKUP(Veda!$B102,'Globiom data'!$V$21:$X$29,2,FALSE),'Globiom data'!$E$2:$E$9999,Veda!$C$1),0)*1000</f>
        <v>209.08696004468146</v>
      </c>
      <c r="O102" s="2">
        <f>MAX(SUMIFS('Globiom data'!N$2:N$9999,'Globiom data'!$A$2:$A$9999,Veda!$D102,'Globiom data'!$D$2:$D$9999,VLOOKUP(Veda!$B102,'Globiom data'!$V$21:$X$29,2,FALSE),'Globiom data'!$E$2:$E$9999,Veda!$C$1),0)*1000</f>
        <v>205.3968563197927</v>
      </c>
      <c r="P102" s="2">
        <f>MAX(SUMIFS('Globiom data'!O$2:O$9999,'Globiom data'!$A$2:$A$9999,Veda!$D102,'Globiom data'!$D$2:$D$9999,VLOOKUP(Veda!$B102,'Globiom data'!$V$21:$X$29,2,FALSE),'Globiom data'!$E$2:$E$9999,Veda!$C$1),0)*1000</f>
        <v>203.1223691272406</v>
      </c>
      <c r="Q102" s="2">
        <f>MAX(SUMIFS('Globiom data'!P$2:P$9999,'Globiom data'!$A$2:$A$9999,Veda!$D102,'Globiom data'!$D$2:$D$9999,VLOOKUP(Veda!$B102,'Globiom data'!$V$21:$X$29,2,FALSE),'Globiom data'!$E$2:$E$9999,Veda!$C$1),0)*1000</f>
        <v>213.30585830604062</v>
      </c>
      <c r="R102">
        <v>3</v>
      </c>
    </row>
    <row r="103" spans="1:18" x14ac:dyDescent="0.45">
      <c r="A103" s="8">
        <f t="shared" si="7"/>
        <v>14</v>
      </c>
      <c r="B103" s="8">
        <f t="shared" si="8"/>
        <v>7</v>
      </c>
      <c r="D103" t="str">
        <f>VLOOKUP(A103,'Globiom data'!$S$21:$T$51,2,FALSE)</f>
        <v>EU_south</v>
      </c>
      <c r="E103" t="str">
        <f>VLOOKUP(B103,'Globiom data'!$V$21:$X$30,3,FALSE)</f>
        <v>MinBIOBSL-07</v>
      </c>
      <c r="F103" t="s">
        <v>53</v>
      </c>
      <c r="G103" s="2">
        <f>MAX(SUMIFS('Globiom data'!F$2:F$9999,'Globiom data'!$A$2:$A$9999,Veda!$D103,'Globiom data'!$D$2:$D$9999,VLOOKUP(Veda!$B103,'Globiom data'!$V$21:$X$29,2,FALSE),'Globiom data'!$E$2:$E$9999,Veda!$C$1),0)*1000</f>
        <v>0</v>
      </c>
      <c r="H103" s="2">
        <f>MAX(SUMIFS('Globiom data'!G$2:G$9999,'Globiom data'!$A$2:$A$9999,Veda!$D103,'Globiom data'!$D$2:$D$9999,VLOOKUP(Veda!$B103,'Globiom data'!$V$21:$X$29,2,FALSE),'Globiom data'!$E$2:$E$9999,Veda!$C$1),0)*1000</f>
        <v>24.586535218215193</v>
      </c>
      <c r="I103" s="2">
        <f>MAX(SUMIFS('Globiom data'!H$2:H$9999,'Globiom data'!$A$2:$A$9999,Veda!$D103,'Globiom data'!$D$2:$D$9999,VLOOKUP(Veda!$B103,'Globiom data'!$V$21:$X$29,2,FALSE),'Globiom data'!$E$2:$E$9999,Veda!$C$1),0)*1000</f>
        <v>24.586535218215193</v>
      </c>
      <c r="J103" s="2">
        <f>MAX(SUMIFS('Globiom data'!I$2:I$9999,'Globiom data'!$A$2:$A$9999,Veda!$D103,'Globiom data'!$D$2:$D$9999,VLOOKUP(Veda!$B103,'Globiom data'!$V$21:$X$29,2,FALSE),'Globiom data'!$E$2:$E$9999,Veda!$C$1),0)*1000</f>
        <v>87.456658769736066</v>
      </c>
      <c r="K103" s="2">
        <f>MAX(SUMIFS('Globiom data'!J$2:J$9999,'Globiom data'!$A$2:$A$9999,Veda!$D103,'Globiom data'!$D$2:$D$9999,VLOOKUP(Veda!$B103,'Globiom data'!$V$21:$X$29,2,FALSE),'Globiom data'!$E$2:$E$9999,Veda!$C$1),0)*1000</f>
        <v>81.920540077764556</v>
      </c>
      <c r="L103" s="2">
        <f>MAX(SUMIFS('Globiom data'!K$2:K$9999,'Globiom data'!$A$2:$A$9999,Veda!$D103,'Globiom data'!$D$2:$D$9999,VLOOKUP(Veda!$B103,'Globiom data'!$V$21:$X$29,2,FALSE),'Globiom data'!$E$2:$E$9999,Veda!$C$1),0)*1000</f>
        <v>70.657469694761545</v>
      </c>
      <c r="M103" s="2">
        <f>MAX(SUMIFS('Globiom data'!L$2:L$9999,'Globiom data'!$A$2:$A$9999,Veda!$D103,'Globiom data'!$D$2:$D$9999,VLOOKUP(Veda!$B103,'Globiom data'!$V$21:$X$29,2,FALSE),'Globiom data'!$E$2:$E$9999,Veda!$C$1),0)*1000</f>
        <v>91.985870959219568</v>
      </c>
      <c r="N103" s="2">
        <f>MAX(SUMIFS('Globiom data'!M$2:M$9999,'Globiom data'!$A$2:$A$9999,Veda!$D103,'Globiom data'!$D$2:$D$9999,VLOOKUP(Veda!$B103,'Globiom data'!$V$21:$X$29,2,FALSE),'Globiom data'!$E$2:$E$9999,Veda!$C$1),0)*1000</f>
        <v>124.49462596704018</v>
      </c>
      <c r="O103" s="2">
        <f>MAX(SUMIFS('Globiom data'!N$2:N$9999,'Globiom data'!$A$2:$A$9999,Veda!$D103,'Globiom data'!$D$2:$D$9999,VLOOKUP(Veda!$B103,'Globiom data'!$V$21:$X$29,2,FALSE),'Globiom data'!$E$2:$E$9999,Veda!$C$1),0)*1000</f>
        <v>162.35388037331347</v>
      </c>
      <c r="P103" s="2">
        <f>MAX(SUMIFS('Globiom data'!O$2:O$9999,'Globiom data'!$A$2:$A$9999,Veda!$D103,'Globiom data'!$D$2:$D$9999,VLOOKUP(Veda!$B103,'Globiom data'!$V$21:$X$29,2,FALSE),'Globiom data'!$E$2:$E$9999,Veda!$C$1),0)*1000</f>
        <v>199.99317467322501</v>
      </c>
      <c r="Q103" s="2">
        <f>MAX(SUMIFS('Globiom data'!P$2:P$9999,'Globiom data'!$A$2:$A$9999,Veda!$D103,'Globiom data'!$D$2:$D$9999,VLOOKUP(Veda!$B103,'Globiom data'!$V$21:$X$29,2,FALSE),'Globiom data'!$E$2:$E$9999,Veda!$C$1),0)*1000</f>
        <v>216.57865594272823</v>
      </c>
      <c r="R103">
        <v>3</v>
      </c>
    </row>
    <row r="104" spans="1:18" x14ac:dyDescent="0.45">
      <c r="A104" s="8">
        <f t="shared" si="7"/>
        <v>15</v>
      </c>
      <c r="B104" s="8">
        <f t="shared" si="8"/>
        <v>1</v>
      </c>
      <c r="D104" t="str">
        <f>VLOOKUP(A104,'Globiom data'!$S$21:$T$51,2,FALSE)</f>
        <v>EU_southeast</v>
      </c>
      <c r="E104" t="str">
        <f>VLOOKUP(B104,'Globiom data'!$V$21:$X$30,3,FALSE)</f>
        <v>MinBIOBSL-01</v>
      </c>
      <c r="F104" t="s">
        <v>53</v>
      </c>
      <c r="G104" s="2">
        <f>MAX(SUMIFS('Globiom data'!F$2:F$9999,'Globiom data'!$A$2:$A$9999,Veda!$D104,'Globiom data'!$D$2:$D$9999,VLOOKUP(Veda!$B104,'Globiom data'!$V$21:$X$29,2,FALSE),'Globiom data'!$E$2:$E$9999,Veda!$C$1),0)*1000</f>
        <v>358.41232472225028</v>
      </c>
      <c r="H104" s="2">
        <f>MAX(SUMIFS('Globiom data'!G$2:G$9999,'Globiom data'!$A$2:$A$9999,Veda!$D104,'Globiom data'!$D$2:$D$9999,VLOOKUP(Veda!$B104,'Globiom data'!$V$21:$X$29,2,FALSE),'Globiom data'!$E$2:$E$9999,Veda!$C$1),0)*1000</f>
        <v>247.52362594652325</v>
      </c>
      <c r="I104" s="2">
        <f>MAX(SUMIFS('Globiom data'!H$2:H$9999,'Globiom data'!$A$2:$A$9999,Veda!$D104,'Globiom data'!$D$2:$D$9999,VLOOKUP(Veda!$B104,'Globiom data'!$V$21:$X$29,2,FALSE),'Globiom data'!$E$2:$E$9999,Veda!$C$1),0)*1000</f>
        <v>247.52362594652325</v>
      </c>
      <c r="J104" s="2">
        <f>MAX(SUMIFS('Globiom data'!I$2:I$9999,'Globiom data'!$A$2:$A$9999,Veda!$D104,'Globiom data'!$D$2:$D$9999,VLOOKUP(Veda!$B104,'Globiom data'!$V$21:$X$29,2,FALSE),'Globiom data'!$E$2:$E$9999,Veda!$C$1),0)*1000</f>
        <v>245.10705906436303</v>
      </c>
      <c r="K104" s="2">
        <f>MAX(SUMIFS('Globiom data'!J$2:J$9999,'Globiom data'!$A$2:$A$9999,Veda!$D104,'Globiom data'!$D$2:$D$9999,VLOOKUP(Veda!$B104,'Globiom data'!$V$21:$X$29,2,FALSE),'Globiom data'!$E$2:$E$9999,Veda!$C$1),0)*1000</f>
        <v>248.20602668235836</v>
      </c>
      <c r="L104" s="2">
        <f>MAX(SUMIFS('Globiom data'!K$2:K$9999,'Globiom data'!$A$2:$A$9999,Veda!$D104,'Globiom data'!$D$2:$D$9999,VLOOKUP(Veda!$B104,'Globiom data'!$V$21:$X$29,2,FALSE),'Globiom data'!$E$2:$E$9999,Veda!$C$1),0)*1000</f>
        <v>248.51050629268437</v>
      </c>
      <c r="M104" s="2">
        <f>MAX(SUMIFS('Globiom data'!L$2:L$9999,'Globiom data'!$A$2:$A$9999,Veda!$D104,'Globiom data'!$D$2:$D$9999,VLOOKUP(Veda!$B104,'Globiom data'!$V$21:$X$29,2,FALSE),'Globiom data'!$E$2:$E$9999,Veda!$C$1),0)*1000</f>
        <v>247.75716498963797</v>
      </c>
      <c r="N104" s="2">
        <f>MAX(SUMIFS('Globiom data'!M$2:M$9999,'Globiom data'!$A$2:$A$9999,Veda!$D104,'Globiom data'!$D$2:$D$9999,VLOOKUP(Veda!$B104,'Globiom data'!$V$21:$X$29,2,FALSE),'Globiom data'!$E$2:$E$9999,Veda!$C$1),0)*1000</f>
        <v>247.32823372988213</v>
      </c>
      <c r="O104" s="2">
        <f>MAX(SUMIFS('Globiom data'!N$2:N$9999,'Globiom data'!$A$2:$A$9999,Veda!$D104,'Globiom data'!$D$2:$D$9999,VLOOKUP(Veda!$B104,'Globiom data'!$V$21:$X$29,2,FALSE),'Globiom data'!$E$2:$E$9999,Veda!$C$1),0)*1000</f>
        <v>247.02983652807148</v>
      </c>
      <c r="P104" s="2">
        <f>MAX(SUMIFS('Globiom data'!O$2:O$9999,'Globiom data'!$A$2:$A$9999,Veda!$D104,'Globiom data'!$D$2:$D$9999,VLOOKUP(Veda!$B104,'Globiom data'!$V$21:$X$29,2,FALSE),'Globiom data'!$E$2:$E$9999,Veda!$C$1),0)*1000</f>
        <v>246.67908108402216</v>
      </c>
      <c r="Q104" s="2">
        <f>MAX(SUMIFS('Globiom data'!P$2:P$9999,'Globiom data'!$A$2:$A$9999,Veda!$D104,'Globiom data'!$D$2:$D$9999,VLOOKUP(Veda!$B104,'Globiom data'!$V$21:$X$29,2,FALSE),'Globiom data'!$E$2:$E$9999,Veda!$C$1),0)*1000</f>
        <v>247.88695954877355</v>
      </c>
      <c r="R104">
        <v>3</v>
      </c>
    </row>
    <row r="105" spans="1:18" x14ac:dyDescent="0.45">
      <c r="A105" s="8">
        <f t="shared" si="7"/>
        <v>15</v>
      </c>
      <c r="B105" s="8">
        <f t="shared" si="8"/>
        <v>2</v>
      </c>
      <c r="D105" t="str">
        <f>VLOOKUP(A105,'Globiom data'!$S$21:$T$51,2,FALSE)</f>
        <v>EU_southeast</v>
      </c>
      <c r="E105" t="str">
        <f>VLOOKUP(B105,'Globiom data'!$V$21:$X$30,3,FALSE)</f>
        <v>MinBIOBSL-02</v>
      </c>
      <c r="F105" t="s">
        <v>53</v>
      </c>
      <c r="G105" s="2">
        <f>MAX(SUMIFS('Globiom data'!F$2:F$9999,'Globiom data'!$A$2:$A$9999,Veda!$D105,'Globiom data'!$D$2:$D$9999,VLOOKUP(Veda!$B105,'Globiom data'!$V$21:$X$29,2,FALSE),'Globiom data'!$E$2:$E$9999,Veda!$C$1),0)*1000</f>
        <v>0</v>
      </c>
      <c r="H105" s="2">
        <f>MAX(SUMIFS('Globiom data'!G$2:G$9999,'Globiom data'!$A$2:$A$9999,Veda!$D105,'Globiom data'!$D$2:$D$9999,VLOOKUP(Veda!$B105,'Globiom data'!$V$21:$X$29,2,FALSE),'Globiom data'!$E$2:$E$9999,Veda!$C$1),0)*1000</f>
        <v>0.19106238895197397</v>
      </c>
      <c r="I105" s="2">
        <f>MAX(SUMIFS('Globiom data'!H$2:H$9999,'Globiom data'!$A$2:$A$9999,Veda!$D105,'Globiom data'!$D$2:$D$9999,VLOOKUP(Veda!$B105,'Globiom data'!$V$21:$X$29,2,FALSE),'Globiom data'!$E$2:$E$9999,Veda!$C$1),0)*1000</f>
        <v>0.19106238895197397</v>
      </c>
      <c r="J105" s="2">
        <f>MAX(SUMIFS('Globiom data'!I$2:I$9999,'Globiom data'!$A$2:$A$9999,Veda!$D105,'Globiom data'!$D$2:$D$9999,VLOOKUP(Veda!$B105,'Globiom data'!$V$21:$X$29,2,FALSE),'Globiom data'!$E$2:$E$9999,Veda!$C$1),0)*1000</f>
        <v>0.96078025652594579</v>
      </c>
      <c r="K105" s="2">
        <f>MAX(SUMIFS('Globiom data'!J$2:J$9999,'Globiom data'!$A$2:$A$9999,Veda!$D105,'Globiom data'!$D$2:$D$9999,VLOOKUP(Veda!$B105,'Globiom data'!$V$21:$X$29,2,FALSE),'Globiom data'!$E$2:$E$9999,Veda!$C$1),0)*1000</f>
        <v>1.2716476263825462</v>
      </c>
      <c r="L105" s="2">
        <f>MAX(SUMIFS('Globiom data'!K$2:K$9999,'Globiom data'!$A$2:$A$9999,Veda!$D105,'Globiom data'!$D$2:$D$9999,VLOOKUP(Veda!$B105,'Globiom data'!$V$21:$X$29,2,FALSE),'Globiom data'!$E$2:$E$9999,Veda!$C$1),0)*1000</f>
        <v>1.3792806463616563</v>
      </c>
      <c r="M105" s="2">
        <f>MAX(SUMIFS('Globiom data'!L$2:L$9999,'Globiom data'!$A$2:$A$9999,Veda!$D105,'Globiom data'!$D$2:$D$9999,VLOOKUP(Veda!$B105,'Globiom data'!$V$21:$X$29,2,FALSE),'Globiom data'!$E$2:$E$9999,Veda!$C$1),0)*1000</f>
        <v>1.9597798926502212</v>
      </c>
      <c r="N105" s="2">
        <f>MAX(SUMIFS('Globiom data'!M$2:M$9999,'Globiom data'!$A$2:$A$9999,Veda!$D105,'Globiom data'!$D$2:$D$9999,VLOOKUP(Veda!$B105,'Globiom data'!$V$21:$X$29,2,FALSE),'Globiom data'!$E$2:$E$9999,Veda!$C$1),0)*1000</f>
        <v>2.4888569550124164</v>
      </c>
      <c r="O105" s="2">
        <f>MAX(SUMIFS('Globiom data'!N$2:N$9999,'Globiom data'!$A$2:$A$9999,Veda!$D105,'Globiom data'!$D$2:$D$9999,VLOOKUP(Veda!$B105,'Globiom data'!$V$21:$X$29,2,FALSE),'Globiom data'!$E$2:$E$9999,Veda!$C$1),0)*1000</f>
        <v>55.074413149753966</v>
      </c>
      <c r="P105" s="2">
        <f>MAX(SUMIFS('Globiom data'!O$2:O$9999,'Globiom data'!$A$2:$A$9999,Veda!$D105,'Globiom data'!$D$2:$D$9999,VLOOKUP(Veda!$B105,'Globiom data'!$V$21:$X$29,2,FALSE),'Globiom data'!$E$2:$E$9999,Veda!$C$1),0)*1000</f>
        <v>78.687009095064838</v>
      </c>
      <c r="Q105" s="2">
        <f>MAX(SUMIFS('Globiom data'!P$2:P$9999,'Globiom data'!$A$2:$A$9999,Veda!$D105,'Globiom data'!$D$2:$D$9999,VLOOKUP(Veda!$B105,'Globiom data'!$V$21:$X$29,2,FALSE),'Globiom data'!$E$2:$E$9999,Veda!$C$1),0)*1000</f>
        <v>78.03714347530871</v>
      </c>
      <c r="R105">
        <v>3</v>
      </c>
    </row>
    <row r="106" spans="1:18" x14ac:dyDescent="0.45">
      <c r="A106" s="8">
        <f t="shared" si="7"/>
        <v>15</v>
      </c>
      <c r="B106" s="8">
        <f t="shared" si="8"/>
        <v>3</v>
      </c>
      <c r="D106" t="str">
        <f>VLOOKUP(A106,'Globiom data'!$S$21:$T$51,2,FALSE)</f>
        <v>EU_southeast</v>
      </c>
      <c r="E106" t="str">
        <f>VLOOKUP(B106,'Globiom data'!$V$21:$X$30,3,FALSE)</f>
        <v>MinBIOBSL-03</v>
      </c>
      <c r="F106" t="s">
        <v>53</v>
      </c>
      <c r="G106" s="2">
        <f>MAX(SUMIFS('Globiom data'!F$2:F$9999,'Globiom data'!$A$2:$A$9999,Veda!$D106,'Globiom data'!$D$2:$D$9999,VLOOKUP(Veda!$B106,'Globiom data'!$V$21:$X$29,2,FALSE),'Globiom data'!$E$2:$E$9999,Veda!$C$1),0)*1000</f>
        <v>0</v>
      </c>
      <c r="H106" s="2">
        <f>MAX(SUMIFS('Globiom data'!G$2:G$9999,'Globiom data'!$A$2:$A$9999,Veda!$D106,'Globiom data'!$D$2:$D$9999,VLOOKUP(Veda!$B106,'Globiom data'!$V$21:$X$29,2,FALSE),'Globiom data'!$E$2:$E$9999,Veda!$C$1),0)*1000</f>
        <v>0</v>
      </c>
      <c r="I106" s="2">
        <f>MAX(SUMIFS('Globiom data'!H$2:H$9999,'Globiom data'!$A$2:$A$9999,Veda!$D106,'Globiom data'!$D$2:$D$9999,VLOOKUP(Veda!$B106,'Globiom data'!$V$21:$X$29,2,FALSE),'Globiom data'!$E$2:$E$9999,Veda!$C$1),0)*1000</f>
        <v>0</v>
      </c>
      <c r="J106" s="2">
        <f>MAX(SUMIFS('Globiom data'!I$2:I$9999,'Globiom data'!$A$2:$A$9999,Veda!$D106,'Globiom data'!$D$2:$D$9999,VLOOKUP(Veda!$B106,'Globiom data'!$V$21:$X$29,2,FALSE),'Globiom data'!$E$2:$E$9999,Veda!$C$1),0)*1000</f>
        <v>9.1830159230970196E-2</v>
      </c>
      <c r="K106" s="2">
        <f>MAX(SUMIFS('Globiom data'!J$2:J$9999,'Globiom data'!$A$2:$A$9999,Veda!$D106,'Globiom data'!$D$2:$D$9999,VLOOKUP(Veda!$B106,'Globiom data'!$V$21:$X$29,2,FALSE),'Globiom data'!$E$2:$E$9999,Veda!$C$1),0)*1000</f>
        <v>0.91839178163333257</v>
      </c>
      <c r="L106" s="2">
        <f>MAX(SUMIFS('Globiom data'!K$2:K$9999,'Globiom data'!$A$2:$A$9999,Veda!$D106,'Globiom data'!$D$2:$D$9999,VLOOKUP(Veda!$B106,'Globiom data'!$V$21:$X$29,2,FALSE),'Globiom data'!$E$2:$E$9999,Veda!$C$1),0)*1000</f>
        <v>3.152604023346413</v>
      </c>
      <c r="M106" s="2">
        <f>MAX(SUMIFS('Globiom data'!L$2:L$9999,'Globiom data'!$A$2:$A$9999,Veda!$D106,'Globiom data'!$D$2:$D$9999,VLOOKUP(Veda!$B106,'Globiom data'!$V$21:$X$29,2,FALSE),'Globiom data'!$E$2:$E$9999,Veda!$C$1),0)*1000</f>
        <v>74.084767010110042</v>
      </c>
      <c r="N106" s="2">
        <f>MAX(SUMIFS('Globiom data'!M$2:M$9999,'Globiom data'!$A$2:$A$9999,Veda!$D106,'Globiom data'!$D$2:$D$9999,VLOOKUP(Veda!$B106,'Globiom data'!$V$21:$X$29,2,FALSE),'Globiom data'!$E$2:$E$9999,Veda!$C$1),0)*1000</f>
        <v>76.061599292388948</v>
      </c>
      <c r="O106" s="2">
        <f>MAX(SUMIFS('Globiom data'!N$2:N$9999,'Globiom data'!$A$2:$A$9999,Veda!$D106,'Globiom data'!$D$2:$D$9999,VLOOKUP(Veda!$B106,'Globiom data'!$V$21:$X$29,2,FALSE),'Globiom data'!$E$2:$E$9999,Veda!$C$1),0)*1000</f>
        <v>41.655698807514682</v>
      </c>
      <c r="P106" s="2">
        <f>MAX(SUMIFS('Globiom data'!O$2:O$9999,'Globiom data'!$A$2:$A$9999,Veda!$D106,'Globiom data'!$D$2:$D$9999,VLOOKUP(Veda!$B106,'Globiom data'!$V$21:$X$29,2,FALSE),'Globiom data'!$E$2:$E$9999,Veda!$C$1),0)*1000</f>
        <v>88.72851126005483</v>
      </c>
      <c r="Q106" s="2">
        <f>MAX(SUMIFS('Globiom data'!P$2:P$9999,'Globiom data'!$A$2:$A$9999,Veda!$D106,'Globiom data'!$D$2:$D$9999,VLOOKUP(Veda!$B106,'Globiom data'!$V$21:$X$29,2,FALSE),'Globiom data'!$E$2:$E$9999,Veda!$C$1),0)*1000</f>
        <v>198.92783225325971</v>
      </c>
      <c r="R106">
        <v>3</v>
      </c>
    </row>
    <row r="107" spans="1:18" x14ac:dyDescent="0.45">
      <c r="A107" s="8">
        <f t="shared" si="7"/>
        <v>15</v>
      </c>
      <c r="B107" s="8">
        <f t="shared" si="8"/>
        <v>4</v>
      </c>
      <c r="D107" t="str">
        <f>VLOOKUP(A107,'Globiom data'!$S$21:$T$51,2,FALSE)</f>
        <v>EU_southeast</v>
      </c>
      <c r="E107" t="str">
        <f>VLOOKUP(B107,'Globiom data'!$V$21:$X$30,3,FALSE)</f>
        <v>MinBIOBSL-04</v>
      </c>
      <c r="F107" t="s">
        <v>53</v>
      </c>
      <c r="G107" s="2">
        <f>MAX(SUMIFS('Globiom data'!F$2:F$9999,'Globiom data'!$A$2:$A$9999,Veda!$D107,'Globiom data'!$D$2:$D$9999,VLOOKUP(Veda!$B107,'Globiom data'!$V$21:$X$29,2,FALSE),'Globiom data'!$E$2:$E$9999,Veda!$C$1),0)*1000</f>
        <v>0</v>
      </c>
      <c r="H107" s="2">
        <f>MAX(SUMIFS('Globiom data'!G$2:G$9999,'Globiom data'!$A$2:$A$9999,Veda!$D107,'Globiom data'!$D$2:$D$9999,VLOOKUP(Veda!$B107,'Globiom data'!$V$21:$X$29,2,FALSE),'Globiom data'!$E$2:$E$9999,Veda!$C$1),0)*1000</f>
        <v>5.2485865000278568E-2</v>
      </c>
      <c r="I107" s="2">
        <f>MAX(SUMIFS('Globiom data'!H$2:H$9999,'Globiom data'!$A$2:$A$9999,Veda!$D107,'Globiom data'!$D$2:$D$9999,VLOOKUP(Veda!$B107,'Globiom data'!$V$21:$X$29,2,FALSE),'Globiom data'!$E$2:$E$9999,Veda!$C$1),0)*1000</f>
        <v>5.2485865000278568E-2</v>
      </c>
      <c r="J107" s="2">
        <f>MAX(SUMIFS('Globiom data'!I$2:I$9999,'Globiom data'!$A$2:$A$9999,Veda!$D107,'Globiom data'!$D$2:$D$9999,VLOOKUP(Veda!$B107,'Globiom data'!$V$21:$X$29,2,FALSE),'Globiom data'!$E$2:$E$9999,Veda!$C$1),0)*1000</f>
        <v>0.55862852078985314</v>
      </c>
      <c r="K107" s="2">
        <f>MAX(SUMIFS('Globiom data'!J$2:J$9999,'Globiom data'!$A$2:$A$9999,Veda!$D107,'Globiom data'!$D$2:$D$9999,VLOOKUP(Veda!$B107,'Globiom data'!$V$21:$X$29,2,FALSE),'Globiom data'!$E$2:$E$9999,Veda!$C$1),0)*1000</f>
        <v>57.143026912515793</v>
      </c>
      <c r="L107" s="2">
        <f>MAX(SUMIFS('Globiom data'!K$2:K$9999,'Globiom data'!$A$2:$A$9999,Veda!$D107,'Globiom data'!$D$2:$D$9999,VLOOKUP(Veda!$B107,'Globiom data'!$V$21:$X$29,2,FALSE),'Globiom data'!$E$2:$E$9999,Veda!$C$1),0)*1000</f>
        <v>71.368054476261065</v>
      </c>
      <c r="M107" s="2">
        <f>MAX(SUMIFS('Globiom data'!L$2:L$9999,'Globiom data'!$A$2:$A$9999,Veda!$D107,'Globiom data'!$D$2:$D$9999,VLOOKUP(Veda!$B107,'Globiom data'!$V$21:$X$29,2,FALSE),'Globiom data'!$E$2:$E$9999,Veda!$C$1),0)*1000</f>
        <v>46.669604079683531</v>
      </c>
      <c r="N107" s="2">
        <f>MAX(SUMIFS('Globiom data'!M$2:M$9999,'Globiom data'!$A$2:$A$9999,Veda!$D107,'Globiom data'!$D$2:$D$9999,VLOOKUP(Veda!$B107,'Globiom data'!$V$21:$X$29,2,FALSE),'Globiom data'!$E$2:$E$9999,Veda!$C$1),0)*1000</f>
        <v>170.01668891194433</v>
      </c>
      <c r="O107" s="2">
        <f>MAX(SUMIFS('Globiom data'!N$2:N$9999,'Globiom data'!$A$2:$A$9999,Veda!$D107,'Globiom data'!$D$2:$D$9999,VLOOKUP(Veda!$B107,'Globiom data'!$V$21:$X$29,2,FALSE),'Globiom data'!$E$2:$E$9999,Veda!$C$1),0)*1000</f>
        <v>315.12038679853259</v>
      </c>
      <c r="P107" s="2">
        <f>MAX(SUMIFS('Globiom data'!O$2:O$9999,'Globiom data'!$A$2:$A$9999,Veda!$D107,'Globiom data'!$D$2:$D$9999,VLOOKUP(Veda!$B107,'Globiom data'!$V$21:$X$29,2,FALSE),'Globiom data'!$E$2:$E$9999,Veda!$C$1),0)*1000</f>
        <v>423.7922448969324</v>
      </c>
      <c r="Q107" s="2">
        <f>MAX(SUMIFS('Globiom data'!P$2:P$9999,'Globiom data'!$A$2:$A$9999,Veda!$D107,'Globiom data'!$D$2:$D$9999,VLOOKUP(Veda!$B107,'Globiom data'!$V$21:$X$29,2,FALSE),'Globiom data'!$E$2:$E$9999,Veda!$C$1),0)*1000</f>
        <v>486.46924066948122</v>
      </c>
      <c r="R107">
        <v>3</v>
      </c>
    </row>
    <row r="108" spans="1:18" x14ac:dyDescent="0.45">
      <c r="A108" s="8">
        <f t="shared" si="7"/>
        <v>15</v>
      </c>
      <c r="B108" s="8">
        <f t="shared" si="8"/>
        <v>5</v>
      </c>
      <c r="D108" t="str">
        <f>VLOOKUP(A108,'Globiom data'!$S$21:$T$51,2,FALSE)</f>
        <v>EU_southeast</v>
      </c>
      <c r="E108" t="str">
        <f>VLOOKUP(B108,'Globiom data'!$V$21:$X$30,3,FALSE)</f>
        <v>MinBIOBSL-05</v>
      </c>
      <c r="F108" t="s">
        <v>53</v>
      </c>
      <c r="G108" s="2">
        <f>MAX(SUMIFS('Globiom data'!F$2:F$9999,'Globiom data'!$A$2:$A$9999,Veda!$D108,'Globiom data'!$D$2:$D$9999,VLOOKUP(Veda!$B108,'Globiom data'!$V$21:$X$29,2,FALSE),'Globiom data'!$E$2:$E$9999,Veda!$C$1),0)*1000</f>
        <v>0</v>
      </c>
      <c r="H108" s="2">
        <f>MAX(SUMIFS('Globiom data'!G$2:G$9999,'Globiom data'!$A$2:$A$9999,Veda!$D108,'Globiom data'!$D$2:$D$9999,VLOOKUP(Veda!$B108,'Globiom data'!$V$21:$X$29,2,FALSE),'Globiom data'!$E$2:$E$9999,Veda!$C$1),0)*1000</f>
        <v>7.7810726012889742E-2</v>
      </c>
      <c r="I108" s="2">
        <f>MAX(SUMIFS('Globiom data'!H$2:H$9999,'Globiom data'!$A$2:$A$9999,Veda!$D108,'Globiom data'!$D$2:$D$9999,VLOOKUP(Veda!$B108,'Globiom data'!$V$21:$X$29,2,FALSE),'Globiom data'!$E$2:$E$9999,Veda!$C$1),0)*1000</f>
        <v>7.7810726012889742E-2</v>
      </c>
      <c r="J108" s="2">
        <f>MAX(SUMIFS('Globiom data'!I$2:I$9999,'Globiom data'!$A$2:$A$9999,Veda!$D108,'Globiom data'!$D$2:$D$9999,VLOOKUP(Veda!$B108,'Globiom data'!$V$21:$X$29,2,FALSE),'Globiom data'!$E$2:$E$9999,Veda!$C$1),0)*1000</f>
        <v>44.92184494512631</v>
      </c>
      <c r="K108" s="2">
        <f>MAX(SUMIFS('Globiom data'!J$2:J$9999,'Globiom data'!$A$2:$A$9999,Veda!$D108,'Globiom data'!$D$2:$D$9999,VLOOKUP(Veda!$B108,'Globiom data'!$V$21:$X$29,2,FALSE),'Globiom data'!$E$2:$E$9999,Veda!$C$1),0)*1000</f>
        <v>32.99996046749375</v>
      </c>
      <c r="L108" s="2">
        <f>MAX(SUMIFS('Globiom data'!K$2:K$9999,'Globiom data'!$A$2:$A$9999,Veda!$D108,'Globiom data'!$D$2:$D$9999,VLOOKUP(Veda!$B108,'Globiom data'!$V$21:$X$29,2,FALSE),'Globiom data'!$E$2:$E$9999,Veda!$C$1),0)*1000</f>
        <v>166.13940179635671</v>
      </c>
      <c r="M108" s="2">
        <f>MAX(SUMIFS('Globiom data'!L$2:L$9999,'Globiom data'!$A$2:$A$9999,Veda!$D108,'Globiom data'!$D$2:$D$9999,VLOOKUP(Veda!$B108,'Globiom data'!$V$21:$X$29,2,FALSE),'Globiom data'!$E$2:$E$9999,Veda!$C$1),0)*1000</f>
        <v>328.27686892271316</v>
      </c>
      <c r="N108" s="2">
        <f>MAX(SUMIFS('Globiom data'!M$2:M$9999,'Globiom data'!$A$2:$A$9999,Veda!$D108,'Globiom data'!$D$2:$D$9999,VLOOKUP(Veda!$B108,'Globiom data'!$V$21:$X$29,2,FALSE),'Globiom data'!$E$2:$E$9999,Veda!$C$1),0)*1000</f>
        <v>418.66091987491887</v>
      </c>
      <c r="O108" s="2">
        <f>MAX(SUMIFS('Globiom data'!N$2:N$9999,'Globiom data'!$A$2:$A$9999,Veda!$D108,'Globiom data'!$D$2:$D$9999,VLOOKUP(Veda!$B108,'Globiom data'!$V$21:$X$29,2,FALSE),'Globiom data'!$E$2:$E$9999,Veda!$C$1),0)*1000</f>
        <v>478.40555795874366</v>
      </c>
      <c r="P108" s="2">
        <f>MAX(SUMIFS('Globiom data'!O$2:O$9999,'Globiom data'!$A$2:$A$9999,Veda!$D108,'Globiom data'!$D$2:$D$9999,VLOOKUP(Veda!$B108,'Globiom data'!$V$21:$X$29,2,FALSE),'Globiom data'!$E$2:$E$9999,Veda!$C$1),0)*1000</f>
        <v>542.75750788854145</v>
      </c>
      <c r="Q108" s="2">
        <f>MAX(SUMIFS('Globiom data'!P$2:P$9999,'Globiom data'!$A$2:$A$9999,Veda!$D108,'Globiom data'!$D$2:$D$9999,VLOOKUP(Veda!$B108,'Globiom data'!$V$21:$X$29,2,FALSE),'Globiom data'!$E$2:$E$9999,Veda!$C$1),0)*1000</f>
        <v>592.15101322215742</v>
      </c>
      <c r="R108">
        <v>3</v>
      </c>
    </row>
    <row r="109" spans="1:18" x14ac:dyDescent="0.45">
      <c r="A109" s="8">
        <f t="shared" si="7"/>
        <v>15</v>
      </c>
      <c r="B109" s="8">
        <f t="shared" si="8"/>
        <v>6</v>
      </c>
      <c r="D109" t="str">
        <f>VLOOKUP(A109,'Globiom data'!$S$21:$T$51,2,FALSE)</f>
        <v>EU_southeast</v>
      </c>
      <c r="E109" t="str">
        <f>VLOOKUP(B109,'Globiom data'!$V$21:$X$30,3,FALSE)</f>
        <v>MinBIOBSL-06</v>
      </c>
      <c r="F109" t="s">
        <v>53</v>
      </c>
      <c r="G109" s="2">
        <f>MAX(SUMIFS('Globiom data'!F$2:F$9999,'Globiom data'!$A$2:$A$9999,Veda!$D109,'Globiom data'!$D$2:$D$9999,VLOOKUP(Veda!$B109,'Globiom data'!$V$21:$X$29,2,FALSE),'Globiom data'!$E$2:$E$9999,Veda!$C$1),0)*1000</f>
        <v>0</v>
      </c>
      <c r="H109" s="2">
        <f>MAX(SUMIFS('Globiom data'!G$2:G$9999,'Globiom data'!$A$2:$A$9999,Veda!$D109,'Globiom data'!$D$2:$D$9999,VLOOKUP(Veda!$B109,'Globiom data'!$V$21:$X$29,2,FALSE),'Globiom data'!$E$2:$E$9999,Veda!$C$1),0)*1000</f>
        <v>0</v>
      </c>
      <c r="I109" s="2">
        <f>MAX(SUMIFS('Globiom data'!H$2:H$9999,'Globiom data'!$A$2:$A$9999,Veda!$D109,'Globiom data'!$D$2:$D$9999,VLOOKUP(Veda!$B109,'Globiom data'!$V$21:$X$29,2,FALSE),'Globiom data'!$E$2:$E$9999,Veda!$C$1),0)*1000</f>
        <v>0</v>
      </c>
      <c r="J109" s="2">
        <f>MAX(SUMIFS('Globiom data'!I$2:I$9999,'Globiom data'!$A$2:$A$9999,Veda!$D109,'Globiom data'!$D$2:$D$9999,VLOOKUP(Veda!$B109,'Globiom data'!$V$21:$X$29,2,FALSE),'Globiom data'!$E$2:$E$9999,Veda!$C$1),0)*1000</f>
        <v>165.7694853932895</v>
      </c>
      <c r="K109" s="2">
        <f>MAX(SUMIFS('Globiom data'!J$2:J$9999,'Globiom data'!$A$2:$A$9999,Veda!$D109,'Globiom data'!$D$2:$D$9999,VLOOKUP(Veda!$B109,'Globiom data'!$V$21:$X$29,2,FALSE),'Globiom data'!$E$2:$E$9999,Veda!$C$1),0)*1000</f>
        <v>397.36269013877717</v>
      </c>
      <c r="L109" s="2">
        <f>MAX(SUMIFS('Globiom data'!K$2:K$9999,'Globiom data'!$A$2:$A$9999,Veda!$D109,'Globiom data'!$D$2:$D$9999,VLOOKUP(Veda!$B109,'Globiom data'!$V$21:$X$29,2,FALSE),'Globiom data'!$E$2:$E$9999,Veda!$C$1),0)*1000</f>
        <v>542.68378871774701</v>
      </c>
      <c r="M109" s="2">
        <f>MAX(SUMIFS('Globiom data'!L$2:L$9999,'Globiom data'!$A$2:$A$9999,Veda!$D109,'Globiom data'!$D$2:$D$9999,VLOOKUP(Veda!$B109,'Globiom data'!$V$21:$X$29,2,FALSE),'Globiom data'!$E$2:$E$9999,Veda!$C$1),0)*1000</f>
        <v>650.66601669040335</v>
      </c>
      <c r="N109" s="2">
        <f>MAX(SUMIFS('Globiom data'!M$2:M$9999,'Globiom data'!$A$2:$A$9999,Veda!$D109,'Globiom data'!$D$2:$D$9999,VLOOKUP(Veda!$B109,'Globiom data'!$V$21:$X$29,2,FALSE),'Globiom data'!$E$2:$E$9999,Veda!$C$1),0)*1000</f>
        <v>782.4262544718847</v>
      </c>
      <c r="O109" s="2">
        <f>MAX(SUMIFS('Globiom data'!N$2:N$9999,'Globiom data'!$A$2:$A$9999,Veda!$D109,'Globiom data'!$D$2:$D$9999,VLOOKUP(Veda!$B109,'Globiom data'!$V$21:$X$29,2,FALSE),'Globiom data'!$E$2:$E$9999,Veda!$C$1),0)*1000</f>
        <v>929.35828708897543</v>
      </c>
      <c r="P109" s="2">
        <f>MAX(SUMIFS('Globiom data'!O$2:O$9999,'Globiom data'!$A$2:$A$9999,Veda!$D109,'Globiom data'!$D$2:$D$9999,VLOOKUP(Veda!$B109,'Globiom data'!$V$21:$X$29,2,FALSE),'Globiom data'!$E$2:$E$9999,Veda!$C$1),0)*1000</f>
        <v>1071.7199989892231</v>
      </c>
      <c r="Q109" s="2">
        <f>MAX(SUMIFS('Globiom data'!P$2:P$9999,'Globiom data'!$A$2:$A$9999,Veda!$D109,'Globiom data'!$D$2:$D$9999,VLOOKUP(Veda!$B109,'Globiom data'!$V$21:$X$29,2,FALSE),'Globiom data'!$E$2:$E$9999,Veda!$C$1),0)*1000</f>
        <v>1240.751079182842</v>
      </c>
      <c r="R109">
        <v>3</v>
      </c>
    </row>
    <row r="110" spans="1:18" x14ac:dyDescent="0.45">
      <c r="A110" s="8">
        <f t="shared" si="7"/>
        <v>15</v>
      </c>
      <c r="B110" s="8">
        <f t="shared" si="8"/>
        <v>7</v>
      </c>
      <c r="D110" t="str">
        <f>VLOOKUP(A110,'Globiom data'!$S$21:$T$51,2,FALSE)</f>
        <v>EU_southeast</v>
      </c>
      <c r="E110" t="str">
        <f>VLOOKUP(B110,'Globiom data'!$V$21:$X$30,3,FALSE)</f>
        <v>MinBIOBSL-07</v>
      </c>
      <c r="F110" t="s">
        <v>53</v>
      </c>
      <c r="G110" s="2">
        <f>MAX(SUMIFS('Globiom data'!F$2:F$9999,'Globiom data'!$A$2:$A$9999,Veda!$D110,'Globiom data'!$D$2:$D$9999,VLOOKUP(Veda!$B110,'Globiom data'!$V$21:$X$29,2,FALSE),'Globiom data'!$E$2:$E$9999,Veda!$C$1),0)*1000</f>
        <v>0</v>
      </c>
      <c r="H110" s="2">
        <f>MAX(SUMIFS('Globiom data'!G$2:G$9999,'Globiom data'!$A$2:$A$9999,Veda!$D110,'Globiom data'!$D$2:$D$9999,VLOOKUP(Veda!$B110,'Globiom data'!$V$21:$X$29,2,FALSE),'Globiom data'!$E$2:$E$9999,Veda!$C$1),0)*1000</f>
        <v>141.09523359984661</v>
      </c>
      <c r="I110" s="2">
        <f>MAX(SUMIFS('Globiom data'!H$2:H$9999,'Globiom data'!$A$2:$A$9999,Veda!$D110,'Globiom data'!$D$2:$D$9999,VLOOKUP(Veda!$B110,'Globiom data'!$V$21:$X$29,2,FALSE),'Globiom data'!$E$2:$E$9999,Veda!$C$1),0)*1000</f>
        <v>141.09523359984661</v>
      </c>
      <c r="J110" s="2">
        <f>MAX(SUMIFS('Globiom data'!I$2:I$9999,'Globiom data'!$A$2:$A$9999,Veda!$D110,'Globiom data'!$D$2:$D$9999,VLOOKUP(Veda!$B110,'Globiom data'!$V$21:$X$29,2,FALSE),'Globiom data'!$E$2:$E$9999,Veda!$C$1),0)*1000</f>
        <v>217.37145608632608</v>
      </c>
      <c r="K110" s="2">
        <f>MAX(SUMIFS('Globiom data'!J$2:J$9999,'Globiom data'!$A$2:$A$9999,Veda!$D110,'Globiom data'!$D$2:$D$9999,VLOOKUP(Veda!$B110,'Globiom data'!$V$21:$X$29,2,FALSE),'Globiom data'!$E$2:$E$9999,Veda!$C$1),0)*1000</f>
        <v>340.20752921735533</v>
      </c>
      <c r="L110" s="2">
        <f>MAX(SUMIFS('Globiom data'!K$2:K$9999,'Globiom data'!$A$2:$A$9999,Veda!$D110,'Globiom data'!$D$2:$D$9999,VLOOKUP(Veda!$B110,'Globiom data'!$V$21:$X$29,2,FALSE),'Globiom data'!$E$2:$E$9999,Veda!$C$1),0)*1000</f>
        <v>493.61304162518729</v>
      </c>
      <c r="M110" s="2">
        <f>MAX(SUMIFS('Globiom data'!L$2:L$9999,'Globiom data'!$A$2:$A$9999,Veda!$D110,'Globiom data'!$D$2:$D$9999,VLOOKUP(Veda!$B110,'Globiom data'!$V$21:$X$29,2,FALSE),'Globiom data'!$E$2:$E$9999,Veda!$C$1),0)*1000</f>
        <v>693.81356576888891</v>
      </c>
      <c r="N110" s="2">
        <f>MAX(SUMIFS('Globiom data'!M$2:M$9999,'Globiom data'!$A$2:$A$9999,Veda!$D110,'Globiom data'!$D$2:$D$9999,VLOOKUP(Veda!$B110,'Globiom data'!$V$21:$X$29,2,FALSE),'Globiom data'!$E$2:$E$9999,Veda!$C$1),0)*1000</f>
        <v>889.11446945505372</v>
      </c>
      <c r="O110" s="2">
        <f>MAX(SUMIFS('Globiom data'!N$2:N$9999,'Globiom data'!$A$2:$A$9999,Veda!$D110,'Globiom data'!$D$2:$D$9999,VLOOKUP(Veda!$B110,'Globiom data'!$V$21:$X$29,2,FALSE),'Globiom data'!$E$2:$E$9999,Veda!$C$1),0)*1000</f>
        <v>1057.2381828527355</v>
      </c>
      <c r="P110" s="2">
        <f>MAX(SUMIFS('Globiom data'!O$2:O$9999,'Globiom data'!$A$2:$A$9999,Veda!$D110,'Globiom data'!$D$2:$D$9999,VLOOKUP(Veda!$B110,'Globiom data'!$V$21:$X$29,2,FALSE),'Globiom data'!$E$2:$E$9999,Veda!$C$1),0)*1000</f>
        <v>1165.792843270355</v>
      </c>
      <c r="Q110" s="2">
        <f>MAX(SUMIFS('Globiom data'!P$2:P$9999,'Globiom data'!$A$2:$A$9999,Veda!$D110,'Globiom data'!$D$2:$D$9999,VLOOKUP(Veda!$B110,'Globiom data'!$V$21:$X$29,2,FALSE),'Globiom data'!$E$2:$E$9999,Veda!$C$1),0)*1000</f>
        <v>1162.2204374660439</v>
      </c>
      <c r="R110">
        <v>3</v>
      </c>
    </row>
    <row r="111" spans="1:18" x14ac:dyDescent="0.45">
      <c r="A111" s="8">
        <f t="shared" si="7"/>
        <v>16</v>
      </c>
      <c r="B111" s="8">
        <f t="shared" si="8"/>
        <v>1</v>
      </c>
      <c r="D111" t="str">
        <f>VLOOKUP(A111,'Globiom data'!$S$21:$T$51,2,FALSE)</f>
        <v>EU_southwest</v>
      </c>
      <c r="E111" t="str">
        <f>VLOOKUP(B111,'Globiom data'!$V$21:$X$30,3,FALSE)</f>
        <v>MinBIOBSL-01</v>
      </c>
      <c r="F111" t="s">
        <v>53</v>
      </c>
      <c r="G111" s="2">
        <f>MAX(SUMIFS('Globiom data'!F$2:F$9999,'Globiom data'!$A$2:$A$9999,Veda!$D111,'Globiom data'!$D$2:$D$9999,VLOOKUP(Veda!$B111,'Globiom data'!$V$21:$X$29,2,FALSE),'Globiom data'!$E$2:$E$9999,Veda!$C$1),0)*1000</f>
        <v>294.09469391678425</v>
      </c>
      <c r="H111" s="2">
        <f>MAX(SUMIFS('Globiom data'!G$2:G$9999,'Globiom data'!$A$2:$A$9999,Veda!$D111,'Globiom data'!$D$2:$D$9999,VLOOKUP(Veda!$B111,'Globiom data'!$V$21:$X$29,2,FALSE),'Globiom data'!$E$2:$E$9999,Veda!$C$1),0)*1000</f>
        <v>295.17628194889602</v>
      </c>
      <c r="I111" s="2">
        <f>MAX(SUMIFS('Globiom data'!H$2:H$9999,'Globiom data'!$A$2:$A$9999,Veda!$D111,'Globiom data'!$D$2:$D$9999,VLOOKUP(Veda!$B111,'Globiom data'!$V$21:$X$29,2,FALSE),'Globiom data'!$E$2:$E$9999,Veda!$C$1),0)*1000</f>
        <v>295.17628194889602</v>
      </c>
      <c r="J111" s="2">
        <f>MAX(SUMIFS('Globiom data'!I$2:I$9999,'Globiom data'!$A$2:$A$9999,Veda!$D111,'Globiom data'!$D$2:$D$9999,VLOOKUP(Veda!$B111,'Globiom data'!$V$21:$X$29,2,FALSE),'Globiom data'!$E$2:$E$9999,Veda!$C$1),0)*1000</f>
        <v>289.21647476678817</v>
      </c>
      <c r="K111" s="2">
        <f>MAX(SUMIFS('Globiom data'!J$2:J$9999,'Globiom data'!$A$2:$A$9999,Veda!$D111,'Globiom data'!$D$2:$D$9999,VLOOKUP(Veda!$B111,'Globiom data'!$V$21:$X$29,2,FALSE),'Globiom data'!$E$2:$E$9999,Veda!$C$1),0)*1000</f>
        <v>282.69806538962695</v>
      </c>
      <c r="L111" s="2">
        <f>MAX(SUMIFS('Globiom data'!K$2:K$9999,'Globiom data'!$A$2:$A$9999,Veda!$D111,'Globiom data'!$D$2:$D$9999,VLOOKUP(Veda!$B111,'Globiom data'!$V$21:$X$29,2,FALSE),'Globiom data'!$E$2:$E$9999,Veda!$C$1),0)*1000</f>
        <v>277.29195651534303</v>
      </c>
      <c r="M111" s="2">
        <f>MAX(SUMIFS('Globiom data'!L$2:L$9999,'Globiom data'!$A$2:$A$9999,Veda!$D111,'Globiom data'!$D$2:$D$9999,VLOOKUP(Veda!$B111,'Globiom data'!$V$21:$X$29,2,FALSE),'Globiom data'!$E$2:$E$9999,Veda!$C$1),0)*1000</f>
        <v>275.32026016851228</v>
      </c>
      <c r="N111" s="2">
        <f>MAX(SUMIFS('Globiom data'!M$2:M$9999,'Globiom data'!$A$2:$A$9999,Veda!$D111,'Globiom data'!$D$2:$D$9999,VLOOKUP(Veda!$B111,'Globiom data'!$V$21:$X$29,2,FALSE),'Globiom data'!$E$2:$E$9999,Veda!$C$1),0)*1000</f>
        <v>274.32919731115027</v>
      </c>
      <c r="O111" s="2">
        <f>MAX(SUMIFS('Globiom data'!N$2:N$9999,'Globiom data'!$A$2:$A$9999,Veda!$D111,'Globiom data'!$D$2:$D$9999,VLOOKUP(Veda!$B111,'Globiom data'!$V$21:$X$29,2,FALSE),'Globiom data'!$E$2:$E$9999,Veda!$C$1),0)*1000</f>
        <v>273.49423254769482</v>
      </c>
      <c r="P111" s="2">
        <f>MAX(SUMIFS('Globiom data'!O$2:O$9999,'Globiom data'!$A$2:$A$9999,Veda!$D111,'Globiom data'!$D$2:$D$9999,VLOOKUP(Veda!$B111,'Globiom data'!$V$21:$X$29,2,FALSE),'Globiom data'!$E$2:$E$9999,Veda!$C$1),0)*1000</f>
        <v>272.73192162665919</v>
      </c>
      <c r="Q111" s="2">
        <f>MAX(SUMIFS('Globiom data'!P$2:P$9999,'Globiom data'!$A$2:$A$9999,Veda!$D111,'Globiom data'!$D$2:$D$9999,VLOOKUP(Veda!$B111,'Globiom data'!$V$21:$X$29,2,FALSE),'Globiom data'!$E$2:$E$9999,Veda!$C$1),0)*1000</f>
        <v>271.6605044289924</v>
      </c>
      <c r="R111">
        <v>3</v>
      </c>
    </row>
    <row r="112" spans="1:18" x14ac:dyDescent="0.45">
      <c r="A112" s="8">
        <f t="shared" si="7"/>
        <v>16</v>
      </c>
      <c r="B112" s="8">
        <f t="shared" si="8"/>
        <v>2</v>
      </c>
      <c r="D112" t="str">
        <f>VLOOKUP(A112,'Globiom data'!$S$21:$T$51,2,FALSE)</f>
        <v>EU_southwest</v>
      </c>
      <c r="E112" t="str">
        <f>VLOOKUP(B112,'Globiom data'!$V$21:$X$30,3,FALSE)</f>
        <v>MinBIOBSL-02</v>
      </c>
      <c r="F112" t="s">
        <v>53</v>
      </c>
      <c r="G112" s="2">
        <f>MAX(SUMIFS('Globiom data'!F$2:F$9999,'Globiom data'!$A$2:$A$9999,Veda!$D112,'Globiom data'!$D$2:$D$9999,VLOOKUP(Veda!$B112,'Globiom data'!$V$21:$X$29,2,FALSE),'Globiom data'!$E$2:$E$9999,Veda!$C$1),0)*1000</f>
        <v>0</v>
      </c>
      <c r="H112" s="2">
        <f>MAX(SUMIFS('Globiom data'!G$2:G$9999,'Globiom data'!$A$2:$A$9999,Veda!$D112,'Globiom data'!$D$2:$D$9999,VLOOKUP(Veda!$B112,'Globiom data'!$V$21:$X$29,2,FALSE),'Globiom data'!$E$2:$E$9999,Veda!$C$1),0)*1000</f>
        <v>0.51979737142320404</v>
      </c>
      <c r="I112" s="2">
        <f>MAX(SUMIFS('Globiom data'!H$2:H$9999,'Globiom data'!$A$2:$A$9999,Veda!$D112,'Globiom data'!$D$2:$D$9999,VLOOKUP(Veda!$B112,'Globiom data'!$V$21:$X$29,2,FALSE),'Globiom data'!$E$2:$E$9999,Veda!$C$1),0)*1000</f>
        <v>0.51979737142320404</v>
      </c>
      <c r="J112" s="2">
        <f>MAX(SUMIFS('Globiom data'!I$2:I$9999,'Globiom data'!$A$2:$A$9999,Veda!$D112,'Globiom data'!$D$2:$D$9999,VLOOKUP(Veda!$B112,'Globiom data'!$V$21:$X$29,2,FALSE),'Globiom data'!$E$2:$E$9999,Veda!$C$1),0)*1000</f>
        <v>1.8223156658919677</v>
      </c>
      <c r="K112" s="2">
        <f>MAX(SUMIFS('Globiom data'!J$2:J$9999,'Globiom data'!$A$2:$A$9999,Veda!$D112,'Globiom data'!$D$2:$D$9999,VLOOKUP(Veda!$B112,'Globiom data'!$V$21:$X$29,2,FALSE),'Globiom data'!$E$2:$E$9999,Veda!$C$1),0)*1000</f>
        <v>1.6222541667747632</v>
      </c>
      <c r="L112" s="2">
        <f>MAX(SUMIFS('Globiom data'!K$2:K$9999,'Globiom data'!$A$2:$A$9999,Veda!$D112,'Globiom data'!$D$2:$D$9999,VLOOKUP(Veda!$B112,'Globiom data'!$V$21:$X$29,2,FALSE),'Globiom data'!$E$2:$E$9999,Veda!$C$1),0)*1000</f>
        <v>1.742033931022489</v>
      </c>
      <c r="M112" s="2">
        <f>MAX(SUMIFS('Globiom data'!L$2:L$9999,'Globiom data'!$A$2:$A$9999,Veda!$D112,'Globiom data'!$D$2:$D$9999,VLOOKUP(Veda!$B112,'Globiom data'!$V$21:$X$29,2,FALSE),'Globiom data'!$E$2:$E$9999,Veda!$C$1),0)*1000</f>
        <v>2.1628825808957357</v>
      </c>
      <c r="N112" s="2">
        <f>MAX(SUMIFS('Globiom data'!M$2:M$9999,'Globiom data'!$A$2:$A$9999,Veda!$D112,'Globiom data'!$D$2:$D$9999,VLOOKUP(Veda!$B112,'Globiom data'!$V$21:$X$29,2,FALSE),'Globiom data'!$E$2:$E$9999,Veda!$C$1),0)*1000</f>
        <v>2.4019620444066185</v>
      </c>
      <c r="O112" s="2">
        <f>MAX(SUMIFS('Globiom data'!N$2:N$9999,'Globiom data'!$A$2:$A$9999,Veda!$D112,'Globiom data'!$D$2:$D$9999,VLOOKUP(Veda!$B112,'Globiom data'!$V$21:$X$29,2,FALSE),'Globiom data'!$E$2:$E$9999,Veda!$C$1),0)*1000</f>
        <v>9.373806564619688</v>
      </c>
      <c r="P112" s="2">
        <f>MAX(SUMIFS('Globiom data'!O$2:O$9999,'Globiom data'!$A$2:$A$9999,Veda!$D112,'Globiom data'!$D$2:$D$9999,VLOOKUP(Veda!$B112,'Globiom data'!$V$21:$X$29,2,FALSE),'Globiom data'!$E$2:$E$9999,Veda!$C$1),0)*1000</f>
        <v>9.7460936446282656</v>
      </c>
      <c r="Q112" s="2">
        <f>MAX(SUMIFS('Globiom data'!P$2:P$9999,'Globiom data'!$A$2:$A$9999,Veda!$D112,'Globiom data'!$D$2:$D$9999,VLOOKUP(Veda!$B112,'Globiom data'!$V$21:$X$29,2,FALSE),'Globiom data'!$E$2:$E$9999,Veda!$C$1),0)*1000</f>
        <v>10.500340005945773</v>
      </c>
      <c r="R112">
        <v>3</v>
      </c>
    </row>
    <row r="113" spans="1:18" x14ac:dyDescent="0.45">
      <c r="A113" s="8">
        <f t="shared" si="7"/>
        <v>16</v>
      </c>
      <c r="B113" s="8">
        <f t="shared" si="8"/>
        <v>3</v>
      </c>
      <c r="D113" t="str">
        <f>VLOOKUP(A113,'Globiom data'!$S$21:$T$51,2,FALSE)</f>
        <v>EU_southwest</v>
      </c>
      <c r="E113" t="str">
        <f>VLOOKUP(B113,'Globiom data'!$V$21:$X$30,3,FALSE)</f>
        <v>MinBIOBSL-03</v>
      </c>
      <c r="F113" t="s">
        <v>53</v>
      </c>
      <c r="G113" s="2">
        <f>MAX(SUMIFS('Globiom data'!F$2:F$9999,'Globiom data'!$A$2:$A$9999,Veda!$D113,'Globiom data'!$D$2:$D$9999,VLOOKUP(Veda!$B113,'Globiom data'!$V$21:$X$29,2,FALSE),'Globiom data'!$E$2:$E$9999,Veda!$C$1),0)*1000</f>
        <v>0</v>
      </c>
      <c r="H113" s="2">
        <f>MAX(SUMIFS('Globiom data'!G$2:G$9999,'Globiom data'!$A$2:$A$9999,Veda!$D113,'Globiom data'!$D$2:$D$9999,VLOOKUP(Veda!$B113,'Globiom data'!$V$21:$X$29,2,FALSE),'Globiom data'!$E$2:$E$9999,Veda!$C$1),0)*1000</f>
        <v>0.19653926319654721</v>
      </c>
      <c r="I113" s="2">
        <f>MAX(SUMIFS('Globiom data'!H$2:H$9999,'Globiom data'!$A$2:$A$9999,Veda!$D113,'Globiom data'!$D$2:$D$9999,VLOOKUP(Veda!$B113,'Globiom data'!$V$21:$X$29,2,FALSE),'Globiom data'!$E$2:$E$9999,Veda!$C$1),0)*1000</f>
        <v>0.19653926319654721</v>
      </c>
      <c r="J113" s="2">
        <f>MAX(SUMIFS('Globiom data'!I$2:I$9999,'Globiom data'!$A$2:$A$9999,Veda!$D113,'Globiom data'!$D$2:$D$9999,VLOOKUP(Veda!$B113,'Globiom data'!$V$21:$X$29,2,FALSE),'Globiom data'!$E$2:$E$9999,Veda!$C$1),0)*1000</f>
        <v>0.753344864226413</v>
      </c>
      <c r="K113" s="2">
        <f>MAX(SUMIFS('Globiom data'!J$2:J$9999,'Globiom data'!$A$2:$A$9999,Veda!$D113,'Globiom data'!$D$2:$D$9999,VLOOKUP(Veda!$B113,'Globiom data'!$V$21:$X$29,2,FALSE),'Globiom data'!$E$2:$E$9999,Veda!$C$1),0)*1000</f>
        <v>0.87149029259136124</v>
      </c>
      <c r="L113" s="2">
        <f>MAX(SUMIFS('Globiom data'!K$2:K$9999,'Globiom data'!$A$2:$A$9999,Veda!$D113,'Globiom data'!$D$2:$D$9999,VLOOKUP(Veda!$B113,'Globiom data'!$V$21:$X$29,2,FALSE),'Globiom data'!$E$2:$E$9999,Veda!$C$1),0)*1000</f>
        <v>1.5810857952818789</v>
      </c>
      <c r="M113" s="2">
        <f>MAX(SUMIFS('Globiom data'!L$2:L$9999,'Globiom data'!$A$2:$A$9999,Veda!$D113,'Globiom data'!$D$2:$D$9999,VLOOKUP(Veda!$B113,'Globiom data'!$V$21:$X$29,2,FALSE),'Globiom data'!$E$2:$E$9999,Veda!$C$1),0)*1000</f>
        <v>8.6891760885996874</v>
      </c>
      <c r="N113" s="2">
        <f>MAX(SUMIFS('Globiom data'!M$2:M$9999,'Globiom data'!$A$2:$A$9999,Veda!$D113,'Globiom data'!$D$2:$D$9999,VLOOKUP(Veda!$B113,'Globiom data'!$V$21:$X$29,2,FALSE),'Globiom data'!$E$2:$E$9999,Veda!$C$1),0)*1000</f>
        <v>8.8858757454483079</v>
      </c>
      <c r="O113" s="2">
        <f>MAX(SUMIFS('Globiom data'!N$2:N$9999,'Globiom data'!$A$2:$A$9999,Veda!$D113,'Globiom data'!$D$2:$D$9999,VLOOKUP(Veda!$B113,'Globiom data'!$V$21:$X$29,2,FALSE),'Globiom data'!$E$2:$E$9999,Veda!$C$1),0)*1000</f>
        <v>23.209511213409407</v>
      </c>
      <c r="P113" s="2">
        <f>MAX(SUMIFS('Globiom data'!O$2:O$9999,'Globiom data'!$A$2:$A$9999,Veda!$D113,'Globiom data'!$D$2:$D$9999,VLOOKUP(Veda!$B113,'Globiom data'!$V$21:$X$29,2,FALSE),'Globiom data'!$E$2:$E$9999,Veda!$C$1),0)*1000</f>
        <v>28.461219887797323</v>
      </c>
      <c r="Q113" s="2">
        <f>MAX(SUMIFS('Globiom data'!P$2:P$9999,'Globiom data'!$A$2:$A$9999,Veda!$D113,'Globiom data'!$D$2:$D$9999,VLOOKUP(Veda!$B113,'Globiom data'!$V$21:$X$29,2,FALSE),'Globiom data'!$E$2:$E$9999,Veda!$C$1),0)*1000</f>
        <v>44.92079055099957</v>
      </c>
      <c r="R113">
        <v>3</v>
      </c>
    </row>
    <row r="114" spans="1:18" x14ac:dyDescent="0.45">
      <c r="A114" s="8">
        <f t="shared" si="7"/>
        <v>16</v>
      </c>
      <c r="B114" s="8">
        <f t="shared" si="8"/>
        <v>4</v>
      </c>
      <c r="D114" t="str">
        <f>VLOOKUP(A114,'Globiom data'!$S$21:$T$51,2,FALSE)</f>
        <v>EU_southwest</v>
      </c>
      <c r="E114" t="str">
        <f>VLOOKUP(B114,'Globiom data'!$V$21:$X$30,3,FALSE)</f>
        <v>MinBIOBSL-04</v>
      </c>
      <c r="F114" t="s">
        <v>53</v>
      </c>
      <c r="G114" s="2">
        <f>MAX(SUMIFS('Globiom data'!F$2:F$9999,'Globiom data'!$A$2:$A$9999,Veda!$D114,'Globiom data'!$D$2:$D$9999,VLOOKUP(Veda!$B114,'Globiom data'!$V$21:$X$29,2,FALSE),'Globiom data'!$E$2:$E$9999,Veda!$C$1),0)*1000</f>
        <v>0</v>
      </c>
      <c r="H114" s="2">
        <f>MAX(SUMIFS('Globiom data'!G$2:G$9999,'Globiom data'!$A$2:$A$9999,Veda!$D114,'Globiom data'!$D$2:$D$9999,VLOOKUP(Veda!$B114,'Globiom data'!$V$21:$X$29,2,FALSE),'Globiom data'!$E$2:$E$9999,Veda!$C$1),0)*1000</f>
        <v>0.20064013635834654</v>
      </c>
      <c r="I114" s="2">
        <f>MAX(SUMIFS('Globiom data'!H$2:H$9999,'Globiom data'!$A$2:$A$9999,Veda!$D114,'Globiom data'!$D$2:$D$9999,VLOOKUP(Veda!$B114,'Globiom data'!$V$21:$X$29,2,FALSE),'Globiom data'!$E$2:$E$9999,Veda!$C$1),0)*1000</f>
        <v>0.20064013635834654</v>
      </c>
      <c r="J114" s="2">
        <f>MAX(SUMIFS('Globiom data'!I$2:I$9999,'Globiom data'!$A$2:$A$9999,Veda!$D114,'Globiom data'!$D$2:$D$9999,VLOOKUP(Veda!$B114,'Globiom data'!$V$21:$X$29,2,FALSE),'Globiom data'!$E$2:$E$9999,Veda!$C$1),0)*1000</f>
        <v>0.86075314429858729</v>
      </c>
      <c r="K114" s="2">
        <f>MAX(SUMIFS('Globiom data'!J$2:J$9999,'Globiom data'!$A$2:$A$9999,Veda!$D114,'Globiom data'!$D$2:$D$9999,VLOOKUP(Veda!$B114,'Globiom data'!$V$21:$X$29,2,FALSE),'Globiom data'!$E$2:$E$9999,Veda!$C$1),0)*1000</f>
        <v>8.5378548649510364</v>
      </c>
      <c r="L114" s="2">
        <f>MAX(SUMIFS('Globiom data'!K$2:K$9999,'Globiom data'!$A$2:$A$9999,Veda!$D114,'Globiom data'!$D$2:$D$9999,VLOOKUP(Veda!$B114,'Globiom data'!$V$21:$X$29,2,FALSE),'Globiom data'!$E$2:$E$9999,Veda!$C$1),0)*1000</f>
        <v>8.16530457526191</v>
      </c>
      <c r="M114" s="2">
        <f>MAX(SUMIFS('Globiom data'!L$2:L$9999,'Globiom data'!$A$2:$A$9999,Veda!$D114,'Globiom data'!$D$2:$D$9999,VLOOKUP(Veda!$B114,'Globiom data'!$V$21:$X$29,2,FALSE),'Globiom data'!$E$2:$E$9999,Veda!$C$1),0)*1000</f>
        <v>26.414283590558718</v>
      </c>
      <c r="N114" s="2">
        <f>MAX(SUMIFS('Globiom data'!M$2:M$9999,'Globiom data'!$A$2:$A$9999,Veda!$D114,'Globiom data'!$D$2:$D$9999,VLOOKUP(Veda!$B114,'Globiom data'!$V$21:$X$29,2,FALSE),'Globiom data'!$E$2:$E$9999,Veda!$C$1),0)*1000</f>
        <v>45.5928273135697</v>
      </c>
      <c r="O114" s="2">
        <f>MAX(SUMIFS('Globiom data'!N$2:N$9999,'Globiom data'!$A$2:$A$9999,Veda!$D114,'Globiom data'!$D$2:$D$9999,VLOOKUP(Veda!$B114,'Globiom data'!$V$21:$X$29,2,FALSE),'Globiom data'!$E$2:$E$9999,Veda!$C$1),0)*1000</f>
        <v>42.720713181891618</v>
      </c>
      <c r="P114" s="2">
        <f>MAX(SUMIFS('Globiom data'!O$2:O$9999,'Globiom data'!$A$2:$A$9999,Veda!$D114,'Globiom data'!$D$2:$D$9999,VLOOKUP(Veda!$B114,'Globiom data'!$V$21:$X$29,2,FALSE),'Globiom data'!$E$2:$E$9999,Veda!$C$1),0)*1000</f>
        <v>54.559167636967345</v>
      </c>
      <c r="Q114" s="2">
        <f>MAX(SUMIFS('Globiom data'!P$2:P$9999,'Globiom data'!$A$2:$A$9999,Veda!$D114,'Globiom data'!$D$2:$D$9999,VLOOKUP(Veda!$B114,'Globiom data'!$V$21:$X$29,2,FALSE),'Globiom data'!$E$2:$E$9999,Veda!$C$1),0)*1000</f>
        <v>84.984301627765944</v>
      </c>
      <c r="R114">
        <v>3</v>
      </c>
    </row>
    <row r="115" spans="1:18" x14ac:dyDescent="0.45">
      <c r="A115" s="8">
        <f t="shared" si="7"/>
        <v>16</v>
      </c>
      <c r="B115" s="8">
        <f t="shared" si="8"/>
        <v>5</v>
      </c>
      <c r="D115" t="str">
        <f>VLOOKUP(A115,'Globiom data'!$S$21:$T$51,2,FALSE)</f>
        <v>EU_southwest</v>
      </c>
      <c r="E115" t="str">
        <f>VLOOKUP(B115,'Globiom data'!$V$21:$X$30,3,FALSE)</f>
        <v>MinBIOBSL-05</v>
      </c>
      <c r="F115" t="s">
        <v>53</v>
      </c>
      <c r="G115" s="2">
        <f>MAX(SUMIFS('Globiom data'!F$2:F$9999,'Globiom data'!$A$2:$A$9999,Veda!$D115,'Globiom data'!$D$2:$D$9999,VLOOKUP(Veda!$B115,'Globiom data'!$V$21:$X$29,2,FALSE),'Globiom data'!$E$2:$E$9999,Veda!$C$1),0)*1000</f>
        <v>0</v>
      </c>
      <c r="H115" s="2">
        <f>MAX(SUMIFS('Globiom data'!G$2:G$9999,'Globiom data'!$A$2:$A$9999,Veda!$D115,'Globiom data'!$D$2:$D$9999,VLOOKUP(Veda!$B115,'Globiom data'!$V$21:$X$29,2,FALSE),'Globiom data'!$E$2:$E$9999,Veda!$C$1),0)*1000</f>
        <v>0.26615332565807498</v>
      </c>
      <c r="I115" s="2">
        <f>MAX(SUMIFS('Globiom data'!H$2:H$9999,'Globiom data'!$A$2:$A$9999,Veda!$D115,'Globiom data'!$D$2:$D$9999,VLOOKUP(Veda!$B115,'Globiom data'!$V$21:$X$29,2,FALSE),'Globiom data'!$E$2:$E$9999,Veda!$C$1),0)*1000</f>
        <v>0.26615332565807498</v>
      </c>
      <c r="J115" s="2">
        <f>MAX(SUMIFS('Globiom data'!I$2:I$9999,'Globiom data'!$A$2:$A$9999,Veda!$D115,'Globiom data'!$D$2:$D$9999,VLOOKUP(Veda!$B115,'Globiom data'!$V$21:$X$29,2,FALSE),'Globiom data'!$E$2:$E$9999,Veda!$C$1),0)*1000</f>
        <v>9.2922468699102563</v>
      </c>
      <c r="K115" s="2">
        <f>MAX(SUMIFS('Globiom data'!J$2:J$9999,'Globiom data'!$A$2:$A$9999,Veda!$D115,'Globiom data'!$D$2:$D$9999,VLOOKUP(Veda!$B115,'Globiom data'!$V$21:$X$29,2,FALSE),'Globiom data'!$E$2:$E$9999,Veda!$C$1),0)*1000</f>
        <v>22.280469165561776</v>
      </c>
      <c r="L115" s="2">
        <f>MAX(SUMIFS('Globiom data'!K$2:K$9999,'Globiom data'!$A$2:$A$9999,Veda!$D115,'Globiom data'!$D$2:$D$9999,VLOOKUP(Veda!$B115,'Globiom data'!$V$21:$X$29,2,FALSE),'Globiom data'!$E$2:$E$9999,Veda!$C$1),0)*1000</f>
        <v>49.651364049013132</v>
      </c>
      <c r="M115" s="2">
        <f>MAX(SUMIFS('Globiom data'!L$2:L$9999,'Globiom data'!$A$2:$A$9999,Veda!$D115,'Globiom data'!$D$2:$D$9999,VLOOKUP(Veda!$B115,'Globiom data'!$V$21:$X$29,2,FALSE),'Globiom data'!$E$2:$E$9999,Veda!$C$1),0)*1000</f>
        <v>45.477344006817773</v>
      </c>
      <c r="N115" s="2">
        <f>MAX(SUMIFS('Globiom data'!M$2:M$9999,'Globiom data'!$A$2:$A$9999,Veda!$D115,'Globiom data'!$D$2:$D$9999,VLOOKUP(Veda!$B115,'Globiom data'!$V$21:$X$29,2,FALSE),'Globiom data'!$E$2:$E$9999,Veda!$C$1),0)*1000</f>
        <v>83.949577460049255</v>
      </c>
      <c r="O115" s="2">
        <f>MAX(SUMIFS('Globiom data'!N$2:N$9999,'Globiom data'!$A$2:$A$9999,Veda!$D115,'Globiom data'!$D$2:$D$9999,VLOOKUP(Veda!$B115,'Globiom data'!$V$21:$X$29,2,FALSE),'Globiom data'!$E$2:$E$9999,Veda!$C$1),0)*1000</f>
        <v>131.8425323036752</v>
      </c>
      <c r="P115" s="2">
        <f>MAX(SUMIFS('Globiom data'!O$2:O$9999,'Globiom data'!$A$2:$A$9999,Veda!$D115,'Globiom data'!$D$2:$D$9999,VLOOKUP(Veda!$B115,'Globiom data'!$V$21:$X$29,2,FALSE),'Globiom data'!$E$2:$E$9999,Veda!$C$1),0)*1000</f>
        <v>179.26131142465357</v>
      </c>
      <c r="Q115" s="2">
        <f>MAX(SUMIFS('Globiom data'!P$2:P$9999,'Globiom data'!$A$2:$A$9999,Veda!$D115,'Globiom data'!$D$2:$D$9999,VLOOKUP(Veda!$B115,'Globiom data'!$V$21:$X$29,2,FALSE),'Globiom data'!$E$2:$E$9999,Veda!$C$1),0)*1000</f>
        <v>188.63463693451718</v>
      </c>
      <c r="R115">
        <v>3</v>
      </c>
    </row>
    <row r="116" spans="1:18" x14ac:dyDescent="0.45">
      <c r="A116" s="8">
        <f t="shared" si="7"/>
        <v>16</v>
      </c>
      <c r="B116" s="8">
        <f t="shared" si="8"/>
        <v>6</v>
      </c>
      <c r="D116" t="str">
        <f>VLOOKUP(A116,'Globiom data'!$S$21:$T$51,2,FALSE)</f>
        <v>EU_southwest</v>
      </c>
      <c r="E116" t="str">
        <f>VLOOKUP(B116,'Globiom data'!$V$21:$X$30,3,FALSE)</f>
        <v>MinBIOBSL-06</v>
      </c>
      <c r="F116" t="s">
        <v>53</v>
      </c>
      <c r="G116" s="2">
        <f>MAX(SUMIFS('Globiom data'!F$2:F$9999,'Globiom data'!$A$2:$A$9999,Veda!$D116,'Globiom data'!$D$2:$D$9999,VLOOKUP(Veda!$B116,'Globiom data'!$V$21:$X$29,2,FALSE),'Globiom data'!$E$2:$E$9999,Veda!$C$1),0)*1000</f>
        <v>0</v>
      </c>
      <c r="H116" s="2">
        <f>MAX(SUMIFS('Globiom data'!G$2:G$9999,'Globiom data'!$A$2:$A$9999,Veda!$D116,'Globiom data'!$D$2:$D$9999,VLOOKUP(Veda!$B116,'Globiom data'!$V$21:$X$29,2,FALSE),'Globiom data'!$E$2:$E$9999,Veda!$C$1),0)*1000</f>
        <v>2.514599188548126</v>
      </c>
      <c r="I116" s="2">
        <f>MAX(SUMIFS('Globiom data'!H$2:H$9999,'Globiom data'!$A$2:$A$9999,Veda!$D116,'Globiom data'!$D$2:$D$9999,VLOOKUP(Veda!$B116,'Globiom data'!$V$21:$X$29,2,FALSE),'Globiom data'!$E$2:$E$9999,Veda!$C$1),0)*1000</f>
        <v>2.514599188548126</v>
      </c>
      <c r="J116" s="2">
        <f>MAX(SUMIFS('Globiom data'!I$2:I$9999,'Globiom data'!$A$2:$A$9999,Veda!$D116,'Globiom data'!$D$2:$D$9999,VLOOKUP(Veda!$B116,'Globiom data'!$V$21:$X$29,2,FALSE),'Globiom data'!$E$2:$E$9999,Veda!$C$1),0)*1000</f>
        <v>44.205153367092464</v>
      </c>
      <c r="K116" s="2">
        <f>MAX(SUMIFS('Globiom data'!J$2:J$9999,'Globiom data'!$A$2:$A$9999,Veda!$D116,'Globiom data'!$D$2:$D$9999,VLOOKUP(Veda!$B116,'Globiom data'!$V$21:$X$29,2,FALSE),'Globiom data'!$E$2:$E$9999,Veda!$C$1),0)*1000</f>
        <v>96.610352480805645</v>
      </c>
      <c r="L116" s="2">
        <f>MAX(SUMIFS('Globiom data'!K$2:K$9999,'Globiom data'!$A$2:$A$9999,Veda!$D116,'Globiom data'!$D$2:$D$9999,VLOOKUP(Veda!$B116,'Globiom data'!$V$21:$X$29,2,FALSE),'Globiom data'!$E$2:$E$9999,Veda!$C$1),0)*1000</f>
        <v>148.37513021607577</v>
      </c>
      <c r="M116" s="2">
        <f>MAX(SUMIFS('Globiom data'!L$2:L$9999,'Globiom data'!$A$2:$A$9999,Veda!$D116,'Globiom data'!$D$2:$D$9999,VLOOKUP(Veda!$B116,'Globiom data'!$V$21:$X$29,2,FALSE),'Globiom data'!$E$2:$E$9999,Veda!$C$1),0)*1000</f>
        <v>198.06080588904402</v>
      </c>
      <c r="N116" s="2">
        <f>MAX(SUMIFS('Globiom data'!M$2:M$9999,'Globiom data'!$A$2:$A$9999,Veda!$D116,'Globiom data'!$D$2:$D$9999,VLOOKUP(Veda!$B116,'Globiom data'!$V$21:$X$29,2,FALSE),'Globiom data'!$E$2:$E$9999,Veda!$C$1),0)*1000</f>
        <v>204.585679906981</v>
      </c>
      <c r="O116" s="2">
        <f>MAX(SUMIFS('Globiom data'!N$2:N$9999,'Globiom data'!$A$2:$A$9999,Veda!$D116,'Globiom data'!$D$2:$D$9999,VLOOKUP(Veda!$B116,'Globiom data'!$V$21:$X$29,2,FALSE),'Globiom data'!$E$2:$E$9999,Veda!$C$1),0)*1000</f>
        <v>200.99506644026141</v>
      </c>
      <c r="P116" s="2">
        <f>MAX(SUMIFS('Globiom data'!O$2:O$9999,'Globiom data'!$A$2:$A$9999,Veda!$D116,'Globiom data'!$D$2:$D$9999,VLOOKUP(Veda!$B116,'Globiom data'!$V$21:$X$29,2,FALSE),'Globiom data'!$E$2:$E$9999,Veda!$C$1),0)*1000</f>
        <v>198.79025999481888</v>
      </c>
      <c r="Q116" s="2">
        <f>MAX(SUMIFS('Globiom data'!P$2:P$9999,'Globiom data'!$A$2:$A$9999,Veda!$D116,'Globiom data'!$D$2:$D$9999,VLOOKUP(Veda!$B116,'Globiom data'!$V$21:$X$29,2,FALSE),'Globiom data'!$E$2:$E$9999,Veda!$C$1),0)*1000</f>
        <v>208.75924367291918</v>
      </c>
      <c r="R116">
        <v>3</v>
      </c>
    </row>
    <row r="117" spans="1:18" x14ac:dyDescent="0.45">
      <c r="A117" s="8">
        <f t="shared" si="7"/>
        <v>16</v>
      </c>
      <c r="B117" s="8">
        <f t="shared" si="8"/>
        <v>7</v>
      </c>
      <c r="D117" t="str">
        <f>VLOOKUP(A117,'Globiom data'!$S$21:$T$51,2,FALSE)</f>
        <v>EU_southwest</v>
      </c>
      <c r="E117" t="str">
        <f>VLOOKUP(B117,'Globiom data'!$V$21:$X$30,3,FALSE)</f>
        <v>MinBIOBSL-07</v>
      </c>
      <c r="F117" t="s">
        <v>53</v>
      </c>
      <c r="G117" s="2">
        <f>MAX(SUMIFS('Globiom data'!F$2:F$9999,'Globiom data'!$A$2:$A$9999,Veda!$D117,'Globiom data'!$D$2:$D$9999,VLOOKUP(Veda!$B117,'Globiom data'!$V$21:$X$29,2,FALSE),'Globiom data'!$E$2:$E$9999,Veda!$C$1),0)*1000</f>
        <v>0</v>
      </c>
      <c r="H117" s="2">
        <f>MAX(SUMIFS('Globiom data'!G$2:G$9999,'Globiom data'!$A$2:$A$9999,Veda!$D117,'Globiom data'!$D$2:$D$9999,VLOOKUP(Veda!$B117,'Globiom data'!$V$21:$X$29,2,FALSE),'Globiom data'!$E$2:$E$9999,Veda!$C$1),0)*1000</f>
        <v>24.075397238650329</v>
      </c>
      <c r="I117" s="2">
        <f>MAX(SUMIFS('Globiom data'!H$2:H$9999,'Globiom data'!$A$2:$A$9999,Veda!$D117,'Globiom data'!$D$2:$D$9999,VLOOKUP(Veda!$B117,'Globiom data'!$V$21:$X$29,2,FALSE),'Globiom data'!$E$2:$E$9999,Veda!$C$1),0)*1000</f>
        <v>24.075397238650329</v>
      </c>
      <c r="J117" s="2">
        <f>MAX(SUMIFS('Globiom data'!I$2:I$9999,'Globiom data'!$A$2:$A$9999,Veda!$D117,'Globiom data'!$D$2:$D$9999,VLOOKUP(Veda!$B117,'Globiom data'!$V$21:$X$29,2,FALSE),'Globiom data'!$E$2:$E$9999,Veda!$C$1),0)*1000</f>
        <v>85.512271258963381</v>
      </c>
      <c r="K117" s="2">
        <f>MAX(SUMIFS('Globiom data'!J$2:J$9999,'Globiom data'!$A$2:$A$9999,Veda!$D117,'Globiom data'!$D$2:$D$9999,VLOOKUP(Veda!$B117,'Globiom data'!$V$21:$X$29,2,FALSE),'Globiom data'!$E$2:$E$9999,Veda!$C$1),0)*1000</f>
        <v>80.107429507164568</v>
      </c>
      <c r="L117" s="2">
        <f>MAX(SUMIFS('Globiom data'!K$2:K$9999,'Globiom data'!$A$2:$A$9999,Veda!$D117,'Globiom data'!$D$2:$D$9999,VLOOKUP(Veda!$B117,'Globiom data'!$V$21:$X$29,2,FALSE),'Globiom data'!$E$2:$E$9999,Veda!$C$1),0)*1000</f>
        <v>69.071142857412468</v>
      </c>
      <c r="M117" s="2">
        <f>MAX(SUMIFS('Globiom data'!L$2:L$9999,'Globiom data'!$A$2:$A$9999,Veda!$D117,'Globiom data'!$D$2:$D$9999,VLOOKUP(Veda!$B117,'Globiom data'!$V$21:$X$29,2,FALSE),'Globiom data'!$E$2:$E$9999,Veda!$C$1),0)*1000</f>
        <v>89.930575429516637</v>
      </c>
      <c r="N117" s="2">
        <f>MAX(SUMIFS('Globiom data'!M$2:M$9999,'Globiom data'!$A$2:$A$9999,Veda!$D117,'Globiom data'!$D$2:$D$9999,VLOOKUP(Veda!$B117,'Globiom data'!$V$21:$X$29,2,FALSE),'Globiom data'!$E$2:$E$9999,Veda!$C$1),0)*1000</f>
        <v>121.74908258534983</v>
      </c>
      <c r="O117" s="2">
        <f>MAX(SUMIFS('Globiom data'!N$2:N$9999,'Globiom data'!$A$2:$A$9999,Veda!$D117,'Globiom data'!$D$2:$D$9999,VLOOKUP(Veda!$B117,'Globiom data'!$V$21:$X$29,2,FALSE),'Globiom data'!$E$2:$E$9999,Veda!$C$1),0)*1000</f>
        <v>158.79497599296442</v>
      </c>
      <c r="P117" s="2">
        <f>MAX(SUMIFS('Globiom data'!O$2:O$9999,'Globiom data'!$A$2:$A$9999,Veda!$D117,'Globiom data'!$D$2:$D$9999,VLOOKUP(Veda!$B117,'Globiom data'!$V$21:$X$29,2,FALSE),'Globiom data'!$E$2:$E$9999,Veda!$C$1),0)*1000</f>
        <v>195.63709547754493</v>
      </c>
      <c r="Q117" s="2">
        <f>MAX(SUMIFS('Globiom data'!P$2:P$9999,'Globiom data'!$A$2:$A$9999,Veda!$D117,'Globiom data'!$D$2:$D$9999,VLOOKUP(Veda!$B117,'Globiom data'!$V$21:$X$29,2,FALSE),'Globiom data'!$E$2:$E$9999,Veda!$C$1),0)*1000</f>
        <v>211.88691012688616</v>
      </c>
      <c r="R117">
        <v>3</v>
      </c>
    </row>
    <row r="118" spans="1:18" x14ac:dyDescent="0.45">
      <c r="A118" s="8">
        <f t="shared" si="7"/>
        <v>17</v>
      </c>
      <c r="B118" s="8">
        <f t="shared" si="8"/>
        <v>1</v>
      </c>
      <c r="D118" t="str">
        <f>VLOOKUP(A118,'Globiom data'!$S$21:$T$51,2,FALSE)</f>
        <v>Europe_other</v>
      </c>
      <c r="E118" t="str">
        <f>VLOOKUP(B118,'Globiom data'!$V$21:$X$30,3,FALSE)</f>
        <v>MinBIOBSL-01</v>
      </c>
      <c r="F118" t="s">
        <v>53</v>
      </c>
      <c r="G118" s="2">
        <f>MAX(SUMIFS('Globiom data'!F$2:F$9999,'Globiom data'!$A$2:$A$9999,Veda!$D118,'Globiom data'!$D$2:$D$9999,VLOOKUP(Veda!$B118,'Globiom data'!$V$21:$X$29,2,FALSE),'Globiom data'!$E$2:$E$9999,Veda!$C$1),0)*1000</f>
        <v>486.06669901386243</v>
      </c>
      <c r="H118" s="2">
        <f>MAX(SUMIFS('Globiom data'!G$2:G$9999,'Globiom data'!$A$2:$A$9999,Veda!$D118,'Globiom data'!$D$2:$D$9999,VLOOKUP(Veda!$B118,'Globiom data'!$V$21:$X$29,2,FALSE),'Globiom data'!$E$2:$E$9999,Veda!$C$1),0)*1000</f>
        <v>323.93180290982087</v>
      </c>
      <c r="I118" s="2">
        <f>MAX(SUMIFS('Globiom data'!H$2:H$9999,'Globiom data'!$A$2:$A$9999,Veda!$D118,'Globiom data'!$D$2:$D$9999,VLOOKUP(Veda!$B118,'Globiom data'!$V$21:$X$29,2,FALSE),'Globiom data'!$E$2:$E$9999,Veda!$C$1),0)*1000</f>
        <v>323.93180290982087</v>
      </c>
      <c r="J118" s="2">
        <f>MAX(SUMIFS('Globiom data'!I$2:I$9999,'Globiom data'!$A$2:$A$9999,Veda!$D118,'Globiom data'!$D$2:$D$9999,VLOOKUP(Veda!$B118,'Globiom data'!$V$21:$X$29,2,FALSE),'Globiom data'!$E$2:$E$9999,Veda!$C$1),0)*1000</f>
        <v>321.1621227133013</v>
      </c>
      <c r="K118" s="2">
        <f>MAX(SUMIFS('Globiom data'!J$2:J$9999,'Globiom data'!$A$2:$A$9999,Veda!$D118,'Globiom data'!$D$2:$D$9999,VLOOKUP(Veda!$B118,'Globiom data'!$V$21:$X$29,2,FALSE),'Globiom data'!$E$2:$E$9999,Veda!$C$1),0)*1000</f>
        <v>326.52136092412701</v>
      </c>
      <c r="L118" s="2">
        <f>MAX(SUMIFS('Globiom data'!K$2:K$9999,'Globiom data'!$A$2:$A$9999,Veda!$D118,'Globiom data'!$D$2:$D$9999,VLOOKUP(Veda!$B118,'Globiom data'!$V$21:$X$29,2,FALSE),'Globiom data'!$E$2:$E$9999,Veda!$C$1),0)*1000</f>
        <v>327.65617588920912</v>
      </c>
      <c r="M118" s="2">
        <f>MAX(SUMIFS('Globiom data'!L$2:L$9999,'Globiom data'!$A$2:$A$9999,Veda!$D118,'Globiom data'!$D$2:$D$9999,VLOOKUP(Veda!$B118,'Globiom data'!$V$21:$X$29,2,FALSE),'Globiom data'!$E$2:$E$9999,Veda!$C$1),0)*1000</f>
        <v>326.8072776398563</v>
      </c>
      <c r="N118" s="2">
        <f>MAX(SUMIFS('Globiom data'!M$2:M$9999,'Globiom data'!$A$2:$A$9999,Veda!$D118,'Globiom data'!$D$2:$D$9999,VLOOKUP(Veda!$B118,'Globiom data'!$V$21:$X$29,2,FALSE),'Globiom data'!$E$2:$E$9999,Veda!$C$1),0)*1000</f>
        <v>326.30714677485582</v>
      </c>
      <c r="O118" s="2">
        <f>MAX(SUMIFS('Globiom data'!N$2:N$9999,'Globiom data'!$A$2:$A$9999,Veda!$D118,'Globiom data'!$D$2:$D$9999,VLOOKUP(Veda!$B118,'Globiom data'!$V$21:$X$29,2,FALSE),'Globiom data'!$E$2:$E$9999,Veda!$C$1),0)*1000</f>
        <v>325.97778919925003</v>
      </c>
      <c r="P118" s="2">
        <f>MAX(SUMIFS('Globiom data'!O$2:O$9999,'Globiom data'!$A$2:$A$9999,Veda!$D118,'Globiom data'!$D$2:$D$9999,VLOOKUP(Veda!$B118,'Globiom data'!$V$21:$X$29,2,FALSE),'Globiom data'!$E$2:$E$9999,Veda!$C$1),0)*1000</f>
        <v>325.56266859828344</v>
      </c>
      <c r="Q118" s="2">
        <f>MAX(SUMIFS('Globiom data'!P$2:P$9999,'Globiom data'!$A$2:$A$9999,Veda!$D118,'Globiom data'!$D$2:$D$9999,VLOOKUP(Veda!$B118,'Globiom data'!$V$21:$X$29,2,FALSE),'Globiom data'!$E$2:$E$9999,Veda!$C$1),0)*1000</f>
        <v>327.46400232728115</v>
      </c>
      <c r="R118">
        <v>3</v>
      </c>
    </row>
    <row r="119" spans="1:18" x14ac:dyDescent="0.45">
      <c r="A119" s="8">
        <f t="shared" si="7"/>
        <v>17</v>
      </c>
      <c r="B119" s="8">
        <f t="shared" si="8"/>
        <v>2</v>
      </c>
      <c r="D119" t="str">
        <f>VLOOKUP(A119,'Globiom data'!$S$21:$T$51,2,FALSE)</f>
        <v>Europe_other</v>
      </c>
      <c r="E119" t="str">
        <f>VLOOKUP(B119,'Globiom data'!$V$21:$X$30,3,FALSE)</f>
        <v>MinBIOBSL-02</v>
      </c>
      <c r="F119" t="s">
        <v>53</v>
      </c>
      <c r="G119" s="2">
        <f>MAX(SUMIFS('Globiom data'!F$2:F$9999,'Globiom data'!$A$2:$A$9999,Veda!$D119,'Globiom data'!$D$2:$D$9999,VLOOKUP(Veda!$B119,'Globiom data'!$V$21:$X$29,2,FALSE),'Globiom data'!$E$2:$E$9999,Veda!$C$1),0)*1000</f>
        <v>0</v>
      </c>
      <c r="H119" s="2">
        <f>MAX(SUMIFS('Globiom data'!G$2:G$9999,'Globiom data'!$A$2:$A$9999,Veda!$D119,'Globiom data'!$D$2:$D$9999,VLOOKUP(Veda!$B119,'Globiom data'!$V$21:$X$29,2,FALSE),'Globiom data'!$E$2:$E$9999,Veda!$C$1),0)*1000</f>
        <v>0.21277857979492956</v>
      </c>
      <c r="I119" s="2">
        <f>MAX(SUMIFS('Globiom data'!H$2:H$9999,'Globiom data'!$A$2:$A$9999,Veda!$D119,'Globiom data'!$D$2:$D$9999,VLOOKUP(Veda!$B119,'Globiom data'!$V$21:$X$29,2,FALSE),'Globiom data'!$E$2:$E$9999,Veda!$C$1),0)*1000</f>
        <v>0.21277857979492956</v>
      </c>
      <c r="J119" s="2">
        <f>MAX(SUMIFS('Globiom data'!I$2:I$9999,'Globiom data'!$A$2:$A$9999,Veda!$D119,'Globiom data'!$D$2:$D$9999,VLOOKUP(Veda!$B119,'Globiom data'!$V$21:$X$29,2,FALSE),'Globiom data'!$E$2:$E$9999,Veda!$C$1),0)*1000</f>
        <v>1.1710109889484541</v>
      </c>
      <c r="K119" s="2">
        <f>MAX(SUMIFS('Globiom data'!J$2:J$9999,'Globiom data'!$A$2:$A$9999,Veda!$D119,'Globiom data'!$D$2:$D$9999,VLOOKUP(Veda!$B119,'Globiom data'!$V$21:$X$29,2,FALSE),'Globiom data'!$E$2:$E$9999,Veda!$C$1),0)*1000</f>
        <v>1.6506904641085776</v>
      </c>
      <c r="L119" s="2">
        <f>MAX(SUMIFS('Globiom data'!K$2:K$9999,'Globiom data'!$A$2:$A$9999,Veda!$D119,'Globiom data'!$D$2:$D$9999,VLOOKUP(Veda!$B119,'Globiom data'!$V$21:$X$29,2,FALSE),'Globiom data'!$E$2:$E$9999,Veda!$C$1),0)*1000</f>
        <v>1.7926431648508527</v>
      </c>
      <c r="M119" s="2">
        <f>MAX(SUMIFS('Globiom data'!L$2:L$9999,'Globiom data'!$A$2:$A$9999,Veda!$D119,'Globiom data'!$D$2:$D$9999,VLOOKUP(Veda!$B119,'Globiom data'!$V$21:$X$29,2,FALSE),'Globiom data'!$E$2:$E$9999,Veda!$C$1),0)*1000</f>
        <v>2.5869776616296218</v>
      </c>
      <c r="N119" s="2">
        <f>MAX(SUMIFS('Globiom data'!M$2:M$9999,'Globiom data'!$A$2:$A$9999,Veda!$D119,'Globiom data'!$D$2:$D$9999,VLOOKUP(Veda!$B119,'Globiom data'!$V$21:$X$29,2,FALSE),'Globiom data'!$E$2:$E$9999,Veda!$C$1),0)*1000</f>
        <v>3.3293895817189605</v>
      </c>
      <c r="O119" s="2">
        <f>MAX(SUMIFS('Globiom data'!N$2:N$9999,'Globiom data'!$A$2:$A$9999,Veda!$D119,'Globiom data'!$D$2:$D$9999,VLOOKUP(Veda!$B119,'Globiom data'!$V$21:$X$29,2,FALSE),'Globiom data'!$E$2:$E$9999,Veda!$C$1),0)*1000</f>
        <v>79.261572068695742</v>
      </c>
      <c r="P119" s="2">
        <f>MAX(SUMIFS('Globiom data'!O$2:O$9999,'Globiom data'!$A$2:$A$9999,Veda!$D119,'Globiom data'!$D$2:$D$9999,VLOOKUP(Veda!$B119,'Globiom data'!$V$21:$X$29,2,FALSE),'Globiom data'!$E$2:$E$9999,Veda!$C$1),0)*1000</f>
        <v>113.7096010384498</v>
      </c>
      <c r="Q119" s="2">
        <f>MAX(SUMIFS('Globiom data'!P$2:P$9999,'Globiom data'!$A$2:$A$9999,Veda!$D119,'Globiom data'!$D$2:$D$9999,VLOOKUP(Veda!$B119,'Globiom data'!$V$21:$X$29,2,FALSE),'Globiom data'!$E$2:$E$9999,Veda!$C$1),0)*1000</f>
        <v>112.66394770761151</v>
      </c>
      <c r="R119">
        <v>3</v>
      </c>
    </row>
    <row r="120" spans="1:18" x14ac:dyDescent="0.45">
      <c r="A120" s="8">
        <f t="shared" si="7"/>
        <v>17</v>
      </c>
      <c r="B120" s="8">
        <f t="shared" si="8"/>
        <v>3</v>
      </c>
      <c r="D120" t="str">
        <f>VLOOKUP(A120,'Globiom data'!$S$21:$T$51,2,FALSE)</f>
        <v>Europe_other</v>
      </c>
      <c r="E120" t="str">
        <f>VLOOKUP(B120,'Globiom data'!$V$21:$X$30,3,FALSE)</f>
        <v>MinBIOBSL-03</v>
      </c>
      <c r="F120" t="s">
        <v>53</v>
      </c>
      <c r="G120" s="2">
        <f>MAX(SUMIFS('Globiom data'!F$2:F$9999,'Globiom data'!$A$2:$A$9999,Veda!$D120,'Globiom data'!$D$2:$D$9999,VLOOKUP(Veda!$B120,'Globiom data'!$V$21:$X$29,2,FALSE),'Globiom data'!$E$2:$E$9999,Veda!$C$1),0)*1000</f>
        <v>0</v>
      </c>
      <c r="H120" s="2">
        <f>MAX(SUMIFS('Globiom data'!G$2:G$9999,'Globiom data'!$A$2:$A$9999,Veda!$D120,'Globiom data'!$D$2:$D$9999,VLOOKUP(Veda!$B120,'Globiom data'!$V$21:$X$29,2,FALSE),'Globiom data'!$E$2:$E$9999,Veda!$C$1),0)*1000</f>
        <v>0</v>
      </c>
      <c r="I120" s="2">
        <f>MAX(SUMIFS('Globiom data'!H$2:H$9999,'Globiom data'!$A$2:$A$9999,Veda!$D120,'Globiom data'!$D$2:$D$9999,VLOOKUP(Veda!$B120,'Globiom data'!$V$21:$X$29,2,FALSE),'Globiom data'!$E$2:$E$9999,Veda!$C$1),0)*1000</f>
        <v>0</v>
      </c>
      <c r="J120" s="2">
        <f>MAX(SUMIFS('Globiom data'!I$2:I$9999,'Globiom data'!$A$2:$A$9999,Veda!$D120,'Globiom data'!$D$2:$D$9999,VLOOKUP(Veda!$B120,'Globiom data'!$V$21:$X$29,2,FALSE),'Globiom data'!$E$2:$E$9999,Veda!$C$1),0)*1000</f>
        <v>3.800207707126111E-2</v>
      </c>
      <c r="K120" s="2">
        <f>MAX(SUMIFS('Globiom data'!J$2:J$9999,'Globiom data'!$A$2:$A$9999,Veda!$D120,'Globiom data'!$D$2:$D$9999,VLOOKUP(Veda!$B120,'Globiom data'!$V$21:$X$29,2,FALSE),'Globiom data'!$E$2:$E$9999,Veda!$C$1),0)*1000</f>
        <v>1.2304432450553484</v>
      </c>
      <c r="L120" s="2">
        <f>MAX(SUMIFS('Globiom data'!K$2:K$9999,'Globiom data'!$A$2:$A$9999,Veda!$D120,'Globiom data'!$D$2:$D$9999,VLOOKUP(Veda!$B120,'Globiom data'!$V$21:$X$29,2,FALSE),'Globiom data'!$E$2:$E$9999,Veda!$C$1),0)*1000</f>
        <v>4.4038264866668992</v>
      </c>
      <c r="M120" s="2">
        <f>MAX(SUMIFS('Globiom data'!L$2:L$9999,'Globiom data'!$A$2:$A$9999,Veda!$D120,'Globiom data'!$D$2:$D$9999,VLOOKUP(Veda!$B120,'Globiom data'!$V$21:$X$29,2,FALSE),'Globiom data'!$E$2:$E$9999,Veda!$C$1),0)*1000</f>
        <v>107.12110264713999</v>
      </c>
      <c r="N120" s="2">
        <f>MAX(SUMIFS('Globiom data'!M$2:M$9999,'Globiom data'!$A$2:$A$9999,Veda!$D120,'Globiom data'!$D$2:$D$9999,VLOOKUP(Veda!$B120,'Globiom data'!$V$21:$X$29,2,FALSE),'Globiom data'!$E$2:$E$9999,Veda!$C$1),0)*1000</f>
        <v>109.98394337242448</v>
      </c>
      <c r="O120" s="2">
        <f>MAX(SUMIFS('Globiom data'!N$2:N$9999,'Globiom data'!$A$2:$A$9999,Veda!$D120,'Globiom data'!$D$2:$D$9999,VLOOKUP(Veda!$B120,'Globiom data'!$V$21:$X$29,2,FALSE),'Globiom data'!$E$2:$E$9999,Veda!$C$1),0)*1000</f>
        <v>57.892324021959958</v>
      </c>
      <c r="P120" s="2">
        <f>MAX(SUMIFS('Globiom data'!O$2:O$9999,'Globiom data'!$A$2:$A$9999,Veda!$D120,'Globiom data'!$D$2:$D$9999,VLOOKUP(Veda!$B120,'Globiom data'!$V$21:$X$29,2,FALSE),'Globiom data'!$E$2:$E$9999,Veda!$C$1),0)*1000</f>
        <v>125.99050898674993</v>
      </c>
      <c r="Q120" s="2">
        <f>MAX(SUMIFS('Globiom data'!P$2:P$9999,'Globiom data'!$A$2:$A$9999,Veda!$D120,'Globiom data'!$D$2:$D$9999,VLOOKUP(Veda!$B120,'Globiom data'!$V$21:$X$29,2,FALSE),'Globiom data'!$E$2:$E$9999,Veda!$C$1),0)*1000</f>
        <v>284.87945205363769</v>
      </c>
      <c r="R120">
        <v>3</v>
      </c>
    </row>
    <row r="121" spans="1:18" x14ac:dyDescent="0.45">
      <c r="A121" s="8">
        <f t="shared" si="7"/>
        <v>17</v>
      </c>
      <c r="B121" s="8">
        <f t="shared" si="8"/>
        <v>4</v>
      </c>
      <c r="D121" t="str">
        <f>VLOOKUP(A121,'Globiom data'!$S$21:$T$51,2,FALSE)</f>
        <v>Europe_other</v>
      </c>
      <c r="E121" t="str">
        <f>VLOOKUP(B121,'Globiom data'!$V$21:$X$30,3,FALSE)</f>
        <v>MinBIOBSL-04</v>
      </c>
      <c r="F121" t="s">
        <v>53</v>
      </c>
      <c r="G121" s="2">
        <f>MAX(SUMIFS('Globiom data'!F$2:F$9999,'Globiom data'!$A$2:$A$9999,Veda!$D121,'Globiom data'!$D$2:$D$9999,VLOOKUP(Veda!$B121,'Globiom data'!$V$21:$X$29,2,FALSE),'Globiom data'!$E$2:$E$9999,Veda!$C$1),0)*1000</f>
        <v>0</v>
      </c>
      <c r="H121" s="2">
        <f>MAX(SUMIFS('Globiom data'!G$2:G$9999,'Globiom data'!$A$2:$A$9999,Veda!$D121,'Globiom data'!$D$2:$D$9999,VLOOKUP(Veda!$B121,'Globiom data'!$V$21:$X$29,2,FALSE),'Globiom data'!$E$2:$E$9999,Veda!$C$1),0)*1000</f>
        <v>5.1067933955984433E-2</v>
      </c>
      <c r="I121" s="2">
        <f>MAX(SUMIFS('Globiom data'!H$2:H$9999,'Globiom data'!$A$2:$A$9999,Veda!$D121,'Globiom data'!$D$2:$D$9999,VLOOKUP(Veda!$B121,'Globiom data'!$V$21:$X$29,2,FALSE),'Globiom data'!$E$2:$E$9999,Veda!$C$1),0)*1000</f>
        <v>5.1067933955984433E-2</v>
      </c>
      <c r="J121" s="2">
        <f>MAX(SUMIFS('Globiom data'!I$2:I$9999,'Globiom data'!$A$2:$A$9999,Veda!$D121,'Globiom data'!$D$2:$D$9999,VLOOKUP(Veda!$B121,'Globiom data'!$V$21:$X$29,2,FALSE),'Globiom data'!$E$2:$E$9999,Veda!$C$1),0)*1000</f>
        <v>0.70623698321773276</v>
      </c>
      <c r="K121" s="2">
        <f>MAX(SUMIFS('Globiom data'!J$2:J$9999,'Globiom data'!$A$2:$A$9999,Veda!$D121,'Globiom data'!$D$2:$D$9999,VLOOKUP(Veda!$B121,'Globiom data'!$V$21:$X$29,2,FALSE),'Globiom data'!$E$2:$E$9999,Veda!$C$1),0)*1000</f>
        <v>82.390297149089662</v>
      </c>
      <c r="L121" s="2">
        <f>MAX(SUMIFS('Globiom data'!K$2:K$9999,'Globiom data'!$A$2:$A$9999,Veda!$D121,'Globiom data'!$D$2:$D$9999,VLOOKUP(Veda!$B121,'Globiom data'!$V$21:$X$29,2,FALSE),'Globiom data'!$E$2:$E$9999,Veda!$C$1),0)*1000</f>
        <v>103.21913204249458</v>
      </c>
      <c r="M121" s="2">
        <f>MAX(SUMIFS('Globiom data'!L$2:L$9999,'Globiom data'!$A$2:$A$9999,Veda!$D121,'Globiom data'!$D$2:$D$9999,VLOOKUP(Veda!$B121,'Globiom data'!$V$21:$X$29,2,FALSE),'Globiom data'!$E$2:$E$9999,Veda!$C$1),0)*1000</f>
        <v>64.808080726660648</v>
      </c>
      <c r="N121" s="2">
        <f>MAX(SUMIFS('Globiom data'!M$2:M$9999,'Globiom data'!$A$2:$A$9999,Veda!$D121,'Globiom data'!$D$2:$D$9999,VLOOKUP(Veda!$B121,'Globiom data'!$V$21:$X$29,2,FALSE),'Globiom data'!$E$2:$E$9999,Veda!$C$1),0)*1000</f>
        <v>242.55750577968703</v>
      </c>
      <c r="O121" s="2">
        <f>MAX(SUMIFS('Globiom data'!N$2:N$9999,'Globiom data'!$A$2:$A$9999,Veda!$D121,'Globiom data'!$D$2:$D$9999,VLOOKUP(Veda!$B121,'Globiom data'!$V$21:$X$29,2,FALSE),'Globiom data'!$E$2:$E$9999,Veda!$C$1),0)*1000</f>
        <v>454.90548646325459</v>
      </c>
      <c r="P121" s="2">
        <f>MAX(SUMIFS('Globiom data'!O$2:O$9999,'Globiom data'!$A$2:$A$9999,Veda!$D121,'Globiom data'!$D$2:$D$9999,VLOOKUP(Veda!$B121,'Globiom data'!$V$21:$X$29,2,FALSE),'Globiom data'!$E$2:$E$9999,Veda!$C$1),0)*1000</f>
        <v>612.15277558484433</v>
      </c>
      <c r="Q121" s="2">
        <f>MAX(SUMIFS('Globiom data'!P$2:P$9999,'Globiom data'!$A$2:$A$9999,Veda!$D121,'Globiom data'!$D$2:$D$9999,VLOOKUP(Veda!$B121,'Globiom data'!$V$21:$X$29,2,FALSE),'Globiom data'!$E$2:$E$9999,Veda!$C$1),0)*1000</f>
        <v>699.83406984921839</v>
      </c>
      <c r="R121">
        <v>3</v>
      </c>
    </row>
    <row r="122" spans="1:18" x14ac:dyDescent="0.45">
      <c r="A122" s="8">
        <f t="shared" si="7"/>
        <v>17</v>
      </c>
      <c r="B122" s="8">
        <f t="shared" si="8"/>
        <v>5</v>
      </c>
      <c r="D122" t="str">
        <f>VLOOKUP(A122,'Globiom data'!$S$21:$T$51,2,FALSE)</f>
        <v>Europe_other</v>
      </c>
      <c r="E122" t="str">
        <f>VLOOKUP(B122,'Globiom data'!$V$21:$X$30,3,FALSE)</f>
        <v>MinBIOBSL-05</v>
      </c>
      <c r="F122" t="s">
        <v>53</v>
      </c>
      <c r="G122" s="2">
        <f>MAX(SUMIFS('Globiom data'!F$2:F$9999,'Globiom data'!$A$2:$A$9999,Veda!$D122,'Globiom data'!$D$2:$D$9999,VLOOKUP(Veda!$B122,'Globiom data'!$V$21:$X$29,2,FALSE),'Globiom data'!$E$2:$E$9999,Veda!$C$1),0)*1000</f>
        <v>0</v>
      </c>
      <c r="H122" s="2">
        <f>MAX(SUMIFS('Globiom data'!G$2:G$9999,'Globiom data'!$A$2:$A$9999,Veda!$D122,'Globiom data'!$D$2:$D$9999,VLOOKUP(Veda!$B122,'Globiom data'!$V$21:$X$29,2,FALSE),'Globiom data'!$E$2:$E$9999,Veda!$C$1),0)*1000</f>
        <v>7.9703226460473953E-2</v>
      </c>
      <c r="I122" s="2">
        <f>MAX(SUMIFS('Globiom data'!H$2:H$9999,'Globiom data'!$A$2:$A$9999,Veda!$D122,'Globiom data'!$D$2:$D$9999,VLOOKUP(Veda!$B122,'Globiom data'!$V$21:$X$29,2,FALSE),'Globiom data'!$E$2:$E$9999,Veda!$C$1),0)*1000</f>
        <v>7.9703226460473953E-2</v>
      </c>
      <c r="J122" s="2">
        <f>MAX(SUMIFS('Globiom data'!I$2:I$9999,'Globiom data'!$A$2:$A$9999,Veda!$D122,'Globiom data'!$D$2:$D$9999,VLOOKUP(Veda!$B122,'Globiom data'!$V$21:$X$29,2,FALSE),'Globiom data'!$E$2:$E$9999,Veda!$C$1),0)*1000</f>
        <v>64.440136246681263</v>
      </c>
      <c r="K122" s="2">
        <f>MAX(SUMIFS('Globiom data'!J$2:J$9999,'Globiom data'!$A$2:$A$9999,Veda!$D122,'Globiom data'!$D$2:$D$9999,VLOOKUP(Veda!$B122,'Globiom data'!$V$21:$X$29,2,FALSE),'Globiom data'!$E$2:$E$9999,Veda!$C$1),0)*1000</f>
        <v>45.365768209949699</v>
      </c>
      <c r="L122" s="2">
        <f>MAX(SUMIFS('Globiom data'!K$2:K$9999,'Globiom data'!$A$2:$A$9999,Veda!$D122,'Globiom data'!$D$2:$D$9999,VLOOKUP(Veda!$B122,'Globiom data'!$V$21:$X$29,2,FALSE),'Globiom data'!$E$2:$E$9999,Veda!$C$1),0)*1000</f>
        <v>236.3751865471919</v>
      </c>
      <c r="M122" s="2">
        <f>MAX(SUMIFS('Globiom data'!L$2:L$9999,'Globiom data'!$A$2:$A$9999,Veda!$D122,'Globiom data'!$D$2:$D$9999,VLOOKUP(Veda!$B122,'Globiom data'!$V$21:$X$29,2,FALSE),'Globiom data'!$E$2:$E$9999,Veda!$C$1),0)*1000</f>
        <v>473.77389855494363</v>
      </c>
      <c r="N122" s="2">
        <f>MAX(SUMIFS('Globiom data'!M$2:M$9999,'Globiom data'!$A$2:$A$9999,Veda!$D122,'Globiom data'!$D$2:$D$9999,VLOOKUP(Veda!$B122,'Globiom data'!$V$21:$X$29,2,FALSE),'Globiom data'!$E$2:$E$9999,Veda!$C$1),0)*1000</f>
        <v>600.90523555501034</v>
      </c>
      <c r="O122" s="2">
        <f>MAX(SUMIFS('Globiom data'!N$2:N$9999,'Globiom data'!$A$2:$A$9999,Veda!$D122,'Globiom data'!$D$2:$D$9999,VLOOKUP(Veda!$B122,'Globiom data'!$V$21:$X$29,2,FALSE),'Globiom data'!$E$2:$E$9999,Veda!$C$1),0)*1000</f>
        <v>682.07317694498875</v>
      </c>
      <c r="P122" s="2">
        <f>MAX(SUMIFS('Globiom data'!O$2:O$9999,'Globiom data'!$A$2:$A$9999,Veda!$D122,'Globiom data'!$D$2:$D$9999,VLOOKUP(Veda!$B122,'Globiom data'!$V$21:$X$29,2,FALSE),'Globiom data'!$E$2:$E$9999,Veda!$C$1),0)*1000</f>
        <v>770.03244229412849</v>
      </c>
      <c r="Q122" s="2">
        <f>MAX(SUMIFS('Globiom data'!P$2:P$9999,'Globiom data'!$A$2:$A$9999,Veda!$D122,'Globiom data'!$D$2:$D$9999,VLOOKUP(Veda!$B122,'Globiom data'!$V$21:$X$29,2,FALSE),'Globiom data'!$E$2:$E$9999,Veda!$C$1),0)*1000</f>
        <v>840.99486064181224</v>
      </c>
      <c r="R122">
        <v>3</v>
      </c>
    </row>
    <row r="123" spans="1:18" x14ac:dyDescent="0.45">
      <c r="A123" s="8">
        <f t="shared" si="7"/>
        <v>17</v>
      </c>
      <c r="B123" s="8">
        <f t="shared" si="8"/>
        <v>6</v>
      </c>
      <c r="D123" t="str">
        <f>VLOOKUP(A123,'Globiom data'!$S$21:$T$51,2,FALSE)</f>
        <v>Europe_other</v>
      </c>
      <c r="E123" t="str">
        <f>VLOOKUP(B123,'Globiom data'!$V$21:$X$30,3,FALSE)</f>
        <v>MinBIOBSL-06</v>
      </c>
      <c r="F123" t="s">
        <v>53</v>
      </c>
      <c r="G123" s="2">
        <f>MAX(SUMIFS('Globiom data'!F$2:F$9999,'Globiom data'!$A$2:$A$9999,Veda!$D123,'Globiom data'!$D$2:$D$9999,VLOOKUP(Veda!$B123,'Globiom data'!$V$21:$X$29,2,FALSE),'Globiom data'!$E$2:$E$9999,Veda!$C$1),0)*1000</f>
        <v>0</v>
      </c>
      <c r="H123" s="2">
        <f>MAX(SUMIFS('Globiom data'!G$2:G$9999,'Globiom data'!$A$2:$A$9999,Veda!$D123,'Globiom data'!$D$2:$D$9999,VLOOKUP(Veda!$B123,'Globiom data'!$V$21:$X$29,2,FALSE),'Globiom data'!$E$2:$E$9999,Veda!$C$1),0)*1000</f>
        <v>0</v>
      </c>
      <c r="I123" s="2">
        <f>MAX(SUMIFS('Globiom data'!H$2:H$9999,'Globiom data'!$A$2:$A$9999,Veda!$D123,'Globiom data'!$D$2:$D$9999,VLOOKUP(Veda!$B123,'Globiom data'!$V$21:$X$29,2,FALSE),'Globiom data'!$E$2:$E$9999,Veda!$C$1),0)*1000</f>
        <v>0</v>
      </c>
      <c r="J123" s="2">
        <f>MAX(SUMIFS('Globiom data'!I$2:I$9999,'Globiom data'!$A$2:$A$9999,Veda!$D123,'Globiom data'!$D$2:$D$9999,VLOOKUP(Veda!$B123,'Globiom data'!$V$21:$X$29,2,FALSE),'Globiom data'!$E$2:$E$9999,Veda!$C$1),0)*1000</f>
        <v>236.52989746364506</v>
      </c>
      <c r="K123" s="2">
        <f>MAX(SUMIFS('Globiom data'!J$2:J$9999,'Globiom data'!$A$2:$A$9999,Veda!$D123,'Globiom data'!$D$2:$D$9999,VLOOKUP(Veda!$B123,'Globiom data'!$V$21:$X$29,2,FALSE),'Globiom data'!$E$2:$E$9999,Veda!$C$1),0)*1000</f>
        <v>568.17479619432459</v>
      </c>
      <c r="L123" s="2">
        <f>MAX(SUMIFS('Globiom data'!K$2:K$9999,'Globiom data'!$A$2:$A$9999,Veda!$D123,'Globiom data'!$D$2:$D$9999,VLOOKUP(Veda!$B123,'Globiom data'!$V$21:$X$29,2,FALSE),'Globiom data'!$E$2:$E$9999,Veda!$C$1),0)*1000</f>
        <v>773.86686534470346</v>
      </c>
      <c r="M123" s="2">
        <f>MAX(SUMIFS('Globiom data'!L$2:L$9999,'Globiom data'!$A$2:$A$9999,Veda!$D123,'Globiom data'!$D$2:$D$9999,VLOOKUP(Veda!$B123,'Globiom data'!$V$21:$X$29,2,FALSE),'Globiom data'!$E$2:$E$9999,Veda!$C$1),0)*1000</f>
        <v>925.27609390307214</v>
      </c>
      <c r="N123" s="2">
        <f>MAX(SUMIFS('Globiom data'!M$2:M$9999,'Globiom data'!$A$2:$A$9999,Veda!$D123,'Globiom data'!$D$2:$D$9999,VLOOKUP(Veda!$B123,'Globiom data'!$V$21:$X$29,2,FALSE),'Globiom data'!$E$2:$E$9999,Veda!$C$1),0)*1000</f>
        <v>1116.9312951745349</v>
      </c>
      <c r="O123" s="2">
        <f>MAX(SUMIFS('Globiom data'!N$2:N$9999,'Globiom data'!$A$2:$A$9999,Veda!$D123,'Globiom data'!$D$2:$D$9999,VLOOKUP(Veda!$B123,'Globiom data'!$V$21:$X$29,2,FALSE),'Globiom data'!$E$2:$E$9999,Veda!$C$1),0)*1000</f>
        <v>1332.0419873920948</v>
      </c>
      <c r="P123" s="2">
        <f>MAX(SUMIFS('Globiom data'!O$2:O$9999,'Globiom data'!$A$2:$A$9999,Veda!$D123,'Globiom data'!$D$2:$D$9999,VLOOKUP(Veda!$B123,'Globiom data'!$V$21:$X$29,2,FALSE),'Globiom data'!$E$2:$E$9999,Veda!$C$1),0)*1000</f>
        <v>1540.2990409205929</v>
      </c>
      <c r="Q123" s="2">
        <f>MAX(SUMIFS('Globiom data'!P$2:P$9999,'Globiom data'!$A$2:$A$9999,Veda!$D123,'Globiom data'!$D$2:$D$9999,VLOOKUP(Veda!$B123,'Globiom data'!$V$21:$X$29,2,FALSE),'Globiom data'!$E$2:$E$9999,Veda!$C$1),0)*1000</f>
        <v>1785.9634796353516</v>
      </c>
      <c r="R123">
        <v>3</v>
      </c>
    </row>
    <row r="124" spans="1:18" x14ac:dyDescent="0.45">
      <c r="A124" s="8">
        <f t="shared" si="7"/>
        <v>17</v>
      </c>
      <c r="B124" s="8">
        <f t="shared" si="8"/>
        <v>7</v>
      </c>
      <c r="D124" t="str">
        <f>VLOOKUP(A124,'Globiom data'!$S$21:$T$51,2,FALSE)</f>
        <v>Europe_other</v>
      </c>
      <c r="E124" t="str">
        <f>VLOOKUP(B124,'Globiom data'!$V$21:$X$30,3,FALSE)</f>
        <v>MinBIOBSL-07</v>
      </c>
      <c r="F124" t="s">
        <v>53</v>
      </c>
      <c r="G124" s="2">
        <f>MAX(SUMIFS('Globiom data'!F$2:F$9999,'Globiom data'!$A$2:$A$9999,Veda!$D124,'Globiom data'!$D$2:$D$9999,VLOOKUP(Veda!$B124,'Globiom data'!$V$21:$X$29,2,FALSE),'Globiom data'!$E$2:$E$9999,Veda!$C$1),0)*1000</f>
        <v>0</v>
      </c>
      <c r="H124" s="2">
        <f>MAX(SUMIFS('Globiom data'!G$2:G$9999,'Globiom data'!$A$2:$A$9999,Veda!$D124,'Globiom data'!$D$2:$D$9999,VLOOKUP(Veda!$B124,'Globiom data'!$V$21:$X$29,2,FALSE),'Globiom data'!$E$2:$E$9999,Veda!$C$1),0)*1000</f>
        <v>203.05261962127659</v>
      </c>
      <c r="I124" s="2">
        <f>MAX(SUMIFS('Globiom data'!H$2:H$9999,'Globiom data'!$A$2:$A$9999,Veda!$D124,'Globiom data'!$D$2:$D$9999,VLOOKUP(Veda!$B124,'Globiom data'!$V$21:$X$29,2,FALSE),'Globiom data'!$E$2:$E$9999,Veda!$C$1),0)*1000</f>
        <v>203.05261962127659</v>
      </c>
      <c r="J124" s="2">
        <f>MAX(SUMIFS('Globiom data'!I$2:I$9999,'Globiom data'!$A$2:$A$9999,Veda!$D124,'Globiom data'!$D$2:$D$9999,VLOOKUP(Veda!$B124,'Globiom data'!$V$21:$X$29,2,FALSE),'Globiom data'!$E$2:$E$9999,Veda!$C$1),0)*1000</f>
        <v>306.64282424287859</v>
      </c>
      <c r="K124" s="2">
        <f>MAX(SUMIFS('Globiom data'!J$2:J$9999,'Globiom data'!$A$2:$A$9999,Veda!$D124,'Globiom data'!$D$2:$D$9999,VLOOKUP(Veda!$B124,'Globiom data'!$V$21:$X$29,2,FALSE),'Globiom data'!$E$2:$E$9999,Veda!$C$1),0)*1000</f>
        <v>486.78338402147745</v>
      </c>
      <c r="L124" s="2">
        <f>MAX(SUMIFS('Globiom data'!K$2:K$9999,'Globiom data'!$A$2:$A$9999,Veda!$D124,'Globiom data'!$D$2:$D$9999,VLOOKUP(Veda!$B124,'Globiom data'!$V$21:$X$29,2,FALSE),'Globiom data'!$E$2:$E$9999,Veda!$C$1),0)*1000</f>
        <v>712.30147571168402</v>
      </c>
      <c r="M124" s="2">
        <f>MAX(SUMIFS('Globiom data'!L$2:L$9999,'Globiom data'!$A$2:$A$9999,Veda!$D124,'Globiom data'!$D$2:$D$9999,VLOOKUP(Veda!$B124,'Globiom data'!$V$21:$X$29,2,FALSE),'Globiom data'!$E$2:$E$9999,Veda!$C$1),0)*1000</f>
        <v>1002.1112394860589</v>
      </c>
      <c r="N124" s="2">
        <f>MAX(SUMIFS('Globiom data'!M$2:M$9999,'Globiom data'!$A$2:$A$9999,Veda!$D124,'Globiom data'!$D$2:$D$9999,VLOOKUP(Veda!$B124,'Globiom data'!$V$21:$X$29,2,FALSE),'Globiom data'!$E$2:$E$9999,Veda!$C$1),0)*1000</f>
        <v>1283.3644198944544</v>
      </c>
      <c r="O124" s="2">
        <f>MAX(SUMIFS('Globiom data'!N$2:N$9999,'Globiom data'!$A$2:$A$9999,Veda!$D124,'Globiom data'!$D$2:$D$9999,VLOOKUP(Veda!$B124,'Globiom data'!$V$21:$X$29,2,FALSE),'Globiom data'!$E$2:$E$9999,Veda!$C$1),0)*1000</f>
        <v>1524.2473626589667</v>
      </c>
      <c r="P124" s="2">
        <f>MAX(SUMIFS('Globiom data'!O$2:O$9999,'Globiom data'!$A$2:$A$9999,Veda!$D124,'Globiom data'!$D$2:$D$9999,VLOOKUP(Veda!$B124,'Globiom data'!$V$21:$X$29,2,FALSE),'Globiom data'!$E$2:$E$9999,Veda!$C$1),0)*1000</f>
        <v>1678.1321266692069</v>
      </c>
      <c r="Q124" s="2">
        <f>MAX(SUMIFS('Globiom data'!P$2:P$9999,'Globiom data'!$A$2:$A$9999,Veda!$D124,'Globiom data'!$D$2:$D$9999,VLOOKUP(Veda!$B124,'Globiom data'!$V$21:$X$29,2,FALSE),'Globiom data'!$E$2:$E$9999,Veda!$C$1),0)*1000</f>
        <v>1670.8391888038968</v>
      </c>
      <c r="R124">
        <v>3</v>
      </c>
    </row>
    <row r="125" spans="1:18" x14ac:dyDescent="0.45">
      <c r="A125" s="8">
        <f t="shared" si="7"/>
        <v>18</v>
      </c>
      <c r="B125" s="8">
        <f t="shared" si="8"/>
        <v>1</v>
      </c>
      <c r="D125" t="str">
        <f>VLOOKUP(A125,'Globiom data'!$S$21:$T$51,2,FALSE)</f>
        <v>France</v>
      </c>
      <c r="E125" t="str">
        <f>VLOOKUP(B125,'Globiom data'!$V$21:$X$30,3,FALSE)</f>
        <v>MinBIOBSL-01</v>
      </c>
      <c r="F125" t="s">
        <v>53</v>
      </c>
      <c r="G125" s="2">
        <f>MAX(SUMIFS('Globiom data'!F$2:F$9999,'Globiom data'!$A$2:$A$9999,Veda!$D125,'Globiom data'!$D$2:$D$9999,VLOOKUP(Veda!$B125,'Globiom data'!$V$21:$X$29,2,FALSE),'Globiom data'!$E$2:$E$9999,Veda!$C$1),0)*1000</f>
        <v>387.99217777225527</v>
      </c>
      <c r="H125" s="2">
        <f>MAX(SUMIFS('Globiom data'!G$2:G$9999,'Globiom data'!$A$2:$A$9999,Veda!$D125,'Globiom data'!$D$2:$D$9999,VLOOKUP(Veda!$B125,'Globiom data'!$V$21:$X$29,2,FALSE),'Globiom data'!$E$2:$E$9999,Veda!$C$1),0)*1000</f>
        <v>389.41909129606717</v>
      </c>
      <c r="I125" s="2">
        <f>MAX(SUMIFS('Globiom data'!H$2:H$9999,'Globiom data'!$A$2:$A$9999,Veda!$D125,'Globiom data'!$D$2:$D$9999,VLOOKUP(Veda!$B125,'Globiom data'!$V$21:$X$29,2,FALSE),'Globiom data'!$E$2:$E$9999,Veda!$C$1),0)*1000</f>
        <v>389.41909129606717</v>
      </c>
      <c r="J125" s="2">
        <f>MAX(SUMIFS('Globiom data'!I$2:I$9999,'Globiom data'!$A$2:$A$9999,Veda!$D125,'Globiom data'!$D$2:$D$9999,VLOOKUP(Veda!$B125,'Globiom data'!$V$21:$X$29,2,FALSE),'Globiom data'!$E$2:$E$9999,Veda!$C$1),0)*1000</f>
        <v>381.55645856069691</v>
      </c>
      <c r="K125" s="2">
        <f>MAX(SUMIFS('Globiom data'!J$2:J$9999,'Globiom data'!$A$2:$A$9999,Veda!$D125,'Globiom data'!$D$2:$D$9999,VLOOKUP(Veda!$B125,'Globiom data'!$V$21:$X$29,2,FALSE),'Globiom data'!$E$2:$E$9999,Veda!$C$1),0)*1000</f>
        <v>372.95687515382588</v>
      </c>
      <c r="L125" s="2">
        <f>MAX(SUMIFS('Globiom data'!K$2:K$9999,'Globiom data'!$A$2:$A$9999,Veda!$D125,'Globiom data'!$D$2:$D$9999,VLOOKUP(Veda!$B125,'Globiom data'!$V$21:$X$29,2,FALSE),'Globiom data'!$E$2:$E$9999,Veda!$C$1),0)*1000</f>
        <v>365.82472350745627</v>
      </c>
      <c r="M125" s="2">
        <f>MAX(SUMIFS('Globiom data'!L$2:L$9999,'Globiom data'!$A$2:$A$9999,Veda!$D125,'Globiom data'!$D$2:$D$9999,VLOOKUP(Veda!$B125,'Globiom data'!$V$21:$X$29,2,FALSE),'Globiom data'!$E$2:$E$9999,Veda!$C$1),0)*1000</f>
        <v>363.22351112472171</v>
      </c>
      <c r="N125" s="2">
        <f>MAX(SUMIFS('Globiom data'!M$2:M$9999,'Globiom data'!$A$2:$A$9999,Veda!$D125,'Globiom data'!$D$2:$D$9999,VLOOKUP(Veda!$B125,'Globiom data'!$V$21:$X$29,2,FALSE),'Globiom data'!$E$2:$E$9999,Veda!$C$1),0)*1000</f>
        <v>361.91602532409087</v>
      </c>
      <c r="O125" s="2">
        <f>MAX(SUMIFS('Globiom data'!N$2:N$9999,'Globiom data'!$A$2:$A$9999,Veda!$D125,'Globiom data'!$D$2:$D$9999,VLOOKUP(Veda!$B125,'Globiom data'!$V$21:$X$29,2,FALSE),'Globiom data'!$E$2:$E$9999,Veda!$C$1),0)*1000</f>
        <v>360.8144760488513</v>
      </c>
      <c r="P125" s="2">
        <f>MAX(SUMIFS('Globiom data'!O$2:O$9999,'Globiom data'!$A$2:$A$9999,Veda!$D125,'Globiom data'!$D$2:$D$9999,VLOOKUP(Veda!$B125,'Globiom data'!$V$21:$X$29,2,FALSE),'Globiom data'!$E$2:$E$9999,Veda!$C$1),0)*1000</f>
        <v>359.80877727049733</v>
      </c>
      <c r="Q125" s="2">
        <f>MAX(SUMIFS('Globiom data'!P$2:P$9999,'Globiom data'!$A$2:$A$9999,Veda!$D125,'Globiom data'!$D$2:$D$9999,VLOOKUP(Veda!$B125,'Globiom data'!$V$21:$X$29,2,FALSE),'Globiom data'!$E$2:$E$9999,Veda!$C$1),0)*1000</f>
        <v>358.39528188814751</v>
      </c>
      <c r="R125">
        <v>3</v>
      </c>
    </row>
    <row r="126" spans="1:18" x14ac:dyDescent="0.45">
      <c r="A126" s="8">
        <f t="shared" si="7"/>
        <v>18</v>
      </c>
      <c r="B126" s="8">
        <f t="shared" si="8"/>
        <v>2</v>
      </c>
      <c r="D126" t="str">
        <f>VLOOKUP(A126,'Globiom data'!$S$21:$T$51,2,FALSE)</f>
        <v>France</v>
      </c>
      <c r="E126" t="str">
        <f>VLOOKUP(B126,'Globiom data'!$V$21:$X$30,3,FALSE)</f>
        <v>MinBIOBSL-02</v>
      </c>
      <c r="F126" t="s">
        <v>53</v>
      </c>
      <c r="G126" s="2">
        <f>MAX(SUMIFS('Globiom data'!F$2:F$9999,'Globiom data'!$A$2:$A$9999,Veda!$D126,'Globiom data'!$D$2:$D$9999,VLOOKUP(Veda!$B126,'Globiom data'!$V$21:$X$29,2,FALSE),'Globiom data'!$E$2:$E$9999,Veda!$C$1),0)*1000</f>
        <v>0</v>
      </c>
      <c r="H126" s="2">
        <f>MAX(SUMIFS('Globiom data'!G$2:G$9999,'Globiom data'!$A$2:$A$9999,Veda!$D126,'Globiom data'!$D$2:$D$9999,VLOOKUP(Veda!$B126,'Globiom data'!$V$21:$X$29,2,FALSE),'Globiom data'!$E$2:$E$9999,Veda!$C$1),0)*1000</f>
        <v>0.68575638496845825</v>
      </c>
      <c r="I126" s="2">
        <f>MAX(SUMIFS('Globiom data'!H$2:H$9999,'Globiom data'!$A$2:$A$9999,Veda!$D126,'Globiom data'!$D$2:$D$9999,VLOOKUP(Veda!$B126,'Globiom data'!$V$21:$X$29,2,FALSE),'Globiom data'!$E$2:$E$9999,Veda!$C$1),0)*1000</f>
        <v>0.68575638496845825</v>
      </c>
      <c r="J126" s="2">
        <f>MAX(SUMIFS('Globiom data'!I$2:I$9999,'Globiom data'!$A$2:$A$9999,Veda!$D126,'Globiom data'!$D$2:$D$9999,VLOOKUP(Veda!$B126,'Globiom data'!$V$21:$X$29,2,FALSE),'Globiom data'!$E$2:$E$9999,Veda!$C$1),0)*1000</f>
        <v>2.4041379814829091</v>
      </c>
      <c r="K126" s="2">
        <f>MAX(SUMIFS('Globiom data'!J$2:J$9999,'Globiom data'!$A$2:$A$9999,Veda!$D126,'Globiom data'!$D$2:$D$9999,VLOOKUP(Veda!$B126,'Globiom data'!$V$21:$X$29,2,FALSE),'Globiom data'!$E$2:$E$9999,Veda!$C$1),0)*1000</f>
        <v>2.1402015748205199</v>
      </c>
      <c r="L126" s="2">
        <f>MAX(SUMIFS('Globiom data'!K$2:K$9999,'Globiom data'!$A$2:$A$9999,Veda!$D126,'Globiom data'!$D$2:$D$9999,VLOOKUP(Veda!$B126,'Globiom data'!$V$21:$X$29,2,FALSE),'Globiom data'!$E$2:$E$9999,Veda!$C$1),0)*1000</f>
        <v>2.2982241863969581</v>
      </c>
      <c r="M126" s="2">
        <f>MAX(SUMIFS('Globiom data'!L$2:L$9999,'Globiom data'!$A$2:$A$9999,Veda!$D126,'Globiom data'!$D$2:$D$9999,VLOOKUP(Veda!$B126,'Globiom data'!$V$21:$X$29,2,FALSE),'Globiom data'!$E$2:$E$9999,Veda!$C$1),0)*1000</f>
        <v>2.85343986200877</v>
      </c>
      <c r="N126" s="2">
        <f>MAX(SUMIFS('Globiom data'!M$2:M$9999,'Globiom data'!$A$2:$A$9999,Veda!$D126,'Globiom data'!$D$2:$D$9999,VLOOKUP(Veda!$B126,'Globiom data'!$V$21:$X$29,2,FALSE),'Globiom data'!$E$2:$E$9999,Veda!$C$1),0)*1000</f>
        <v>3.1688517467755748</v>
      </c>
      <c r="O126" s="2">
        <f>MAX(SUMIFS('Globiom data'!N$2:N$9999,'Globiom data'!$A$2:$A$9999,Veda!$D126,'Globiom data'!$D$2:$D$9999,VLOOKUP(Veda!$B126,'Globiom data'!$V$21:$X$29,2,FALSE),'Globiom data'!$E$2:$E$9999,Veda!$C$1),0)*1000</f>
        <v>12.366641419418992</v>
      </c>
      <c r="P126" s="2">
        <f>MAX(SUMIFS('Globiom data'!O$2:O$9999,'Globiom data'!$A$2:$A$9999,Veda!$D126,'Globiom data'!$D$2:$D$9999,VLOOKUP(Veda!$B126,'Globiom data'!$V$21:$X$29,2,FALSE),'Globiom data'!$E$2:$E$9999,Veda!$C$1),0)*1000</f>
        <v>12.857790963823431</v>
      </c>
      <c r="Q126" s="2">
        <f>MAX(SUMIFS('Globiom data'!P$2:P$9999,'Globiom data'!$A$2:$A$9999,Veda!$D126,'Globiom data'!$D$2:$D$9999,VLOOKUP(Veda!$B126,'Globiom data'!$V$21:$X$29,2,FALSE),'Globiom data'!$E$2:$E$9999,Veda!$C$1),0)*1000</f>
        <v>13.852850359173132</v>
      </c>
      <c r="R126">
        <v>3</v>
      </c>
    </row>
    <row r="127" spans="1:18" x14ac:dyDescent="0.45">
      <c r="A127" s="8">
        <f t="shared" si="7"/>
        <v>18</v>
      </c>
      <c r="B127" s="8">
        <f t="shared" si="8"/>
        <v>3</v>
      </c>
      <c r="D127" t="str">
        <f>VLOOKUP(A127,'Globiom data'!$S$21:$T$51,2,FALSE)</f>
        <v>France</v>
      </c>
      <c r="E127" t="str">
        <f>VLOOKUP(B127,'Globiom data'!$V$21:$X$30,3,FALSE)</f>
        <v>MinBIOBSL-03</v>
      </c>
      <c r="F127" t="s">
        <v>53</v>
      </c>
      <c r="G127" s="2">
        <f>MAX(SUMIFS('Globiom data'!F$2:F$9999,'Globiom data'!$A$2:$A$9999,Veda!$D127,'Globiom data'!$D$2:$D$9999,VLOOKUP(Veda!$B127,'Globiom data'!$V$21:$X$29,2,FALSE),'Globiom data'!$E$2:$E$9999,Veda!$C$1),0)*1000</f>
        <v>0</v>
      </c>
      <c r="H127" s="2">
        <f>MAX(SUMIFS('Globiom data'!G$2:G$9999,'Globiom data'!$A$2:$A$9999,Veda!$D127,'Globiom data'!$D$2:$D$9999,VLOOKUP(Veda!$B127,'Globiom data'!$V$21:$X$29,2,FALSE),'Globiom data'!$E$2:$E$9999,Veda!$C$1),0)*1000</f>
        <v>0.25928960407208684</v>
      </c>
      <c r="I127" s="2">
        <f>MAX(SUMIFS('Globiom data'!H$2:H$9999,'Globiom data'!$A$2:$A$9999,Veda!$D127,'Globiom data'!$D$2:$D$9999,VLOOKUP(Veda!$B127,'Globiom data'!$V$21:$X$29,2,FALSE),'Globiom data'!$E$2:$E$9999,Veda!$C$1),0)*1000</f>
        <v>0.25928960407208684</v>
      </c>
      <c r="J127" s="2">
        <f>MAX(SUMIFS('Globiom data'!I$2:I$9999,'Globiom data'!$A$2:$A$9999,Veda!$D127,'Globiom data'!$D$2:$D$9999,VLOOKUP(Veda!$B127,'Globiom data'!$V$21:$X$29,2,FALSE),'Globiom data'!$E$2:$E$9999,Veda!$C$1),0)*1000</f>
        <v>0.99387007154728391</v>
      </c>
      <c r="K127" s="2">
        <f>MAX(SUMIFS('Globiom data'!J$2:J$9999,'Globiom data'!$A$2:$A$9999,Veda!$D127,'Globiom data'!$D$2:$D$9999,VLOOKUP(Veda!$B127,'Globiom data'!$V$21:$X$29,2,FALSE),'Globiom data'!$E$2:$E$9999,Veda!$C$1),0)*1000</f>
        <v>1.1497365424265933</v>
      </c>
      <c r="L127" s="2">
        <f>MAX(SUMIFS('Globiom data'!K$2:K$9999,'Globiom data'!$A$2:$A$9999,Veda!$D127,'Globiom data'!$D$2:$D$9999,VLOOKUP(Veda!$B127,'Globiom data'!$V$21:$X$29,2,FALSE),'Globiom data'!$E$2:$E$9999,Veda!$C$1),0)*1000</f>
        <v>2.0858891154621748</v>
      </c>
      <c r="M127" s="2">
        <f>MAX(SUMIFS('Globiom data'!L$2:L$9999,'Globiom data'!$A$2:$A$9999,Veda!$D127,'Globiom data'!$D$2:$D$9999,VLOOKUP(Veda!$B127,'Globiom data'!$V$21:$X$29,2,FALSE),'Globiom data'!$E$2:$E$9999,Veda!$C$1),0)*1000</f>
        <v>11.463424615937898</v>
      </c>
      <c r="N127" s="2">
        <f>MAX(SUMIFS('Globiom data'!M$2:M$9999,'Globiom data'!$A$2:$A$9999,Veda!$D127,'Globiom data'!$D$2:$D$9999,VLOOKUP(Veda!$B127,'Globiom data'!$V$21:$X$29,2,FALSE),'Globiom data'!$E$2:$E$9999,Veda!$C$1),0)*1000</f>
        <v>11.722925823563758</v>
      </c>
      <c r="O127" s="2">
        <f>MAX(SUMIFS('Globiom data'!N$2:N$9999,'Globiom data'!$A$2:$A$9999,Veda!$D127,'Globiom data'!$D$2:$D$9999,VLOOKUP(Veda!$B127,'Globiom data'!$V$21:$X$29,2,FALSE),'Globiom data'!$E$2:$E$9999,Veda!$C$1),0)*1000</f>
        <v>30.619759509392413</v>
      </c>
      <c r="P127" s="2">
        <f>MAX(SUMIFS('Globiom data'!O$2:O$9999,'Globiom data'!$A$2:$A$9999,Veda!$D127,'Globiom data'!$D$2:$D$9999,VLOOKUP(Veda!$B127,'Globiom data'!$V$21:$X$29,2,FALSE),'Globiom data'!$E$2:$E$9999,Veda!$C$1),0)*1000</f>
        <v>37.548214621805037</v>
      </c>
      <c r="Q127" s="2">
        <f>MAX(SUMIFS('Globiom data'!P$2:P$9999,'Globiom data'!$A$2:$A$9999,Veda!$D127,'Globiom data'!$D$2:$D$9999,VLOOKUP(Veda!$B127,'Globiom data'!$V$21:$X$29,2,FALSE),'Globiom data'!$E$2:$E$9999,Veda!$C$1),0)*1000</f>
        <v>59.262937120740069</v>
      </c>
      <c r="R127">
        <v>3</v>
      </c>
    </row>
    <row r="128" spans="1:18" x14ac:dyDescent="0.45">
      <c r="A128" s="8">
        <f t="shared" si="7"/>
        <v>18</v>
      </c>
      <c r="B128" s="8">
        <f t="shared" si="8"/>
        <v>4</v>
      </c>
      <c r="D128" t="str">
        <f>VLOOKUP(A128,'Globiom data'!$S$21:$T$51,2,FALSE)</f>
        <v>France</v>
      </c>
      <c r="E128" t="str">
        <f>VLOOKUP(B128,'Globiom data'!$V$21:$X$30,3,FALSE)</f>
        <v>MinBIOBSL-04</v>
      </c>
      <c r="F128" t="s">
        <v>53</v>
      </c>
      <c r="G128" s="2">
        <f>MAX(SUMIFS('Globiom data'!F$2:F$9999,'Globiom data'!$A$2:$A$9999,Veda!$D128,'Globiom data'!$D$2:$D$9999,VLOOKUP(Veda!$B128,'Globiom data'!$V$21:$X$29,2,FALSE),'Globiom data'!$E$2:$E$9999,Veda!$C$1),0)*1000</f>
        <v>0</v>
      </c>
      <c r="H128" s="2">
        <f>MAX(SUMIFS('Globiom data'!G$2:G$9999,'Globiom data'!$A$2:$A$9999,Veda!$D128,'Globiom data'!$D$2:$D$9999,VLOOKUP(Veda!$B128,'Globiom data'!$V$21:$X$29,2,FALSE),'Globiom data'!$E$2:$E$9999,Veda!$C$1),0)*1000</f>
        <v>0.26469978909657255</v>
      </c>
      <c r="I128" s="2">
        <f>MAX(SUMIFS('Globiom data'!H$2:H$9999,'Globiom data'!$A$2:$A$9999,Veda!$D128,'Globiom data'!$D$2:$D$9999,VLOOKUP(Veda!$B128,'Globiom data'!$V$21:$X$29,2,FALSE),'Globiom data'!$E$2:$E$9999,Veda!$C$1),0)*1000</f>
        <v>0.26469978909657255</v>
      </c>
      <c r="J128" s="2">
        <f>MAX(SUMIFS('Globiom data'!I$2:I$9999,'Globiom data'!$A$2:$A$9999,Veda!$D128,'Globiom data'!$D$2:$D$9999,VLOOKUP(Veda!$B128,'Globiom data'!$V$21:$X$29,2,FALSE),'Globiom data'!$E$2:$E$9999,Veda!$C$1),0)*1000</f>
        <v>1.1355712764923871</v>
      </c>
      <c r="K128" s="2">
        <f>MAX(SUMIFS('Globiom data'!J$2:J$9999,'Globiom data'!$A$2:$A$9999,Veda!$D128,'Globiom data'!$D$2:$D$9999,VLOOKUP(Veda!$B128,'Globiom data'!$V$21:$X$29,2,FALSE),'Globiom data'!$E$2:$E$9999,Veda!$C$1),0)*1000</f>
        <v>11.263790102561758</v>
      </c>
      <c r="L128" s="2">
        <f>MAX(SUMIFS('Globiom data'!K$2:K$9999,'Globiom data'!$A$2:$A$9999,Veda!$D128,'Globiom data'!$D$2:$D$9999,VLOOKUP(Veda!$B128,'Globiom data'!$V$21:$X$29,2,FALSE),'Globiom data'!$E$2:$E$9999,Veda!$C$1),0)*1000</f>
        <v>10.772293311847578</v>
      </c>
      <c r="M128" s="2">
        <f>MAX(SUMIFS('Globiom data'!L$2:L$9999,'Globiom data'!$A$2:$A$9999,Veda!$D128,'Globiom data'!$D$2:$D$9999,VLOOKUP(Veda!$B128,'Globiom data'!$V$21:$X$29,2,FALSE),'Globiom data'!$E$2:$E$9999,Veda!$C$1),0)*1000</f>
        <v>34.847739951046883</v>
      </c>
      <c r="N128" s="2">
        <f>MAX(SUMIFS('Globiom data'!M$2:M$9999,'Globiom data'!$A$2:$A$9999,Veda!$D128,'Globiom data'!$D$2:$D$9999,VLOOKUP(Veda!$B128,'Globiom data'!$V$21:$X$29,2,FALSE),'Globiom data'!$E$2:$E$9999,Veda!$C$1),0)*1000</f>
        <v>60.149539335761112</v>
      </c>
      <c r="O128" s="2">
        <f>MAX(SUMIFS('Globiom data'!N$2:N$9999,'Globiom data'!$A$2:$A$9999,Veda!$D128,'Globiom data'!$D$2:$D$9999,VLOOKUP(Veda!$B128,'Globiom data'!$V$21:$X$29,2,FALSE),'Globiom data'!$E$2:$E$9999,Veda!$C$1),0)*1000</f>
        <v>56.360427053866076</v>
      </c>
      <c r="P128" s="2">
        <f>MAX(SUMIFS('Globiom data'!O$2:O$9999,'Globiom data'!$A$2:$A$9999,Veda!$D128,'Globiom data'!$D$2:$D$9999,VLOOKUP(Veda!$B128,'Globiom data'!$V$21:$X$29,2,FALSE),'Globiom data'!$E$2:$E$9999,Veda!$C$1),0)*1000</f>
        <v>71.978620174963908</v>
      </c>
      <c r="Q128" s="2">
        <f>MAX(SUMIFS('Globiom data'!P$2:P$9999,'Globiom data'!$A$2:$A$9999,Veda!$D128,'Globiom data'!$D$2:$D$9999,VLOOKUP(Veda!$B128,'Globiom data'!$V$21:$X$29,2,FALSE),'Globiom data'!$E$2:$E$9999,Veda!$C$1),0)*1000</f>
        <v>112.1177802491778</v>
      </c>
      <c r="R128">
        <v>3</v>
      </c>
    </row>
    <row r="129" spans="1:18" x14ac:dyDescent="0.45">
      <c r="A129" s="8">
        <f t="shared" si="7"/>
        <v>18</v>
      </c>
      <c r="B129" s="8">
        <f t="shared" si="8"/>
        <v>5</v>
      </c>
      <c r="D129" t="str">
        <f>VLOOKUP(A129,'Globiom data'!$S$21:$T$51,2,FALSE)</f>
        <v>France</v>
      </c>
      <c r="E129" t="str">
        <f>VLOOKUP(B129,'Globiom data'!$V$21:$X$30,3,FALSE)</f>
        <v>MinBIOBSL-05</v>
      </c>
      <c r="F129" t="s">
        <v>53</v>
      </c>
      <c r="G129" s="2">
        <f>MAX(SUMIFS('Globiom data'!F$2:F$9999,'Globiom data'!$A$2:$A$9999,Veda!$D129,'Globiom data'!$D$2:$D$9999,VLOOKUP(Veda!$B129,'Globiom data'!$V$21:$X$29,2,FALSE),'Globiom data'!$E$2:$E$9999,Veda!$C$1),0)*1000</f>
        <v>0</v>
      </c>
      <c r="H129" s="2">
        <f>MAX(SUMIFS('Globiom data'!G$2:G$9999,'Globiom data'!$A$2:$A$9999,Veda!$D129,'Globiom data'!$D$2:$D$9999,VLOOKUP(Veda!$B129,'Globiom data'!$V$21:$X$29,2,FALSE),'Globiom data'!$E$2:$E$9999,Veda!$C$1),0)*1000</f>
        <v>0.35112979111627163</v>
      </c>
      <c r="I129" s="2">
        <f>MAX(SUMIFS('Globiom data'!H$2:H$9999,'Globiom data'!$A$2:$A$9999,Veda!$D129,'Globiom data'!$D$2:$D$9999,VLOOKUP(Veda!$B129,'Globiom data'!$V$21:$X$29,2,FALSE),'Globiom data'!$E$2:$E$9999,Veda!$C$1),0)*1000</f>
        <v>0.35112979111627163</v>
      </c>
      <c r="J129" s="2">
        <f>MAX(SUMIFS('Globiom data'!I$2:I$9999,'Globiom data'!$A$2:$A$9999,Veda!$D129,'Globiom data'!$D$2:$D$9999,VLOOKUP(Veda!$B129,'Globiom data'!$V$21:$X$29,2,FALSE),'Globiom data'!$E$2:$E$9999,Veda!$C$1),0)*1000</f>
        <v>12.259041642125142</v>
      </c>
      <c r="K129" s="2">
        <f>MAX(SUMIFS('Globiom data'!J$2:J$9999,'Globiom data'!$A$2:$A$9999,Veda!$D129,'Globiom data'!$D$2:$D$9999,VLOOKUP(Veda!$B129,'Globiom data'!$V$21:$X$29,2,FALSE),'Globiom data'!$E$2:$E$9999,Veda!$C$1),0)*1000</f>
        <v>29.394096296684438</v>
      </c>
      <c r="L129" s="2">
        <f>MAX(SUMIFS('Globiom data'!K$2:K$9999,'Globiom data'!$A$2:$A$9999,Veda!$D129,'Globiom data'!$D$2:$D$9999,VLOOKUP(Veda!$B129,'Globiom data'!$V$21:$X$29,2,FALSE),'Globiom data'!$E$2:$E$9999,Veda!$C$1),0)*1000</f>
        <v>65.503870913735739</v>
      </c>
      <c r="M129" s="2">
        <f>MAX(SUMIFS('Globiom data'!L$2:L$9999,'Globiom data'!$A$2:$A$9999,Veda!$D129,'Globiom data'!$D$2:$D$9999,VLOOKUP(Veda!$B129,'Globiom data'!$V$21:$X$29,2,FALSE),'Globiom data'!$E$2:$E$9999,Veda!$C$1),0)*1000</f>
        <v>59.997184938997677</v>
      </c>
      <c r="N129" s="2">
        <f>MAX(SUMIFS('Globiom data'!M$2:M$9999,'Globiom data'!$A$2:$A$9999,Veda!$D129,'Globiom data'!$D$2:$D$9999,VLOOKUP(Veda!$B129,'Globiom data'!$V$21:$X$29,2,FALSE),'Globiom data'!$E$2:$E$9999,Veda!$C$1),0)*1000</f>
        <v>110.75269311387666</v>
      </c>
      <c r="O129" s="2">
        <f>MAX(SUMIFS('Globiom data'!N$2:N$9999,'Globiom data'!$A$2:$A$9999,Veda!$D129,'Globiom data'!$D$2:$D$9999,VLOOKUP(Veda!$B129,'Globiom data'!$V$21:$X$29,2,FALSE),'Globiom data'!$E$2:$E$9999,Veda!$C$1),0)*1000</f>
        <v>173.93673632882997</v>
      </c>
      <c r="P129" s="2">
        <f>MAX(SUMIFS('Globiom data'!O$2:O$9999,'Globiom data'!$A$2:$A$9999,Veda!$D129,'Globiom data'!$D$2:$D$9999,VLOOKUP(Veda!$B129,'Globiom data'!$V$21:$X$29,2,FALSE),'Globiom data'!$E$2:$E$9999,Veda!$C$1),0)*1000</f>
        <v>236.49521072162577</v>
      </c>
      <c r="Q129" s="2">
        <f>MAX(SUMIFS('Globiom data'!P$2:P$9999,'Globiom data'!$A$2:$A$9999,Veda!$D129,'Globiom data'!$D$2:$D$9999,VLOOKUP(Veda!$B129,'Globiom data'!$V$21:$X$29,2,FALSE),'Globiom data'!$E$2:$E$9999,Veda!$C$1),0)*1000</f>
        <v>248.86121749687518</v>
      </c>
      <c r="R129">
        <v>3</v>
      </c>
    </row>
    <row r="130" spans="1:18" x14ac:dyDescent="0.45">
      <c r="A130" s="8">
        <f t="shared" si="7"/>
        <v>18</v>
      </c>
      <c r="B130" s="8">
        <f t="shared" si="8"/>
        <v>6</v>
      </c>
      <c r="D130" t="str">
        <f>VLOOKUP(A130,'Globiom data'!$S$21:$T$51,2,FALSE)</f>
        <v>France</v>
      </c>
      <c r="E130" t="str">
        <f>VLOOKUP(B130,'Globiom data'!$V$21:$X$30,3,FALSE)</f>
        <v>MinBIOBSL-06</v>
      </c>
      <c r="F130" t="s">
        <v>53</v>
      </c>
      <c r="G130" s="2">
        <f>MAX(SUMIFS('Globiom data'!F$2:F$9999,'Globiom data'!$A$2:$A$9999,Veda!$D130,'Globiom data'!$D$2:$D$9999,VLOOKUP(Veda!$B130,'Globiom data'!$V$21:$X$29,2,FALSE),'Globiom data'!$E$2:$E$9999,Veda!$C$1),0)*1000</f>
        <v>0</v>
      </c>
      <c r="H130" s="2">
        <f>MAX(SUMIFS('Globiom data'!G$2:G$9999,'Globiom data'!$A$2:$A$9999,Veda!$D130,'Globiom data'!$D$2:$D$9999,VLOOKUP(Veda!$B130,'Globiom data'!$V$21:$X$29,2,FALSE),'Globiom data'!$E$2:$E$9999,Veda!$C$1),0)*1000</f>
        <v>3.3174512684856499</v>
      </c>
      <c r="I130" s="2">
        <f>MAX(SUMIFS('Globiom data'!H$2:H$9999,'Globiom data'!$A$2:$A$9999,Veda!$D130,'Globiom data'!$D$2:$D$9999,VLOOKUP(Veda!$B130,'Globiom data'!$V$21:$X$29,2,FALSE),'Globiom data'!$E$2:$E$9999,Veda!$C$1),0)*1000</f>
        <v>3.3174512684856499</v>
      </c>
      <c r="J130" s="2">
        <f>MAX(SUMIFS('Globiom data'!I$2:I$9999,'Globiom data'!$A$2:$A$9999,Veda!$D130,'Globiom data'!$D$2:$D$9999,VLOOKUP(Veda!$B130,'Globiom data'!$V$21:$X$29,2,FALSE),'Globiom data'!$E$2:$E$9999,Veda!$C$1),0)*1000</f>
        <v>58.318813900490653</v>
      </c>
      <c r="K130" s="2">
        <f>MAX(SUMIFS('Globiom data'!J$2:J$9999,'Globiom data'!$A$2:$A$9999,Veda!$D130,'Globiom data'!$D$2:$D$9999,VLOOKUP(Veda!$B130,'Globiom data'!$V$21:$X$29,2,FALSE),'Globiom data'!$E$2:$E$9999,Veda!$C$1),0)*1000</f>
        <v>127.45575431897896</v>
      </c>
      <c r="L130" s="2">
        <f>MAX(SUMIFS('Globiom data'!K$2:K$9999,'Globiom data'!$A$2:$A$9999,Veda!$D130,'Globiom data'!$D$2:$D$9999,VLOOKUP(Veda!$B130,'Globiom data'!$V$21:$X$29,2,FALSE),'Globiom data'!$E$2:$E$9999,Veda!$C$1),0)*1000</f>
        <v>195.74780195138936</v>
      </c>
      <c r="M130" s="2">
        <f>MAX(SUMIFS('Globiom data'!L$2:L$9999,'Globiom data'!$A$2:$A$9999,Veda!$D130,'Globiom data'!$D$2:$D$9999,VLOOKUP(Veda!$B130,'Globiom data'!$V$21:$X$29,2,FALSE),'Globiom data'!$E$2:$E$9999,Veda!$C$1),0)*1000</f>
        <v>261.29693937953812</v>
      </c>
      <c r="N130" s="2">
        <f>MAX(SUMIFS('Globiom data'!M$2:M$9999,'Globiom data'!$A$2:$A$9999,Veda!$D130,'Globiom data'!$D$2:$D$9999,VLOOKUP(Veda!$B130,'Globiom data'!$V$21:$X$29,2,FALSE),'Globiom data'!$E$2:$E$9999,Veda!$C$1),0)*1000</f>
        <v>269.90505143417329</v>
      </c>
      <c r="O130" s="2">
        <f>MAX(SUMIFS('Globiom data'!N$2:N$9999,'Globiom data'!$A$2:$A$9999,Veda!$D130,'Globiom data'!$D$2:$D$9999,VLOOKUP(Veda!$B130,'Globiom data'!$V$21:$X$29,2,FALSE),'Globiom data'!$E$2:$E$9999,Veda!$C$1),0)*1000</f>
        <v>265.16803996369447</v>
      </c>
      <c r="P130" s="2">
        <f>MAX(SUMIFS('Globiom data'!O$2:O$9999,'Globiom data'!$A$2:$A$9999,Veda!$D130,'Globiom data'!$D$2:$D$9999,VLOOKUP(Veda!$B130,'Globiom data'!$V$21:$X$29,2,FALSE),'Globiom data'!$E$2:$E$9999,Veda!$C$1),0)*1000</f>
        <v>262.25929093819911</v>
      </c>
      <c r="Q130" s="2">
        <f>MAX(SUMIFS('Globiom data'!P$2:P$9999,'Globiom data'!$A$2:$A$9999,Veda!$D130,'Globiom data'!$D$2:$D$9999,VLOOKUP(Veda!$B130,'Globiom data'!$V$21:$X$29,2,FALSE),'Globiom data'!$E$2:$E$9999,Veda!$C$1),0)*1000</f>
        <v>275.41113545443091</v>
      </c>
      <c r="R130">
        <v>3</v>
      </c>
    </row>
    <row r="131" spans="1:18" x14ac:dyDescent="0.45">
      <c r="A131" s="8">
        <f t="shared" si="7"/>
        <v>18</v>
      </c>
      <c r="B131" s="8">
        <f t="shared" si="8"/>
        <v>7</v>
      </c>
      <c r="D131" t="str">
        <f>VLOOKUP(A131,'Globiom data'!$S$21:$T$51,2,FALSE)</f>
        <v>France</v>
      </c>
      <c r="E131" t="str">
        <f>VLOOKUP(B131,'Globiom data'!$V$21:$X$30,3,FALSE)</f>
        <v>MinBIOBSL-07</v>
      </c>
      <c r="F131" t="s">
        <v>53</v>
      </c>
      <c r="G131" s="2">
        <f>MAX(SUMIFS('Globiom data'!F$2:F$9999,'Globiom data'!$A$2:$A$9999,Veda!$D131,'Globiom data'!$D$2:$D$9999,VLOOKUP(Veda!$B131,'Globiom data'!$V$21:$X$29,2,FALSE),'Globiom data'!$E$2:$E$9999,Veda!$C$1),0)*1000</f>
        <v>0</v>
      </c>
      <c r="H131" s="2">
        <f>MAX(SUMIFS('Globiom data'!G$2:G$9999,'Globiom data'!$A$2:$A$9999,Veda!$D131,'Globiom data'!$D$2:$D$9999,VLOOKUP(Veda!$B131,'Globiom data'!$V$21:$X$29,2,FALSE),'Globiom data'!$E$2:$E$9999,Veda!$C$1),0)*1000</f>
        <v>31.762102474379077</v>
      </c>
      <c r="I131" s="2">
        <f>MAX(SUMIFS('Globiom data'!H$2:H$9999,'Globiom data'!$A$2:$A$9999,Veda!$D131,'Globiom data'!$D$2:$D$9999,VLOOKUP(Veda!$B131,'Globiom data'!$V$21:$X$29,2,FALSE),'Globiom data'!$E$2:$E$9999,Veda!$C$1),0)*1000</f>
        <v>31.762102474379077</v>
      </c>
      <c r="J131" s="2">
        <f>MAX(SUMIFS('Globiom data'!I$2:I$9999,'Globiom data'!$A$2:$A$9999,Veda!$D131,'Globiom data'!$D$2:$D$9999,VLOOKUP(Veda!$B131,'Globiom data'!$V$21:$X$29,2,FALSE),'Globiom data'!$E$2:$E$9999,Veda!$C$1),0)*1000</f>
        <v>112.81431810328715</v>
      </c>
      <c r="K131" s="2">
        <f>MAX(SUMIFS('Globiom data'!J$2:J$9999,'Globiom data'!$A$2:$A$9999,Veda!$D131,'Globiom data'!$D$2:$D$9999,VLOOKUP(Veda!$B131,'Globiom data'!$V$21:$X$29,2,FALSE),'Globiom data'!$E$2:$E$9999,Veda!$C$1),0)*1000</f>
        <v>105.68383814165905</v>
      </c>
      <c r="L131" s="2">
        <f>MAX(SUMIFS('Globiom data'!K$2:K$9999,'Globiom data'!$A$2:$A$9999,Veda!$D131,'Globiom data'!$D$2:$D$9999,VLOOKUP(Veda!$B131,'Globiom data'!$V$21:$X$29,2,FALSE),'Globiom data'!$E$2:$E$9999,Veda!$C$1),0)*1000</f>
        <v>91.123926044204325</v>
      </c>
      <c r="M131" s="2">
        <f>MAX(SUMIFS('Globiom data'!L$2:L$9999,'Globiom data'!$A$2:$A$9999,Veda!$D131,'Globiom data'!$D$2:$D$9999,VLOOKUP(Veda!$B131,'Globiom data'!$V$21:$X$29,2,FALSE),'Globiom data'!$E$2:$E$9999,Veda!$C$1),0)*1000</f>
        <v>118.64328235409538</v>
      </c>
      <c r="N131" s="2">
        <f>MAX(SUMIFS('Globiom data'!M$2:M$9999,'Globiom data'!$A$2:$A$9999,Veda!$D131,'Globiom data'!$D$2:$D$9999,VLOOKUP(Veda!$B131,'Globiom data'!$V$21:$X$29,2,FALSE),'Globiom data'!$E$2:$E$9999,Veda!$C$1),0)*1000</f>
        <v>160.62068670790086</v>
      </c>
      <c r="O131" s="2">
        <f>MAX(SUMIFS('Globiom data'!N$2:N$9999,'Globiom data'!$A$2:$A$9999,Veda!$D131,'Globiom data'!$D$2:$D$9999,VLOOKUP(Veda!$B131,'Globiom data'!$V$21:$X$29,2,FALSE),'Globiom data'!$E$2:$E$9999,Veda!$C$1),0)*1000</f>
        <v>209.49445817691768</v>
      </c>
      <c r="P131" s="2">
        <f>MAX(SUMIFS('Globiom data'!O$2:O$9999,'Globiom data'!$A$2:$A$9999,Veda!$D131,'Globiom data'!$D$2:$D$9999,VLOOKUP(Veda!$B131,'Globiom data'!$V$21:$X$29,2,FALSE),'Globiom data'!$E$2:$E$9999,Veda!$C$1),0)*1000</f>
        <v>258.0993955261539</v>
      </c>
      <c r="Q131" s="2">
        <f>MAX(SUMIFS('Globiom data'!P$2:P$9999,'Globiom data'!$A$2:$A$9999,Veda!$D131,'Globiom data'!$D$2:$D$9999,VLOOKUP(Veda!$B131,'Globiom data'!$V$21:$X$29,2,FALSE),'Globiom data'!$E$2:$E$9999,Veda!$C$1),0)*1000</f>
        <v>279.53739187428658</v>
      </c>
      <c r="R131">
        <v>3</v>
      </c>
    </row>
    <row r="132" spans="1:18" x14ac:dyDescent="0.45">
      <c r="A132" s="8">
        <f t="shared" si="7"/>
        <v>19</v>
      </c>
      <c r="B132" s="8">
        <f t="shared" si="8"/>
        <v>1</v>
      </c>
      <c r="D132" t="str">
        <f>VLOOKUP(A132,'Globiom data'!$S$21:$T$51,2,FALSE)</f>
        <v>Germany</v>
      </c>
      <c r="E132" t="str">
        <f>VLOOKUP(B132,'Globiom data'!$V$21:$X$30,3,FALSE)</f>
        <v>MinBIOBSL-01</v>
      </c>
      <c r="F132" t="s">
        <v>53</v>
      </c>
      <c r="G132" s="2">
        <f>MAX(SUMIFS('Globiom data'!F$2:F$9999,'Globiom data'!$A$2:$A$9999,Veda!$D132,'Globiom data'!$D$2:$D$9999,VLOOKUP(Veda!$B132,'Globiom data'!$V$21:$X$29,2,FALSE),'Globiom data'!$E$2:$E$9999,Veda!$C$1),0)*1000</f>
        <v>477.28418902445583</v>
      </c>
      <c r="H132" s="2">
        <f>MAX(SUMIFS('Globiom data'!G$2:G$9999,'Globiom data'!$A$2:$A$9999,Veda!$D132,'Globiom data'!$D$2:$D$9999,VLOOKUP(Veda!$B132,'Globiom data'!$V$21:$X$29,2,FALSE),'Globiom data'!$E$2:$E$9999,Veda!$C$1),0)*1000</f>
        <v>479.03949055638645</v>
      </c>
      <c r="I132" s="2">
        <f>MAX(SUMIFS('Globiom data'!H$2:H$9999,'Globiom data'!$A$2:$A$9999,Veda!$D132,'Globiom data'!$D$2:$D$9999,VLOOKUP(Veda!$B132,'Globiom data'!$V$21:$X$29,2,FALSE),'Globiom data'!$E$2:$E$9999,Veda!$C$1),0)*1000</f>
        <v>479.03949055638645</v>
      </c>
      <c r="J132" s="2">
        <f>MAX(SUMIFS('Globiom data'!I$2:I$9999,'Globiom data'!$A$2:$A$9999,Veda!$D132,'Globiom data'!$D$2:$D$9999,VLOOKUP(Veda!$B132,'Globiom data'!$V$21:$X$29,2,FALSE),'Globiom data'!$E$2:$E$9999,Veda!$C$1),0)*1000</f>
        <v>469.36736182882993</v>
      </c>
      <c r="K132" s="2">
        <f>MAX(SUMIFS('Globiom data'!J$2:J$9999,'Globiom data'!$A$2:$A$9999,Veda!$D132,'Globiom data'!$D$2:$D$9999,VLOOKUP(Veda!$B132,'Globiom data'!$V$21:$X$29,2,FALSE),'Globiom data'!$E$2:$E$9999,Veda!$C$1),0)*1000</f>
        <v>458.78868156815179</v>
      </c>
      <c r="L132" s="2">
        <f>MAX(SUMIFS('Globiom data'!K$2:K$9999,'Globiom data'!$A$2:$A$9999,Veda!$D132,'Globiom data'!$D$2:$D$9999,VLOOKUP(Veda!$B132,'Globiom data'!$V$21:$X$29,2,FALSE),'Globiom data'!$E$2:$E$9999,Veda!$C$1),0)*1000</f>
        <v>450.01514588997907</v>
      </c>
      <c r="M132" s="2">
        <f>MAX(SUMIFS('Globiom data'!L$2:L$9999,'Globiom data'!$A$2:$A$9999,Veda!$D132,'Globiom data'!$D$2:$D$9999,VLOOKUP(Veda!$B132,'Globiom data'!$V$21:$X$29,2,FALSE),'Globiom data'!$E$2:$E$9999,Veda!$C$1),0)*1000</f>
        <v>446.81529389888379</v>
      </c>
      <c r="N132" s="2">
        <f>MAX(SUMIFS('Globiom data'!M$2:M$9999,'Globiom data'!$A$2:$A$9999,Veda!$D132,'Globiom data'!$D$2:$D$9999,VLOOKUP(Veda!$B132,'Globiom data'!$V$21:$X$29,2,FALSE),'Globiom data'!$E$2:$E$9999,Veda!$C$1),0)*1000</f>
        <v>445.20690502981381</v>
      </c>
      <c r="O132" s="2">
        <f>MAX(SUMIFS('Globiom data'!N$2:N$9999,'Globiom data'!$A$2:$A$9999,Veda!$D132,'Globiom data'!$D$2:$D$9999,VLOOKUP(Veda!$B132,'Globiom data'!$V$21:$X$29,2,FALSE),'Globiom data'!$E$2:$E$9999,Veda!$C$1),0)*1000</f>
        <v>443.85184664816882</v>
      </c>
      <c r="P132" s="2">
        <f>MAX(SUMIFS('Globiom data'!O$2:O$9999,'Globiom data'!$A$2:$A$9999,Veda!$D132,'Globiom data'!$D$2:$D$9999,VLOOKUP(Veda!$B132,'Globiom data'!$V$21:$X$29,2,FALSE),'Globiom data'!$E$2:$E$9999,Veda!$C$1),0)*1000</f>
        <v>442.61469767113203</v>
      </c>
      <c r="Q132" s="2">
        <f>MAX(SUMIFS('Globiom data'!P$2:P$9999,'Globiom data'!$A$2:$A$9999,Veda!$D132,'Globiom data'!$D$2:$D$9999,VLOOKUP(Veda!$B132,'Globiom data'!$V$21:$X$29,2,FALSE),'Globiom data'!$E$2:$E$9999,Veda!$C$1),0)*1000</f>
        <v>440.87590231415089</v>
      </c>
      <c r="R132">
        <v>3</v>
      </c>
    </row>
    <row r="133" spans="1:18" x14ac:dyDescent="0.45">
      <c r="A133" s="8">
        <f t="shared" si="7"/>
        <v>19</v>
      </c>
      <c r="B133" s="8">
        <f t="shared" si="8"/>
        <v>2</v>
      </c>
      <c r="D133" t="str">
        <f>VLOOKUP(A133,'Globiom data'!$S$21:$T$51,2,FALSE)</f>
        <v>Germany</v>
      </c>
      <c r="E133" t="str">
        <f>VLOOKUP(B133,'Globiom data'!$V$21:$X$30,3,FALSE)</f>
        <v>MinBIOBSL-02</v>
      </c>
      <c r="F133" t="s">
        <v>53</v>
      </c>
      <c r="G133" s="2">
        <f>MAX(SUMIFS('Globiom data'!F$2:F$9999,'Globiom data'!$A$2:$A$9999,Veda!$D133,'Globiom data'!$D$2:$D$9999,VLOOKUP(Veda!$B133,'Globiom data'!$V$21:$X$29,2,FALSE),'Globiom data'!$E$2:$E$9999,Veda!$C$1),0)*1000</f>
        <v>0</v>
      </c>
      <c r="H133" s="2">
        <f>MAX(SUMIFS('Globiom data'!G$2:G$9999,'Globiom data'!$A$2:$A$9999,Veda!$D133,'Globiom data'!$D$2:$D$9999,VLOOKUP(Veda!$B133,'Globiom data'!$V$21:$X$29,2,FALSE),'Globiom data'!$E$2:$E$9999,Veda!$C$1),0)*1000</f>
        <v>0.84357546058607136</v>
      </c>
      <c r="I133" s="2">
        <f>MAX(SUMIFS('Globiom data'!H$2:H$9999,'Globiom data'!$A$2:$A$9999,Veda!$D133,'Globiom data'!$D$2:$D$9999,VLOOKUP(Veda!$B133,'Globiom data'!$V$21:$X$29,2,FALSE),'Globiom data'!$E$2:$E$9999,Veda!$C$1),0)*1000</f>
        <v>0.84357546058607136</v>
      </c>
      <c r="J133" s="2">
        <f>MAX(SUMIFS('Globiom data'!I$2:I$9999,'Globiom data'!$A$2:$A$9999,Veda!$D133,'Globiom data'!$D$2:$D$9999,VLOOKUP(Veda!$B133,'Globiom data'!$V$21:$X$29,2,FALSE),'Globiom data'!$E$2:$E$9999,Veda!$C$1),0)*1000</f>
        <v>2.9574231454441651</v>
      </c>
      <c r="K133" s="2">
        <f>MAX(SUMIFS('Globiom data'!J$2:J$9999,'Globiom data'!$A$2:$A$9999,Veda!$D133,'Globiom data'!$D$2:$D$9999,VLOOKUP(Veda!$B133,'Globiom data'!$V$21:$X$29,2,FALSE),'Globiom data'!$E$2:$E$9999,Veda!$C$1),0)*1000</f>
        <v>2.6327447600932286</v>
      </c>
      <c r="L133" s="2">
        <f>MAX(SUMIFS('Globiom data'!K$2:K$9999,'Globiom data'!$A$2:$A$9999,Veda!$D133,'Globiom data'!$D$2:$D$9999,VLOOKUP(Veda!$B133,'Globiom data'!$V$21:$X$29,2,FALSE),'Globiom data'!$E$2:$E$9999,Veda!$C$1),0)*1000</f>
        <v>2.827134488378086</v>
      </c>
      <c r="M133" s="2">
        <f>MAX(SUMIFS('Globiom data'!L$2:L$9999,'Globiom data'!$A$2:$A$9999,Veda!$D133,'Globiom data'!$D$2:$D$9999,VLOOKUP(Veda!$B133,'Globiom data'!$V$21:$X$29,2,FALSE),'Globiom data'!$E$2:$E$9999,Veda!$C$1),0)*1000</f>
        <v>3.5101267718555036</v>
      </c>
      <c r="N133" s="2">
        <f>MAX(SUMIFS('Globiom data'!M$2:M$9999,'Globiom data'!$A$2:$A$9999,Veda!$D133,'Globiom data'!$D$2:$D$9999,VLOOKUP(Veda!$B133,'Globiom data'!$V$21:$X$29,2,FALSE),'Globiom data'!$E$2:$E$9999,Veda!$C$1),0)*1000</f>
        <v>3.8981271343729826</v>
      </c>
      <c r="O133" s="2">
        <f>MAX(SUMIFS('Globiom data'!N$2:N$9999,'Globiom data'!$A$2:$A$9999,Veda!$D133,'Globiom data'!$D$2:$D$9999,VLOOKUP(Veda!$B133,'Globiom data'!$V$21:$X$29,2,FALSE),'Globiom data'!$E$2:$E$9999,Veda!$C$1),0)*1000</f>
        <v>15.212684066760357</v>
      </c>
      <c r="P133" s="2">
        <f>MAX(SUMIFS('Globiom data'!O$2:O$9999,'Globiom data'!$A$2:$A$9999,Veda!$D133,'Globiom data'!$D$2:$D$9999,VLOOKUP(Veda!$B133,'Globiom data'!$V$21:$X$29,2,FALSE),'Globiom data'!$E$2:$E$9999,Veda!$C$1),0)*1000</f>
        <v>15.816866123565674</v>
      </c>
      <c r="Q133" s="2">
        <f>MAX(SUMIFS('Globiom data'!P$2:P$9999,'Globiom data'!$A$2:$A$9999,Veda!$D133,'Globiom data'!$D$2:$D$9999,VLOOKUP(Veda!$B133,'Globiom data'!$V$21:$X$29,2,FALSE),'Globiom data'!$E$2:$E$9999,Veda!$C$1),0)*1000</f>
        <v>17.040927183939534</v>
      </c>
      <c r="R133">
        <v>3</v>
      </c>
    </row>
    <row r="134" spans="1:18" x14ac:dyDescent="0.45">
      <c r="A134" s="8">
        <f t="shared" si="7"/>
        <v>19</v>
      </c>
      <c r="B134" s="8">
        <f t="shared" si="8"/>
        <v>3</v>
      </c>
      <c r="D134" t="str">
        <f>VLOOKUP(A134,'Globiom data'!$S$21:$T$51,2,FALSE)</f>
        <v>Germany</v>
      </c>
      <c r="E134" t="str">
        <f>VLOOKUP(B134,'Globiom data'!$V$21:$X$30,3,FALSE)</f>
        <v>MinBIOBSL-03</v>
      </c>
      <c r="F134" t="s">
        <v>53</v>
      </c>
      <c r="G134" s="2">
        <f>MAX(SUMIFS('Globiom data'!F$2:F$9999,'Globiom data'!$A$2:$A$9999,Veda!$D134,'Globiom data'!$D$2:$D$9999,VLOOKUP(Veda!$B134,'Globiom data'!$V$21:$X$29,2,FALSE),'Globiom data'!$E$2:$E$9999,Veda!$C$1),0)*1000</f>
        <v>0</v>
      </c>
      <c r="H134" s="2">
        <f>MAX(SUMIFS('Globiom data'!G$2:G$9999,'Globiom data'!$A$2:$A$9999,Veda!$D134,'Globiom data'!$D$2:$D$9999,VLOOKUP(Veda!$B134,'Globiom data'!$V$21:$X$29,2,FALSE),'Globiom data'!$E$2:$E$9999,Veda!$C$1),0)*1000</f>
        <v>0.31896217370303037</v>
      </c>
      <c r="I134" s="2">
        <f>MAX(SUMIFS('Globiom data'!H$2:H$9999,'Globiom data'!$A$2:$A$9999,Veda!$D134,'Globiom data'!$D$2:$D$9999,VLOOKUP(Veda!$B134,'Globiom data'!$V$21:$X$29,2,FALSE),'Globiom data'!$E$2:$E$9999,Veda!$C$1),0)*1000</f>
        <v>0.31896217370303037</v>
      </c>
      <c r="J134" s="2">
        <f>MAX(SUMIFS('Globiom data'!I$2:I$9999,'Globiom data'!$A$2:$A$9999,Veda!$D134,'Globiom data'!$D$2:$D$9999,VLOOKUP(Veda!$B134,'Globiom data'!$V$21:$X$29,2,FALSE),'Globiom data'!$E$2:$E$9999,Veda!$C$1),0)*1000</f>
        <v>1.2225980271503381</v>
      </c>
      <c r="K134" s="2">
        <f>MAX(SUMIFS('Globiom data'!J$2:J$9999,'Globiom data'!$A$2:$A$9999,Veda!$D134,'Globiom data'!$D$2:$D$9999,VLOOKUP(Veda!$B134,'Globiom data'!$V$21:$X$29,2,FALSE),'Globiom data'!$E$2:$E$9999,Veda!$C$1),0)*1000</f>
        <v>1.4143354033440689</v>
      </c>
      <c r="L134" s="2">
        <f>MAX(SUMIFS('Globiom data'!K$2:K$9999,'Globiom data'!$A$2:$A$9999,Veda!$D134,'Globiom data'!$D$2:$D$9999,VLOOKUP(Veda!$B134,'Globiom data'!$V$21:$X$29,2,FALSE),'Globiom data'!$E$2:$E$9999,Veda!$C$1),0)*1000</f>
        <v>2.5659329025253741</v>
      </c>
      <c r="M134" s="2">
        <f>MAX(SUMIFS('Globiom data'!L$2:L$9999,'Globiom data'!$A$2:$A$9999,Veda!$D134,'Globiom data'!$D$2:$D$9999,VLOOKUP(Veda!$B134,'Globiom data'!$V$21:$X$29,2,FALSE),'Globiom data'!$E$2:$E$9999,Veda!$C$1),0)*1000</f>
        <v>14.101602131969994</v>
      </c>
      <c r="N134" s="2">
        <f>MAX(SUMIFS('Globiom data'!M$2:M$9999,'Globiom data'!$A$2:$A$9999,Veda!$D134,'Globiom data'!$D$2:$D$9999,VLOOKUP(Veda!$B134,'Globiom data'!$V$21:$X$29,2,FALSE),'Globiom data'!$E$2:$E$9999,Veda!$C$1),0)*1000</f>
        <v>14.42082460739131</v>
      </c>
      <c r="O134" s="2">
        <f>MAX(SUMIFS('Globiom data'!N$2:N$9999,'Globiom data'!$A$2:$A$9999,Veda!$D134,'Globiom data'!$D$2:$D$9999,VLOOKUP(Veda!$B134,'Globiom data'!$V$21:$X$29,2,FALSE),'Globiom data'!$E$2:$E$9999,Veda!$C$1),0)*1000</f>
        <v>37.66655082964737</v>
      </c>
      <c r="P134" s="2">
        <f>MAX(SUMIFS('Globiom data'!O$2:O$9999,'Globiom data'!$A$2:$A$9999,Veda!$D134,'Globiom data'!$D$2:$D$9999,VLOOKUP(Veda!$B134,'Globiom data'!$V$21:$X$29,2,FALSE),'Globiom data'!$E$2:$E$9999,Veda!$C$1),0)*1000</f>
        <v>46.189511520523297</v>
      </c>
      <c r="Q134" s="2">
        <f>MAX(SUMIFS('Globiom data'!P$2:P$9999,'Globiom data'!$A$2:$A$9999,Veda!$D134,'Globiom data'!$D$2:$D$9999,VLOOKUP(Veda!$B134,'Globiom data'!$V$21:$X$29,2,FALSE),'Globiom data'!$E$2:$E$9999,Veda!$C$1),0)*1000</f>
        <v>72.90163179393457</v>
      </c>
      <c r="R134">
        <v>3</v>
      </c>
    </row>
    <row r="135" spans="1:18" x14ac:dyDescent="0.45">
      <c r="A135" s="8">
        <f t="shared" si="7"/>
        <v>19</v>
      </c>
      <c r="B135" s="8">
        <f t="shared" si="8"/>
        <v>4</v>
      </c>
      <c r="D135" t="str">
        <f>VLOOKUP(A135,'Globiom data'!$S$21:$T$51,2,FALSE)</f>
        <v>Germany</v>
      </c>
      <c r="E135" t="str">
        <f>VLOOKUP(B135,'Globiom data'!$V$21:$X$30,3,FALSE)</f>
        <v>MinBIOBSL-04</v>
      </c>
      <c r="F135" t="s">
        <v>53</v>
      </c>
      <c r="G135" s="2">
        <f>MAX(SUMIFS('Globiom data'!F$2:F$9999,'Globiom data'!$A$2:$A$9999,Veda!$D135,'Globiom data'!$D$2:$D$9999,VLOOKUP(Veda!$B135,'Globiom data'!$V$21:$X$29,2,FALSE),'Globiom data'!$E$2:$E$9999,Veda!$C$1),0)*1000</f>
        <v>0</v>
      </c>
      <c r="H135" s="2">
        <f>MAX(SUMIFS('Globiom data'!G$2:G$9999,'Globiom data'!$A$2:$A$9999,Veda!$D135,'Globiom data'!$D$2:$D$9999,VLOOKUP(Veda!$B135,'Globiom data'!$V$21:$X$29,2,FALSE),'Globiom data'!$E$2:$E$9999,Veda!$C$1),0)*1000</f>
        <v>0.32561745161793754</v>
      </c>
      <c r="I135" s="2">
        <f>MAX(SUMIFS('Globiom data'!H$2:H$9999,'Globiom data'!$A$2:$A$9999,Veda!$D135,'Globiom data'!$D$2:$D$9999,VLOOKUP(Veda!$B135,'Globiom data'!$V$21:$X$29,2,FALSE),'Globiom data'!$E$2:$E$9999,Veda!$C$1),0)*1000</f>
        <v>0.32561745161793754</v>
      </c>
      <c r="J135" s="2">
        <f>MAX(SUMIFS('Globiom data'!I$2:I$9999,'Globiom data'!$A$2:$A$9999,Veda!$D135,'Globiom data'!$D$2:$D$9999,VLOOKUP(Veda!$B135,'Globiom data'!$V$21:$X$29,2,FALSE),'Globiom data'!$E$2:$E$9999,Veda!$C$1),0)*1000</f>
        <v>1.396910161674122</v>
      </c>
      <c r="K135" s="2">
        <f>MAX(SUMIFS('Globiom data'!J$2:J$9999,'Globiom data'!$A$2:$A$9999,Veda!$D135,'Globiom data'!$D$2:$D$9999,VLOOKUP(Veda!$B135,'Globiom data'!$V$21:$X$29,2,FALSE),'Globiom data'!$E$2:$E$9999,Veda!$C$1),0)*1000</f>
        <v>13.856023993345863</v>
      </c>
      <c r="L135" s="2">
        <f>MAX(SUMIFS('Globiom data'!K$2:K$9999,'Globiom data'!$A$2:$A$9999,Veda!$D135,'Globiom data'!$D$2:$D$9999,VLOOKUP(Veda!$B135,'Globiom data'!$V$21:$X$29,2,FALSE),'Globiom data'!$E$2:$E$9999,Veda!$C$1),0)*1000</f>
        <v>13.251414775420184</v>
      </c>
      <c r="M135" s="2">
        <f>MAX(SUMIFS('Globiom data'!L$2:L$9999,'Globiom data'!$A$2:$A$9999,Veda!$D135,'Globiom data'!$D$2:$D$9999,VLOOKUP(Veda!$B135,'Globiom data'!$V$21:$X$29,2,FALSE),'Globiom data'!$E$2:$E$9999,Veda!$C$1),0)*1000</f>
        <v>42.867553148541468</v>
      </c>
      <c r="N135" s="2">
        <f>MAX(SUMIFS('Globiom data'!M$2:M$9999,'Globiom data'!$A$2:$A$9999,Veda!$D135,'Globiom data'!$D$2:$D$9999,VLOOKUP(Veda!$B135,'Globiom data'!$V$21:$X$29,2,FALSE),'Globiom data'!$E$2:$E$9999,Veda!$C$1),0)*1000</f>
        <v>73.992275480653419</v>
      </c>
      <c r="O135" s="2">
        <f>MAX(SUMIFS('Globiom data'!N$2:N$9999,'Globiom data'!$A$2:$A$9999,Veda!$D135,'Globiom data'!$D$2:$D$9999,VLOOKUP(Veda!$B135,'Globiom data'!$V$21:$X$29,2,FALSE),'Globiom data'!$E$2:$E$9999,Veda!$C$1),0)*1000</f>
        <v>69.331141864582349</v>
      </c>
      <c r="P135" s="2">
        <f>MAX(SUMIFS('Globiom data'!O$2:O$9999,'Globiom data'!$A$2:$A$9999,Veda!$D135,'Globiom data'!$D$2:$D$9999,VLOOKUP(Veda!$B135,'Globiom data'!$V$21:$X$29,2,FALSE),'Globiom data'!$E$2:$E$9999,Veda!$C$1),0)*1000</f>
        <v>88.543685479845934</v>
      </c>
      <c r="Q135" s="2">
        <f>MAX(SUMIFS('Globiom data'!P$2:P$9999,'Globiom data'!$A$2:$A$9999,Veda!$D135,'Globiom data'!$D$2:$D$9999,VLOOKUP(Veda!$B135,'Globiom data'!$V$21:$X$29,2,FALSE),'Globiom data'!$E$2:$E$9999,Veda!$C$1),0)*1000</f>
        <v>137.92041924324911</v>
      </c>
      <c r="R135">
        <v>3</v>
      </c>
    </row>
    <row r="136" spans="1:18" x14ac:dyDescent="0.45">
      <c r="A136" s="8">
        <f t="shared" si="7"/>
        <v>19</v>
      </c>
      <c r="B136" s="8">
        <f t="shared" si="8"/>
        <v>5</v>
      </c>
      <c r="D136" t="str">
        <f>VLOOKUP(A136,'Globiom data'!$S$21:$T$51,2,FALSE)</f>
        <v>Germany</v>
      </c>
      <c r="E136" t="str">
        <f>VLOOKUP(B136,'Globiom data'!$V$21:$X$30,3,FALSE)</f>
        <v>MinBIOBSL-05</v>
      </c>
      <c r="F136" t="s">
        <v>53</v>
      </c>
      <c r="G136" s="2">
        <f>MAX(SUMIFS('Globiom data'!F$2:F$9999,'Globiom data'!$A$2:$A$9999,Veda!$D136,'Globiom data'!$D$2:$D$9999,VLOOKUP(Veda!$B136,'Globiom data'!$V$21:$X$29,2,FALSE),'Globiom data'!$E$2:$E$9999,Veda!$C$1),0)*1000</f>
        <v>0</v>
      </c>
      <c r="H136" s="2">
        <f>MAX(SUMIFS('Globiom data'!G$2:G$9999,'Globiom data'!$A$2:$A$9999,Veda!$D136,'Globiom data'!$D$2:$D$9999,VLOOKUP(Veda!$B136,'Globiom data'!$V$21:$X$29,2,FALSE),'Globiom data'!$E$2:$E$9999,Veda!$C$1),0)*1000</f>
        <v>0.43193834101891443</v>
      </c>
      <c r="I136" s="2">
        <f>MAX(SUMIFS('Globiom data'!H$2:H$9999,'Globiom data'!$A$2:$A$9999,Veda!$D136,'Globiom data'!$D$2:$D$9999,VLOOKUP(Veda!$B136,'Globiom data'!$V$21:$X$29,2,FALSE),'Globiom data'!$E$2:$E$9999,Veda!$C$1),0)*1000</f>
        <v>0.43193834101891443</v>
      </c>
      <c r="J136" s="2">
        <f>MAX(SUMIFS('Globiom data'!I$2:I$9999,'Globiom data'!$A$2:$A$9999,Veda!$D136,'Globiom data'!$D$2:$D$9999,VLOOKUP(Veda!$B136,'Globiom data'!$V$21:$X$29,2,FALSE),'Globiom data'!$E$2:$E$9999,Veda!$C$1),0)*1000</f>
        <v>15.080321417750811</v>
      </c>
      <c r="K136" s="2">
        <f>MAX(SUMIFS('Globiom data'!J$2:J$9999,'Globiom data'!$A$2:$A$9999,Veda!$D136,'Globiom data'!$D$2:$D$9999,VLOOKUP(Veda!$B136,'Globiom data'!$V$21:$X$29,2,FALSE),'Globiom data'!$E$2:$E$9999,Veda!$C$1),0)*1000</f>
        <v>36.158815091640264</v>
      </c>
      <c r="L136" s="2">
        <f>MAX(SUMIFS('Globiom data'!K$2:K$9999,'Globiom data'!$A$2:$A$9999,Veda!$D136,'Globiom data'!$D$2:$D$9999,VLOOKUP(Veda!$B136,'Globiom data'!$V$21:$X$29,2,FALSE),'Globiom data'!$E$2:$E$9999,Veda!$C$1),0)*1000</f>
        <v>80.578845910075003</v>
      </c>
      <c r="M136" s="2">
        <f>MAX(SUMIFS('Globiom data'!L$2:L$9999,'Globiom data'!$A$2:$A$9999,Veda!$D136,'Globiom data'!$D$2:$D$9999,VLOOKUP(Veda!$B136,'Globiom data'!$V$21:$X$29,2,FALSE),'Globiom data'!$E$2:$E$9999,Veda!$C$1),0)*1000</f>
        <v>73.804858442709346</v>
      </c>
      <c r="N136" s="2">
        <f>MAX(SUMIFS('Globiom data'!M$2:M$9999,'Globiom data'!$A$2:$A$9999,Veda!$D136,'Globiom data'!$D$2:$D$9999,VLOOKUP(Veda!$B136,'Globiom data'!$V$21:$X$29,2,FALSE),'Globiom data'!$E$2:$E$9999,Veda!$C$1),0)*1000</f>
        <v>136.24117274384693</v>
      </c>
      <c r="O136" s="2">
        <f>MAX(SUMIFS('Globiom data'!N$2:N$9999,'Globiom data'!$A$2:$A$9999,Veda!$D136,'Globiom data'!$D$2:$D$9999,VLOOKUP(Veda!$B136,'Globiom data'!$V$21:$X$29,2,FALSE),'Globiom data'!$E$2:$E$9999,Veda!$C$1),0)*1000</f>
        <v>213.96630884913395</v>
      </c>
      <c r="P136" s="2">
        <f>MAX(SUMIFS('Globiom data'!O$2:O$9999,'Globiom data'!$A$2:$A$9999,Veda!$D136,'Globiom data'!$D$2:$D$9999,VLOOKUP(Veda!$B136,'Globiom data'!$V$21:$X$29,2,FALSE),'Globiom data'!$E$2:$E$9999,Veda!$C$1),0)*1000</f>
        <v>290.92190854346234</v>
      </c>
      <c r="Q136" s="2">
        <f>MAX(SUMIFS('Globiom data'!P$2:P$9999,'Globiom data'!$A$2:$A$9999,Veda!$D136,'Globiom data'!$D$2:$D$9999,VLOOKUP(Veda!$B136,'Globiom data'!$V$21:$X$29,2,FALSE),'Globiom data'!$E$2:$E$9999,Veda!$C$1),0)*1000</f>
        <v>306.13381190987678</v>
      </c>
      <c r="R136">
        <v>3</v>
      </c>
    </row>
    <row r="137" spans="1:18" x14ac:dyDescent="0.45">
      <c r="A137" s="8">
        <f t="shared" si="7"/>
        <v>19</v>
      </c>
      <c r="B137" s="8">
        <f t="shared" si="8"/>
        <v>6</v>
      </c>
      <c r="D137" t="str">
        <f>VLOOKUP(A137,'Globiom data'!$S$21:$T$51,2,FALSE)</f>
        <v>Germany</v>
      </c>
      <c r="E137" t="str">
        <f>VLOOKUP(B137,'Globiom data'!$V$21:$X$30,3,FALSE)</f>
        <v>MinBIOBSL-06</v>
      </c>
      <c r="F137" t="s">
        <v>53</v>
      </c>
      <c r="G137" s="2">
        <f>MAX(SUMIFS('Globiom data'!F$2:F$9999,'Globiom data'!$A$2:$A$9999,Veda!$D137,'Globiom data'!$D$2:$D$9999,VLOOKUP(Veda!$B137,'Globiom data'!$V$21:$X$29,2,FALSE),'Globiom data'!$E$2:$E$9999,Veda!$C$1),0)*1000</f>
        <v>0</v>
      </c>
      <c r="H137" s="2">
        <f>MAX(SUMIFS('Globiom data'!G$2:G$9999,'Globiom data'!$A$2:$A$9999,Veda!$D137,'Globiom data'!$D$2:$D$9999,VLOOKUP(Veda!$B137,'Globiom data'!$V$21:$X$29,2,FALSE),'Globiom data'!$E$2:$E$9999,Veda!$C$1),0)*1000</f>
        <v>4.0809251552404815</v>
      </c>
      <c r="I137" s="2">
        <f>MAX(SUMIFS('Globiom data'!H$2:H$9999,'Globiom data'!$A$2:$A$9999,Veda!$D137,'Globiom data'!$D$2:$D$9999,VLOOKUP(Veda!$B137,'Globiom data'!$V$21:$X$29,2,FALSE),'Globiom data'!$E$2:$E$9999,Veda!$C$1),0)*1000</f>
        <v>4.0809251552404815</v>
      </c>
      <c r="J137" s="2">
        <f>MAX(SUMIFS('Globiom data'!I$2:I$9999,'Globiom data'!$A$2:$A$9999,Veda!$D137,'Globiom data'!$D$2:$D$9999,VLOOKUP(Veda!$B137,'Globiom data'!$V$21:$X$29,2,FALSE),'Globiom data'!$E$2:$E$9999,Veda!$C$1),0)*1000</f>
        <v>71.740229293236879</v>
      </c>
      <c r="K137" s="2">
        <f>MAX(SUMIFS('Globiom data'!J$2:J$9999,'Globiom data'!$A$2:$A$9999,Veda!$D137,'Globiom data'!$D$2:$D$9999,VLOOKUP(Veda!$B137,'Globiom data'!$V$21:$X$29,2,FALSE),'Globiom data'!$E$2:$E$9999,Veda!$C$1),0)*1000</f>
        <v>156.78825456203398</v>
      </c>
      <c r="L137" s="2">
        <f>MAX(SUMIFS('Globiom data'!K$2:K$9999,'Globiom data'!$A$2:$A$9999,Veda!$D137,'Globiom data'!$D$2:$D$9999,VLOOKUP(Veda!$B137,'Globiom data'!$V$21:$X$29,2,FALSE),'Globiom data'!$E$2:$E$9999,Veda!$C$1),0)*1000</f>
        <v>240.79694452636426</v>
      </c>
      <c r="M137" s="2">
        <f>MAX(SUMIFS('Globiom data'!L$2:L$9999,'Globiom data'!$A$2:$A$9999,Veda!$D137,'Globiom data'!$D$2:$D$9999,VLOOKUP(Veda!$B137,'Globiom data'!$V$21:$X$29,2,FALSE),'Globiom data'!$E$2:$E$9999,Veda!$C$1),0)*1000</f>
        <v>321.43147452714794</v>
      </c>
      <c r="N137" s="2">
        <f>MAX(SUMIFS('Globiom data'!M$2:M$9999,'Globiom data'!$A$2:$A$9999,Veda!$D137,'Globiom data'!$D$2:$D$9999,VLOOKUP(Veda!$B137,'Globiom data'!$V$21:$X$29,2,FALSE),'Globiom data'!$E$2:$E$9999,Veda!$C$1),0)*1000</f>
        <v>332.02064620740714</v>
      </c>
      <c r="O137" s="2">
        <f>MAX(SUMIFS('Globiom data'!N$2:N$9999,'Globiom data'!$A$2:$A$9999,Veda!$D137,'Globiom data'!$D$2:$D$9999,VLOOKUP(Veda!$B137,'Globiom data'!$V$21:$X$29,2,FALSE),'Globiom data'!$E$2:$E$9999,Veda!$C$1),0)*1000</f>
        <v>326.19346512590096</v>
      </c>
      <c r="P137" s="2">
        <f>MAX(SUMIFS('Globiom data'!O$2:O$9999,'Globiom data'!$A$2:$A$9999,Veda!$D137,'Globiom data'!$D$2:$D$9999,VLOOKUP(Veda!$B137,'Globiom data'!$V$21:$X$29,2,FALSE),'Globiom data'!$E$2:$E$9999,Veda!$C$1),0)*1000</f>
        <v>322.61530041216781</v>
      </c>
      <c r="Q137" s="2">
        <f>MAX(SUMIFS('Globiom data'!P$2:P$9999,'Globiom data'!$A$2:$A$9999,Veda!$D137,'Globiom data'!$D$2:$D$9999,VLOOKUP(Veda!$B137,'Globiom data'!$V$21:$X$29,2,FALSE),'Globiom data'!$E$2:$E$9999,Veda!$C$1),0)*1000</f>
        <v>338.79389318727772</v>
      </c>
      <c r="R137">
        <v>3</v>
      </c>
    </row>
    <row r="138" spans="1:18" x14ac:dyDescent="0.45">
      <c r="A138" s="8">
        <f t="shared" si="7"/>
        <v>19</v>
      </c>
      <c r="B138" s="8">
        <f t="shared" si="8"/>
        <v>7</v>
      </c>
      <c r="D138" t="str">
        <f>VLOOKUP(A138,'Globiom data'!$S$21:$T$51,2,FALSE)</f>
        <v>Germany</v>
      </c>
      <c r="E138" t="str">
        <f>VLOOKUP(B138,'Globiom data'!$V$21:$X$30,3,FALSE)</f>
        <v>MinBIOBSL-07</v>
      </c>
      <c r="F138" t="s">
        <v>53</v>
      </c>
      <c r="G138" s="2">
        <f>MAX(SUMIFS('Globiom data'!F$2:F$9999,'Globiom data'!$A$2:$A$9999,Veda!$D138,'Globiom data'!$D$2:$D$9999,VLOOKUP(Veda!$B138,'Globiom data'!$V$21:$X$29,2,FALSE),'Globiom data'!$E$2:$E$9999,Veda!$C$1),0)*1000</f>
        <v>0</v>
      </c>
      <c r="H138" s="2">
        <f>MAX(SUMIFS('Globiom data'!G$2:G$9999,'Globiom data'!$A$2:$A$9999,Veda!$D138,'Globiom data'!$D$2:$D$9999,VLOOKUP(Veda!$B138,'Globiom data'!$V$21:$X$29,2,FALSE),'Globiom data'!$E$2:$E$9999,Veda!$C$1),0)*1000</f>
        <v>39.071791107330299</v>
      </c>
      <c r="I138" s="2">
        <f>MAX(SUMIFS('Globiom data'!H$2:H$9999,'Globiom data'!$A$2:$A$9999,Veda!$D138,'Globiom data'!$D$2:$D$9999,VLOOKUP(Veda!$B138,'Globiom data'!$V$21:$X$29,2,FALSE),'Globiom data'!$E$2:$E$9999,Veda!$C$1),0)*1000</f>
        <v>39.071791107330299</v>
      </c>
      <c r="J138" s="2">
        <f>MAX(SUMIFS('Globiom data'!I$2:I$9999,'Globiom data'!$A$2:$A$9999,Veda!$D138,'Globiom data'!$D$2:$D$9999,VLOOKUP(Veda!$B138,'Globiom data'!$V$21:$X$29,2,FALSE),'Globiom data'!$E$2:$E$9999,Veda!$C$1),0)*1000</f>
        <v>138.77725740615384</v>
      </c>
      <c r="K138" s="2">
        <f>MAX(SUMIFS('Globiom data'!J$2:J$9999,'Globiom data'!$A$2:$A$9999,Veda!$D138,'Globiom data'!$D$2:$D$9999,VLOOKUP(Veda!$B138,'Globiom data'!$V$21:$X$29,2,FALSE),'Globiom data'!$E$2:$E$9999,Veda!$C$1),0)*1000</f>
        <v>130.00577813205703</v>
      </c>
      <c r="L138" s="2">
        <f>MAX(SUMIFS('Globiom data'!K$2:K$9999,'Globiom data'!$A$2:$A$9999,Veda!$D138,'Globiom data'!$D$2:$D$9999,VLOOKUP(Veda!$B138,'Globiom data'!$V$21:$X$29,2,FALSE),'Globiom data'!$E$2:$E$9999,Veda!$C$1),0)*1000</f>
        <v>112.09506694813258</v>
      </c>
      <c r="M138" s="2">
        <f>MAX(SUMIFS('Globiom data'!L$2:L$9999,'Globiom data'!$A$2:$A$9999,Veda!$D138,'Globiom data'!$D$2:$D$9999,VLOOKUP(Veda!$B138,'Globiom data'!$V$21:$X$29,2,FALSE),'Globiom data'!$E$2:$E$9999,Veda!$C$1),0)*1000</f>
        <v>145.94769184963477</v>
      </c>
      <c r="N138" s="2">
        <f>MAX(SUMIFS('Globiom data'!M$2:M$9999,'Globiom data'!$A$2:$A$9999,Veda!$D138,'Globiom data'!$D$2:$D$9999,VLOOKUP(Veda!$B138,'Globiom data'!$V$21:$X$29,2,FALSE),'Globiom data'!$E$2:$E$9999,Veda!$C$1),0)*1000</f>
        <v>197.58572102175432</v>
      </c>
      <c r="O138" s="2">
        <f>MAX(SUMIFS('Globiom data'!N$2:N$9999,'Globiom data'!$A$2:$A$9999,Veda!$D138,'Globiom data'!$D$2:$D$9999,VLOOKUP(Veda!$B138,'Globiom data'!$V$21:$X$29,2,FALSE),'Globiom data'!$E$2:$E$9999,Veda!$C$1),0)*1000</f>
        <v>257.70723819792937</v>
      </c>
      <c r="P138" s="2">
        <f>MAX(SUMIFS('Globiom data'!O$2:O$9999,'Globiom data'!$A$2:$A$9999,Veda!$D138,'Globiom data'!$D$2:$D$9999,VLOOKUP(Veda!$B138,'Globiom data'!$V$21:$X$29,2,FALSE),'Globiom data'!$E$2:$E$9999,Veda!$C$1),0)*1000</f>
        <v>317.49805212235827</v>
      </c>
      <c r="Q138" s="2">
        <f>MAX(SUMIFS('Globiom data'!P$2:P$9999,'Globiom data'!$A$2:$A$9999,Veda!$D138,'Globiom data'!$D$2:$D$9999,VLOOKUP(Veda!$B138,'Globiom data'!$V$21:$X$29,2,FALSE),'Globiom data'!$E$2:$E$9999,Veda!$C$1),0)*1000</f>
        <v>343.86976085132551</v>
      </c>
      <c r="R138">
        <v>3</v>
      </c>
    </row>
    <row r="139" spans="1:18" x14ac:dyDescent="0.45">
      <c r="A139" s="8">
        <f t="shared" si="7"/>
        <v>20</v>
      </c>
      <c r="B139" s="8">
        <f t="shared" si="8"/>
        <v>1</v>
      </c>
      <c r="D139" t="str">
        <f>VLOOKUP(A139,'Globiom data'!$S$21:$T$51,2,FALSE)</f>
        <v>India</v>
      </c>
      <c r="E139" t="str">
        <f>VLOOKUP(B139,'Globiom data'!$V$21:$X$30,3,FALSE)</f>
        <v>MinBIOBSL-01</v>
      </c>
      <c r="F139" t="s">
        <v>53</v>
      </c>
      <c r="G139" s="2">
        <f>MAX(SUMIFS('Globiom data'!F$2:F$9999,'Globiom data'!$A$2:$A$9999,Veda!$D139,'Globiom data'!$D$2:$D$9999,VLOOKUP(Veda!$B139,'Globiom data'!$V$21:$X$29,2,FALSE),'Globiom data'!$E$2:$E$9999,Veda!$C$1),0)*1000</f>
        <v>9156.6008947095415</v>
      </c>
      <c r="H139" s="2">
        <f>MAX(SUMIFS('Globiom data'!G$2:G$9999,'Globiom data'!$A$2:$A$9999,Veda!$D139,'Globiom data'!$D$2:$D$9999,VLOOKUP(Veda!$B139,'Globiom data'!$V$21:$X$29,2,FALSE),'Globiom data'!$E$2:$E$9999,Veda!$C$1),0)*1000</f>
        <v>9919.0399214641711</v>
      </c>
      <c r="I139" s="2">
        <f>MAX(SUMIFS('Globiom data'!H$2:H$9999,'Globiom data'!$A$2:$A$9999,Veda!$D139,'Globiom data'!$D$2:$D$9999,VLOOKUP(Veda!$B139,'Globiom data'!$V$21:$X$29,2,FALSE),'Globiom data'!$E$2:$E$9999,Veda!$C$1),0)*1000</f>
        <v>9919.0399214641711</v>
      </c>
      <c r="J139" s="2">
        <f>MAX(SUMIFS('Globiom data'!I$2:I$9999,'Globiom data'!$A$2:$A$9999,Veda!$D139,'Globiom data'!$D$2:$D$9999,VLOOKUP(Veda!$B139,'Globiom data'!$V$21:$X$29,2,FALSE),'Globiom data'!$E$2:$E$9999,Veda!$C$1),0)*1000</f>
        <v>10511.347925719831</v>
      </c>
      <c r="K139" s="2">
        <f>MAX(SUMIFS('Globiom data'!J$2:J$9999,'Globiom data'!$A$2:$A$9999,Veda!$D139,'Globiom data'!$D$2:$D$9999,VLOOKUP(Veda!$B139,'Globiom data'!$V$21:$X$29,2,FALSE),'Globiom data'!$E$2:$E$9999,Veda!$C$1),0)*1000</f>
        <v>9975.750262297157</v>
      </c>
      <c r="L139" s="2">
        <f>MAX(SUMIFS('Globiom data'!K$2:K$9999,'Globiom data'!$A$2:$A$9999,Veda!$D139,'Globiom data'!$D$2:$D$9999,VLOOKUP(Veda!$B139,'Globiom data'!$V$21:$X$29,2,FALSE),'Globiom data'!$E$2:$E$9999,Veda!$C$1),0)*1000</f>
        <v>7927.8768433280875</v>
      </c>
      <c r="M139" s="2">
        <f>MAX(SUMIFS('Globiom data'!L$2:L$9999,'Globiom data'!$A$2:$A$9999,Veda!$D139,'Globiom data'!$D$2:$D$9999,VLOOKUP(Veda!$B139,'Globiom data'!$V$21:$X$29,2,FALSE),'Globiom data'!$E$2:$E$9999,Veda!$C$1),0)*1000</f>
        <v>5741.3781467672698</v>
      </c>
      <c r="N139" s="2">
        <f>MAX(SUMIFS('Globiom data'!M$2:M$9999,'Globiom data'!$A$2:$A$9999,Veda!$D139,'Globiom data'!$D$2:$D$9999,VLOOKUP(Veda!$B139,'Globiom data'!$V$21:$X$29,2,FALSE),'Globiom data'!$E$2:$E$9999,Veda!$C$1),0)*1000</f>
        <v>3989.6587299260391</v>
      </c>
      <c r="O139" s="2">
        <f>MAX(SUMIFS('Globiom data'!N$2:N$9999,'Globiom data'!$A$2:$A$9999,Veda!$D139,'Globiom data'!$D$2:$D$9999,VLOOKUP(Veda!$B139,'Globiom data'!$V$21:$X$29,2,FALSE),'Globiom data'!$E$2:$E$9999,Veda!$C$1),0)*1000</f>
        <v>2074.109439567284</v>
      </c>
      <c r="P139" s="2">
        <f>MAX(SUMIFS('Globiom data'!O$2:O$9999,'Globiom data'!$A$2:$A$9999,Veda!$D139,'Globiom data'!$D$2:$D$9999,VLOOKUP(Veda!$B139,'Globiom data'!$V$21:$X$29,2,FALSE),'Globiom data'!$E$2:$E$9999,Veda!$C$1),0)*1000</f>
        <v>2074.1094395672822</v>
      </c>
      <c r="Q139" s="2">
        <f>MAX(SUMIFS('Globiom data'!P$2:P$9999,'Globiom data'!$A$2:$A$9999,Veda!$D139,'Globiom data'!$D$2:$D$9999,VLOOKUP(Veda!$B139,'Globiom data'!$V$21:$X$29,2,FALSE),'Globiom data'!$E$2:$E$9999,Veda!$C$1),0)*1000</f>
        <v>2074.1094395672899</v>
      </c>
      <c r="R139">
        <v>3</v>
      </c>
    </row>
    <row r="140" spans="1:18" x14ac:dyDescent="0.45">
      <c r="A140" s="8">
        <f t="shared" si="7"/>
        <v>20</v>
      </c>
      <c r="B140" s="8">
        <f t="shared" si="8"/>
        <v>2</v>
      </c>
      <c r="D140" t="str">
        <f>VLOOKUP(A140,'Globiom data'!$S$21:$T$51,2,FALSE)</f>
        <v>India</v>
      </c>
      <c r="E140" t="str">
        <f>VLOOKUP(B140,'Globiom data'!$V$21:$X$30,3,FALSE)</f>
        <v>MinBIOBSL-02</v>
      </c>
      <c r="F140" t="s">
        <v>53</v>
      </c>
      <c r="G140" s="2">
        <f>MAX(SUMIFS('Globiom data'!F$2:F$9999,'Globiom data'!$A$2:$A$9999,Veda!$D140,'Globiom data'!$D$2:$D$9999,VLOOKUP(Veda!$B140,'Globiom data'!$V$21:$X$29,2,FALSE),'Globiom data'!$E$2:$E$9999,Veda!$C$1),0)*1000</f>
        <v>0</v>
      </c>
      <c r="H140" s="2">
        <f>MAX(SUMIFS('Globiom data'!G$2:G$9999,'Globiom data'!$A$2:$A$9999,Veda!$D140,'Globiom data'!$D$2:$D$9999,VLOOKUP(Veda!$B140,'Globiom data'!$V$21:$X$29,2,FALSE),'Globiom data'!$E$2:$E$9999,Veda!$C$1),0)*1000</f>
        <v>0</v>
      </c>
      <c r="I140" s="2">
        <f>MAX(SUMIFS('Globiom data'!H$2:H$9999,'Globiom data'!$A$2:$A$9999,Veda!$D140,'Globiom data'!$D$2:$D$9999,VLOOKUP(Veda!$B140,'Globiom data'!$V$21:$X$29,2,FALSE),'Globiom data'!$E$2:$E$9999,Veda!$C$1),0)*1000</f>
        <v>0</v>
      </c>
      <c r="J140" s="2">
        <f>MAX(SUMIFS('Globiom data'!I$2:I$9999,'Globiom data'!$A$2:$A$9999,Veda!$D140,'Globiom data'!$D$2:$D$9999,VLOOKUP(Veda!$B140,'Globiom data'!$V$21:$X$29,2,FALSE),'Globiom data'!$E$2:$E$9999,Veda!$C$1),0)*1000</f>
        <v>0</v>
      </c>
      <c r="K140" s="2">
        <f>MAX(SUMIFS('Globiom data'!J$2:J$9999,'Globiom data'!$A$2:$A$9999,Veda!$D140,'Globiom data'!$D$2:$D$9999,VLOOKUP(Veda!$B140,'Globiom data'!$V$21:$X$29,2,FALSE),'Globiom data'!$E$2:$E$9999,Veda!$C$1),0)*1000</f>
        <v>0</v>
      </c>
      <c r="L140" s="2">
        <f>MAX(SUMIFS('Globiom data'!K$2:K$9999,'Globiom data'!$A$2:$A$9999,Veda!$D140,'Globiom data'!$D$2:$D$9999,VLOOKUP(Veda!$B140,'Globiom data'!$V$21:$X$29,2,FALSE),'Globiom data'!$E$2:$E$9999,Veda!$C$1),0)*1000</f>
        <v>3.0010716134398763E-12</v>
      </c>
      <c r="M140" s="2">
        <f>MAX(SUMIFS('Globiom data'!L$2:L$9999,'Globiom data'!$A$2:$A$9999,Veda!$D140,'Globiom data'!$D$2:$D$9999,VLOOKUP(Veda!$B140,'Globiom data'!$V$21:$X$29,2,FALSE),'Globiom data'!$E$2:$E$9999,Veda!$C$1),0)*1000</f>
        <v>134.0484557414344</v>
      </c>
      <c r="N140" s="2">
        <f>MAX(SUMIFS('Globiom data'!M$2:M$9999,'Globiom data'!$A$2:$A$9999,Veda!$D140,'Globiom data'!$D$2:$D$9999,VLOOKUP(Veda!$B140,'Globiom data'!$V$21:$X$29,2,FALSE),'Globiom data'!$E$2:$E$9999,Veda!$C$1),0)*1000</f>
        <v>168.13637632477742</v>
      </c>
      <c r="O140" s="2">
        <f>MAX(SUMIFS('Globiom data'!N$2:N$9999,'Globiom data'!$A$2:$A$9999,Veda!$D140,'Globiom data'!$D$2:$D$9999,VLOOKUP(Veda!$B140,'Globiom data'!$V$21:$X$29,2,FALSE),'Globiom data'!$E$2:$E$9999,Veda!$C$1),0)*1000</f>
        <v>122.51463989555501</v>
      </c>
      <c r="P140" s="2">
        <f>MAX(SUMIFS('Globiom data'!O$2:O$9999,'Globiom data'!$A$2:$A$9999,Veda!$D140,'Globiom data'!$D$2:$D$9999,VLOOKUP(Veda!$B140,'Globiom data'!$V$21:$X$29,2,FALSE),'Globiom data'!$E$2:$E$9999,Veda!$C$1),0)*1000</f>
        <v>163.17833246307384</v>
      </c>
      <c r="Q140" s="2">
        <f>MAX(SUMIFS('Globiom data'!P$2:P$9999,'Globiom data'!$A$2:$A$9999,Veda!$D140,'Globiom data'!$D$2:$D$9999,VLOOKUP(Veda!$B140,'Globiom data'!$V$21:$X$29,2,FALSE),'Globiom data'!$E$2:$E$9999,Veda!$C$1),0)*1000</f>
        <v>227.28896650349699</v>
      </c>
      <c r="R140">
        <v>3</v>
      </c>
    </row>
    <row r="141" spans="1:18" x14ac:dyDescent="0.45">
      <c r="A141" s="8">
        <f t="shared" si="7"/>
        <v>20</v>
      </c>
      <c r="B141" s="8">
        <f t="shared" si="8"/>
        <v>3</v>
      </c>
      <c r="D141" t="str">
        <f>VLOOKUP(A141,'Globiom data'!$S$21:$T$51,2,FALSE)</f>
        <v>India</v>
      </c>
      <c r="E141" t="str">
        <f>VLOOKUP(B141,'Globiom data'!$V$21:$X$30,3,FALSE)</f>
        <v>MinBIOBSL-03</v>
      </c>
      <c r="F141" t="s">
        <v>53</v>
      </c>
      <c r="G141" s="2">
        <f>MAX(SUMIFS('Globiom data'!F$2:F$9999,'Globiom data'!$A$2:$A$9999,Veda!$D141,'Globiom data'!$D$2:$D$9999,VLOOKUP(Veda!$B141,'Globiom data'!$V$21:$X$29,2,FALSE),'Globiom data'!$E$2:$E$9999,Veda!$C$1),0)*1000</f>
        <v>0</v>
      </c>
      <c r="H141" s="2">
        <f>MAX(SUMIFS('Globiom data'!G$2:G$9999,'Globiom data'!$A$2:$A$9999,Veda!$D141,'Globiom data'!$D$2:$D$9999,VLOOKUP(Veda!$B141,'Globiom data'!$V$21:$X$29,2,FALSE),'Globiom data'!$E$2:$E$9999,Veda!$C$1),0)*1000</f>
        <v>1.4430188814695821E-12</v>
      </c>
      <c r="I141" s="2">
        <f>MAX(SUMIFS('Globiom data'!H$2:H$9999,'Globiom data'!$A$2:$A$9999,Veda!$D141,'Globiom data'!$D$2:$D$9999,VLOOKUP(Veda!$B141,'Globiom data'!$V$21:$X$29,2,FALSE),'Globiom data'!$E$2:$E$9999,Veda!$C$1),0)*1000</f>
        <v>1.4430188814695821E-12</v>
      </c>
      <c r="J141" s="2">
        <f>MAX(SUMIFS('Globiom data'!I$2:I$9999,'Globiom data'!$A$2:$A$9999,Veda!$D141,'Globiom data'!$D$2:$D$9999,VLOOKUP(Veda!$B141,'Globiom data'!$V$21:$X$29,2,FALSE),'Globiom data'!$E$2:$E$9999,Veda!$C$1),0)*1000</f>
        <v>7.2202443676672168E-13</v>
      </c>
      <c r="K141" s="2">
        <f>MAX(SUMIFS('Globiom data'!J$2:J$9999,'Globiom data'!$A$2:$A$9999,Veda!$D141,'Globiom data'!$D$2:$D$9999,VLOOKUP(Veda!$B141,'Globiom data'!$V$21:$X$29,2,FALSE),'Globiom data'!$E$2:$E$9999,Veda!$C$1),0)*1000</f>
        <v>0</v>
      </c>
      <c r="L141" s="2">
        <f>MAX(SUMIFS('Globiom data'!K$2:K$9999,'Globiom data'!$A$2:$A$9999,Veda!$D141,'Globiom data'!$D$2:$D$9999,VLOOKUP(Veda!$B141,'Globiom data'!$V$21:$X$29,2,FALSE),'Globiom data'!$E$2:$E$9999,Veda!$C$1),0)*1000</f>
        <v>0</v>
      </c>
      <c r="M141" s="2">
        <f>MAX(SUMIFS('Globiom data'!L$2:L$9999,'Globiom data'!$A$2:$A$9999,Veda!$D141,'Globiom data'!$D$2:$D$9999,VLOOKUP(Veda!$B141,'Globiom data'!$V$21:$X$29,2,FALSE),'Globiom data'!$E$2:$E$9999,Veda!$C$1),0)*1000</f>
        <v>127.56701961967221</v>
      </c>
      <c r="N141" s="2">
        <f>MAX(SUMIFS('Globiom data'!M$2:M$9999,'Globiom data'!$A$2:$A$9999,Veda!$D141,'Globiom data'!$D$2:$D$9999,VLOOKUP(Veda!$B141,'Globiom data'!$V$21:$X$29,2,FALSE),'Globiom data'!$E$2:$E$9999,Veda!$C$1),0)*1000</f>
        <v>585.95287065708158</v>
      </c>
      <c r="O141" s="2">
        <f>MAX(SUMIFS('Globiom data'!N$2:N$9999,'Globiom data'!$A$2:$A$9999,Veda!$D141,'Globiom data'!$D$2:$D$9999,VLOOKUP(Veda!$B141,'Globiom data'!$V$21:$X$29,2,FALSE),'Globiom data'!$E$2:$E$9999,Veda!$C$1),0)*1000</f>
        <v>1579.6680241561673</v>
      </c>
      <c r="P141" s="2">
        <f>MAX(SUMIFS('Globiom data'!O$2:O$9999,'Globiom data'!$A$2:$A$9999,Veda!$D141,'Globiom data'!$D$2:$D$9999,VLOOKUP(Veda!$B141,'Globiom data'!$V$21:$X$29,2,FALSE),'Globiom data'!$E$2:$E$9999,Veda!$C$1),0)*1000</f>
        <v>2192.1752910867917</v>
      </c>
      <c r="Q141" s="2">
        <f>MAX(SUMIFS('Globiom data'!P$2:P$9999,'Globiom data'!$A$2:$A$9999,Veda!$D141,'Globiom data'!$D$2:$D$9999,VLOOKUP(Veda!$B141,'Globiom data'!$V$21:$X$29,2,FALSE),'Globiom data'!$E$2:$E$9999,Veda!$C$1),0)*1000</f>
        <v>2515.8068003460062</v>
      </c>
      <c r="R141">
        <v>3</v>
      </c>
    </row>
    <row r="142" spans="1:18" x14ac:dyDescent="0.45">
      <c r="A142" s="8">
        <f t="shared" ref="A142:A205" si="9">A135+1</f>
        <v>20</v>
      </c>
      <c r="B142" s="8">
        <f t="shared" ref="B142:B205" si="10">B135</f>
        <v>4</v>
      </c>
      <c r="D142" t="str">
        <f>VLOOKUP(A142,'Globiom data'!$S$21:$T$51,2,FALSE)</f>
        <v>India</v>
      </c>
      <c r="E142" t="str">
        <f>VLOOKUP(B142,'Globiom data'!$V$21:$X$30,3,FALSE)</f>
        <v>MinBIOBSL-04</v>
      </c>
      <c r="F142" t="s">
        <v>53</v>
      </c>
      <c r="G142" s="2">
        <f>MAX(SUMIFS('Globiom data'!F$2:F$9999,'Globiom data'!$A$2:$A$9999,Veda!$D142,'Globiom data'!$D$2:$D$9999,VLOOKUP(Veda!$B142,'Globiom data'!$V$21:$X$29,2,FALSE),'Globiom data'!$E$2:$E$9999,Veda!$C$1),0)*1000</f>
        <v>0</v>
      </c>
      <c r="H142" s="2">
        <f>MAX(SUMIFS('Globiom data'!G$2:G$9999,'Globiom data'!$A$2:$A$9999,Veda!$D142,'Globiom data'!$D$2:$D$9999,VLOOKUP(Veda!$B142,'Globiom data'!$V$21:$X$29,2,FALSE),'Globiom data'!$E$2:$E$9999,Veda!$C$1),0)*1000</f>
        <v>1.4988010832439599E-12</v>
      </c>
      <c r="I142" s="2">
        <f>MAX(SUMIFS('Globiom data'!H$2:H$9999,'Globiom data'!$A$2:$A$9999,Veda!$D142,'Globiom data'!$D$2:$D$9999,VLOOKUP(Veda!$B142,'Globiom data'!$V$21:$X$29,2,FALSE),'Globiom data'!$E$2:$E$9999,Veda!$C$1),0)*1000</f>
        <v>1.4988010832439599E-12</v>
      </c>
      <c r="J142" s="2">
        <f>MAX(SUMIFS('Globiom data'!I$2:I$9999,'Globiom data'!$A$2:$A$9999,Veda!$D142,'Globiom data'!$D$2:$D$9999,VLOOKUP(Veda!$B142,'Globiom data'!$V$21:$X$29,2,FALSE),'Globiom data'!$E$2:$E$9999,Veda!$C$1),0)*1000</f>
        <v>0</v>
      </c>
      <c r="K142" s="2">
        <f>MAX(SUMIFS('Globiom data'!J$2:J$9999,'Globiom data'!$A$2:$A$9999,Veda!$D142,'Globiom data'!$D$2:$D$9999,VLOOKUP(Veda!$B142,'Globiom data'!$V$21:$X$29,2,FALSE),'Globiom data'!$E$2:$E$9999,Veda!$C$1),0)*1000</f>
        <v>3.7001651742585295E-12</v>
      </c>
      <c r="L142" s="2">
        <f>MAX(SUMIFS('Globiom data'!K$2:K$9999,'Globiom data'!$A$2:$A$9999,Veda!$D142,'Globiom data'!$D$2:$D$9999,VLOOKUP(Veda!$B142,'Globiom data'!$V$21:$X$29,2,FALSE),'Globiom data'!$E$2:$E$9999,Veda!$C$1),0)*1000</f>
        <v>517.69839534968435</v>
      </c>
      <c r="M142" s="2">
        <f>MAX(SUMIFS('Globiom data'!L$2:L$9999,'Globiom data'!$A$2:$A$9999,Veda!$D142,'Globiom data'!$D$2:$D$9999,VLOOKUP(Veda!$B142,'Globiom data'!$V$21:$X$29,2,FALSE),'Globiom data'!$E$2:$E$9999,Veda!$C$1),0)*1000</f>
        <v>1191.290274884811</v>
      </c>
      <c r="N142" s="2">
        <f>MAX(SUMIFS('Globiom data'!M$2:M$9999,'Globiom data'!$A$2:$A$9999,Veda!$D142,'Globiom data'!$D$2:$D$9999,VLOOKUP(Veda!$B142,'Globiom data'!$V$21:$X$29,2,FALSE),'Globiom data'!$E$2:$E$9999,Veda!$C$1),0)*1000</f>
        <v>1989.3837688231931</v>
      </c>
      <c r="O142" s="2">
        <f>MAX(SUMIFS('Globiom data'!N$2:N$9999,'Globiom data'!$A$2:$A$9999,Veda!$D142,'Globiom data'!$D$2:$D$9999,VLOOKUP(Veda!$B142,'Globiom data'!$V$21:$X$29,2,FALSE),'Globiom data'!$E$2:$E$9999,Veda!$C$1),0)*1000</f>
        <v>1942.992493051893</v>
      </c>
      <c r="P142" s="2">
        <f>MAX(SUMIFS('Globiom data'!O$2:O$9999,'Globiom data'!$A$2:$A$9999,Veda!$D142,'Globiom data'!$D$2:$D$9999,VLOOKUP(Veda!$B142,'Globiom data'!$V$21:$X$29,2,FALSE),'Globiom data'!$E$2:$E$9999,Veda!$C$1),0)*1000</f>
        <v>2160.4251164526718</v>
      </c>
      <c r="Q142" s="2">
        <f>MAX(SUMIFS('Globiom data'!P$2:P$9999,'Globiom data'!$A$2:$A$9999,Veda!$D142,'Globiom data'!$D$2:$D$9999,VLOOKUP(Veda!$B142,'Globiom data'!$V$21:$X$29,2,FALSE),'Globiom data'!$E$2:$E$9999,Veda!$C$1),0)*1000</f>
        <v>2168.2728776756262</v>
      </c>
      <c r="R142">
        <v>3</v>
      </c>
    </row>
    <row r="143" spans="1:18" x14ac:dyDescent="0.45">
      <c r="A143" s="8">
        <f t="shared" si="9"/>
        <v>20</v>
      </c>
      <c r="B143" s="8">
        <f t="shared" si="10"/>
        <v>5</v>
      </c>
      <c r="D143" t="str">
        <f>VLOOKUP(A143,'Globiom data'!$S$21:$T$51,2,FALSE)</f>
        <v>India</v>
      </c>
      <c r="E143" t="str">
        <f>VLOOKUP(B143,'Globiom data'!$V$21:$X$30,3,FALSE)</f>
        <v>MinBIOBSL-05</v>
      </c>
      <c r="F143" t="s">
        <v>53</v>
      </c>
      <c r="G143" s="2">
        <f>MAX(SUMIFS('Globiom data'!F$2:F$9999,'Globiom data'!$A$2:$A$9999,Veda!$D143,'Globiom data'!$D$2:$D$9999,VLOOKUP(Veda!$B143,'Globiom data'!$V$21:$X$29,2,FALSE),'Globiom data'!$E$2:$E$9999,Veda!$C$1),0)*1000</f>
        <v>0</v>
      </c>
      <c r="H143" s="2">
        <f>MAX(SUMIFS('Globiom data'!G$2:G$9999,'Globiom data'!$A$2:$A$9999,Veda!$D143,'Globiom data'!$D$2:$D$9999,VLOOKUP(Veda!$B143,'Globiom data'!$V$21:$X$29,2,FALSE),'Globiom data'!$E$2:$E$9999,Veda!$C$1),0)*1000</f>
        <v>0</v>
      </c>
      <c r="I143" s="2">
        <f>MAX(SUMIFS('Globiom data'!H$2:H$9999,'Globiom data'!$A$2:$A$9999,Veda!$D143,'Globiom data'!$D$2:$D$9999,VLOOKUP(Veda!$B143,'Globiom data'!$V$21:$X$29,2,FALSE),'Globiom data'!$E$2:$E$9999,Veda!$C$1),0)*1000</f>
        <v>0</v>
      </c>
      <c r="J143" s="2">
        <f>MAX(SUMIFS('Globiom data'!I$2:I$9999,'Globiom data'!$A$2:$A$9999,Veda!$D143,'Globiom data'!$D$2:$D$9999,VLOOKUP(Veda!$B143,'Globiom data'!$V$21:$X$29,2,FALSE),'Globiom data'!$E$2:$E$9999,Veda!$C$1),0)*1000</f>
        <v>3.7201144942322628E-12</v>
      </c>
      <c r="K143" s="2">
        <f>MAX(SUMIFS('Globiom data'!J$2:J$9999,'Globiom data'!$A$2:$A$9999,Veda!$D143,'Globiom data'!$D$2:$D$9999,VLOOKUP(Veda!$B143,'Globiom data'!$V$21:$X$29,2,FALSE),'Globiom data'!$E$2:$E$9999,Veda!$C$1),0)*1000</f>
        <v>749.06732047216985</v>
      </c>
      <c r="L143" s="2">
        <f>MAX(SUMIFS('Globiom data'!K$2:K$9999,'Globiom data'!$A$2:$A$9999,Veda!$D143,'Globiom data'!$D$2:$D$9999,VLOOKUP(Veda!$B143,'Globiom data'!$V$21:$X$29,2,FALSE),'Globiom data'!$E$2:$E$9999,Veda!$C$1),0)*1000</f>
        <v>1292.7863414551889</v>
      </c>
      <c r="M143" s="2">
        <f>MAX(SUMIFS('Globiom data'!L$2:L$9999,'Globiom data'!$A$2:$A$9999,Veda!$D143,'Globiom data'!$D$2:$D$9999,VLOOKUP(Veda!$B143,'Globiom data'!$V$21:$X$29,2,FALSE),'Globiom data'!$E$2:$E$9999,Veda!$C$1),0)*1000</f>
        <v>1867.622366881594</v>
      </c>
      <c r="N143" s="2">
        <f>MAX(SUMIFS('Globiom data'!M$2:M$9999,'Globiom data'!$A$2:$A$9999,Veda!$D143,'Globiom data'!$D$2:$D$9999,VLOOKUP(Veda!$B143,'Globiom data'!$V$21:$X$29,2,FALSE),'Globiom data'!$E$2:$E$9999,Veda!$C$1),0)*1000</f>
        <v>1912.0723136195375</v>
      </c>
      <c r="O143" s="2">
        <f>MAX(SUMIFS('Globiom data'!N$2:N$9999,'Globiom data'!$A$2:$A$9999,Veda!$D143,'Globiom data'!$D$2:$D$9999,VLOOKUP(Veda!$B143,'Globiom data'!$V$21:$X$29,2,FALSE),'Globiom data'!$E$2:$E$9999,Veda!$C$1),0)*1000</f>
        <v>1787.2510083963664</v>
      </c>
      <c r="P143" s="2">
        <f>MAX(SUMIFS('Globiom data'!O$2:O$9999,'Globiom data'!$A$2:$A$9999,Veda!$D143,'Globiom data'!$D$2:$D$9999,VLOOKUP(Veda!$B143,'Globiom data'!$V$21:$X$29,2,FALSE),'Globiom data'!$E$2:$E$9999,Veda!$C$1),0)*1000</f>
        <v>1595.5196182490865</v>
      </c>
      <c r="Q143" s="2">
        <f>MAX(SUMIFS('Globiom data'!P$2:P$9999,'Globiom data'!$A$2:$A$9999,Veda!$D143,'Globiom data'!$D$2:$D$9999,VLOOKUP(Veda!$B143,'Globiom data'!$V$21:$X$29,2,FALSE),'Globiom data'!$E$2:$E$9999,Veda!$C$1),0)*1000</f>
        <v>1123.9501795601298</v>
      </c>
      <c r="R143">
        <v>3</v>
      </c>
    </row>
    <row r="144" spans="1:18" x14ac:dyDescent="0.45">
      <c r="A144" s="8">
        <f t="shared" si="9"/>
        <v>20</v>
      </c>
      <c r="B144" s="8">
        <f t="shared" si="10"/>
        <v>6</v>
      </c>
      <c r="D144" t="str">
        <f>VLOOKUP(A144,'Globiom data'!$S$21:$T$51,2,FALSE)</f>
        <v>India</v>
      </c>
      <c r="E144" t="str">
        <f>VLOOKUP(B144,'Globiom data'!$V$21:$X$30,3,FALSE)</f>
        <v>MinBIOBSL-06</v>
      </c>
      <c r="F144" t="s">
        <v>53</v>
      </c>
      <c r="G144" s="2">
        <f>MAX(SUMIFS('Globiom data'!F$2:F$9999,'Globiom data'!$A$2:$A$9999,Veda!$D144,'Globiom data'!$D$2:$D$9999,VLOOKUP(Veda!$B144,'Globiom data'!$V$21:$X$29,2,FALSE),'Globiom data'!$E$2:$E$9999,Veda!$C$1),0)*1000</f>
        <v>0</v>
      </c>
      <c r="H144" s="2">
        <f>MAX(SUMIFS('Globiom data'!G$2:G$9999,'Globiom data'!$A$2:$A$9999,Veda!$D144,'Globiom data'!$D$2:$D$9999,VLOOKUP(Veda!$B144,'Globiom data'!$V$21:$X$29,2,FALSE),'Globiom data'!$E$2:$E$9999,Veda!$C$1),0)*1000</f>
        <v>2.1996293675385914E-12</v>
      </c>
      <c r="I144" s="2">
        <f>MAX(SUMIFS('Globiom data'!H$2:H$9999,'Globiom data'!$A$2:$A$9999,Veda!$D144,'Globiom data'!$D$2:$D$9999,VLOOKUP(Veda!$B144,'Globiom data'!$V$21:$X$29,2,FALSE),'Globiom data'!$E$2:$E$9999,Veda!$C$1),0)*1000</f>
        <v>2.1996293675385914E-12</v>
      </c>
      <c r="J144" s="2">
        <f>MAX(SUMIFS('Globiom data'!I$2:I$9999,'Globiom data'!$A$2:$A$9999,Veda!$D144,'Globiom data'!$D$2:$D$9999,VLOOKUP(Veda!$B144,'Globiom data'!$V$21:$X$29,2,FALSE),'Globiom data'!$E$2:$E$9999,Veda!$C$1),0)*1000</f>
        <v>1415.0262770464099</v>
      </c>
      <c r="K144" s="2">
        <f>MAX(SUMIFS('Globiom data'!J$2:J$9999,'Globiom data'!$A$2:$A$9999,Veda!$D144,'Globiom data'!$D$2:$D$9999,VLOOKUP(Veda!$B144,'Globiom data'!$V$21:$X$29,2,FALSE),'Globiom data'!$E$2:$E$9999,Veda!$C$1),0)*1000</f>
        <v>1926.5894318910462</v>
      </c>
      <c r="L144" s="2">
        <f>MAX(SUMIFS('Globiom data'!K$2:K$9999,'Globiom data'!$A$2:$A$9999,Veda!$D144,'Globiom data'!$D$2:$D$9999,VLOOKUP(Veda!$B144,'Globiom data'!$V$21:$X$29,2,FALSE),'Globiom data'!$E$2:$E$9999,Veda!$C$1),0)*1000</f>
        <v>1887.2835335183345</v>
      </c>
      <c r="M144" s="2">
        <f>MAX(SUMIFS('Globiom data'!L$2:L$9999,'Globiom data'!$A$2:$A$9999,Veda!$D144,'Globiom data'!$D$2:$D$9999,VLOOKUP(Veda!$B144,'Globiom data'!$V$21:$X$29,2,FALSE),'Globiom data'!$E$2:$E$9999,Veda!$C$1),0)*1000</f>
        <v>1729.9457376935447</v>
      </c>
      <c r="N144" s="2">
        <f>MAX(SUMIFS('Globiom data'!M$2:M$9999,'Globiom data'!$A$2:$A$9999,Veda!$D144,'Globiom data'!$D$2:$D$9999,VLOOKUP(Veda!$B144,'Globiom data'!$V$21:$X$29,2,FALSE),'Globiom data'!$E$2:$E$9999,Veda!$C$1),0)*1000</f>
        <v>1657.3354234310182</v>
      </c>
      <c r="O144" s="2">
        <f>MAX(SUMIFS('Globiom data'!N$2:N$9999,'Globiom data'!$A$2:$A$9999,Veda!$D144,'Globiom data'!$D$2:$D$9999,VLOOKUP(Veda!$B144,'Globiom data'!$V$21:$X$29,2,FALSE),'Globiom data'!$E$2:$E$9999,Veda!$C$1),0)*1000</f>
        <v>1462.7542715261229</v>
      </c>
      <c r="P144" s="2">
        <f>MAX(SUMIFS('Globiom data'!O$2:O$9999,'Globiom data'!$A$2:$A$9999,Veda!$D144,'Globiom data'!$D$2:$D$9999,VLOOKUP(Veda!$B144,'Globiom data'!$V$21:$X$29,2,FALSE),'Globiom data'!$E$2:$E$9999,Veda!$C$1),0)*1000</f>
        <v>1117.4547432167617</v>
      </c>
      <c r="Q144" s="2">
        <f>MAX(SUMIFS('Globiom data'!P$2:P$9999,'Globiom data'!$A$2:$A$9999,Veda!$D144,'Globiom data'!$D$2:$D$9999,VLOOKUP(Veda!$B144,'Globiom data'!$V$21:$X$29,2,FALSE),'Globiom data'!$E$2:$E$9999,Veda!$C$1),0)*1000</f>
        <v>1127.3515231037011</v>
      </c>
      <c r="R144">
        <v>3</v>
      </c>
    </row>
    <row r="145" spans="1:18" x14ac:dyDescent="0.45">
      <c r="A145" s="8">
        <f t="shared" si="9"/>
        <v>20</v>
      </c>
      <c r="B145" s="8">
        <f t="shared" si="10"/>
        <v>7</v>
      </c>
      <c r="D145" t="str">
        <f>VLOOKUP(A145,'Globiom data'!$S$21:$T$51,2,FALSE)</f>
        <v>India</v>
      </c>
      <c r="E145" t="str">
        <f>VLOOKUP(B145,'Globiom data'!$V$21:$X$30,3,FALSE)</f>
        <v>MinBIOBSL-07</v>
      </c>
      <c r="F145" t="s">
        <v>53</v>
      </c>
      <c r="G145" s="2">
        <f>MAX(SUMIFS('Globiom data'!F$2:F$9999,'Globiom data'!$A$2:$A$9999,Veda!$D145,'Globiom data'!$D$2:$D$9999,VLOOKUP(Veda!$B145,'Globiom data'!$V$21:$X$29,2,FALSE),'Globiom data'!$E$2:$E$9999,Veda!$C$1),0)*1000</f>
        <v>0</v>
      </c>
      <c r="H145" s="2">
        <f>MAX(SUMIFS('Globiom data'!G$2:G$9999,'Globiom data'!$A$2:$A$9999,Veda!$D145,'Globiom data'!$D$2:$D$9999,VLOOKUP(Veda!$B145,'Globiom data'!$V$21:$X$29,2,FALSE),'Globiom data'!$E$2:$E$9999,Veda!$C$1),0)*1000</f>
        <v>1228.9087365629186</v>
      </c>
      <c r="I145" s="2">
        <f>MAX(SUMIFS('Globiom data'!H$2:H$9999,'Globiom data'!$A$2:$A$9999,Veda!$D145,'Globiom data'!$D$2:$D$9999,VLOOKUP(Veda!$B145,'Globiom data'!$V$21:$X$29,2,FALSE),'Globiom data'!$E$2:$E$9999,Veda!$C$1),0)*1000</f>
        <v>1228.9087365629186</v>
      </c>
      <c r="J145" s="2">
        <f>MAX(SUMIFS('Globiom data'!I$2:I$9999,'Globiom data'!$A$2:$A$9999,Veda!$D145,'Globiom data'!$D$2:$D$9999,VLOOKUP(Veda!$B145,'Globiom data'!$V$21:$X$29,2,FALSE),'Globiom data'!$E$2:$E$9999,Veda!$C$1),0)*1000</f>
        <v>1290.8668660504809</v>
      </c>
      <c r="K145" s="2">
        <f>MAX(SUMIFS('Globiom data'!J$2:J$9999,'Globiom data'!$A$2:$A$9999,Veda!$D145,'Globiom data'!$D$2:$D$9999,VLOOKUP(Veda!$B145,'Globiom data'!$V$21:$X$29,2,FALSE),'Globiom data'!$E$2:$E$9999,Veda!$C$1),0)*1000</f>
        <v>1193.0857725279277</v>
      </c>
      <c r="L145" s="2">
        <f>MAX(SUMIFS('Globiom data'!K$2:K$9999,'Globiom data'!$A$2:$A$9999,Veda!$D145,'Globiom data'!$D$2:$D$9999,VLOOKUP(Veda!$B145,'Globiom data'!$V$21:$X$29,2,FALSE),'Globiom data'!$E$2:$E$9999,Veda!$C$1),0)*1000</f>
        <v>1126.3342222975778</v>
      </c>
      <c r="M145" s="2">
        <f>MAX(SUMIFS('Globiom data'!L$2:L$9999,'Globiom data'!$A$2:$A$9999,Veda!$D145,'Globiom data'!$D$2:$D$9999,VLOOKUP(Veda!$B145,'Globiom data'!$V$21:$X$29,2,FALSE),'Globiom data'!$E$2:$E$9999,Veda!$C$1),0)*1000</f>
        <v>1191.18012206971</v>
      </c>
      <c r="N145" s="2">
        <f>MAX(SUMIFS('Globiom data'!M$2:M$9999,'Globiom data'!$A$2:$A$9999,Veda!$D145,'Globiom data'!$D$2:$D$9999,VLOOKUP(Veda!$B145,'Globiom data'!$V$21:$X$29,2,FALSE),'Globiom data'!$E$2:$E$9999,Veda!$C$1),0)*1000</f>
        <v>1245.4608525475462</v>
      </c>
      <c r="O145" s="2">
        <f>MAX(SUMIFS('Globiom data'!N$2:N$9999,'Globiom data'!$A$2:$A$9999,Veda!$D145,'Globiom data'!$D$2:$D$9999,VLOOKUP(Veda!$B145,'Globiom data'!$V$21:$X$29,2,FALSE),'Globiom data'!$E$2:$E$9999,Veda!$C$1),0)*1000</f>
        <v>1141.6090283167644</v>
      </c>
      <c r="P145" s="2">
        <f>MAX(SUMIFS('Globiom data'!O$2:O$9999,'Globiom data'!$A$2:$A$9999,Veda!$D145,'Globiom data'!$D$2:$D$9999,VLOOKUP(Veda!$B145,'Globiom data'!$V$21:$X$29,2,FALSE),'Globiom data'!$E$2:$E$9999,Veda!$C$1),0)*1000</f>
        <v>1096.5397009393282</v>
      </c>
      <c r="Q145" s="2">
        <f>MAX(SUMIFS('Globiom data'!P$2:P$9999,'Globiom data'!$A$2:$A$9999,Veda!$D145,'Globiom data'!$D$2:$D$9999,VLOOKUP(Veda!$B145,'Globiom data'!$V$21:$X$29,2,FALSE),'Globiom data'!$E$2:$E$9999,Veda!$C$1),0)*1000</f>
        <v>971.04254386408536</v>
      </c>
      <c r="R145">
        <v>3</v>
      </c>
    </row>
    <row r="146" spans="1:18" x14ac:dyDescent="0.45">
      <c r="A146" s="8">
        <f t="shared" si="9"/>
        <v>21</v>
      </c>
      <c r="B146" s="8">
        <f t="shared" si="10"/>
        <v>1</v>
      </c>
      <c r="D146" t="str">
        <f>VLOOKUP(A146,'Globiom data'!$S$21:$T$51,2,FALSE)</f>
        <v>LatAm_other</v>
      </c>
      <c r="E146" t="str">
        <f>VLOOKUP(B146,'Globiom data'!$V$21:$X$30,3,FALSE)</f>
        <v>MinBIOBSL-01</v>
      </c>
      <c r="F146" t="s">
        <v>53</v>
      </c>
      <c r="G146" s="2">
        <f>MAX(SUMIFS('Globiom data'!F$2:F$9999,'Globiom data'!$A$2:$A$9999,Veda!$D146,'Globiom data'!$D$2:$D$9999,VLOOKUP(Veda!$B146,'Globiom data'!$V$21:$X$29,2,FALSE),'Globiom data'!$E$2:$E$9999,Veda!$C$1),0)*1000</f>
        <v>1087.9639531126359</v>
      </c>
      <c r="H146" s="2">
        <f>MAX(SUMIFS('Globiom data'!G$2:G$9999,'Globiom data'!$A$2:$A$9999,Veda!$D146,'Globiom data'!$D$2:$D$9999,VLOOKUP(Veda!$B146,'Globiom data'!$V$21:$X$29,2,FALSE),'Globiom data'!$E$2:$E$9999,Veda!$C$1),0)*1000</f>
        <v>1047.3132904849704</v>
      </c>
      <c r="I146" s="2">
        <f>MAX(SUMIFS('Globiom data'!H$2:H$9999,'Globiom data'!$A$2:$A$9999,Veda!$D146,'Globiom data'!$D$2:$D$9999,VLOOKUP(Veda!$B146,'Globiom data'!$V$21:$X$29,2,FALSE),'Globiom data'!$E$2:$E$9999,Veda!$C$1),0)*1000</f>
        <v>1047.3132904849704</v>
      </c>
      <c r="J146" s="2">
        <f>MAX(SUMIFS('Globiom data'!I$2:I$9999,'Globiom data'!$A$2:$A$9999,Veda!$D146,'Globiom data'!$D$2:$D$9999,VLOOKUP(Veda!$B146,'Globiom data'!$V$21:$X$29,2,FALSE),'Globiom data'!$E$2:$E$9999,Veda!$C$1),0)*1000</f>
        <v>1047.1635647667149</v>
      </c>
      <c r="K146" s="2">
        <f>MAX(SUMIFS('Globiom data'!J$2:J$9999,'Globiom data'!$A$2:$A$9999,Veda!$D146,'Globiom data'!$D$2:$D$9999,VLOOKUP(Veda!$B146,'Globiom data'!$V$21:$X$29,2,FALSE),'Globiom data'!$E$2:$E$9999,Veda!$C$1),0)*1000</f>
        <v>935.37831951005512</v>
      </c>
      <c r="L146" s="2">
        <f>MAX(SUMIFS('Globiom data'!K$2:K$9999,'Globiom data'!$A$2:$A$9999,Veda!$D146,'Globiom data'!$D$2:$D$9999,VLOOKUP(Veda!$B146,'Globiom data'!$V$21:$X$29,2,FALSE),'Globiom data'!$E$2:$E$9999,Veda!$C$1),0)*1000</f>
        <v>782.47766184371858</v>
      </c>
      <c r="M146" s="2">
        <f>MAX(SUMIFS('Globiom data'!L$2:L$9999,'Globiom data'!$A$2:$A$9999,Veda!$D146,'Globiom data'!$D$2:$D$9999,VLOOKUP(Veda!$B146,'Globiom data'!$V$21:$X$29,2,FALSE),'Globiom data'!$E$2:$E$9999,Veda!$C$1),0)*1000</f>
        <v>792.05634407942205</v>
      </c>
      <c r="N146" s="2">
        <f>MAX(SUMIFS('Globiom data'!M$2:M$9999,'Globiom data'!$A$2:$A$9999,Veda!$D146,'Globiom data'!$D$2:$D$9999,VLOOKUP(Veda!$B146,'Globiom data'!$V$21:$X$29,2,FALSE),'Globiom data'!$E$2:$E$9999,Veda!$C$1),0)*1000</f>
        <v>777.36182474770897</v>
      </c>
      <c r="O146" s="2">
        <f>MAX(SUMIFS('Globiom data'!N$2:N$9999,'Globiom data'!$A$2:$A$9999,Veda!$D146,'Globiom data'!$D$2:$D$9999,VLOOKUP(Veda!$B146,'Globiom data'!$V$21:$X$29,2,FALSE),'Globiom data'!$E$2:$E$9999,Veda!$C$1),0)*1000</f>
        <v>799.6367724270541</v>
      </c>
      <c r="P146" s="2">
        <f>MAX(SUMIFS('Globiom data'!O$2:O$9999,'Globiom data'!$A$2:$A$9999,Veda!$D146,'Globiom data'!$D$2:$D$9999,VLOOKUP(Veda!$B146,'Globiom data'!$V$21:$X$29,2,FALSE),'Globiom data'!$E$2:$E$9999,Veda!$C$1),0)*1000</f>
        <v>779.03069529810909</v>
      </c>
      <c r="Q146" s="2">
        <f>MAX(SUMIFS('Globiom data'!P$2:P$9999,'Globiom data'!$A$2:$A$9999,Veda!$D146,'Globiom data'!$D$2:$D$9999,VLOOKUP(Veda!$B146,'Globiom data'!$V$21:$X$29,2,FALSE),'Globiom data'!$E$2:$E$9999,Veda!$C$1),0)*1000</f>
        <v>778.3014221533781</v>
      </c>
      <c r="R146">
        <v>3</v>
      </c>
    </row>
    <row r="147" spans="1:18" x14ac:dyDescent="0.45">
      <c r="A147" s="8">
        <f t="shared" si="9"/>
        <v>21</v>
      </c>
      <c r="B147" s="8">
        <f t="shared" si="10"/>
        <v>2</v>
      </c>
      <c r="D147" t="str">
        <f>VLOOKUP(A147,'Globiom data'!$S$21:$T$51,2,FALSE)</f>
        <v>LatAm_other</v>
      </c>
      <c r="E147" t="str">
        <f>VLOOKUP(B147,'Globiom data'!$V$21:$X$30,3,FALSE)</f>
        <v>MinBIOBSL-02</v>
      </c>
      <c r="F147" t="s">
        <v>53</v>
      </c>
      <c r="G147" s="2">
        <f>MAX(SUMIFS('Globiom data'!F$2:F$9999,'Globiom data'!$A$2:$A$9999,Veda!$D147,'Globiom data'!$D$2:$D$9999,VLOOKUP(Veda!$B147,'Globiom data'!$V$21:$X$29,2,FALSE),'Globiom data'!$E$2:$E$9999,Veda!$C$1),0)*1000</f>
        <v>0</v>
      </c>
      <c r="H147" s="2">
        <f>MAX(SUMIFS('Globiom data'!G$2:G$9999,'Globiom data'!$A$2:$A$9999,Veda!$D147,'Globiom data'!$D$2:$D$9999,VLOOKUP(Veda!$B147,'Globiom data'!$V$21:$X$29,2,FALSE),'Globiom data'!$E$2:$E$9999,Veda!$C$1),0)*1000</f>
        <v>0</v>
      </c>
      <c r="I147" s="2">
        <f>MAX(SUMIFS('Globiom data'!H$2:H$9999,'Globiom data'!$A$2:$A$9999,Veda!$D147,'Globiom data'!$D$2:$D$9999,VLOOKUP(Veda!$B147,'Globiom data'!$V$21:$X$29,2,FALSE),'Globiom data'!$E$2:$E$9999,Veda!$C$1),0)*1000</f>
        <v>0</v>
      </c>
      <c r="J147" s="2">
        <f>MAX(SUMIFS('Globiom data'!I$2:I$9999,'Globiom data'!$A$2:$A$9999,Veda!$D147,'Globiom data'!$D$2:$D$9999,VLOOKUP(Veda!$B147,'Globiom data'!$V$21:$X$29,2,FALSE),'Globiom data'!$E$2:$E$9999,Veda!$C$1),0)*1000</f>
        <v>0.12202945262241721</v>
      </c>
      <c r="K147" s="2">
        <f>MAX(SUMIFS('Globiom data'!J$2:J$9999,'Globiom data'!$A$2:$A$9999,Veda!$D147,'Globiom data'!$D$2:$D$9999,VLOOKUP(Veda!$B147,'Globiom data'!$V$21:$X$29,2,FALSE),'Globiom data'!$E$2:$E$9999,Veda!$C$1),0)*1000</f>
        <v>2.8933202924616315</v>
      </c>
      <c r="L147" s="2">
        <f>MAX(SUMIFS('Globiom data'!K$2:K$9999,'Globiom data'!$A$2:$A$9999,Veda!$D147,'Globiom data'!$D$2:$D$9999,VLOOKUP(Veda!$B147,'Globiom data'!$V$21:$X$29,2,FALSE),'Globiom data'!$E$2:$E$9999,Veda!$C$1),0)*1000</f>
        <v>0</v>
      </c>
      <c r="M147" s="2">
        <f>MAX(SUMIFS('Globiom data'!L$2:L$9999,'Globiom data'!$A$2:$A$9999,Veda!$D147,'Globiom data'!$D$2:$D$9999,VLOOKUP(Veda!$B147,'Globiom data'!$V$21:$X$29,2,FALSE),'Globiom data'!$E$2:$E$9999,Veda!$C$1),0)*1000</f>
        <v>148.96518675913146</v>
      </c>
      <c r="N147" s="2">
        <f>MAX(SUMIFS('Globiom data'!M$2:M$9999,'Globiom data'!$A$2:$A$9999,Veda!$D147,'Globiom data'!$D$2:$D$9999,VLOOKUP(Veda!$B147,'Globiom data'!$V$21:$X$29,2,FALSE),'Globiom data'!$E$2:$E$9999,Veda!$C$1),0)*1000</f>
        <v>238.56552784428899</v>
      </c>
      <c r="O147" s="2">
        <f>MAX(SUMIFS('Globiom data'!N$2:N$9999,'Globiom data'!$A$2:$A$9999,Veda!$D147,'Globiom data'!$D$2:$D$9999,VLOOKUP(Veda!$B147,'Globiom data'!$V$21:$X$29,2,FALSE),'Globiom data'!$E$2:$E$9999,Veda!$C$1),0)*1000</f>
        <v>292.87627063666832</v>
      </c>
      <c r="P147" s="2">
        <f>MAX(SUMIFS('Globiom data'!O$2:O$9999,'Globiom data'!$A$2:$A$9999,Veda!$D147,'Globiom data'!$D$2:$D$9999,VLOOKUP(Veda!$B147,'Globiom data'!$V$21:$X$29,2,FALSE),'Globiom data'!$E$2:$E$9999,Veda!$C$1),0)*1000</f>
        <v>378.5765654681847</v>
      </c>
      <c r="Q147" s="2">
        <f>MAX(SUMIFS('Globiom data'!P$2:P$9999,'Globiom data'!$A$2:$A$9999,Veda!$D147,'Globiom data'!$D$2:$D$9999,VLOOKUP(Veda!$B147,'Globiom data'!$V$21:$X$29,2,FALSE),'Globiom data'!$E$2:$E$9999,Veda!$C$1),0)*1000</f>
        <v>433.99659308493779</v>
      </c>
      <c r="R147">
        <v>3</v>
      </c>
    </row>
    <row r="148" spans="1:18" x14ac:dyDescent="0.45">
      <c r="A148" s="8">
        <f t="shared" si="9"/>
        <v>21</v>
      </c>
      <c r="B148" s="8">
        <f t="shared" si="10"/>
        <v>3</v>
      </c>
      <c r="D148" t="str">
        <f>VLOOKUP(A148,'Globiom data'!$S$21:$T$51,2,FALSE)</f>
        <v>LatAm_other</v>
      </c>
      <c r="E148" t="str">
        <f>VLOOKUP(B148,'Globiom data'!$V$21:$X$30,3,FALSE)</f>
        <v>MinBIOBSL-03</v>
      </c>
      <c r="F148" t="s">
        <v>53</v>
      </c>
      <c r="G148" s="2">
        <f>MAX(SUMIFS('Globiom data'!F$2:F$9999,'Globiom data'!$A$2:$A$9999,Veda!$D148,'Globiom data'!$D$2:$D$9999,VLOOKUP(Veda!$B148,'Globiom data'!$V$21:$X$29,2,FALSE),'Globiom data'!$E$2:$E$9999,Veda!$C$1),0)*1000</f>
        <v>0</v>
      </c>
      <c r="H148" s="2">
        <f>MAX(SUMIFS('Globiom data'!G$2:G$9999,'Globiom data'!$A$2:$A$9999,Veda!$D148,'Globiom data'!$D$2:$D$9999,VLOOKUP(Veda!$B148,'Globiom data'!$V$21:$X$29,2,FALSE),'Globiom data'!$E$2:$E$9999,Veda!$C$1),0)*1000</f>
        <v>4.3178114586072898</v>
      </c>
      <c r="I148" s="2">
        <f>MAX(SUMIFS('Globiom data'!H$2:H$9999,'Globiom data'!$A$2:$A$9999,Veda!$D148,'Globiom data'!$D$2:$D$9999,VLOOKUP(Veda!$B148,'Globiom data'!$V$21:$X$29,2,FALSE),'Globiom data'!$E$2:$E$9999,Veda!$C$1),0)*1000</f>
        <v>4.3178114586072898</v>
      </c>
      <c r="J148" s="2">
        <f>MAX(SUMIFS('Globiom data'!I$2:I$9999,'Globiom data'!$A$2:$A$9999,Veda!$D148,'Globiom data'!$D$2:$D$9999,VLOOKUP(Veda!$B148,'Globiom data'!$V$21:$X$29,2,FALSE),'Globiom data'!$E$2:$E$9999,Veda!$C$1),0)*1000</f>
        <v>0</v>
      </c>
      <c r="K148" s="2">
        <f>MAX(SUMIFS('Globiom data'!J$2:J$9999,'Globiom data'!$A$2:$A$9999,Veda!$D148,'Globiom data'!$D$2:$D$9999,VLOOKUP(Veda!$B148,'Globiom data'!$V$21:$X$29,2,FALSE),'Globiom data'!$E$2:$E$9999,Veda!$C$1),0)*1000</f>
        <v>98.994828298242908</v>
      </c>
      <c r="L148" s="2">
        <f>MAX(SUMIFS('Globiom data'!K$2:K$9999,'Globiom data'!$A$2:$A$9999,Veda!$D148,'Globiom data'!$D$2:$D$9999,VLOOKUP(Veda!$B148,'Globiom data'!$V$21:$X$29,2,FALSE),'Globiom data'!$E$2:$E$9999,Veda!$C$1),0)*1000</f>
        <v>114.91130832737862</v>
      </c>
      <c r="M148" s="2">
        <f>MAX(SUMIFS('Globiom data'!L$2:L$9999,'Globiom data'!$A$2:$A$9999,Veda!$D148,'Globiom data'!$D$2:$D$9999,VLOOKUP(Veda!$B148,'Globiom data'!$V$21:$X$29,2,FALSE),'Globiom data'!$E$2:$E$9999,Veda!$C$1),0)*1000</f>
        <v>320.21499680899581</v>
      </c>
      <c r="N148" s="2">
        <f>MAX(SUMIFS('Globiom data'!M$2:M$9999,'Globiom data'!$A$2:$A$9999,Veda!$D148,'Globiom data'!$D$2:$D$9999,VLOOKUP(Veda!$B148,'Globiom data'!$V$21:$X$29,2,FALSE),'Globiom data'!$E$2:$E$9999,Veda!$C$1),0)*1000</f>
        <v>1778.9912970877224</v>
      </c>
      <c r="O148" s="2">
        <f>MAX(SUMIFS('Globiom data'!N$2:N$9999,'Globiom data'!$A$2:$A$9999,Veda!$D148,'Globiom data'!$D$2:$D$9999,VLOOKUP(Veda!$B148,'Globiom data'!$V$21:$X$29,2,FALSE),'Globiom data'!$E$2:$E$9999,Veda!$C$1),0)*1000</f>
        <v>3153.7277826737804</v>
      </c>
      <c r="P148" s="2">
        <f>MAX(SUMIFS('Globiom data'!O$2:O$9999,'Globiom data'!$A$2:$A$9999,Veda!$D148,'Globiom data'!$D$2:$D$9999,VLOOKUP(Veda!$B148,'Globiom data'!$V$21:$X$29,2,FALSE),'Globiom data'!$E$2:$E$9999,Veda!$C$1),0)*1000</f>
        <v>4282.0941966676537</v>
      </c>
      <c r="Q148" s="2">
        <f>MAX(SUMIFS('Globiom data'!P$2:P$9999,'Globiom data'!$A$2:$A$9999,Veda!$D148,'Globiom data'!$D$2:$D$9999,VLOOKUP(Veda!$B148,'Globiom data'!$V$21:$X$29,2,FALSE),'Globiom data'!$E$2:$E$9999,Veda!$C$1),0)*1000</f>
        <v>4390.2128484722753</v>
      </c>
      <c r="R148">
        <v>3</v>
      </c>
    </row>
    <row r="149" spans="1:18" x14ac:dyDescent="0.45">
      <c r="A149" s="8">
        <f t="shared" si="9"/>
        <v>21</v>
      </c>
      <c r="B149" s="8">
        <f t="shared" si="10"/>
        <v>4</v>
      </c>
      <c r="D149" t="str">
        <f>VLOOKUP(A149,'Globiom data'!$S$21:$T$51,2,FALSE)</f>
        <v>LatAm_other</v>
      </c>
      <c r="E149" t="str">
        <f>VLOOKUP(B149,'Globiom data'!$V$21:$X$30,3,FALSE)</f>
        <v>MinBIOBSL-04</v>
      </c>
      <c r="F149" t="s">
        <v>53</v>
      </c>
      <c r="G149" s="2">
        <f>MAX(SUMIFS('Globiom data'!F$2:F$9999,'Globiom data'!$A$2:$A$9999,Veda!$D149,'Globiom data'!$D$2:$D$9999,VLOOKUP(Veda!$B149,'Globiom data'!$V$21:$X$29,2,FALSE),'Globiom data'!$E$2:$E$9999,Veda!$C$1),0)*1000</f>
        <v>0</v>
      </c>
      <c r="H149" s="2">
        <f>MAX(SUMIFS('Globiom data'!G$2:G$9999,'Globiom data'!$A$2:$A$9999,Veda!$D149,'Globiom data'!$D$2:$D$9999,VLOOKUP(Veda!$B149,'Globiom data'!$V$21:$X$29,2,FALSE),'Globiom data'!$E$2:$E$9999,Veda!$C$1),0)*1000</f>
        <v>0.80816209730263</v>
      </c>
      <c r="I149" s="2">
        <f>MAX(SUMIFS('Globiom data'!H$2:H$9999,'Globiom data'!$A$2:$A$9999,Veda!$D149,'Globiom data'!$D$2:$D$9999,VLOOKUP(Veda!$B149,'Globiom data'!$V$21:$X$29,2,FALSE),'Globiom data'!$E$2:$E$9999,Veda!$C$1),0)*1000</f>
        <v>0.80816209730263</v>
      </c>
      <c r="J149" s="2">
        <f>MAX(SUMIFS('Globiom data'!I$2:I$9999,'Globiom data'!$A$2:$A$9999,Veda!$D149,'Globiom data'!$D$2:$D$9999,VLOOKUP(Veda!$B149,'Globiom data'!$V$21:$X$29,2,FALSE),'Globiom data'!$E$2:$E$9999,Veda!$C$1),0)*1000</f>
        <v>0</v>
      </c>
      <c r="K149" s="2">
        <f>MAX(SUMIFS('Globiom data'!J$2:J$9999,'Globiom data'!$A$2:$A$9999,Veda!$D149,'Globiom data'!$D$2:$D$9999,VLOOKUP(Veda!$B149,'Globiom data'!$V$21:$X$29,2,FALSE),'Globiom data'!$E$2:$E$9999,Veda!$C$1),0)*1000</f>
        <v>14.43921364596976</v>
      </c>
      <c r="L149" s="2">
        <f>MAX(SUMIFS('Globiom data'!K$2:K$9999,'Globiom data'!$A$2:$A$9999,Veda!$D149,'Globiom data'!$D$2:$D$9999,VLOOKUP(Veda!$B149,'Globiom data'!$V$21:$X$29,2,FALSE),'Globiom data'!$E$2:$E$9999,Veda!$C$1),0)*1000</f>
        <v>1418.5661012863181</v>
      </c>
      <c r="M149" s="2">
        <f>MAX(SUMIFS('Globiom data'!L$2:L$9999,'Globiom data'!$A$2:$A$9999,Veda!$D149,'Globiom data'!$D$2:$D$9999,VLOOKUP(Veda!$B149,'Globiom data'!$V$21:$X$29,2,FALSE),'Globiom data'!$E$2:$E$9999,Veda!$C$1),0)*1000</f>
        <v>2706.81933061376</v>
      </c>
      <c r="N149" s="2">
        <f>MAX(SUMIFS('Globiom data'!M$2:M$9999,'Globiom data'!$A$2:$A$9999,Veda!$D149,'Globiom data'!$D$2:$D$9999,VLOOKUP(Veda!$B149,'Globiom data'!$V$21:$X$29,2,FALSE),'Globiom data'!$E$2:$E$9999,Veda!$C$1),0)*1000</f>
        <v>3026.7640103966296</v>
      </c>
      <c r="O149" s="2">
        <f>MAX(SUMIFS('Globiom data'!N$2:N$9999,'Globiom data'!$A$2:$A$9999,Veda!$D149,'Globiom data'!$D$2:$D$9999,VLOOKUP(Veda!$B149,'Globiom data'!$V$21:$X$29,2,FALSE),'Globiom data'!$E$2:$E$9999,Veda!$C$1),0)*1000</f>
        <v>3421.1039781539644</v>
      </c>
      <c r="P149" s="2">
        <f>MAX(SUMIFS('Globiom data'!O$2:O$9999,'Globiom data'!$A$2:$A$9999,Veda!$D149,'Globiom data'!$D$2:$D$9999,VLOOKUP(Veda!$B149,'Globiom data'!$V$21:$X$29,2,FALSE),'Globiom data'!$E$2:$E$9999,Veda!$C$1),0)*1000</f>
        <v>3703.9148577168789</v>
      </c>
      <c r="Q149" s="2">
        <f>MAX(SUMIFS('Globiom data'!P$2:P$9999,'Globiom data'!$A$2:$A$9999,Veda!$D149,'Globiom data'!$D$2:$D$9999,VLOOKUP(Veda!$B149,'Globiom data'!$V$21:$X$29,2,FALSE),'Globiom data'!$E$2:$E$9999,Veda!$C$1),0)*1000</f>
        <v>3868.8762566914688</v>
      </c>
      <c r="R149">
        <v>3</v>
      </c>
    </row>
    <row r="150" spans="1:18" x14ac:dyDescent="0.45">
      <c r="A150" s="8">
        <f t="shared" si="9"/>
        <v>21</v>
      </c>
      <c r="B150" s="8">
        <f t="shared" si="10"/>
        <v>5</v>
      </c>
      <c r="D150" t="str">
        <f>VLOOKUP(A150,'Globiom data'!$S$21:$T$51,2,FALSE)</f>
        <v>LatAm_other</v>
      </c>
      <c r="E150" t="str">
        <f>VLOOKUP(B150,'Globiom data'!$V$21:$X$30,3,FALSE)</f>
        <v>MinBIOBSL-05</v>
      </c>
      <c r="F150" t="s">
        <v>53</v>
      </c>
      <c r="G150" s="2">
        <f>MAX(SUMIFS('Globiom data'!F$2:F$9999,'Globiom data'!$A$2:$A$9999,Veda!$D150,'Globiom data'!$D$2:$D$9999,VLOOKUP(Veda!$B150,'Globiom data'!$V$21:$X$29,2,FALSE),'Globiom data'!$E$2:$E$9999,Veda!$C$1),0)*1000</f>
        <v>0</v>
      </c>
      <c r="H150" s="2">
        <f>MAX(SUMIFS('Globiom data'!G$2:G$9999,'Globiom data'!$A$2:$A$9999,Veda!$D150,'Globiom data'!$D$2:$D$9999,VLOOKUP(Veda!$B150,'Globiom data'!$V$21:$X$29,2,FALSE),'Globiom data'!$E$2:$E$9999,Veda!$C$1),0)*1000</f>
        <v>0</v>
      </c>
      <c r="I150" s="2">
        <f>MAX(SUMIFS('Globiom data'!H$2:H$9999,'Globiom data'!$A$2:$A$9999,Veda!$D150,'Globiom data'!$D$2:$D$9999,VLOOKUP(Veda!$B150,'Globiom data'!$V$21:$X$29,2,FALSE),'Globiom data'!$E$2:$E$9999,Veda!$C$1),0)*1000</f>
        <v>0</v>
      </c>
      <c r="J150" s="2">
        <f>MAX(SUMIFS('Globiom data'!I$2:I$9999,'Globiom data'!$A$2:$A$9999,Veda!$D150,'Globiom data'!$D$2:$D$9999,VLOOKUP(Veda!$B150,'Globiom data'!$V$21:$X$29,2,FALSE),'Globiom data'!$E$2:$E$9999,Veda!$C$1),0)*1000</f>
        <v>98.133972792594136</v>
      </c>
      <c r="K150" s="2">
        <f>MAX(SUMIFS('Globiom data'!J$2:J$9999,'Globiom data'!$A$2:$A$9999,Veda!$D150,'Globiom data'!$D$2:$D$9999,VLOOKUP(Veda!$B150,'Globiom data'!$V$21:$X$29,2,FALSE),'Globiom data'!$E$2:$E$9999,Veda!$C$1),0)*1000</f>
        <v>1670.8875111277785</v>
      </c>
      <c r="L150" s="2">
        <f>MAX(SUMIFS('Globiom data'!K$2:K$9999,'Globiom data'!$A$2:$A$9999,Veda!$D150,'Globiom data'!$D$2:$D$9999,VLOOKUP(Veda!$B150,'Globiom data'!$V$21:$X$29,2,FALSE),'Globiom data'!$E$2:$E$9999,Veda!$C$1),0)*1000</f>
        <v>2555.1627162544523</v>
      </c>
      <c r="M150" s="2">
        <f>MAX(SUMIFS('Globiom data'!L$2:L$9999,'Globiom data'!$A$2:$A$9999,Veda!$D150,'Globiom data'!$D$2:$D$9999,VLOOKUP(Veda!$B150,'Globiom data'!$V$21:$X$29,2,FALSE),'Globiom data'!$E$2:$E$9999,Veda!$C$1),0)*1000</f>
        <v>3417.7206879766059</v>
      </c>
      <c r="N150" s="2">
        <f>MAX(SUMIFS('Globiom data'!M$2:M$9999,'Globiom data'!$A$2:$A$9999,Veda!$D150,'Globiom data'!$D$2:$D$9999,VLOOKUP(Veda!$B150,'Globiom data'!$V$21:$X$29,2,FALSE),'Globiom data'!$E$2:$E$9999,Veda!$C$1),0)*1000</f>
        <v>3944.1473063072276</v>
      </c>
      <c r="O150" s="2">
        <f>MAX(SUMIFS('Globiom data'!N$2:N$9999,'Globiom data'!$A$2:$A$9999,Veda!$D150,'Globiom data'!$D$2:$D$9999,VLOOKUP(Veda!$B150,'Globiom data'!$V$21:$X$29,2,FALSE),'Globiom data'!$E$2:$E$9999,Veda!$C$1),0)*1000</f>
        <v>3794.1558988620432</v>
      </c>
      <c r="P150" s="2">
        <f>MAX(SUMIFS('Globiom data'!O$2:O$9999,'Globiom data'!$A$2:$A$9999,Veda!$D150,'Globiom data'!$D$2:$D$9999,VLOOKUP(Veda!$B150,'Globiom data'!$V$21:$X$29,2,FALSE),'Globiom data'!$E$2:$E$9999,Veda!$C$1),0)*1000</f>
        <v>2978.7575487638201</v>
      </c>
      <c r="Q150" s="2">
        <f>MAX(SUMIFS('Globiom data'!P$2:P$9999,'Globiom data'!$A$2:$A$9999,Veda!$D150,'Globiom data'!$D$2:$D$9999,VLOOKUP(Veda!$B150,'Globiom data'!$V$21:$X$29,2,FALSE),'Globiom data'!$E$2:$E$9999,Veda!$C$1),0)*1000</f>
        <v>2238.7984411713596</v>
      </c>
      <c r="R150">
        <v>3</v>
      </c>
    </row>
    <row r="151" spans="1:18" x14ac:dyDescent="0.45">
      <c r="A151" s="8">
        <f t="shared" si="9"/>
        <v>21</v>
      </c>
      <c r="B151" s="8">
        <f t="shared" si="10"/>
        <v>6</v>
      </c>
      <c r="D151" t="str">
        <f>VLOOKUP(A151,'Globiom data'!$S$21:$T$51,2,FALSE)</f>
        <v>LatAm_other</v>
      </c>
      <c r="E151" t="str">
        <f>VLOOKUP(B151,'Globiom data'!$V$21:$X$30,3,FALSE)</f>
        <v>MinBIOBSL-06</v>
      </c>
      <c r="F151" t="s">
        <v>53</v>
      </c>
      <c r="G151" s="2">
        <f>MAX(SUMIFS('Globiom data'!F$2:F$9999,'Globiom data'!$A$2:$A$9999,Veda!$D151,'Globiom data'!$D$2:$D$9999,VLOOKUP(Veda!$B151,'Globiom data'!$V$21:$X$29,2,FALSE),'Globiom data'!$E$2:$E$9999,Veda!$C$1),0)*1000</f>
        <v>0</v>
      </c>
      <c r="H151" s="2">
        <f>MAX(SUMIFS('Globiom data'!G$2:G$9999,'Globiom data'!$A$2:$A$9999,Veda!$D151,'Globiom data'!$D$2:$D$9999,VLOOKUP(Veda!$B151,'Globiom data'!$V$21:$X$29,2,FALSE),'Globiom data'!$E$2:$E$9999,Veda!$C$1),0)*1000</f>
        <v>51.726097173720902</v>
      </c>
      <c r="I151" s="2">
        <f>MAX(SUMIFS('Globiom data'!H$2:H$9999,'Globiom data'!$A$2:$A$9999,Veda!$D151,'Globiom data'!$D$2:$D$9999,VLOOKUP(Veda!$B151,'Globiom data'!$V$21:$X$29,2,FALSE),'Globiom data'!$E$2:$E$9999,Veda!$C$1),0)*1000</f>
        <v>51.726097173720902</v>
      </c>
      <c r="J151" s="2">
        <f>MAX(SUMIFS('Globiom data'!I$2:I$9999,'Globiom data'!$A$2:$A$9999,Veda!$D151,'Globiom data'!$D$2:$D$9999,VLOOKUP(Veda!$B151,'Globiom data'!$V$21:$X$29,2,FALSE),'Globiom data'!$E$2:$E$9999,Veda!$C$1),0)*1000</f>
        <v>2844.5164334196352</v>
      </c>
      <c r="K151" s="2">
        <f>MAX(SUMIFS('Globiom data'!J$2:J$9999,'Globiom data'!$A$2:$A$9999,Veda!$D151,'Globiom data'!$D$2:$D$9999,VLOOKUP(Veda!$B151,'Globiom data'!$V$21:$X$29,2,FALSE),'Globiom data'!$E$2:$E$9999,Veda!$C$1),0)*1000</f>
        <v>4703.4642497182176</v>
      </c>
      <c r="L151" s="2">
        <f>MAX(SUMIFS('Globiom data'!K$2:K$9999,'Globiom data'!$A$2:$A$9999,Veda!$D151,'Globiom data'!$D$2:$D$9999,VLOOKUP(Veda!$B151,'Globiom data'!$V$21:$X$29,2,FALSE),'Globiom data'!$E$2:$E$9999,Veda!$C$1),0)*1000</f>
        <v>5549.6247588153037</v>
      </c>
      <c r="M151" s="2">
        <f>MAX(SUMIFS('Globiom data'!L$2:L$9999,'Globiom data'!$A$2:$A$9999,Veda!$D151,'Globiom data'!$D$2:$D$9999,VLOOKUP(Veda!$B151,'Globiom data'!$V$21:$X$29,2,FALSE),'Globiom data'!$E$2:$E$9999,Veda!$C$1),0)*1000</f>
        <v>4690.4374130396072</v>
      </c>
      <c r="N151" s="2">
        <f>MAX(SUMIFS('Globiom data'!M$2:M$9999,'Globiom data'!$A$2:$A$9999,Veda!$D151,'Globiom data'!$D$2:$D$9999,VLOOKUP(Veda!$B151,'Globiom data'!$V$21:$X$29,2,FALSE),'Globiom data'!$E$2:$E$9999,Veda!$C$1),0)*1000</f>
        <v>3174.3045118737919</v>
      </c>
      <c r="O151" s="2">
        <f>MAX(SUMIFS('Globiom data'!N$2:N$9999,'Globiom data'!$A$2:$A$9999,Veda!$D151,'Globiom data'!$D$2:$D$9999,VLOOKUP(Veda!$B151,'Globiom data'!$V$21:$X$29,2,FALSE),'Globiom data'!$E$2:$E$9999,Veda!$C$1),0)*1000</f>
        <v>2177.4164956309532</v>
      </c>
      <c r="P151" s="2">
        <f>MAX(SUMIFS('Globiom data'!O$2:O$9999,'Globiom data'!$A$2:$A$9999,Veda!$D151,'Globiom data'!$D$2:$D$9999,VLOOKUP(Veda!$B151,'Globiom data'!$V$21:$X$29,2,FALSE),'Globiom data'!$E$2:$E$9999,Veda!$C$1),0)*1000</f>
        <v>1813.9610368424949</v>
      </c>
      <c r="Q151" s="2">
        <f>MAX(SUMIFS('Globiom data'!P$2:P$9999,'Globiom data'!$A$2:$A$9999,Veda!$D151,'Globiom data'!$D$2:$D$9999,VLOOKUP(Veda!$B151,'Globiom data'!$V$21:$X$29,2,FALSE),'Globiom data'!$E$2:$E$9999,Veda!$C$1),0)*1000</f>
        <v>1647.1016862000306</v>
      </c>
      <c r="R151">
        <v>3</v>
      </c>
    </row>
    <row r="152" spans="1:18" x14ac:dyDescent="0.45">
      <c r="A152" s="8">
        <f t="shared" si="9"/>
        <v>21</v>
      </c>
      <c r="B152" s="8">
        <f t="shared" si="10"/>
        <v>7</v>
      </c>
      <c r="D152" t="str">
        <f>VLOOKUP(A152,'Globiom data'!$S$21:$T$51,2,FALSE)</f>
        <v>LatAm_other</v>
      </c>
      <c r="E152" t="str">
        <f>VLOOKUP(B152,'Globiom data'!$V$21:$X$30,3,FALSE)</f>
        <v>MinBIOBSL-07</v>
      </c>
      <c r="F152" t="s">
        <v>53</v>
      </c>
      <c r="G152" s="2">
        <f>MAX(SUMIFS('Globiom data'!F$2:F$9999,'Globiom data'!$A$2:$A$9999,Veda!$D152,'Globiom data'!$D$2:$D$9999,VLOOKUP(Veda!$B152,'Globiom data'!$V$21:$X$29,2,FALSE),'Globiom data'!$E$2:$E$9999,Veda!$C$1),0)*1000</f>
        <v>0</v>
      </c>
      <c r="H152" s="2">
        <f>MAX(SUMIFS('Globiom data'!G$2:G$9999,'Globiom data'!$A$2:$A$9999,Veda!$D152,'Globiom data'!$D$2:$D$9999,VLOOKUP(Veda!$B152,'Globiom data'!$V$21:$X$29,2,FALSE),'Globiom data'!$E$2:$E$9999,Veda!$C$1),0)*1000</f>
        <v>1183.2818219189985</v>
      </c>
      <c r="I152" s="2">
        <f>MAX(SUMIFS('Globiom data'!H$2:H$9999,'Globiom data'!$A$2:$A$9999,Veda!$D152,'Globiom data'!$D$2:$D$9999,VLOOKUP(Veda!$B152,'Globiom data'!$V$21:$X$29,2,FALSE),'Globiom data'!$E$2:$E$9999,Veda!$C$1),0)*1000</f>
        <v>1183.2818219189985</v>
      </c>
      <c r="J152" s="2">
        <f>MAX(SUMIFS('Globiom data'!I$2:I$9999,'Globiom data'!$A$2:$A$9999,Veda!$D152,'Globiom data'!$D$2:$D$9999,VLOOKUP(Veda!$B152,'Globiom data'!$V$21:$X$29,2,FALSE),'Globiom data'!$E$2:$E$9999,Veda!$C$1),0)*1000</f>
        <v>3954.3644275827342</v>
      </c>
      <c r="K152" s="2">
        <f>MAX(SUMIFS('Globiom data'!J$2:J$9999,'Globiom data'!$A$2:$A$9999,Veda!$D152,'Globiom data'!$D$2:$D$9999,VLOOKUP(Veda!$B152,'Globiom data'!$V$21:$X$29,2,FALSE),'Globiom data'!$E$2:$E$9999,Veda!$C$1),0)*1000</f>
        <v>3984.3644432940819</v>
      </c>
      <c r="L152" s="2">
        <f>MAX(SUMIFS('Globiom data'!K$2:K$9999,'Globiom data'!$A$2:$A$9999,Veda!$D152,'Globiom data'!$D$2:$D$9999,VLOOKUP(Veda!$B152,'Globiom data'!$V$21:$X$29,2,FALSE),'Globiom data'!$E$2:$E$9999,Veda!$C$1),0)*1000</f>
        <v>2248.0514961545077</v>
      </c>
      <c r="M152" s="2">
        <f>MAX(SUMIFS('Globiom data'!L$2:L$9999,'Globiom data'!$A$2:$A$9999,Veda!$D152,'Globiom data'!$D$2:$D$9999,VLOOKUP(Veda!$B152,'Globiom data'!$V$21:$X$29,2,FALSE),'Globiom data'!$E$2:$E$9999,Veda!$C$1),0)*1000</f>
        <v>1535.7988323127124</v>
      </c>
      <c r="N152" s="2">
        <f>MAX(SUMIFS('Globiom data'!M$2:M$9999,'Globiom data'!$A$2:$A$9999,Veda!$D152,'Globiom data'!$D$2:$D$9999,VLOOKUP(Veda!$B152,'Globiom data'!$V$21:$X$29,2,FALSE),'Globiom data'!$E$2:$E$9999,Veda!$C$1),0)*1000</f>
        <v>1527.4162892430763</v>
      </c>
      <c r="O152" s="2">
        <f>MAX(SUMIFS('Globiom data'!N$2:N$9999,'Globiom data'!$A$2:$A$9999,Veda!$D152,'Globiom data'!$D$2:$D$9999,VLOOKUP(Veda!$B152,'Globiom data'!$V$21:$X$29,2,FALSE),'Globiom data'!$E$2:$E$9999,Veda!$C$1),0)*1000</f>
        <v>1881.0801754947922</v>
      </c>
      <c r="P152" s="2">
        <f>MAX(SUMIFS('Globiom data'!O$2:O$9999,'Globiom data'!$A$2:$A$9999,Veda!$D152,'Globiom data'!$D$2:$D$9999,VLOOKUP(Veda!$B152,'Globiom data'!$V$21:$X$29,2,FALSE),'Globiom data'!$E$2:$E$9999,Veda!$C$1),0)*1000</f>
        <v>2225.4491610663977</v>
      </c>
      <c r="Q152" s="2">
        <f>MAX(SUMIFS('Globiom data'!P$2:P$9999,'Globiom data'!$A$2:$A$9999,Veda!$D152,'Globiom data'!$D$2:$D$9999,VLOOKUP(Veda!$B152,'Globiom data'!$V$21:$X$29,2,FALSE),'Globiom data'!$E$2:$E$9999,Veda!$C$1),0)*1000</f>
        <v>2545.4379200505455</v>
      </c>
      <c r="R152">
        <v>3</v>
      </c>
    </row>
    <row r="153" spans="1:18" x14ac:dyDescent="0.45">
      <c r="A153" s="8">
        <f t="shared" si="9"/>
        <v>22</v>
      </c>
      <c r="B153" s="8">
        <f t="shared" si="10"/>
        <v>1</v>
      </c>
      <c r="D153" t="str">
        <f>VLOOKUP(A153,'Globiom data'!$S$21:$T$51,2,FALSE)</f>
        <v>Mexico</v>
      </c>
      <c r="E153" t="str">
        <f>VLOOKUP(B153,'Globiom data'!$V$21:$X$30,3,FALSE)</f>
        <v>MinBIOBSL-01</v>
      </c>
      <c r="F153" t="s">
        <v>53</v>
      </c>
      <c r="G153" s="2">
        <f>MAX(SUMIFS('Globiom data'!F$2:F$9999,'Globiom data'!$A$2:$A$9999,Veda!$D153,'Globiom data'!$D$2:$D$9999,VLOOKUP(Veda!$B153,'Globiom data'!$V$21:$X$29,2,FALSE),'Globiom data'!$E$2:$E$9999,Veda!$C$1),0)*1000</f>
        <v>405.65574611161225</v>
      </c>
      <c r="H153" s="2">
        <f>MAX(SUMIFS('Globiom data'!G$2:G$9999,'Globiom data'!$A$2:$A$9999,Veda!$D153,'Globiom data'!$D$2:$D$9999,VLOOKUP(Veda!$B153,'Globiom data'!$V$21:$X$29,2,FALSE),'Globiom data'!$E$2:$E$9999,Veda!$C$1),0)*1000</f>
        <v>362.04760208963808</v>
      </c>
      <c r="I153" s="2">
        <f>MAX(SUMIFS('Globiom data'!H$2:H$9999,'Globiom data'!$A$2:$A$9999,Veda!$D153,'Globiom data'!$D$2:$D$9999,VLOOKUP(Veda!$B153,'Globiom data'!$V$21:$X$29,2,FALSE),'Globiom data'!$E$2:$E$9999,Veda!$C$1),0)*1000</f>
        <v>362.04760208963808</v>
      </c>
      <c r="J153" s="2">
        <f>MAX(SUMIFS('Globiom data'!I$2:I$9999,'Globiom data'!$A$2:$A$9999,Veda!$D153,'Globiom data'!$D$2:$D$9999,VLOOKUP(Veda!$B153,'Globiom data'!$V$21:$X$29,2,FALSE),'Globiom data'!$E$2:$E$9999,Veda!$C$1),0)*1000</f>
        <v>337.23191683001522</v>
      </c>
      <c r="K153" s="2">
        <f>MAX(SUMIFS('Globiom data'!J$2:J$9999,'Globiom data'!$A$2:$A$9999,Veda!$D153,'Globiom data'!$D$2:$D$9999,VLOOKUP(Veda!$B153,'Globiom data'!$V$21:$X$29,2,FALSE),'Globiom data'!$E$2:$E$9999,Veda!$C$1),0)*1000</f>
        <v>335.25135234882816</v>
      </c>
      <c r="L153" s="2">
        <f>MAX(SUMIFS('Globiom data'!K$2:K$9999,'Globiom data'!$A$2:$A$9999,Veda!$D153,'Globiom data'!$D$2:$D$9999,VLOOKUP(Veda!$B153,'Globiom data'!$V$21:$X$29,2,FALSE),'Globiom data'!$E$2:$E$9999,Veda!$C$1),0)*1000</f>
        <v>332.67233654683463</v>
      </c>
      <c r="M153" s="2">
        <f>MAX(SUMIFS('Globiom data'!L$2:L$9999,'Globiom data'!$A$2:$A$9999,Veda!$D153,'Globiom data'!$D$2:$D$9999,VLOOKUP(Veda!$B153,'Globiom data'!$V$21:$X$29,2,FALSE),'Globiom data'!$E$2:$E$9999,Veda!$C$1),0)*1000</f>
        <v>331.2567352253505</v>
      </c>
      <c r="N153" s="2">
        <f>MAX(SUMIFS('Globiom data'!M$2:M$9999,'Globiom data'!$A$2:$A$9999,Veda!$D153,'Globiom data'!$D$2:$D$9999,VLOOKUP(Veda!$B153,'Globiom data'!$V$21:$X$29,2,FALSE),'Globiom data'!$E$2:$E$9999,Veda!$C$1),0)*1000</f>
        <v>337.49804200163646</v>
      </c>
      <c r="O153" s="2">
        <f>MAX(SUMIFS('Globiom data'!N$2:N$9999,'Globiom data'!$A$2:$A$9999,Veda!$D153,'Globiom data'!$D$2:$D$9999,VLOOKUP(Veda!$B153,'Globiom data'!$V$21:$X$29,2,FALSE),'Globiom data'!$E$2:$E$9999,Veda!$C$1),0)*1000</f>
        <v>328.56923595614052</v>
      </c>
      <c r="P153" s="2">
        <f>MAX(SUMIFS('Globiom data'!O$2:O$9999,'Globiom data'!$A$2:$A$9999,Veda!$D153,'Globiom data'!$D$2:$D$9999,VLOOKUP(Veda!$B153,'Globiom data'!$V$21:$X$29,2,FALSE),'Globiom data'!$E$2:$E$9999,Veda!$C$1),0)*1000</f>
        <v>337.04284112233751</v>
      </c>
      <c r="Q153" s="2">
        <f>MAX(SUMIFS('Globiom data'!P$2:P$9999,'Globiom data'!$A$2:$A$9999,Veda!$D153,'Globiom data'!$D$2:$D$9999,VLOOKUP(Veda!$B153,'Globiom data'!$V$21:$X$29,2,FALSE),'Globiom data'!$E$2:$E$9999,Veda!$C$1),0)*1000</f>
        <v>337.39098546061751</v>
      </c>
      <c r="R153">
        <v>3</v>
      </c>
    </row>
    <row r="154" spans="1:18" x14ac:dyDescent="0.45">
      <c r="A154" s="8">
        <f t="shared" si="9"/>
        <v>22</v>
      </c>
      <c r="B154" s="8">
        <f t="shared" si="10"/>
        <v>2</v>
      </c>
      <c r="D154" t="str">
        <f>VLOOKUP(A154,'Globiom data'!$S$21:$T$51,2,FALSE)</f>
        <v>Mexico</v>
      </c>
      <c r="E154" t="str">
        <f>VLOOKUP(B154,'Globiom data'!$V$21:$X$30,3,FALSE)</f>
        <v>MinBIOBSL-02</v>
      </c>
      <c r="F154" t="s">
        <v>53</v>
      </c>
      <c r="G154" s="2">
        <f>MAX(SUMIFS('Globiom data'!F$2:F$9999,'Globiom data'!$A$2:$A$9999,Veda!$D154,'Globiom data'!$D$2:$D$9999,VLOOKUP(Veda!$B154,'Globiom data'!$V$21:$X$29,2,FALSE),'Globiom data'!$E$2:$E$9999,Veda!$C$1),0)*1000</f>
        <v>0</v>
      </c>
      <c r="H154" s="2">
        <f>MAX(SUMIFS('Globiom data'!G$2:G$9999,'Globiom data'!$A$2:$A$9999,Veda!$D154,'Globiom data'!$D$2:$D$9999,VLOOKUP(Veda!$B154,'Globiom data'!$V$21:$X$29,2,FALSE),'Globiom data'!$E$2:$E$9999,Veda!$C$1),0)*1000</f>
        <v>0.69108842987661978</v>
      </c>
      <c r="I154" s="2">
        <f>MAX(SUMIFS('Globiom data'!H$2:H$9999,'Globiom data'!$A$2:$A$9999,Veda!$D154,'Globiom data'!$D$2:$D$9999,VLOOKUP(Veda!$B154,'Globiom data'!$V$21:$X$29,2,FALSE),'Globiom data'!$E$2:$E$9999,Veda!$C$1),0)*1000</f>
        <v>0.69108842987661978</v>
      </c>
      <c r="J154" s="2">
        <f>MAX(SUMIFS('Globiom data'!I$2:I$9999,'Globiom data'!$A$2:$A$9999,Veda!$D154,'Globiom data'!$D$2:$D$9999,VLOOKUP(Veda!$B154,'Globiom data'!$V$21:$X$29,2,FALSE),'Globiom data'!$E$2:$E$9999,Veda!$C$1),0)*1000</f>
        <v>0.48275372778203757</v>
      </c>
      <c r="K154" s="2">
        <f>MAX(SUMIFS('Globiom data'!J$2:J$9999,'Globiom data'!$A$2:$A$9999,Veda!$D154,'Globiom data'!$D$2:$D$9999,VLOOKUP(Veda!$B154,'Globiom data'!$V$21:$X$29,2,FALSE),'Globiom data'!$E$2:$E$9999,Veda!$C$1),0)*1000</f>
        <v>0</v>
      </c>
      <c r="L154" s="2">
        <f>MAX(SUMIFS('Globiom data'!K$2:K$9999,'Globiom data'!$A$2:$A$9999,Veda!$D154,'Globiom data'!$D$2:$D$9999,VLOOKUP(Veda!$B154,'Globiom data'!$V$21:$X$29,2,FALSE),'Globiom data'!$E$2:$E$9999,Veda!$C$1),0)*1000</f>
        <v>1.8620589904348714</v>
      </c>
      <c r="M154" s="2">
        <f>MAX(SUMIFS('Globiom data'!L$2:L$9999,'Globiom data'!$A$2:$A$9999,Veda!$D154,'Globiom data'!$D$2:$D$9999,VLOOKUP(Veda!$B154,'Globiom data'!$V$21:$X$29,2,FALSE),'Globiom data'!$E$2:$E$9999,Veda!$C$1),0)*1000</f>
        <v>13.333022574319195</v>
      </c>
      <c r="N154" s="2">
        <f>MAX(SUMIFS('Globiom data'!M$2:M$9999,'Globiom data'!$A$2:$A$9999,Veda!$D154,'Globiom data'!$D$2:$D$9999,VLOOKUP(Veda!$B154,'Globiom data'!$V$21:$X$29,2,FALSE),'Globiom data'!$E$2:$E$9999,Veda!$C$1),0)*1000</f>
        <v>24.558177262142841</v>
      </c>
      <c r="O154" s="2">
        <f>MAX(SUMIFS('Globiom data'!N$2:N$9999,'Globiom data'!$A$2:$A$9999,Veda!$D154,'Globiom data'!$D$2:$D$9999,VLOOKUP(Veda!$B154,'Globiom data'!$V$21:$X$29,2,FALSE),'Globiom data'!$E$2:$E$9999,Veda!$C$1),0)*1000</f>
        <v>50.379995729876292</v>
      </c>
      <c r="P154" s="2">
        <f>MAX(SUMIFS('Globiom data'!O$2:O$9999,'Globiom data'!$A$2:$A$9999,Veda!$D154,'Globiom data'!$D$2:$D$9999,VLOOKUP(Veda!$B154,'Globiom data'!$V$21:$X$29,2,FALSE),'Globiom data'!$E$2:$E$9999,Veda!$C$1),0)*1000</f>
        <v>58.284765685983409</v>
      </c>
      <c r="Q154" s="2">
        <f>MAX(SUMIFS('Globiom data'!P$2:P$9999,'Globiom data'!$A$2:$A$9999,Veda!$D154,'Globiom data'!$D$2:$D$9999,VLOOKUP(Veda!$B154,'Globiom data'!$V$21:$X$29,2,FALSE),'Globiom data'!$E$2:$E$9999,Veda!$C$1),0)*1000</f>
        <v>79.160587675805672</v>
      </c>
      <c r="R154">
        <v>3</v>
      </c>
    </row>
    <row r="155" spans="1:18" x14ac:dyDescent="0.45">
      <c r="A155" s="8">
        <f t="shared" si="9"/>
        <v>22</v>
      </c>
      <c r="B155" s="8">
        <f t="shared" si="10"/>
        <v>3</v>
      </c>
      <c r="D155" t="str">
        <f>VLOOKUP(A155,'Globiom data'!$S$21:$T$51,2,FALSE)</f>
        <v>Mexico</v>
      </c>
      <c r="E155" t="str">
        <f>VLOOKUP(B155,'Globiom data'!$V$21:$X$30,3,FALSE)</f>
        <v>MinBIOBSL-03</v>
      </c>
      <c r="F155" t="s">
        <v>53</v>
      </c>
      <c r="G155" s="2">
        <f>MAX(SUMIFS('Globiom data'!F$2:F$9999,'Globiom data'!$A$2:$A$9999,Veda!$D155,'Globiom data'!$D$2:$D$9999,VLOOKUP(Veda!$B155,'Globiom data'!$V$21:$X$29,2,FALSE),'Globiom data'!$E$2:$E$9999,Veda!$C$1),0)*1000</f>
        <v>0</v>
      </c>
      <c r="H155" s="2">
        <f>MAX(SUMIFS('Globiom data'!G$2:G$9999,'Globiom data'!$A$2:$A$9999,Veda!$D155,'Globiom data'!$D$2:$D$9999,VLOOKUP(Veda!$B155,'Globiom data'!$V$21:$X$29,2,FALSE),'Globiom data'!$E$2:$E$9999,Veda!$C$1),0)*1000</f>
        <v>0</v>
      </c>
      <c r="I155" s="2">
        <f>MAX(SUMIFS('Globiom data'!H$2:H$9999,'Globiom data'!$A$2:$A$9999,Veda!$D155,'Globiom data'!$D$2:$D$9999,VLOOKUP(Veda!$B155,'Globiom data'!$V$21:$X$29,2,FALSE),'Globiom data'!$E$2:$E$9999,Veda!$C$1),0)*1000</f>
        <v>0</v>
      </c>
      <c r="J155" s="2">
        <f>MAX(SUMIFS('Globiom data'!I$2:I$9999,'Globiom data'!$A$2:$A$9999,Veda!$D155,'Globiom data'!$D$2:$D$9999,VLOOKUP(Veda!$B155,'Globiom data'!$V$21:$X$29,2,FALSE),'Globiom data'!$E$2:$E$9999,Veda!$C$1),0)*1000</f>
        <v>0.1620786034164764</v>
      </c>
      <c r="K155" s="2">
        <f>MAX(SUMIFS('Globiom data'!J$2:J$9999,'Globiom data'!$A$2:$A$9999,Veda!$D155,'Globiom data'!$D$2:$D$9999,VLOOKUP(Veda!$B155,'Globiom data'!$V$21:$X$29,2,FALSE),'Globiom data'!$E$2:$E$9999,Veda!$C$1),0)*1000</f>
        <v>7.0412872620232978</v>
      </c>
      <c r="L155" s="2">
        <f>MAX(SUMIFS('Globiom data'!K$2:K$9999,'Globiom data'!$A$2:$A$9999,Veda!$D155,'Globiom data'!$D$2:$D$9999,VLOOKUP(Veda!$B155,'Globiom data'!$V$21:$X$29,2,FALSE),'Globiom data'!$E$2:$E$9999,Veda!$C$1),0)*1000</f>
        <v>7.6226298494877822</v>
      </c>
      <c r="M155" s="2">
        <f>MAX(SUMIFS('Globiom data'!L$2:L$9999,'Globiom data'!$A$2:$A$9999,Veda!$D155,'Globiom data'!$D$2:$D$9999,VLOOKUP(Veda!$B155,'Globiom data'!$V$21:$X$29,2,FALSE),'Globiom data'!$E$2:$E$9999,Veda!$C$1),0)*1000</f>
        <v>5.7028881418568211</v>
      </c>
      <c r="N155" s="2">
        <f>MAX(SUMIFS('Globiom data'!M$2:M$9999,'Globiom data'!$A$2:$A$9999,Veda!$D155,'Globiom data'!$D$2:$D$9999,VLOOKUP(Veda!$B155,'Globiom data'!$V$21:$X$29,2,FALSE),'Globiom data'!$E$2:$E$9999,Veda!$C$1),0)*1000</f>
        <v>48.741000455676556</v>
      </c>
      <c r="O155" s="2">
        <f>MAX(SUMIFS('Globiom data'!N$2:N$9999,'Globiom data'!$A$2:$A$9999,Veda!$D155,'Globiom data'!$D$2:$D$9999,VLOOKUP(Veda!$B155,'Globiom data'!$V$21:$X$29,2,FALSE),'Globiom data'!$E$2:$E$9999,Veda!$C$1),0)*1000</f>
        <v>81.278667559566458</v>
      </c>
      <c r="P155" s="2">
        <f>MAX(SUMIFS('Globiom data'!O$2:O$9999,'Globiom data'!$A$2:$A$9999,Veda!$D155,'Globiom data'!$D$2:$D$9999,VLOOKUP(Veda!$B155,'Globiom data'!$V$21:$X$29,2,FALSE),'Globiom data'!$E$2:$E$9999,Veda!$C$1),0)*1000</f>
        <v>141.82284602786913</v>
      </c>
      <c r="Q155" s="2">
        <f>MAX(SUMIFS('Globiom data'!P$2:P$9999,'Globiom data'!$A$2:$A$9999,Veda!$D155,'Globiom data'!$D$2:$D$9999,VLOOKUP(Veda!$B155,'Globiom data'!$V$21:$X$29,2,FALSE),'Globiom data'!$E$2:$E$9999,Veda!$C$1),0)*1000</f>
        <v>250.21489944193669</v>
      </c>
      <c r="R155">
        <v>3</v>
      </c>
    </row>
    <row r="156" spans="1:18" x14ac:dyDescent="0.45">
      <c r="A156" s="8">
        <f t="shared" si="9"/>
        <v>22</v>
      </c>
      <c r="B156" s="8">
        <f t="shared" si="10"/>
        <v>4</v>
      </c>
      <c r="D156" t="str">
        <f>VLOOKUP(A156,'Globiom data'!$S$21:$T$51,2,FALSE)</f>
        <v>Mexico</v>
      </c>
      <c r="E156" t="str">
        <f>VLOOKUP(B156,'Globiom data'!$V$21:$X$30,3,FALSE)</f>
        <v>MinBIOBSL-04</v>
      </c>
      <c r="F156" t="s">
        <v>53</v>
      </c>
      <c r="G156" s="2">
        <f>MAX(SUMIFS('Globiom data'!F$2:F$9999,'Globiom data'!$A$2:$A$9999,Veda!$D156,'Globiom data'!$D$2:$D$9999,VLOOKUP(Veda!$B156,'Globiom data'!$V$21:$X$29,2,FALSE),'Globiom data'!$E$2:$E$9999,Veda!$C$1),0)*1000</f>
        <v>0</v>
      </c>
      <c r="H156" s="2">
        <f>MAX(SUMIFS('Globiom data'!G$2:G$9999,'Globiom data'!$A$2:$A$9999,Veda!$D156,'Globiom data'!$D$2:$D$9999,VLOOKUP(Veda!$B156,'Globiom data'!$V$21:$X$29,2,FALSE),'Globiom data'!$E$2:$E$9999,Veda!$C$1),0)*1000</f>
        <v>0</v>
      </c>
      <c r="I156" s="2">
        <f>MAX(SUMIFS('Globiom data'!H$2:H$9999,'Globiom data'!$A$2:$A$9999,Veda!$D156,'Globiom data'!$D$2:$D$9999,VLOOKUP(Veda!$B156,'Globiom data'!$V$21:$X$29,2,FALSE),'Globiom data'!$E$2:$E$9999,Veda!$C$1),0)*1000</f>
        <v>0</v>
      </c>
      <c r="J156" s="2">
        <f>MAX(SUMIFS('Globiom data'!I$2:I$9999,'Globiom data'!$A$2:$A$9999,Veda!$D156,'Globiom data'!$D$2:$D$9999,VLOOKUP(Veda!$B156,'Globiom data'!$V$21:$X$29,2,FALSE),'Globiom data'!$E$2:$E$9999,Veda!$C$1),0)*1000</f>
        <v>1.4517520407746038</v>
      </c>
      <c r="K156" s="2">
        <f>MAX(SUMIFS('Globiom data'!J$2:J$9999,'Globiom data'!$A$2:$A$9999,Veda!$D156,'Globiom data'!$D$2:$D$9999,VLOOKUP(Veda!$B156,'Globiom data'!$V$21:$X$29,2,FALSE),'Globiom data'!$E$2:$E$9999,Veda!$C$1),0)*1000</f>
        <v>1.8440718213615408</v>
      </c>
      <c r="L156" s="2">
        <f>MAX(SUMIFS('Globiom data'!K$2:K$9999,'Globiom data'!$A$2:$A$9999,Veda!$D156,'Globiom data'!$D$2:$D$9999,VLOOKUP(Veda!$B156,'Globiom data'!$V$21:$X$29,2,FALSE),'Globiom data'!$E$2:$E$9999,Veda!$C$1),0)*1000</f>
        <v>43.466430136570736</v>
      </c>
      <c r="M156" s="2">
        <f>MAX(SUMIFS('Globiom data'!L$2:L$9999,'Globiom data'!$A$2:$A$9999,Veda!$D156,'Globiom data'!$D$2:$D$9999,VLOOKUP(Veda!$B156,'Globiom data'!$V$21:$X$29,2,FALSE),'Globiom data'!$E$2:$E$9999,Veda!$C$1),0)*1000</f>
        <v>73.579850456528902</v>
      </c>
      <c r="N156" s="2">
        <f>MAX(SUMIFS('Globiom data'!M$2:M$9999,'Globiom data'!$A$2:$A$9999,Veda!$D156,'Globiom data'!$D$2:$D$9999,VLOOKUP(Veda!$B156,'Globiom data'!$V$21:$X$29,2,FALSE),'Globiom data'!$E$2:$E$9999,Veda!$C$1),0)*1000</f>
        <v>210.61021635382195</v>
      </c>
      <c r="O156" s="2">
        <f>MAX(SUMIFS('Globiom data'!N$2:N$9999,'Globiom data'!$A$2:$A$9999,Veda!$D156,'Globiom data'!$D$2:$D$9999,VLOOKUP(Veda!$B156,'Globiom data'!$V$21:$X$29,2,FALSE),'Globiom data'!$E$2:$E$9999,Veda!$C$1),0)*1000</f>
        <v>319.74453459740107</v>
      </c>
      <c r="P156" s="2">
        <f>MAX(SUMIFS('Globiom data'!O$2:O$9999,'Globiom data'!$A$2:$A$9999,Veda!$D156,'Globiom data'!$D$2:$D$9999,VLOOKUP(Veda!$B156,'Globiom data'!$V$21:$X$29,2,FALSE),'Globiom data'!$E$2:$E$9999,Veda!$C$1),0)*1000</f>
        <v>473.37162355342065</v>
      </c>
      <c r="Q156" s="2">
        <f>MAX(SUMIFS('Globiom data'!P$2:P$9999,'Globiom data'!$A$2:$A$9999,Veda!$D156,'Globiom data'!$D$2:$D$9999,VLOOKUP(Veda!$B156,'Globiom data'!$V$21:$X$29,2,FALSE),'Globiom data'!$E$2:$E$9999,Veda!$C$1),0)*1000</f>
        <v>675.72080093245052</v>
      </c>
      <c r="R156">
        <v>3</v>
      </c>
    </row>
    <row r="157" spans="1:18" x14ac:dyDescent="0.45">
      <c r="A157" s="8">
        <f t="shared" si="9"/>
        <v>22</v>
      </c>
      <c r="B157" s="8">
        <f t="shared" si="10"/>
        <v>5</v>
      </c>
      <c r="D157" t="str">
        <f>VLOOKUP(A157,'Globiom data'!$S$21:$T$51,2,FALSE)</f>
        <v>Mexico</v>
      </c>
      <c r="E157" t="str">
        <f>VLOOKUP(B157,'Globiom data'!$V$21:$X$30,3,FALSE)</f>
        <v>MinBIOBSL-05</v>
      </c>
      <c r="F157" t="s">
        <v>53</v>
      </c>
      <c r="G157" s="2">
        <f>MAX(SUMIFS('Globiom data'!F$2:F$9999,'Globiom data'!$A$2:$A$9999,Veda!$D157,'Globiom data'!$D$2:$D$9999,VLOOKUP(Veda!$B157,'Globiom data'!$V$21:$X$29,2,FALSE),'Globiom data'!$E$2:$E$9999,Veda!$C$1),0)*1000</f>
        <v>0</v>
      </c>
      <c r="H157" s="2">
        <f>MAX(SUMIFS('Globiom data'!G$2:G$9999,'Globiom data'!$A$2:$A$9999,Veda!$D157,'Globiom data'!$D$2:$D$9999,VLOOKUP(Veda!$B157,'Globiom data'!$V$21:$X$29,2,FALSE),'Globiom data'!$E$2:$E$9999,Veda!$C$1),0)*1000</f>
        <v>2.1029851163105335</v>
      </c>
      <c r="I157" s="2">
        <f>MAX(SUMIFS('Globiom data'!H$2:H$9999,'Globiom data'!$A$2:$A$9999,Veda!$D157,'Globiom data'!$D$2:$D$9999,VLOOKUP(Veda!$B157,'Globiom data'!$V$21:$X$29,2,FALSE),'Globiom data'!$E$2:$E$9999,Veda!$C$1),0)*1000</f>
        <v>2.1029851163105335</v>
      </c>
      <c r="J157" s="2">
        <f>MAX(SUMIFS('Globiom data'!I$2:I$9999,'Globiom data'!$A$2:$A$9999,Veda!$D157,'Globiom data'!$D$2:$D$9999,VLOOKUP(Veda!$B157,'Globiom data'!$V$21:$X$29,2,FALSE),'Globiom data'!$E$2:$E$9999,Veda!$C$1),0)*1000</f>
        <v>4.5779376646033167</v>
      </c>
      <c r="K157" s="2">
        <f>MAX(SUMIFS('Globiom data'!J$2:J$9999,'Globiom data'!$A$2:$A$9999,Veda!$D157,'Globiom data'!$D$2:$D$9999,VLOOKUP(Veda!$B157,'Globiom data'!$V$21:$X$29,2,FALSE),'Globiom data'!$E$2:$E$9999,Veda!$C$1),0)*1000</f>
        <v>46.703976053861787</v>
      </c>
      <c r="L157" s="2">
        <f>MAX(SUMIFS('Globiom data'!K$2:K$9999,'Globiom data'!$A$2:$A$9999,Veda!$D157,'Globiom data'!$D$2:$D$9999,VLOOKUP(Veda!$B157,'Globiom data'!$V$21:$X$29,2,FALSE),'Globiom data'!$E$2:$E$9999,Veda!$C$1),0)*1000</f>
        <v>180.26274481794775</v>
      </c>
      <c r="M157" s="2">
        <f>MAX(SUMIFS('Globiom data'!L$2:L$9999,'Globiom data'!$A$2:$A$9999,Veda!$D157,'Globiom data'!$D$2:$D$9999,VLOOKUP(Veda!$B157,'Globiom data'!$V$21:$X$29,2,FALSE),'Globiom data'!$E$2:$E$9999,Veda!$C$1),0)*1000</f>
        <v>411.02370920819942</v>
      </c>
      <c r="N157" s="2">
        <f>MAX(SUMIFS('Globiom data'!M$2:M$9999,'Globiom data'!$A$2:$A$9999,Veda!$D157,'Globiom data'!$D$2:$D$9999,VLOOKUP(Veda!$B157,'Globiom data'!$V$21:$X$29,2,FALSE),'Globiom data'!$E$2:$E$9999,Veda!$C$1),0)*1000</f>
        <v>621.17814859837017</v>
      </c>
      <c r="O157" s="2">
        <f>MAX(SUMIFS('Globiom data'!N$2:N$9999,'Globiom data'!$A$2:$A$9999,Veda!$D157,'Globiom data'!$D$2:$D$9999,VLOOKUP(Veda!$B157,'Globiom data'!$V$21:$X$29,2,FALSE),'Globiom data'!$E$2:$E$9999,Veda!$C$1),0)*1000</f>
        <v>971.75432515406726</v>
      </c>
      <c r="P157" s="2">
        <f>MAX(SUMIFS('Globiom data'!O$2:O$9999,'Globiom data'!$A$2:$A$9999,Veda!$D157,'Globiom data'!$D$2:$D$9999,VLOOKUP(Veda!$B157,'Globiom data'!$V$21:$X$29,2,FALSE),'Globiom data'!$E$2:$E$9999,Veda!$C$1),0)*1000</f>
        <v>1213.2969015782987</v>
      </c>
      <c r="Q157" s="2">
        <f>MAX(SUMIFS('Globiom data'!P$2:P$9999,'Globiom data'!$A$2:$A$9999,Veda!$D157,'Globiom data'!$D$2:$D$9999,VLOOKUP(Veda!$B157,'Globiom data'!$V$21:$X$29,2,FALSE),'Globiom data'!$E$2:$E$9999,Veda!$C$1),0)*1000</f>
        <v>1324.5971895704158</v>
      </c>
      <c r="R157">
        <v>3</v>
      </c>
    </row>
    <row r="158" spans="1:18" x14ac:dyDescent="0.45">
      <c r="A158" s="8">
        <f t="shared" si="9"/>
        <v>22</v>
      </c>
      <c r="B158" s="8">
        <f t="shared" si="10"/>
        <v>6</v>
      </c>
      <c r="D158" t="str">
        <f>VLOOKUP(A158,'Globiom data'!$S$21:$T$51,2,FALSE)</f>
        <v>Mexico</v>
      </c>
      <c r="E158" t="str">
        <f>VLOOKUP(B158,'Globiom data'!$V$21:$X$30,3,FALSE)</f>
        <v>MinBIOBSL-06</v>
      </c>
      <c r="F158" t="s">
        <v>53</v>
      </c>
      <c r="G158" s="2">
        <f>MAX(SUMIFS('Globiom data'!F$2:F$9999,'Globiom data'!$A$2:$A$9999,Veda!$D158,'Globiom data'!$D$2:$D$9999,VLOOKUP(Veda!$B158,'Globiom data'!$V$21:$X$29,2,FALSE),'Globiom data'!$E$2:$E$9999,Veda!$C$1),0)*1000</f>
        <v>0</v>
      </c>
      <c r="H158" s="2">
        <f>MAX(SUMIFS('Globiom data'!G$2:G$9999,'Globiom data'!$A$2:$A$9999,Veda!$D158,'Globiom data'!$D$2:$D$9999,VLOOKUP(Veda!$B158,'Globiom data'!$V$21:$X$29,2,FALSE),'Globiom data'!$E$2:$E$9999,Veda!$C$1),0)*1000</f>
        <v>3.7667238221540029</v>
      </c>
      <c r="I158" s="2">
        <f>MAX(SUMIFS('Globiom data'!H$2:H$9999,'Globiom data'!$A$2:$A$9999,Veda!$D158,'Globiom data'!$D$2:$D$9999,VLOOKUP(Veda!$B158,'Globiom data'!$V$21:$X$29,2,FALSE),'Globiom data'!$E$2:$E$9999,Veda!$C$1),0)*1000</f>
        <v>3.7667238221540029</v>
      </c>
      <c r="J158" s="2">
        <f>MAX(SUMIFS('Globiom data'!I$2:I$9999,'Globiom data'!$A$2:$A$9999,Veda!$D158,'Globiom data'!$D$2:$D$9999,VLOOKUP(Veda!$B158,'Globiom data'!$V$21:$X$29,2,FALSE),'Globiom data'!$E$2:$E$9999,Veda!$C$1),0)*1000</f>
        <v>222.37863781599785</v>
      </c>
      <c r="K158" s="2">
        <f>MAX(SUMIFS('Globiom data'!J$2:J$9999,'Globiom data'!$A$2:$A$9999,Veda!$D158,'Globiom data'!$D$2:$D$9999,VLOOKUP(Veda!$B158,'Globiom data'!$V$21:$X$29,2,FALSE),'Globiom data'!$E$2:$E$9999,Veda!$C$1),0)*1000</f>
        <v>698.72141130182627</v>
      </c>
      <c r="L158" s="2">
        <f>MAX(SUMIFS('Globiom data'!K$2:K$9999,'Globiom data'!$A$2:$A$9999,Veda!$D158,'Globiom data'!$D$2:$D$9999,VLOOKUP(Veda!$B158,'Globiom data'!$V$21:$X$29,2,FALSE),'Globiom data'!$E$2:$E$9999,Veda!$C$1),0)*1000</f>
        <v>1242.9689669576442</v>
      </c>
      <c r="M158" s="2">
        <f>MAX(SUMIFS('Globiom data'!L$2:L$9999,'Globiom data'!$A$2:$A$9999,Veda!$D158,'Globiom data'!$D$2:$D$9999,VLOOKUP(Veda!$B158,'Globiom data'!$V$21:$X$29,2,FALSE),'Globiom data'!$E$2:$E$9999,Veda!$C$1),0)*1000</f>
        <v>1624.5919431744242</v>
      </c>
      <c r="N158" s="2">
        <f>MAX(SUMIFS('Globiom data'!M$2:M$9999,'Globiom data'!$A$2:$A$9999,Veda!$D158,'Globiom data'!$D$2:$D$9999,VLOOKUP(Veda!$B158,'Globiom data'!$V$21:$X$29,2,FALSE),'Globiom data'!$E$2:$E$9999,Veda!$C$1),0)*1000</f>
        <v>1754.6085164965839</v>
      </c>
      <c r="O158" s="2">
        <f>MAX(SUMIFS('Globiom data'!N$2:N$9999,'Globiom data'!$A$2:$A$9999,Veda!$D158,'Globiom data'!$D$2:$D$9999,VLOOKUP(Veda!$B158,'Globiom data'!$V$21:$X$29,2,FALSE),'Globiom data'!$E$2:$E$9999,Veda!$C$1),0)*1000</f>
        <v>1607.1018170704922</v>
      </c>
      <c r="P158" s="2">
        <f>MAX(SUMIFS('Globiom data'!O$2:O$9999,'Globiom data'!$A$2:$A$9999,Veda!$D158,'Globiom data'!$D$2:$D$9999,VLOOKUP(Veda!$B158,'Globiom data'!$V$21:$X$29,2,FALSE),'Globiom data'!$E$2:$E$9999,Veda!$C$1),0)*1000</f>
        <v>1374.9811304257089</v>
      </c>
      <c r="Q158" s="2">
        <f>MAX(SUMIFS('Globiom data'!P$2:P$9999,'Globiom data'!$A$2:$A$9999,Veda!$D158,'Globiom data'!$D$2:$D$9999,VLOOKUP(Veda!$B158,'Globiom data'!$V$21:$X$29,2,FALSE),'Globiom data'!$E$2:$E$9999,Veda!$C$1),0)*1000</f>
        <v>1107.3531105284987</v>
      </c>
      <c r="R158">
        <v>3</v>
      </c>
    </row>
    <row r="159" spans="1:18" x14ac:dyDescent="0.45">
      <c r="A159" s="8">
        <f t="shared" si="9"/>
        <v>22</v>
      </c>
      <c r="B159" s="8">
        <f t="shared" si="10"/>
        <v>7</v>
      </c>
      <c r="D159" t="str">
        <f>VLOOKUP(A159,'Globiom data'!$S$21:$T$51,2,FALSE)</f>
        <v>Mexico</v>
      </c>
      <c r="E159" t="str">
        <f>VLOOKUP(B159,'Globiom data'!$V$21:$X$30,3,FALSE)</f>
        <v>MinBIOBSL-07</v>
      </c>
      <c r="F159" t="s">
        <v>53</v>
      </c>
      <c r="G159" s="2">
        <f>MAX(SUMIFS('Globiom data'!F$2:F$9999,'Globiom data'!$A$2:$A$9999,Veda!$D159,'Globiom data'!$D$2:$D$9999,VLOOKUP(Veda!$B159,'Globiom data'!$V$21:$X$29,2,FALSE),'Globiom data'!$E$2:$E$9999,Veda!$C$1),0)*1000</f>
        <v>0</v>
      </c>
      <c r="H159" s="2">
        <f>MAX(SUMIFS('Globiom data'!G$2:G$9999,'Globiom data'!$A$2:$A$9999,Veda!$D159,'Globiom data'!$D$2:$D$9999,VLOOKUP(Veda!$B159,'Globiom data'!$V$21:$X$29,2,FALSE),'Globiom data'!$E$2:$E$9999,Veda!$C$1),0)*1000</f>
        <v>44.245243115446769</v>
      </c>
      <c r="I159" s="2">
        <f>MAX(SUMIFS('Globiom data'!H$2:H$9999,'Globiom data'!$A$2:$A$9999,Veda!$D159,'Globiom data'!$D$2:$D$9999,VLOOKUP(Veda!$B159,'Globiom data'!$V$21:$X$29,2,FALSE),'Globiom data'!$E$2:$E$9999,Veda!$C$1),0)*1000</f>
        <v>44.245243115446769</v>
      </c>
      <c r="J159" s="2">
        <f>MAX(SUMIFS('Globiom data'!I$2:I$9999,'Globiom data'!$A$2:$A$9999,Veda!$D159,'Globiom data'!$D$2:$D$9999,VLOOKUP(Veda!$B159,'Globiom data'!$V$21:$X$29,2,FALSE),'Globiom data'!$E$2:$E$9999,Veda!$C$1),0)*1000</f>
        <v>767.39589277045729</v>
      </c>
      <c r="K159" s="2">
        <f>MAX(SUMIFS('Globiom data'!J$2:J$9999,'Globiom data'!$A$2:$A$9999,Veda!$D159,'Globiom data'!$D$2:$D$9999,VLOOKUP(Veda!$B159,'Globiom data'!$V$21:$X$29,2,FALSE),'Globiom data'!$E$2:$E$9999,Veda!$C$1),0)*1000</f>
        <v>1161.0272758728131</v>
      </c>
      <c r="L159" s="2">
        <f>MAX(SUMIFS('Globiom data'!K$2:K$9999,'Globiom data'!$A$2:$A$9999,Veda!$D159,'Globiom data'!$D$2:$D$9999,VLOOKUP(Veda!$B159,'Globiom data'!$V$21:$X$29,2,FALSE),'Globiom data'!$E$2:$E$9999,Veda!$C$1),0)*1000</f>
        <v>1125.2823018781087</v>
      </c>
      <c r="M159" s="2">
        <f>MAX(SUMIFS('Globiom data'!L$2:L$9999,'Globiom data'!$A$2:$A$9999,Veda!$D159,'Globiom data'!$D$2:$D$9999,VLOOKUP(Veda!$B159,'Globiom data'!$V$21:$X$29,2,FALSE),'Globiom data'!$E$2:$E$9999,Veda!$C$1),0)*1000</f>
        <v>888.79649355091374</v>
      </c>
      <c r="N159" s="2">
        <f>MAX(SUMIFS('Globiom data'!M$2:M$9999,'Globiom data'!$A$2:$A$9999,Veda!$D159,'Globiom data'!$D$2:$D$9999,VLOOKUP(Veda!$B159,'Globiom data'!$V$21:$X$29,2,FALSE),'Globiom data'!$E$2:$E$9999,Veda!$C$1),0)*1000</f>
        <v>627.0627871357002</v>
      </c>
      <c r="O159" s="2">
        <f>MAX(SUMIFS('Globiom data'!N$2:N$9999,'Globiom data'!$A$2:$A$9999,Veda!$D159,'Globiom data'!$D$2:$D$9999,VLOOKUP(Veda!$B159,'Globiom data'!$V$21:$X$29,2,FALSE),'Globiom data'!$E$2:$E$9999,Veda!$C$1),0)*1000</f>
        <v>464.46431256567666</v>
      </c>
      <c r="P159" s="2">
        <f>MAX(SUMIFS('Globiom data'!O$2:O$9999,'Globiom data'!$A$2:$A$9999,Veda!$D159,'Globiom data'!$D$2:$D$9999,VLOOKUP(Veda!$B159,'Globiom data'!$V$21:$X$29,2,FALSE),'Globiom data'!$E$2:$E$9999,Veda!$C$1),0)*1000</f>
        <v>398.03444988661676</v>
      </c>
      <c r="Q159" s="2">
        <f>MAX(SUMIFS('Globiom data'!P$2:P$9999,'Globiom data'!$A$2:$A$9999,Veda!$D159,'Globiom data'!$D$2:$D$9999,VLOOKUP(Veda!$B159,'Globiom data'!$V$21:$X$29,2,FALSE),'Globiom data'!$E$2:$E$9999,Veda!$C$1),0)*1000</f>
        <v>375.85791910221445</v>
      </c>
      <c r="R159">
        <v>3</v>
      </c>
    </row>
    <row r="160" spans="1:18" x14ac:dyDescent="0.45">
      <c r="A160" s="8">
        <f t="shared" si="9"/>
        <v>23</v>
      </c>
      <c r="B160" s="8">
        <f t="shared" si="10"/>
        <v>1</v>
      </c>
      <c r="D160" t="str">
        <f>VLOOKUP(A160,'Globiom data'!$S$21:$T$51,2,FALSE)</f>
        <v>MidEast_other</v>
      </c>
      <c r="E160" t="str">
        <f>VLOOKUP(B160,'Globiom data'!$V$21:$X$30,3,FALSE)</f>
        <v>MinBIOBSL-01</v>
      </c>
      <c r="F160" t="s">
        <v>53</v>
      </c>
      <c r="G160" s="2">
        <f>MAX(SUMIFS('Globiom data'!F$2:F$9999,'Globiom data'!$A$2:$A$9999,Veda!$D160,'Globiom data'!$D$2:$D$9999,VLOOKUP(Veda!$B160,'Globiom data'!$V$21:$X$29,2,FALSE),'Globiom data'!$E$2:$E$9999,Veda!$C$1),0)*1000</f>
        <v>15.122852897628336</v>
      </c>
      <c r="H160" s="2">
        <f>MAX(SUMIFS('Globiom data'!G$2:G$9999,'Globiom data'!$A$2:$A$9999,Veda!$D160,'Globiom data'!$D$2:$D$9999,VLOOKUP(Veda!$B160,'Globiom data'!$V$21:$X$29,2,FALSE),'Globiom data'!$E$2:$E$9999,Veda!$C$1),0)*1000</f>
        <v>16.379279145142089</v>
      </c>
      <c r="I160" s="2">
        <f>MAX(SUMIFS('Globiom data'!H$2:H$9999,'Globiom data'!$A$2:$A$9999,Veda!$D160,'Globiom data'!$D$2:$D$9999,VLOOKUP(Veda!$B160,'Globiom data'!$V$21:$X$29,2,FALSE),'Globiom data'!$E$2:$E$9999,Veda!$C$1),0)*1000</f>
        <v>16.379279145142089</v>
      </c>
      <c r="J160" s="2">
        <f>MAX(SUMIFS('Globiom data'!I$2:I$9999,'Globiom data'!$A$2:$A$9999,Veda!$D160,'Globiom data'!$D$2:$D$9999,VLOOKUP(Veda!$B160,'Globiom data'!$V$21:$X$29,2,FALSE),'Globiom data'!$E$2:$E$9999,Veda!$C$1),0)*1000</f>
        <v>11.880381151893703</v>
      </c>
      <c r="K160" s="2">
        <f>MAX(SUMIFS('Globiom data'!J$2:J$9999,'Globiom data'!$A$2:$A$9999,Veda!$D160,'Globiom data'!$D$2:$D$9999,VLOOKUP(Veda!$B160,'Globiom data'!$V$21:$X$29,2,FALSE),'Globiom data'!$E$2:$E$9999,Veda!$C$1),0)*1000</f>
        <v>10.441763634152643</v>
      </c>
      <c r="L160" s="2">
        <f>MAX(SUMIFS('Globiom data'!K$2:K$9999,'Globiom data'!$A$2:$A$9999,Veda!$D160,'Globiom data'!$D$2:$D$9999,VLOOKUP(Veda!$B160,'Globiom data'!$V$21:$X$29,2,FALSE),'Globiom data'!$E$2:$E$9999,Veda!$C$1),0)*1000</f>
        <v>10.63221829442903</v>
      </c>
      <c r="M160" s="2">
        <f>MAX(SUMIFS('Globiom data'!L$2:L$9999,'Globiom data'!$A$2:$A$9999,Veda!$D160,'Globiom data'!$D$2:$D$9999,VLOOKUP(Veda!$B160,'Globiom data'!$V$21:$X$29,2,FALSE),'Globiom data'!$E$2:$E$9999,Veda!$C$1),0)*1000</f>
        <v>10.841001120103501</v>
      </c>
      <c r="N160" s="2">
        <f>MAX(SUMIFS('Globiom data'!M$2:M$9999,'Globiom data'!$A$2:$A$9999,Veda!$D160,'Globiom data'!$D$2:$D$9999,VLOOKUP(Veda!$B160,'Globiom data'!$V$21:$X$29,2,FALSE),'Globiom data'!$E$2:$E$9999,Veda!$C$1),0)*1000</f>
        <v>11.024978708990464</v>
      </c>
      <c r="O160" s="2">
        <f>MAX(SUMIFS('Globiom data'!N$2:N$9999,'Globiom data'!$A$2:$A$9999,Veda!$D160,'Globiom data'!$D$2:$D$9999,VLOOKUP(Veda!$B160,'Globiom data'!$V$21:$X$29,2,FALSE),'Globiom data'!$E$2:$E$9999,Veda!$C$1),0)*1000</f>
        <v>11.187521474636075</v>
      </c>
      <c r="P160" s="2">
        <f>MAX(SUMIFS('Globiom data'!O$2:O$9999,'Globiom data'!$A$2:$A$9999,Veda!$D160,'Globiom data'!$D$2:$D$9999,VLOOKUP(Veda!$B160,'Globiom data'!$V$21:$X$29,2,FALSE),'Globiom data'!$E$2:$E$9999,Veda!$C$1),0)*1000</f>
        <v>11.341347680970602</v>
      </c>
      <c r="Q160" s="2">
        <f>MAX(SUMIFS('Globiom data'!P$2:P$9999,'Globiom data'!$A$2:$A$9999,Veda!$D160,'Globiom data'!$D$2:$D$9999,VLOOKUP(Veda!$B160,'Globiom data'!$V$21:$X$29,2,FALSE),'Globiom data'!$E$2:$E$9999,Veda!$C$1),0)*1000</f>
        <v>11.45694109509961</v>
      </c>
      <c r="R160">
        <v>3</v>
      </c>
    </row>
    <row r="161" spans="1:18" x14ac:dyDescent="0.45">
      <c r="A161" s="8">
        <f t="shared" si="9"/>
        <v>23</v>
      </c>
      <c r="B161" s="8">
        <f t="shared" si="10"/>
        <v>2</v>
      </c>
      <c r="D161" t="str">
        <f>VLOOKUP(A161,'Globiom data'!$S$21:$T$51,2,FALSE)</f>
        <v>MidEast_other</v>
      </c>
      <c r="E161" t="str">
        <f>VLOOKUP(B161,'Globiom data'!$V$21:$X$30,3,FALSE)</f>
        <v>MinBIOBSL-02</v>
      </c>
      <c r="F161" t="s">
        <v>53</v>
      </c>
      <c r="G161" s="2">
        <f>MAX(SUMIFS('Globiom data'!F$2:F$9999,'Globiom data'!$A$2:$A$9999,Veda!$D161,'Globiom data'!$D$2:$D$9999,VLOOKUP(Veda!$B161,'Globiom data'!$V$21:$X$29,2,FALSE),'Globiom data'!$E$2:$E$9999,Veda!$C$1),0)*1000</f>
        <v>0</v>
      </c>
      <c r="H161" s="2">
        <f>MAX(SUMIFS('Globiom data'!G$2:G$9999,'Globiom data'!$A$2:$A$9999,Veda!$D161,'Globiom data'!$D$2:$D$9999,VLOOKUP(Veda!$B161,'Globiom data'!$V$21:$X$29,2,FALSE),'Globiom data'!$E$2:$E$9999,Veda!$C$1),0)*1000</f>
        <v>0</v>
      </c>
      <c r="I161" s="2">
        <f>MAX(SUMIFS('Globiom data'!H$2:H$9999,'Globiom data'!$A$2:$A$9999,Veda!$D161,'Globiom data'!$D$2:$D$9999,VLOOKUP(Veda!$B161,'Globiom data'!$V$21:$X$29,2,FALSE),'Globiom data'!$E$2:$E$9999,Veda!$C$1),0)*1000</f>
        <v>0</v>
      </c>
      <c r="J161" s="2">
        <f>MAX(SUMIFS('Globiom data'!I$2:I$9999,'Globiom data'!$A$2:$A$9999,Veda!$D161,'Globiom data'!$D$2:$D$9999,VLOOKUP(Veda!$B161,'Globiom data'!$V$21:$X$29,2,FALSE),'Globiom data'!$E$2:$E$9999,Veda!$C$1),0)*1000</f>
        <v>0</v>
      </c>
      <c r="K161" s="2">
        <f>MAX(SUMIFS('Globiom data'!J$2:J$9999,'Globiom data'!$A$2:$A$9999,Veda!$D161,'Globiom data'!$D$2:$D$9999,VLOOKUP(Veda!$B161,'Globiom data'!$V$21:$X$29,2,FALSE),'Globiom data'!$E$2:$E$9999,Veda!$C$1),0)*1000</f>
        <v>1.4498569386274132E-2</v>
      </c>
      <c r="L161" s="2">
        <f>MAX(SUMIFS('Globiom data'!K$2:K$9999,'Globiom data'!$A$2:$A$9999,Veda!$D161,'Globiom data'!$D$2:$D$9999,VLOOKUP(Veda!$B161,'Globiom data'!$V$21:$X$29,2,FALSE),'Globiom data'!$E$2:$E$9999,Veda!$C$1),0)*1000</f>
        <v>5.8883914751924837E-2</v>
      </c>
      <c r="M161" s="2">
        <f>MAX(SUMIFS('Globiom data'!L$2:L$9999,'Globiom data'!$A$2:$A$9999,Veda!$D161,'Globiom data'!$D$2:$D$9999,VLOOKUP(Veda!$B161,'Globiom data'!$V$21:$X$29,2,FALSE),'Globiom data'!$E$2:$E$9999,Veda!$C$1),0)*1000</f>
        <v>1.9194840565865807</v>
      </c>
      <c r="N161" s="2">
        <f>MAX(SUMIFS('Globiom data'!M$2:M$9999,'Globiom data'!$A$2:$A$9999,Veda!$D161,'Globiom data'!$D$2:$D$9999,VLOOKUP(Veda!$B161,'Globiom data'!$V$21:$X$29,2,FALSE),'Globiom data'!$E$2:$E$9999,Veda!$C$1),0)*1000</f>
        <v>2.3657121982801286</v>
      </c>
      <c r="O161" s="2">
        <f>MAX(SUMIFS('Globiom data'!N$2:N$9999,'Globiom data'!$A$2:$A$9999,Veda!$D161,'Globiom data'!$D$2:$D$9999,VLOOKUP(Veda!$B161,'Globiom data'!$V$21:$X$29,2,FALSE),'Globiom data'!$E$2:$E$9999,Veda!$C$1),0)*1000</f>
        <v>2.8010637549760276</v>
      </c>
      <c r="P161" s="2">
        <f>MAX(SUMIFS('Globiom data'!O$2:O$9999,'Globiom data'!$A$2:$A$9999,Veda!$D161,'Globiom data'!$D$2:$D$9999,VLOOKUP(Veda!$B161,'Globiom data'!$V$21:$X$29,2,FALSE),'Globiom data'!$E$2:$E$9999,Veda!$C$1),0)*1000</f>
        <v>3.1559195610476634</v>
      </c>
      <c r="Q161" s="2">
        <f>MAX(SUMIFS('Globiom data'!P$2:P$9999,'Globiom data'!$A$2:$A$9999,Veda!$D161,'Globiom data'!$D$2:$D$9999,VLOOKUP(Veda!$B161,'Globiom data'!$V$21:$X$29,2,FALSE),'Globiom data'!$E$2:$E$9999,Veda!$C$1),0)*1000</f>
        <v>3.5471989663535788</v>
      </c>
      <c r="R161">
        <v>3</v>
      </c>
    </row>
    <row r="162" spans="1:18" x14ac:dyDescent="0.45">
      <c r="A162" s="8">
        <f t="shared" si="9"/>
        <v>23</v>
      </c>
      <c r="B162" s="8">
        <f t="shared" si="10"/>
        <v>3</v>
      </c>
      <c r="D162" t="str">
        <f>VLOOKUP(A162,'Globiom data'!$S$21:$T$51,2,FALSE)</f>
        <v>MidEast_other</v>
      </c>
      <c r="E162" t="str">
        <f>VLOOKUP(B162,'Globiom data'!$V$21:$X$30,3,FALSE)</f>
        <v>MinBIOBSL-03</v>
      </c>
      <c r="F162" t="s">
        <v>53</v>
      </c>
      <c r="G162" s="2">
        <f>MAX(SUMIFS('Globiom data'!F$2:F$9999,'Globiom data'!$A$2:$A$9999,Veda!$D162,'Globiom data'!$D$2:$D$9999,VLOOKUP(Veda!$B162,'Globiom data'!$V$21:$X$29,2,FALSE),'Globiom data'!$E$2:$E$9999,Veda!$C$1),0)*1000</f>
        <v>0</v>
      </c>
      <c r="H162" s="2">
        <f>MAX(SUMIFS('Globiom data'!G$2:G$9999,'Globiom data'!$A$2:$A$9999,Veda!$D162,'Globiom data'!$D$2:$D$9999,VLOOKUP(Veda!$B162,'Globiom data'!$V$21:$X$29,2,FALSE),'Globiom data'!$E$2:$E$9999,Veda!$C$1),0)*1000</f>
        <v>1.0922592259328746E-4</v>
      </c>
      <c r="I162" s="2">
        <f>MAX(SUMIFS('Globiom data'!H$2:H$9999,'Globiom data'!$A$2:$A$9999,Veda!$D162,'Globiom data'!$D$2:$D$9999,VLOOKUP(Veda!$B162,'Globiom data'!$V$21:$X$29,2,FALSE),'Globiom data'!$E$2:$E$9999,Veda!$C$1),0)*1000</f>
        <v>1.0922592259328746E-4</v>
      </c>
      <c r="J162" s="2">
        <f>MAX(SUMIFS('Globiom data'!I$2:I$9999,'Globiom data'!$A$2:$A$9999,Veda!$D162,'Globiom data'!$D$2:$D$9999,VLOOKUP(Veda!$B162,'Globiom data'!$V$21:$X$29,2,FALSE),'Globiom data'!$E$2:$E$9999,Veda!$C$1),0)*1000</f>
        <v>0</v>
      </c>
      <c r="K162" s="2">
        <f>MAX(SUMIFS('Globiom data'!J$2:J$9999,'Globiom data'!$A$2:$A$9999,Veda!$D162,'Globiom data'!$D$2:$D$9999,VLOOKUP(Veda!$B162,'Globiom data'!$V$21:$X$29,2,FALSE),'Globiom data'!$E$2:$E$9999,Veda!$C$1),0)*1000</f>
        <v>0</v>
      </c>
      <c r="L162" s="2">
        <f>MAX(SUMIFS('Globiom data'!K$2:K$9999,'Globiom data'!$A$2:$A$9999,Veda!$D162,'Globiom data'!$D$2:$D$9999,VLOOKUP(Veda!$B162,'Globiom data'!$V$21:$X$29,2,FALSE),'Globiom data'!$E$2:$E$9999,Veda!$C$1),0)*1000</f>
        <v>1.2138963575985435</v>
      </c>
      <c r="M162" s="2">
        <f>MAX(SUMIFS('Globiom data'!L$2:L$9999,'Globiom data'!$A$2:$A$9999,Veda!$D162,'Globiom data'!$D$2:$D$9999,VLOOKUP(Veda!$B162,'Globiom data'!$V$21:$X$29,2,FALSE),'Globiom data'!$E$2:$E$9999,Veda!$C$1),0)*1000</f>
        <v>0</v>
      </c>
      <c r="N162" s="2">
        <f>MAX(SUMIFS('Globiom data'!M$2:M$9999,'Globiom data'!$A$2:$A$9999,Veda!$D162,'Globiom data'!$D$2:$D$9999,VLOOKUP(Veda!$B162,'Globiom data'!$V$21:$X$29,2,FALSE),'Globiom data'!$E$2:$E$9999,Veda!$C$1),0)*1000</f>
        <v>0.55459654512295553</v>
      </c>
      <c r="O162" s="2">
        <f>MAX(SUMIFS('Globiom data'!N$2:N$9999,'Globiom data'!$A$2:$A$9999,Veda!$D162,'Globiom data'!$D$2:$D$9999,VLOOKUP(Veda!$B162,'Globiom data'!$V$21:$X$29,2,FALSE),'Globiom data'!$E$2:$E$9999,Veda!$C$1),0)*1000</f>
        <v>1.7094720523439284</v>
      </c>
      <c r="P162" s="2">
        <f>MAX(SUMIFS('Globiom data'!O$2:O$9999,'Globiom data'!$A$2:$A$9999,Veda!$D162,'Globiom data'!$D$2:$D$9999,VLOOKUP(Veda!$B162,'Globiom data'!$V$21:$X$29,2,FALSE),'Globiom data'!$E$2:$E$9999,Veda!$C$1),0)*1000</f>
        <v>3.0268834383171268</v>
      </c>
      <c r="Q162" s="2">
        <f>MAX(SUMIFS('Globiom data'!P$2:P$9999,'Globiom data'!$A$2:$A$9999,Veda!$D162,'Globiom data'!$D$2:$D$9999,VLOOKUP(Veda!$B162,'Globiom data'!$V$21:$X$29,2,FALSE),'Globiom data'!$E$2:$E$9999,Veda!$C$1),0)*1000</f>
        <v>3.2863660256820477</v>
      </c>
      <c r="R162">
        <v>3</v>
      </c>
    </row>
    <row r="163" spans="1:18" x14ac:dyDescent="0.45">
      <c r="A163" s="8">
        <f t="shared" si="9"/>
        <v>23</v>
      </c>
      <c r="B163" s="8">
        <f t="shared" si="10"/>
        <v>4</v>
      </c>
      <c r="D163" t="str">
        <f>VLOOKUP(A163,'Globiom data'!$S$21:$T$51,2,FALSE)</f>
        <v>MidEast_other</v>
      </c>
      <c r="E163" t="str">
        <f>VLOOKUP(B163,'Globiom data'!$V$21:$X$30,3,FALSE)</f>
        <v>MinBIOBSL-04</v>
      </c>
      <c r="F163" t="s">
        <v>53</v>
      </c>
      <c r="G163" s="2">
        <f>MAX(SUMIFS('Globiom data'!F$2:F$9999,'Globiom data'!$A$2:$A$9999,Veda!$D163,'Globiom data'!$D$2:$D$9999,VLOOKUP(Veda!$B163,'Globiom data'!$V$21:$X$29,2,FALSE),'Globiom data'!$E$2:$E$9999,Veda!$C$1),0)*1000</f>
        <v>0</v>
      </c>
      <c r="H163" s="2">
        <f>MAX(SUMIFS('Globiom data'!G$2:G$9999,'Globiom data'!$A$2:$A$9999,Veda!$D163,'Globiom data'!$D$2:$D$9999,VLOOKUP(Veda!$B163,'Globiom data'!$V$21:$X$29,2,FALSE),'Globiom data'!$E$2:$E$9999,Veda!$C$1),0)*1000</f>
        <v>1.1150496674283244E-4</v>
      </c>
      <c r="I163" s="2">
        <f>MAX(SUMIFS('Globiom data'!H$2:H$9999,'Globiom data'!$A$2:$A$9999,Veda!$D163,'Globiom data'!$D$2:$D$9999,VLOOKUP(Veda!$B163,'Globiom data'!$V$21:$X$29,2,FALSE),'Globiom data'!$E$2:$E$9999,Veda!$C$1),0)*1000</f>
        <v>1.1150496674283244E-4</v>
      </c>
      <c r="J163" s="2">
        <f>MAX(SUMIFS('Globiom data'!I$2:I$9999,'Globiom data'!$A$2:$A$9999,Veda!$D163,'Globiom data'!$D$2:$D$9999,VLOOKUP(Veda!$B163,'Globiom data'!$V$21:$X$29,2,FALSE),'Globiom data'!$E$2:$E$9999,Veda!$C$1),0)*1000</f>
        <v>7.4643008253507826E-3</v>
      </c>
      <c r="K163" s="2">
        <f>MAX(SUMIFS('Globiom data'!J$2:J$9999,'Globiom data'!$A$2:$A$9999,Veda!$D163,'Globiom data'!$D$2:$D$9999,VLOOKUP(Veda!$B163,'Globiom data'!$V$21:$X$29,2,FALSE),'Globiom data'!$E$2:$E$9999,Veda!$C$1),0)*1000</f>
        <v>0.85353648090709533</v>
      </c>
      <c r="L163" s="2">
        <f>MAX(SUMIFS('Globiom data'!K$2:K$9999,'Globiom data'!$A$2:$A$9999,Veda!$D163,'Globiom data'!$D$2:$D$9999,VLOOKUP(Veda!$B163,'Globiom data'!$V$21:$X$29,2,FALSE),'Globiom data'!$E$2:$E$9999,Veda!$C$1),0)*1000</f>
        <v>0.86910237059096751</v>
      </c>
      <c r="M163" s="2">
        <f>MAX(SUMIFS('Globiom data'!L$2:L$9999,'Globiom data'!$A$2:$A$9999,Veda!$D163,'Globiom data'!$D$2:$D$9999,VLOOKUP(Veda!$B163,'Globiom data'!$V$21:$X$29,2,FALSE),'Globiom data'!$E$2:$E$9999,Veda!$C$1),0)*1000</f>
        <v>2.4063259775025454</v>
      </c>
      <c r="N163" s="2">
        <f>MAX(SUMIFS('Globiom data'!M$2:M$9999,'Globiom data'!$A$2:$A$9999,Veda!$D163,'Globiom data'!$D$2:$D$9999,VLOOKUP(Veda!$B163,'Globiom data'!$V$21:$X$29,2,FALSE),'Globiom data'!$E$2:$E$9999,Veda!$C$1),0)*1000</f>
        <v>2.6333905324416649</v>
      </c>
      <c r="O163" s="2">
        <f>MAX(SUMIFS('Globiom data'!N$2:N$9999,'Globiom data'!$A$2:$A$9999,Veda!$D163,'Globiom data'!$D$2:$D$9999,VLOOKUP(Veda!$B163,'Globiom data'!$V$21:$X$29,2,FALSE),'Globiom data'!$E$2:$E$9999,Veda!$C$1),0)*1000</f>
        <v>1.9719709725575518</v>
      </c>
      <c r="P163" s="2">
        <f>MAX(SUMIFS('Globiom data'!O$2:O$9999,'Globiom data'!$A$2:$A$9999,Veda!$D163,'Globiom data'!$D$2:$D$9999,VLOOKUP(Veda!$B163,'Globiom data'!$V$21:$X$29,2,FALSE),'Globiom data'!$E$2:$E$9999,Veda!$C$1),0)*1000</f>
        <v>1.510295159169101</v>
      </c>
      <c r="Q163" s="2">
        <f>MAX(SUMIFS('Globiom data'!P$2:P$9999,'Globiom data'!$A$2:$A$9999,Veda!$D163,'Globiom data'!$D$2:$D$9999,VLOOKUP(Veda!$B163,'Globiom data'!$V$21:$X$29,2,FALSE),'Globiom data'!$E$2:$E$9999,Veda!$C$1),0)*1000</f>
        <v>3.2551684839204791</v>
      </c>
      <c r="R163">
        <v>3</v>
      </c>
    </row>
    <row r="164" spans="1:18" x14ac:dyDescent="0.45">
      <c r="A164" s="8">
        <f t="shared" si="9"/>
        <v>23</v>
      </c>
      <c r="B164" s="8">
        <f t="shared" si="10"/>
        <v>5</v>
      </c>
      <c r="D164" t="str">
        <f>VLOOKUP(A164,'Globiom data'!$S$21:$T$51,2,FALSE)</f>
        <v>MidEast_other</v>
      </c>
      <c r="E164" t="str">
        <f>VLOOKUP(B164,'Globiom data'!$V$21:$X$30,3,FALSE)</f>
        <v>MinBIOBSL-05</v>
      </c>
      <c r="F164" t="s">
        <v>53</v>
      </c>
      <c r="G164" s="2">
        <f>MAX(SUMIFS('Globiom data'!F$2:F$9999,'Globiom data'!$A$2:$A$9999,Veda!$D164,'Globiom data'!$D$2:$D$9999,VLOOKUP(Veda!$B164,'Globiom data'!$V$21:$X$29,2,FALSE),'Globiom data'!$E$2:$E$9999,Veda!$C$1),0)*1000</f>
        <v>0</v>
      </c>
      <c r="H164" s="2">
        <f>MAX(SUMIFS('Globiom data'!G$2:G$9999,'Globiom data'!$A$2:$A$9999,Veda!$D164,'Globiom data'!$D$2:$D$9999,VLOOKUP(Veda!$B164,'Globiom data'!$V$21:$X$29,2,FALSE),'Globiom data'!$E$2:$E$9999,Veda!$C$1),0)*1000</f>
        <v>4.2877335768087815E-3</v>
      </c>
      <c r="I164" s="2">
        <f>MAX(SUMIFS('Globiom data'!H$2:H$9999,'Globiom data'!$A$2:$A$9999,Veda!$D164,'Globiom data'!$D$2:$D$9999,VLOOKUP(Veda!$B164,'Globiom data'!$V$21:$X$29,2,FALSE),'Globiom data'!$E$2:$E$9999,Veda!$C$1),0)*1000</f>
        <v>4.2877335768087815E-3</v>
      </c>
      <c r="J164" s="2">
        <f>MAX(SUMIFS('Globiom data'!I$2:I$9999,'Globiom data'!$A$2:$A$9999,Veda!$D164,'Globiom data'!$D$2:$D$9999,VLOOKUP(Veda!$B164,'Globiom data'!$V$21:$X$29,2,FALSE),'Globiom data'!$E$2:$E$9999,Veda!$C$1),0)*1000</f>
        <v>0.88963251119659414</v>
      </c>
      <c r="K164" s="2">
        <f>MAX(SUMIFS('Globiom data'!J$2:J$9999,'Globiom data'!$A$2:$A$9999,Veda!$D164,'Globiom data'!$D$2:$D$9999,VLOOKUP(Veda!$B164,'Globiom data'!$V$21:$X$29,2,FALSE),'Globiom data'!$E$2:$E$9999,Veda!$C$1),0)*1000</f>
        <v>2.2546035914739031</v>
      </c>
      <c r="L164" s="2">
        <f>MAX(SUMIFS('Globiom data'!K$2:K$9999,'Globiom data'!$A$2:$A$9999,Veda!$D164,'Globiom data'!$D$2:$D$9999,VLOOKUP(Veda!$B164,'Globiom data'!$V$21:$X$29,2,FALSE),'Globiom data'!$E$2:$E$9999,Veda!$C$1),0)*1000</f>
        <v>2.9616080636946438</v>
      </c>
      <c r="M164" s="2">
        <f>MAX(SUMIFS('Globiom data'!L$2:L$9999,'Globiom data'!$A$2:$A$9999,Veda!$D164,'Globiom data'!$D$2:$D$9999,VLOOKUP(Veda!$B164,'Globiom data'!$V$21:$X$29,2,FALSE),'Globiom data'!$E$2:$E$9999,Veda!$C$1),0)*1000</f>
        <v>2.2622757889771345</v>
      </c>
      <c r="N164" s="2">
        <f>MAX(SUMIFS('Globiom data'!M$2:M$9999,'Globiom data'!$A$2:$A$9999,Veda!$D164,'Globiom data'!$D$2:$D$9999,VLOOKUP(Veda!$B164,'Globiom data'!$V$21:$X$29,2,FALSE),'Globiom data'!$E$2:$E$9999,Veda!$C$1),0)*1000</f>
        <v>3.9249423767310905</v>
      </c>
      <c r="O164" s="2">
        <f>MAX(SUMIFS('Globiom data'!N$2:N$9999,'Globiom data'!$A$2:$A$9999,Veda!$D164,'Globiom data'!$D$2:$D$9999,VLOOKUP(Veda!$B164,'Globiom data'!$V$21:$X$29,2,FALSE),'Globiom data'!$E$2:$E$9999,Veda!$C$1),0)*1000</f>
        <v>5.6853226988305652</v>
      </c>
      <c r="P164" s="2">
        <f>MAX(SUMIFS('Globiom data'!O$2:O$9999,'Globiom data'!$A$2:$A$9999,Veda!$D164,'Globiom data'!$D$2:$D$9999,VLOOKUP(Veda!$B164,'Globiom data'!$V$21:$X$29,2,FALSE),'Globiom data'!$E$2:$E$9999,Veda!$C$1),0)*1000</f>
        <v>6.8358116282786394</v>
      </c>
      <c r="Q164" s="2">
        <f>MAX(SUMIFS('Globiom data'!P$2:P$9999,'Globiom data'!$A$2:$A$9999,Veda!$D164,'Globiom data'!$D$2:$D$9999,VLOOKUP(Veda!$B164,'Globiom data'!$V$21:$X$29,2,FALSE),'Globiom data'!$E$2:$E$9999,Veda!$C$1),0)*1000</f>
        <v>6.4448680373426361</v>
      </c>
      <c r="R164">
        <v>3</v>
      </c>
    </row>
    <row r="165" spans="1:18" x14ac:dyDescent="0.45">
      <c r="A165" s="8">
        <f t="shared" si="9"/>
        <v>23</v>
      </c>
      <c r="B165" s="8">
        <f t="shared" si="10"/>
        <v>6</v>
      </c>
      <c r="D165" t="str">
        <f>VLOOKUP(A165,'Globiom data'!$S$21:$T$51,2,FALSE)</f>
        <v>MidEast_other</v>
      </c>
      <c r="E165" t="str">
        <f>VLOOKUP(B165,'Globiom data'!$V$21:$X$30,3,FALSE)</f>
        <v>MinBIOBSL-06</v>
      </c>
      <c r="F165" t="s">
        <v>53</v>
      </c>
      <c r="G165" s="2">
        <f>MAX(SUMIFS('Globiom data'!F$2:F$9999,'Globiom data'!$A$2:$A$9999,Veda!$D165,'Globiom data'!$D$2:$D$9999,VLOOKUP(Veda!$B165,'Globiom data'!$V$21:$X$29,2,FALSE),'Globiom data'!$E$2:$E$9999,Veda!$C$1),0)*1000</f>
        <v>0</v>
      </c>
      <c r="H165" s="2">
        <f>MAX(SUMIFS('Globiom data'!G$2:G$9999,'Globiom data'!$A$2:$A$9999,Veda!$D165,'Globiom data'!$D$2:$D$9999,VLOOKUP(Veda!$B165,'Globiom data'!$V$21:$X$29,2,FALSE),'Globiom data'!$E$2:$E$9999,Veda!$C$1),0)*1000</f>
        <v>0.29884406074179704</v>
      </c>
      <c r="I165" s="2">
        <f>MAX(SUMIFS('Globiom data'!H$2:H$9999,'Globiom data'!$A$2:$A$9999,Veda!$D165,'Globiom data'!$D$2:$D$9999,VLOOKUP(Veda!$B165,'Globiom data'!$V$21:$X$29,2,FALSE),'Globiom data'!$E$2:$E$9999,Veda!$C$1),0)*1000</f>
        <v>0.29884406074179704</v>
      </c>
      <c r="J165" s="2">
        <f>MAX(SUMIFS('Globiom data'!I$2:I$9999,'Globiom data'!$A$2:$A$9999,Veda!$D165,'Globiom data'!$D$2:$D$9999,VLOOKUP(Veda!$B165,'Globiom data'!$V$21:$X$29,2,FALSE),'Globiom data'!$E$2:$E$9999,Veda!$C$1),0)*1000</f>
        <v>3.7528421075965146</v>
      </c>
      <c r="K165" s="2">
        <f>MAX(SUMIFS('Globiom data'!J$2:J$9999,'Globiom data'!$A$2:$A$9999,Veda!$D165,'Globiom data'!$D$2:$D$9999,VLOOKUP(Veda!$B165,'Globiom data'!$V$21:$X$29,2,FALSE),'Globiom data'!$E$2:$E$9999,Veda!$C$1),0)*1000</f>
        <v>4.3541235414718118</v>
      </c>
      <c r="L165" s="2">
        <f>MAX(SUMIFS('Globiom data'!K$2:K$9999,'Globiom data'!$A$2:$A$9999,Veda!$D165,'Globiom data'!$D$2:$D$9999,VLOOKUP(Veda!$B165,'Globiom data'!$V$21:$X$29,2,FALSE),'Globiom data'!$E$2:$E$9999,Veda!$C$1),0)*1000</f>
        <v>4.7985180848368545</v>
      </c>
      <c r="M165" s="2">
        <f>MAX(SUMIFS('Globiom data'!L$2:L$9999,'Globiom data'!$A$2:$A$9999,Veda!$D165,'Globiom data'!$D$2:$D$9999,VLOOKUP(Veda!$B165,'Globiom data'!$V$21:$X$29,2,FALSE),'Globiom data'!$E$2:$E$9999,Veda!$C$1),0)*1000</f>
        <v>5.9054094162032298</v>
      </c>
      <c r="N165" s="2">
        <f>MAX(SUMIFS('Globiom data'!M$2:M$9999,'Globiom data'!$A$2:$A$9999,Veda!$D165,'Globiom data'!$D$2:$D$9999,VLOOKUP(Veda!$B165,'Globiom data'!$V$21:$X$29,2,FALSE),'Globiom data'!$E$2:$E$9999,Veda!$C$1),0)*1000</f>
        <v>5.1364345680933212</v>
      </c>
      <c r="O165" s="2">
        <f>MAX(SUMIFS('Globiom data'!N$2:N$9999,'Globiom data'!$A$2:$A$9999,Veda!$D165,'Globiom data'!$D$2:$D$9999,VLOOKUP(Veda!$B165,'Globiom data'!$V$21:$X$29,2,FALSE),'Globiom data'!$E$2:$E$9999,Veda!$C$1),0)*1000</f>
        <v>4.3164402902809451</v>
      </c>
      <c r="P165" s="2">
        <f>MAX(SUMIFS('Globiom data'!O$2:O$9999,'Globiom data'!$A$2:$A$9999,Veda!$D165,'Globiom data'!$D$2:$D$9999,VLOOKUP(Veda!$B165,'Globiom data'!$V$21:$X$29,2,FALSE),'Globiom data'!$E$2:$E$9999,Veda!$C$1),0)*1000</f>
        <v>3.5069844636800811</v>
      </c>
      <c r="Q165" s="2">
        <f>MAX(SUMIFS('Globiom data'!P$2:P$9999,'Globiom data'!$A$2:$A$9999,Veda!$D165,'Globiom data'!$D$2:$D$9999,VLOOKUP(Veda!$B165,'Globiom data'!$V$21:$X$29,2,FALSE),'Globiom data'!$E$2:$E$9999,Veda!$C$1),0)*1000</f>
        <v>3.5851768864323237</v>
      </c>
      <c r="R165">
        <v>3</v>
      </c>
    </row>
    <row r="166" spans="1:18" x14ac:dyDescent="0.45">
      <c r="A166" s="8">
        <f t="shared" si="9"/>
        <v>23</v>
      </c>
      <c r="B166" s="8">
        <f t="shared" si="10"/>
        <v>7</v>
      </c>
      <c r="D166" t="str">
        <f>VLOOKUP(A166,'Globiom data'!$S$21:$T$51,2,FALSE)</f>
        <v>MidEast_other</v>
      </c>
      <c r="E166" t="str">
        <f>VLOOKUP(B166,'Globiom data'!$V$21:$X$30,3,FALSE)</f>
        <v>MinBIOBSL-07</v>
      </c>
      <c r="F166" t="s">
        <v>53</v>
      </c>
      <c r="G166" s="2">
        <f>MAX(SUMIFS('Globiom data'!F$2:F$9999,'Globiom data'!$A$2:$A$9999,Veda!$D166,'Globiom data'!$D$2:$D$9999,VLOOKUP(Veda!$B166,'Globiom data'!$V$21:$X$29,2,FALSE),'Globiom data'!$E$2:$E$9999,Veda!$C$1),0)*1000</f>
        <v>0</v>
      </c>
      <c r="H166" s="2">
        <f>MAX(SUMIFS('Globiom data'!G$2:G$9999,'Globiom data'!$A$2:$A$9999,Veda!$D166,'Globiom data'!$D$2:$D$9999,VLOOKUP(Veda!$B166,'Globiom data'!$V$21:$X$29,2,FALSE),'Globiom data'!$E$2:$E$9999,Veda!$C$1),0)*1000</f>
        <v>0</v>
      </c>
      <c r="I166" s="2">
        <f>MAX(SUMIFS('Globiom data'!H$2:H$9999,'Globiom data'!$A$2:$A$9999,Veda!$D166,'Globiom data'!$D$2:$D$9999,VLOOKUP(Veda!$B166,'Globiom data'!$V$21:$X$29,2,FALSE),'Globiom data'!$E$2:$E$9999,Veda!$C$1),0)*1000</f>
        <v>0</v>
      </c>
      <c r="J166" s="2">
        <f>MAX(SUMIFS('Globiom data'!I$2:I$9999,'Globiom data'!$A$2:$A$9999,Veda!$D166,'Globiom data'!$D$2:$D$9999,VLOOKUP(Veda!$B166,'Globiom data'!$V$21:$X$29,2,FALSE),'Globiom data'!$E$2:$E$9999,Veda!$C$1),0)*1000</f>
        <v>4.3892753815052847</v>
      </c>
      <c r="K166" s="2">
        <f>MAX(SUMIFS('Globiom data'!J$2:J$9999,'Globiom data'!$A$2:$A$9999,Veda!$D166,'Globiom data'!$D$2:$D$9999,VLOOKUP(Veda!$B166,'Globiom data'!$V$21:$X$29,2,FALSE),'Globiom data'!$E$2:$E$9999,Veda!$C$1),0)*1000</f>
        <v>3.8133167568273101</v>
      </c>
      <c r="L166" s="2">
        <f>MAX(SUMIFS('Globiom data'!K$2:K$9999,'Globiom data'!$A$2:$A$9999,Veda!$D166,'Globiom data'!$D$2:$D$9999,VLOOKUP(Veda!$B166,'Globiom data'!$V$21:$X$29,2,FALSE),'Globiom data'!$E$2:$E$9999,Veda!$C$1),0)*1000</f>
        <v>4.1074315368027774</v>
      </c>
      <c r="M166" s="2">
        <f>MAX(SUMIFS('Globiom data'!L$2:L$9999,'Globiom data'!$A$2:$A$9999,Veda!$D166,'Globiom data'!$D$2:$D$9999,VLOOKUP(Veda!$B166,'Globiom data'!$V$21:$X$29,2,FALSE),'Globiom data'!$E$2:$E$9999,Veda!$C$1),0)*1000</f>
        <v>4.9880826187588818</v>
      </c>
      <c r="N166" s="2">
        <f>MAX(SUMIFS('Globiom data'!M$2:M$9999,'Globiom data'!$A$2:$A$9999,Veda!$D166,'Globiom data'!$D$2:$D$9999,VLOOKUP(Veda!$B166,'Globiom data'!$V$21:$X$29,2,FALSE),'Globiom data'!$E$2:$E$9999,Veda!$C$1),0)*1000</f>
        <v>5.4371194704908126</v>
      </c>
      <c r="O166" s="2">
        <f>MAX(SUMIFS('Globiom data'!N$2:N$9999,'Globiom data'!$A$2:$A$9999,Veda!$D166,'Globiom data'!$D$2:$D$9999,VLOOKUP(Veda!$B166,'Globiom data'!$V$21:$X$29,2,FALSE),'Globiom data'!$E$2:$E$9999,Veda!$C$1),0)*1000</f>
        <v>6.305939007568206</v>
      </c>
      <c r="P166" s="2">
        <f>MAX(SUMIFS('Globiom data'!O$2:O$9999,'Globiom data'!$A$2:$A$9999,Veda!$D166,'Globiom data'!$D$2:$D$9999,VLOOKUP(Veda!$B166,'Globiom data'!$V$21:$X$29,2,FALSE),'Globiom data'!$E$2:$E$9999,Veda!$C$1),0)*1000</f>
        <v>6.7527907108517509</v>
      </c>
      <c r="Q166" s="2">
        <f>MAX(SUMIFS('Globiom data'!P$2:P$9999,'Globiom data'!$A$2:$A$9999,Veda!$D166,'Globiom data'!$D$2:$D$9999,VLOOKUP(Veda!$B166,'Globiom data'!$V$21:$X$29,2,FALSE),'Globiom data'!$E$2:$E$9999,Veda!$C$1),0)*1000</f>
        <v>6.3820904424635732</v>
      </c>
      <c r="R166">
        <v>3</v>
      </c>
    </row>
    <row r="167" spans="1:18" x14ac:dyDescent="0.45">
      <c r="A167" s="8">
        <f t="shared" si="9"/>
        <v>24</v>
      </c>
      <c r="B167" s="8">
        <f t="shared" si="10"/>
        <v>1</v>
      </c>
      <c r="D167" t="str">
        <f>VLOOKUP(A167,'Globiom data'!$S$21:$T$51,2,FALSE)</f>
        <v>Nor-Ice</v>
      </c>
      <c r="E167" t="str">
        <f>VLOOKUP(B167,'Globiom data'!$V$21:$X$30,3,FALSE)</f>
        <v>MinBIOBSL-01</v>
      </c>
      <c r="F167" t="s">
        <v>53</v>
      </c>
      <c r="G167" s="2">
        <f>MAX(SUMIFS('Globiom data'!F$2:F$9999,'Globiom data'!$A$2:$A$9999,Veda!$D167,'Globiom data'!$D$2:$D$9999,VLOOKUP(Veda!$B167,'Globiom data'!$V$21:$X$29,2,FALSE),'Globiom data'!$E$2:$E$9999,Veda!$C$1),0)*1000</f>
        <v>34.891340887558627</v>
      </c>
      <c r="H167" s="2">
        <f>MAX(SUMIFS('Globiom data'!G$2:G$9999,'Globiom data'!$A$2:$A$9999,Veda!$D167,'Globiom data'!$D$2:$D$9999,VLOOKUP(Veda!$B167,'Globiom data'!$V$21:$X$29,2,FALSE),'Globiom data'!$E$2:$E$9999,Veda!$C$1),0)*1000</f>
        <v>35.019660294568972</v>
      </c>
      <c r="I167" s="2">
        <f>MAX(SUMIFS('Globiom data'!H$2:H$9999,'Globiom data'!$A$2:$A$9999,Veda!$D167,'Globiom data'!$D$2:$D$9999,VLOOKUP(Veda!$B167,'Globiom data'!$V$21:$X$29,2,FALSE),'Globiom data'!$E$2:$E$9999,Veda!$C$1),0)*1000</f>
        <v>35.019660294568972</v>
      </c>
      <c r="J167" s="2">
        <f>MAX(SUMIFS('Globiom data'!I$2:I$9999,'Globiom data'!$A$2:$A$9999,Veda!$D167,'Globiom data'!$D$2:$D$9999,VLOOKUP(Veda!$B167,'Globiom data'!$V$21:$X$29,2,FALSE),'Globiom data'!$E$2:$E$9999,Veda!$C$1),0)*1000</f>
        <v>34.31258985665805</v>
      </c>
      <c r="K167" s="2">
        <f>MAX(SUMIFS('Globiom data'!J$2:J$9999,'Globiom data'!$A$2:$A$9999,Veda!$D167,'Globiom data'!$D$2:$D$9999,VLOOKUP(Veda!$B167,'Globiom data'!$V$21:$X$29,2,FALSE),'Globiom data'!$E$2:$E$9999,Veda!$C$1),0)*1000</f>
        <v>33.53924695613113</v>
      </c>
      <c r="L167" s="2">
        <f>MAX(SUMIFS('Globiom data'!K$2:K$9999,'Globiom data'!$A$2:$A$9999,Veda!$D167,'Globiom data'!$D$2:$D$9999,VLOOKUP(Veda!$B167,'Globiom data'!$V$21:$X$29,2,FALSE),'Globiom data'!$E$2:$E$9999,Veda!$C$1),0)*1000</f>
        <v>32.897867184548915</v>
      </c>
      <c r="M167" s="2">
        <f>MAX(SUMIFS('Globiom data'!L$2:L$9999,'Globiom data'!$A$2:$A$9999,Veda!$D167,'Globiom data'!$D$2:$D$9999,VLOOKUP(Veda!$B167,'Globiom data'!$V$21:$X$29,2,FALSE),'Globiom data'!$E$2:$E$9999,Veda!$C$1),0)*1000</f>
        <v>32.663945489302201</v>
      </c>
      <c r="N167" s="2">
        <f>MAX(SUMIFS('Globiom data'!M$2:M$9999,'Globiom data'!$A$2:$A$9999,Veda!$D167,'Globiom data'!$D$2:$D$9999,VLOOKUP(Veda!$B167,'Globiom data'!$V$21:$X$29,2,FALSE),'Globiom data'!$E$2:$E$9999,Veda!$C$1),0)*1000</f>
        <v>32.546365972525955</v>
      </c>
      <c r="O167" s="2">
        <f>MAX(SUMIFS('Globiom data'!N$2:N$9999,'Globiom data'!$A$2:$A$9999,Veda!$D167,'Globiom data'!$D$2:$D$9999,VLOOKUP(Veda!$B167,'Globiom data'!$V$21:$X$29,2,FALSE),'Globiom data'!$E$2:$E$9999,Veda!$C$1),0)*1000</f>
        <v>32.447305905161869</v>
      </c>
      <c r="P167" s="2">
        <f>MAX(SUMIFS('Globiom data'!O$2:O$9999,'Globiom data'!$A$2:$A$9999,Veda!$D167,'Globiom data'!$D$2:$D$9999,VLOOKUP(Veda!$B167,'Globiom data'!$V$21:$X$29,2,FALSE),'Globiom data'!$E$2:$E$9999,Veda!$C$1),0)*1000</f>
        <v>32.356865476421255</v>
      </c>
      <c r="Q167" s="2">
        <f>MAX(SUMIFS('Globiom data'!P$2:P$9999,'Globiom data'!$A$2:$A$9999,Veda!$D167,'Globiom data'!$D$2:$D$9999,VLOOKUP(Veda!$B167,'Globiom data'!$V$21:$X$29,2,FALSE),'Globiom data'!$E$2:$E$9999,Veda!$C$1),0)*1000</f>
        <v>32.229752735355824</v>
      </c>
      <c r="R167">
        <v>3</v>
      </c>
    </row>
    <row r="168" spans="1:18" x14ac:dyDescent="0.45">
      <c r="A168" s="8">
        <f t="shared" si="9"/>
        <v>24</v>
      </c>
      <c r="B168" s="8">
        <f t="shared" si="10"/>
        <v>2</v>
      </c>
      <c r="D168" t="str">
        <f>VLOOKUP(A168,'Globiom data'!$S$21:$T$51,2,FALSE)</f>
        <v>Nor-Ice</v>
      </c>
      <c r="E168" t="str">
        <f>VLOOKUP(B168,'Globiom data'!$V$21:$X$30,3,FALSE)</f>
        <v>MinBIOBSL-02</v>
      </c>
      <c r="F168" t="s">
        <v>53</v>
      </c>
      <c r="G168" s="2">
        <f>MAX(SUMIFS('Globiom data'!F$2:F$9999,'Globiom data'!$A$2:$A$9999,Veda!$D168,'Globiom data'!$D$2:$D$9999,VLOOKUP(Veda!$B168,'Globiom data'!$V$21:$X$29,2,FALSE),'Globiom data'!$E$2:$E$9999,Veda!$C$1),0)*1000</f>
        <v>0</v>
      </c>
      <c r="H168" s="2">
        <f>MAX(SUMIFS('Globiom data'!G$2:G$9999,'Globiom data'!$A$2:$A$9999,Veda!$D168,'Globiom data'!$D$2:$D$9999,VLOOKUP(Veda!$B168,'Globiom data'!$V$21:$X$29,2,FALSE),'Globiom data'!$E$2:$E$9999,Veda!$C$1),0)*1000</f>
        <v>6.1668665412629033E-2</v>
      </c>
      <c r="I168" s="2">
        <f>MAX(SUMIFS('Globiom data'!H$2:H$9999,'Globiom data'!$A$2:$A$9999,Veda!$D168,'Globiom data'!$D$2:$D$9999,VLOOKUP(Veda!$B168,'Globiom data'!$V$21:$X$29,2,FALSE),'Globiom data'!$E$2:$E$9999,Veda!$C$1),0)*1000</f>
        <v>6.1668665412629033E-2</v>
      </c>
      <c r="J168" s="2">
        <f>MAX(SUMIFS('Globiom data'!I$2:I$9999,'Globiom data'!$A$2:$A$9999,Veda!$D168,'Globiom data'!$D$2:$D$9999,VLOOKUP(Veda!$B168,'Globiom data'!$V$21:$X$29,2,FALSE),'Globiom data'!$E$2:$E$9999,Veda!$C$1),0)*1000</f>
        <v>0.21619919848457739</v>
      </c>
      <c r="K168" s="2">
        <f>MAX(SUMIFS('Globiom data'!J$2:J$9999,'Globiom data'!$A$2:$A$9999,Veda!$D168,'Globiom data'!$D$2:$D$9999,VLOOKUP(Veda!$B168,'Globiom data'!$V$21:$X$29,2,FALSE),'Globiom data'!$E$2:$E$9999,Veda!$C$1),0)*1000</f>
        <v>0.19246393869049894</v>
      </c>
      <c r="L168" s="2">
        <f>MAX(SUMIFS('Globiom data'!K$2:K$9999,'Globiom data'!$A$2:$A$9999,Veda!$D168,'Globiom data'!$D$2:$D$9999,VLOOKUP(Veda!$B168,'Globiom data'!$V$21:$X$29,2,FALSE),'Globiom data'!$E$2:$E$9999,Veda!$C$1),0)*1000</f>
        <v>0.20667458809099595</v>
      </c>
      <c r="M168" s="2">
        <f>MAX(SUMIFS('Globiom data'!L$2:L$9999,'Globiom data'!$A$2:$A$9999,Veda!$D168,'Globiom data'!$D$2:$D$9999,VLOOKUP(Veda!$B168,'Globiom data'!$V$21:$X$29,2,FALSE),'Globiom data'!$E$2:$E$9999,Veda!$C$1),0)*1000</f>
        <v>0.25660399521233779</v>
      </c>
      <c r="N168" s="2">
        <f>MAX(SUMIFS('Globiom data'!M$2:M$9999,'Globiom data'!$A$2:$A$9999,Veda!$D168,'Globiom data'!$D$2:$D$9999,VLOOKUP(Veda!$B168,'Globiom data'!$V$21:$X$29,2,FALSE),'Globiom data'!$E$2:$E$9999,Veda!$C$1),0)*1000</f>
        <v>0.28496833919105741</v>
      </c>
      <c r="O168" s="2">
        <f>MAX(SUMIFS('Globiom data'!N$2:N$9999,'Globiom data'!$A$2:$A$9999,Veda!$D168,'Globiom data'!$D$2:$D$9999,VLOOKUP(Veda!$B168,'Globiom data'!$V$21:$X$29,2,FALSE),'Globiom data'!$E$2:$E$9999,Veda!$C$1),0)*1000</f>
        <v>1.1121067024511608</v>
      </c>
      <c r="P168" s="2">
        <f>MAX(SUMIFS('Globiom data'!O$2:O$9999,'Globiom data'!$A$2:$A$9999,Veda!$D168,'Globiom data'!$D$2:$D$9999,VLOOKUP(Veda!$B168,'Globiom data'!$V$21:$X$29,2,FALSE),'Globiom data'!$E$2:$E$9999,Veda!$C$1),0)*1000</f>
        <v>1.156274773774099</v>
      </c>
      <c r="Q168" s="2">
        <f>MAX(SUMIFS('Globiom data'!P$2:P$9999,'Globiom data'!$A$2:$A$9999,Veda!$D168,'Globiom data'!$D$2:$D$9999,VLOOKUP(Veda!$B168,'Globiom data'!$V$21:$X$29,2,FALSE),'Globiom data'!$E$2:$E$9999,Veda!$C$1),0)*1000</f>
        <v>1.2457584246194802</v>
      </c>
      <c r="R168">
        <v>3</v>
      </c>
    </row>
    <row r="169" spans="1:18" x14ac:dyDescent="0.45">
      <c r="A169" s="8">
        <f t="shared" si="9"/>
        <v>24</v>
      </c>
      <c r="B169" s="8">
        <f t="shared" si="10"/>
        <v>3</v>
      </c>
      <c r="D169" t="str">
        <f>VLOOKUP(A169,'Globiom data'!$S$21:$T$51,2,FALSE)</f>
        <v>Nor-Ice</v>
      </c>
      <c r="E169" t="str">
        <f>VLOOKUP(B169,'Globiom data'!$V$21:$X$30,3,FALSE)</f>
        <v>MinBIOBSL-03</v>
      </c>
      <c r="F169" t="s">
        <v>53</v>
      </c>
      <c r="G169" s="2">
        <f>MAX(SUMIFS('Globiom data'!F$2:F$9999,'Globiom data'!$A$2:$A$9999,Veda!$D169,'Globiom data'!$D$2:$D$9999,VLOOKUP(Veda!$B169,'Globiom data'!$V$21:$X$29,2,FALSE),'Globiom data'!$E$2:$E$9999,Veda!$C$1),0)*1000</f>
        <v>0</v>
      </c>
      <c r="H169" s="2">
        <f>MAX(SUMIFS('Globiom data'!G$2:G$9999,'Globiom data'!$A$2:$A$9999,Veda!$D169,'Globiom data'!$D$2:$D$9999,VLOOKUP(Veda!$B169,'Globiom data'!$V$21:$X$29,2,FALSE),'Globiom data'!$E$2:$E$9999,Veda!$C$1),0)*1000</f>
        <v>2.3317382366379542E-2</v>
      </c>
      <c r="I169" s="2">
        <f>MAX(SUMIFS('Globiom data'!H$2:H$9999,'Globiom data'!$A$2:$A$9999,Veda!$D169,'Globiom data'!$D$2:$D$9999,VLOOKUP(Veda!$B169,'Globiom data'!$V$21:$X$29,2,FALSE),'Globiom data'!$E$2:$E$9999,Veda!$C$1),0)*1000</f>
        <v>2.3317382366379542E-2</v>
      </c>
      <c r="J169" s="2">
        <f>MAX(SUMIFS('Globiom data'!I$2:I$9999,'Globiom data'!$A$2:$A$9999,Veda!$D169,'Globiom data'!$D$2:$D$9999,VLOOKUP(Veda!$B169,'Globiom data'!$V$21:$X$29,2,FALSE),'Globiom data'!$E$2:$E$9999,Veda!$C$1),0)*1000</f>
        <v>8.9376697394795798E-2</v>
      </c>
      <c r="K169" s="2">
        <f>MAX(SUMIFS('Globiom data'!J$2:J$9999,'Globiom data'!$A$2:$A$9999,Veda!$D169,'Globiom data'!$D$2:$D$9999,VLOOKUP(Veda!$B169,'Globiom data'!$V$21:$X$29,2,FALSE),'Globiom data'!$E$2:$E$9999,Veda!$C$1),0)*1000</f>
        <v>0.10339344948401628</v>
      </c>
      <c r="L169" s="2">
        <f>MAX(SUMIFS('Globiom data'!K$2:K$9999,'Globiom data'!$A$2:$A$9999,Veda!$D169,'Globiom data'!$D$2:$D$9999,VLOOKUP(Veda!$B169,'Globiom data'!$V$21:$X$29,2,FALSE),'Globiom data'!$E$2:$E$9999,Veda!$C$1),0)*1000</f>
        <v>0.18757973059951424</v>
      </c>
      <c r="M169" s="2">
        <f>MAX(SUMIFS('Globiom data'!L$2:L$9999,'Globiom data'!$A$2:$A$9999,Veda!$D169,'Globiom data'!$D$2:$D$9999,VLOOKUP(Veda!$B169,'Globiom data'!$V$21:$X$29,2,FALSE),'Globiom data'!$E$2:$E$9999,Veda!$C$1),0)*1000</f>
        <v>1.0308822675499838</v>
      </c>
      <c r="N169" s="2">
        <f>MAX(SUMIFS('Globiom data'!M$2:M$9999,'Globiom data'!$A$2:$A$9999,Veda!$D169,'Globiom data'!$D$2:$D$9999,VLOOKUP(Veda!$B169,'Globiom data'!$V$21:$X$29,2,FALSE),'Globiom data'!$E$2:$E$9999,Veda!$C$1),0)*1000</f>
        <v>1.0542186789900123</v>
      </c>
      <c r="O169" s="2">
        <f>MAX(SUMIFS('Globiom data'!N$2:N$9999,'Globiom data'!$A$2:$A$9999,Veda!$D169,'Globiom data'!$D$2:$D$9999,VLOOKUP(Veda!$B169,'Globiom data'!$V$21:$X$29,2,FALSE),'Globiom data'!$E$2:$E$9999,Veda!$C$1),0)*1000</f>
        <v>2.7535721804277937</v>
      </c>
      <c r="P169" s="2">
        <f>MAX(SUMIFS('Globiom data'!O$2:O$9999,'Globiom data'!$A$2:$A$9999,Veda!$D169,'Globiom data'!$D$2:$D$9999,VLOOKUP(Veda!$B169,'Globiom data'!$V$21:$X$29,2,FALSE),'Globiom data'!$E$2:$E$9999,Veda!$C$1),0)*1000</f>
        <v>3.3766339404337833</v>
      </c>
      <c r="Q169" s="2">
        <f>MAX(SUMIFS('Globiom data'!P$2:P$9999,'Globiom data'!$A$2:$A$9999,Veda!$D169,'Globiom data'!$D$2:$D$9999,VLOOKUP(Veda!$B169,'Globiom data'!$V$21:$X$29,2,FALSE),'Globiom data'!$E$2:$E$9999,Veda!$C$1),0)*1000</f>
        <v>5.3293944041609995</v>
      </c>
      <c r="R169">
        <v>3</v>
      </c>
    </row>
    <row r="170" spans="1:18" x14ac:dyDescent="0.45">
      <c r="A170" s="8">
        <f t="shared" si="9"/>
        <v>24</v>
      </c>
      <c r="B170" s="8">
        <f t="shared" si="10"/>
        <v>4</v>
      </c>
      <c r="D170" t="str">
        <f>VLOOKUP(A170,'Globiom data'!$S$21:$T$51,2,FALSE)</f>
        <v>Nor-Ice</v>
      </c>
      <c r="E170" t="str">
        <f>VLOOKUP(B170,'Globiom data'!$V$21:$X$30,3,FALSE)</f>
        <v>MinBIOBSL-04</v>
      </c>
      <c r="F170" t="s">
        <v>53</v>
      </c>
      <c r="G170" s="2">
        <f>MAX(SUMIFS('Globiom data'!F$2:F$9999,'Globiom data'!$A$2:$A$9999,Veda!$D170,'Globiom data'!$D$2:$D$9999,VLOOKUP(Veda!$B170,'Globiom data'!$V$21:$X$29,2,FALSE),'Globiom data'!$E$2:$E$9999,Veda!$C$1),0)*1000</f>
        <v>0</v>
      </c>
      <c r="H170" s="2">
        <f>MAX(SUMIFS('Globiom data'!G$2:G$9999,'Globiom data'!$A$2:$A$9999,Veda!$D170,'Globiom data'!$D$2:$D$9999,VLOOKUP(Veda!$B170,'Globiom data'!$V$21:$X$29,2,FALSE),'Globiom data'!$E$2:$E$9999,Veda!$C$1),0)*1000</f>
        <v>2.3803909210903355E-2</v>
      </c>
      <c r="I170" s="2">
        <f>MAX(SUMIFS('Globiom data'!H$2:H$9999,'Globiom data'!$A$2:$A$9999,Veda!$D170,'Globiom data'!$D$2:$D$9999,VLOOKUP(Veda!$B170,'Globiom data'!$V$21:$X$29,2,FALSE),'Globiom data'!$E$2:$E$9999,Veda!$C$1),0)*1000</f>
        <v>2.3803909210903355E-2</v>
      </c>
      <c r="J170" s="2">
        <f>MAX(SUMIFS('Globiom data'!I$2:I$9999,'Globiom data'!$A$2:$A$9999,Veda!$D170,'Globiom data'!$D$2:$D$9999,VLOOKUP(Veda!$B170,'Globiom data'!$V$21:$X$29,2,FALSE),'Globiom data'!$E$2:$E$9999,Veda!$C$1),0)*1000</f>
        <v>0.10211959616740661</v>
      </c>
      <c r="K170" s="2">
        <f>MAX(SUMIFS('Globiom data'!J$2:J$9999,'Globiom data'!$A$2:$A$9999,Veda!$D170,'Globiom data'!$D$2:$D$9999,VLOOKUP(Veda!$B170,'Globiom data'!$V$21:$X$29,2,FALSE),'Globiom data'!$E$2:$E$9999,Veda!$C$1),0)*1000</f>
        <v>1.0129295451545963</v>
      </c>
      <c r="L170" s="2">
        <f>MAX(SUMIFS('Globiom data'!K$2:K$9999,'Globiom data'!$A$2:$A$9999,Veda!$D170,'Globiom data'!$D$2:$D$9999,VLOOKUP(Veda!$B170,'Globiom data'!$V$21:$X$29,2,FALSE),'Globiom data'!$E$2:$E$9999,Veda!$C$1),0)*1000</f>
        <v>0.96873024668312635</v>
      </c>
      <c r="M170" s="2">
        <f>MAX(SUMIFS('Globiom data'!L$2:L$9999,'Globiom data'!$A$2:$A$9999,Veda!$D170,'Globiom data'!$D$2:$D$9999,VLOOKUP(Veda!$B170,'Globiom data'!$V$21:$X$29,2,FALSE),'Globiom data'!$E$2:$E$9999,Veda!$C$1),0)*1000</f>
        <v>3.1337857911833269</v>
      </c>
      <c r="N170" s="2">
        <f>MAX(SUMIFS('Globiom data'!M$2:M$9999,'Globiom data'!$A$2:$A$9999,Veda!$D170,'Globiom data'!$D$2:$D$9999,VLOOKUP(Veda!$B170,'Globiom data'!$V$21:$X$29,2,FALSE),'Globiom data'!$E$2:$E$9999,Veda!$C$1),0)*1000</f>
        <v>5.4091247231936697</v>
      </c>
      <c r="O170" s="2">
        <f>MAX(SUMIFS('Globiom data'!N$2:N$9999,'Globiom data'!$A$2:$A$9999,Veda!$D170,'Globiom data'!$D$2:$D$9999,VLOOKUP(Veda!$B170,'Globiom data'!$V$21:$X$29,2,FALSE),'Globiom data'!$E$2:$E$9999,Veda!$C$1),0)*1000</f>
        <v>5.0683776260538931</v>
      </c>
      <c r="P170" s="2">
        <f>MAX(SUMIFS('Globiom data'!O$2:O$9999,'Globiom data'!$A$2:$A$9999,Veda!$D170,'Globiom data'!$D$2:$D$9999,VLOOKUP(Veda!$B170,'Globiom data'!$V$21:$X$29,2,FALSE),'Globiom data'!$E$2:$E$9999,Veda!$C$1),0)*1000</f>
        <v>6.4728897050469341</v>
      </c>
      <c r="Q170" s="2">
        <f>MAX(SUMIFS('Globiom data'!P$2:P$9999,'Globiom data'!$A$2:$A$9999,Veda!$D170,'Globiom data'!$D$2:$D$9999,VLOOKUP(Veda!$B170,'Globiom data'!$V$21:$X$29,2,FALSE),'Globiom data'!$E$2:$E$9999,Veda!$C$1),0)*1000</f>
        <v>10.082522056737638</v>
      </c>
      <c r="R170">
        <v>3</v>
      </c>
    </row>
    <row r="171" spans="1:18" x14ac:dyDescent="0.45">
      <c r="A171" s="8">
        <f t="shared" si="9"/>
        <v>24</v>
      </c>
      <c r="B171" s="8">
        <f t="shared" si="10"/>
        <v>5</v>
      </c>
      <c r="D171" t="str">
        <f>VLOOKUP(A171,'Globiom data'!$S$21:$T$51,2,FALSE)</f>
        <v>Nor-Ice</v>
      </c>
      <c r="E171" t="str">
        <f>VLOOKUP(B171,'Globiom data'!$V$21:$X$30,3,FALSE)</f>
        <v>MinBIOBSL-05</v>
      </c>
      <c r="F171" t="s">
        <v>53</v>
      </c>
      <c r="G171" s="2">
        <f>MAX(SUMIFS('Globiom data'!F$2:F$9999,'Globiom data'!$A$2:$A$9999,Veda!$D171,'Globiom data'!$D$2:$D$9999,VLOOKUP(Veda!$B171,'Globiom data'!$V$21:$X$29,2,FALSE),'Globiom data'!$E$2:$E$9999,Veda!$C$1),0)*1000</f>
        <v>0</v>
      </c>
      <c r="H171" s="2">
        <f>MAX(SUMIFS('Globiom data'!G$2:G$9999,'Globiom data'!$A$2:$A$9999,Veda!$D171,'Globiom data'!$D$2:$D$9999,VLOOKUP(Veda!$B171,'Globiom data'!$V$21:$X$29,2,FALSE),'Globiom data'!$E$2:$E$9999,Veda!$C$1),0)*1000</f>
        <v>3.1576382049658569E-2</v>
      </c>
      <c r="I171" s="2">
        <f>MAX(SUMIFS('Globiom data'!H$2:H$9999,'Globiom data'!$A$2:$A$9999,Veda!$D171,'Globiom data'!$D$2:$D$9999,VLOOKUP(Veda!$B171,'Globiom data'!$V$21:$X$29,2,FALSE),'Globiom data'!$E$2:$E$9999,Veda!$C$1),0)*1000</f>
        <v>3.1576382049658569E-2</v>
      </c>
      <c r="J171" s="2">
        <f>MAX(SUMIFS('Globiom data'!I$2:I$9999,'Globiom data'!$A$2:$A$9999,Veda!$D171,'Globiom data'!$D$2:$D$9999,VLOOKUP(Veda!$B171,'Globiom data'!$V$21:$X$29,2,FALSE),'Globiom data'!$E$2:$E$9999,Veda!$C$1),0)*1000</f>
        <v>1.1024304751350884</v>
      </c>
      <c r="K171" s="2">
        <f>MAX(SUMIFS('Globiom data'!J$2:J$9999,'Globiom data'!$A$2:$A$9999,Veda!$D171,'Globiom data'!$D$2:$D$9999,VLOOKUP(Veda!$B171,'Globiom data'!$V$21:$X$29,2,FALSE),'Globiom data'!$E$2:$E$9999,Veda!$C$1),0)*1000</f>
        <v>2.6433508011889617</v>
      </c>
      <c r="L171" s="2">
        <f>MAX(SUMIFS('Globiom data'!K$2:K$9999,'Globiom data'!$A$2:$A$9999,Veda!$D171,'Globiom data'!$D$2:$D$9999,VLOOKUP(Veda!$B171,'Globiom data'!$V$21:$X$29,2,FALSE),'Globiom data'!$E$2:$E$9999,Veda!$C$1),0)*1000</f>
        <v>5.8906287818187666</v>
      </c>
      <c r="M171" s="2">
        <f>MAX(SUMIFS('Globiom data'!L$2:L$9999,'Globiom data'!$A$2:$A$9999,Veda!$D171,'Globiom data'!$D$2:$D$9999,VLOOKUP(Veda!$B171,'Globiom data'!$V$21:$X$29,2,FALSE),'Globiom data'!$E$2:$E$9999,Veda!$C$1),0)*1000</f>
        <v>5.3954238047274385</v>
      </c>
      <c r="N171" s="2">
        <f>MAX(SUMIFS('Globiom data'!M$2:M$9999,'Globiom data'!$A$2:$A$9999,Veda!$D171,'Globiom data'!$D$2:$D$9999,VLOOKUP(Veda!$B171,'Globiom data'!$V$21:$X$29,2,FALSE),'Globiom data'!$E$2:$E$9999,Veda!$C$1),0)*1000</f>
        <v>9.9597625700581105</v>
      </c>
      <c r="O171" s="2">
        <f>MAX(SUMIFS('Globiom data'!N$2:N$9999,'Globiom data'!$A$2:$A$9999,Veda!$D171,'Globiom data'!$D$2:$D$9999,VLOOKUP(Veda!$B171,'Globiom data'!$V$21:$X$29,2,FALSE),'Globiom data'!$E$2:$E$9999,Veda!$C$1),0)*1000</f>
        <v>15.641774004219601</v>
      </c>
      <c r="P171" s="2">
        <f>MAX(SUMIFS('Globiom data'!O$2:O$9999,'Globiom data'!$A$2:$A$9999,Veda!$D171,'Globiom data'!$D$2:$D$9999,VLOOKUP(Veda!$B171,'Globiom data'!$V$21:$X$29,2,FALSE),'Globiom data'!$E$2:$E$9999,Veda!$C$1),0)*1000</f>
        <v>21.267529317064813</v>
      </c>
      <c r="Q171" s="2">
        <f>MAX(SUMIFS('Globiom data'!P$2:P$9999,'Globiom data'!$A$2:$A$9999,Veda!$D171,'Globiom data'!$D$2:$D$9999,VLOOKUP(Veda!$B171,'Globiom data'!$V$21:$X$29,2,FALSE),'Globiom data'!$E$2:$E$9999,Veda!$C$1),0)*1000</f>
        <v>22.379578947267301</v>
      </c>
      <c r="R171">
        <v>3</v>
      </c>
    </row>
    <row r="172" spans="1:18" x14ac:dyDescent="0.45">
      <c r="A172" s="8">
        <f t="shared" si="9"/>
        <v>24</v>
      </c>
      <c r="B172" s="8">
        <f t="shared" si="10"/>
        <v>6</v>
      </c>
      <c r="D172" t="str">
        <f>VLOOKUP(A172,'Globiom data'!$S$21:$T$51,2,FALSE)</f>
        <v>Nor-Ice</v>
      </c>
      <c r="E172" t="str">
        <f>VLOOKUP(B172,'Globiom data'!$V$21:$X$30,3,FALSE)</f>
        <v>MinBIOBSL-06</v>
      </c>
      <c r="F172" t="s">
        <v>53</v>
      </c>
      <c r="G172" s="2">
        <f>MAX(SUMIFS('Globiom data'!F$2:F$9999,'Globiom data'!$A$2:$A$9999,Veda!$D172,'Globiom data'!$D$2:$D$9999,VLOOKUP(Veda!$B172,'Globiom data'!$V$21:$X$29,2,FALSE),'Globiom data'!$E$2:$E$9999,Veda!$C$1),0)*1000</f>
        <v>0</v>
      </c>
      <c r="H172" s="2">
        <f>MAX(SUMIFS('Globiom data'!G$2:G$9999,'Globiom data'!$A$2:$A$9999,Veda!$D172,'Globiom data'!$D$2:$D$9999,VLOOKUP(Veda!$B172,'Globiom data'!$V$21:$X$29,2,FALSE),'Globiom data'!$E$2:$E$9999,Veda!$C$1),0)*1000</f>
        <v>0.29833158944389904</v>
      </c>
      <c r="I172" s="2">
        <f>MAX(SUMIFS('Globiom data'!H$2:H$9999,'Globiom data'!$A$2:$A$9999,Veda!$D172,'Globiom data'!$D$2:$D$9999,VLOOKUP(Veda!$B172,'Globiom data'!$V$21:$X$29,2,FALSE),'Globiom data'!$E$2:$E$9999,Veda!$C$1),0)*1000</f>
        <v>0.29833158944389904</v>
      </c>
      <c r="J172" s="2">
        <f>MAX(SUMIFS('Globiom data'!I$2:I$9999,'Globiom data'!$A$2:$A$9999,Veda!$D172,'Globiom data'!$D$2:$D$9999,VLOOKUP(Veda!$B172,'Globiom data'!$V$21:$X$29,2,FALSE),'Globiom data'!$E$2:$E$9999,Veda!$C$1),0)*1000</f>
        <v>5.2444913390870438</v>
      </c>
      <c r="K172" s="2">
        <f>MAX(SUMIFS('Globiom data'!J$2:J$9999,'Globiom data'!$A$2:$A$9999,Veda!$D172,'Globiom data'!$D$2:$D$9999,VLOOKUP(Veda!$B172,'Globiom data'!$V$21:$X$29,2,FALSE),'Globiom data'!$E$2:$E$9999,Veda!$C$1),0)*1000</f>
        <v>11.461834611095675</v>
      </c>
      <c r="L172" s="2">
        <f>MAX(SUMIFS('Globiom data'!K$2:K$9999,'Globiom data'!$A$2:$A$9999,Veda!$D172,'Globiom data'!$D$2:$D$9999,VLOOKUP(Veda!$B172,'Globiom data'!$V$21:$X$29,2,FALSE),'Globiom data'!$E$2:$E$9999,Veda!$C$1),0)*1000</f>
        <v>17.603198407482513</v>
      </c>
      <c r="M172" s="2">
        <f>MAX(SUMIFS('Globiom data'!L$2:L$9999,'Globiom data'!$A$2:$A$9999,Veda!$D172,'Globiom data'!$D$2:$D$9999,VLOOKUP(Veda!$B172,'Globiom data'!$V$21:$X$29,2,FALSE),'Globiom data'!$E$2:$E$9999,Veda!$C$1),0)*1000</f>
        <v>23.49789791411402</v>
      </c>
      <c r="N172" s="2">
        <f>MAX(SUMIFS('Globiom data'!M$2:M$9999,'Globiom data'!$A$2:$A$9999,Veda!$D172,'Globiom data'!$D$2:$D$9999,VLOOKUP(Veda!$B172,'Globiom data'!$V$21:$X$29,2,FALSE),'Globiom data'!$E$2:$E$9999,Veda!$C$1),0)*1000</f>
        <v>24.272007778444415</v>
      </c>
      <c r="O172" s="2">
        <f>MAX(SUMIFS('Globiom data'!N$2:N$9999,'Globiom data'!$A$2:$A$9999,Veda!$D172,'Globiom data'!$D$2:$D$9999,VLOOKUP(Veda!$B172,'Globiom data'!$V$21:$X$29,2,FALSE),'Globiom data'!$E$2:$E$9999,Veda!$C$1),0)*1000</f>
        <v>23.846018051141836</v>
      </c>
      <c r="P172" s="2">
        <f>MAX(SUMIFS('Globiom data'!O$2:O$9999,'Globiom data'!$A$2:$A$9999,Veda!$D172,'Globiom data'!$D$2:$D$9999,VLOOKUP(Veda!$B172,'Globiom data'!$V$21:$X$29,2,FALSE),'Globiom data'!$E$2:$E$9999,Veda!$C$1),0)*1000</f>
        <v>23.584440216280225</v>
      </c>
      <c r="Q172" s="2">
        <f>MAX(SUMIFS('Globiom data'!P$2:P$9999,'Globiom data'!$A$2:$A$9999,Veda!$D172,'Globiom data'!$D$2:$D$9999,VLOOKUP(Veda!$B172,'Globiom data'!$V$21:$X$29,2,FALSE),'Globiom data'!$E$2:$E$9999,Veda!$C$1),0)*1000</f>
        <v>24.767158623003734</v>
      </c>
      <c r="R172">
        <v>3</v>
      </c>
    </row>
    <row r="173" spans="1:18" x14ac:dyDescent="0.45">
      <c r="A173" s="8">
        <f t="shared" si="9"/>
        <v>24</v>
      </c>
      <c r="B173" s="8">
        <f t="shared" si="10"/>
        <v>7</v>
      </c>
      <c r="D173" t="str">
        <f>VLOOKUP(A173,'Globiom data'!$S$21:$T$51,2,FALSE)</f>
        <v>Nor-Ice</v>
      </c>
      <c r="E173" t="str">
        <f>VLOOKUP(B173,'Globiom data'!$V$21:$X$30,3,FALSE)</f>
        <v>MinBIOBSL-07</v>
      </c>
      <c r="F173" t="s">
        <v>53</v>
      </c>
      <c r="G173" s="2">
        <f>MAX(SUMIFS('Globiom data'!F$2:F$9999,'Globiom data'!$A$2:$A$9999,Veda!$D173,'Globiom data'!$D$2:$D$9999,VLOOKUP(Veda!$B173,'Globiom data'!$V$21:$X$29,2,FALSE),'Globiom data'!$E$2:$E$9999,Veda!$C$1),0)*1000</f>
        <v>0</v>
      </c>
      <c r="H173" s="2">
        <f>MAX(SUMIFS('Globiom data'!G$2:G$9999,'Globiom data'!$A$2:$A$9999,Veda!$D173,'Globiom data'!$D$2:$D$9999,VLOOKUP(Veda!$B173,'Globiom data'!$V$21:$X$29,2,FALSE),'Globiom data'!$E$2:$E$9999,Veda!$C$1),0)*1000</f>
        <v>2.856300740654719</v>
      </c>
      <c r="I173" s="2">
        <f>MAX(SUMIFS('Globiom data'!H$2:H$9999,'Globiom data'!$A$2:$A$9999,Veda!$D173,'Globiom data'!$D$2:$D$9999,VLOOKUP(Veda!$B173,'Globiom data'!$V$21:$X$29,2,FALSE),'Globiom data'!$E$2:$E$9999,Veda!$C$1),0)*1000</f>
        <v>2.856300740654719</v>
      </c>
      <c r="J173" s="2">
        <f>MAX(SUMIFS('Globiom data'!I$2:I$9999,'Globiom data'!$A$2:$A$9999,Veda!$D173,'Globiom data'!$D$2:$D$9999,VLOOKUP(Veda!$B173,'Globiom data'!$V$21:$X$29,2,FALSE),'Globiom data'!$E$2:$E$9999,Veda!$C$1),0)*1000</f>
        <v>10.145160277560493</v>
      </c>
      <c r="K173" s="2">
        <f>MAX(SUMIFS('Globiom data'!J$2:J$9999,'Globiom data'!$A$2:$A$9999,Veda!$D173,'Globiom data'!$D$2:$D$9999,VLOOKUP(Veda!$B173,'Globiom data'!$V$21:$X$29,2,FALSE),'Globiom data'!$E$2:$E$9999,Veda!$C$1),0)*1000</f>
        <v>9.5039308371589577</v>
      </c>
      <c r="L173" s="2">
        <f>MAX(SUMIFS('Globiom data'!K$2:K$9999,'Globiom data'!$A$2:$A$9999,Veda!$D173,'Globiom data'!$D$2:$D$9999,VLOOKUP(Veda!$B173,'Globiom data'!$V$21:$X$29,2,FALSE),'Globiom data'!$E$2:$E$9999,Veda!$C$1),0)*1000</f>
        <v>8.1945878003944976</v>
      </c>
      <c r="M173" s="2">
        <f>MAX(SUMIFS('Globiom data'!L$2:L$9999,'Globiom data'!$A$2:$A$9999,Veda!$D173,'Globiom data'!$D$2:$D$9999,VLOOKUP(Veda!$B173,'Globiom data'!$V$21:$X$29,2,FALSE),'Globiom data'!$E$2:$E$9999,Veda!$C$1),0)*1000</f>
        <v>10.669347079119465</v>
      </c>
      <c r="N173" s="2">
        <f>MAX(SUMIFS('Globiom data'!M$2:M$9999,'Globiom data'!$A$2:$A$9999,Veda!$D173,'Globiom data'!$D$2:$D$9999,VLOOKUP(Veda!$B173,'Globiom data'!$V$21:$X$29,2,FALSE),'Globiom data'!$E$2:$E$9999,Veda!$C$1),0)*1000</f>
        <v>14.444288969167701</v>
      </c>
      <c r="O173" s="2">
        <f>MAX(SUMIFS('Globiom data'!N$2:N$9999,'Globiom data'!$A$2:$A$9999,Veda!$D173,'Globiom data'!$D$2:$D$9999,VLOOKUP(Veda!$B173,'Globiom data'!$V$21:$X$29,2,FALSE),'Globiom data'!$E$2:$E$9999,Veda!$C$1),0)*1000</f>
        <v>18.839407011436727</v>
      </c>
      <c r="P173" s="2">
        <f>MAX(SUMIFS('Globiom data'!O$2:O$9999,'Globiom data'!$A$2:$A$9999,Veda!$D173,'Globiom data'!$D$2:$D$9999,VLOOKUP(Veda!$B173,'Globiom data'!$V$21:$X$29,2,FALSE),'Globiom data'!$E$2:$E$9999,Veda!$C$1),0)*1000</f>
        <v>23.210349352614788</v>
      </c>
      <c r="Q173" s="2">
        <f>MAX(SUMIFS('Globiom data'!P$2:P$9999,'Globiom data'!$A$2:$A$9999,Veda!$D173,'Globiom data'!$D$2:$D$9999,VLOOKUP(Veda!$B173,'Globiom data'!$V$21:$X$29,2,FALSE),'Globiom data'!$E$2:$E$9999,Veda!$C$1),0)*1000</f>
        <v>25.138224401085459</v>
      </c>
      <c r="R173">
        <v>3</v>
      </c>
    </row>
    <row r="174" spans="1:18" x14ac:dyDescent="0.45">
      <c r="A174" s="8">
        <f t="shared" si="9"/>
        <v>25</v>
      </c>
      <c r="B174" s="8">
        <f t="shared" si="10"/>
        <v>1</v>
      </c>
      <c r="D174" t="str">
        <f>VLOOKUP(A174,'Globiom data'!$S$21:$T$51,2,FALSE)</f>
        <v>Russia</v>
      </c>
      <c r="E174" t="str">
        <f>VLOOKUP(B174,'Globiom data'!$V$21:$X$30,3,FALSE)</f>
        <v>MinBIOBSL-01</v>
      </c>
      <c r="F174" t="s">
        <v>53</v>
      </c>
      <c r="G174" s="2">
        <f>MAX(SUMIFS('Globiom data'!F$2:F$9999,'Globiom data'!$A$2:$A$9999,Veda!$D174,'Globiom data'!$D$2:$D$9999,VLOOKUP(Veda!$B174,'Globiom data'!$V$21:$X$29,2,FALSE),'Globiom data'!$E$2:$E$9999,Veda!$C$1),0)*1000</f>
        <v>120.2780702327163</v>
      </c>
      <c r="H174" s="2">
        <f>MAX(SUMIFS('Globiom data'!G$2:G$9999,'Globiom data'!$A$2:$A$9999,Veda!$D174,'Globiom data'!$D$2:$D$9999,VLOOKUP(Veda!$B174,'Globiom data'!$V$21:$X$29,2,FALSE),'Globiom data'!$E$2:$E$9999,Veda!$C$1),0)*1000</f>
        <v>69.046439446961116</v>
      </c>
      <c r="I174" s="2">
        <f>MAX(SUMIFS('Globiom data'!H$2:H$9999,'Globiom data'!$A$2:$A$9999,Veda!$D174,'Globiom data'!$D$2:$D$9999,VLOOKUP(Veda!$B174,'Globiom data'!$V$21:$X$29,2,FALSE),'Globiom data'!$E$2:$E$9999,Veda!$C$1),0)*1000</f>
        <v>69.046439446961116</v>
      </c>
      <c r="J174" s="2">
        <f>MAX(SUMIFS('Globiom data'!I$2:I$9999,'Globiom data'!$A$2:$A$9999,Veda!$D174,'Globiom data'!$D$2:$D$9999,VLOOKUP(Veda!$B174,'Globiom data'!$V$21:$X$29,2,FALSE),'Globiom data'!$E$2:$E$9999,Veda!$C$1),0)*1000</f>
        <v>68.841005456220472</v>
      </c>
      <c r="K174" s="2">
        <f>MAX(SUMIFS('Globiom data'!J$2:J$9999,'Globiom data'!$A$2:$A$9999,Veda!$D174,'Globiom data'!$D$2:$D$9999,VLOOKUP(Veda!$B174,'Globiom data'!$V$21:$X$29,2,FALSE),'Globiom data'!$E$2:$E$9999,Veda!$C$1),0)*1000</f>
        <v>71.260663445652725</v>
      </c>
      <c r="L174" s="2">
        <f>MAX(SUMIFS('Globiom data'!K$2:K$9999,'Globiom data'!$A$2:$A$9999,Veda!$D174,'Globiom data'!$D$2:$D$9999,VLOOKUP(Veda!$B174,'Globiom data'!$V$21:$X$29,2,FALSE),'Globiom data'!$E$2:$E$9999,Veda!$C$1),0)*1000</f>
        <v>72.224030243935275</v>
      </c>
      <c r="M174" s="2">
        <f>MAX(SUMIFS('Globiom data'!L$2:L$9999,'Globiom data'!$A$2:$A$9999,Veda!$D174,'Globiom data'!$D$2:$D$9999,VLOOKUP(Veda!$B174,'Globiom data'!$V$21:$X$29,2,FALSE),'Globiom data'!$E$2:$E$9999,Veda!$C$1),0)*1000</f>
        <v>72.177313234986272</v>
      </c>
      <c r="N174" s="2">
        <f>MAX(SUMIFS('Globiom data'!M$2:M$9999,'Globiom data'!$A$2:$A$9999,Veda!$D174,'Globiom data'!$D$2:$D$9999,VLOOKUP(Veda!$B174,'Globiom data'!$V$21:$X$29,2,FALSE),'Globiom data'!$E$2:$E$9999,Veda!$C$1),0)*1000</f>
        <v>72.130681447700411</v>
      </c>
      <c r="O174" s="2">
        <f>MAX(SUMIFS('Globiom data'!N$2:N$9999,'Globiom data'!$A$2:$A$9999,Veda!$D174,'Globiom data'!$D$2:$D$9999,VLOOKUP(Veda!$B174,'Globiom data'!$V$21:$X$29,2,FALSE),'Globiom data'!$E$2:$E$9999,Veda!$C$1),0)*1000</f>
        <v>72.120395918906894</v>
      </c>
      <c r="P174" s="2">
        <f>MAX(SUMIFS('Globiom data'!O$2:O$9999,'Globiom data'!$A$2:$A$9999,Veda!$D174,'Globiom data'!$D$2:$D$9999,VLOOKUP(Veda!$B174,'Globiom data'!$V$21:$X$29,2,FALSE),'Globiom data'!$E$2:$E$9999,Veda!$C$1),0)*1000</f>
        <v>72.074935704220891</v>
      </c>
      <c r="Q174" s="2">
        <f>MAX(SUMIFS('Globiom data'!P$2:P$9999,'Globiom data'!$A$2:$A$9999,Veda!$D174,'Globiom data'!$D$2:$D$9999,VLOOKUP(Veda!$B174,'Globiom data'!$V$21:$X$29,2,FALSE),'Globiom data'!$E$2:$E$9999,Veda!$C$1),0)*1000</f>
        <v>72.794329584225196</v>
      </c>
      <c r="R174">
        <v>3</v>
      </c>
    </row>
    <row r="175" spans="1:18" x14ac:dyDescent="0.45">
      <c r="A175" s="8">
        <f t="shared" si="9"/>
        <v>25</v>
      </c>
      <c r="B175" s="8">
        <f t="shared" si="10"/>
        <v>2</v>
      </c>
      <c r="D175" t="str">
        <f>VLOOKUP(A175,'Globiom data'!$S$21:$T$51,2,FALSE)</f>
        <v>Russia</v>
      </c>
      <c r="E175" t="str">
        <f>VLOOKUP(B175,'Globiom data'!$V$21:$X$30,3,FALSE)</f>
        <v>MinBIOBSL-02</v>
      </c>
      <c r="F175" t="s">
        <v>53</v>
      </c>
      <c r="G175" s="2">
        <f>MAX(SUMIFS('Globiom data'!F$2:F$9999,'Globiom data'!$A$2:$A$9999,Veda!$D175,'Globiom data'!$D$2:$D$9999,VLOOKUP(Veda!$B175,'Globiom data'!$V$21:$X$29,2,FALSE),'Globiom data'!$E$2:$E$9999,Veda!$C$1),0)*1000</f>
        <v>0</v>
      </c>
      <c r="H175" s="2">
        <f>MAX(SUMIFS('Globiom data'!G$2:G$9999,'Globiom data'!$A$2:$A$9999,Veda!$D175,'Globiom data'!$D$2:$D$9999,VLOOKUP(Veda!$B175,'Globiom data'!$V$21:$X$29,2,FALSE),'Globiom data'!$E$2:$E$9999,Veda!$C$1),0)*1000</f>
        <v>8.8433433296231101E-3</v>
      </c>
      <c r="I175" s="2">
        <f>MAX(SUMIFS('Globiom data'!H$2:H$9999,'Globiom data'!$A$2:$A$9999,Veda!$D175,'Globiom data'!$D$2:$D$9999,VLOOKUP(Veda!$B175,'Globiom data'!$V$21:$X$29,2,FALSE),'Globiom data'!$E$2:$E$9999,Veda!$C$1),0)*1000</f>
        <v>8.8433433296231101E-3</v>
      </c>
      <c r="J175" s="2">
        <f>MAX(SUMIFS('Globiom data'!I$2:I$9999,'Globiom data'!$A$2:$A$9999,Veda!$D175,'Globiom data'!$D$2:$D$9999,VLOOKUP(Veda!$B175,'Globiom data'!$V$21:$X$29,2,FALSE),'Globiom data'!$E$2:$E$9999,Veda!$C$1),0)*1000</f>
        <v>0.1649927425240883</v>
      </c>
      <c r="K175" s="2">
        <f>MAX(SUMIFS('Globiom data'!J$2:J$9999,'Globiom data'!$A$2:$A$9999,Veda!$D175,'Globiom data'!$D$2:$D$9999,VLOOKUP(Veda!$B175,'Globiom data'!$V$21:$X$29,2,FALSE),'Globiom data'!$E$2:$E$9999,Veda!$C$1),0)*1000</f>
        <v>0.33861655762543436</v>
      </c>
      <c r="L175" s="2">
        <f>MAX(SUMIFS('Globiom data'!K$2:K$9999,'Globiom data'!$A$2:$A$9999,Veda!$D175,'Globiom data'!$D$2:$D$9999,VLOOKUP(Veda!$B175,'Globiom data'!$V$21:$X$29,2,FALSE),'Globiom data'!$E$2:$E$9999,Veda!$C$1),0)*1000</f>
        <v>0.36994624262770476</v>
      </c>
      <c r="M175" s="2">
        <f>MAX(SUMIFS('Globiom data'!L$2:L$9999,'Globiom data'!$A$2:$A$9999,Veda!$D175,'Globiom data'!$D$2:$D$9999,VLOOKUP(Veda!$B175,'Globiom data'!$V$21:$X$29,2,FALSE),'Globiom data'!$E$2:$E$9999,Veda!$C$1),0)*1000</f>
        <v>0.57320089986741907</v>
      </c>
      <c r="N175" s="2">
        <f>MAX(SUMIFS('Globiom data'!M$2:M$9999,'Globiom data'!$A$2:$A$9999,Veda!$D175,'Globiom data'!$D$2:$D$9999,VLOOKUP(Veda!$B175,'Globiom data'!$V$21:$X$29,2,FALSE),'Globiom data'!$E$2:$E$9999,Veda!$C$1),0)*1000</f>
        <v>0.78045098218110887</v>
      </c>
      <c r="O175" s="2">
        <f>MAX(SUMIFS('Globiom data'!N$2:N$9999,'Globiom data'!$A$2:$A$9999,Veda!$D175,'Globiom data'!$D$2:$D$9999,VLOOKUP(Veda!$B175,'Globiom data'!$V$21:$X$29,2,FALSE),'Globiom data'!$E$2:$E$9999,Veda!$C$1),0)*1000</f>
        <v>23.935830946222076</v>
      </c>
      <c r="P175" s="2">
        <f>MAX(SUMIFS('Globiom data'!O$2:O$9999,'Globiom data'!$A$2:$A$9999,Veda!$D175,'Globiom data'!$D$2:$D$9999,VLOOKUP(Veda!$B175,'Globiom data'!$V$21:$X$29,2,FALSE),'Globiom data'!$E$2:$E$9999,Veda!$C$1),0)*1000</f>
        <v>34.753321016717855</v>
      </c>
      <c r="Q175" s="2">
        <f>MAX(SUMIFS('Globiom data'!P$2:P$9999,'Globiom data'!$A$2:$A$9999,Veda!$D175,'Globiom data'!$D$2:$D$9999,VLOOKUP(Veda!$B175,'Globiom data'!$V$21:$X$29,2,FALSE),'Globiom data'!$E$2:$E$9999,Veda!$C$1),0)*1000</f>
        <v>34.339198796655459</v>
      </c>
      <c r="R175">
        <v>3</v>
      </c>
    </row>
    <row r="176" spans="1:18" x14ac:dyDescent="0.45">
      <c r="A176" s="8">
        <f t="shared" si="9"/>
        <v>25</v>
      </c>
      <c r="B176" s="8">
        <f t="shared" si="10"/>
        <v>3</v>
      </c>
      <c r="D176" t="str">
        <f>VLOOKUP(A176,'Globiom data'!$S$21:$T$51,2,FALSE)</f>
        <v>Russia</v>
      </c>
      <c r="E176" t="str">
        <f>VLOOKUP(B176,'Globiom data'!$V$21:$X$30,3,FALSE)</f>
        <v>MinBIOBSL-03</v>
      </c>
      <c r="F176" t="s">
        <v>53</v>
      </c>
      <c r="G176" s="2">
        <f>MAX(SUMIFS('Globiom data'!F$2:F$9999,'Globiom data'!$A$2:$A$9999,Veda!$D176,'Globiom data'!$D$2:$D$9999,VLOOKUP(Veda!$B176,'Globiom data'!$V$21:$X$29,2,FALSE),'Globiom data'!$E$2:$E$9999,Veda!$C$1),0)*1000</f>
        <v>0</v>
      </c>
      <c r="H176" s="2">
        <f>MAX(SUMIFS('Globiom data'!G$2:G$9999,'Globiom data'!$A$2:$A$9999,Veda!$D176,'Globiom data'!$D$2:$D$9999,VLOOKUP(Veda!$B176,'Globiom data'!$V$21:$X$29,2,FALSE),'Globiom data'!$E$2:$E$9999,Veda!$C$1),0)*1000</f>
        <v>0</v>
      </c>
      <c r="I176" s="2">
        <f>MAX(SUMIFS('Globiom data'!H$2:H$9999,'Globiom data'!$A$2:$A$9999,Veda!$D176,'Globiom data'!$D$2:$D$9999,VLOOKUP(Veda!$B176,'Globiom data'!$V$21:$X$29,2,FALSE),'Globiom data'!$E$2:$E$9999,Veda!$C$1),0)*1000</f>
        <v>0</v>
      </c>
      <c r="J176" s="2">
        <f>MAX(SUMIFS('Globiom data'!I$2:I$9999,'Globiom data'!$A$2:$A$9999,Veda!$D176,'Globiom data'!$D$2:$D$9999,VLOOKUP(Veda!$B176,'Globiom data'!$V$21:$X$29,2,FALSE),'Globiom data'!$E$2:$E$9999,Veda!$C$1),0)*1000</f>
        <v>0</v>
      </c>
      <c r="K176" s="2">
        <f>MAX(SUMIFS('Globiom data'!J$2:J$9999,'Globiom data'!$A$2:$A$9999,Veda!$D176,'Globiom data'!$D$2:$D$9999,VLOOKUP(Veda!$B176,'Globiom data'!$V$21:$X$29,2,FALSE),'Globiom data'!$E$2:$E$9999,Veda!$C$1),0)*1000</f>
        <v>0.29024666772555091</v>
      </c>
      <c r="L176" s="2">
        <f>MAX(SUMIFS('Globiom data'!K$2:K$9999,'Globiom data'!$A$2:$A$9999,Veda!$D176,'Globiom data'!$D$2:$D$9999,VLOOKUP(Veda!$B176,'Globiom data'!$V$21:$X$29,2,FALSE),'Globiom data'!$E$2:$E$9999,Veda!$C$1),0)*1000</f>
        <v>1.2111111666871646</v>
      </c>
      <c r="M176" s="2">
        <f>MAX(SUMIFS('Globiom data'!L$2:L$9999,'Globiom data'!$A$2:$A$9999,Veda!$D176,'Globiom data'!$D$2:$D$9999,VLOOKUP(Veda!$B176,'Globiom data'!$V$21:$X$29,2,FALSE),'Globiom data'!$E$2:$E$9999,Veda!$C$1),0)*1000</f>
        <v>32.794805169611642</v>
      </c>
      <c r="N176" s="2">
        <f>MAX(SUMIFS('Globiom data'!M$2:M$9999,'Globiom data'!$A$2:$A$9999,Veda!$D176,'Globiom data'!$D$2:$D$9999,VLOOKUP(Veda!$B176,'Globiom data'!$V$21:$X$29,2,FALSE),'Globiom data'!$E$2:$E$9999,Veda!$C$1),0)*1000</f>
        <v>33.675234627232292</v>
      </c>
      <c r="O176" s="2">
        <f>MAX(SUMIFS('Globiom data'!N$2:N$9999,'Globiom data'!$A$2:$A$9999,Veda!$D176,'Globiom data'!$D$2:$D$9999,VLOOKUP(Veda!$B176,'Globiom data'!$V$21:$X$29,2,FALSE),'Globiom data'!$E$2:$E$9999,Veda!$C$1),0)*1000</f>
        <v>15.649530180001474</v>
      </c>
      <c r="P176" s="2">
        <f>MAX(SUMIFS('Globiom data'!O$2:O$9999,'Globiom data'!$A$2:$A$9999,Veda!$D176,'Globiom data'!$D$2:$D$9999,VLOOKUP(Veda!$B176,'Globiom data'!$V$21:$X$29,2,FALSE),'Globiom data'!$E$2:$E$9999,Veda!$C$1),0)*1000</f>
        <v>36.528069251240453</v>
      </c>
      <c r="Q176" s="2">
        <f>MAX(SUMIFS('Globiom data'!P$2:P$9999,'Globiom data'!$A$2:$A$9999,Veda!$D176,'Globiom data'!$D$2:$D$9999,VLOOKUP(Veda!$B176,'Globiom data'!$V$21:$X$29,2,FALSE),'Globiom data'!$E$2:$E$9999,Veda!$C$1),0)*1000</f>
        <v>84.771367768058482</v>
      </c>
      <c r="R176">
        <v>3</v>
      </c>
    </row>
    <row r="177" spans="1:18" x14ac:dyDescent="0.45">
      <c r="A177" s="8">
        <f t="shared" si="9"/>
        <v>25</v>
      </c>
      <c r="B177" s="8">
        <f t="shared" si="10"/>
        <v>4</v>
      </c>
      <c r="D177" t="str">
        <f>VLOOKUP(A177,'Globiom data'!$S$21:$T$51,2,FALSE)</f>
        <v>Russia</v>
      </c>
      <c r="E177" t="str">
        <f>VLOOKUP(B177,'Globiom data'!$V$21:$X$30,3,FALSE)</f>
        <v>MinBIOBSL-04</v>
      </c>
      <c r="F177" t="s">
        <v>53</v>
      </c>
      <c r="G177" s="2">
        <f>MAX(SUMIFS('Globiom data'!F$2:F$9999,'Globiom data'!$A$2:$A$9999,Veda!$D177,'Globiom data'!$D$2:$D$9999,VLOOKUP(Veda!$B177,'Globiom data'!$V$21:$X$29,2,FALSE),'Globiom data'!$E$2:$E$9999,Veda!$C$1),0)*1000</f>
        <v>0</v>
      </c>
      <c r="H177" s="2">
        <f>MAX(SUMIFS('Globiom data'!G$2:G$9999,'Globiom data'!$A$2:$A$9999,Veda!$D177,'Globiom data'!$D$2:$D$9999,VLOOKUP(Veda!$B177,'Globiom data'!$V$21:$X$29,2,FALSE),'Globiom data'!$E$2:$E$9999,Veda!$C$1),0)*1000</f>
        <v>0</v>
      </c>
      <c r="I177" s="2">
        <f>MAX(SUMIFS('Globiom data'!H$2:H$9999,'Globiom data'!$A$2:$A$9999,Veda!$D177,'Globiom data'!$D$2:$D$9999,VLOOKUP(Veda!$B177,'Globiom data'!$V$21:$X$29,2,FALSE),'Globiom data'!$E$2:$E$9999,Veda!$C$1),0)*1000</f>
        <v>0</v>
      </c>
      <c r="J177" s="2">
        <f>MAX(SUMIFS('Globiom data'!I$2:I$9999,'Globiom data'!$A$2:$A$9999,Veda!$D177,'Globiom data'!$D$2:$D$9999,VLOOKUP(Veda!$B177,'Globiom data'!$V$21:$X$29,2,FALSE),'Globiom data'!$E$2:$E$9999,Veda!$C$1),0)*1000</f>
        <v>0.1262017893616105</v>
      </c>
      <c r="K177" s="2">
        <f>MAX(SUMIFS('Globiom data'!J$2:J$9999,'Globiom data'!$A$2:$A$9999,Veda!$D177,'Globiom data'!$D$2:$D$9999,VLOOKUP(Veda!$B177,'Globiom data'!$V$21:$X$29,2,FALSE),'Globiom data'!$E$2:$E$9999,Veda!$C$1),0)*1000</f>
        <v>25.015761871968717</v>
      </c>
      <c r="L177" s="2">
        <f>MAX(SUMIFS('Globiom data'!K$2:K$9999,'Globiom data'!$A$2:$A$9999,Veda!$D177,'Globiom data'!$D$2:$D$9999,VLOOKUP(Veda!$B177,'Globiom data'!$V$21:$X$29,2,FALSE),'Globiom data'!$E$2:$E$9999,Veda!$C$1),0)*1000</f>
        <v>31.623458777994411</v>
      </c>
      <c r="M177" s="2">
        <f>MAX(SUMIFS('Globiom data'!L$2:L$9999,'Globiom data'!$A$2:$A$9999,Veda!$D177,'Globiom data'!$D$2:$D$9999,VLOOKUP(Veda!$B177,'Globiom data'!$V$21:$X$29,2,FALSE),'Globiom data'!$E$2:$E$9999,Veda!$C$1),0)*1000</f>
        <v>17.470589651580433</v>
      </c>
      <c r="N177" s="2">
        <f>MAX(SUMIFS('Globiom data'!M$2:M$9999,'Globiom data'!$A$2:$A$9999,Veda!$D177,'Globiom data'!$D$2:$D$9999,VLOOKUP(Veda!$B177,'Globiom data'!$V$21:$X$29,2,FALSE),'Globiom data'!$E$2:$E$9999,Veda!$C$1),0)*1000</f>
        <v>71.354756471083931</v>
      </c>
      <c r="O177" s="2">
        <f>MAX(SUMIFS('Globiom data'!N$2:N$9999,'Globiom data'!$A$2:$A$9999,Veda!$D177,'Globiom data'!$D$2:$D$9999,VLOOKUP(Veda!$B177,'Globiom data'!$V$21:$X$29,2,FALSE),'Globiom data'!$E$2:$E$9999,Veda!$C$1),0)*1000</f>
        <v>138.61585702367202</v>
      </c>
      <c r="P177" s="2">
        <f>MAX(SUMIFS('Globiom data'!O$2:O$9999,'Globiom data'!$A$2:$A$9999,Veda!$D177,'Globiom data'!$D$2:$D$9999,VLOOKUP(Veda!$B177,'Globiom data'!$V$21:$X$29,2,FALSE),'Globiom data'!$E$2:$E$9999,Veda!$C$1),0)*1000</f>
        <v>186.85934342886191</v>
      </c>
      <c r="Q177" s="2">
        <f>MAX(SUMIFS('Globiom data'!P$2:P$9999,'Globiom data'!$A$2:$A$9999,Veda!$D177,'Globiom data'!$D$2:$D$9999,VLOOKUP(Veda!$B177,'Globiom data'!$V$21:$X$29,2,FALSE),'Globiom data'!$E$2:$E$9999,Veda!$C$1),0)*1000</f>
        <v>211.09102543233433</v>
      </c>
      <c r="R177">
        <v>3</v>
      </c>
    </row>
    <row r="178" spans="1:18" x14ac:dyDescent="0.45">
      <c r="A178" s="8">
        <f t="shared" si="9"/>
        <v>25</v>
      </c>
      <c r="B178" s="8">
        <f t="shared" si="10"/>
        <v>5</v>
      </c>
      <c r="D178" t="str">
        <f>VLOOKUP(A178,'Globiom data'!$S$21:$T$51,2,FALSE)</f>
        <v>Russia</v>
      </c>
      <c r="E178" t="str">
        <f>VLOOKUP(B178,'Globiom data'!$V$21:$X$30,3,FALSE)</f>
        <v>MinBIOBSL-05</v>
      </c>
      <c r="F178" t="s">
        <v>53</v>
      </c>
      <c r="G178" s="2">
        <f>MAX(SUMIFS('Globiom data'!F$2:F$9999,'Globiom data'!$A$2:$A$9999,Veda!$D178,'Globiom data'!$D$2:$D$9999,VLOOKUP(Veda!$B178,'Globiom data'!$V$21:$X$29,2,FALSE),'Globiom data'!$E$2:$E$9999,Veda!$C$1),0)*1000</f>
        <v>0</v>
      </c>
      <c r="H178" s="2">
        <f>MAX(SUMIFS('Globiom data'!G$2:G$9999,'Globiom data'!$A$2:$A$9999,Veda!$D178,'Globiom data'!$D$2:$D$9999,VLOOKUP(Veda!$B178,'Globiom data'!$V$21:$X$29,2,FALSE),'Globiom data'!$E$2:$E$9999,Veda!$C$1),0)*1000</f>
        <v>0</v>
      </c>
      <c r="I178" s="2">
        <f>MAX(SUMIFS('Globiom data'!H$2:H$9999,'Globiom data'!$A$2:$A$9999,Veda!$D178,'Globiom data'!$D$2:$D$9999,VLOOKUP(Veda!$B178,'Globiom data'!$V$21:$X$29,2,FALSE),'Globiom data'!$E$2:$E$9999,Veda!$C$1),0)*1000</f>
        <v>0</v>
      </c>
      <c r="J178" s="2">
        <f>MAX(SUMIFS('Globiom data'!I$2:I$9999,'Globiom data'!$A$2:$A$9999,Veda!$D178,'Globiom data'!$D$2:$D$9999,VLOOKUP(Veda!$B178,'Globiom data'!$V$21:$X$29,2,FALSE),'Globiom data'!$E$2:$E$9999,Veda!$C$1),0)*1000</f>
        <v>19.272744558386826</v>
      </c>
      <c r="K178" s="2">
        <f>MAX(SUMIFS('Globiom data'!J$2:J$9999,'Globiom data'!$A$2:$A$9999,Veda!$D178,'Globiom data'!$D$2:$D$9999,VLOOKUP(Veda!$B178,'Globiom data'!$V$21:$X$29,2,FALSE),'Globiom data'!$E$2:$E$9999,Veda!$C$1),0)*1000</f>
        <v>11.804809994686831</v>
      </c>
      <c r="L178" s="2">
        <f>MAX(SUMIFS('Globiom data'!K$2:K$9999,'Globiom data'!$A$2:$A$9999,Veda!$D178,'Globiom data'!$D$2:$D$9999,VLOOKUP(Veda!$B178,'Globiom data'!$V$21:$X$29,2,FALSE),'Globiom data'!$E$2:$E$9999,Veda!$C$1),0)*1000</f>
        <v>68.951209247162069</v>
      </c>
      <c r="M178" s="2">
        <f>MAX(SUMIFS('Globiom data'!L$2:L$9999,'Globiom data'!$A$2:$A$9999,Veda!$D178,'Globiom data'!$D$2:$D$9999,VLOOKUP(Veda!$B178,'Globiom data'!$V$21:$X$29,2,FALSE),'Globiom data'!$E$2:$E$9999,Veda!$C$1),0)*1000</f>
        <v>144.25500645132931</v>
      </c>
      <c r="N178" s="2">
        <f>MAX(SUMIFS('Globiom data'!M$2:M$9999,'Globiom data'!$A$2:$A$9999,Veda!$D178,'Globiom data'!$D$2:$D$9999,VLOOKUP(Veda!$B178,'Globiom data'!$V$21:$X$29,2,FALSE),'Globiom data'!$E$2:$E$9999,Veda!$C$1),0)*1000</f>
        <v>180.02119217628976</v>
      </c>
      <c r="O178" s="2">
        <f>MAX(SUMIFS('Globiom data'!N$2:N$9999,'Globiom data'!$A$2:$A$9999,Veda!$D178,'Globiom data'!$D$2:$D$9999,VLOOKUP(Veda!$B178,'Globiom data'!$V$21:$X$29,2,FALSE),'Globiom data'!$E$2:$E$9999,Veda!$C$1),0)*1000</f>
        <v>200.24276163968872</v>
      </c>
      <c r="P178" s="2">
        <f>MAX(SUMIFS('Globiom data'!O$2:O$9999,'Globiom data'!$A$2:$A$9999,Veda!$D178,'Globiom data'!$D$2:$D$9999,VLOOKUP(Veda!$B178,'Globiom data'!$V$21:$X$29,2,FALSE),'Globiom data'!$E$2:$E$9999,Veda!$C$1),0)*1000</f>
        <v>222.65830946939127</v>
      </c>
      <c r="Q178" s="2">
        <f>MAX(SUMIFS('Globiom data'!P$2:P$9999,'Globiom data'!$A$2:$A$9999,Veda!$D178,'Globiom data'!$D$2:$D$9999,VLOOKUP(Veda!$B178,'Globiom data'!$V$21:$X$29,2,FALSE),'Globiom data'!$E$2:$E$9999,Veda!$C$1),0)*1000</f>
        <v>243.97801729355197</v>
      </c>
      <c r="R178">
        <v>3</v>
      </c>
    </row>
    <row r="179" spans="1:18" x14ac:dyDescent="0.45">
      <c r="A179" s="8">
        <f t="shared" si="9"/>
        <v>25</v>
      </c>
      <c r="B179" s="8">
        <f t="shared" si="10"/>
        <v>6</v>
      </c>
      <c r="D179" t="str">
        <f>VLOOKUP(A179,'Globiom data'!$S$21:$T$51,2,FALSE)</f>
        <v>Russia</v>
      </c>
      <c r="E179" t="str">
        <f>VLOOKUP(B179,'Globiom data'!$V$21:$X$30,3,FALSE)</f>
        <v>MinBIOBSL-06</v>
      </c>
      <c r="F179" t="s">
        <v>53</v>
      </c>
      <c r="G179" s="2">
        <f>MAX(SUMIFS('Globiom data'!F$2:F$9999,'Globiom data'!$A$2:$A$9999,Veda!$D179,'Globiom data'!$D$2:$D$9999,VLOOKUP(Veda!$B179,'Globiom data'!$V$21:$X$29,2,FALSE),'Globiom data'!$E$2:$E$9999,Veda!$C$1),0)*1000</f>
        <v>0</v>
      </c>
      <c r="H179" s="2">
        <f>MAX(SUMIFS('Globiom data'!G$2:G$9999,'Globiom data'!$A$2:$A$9999,Veda!$D179,'Globiom data'!$D$2:$D$9999,VLOOKUP(Veda!$B179,'Globiom data'!$V$21:$X$29,2,FALSE),'Globiom data'!$E$2:$E$9999,Veda!$C$1),0)*1000</f>
        <v>0</v>
      </c>
      <c r="I179" s="2">
        <f>MAX(SUMIFS('Globiom data'!H$2:H$9999,'Globiom data'!$A$2:$A$9999,Veda!$D179,'Globiom data'!$D$2:$D$9999,VLOOKUP(Veda!$B179,'Globiom data'!$V$21:$X$29,2,FALSE),'Globiom data'!$E$2:$E$9999,Veda!$C$1),0)*1000</f>
        <v>0</v>
      </c>
      <c r="J179" s="2">
        <f>MAX(SUMIFS('Globiom data'!I$2:I$9999,'Globiom data'!$A$2:$A$9999,Veda!$D179,'Globiom data'!$D$2:$D$9999,VLOOKUP(Veda!$B179,'Globiom data'!$V$21:$X$29,2,FALSE),'Globiom data'!$E$2:$E$9999,Veda!$C$1),0)*1000</f>
        <v>69.61010625414103</v>
      </c>
      <c r="K179" s="2">
        <f>MAX(SUMIFS('Globiom data'!J$2:J$9999,'Globiom data'!$A$2:$A$9999,Veda!$D179,'Globiom data'!$D$2:$D$9999,VLOOKUP(Veda!$B179,'Globiom data'!$V$21:$X$29,2,FALSE),'Globiom data'!$E$2:$E$9999,Veda!$C$1),0)*1000</f>
        <v>168.2850801973469</v>
      </c>
      <c r="L179" s="2">
        <f>MAX(SUMIFS('Globiom data'!K$2:K$9999,'Globiom data'!$A$2:$A$9999,Veda!$D179,'Globiom data'!$D$2:$D$9999,VLOOKUP(Veda!$B179,'Globiom data'!$V$21:$X$29,2,FALSE),'Globiom data'!$E$2:$E$9999,Veda!$C$1),0)*1000</f>
        <v>227.32716071673485</v>
      </c>
      <c r="M179" s="2">
        <f>MAX(SUMIFS('Globiom data'!L$2:L$9999,'Globiom data'!$A$2:$A$9999,Veda!$D179,'Globiom data'!$D$2:$D$9999,VLOOKUP(Veda!$B179,'Globiom data'!$V$21:$X$29,2,FALSE),'Globiom data'!$E$2:$E$9999,Veda!$C$1),0)*1000</f>
        <v>269.4903510357608</v>
      </c>
      <c r="N179" s="2">
        <f>MAX(SUMIFS('Globiom data'!M$2:M$9999,'Globiom data'!$A$2:$A$9999,Veda!$D179,'Globiom data'!$D$2:$D$9999,VLOOKUP(Veda!$B179,'Globiom data'!$V$21:$X$29,2,FALSE),'Globiom data'!$E$2:$E$9999,Veda!$C$1),0)*1000</f>
        <v>329.17565637523387</v>
      </c>
      <c r="O179" s="2">
        <f>MAX(SUMIFS('Globiom data'!N$2:N$9999,'Globiom data'!$A$2:$A$9999,Veda!$D179,'Globiom data'!$D$2:$D$9999,VLOOKUP(Veda!$B179,'Globiom data'!$V$21:$X$29,2,FALSE),'Globiom data'!$E$2:$E$9999,Veda!$C$1),0)*1000</f>
        <v>397.3881499427211</v>
      </c>
      <c r="P179" s="2">
        <f>MAX(SUMIFS('Globiom data'!O$2:O$9999,'Globiom data'!$A$2:$A$9999,Veda!$D179,'Globiom data'!$D$2:$D$9999,VLOOKUP(Veda!$B179,'Globiom data'!$V$21:$X$29,2,FALSE),'Globiom data'!$E$2:$E$9999,Veda!$C$1),0)*1000</f>
        <v>463.28489338918001</v>
      </c>
      <c r="Q179" s="2">
        <f>MAX(SUMIFS('Globiom data'!P$2:P$9999,'Globiom data'!$A$2:$A$9999,Veda!$D179,'Globiom data'!$D$2:$D$9999,VLOOKUP(Veda!$B179,'Globiom data'!$V$21:$X$29,2,FALSE),'Globiom data'!$E$2:$E$9999,Veda!$C$1),0)*1000</f>
        <v>539.60992110474422</v>
      </c>
      <c r="R179">
        <v>3</v>
      </c>
    </row>
    <row r="180" spans="1:18" x14ac:dyDescent="0.45">
      <c r="A180" s="8">
        <f t="shared" si="9"/>
        <v>25</v>
      </c>
      <c r="B180" s="8">
        <f t="shared" si="10"/>
        <v>7</v>
      </c>
      <c r="D180" t="str">
        <f>VLOOKUP(A180,'Globiom data'!$S$21:$T$51,2,FALSE)</f>
        <v>Russia</v>
      </c>
      <c r="E180" t="str">
        <f>VLOOKUP(B180,'Globiom data'!$V$21:$X$30,3,FALSE)</f>
        <v>MinBIOBSL-07</v>
      </c>
      <c r="F180" t="s">
        <v>53</v>
      </c>
      <c r="G180" s="2">
        <f>MAX(SUMIFS('Globiom data'!F$2:F$9999,'Globiom data'!$A$2:$A$9999,Veda!$D180,'Globiom data'!$D$2:$D$9999,VLOOKUP(Veda!$B180,'Globiom data'!$V$21:$X$29,2,FALSE),'Globiom data'!$E$2:$E$9999,Veda!$C$1),0)*1000</f>
        <v>0</v>
      </c>
      <c r="H180" s="2">
        <f>MAX(SUMIFS('Globiom data'!G$2:G$9999,'Globiom data'!$A$2:$A$9999,Veda!$D180,'Globiom data'!$D$2:$D$9999,VLOOKUP(Veda!$B180,'Globiom data'!$V$21:$X$29,2,FALSE),'Globiom data'!$E$2:$E$9999,Veda!$C$1),0)*1000</f>
        <v>61.312015323954434</v>
      </c>
      <c r="I180" s="2">
        <f>MAX(SUMIFS('Globiom data'!H$2:H$9999,'Globiom data'!$A$2:$A$9999,Veda!$D180,'Globiom data'!$D$2:$D$9999,VLOOKUP(Veda!$B180,'Globiom data'!$V$21:$X$29,2,FALSE),'Globiom data'!$E$2:$E$9999,Veda!$C$1),0)*1000</f>
        <v>61.312015323954434</v>
      </c>
      <c r="J180" s="2">
        <f>MAX(SUMIFS('Globiom data'!I$2:I$9999,'Globiom data'!$A$2:$A$9999,Veda!$D180,'Globiom data'!$D$2:$D$9999,VLOOKUP(Veda!$B180,'Globiom data'!$V$21:$X$29,2,FALSE),'Globiom data'!$E$2:$E$9999,Veda!$C$1),0)*1000</f>
        <v>87.084553750141808</v>
      </c>
      <c r="K180" s="2">
        <f>MAX(SUMIFS('Globiom data'!J$2:J$9999,'Globiom data'!$A$2:$A$9999,Veda!$D180,'Globiom data'!$D$2:$D$9999,VLOOKUP(Veda!$B180,'Globiom data'!$V$21:$X$29,2,FALSE),'Globiom data'!$E$2:$E$9999,Veda!$C$1),0)*1000</f>
        <v>144.47650983944953</v>
      </c>
      <c r="L180" s="2">
        <f>MAX(SUMIFS('Globiom data'!K$2:K$9999,'Globiom data'!$A$2:$A$9999,Veda!$D180,'Globiom data'!$D$2:$D$9999,VLOOKUP(Veda!$B180,'Globiom data'!$V$21:$X$29,2,FALSE),'Globiom data'!$E$2:$E$9999,Veda!$C$1),0)*1000</f>
        <v>216.80389372655429</v>
      </c>
      <c r="M180" s="2">
        <f>MAX(SUMIFS('Globiom data'!L$2:L$9999,'Globiom data'!$A$2:$A$9999,Veda!$D180,'Globiom data'!$D$2:$D$9999,VLOOKUP(Veda!$B180,'Globiom data'!$V$21:$X$29,2,FALSE),'Globiom data'!$E$2:$E$9999,Veda!$C$1),0)*1000</f>
        <v>305.82500459549897</v>
      </c>
      <c r="N180" s="2">
        <f>MAX(SUMIFS('Globiom data'!M$2:M$9999,'Globiom data'!$A$2:$A$9999,Veda!$D180,'Globiom data'!$D$2:$D$9999,VLOOKUP(Veda!$B180,'Globiom data'!$V$21:$X$29,2,FALSE),'Globiom data'!$E$2:$E$9999,Veda!$C$1),0)*1000</f>
        <v>390.9210671406924</v>
      </c>
      <c r="O180" s="2">
        <f>MAX(SUMIFS('Globiom data'!N$2:N$9999,'Globiom data'!$A$2:$A$9999,Veda!$D180,'Globiom data'!$D$2:$D$9999,VLOOKUP(Veda!$B180,'Globiom data'!$V$21:$X$29,2,FALSE),'Globiom data'!$E$2:$E$9999,Veda!$C$1),0)*1000</f>
        <v>462.7054380372636</v>
      </c>
      <c r="P180" s="2">
        <f>MAX(SUMIFS('Globiom data'!O$2:O$9999,'Globiom data'!$A$2:$A$9999,Veda!$D180,'Globiom data'!$D$2:$D$9999,VLOOKUP(Veda!$B180,'Globiom data'!$V$21:$X$29,2,FALSE),'Globiom data'!$E$2:$E$9999,Veda!$C$1),0)*1000</f>
        <v>507.08783672855049</v>
      </c>
      <c r="Q180" s="2">
        <f>MAX(SUMIFS('Globiom data'!P$2:P$9999,'Globiom data'!$A$2:$A$9999,Veda!$D180,'Globiom data'!$D$2:$D$9999,VLOOKUP(Veda!$B180,'Globiom data'!$V$21:$X$29,2,FALSE),'Globiom data'!$E$2:$E$9999,Veda!$C$1),0)*1000</f>
        <v>502.96842286266917</v>
      </c>
      <c r="R180">
        <v>3</v>
      </c>
    </row>
    <row r="181" spans="1:18" x14ac:dyDescent="0.45">
      <c r="A181" s="8">
        <f t="shared" si="9"/>
        <v>26</v>
      </c>
      <c r="B181" s="8">
        <f t="shared" si="10"/>
        <v>1</v>
      </c>
      <c r="D181" t="str">
        <f>VLOOKUP(A181,'Globiom data'!$S$21:$T$51,2,FALSE)</f>
        <v>SaudiArabia</v>
      </c>
      <c r="E181" t="str">
        <f>VLOOKUP(B181,'Globiom data'!$V$21:$X$30,3,FALSE)</f>
        <v>MinBIOBSL-01</v>
      </c>
      <c r="F181" t="s">
        <v>53</v>
      </c>
      <c r="G181" s="2">
        <f>MAX(SUMIFS('Globiom data'!F$2:F$9999,'Globiom data'!$A$2:$A$9999,Veda!$D181,'Globiom data'!$D$2:$D$9999,VLOOKUP(Veda!$B181,'Globiom data'!$V$21:$X$29,2,FALSE),'Globiom data'!$E$2:$E$9999,Veda!$C$1),0)*1000</f>
        <v>0</v>
      </c>
      <c r="H181" s="2">
        <f>MAX(SUMIFS('Globiom data'!G$2:G$9999,'Globiom data'!$A$2:$A$9999,Veda!$D181,'Globiom data'!$D$2:$D$9999,VLOOKUP(Veda!$B181,'Globiom data'!$V$21:$X$29,2,FALSE),'Globiom data'!$E$2:$E$9999,Veda!$C$1),0)*1000</f>
        <v>0</v>
      </c>
      <c r="I181" s="2">
        <f>MAX(SUMIFS('Globiom data'!H$2:H$9999,'Globiom data'!$A$2:$A$9999,Veda!$D181,'Globiom data'!$D$2:$D$9999,VLOOKUP(Veda!$B181,'Globiom data'!$V$21:$X$29,2,FALSE),'Globiom data'!$E$2:$E$9999,Veda!$C$1),0)*1000</f>
        <v>0</v>
      </c>
      <c r="J181" s="2">
        <f>MAX(SUMIFS('Globiom data'!I$2:I$9999,'Globiom data'!$A$2:$A$9999,Veda!$D181,'Globiom data'!$D$2:$D$9999,VLOOKUP(Veda!$B181,'Globiom data'!$V$21:$X$29,2,FALSE),'Globiom data'!$E$2:$E$9999,Veda!$C$1),0)*1000</f>
        <v>0</v>
      </c>
      <c r="K181" s="2">
        <f>MAX(SUMIFS('Globiom data'!J$2:J$9999,'Globiom data'!$A$2:$A$9999,Veda!$D181,'Globiom data'!$D$2:$D$9999,VLOOKUP(Veda!$B181,'Globiom data'!$V$21:$X$29,2,FALSE),'Globiom data'!$E$2:$E$9999,Veda!$C$1),0)*1000</f>
        <v>0</v>
      </c>
      <c r="L181" s="2">
        <f>MAX(SUMIFS('Globiom data'!K$2:K$9999,'Globiom data'!$A$2:$A$9999,Veda!$D181,'Globiom data'!$D$2:$D$9999,VLOOKUP(Veda!$B181,'Globiom data'!$V$21:$X$29,2,FALSE),'Globiom data'!$E$2:$E$9999,Veda!$C$1),0)*1000</f>
        <v>0</v>
      </c>
      <c r="M181" s="2">
        <f>MAX(SUMIFS('Globiom data'!L$2:L$9999,'Globiom data'!$A$2:$A$9999,Veda!$D181,'Globiom data'!$D$2:$D$9999,VLOOKUP(Veda!$B181,'Globiom data'!$V$21:$X$29,2,FALSE),'Globiom data'!$E$2:$E$9999,Veda!$C$1),0)*1000</f>
        <v>0</v>
      </c>
      <c r="N181" s="2">
        <f>MAX(SUMIFS('Globiom data'!M$2:M$9999,'Globiom data'!$A$2:$A$9999,Veda!$D181,'Globiom data'!$D$2:$D$9999,VLOOKUP(Veda!$B181,'Globiom data'!$V$21:$X$29,2,FALSE),'Globiom data'!$E$2:$E$9999,Veda!$C$1),0)*1000</f>
        <v>0</v>
      </c>
      <c r="O181" s="2">
        <f>MAX(SUMIFS('Globiom data'!N$2:N$9999,'Globiom data'!$A$2:$A$9999,Veda!$D181,'Globiom data'!$D$2:$D$9999,VLOOKUP(Veda!$B181,'Globiom data'!$V$21:$X$29,2,FALSE),'Globiom data'!$E$2:$E$9999,Veda!$C$1),0)*1000</f>
        <v>0</v>
      </c>
      <c r="P181" s="2">
        <f>MAX(SUMIFS('Globiom data'!O$2:O$9999,'Globiom data'!$A$2:$A$9999,Veda!$D181,'Globiom data'!$D$2:$D$9999,VLOOKUP(Veda!$B181,'Globiom data'!$V$21:$X$29,2,FALSE),'Globiom data'!$E$2:$E$9999,Veda!$C$1),0)*1000</f>
        <v>0</v>
      </c>
      <c r="Q181" s="2">
        <f>MAX(SUMIFS('Globiom data'!P$2:P$9999,'Globiom data'!$A$2:$A$9999,Veda!$D181,'Globiom data'!$D$2:$D$9999,VLOOKUP(Veda!$B181,'Globiom data'!$V$21:$X$29,2,FALSE),'Globiom data'!$E$2:$E$9999,Veda!$C$1),0)*1000</f>
        <v>0</v>
      </c>
      <c r="R181">
        <v>3</v>
      </c>
    </row>
    <row r="182" spans="1:18" x14ac:dyDescent="0.45">
      <c r="A182" s="8">
        <f t="shared" si="9"/>
        <v>26</v>
      </c>
      <c r="B182" s="8">
        <f t="shared" si="10"/>
        <v>2</v>
      </c>
      <c r="D182" t="str">
        <f>VLOOKUP(A182,'Globiom data'!$S$21:$T$51,2,FALSE)</f>
        <v>SaudiArabia</v>
      </c>
      <c r="E182" t="str">
        <f>VLOOKUP(B182,'Globiom data'!$V$21:$X$30,3,FALSE)</f>
        <v>MinBIOBSL-02</v>
      </c>
      <c r="F182" t="s">
        <v>53</v>
      </c>
      <c r="G182" s="2">
        <f>MAX(SUMIFS('Globiom data'!F$2:F$9999,'Globiom data'!$A$2:$A$9999,Veda!$D182,'Globiom data'!$D$2:$D$9999,VLOOKUP(Veda!$B182,'Globiom data'!$V$21:$X$29,2,FALSE),'Globiom data'!$E$2:$E$9999,Veda!$C$1),0)*1000</f>
        <v>0</v>
      </c>
      <c r="H182" s="2">
        <f>MAX(SUMIFS('Globiom data'!G$2:G$9999,'Globiom data'!$A$2:$A$9999,Veda!$D182,'Globiom data'!$D$2:$D$9999,VLOOKUP(Veda!$B182,'Globiom data'!$V$21:$X$29,2,FALSE),'Globiom data'!$E$2:$E$9999,Veda!$C$1),0)*1000</f>
        <v>0</v>
      </c>
      <c r="I182" s="2">
        <f>MAX(SUMIFS('Globiom data'!H$2:H$9999,'Globiom data'!$A$2:$A$9999,Veda!$D182,'Globiom data'!$D$2:$D$9999,VLOOKUP(Veda!$B182,'Globiom data'!$V$21:$X$29,2,FALSE),'Globiom data'!$E$2:$E$9999,Veda!$C$1),0)*1000</f>
        <v>0</v>
      </c>
      <c r="J182" s="2">
        <f>MAX(SUMIFS('Globiom data'!I$2:I$9999,'Globiom data'!$A$2:$A$9999,Veda!$D182,'Globiom data'!$D$2:$D$9999,VLOOKUP(Veda!$B182,'Globiom data'!$V$21:$X$29,2,FALSE),'Globiom data'!$E$2:$E$9999,Veda!$C$1),0)*1000</f>
        <v>0</v>
      </c>
      <c r="K182" s="2">
        <f>MAX(SUMIFS('Globiom data'!J$2:J$9999,'Globiom data'!$A$2:$A$9999,Veda!$D182,'Globiom data'!$D$2:$D$9999,VLOOKUP(Veda!$B182,'Globiom data'!$V$21:$X$29,2,FALSE),'Globiom data'!$E$2:$E$9999,Veda!$C$1),0)*1000</f>
        <v>0</v>
      </c>
      <c r="L182" s="2">
        <f>MAX(SUMIFS('Globiom data'!K$2:K$9999,'Globiom data'!$A$2:$A$9999,Veda!$D182,'Globiom data'!$D$2:$D$9999,VLOOKUP(Veda!$B182,'Globiom data'!$V$21:$X$29,2,FALSE),'Globiom data'!$E$2:$E$9999,Veda!$C$1),0)*1000</f>
        <v>0</v>
      </c>
      <c r="M182" s="2">
        <f>MAX(SUMIFS('Globiom data'!L$2:L$9999,'Globiom data'!$A$2:$A$9999,Veda!$D182,'Globiom data'!$D$2:$D$9999,VLOOKUP(Veda!$B182,'Globiom data'!$V$21:$X$29,2,FALSE),'Globiom data'!$E$2:$E$9999,Veda!$C$1),0)*1000</f>
        <v>0</v>
      </c>
      <c r="N182" s="2">
        <f>MAX(SUMIFS('Globiom data'!M$2:M$9999,'Globiom data'!$A$2:$A$9999,Veda!$D182,'Globiom data'!$D$2:$D$9999,VLOOKUP(Veda!$B182,'Globiom data'!$V$21:$X$29,2,FALSE),'Globiom data'!$E$2:$E$9999,Veda!$C$1),0)*1000</f>
        <v>0</v>
      </c>
      <c r="O182" s="2">
        <f>MAX(SUMIFS('Globiom data'!N$2:N$9999,'Globiom data'!$A$2:$A$9999,Veda!$D182,'Globiom data'!$D$2:$D$9999,VLOOKUP(Veda!$B182,'Globiom data'!$V$21:$X$29,2,FALSE),'Globiom data'!$E$2:$E$9999,Veda!$C$1),0)*1000</f>
        <v>0</v>
      </c>
      <c r="P182" s="2">
        <f>MAX(SUMIFS('Globiom data'!O$2:O$9999,'Globiom data'!$A$2:$A$9999,Veda!$D182,'Globiom data'!$D$2:$D$9999,VLOOKUP(Veda!$B182,'Globiom data'!$V$21:$X$29,2,FALSE),'Globiom data'!$E$2:$E$9999,Veda!$C$1),0)*1000</f>
        <v>0</v>
      </c>
      <c r="Q182" s="2">
        <f>MAX(SUMIFS('Globiom data'!P$2:P$9999,'Globiom data'!$A$2:$A$9999,Veda!$D182,'Globiom data'!$D$2:$D$9999,VLOOKUP(Veda!$B182,'Globiom data'!$V$21:$X$29,2,FALSE),'Globiom data'!$E$2:$E$9999,Veda!$C$1),0)*1000</f>
        <v>0</v>
      </c>
      <c r="R182">
        <v>3</v>
      </c>
    </row>
    <row r="183" spans="1:18" x14ac:dyDescent="0.45">
      <c r="A183" s="8">
        <f t="shared" si="9"/>
        <v>26</v>
      </c>
      <c r="B183" s="8">
        <f t="shared" si="10"/>
        <v>3</v>
      </c>
      <c r="D183" t="str">
        <f>VLOOKUP(A183,'Globiom data'!$S$21:$T$51,2,FALSE)</f>
        <v>SaudiArabia</v>
      </c>
      <c r="E183" t="str">
        <f>VLOOKUP(B183,'Globiom data'!$V$21:$X$30,3,FALSE)</f>
        <v>MinBIOBSL-03</v>
      </c>
      <c r="F183" t="s">
        <v>53</v>
      </c>
      <c r="G183" s="2">
        <f>MAX(SUMIFS('Globiom data'!F$2:F$9999,'Globiom data'!$A$2:$A$9999,Veda!$D183,'Globiom data'!$D$2:$D$9999,VLOOKUP(Veda!$B183,'Globiom data'!$V$21:$X$29,2,FALSE),'Globiom data'!$E$2:$E$9999,Veda!$C$1),0)*1000</f>
        <v>0</v>
      </c>
      <c r="H183" s="2">
        <f>MAX(SUMIFS('Globiom data'!G$2:G$9999,'Globiom data'!$A$2:$A$9999,Veda!$D183,'Globiom data'!$D$2:$D$9999,VLOOKUP(Veda!$B183,'Globiom data'!$V$21:$X$29,2,FALSE),'Globiom data'!$E$2:$E$9999,Veda!$C$1),0)*1000</f>
        <v>0</v>
      </c>
      <c r="I183" s="2">
        <f>MAX(SUMIFS('Globiom data'!H$2:H$9999,'Globiom data'!$A$2:$A$9999,Veda!$D183,'Globiom data'!$D$2:$D$9999,VLOOKUP(Veda!$B183,'Globiom data'!$V$21:$X$29,2,FALSE),'Globiom data'!$E$2:$E$9999,Veda!$C$1),0)*1000</f>
        <v>0</v>
      </c>
      <c r="J183" s="2">
        <f>MAX(SUMIFS('Globiom data'!I$2:I$9999,'Globiom data'!$A$2:$A$9999,Veda!$D183,'Globiom data'!$D$2:$D$9999,VLOOKUP(Veda!$B183,'Globiom data'!$V$21:$X$29,2,FALSE),'Globiom data'!$E$2:$E$9999,Veda!$C$1),0)*1000</f>
        <v>0</v>
      </c>
      <c r="K183" s="2">
        <f>MAX(SUMIFS('Globiom data'!J$2:J$9999,'Globiom data'!$A$2:$A$9999,Veda!$D183,'Globiom data'!$D$2:$D$9999,VLOOKUP(Veda!$B183,'Globiom data'!$V$21:$X$29,2,FALSE),'Globiom data'!$E$2:$E$9999,Veda!$C$1),0)*1000</f>
        <v>0</v>
      </c>
      <c r="L183" s="2">
        <f>MAX(SUMIFS('Globiom data'!K$2:K$9999,'Globiom data'!$A$2:$A$9999,Veda!$D183,'Globiom data'!$D$2:$D$9999,VLOOKUP(Veda!$B183,'Globiom data'!$V$21:$X$29,2,FALSE),'Globiom data'!$E$2:$E$9999,Veda!$C$1),0)*1000</f>
        <v>0</v>
      </c>
      <c r="M183" s="2">
        <f>MAX(SUMIFS('Globiom data'!L$2:L$9999,'Globiom data'!$A$2:$A$9999,Veda!$D183,'Globiom data'!$D$2:$D$9999,VLOOKUP(Veda!$B183,'Globiom data'!$V$21:$X$29,2,FALSE),'Globiom data'!$E$2:$E$9999,Veda!$C$1),0)*1000</f>
        <v>0</v>
      </c>
      <c r="N183" s="2">
        <f>MAX(SUMIFS('Globiom data'!M$2:M$9999,'Globiom data'!$A$2:$A$9999,Veda!$D183,'Globiom data'!$D$2:$D$9999,VLOOKUP(Veda!$B183,'Globiom data'!$V$21:$X$29,2,FALSE),'Globiom data'!$E$2:$E$9999,Veda!$C$1),0)*1000</f>
        <v>0</v>
      </c>
      <c r="O183" s="2">
        <f>MAX(SUMIFS('Globiom data'!N$2:N$9999,'Globiom data'!$A$2:$A$9999,Veda!$D183,'Globiom data'!$D$2:$D$9999,VLOOKUP(Veda!$B183,'Globiom data'!$V$21:$X$29,2,FALSE),'Globiom data'!$E$2:$E$9999,Veda!$C$1),0)*1000</f>
        <v>0</v>
      </c>
      <c r="P183" s="2">
        <f>MAX(SUMIFS('Globiom data'!O$2:O$9999,'Globiom data'!$A$2:$A$9999,Veda!$D183,'Globiom data'!$D$2:$D$9999,VLOOKUP(Veda!$B183,'Globiom data'!$V$21:$X$29,2,FALSE),'Globiom data'!$E$2:$E$9999,Veda!$C$1),0)*1000</f>
        <v>0</v>
      </c>
      <c r="Q183" s="2">
        <f>MAX(SUMIFS('Globiom data'!P$2:P$9999,'Globiom data'!$A$2:$A$9999,Veda!$D183,'Globiom data'!$D$2:$D$9999,VLOOKUP(Veda!$B183,'Globiom data'!$V$21:$X$29,2,FALSE),'Globiom data'!$E$2:$E$9999,Veda!$C$1),0)*1000</f>
        <v>0</v>
      </c>
      <c r="R183">
        <v>3</v>
      </c>
    </row>
    <row r="184" spans="1:18" x14ac:dyDescent="0.45">
      <c r="A184" s="8">
        <f t="shared" si="9"/>
        <v>26</v>
      </c>
      <c r="B184" s="8">
        <f t="shared" si="10"/>
        <v>4</v>
      </c>
      <c r="D184" t="str">
        <f>VLOOKUP(A184,'Globiom data'!$S$21:$T$51,2,FALSE)</f>
        <v>SaudiArabia</v>
      </c>
      <c r="E184" t="str">
        <f>VLOOKUP(B184,'Globiom data'!$V$21:$X$30,3,FALSE)</f>
        <v>MinBIOBSL-04</v>
      </c>
      <c r="F184" t="s">
        <v>53</v>
      </c>
      <c r="G184" s="2">
        <f>MAX(SUMIFS('Globiom data'!F$2:F$9999,'Globiom data'!$A$2:$A$9999,Veda!$D184,'Globiom data'!$D$2:$D$9999,VLOOKUP(Veda!$B184,'Globiom data'!$V$21:$X$29,2,FALSE),'Globiom data'!$E$2:$E$9999,Veda!$C$1),0)*1000</f>
        <v>0</v>
      </c>
      <c r="H184" s="2">
        <f>MAX(SUMIFS('Globiom data'!G$2:G$9999,'Globiom data'!$A$2:$A$9999,Veda!$D184,'Globiom data'!$D$2:$D$9999,VLOOKUP(Veda!$B184,'Globiom data'!$V$21:$X$29,2,FALSE),'Globiom data'!$E$2:$E$9999,Veda!$C$1),0)*1000</f>
        <v>0</v>
      </c>
      <c r="I184" s="2">
        <f>MAX(SUMIFS('Globiom data'!H$2:H$9999,'Globiom data'!$A$2:$A$9999,Veda!$D184,'Globiom data'!$D$2:$D$9999,VLOOKUP(Veda!$B184,'Globiom data'!$V$21:$X$29,2,FALSE),'Globiom data'!$E$2:$E$9999,Veda!$C$1),0)*1000</f>
        <v>0</v>
      </c>
      <c r="J184" s="2">
        <f>MAX(SUMIFS('Globiom data'!I$2:I$9999,'Globiom data'!$A$2:$A$9999,Veda!$D184,'Globiom data'!$D$2:$D$9999,VLOOKUP(Veda!$B184,'Globiom data'!$V$21:$X$29,2,FALSE),'Globiom data'!$E$2:$E$9999,Veda!$C$1),0)*1000</f>
        <v>0</v>
      </c>
      <c r="K184" s="2">
        <f>MAX(SUMIFS('Globiom data'!J$2:J$9999,'Globiom data'!$A$2:$A$9999,Veda!$D184,'Globiom data'!$D$2:$D$9999,VLOOKUP(Veda!$B184,'Globiom data'!$V$21:$X$29,2,FALSE),'Globiom data'!$E$2:$E$9999,Veda!$C$1),0)*1000</f>
        <v>0</v>
      </c>
      <c r="L184" s="2">
        <f>MAX(SUMIFS('Globiom data'!K$2:K$9999,'Globiom data'!$A$2:$A$9999,Veda!$D184,'Globiom data'!$D$2:$D$9999,VLOOKUP(Veda!$B184,'Globiom data'!$V$21:$X$29,2,FALSE),'Globiom data'!$E$2:$E$9999,Veda!$C$1),0)*1000</f>
        <v>0</v>
      </c>
      <c r="M184" s="2">
        <f>MAX(SUMIFS('Globiom data'!L$2:L$9999,'Globiom data'!$A$2:$A$9999,Veda!$D184,'Globiom data'!$D$2:$D$9999,VLOOKUP(Veda!$B184,'Globiom data'!$V$21:$X$29,2,FALSE),'Globiom data'!$E$2:$E$9999,Veda!$C$1),0)*1000</f>
        <v>0</v>
      </c>
      <c r="N184" s="2">
        <f>MAX(SUMIFS('Globiom data'!M$2:M$9999,'Globiom data'!$A$2:$A$9999,Veda!$D184,'Globiom data'!$D$2:$D$9999,VLOOKUP(Veda!$B184,'Globiom data'!$V$21:$X$29,2,FALSE),'Globiom data'!$E$2:$E$9999,Veda!$C$1),0)*1000</f>
        <v>0</v>
      </c>
      <c r="O184" s="2">
        <f>MAX(SUMIFS('Globiom data'!N$2:N$9999,'Globiom data'!$A$2:$A$9999,Veda!$D184,'Globiom data'!$D$2:$D$9999,VLOOKUP(Veda!$B184,'Globiom data'!$V$21:$X$29,2,FALSE),'Globiom data'!$E$2:$E$9999,Veda!$C$1),0)*1000</f>
        <v>0</v>
      </c>
      <c r="P184" s="2">
        <f>MAX(SUMIFS('Globiom data'!O$2:O$9999,'Globiom data'!$A$2:$A$9999,Veda!$D184,'Globiom data'!$D$2:$D$9999,VLOOKUP(Veda!$B184,'Globiom data'!$V$21:$X$29,2,FALSE),'Globiom data'!$E$2:$E$9999,Veda!$C$1),0)*1000</f>
        <v>0</v>
      </c>
      <c r="Q184" s="2">
        <f>MAX(SUMIFS('Globiom data'!P$2:P$9999,'Globiom data'!$A$2:$A$9999,Veda!$D184,'Globiom data'!$D$2:$D$9999,VLOOKUP(Veda!$B184,'Globiom data'!$V$21:$X$29,2,FALSE),'Globiom data'!$E$2:$E$9999,Veda!$C$1),0)*1000</f>
        <v>0</v>
      </c>
      <c r="R184">
        <v>3</v>
      </c>
    </row>
    <row r="185" spans="1:18" x14ac:dyDescent="0.45">
      <c r="A185" s="8">
        <f t="shared" si="9"/>
        <v>26</v>
      </c>
      <c r="B185" s="8">
        <f t="shared" si="10"/>
        <v>5</v>
      </c>
      <c r="D185" t="str">
        <f>VLOOKUP(A185,'Globiom data'!$S$21:$T$51,2,FALSE)</f>
        <v>SaudiArabia</v>
      </c>
      <c r="E185" t="str">
        <f>VLOOKUP(B185,'Globiom data'!$V$21:$X$30,3,FALSE)</f>
        <v>MinBIOBSL-05</v>
      </c>
      <c r="F185" t="s">
        <v>53</v>
      </c>
      <c r="G185" s="2">
        <f>MAX(SUMIFS('Globiom data'!F$2:F$9999,'Globiom data'!$A$2:$A$9999,Veda!$D185,'Globiom data'!$D$2:$D$9999,VLOOKUP(Veda!$B185,'Globiom data'!$V$21:$X$29,2,FALSE),'Globiom data'!$E$2:$E$9999,Veda!$C$1),0)*1000</f>
        <v>0</v>
      </c>
      <c r="H185" s="2">
        <f>MAX(SUMIFS('Globiom data'!G$2:G$9999,'Globiom data'!$A$2:$A$9999,Veda!$D185,'Globiom data'!$D$2:$D$9999,VLOOKUP(Veda!$B185,'Globiom data'!$V$21:$X$29,2,FALSE),'Globiom data'!$E$2:$E$9999,Veda!$C$1),0)*1000</f>
        <v>0</v>
      </c>
      <c r="I185" s="2">
        <f>MAX(SUMIFS('Globiom data'!H$2:H$9999,'Globiom data'!$A$2:$A$9999,Veda!$D185,'Globiom data'!$D$2:$D$9999,VLOOKUP(Veda!$B185,'Globiom data'!$V$21:$X$29,2,FALSE),'Globiom data'!$E$2:$E$9999,Veda!$C$1),0)*1000</f>
        <v>0</v>
      </c>
      <c r="J185" s="2">
        <f>MAX(SUMIFS('Globiom data'!I$2:I$9999,'Globiom data'!$A$2:$A$9999,Veda!$D185,'Globiom data'!$D$2:$D$9999,VLOOKUP(Veda!$B185,'Globiom data'!$V$21:$X$29,2,FALSE),'Globiom data'!$E$2:$E$9999,Veda!$C$1),0)*1000</f>
        <v>0</v>
      </c>
      <c r="K185" s="2">
        <f>MAX(SUMIFS('Globiom data'!J$2:J$9999,'Globiom data'!$A$2:$A$9999,Veda!$D185,'Globiom data'!$D$2:$D$9999,VLOOKUP(Veda!$B185,'Globiom data'!$V$21:$X$29,2,FALSE),'Globiom data'!$E$2:$E$9999,Veda!$C$1),0)*1000</f>
        <v>0</v>
      </c>
      <c r="L185" s="2">
        <f>MAX(SUMIFS('Globiom data'!K$2:K$9999,'Globiom data'!$A$2:$A$9999,Veda!$D185,'Globiom data'!$D$2:$D$9999,VLOOKUP(Veda!$B185,'Globiom data'!$V$21:$X$29,2,FALSE),'Globiom data'!$E$2:$E$9999,Veda!$C$1),0)*1000</f>
        <v>0</v>
      </c>
      <c r="M185" s="2">
        <f>MAX(SUMIFS('Globiom data'!L$2:L$9999,'Globiom data'!$A$2:$A$9999,Veda!$D185,'Globiom data'!$D$2:$D$9999,VLOOKUP(Veda!$B185,'Globiom data'!$V$21:$X$29,2,FALSE),'Globiom data'!$E$2:$E$9999,Veda!$C$1),0)*1000</f>
        <v>0</v>
      </c>
      <c r="N185" s="2">
        <f>MAX(SUMIFS('Globiom data'!M$2:M$9999,'Globiom data'!$A$2:$A$9999,Veda!$D185,'Globiom data'!$D$2:$D$9999,VLOOKUP(Veda!$B185,'Globiom data'!$V$21:$X$29,2,FALSE),'Globiom data'!$E$2:$E$9999,Veda!$C$1),0)*1000</f>
        <v>0</v>
      </c>
      <c r="O185" s="2">
        <f>MAX(SUMIFS('Globiom data'!N$2:N$9999,'Globiom data'!$A$2:$A$9999,Veda!$D185,'Globiom data'!$D$2:$D$9999,VLOOKUP(Veda!$B185,'Globiom data'!$V$21:$X$29,2,FALSE),'Globiom data'!$E$2:$E$9999,Veda!$C$1),0)*1000</f>
        <v>0</v>
      </c>
      <c r="P185" s="2">
        <f>MAX(SUMIFS('Globiom data'!O$2:O$9999,'Globiom data'!$A$2:$A$9999,Veda!$D185,'Globiom data'!$D$2:$D$9999,VLOOKUP(Veda!$B185,'Globiom data'!$V$21:$X$29,2,FALSE),'Globiom data'!$E$2:$E$9999,Veda!$C$1),0)*1000</f>
        <v>0</v>
      </c>
      <c r="Q185" s="2">
        <f>MAX(SUMIFS('Globiom data'!P$2:P$9999,'Globiom data'!$A$2:$A$9999,Veda!$D185,'Globiom data'!$D$2:$D$9999,VLOOKUP(Veda!$B185,'Globiom data'!$V$21:$X$29,2,FALSE),'Globiom data'!$E$2:$E$9999,Veda!$C$1),0)*1000</f>
        <v>0</v>
      </c>
      <c r="R185">
        <v>3</v>
      </c>
    </row>
    <row r="186" spans="1:18" x14ac:dyDescent="0.45">
      <c r="A186" s="8">
        <f t="shared" si="9"/>
        <v>26</v>
      </c>
      <c r="B186" s="8">
        <f t="shared" si="10"/>
        <v>6</v>
      </c>
      <c r="D186" t="str">
        <f>VLOOKUP(A186,'Globiom data'!$S$21:$T$51,2,FALSE)</f>
        <v>SaudiArabia</v>
      </c>
      <c r="E186" t="str">
        <f>VLOOKUP(B186,'Globiom data'!$V$21:$X$30,3,FALSE)</f>
        <v>MinBIOBSL-06</v>
      </c>
      <c r="F186" t="s">
        <v>53</v>
      </c>
      <c r="G186" s="2">
        <f>MAX(SUMIFS('Globiom data'!F$2:F$9999,'Globiom data'!$A$2:$A$9999,Veda!$D186,'Globiom data'!$D$2:$D$9999,VLOOKUP(Veda!$B186,'Globiom data'!$V$21:$X$29,2,FALSE),'Globiom data'!$E$2:$E$9999,Veda!$C$1),0)*1000</f>
        <v>0</v>
      </c>
      <c r="H186" s="2">
        <f>MAX(SUMIFS('Globiom data'!G$2:G$9999,'Globiom data'!$A$2:$A$9999,Veda!$D186,'Globiom data'!$D$2:$D$9999,VLOOKUP(Veda!$B186,'Globiom data'!$V$21:$X$29,2,FALSE),'Globiom data'!$E$2:$E$9999,Veda!$C$1),0)*1000</f>
        <v>0</v>
      </c>
      <c r="I186" s="2">
        <f>MAX(SUMIFS('Globiom data'!H$2:H$9999,'Globiom data'!$A$2:$A$9999,Veda!$D186,'Globiom data'!$D$2:$D$9999,VLOOKUP(Veda!$B186,'Globiom data'!$V$21:$X$29,2,FALSE),'Globiom data'!$E$2:$E$9999,Veda!$C$1),0)*1000</f>
        <v>0</v>
      </c>
      <c r="J186" s="2">
        <f>MAX(SUMIFS('Globiom data'!I$2:I$9999,'Globiom data'!$A$2:$A$9999,Veda!$D186,'Globiom data'!$D$2:$D$9999,VLOOKUP(Veda!$B186,'Globiom data'!$V$21:$X$29,2,FALSE),'Globiom data'!$E$2:$E$9999,Veda!$C$1),0)*1000</f>
        <v>0</v>
      </c>
      <c r="K186" s="2">
        <f>MAX(SUMIFS('Globiom data'!J$2:J$9999,'Globiom data'!$A$2:$A$9999,Veda!$D186,'Globiom data'!$D$2:$D$9999,VLOOKUP(Veda!$B186,'Globiom data'!$V$21:$X$29,2,FALSE),'Globiom data'!$E$2:$E$9999,Veda!$C$1),0)*1000</f>
        <v>0</v>
      </c>
      <c r="L186" s="2">
        <f>MAX(SUMIFS('Globiom data'!K$2:K$9999,'Globiom data'!$A$2:$A$9999,Veda!$D186,'Globiom data'!$D$2:$D$9999,VLOOKUP(Veda!$B186,'Globiom data'!$V$21:$X$29,2,FALSE),'Globiom data'!$E$2:$E$9999,Veda!$C$1),0)*1000</f>
        <v>0</v>
      </c>
      <c r="M186" s="2">
        <f>MAX(SUMIFS('Globiom data'!L$2:L$9999,'Globiom data'!$A$2:$A$9999,Veda!$D186,'Globiom data'!$D$2:$D$9999,VLOOKUP(Veda!$B186,'Globiom data'!$V$21:$X$29,2,FALSE),'Globiom data'!$E$2:$E$9999,Veda!$C$1),0)*1000</f>
        <v>0</v>
      </c>
      <c r="N186" s="2">
        <f>MAX(SUMIFS('Globiom data'!M$2:M$9999,'Globiom data'!$A$2:$A$9999,Veda!$D186,'Globiom data'!$D$2:$D$9999,VLOOKUP(Veda!$B186,'Globiom data'!$V$21:$X$29,2,FALSE),'Globiom data'!$E$2:$E$9999,Veda!$C$1),0)*1000</f>
        <v>0</v>
      </c>
      <c r="O186" s="2">
        <f>MAX(SUMIFS('Globiom data'!N$2:N$9999,'Globiom data'!$A$2:$A$9999,Veda!$D186,'Globiom data'!$D$2:$D$9999,VLOOKUP(Veda!$B186,'Globiom data'!$V$21:$X$29,2,FALSE),'Globiom data'!$E$2:$E$9999,Veda!$C$1),0)*1000</f>
        <v>0</v>
      </c>
      <c r="P186" s="2">
        <f>MAX(SUMIFS('Globiom data'!O$2:O$9999,'Globiom data'!$A$2:$A$9999,Veda!$D186,'Globiom data'!$D$2:$D$9999,VLOOKUP(Veda!$B186,'Globiom data'!$V$21:$X$29,2,FALSE),'Globiom data'!$E$2:$E$9999,Veda!$C$1),0)*1000</f>
        <v>0</v>
      </c>
      <c r="Q186" s="2">
        <f>MAX(SUMIFS('Globiom data'!P$2:P$9999,'Globiom data'!$A$2:$A$9999,Veda!$D186,'Globiom data'!$D$2:$D$9999,VLOOKUP(Veda!$B186,'Globiom data'!$V$21:$X$29,2,FALSE),'Globiom data'!$E$2:$E$9999,Veda!$C$1),0)*1000</f>
        <v>0</v>
      </c>
      <c r="R186">
        <v>3</v>
      </c>
    </row>
    <row r="187" spans="1:18" x14ac:dyDescent="0.45">
      <c r="A187" s="8">
        <f t="shared" si="9"/>
        <v>26</v>
      </c>
      <c r="B187" s="8">
        <f t="shared" si="10"/>
        <v>7</v>
      </c>
      <c r="D187" t="str">
        <f>VLOOKUP(A187,'Globiom data'!$S$21:$T$51,2,FALSE)</f>
        <v>SaudiArabia</v>
      </c>
      <c r="E187" t="str">
        <f>VLOOKUP(B187,'Globiom data'!$V$21:$X$30,3,FALSE)</f>
        <v>MinBIOBSL-07</v>
      </c>
      <c r="F187" t="s">
        <v>53</v>
      </c>
      <c r="G187" s="2">
        <f>MAX(SUMIFS('Globiom data'!F$2:F$9999,'Globiom data'!$A$2:$A$9999,Veda!$D187,'Globiom data'!$D$2:$D$9999,VLOOKUP(Veda!$B187,'Globiom data'!$V$21:$X$29,2,FALSE),'Globiom data'!$E$2:$E$9999,Veda!$C$1),0)*1000</f>
        <v>0</v>
      </c>
      <c r="H187" s="2">
        <f>MAX(SUMIFS('Globiom data'!G$2:G$9999,'Globiom data'!$A$2:$A$9999,Veda!$D187,'Globiom data'!$D$2:$D$9999,VLOOKUP(Veda!$B187,'Globiom data'!$V$21:$X$29,2,FALSE),'Globiom data'!$E$2:$E$9999,Veda!$C$1),0)*1000</f>
        <v>0</v>
      </c>
      <c r="I187" s="2">
        <f>MAX(SUMIFS('Globiom data'!H$2:H$9999,'Globiom data'!$A$2:$A$9999,Veda!$D187,'Globiom data'!$D$2:$D$9999,VLOOKUP(Veda!$B187,'Globiom data'!$V$21:$X$29,2,FALSE),'Globiom data'!$E$2:$E$9999,Veda!$C$1),0)*1000</f>
        <v>0</v>
      </c>
      <c r="J187" s="2">
        <f>MAX(SUMIFS('Globiom data'!I$2:I$9999,'Globiom data'!$A$2:$A$9999,Veda!$D187,'Globiom data'!$D$2:$D$9999,VLOOKUP(Veda!$B187,'Globiom data'!$V$21:$X$29,2,FALSE),'Globiom data'!$E$2:$E$9999,Veda!$C$1),0)*1000</f>
        <v>0</v>
      </c>
      <c r="K187" s="2">
        <f>MAX(SUMIFS('Globiom data'!J$2:J$9999,'Globiom data'!$A$2:$A$9999,Veda!$D187,'Globiom data'!$D$2:$D$9999,VLOOKUP(Veda!$B187,'Globiom data'!$V$21:$X$29,2,FALSE),'Globiom data'!$E$2:$E$9999,Veda!$C$1),0)*1000</f>
        <v>0</v>
      </c>
      <c r="L187" s="2">
        <f>MAX(SUMIFS('Globiom data'!K$2:K$9999,'Globiom data'!$A$2:$A$9999,Veda!$D187,'Globiom data'!$D$2:$D$9999,VLOOKUP(Veda!$B187,'Globiom data'!$V$21:$X$29,2,FALSE),'Globiom data'!$E$2:$E$9999,Veda!$C$1),0)*1000</f>
        <v>0</v>
      </c>
      <c r="M187" s="2">
        <f>MAX(SUMIFS('Globiom data'!L$2:L$9999,'Globiom data'!$A$2:$A$9999,Veda!$D187,'Globiom data'!$D$2:$D$9999,VLOOKUP(Veda!$B187,'Globiom data'!$V$21:$X$29,2,FALSE),'Globiom data'!$E$2:$E$9999,Veda!$C$1),0)*1000</f>
        <v>0</v>
      </c>
      <c r="N187" s="2">
        <f>MAX(SUMIFS('Globiom data'!M$2:M$9999,'Globiom data'!$A$2:$A$9999,Veda!$D187,'Globiom data'!$D$2:$D$9999,VLOOKUP(Veda!$B187,'Globiom data'!$V$21:$X$29,2,FALSE),'Globiom data'!$E$2:$E$9999,Veda!$C$1),0)*1000</f>
        <v>0</v>
      </c>
      <c r="O187" s="2">
        <f>MAX(SUMIFS('Globiom data'!N$2:N$9999,'Globiom data'!$A$2:$A$9999,Veda!$D187,'Globiom data'!$D$2:$D$9999,VLOOKUP(Veda!$B187,'Globiom data'!$V$21:$X$29,2,FALSE),'Globiom data'!$E$2:$E$9999,Veda!$C$1),0)*1000</f>
        <v>0</v>
      </c>
      <c r="P187" s="2">
        <f>MAX(SUMIFS('Globiom data'!O$2:O$9999,'Globiom data'!$A$2:$A$9999,Veda!$D187,'Globiom data'!$D$2:$D$9999,VLOOKUP(Veda!$B187,'Globiom data'!$V$21:$X$29,2,FALSE),'Globiom data'!$E$2:$E$9999,Veda!$C$1),0)*1000</f>
        <v>0</v>
      </c>
      <c r="Q187" s="2">
        <f>MAX(SUMIFS('Globiom data'!P$2:P$9999,'Globiom data'!$A$2:$A$9999,Veda!$D187,'Globiom data'!$D$2:$D$9999,VLOOKUP(Veda!$B187,'Globiom data'!$V$21:$X$29,2,FALSE),'Globiom data'!$E$2:$E$9999,Veda!$C$1),0)*1000</f>
        <v>0</v>
      </c>
      <c r="R187">
        <v>3</v>
      </c>
    </row>
    <row r="188" spans="1:18" x14ac:dyDescent="0.45">
      <c r="A188" s="8">
        <f t="shared" si="9"/>
        <v>27</v>
      </c>
      <c r="B188" s="8">
        <f t="shared" si="10"/>
        <v>1</v>
      </c>
      <c r="D188" t="str">
        <f>VLOOKUP(A188,'Globiom data'!$S$21:$T$51,2,FALSE)</f>
        <v>SouthAfrica</v>
      </c>
      <c r="E188" t="str">
        <f>VLOOKUP(B188,'Globiom data'!$V$21:$X$30,3,FALSE)</f>
        <v>MinBIOBSL-01</v>
      </c>
      <c r="F188" t="s">
        <v>53</v>
      </c>
      <c r="G188" s="2">
        <f>MAX(SUMIFS('Globiom data'!F$2:F$9999,'Globiom data'!$A$2:$A$9999,Veda!$D188,'Globiom data'!$D$2:$D$9999,VLOOKUP(Veda!$B188,'Globiom data'!$V$21:$X$29,2,FALSE),'Globiom data'!$E$2:$E$9999,Veda!$C$1),0)*1000</f>
        <v>142.31269451157249</v>
      </c>
      <c r="H188" s="2">
        <f>MAX(SUMIFS('Globiom data'!G$2:G$9999,'Globiom data'!$A$2:$A$9999,Veda!$D188,'Globiom data'!$D$2:$D$9999,VLOOKUP(Veda!$B188,'Globiom data'!$V$21:$X$29,2,FALSE),'Globiom data'!$E$2:$E$9999,Veda!$C$1),0)*1000</f>
        <v>161.64216594331771</v>
      </c>
      <c r="I188" s="2">
        <f>MAX(SUMIFS('Globiom data'!H$2:H$9999,'Globiom data'!$A$2:$A$9999,Veda!$D188,'Globiom data'!$D$2:$D$9999,VLOOKUP(Veda!$B188,'Globiom data'!$V$21:$X$29,2,FALSE),'Globiom data'!$E$2:$E$9999,Veda!$C$1),0)*1000</f>
        <v>161.64216594331771</v>
      </c>
      <c r="J188" s="2">
        <f>MAX(SUMIFS('Globiom data'!I$2:I$9999,'Globiom data'!$A$2:$A$9999,Veda!$D188,'Globiom data'!$D$2:$D$9999,VLOOKUP(Veda!$B188,'Globiom data'!$V$21:$X$29,2,FALSE),'Globiom data'!$E$2:$E$9999,Veda!$C$1),0)*1000</f>
        <v>178.67715070989254</v>
      </c>
      <c r="K188" s="2">
        <f>MAX(SUMIFS('Globiom data'!J$2:J$9999,'Globiom data'!$A$2:$A$9999,Veda!$D188,'Globiom data'!$D$2:$D$9999,VLOOKUP(Veda!$B188,'Globiom data'!$V$21:$X$29,2,FALSE),'Globiom data'!$E$2:$E$9999,Veda!$C$1),0)*1000</f>
        <v>188.8373262731433</v>
      </c>
      <c r="L188" s="2">
        <f>MAX(SUMIFS('Globiom data'!K$2:K$9999,'Globiom data'!$A$2:$A$9999,Veda!$D188,'Globiom data'!$D$2:$D$9999,VLOOKUP(Veda!$B188,'Globiom data'!$V$21:$X$29,2,FALSE),'Globiom data'!$E$2:$E$9999,Veda!$C$1),0)*1000</f>
        <v>182.69811811439664</v>
      </c>
      <c r="M188" s="2">
        <f>MAX(SUMIFS('Globiom data'!L$2:L$9999,'Globiom data'!$A$2:$A$9999,Veda!$D188,'Globiom data'!$D$2:$D$9999,VLOOKUP(Veda!$B188,'Globiom data'!$V$21:$X$29,2,FALSE),'Globiom data'!$E$2:$E$9999,Veda!$C$1),0)*1000</f>
        <v>158.76979157763017</v>
      </c>
      <c r="N188" s="2">
        <f>MAX(SUMIFS('Globiom data'!M$2:M$9999,'Globiom data'!$A$2:$A$9999,Veda!$D188,'Globiom data'!$D$2:$D$9999,VLOOKUP(Veda!$B188,'Globiom data'!$V$21:$X$29,2,FALSE),'Globiom data'!$E$2:$E$9999,Veda!$C$1),0)*1000</f>
        <v>114.05778460148954</v>
      </c>
      <c r="O188" s="2">
        <f>MAX(SUMIFS('Globiom data'!N$2:N$9999,'Globiom data'!$A$2:$A$9999,Veda!$D188,'Globiom data'!$D$2:$D$9999,VLOOKUP(Veda!$B188,'Globiom data'!$V$21:$X$29,2,FALSE),'Globiom data'!$E$2:$E$9999,Veda!$C$1),0)*1000</f>
        <v>66.65857163272851</v>
      </c>
      <c r="P188" s="2">
        <f>MAX(SUMIFS('Globiom data'!O$2:O$9999,'Globiom data'!$A$2:$A$9999,Veda!$D188,'Globiom data'!$D$2:$D$9999,VLOOKUP(Veda!$B188,'Globiom data'!$V$21:$X$29,2,FALSE),'Globiom data'!$E$2:$E$9999,Veda!$C$1),0)*1000</f>
        <v>21.464493636305612</v>
      </c>
      <c r="Q188" s="2">
        <f>MAX(SUMIFS('Globiom data'!P$2:P$9999,'Globiom data'!$A$2:$A$9999,Veda!$D188,'Globiom data'!$D$2:$D$9999,VLOOKUP(Veda!$B188,'Globiom data'!$V$21:$X$29,2,FALSE),'Globiom data'!$E$2:$E$9999,Veda!$C$1),0)*1000</f>
        <v>21.463011198476099</v>
      </c>
      <c r="R188">
        <v>3</v>
      </c>
    </row>
    <row r="189" spans="1:18" x14ac:dyDescent="0.45">
      <c r="A189" s="8">
        <f t="shared" si="9"/>
        <v>27</v>
      </c>
      <c r="B189" s="8">
        <f t="shared" si="10"/>
        <v>2</v>
      </c>
      <c r="D189" t="str">
        <f>VLOOKUP(A189,'Globiom data'!$S$21:$T$51,2,FALSE)</f>
        <v>SouthAfrica</v>
      </c>
      <c r="E189" t="str">
        <f>VLOOKUP(B189,'Globiom data'!$V$21:$X$30,3,FALSE)</f>
        <v>MinBIOBSL-02</v>
      </c>
      <c r="F189" t="s">
        <v>53</v>
      </c>
      <c r="G189" s="2">
        <f>MAX(SUMIFS('Globiom data'!F$2:F$9999,'Globiom data'!$A$2:$A$9999,Veda!$D189,'Globiom data'!$D$2:$D$9999,VLOOKUP(Veda!$B189,'Globiom data'!$V$21:$X$29,2,FALSE),'Globiom data'!$E$2:$E$9999,Veda!$C$1),0)*1000</f>
        <v>0</v>
      </c>
      <c r="H189" s="2">
        <f>MAX(SUMIFS('Globiom data'!G$2:G$9999,'Globiom data'!$A$2:$A$9999,Veda!$D189,'Globiom data'!$D$2:$D$9999,VLOOKUP(Veda!$B189,'Globiom data'!$V$21:$X$29,2,FALSE),'Globiom data'!$E$2:$E$9999,Veda!$C$1),0)*1000</f>
        <v>0</v>
      </c>
      <c r="I189" s="2">
        <f>MAX(SUMIFS('Globiom data'!H$2:H$9999,'Globiom data'!$A$2:$A$9999,Veda!$D189,'Globiom data'!$D$2:$D$9999,VLOOKUP(Veda!$B189,'Globiom data'!$V$21:$X$29,2,FALSE),'Globiom data'!$E$2:$E$9999,Veda!$C$1),0)*1000</f>
        <v>0</v>
      </c>
      <c r="J189" s="2">
        <f>MAX(SUMIFS('Globiom data'!I$2:I$9999,'Globiom data'!$A$2:$A$9999,Veda!$D189,'Globiom data'!$D$2:$D$9999,VLOOKUP(Veda!$B189,'Globiom data'!$V$21:$X$29,2,FALSE),'Globiom data'!$E$2:$E$9999,Veda!$C$1),0)*1000</f>
        <v>1.36146228465946</v>
      </c>
      <c r="K189" s="2">
        <f>MAX(SUMIFS('Globiom data'!J$2:J$9999,'Globiom data'!$A$2:$A$9999,Veda!$D189,'Globiom data'!$D$2:$D$9999,VLOOKUP(Veda!$B189,'Globiom data'!$V$21:$X$29,2,FALSE),'Globiom data'!$E$2:$E$9999,Veda!$C$1),0)*1000</f>
        <v>1.5366800469591899</v>
      </c>
      <c r="L189" s="2">
        <f>MAX(SUMIFS('Globiom data'!K$2:K$9999,'Globiom data'!$A$2:$A$9999,Veda!$D189,'Globiom data'!$D$2:$D$9999,VLOOKUP(Veda!$B189,'Globiom data'!$V$21:$X$29,2,FALSE),'Globiom data'!$E$2:$E$9999,Veda!$C$1),0)*1000</f>
        <v>2.0955070568659782</v>
      </c>
      <c r="M189" s="2">
        <f>MAX(SUMIFS('Globiom data'!L$2:L$9999,'Globiom data'!$A$2:$A$9999,Veda!$D189,'Globiom data'!$D$2:$D$9999,VLOOKUP(Veda!$B189,'Globiom data'!$V$21:$X$29,2,FALSE),'Globiom data'!$E$2:$E$9999,Veda!$C$1),0)*1000</f>
        <v>9.9580425807376081</v>
      </c>
      <c r="N189" s="2">
        <f>MAX(SUMIFS('Globiom data'!M$2:M$9999,'Globiom data'!$A$2:$A$9999,Veda!$D189,'Globiom data'!$D$2:$D$9999,VLOOKUP(Veda!$B189,'Globiom data'!$V$21:$X$29,2,FALSE),'Globiom data'!$E$2:$E$9999,Veda!$C$1),0)*1000</f>
        <v>15.687742027529948</v>
      </c>
      <c r="O189" s="2">
        <f>MAX(SUMIFS('Globiom data'!N$2:N$9999,'Globiom data'!$A$2:$A$9999,Veda!$D189,'Globiom data'!$D$2:$D$9999,VLOOKUP(Veda!$B189,'Globiom data'!$V$21:$X$29,2,FALSE),'Globiom data'!$E$2:$E$9999,Veda!$C$1),0)*1000</f>
        <v>17.845236964050287</v>
      </c>
      <c r="P189" s="2">
        <f>MAX(SUMIFS('Globiom data'!O$2:O$9999,'Globiom data'!$A$2:$A$9999,Veda!$D189,'Globiom data'!$D$2:$D$9999,VLOOKUP(Veda!$B189,'Globiom data'!$V$21:$X$29,2,FALSE),'Globiom data'!$E$2:$E$9999,Veda!$C$1),0)*1000</f>
        <v>29.033029943573723</v>
      </c>
      <c r="Q189" s="2">
        <f>MAX(SUMIFS('Globiom data'!P$2:P$9999,'Globiom data'!$A$2:$A$9999,Veda!$D189,'Globiom data'!$D$2:$D$9999,VLOOKUP(Veda!$B189,'Globiom data'!$V$21:$X$29,2,FALSE),'Globiom data'!$E$2:$E$9999,Veda!$C$1),0)*1000</f>
        <v>58.149818202583923</v>
      </c>
      <c r="R189">
        <v>3</v>
      </c>
    </row>
    <row r="190" spans="1:18" x14ac:dyDescent="0.45">
      <c r="A190" s="8">
        <f t="shared" si="9"/>
        <v>27</v>
      </c>
      <c r="B190" s="8">
        <f t="shared" si="10"/>
        <v>3</v>
      </c>
      <c r="D190" t="str">
        <f>VLOOKUP(A190,'Globiom data'!$S$21:$T$51,2,FALSE)</f>
        <v>SouthAfrica</v>
      </c>
      <c r="E190" t="str">
        <f>VLOOKUP(B190,'Globiom data'!$V$21:$X$30,3,FALSE)</f>
        <v>MinBIOBSL-03</v>
      </c>
      <c r="F190" t="s">
        <v>53</v>
      </c>
      <c r="G190" s="2">
        <f>MAX(SUMIFS('Globiom data'!F$2:F$9999,'Globiom data'!$A$2:$A$9999,Veda!$D190,'Globiom data'!$D$2:$D$9999,VLOOKUP(Veda!$B190,'Globiom data'!$V$21:$X$29,2,FALSE),'Globiom data'!$E$2:$E$9999,Veda!$C$1),0)*1000</f>
        <v>0</v>
      </c>
      <c r="H190" s="2">
        <f>MAX(SUMIFS('Globiom data'!G$2:G$9999,'Globiom data'!$A$2:$A$9999,Veda!$D190,'Globiom data'!$D$2:$D$9999,VLOOKUP(Veda!$B190,'Globiom data'!$V$21:$X$29,2,FALSE),'Globiom data'!$E$2:$E$9999,Veda!$C$1),0)*1000</f>
        <v>1.38631471554955E-3</v>
      </c>
      <c r="I190" s="2">
        <f>MAX(SUMIFS('Globiom data'!H$2:H$9999,'Globiom data'!$A$2:$A$9999,Veda!$D190,'Globiom data'!$D$2:$D$9999,VLOOKUP(Veda!$B190,'Globiom data'!$V$21:$X$29,2,FALSE),'Globiom data'!$E$2:$E$9999,Veda!$C$1),0)*1000</f>
        <v>1.38631471554955E-3</v>
      </c>
      <c r="J190" s="2">
        <f>MAX(SUMIFS('Globiom data'!I$2:I$9999,'Globiom data'!$A$2:$A$9999,Veda!$D190,'Globiom data'!$D$2:$D$9999,VLOOKUP(Veda!$B190,'Globiom data'!$V$21:$X$29,2,FALSE),'Globiom data'!$E$2:$E$9999,Veda!$C$1),0)*1000</f>
        <v>0.18174711881011399</v>
      </c>
      <c r="K190" s="2">
        <f>MAX(SUMIFS('Globiom data'!J$2:J$9999,'Globiom data'!$A$2:$A$9999,Veda!$D190,'Globiom data'!$D$2:$D$9999,VLOOKUP(Veda!$B190,'Globiom data'!$V$21:$X$29,2,FALSE),'Globiom data'!$E$2:$E$9999,Veda!$C$1),0)*1000</f>
        <v>2.60829556487348</v>
      </c>
      <c r="L190" s="2">
        <f>MAX(SUMIFS('Globiom data'!K$2:K$9999,'Globiom data'!$A$2:$A$9999,Veda!$D190,'Globiom data'!$D$2:$D$9999,VLOOKUP(Veda!$B190,'Globiom data'!$V$21:$X$29,2,FALSE),'Globiom data'!$E$2:$E$9999,Veda!$C$1),0)*1000</f>
        <v>3.7219328137111791</v>
      </c>
      <c r="M190" s="2">
        <f>MAX(SUMIFS('Globiom data'!L$2:L$9999,'Globiom data'!$A$2:$A$9999,Veda!$D190,'Globiom data'!$D$2:$D$9999,VLOOKUP(Veda!$B190,'Globiom data'!$V$21:$X$29,2,FALSE),'Globiom data'!$E$2:$E$9999,Veda!$C$1),0)*1000</f>
        <v>10.272181210457658</v>
      </c>
      <c r="N190" s="2">
        <f>MAX(SUMIFS('Globiom data'!M$2:M$9999,'Globiom data'!$A$2:$A$9999,Veda!$D190,'Globiom data'!$D$2:$D$9999,VLOOKUP(Veda!$B190,'Globiom data'!$V$21:$X$29,2,FALSE),'Globiom data'!$E$2:$E$9999,Veda!$C$1),0)*1000</f>
        <v>66.147437658166112</v>
      </c>
      <c r="O190" s="2">
        <f>MAX(SUMIFS('Globiom data'!N$2:N$9999,'Globiom data'!$A$2:$A$9999,Veda!$D190,'Globiom data'!$D$2:$D$9999,VLOOKUP(Veda!$B190,'Globiom data'!$V$21:$X$29,2,FALSE),'Globiom data'!$E$2:$E$9999,Veda!$C$1),0)*1000</f>
        <v>144.46395659319199</v>
      </c>
      <c r="P190" s="2">
        <f>MAX(SUMIFS('Globiom data'!O$2:O$9999,'Globiom data'!$A$2:$A$9999,Veda!$D190,'Globiom data'!$D$2:$D$9999,VLOOKUP(Veda!$B190,'Globiom data'!$V$21:$X$29,2,FALSE),'Globiom data'!$E$2:$E$9999,Veda!$C$1),0)*1000</f>
        <v>160.36901846815346</v>
      </c>
      <c r="Q190" s="2">
        <f>MAX(SUMIFS('Globiom data'!P$2:P$9999,'Globiom data'!$A$2:$A$9999,Veda!$D190,'Globiom data'!$D$2:$D$9999,VLOOKUP(Veda!$B190,'Globiom data'!$V$21:$X$29,2,FALSE),'Globiom data'!$E$2:$E$9999,Veda!$C$1),0)*1000</f>
        <v>152.50328546355561</v>
      </c>
      <c r="R190">
        <v>3</v>
      </c>
    </row>
    <row r="191" spans="1:18" x14ac:dyDescent="0.45">
      <c r="A191" s="8">
        <f t="shared" si="9"/>
        <v>27</v>
      </c>
      <c r="B191" s="8">
        <f t="shared" si="10"/>
        <v>4</v>
      </c>
      <c r="D191" t="str">
        <f>VLOOKUP(A191,'Globiom data'!$S$21:$T$51,2,FALSE)</f>
        <v>SouthAfrica</v>
      </c>
      <c r="E191" t="str">
        <f>VLOOKUP(B191,'Globiom data'!$V$21:$X$30,3,FALSE)</f>
        <v>MinBIOBSL-04</v>
      </c>
      <c r="F191" t="s">
        <v>53</v>
      </c>
      <c r="G191" s="2">
        <f>MAX(SUMIFS('Globiom data'!F$2:F$9999,'Globiom data'!$A$2:$A$9999,Veda!$D191,'Globiom data'!$D$2:$D$9999,VLOOKUP(Veda!$B191,'Globiom data'!$V$21:$X$29,2,FALSE),'Globiom data'!$E$2:$E$9999,Veda!$C$1),0)*1000</f>
        <v>0</v>
      </c>
      <c r="H191" s="2">
        <f>MAX(SUMIFS('Globiom data'!G$2:G$9999,'Globiom data'!$A$2:$A$9999,Veda!$D191,'Globiom data'!$D$2:$D$9999,VLOOKUP(Veda!$B191,'Globiom data'!$V$21:$X$29,2,FALSE),'Globiom data'!$E$2:$E$9999,Veda!$C$1),0)*1000</f>
        <v>0</v>
      </c>
      <c r="I191" s="2">
        <f>MAX(SUMIFS('Globiom data'!H$2:H$9999,'Globiom data'!$A$2:$A$9999,Veda!$D191,'Globiom data'!$D$2:$D$9999,VLOOKUP(Veda!$B191,'Globiom data'!$V$21:$X$29,2,FALSE),'Globiom data'!$E$2:$E$9999,Veda!$C$1),0)*1000</f>
        <v>0</v>
      </c>
      <c r="J191" s="2">
        <f>MAX(SUMIFS('Globiom data'!I$2:I$9999,'Globiom data'!$A$2:$A$9999,Veda!$D191,'Globiom data'!$D$2:$D$9999,VLOOKUP(Veda!$B191,'Globiom data'!$V$21:$X$29,2,FALSE),'Globiom data'!$E$2:$E$9999,Veda!$C$1),0)*1000</f>
        <v>1.7242532942025701</v>
      </c>
      <c r="K191" s="2">
        <f>MAX(SUMIFS('Globiom data'!J$2:J$9999,'Globiom data'!$A$2:$A$9999,Veda!$D191,'Globiom data'!$D$2:$D$9999,VLOOKUP(Veda!$B191,'Globiom data'!$V$21:$X$29,2,FALSE),'Globiom data'!$E$2:$E$9999,Veda!$C$1),0)*1000</f>
        <v>1.1224382616966522</v>
      </c>
      <c r="L191" s="2">
        <f>MAX(SUMIFS('Globiom data'!K$2:K$9999,'Globiom data'!$A$2:$A$9999,Veda!$D191,'Globiom data'!$D$2:$D$9999,VLOOKUP(Veda!$B191,'Globiom data'!$V$21:$X$29,2,FALSE),'Globiom data'!$E$2:$E$9999,Veda!$C$1),0)*1000</f>
        <v>42.480398073192362</v>
      </c>
      <c r="M191" s="2">
        <f>MAX(SUMIFS('Globiom data'!L$2:L$9999,'Globiom data'!$A$2:$A$9999,Veda!$D191,'Globiom data'!$D$2:$D$9999,VLOOKUP(Veda!$B191,'Globiom data'!$V$21:$X$29,2,FALSE),'Globiom data'!$E$2:$E$9999,Veda!$C$1),0)*1000</f>
        <v>109.12315859406075</v>
      </c>
      <c r="N191" s="2">
        <f>MAX(SUMIFS('Globiom data'!M$2:M$9999,'Globiom data'!$A$2:$A$9999,Veda!$D191,'Globiom data'!$D$2:$D$9999,VLOOKUP(Veda!$B191,'Globiom data'!$V$21:$X$29,2,FALSE),'Globiom data'!$E$2:$E$9999,Veda!$C$1),0)*1000</f>
        <v>163.03243218762319</v>
      </c>
      <c r="O191" s="2">
        <f>MAX(SUMIFS('Globiom data'!N$2:N$9999,'Globiom data'!$A$2:$A$9999,Veda!$D191,'Globiom data'!$D$2:$D$9999,VLOOKUP(Veda!$B191,'Globiom data'!$V$21:$X$29,2,FALSE),'Globiom data'!$E$2:$E$9999,Veda!$C$1),0)*1000</f>
        <v>162.59404596514204</v>
      </c>
      <c r="P191" s="2">
        <f>MAX(SUMIFS('Globiom data'!O$2:O$9999,'Globiom data'!$A$2:$A$9999,Veda!$D191,'Globiom data'!$D$2:$D$9999,VLOOKUP(Veda!$B191,'Globiom data'!$V$21:$X$29,2,FALSE),'Globiom data'!$E$2:$E$9999,Veda!$C$1),0)*1000</f>
        <v>190.72511939429464</v>
      </c>
      <c r="Q191" s="2">
        <f>MAX(SUMIFS('Globiom data'!P$2:P$9999,'Globiom data'!$A$2:$A$9999,Veda!$D191,'Globiom data'!$D$2:$D$9999,VLOOKUP(Veda!$B191,'Globiom data'!$V$21:$X$29,2,FALSE),'Globiom data'!$E$2:$E$9999,Veda!$C$1),0)*1000</f>
        <v>203.25743867163814</v>
      </c>
      <c r="R191">
        <v>3</v>
      </c>
    </row>
    <row r="192" spans="1:18" x14ac:dyDescent="0.45">
      <c r="A192" s="8">
        <f t="shared" si="9"/>
        <v>27</v>
      </c>
      <c r="B192" s="8">
        <f t="shared" si="10"/>
        <v>5</v>
      </c>
      <c r="D192" t="str">
        <f>VLOOKUP(A192,'Globiom data'!$S$21:$T$51,2,FALSE)</f>
        <v>SouthAfrica</v>
      </c>
      <c r="E192" t="str">
        <f>VLOOKUP(B192,'Globiom data'!$V$21:$X$30,3,FALSE)</f>
        <v>MinBIOBSL-05</v>
      </c>
      <c r="F192" t="s">
        <v>53</v>
      </c>
      <c r="G192" s="2">
        <f>MAX(SUMIFS('Globiom data'!F$2:F$9999,'Globiom data'!$A$2:$A$9999,Veda!$D192,'Globiom data'!$D$2:$D$9999,VLOOKUP(Veda!$B192,'Globiom data'!$V$21:$X$29,2,FALSE),'Globiom data'!$E$2:$E$9999,Veda!$C$1),0)*1000</f>
        <v>0</v>
      </c>
      <c r="H192" s="2">
        <f>MAX(SUMIFS('Globiom data'!G$2:G$9999,'Globiom data'!$A$2:$A$9999,Veda!$D192,'Globiom data'!$D$2:$D$9999,VLOOKUP(Veda!$B192,'Globiom data'!$V$21:$X$29,2,FALSE),'Globiom data'!$E$2:$E$9999,Veda!$C$1),0)*1000</f>
        <v>1.91251869541735E-2</v>
      </c>
      <c r="I192" s="2">
        <f>MAX(SUMIFS('Globiom data'!H$2:H$9999,'Globiom data'!$A$2:$A$9999,Veda!$D192,'Globiom data'!$D$2:$D$9999,VLOOKUP(Veda!$B192,'Globiom data'!$V$21:$X$29,2,FALSE),'Globiom data'!$E$2:$E$9999,Veda!$C$1),0)*1000</f>
        <v>1.91251869541735E-2</v>
      </c>
      <c r="J192" s="2">
        <f>MAX(SUMIFS('Globiom data'!I$2:I$9999,'Globiom data'!$A$2:$A$9999,Veda!$D192,'Globiom data'!$D$2:$D$9999,VLOOKUP(Veda!$B192,'Globiom data'!$V$21:$X$29,2,FALSE),'Globiom data'!$E$2:$E$9999,Veda!$C$1),0)*1000</f>
        <v>0.58342837618989063</v>
      </c>
      <c r="K192" s="2">
        <f>MAX(SUMIFS('Globiom data'!J$2:J$9999,'Globiom data'!$A$2:$A$9999,Veda!$D192,'Globiom data'!$D$2:$D$9999,VLOOKUP(Veda!$B192,'Globiom data'!$V$21:$X$29,2,FALSE),'Globiom data'!$E$2:$E$9999,Veda!$C$1),0)*1000</f>
        <v>63.880996149547094</v>
      </c>
      <c r="L192" s="2">
        <f>MAX(SUMIFS('Globiom data'!K$2:K$9999,'Globiom data'!$A$2:$A$9999,Veda!$D192,'Globiom data'!$D$2:$D$9999,VLOOKUP(Veda!$B192,'Globiom data'!$V$21:$X$29,2,FALSE),'Globiom data'!$E$2:$E$9999,Veda!$C$1),0)*1000</f>
        <v>165.76494524040336</v>
      </c>
      <c r="M192" s="2">
        <f>MAX(SUMIFS('Globiom data'!L$2:L$9999,'Globiom data'!$A$2:$A$9999,Veda!$D192,'Globiom data'!$D$2:$D$9999,VLOOKUP(Veda!$B192,'Globiom data'!$V$21:$X$29,2,FALSE),'Globiom data'!$E$2:$E$9999,Veda!$C$1),0)*1000</f>
        <v>206.82174728297221</v>
      </c>
      <c r="N192" s="2">
        <f>MAX(SUMIFS('Globiom data'!M$2:M$9999,'Globiom data'!$A$2:$A$9999,Veda!$D192,'Globiom data'!$D$2:$D$9999,VLOOKUP(Veda!$B192,'Globiom data'!$V$21:$X$29,2,FALSE),'Globiom data'!$E$2:$E$9999,Veda!$C$1),0)*1000</f>
        <v>194.80661782517714</v>
      </c>
      <c r="O192" s="2">
        <f>MAX(SUMIFS('Globiom data'!N$2:N$9999,'Globiom data'!$A$2:$A$9999,Veda!$D192,'Globiom data'!$D$2:$D$9999,VLOOKUP(Veda!$B192,'Globiom data'!$V$21:$X$29,2,FALSE),'Globiom data'!$E$2:$E$9999,Veda!$C$1),0)*1000</f>
        <v>191.41469149929279</v>
      </c>
      <c r="P192" s="2">
        <f>MAX(SUMIFS('Globiom data'!O$2:O$9999,'Globiom data'!$A$2:$A$9999,Veda!$D192,'Globiom data'!$D$2:$D$9999,VLOOKUP(Veda!$B192,'Globiom data'!$V$21:$X$29,2,FALSE),'Globiom data'!$E$2:$E$9999,Veda!$C$1),0)*1000</f>
        <v>155.03984344648615</v>
      </c>
      <c r="Q192" s="2">
        <f>MAX(SUMIFS('Globiom data'!P$2:P$9999,'Globiom data'!$A$2:$A$9999,Veda!$D192,'Globiom data'!$D$2:$D$9999,VLOOKUP(Veda!$B192,'Globiom data'!$V$21:$X$29,2,FALSE),'Globiom data'!$E$2:$E$9999,Veda!$C$1),0)*1000</f>
        <v>102.45848188824735</v>
      </c>
      <c r="R192">
        <v>3</v>
      </c>
    </row>
    <row r="193" spans="1:18" x14ac:dyDescent="0.45">
      <c r="A193" s="8">
        <f t="shared" si="9"/>
        <v>27</v>
      </c>
      <c r="B193" s="8">
        <f t="shared" si="10"/>
        <v>6</v>
      </c>
      <c r="D193" t="str">
        <f>VLOOKUP(A193,'Globiom data'!$S$21:$T$51,2,FALSE)</f>
        <v>SouthAfrica</v>
      </c>
      <c r="E193" t="str">
        <f>VLOOKUP(B193,'Globiom data'!$V$21:$X$30,3,FALSE)</f>
        <v>MinBIOBSL-06</v>
      </c>
      <c r="F193" t="s">
        <v>53</v>
      </c>
      <c r="G193" s="2">
        <f>MAX(SUMIFS('Globiom data'!F$2:F$9999,'Globiom data'!$A$2:$A$9999,Veda!$D193,'Globiom data'!$D$2:$D$9999,VLOOKUP(Veda!$B193,'Globiom data'!$V$21:$X$29,2,FALSE),'Globiom data'!$E$2:$E$9999,Veda!$C$1),0)*1000</f>
        <v>0</v>
      </c>
      <c r="H193" s="2">
        <f>MAX(SUMIFS('Globiom data'!G$2:G$9999,'Globiom data'!$A$2:$A$9999,Veda!$D193,'Globiom data'!$D$2:$D$9999,VLOOKUP(Veda!$B193,'Globiom data'!$V$21:$X$29,2,FALSE),'Globiom data'!$E$2:$E$9999,Veda!$C$1),0)*1000</f>
        <v>1.7865053576261001</v>
      </c>
      <c r="I193" s="2">
        <f>MAX(SUMIFS('Globiom data'!H$2:H$9999,'Globiom data'!$A$2:$A$9999,Veda!$D193,'Globiom data'!$D$2:$D$9999,VLOOKUP(Veda!$B193,'Globiom data'!$V$21:$X$29,2,FALSE),'Globiom data'!$E$2:$E$9999,Veda!$C$1),0)*1000</f>
        <v>1.7865053576261001</v>
      </c>
      <c r="J193" s="2">
        <f>MAX(SUMIFS('Globiom data'!I$2:I$9999,'Globiom data'!$A$2:$A$9999,Veda!$D193,'Globiom data'!$D$2:$D$9999,VLOOKUP(Veda!$B193,'Globiom data'!$V$21:$X$29,2,FALSE),'Globiom data'!$E$2:$E$9999,Veda!$C$1),0)*1000</f>
        <v>150.11541980002602</v>
      </c>
      <c r="K193" s="2">
        <f>MAX(SUMIFS('Globiom data'!J$2:J$9999,'Globiom data'!$A$2:$A$9999,Veda!$D193,'Globiom data'!$D$2:$D$9999,VLOOKUP(Veda!$B193,'Globiom data'!$V$21:$X$29,2,FALSE),'Globiom data'!$E$2:$E$9999,Veda!$C$1),0)*1000</f>
        <v>284.83624771190028</v>
      </c>
      <c r="L193" s="2">
        <f>MAX(SUMIFS('Globiom data'!K$2:K$9999,'Globiom data'!$A$2:$A$9999,Veda!$D193,'Globiom data'!$D$2:$D$9999,VLOOKUP(Veda!$B193,'Globiom data'!$V$21:$X$29,2,FALSE),'Globiom data'!$E$2:$E$9999,Veda!$C$1),0)*1000</f>
        <v>285.38273027898123</v>
      </c>
      <c r="M193" s="2">
        <f>MAX(SUMIFS('Globiom data'!L$2:L$9999,'Globiom data'!$A$2:$A$9999,Veda!$D193,'Globiom data'!$D$2:$D$9999,VLOOKUP(Veda!$B193,'Globiom data'!$V$21:$X$29,2,FALSE),'Globiom data'!$E$2:$E$9999,Veda!$C$1),0)*1000</f>
        <v>248.84896403806746</v>
      </c>
      <c r="N193" s="2">
        <f>MAX(SUMIFS('Globiom data'!M$2:M$9999,'Globiom data'!$A$2:$A$9999,Veda!$D193,'Globiom data'!$D$2:$D$9999,VLOOKUP(Veda!$B193,'Globiom data'!$V$21:$X$29,2,FALSE),'Globiom data'!$E$2:$E$9999,Veda!$C$1),0)*1000</f>
        <v>172.18107292485311</v>
      </c>
      <c r="O193" s="2">
        <f>MAX(SUMIFS('Globiom data'!N$2:N$9999,'Globiom data'!$A$2:$A$9999,Veda!$D193,'Globiom data'!$D$2:$D$9999,VLOOKUP(Veda!$B193,'Globiom data'!$V$21:$X$29,2,FALSE),'Globiom data'!$E$2:$E$9999,Veda!$C$1),0)*1000</f>
        <v>110.71321361208952</v>
      </c>
      <c r="P193" s="2">
        <f>MAX(SUMIFS('Globiom data'!O$2:O$9999,'Globiom data'!$A$2:$A$9999,Veda!$D193,'Globiom data'!$D$2:$D$9999,VLOOKUP(Veda!$B193,'Globiom data'!$V$21:$X$29,2,FALSE),'Globiom data'!$E$2:$E$9999,Veda!$C$1),0)*1000</f>
        <v>81.994377832795593</v>
      </c>
      <c r="Q193" s="2">
        <f>MAX(SUMIFS('Globiom data'!P$2:P$9999,'Globiom data'!$A$2:$A$9999,Veda!$D193,'Globiom data'!$D$2:$D$9999,VLOOKUP(Veda!$B193,'Globiom data'!$V$21:$X$29,2,FALSE),'Globiom data'!$E$2:$E$9999,Veda!$C$1),0)*1000</f>
        <v>80.416369491876935</v>
      </c>
      <c r="R193">
        <v>3</v>
      </c>
    </row>
    <row r="194" spans="1:18" x14ac:dyDescent="0.45">
      <c r="A194" s="8">
        <f t="shared" si="9"/>
        <v>27</v>
      </c>
      <c r="B194" s="8">
        <f t="shared" si="10"/>
        <v>7</v>
      </c>
      <c r="D194" t="str">
        <f>VLOOKUP(A194,'Globiom data'!$S$21:$T$51,2,FALSE)</f>
        <v>SouthAfrica</v>
      </c>
      <c r="E194" t="str">
        <f>VLOOKUP(B194,'Globiom data'!$V$21:$X$30,3,FALSE)</f>
        <v>MinBIOBSL-07</v>
      </c>
      <c r="F194" t="s">
        <v>53</v>
      </c>
      <c r="G194" s="2">
        <f>MAX(SUMIFS('Globiom data'!F$2:F$9999,'Globiom data'!$A$2:$A$9999,Veda!$D194,'Globiom data'!$D$2:$D$9999,VLOOKUP(Veda!$B194,'Globiom data'!$V$21:$X$29,2,FALSE),'Globiom data'!$E$2:$E$9999,Veda!$C$1),0)*1000</f>
        <v>0</v>
      </c>
      <c r="H194" s="2">
        <f>MAX(SUMIFS('Globiom data'!G$2:G$9999,'Globiom data'!$A$2:$A$9999,Veda!$D194,'Globiom data'!$D$2:$D$9999,VLOOKUP(Veda!$B194,'Globiom data'!$V$21:$X$29,2,FALSE),'Globiom data'!$E$2:$E$9999,Veda!$C$1),0)*1000</f>
        <v>50.483616187003477</v>
      </c>
      <c r="I194" s="2">
        <f>MAX(SUMIFS('Globiom data'!H$2:H$9999,'Globiom data'!$A$2:$A$9999,Veda!$D194,'Globiom data'!$D$2:$D$9999,VLOOKUP(Veda!$B194,'Globiom data'!$V$21:$X$29,2,FALSE),'Globiom data'!$E$2:$E$9999,Veda!$C$1),0)*1000</f>
        <v>50.483616187003477</v>
      </c>
      <c r="J194" s="2">
        <f>MAX(SUMIFS('Globiom data'!I$2:I$9999,'Globiom data'!$A$2:$A$9999,Veda!$D194,'Globiom data'!$D$2:$D$9999,VLOOKUP(Veda!$B194,'Globiom data'!$V$21:$X$29,2,FALSE),'Globiom data'!$E$2:$E$9999,Veda!$C$1),0)*1000</f>
        <v>216.53304471899358</v>
      </c>
      <c r="K194" s="2">
        <f>MAX(SUMIFS('Globiom data'!J$2:J$9999,'Globiom data'!$A$2:$A$9999,Veda!$D194,'Globiom data'!$D$2:$D$9999,VLOOKUP(Veda!$B194,'Globiom data'!$V$21:$X$29,2,FALSE),'Globiom data'!$E$2:$E$9999,Veda!$C$1),0)*1000</f>
        <v>217.14029658221929</v>
      </c>
      <c r="L194" s="2">
        <f>MAX(SUMIFS('Globiom data'!K$2:K$9999,'Globiom data'!$A$2:$A$9999,Veda!$D194,'Globiom data'!$D$2:$D$9999,VLOOKUP(Veda!$B194,'Globiom data'!$V$21:$X$29,2,FALSE),'Globiom data'!$E$2:$E$9999,Veda!$C$1),0)*1000</f>
        <v>130.07650559370751</v>
      </c>
      <c r="M194" s="2">
        <f>MAX(SUMIFS('Globiom data'!L$2:L$9999,'Globiom data'!$A$2:$A$9999,Veda!$D194,'Globiom data'!$D$2:$D$9999,VLOOKUP(Veda!$B194,'Globiom data'!$V$21:$X$29,2,FALSE),'Globiom data'!$E$2:$E$9999,Veda!$C$1),0)*1000</f>
        <v>75.916824137909941</v>
      </c>
      <c r="N194" s="2">
        <f>MAX(SUMIFS('Globiom data'!M$2:M$9999,'Globiom data'!$A$2:$A$9999,Veda!$D194,'Globiom data'!$D$2:$D$9999,VLOOKUP(Veda!$B194,'Globiom data'!$V$21:$X$29,2,FALSE),'Globiom data'!$E$2:$E$9999,Veda!$C$1),0)*1000</f>
        <v>70.435213866529097</v>
      </c>
      <c r="O194" s="2">
        <f>MAX(SUMIFS('Globiom data'!N$2:N$9999,'Globiom data'!$A$2:$A$9999,Veda!$D194,'Globiom data'!$D$2:$D$9999,VLOOKUP(Veda!$B194,'Globiom data'!$V$21:$X$29,2,FALSE),'Globiom data'!$E$2:$E$9999,Veda!$C$1),0)*1000</f>
        <v>71.231301676415214</v>
      </c>
      <c r="P194" s="2">
        <f>MAX(SUMIFS('Globiom data'!O$2:O$9999,'Globiom data'!$A$2:$A$9999,Veda!$D194,'Globiom data'!$D$2:$D$9999,VLOOKUP(Veda!$B194,'Globiom data'!$V$21:$X$29,2,FALSE),'Globiom data'!$E$2:$E$9999,Veda!$C$1),0)*1000</f>
        <v>71.577155992843984</v>
      </c>
      <c r="Q194" s="2">
        <f>MAX(SUMIFS('Globiom data'!P$2:P$9999,'Globiom data'!$A$2:$A$9999,Veda!$D194,'Globiom data'!$D$2:$D$9999,VLOOKUP(Veda!$B194,'Globiom data'!$V$21:$X$29,2,FALSE),'Globiom data'!$E$2:$E$9999,Veda!$C$1),0)*1000</f>
        <v>69.27726050637672</v>
      </c>
      <c r="R194">
        <v>3</v>
      </c>
    </row>
    <row r="195" spans="1:18" x14ac:dyDescent="0.45">
      <c r="A195" s="8">
        <f t="shared" si="9"/>
        <v>28</v>
      </c>
      <c r="B195" s="8">
        <f t="shared" si="10"/>
        <v>1</v>
      </c>
      <c r="D195" t="str">
        <f>VLOOKUP(A195,'Globiom data'!$S$21:$T$51,2,FALSE)</f>
        <v>UK</v>
      </c>
      <c r="E195" t="str">
        <f>VLOOKUP(B195,'Globiom data'!$V$21:$X$30,3,FALSE)</f>
        <v>MinBIOBSL-01</v>
      </c>
      <c r="F195" t="s">
        <v>53</v>
      </c>
      <c r="G195" s="2">
        <f>MAX(SUMIFS('Globiom data'!F$2:F$9999,'Globiom data'!$A$2:$A$9999,Veda!$D195,'Globiom data'!$D$2:$D$9999,VLOOKUP(Veda!$B195,'Globiom data'!$V$21:$X$29,2,FALSE),'Globiom data'!$E$2:$E$9999,Veda!$C$1),0)*1000</f>
        <v>128.48090266886015</v>
      </c>
      <c r="H195" s="2">
        <f>MAX(SUMIFS('Globiom data'!G$2:G$9999,'Globiom data'!$A$2:$A$9999,Veda!$D195,'Globiom data'!$D$2:$D$9999,VLOOKUP(Veda!$B195,'Globiom data'!$V$21:$X$29,2,FALSE),'Globiom data'!$E$2:$E$9999,Veda!$C$1),0)*1000</f>
        <v>128.9534151267718</v>
      </c>
      <c r="I195" s="2">
        <f>MAX(SUMIFS('Globiom data'!H$2:H$9999,'Globiom data'!$A$2:$A$9999,Veda!$D195,'Globiom data'!$D$2:$D$9999,VLOOKUP(Veda!$B195,'Globiom data'!$V$21:$X$29,2,FALSE),'Globiom data'!$E$2:$E$9999,Veda!$C$1),0)*1000</f>
        <v>128.9534151267718</v>
      </c>
      <c r="J195" s="2">
        <f>MAX(SUMIFS('Globiom data'!I$2:I$9999,'Globiom data'!$A$2:$A$9999,Veda!$D195,'Globiom data'!$D$2:$D$9999,VLOOKUP(Veda!$B195,'Globiom data'!$V$21:$X$29,2,FALSE),'Globiom data'!$E$2:$E$9999,Veda!$C$1),0)*1000</f>
        <v>126.34975915361716</v>
      </c>
      <c r="K195" s="2">
        <f>MAX(SUMIFS('Globiom data'!J$2:J$9999,'Globiom data'!$A$2:$A$9999,Veda!$D195,'Globiom data'!$D$2:$D$9999,VLOOKUP(Veda!$B195,'Globiom data'!$V$21:$X$29,2,FALSE),'Globiom data'!$E$2:$E$9999,Veda!$C$1),0)*1000</f>
        <v>123.50206710725966</v>
      </c>
      <c r="L195" s="2">
        <f>MAX(SUMIFS('Globiom data'!K$2:K$9999,'Globiom data'!$A$2:$A$9999,Veda!$D195,'Globiom data'!$D$2:$D$9999,VLOOKUP(Veda!$B195,'Globiom data'!$V$21:$X$29,2,FALSE),'Globiom data'!$E$2:$E$9999,Veda!$C$1),0)*1000</f>
        <v>121.14030485020022</v>
      </c>
      <c r="M195" s="2">
        <f>MAX(SUMIFS('Globiom data'!L$2:L$9999,'Globiom data'!$A$2:$A$9999,Veda!$D195,'Globiom data'!$D$2:$D$9999,VLOOKUP(Veda!$B195,'Globiom data'!$V$21:$X$29,2,FALSE),'Globiom data'!$E$2:$E$9999,Veda!$C$1),0)*1000</f>
        <v>120.27893151817572</v>
      </c>
      <c r="N195" s="2">
        <f>MAX(SUMIFS('Globiom data'!M$2:M$9999,'Globiom data'!$A$2:$A$9999,Veda!$D195,'Globiom data'!$D$2:$D$9999,VLOOKUP(Veda!$B195,'Globiom data'!$V$21:$X$29,2,FALSE),'Globiom data'!$E$2:$E$9999,Veda!$C$1),0)*1000</f>
        <v>119.84596671755449</v>
      </c>
      <c r="O195" s="2">
        <f>MAX(SUMIFS('Globiom data'!N$2:N$9999,'Globiom data'!$A$2:$A$9999,Veda!$D195,'Globiom data'!$D$2:$D$9999,VLOOKUP(Veda!$B195,'Globiom data'!$V$21:$X$29,2,FALSE),'Globiom data'!$E$2:$E$9999,Veda!$C$1),0)*1000</f>
        <v>119.48119636050849</v>
      </c>
      <c r="P195" s="2">
        <f>MAX(SUMIFS('Globiom data'!O$2:O$9999,'Globiom data'!$A$2:$A$9999,Veda!$D195,'Globiom data'!$D$2:$D$9999,VLOOKUP(Veda!$B195,'Globiom data'!$V$21:$X$29,2,FALSE),'Globiom data'!$E$2:$E$9999,Veda!$C$1),0)*1000</f>
        <v>119.1481662267627</v>
      </c>
      <c r="Q195" s="2">
        <f>MAX(SUMIFS('Globiom data'!P$2:P$9999,'Globiom data'!$A$2:$A$9999,Veda!$D195,'Globiom data'!$D$2:$D$9999,VLOOKUP(Veda!$B195,'Globiom data'!$V$21:$X$29,2,FALSE),'Globiom data'!$E$2:$E$9999,Veda!$C$1),0)*1000</f>
        <v>118.68009709277813</v>
      </c>
      <c r="R195">
        <v>3</v>
      </c>
    </row>
    <row r="196" spans="1:18" x14ac:dyDescent="0.45">
      <c r="A196" s="8">
        <f t="shared" si="9"/>
        <v>28</v>
      </c>
      <c r="B196" s="8">
        <f t="shared" si="10"/>
        <v>2</v>
      </c>
      <c r="D196" t="str">
        <f>VLOOKUP(A196,'Globiom data'!$S$21:$T$51,2,FALSE)</f>
        <v>UK</v>
      </c>
      <c r="E196" t="str">
        <f>VLOOKUP(B196,'Globiom data'!$V$21:$X$30,3,FALSE)</f>
        <v>MinBIOBSL-02</v>
      </c>
      <c r="F196" t="s">
        <v>53</v>
      </c>
      <c r="G196" s="2">
        <f>MAX(SUMIFS('Globiom data'!F$2:F$9999,'Globiom data'!$A$2:$A$9999,Veda!$D196,'Globiom data'!$D$2:$D$9999,VLOOKUP(Veda!$B196,'Globiom data'!$V$21:$X$29,2,FALSE),'Globiom data'!$E$2:$E$9999,Veda!$C$1),0)*1000</f>
        <v>0</v>
      </c>
      <c r="H196" s="2">
        <f>MAX(SUMIFS('Globiom data'!G$2:G$9999,'Globiom data'!$A$2:$A$9999,Veda!$D196,'Globiom data'!$D$2:$D$9999,VLOOKUP(Veda!$B196,'Globiom data'!$V$21:$X$29,2,FALSE),'Globiom data'!$E$2:$E$9999,Veda!$C$1),0)*1000</f>
        <v>0.22708344239713588</v>
      </c>
      <c r="I196" s="2">
        <f>MAX(SUMIFS('Globiom data'!H$2:H$9999,'Globiom data'!$A$2:$A$9999,Veda!$D196,'Globiom data'!$D$2:$D$9999,VLOOKUP(Veda!$B196,'Globiom data'!$V$21:$X$29,2,FALSE),'Globiom data'!$E$2:$E$9999,Veda!$C$1),0)*1000</f>
        <v>0.22708344239713588</v>
      </c>
      <c r="J196" s="2">
        <f>MAX(SUMIFS('Globiom data'!I$2:I$9999,'Globiom data'!$A$2:$A$9999,Veda!$D196,'Globiom data'!$D$2:$D$9999,VLOOKUP(Veda!$B196,'Globiom data'!$V$21:$X$29,2,FALSE),'Globiom data'!$E$2:$E$9999,Veda!$C$1),0)*1000</f>
        <v>0.7961135190275056</v>
      </c>
      <c r="K196" s="2">
        <f>MAX(SUMIFS('Globiom data'!J$2:J$9999,'Globiom data'!$A$2:$A$9999,Veda!$D196,'Globiom data'!$D$2:$D$9999,VLOOKUP(Veda!$B196,'Globiom data'!$V$21:$X$29,2,FALSE),'Globiom data'!$E$2:$E$9999,Veda!$C$1),0)*1000</f>
        <v>0.70871281943126696</v>
      </c>
      <c r="L196" s="2">
        <f>MAX(SUMIFS('Globiom data'!K$2:K$9999,'Globiom data'!$A$2:$A$9999,Veda!$D196,'Globiom data'!$D$2:$D$9999,VLOOKUP(Veda!$B196,'Globiom data'!$V$21:$X$29,2,FALSE),'Globiom data'!$E$2:$E$9999,Veda!$C$1),0)*1000</f>
        <v>0.76104090473961072</v>
      </c>
      <c r="M196" s="2">
        <f>MAX(SUMIFS('Globiom data'!L$2:L$9999,'Globiom data'!$A$2:$A$9999,Veda!$D196,'Globiom data'!$D$2:$D$9999,VLOOKUP(Veda!$B196,'Globiom data'!$V$21:$X$29,2,FALSE),'Globiom data'!$E$2:$E$9999,Veda!$C$1),0)*1000</f>
        <v>0.94489670200873521</v>
      </c>
      <c r="N196" s="2">
        <f>MAX(SUMIFS('Globiom data'!M$2:M$9999,'Globiom data'!$A$2:$A$9999,Veda!$D196,'Globiom data'!$D$2:$D$9999,VLOOKUP(Veda!$B196,'Globiom data'!$V$21:$X$29,2,FALSE),'Globiom data'!$E$2:$E$9999,Veda!$C$1),0)*1000</f>
        <v>1.0493431470376042</v>
      </c>
      <c r="O196" s="2">
        <f>MAX(SUMIFS('Globiom data'!N$2:N$9999,'Globiom data'!$A$2:$A$9999,Veda!$D196,'Globiom data'!$D$2:$D$9999,VLOOKUP(Veda!$B196,'Globiom data'!$V$21:$X$29,2,FALSE),'Globiom data'!$E$2:$E$9999,Veda!$C$1),0)*1000</f>
        <v>4.095127024652812</v>
      </c>
      <c r="P196" s="2">
        <f>MAX(SUMIFS('Globiom data'!O$2:O$9999,'Globiom data'!$A$2:$A$9999,Veda!$D196,'Globiom data'!$D$2:$D$9999,VLOOKUP(Veda!$B196,'Globiom data'!$V$21:$X$29,2,FALSE),'Globiom data'!$E$2:$E$9999,Veda!$C$1),0)*1000</f>
        <v>4.2577677695585878</v>
      </c>
      <c r="Q196" s="2">
        <f>MAX(SUMIFS('Globiom data'!P$2:P$9999,'Globiom data'!$A$2:$A$9999,Veda!$D196,'Globiom data'!$D$2:$D$9999,VLOOKUP(Veda!$B196,'Globiom data'!$V$21:$X$29,2,FALSE),'Globiom data'!$E$2:$E$9999,Veda!$C$1),0)*1000</f>
        <v>4.587274745853076</v>
      </c>
      <c r="R196">
        <v>3</v>
      </c>
    </row>
    <row r="197" spans="1:18" x14ac:dyDescent="0.45">
      <c r="A197" s="8">
        <f t="shared" si="9"/>
        <v>28</v>
      </c>
      <c r="B197" s="8">
        <f t="shared" si="10"/>
        <v>3</v>
      </c>
      <c r="D197" t="str">
        <f>VLOOKUP(A197,'Globiom data'!$S$21:$T$51,2,FALSE)</f>
        <v>UK</v>
      </c>
      <c r="E197" t="str">
        <f>VLOOKUP(B197,'Globiom data'!$V$21:$X$30,3,FALSE)</f>
        <v>MinBIOBSL-03</v>
      </c>
      <c r="F197" t="s">
        <v>53</v>
      </c>
      <c r="G197" s="2">
        <f>MAX(SUMIFS('Globiom data'!F$2:F$9999,'Globiom data'!$A$2:$A$9999,Veda!$D197,'Globiom data'!$D$2:$D$9999,VLOOKUP(Veda!$B197,'Globiom data'!$V$21:$X$29,2,FALSE),'Globiom data'!$E$2:$E$9999,Veda!$C$1),0)*1000</f>
        <v>0</v>
      </c>
      <c r="H197" s="2">
        <f>MAX(SUMIFS('Globiom data'!G$2:G$9999,'Globiom data'!$A$2:$A$9999,Veda!$D197,'Globiom data'!$D$2:$D$9999,VLOOKUP(Veda!$B197,'Globiom data'!$V$21:$X$29,2,FALSE),'Globiom data'!$E$2:$E$9999,Veda!$C$1),0)*1000</f>
        <v>8.5861943338941288E-2</v>
      </c>
      <c r="I197" s="2">
        <f>MAX(SUMIFS('Globiom data'!H$2:H$9999,'Globiom data'!$A$2:$A$9999,Veda!$D197,'Globiom data'!$D$2:$D$9999,VLOOKUP(Veda!$B197,'Globiom data'!$V$21:$X$29,2,FALSE),'Globiom data'!$E$2:$E$9999,Veda!$C$1),0)*1000</f>
        <v>8.5861943338941288E-2</v>
      </c>
      <c r="J197" s="2">
        <f>MAX(SUMIFS('Globiom data'!I$2:I$9999,'Globiom data'!$A$2:$A$9999,Veda!$D197,'Globiom data'!$D$2:$D$9999,VLOOKUP(Veda!$B197,'Globiom data'!$V$21:$X$29,2,FALSE),'Globiom data'!$E$2:$E$9999,Veda!$C$1),0)*1000</f>
        <v>0.32911314001519359</v>
      </c>
      <c r="K197" s="2">
        <f>MAX(SUMIFS('Globiom data'!J$2:J$9999,'Globiom data'!$A$2:$A$9999,Veda!$D197,'Globiom data'!$D$2:$D$9999,VLOOKUP(Veda!$B197,'Globiom data'!$V$21:$X$29,2,FALSE),'Globiom data'!$E$2:$E$9999,Veda!$C$1),0)*1000</f>
        <v>0.3807272343749582</v>
      </c>
      <c r="L197" s="2">
        <f>MAX(SUMIFS('Globiom data'!K$2:K$9999,'Globiom data'!$A$2:$A$9999,Veda!$D197,'Globiom data'!$D$2:$D$9999,VLOOKUP(Veda!$B197,'Globiom data'!$V$21:$X$29,2,FALSE),'Globiom data'!$E$2:$E$9999,Veda!$C$1),0)*1000</f>
        <v>0.69072762744984462</v>
      </c>
      <c r="M197" s="2">
        <f>MAX(SUMIFS('Globiom data'!L$2:L$9999,'Globiom data'!$A$2:$A$9999,Veda!$D197,'Globiom data'!$D$2:$D$9999,VLOOKUP(Veda!$B197,'Globiom data'!$V$21:$X$29,2,FALSE),'Globiom data'!$E$2:$E$9999,Veda!$C$1),0)*1000</f>
        <v>3.7960330818748087</v>
      </c>
      <c r="N197" s="2">
        <f>MAX(SUMIFS('Globiom data'!M$2:M$9999,'Globiom data'!$A$2:$A$9999,Veda!$D197,'Globiom data'!$D$2:$D$9999,VLOOKUP(Veda!$B197,'Globiom data'!$V$21:$X$29,2,FALSE),'Globiom data'!$E$2:$E$9999,Veda!$C$1),0)*1000</f>
        <v>3.8819650962542456</v>
      </c>
      <c r="O197" s="2">
        <f>MAX(SUMIFS('Globiom data'!N$2:N$9999,'Globiom data'!$A$2:$A$9999,Veda!$D197,'Globiom data'!$D$2:$D$9999,VLOOKUP(Veda!$B197,'Globiom data'!$V$21:$X$29,2,FALSE),'Globiom data'!$E$2:$E$9999,Veda!$C$1),0)*1000</f>
        <v>10.13951972913066</v>
      </c>
      <c r="P197" s="2">
        <f>MAX(SUMIFS('Globiom data'!O$2:O$9999,'Globiom data'!$A$2:$A$9999,Veda!$D197,'Globiom data'!$D$2:$D$9999,VLOOKUP(Veda!$B197,'Globiom data'!$V$21:$X$29,2,FALSE),'Globiom data'!$E$2:$E$9999,Veda!$C$1),0)*1000</f>
        <v>12.433829300149824</v>
      </c>
      <c r="Q197" s="2">
        <f>MAX(SUMIFS('Globiom data'!P$2:P$9999,'Globiom data'!$A$2:$A$9999,Veda!$D197,'Globiom data'!$D$2:$D$9999,VLOOKUP(Veda!$B197,'Globiom data'!$V$21:$X$29,2,FALSE),'Globiom data'!$E$2:$E$9999,Veda!$C$1),0)*1000</f>
        <v>19.62450815322866</v>
      </c>
      <c r="R197">
        <v>3</v>
      </c>
    </row>
    <row r="198" spans="1:18" x14ac:dyDescent="0.45">
      <c r="A198" s="8">
        <f t="shared" si="9"/>
        <v>28</v>
      </c>
      <c r="B198" s="8">
        <f t="shared" si="10"/>
        <v>4</v>
      </c>
      <c r="D198" t="str">
        <f>VLOOKUP(A198,'Globiom data'!$S$21:$T$51,2,FALSE)</f>
        <v>UK</v>
      </c>
      <c r="E198" t="str">
        <f>VLOOKUP(B198,'Globiom data'!$V$21:$X$30,3,FALSE)</f>
        <v>MinBIOBSL-04</v>
      </c>
      <c r="F198" t="s">
        <v>53</v>
      </c>
      <c r="G198" s="2">
        <f>MAX(SUMIFS('Globiom data'!F$2:F$9999,'Globiom data'!$A$2:$A$9999,Veda!$D198,'Globiom data'!$D$2:$D$9999,VLOOKUP(Veda!$B198,'Globiom data'!$V$21:$X$29,2,FALSE),'Globiom data'!$E$2:$E$9999,Veda!$C$1),0)*1000</f>
        <v>0</v>
      </c>
      <c r="H198" s="2">
        <f>MAX(SUMIFS('Globiom data'!G$2:G$9999,'Globiom data'!$A$2:$A$9999,Veda!$D198,'Globiom data'!$D$2:$D$9999,VLOOKUP(Veda!$B198,'Globiom data'!$V$21:$X$29,2,FALSE),'Globiom data'!$E$2:$E$9999,Veda!$C$1),0)*1000</f>
        <v>8.7653488363221413E-2</v>
      </c>
      <c r="I198" s="2">
        <f>MAX(SUMIFS('Globiom data'!H$2:H$9999,'Globiom data'!$A$2:$A$9999,Veda!$D198,'Globiom data'!$D$2:$D$9999,VLOOKUP(Veda!$B198,'Globiom data'!$V$21:$X$29,2,FALSE),'Globiom data'!$E$2:$E$9999,Veda!$C$1),0)*1000</f>
        <v>8.7653488363221413E-2</v>
      </c>
      <c r="J198" s="2">
        <f>MAX(SUMIFS('Globiom data'!I$2:I$9999,'Globiom data'!$A$2:$A$9999,Veda!$D198,'Globiom data'!$D$2:$D$9999,VLOOKUP(Veda!$B198,'Globiom data'!$V$21:$X$29,2,FALSE),'Globiom data'!$E$2:$E$9999,Veda!$C$1),0)*1000</f>
        <v>0.37603650539111899</v>
      </c>
      <c r="K198" s="2">
        <f>MAX(SUMIFS('Globiom data'!J$2:J$9999,'Globiom data'!$A$2:$A$9999,Veda!$D198,'Globiom data'!$D$2:$D$9999,VLOOKUP(Veda!$B198,'Globiom data'!$V$21:$X$29,2,FALSE),'Globiom data'!$E$2:$E$9999,Veda!$C$1),0)*1000</f>
        <v>3.72992550560949</v>
      </c>
      <c r="L198" s="2">
        <f>MAX(SUMIFS('Globiom data'!K$2:K$9999,'Globiom data'!$A$2:$A$9999,Veda!$D198,'Globiom data'!$D$2:$D$9999,VLOOKUP(Veda!$B198,'Globiom data'!$V$21:$X$29,2,FALSE),'Globiom data'!$E$2:$E$9999,Veda!$C$1),0)*1000</f>
        <v>3.5671697725109794</v>
      </c>
      <c r="M198" s="2">
        <f>MAX(SUMIFS('Globiom data'!L$2:L$9999,'Globiom data'!$A$2:$A$9999,Veda!$D198,'Globiom data'!$D$2:$D$9999,VLOOKUP(Veda!$B198,'Globiom data'!$V$21:$X$29,2,FALSE),'Globiom data'!$E$2:$E$9999,Veda!$C$1),0)*1000</f>
        <v>11.539585953993798</v>
      </c>
      <c r="N198" s="2">
        <f>MAX(SUMIFS('Globiom data'!M$2:M$9999,'Globiom data'!$A$2:$A$9999,Veda!$D198,'Globiom data'!$D$2:$D$9999,VLOOKUP(Veda!$B198,'Globiom data'!$V$21:$X$29,2,FALSE),'Globiom data'!$E$2:$E$9999,Veda!$C$1),0)*1000</f>
        <v>19.918100290957238</v>
      </c>
      <c r="O198" s="2">
        <f>MAX(SUMIFS('Globiom data'!N$2:N$9999,'Globiom data'!$A$2:$A$9999,Veda!$D198,'Globiom data'!$D$2:$D$9999,VLOOKUP(Veda!$B198,'Globiom data'!$V$21:$X$29,2,FALSE),'Globiom data'!$E$2:$E$9999,Veda!$C$1),0)*1000</f>
        <v>18.663362195239031</v>
      </c>
      <c r="P198" s="2">
        <f>MAX(SUMIFS('Globiom data'!O$2:O$9999,'Globiom data'!$A$2:$A$9999,Veda!$D198,'Globiom data'!$D$2:$D$9999,VLOOKUP(Veda!$B198,'Globiom data'!$V$21:$X$29,2,FALSE),'Globiom data'!$E$2:$E$9999,Veda!$C$1),0)*1000</f>
        <v>23.835217880002531</v>
      </c>
      <c r="Q198" s="2">
        <f>MAX(SUMIFS('Globiom data'!P$2:P$9999,'Globiom data'!$A$2:$A$9999,Veda!$D198,'Globiom data'!$D$2:$D$9999,VLOOKUP(Veda!$B198,'Globiom data'!$V$21:$X$29,2,FALSE),'Globiom data'!$E$2:$E$9999,Veda!$C$1),0)*1000</f>
        <v>37.127020689831248</v>
      </c>
      <c r="R198">
        <v>3</v>
      </c>
    </row>
    <row r="199" spans="1:18" x14ac:dyDescent="0.45">
      <c r="A199" s="8">
        <f t="shared" si="9"/>
        <v>28</v>
      </c>
      <c r="B199" s="8">
        <f t="shared" si="10"/>
        <v>5</v>
      </c>
      <c r="D199" t="str">
        <f>VLOOKUP(A199,'Globiom data'!$S$21:$T$51,2,FALSE)</f>
        <v>UK</v>
      </c>
      <c r="E199" t="str">
        <f>VLOOKUP(B199,'Globiom data'!$V$21:$X$30,3,FALSE)</f>
        <v>MinBIOBSL-05</v>
      </c>
      <c r="F199" t="s">
        <v>53</v>
      </c>
      <c r="G199" s="2">
        <f>MAX(SUMIFS('Globiom data'!F$2:F$9999,'Globiom data'!$A$2:$A$9999,Veda!$D199,'Globiom data'!$D$2:$D$9999,VLOOKUP(Veda!$B199,'Globiom data'!$V$21:$X$29,2,FALSE),'Globiom data'!$E$2:$E$9999,Veda!$C$1),0)*1000</f>
        <v>0</v>
      </c>
      <c r="H199" s="2">
        <f>MAX(SUMIFS('Globiom data'!G$2:G$9999,'Globiom data'!$A$2:$A$9999,Veda!$D199,'Globiom data'!$D$2:$D$9999,VLOOKUP(Veda!$B199,'Globiom data'!$V$21:$X$29,2,FALSE),'Globiom data'!$E$2:$E$9999,Veda!$C$1),0)*1000</f>
        <v>0.1162741805146065</v>
      </c>
      <c r="I199" s="2">
        <f>MAX(SUMIFS('Globiom data'!H$2:H$9999,'Globiom data'!$A$2:$A$9999,Veda!$D199,'Globiom data'!$D$2:$D$9999,VLOOKUP(Veda!$B199,'Globiom data'!$V$21:$X$29,2,FALSE),'Globiom data'!$E$2:$E$9999,Veda!$C$1),0)*1000</f>
        <v>0.1162741805146065</v>
      </c>
      <c r="J199" s="2">
        <f>MAX(SUMIFS('Globiom data'!I$2:I$9999,'Globiom data'!$A$2:$A$9999,Veda!$D199,'Globiom data'!$D$2:$D$9999,VLOOKUP(Veda!$B199,'Globiom data'!$V$21:$X$29,2,FALSE),'Globiom data'!$E$2:$E$9999,Veda!$C$1),0)*1000</f>
        <v>4.0594961091197783</v>
      </c>
      <c r="K199" s="2">
        <f>MAX(SUMIFS('Globiom data'!J$2:J$9999,'Globiom data'!$A$2:$A$9999,Veda!$D199,'Globiom data'!$D$2:$D$9999,VLOOKUP(Veda!$B199,'Globiom data'!$V$21:$X$29,2,FALSE),'Globiom data'!$E$2:$E$9999,Veda!$C$1),0)*1000</f>
        <v>9.7336499076282923</v>
      </c>
      <c r="L199" s="2">
        <f>MAX(SUMIFS('Globiom data'!K$2:K$9999,'Globiom data'!$A$2:$A$9999,Veda!$D199,'Globiom data'!$D$2:$D$9999,VLOOKUP(Veda!$B199,'Globiom data'!$V$21:$X$29,2,FALSE),'Globiom data'!$E$2:$E$9999,Veda!$C$1),0)*1000</f>
        <v>21.691149836121948</v>
      </c>
      <c r="M199" s="2">
        <f>MAX(SUMIFS('Globiom data'!L$2:L$9999,'Globiom data'!$A$2:$A$9999,Veda!$D199,'Globiom data'!$D$2:$D$9999,VLOOKUP(Veda!$B199,'Globiom data'!$V$21:$X$29,2,FALSE),'Globiom data'!$E$2:$E$9999,Veda!$C$1),0)*1000</f>
        <v>19.86764919543738</v>
      </c>
      <c r="N199" s="2">
        <f>MAX(SUMIFS('Globiom data'!M$2:M$9999,'Globiom data'!$A$2:$A$9999,Veda!$D199,'Globiom data'!$D$2:$D$9999,VLOOKUP(Veda!$B199,'Globiom data'!$V$21:$X$29,2,FALSE),'Globiom data'!$E$2:$E$9999,Veda!$C$1),0)*1000</f>
        <v>36.674981609115449</v>
      </c>
      <c r="O199" s="2">
        <f>MAX(SUMIFS('Globiom data'!N$2:N$9999,'Globiom data'!$A$2:$A$9999,Veda!$D199,'Globiom data'!$D$2:$D$9999,VLOOKUP(Veda!$B199,'Globiom data'!$V$21:$X$29,2,FALSE),'Globiom data'!$E$2:$E$9999,Veda!$C$1),0)*1000</f>
        <v>57.597936688098031</v>
      </c>
      <c r="P199" s="2">
        <f>MAX(SUMIFS('Globiom data'!O$2:O$9999,'Globiom data'!$A$2:$A$9999,Veda!$D199,'Globiom data'!$D$2:$D$9999,VLOOKUP(Veda!$B199,'Globiom data'!$V$21:$X$29,2,FALSE),'Globiom data'!$E$2:$E$9999,Veda!$C$1),0)*1000</f>
        <v>78.313739016182595</v>
      </c>
      <c r="Q199" s="2">
        <f>MAX(SUMIFS('Globiom data'!P$2:P$9999,'Globiom data'!$A$2:$A$9999,Veda!$D199,'Globiom data'!$D$2:$D$9999,VLOOKUP(Veda!$B199,'Globiom data'!$V$21:$X$29,2,FALSE),'Globiom data'!$E$2:$E$9999,Veda!$C$1),0)*1000</f>
        <v>82.408655882846716</v>
      </c>
      <c r="R199">
        <v>3</v>
      </c>
    </row>
    <row r="200" spans="1:18" x14ac:dyDescent="0.45">
      <c r="A200" s="8">
        <f t="shared" si="9"/>
        <v>28</v>
      </c>
      <c r="B200" s="8">
        <f t="shared" si="10"/>
        <v>6</v>
      </c>
      <c r="D200" t="str">
        <f>VLOOKUP(A200,'Globiom data'!$S$21:$T$51,2,FALSE)</f>
        <v>UK</v>
      </c>
      <c r="E200" t="str">
        <f>VLOOKUP(B200,'Globiom data'!$V$21:$X$30,3,FALSE)</f>
        <v>MinBIOBSL-06</v>
      </c>
      <c r="F200" t="s">
        <v>53</v>
      </c>
      <c r="G200" s="2">
        <f>MAX(SUMIFS('Globiom data'!F$2:F$9999,'Globiom data'!$A$2:$A$9999,Veda!$D200,'Globiom data'!$D$2:$D$9999,VLOOKUP(Veda!$B200,'Globiom data'!$V$21:$X$29,2,FALSE),'Globiom data'!$E$2:$E$9999,Veda!$C$1),0)*1000</f>
        <v>0</v>
      </c>
      <c r="H200" s="2">
        <f>MAX(SUMIFS('Globiom data'!G$2:G$9999,'Globiom data'!$A$2:$A$9999,Veda!$D200,'Globiom data'!$D$2:$D$9999,VLOOKUP(Veda!$B200,'Globiom data'!$V$21:$X$29,2,FALSE),'Globiom data'!$E$2:$E$9999,Veda!$C$1),0)*1000</f>
        <v>1.0985508418811027</v>
      </c>
      <c r="I200" s="2">
        <f>MAX(SUMIFS('Globiom data'!H$2:H$9999,'Globiom data'!$A$2:$A$9999,Veda!$D200,'Globiom data'!$D$2:$D$9999,VLOOKUP(Veda!$B200,'Globiom data'!$V$21:$X$29,2,FALSE),'Globiom data'!$E$2:$E$9999,Veda!$C$1),0)*1000</f>
        <v>1.0985508418811027</v>
      </c>
      <c r="J200" s="2">
        <f>MAX(SUMIFS('Globiom data'!I$2:I$9999,'Globiom data'!$A$2:$A$9999,Veda!$D200,'Globiom data'!$D$2:$D$9999,VLOOKUP(Veda!$B200,'Globiom data'!$V$21:$X$29,2,FALSE),'Globiom data'!$E$2:$E$9999,Veda!$C$1),0)*1000</f>
        <v>19.311868335939657</v>
      </c>
      <c r="K200" s="2">
        <f>MAX(SUMIFS('Globiom data'!J$2:J$9999,'Globiom data'!$A$2:$A$9999,Veda!$D200,'Globiom data'!$D$2:$D$9999,VLOOKUP(Veda!$B200,'Globiom data'!$V$21:$X$29,2,FALSE),'Globiom data'!$E$2:$E$9999,Veda!$C$1),0)*1000</f>
        <v>42.206083790831087</v>
      </c>
      <c r="L200" s="2">
        <f>MAX(SUMIFS('Globiom data'!K$2:K$9999,'Globiom data'!$A$2:$A$9999,Veda!$D200,'Globiom data'!$D$2:$D$9999,VLOOKUP(Veda!$B200,'Globiom data'!$V$21:$X$29,2,FALSE),'Globiom data'!$E$2:$E$9999,Veda!$C$1),0)*1000</f>
        <v>64.820518894384293</v>
      </c>
      <c r="M200" s="2">
        <f>MAX(SUMIFS('Globiom data'!L$2:L$9999,'Globiom data'!$A$2:$A$9999,Veda!$D200,'Globiom data'!$D$2:$D$9999,VLOOKUP(Veda!$B200,'Globiom data'!$V$21:$X$29,2,FALSE),'Globiom data'!$E$2:$E$9999,Veda!$C$1),0)*1000</f>
        <v>86.52665842093208</v>
      </c>
      <c r="N200" s="2">
        <f>MAX(SUMIFS('Globiom data'!M$2:M$9999,'Globiom data'!$A$2:$A$9999,Veda!$D200,'Globiom data'!$D$2:$D$9999,VLOOKUP(Veda!$B200,'Globiom data'!$V$21:$X$29,2,FALSE),'Globiom data'!$E$2:$E$9999,Veda!$C$1),0)*1000</f>
        <v>89.377174669492419</v>
      </c>
      <c r="O200" s="2">
        <f>MAX(SUMIFS('Globiom data'!N$2:N$9999,'Globiom data'!$A$2:$A$9999,Veda!$D200,'Globiom data'!$D$2:$D$9999,VLOOKUP(Veda!$B200,'Globiom data'!$V$21:$X$29,2,FALSE),'Globiom data'!$E$2:$E$9999,Veda!$C$1),0)*1000</f>
        <v>87.808546370916076</v>
      </c>
      <c r="P200" s="2">
        <f>MAX(SUMIFS('Globiom data'!O$2:O$9999,'Globiom data'!$A$2:$A$9999,Veda!$D200,'Globiom data'!$D$2:$D$9999,VLOOKUP(Veda!$B200,'Globiom data'!$V$21:$X$29,2,FALSE),'Globiom data'!$E$2:$E$9999,Veda!$C$1),0)*1000</f>
        <v>86.845334425307968</v>
      </c>
      <c r="Q200" s="2">
        <f>MAX(SUMIFS('Globiom data'!P$2:P$9999,'Globiom data'!$A$2:$A$9999,Veda!$D200,'Globiom data'!$D$2:$D$9999,VLOOKUP(Veda!$B200,'Globiom data'!$V$21:$X$29,2,FALSE),'Globiom data'!$E$2:$E$9999,Veda!$C$1),0)*1000</f>
        <v>91.200475977150674</v>
      </c>
      <c r="R200">
        <v>3</v>
      </c>
    </row>
    <row r="201" spans="1:18" x14ac:dyDescent="0.45">
      <c r="A201" s="8">
        <f t="shared" si="9"/>
        <v>28</v>
      </c>
      <c r="B201" s="8">
        <f t="shared" si="10"/>
        <v>7</v>
      </c>
      <c r="D201" t="str">
        <f>VLOOKUP(A201,'Globiom data'!$S$21:$T$51,2,FALSE)</f>
        <v>UK</v>
      </c>
      <c r="E201" t="str">
        <f>VLOOKUP(B201,'Globiom data'!$V$21:$X$30,3,FALSE)</f>
        <v>MinBIOBSL-07</v>
      </c>
      <c r="F201" t="s">
        <v>53</v>
      </c>
      <c r="G201" s="2">
        <f>MAX(SUMIFS('Globiom data'!F$2:F$9999,'Globiom data'!$A$2:$A$9999,Veda!$D201,'Globiom data'!$D$2:$D$9999,VLOOKUP(Veda!$B201,'Globiom data'!$V$21:$X$29,2,FALSE),'Globiom data'!$E$2:$E$9999,Veda!$C$1),0)*1000</f>
        <v>0</v>
      </c>
      <c r="H201" s="2">
        <f>MAX(SUMIFS('Globiom data'!G$2:G$9999,'Globiom data'!$A$2:$A$9999,Veda!$D201,'Globiom data'!$D$2:$D$9999,VLOOKUP(Veda!$B201,'Globiom data'!$V$21:$X$29,2,FALSE),'Globiom data'!$E$2:$E$9999,Veda!$C$1),0)*1000</f>
        <v>10.517798631920961</v>
      </c>
      <c r="I201" s="2">
        <f>MAX(SUMIFS('Globiom data'!H$2:H$9999,'Globiom data'!$A$2:$A$9999,Veda!$D201,'Globiom data'!$D$2:$D$9999,VLOOKUP(Veda!$B201,'Globiom data'!$V$21:$X$29,2,FALSE),'Globiom data'!$E$2:$E$9999,Veda!$C$1),0)*1000</f>
        <v>10.517798631920961</v>
      </c>
      <c r="J201" s="2">
        <f>MAX(SUMIFS('Globiom data'!I$2:I$9999,'Globiom data'!$A$2:$A$9999,Veda!$D201,'Globiom data'!$D$2:$D$9999,VLOOKUP(Veda!$B201,'Globiom data'!$V$21:$X$29,2,FALSE),'Globiom data'!$E$2:$E$9999,Veda!$C$1),0)*1000</f>
        <v>37.357674340512844</v>
      </c>
      <c r="K201" s="2">
        <f>MAX(SUMIFS('Globiom data'!J$2:J$9999,'Globiom data'!$A$2:$A$9999,Veda!$D201,'Globiom data'!$D$2:$D$9999,VLOOKUP(Veda!$B201,'Globiom data'!$V$21:$X$29,2,FALSE),'Globiom data'!$E$2:$E$9999,Veda!$C$1),0)*1000</f>
        <v>34.996465650192384</v>
      </c>
      <c r="L201" s="2">
        <f>MAX(SUMIFS('Globiom data'!K$2:K$9999,'Globiom data'!$A$2:$A$9999,Veda!$D201,'Globiom data'!$D$2:$D$9999,VLOOKUP(Veda!$B201,'Globiom data'!$V$21:$X$29,2,FALSE),'Globiom data'!$E$2:$E$9999,Veda!$C$1),0)*1000</f>
        <v>30.175052342838828</v>
      </c>
      <c r="M201" s="2">
        <f>MAX(SUMIFS('Globiom data'!L$2:L$9999,'Globiom data'!$A$2:$A$9999,Veda!$D201,'Globiom data'!$D$2:$D$9999,VLOOKUP(Veda!$B201,'Globiom data'!$V$21:$X$29,2,FALSE),'Globiom data'!$E$2:$E$9999,Veda!$C$1),0)*1000</f>
        <v>39.287895183799769</v>
      </c>
      <c r="N201" s="2">
        <f>MAX(SUMIFS('Globiom data'!M$2:M$9999,'Globiom data'!$A$2:$A$9999,Veda!$D201,'Globiom data'!$D$2:$D$9999,VLOOKUP(Veda!$B201,'Globiom data'!$V$21:$X$29,2,FALSE),'Globiom data'!$E$2:$E$9999,Veda!$C$1),0)*1000</f>
        <v>53.188419761484802</v>
      </c>
      <c r="O201" s="2">
        <f>MAX(SUMIFS('Globiom data'!N$2:N$9999,'Globiom data'!$A$2:$A$9999,Veda!$D201,'Globiom data'!$D$2:$D$9999,VLOOKUP(Veda!$B201,'Globiom data'!$V$21:$X$29,2,FALSE),'Globiom data'!$E$2:$E$9999,Veda!$C$1),0)*1000</f>
        <v>69.3726281937914</v>
      </c>
      <c r="P201" s="2">
        <f>MAX(SUMIFS('Globiom data'!O$2:O$9999,'Globiom data'!$A$2:$A$9999,Veda!$D201,'Globiom data'!$D$2:$D$9999,VLOOKUP(Veda!$B201,'Globiom data'!$V$21:$X$29,2,FALSE),'Globiom data'!$E$2:$E$9999,Veda!$C$1),0)*1000</f>
        <v>85.467814082974058</v>
      </c>
      <c r="Q201" s="2">
        <f>MAX(SUMIFS('Globiom data'!P$2:P$9999,'Globiom data'!$A$2:$A$9999,Veda!$D201,'Globiom data'!$D$2:$D$9999,VLOOKUP(Veda!$B201,'Globiom data'!$V$21:$X$29,2,FALSE),'Globiom data'!$E$2:$E$9999,Veda!$C$1),0)*1000</f>
        <v>92.566857001918279</v>
      </c>
      <c r="R201">
        <v>3</v>
      </c>
    </row>
    <row r="202" spans="1:18" x14ac:dyDescent="0.45">
      <c r="A202" s="8">
        <f t="shared" si="9"/>
        <v>29</v>
      </c>
      <c r="B202" s="8">
        <f t="shared" si="10"/>
        <v>1</v>
      </c>
      <c r="D202" t="str">
        <f>VLOOKUP(A202,'Globiom data'!$S$21:$T$51,2,FALSE)</f>
        <v>USA</v>
      </c>
      <c r="E202" t="str">
        <f>VLOOKUP(B202,'Globiom data'!$V$21:$X$30,3,FALSE)</f>
        <v>MinBIOBSL-01</v>
      </c>
      <c r="F202" t="s">
        <v>53</v>
      </c>
      <c r="G202" s="2">
        <f>MAX(SUMIFS('Globiom data'!F$2:F$9999,'Globiom data'!$A$2:$A$9999,Veda!$D202,'Globiom data'!$D$2:$D$9999,VLOOKUP(Veda!$B202,'Globiom data'!$V$21:$X$29,2,FALSE),'Globiom data'!$E$2:$E$9999,Veda!$C$1),0)*1000</f>
        <v>2696.0901091101177</v>
      </c>
      <c r="H202" s="2">
        <f>MAX(SUMIFS('Globiom data'!G$2:G$9999,'Globiom data'!$A$2:$A$9999,Veda!$D202,'Globiom data'!$D$2:$D$9999,VLOOKUP(Veda!$B202,'Globiom data'!$V$21:$X$29,2,FALSE),'Globiom data'!$E$2:$E$9999,Veda!$C$1),0)*1000</f>
        <v>2406.2594167033949</v>
      </c>
      <c r="I202" s="2">
        <f>MAX(SUMIFS('Globiom data'!H$2:H$9999,'Globiom data'!$A$2:$A$9999,Veda!$D202,'Globiom data'!$D$2:$D$9999,VLOOKUP(Veda!$B202,'Globiom data'!$V$21:$X$29,2,FALSE),'Globiom data'!$E$2:$E$9999,Veda!$C$1),0)*1000</f>
        <v>2406.2594167033949</v>
      </c>
      <c r="J202" s="2">
        <f>MAX(SUMIFS('Globiom data'!I$2:I$9999,'Globiom data'!$A$2:$A$9999,Veda!$D202,'Globiom data'!$D$2:$D$9999,VLOOKUP(Veda!$B202,'Globiom data'!$V$21:$X$29,2,FALSE),'Globiom data'!$E$2:$E$9999,Veda!$C$1),0)*1000</f>
        <v>2241.3281314434785</v>
      </c>
      <c r="K202" s="2">
        <f>MAX(SUMIFS('Globiom data'!J$2:J$9999,'Globiom data'!$A$2:$A$9999,Veda!$D202,'Globiom data'!$D$2:$D$9999,VLOOKUP(Veda!$B202,'Globiom data'!$V$21:$X$29,2,FALSE),'Globiom data'!$E$2:$E$9999,Veda!$C$1),0)*1000</f>
        <v>2228.1648017991442</v>
      </c>
      <c r="L202" s="2">
        <f>MAX(SUMIFS('Globiom data'!K$2:K$9999,'Globiom data'!$A$2:$A$9999,Veda!$D202,'Globiom data'!$D$2:$D$9999,VLOOKUP(Veda!$B202,'Globiom data'!$V$21:$X$29,2,FALSE),'Globiom data'!$E$2:$E$9999,Veda!$C$1),0)*1000</f>
        <v>2211.0240141691374</v>
      </c>
      <c r="M202" s="2">
        <f>MAX(SUMIFS('Globiom data'!L$2:L$9999,'Globiom data'!$A$2:$A$9999,Veda!$D202,'Globiom data'!$D$2:$D$9999,VLOOKUP(Veda!$B202,'Globiom data'!$V$21:$X$29,2,FALSE),'Globiom data'!$E$2:$E$9999,Veda!$C$1),0)*1000</f>
        <v>2201.6155717696897</v>
      </c>
      <c r="N202" s="2">
        <f>MAX(SUMIFS('Globiom data'!M$2:M$9999,'Globiom data'!$A$2:$A$9999,Veda!$D202,'Globiom data'!$D$2:$D$9999,VLOOKUP(Veda!$B202,'Globiom data'!$V$21:$X$29,2,FALSE),'Globiom data'!$E$2:$E$9999,Veda!$C$1),0)*1000</f>
        <v>2243.0968662632599</v>
      </c>
      <c r="O202" s="2">
        <f>MAX(SUMIFS('Globiom data'!N$2:N$9999,'Globiom data'!$A$2:$A$9999,Veda!$D202,'Globiom data'!$D$2:$D$9999,VLOOKUP(Veda!$B202,'Globiom data'!$V$21:$X$29,2,FALSE),'Globiom data'!$E$2:$E$9999,Veda!$C$1),0)*1000</f>
        <v>2183.7537757334903</v>
      </c>
      <c r="P202" s="2">
        <f>MAX(SUMIFS('Globiom data'!O$2:O$9999,'Globiom data'!$A$2:$A$9999,Veda!$D202,'Globiom data'!$D$2:$D$9999,VLOOKUP(Veda!$B202,'Globiom data'!$V$21:$X$29,2,FALSE),'Globiom data'!$E$2:$E$9999,Veda!$C$1),0)*1000</f>
        <v>2240.07148673863</v>
      </c>
      <c r="Q202" s="2">
        <f>MAX(SUMIFS('Globiom data'!P$2:P$9999,'Globiom data'!$A$2:$A$9999,Veda!$D202,'Globiom data'!$D$2:$D$9999,VLOOKUP(Veda!$B202,'Globiom data'!$V$21:$X$29,2,FALSE),'Globiom data'!$E$2:$E$9999,Veda!$C$1),0)*1000</f>
        <v>2242.3853415674498</v>
      </c>
      <c r="R202">
        <v>3</v>
      </c>
    </row>
    <row r="203" spans="1:18" x14ac:dyDescent="0.45">
      <c r="A203" s="8">
        <f t="shared" si="9"/>
        <v>29</v>
      </c>
      <c r="B203" s="8">
        <f t="shared" si="10"/>
        <v>2</v>
      </c>
      <c r="D203" t="str">
        <f>VLOOKUP(A203,'Globiom data'!$S$21:$T$51,2,FALSE)</f>
        <v>USA</v>
      </c>
      <c r="E203" t="str">
        <f>VLOOKUP(B203,'Globiom data'!$V$21:$X$30,3,FALSE)</f>
        <v>MinBIOBSL-02</v>
      </c>
      <c r="F203" t="s">
        <v>53</v>
      </c>
      <c r="G203" s="2">
        <f>MAX(SUMIFS('Globiom data'!F$2:F$9999,'Globiom data'!$A$2:$A$9999,Veda!$D203,'Globiom data'!$D$2:$D$9999,VLOOKUP(Veda!$B203,'Globiom data'!$V$21:$X$29,2,FALSE),'Globiom data'!$E$2:$E$9999,Veda!$C$1),0)*1000</f>
        <v>0</v>
      </c>
      <c r="H203" s="2">
        <f>MAX(SUMIFS('Globiom data'!G$2:G$9999,'Globiom data'!$A$2:$A$9999,Veda!$D203,'Globiom data'!$D$2:$D$9999,VLOOKUP(Veda!$B203,'Globiom data'!$V$21:$X$29,2,FALSE),'Globiom data'!$E$2:$E$9999,Veda!$C$1),0)*1000</f>
        <v>4.5931475103476638</v>
      </c>
      <c r="I203" s="2">
        <f>MAX(SUMIFS('Globiom data'!H$2:H$9999,'Globiom data'!$A$2:$A$9999,Veda!$D203,'Globiom data'!$D$2:$D$9999,VLOOKUP(Veda!$B203,'Globiom data'!$V$21:$X$29,2,FALSE),'Globiom data'!$E$2:$E$9999,Veda!$C$1),0)*1000</f>
        <v>4.5931475103476638</v>
      </c>
      <c r="J203" s="2">
        <f>MAX(SUMIFS('Globiom data'!I$2:I$9999,'Globiom data'!$A$2:$A$9999,Veda!$D203,'Globiom data'!$D$2:$D$9999,VLOOKUP(Veda!$B203,'Globiom data'!$V$21:$X$29,2,FALSE),'Globiom data'!$E$2:$E$9999,Veda!$C$1),0)*1000</f>
        <v>3.208502685060211</v>
      </c>
      <c r="K203" s="2">
        <f>MAX(SUMIFS('Globiom data'!J$2:J$9999,'Globiom data'!$A$2:$A$9999,Veda!$D203,'Globiom data'!$D$2:$D$9999,VLOOKUP(Veda!$B203,'Globiom data'!$V$21:$X$29,2,FALSE),'Globiom data'!$E$2:$E$9999,Veda!$C$1),0)*1000</f>
        <v>0</v>
      </c>
      <c r="L203" s="2">
        <f>MAX(SUMIFS('Globiom data'!K$2:K$9999,'Globiom data'!$A$2:$A$9999,Veda!$D203,'Globiom data'!$D$2:$D$9999,VLOOKUP(Veda!$B203,'Globiom data'!$V$21:$X$29,2,FALSE),'Globiom data'!$E$2:$E$9999,Veda!$C$1),0)*1000</f>
        <v>12.375712349233179</v>
      </c>
      <c r="M203" s="2">
        <f>MAX(SUMIFS('Globiom data'!L$2:L$9999,'Globiom data'!$A$2:$A$9999,Veda!$D203,'Globiom data'!$D$2:$D$9999,VLOOKUP(Veda!$B203,'Globiom data'!$V$21:$X$29,2,FALSE),'Globiom data'!$E$2:$E$9999,Veda!$C$1),0)*1000</f>
        <v>88.614621219425359</v>
      </c>
      <c r="N203" s="2">
        <f>MAX(SUMIFS('Globiom data'!M$2:M$9999,'Globiom data'!$A$2:$A$9999,Veda!$D203,'Globiom data'!$D$2:$D$9999,VLOOKUP(Veda!$B203,'Globiom data'!$V$21:$X$29,2,FALSE),'Globiom data'!$E$2:$E$9999,Veda!$C$1),0)*1000</f>
        <v>163.21982234665228</v>
      </c>
      <c r="O203" s="2">
        <f>MAX(SUMIFS('Globiom data'!N$2:N$9999,'Globiom data'!$A$2:$A$9999,Veda!$D203,'Globiom data'!$D$2:$D$9999,VLOOKUP(Veda!$B203,'Globiom data'!$V$21:$X$29,2,FALSE),'Globiom data'!$E$2:$E$9999,Veda!$C$1),0)*1000</f>
        <v>334.83812194529395</v>
      </c>
      <c r="P203" s="2">
        <f>MAX(SUMIFS('Globiom data'!O$2:O$9999,'Globiom data'!$A$2:$A$9999,Veda!$D203,'Globiom data'!$D$2:$D$9999,VLOOKUP(Veda!$B203,'Globiom data'!$V$21:$X$29,2,FALSE),'Globiom data'!$E$2:$E$9999,Veda!$C$1),0)*1000</f>
        <v>387.37521108488119</v>
      </c>
      <c r="Q203" s="2">
        <f>MAX(SUMIFS('Globiom data'!P$2:P$9999,'Globiom data'!$A$2:$A$9999,Veda!$D203,'Globiom data'!$D$2:$D$9999,VLOOKUP(Veda!$B203,'Globiom data'!$V$21:$X$29,2,FALSE),'Globiom data'!$E$2:$E$9999,Veda!$C$1),0)*1000</f>
        <v>526.12117419720255</v>
      </c>
      <c r="R203">
        <v>3</v>
      </c>
    </row>
    <row r="204" spans="1:18" x14ac:dyDescent="0.45">
      <c r="A204" s="8">
        <f t="shared" si="9"/>
        <v>29</v>
      </c>
      <c r="B204" s="8">
        <f t="shared" si="10"/>
        <v>3</v>
      </c>
      <c r="D204" t="str">
        <f>VLOOKUP(A204,'Globiom data'!$S$21:$T$51,2,FALSE)</f>
        <v>USA</v>
      </c>
      <c r="E204" t="str">
        <f>VLOOKUP(B204,'Globiom data'!$V$21:$X$30,3,FALSE)</f>
        <v>MinBIOBSL-03</v>
      </c>
      <c r="F204" t="s">
        <v>53</v>
      </c>
      <c r="G204" s="2">
        <f>MAX(SUMIFS('Globiom data'!F$2:F$9999,'Globiom data'!$A$2:$A$9999,Veda!$D204,'Globiom data'!$D$2:$D$9999,VLOOKUP(Veda!$B204,'Globiom data'!$V$21:$X$29,2,FALSE),'Globiom data'!$E$2:$E$9999,Veda!$C$1),0)*1000</f>
        <v>0</v>
      </c>
      <c r="H204" s="2">
        <f>MAX(SUMIFS('Globiom data'!G$2:G$9999,'Globiom data'!$A$2:$A$9999,Veda!$D204,'Globiom data'!$D$2:$D$9999,VLOOKUP(Veda!$B204,'Globiom data'!$V$21:$X$29,2,FALSE),'Globiom data'!$E$2:$E$9999,Veda!$C$1),0)*1000</f>
        <v>0</v>
      </c>
      <c r="I204" s="2">
        <f>MAX(SUMIFS('Globiom data'!H$2:H$9999,'Globiom data'!$A$2:$A$9999,Veda!$D204,'Globiom data'!$D$2:$D$9999,VLOOKUP(Veda!$B204,'Globiom data'!$V$21:$X$29,2,FALSE),'Globiom data'!$E$2:$E$9999,Veda!$C$1),0)*1000</f>
        <v>0</v>
      </c>
      <c r="J204" s="2">
        <f>MAX(SUMIFS('Globiom data'!I$2:I$9999,'Globiom data'!$A$2:$A$9999,Veda!$D204,'Globiom data'!$D$2:$D$9999,VLOOKUP(Veda!$B204,'Globiom data'!$V$21:$X$29,2,FALSE),'Globiom data'!$E$2:$E$9999,Veda!$C$1),0)*1000</f>
        <v>1.0772151602883486</v>
      </c>
      <c r="K204" s="2">
        <f>MAX(SUMIFS('Globiom data'!J$2:J$9999,'Globiom data'!$A$2:$A$9999,Veda!$D204,'Globiom data'!$D$2:$D$9999,VLOOKUP(Veda!$B204,'Globiom data'!$V$21:$X$29,2,FALSE),'Globiom data'!$E$2:$E$9999,Veda!$C$1),0)*1000</f>
        <v>46.79816599299631</v>
      </c>
      <c r="L204" s="2">
        <f>MAX(SUMIFS('Globiom data'!K$2:K$9999,'Globiom data'!$A$2:$A$9999,Veda!$D204,'Globiom data'!$D$2:$D$9999,VLOOKUP(Veda!$B204,'Globiom data'!$V$21:$X$29,2,FALSE),'Globiom data'!$E$2:$E$9999,Veda!$C$1),0)*1000</f>
        <v>50.66191503412599</v>
      </c>
      <c r="M204" s="2">
        <f>MAX(SUMIFS('Globiom data'!L$2:L$9999,'Globiom data'!$A$2:$A$9999,Veda!$D204,'Globiom data'!$D$2:$D$9999,VLOOKUP(Veda!$B204,'Globiom data'!$V$21:$X$29,2,FALSE),'Globiom data'!$E$2:$E$9999,Veda!$C$1),0)*1000</f>
        <v>37.902828839483611</v>
      </c>
      <c r="N204" s="2">
        <f>MAX(SUMIFS('Globiom data'!M$2:M$9999,'Globiom data'!$A$2:$A$9999,Veda!$D204,'Globiom data'!$D$2:$D$9999,VLOOKUP(Veda!$B204,'Globiom data'!$V$21:$X$29,2,FALSE),'Globiom data'!$E$2:$E$9999,Veda!$C$1),0)*1000</f>
        <v>323.94494715360264</v>
      </c>
      <c r="O204" s="2">
        <f>MAX(SUMIFS('Globiom data'!N$2:N$9999,'Globiom data'!$A$2:$A$9999,Veda!$D204,'Globiom data'!$D$2:$D$9999,VLOOKUP(Veda!$B204,'Globiom data'!$V$21:$X$29,2,FALSE),'Globiom data'!$E$2:$E$9999,Veda!$C$1),0)*1000</f>
        <v>540.19846579149328</v>
      </c>
      <c r="P204" s="2">
        <f>MAX(SUMIFS('Globiom data'!O$2:O$9999,'Globiom data'!$A$2:$A$9999,Veda!$D204,'Globiom data'!$D$2:$D$9999,VLOOKUP(Veda!$B204,'Globiom data'!$V$21:$X$29,2,FALSE),'Globiom data'!$E$2:$E$9999,Veda!$C$1),0)*1000</f>
        <v>942.59030245902159</v>
      </c>
      <c r="Q204" s="2">
        <f>MAX(SUMIFS('Globiom data'!P$2:P$9999,'Globiom data'!$A$2:$A$9999,Veda!$D204,'Globiom data'!$D$2:$D$9999,VLOOKUP(Veda!$B204,'Globiom data'!$V$21:$X$29,2,FALSE),'Globiom data'!$E$2:$E$9999,Veda!$C$1),0)*1000</f>
        <v>1662.9911495245465</v>
      </c>
      <c r="R204">
        <v>3</v>
      </c>
    </row>
    <row r="205" spans="1:18" x14ac:dyDescent="0.45">
      <c r="A205" s="8">
        <f t="shared" si="9"/>
        <v>29</v>
      </c>
      <c r="B205" s="8">
        <f t="shared" si="10"/>
        <v>4</v>
      </c>
      <c r="D205" t="str">
        <f>VLOOKUP(A205,'Globiom data'!$S$21:$T$51,2,FALSE)</f>
        <v>USA</v>
      </c>
      <c r="E205" t="str">
        <f>VLOOKUP(B205,'Globiom data'!$V$21:$X$30,3,FALSE)</f>
        <v>MinBIOBSL-04</v>
      </c>
      <c r="F205" t="s">
        <v>53</v>
      </c>
      <c r="G205" s="2">
        <f>MAX(SUMIFS('Globiom data'!F$2:F$9999,'Globiom data'!$A$2:$A$9999,Veda!$D205,'Globiom data'!$D$2:$D$9999,VLOOKUP(Veda!$B205,'Globiom data'!$V$21:$X$29,2,FALSE),'Globiom data'!$E$2:$E$9999,Veda!$C$1),0)*1000</f>
        <v>0</v>
      </c>
      <c r="H205" s="2">
        <f>MAX(SUMIFS('Globiom data'!G$2:G$9999,'Globiom data'!$A$2:$A$9999,Veda!$D205,'Globiom data'!$D$2:$D$9999,VLOOKUP(Veda!$B205,'Globiom data'!$V$21:$X$29,2,FALSE),'Globiom data'!$E$2:$E$9999,Veda!$C$1),0)*1000</f>
        <v>0</v>
      </c>
      <c r="I205" s="2">
        <f>MAX(SUMIFS('Globiom data'!H$2:H$9999,'Globiom data'!$A$2:$A$9999,Veda!$D205,'Globiom data'!$D$2:$D$9999,VLOOKUP(Veda!$B205,'Globiom data'!$V$21:$X$29,2,FALSE),'Globiom data'!$E$2:$E$9999,Veda!$C$1),0)*1000</f>
        <v>0</v>
      </c>
      <c r="J205" s="2">
        <f>MAX(SUMIFS('Globiom data'!I$2:I$9999,'Globiom data'!$A$2:$A$9999,Veda!$D205,'Globiom data'!$D$2:$D$9999,VLOOKUP(Veda!$B205,'Globiom data'!$V$21:$X$29,2,FALSE),'Globiom data'!$E$2:$E$9999,Veda!$C$1),0)*1000</f>
        <v>9.6487091715839668</v>
      </c>
      <c r="K205" s="2">
        <f>MAX(SUMIFS('Globiom data'!J$2:J$9999,'Globiom data'!$A$2:$A$9999,Veda!$D205,'Globiom data'!$D$2:$D$9999,VLOOKUP(Veda!$B205,'Globiom data'!$V$21:$X$29,2,FALSE),'Globiom data'!$E$2:$E$9999,Veda!$C$1),0)*1000</f>
        <v>12.25616509988664</v>
      </c>
      <c r="L205" s="2">
        <f>MAX(SUMIFS('Globiom data'!K$2:K$9999,'Globiom data'!$A$2:$A$9999,Veda!$D205,'Globiom data'!$D$2:$D$9999,VLOOKUP(Veda!$B205,'Globiom data'!$V$21:$X$29,2,FALSE),'Globiom data'!$E$2:$E$9999,Veda!$C$1),0)*1000</f>
        <v>288.88882628397607</v>
      </c>
      <c r="M205" s="2">
        <f>MAX(SUMIFS('Globiom data'!L$2:L$9999,'Globiom data'!$A$2:$A$9999,Veda!$D205,'Globiom data'!$D$2:$D$9999,VLOOKUP(Veda!$B205,'Globiom data'!$V$21:$X$29,2,FALSE),'Globiom data'!$E$2:$E$9999,Veda!$C$1),0)*1000</f>
        <v>489.0301911095504</v>
      </c>
      <c r="N205" s="2">
        <f>MAX(SUMIFS('Globiom data'!M$2:M$9999,'Globiom data'!$A$2:$A$9999,Veda!$D205,'Globiom data'!$D$2:$D$9999,VLOOKUP(Veda!$B205,'Globiom data'!$V$21:$X$29,2,FALSE),'Globiom data'!$E$2:$E$9999,Veda!$C$1),0)*1000</f>
        <v>1399.7684653352533</v>
      </c>
      <c r="O205" s="2">
        <f>MAX(SUMIFS('Globiom data'!N$2:N$9999,'Globiom data'!$A$2:$A$9999,Veda!$D205,'Globiom data'!$D$2:$D$9999,VLOOKUP(Veda!$B205,'Globiom data'!$V$21:$X$29,2,FALSE),'Globiom data'!$E$2:$E$9999,Veda!$C$1),0)*1000</f>
        <v>2125.102591133726</v>
      </c>
      <c r="P205" s="2">
        <f>MAX(SUMIFS('Globiom data'!O$2:O$9999,'Globiom data'!$A$2:$A$9999,Veda!$D205,'Globiom data'!$D$2:$D$9999,VLOOKUP(Veda!$B205,'Globiom data'!$V$21:$X$29,2,FALSE),'Globiom data'!$E$2:$E$9999,Veda!$C$1),0)*1000</f>
        <v>3146.1468608030673</v>
      </c>
      <c r="Q205" s="2">
        <f>MAX(SUMIFS('Globiom data'!P$2:P$9999,'Globiom data'!$A$2:$A$9999,Veda!$D205,'Globiom data'!$D$2:$D$9999,VLOOKUP(Veda!$B205,'Globiom data'!$V$21:$X$29,2,FALSE),'Globiom data'!$E$2:$E$9999,Veda!$C$1),0)*1000</f>
        <v>4491.010383500623</v>
      </c>
      <c r="R205">
        <v>3</v>
      </c>
    </row>
    <row r="206" spans="1:18" x14ac:dyDescent="0.45">
      <c r="A206" s="8">
        <f t="shared" ref="A206:A215" si="11">A199+1</f>
        <v>29</v>
      </c>
      <c r="B206" s="8">
        <f t="shared" ref="B206:B215" si="12">B199</f>
        <v>5</v>
      </c>
      <c r="D206" t="str">
        <f>VLOOKUP(A206,'Globiom data'!$S$21:$T$51,2,FALSE)</f>
        <v>USA</v>
      </c>
      <c r="E206" t="str">
        <f>VLOOKUP(B206,'Globiom data'!$V$21:$X$30,3,FALSE)</f>
        <v>MinBIOBSL-05</v>
      </c>
      <c r="F206" t="s">
        <v>53</v>
      </c>
      <c r="G206" s="2">
        <f>MAX(SUMIFS('Globiom data'!F$2:F$9999,'Globiom data'!$A$2:$A$9999,Veda!$D206,'Globiom data'!$D$2:$D$9999,VLOOKUP(Veda!$B206,'Globiom data'!$V$21:$X$29,2,FALSE),'Globiom data'!$E$2:$E$9999,Veda!$C$1),0)*1000</f>
        <v>0</v>
      </c>
      <c r="H206" s="2">
        <f>MAX(SUMIFS('Globiom data'!G$2:G$9999,'Globiom data'!$A$2:$A$9999,Veda!$D206,'Globiom data'!$D$2:$D$9999,VLOOKUP(Veda!$B206,'Globiom data'!$V$21:$X$29,2,FALSE),'Globiom data'!$E$2:$E$9999,Veda!$C$1),0)*1000</f>
        <v>13.976967973555324</v>
      </c>
      <c r="I206" s="2">
        <f>MAX(SUMIFS('Globiom data'!H$2:H$9999,'Globiom data'!$A$2:$A$9999,Veda!$D206,'Globiom data'!$D$2:$D$9999,VLOOKUP(Veda!$B206,'Globiom data'!$V$21:$X$29,2,FALSE),'Globiom data'!$E$2:$E$9999,Veda!$C$1),0)*1000</f>
        <v>13.976967973555324</v>
      </c>
      <c r="J206" s="2">
        <f>MAX(SUMIFS('Globiom data'!I$2:I$9999,'Globiom data'!$A$2:$A$9999,Veda!$D206,'Globiom data'!$D$2:$D$9999,VLOOKUP(Veda!$B206,'Globiom data'!$V$21:$X$29,2,FALSE),'Globiom data'!$E$2:$E$9999,Veda!$C$1),0)*1000</f>
        <v>30.426125048069142</v>
      </c>
      <c r="K206" s="2">
        <f>MAX(SUMIFS('Globiom data'!J$2:J$9999,'Globiom data'!$A$2:$A$9999,Veda!$D206,'Globiom data'!$D$2:$D$9999,VLOOKUP(Veda!$B206,'Globiom data'!$V$21:$X$29,2,FALSE),'Globiom data'!$E$2:$E$9999,Veda!$C$1),0)*1000</f>
        <v>310.40637067738498</v>
      </c>
      <c r="L206" s="2">
        <f>MAX(SUMIFS('Globiom data'!K$2:K$9999,'Globiom data'!$A$2:$A$9999,Veda!$D206,'Globiom data'!$D$2:$D$9999,VLOOKUP(Veda!$B206,'Globiom data'!$V$21:$X$29,2,FALSE),'Globiom data'!$E$2:$E$9999,Veda!$C$1),0)*1000</f>
        <v>1198.0715372659602</v>
      </c>
      <c r="M206" s="2">
        <f>MAX(SUMIFS('Globiom data'!L$2:L$9999,'Globiom data'!$A$2:$A$9999,Veda!$D206,'Globiom data'!$D$2:$D$9999,VLOOKUP(Veda!$B206,'Globiom data'!$V$21:$X$29,2,FALSE),'Globiom data'!$E$2:$E$9999,Veda!$C$1),0)*1000</f>
        <v>2731.7669418667074</v>
      </c>
      <c r="N206" s="2">
        <f>MAX(SUMIFS('Globiom data'!M$2:M$9999,'Globiom data'!$A$2:$A$9999,Veda!$D206,'Globiom data'!$D$2:$D$9999,VLOOKUP(Veda!$B206,'Globiom data'!$V$21:$X$29,2,FALSE),'Globiom data'!$E$2:$E$9999,Veda!$C$1),0)*1000</f>
        <v>4128.5061988758443</v>
      </c>
      <c r="O206" s="2">
        <f>MAX(SUMIFS('Globiom data'!N$2:N$9999,'Globiom data'!$A$2:$A$9999,Veda!$D206,'Globiom data'!$D$2:$D$9999,VLOOKUP(Veda!$B206,'Globiom data'!$V$21:$X$29,2,FALSE),'Globiom data'!$E$2:$E$9999,Veda!$C$1),0)*1000</f>
        <v>6458.5236364727944</v>
      </c>
      <c r="P206" s="2">
        <f>MAX(SUMIFS('Globiom data'!O$2:O$9999,'Globiom data'!$A$2:$A$9999,Veda!$D206,'Globiom data'!$D$2:$D$9999,VLOOKUP(Veda!$B206,'Globiom data'!$V$21:$X$29,2,FALSE),'Globiom data'!$E$2:$E$9999,Veda!$C$1),0)*1000</f>
        <v>8063.8763461745084</v>
      </c>
      <c r="Q206" s="2">
        <f>MAX(SUMIFS('Globiom data'!P$2:P$9999,'Globiom data'!$A$2:$A$9999,Veda!$D206,'Globiom data'!$D$2:$D$9999,VLOOKUP(Veda!$B206,'Globiom data'!$V$21:$X$29,2,FALSE),'Globiom data'!$E$2:$E$9999,Veda!$C$1),0)*1000</f>
        <v>8803.606051652625</v>
      </c>
      <c r="R206">
        <v>3</v>
      </c>
    </row>
    <row r="207" spans="1:18" x14ac:dyDescent="0.45">
      <c r="A207" s="8">
        <f t="shared" si="11"/>
        <v>29</v>
      </c>
      <c r="B207" s="8">
        <f t="shared" si="12"/>
        <v>6</v>
      </c>
      <c r="D207" t="str">
        <f>VLOOKUP(A207,'Globiom data'!$S$21:$T$51,2,FALSE)</f>
        <v>USA</v>
      </c>
      <c r="E207" t="str">
        <f>VLOOKUP(B207,'Globiom data'!$V$21:$X$30,3,FALSE)</f>
        <v>MinBIOBSL-06</v>
      </c>
      <c r="F207" t="s">
        <v>53</v>
      </c>
      <c r="G207" s="2">
        <f>MAX(SUMIFS('Globiom data'!F$2:F$9999,'Globiom data'!$A$2:$A$9999,Veda!$D207,'Globiom data'!$D$2:$D$9999,VLOOKUP(Veda!$B207,'Globiom data'!$V$21:$X$29,2,FALSE),'Globiom data'!$E$2:$E$9999,Veda!$C$1),0)*1000</f>
        <v>0</v>
      </c>
      <c r="H207" s="2">
        <f>MAX(SUMIFS('Globiom data'!G$2:G$9999,'Globiom data'!$A$2:$A$9999,Veda!$D207,'Globiom data'!$D$2:$D$9999,VLOOKUP(Veda!$B207,'Globiom data'!$V$21:$X$29,2,FALSE),'Globiom data'!$E$2:$E$9999,Veda!$C$1),0)*1000</f>
        <v>25.03459383480455</v>
      </c>
      <c r="I207" s="2">
        <f>MAX(SUMIFS('Globiom data'!H$2:H$9999,'Globiom data'!$A$2:$A$9999,Veda!$D207,'Globiom data'!$D$2:$D$9999,VLOOKUP(Veda!$B207,'Globiom data'!$V$21:$X$29,2,FALSE),'Globiom data'!$E$2:$E$9999,Veda!$C$1),0)*1000</f>
        <v>25.03459383480455</v>
      </c>
      <c r="J207" s="2">
        <f>MAX(SUMIFS('Globiom data'!I$2:I$9999,'Globiom data'!$A$2:$A$9999,Veda!$D207,'Globiom data'!$D$2:$D$9999,VLOOKUP(Veda!$B207,'Globiom data'!$V$21:$X$29,2,FALSE),'Globiom data'!$E$2:$E$9999,Veda!$C$1),0)*1000</f>
        <v>1477.9843540737897</v>
      </c>
      <c r="K207" s="2">
        <f>MAX(SUMIFS('Globiom data'!J$2:J$9999,'Globiom data'!$A$2:$A$9999,Veda!$D207,'Globiom data'!$D$2:$D$9999,VLOOKUP(Veda!$B207,'Globiom data'!$V$21:$X$29,2,FALSE),'Globiom data'!$E$2:$E$9999,Veda!$C$1),0)*1000</f>
        <v>4643.8782245574403</v>
      </c>
      <c r="L207" s="2">
        <f>MAX(SUMIFS('Globiom data'!K$2:K$9999,'Globiom data'!$A$2:$A$9999,Veda!$D207,'Globiom data'!$D$2:$D$9999,VLOOKUP(Veda!$B207,'Globiom data'!$V$21:$X$29,2,FALSE),'Globiom data'!$E$2:$E$9999,Veda!$C$1),0)*1000</f>
        <v>8261.084355066143</v>
      </c>
      <c r="M207" s="2">
        <f>MAX(SUMIFS('Globiom data'!L$2:L$9999,'Globiom data'!$A$2:$A$9999,Veda!$D207,'Globiom data'!$D$2:$D$9999,VLOOKUP(Veda!$B207,'Globiom data'!$V$21:$X$29,2,FALSE),'Globiom data'!$E$2:$E$9999,Veda!$C$1),0)*1000</f>
        <v>10797.446631330153</v>
      </c>
      <c r="N207" s="2">
        <f>MAX(SUMIFS('Globiom data'!M$2:M$9999,'Globiom data'!$A$2:$A$9999,Veda!$D207,'Globiom data'!$D$2:$D$9999,VLOOKUP(Veda!$B207,'Globiom data'!$V$21:$X$29,2,FALSE),'Globiom data'!$E$2:$E$9999,Veda!$C$1),0)*1000</f>
        <v>11661.569476166707</v>
      </c>
      <c r="O207" s="2">
        <f>MAX(SUMIFS('Globiom data'!N$2:N$9999,'Globiom data'!$A$2:$A$9999,Veda!$D207,'Globiom data'!$D$2:$D$9999,VLOOKUP(Veda!$B207,'Globiom data'!$V$21:$X$29,2,FALSE),'Globiom data'!$E$2:$E$9999,Veda!$C$1),0)*1000</f>
        <v>10681.202854561547</v>
      </c>
      <c r="P207" s="2">
        <f>MAX(SUMIFS('Globiom data'!O$2:O$9999,'Globiom data'!$A$2:$A$9999,Veda!$D207,'Globiom data'!$D$2:$D$9999,VLOOKUP(Veda!$B207,'Globiom data'!$V$21:$X$29,2,FALSE),'Globiom data'!$E$2:$E$9999,Veda!$C$1),0)*1000</f>
        <v>9138.4703938936382</v>
      </c>
      <c r="Q207" s="2">
        <f>MAX(SUMIFS('Globiom data'!P$2:P$9999,'Globiom data'!$A$2:$A$9999,Veda!$D207,'Globiom data'!$D$2:$D$9999,VLOOKUP(Veda!$B207,'Globiom data'!$V$21:$X$29,2,FALSE),'Globiom data'!$E$2:$E$9999,Veda!$C$1),0)*1000</f>
        <v>7359.7472665080022</v>
      </c>
      <c r="R207">
        <v>3</v>
      </c>
    </row>
    <row r="208" spans="1:18" x14ac:dyDescent="0.45">
      <c r="A208" s="8">
        <f t="shared" si="11"/>
        <v>29</v>
      </c>
      <c r="B208" s="8">
        <f t="shared" si="12"/>
        <v>7</v>
      </c>
      <c r="D208" t="str">
        <f>VLOOKUP(A208,'Globiom data'!$S$21:$T$51,2,FALSE)</f>
        <v>USA</v>
      </c>
      <c r="E208" t="str">
        <f>VLOOKUP(B208,'Globiom data'!$V$21:$X$30,3,FALSE)</f>
        <v>MinBIOBSL-07</v>
      </c>
      <c r="F208" t="s">
        <v>53</v>
      </c>
      <c r="G208" s="2">
        <f>MAX(SUMIFS('Globiom data'!F$2:F$9999,'Globiom data'!$A$2:$A$9999,Veda!$D208,'Globiom data'!$D$2:$D$9999,VLOOKUP(Veda!$B208,'Globiom data'!$V$21:$X$29,2,FALSE),'Globiom data'!$E$2:$E$9999,Veda!$C$1),0)*1000</f>
        <v>0</v>
      </c>
      <c r="H208" s="2">
        <f>MAX(SUMIFS('Globiom data'!G$2:G$9999,'Globiom data'!$A$2:$A$9999,Veda!$D208,'Globiom data'!$D$2:$D$9999,VLOOKUP(Veda!$B208,'Globiom data'!$V$21:$X$29,2,FALSE),'Globiom data'!$E$2:$E$9999,Veda!$C$1),0)*1000</f>
        <v>294.06501320927214</v>
      </c>
      <c r="I208" s="2">
        <f>MAX(SUMIFS('Globiom data'!H$2:H$9999,'Globiom data'!$A$2:$A$9999,Veda!$D208,'Globiom data'!$D$2:$D$9999,VLOOKUP(Veda!$B208,'Globiom data'!$V$21:$X$29,2,FALSE),'Globiom data'!$E$2:$E$9999,Veda!$C$1),0)*1000</f>
        <v>294.06501320927214</v>
      </c>
      <c r="J208" s="2">
        <f>MAX(SUMIFS('Globiom data'!I$2:I$9999,'Globiom data'!$A$2:$A$9999,Veda!$D208,'Globiom data'!$D$2:$D$9999,VLOOKUP(Veda!$B208,'Globiom data'!$V$21:$X$29,2,FALSE),'Globiom data'!$E$2:$E$9999,Veda!$C$1),0)*1000</f>
        <v>5100.3060996969116</v>
      </c>
      <c r="K208" s="2">
        <f>MAX(SUMIFS('Globiom data'!J$2:J$9999,'Globiom data'!$A$2:$A$9999,Veda!$D208,'Globiom data'!$D$2:$D$9999,VLOOKUP(Veda!$B208,'Globiom data'!$V$21:$X$29,2,FALSE),'Globiom data'!$E$2:$E$9999,Veda!$C$1),0)*1000</f>
        <v>7716.4792681785448</v>
      </c>
      <c r="L208" s="2">
        <f>MAX(SUMIFS('Globiom data'!K$2:K$9999,'Globiom data'!$A$2:$A$9999,Veda!$D208,'Globiom data'!$D$2:$D$9999,VLOOKUP(Veda!$B208,'Globiom data'!$V$21:$X$29,2,FALSE),'Globiom data'!$E$2:$E$9999,Veda!$C$1),0)*1000</f>
        <v>7478.9091813221785</v>
      </c>
      <c r="M208" s="2">
        <f>MAX(SUMIFS('Globiom data'!L$2:L$9999,'Globiom data'!$A$2:$A$9999,Veda!$D208,'Globiom data'!$D$2:$D$9999,VLOOKUP(Veda!$B208,'Globiom data'!$V$21:$X$29,2,FALSE),'Globiom data'!$E$2:$E$9999,Veda!$C$1),0)*1000</f>
        <v>5907.1650241460056</v>
      </c>
      <c r="N208" s="2">
        <f>MAX(SUMIFS('Globiom data'!M$2:M$9999,'Globiom data'!$A$2:$A$9999,Veda!$D208,'Globiom data'!$D$2:$D$9999,VLOOKUP(Veda!$B208,'Globiom data'!$V$21:$X$29,2,FALSE),'Globiom data'!$E$2:$E$9999,Veda!$C$1),0)*1000</f>
        <v>4167.6169865529855</v>
      </c>
      <c r="O208" s="2">
        <f>MAX(SUMIFS('Globiom data'!N$2:N$9999,'Globiom data'!$A$2:$A$9999,Veda!$D208,'Globiom data'!$D$2:$D$9999,VLOOKUP(Veda!$B208,'Globiom data'!$V$21:$X$29,2,FALSE),'Globiom data'!$E$2:$E$9999,Veda!$C$1),0)*1000</f>
        <v>3086.9466318330192</v>
      </c>
      <c r="P208" s="2">
        <f>MAX(SUMIFS('Globiom data'!O$2:O$9999,'Globiom data'!$A$2:$A$9999,Veda!$D208,'Globiom data'!$D$2:$D$9999,VLOOKUP(Veda!$B208,'Globiom data'!$V$21:$X$29,2,FALSE),'Globiom data'!$E$2:$E$9999,Veda!$C$1),0)*1000</f>
        <v>2645.4370576797592</v>
      </c>
      <c r="Q208" s="2">
        <f>MAX(SUMIFS('Globiom data'!P$2:P$9999,'Globiom data'!$A$2:$A$9999,Veda!$D208,'Globiom data'!$D$2:$D$9999,VLOOKUP(Veda!$B208,'Globiom data'!$V$21:$X$29,2,FALSE),'Globiom data'!$E$2:$E$9999,Veda!$C$1),0)*1000</f>
        <v>2498.0462567967174</v>
      </c>
      <c r="R208">
        <v>3</v>
      </c>
    </row>
    <row r="209" spans="1:18" x14ac:dyDescent="0.45">
      <c r="A209" s="8">
        <f t="shared" si="11"/>
        <v>30</v>
      </c>
      <c r="B209" s="8">
        <f t="shared" si="12"/>
        <v>1</v>
      </c>
      <c r="D209" t="str">
        <f>VLOOKUP(A209,'Globiom data'!$S$21:$T$51,2,FALSE)</f>
        <v>\I:</v>
      </c>
      <c r="E209" t="str">
        <f>VLOOKUP(B209,'Globiom data'!$V$21:$X$30,3,FALSE)</f>
        <v>MinBIOBSL-01</v>
      </c>
      <c r="F209" t="s">
        <v>53</v>
      </c>
      <c r="G209" s="2">
        <f>MAX(SUMIFS('Globiom data'!F$2:F$9999,'Globiom data'!$A$2:$A$9999,Veda!$D209,'Globiom data'!$D$2:$D$9999,VLOOKUP(Veda!$B209,'Globiom data'!$V$21:$X$29,2,FALSE),'Globiom data'!$E$2:$E$9999,Veda!$C$1),0)*1000</f>
        <v>0</v>
      </c>
      <c r="H209" s="2">
        <f>MAX(SUMIFS('Globiom data'!G$2:G$9999,'Globiom data'!$A$2:$A$9999,Veda!$D209,'Globiom data'!$D$2:$D$9999,VLOOKUP(Veda!$B209,'Globiom data'!$V$21:$X$29,2,FALSE),'Globiom data'!$E$2:$E$9999,Veda!$C$1),0)*1000</f>
        <v>0</v>
      </c>
      <c r="I209" s="2">
        <f>MAX(SUMIFS('Globiom data'!H$2:H$9999,'Globiom data'!$A$2:$A$9999,Veda!$D209,'Globiom data'!$D$2:$D$9999,VLOOKUP(Veda!$B209,'Globiom data'!$V$21:$X$29,2,FALSE),'Globiom data'!$E$2:$E$9999,Veda!$C$1),0)*1000</f>
        <v>0</v>
      </c>
      <c r="J209" s="2">
        <f>MAX(SUMIFS('Globiom data'!I$2:I$9999,'Globiom data'!$A$2:$A$9999,Veda!$D209,'Globiom data'!$D$2:$D$9999,VLOOKUP(Veda!$B209,'Globiom data'!$V$21:$X$29,2,FALSE),'Globiom data'!$E$2:$E$9999,Veda!$C$1),0)*1000</f>
        <v>0</v>
      </c>
      <c r="K209" s="2">
        <f>MAX(SUMIFS('Globiom data'!J$2:J$9999,'Globiom data'!$A$2:$A$9999,Veda!$D209,'Globiom data'!$D$2:$D$9999,VLOOKUP(Veda!$B209,'Globiom data'!$V$21:$X$29,2,FALSE),'Globiom data'!$E$2:$E$9999,Veda!$C$1),0)*1000</f>
        <v>0</v>
      </c>
      <c r="L209" s="2">
        <f>MAX(SUMIFS('Globiom data'!K$2:K$9999,'Globiom data'!$A$2:$A$9999,Veda!$D209,'Globiom data'!$D$2:$D$9999,VLOOKUP(Veda!$B209,'Globiom data'!$V$21:$X$29,2,FALSE),'Globiom data'!$E$2:$E$9999,Veda!$C$1),0)*1000</f>
        <v>0</v>
      </c>
      <c r="M209" s="2">
        <f>MAX(SUMIFS('Globiom data'!L$2:L$9999,'Globiom data'!$A$2:$A$9999,Veda!$D209,'Globiom data'!$D$2:$D$9999,VLOOKUP(Veda!$B209,'Globiom data'!$V$21:$X$29,2,FALSE),'Globiom data'!$E$2:$E$9999,Veda!$C$1),0)*1000</f>
        <v>0</v>
      </c>
      <c r="N209" s="2">
        <f>MAX(SUMIFS('Globiom data'!M$2:M$9999,'Globiom data'!$A$2:$A$9999,Veda!$D209,'Globiom data'!$D$2:$D$9999,VLOOKUP(Veda!$B209,'Globiom data'!$V$21:$X$29,2,FALSE),'Globiom data'!$E$2:$E$9999,Veda!$C$1),0)*1000</f>
        <v>0</v>
      </c>
      <c r="O209" s="2">
        <f>MAX(SUMIFS('Globiom data'!N$2:N$9999,'Globiom data'!$A$2:$A$9999,Veda!$D209,'Globiom data'!$D$2:$D$9999,VLOOKUP(Veda!$B209,'Globiom data'!$V$21:$X$29,2,FALSE),'Globiom data'!$E$2:$E$9999,Veda!$C$1),0)*1000</f>
        <v>0</v>
      </c>
      <c r="P209" s="2">
        <f>MAX(SUMIFS('Globiom data'!O$2:O$9999,'Globiom data'!$A$2:$A$9999,Veda!$D209,'Globiom data'!$D$2:$D$9999,VLOOKUP(Veda!$B209,'Globiom data'!$V$21:$X$29,2,FALSE),'Globiom data'!$E$2:$E$9999,Veda!$C$1),0)*1000</f>
        <v>0</v>
      </c>
      <c r="Q209" s="2">
        <f>MAX(SUMIFS('Globiom data'!P$2:P$9999,'Globiom data'!$A$2:$A$9999,Veda!$D209,'Globiom data'!$D$2:$D$9999,VLOOKUP(Veda!$B209,'Globiom data'!$V$21:$X$29,2,FALSE),'Globiom data'!$E$2:$E$9999,Veda!$C$1),0)*1000</f>
        <v>0</v>
      </c>
      <c r="R209">
        <v>3</v>
      </c>
    </row>
    <row r="210" spans="1:18" x14ac:dyDescent="0.45">
      <c r="A210" s="8">
        <f t="shared" si="11"/>
        <v>30</v>
      </c>
      <c r="B210" s="8">
        <f t="shared" si="12"/>
        <v>2</v>
      </c>
      <c r="D210" t="str">
        <f>VLOOKUP(A210,'Globiom data'!$S$21:$T$51,2,FALSE)</f>
        <v>\I:</v>
      </c>
      <c r="E210" t="str">
        <f>VLOOKUP(B210,'Globiom data'!$V$21:$X$30,3,FALSE)</f>
        <v>MinBIOBSL-02</v>
      </c>
      <c r="F210" t="s">
        <v>53</v>
      </c>
      <c r="G210" s="2">
        <f>MAX(SUMIFS('Globiom data'!F$2:F$9999,'Globiom data'!$A$2:$A$9999,Veda!$D210,'Globiom data'!$D$2:$D$9999,VLOOKUP(Veda!$B210,'Globiom data'!$V$21:$X$29,2,FALSE),'Globiom data'!$E$2:$E$9999,Veda!$C$1),0)*1000</f>
        <v>0</v>
      </c>
      <c r="H210" s="2">
        <f>MAX(SUMIFS('Globiom data'!G$2:G$9999,'Globiom data'!$A$2:$A$9999,Veda!$D210,'Globiom data'!$D$2:$D$9999,VLOOKUP(Veda!$B210,'Globiom data'!$V$21:$X$29,2,FALSE),'Globiom data'!$E$2:$E$9999,Veda!$C$1),0)*1000</f>
        <v>0</v>
      </c>
      <c r="I210" s="2">
        <f>MAX(SUMIFS('Globiom data'!H$2:H$9999,'Globiom data'!$A$2:$A$9999,Veda!$D210,'Globiom data'!$D$2:$D$9999,VLOOKUP(Veda!$B210,'Globiom data'!$V$21:$X$29,2,FALSE),'Globiom data'!$E$2:$E$9999,Veda!$C$1),0)*1000</f>
        <v>0</v>
      </c>
      <c r="J210" s="2">
        <f>MAX(SUMIFS('Globiom data'!I$2:I$9999,'Globiom data'!$A$2:$A$9999,Veda!$D210,'Globiom data'!$D$2:$D$9999,VLOOKUP(Veda!$B210,'Globiom data'!$V$21:$X$29,2,FALSE),'Globiom data'!$E$2:$E$9999,Veda!$C$1),0)*1000</f>
        <v>0</v>
      </c>
      <c r="K210" s="2">
        <f>MAX(SUMIFS('Globiom data'!J$2:J$9999,'Globiom data'!$A$2:$A$9999,Veda!$D210,'Globiom data'!$D$2:$D$9999,VLOOKUP(Veda!$B210,'Globiom data'!$V$21:$X$29,2,FALSE),'Globiom data'!$E$2:$E$9999,Veda!$C$1),0)*1000</f>
        <v>0</v>
      </c>
      <c r="L210" s="2">
        <f>MAX(SUMIFS('Globiom data'!K$2:K$9999,'Globiom data'!$A$2:$A$9999,Veda!$D210,'Globiom data'!$D$2:$D$9999,VLOOKUP(Veda!$B210,'Globiom data'!$V$21:$X$29,2,FALSE),'Globiom data'!$E$2:$E$9999,Veda!$C$1),0)*1000</f>
        <v>0</v>
      </c>
      <c r="M210" s="2">
        <f>MAX(SUMIFS('Globiom data'!L$2:L$9999,'Globiom data'!$A$2:$A$9999,Veda!$D210,'Globiom data'!$D$2:$D$9999,VLOOKUP(Veda!$B210,'Globiom data'!$V$21:$X$29,2,FALSE),'Globiom data'!$E$2:$E$9999,Veda!$C$1),0)*1000</f>
        <v>0</v>
      </c>
      <c r="N210" s="2">
        <f>MAX(SUMIFS('Globiom data'!M$2:M$9999,'Globiom data'!$A$2:$A$9999,Veda!$D210,'Globiom data'!$D$2:$D$9999,VLOOKUP(Veda!$B210,'Globiom data'!$V$21:$X$29,2,FALSE),'Globiom data'!$E$2:$E$9999,Veda!$C$1),0)*1000</f>
        <v>0</v>
      </c>
      <c r="O210" s="2">
        <f>MAX(SUMIFS('Globiom data'!N$2:N$9999,'Globiom data'!$A$2:$A$9999,Veda!$D210,'Globiom data'!$D$2:$D$9999,VLOOKUP(Veda!$B210,'Globiom data'!$V$21:$X$29,2,FALSE),'Globiom data'!$E$2:$E$9999,Veda!$C$1),0)*1000</f>
        <v>0</v>
      </c>
      <c r="P210" s="2">
        <f>MAX(SUMIFS('Globiom data'!O$2:O$9999,'Globiom data'!$A$2:$A$9999,Veda!$D210,'Globiom data'!$D$2:$D$9999,VLOOKUP(Veda!$B210,'Globiom data'!$V$21:$X$29,2,FALSE),'Globiom data'!$E$2:$E$9999,Veda!$C$1),0)*1000</f>
        <v>0</v>
      </c>
      <c r="Q210" s="2">
        <f>MAX(SUMIFS('Globiom data'!P$2:P$9999,'Globiom data'!$A$2:$A$9999,Veda!$D210,'Globiom data'!$D$2:$D$9999,VLOOKUP(Veda!$B210,'Globiom data'!$V$21:$X$29,2,FALSE),'Globiom data'!$E$2:$E$9999,Veda!$C$1),0)*1000</f>
        <v>0</v>
      </c>
      <c r="R210">
        <v>3</v>
      </c>
    </row>
    <row r="211" spans="1:18" x14ac:dyDescent="0.45">
      <c r="A211" s="8">
        <f t="shared" si="11"/>
        <v>30</v>
      </c>
      <c r="B211" s="8">
        <f t="shared" si="12"/>
        <v>3</v>
      </c>
      <c r="D211" t="str">
        <f>VLOOKUP(A211,'Globiom data'!$S$21:$T$51,2,FALSE)</f>
        <v>\I:</v>
      </c>
      <c r="E211" t="str">
        <f>VLOOKUP(B211,'Globiom data'!$V$21:$X$30,3,FALSE)</f>
        <v>MinBIOBSL-03</v>
      </c>
      <c r="F211" t="s">
        <v>53</v>
      </c>
      <c r="G211" s="2">
        <f>MAX(SUMIFS('Globiom data'!F$2:F$9999,'Globiom data'!$A$2:$A$9999,Veda!$D211,'Globiom data'!$D$2:$D$9999,VLOOKUP(Veda!$B211,'Globiom data'!$V$21:$X$29,2,FALSE),'Globiom data'!$E$2:$E$9999,Veda!$C$1),0)*1000</f>
        <v>0</v>
      </c>
      <c r="H211" s="2">
        <f>MAX(SUMIFS('Globiom data'!G$2:G$9999,'Globiom data'!$A$2:$A$9999,Veda!$D211,'Globiom data'!$D$2:$D$9999,VLOOKUP(Veda!$B211,'Globiom data'!$V$21:$X$29,2,FALSE),'Globiom data'!$E$2:$E$9999,Veda!$C$1),0)*1000</f>
        <v>0</v>
      </c>
      <c r="I211" s="2">
        <f>MAX(SUMIFS('Globiom data'!H$2:H$9999,'Globiom data'!$A$2:$A$9999,Veda!$D211,'Globiom data'!$D$2:$D$9999,VLOOKUP(Veda!$B211,'Globiom data'!$V$21:$X$29,2,FALSE),'Globiom data'!$E$2:$E$9999,Veda!$C$1),0)*1000</f>
        <v>0</v>
      </c>
      <c r="J211" s="2">
        <f>MAX(SUMIFS('Globiom data'!I$2:I$9999,'Globiom data'!$A$2:$A$9999,Veda!$D211,'Globiom data'!$D$2:$D$9999,VLOOKUP(Veda!$B211,'Globiom data'!$V$21:$X$29,2,FALSE),'Globiom data'!$E$2:$E$9999,Veda!$C$1),0)*1000</f>
        <v>0</v>
      </c>
      <c r="K211" s="2">
        <f>MAX(SUMIFS('Globiom data'!J$2:J$9999,'Globiom data'!$A$2:$A$9999,Veda!$D211,'Globiom data'!$D$2:$D$9999,VLOOKUP(Veda!$B211,'Globiom data'!$V$21:$X$29,2,FALSE),'Globiom data'!$E$2:$E$9999,Veda!$C$1),0)*1000</f>
        <v>0</v>
      </c>
      <c r="L211" s="2">
        <f>MAX(SUMIFS('Globiom data'!K$2:K$9999,'Globiom data'!$A$2:$A$9999,Veda!$D211,'Globiom data'!$D$2:$D$9999,VLOOKUP(Veda!$B211,'Globiom data'!$V$21:$X$29,2,FALSE),'Globiom data'!$E$2:$E$9999,Veda!$C$1),0)*1000</f>
        <v>0</v>
      </c>
      <c r="M211" s="2">
        <f>MAX(SUMIFS('Globiom data'!L$2:L$9999,'Globiom data'!$A$2:$A$9999,Veda!$D211,'Globiom data'!$D$2:$D$9999,VLOOKUP(Veda!$B211,'Globiom data'!$V$21:$X$29,2,FALSE),'Globiom data'!$E$2:$E$9999,Veda!$C$1),0)*1000</f>
        <v>0</v>
      </c>
      <c r="N211" s="2">
        <f>MAX(SUMIFS('Globiom data'!M$2:M$9999,'Globiom data'!$A$2:$A$9999,Veda!$D211,'Globiom data'!$D$2:$D$9999,VLOOKUP(Veda!$B211,'Globiom data'!$V$21:$X$29,2,FALSE),'Globiom data'!$E$2:$E$9999,Veda!$C$1),0)*1000</f>
        <v>0</v>
      </c>
      <c r="O211" s="2">
        <f>MAX(SUMIFS('Globiom data'!N$2:N$9999,'Globiom data'!$A$2:$A$9999,Veda!$D211,'Globiom data'!$D$2:$D$9999,VLOOKUP(Veda!$B211,'Globiom data'!$V$21:$X$29,2,FALSE),'Globiom data'!$E$2:$E$9999,Veda!$C$1),0)*1000</f>
        <v>0</v>
      </c>
      <c r="P211" s="2">
        <f>MAX(SUMIFS('Globiom data'!O$2:O$9999,'Globiom data'!$A$2:$A$9999,Veda!$D211,'Globiom data'!$D$2:$D$9999,VLOOKUP(Veda!$B211,'Globiom data'!$V$21:$X$29,2,FALSE),'Globiom data'!$E$2:$E$9999,Veda!$C$1),0)*1000</f>
        <v>0</v>
      </c>
      <c r="Q211" s="2">
        <f>MAX(SUMIFS('Globiom data'!P$2:P$9999,'Globiom data'!$A$2:$A$9999,Veda!$D211,'Globiom data'!$D$2:$D$9999,VLOOKUP(Veda!$B211,'Globiom data'!$V$21:$X$29,2,FALSE),'Globiom data'!$E$2:$E$9999,Veda!$C$1),0)*1000</f>
        <v>0</v>
      </c>
      <c r="R211">
        <v>3</v>
      </c>
    </row>
    <row r="212" spans="1:18" x14ac:dyDescent="0.45">
      <c r="A212" s="8">
        <f t="shared" si="11"/>
        <v>30</v>
      </c>
      <c r="B212" s="8">
        <f t="shared" si="12"/>
        <v>4</v>
      </c>
      <c r="D212" t="str">
        <f>VLOOKUP(A212,'Globiom data'!$S$21:$T$51,2,FALSE)</f>
        <v>\I:</v>
      </c>
      <c r="E212" t="str">
        <f>VLOOKUP(B212,'Globiom data'!$V$21:$X$30,3,FALSE)</f>
        <v>MinBIOBSL-04</v>
      </c>
      <c r="F212" t="s">
        <v>53</v>
      </c>
      <c r="G212" s="2">
        <f>MAX(SUMIFS('Globiom data'!F$2:F$9999,'Globiom data'!$A$2:$A$9999,Veda!$D212,'Globiom data'!$D$2:$D$9999,VLOOKUP(Veda!$B212,'Globiom data'!$V$21:$X$29,2,FALSE),'Globiom data'!$E$2:$E$9999,Veda!$C$1),0)*1000</f>
        <v>0</v>
      </c>
      <c r="H212" s="2">
        <f>MAX(SUMIFS('Globiom data'!G$2:G$9999,'Globiom data'!$A$2:$A$9999,Veda!$D212,'Globiom data'!$D$2:$D$9999,VLOOKUP(Veda!$B212,'Globiom data'!$V$21:$X$29,2,FALSE),'Globiom data'!$E$2:$E$9999,Veda!$C$1),0)*1000</f>
        <v>0</v>
      </c>
      <c r="I212" s="2">
        <f>MAX(SUMIFS('Globiom data'!H$2:H$9999,'Globiom data'!$A$2:$A$9999,Veda!$D212,'Globiom data'!$D$2:$D$9999,VLOOKUP(Veda!$B212,'Globiom data'!$V$21:$X$29,2,FALSE),'Globiom data'!$E$2:$E$9999,Veda!$C$1),0)*1000</f>
        <v>0</v>
      </c>
      <c r="J212" s="2">
        <f>MAX(SUMIFS('Globiom data'!I$2:I$9999,'Globiom data'!$A$2:$A$9999,Veda!$D212,'Globiom data'!$D$2:$D$9999,VLOOKUP(Veda!$B212,'Globiom data'!$V$21:$X$29,2,FALSE),'Globiom data'!$E$2:$E$9999,Veda!$C$1),0)*1000</f>
        <v>0</v>
      </c>
      <c r="K212" s="2">
        <f>MAX(SUMIFS('Globiom data'!J$2:J$9999,'Globiom data'!$A$2:$A$9999,Veda!$D212,'Globiom data'!$D$2:$D$9999,VLOOKUP(Veda!$B212,'Globiom data'!$V$21:$X$29,2,FALSE),'Globiom data'!$E$2:$E$9999,Veda!$C$1),0)*1000</f>
        <v>0</v>
      </c>
      <c r="L212" s="2">
        <f>MAX(SUMIFS('Globiom data'!K$2:K$9999,'Globiom data'!$A$2:$A$9999,Veda!$D212,'Globiom data'!$D$2:$D$9999,VLOOKUP(Veda!$B212,'Globiom data'!$V$21:$X$29,2,FALSE),'Globiom data'!$E$2:$E$9999,Veda!$C$1),0)*1000</f>
        <v>0</v>
      </c>
      <c r="M212" s="2">
        <f>MAX(SUMIFS('Globiom data'!L$2:L$9999,'Globiom data'!$A$2:$A$9999,Veda!$D212,'Globiom data'!$D$2:$D$9999,VLOOKUP(Veda!$B212,'Globiom data'!$V$21:$X$29,2,FALSE),'Globiom data'!$E$2:$E$9999,Veda!$C$1),0)*1000</f>
        <v>0</v>
      </c>
      <c r="N212" s="2">
        <f>MAX(SUMIFS('Globiom data'!M$2:M$9999,'Globiom data'!$A$2:$A$9999,Veda!$D212,'Globiom data'!$D$2:$D$9999,VLOOKUP(Veda!$B212,'Globiom data'!$V$21:$X$29,2,FALSE),'Globiom data'!$E$2:$E$9999,Veda!$C$1),0)*1000</f>
        <v>0</v>
      </c>
      <c r="O212" s="2">
        <f>MAX(SUMIFS('Globiom data'!N$2:N$9999,'Globiom data'!$A$2:$A$9999,Veda!$D212,'Globiom data'!$D$2:$D$9999,VLOOKUP(Veda!$B212,'Globiom data'!$V$21:$X$29,2,FALSE),'Globiom data'!$E$2:$E$9999,Veda!$C$1),0)*1000</f>
        <v>0</v>
      </c>
      <c r="P212" s="2">
        <f>MAX(SUMIFS('Globiom data'!O$2:O$9999,'Globiom data'!$A$2:$A$9999,Veda!$D212,'Globiom data'!$D$2:$D$9999,VLOOKUP(Veda!$B212,'Globiom data'!$V$21:$X$29,2,FALSE),'Globiom data'!$E$2:$E$9999,Veda!$C$1),0)*1000</f>
        <v>0</v>
      </c>
      <c r="Q212" s="2">
        <f>MAX(SUMIFS('Globiom data'!P$2:P$9999,'Globiom data'!$A$2:$A$9999,Veda!$D212,'Globiom data'!$D$2:$D$9999,VLOOKUP(Veda!$B212,'Globiom data'!$V$21:$X$29,2,FALSE),'Globiom data'!$E$2:$E$9999,Veda!$C$1),0)*1000</f>
        <v>0</v>
      </c>
      <c r="R212">
        <v>3</v>
      </c>
    </row>
    <row r="213" spans="1:18" x14ac:dyDescent="0.45">
      <c r="A213" s="8">
        <f t="shared" si="11"/>
        <v>30</v>
      </c>
      <c r="B213" s="8">
        <f t="shared" si="12"/>
        <v>5</v>
      </c>
      <c r="D213" t="str">
        <f>VLOOKUP(A213,'Globiom data'!$S$21:$T$51,2,FALSE)</f>
        <v>\I:</v>
      </c>
      <c r="E213" t="str">
        <f>VLOOKUP(B213,'Globiom data'!$V$21:$X$30,3,FALSE)</f>
        <v>MinBIOBSL-05</v>
      </c>
      <c r="F213" t="s">
        <v>53</v>
      </c>
      <c r="G213" s="2">
        <f>MAX(SUMIFS('Globiom data'!F$2:F$9999,'Globiom data'!$A$2:$A$9999,Veda!$D213,'Globiom data'!$D$2:$D$9999,VLOOKUP(Veda!$B213,'Globiom data'!$V$21:$X$29,2,FALSE),'Globiom data'!$E$2:$E$9999,Veda!$C$1),0)*1000</f>
        <v>0</v>
      </c>
      <c r="H213" s="2">
        <f>MAX(SUMIFS('Globiom data'!G$2:G$9999,'Globiom data'!$A$2:$A$9999,Veda!$D213,'Globiom data'!$D$2:$D$9999,VLOOKUP(Veda!$B213,'Globiom data'!$V$21:$X$29,2,FALSE),'Globiom data'!$E$2:$E$9999,Veda!$C$1),0)*1000</f>
        <v>0</v>
      </c>
      <c r="I213" s="2">
        <f>MAX(SUMIFS('Globiom data'!H$2:H$9999,'Globiom data'!$A$2:$A$9999,Veda!$D213,'Globiom data'!$D$2:$D$9999,VLOOKUP(Veda!$B213,'Globiom data'!$V$21:$X$29,2,FALSE),'Globiom data'!$E$2:$E$9999,Veda!$C$1),0)*1000</f>
        <v>0</v>
      </c>
      <c r="J213" s="2">
        <f>MAX(SUMIFS('Globiom data'!I$2:I$9999,'Globiom data'!$A$2:$A$9999,Veda!$D213,'Globiom data'!$D$2:$D$9999,VLOOKUP(Veda!$B213,'Globiom data'!$V$21:$X$29,2,FALSE),'Globiom data'!$E$2:$E$9999,Veda!$C$1),0)*1000</f>
        <v>0</v>
      </c>
      <c r="K213" s="2">
        <f>MAX(SUMIFS('Globiom data'!J$2:J$9999,'Globiom data'!$A$2:$A$9999,Veda!$D213,'Globiom data'!$D$2:$D$9999,VLOOKUP(Veda!$B213,'Globiom data'!$V$21:$X$29,2,FALSE),'Globiom data'!$E$2:$E$9999,Veda!$C$1),0)*1000</f>
        <v>0</v>
      </c>
      <c r="L213" s="2">
        <f>MAX(SUMIFS('Globiom data'!K$2:K$9999,'Globiom data'!$A$2:$A$9999,Veda!$D213,'Globiom data'!$D$2:$D$9999,VLOOKUP(Veda!$B213,'Globiom data'!$V$21:$X$29,2,FALSE),'Globiom data'!$E$2:$E$9999,Veda!$C$1),0)*1000</f>
        <v>0</v>
      </c>
      <c r="M213" s="2">
        <f>MAX(SUMIFS('Globiom data'!L$2:L$9999,'Globiom data'!$A$2:$A$9999,Veda!$D213,'Globiom data'!$D$2:$D$9999,VLOOKUP(Veda!$B213,'Globiom data'!$V$21:$X$29,2,FALSE),'Globiom data'!$E$2:$E$9999,Veda!$C$1),0)*1000</f>
        <v>0</v>
      </c>
      <c r="N213" s="2">
        <f>MAX(SUMIFS('Globiom data'!M$2:M$9999,'Globiom data'!$A$2:$A$9999,Veda!$D213,'Globiom data'!$D$2:$D$9999,VLOOKUP(Veda!$B213,'Globiom data'!$V$21:$X$29,2,FALSE),'Globiom data'!$E$2:$E$9999,Veda!$C$1),0)*1000</f>
        <v>0</v>
      </c>
      <c r="O213" s="2">
        <f>MAX(SUMIFS('Globiom data'!N$2:N$9999,'Globiom data'!$A$2:$A$9999,Veda!$D213,'Globiom data'!$D$2:$D$9999,VLOOKUP(Veda!$B213,'Globiom data'!$V$21:$X$29,2,FALSE),'Globiom data'!$E$2:$E$9999,Veda!$C$1),0)*1000</f>
        <v>0</v>
      </c>
      <c r="P213" s="2">
        <f>MAX(SUMIFS('Globiom data'!O$2:O$9999,'Globiom data'!$A$2:$A$9999,Veda!$D213,'Globiom data'!$D$2:$D$9999,VLOOKUP(Veda!$B213,'Globiom data'!$V$21:$X$29,2,FALSE),'Globiom data'!$E$2:$E$9999,Veda!$C$1),0)*1000</f>
        <v>0</v>
      </c>
      <c r="Q213" s="2">
        <f>MAX(SUMIFS('Globiom data'!P$2:P$9999,'Globiom data'!$A$2:$A$9999,Veda!$D213,'Globiom data'!$D$2:$D$9999,VLOOKUP(Veda!$B213,'Globiom data'!$V$21:$X$29,2,FALSE),'Globiom data'!$E$2:$E$9999,Veda!$C$1),0)*1000</f>
        <v>0</v>
      </c>
      <c r="R213">
        <v>3</v>
      </c>
    </row>
    <row r="214" spans="1:18" x14ac:dyDescent="0.45">
      <c r="A214" s="8">
        <f t="shared" si="11"/>
        <v>30</v>
      </c>
      <c r="B214" s="8">
        <f t="shared" si="12"/>
        <v>6</v>
      </c>
      <c r="D214" t="str">
        <f>VLOOKUP(A214,'Globiom data'!$S$21:$T$51,2,FALSE)</f>
        <v>\I:</v>
      </c>
      <c r="E214" t="str">
        <f>VLOOKUP(B214,'Globiom data'!$V$21:$X$30,3,FALSE)</f>
        <v>MinBIOBSL-06</v>
      </c>
      <c r="F214" t="s">
        <v>53</v>
      </c>
      <c r="G214" s="2">
        <f>MAX(SUMIFS('Globiom data'!F$2:F$9999,'Globiom data'!$A$2:$A$9999,Veda!$D214,'Globiom data'!$D$2:$D$9999,VLOOKUP(Veda!$B214,'Globiom data'!$V$21:$X$29,2,FALSE),'Globiom data'!$E$2:$E$9999,Veda!$C$1),0)*1000</f>
        <v>0</v>
      </c>
      <c r="H214" s="2">
        <f>MAX(SUMIFS('Globiom data'!G$2:G$9999,'Globiom data'!$A$2:$A$9999,Veda!$D214,'Globiom data'!$D$2:$D$9999,VLOOKUP(Veda!$B214,'Globiom data'!$V$21:$X$29,2,FALSE),'Globiom data'!$E$2:$E$9999,Veda!$C$1),0)*1000</f>
        <v>0</v>
      </c>
      <c r="I214" s="2">
        <f>MAX(SUMIFS('Globiom data'!H$2:H$9999,'Globiom data'!$A$2:$A$9999,Veda!$D214,'Globiom data'!$D$2:$D$9999,VLOOKUP(Veda!$B214,'Globiom data'!$V$21:$X$29,2,FALSE),'Globiom data'!$E$2:$E$9999,Veda!$C$1),0)*1000</f>
        <v>0</v>
      </c>
      <c r="J214" s="2">
        <f>MAX(SUMIFS('Globiom data'!I$2:I$9999,'Globiom data'!$A$2:$A$9999,Veda!$D214,'Globiom data'!$D$2:$D$9999,VLOOKUP(Veda!$B214,'Globiom data'!$V$21:$X$29,2,FALSE),'Globiom data'!$E$2:$E$9999,Veda!$C$1),0)*1000</f>
        <v>0</v>
      </c>
      <c r="K214" s="2">
        <f>MAX(SUMIFS('Globiom data'!J$2:J$9999,'Globiom data'!$A$2:$A$9999,Veda!$D214,'Globiom data'!$D$2:$D$9999,VLOOKUP(Veda!$B214,'Globiom data'!$V$21:$X$29,2,FALSE),'Globiom data'!$E$2:$E$9999,Veda!$C$1),0)*1000</f>
        <v>0</v>
      </c>
      <c r="L214" s="2">
        <f>MAX(SUMIFS('Globiom data'!K$2:K$9999,'Globiom data'!$A$2:$A$9999,Veda!$D214,'Globiom data'!$D$2:$D$9999,VLOOKUP(Veda!$B214,'Globiom data'!$V$21:$X$29,2,FALSE),'Globiom data'!$E$2:$E$9999,Veda!$C$1),0)*1000</f>
        <v>0</v>
      </c>
      <c r="M214" s="2">
        <f>MAX(SUMIFS('Globiom data'!L$2:L$9999,'Globiom data'!$A$2:$A$9999,Veda!$D214,'Globiom data'!$D$2:$D$9999,VLOOKUP(Veda!$B214,'Globiom data'!$V$21:$X$29,2,FALSE),'Globiom data'!$E$2:$E$9999,Veda!$C$1),0)*1000</f>
        <v>0</v>
      </c>
      <c r="N214" s="2">
        <f>MAX(SUMIFS('Globiom data'!M$2:M$9999,'Globiom data'!$A$2:$A$9999,Veda!$D214,'Globiom data'!$D$2:$D$9999,VLOOKUP(Veda!$B214,'Globiom data'!$V$21:$X$29,2,FALSE),'Globiom data'!$E$2:$E$9999,Veda!$C$1),0)*1000</f>
        <v>0</v>
      </c>
      <c r="O214" s="2">
        <f>MAX(SUMIFS('Globiom data'!N$2:N$9999,'Globiom data'!$A$2:$A$9999,Veda!$D214,'Globiom data'!$D$2:$D$9999,VLOOKUP(Veda!$B214,'Globiom data'!$V$21:$X$29,2,FALSE),'Globiom data'!$E$2:$E$9999,Veda!$C$1),0)*1000</f>
        <v>0</v>
      </c>
      <c r="P214" s="2">
        <f>MAX(SUMIFS('Globiom data'!O$2:O$9999,'Globiom data'!$A$2:$A$9999,Veda!$D214,'Globiom data'!$D$2:$D$9999,VLOOKUP(Veda!$B214,'Globiom data'!$V$21:$X$29,2,FALSE),'Globiom data'!$E$2:$E$9999,Veda!$C$1),0)*1000</f>
        <v>0</v>
      </c>
      <c r="Q214" s="2">
        <f>MAX(SUMIFS('Globiom data'!P$2:P$9999,'Globiom data'!$A$2:$A$9999,Veda!$D214,'Globiom data'!$D$2:$D$9999,VLOOKUP(Veda!$B214,'Globiom data'!$V$21:$X$29,2,FALSE),'Globiom data'!$E$2:$E$9999,Veda!$C$1),0)*1000</f>
        <v>0</v>
      </c>
      <c r="R214">
        <v>3</v>
      </c>
    </row>
    <row r="215" spans="1:18" x14ac:dyDescent="0.45">
      <c r="A215" s="8">
        <f t="shared" si="11"/>
        <v>30</v>
      </c>
      <c r="B215" s="8">
        <f t="shared" si="12"/>
        <v>7</v>
      </c>
      <c r="D215" t="str">
        <f>VLOOKUP(A215,'Globiom data'!$S$21:$T$51,2,FALSE)</f>
        <v>\I:</v>
      </c>
      <c r="E215" t="str">
        <f>VLOOKUP(B215,'Globiom data'!$V$21:$X$30,3,FALSE)</f>
        <v>MinBIOBSL-07</v>
      </c>
      <c r="F215" t="s">
        <v>53</v>
      </c>
      <c r="G215" s="2">
        <f>MAX(SUMIFS('Globiom data'!F$2:F$9999,'Globiom data'!$A$2:$A$9999,Veda!$D215,'Globiom data'!$D$2:$D$9999,VLOOKUP(Veda!$B215,'Globiom data'!$V$21:$X$29,2,FALSE),'Globiom data'!$E$2:$E$9999,Veda!$C$1),0)*1000</f>
        <v>0</v>
      </c>
      <c r="H215" s="2">
        <f>MAX(SUMIFS('Globiom data'!G$2:G$9999,'Globiom data'!$A$2:$A$9999,Veda!$D215,'Globiom data'!$D$2:$D$9999,VLOOKUP(Veda!$B215,'Globiom data'!$V$21:$X$29,2,FALSE),'Globiom data'!$E$2:$E$9999,Veda!$C$1),0)*1000</f>
        <v>0</v>
      </c>
      <c r="I215" s="2">
        <f>MAX(SUMIFS('Globiom data'!H$2:H$9999,'Globiom data'!$A$2:$A$9999,Veda!$D215,'Globiom data'!$D$2:$D$9999,VLOOKUP(Veda!$B215,'Globiom data'!$V$21:$X$29,2,FALSE),'Globiom data'!$E$2:$E$9999,Veda!$C$1),0)*1000</f>
        <v>0</v>
      </c>
      <c r="J215" s="2">
        <f>MAX(SUMIFS('Globiom data'!I$2:I$9999,'Globiom data'!$A$2:$A$9999,Veda!$D215,'Globiom data'!$D$2:$D$9999,VLOOKUP(Veda!$B215,'Globiom data'!$V$21:$X$29,2,FALSE),'Globiom data'!$E$2:$E$9999,Veda!$C$1),0)*1000</f>
        <v>0</v>
      </c>
      <c r="K215" s="2">
        <f>MAX(SUMIFS('Globiom data'!J$2:J$9999,'Globiom data'!$A$2:$A$9999,Veda!$D215,'Globiom data'!$D$2:$D$9999,VLOOKUP(Veda!$B215,'Globiom data'!$V$21:$X$29,2,FALSE),'Globiom data'!$E$2:$E$9999,Veda!$C$1),0)*1000</f>
        <v>0</v>
      </c>
      <c r="L215" s="2">
        <f>MAX(SUMIFS('Globiom data'!K$2:K$9999,'Globiom data'!$A$2:$A$9999,Veda!$D215,'Globiom data'!$D$2:$D$9999,VLOOKUP(Veda!$B215,'Globiom data'!$V$21:$X$29,2,FALSE),'Globiom data'!$E$2:$E$9999,Veda!$C$1),0)*1000</f>
        <v>0</v>
      </c>
      <c r="M215" s="2">
        <f>MAX(SUMIFS('Globiom data'!L$2:L$9999,'Globiom data'!$A$2:$A$9999,Veda!$D215,'Globiom data'!$D$2:$D$9999,VLOOKUP(Veda!$B215,'Globiom data'!$V$21:$X$29,2,FALSE),'Globiom data'!$E$2:$E$9999,Veda!$C$1),0)*1000</f>
        <v>0</v>
      </c>
      <c r="N215" s="2">
        <f>MAX(SUMIFS('Globiom data'!M$2:M$9999,'Globiom data'!$A$2:$A$9999,Veda!$D215,'Globiom data'!$D$2:$D$9999,VLOOKUP(Veda!$B215,'Globiom data'!$V$21:$X$29,2,FALSE),'Globiom data'!$E$2:$E$9999,Veda!$C$1),0)*1000</f>
        <v>0</v>
      </c>
      <c r="O215" s="2">
        <f>MAX(SUMIFS('Globiom data'!N$2:N$9999,'Globiom data'!$A$2:$A$9999,Veda!$D215,'Globiom data'!$D$2:$D$9999,VLOOKUP(Veda!$B215,'Globiom data'!$V$21:$X$29,2,FALSE),'Globiom data'!$E$2:$E$9999,Veda!$C$1),0)*1000</f>
        <v>0</v>
      </c>
      <c r="P215" s="2">
        <f>MAX(SUMIFS('Globiom data'!O$2:O$9999,'Globiom data'!$A$2:$A$9999,Veda!$D215,'Globiom data'!$D$2:$D$9999,VLOOKUP(Veda!$B215,'Globiom data'!$V$21:$X$29,2,FALSE),'Globiom data'!$E$2:$E$9999,Veda!$C$1),0)*1000</f>
        <v>0</v>
      </c>
      <c r="Q215" s="2">
        <f>MAX(SUMIFS('Globiom data'!P$2:P$9999,'Globiom data'!$A$2:$A$9999,Veda!$D215,'Globiom data'!$D$2:$D$9999,VLOOKUP(Veda!$B215,'Globiom data'!$V$21:$X$29,2,FALSE),'Globiom data'!$E$2:$E$9999,Veda!$C$1),0)*1000</f>
        <v>0</v>
      </c>
      <c r="R215">
        <v>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Globiom data</vt:lpstr>
      <vt:lpstr>Veda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2022-02-21T05:45:15Z</dcterms:created>
  <dcterms:modified xsi:type="dcterms:W3CDTF">2024-03-17T09:14:34Z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{C7F784B6-EB17-4F88-A6CA-74DF24C463FE}</vt:lpwstr>
  </property>
</Properties>
</file>