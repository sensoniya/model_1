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3081099F-3B4B-4F2B-8154-4A6EE8D6B98D}" xr6:coauthVersionLast="47" xr6:coauthVersionMax="47" xr10:uidLastSave="{00000000-0000-0000-0000-000000000000}"/>
  <bookViews>
    <workbookView xWindow="-98" yWindow="-98" windowWidth="28996" windowHeight="17475" xr2:uid="{D3E3067E-5191-434A-9D10-0E1E0C00A76D}"/>
  </bookViews>
  <sheets>
    <sheet name="TRA balance" sheetId="1" r:id="rId1"/>
    <sheet name="2-w" sheetId="11" r:id="rId2"/>
    <sheet name="3-w" sheetId="12" r:id="rId3"/>
    <sheet name="Cars" sheetId="7" r:id="rId4"/>
    <sheet name="Bus" sheetId="10" r:id="rId5"/>
    <sheet name="Trucks-lcv" sheetId="13" r:id="rId6"/>
    <sheet name="Trucks-hdt" sheetId="14" r:id="rId7"/>
    <sheet name="Trucks" sheetId="9" r:id="rId8"/>
    <sheet name="Assumptions" sheetId="3" r:id="rId9"/>
    <sheet name="TIAM15_assumptions" sheetId="6" r:id="rId10"/>
    <sheet name="vehicle population data" sheetId="8" r:id="rId11"/>
    <sheet name="non-road" sheetId="5" r:id="rId12"/>
    <sheet name="Average VMT by Vehicle Type" sheetId="16" r:id="rId13"/>
  </sheets>
  <definedNames>
    <definedName name="_xlnm._FilterDatabase" localSheetId="8" hidden="1">Assumptions!$E$2:$F$103</definedName>
    <definedName name="_xlnm._FilterDatabase" localSheetId="11" hidden="1">'non-road'!#REF!</definedName>
    <definedName name="_xlnm._FilterDatabase" localSheetId="9" hidden="1">TIAM15_assumptions!$E$2:$F$103</definedName>
    <definedName name="_xlnm._FilterDatabase" localSheetId="0" hidden="1">'TRA balance'!#REF!</definedName>
    <definedName name="_xlnm._FilterDatabase" localSheetId="10" hidden="1">'vehicle population data'!$A$1:$D$595</definedName>
  </definedNames>
  <calcPr calcId="191029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X102" i="3"/>
  <c r="W102" i="3"/>
  <c r="R102" i="3"/>
  <c r="Q102" i="3"/>
  <c r="P102" i="3"/>
  <c r="O101" i="3"/>
  <c r="X99" i="3"/>
  <c r="Q99" i="3"/>
  <c r="P99" i="3"/>
  <c r="O99" i="3"/>
  <c r="Q98" i="3"/>
  <c r="P98" i="3"/>
  <c r="O98" i="3"/>
  <c r="R97" i="3"/>
  <c r="Q97" i="3"/>
  <c r="P97" i="3"/>
  <c r="O97" i="3"/>
  <c r="X96" i="3"/>
  <c r="W96" i="3"/>
  <c r="V96" i="3"/>
  <c r="Q96" i="3"/>
  <c r="P96" i="3"/>
  <c r="T93" i="3"/>
  <c r="S93" i="3"/>
  <c r="R93" i="3"/>
  <c r="Q93" i="3"/>
  <c r="O93" i="3"/>
  <c r="R92" i="3"/>
  <c r="Q92" i="3"/>
  <c r="O92" i="3"/>
  <c r="X91" i="3"/>
  <c r="R91" i="3"/>
  <c r="Q91" i="3"/>
  <c r="O91" i="3"/>
  <c r="T90" i="3"/>
  <c r="S90" i="3"/>
  <c r="P90" i="3"/>
  <c r="O90" i="3"/>
  <c r="X89" i="3"/>
  <c r="X95" i="3" s="1"/>
  <c r="W89" i="3"/>
  <c r="W95" i="3" s="1"/>
  <c r="O89" i="3"/>
  <c r="O95" i="3" s="1"/>
  <c r="X87" i="3"/>
  <c r="W87" i="3"/>
  <c r="V87" i="3"/>
  <c r="U87" i="3"/>
  <c r="R87" i="3"/>
  <c r="Q87" i="3"/>
  <c r="P87" i="3"/>
  <c r="O87" i="3"/>
  <c r="S86" i="3"/>
  <c r="R86" i="3"/>
  <c r="Q86" i="3"/>
  <c r="P86" i="3"/>
  <c r="O86" i="3"/>
  <c r="W85" i="3"/>
  <c r="R85" i="3"/>
  <c r="Q85" i="3"/>
  <c r="O85" i="3"/>
  <c r="R84" i="3"/>
  <c r="Q84" i="3"/>
  <c r="P84" i="3"/>
  <c r="O84" i="3"/>
  <c r="R81" i="3"/>
  <c r="O81" i="3"/>
  <c r="W80" i="3"/>
  <c r="V80" i="3"/>
  <c r="U80" i="3"/>
  <c r="T80" i="3"/>
  <c r="S80" i="3"/>
  <c r="R80" i="3"/>
  <c r="O80" i="3"/>
  <c r="Q79" i="3"/>
  <c r="P79" i="3"/>
  <c r="O79" i="3"/>
  <c r="X78" i="3"/>
  <c r="Q78" i="3"/>
  <c r="P78" i="3"/>
  <c r="O78" i="3"/>
  <c r="W77" i="3"/>
  <c r="W83" i="3" s="1"/>
  <c r="V77" i="3"/>
  <c r="V83" i="3" s="1"/>
  <c r="R77" i="3"/>
  <c r="R83" i="3" s="1"/>
  <c r="O77" i="3"/>
  <c r="O83" i="3" s="1"/>
  <c r="X75" i="3"/>
  <c r="U75" i="3"/>
  <c r="T75" i="3"/>
  <c r="R75" i="3"/>
  <c r="Q75" i="3"/>
  <c r="P75" i="3"/>
  <c r="O75" i="3"/>
  <c r="R74" i="3"/>
  <c r="P74" i="3"/>
  <c r="O74" i="3"/>
  <c r="W72" i="3"/>
  <c r="V72" i="3"/>
  <c r="U72" i="3"/>
  <c r="Q72" i="3"/>
  <c r="O72" i="3"/>
  <c r="X71" i="3"/>
  <c r="W71" i="3"/>
  <c r="V71" i="3"/>
  <c r="R71" i="3"/>
  <c r="Q71" i="3"/>
  <c r="O71" i="3"/>
  <c r="X70" i="3"/>
  <c r="W70" i="3"/>
  <c r="V70" i="3"/>
  <c r="O70" i="3"/>
  <c r="X69" i="3"/>
  <c r="W69" i="3"/>
  <c r="V69" i="3"/>
  <c r="O69" i="3"/>
  <c r="R66" i="3"/>
  <c r="Q66" i="3"/>
  <c r="P66" i="3"/>
  <c r="O66" i="3"/>
  <c r="X65" i="3"/>
  <c r="W65" i="3"/>
  <c r="Q65" i="3"/>
  <c r="O65" i="3"/>
  <c r="V64" i="3"/>
  <c r="U64" i="3"/>
  <c r="T64" i="3"/>
  <c r="R64" i="3"/>
  <c r="Q64" i="3"/>
  <c r="P64" i="3"/>
  <c r="O64" i="3"/>
  <c r="V63" i="3"/>
  <c r="U63" i="3"/>
  <c r="Q63" i="3"/>
  <c r="P63" i="3"/>
  <c r="R62" i="3"/>
  <c r="R68" i="3" s="1"/>
  <c r="Q62" i="3"/>
  <c r="Q68" i="3" s="1"/>
  <c r="X60" i="3"/>
  <c r="W60" i="3"/>
  <c r="S60" i="3"/>
  <c r="R60" i="3"/>
  <c r="O60" i="3"/>
  <c r="X59" i="3"/>
  <c r="R59" i="3"/>
  <c r="Q59" i="3"/>
  <c r="P59" i="3"/>
  <c r="O59" i="3"/>
  <c r="X58" i="3"/>
  <c r="W58" i="3"/>
  <c r="V58" i="3"/>
  <c r="U58" i="3"/>
  <c r="O58" i="3"/>
  <c r="W57" i="3"/>
  <c r="V57" i="3"/>
  <c r="R57" i="3"/>
  <c r="Q57" i="3"/>
  <c r="P57" i="3"/>
  <c r="O57" i="3"/>
  <c r="X54" i="3"/>
  <c r="U54" i="3"/>
  <c r="T54" i="3"/>
  <c r="R54" i="3"/>
  <c r="P54" i="3"/>
  <c r="O54" i="3"/>
  <c r="X53" i="3"/>
  <c r="R53" i="3"/>
  <c r="Q53" i="3"/>
  <c r="P53" i="3"/>
  <c r="O53" i="3"/>
  <c r="V52" i="3"/>
  <c r="V56" i="3" s="1"/>
  <c r="U52" i="3"/>
  <c r="U56" i="3" s="1"/>
  <c r="T52" i="3"/>
  <c r="T56" i="3" s="1"/>
  <c r="R52" i="3"/>
  <c r="R56" i="3" s="1"/>
  <c r="Q52" i="3"/>
  <c r="Q56" i="3" s="1"/>
  <c r="O52" i="3"/>
  <c r="O56" i="3" s="1"/>
  <c r="X50" i="3"/>
  <c r="W50" i="3"/>
  <c r="Q50" i="3"/>
  <c r="P50" i="3"/>
  <c r="O50" i="3"/>
  <c r="X49" i="3"/>
  <c r="W49" i="3"/>
  <c r="V49" i="3"/>
  <c r="O49" i="3"/>
  <c r="X47" i="3"/>
  <c r="W47" i="3"/>
  <c r="V47" i="3"/>
  <c r="U47" i="3"/>
  <c r="S47" i="3"/>
  <c r="R47" i="3"/>
  <c r="Q47" i="3"/>
  <c r="O47" i="3"/>
  <c r="W46" i="3"/>
  <c r="R46" i="3"/>
  <c r="O46" i="3"/>
  <c r="W45" i="3"/>
  <c r="R45" i="3"/>
  <c r="Q45" i="3"/>
  <c r="O45" i="3"/>
  <c r="U44" i="3"/>
  <c r="T44" i="3"/>
  <c r="S44" i="3"/>
  <c r="R44" i="3"/>
  <c r="Q44" i="3"/>
  <c r="O44" i="3"/>
  <c r="W41" i="3"/>
  <c r="V41" i="3"/>
  <c r="U41" i="3"/>
  <c r="S41" i="3"/>
  <c r="R41" i="3"/>
  <c r="P41" i="3"/>
  <c r="O41" i="3"/>
  <c r="X40" i="3"/>
  <c r="W40" i="3"/>
  <c r="S40" i="3"/>
  <c r="R40" i="3"/>
  <c r="P40" i="3"/>
  <c r="O40" i="3"/>
  <c r="R39" i="3"/>
  <c r="R43" i="3" s="1"/>
  <c r="Q39" i="3"/>
  <c r="Q43" i="3" s="1"/>
  <c r="P39" i="3"/>
  <c r="P43" i="3" s="1"/>
  <c r="O39" i="3"/>
  <c r="O43" i="3" s="1"/>
  <c r="W37" i="3"/>
  <c r="S37" i="3"/>
  <c r="R37" i="3"/>
  <c r="Q37" i="3"/>
  <c r="P37" i="3"/>
  <c r="O37" i="3"/>
  <c r="X36" i="3"/>
  <c r="W36" i="3"/>
  <c r="V36" i="3"/>
  <c r="T36" i="3"/>
  <c r="R36" i="3"/>
  <c r="Q36" i="3"/>
  <c r="P36" i="3"/>
  <c r="X34" i="3"/>
  <c r="O34" i="3"/>
  <c r="X33" i="3"/>
  <c r="W33" i="3"/>
  <c r="V33" i="3"/>
  <c r="U33" i="3"/>
  <c r="T33" i="3"/>
  <c r="R33" i="3"/>
  <c r="Q33" i="3"/>
  <c r="P33" i="3"/>
  <c r="O33" i="3"/>
  <c r="R31" i="3"/>
  <c r="Q31" i="3"/>
  <c r="O31" i="3"/>
  <c r="X30" i="3"/>
  <c r="W30" i="3"/>
  <c r="Q30" i="3"/>
  <c r="P30" i="3"/>
  <c r="O30" i="3"/>
  <c r="Q29" i="3"/>
  <c r="O29" i="3"/>
  <c r="X28" i="3"/>
  <c r="V28" i="3"/>
  <c r="U28" i="3"/>
  <c r="S28" i="3"/>
  <c r="R28" i="3"/>
  <c r="Q28" i="3"/>
  <c r="P28" i="3"/>
  <c r="O28" i="3"/>
  <c r="X25" i="3"/>
  <c r="S25" i="3"/>
  <c r="R25" i="3"/>
  <c r="Q25" i="3"/>
  <c r="O25" i="3"/>
  <c r="S24" i="3"/>
  <c r="R24" i="3"/>
  <c r="Q24" i="3"/>
  <c r="P24" i="3"/>
  <c r="O24" i="3"/>
  <c r="W23" i="3"/>
  <c r="V23" i="3"/>
  <c r="Q23" i="3"/>
  <c r="P23" i="3"/>
  <c r="X22" i="3"/>
  <c r="W22" i="3"/>
  <c r="T22" i="3"/>
  <c r="S22" i="3"/>
  <c r="R22" i="3"/>
  <c r="Q22" i="3"/>
  <c r="P22" i="3"/>
  <c r="X21" i="3"/>
  <c r="X27" i="3" s="1"/>
  <c r="W21" i="3"/>
  <c r="W27" i="3" s="1"/>
  <c r="V21" i="3"/>
  <c r="V27" i="3" s="1"/>
  <c r="R21" i="3"/>
  <c r="R27" i="3" s="1"/>
  <c r="O21" i="3"/>
  <c r="O27" i="3" s="1"/>
  <c r="X19" i="3"/>
  <c r="W19" i="3"/>
  <c r="R19" i="3"/>
  <c r="O19" i="3"/>
  <c r="X18" i="3"/>
  <c r="V18" i="3"/>
  <c r="R18" i="3"/>
  <c r="Q18" i="3"/>
  <c r="P18" i="3"/>
  <c r="O18" i="3"/>
  <c r="S16" i="3"/>
  <c r="R16" i="3"/>
  <c r="Q16" i="3"/>
  <c r="P16" i="3"/>
  <c r="O16" i="3"/>
  <c r="X15" i="3"/>
  <c r="V15" i="3"/>
  <c r="U15" i="3"/>
  <c r="T15" i="3"/>
  <c r="S15" i="3"/>
  <c r="R15" i="3"/>
  <c r="Q15" i="3"/>
  <c r="O15" i="3"/>
  <c r="X14" i="3"/>
  <c r="V14" i="3"/>
  <c r="R14" i="3"/>
  <c r="P14" i="3"/>
  <c r="O14" i="3"/>
  <c r="X13" i="3"/>
  <c r="W13" i="3"/>
  <c r="R13" i="3"/>
  <c r="Q13" i="3"/>
  <c r="P13" i="3"/>
  <c r="O13" i="3"/>
  <c r="Q10" i="3"/>
  <c r="P10" i="3"/>
  <c r="O10" i="3"/>
  <c r="W9" i="3"/>
  <c r="V9" i="3"/>
  <c r="U9" i="3"/>
  <c r="T9" i="3"/>
  <c r="Q9" i="3"/>
  <c r="P9" i="3"/>
  <c r="O9" i="3"/>
  <c r="X8" i="3"/>
  <c r="R8" i="3"/>
  <c r="Q8" i="3"/>
  <c r="P8" i="3"/>
  <c r="O8" i="3"/>
  <c r="V7" i="3"/>
  <c r="U7" i="3"/>
  <c r="R7" i="3"/>
  <c r="Q7" i="3"/>
  <c r="P7" i="3"/>
  <c r="O7" i="3"/>
  <c r="X6" i="3"/>
  <c r="X12" i="3" s="1"/>
  <c r="W6" i="3"/>
  <c r="W12" i="3" s="1"/>
  <c r="R6" i="3"/>
  <c r="R12" i="3" s="1"/>
  <c r="Q6" i="3"/>
  <c r="Q12" i="3" s="1"/>
  <c r="P6" i="3"/>
  <c r="P12" i="3" s="1"/>
  <c r="O6" i="3"/>
  <c r="O12" i="3" s="1"/>
  <c r="W4" i="3"/>
  <c r="V4" i="3"/>
  <c r="U4" i="3"/>
  <c r="T4" i="3"/>
  <c r="R4" i="3"/>
  <c r="Q4" i="3"/>
  <c r="P4" i="3"/>
  <c r="O4" i="3"/>
  <c r="W3" i="3"/>
  <c r="V3" i="3"/>
  <c r="S3" i="3"/>
  <c r="Q3" i="3"/>
  <c r="P3" i="3"/>
  <c r="X2" i="3"/>
  <c r="W2" i="3"/>
  <c r="V2" i="3"/>
  <c r="U2" i="3"/>
  <c r="U81" i="3" s="1"/>
  <c r="T2" i="3"/>
  <c r="T29" i="3" s="1"/>
  <c r="S2" i="3"/>
  <c r="S81" i="3" s="1"/>
  <c r="R2" i="3"/>
  <c r="R96" i="3" s="1"/>
  <c r="Q2" i="3"/>
  <c r="Q46" i="3" s="1"/>
  <c r="P2" i="3"/>
  <c r="P93" i="3" s="1"/>
  <c r="O2" i="3"/>
  <c r="O102" i="3" s="1"/>
  <c r="N2" i="3"/>
  <c r="M14" i="6"/>
  <c r="M15" i="6" s="1"/>
  <c r="V15" i="6"/>
  <c r="V14" i="6"/>
  <c r="O48" i="3" l="1"/>
  <c r="O76" i="3"/>
  <c r="W38" i="3"/>
  <c r="P55" i="3"/>
  <c r="O73" i="3"/>
  <c r="O94" i="3"/>
  <c r="O35" i="3"/>
  <c r="P42" i="3"/>
  <c r="O20" i="3"/>
  <c r="P76" i="3"/>
  <c r="R55" i="3"/>
  <c r="X35" i="3"/>
  <c r="R20" i="3"/>
  <c r="P38" i="3"/>
  <c r="R76" i="3"/>
  <c r="Q5" i="3"/>
  <c r="R17" i="3"/>
  <c r="O11" i="3"/>
  <c r="P11" i="3"/>
  <c r="Q67" i="3"/>
  <c r="R42" i="3"/>
  <c r="Q38" i="3"/>
  <c r="R38" i="3"/>
  <c r="O17" i="3"/>
  <c r="O55" i="3"/>
  <c r="X20" i="3"/>
  <c r="W51" i="3"/>
  <c r="Q11" i="3"/>
  <c r="Q32" i="3"/>
  <c r="O61" i="3"/>
  <c r="Q48" i="3"/>
  <c r="R48" i="3"/>
  <c r="O88" i="3"/>
  <c r="X51" i="3"/>
  <c r="N93" i="3"/>
  <c r="N53" i="3"/>
  <c r="N33" i="3"/>
  <c r="N13" i="3"/>
  <c r="N102" i="3"/>
  <c r="N62" i="3"/>
  <c r="N68" i="3" s="1"/>
  <c r="N87" i="3"/>
  <c r="N47" i="3"/>
  <c r="N7" i="3"/>
  <c r="N74" i="3"/>
  <c r="N54" i="3"/>
  <c r="N34" i="3"/>
  <c r="N14" i="3"/>
  <c r="N63" i="3"/>
  <c r="N75" i="3"/>
  <c r="N45" i="3"/>
  <c r="N30" i="3"/>
  <c r="N101" i="3"/>
  <c r="N70" i="3"/>
  <c r="N15" i="3"/>
  <c r="N98" i="3"/>
  <c r="N10" i="3"/>
  <c r="N86" i="3"/>
  <c r="N81" i="3"/>
  <c r="N44" i="3"/>
  <c r="N58" i="3"/>
  <c r="N28" i="3"/>
  <c r="N25" i="3"/>
  <c r="N4" i="3"/>
  <c r="N96" i="3"/>
  <c r="N41" i="3"/>
  <c r="N22" i="3"/>
  <c r="N89" i="3"/>
  <c r="N95" i="3" s="1"/>
  <c r="N64" i="3"/>
  <c r="N52" i="3"/>
  <c r="N56" i="3" s="1"/>
  <c r="N49" i="3"/>
  <c r="N79" i="3"/>
  <c r="N19" i="3"/>
  <c r="N9" i="3"/>
  <c r="N46" i="3"/>
  <c r="N6" i="3"/>
  <c r="N12" i="3" s="1"/>
  <c r="N71" i="3"/>
  <c r="N50" i="3"/>
  <c r="N39" i="3"/>
  <c r="N43" i="3" s="1"/>
  <c r="N99" i="3"/>
  <c r="N92" i="3"/>
  <c r="N3" i="3"/>
  <c r="N29" i="3"/>
  <c r="N18" i="3"/>
  <c r="N84" i="3"/>
  <c r="N65" i="3"/>
  <c r="N59" i="3"/>
  <c r="N97" i="3"/>
  <c r="N77" i="3"/>
  <c r="N83" i="3" s="1"/>
  <c r="N90" i="3"/>
  <c r="N85" i="3"/>
  <c r="N72" i="3"/>
  <c r="N60" i="3"/>
  <c r="N69" i="3"/>
  <c r="N66" i="3"/>
  <c r="N57" i="3"/>
  <c r="N40" i="3"/>
  <c r="N24" i="3"/>
  <c r="N21" i="3"/>
  <c r="N27" i="3" s="1"/>
  <c r="N16" i="3"/>
  <c r="N78" i="3"/>
  <c r="N37" i="3"/>
  <c r="N8" i="3"/>
  <c r="N91" i="3"/>
  <c r="N23" i="3"/>
  <c r="N31" i="3"/>
  <c r="Q26" i="3"/>
  <c r="N80" i="3"/>
  <c r="N36" i="3"/>
  <c r="S42" i="3"/>
  <c r="S7" i="3"/>
  <c r="S31" i="3"/>
  <c r="S77" i="3"/>
  <c r="S83" i="3" s="1"/>
  <c r="T31" i="3"/>
  <c r="S62" i="3"/>
  <c r="S68" i="3" s="1"/>
  <c r="S71" i="3"/>
  <c r="S74" i="3"/>
  <c r="Q88" i="3"/>
  <c r="T39" i="3"/>
  <c r="T43" i="3" s="1"/>
  <c r="T53" i="3"/>
  <c r="T55" i="3" s="1"/>
  <c r="T62" i="3"/>
  <c r="T68" i="3" s="1"/>
  <c r="R88" i="3"/>
  <c r="S97" i="3"/>
  <c r="U101" i="3"/>
  <c r="V85" i="3"/>
  <c r="V65" i="3"/>
  <c r="V45" i="3"/>
  <c r="V25" i="3"/>
  <c r="V74" i="3"/>
  <c r="V54" i="3"/>
  <c r="V99" i="3"/>
  <c r="V79" i="3"/>
  <c r="V59" i="3"/>
  <c r="V39" i="3"/>
  <c r="V43" i="3" s="1"/>
  <c r="V19" i="3"/>
  <c r="V20" i="3" s="1"/>
  <c r="V86" i="3"/>
  <c r="V66" i="3"/>
  <c r="V46" i="3"/>
  <c r="V6" i="3"/>
  <c r="V12" i="3" s="1"/>
  <c r="V75" i="3"/>
  <c r="V91" i="3"/>
  <c r="V60" i="3"/>
  <c r="V40" i="3"/>
  <c r="V42" i="3" s="1"/>
  <c r="V8" i="3"/>
  <c r="V53" i="3"/>
  <c r="V98" i="3"/>
  <c r="V93" i="3"/>
  <c r="V62" i="3"/>
  <c r="V68" i="3" s="1"/>
  <c r="V44" i="3"/>
  <c r="V10" i="3"/>
  <c r="V102" i="3"/>
  <c r="V50" i="3"/>
  <c r="V51" i="3" s="1"/>
  <c r="V37" i="3"/>
  <c r="V38" i="3" s="1"/>
  <c r="V22" i="3"/>
  <c r="V78" i="3"/>
  <c r="V24" i="3"/>
  <c r="V97" i="3"/>
  <c r="V90" i="3"/>
  <c r="T13" i="3"/>
  <c r="V31" i="3"/>
  <c r="T34" i="3"/>
  <c r="T35" i="3" s="1"/>
  <c r="U39" i="3"/>
  <c r="U43" i="3" s="1"/>
  <c r="S45" i="3"/>
  <c r="X55" i="3"/>
  <c r="T59" i="3"/>
  <c r="U62" i="3"/>
  <c r="U68" i="3" s="1"/>
  <c r="U84" i="3"/>
  <c r="V101" i="3"/>
  <c r="W74" i="3"/>
  <c r="W54" i="3"/>
  <c r="W34" i="3"/>
  <c r="W35" i="3" s="1"/>
  <c r="W14" i="3"/>
  <c r="W63" i="3"/>
  <c r="W28" i="3"/>
  <c r="W8" i="3"/>
  <c r="W75" i="3"/>
  <c r="W15" i="3"/>
  <c r="W84" i="3"/>
  <c r="W64" i="3"/>
  <c r="W79" i="3"/>
  <c r="W53" i="3"/>
  <c r="W25" i="3"/>
  <c r="W44" i="3"/>
  <c r="W48" i="3" s="1"/>
  <c r="W10" i="3"/>
  <c r="W98" i="3"/>
  <c r="W93" i="3"/>
  <c r="W62" i="3"/>
  <c r="W68" i="3" s="1"/>
  <c r="W86" i="3"/>
  <c r="W29" i="3"/>
  <c r="W78" i="3"/>
  <c r="W59" i="3"/>
  <c r="W61" i="3" s="1"/>
  <c r="W24" i="3"/>
  <c r="W97" i="3"/>
  <c r="W90" i="3"/>
  <c r="W66" i="3"/>
  <c r="W52" i="3"/>
  <c r="W56" i="3" s="1"/>
  <c r="W39" i="3"/>
  <c r="W43" i="3" s="1"/>
  <c r="W7" i="3"/>
  <c r="W92" i="3"/>
  <c r="U13" i="3"/>
  <c r="S29" i="3"/>
  <c r="W31" i="3"/>
  <c r="U34" i="3"/>
  <c r="U35" i="3" s="1"/>
  <c r="T45" i="3"/>
  <c r="O82" i="3"/>
  <c r="V84" i="3"/>
  <c r="W101" i="3"/>
  <c r="W103" i="3" s="1"/>
  <c r="X63" i="3"/>
  <c r="X23" i="3"/>
  <c r="X3" i="3"/>
  <c r="X92" i="3"/>
  <c r="X72" i="3"/>
  <c r="X73" i="3" s="1"/>
  <c r="X52" i="3"/>
  <c r="X56" i="3" s="1"/>
  <c r="X97" i="3"/>
  <c r="X77" i="3"/>
  <c r="X83" i="3" s="1"/>
  <c r="X57" i="3"/>
  <c r="X61" i="3" s="1"/>
  <c r="X37" i="3"/>
  <c r="X38" i="3" s="1"/>
  <c r="X84" i="3"/>
  <c r="X64" i="3"/>
  <c r="X44" i="3"/>
  <c r="X24" i="3"/>
  <c r="X4" i="3"/>
  <c r="X93" i="3"/>
  <c r="X98" i="3"/>
  <c r="X62" i="3"/>
  <c r="X68" i="3" s="1"/>
  <c r="X10" i="3"/>
  <c r="X29" i="3"/>
  <c r="X46" i="3"/>
  <c r="X86" i="3"/>
  <c r="X74" i="3"/>
  <c r="X76" i="3" s="1"/>
  <c r="X81" i="3"/>
  <c r="X31" i="3"/>
  <c r="X90" i="3"/>
  <c r="X66" i="3"/>
  <c r="X39" i="3"/>
  <c r="X43" i="3" s="1"/>
  <c r="X7" i="3"/>
  <c r="X41" i="3"/>
  <c r="X42" i="3" s="1"/>
  <c r="X9" i="3"/>
  <c r="X85" i="3"/>
  <c r="X80" i="3"/>
  <c r="V13" i="3"/>
  <c r="U18" i="3"/>
  <c r="V34" i="3"/>
  <c r="V35" i="3" s="1"/>
  <c r="O42" i="3"/>
  <c r="U45" i="3"/>
  <c r="W91" i="3"/>
  <c r="X101" i="3"/>
  <c r="X103" i="3" s="1"/>
  <c r="S98" i="3"/>
  <c r="S78" i="3"/>
  <c r="S58" i="3"/>
  <c r="S18" i="3"/>
  <c r="S87" i="3"/>
  <c r="S92" i="3"/>
  <c r="S72" i="3"/>
  <c r="S52" i="3"/>
  <c r="S56" i="3" s="1"/>
  <c r="S99" i="3"/>
  <c r="S79" i="3"/>
  <c r="S59" i="3"/>
  <c r="S39" i="3"/>
  <c r="S43" i="3" s="1"/>
  <c r="S19" i="3"/>
  <c r="S96" i="3"/>
  <c r="S65" i="3"/>
  <c r="S49" i="3"/>
  <c r="S36" i="3"/>
  <c r="S38" i="3" s="1"/>
  <c r="S21" i="3"/>
  <c r="S27" i="3" s="1"/>
  <c r="S4" i="3"/>
  <c r="S5" i="3" s="1"/>
  <c r="S8" i="3"/>
  <c r="S89" i="3"/>
  <c r="S95" i="3" s="1"/>
  <c r="S84" i="3"/>
  <c r="S6" i="3"/>
  <c r="S12" i="3" s="1"/>
  <c r="S23" i="3"/>
  <c r="S26" i="3" s="1"/>
  <c r="S91" i="3"/>
  <c r="S69" i="3"/>
  <c r="S64" i="3"/>
  <c r="S57" i="3"/>
  <c r="S33" i="3"/>
  <c r="T87" i="3"/>
  <c r="T47" i="3"/>
  <c r="T7" i="3"/>
  <c r="T96" i="3"/>
  <c r="T101" i="3"/>
  <c r="T81" i="3"/>
  <c r="T41" i="3"/>
  <c r="T21" i="3"/>
  <c r="T27" i="3" s="1"/>
  <c r="T28" i="3"/>
  <c r="T8" i="3"/>
  <c r="T97" i="3"/>
  <c r="T77" i="3"/>
  <c r="T83" i="3" s="1"/>
  <c r="T89" i="3"/>
  <c r="T95" i="3" s="1"/>
  <c r="T84" i="3"/>
  <c r="T72" i="3"/>
  <c r="T58" i="3"/>
  <c r="T6" i="3"/>
  <c r="T12" i="3" s="1"/>
  <c r="T23" i="3"/>
  <c r="T91" i="3"/>
  <c r="T40" i="3"/>
  <c r="T25" i="3"/>
  <c r="T79" i="3"/>
  <c r="T60" i="3"/>
  <c r="T86" i="3"/>
  <c r="T18" i="3"/>
  <c r="T71" i="3"/>
  <c r="T50" i="3"/>
  <c r="T37" i="3"/>
  <c r="T38" i="3" s="1"/>
  <c r="T3" i="3"/>
  <c r="T5" i="3" s="1"/>
  <c r="T102" i="3"/>
  <c r="S10" i="3"/>
  <c r="S50" i="3"/>
  <c r="S53" i="3"/>
  <c r="T65" i="3"/>
  <c r="S101" i="3"/>
  <c r="U96" i="3"/>
  <c r="U36" i="3"/>
  <c r="U16" i="3"/>
  <c r="U85" i="3"/>
  <c r="U65" i="3"/>
  <c r="U90" i="3"/>
  <c r="U70" i="3"/>
  <c r="U50" i="3"/>
  <c r="U30" i="3"/>
  <c r="U10" i="3"/>
  <c r="U97" i="3"/>
  <c r="U77" i="3"/>
  <c r="U83" i="3" s="1"/>
  <c r="U57" i="3"/>
  <c r="U37" i="3"/>
  <c r="U86" i="3"/>
  <c r="U66" i="3"/>
  <c r="U23" i="3"/>
  <c r="U8" i="3"/>
  <c r="U74" i="3"/>
  <c r="U76" i="3" s="1"/>
  <c r="U53" i="3"/>
  <c r="U55" i="3" s="1"/>
  <c r="U91" i="3"/>
  <c r="U79" i="3"/>
  <c r="U60" i="3"/>
  <c r="U40" i="3"/>
  <c r="U42" i="3" s="1"/>
  <c r="U25" i="3"/>
  <c r="U98" i="3"/>
  <c r="U93" i="3"/>
  <c r="U71" i="3"/>
  <c r="U3" i="3"/>
  <c r="U5" i="3" s="1"/>
  <c r="U102" i="3"/>
  <c r="U59" i="3"/>
  <c r="U22" i="3"/>
  <c r="U78" i="3"/>
  <c r="T10" i="3"/>
  <c r="S13" i="3"/>
  <c r="U31" i="3"/>
  <c r="S34" i="3"/>
  <c r="T74" i="3"/>
  <c r="T76" i="3" s="1"/>
  <c r="U29" i="3"/>
  <c r="S63" i="3"/>
  <c r="T69" i="3"/>
  <c r="V81" i="3"/>
  <c r="T98" i="3"/>
  <c r="P5" i="3"/>
  <c r="W18" i="3"/>
  <c r="W20" i="3" s="1"/>
  <c r="U21" i="3"/>
  <c r="U27" i="3" s="1"/>
  <c r="V29" i="3"/>
  <c r="X45" i="3"/>
  <c r="S54" i="3"/>
  <c r="T63" i="3"/>
  <c r="U69" i="3"/>
  <c r="S75" i="3"/>
  <c r="T78" i="3"/>
  <c r="W81" i="3"/>
  <c r="V73" i="3"/>
  <c r="W42" i="3"/>
  <c r="T57" i="3"/>
  <c r="S66" i="3"/>
  <c r="W73" i="3"/>
  <c r="S85" i="3"/>
  <c r="S102" i="3"/>
  <c r="V5" i="3"/>
  <c r="T16" i="3"/>
  <c r="T24" i="3"/>
  <c r="T66" i="3"/>
  <c r="T85" i="3"/>
  <c r="W5" i="3"/>
  <c r="S14" i="3"/>
  <c r="V16" i="3"/>
  <c r="U24" i="3"/>
  <c r="S30" i="3"/>
  <c r="S46" i="3"/>
  <c r="T92" i="3"/>
  <c r="T99" i="3"/>
  <c r="T14" i="3"/>
  <c r="W16" i="3"/>
  <c r="T19" i="3"/>
  <c r="T30" i="3"/>
  <c r="T46" i="3"/>
  <c r="T49" i="3"/>
  <c r="S70" i="3"/>
  <c r="U89" i="3"/>
  <c r="U95" i="3" s="1"/>
  <c r="U92" i="3"/>
  <c r="U99" i="3"/>
  <c r="U6" i="3"/>
  <c r="U12" i="3" s="1"/>
  <c r="S9" i="3"/>
  <c r="U14" i="3"/>
  <c r="X16" i="3"/>
  <c r="X17" i="3" s="1"/>
  <c r="U19" i="3"/>
  <c r="O32" i="3"/>
  <c r="V30" i="3"/>
  <c r="U46" i="3"/>
  <c r="U49" i="3"/>
  <c r="T70" i="3"/>
  <c r="X79" i="3"/>
  <c r="V89" i="3"/>
  <c r="V95" i="3" s="1"/>
  <c r="V92" i="3"/>
  <c r="W99" i="3"/>
  <c r="P46" i="3"/>
  <c r="P69" i="3"/>
  <c r="P29" i="3"/>
  <c r="P44" i="3"/>
  <c r="P62" i="3"/>
  <c r="P68" i="3" s="1"/>
  <c r="P100" i="3"/>
  <c r="P91" i="3"/>
  <c r="P71" i="3"/>
  <c r="P31" i="3"/>
  <c r="P80" i="3"/>
  <c r="P60" i="3"/>
  <c r="P85" i="3"/>
  <c r="P88" i="3" s="1"/>
  <c r="P65" i="3"/>
  <c r="P67" i="3" s="1"/>
  <c r="P45" i="3"/>
  <c r="P25" i="3"/>
  <c r="P26" i="3" s="1"/>
  <c r="P92" i="3"/>
  <c r="P72" i="3"/>
  <c r="P52" i="3"/>
  <c r="P56" i="3" s="1"/>
  <c r="P101" i="3"/>
  <c r="P103" i="3" s="1"/>
  <c r="P81" i="3"/>
  <c r="P21" i="3"/>
  <c r="P27" i="3" s="1"/>
  <c r="O51" i="3"/>
  <c r="P58" i="3"/>
  <c r="P89" i="3"/>
  <c r="P95" i="3" s="1"/>
  <c r="Q100" i="3"/>
  <c r="Q80" i="3"/>
  <c r="Q60" i="3"/>
  <c r="Q40" i="3"/>
  <c r="Q89" i="3"/>
  <c r="Q95" i="3" s="1"/>
  <c r="Q69" i="3"/>
  <c r="Q49" i="3"/>
  <c r="Q51" i="3" s="1"/>
  <c r="Q74" i="3"/>
  <c r="Q76" i="3" s="1"/>
  <c r="Q54" i="3"/>
  <c r="Q55" i="3" s="1"/>
  <c r="Q34" i="3"/>
  <c r="Q35" i="3" s="1"/>
  <c r="Q14" i="3"/>
  <c r="Q17" i="3" s="1"/>
  <c r="Q101" i="3"/>
  <c r="Q103" i="3" s="1"/>
  <c r="Q81" i="3"/>
  <c r="Q41" i="3"/>
  <c r="Q21" i="3"/>
  <c r="Q27" i="3" s="1"/>
  <c r="Q90" i="3"/>
  <c r="Q94" i="3" s="1"/>
  <c r="Q70" i="3"/>
  <c r="P49" i="3"/>
  <c r="P51" i="3" s="1"/>
  <c r="Q58" i="3"/>
  <c r="R65" i="3"/>
  <c r="R72" i="3"/>
  <c r="P77" i="3"/>
  <c r="P83" i="3" s="1"/>
  <c r="O103" i="3"/>
  <c r="P19" i="3"/>
  <c r="P20" i="3" s="1"/>
  <c r="P34" i="3"/>
  <c r="P35" i="3" s="1"/>
  <c r="R89" i="3"/>
  <c r="R95" i="3" s="1"/>
  <c r="R69" i="3"/>
  <c r="R49" i="3"/>
  <c r="R29" i="3"/>
  <c r="R9" i="3"/>
  <c r="R98" i="3"/>
  <c r="R78" i="3"/>
  <c r="R58" i="3"/>
  <c r="R61" i="3" s="1"/>
  <c r="R63" i="3"/>
  <c r="R23" i="3"/>
  <c r="R26" i="3" s="1"/>
  <c r="R3" i="3"/>
  <c r="R5" i="3" s="1"/>
  <c r="R90" i="3"/>
  <c r="R94" i="3" s="1"/>
  <c r="R70" i="3"/>
  <c r="R50" i="3"/>
  <c r="R30" i="3"/>
  <c r="R10" i="3"/>
  <c r="R99" i="3"/>
  <c r="R79" i="3"/>
  <c r="P15" i="3"/>
  <c r="P17" i="3" s="1"/>
  <c r="Q19" i="3"/>
  <c r="Q20" i="3" s="1"/>
  <c r="R34" i="3"/>
  <c r="R35" i="3" s="1"/>
  <c r="P47" i="3"/>
  <c r="P70" i="3"/>
  <c r="Q77" i="3"/>
  <c r="Q83" i="3" s="1"/>
  <c r="R101" i="3"/>
  <c r="R103" i="3" s="1"/>
  <c r="O3" i="3"/>
  <c r="O5" i="3" s="1"/>
  <c r="O23" i="3"/>
  <c r="O63" i="3"/>
  <c r="O67" i="3" s="1"/>
  <c r="O36" i="3"/>
  <c r="O38" i="3" s="1"/>
  <c r="O96" i="3"/>
  <c r="O100" i="3" s="1"/>
  <c r="O22" i="3"/>
  <c r="O62" i="3"/>
  <c r="O68" i="3" s="1"/>
  <c r="M25" i="6"/>
  <c r="M24" i="6"/>
  <c r="V25" i="6"/>
  <c r="V24" i="6"/>
  <c r="O38" i="10"/>
  <c r="O39" i="10" s="1"/>
  <c r="O40" i="10" s="1"/>
  <c r="O41" i="10" s="1"/>
  <c r="O42" i="10" s="1"/>
  <c r="N38" i="10"/>
  <c r="N39" i="10" s="1"/>
  <c r="N40" i="10" s="1"/>
  <c r="N41" i="10" s="1"/>
  <c r="N42" i="10" s="1"/>
  <c r="M38" i="10"/>
  <c r="M39" i="10" s="1"/>
  <c r="M40" i="10" s="1"/>
  <c r="M41" i="10" s="1"/>
  <c r="M42" i="10" s="1"/>
  <c r="L38" i="10"/>
  <c r="L39" i="10" s="1"/>
  <c r="L40" i="10" s="1"/>
  <c r="L41" i="10" s="1"/>
  <c r="L42" i="10" s="1"/>
  <c r="K38" i="10"/>
  <c r="K39" i="10" s="1"/>
  <c r="K40" i="10" s="1"/>
  <c r="K41" i="10" s="1"/>
  <c r="K42" i="10" s="1"/>
  <c r="P37" i="10"/>
  <c r="P38" i="10" s="1"/>
  <c r="P39" i="10" s="1"/>
  <c r="P40" i="10" s="1"/>
  <c r="P41" i="10" s="1"/>
  <c r="P42" i="10" s="1"/>
  <c r="O37" i="10"/>
  <c r="N37" i="10"/>
  <c r="M37" i="10"/>
  <c r="L37" i="10"/>
  <c r="K37" i="10"/>
  <c r="N38" i="12"/>
  <c r="N39" i="12" s="1"/>
  <c r="N40" i="12" s="1"/>
  <c r="N41" i="12" s="1"/>
  <c r="N42" i="12" s="1"/>
  <c r="M38" i="12"/>
  <c r="M39" i="12" s="1"/>
  <c r="M40" i="12" s="1"/>
  <c r="M41" i="12" s="1"/>
  <c r="M42" i="12" s="1"/>
  <c r="L38" i="12"/>
  <c r="L39" i="12" s="1"/>
  <c r="L40" i="12" s="1"/>
  <c r="L41" i="12" s="1"/>
  <c r="L42" i="12" s="1"/>
  <c r="P37" i="12"/>
  <c r="P38" i="12" s="1"/>
  <c r="P39" i="12" s="1"/>
  <c r="P40" i="12" s="1"/>
  <c r="P41" i="12" s="1"/>
  <c r="P42" i="12" s="1"/>
  <c r="O37" i="12"/>
  <c r="O38" i="12" s="1"/>
  <c r="O39" i="12" s="1"/>
  <c r="O40" i="12" s="1"/>
  <c r="O41" i="12" s="1"/>
  <c r="O42" i="12" s="1"/>
  <c r="N37" i="12"/>
  <c r="M37" i="12"/>
  <c r="L37" i="12"/>
  <c r="K37" i="12"/>
  <c r="K38" i="12" s="1"/>
  <c r="K39" i="12" s="1"/>
  <c r="K40" i="12" s="1"/>
  <c r="K41" i="12" s="1"/>
  <c r="K42" i="12" s="1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42" i="13"/>
  <c r="D41" i="13"/>
  <c r="D40" i="13"/>
  <c r="D39" i="13"/>
  <c r="D38" i="13"/>
  <c r="D37" i="13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8" i="14"/>
  <c r="D39" i="14"/>
  <c r="D40" i="14"/>
  <c r="D41" i="14"/>
  <c r="D42" i="14"/>
  <c r="D37" i="14"/>
  <c r="AH47" i="1"/>
  <c r="Z2" i="3"/>
  <c r="Z87" i="3" s="1"/>
  <c r="Y2" i="3"/>
  <c r="Y78" i="3" s="1"/>
  <c r="M42" i="6"/>
  <c r="L42" i="6"/>
  <c r="K42" i="6"/>
  <c r="J42" i="6"/>
  <c r="I42" i="6"/>
  <c r="H42" i="6"/>
  <c r="F41" i="6"/>
  <c r="C40" i="6"/>
  <c r="B40" i="6"/>
  <c r="C140" i="3"/>
  <c r="BQ135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F41" i="3"/>
  <c r="AK40" i="3"/>
  <c r="C40" i="3"/>
  <c r="B40" i="3"/>
  <c r="A40" i="1"/>
  <c r="AO40" i="7"/>
  <c r="AN40" i="7"/>
  <c r="AL40" i="7"/>
  <c r="AK40" i="7"/>
  <c r="AO40" i="10"/>
  <c r="AN40" i="10"/>
  <c r="AL40" i="10"/>
  <c r="AK40" i="10"/>
  <c r="AN140" i="3"/>
  <c r="D140" i="3"/>
  <c r="V42" i="6"/>
  <c r="U42" i="6"/>
  <c r="T42" i="6"/>
  <c r="S42" i="6"/>
  <c r="R42" i="6"/>
  <c r="Q42" i="6"/>
  <c r="P42" i="6"/>
  <c r="O42" i="6"/>
  <c r="N42" i="6"/>
  <c r="W55" i="3" l="1"/>
  <c r="Q82" i="3"/>
  <c r="R32" i="3"/>
  <c r="W26" i="3"/>
  <c r="U48" i="3"/>
  <c r="S61" i="3"/>
  <c r="T26" i="3"/>
  <c r="Q61" i="3"/>
  <c r="P61" i="3"/>
  <c r="P32" i="3"/>
  <c r="S17" i="3"/>
  <c r="V67" i="3"/>
  <c r="S82" i="3"/>
  <c r="V55" i="3"/>
  <c r="R11" i="3"/>
  <c r="V11" i="3"/>
  <c r="U103" i="3"/>
  <c r="S32" i="3"/>
  <c r="W11" i="3"/>
  <c r="T42" i="3"/>
  <c r="T51" i="3"/>
  <c r="P82" i="3"/>
  <c r="R67" i="3"/>
  <c r="X82" i="3"/>
  <c r="N38" i="3"/>
  <c r="N103" i="3"/>
  <c r="N73" i="3"/>
  <c r="T48" i="3"/>
  <c r="S100" i="3"/>
  <c r="S48" i="3"/>
  <c r="V32" i="3"/>
  <c r="T100" i="3"/>
  <c r="U20" i="3"/>
  <c r="T11" i="3"/>
  <c r="V17" i="3"/>
  <c r="X26" i="3"/>
  <c r="N94" i="3"/>
  <c r="X48" i="3"/>
  <c r="P48" i="3"/>
  <c r="T17" i="3"/>
  <c r="X88" i="3"/>
  <c r="W88" i="3"/>
  <c r="N26" i="3"/>
  <c r="V100" i="3"/>
  <c r="S76" i="3"/>
  <c r="N88" i="3"/>
  <c r="U100" i="3"/>
  <c r="S94" i="3"/>
  <c r="W32" i="3"/>
  <c r="U38" i="3"/>
  <c r="N20" i="3"/>
  <c r="T73" i="3"/>
  <c r="X100" i="3"/>
  <c r="W94" i="3"/>
  <c r="T61" i="3"/>
  <c r="S103" i="3"/>
  <c r="S20" i="3"/>
  <c r="W100" i="3"/>
  <c r="V61" i="3"/>
  <c r="U32" i="3"/>
  <c r="X32" i="3"/>
  <c r="R82" i="3"/>
  <c r="P94" i="3"/>
  <c r="U11" i="3"/>
  <c r="S55" i="3"/>
  <c r="R100" i="3"/>
  <c r="U51" i="3"/>
  <c r="T94" i="3"/>
  <c r="X11" i="3"/>
  <c r="S67" i="3"/>
  <c r="N100" i="3"/>
  <c r="R51" i="3"/>
  <c r="X5" i="3"/>
  <c r="N32" i="3"/>
  <c r="W76" i="3"/>
  <c r="T67" i="3"/>
  <c r="U82" i="3"/>
  <c r="U61" i="3"/>
  <c r="X67" i="3"/>
  <c r="V103" i="3"/>
  <c r="V48" i="3"/>
  <c r="V76" i="3"/>
  <c r="N48" i="3"/>
  <c r="V94" i="3"/>
  <c r="T88" i="3"/>
  <c r="V82" i="3"/>
  <c r="W67" i="3"/>
  <c r="V26" i="3"/>
  <c r="N76" i="3"/>
  <c r="S88" i="3"/>
  <c r="N11" i="3"/>
  <c r="T82" i="3"/>
  <c r="R73" i="3"/>
  <c r="W82" i="3"/>
  <c r="S11" i="3"/>
  <c r="N5" i="3"/>
  <c r="Q73" i="3"/>
  <c r="U73" i="3"/>
  <c r="T32" i="3"/>
  <c r="N82" i="3"/>
  <c r="Q42" i="3"/>
  <c r="U26" i="3"/>
  <c r="U88" i="3"/>
  <c r="N17" i="3"/>
  <c r="X94" i="3"/>
  <c r="W17" i="3"/>
  <c r="S51" i="3"/>
  <c r="V88" i="3"/>
  <c r="N35" i="3"/>
  <c r="T20" i="3"/>
  <c r="T103" i="3"/>
  <c r="N42" i="3"/>
  <c r="N55" i="3"/>
  <c r="N67" i="3"/>
  <c r="S73" i="3"/>
  <c r="N61" i="3"/>
  <c r="P73" i="3"/>
  <c r="U94" i="3"/>
  <c r="U67" i="3"/>
  <c r="U17" i="3"/>
  <c r="O26" i="3"/>
  <c r="S35" i="3"/>
  <c r="N51" i="3"/>
  <c r="Z36" i="3"/>
  <c r="Z44" i="3"/>
  <c r="Z46" i="3"/>
  <c r="Z10" i="3"/>
  <c r="Z8" i="3"/>
  <c r="Y21" i="3"/>
  <c r="Y27" i="3" s="1"/>
  <c r="Z52" i="3"/>
  <c r="Z56" i="3" s="1"/>
  <c r="Z24" i="3"/>
  <c r="Z14" i="3"/>
  <c r="Z40" i="3"/>
  <c r="Z4" i="3"/>
  <c r="Z28" i="3"/>
  <c r="Z75" i="3"/>
  <c r="Z59" i="3"/>
  <c r="Z30" i="3"/>
  <c r="Y37" i="3"/>
  <c r="Y53" i="3"/>
  <c r="Z62" i="3"/>
  <c r="Z68" i="3" s="1"/>
  <c r="Y69" i="3"/>
  <c r="Z78" i="3"/>
  <c r="Y85" i="3"/>
  <c r="Y101" i="3"/>
  <c r="Z21" i="3"/>
  <c r="Z27" i="3" s="1"/>
  <c r="Y28" i="3"/>
  <c r="Z37" i="3"/>
  <c r="Y44" i="3"/>
  <c r="Z53" i="3"/>
  <c r="Y60" i="3"/>
  <c r="Z69" i="3"/>
  <c r="Z85" i="3"/>
  <c r="Y92" i="3"/>
  <c r="Z101" i="3"/>
  <c r="Y19" i="3"/>
  <c r="Z92" i="3"/>
  <c r="Y99" i="3"/>
  <c r="Y3" i="3"/>
  <c r="Z60" i="3"/>
  <c r="Z3" i="3"/>
  <c r="Y10" i="3"/>
  <c r="Z19" i="3"/>
  <c r="Y58" i="3"/>
  <c r="Y74" i="3"/>
  <c r="Y90" i="3"/>
  <c r="Z99" i="3"/>
  <c r="Y49" i="3"/>
  <c r="Z74" i="3"/>
  <c r="Y81" i="3"/>
  <c r="Z90" i="3"/>
  <c r="Y97" i="3"/>
  <c r="Y33" i="3"/>
  <c r="Z58" i="3"/>
  <c r="Y65" i="3"/>
  <c r="Y8" i="3"/>
  <c r="Y24" i="3"/>
  <c r="Z33" i="3"/>
  <c r="Y40" i="3"/>
  <c r="Z49" i="3"/>
  <c r="Z65" i="3"/>
  <c r="Y72" i="3"/>
  <c r="Z81" i="3"/>
  <c r="Z97" i="3"/>
  <c r="Y47" i="3"/>
  <c r="Y63" i="3"/>
  <c r="Z72" i="3"/>
  <c r="Y79" i="3"/>
  <c r="Y31" i="3"/>
  <c r="Z47" i="3"/>
  <c r="Y86" i="3"/>
  <c r="Y15" i="3"/>
  <c r="Z31" i="3"/>
  <c r="Z63" i="3"/>
  <c r="Y102" i="3"/>
  <c r="Z6" i="3"/>
  <c r="Z12" i="3" s="1"/>
  <c r="Y13" i="3"/>
  <c r="Z22" i="3"/>
  <c r="Y29" i="3"/>
  <c r="Y45" i="3"/>
  <c r="Z54" i="3"/>
  <c r="Z70" i="3"/>
  <c r="Y77" i="3"/>
  <c r="Y83" i="3" s="1"/>
  <c r="Z86" i="3"/>
  <c r="Y93" i="3"/>
  <c r="Z102" i="3"/>
  <c r="Y6" i="3"/>
  <c r="Y12" i="3" s="1"/>
  <c r="Z15" i="3"/>
  <c r="Y22" i="3"/>
  <c r="Y54" i="3"/>
  <c r="Y70" i="3"/>
  <c r="Z79" i="3"/>
  <c r="Y4" i="3"/>
  <c r="Z13" i="3"/>
  <c r="Z29" i="3"/>
  <c r="Y36" i="3"/>
  <c r="Z45" i="3"/>
  <c r="Y52" i="3"/>
  <c r="Y56" i="3" s="1"/>
  <c r="Z77" i="3"/>
  <c r="Z83" i="3" s="1"/>
  <c r="Y84" i="3"/>
  <c r="Z93" i="3"/>
  <c r="Y59" i="3"/>
  <c r="Y75" i="3"/>
  <c r="Z84" i="3"/>
  <c r="Y91" i="3"/>
  <c r="Z91" i="3"/>
  <c r="Y98" i="3"/>
  <c r="Y34" i="3"/>
  <c r="Z18" i="3"/>
  <c r="Z34" i="3"/>
  <c r="Z66" i="3"/>
  <c r="Y18" i="3"/>
  <c r="Y50" i="3"/>
  <c r="Y9" i="3"/>
  <c r="Y25" i="3"/>
  <c r="Y41" i="3"/>
  <c r="Z50" i="3"/>
  <c r="Y57" i="3"/>
  <c r="Y89" i="3"/>
  <c r="Y95" i="3" s="1"/>
  <c r="Z98" i="3"/>
  <c r="Z9" i="3"/>
  <c r="Y16" i="3"/>
  <c r="Z25" i="3"/>
  <c r="Z41" i="3"/>
  <c r="Z57" i="3"/>
  <c r="Y64" i="3"/>
  <c r="Y80" i="3"/>
  <c r="Z89" i="3"/>
  <c r="Z95" i="3" s="1"/>
  <c r="Y96" i="3"/>
  <c r="Y7" i="3"/>
  <c r="Z16" i="3"/>
  <c r="Y23" i="3"/>
  <c r="Y39" i="3"/>
  <c r="Y43" i="3" s="1"/>
  <c r="Y87" i="3"/>
  <c r="Y66" i="3"/>
  <c r="Z64" i="3"/>
  <c r="Y71" i="3"/>
  <c r="Z80" i="3"/>
  <c r="Z96" i="3"/>
  <c r="Z7" i="3"/>
  <c r="Y14" i="3"/>
  <c r="Z23" i="3"/>
  <c r="Y30" i="3"/>
  <c r="Z39" i="3"/>
  <c r="Z43" i="3" s="1"/>
  <c r="Y46" i="3"/>
  <c r="Y62" i="3"/>
  <c r="Y68" i="3" s="1"/>
  <c r="Z71" i="3"/>
  <c r="D37" i="7"/>
  <c r="V31" i="6"/>
  <c r="U31" i="6"/>
  <c r="T31" i="6"/>
  <c r="S31" i="6"/>
  <c r="S87" i="6" s="1"/>
  <c r="R31" i="6"/>
  <c r="R87" i="6" s="1"/>
  <c r="Q31" i="6"/>
  <c r="Q87" i="6" s="1"/>
  <c r="P31" i="6"/>
  <c r="P87" i="6" s="1"/>
  <c r="O31" i="6"/>
  <c r="O87" i="6" s="1"/>
  <c r="N31" i="6"/>
  <c r="N87" i="6" s="1"/>
  <c r="M31" i="6"/>
  <c r="M87" i="6" s="1"/>
  <c r="L31" i="6"/>
  <c r="L87" i="6" s="1"/>
  <c r="K31" i="6"/>
  <c r="K87" i="6" s="1"/>
  <c r="J31" i="6"/>
  <c r="I31" i="6"/>
  <c r="H31" i="6"/>
  <c r="H87" i="6" s="1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V61" i="6"/>
  <c r="T61" i="6"/>
  <c r="S61" i="6"/>
  <c r="V60" i="6"/>
  <c r="U60" i="6"/>
  <c r="U61" i="6" s="1"/>
  <c r="T60" i="6"/>
  <c r="S60" i="6"/>
  <c r="R60" i="6"/>
  <c r="R61" i="6" s="1"/>
  <c r="P60" i="6"/>
  <c r="P61" i="6" s="1"/>
  <c r="O60" i="6"/>
  <c r="O61" i="6" s="1"/>
  <c r="N60" i="6"/>
  <c r="N61" i="6" s="1"/>
  <c r="L60" i="6"/>
  <c r="L61" i="6" s="1"/>
  <c r="K60" i="6"/>
  <c r="K61" i="6" s="1"/>
  <c r="J60" i="6"/>
  <c r="J61" i="6" s="1"/>
  <c r="I60" i="6"/>
  <c r="I61" i="6" s="1"/>
  <c r="H60" i="6"/>
  <c r="H61" i="6" s="1"/>
  <c r="V47" i="6"/>
  <c r="U47" i="6"/>
  <c r="U48" i="6" s="1"/>
  <c r="T47" i="6"/>
  <c r="T48" i="6" s="1"/>
  <c r="S47" i="6"/>
  <c r="R47" i="6"/>
  <c r="R48" i="6" s="1"/>
  <c r="Q47" i="6"/>
  <c r="Q48" i="6" s="1"/>
  <c r="P47" i="6"/>
  <c r="P48" i="6" s="1"/>
  <c r="O47" i="6"/>
  <c r="O48" i="6" s="1"/>
  <c r="N47" i="6"/>
  <c r="N48" i="6" s="1"/>
  <c r="M47" i="6"/>
  <c r="M48" i="6" s="1"/>
  <c r="L47" i="6"/>
  <c r="L48" i="6" s="1"/>
  <c r="K47" i="6"/>
  <c r="K48" i="6" s="1"/>
  <c r="J47" i="6"/>
  <c r="J48" i="6" s="1"/>
  <c r="I47" i="6"/>
  <c r="I48" i="6" s="1"/>
  <c r="H47" i="6"/>
  <c r="H48" i="6" s="1"/>
  <c r="V48" i="6"/>
  <c r="S48" i="6"/>
  <c r="V87" i="6"/>
  <c r="U87" i="6"/>
  <c r="T87" i="6"/>
  <c r="J87" i="6"/>
  <c r="I87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AI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F5" i="16"/>
  <c r="F6" i="16"/>
  <c r="F7" i="16"/>
  <c r="F8" i="16"/>
  <c r="F9" i="16"/>
  <c r="F10" i="16"/>
  <c r="F11" i="16"/>
  <c r="F12" i="16"/>
  <c r="F4" i="16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V3" i="9"/>
  <c r="Q3" i="9"/>
  <c r="V34" i="14"/>
  <c r="V33" i="14"/>
  <c r="V32" i="14"/>
  <c r="V31" i="14"/>
  <c r="V30" i="14"/>
  <c r="V3" i="14"/>
  <c r="V44" i="14" s="1"/>
  <c r="Q34" i="14"/>
  <c r="Q33" i="14"/>
  <c r="Q32" i="14"/>
  <c r="Q31" i="14"/>
  <c r="Q30" i="14"/>
  <c r="Q3" i="14"/>
  <c r="Q44" i="14" s="1"/>
  <c r="V34" i="13"/>
  <c r="V33" i="13"/>
  <c r="V32" i="13"/>
  <c r="V30" i="13"/>
  <c r="V3" i="13"/>
  <c r="V44" i="13" s="1"/>
  <c r="Q34" i="13"/>
  <c r="Q33" i="13"/>
  <c r="Q32" i="13"/>
  <c r="Q30" i="13"/>
  <c r="Q3" i="13"/>
  <c r="Q44" i="13" s="1"/>
  <c r="V34" i="7"/>
  <c r="V33" i="7"/>
  <c r="V32" i="7"/>
  <c r="V30" i="7"/>
  <c r="V3" i="7"/>
  <c r="Q34" i="7"/>
  <c r="Q33" i="7"/>
  <c r="Q32" i="7"/>
  <c r="Q30" i="7"/>
  <c r="Q3" i="7"/>
  <c r="AH31" i="7"/>
  <c r="V31" i="7" s="1"/>
  <c r="AJ58" i="8"/>
  <c r="AK50" i="8"/>
  <c r="AJ57" i="8"/>
  <c r="G58" i="8"/>
  <c r="AA34" i="8"/>
  <c r="AD44" i="8"/>
  <c r="P50" i="8"/>
  <c r="V34" i="8"/>
  <c r="G38" i="8"/>
  <c r="S43" i="8"/>
  <c r="V54" i="8"/>
  <c r="R57" i="8"/>
  <c r="Y53" i="8"/>
  <c r="G56" i="8"/>
  <c r="X43" i="8"/>
  <c r="H36" i="8"/>
  <c r="J35" i="8"/>
  <c r="AI34" i="8"/>
  <c r="H44" i="8"/>
  <c r="O44" i="8"/>
  <c r="G55" i="8"/>
  <c r="V43" i="8"/>
  <c r="G41" i="8"/>
  <c r="W43" i="8"/>
  <c r="I52" i="8"/>
  <c r="W40" i="8"/>
  <c r="H48" i="8"/>
  <c r="L39" i="8"/>
  <c r="AF34" i="8"/>
  <c r="W54" i="8"/>
  <c r="M34" i="8"/>
  <c r="AH53" i="8"/>
  <c r="AG44" i="8"/>
  <c r="AF51" i="8"/>
  <c r="AE58" i="8"/>
  <c r="K43" i="8"/>
  <c r="AC43" i="8"/>
  <c r="AB52" i="8"/>
  <c r="T36" i="8"/>
  <c r="Q53" i="8"/>
  <c r="Y57" i="8"/>
  <c r="W41" i="8"/>
  <c r="V37" i="8"/>
  <c r="U36" i="8"/>
  <c r="S38" i="8"/>
  <c r="Z38" i="3" l="1"/>
  <c r="Z42" i="3"/>
  <c r="Z5" i="3"/>
  <c r="Z76" i="3"/>
  <c r="Z20" i="3"/>
  <c r="Y38" i="3"/>
  <c r="Z48" i="3"/>
  <c r="Y20" i="3"/>
  <c r="Y11" i="3"/>
  <c r="Y100" i="3"/>
  <c r="Y76" i="3"/>
  <c r="Z88" i="3"/>
  <c r="Z32" i="3"/>
  <c r="Y17" i="3"/>
  <c r="Z61" i="3"/>
  <c r="Z51" i="3"/>
  <c r="Y35" i="3"/>
  <c r="Y5" i="3"/>
  <c r="Y32" i="3"/>
  <c r="Y82" i="3"/>
  <c r="Y61" i="3"/>
  <c r="Z103" i="3"/>
  <c r="Y88" i="3"/>
  <c r="Y94" i="3"/>
  <c r="Y55" i="3"/>
  <c r="Y42" i="3"/>
  <c r="Z73" i="3"/>
  <c r="Z67" i="3"/>
  <c r="Z35" i="3"/>
  <c r="Z94" i="3"/>
  <c r="Y103" i="3"/>
  <c r="Z55" i="3"/>
  <c r="Z11" i="3"/>
  <c r="Y67" i="3"/>
  <c r="Y51" i="3"/>
  <c r="Y48" i="3"/>
  <c r="Z100" i="3"/>
  <c r="Z26" i="3"/>
  <c r="Z82" i="3"/>
  <c r="Y26" i="3"/>
  <c r="Y73" i="3"/>
  <c r="Z17" i="3"/>
  <c r="Q31" i="7"/>
  <c r="Q44" i="7"/>
  <c r="R52" i="1" s="1"/>
  <c r="V44" i="7"/>
  <c r="W52" i="1" s="1"/>
  <c r="AJ3" i="5"/>
  <c r="CY2" i="5" s="1"/>
  <c r="CY11" i="5" s="1"/>
  <c r="AI3" i="5"/>
  <c r="CX2" i="5" s="1"/>
  <c r="CX11" i="5" s="1"/>
  <c r="AH3" i="5"/>
  <c r="BP3" i="5" s="1"/>
  <c r="AG3" i="5"/>
  <c r="CV2" i="5" s="1"/>
  <c r="CV11" i="5" s="1"/>
  <c r="AF3" i="5"/>
  <c r="CU2" i="5" s="1"/>
  <c r="CU11" i="5" s="1"/>
  <c r="AE3" i="5"/>
  <c r="CT2" i="5" s="1"/>
  <c r="CT11" i="5" s="1"/>
  <c r="AD3" i="5"/>
  <c r="CS2" i="5" s="1"/>
  <c r="CS11" i="5" s="1"/>
  <c r="AC3" i="5"/>
  <c r="CR2" i="5" s="1"/>
  <c r="CR11" i="5" s="1"/>
  <c r="AB3" i="5"/>
  <c r="CQ2" i="5" s="1"/>
  <c r="CQ11" i="5" s="1"/>
  <c r="AA3" i="5"/>
  <c r="CP2" i="5" s="1"/>
  <c r="CP11" i="5" s="1"/>
  <c r="Z3" i="5"/>
  <c r="CO2" i="5" s="1"/>
  <c r="CO11" i="5" s="1"/>
  <c r="Y3" i="5"/>
  <c r="CN2" i="5" s="1"/>
  <c r="CN11" i="5" s="1"/>
  <c r="X3" i="5"/>
  <c r="CM2" i="5" s="1"/>
  <c r="CM11" i="5" s="1"/>
  <c r="CV103" i="3"/>
  <c r="CU103" i="3"/>
  <c r="CT103" i="3"/>
  <c r="CS103" i="3"/>
  <c r="CR103" i="3"/>
  <c r="CQ103" i="3"/>
  <c r="CP103" i="3"/>
  <c r="CO103" i="3"/>
  <c r="CN103" i="3"/>
  <c r="CM103" i="3"/>
  <c r="CL103" i="3"/>
  <c r="CK103" i="3"/>
  <c r="CJ103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BF95" i="3" s="1"/>
  <c r="CJ95" i="3"/>
  <c r="CV89" i="3"/>
  <c r="CU89" i="3"/>
  <c r="CT89" i="3"/>
  <c r="CS89" i="3"/>
  <c r="CR89" i="3"/>
  <c r="CQ89" i="3"/>
  <c r="CP89" i="3"/>
  <c r="CO89" i="3"/>
  <c r="CN89" i="3"/>
  <c r="CM89" i="3"/>
  <c r="CL89" i="3"/>
  <c r="CK89" i="3"/>
  <c r="BF89" i="3" s="1"/>
  <c r="CJ89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BF83" i="3" s="1"/>
  <c r="CJ83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BF77" i="3" s="1"/>
  <c r="CJ77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BF68" i="3" s="1"/>
  <c r="CJ68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BF62" i="3" s="1"/>
  <c r="CJ62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BF56" i="3" s="1"/>
  <c r="CJ56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BF52" i="3" s="1"/>
  <c r="CJ52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BF39" i="3" s="1"/>
  <c r="CJ39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BF27" i="3" s="1"/>
  <c r="CJ27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BF21" i="3" s="1"/>
  <c r="CJ21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BF12" i="3" s="1"/>
  <c r="CJ12" i="3"/>
  <c r="CV6" i="3"/>
  <c r="CU6" i="3"/>
  <c r="CT6" i="3"/>
  <c r="CS6" i="3"/>
  <c r="CR6" i="3"/>
  <c r="CQ6" i="3"/>
  <c r="CP6" i="3"/>
  <c r="CO6" i="3"/>
  <c r="CN6" i="3"/>
  <c r="CM6" i="3"/>
  <c r="CL6" i="3"/>
  <c r="CK6" i="3"/>
  <c r="BF6" i="3" s="1"/>
  <c r="CJ6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AK2" i="3"/>
  <c r="AJ2" i="3"/>
  <c r="AJ40" i="3" s="1"/>
  <c r="AI2" i="3"/>
  <c r="AI40" i="3" s="1"/>
  <c r="AH2" i="3"/>
  <c r="AH40" i="3" s="1"/>
  <c r="AG2" i="3"/>
  <c r="AG40" i="3" s="1"/>
  <c r="AF2" i="3"/>
  <c r="AF40" i="3" s="1"/>
  <c r="AE2" i="3"/>
  <c r="AE40" i="3" s="1"/>
  <c r="AD2" i="3"/>
  <c r="AD40" i="3" s="1"/>
  <c r="AC2" i="3"/>
  <c r="AC40" i="3" s="1"/>
  <c r="AB2" i="3"/>
  <c r="AB40" i="3" s="1"/>
  <c r="AA2" i="3"/>
  <c r="AA40" i="3" s="1"/>
  <c r="AG3" i="9"/>
  <c r="AF3" i="9"/>
  <c r="AE3" i="9"/>
  <c r="AD3" i="9"/>
  <c r="AC3" i="9"/>
  <c r="AB3" i="9"/>
  <c r="AA3" i="9"/>
  <c r="Z3" i="9"/>
  <c r="Y3" i="9"/>
  <c r="X3" i="9"/>
  <c r="W3" i="9"/>
  <c r="U3" i="9"/>
  <c r="AG34" i="14"/>
  <c r="AF34" i="14"/>
  <c r="AE34" i="14"/>
  <c r="AD34" i="14"/>
  <c r="AC34" i="14"/>
  <c r="AB34" i="14"/>
  <c r="AA34" i="14"/>
  <c r="Z34" i="14"/>
  <c r="Y34" i="14"/>
  <c r="X34" i="14"/>
  <c r="W34" i="14"/>
  <c r="U34" i="14"/>
  <c r="AG33" i="14"/>
  <c r="AF33" i="14"/>
  <c r="AE33" i="14"/>
  <c r="AD33" i="14"/>
  <c r="AC33" i="14"/>
  <c r="AB33" i="14"/>
  <c r="AA33" i="14"/>
  <c r="Z33" i="14"/>
  <c r="Y33" i="14"/>
  <c r="X33" i="14"/>
  <c r="W33" i="14"/>
  <c r="U33" i="14"/>
  <c r="AG32" i="14"/>
  <c r="AF32" i="14"/>
  <c r="AE32" i="14"/>
  <c r="AD32" i="14"/>
  <c r="AC32" i="14"/>
  <c r="AB32" i="14"/>
  <c r="AA32" i="14"/>
  <c r="Z32" i="14"/>
  <c r="Y32" i="14"/>
  <c r="X32" i="14"/>
  <c r="W32" i="14"/>
  <c r="U32" i="14"/>
  <c r="AG31" i="14"/>
  <c r="AF31" i="14"/>
  <c r="AE31" i="14"/>
  <c r="AD31" i="14"/>
  <c r="AC31" i="14"/>
  <c r="AB31" i="14"/>
  <c r="AA31" i="14"/>
  <c r="Z31" i="14"/>
  <c r="Y31" i="14"/>
  <c r="X31" i="14"/>
  <c r="W31" i="14"/>
  <c r="U31" i="14"/>
  <c r="AG30" i="14"/>
  <c r="AF30" i="14"/>
  <c r="AE30" i="14"/>
  <c r="AD30" i="14"/>
  <c r="AC30" i="14"/>
  <c r="AB30" i="14"/>
  <c r="AA30" i="14"/>
  <c r="Z30" i="14"/>
  <c r="Y30" i="14"/>
  <c r="X30" i="14"/>
  <c r="W30" i="14"/>
  <c r="U30" i="14"/>
  <c r="AG3" i="14"/>
  <c r="AG44" i="14" s="1"/>
  <c r="AF3" i="14"/>
  <c r="AF44" i="14" s="1"/>
  <c r="AE3" i="14"/>
  <c r="AE44" i="14" s="1"/>
  <c r="AD3" i="14"/>
  <c r="AD44" i="14" s="1"/>
  <c r="AC3" i="14"/>
  <c r="AC44" i="14" s="1"/>
  <c r="AB3" i="14"/>
  <c r="AB44" i="14" s="1"/>
  <c r="AA3" i="14"/>
  <c r="AA44" i="14" s="1"/>
  <c r="Z3" i="14"/>
  <c r="Z44" i="14" s="1"/>
  <c r="Y3" i="14"/>
  <c r="Y44" i="14" s="1"/>
  <c r="X3" i="14"/>
  <c r="X44" i="14" s="1"/>
  <c r="W3" i="14"/>
  <c r="W44" i="14" s="1"/>
  <c r="U3" i="14"/>
  <c r="U44" i="14" s="1"/>
  <c r="AG34" i="13"/>
  <c r="AF34" i="13"/>
  <c r="AE34" i="13"/>
  <c r="AD34" i="13"/>
  <c r="AC34" i="13"/>
  <c r="AB34" i="13"/>
  <c r="AA34" i="13"/>
  <c r="Z34" i="13"/>
  <c r="Y34" i="13"/>
  <c r="X34" i="13"/>
  <c r="W34" i="13"/>
  <c r="U34" i="13"/>
  <c r="AG33" i="13"/>
  <c r="AF33" i="13"/>
  <c r="AE33" i="13"/>
  <c r="AD33" i="13"/>
  <c r="AC33" i="13"/>
  <c r="AB33" i="13"/>
  <c r="AA33" i="13"/>
  <c r="Z33" i="13"/>
  <c r="Y33" i="13"/>
  <c r="X33" i="13"/>
  <c r="W33" i="13"/>
  <c r="U33" i="13"/>
  <c r="AG32" i="13"/>
  <c r="AF32" i="13"/>
  <c r="AE32" i="13"/>
  <c r="AD32" i="13"/>
  <c r="AC32" i="13"/>
  <c r="AB32" i="13"/>
  <c r="AA32" i="13"/>
  <c r="Z32" i="13"/>
  <c r="Y32" i="13"/>
  <c r="X32" i="13"/>
  <c r="W32" i="13"/>
  <c r="U32" i="13"/>
  <c r="AG30" i="13"/>
  <c r="AF30" i="13"/>
  <c r="AE30" i="13"/>
  <c r="AD30" i="13"/>
  <c r="AC30" i="13"/>
  <c r="AB30" i="13"/>
  <c r="AA30" i="13"/>
  <c r="Z30" i="13"/>
  <c r="Y30" i="13"/>
  <c r="X30" i="13"/>
  <c r="W30" i="13"/>
  <c r="U30" i="13"/>
  <c r="AG3" i="13"/>
  <c r="AG44" i="13" s="1"/>
  <c r="AF3" i="13"/>
  <c r="AF44" i="13" s="1"/>
  <c r="AE3" i="13"/>
  <c r="AE44" i="13" s="1"/>
  <c r="AD3" i="13"/>
  <c r="AD44" i="13" s="1"/>
  <c r="AC3" i="13"/>
  <c r="AC44" i="13" s="1"/>
  <c r="AB3" i="13"/>
  <c r="AB44" i="13" s="1"/>
  <c r="AA3" i="13"/>
  <c r="AA44" i="13" s="1"/>
  <c r="Z3" i="13"/>
  <c r="Z44" i="13" s="1"/>
  <c r="Y3" i="13"/>
  <c r="Y44" i="13" s="1"/>
  <c r="X3" i="13"/>
  <c r="X44" i="13" s="1"/>
  <c r="W3" i="13"/>
  <c r="W44" i="13" s="1"/>
  <c r="U3" i="13"/>
  <c r="U44" i="13" s="1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AG3" i="10"/>
  <c r="AG44" i="10" s="1"/>
  <c r="AF3" i="10"/>
  <c r="AF44" i="10" s="1"/>
  <c r="AE3" i="10"/>
  <c r="AE44" i="10" s="1"/>
  <c r="AD3" i="10"/>
  <c r="AD44" i="10" s="1"/>
  <c r="AC3" i="10"/>
  <c r="AC44" i="10" s="1"/>
  <c r="AB3" i="10"/>
  <c r="AB44" i="10" s="1"/>
  <c r="AA3" i="10"/>
  <c r="AA44" i="10" s="1"/>
  <c r="Z3" i="10"/>
  <c r="Z44" i="10" s="1"/>
  <c r="Y3" i="10"/>
  <c r="Y44" i="10" s="1"/>
  <c r="X3" i="10"/>
  <c r="X44" i="10" s="1"/>
  <c r="W3" i="10"/>
  <c r="W44" i="10" s="1"/>
  <c r="V3" i="10"/>
  <c r="V44" i="10" s="1"/>
  <c r="U3" i="10"/>
  <c r="U44" i="10" s="1"/>
  <c r="AG34" i="7"/>
  <c r="AF34" i="7"/>
  <c r="AE34" i="7"/>
  <c r="AD34" i="7"/>
  <c r="AC34" i="7"/>
  <c r="AB34" i="7"/>
  <c r="AA34" i="7"/>
  <c r="Z34" i="7"/>
  <c r="Y34" i="7"/>
  <c r="X34" i="7"/>
  <c r="W34" i="7"/>
  <c r="U34" i="7"/>
  <c r="AG33" i="7"/>
  <c r="AF33" i="7"/>
  <c r="AE33" i="7"/>
  <c r="AD33" i="7"/>
  <c r="AC33" i="7"/>
  <c r="AB33" i="7"/>
  <c r="AA33" i="7"/>
  <c r="Z33" i="7"/>
  <c r="Y33" i="7"/>
  <c r="X33" i="7"/>
  <c r="W33" i="7"/>
  <c r="U33" i="7"/>
  <c r="AG32" i="7"/>
  <c r="AF32" i="7"/>
  <c r="AE32" i="7"/>
  <c r="AD32" i="7"/>
  <c r="AC32" i="7"/>
  <c r="AB32" i="7"/>
  <c r="AA32" i="7"/>
  <c r="Z32" i="7"/>
  <c r="Y32" i="7"/>
  <c r="X32" i="7"/>
  <c r="W32" i="7"/>
  <c r="U32" i="7"/>
  <c r="AG31" i="7"/>
  <c r="AF31" i="7"/>
  <c r="AE31" i="7"/>
  <c r="AD31" i="7"/>
  <c r="AC31" i="7"/>
  <c r="AB31" i="7"/>
  <c r="AA31" i="7"/>
  <c r="Z31" i="7"/>
  <c r="Y31" i="7"/>
  <c r="X31" i="7"/>
  <c r="W31" i="7"/>
  <c r="U31" i="7"/>
  <c r="AG30" i="7"/>
  <c r="AF30" i="7"/>
  <c r="AE30" i="7"/>
  <c r="AD30" i="7"/>
  <c r="AC30" i="7"/>
  <c r="AB30" i="7"/>
  <c r="AA30" i="7"/>
  <c r="Z30" i="7"/>
  <c r="Y30" i="7"/>
  <c r="X30" i="7"/>
  <c r="W30" i="7"/>
  <c r="U30" i="7"/>
  <c r="AG3" i="7"/>
  <c r="AF3" i="7"/>
  <c r="AE3" i="7"/>
  <c r="AD3" i="7"/>
  <c r="AC3" i="7"/>
  <c r="AB3" i="7"/>
  <c r="AB44" i="7" s="1"/>
  <c r="AC52" i="1" s="1"/>
  <c r="AA3" i="7"/>
  <c r="AA44" i="7" s="1"/>
  <c r="AB52" i="1" s="1"/>
  <c r="Z3" i="7"/>
  <c r="Z44" i="7" s="1"/>
  <c r="AA52" i="1" s="1"/>
  <c r="Y3" i="7"/>
  <c r="Y44" i="7" s="1"/>
  <c r="Z52" i="1" s="1"/>
  <c r="X3" i="7"/>
  <c r="X44" i="7" s="1"/>
  <c r="Y52" i="1" s="1"/>
  <c r="W3" i="7"/>
  <c r="W44" i="7" s="1"/>
  <c r="X52" i="1" s="1"/>
  <c r="U3" i="7"/>
  <c r="U44" i="7" s="1"/>
  <c r="V52" i="1" s="1"/>
  <c r="AG34" i="12"/>
  <c r="AG25" i="12" s="1"/>
  <c r="AF34" i="12"/>
  <c r="AF25" i="12" s="1"/>
  <c r="AE34" i="12"/>
  <c r="AE25" i="12" s="1"/>
  <c r="AD34" i="12"/>
  <c r="AD25" i="12" s="1"/>
  <c r="AC34" i="12"/>
  <c r="AC25" i="12" s="1"/>
  <c r="AB34" i="12"/>
  <c r="AB25" i="12" s="1"/>
  <c r="AA34" i="12"/>
  <c r="AA25" i="12" s="1"/>
  <c r="Z34" i="12"/>
  <c r="Z25" i="12" s="1"/>
  <c r="Y34" i="12"/>
  <c r="Y25" i="12" s="1"/>
  <c r="X34" i="12"/>
  <c r="X25" i="12" s="1"/>
  <c r="W34" i="12"/>
  <c r="W25" i="12" s="1"/>
  <c r="V34" i="12"/>
  <c r="V25" i="12" s="1"/>
  <c r="U34" i="12"/>
  <c r="U25" i="12" s="1"/>
  <c r="AG33" i="12"/>
  <c r="AG24" i="12" s="1"/>
  <c r="AF33" i="12"/>
  <c r="AF24" i="12" s="1"/>
  <c r="AE33" i="12"/>
  <c r="AE24" i="12" s="1"/>
  <c r="AD33" i="12"/>
  <c r="AD24" i="12" s="1"/>
  <c r="AC33" i="12"/>
  <c r="AC24" i="12" s="1"/>
  <c r="AB33" i="12"/>
  <c r="AB24" i="12" s="1"/>
  <c r="AA33" i="12"/>
  <c r="AA24" i="12" s="1"/>
  <c r="Z33" i="12"/>
  <c r="Z24" i="12" s="1"/>
  <c r="Y33" i="12"/>
  <c r="Y24" i="12" s="1"/>
  <c r="X33" i="12"/>
  <c r="X24" i="12" s="1"/>
  <c r="W33" i="12"/>
  <c r="W24" i="12" s="1"/>
  <c r="V33" i="12"/>
  <c r="V24" i="12" s="1"/>
  <c r="U33" i="12"/>
  <c r="U24" i="12" s="1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AG3" i="12"/>
  <c r="AG44" i="12" s="1"/>
  <c r="AF3" i="12"/>
  <c r="AF44" i="12" s="1"/>
  <c r="AE3" i="12"/>
  <c r="AE44" i="12" s="1"/>
  <c r="AD3" i="12"/>
  <c r="AD44" i="12" s="1"/>
  <c r="AC3" i="12"/>
  <c r="AC44" i="12" s="1"/>
  <c r="AB3" i="12"/>
  <c r="AB44" i="12" s="1"/>
  <c r="AA3" i="12"/>
  <c r="AA44" i="12" s="1"/>
  <c r="Z3" i="12"/>
  <c r="Z44" i="12" s="1"/>
  <c r="Y3" i="12"/>
  <c r="Y44" i="12" s="1"/>
  <c r="X3" i="12"/>
  <c r="X44" i="12" s="1"/>
  <c r="W3" i="12"/>
  <c r="W44" i="12" s="1"/>
  <c r="V3" i="12"/>
  <c r="V44" i="12" s="1"/>
  <c r="U3" i="12"/>
  <c r="U44" i="12" s="1"/>
  <c r="AG34" i="11"/>
  <c r="AG25" i="11" s="1"/>
  <c r="AF34" i="11"/>
  <c r="AF25" i="11" s="1"/>
  <c r="AE34" i="11"/>
  <c r="AE25" i="11" s="1"/>
  <c r="AD34" i="11"/>
  <c r="AD25" i="11" s="1"/>
  <c r="AC34" i="11"/>
  <c r="AC25" i="11" s="1"/>
  <c r="AB34" i="11"/>
  <c r="AB25" i="11" s="1"/>
  <c r="AA34" i="11"/>
  <c r="AA25" i="11" s="1"/>
  <c r="Z34" i="11"/>
  <c r="Z25" i="11" s="1"/>
  <c r="Y34" i="11"/>
  <c r="Y25" i="11" s="1"/>
  <c r="X34" i="11"/>
  <c r="X25" i="11" s="1"/>
  <c r="W34" i="11"/>
  <c r="W25" i="11" s="1"/>
  <c r="V34" i="11"/>
  <c r="V25" i="11" s="1"/>
  <c r="U34" i="11"/>
  <c r="U25" i="11" s="1"/>
  <c r="AG33" i="11"/>
  <c r="AG24" i="11" s="1"/>
  <c r="AF33" i="11"/>
  <c r="AF24" i="11" s="1"/>
  <c r="AE33" i="11"/>
  <c r="AE24" i="11" s="1"/>
  <c r="AD33" i="11"/>
  <c r="AD24" i="11" s="1"/>
  <c r="AC33" i="11"/>
  <c r="AC24" i="11" s="1"/>
  <c r="AB33" i="11"/>
  <c r="AB24" i="11" s="1"/>
  <c r="AA33" i="11"/>
  <c r="AA24" i="11" s="1"/>
  <c r="Z33" i="11"/>
  <c r="Z24" i="11" s="1"/>
  <c r="Y33" i="11"/>
  <c r="Y24" i="11" s="1"/>
  <c r="X33" i="11"/>
  <c r="X24" i="11" s="1"/>
  <c r="W33" i="11"/>
  <c r="W24" i="11" s="1"/>
  <c r="V33" i="11"/>
  <c r="V24" i="11" s="1"/>
  <c r="U33" i="11"/>
  <c r="U24" i="11" s="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AG3" i="11"/>
  <c r="AG44" i="11" s="1"/>
  <c r="AF3" i="11"/>
  <c r="AF44" i="11" s="1"/>
  <c r="AE3" i="11"/>
  <c r="AE44" i="11" s="1"/>
  <c r="AD3" i="11"/>
  <c r="AD44" i="11" s="1"/>
  <c r="AC3" i="11"/>
  <c r="AC44" i="11" s="1"/>
  <c r="AB3" i="11"/>
  <c r="AB44" i="11" s="1"/>
  <c r="AA3" i="11"/>
  <c r="AA44" i="11" s="1"/>
  <c r="Z3" i="11"/>
  <c r="Z44" i="11" s="1"/>
  <c r="Y3" i="11"/>
  <c r="Y44" i="11" s="1"/>
  <c r="X3" i="11"/>
  <c r="X44" i="11" s="1"/>
  <c r="W3" i="11"/>
  <c r="W44" i="11" s="1"/>
  <c r="V3" i="11"/>
  <c r="V44" i="11" s="1"/>
  <c r="U3" i="11"/>
  <c r="U44" i="11" s="1"/>
  <c r="AL45" i="14"/>
  <c r="AL44" i="14"/>
  <c r="AL43" i="14"/>
  <c r="AL35" i="14"/>
  <c r="AL27" i="14"/>
  <c r="AL26" i="14"/>
  <c r="AL18" i="14"/>
  <c r="AL17" i="14"/>
  <c r="AL16" i="14"/>
  <c r="AL15" i="14"/>
  <c r="AL14" i="14"/>
  <c r="AL13" i="14"/>
  <c r="AL12" i="14"/>
  <c r="AL11" i="14"/>
  <c r="AL10" i="14"/>
  <c r="AL9" i="14"/>
  <c r="AL8" i="14"/>
  <c r="AL7" i="14"/>
  <c r="AL6" i="14"/>
  <c r="AL5" i="14"/>
  <c r="AL4" i="14"/>
  <c r="AL45" i="13"/>
  <c r="AL44" i="13"/>
  <c r="AL43" i="13"/>
  <c r="AL35" i="13"/>
  <c r="AL27" i="13"/>
  <c r="AL26" i="13"/>
  <c r="AL18" i="13"/>
  <c r="AL17" i="13"/>
  <c r="AL16" i="13"/>
  <c r="AL15" i="13"/>
  <c r="AL14" i="13"/>
  <c r="AL13" i="13"/>
  <c r="AL12" i="13"/>
  <c r="AL11" i="13"/>
  <c r="AL10" i="13"/>
  <c r="AL9" i="13"/>
  <c r="AL8" i="13"/>
  <c r="AL7" i="13"/>
  <c r="AL6" i="13"/>
  <c r="AL5" i="13"/>
  <c r="AL4" i="13"/>
  <c r="AL45" i="10"/>
  <c r="AL44" i="10"/>
  <c r="AL43" i="10"/>
  <c r="AL35" i="10"/>
  <c r="AL27" i="10"/>
  <c r="AL26" i="10"/>
  <c r="AL18" i="10"/>
  <c r="AL17" i="10"/>
  <c r="AL16" i="10"/>
  <c r="AL15" i="10"/>
  <c r="AL14" i="10"/>
  <c r="AL13" i="10"/>
  <c r="AL12" i="10"/>
  <c r="AL11" i="10"/>
  <c r="AL10" i="10"/>
  <c r="AL9" i="10"/>
  <c r="AL8" i="10"/>
  <c r="AL7" i="10"/>
  <c r="AL6" i="10"/>
  <c r="AL5" i="10"/>
  <c r="AL4" i="10"/>
  <c r="AL45" i="7"/>
  <c r="AL44" i="7"/>
  <c r="AL43" i="7"/>
  <c r="AL35" i="7"/>
  <c r="AL27" i="7"/>
  <c r="AL26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AL5" i="7"/>
  <c r="AL4" i="7"/>
  <c r="AL45" i="12"/>
  <c r="AL44" i="12"/>
  <c r="AL43" i="12"/>
  <c r="AL35" i="12"/>
  <c r="AL27" i="12"/>
  <c r="AL26" i="12"/>
  <c r="AL18" i="12"/>
  <c r="AL17" i="12"/>
  <c r="AL16" i="12"/>
  <c r="AL15" i="12"/>
  <c r="AL14" i="12"/>
  <c r="AL13" i="12"/>
  <c r="AL12" i="12"/>
  <c r="AL11" i="12"/>
  <c r="AL10" i="12"/>
  <c r="AL9" i="12"/>
  <c r="AL8" i="12"/>
  <c r="AL7" i="12"/>
  <c r="AL6" i="12"/>
  <c r="AL5" i="12"/>
  <c r="AL4" i="12"/>
  <c r="AL45" i="11"/>
  <c r="AL44" i="11"/>
  <c r="AL43" i="11"/>
  <c r="AL35" i="11"/>
  <c r="AL27" i="11"/>
  <c r="AL26" i="11"/>
  <c r="AL18" i="11"/>
  <c r="AL17" i="11"/>
  <c r="AL16" i="11"/>
  <c r="AL15" i="11"/>
  <c r="AL14" i="11"/>
  <c r="AL13" i="11"/>
  <c r="AL12" i="11"/>
  <c r="AL11" i="11"/>
  <c r="AL10" i="11"/>
  <c r="AL9" i="11"/>
  <c r="AL8" i="11"/>
  <c r="AL7" i="11"/>
  <c r="AL6" i="11"/>
  <c r="AL5" i="11"/>
  <c r="AL4" i="11"/>
  <c r="W3" i="5"/>
  <c r="CL2" i="5" s="1"/>
  <c r="V3" i="5"/>
  <c r="CK2" i="5" s="1"/>
  <c r="U3" i="5"/>
  <c r="CJ2" i="5" s="1"/>
  <c r="T3" i="5"/>
  <c r="CI2" i="5" s="1"/>
  <c r="S3" i="5"/>
  <c r="CH2" i="5" s="1"/>
  <c r="R3" i="5"/>
  <c r="CG2" i="5" s="1"/>
  <c r="Q3" i="5"/>
  <c r="CF2" i="5" s="1"/>
  <c r="P3" i="5"/>
  <c r="CE2" i="5" s="1"/>
  <c r="O3" i="5"/>
  <c r="CD2" i="5" s="1"/>
  <c r="N3" i="5"/>
  <c r="CC2" i="5" s="1"/>
  <c r="M3" i="5"/>
  <c r="CB2" i="5" s="1"/>
  <c r="L3" i="5"/>
  <c r="CA2" i="5" s="1"/>
  <c r="K3" i="5"/>
  <c r="BZ2" i="5" s="1"/>
  <c r="J3" i="5"/>
  <c r="BY2" i="5" s="1"/>
  <c r="I3" i="5"/>
  <c r="BX2" i="5" s="1"/>
  <c r="H3" i="5"/>
  <c r="BW2" i="5" s="1"/>
  <c r="G3" i="5"/>
  <c r="BV2" i="5" s="1"/>
  <c r="AO35" i="11"/>
  <c r="AN35" i="11"/>
  <c r="AK35" i="11"/>
  <c r="AO27" i="11"/>
  <c r="AN27" i="11"/>
  <c r="AK27" i="11"/>
  <c r="AO26" i="11"/>
  <c r="AN26" i="11"/>
  <c r="AK26" i="11"/>
  <c r="AO18" i="11"/>
  <c r="AN18" i="11"/>
  <c r="AK18" i="11"/>
  <c r="AO17" i="11"/>
  <c r="AN17" i="11"/>
  <c r="AK17" i="11"/>
  <c r="AO16" i="11"/>
  <c r="AN16" i="11"/>
  <c r="AK16" i="11"/>
  <c r="AO15" i="11"/>
  <c r="AN15" i="11"/>
  <c r="AK15" i="11"/>
  <c r="AO14" i="11"/>
  <c r="AN14" i="11"/>
  <c r="AK14" i="11"/>
  <c r="AO13" i="11"/>
  <c r="AN13" i="11"/>
  <c r="AK13" i="11"/>
  <c r="AO12" i="11"/>
  <c r="AN12" i="11"/>
  <c r="AK12" i="11"/>
  <c r="AO11" i="11"/>
  <c r="AN11" i="11"/>
  <c r="AK11" i="11"/>
  <c r="AO10" i="11"/>
  <c r="AN10" i="11"/>
  <c r="AK10" i="11"/>
  <c r="AO9" i="11"/>
  <c r="AN9" i="11"/>
  <c r="AK9" i="11"/>
  <c r="AO8" i="11"/>
  <c r="AN8" i="11"/>
  <c r="AK8" i="11"/>
  <c r="AO7" i="11"/>
  <c r="AN7" i="11"/>
  <c r="AK7" i="11"/>
  <c r="AO6" i="11"/>
  <c r="AN6" i="11"/>
  <c r="AK6" i="11"/>
  <c r="AO5" i="11"/>
  <c r="AN5" i="11"/>
  <c r="AK5" i="11"/>
  <c r="AO4" i="11"/>
  <c r="AN4" i="11"/>
  <c r="AK4" i="11"/>
  <c r="AO35" i="12"/>
  <c r="AN35" i="12"/>
  <c r="AK35" i="12"/>
  <c r="AO27" i="12"/>
  <c r="AN27" i="12"/>
  <c r="AK27" i="12"/>
  <c r="AO26" i="12"/>
  <c r="AN26" i="12"/>
  <c r="AK26" i="12"/>
  <c r="AO18" i="12"/>
  <c r="AN18" i="12"/>
  <c r="AK18" i="12"/>
  <c r="AO17" i="12"/>
  <c r="AN17" i="12"/>
  <c r="AK17" i="12"/>
  <c r="AO16" i="12"/>
  <c r="AN16" i="12"/>
  <c r="AK16" i="12"/>
  <c r="AO15" i="12"/>
  <c r="AN15" i="12"/>
  <c r="AK15" i="12"/>
  <c r="AO14" i="12"/>
  <c r="AN14" i="12"/>
  <c r="AK14" i="12"/>
  <c r="AO13" i="12"/>
  <c r="AN13" i="12"/>
  <c r="AK13" i="12"/>
  <c r="AO12" i="12"/>
  <c r="AN12" i="12"/>
  <c r="AK12" i="12"/>
  <c r="AO11" i="12"/>
  <c r="AN11" i="12"/>
  <c r="AK11" i="12"/>
  <c r="AO10" i="12"/>
  <c r="AN10" i="12"/>
  <c r="AK10" i="12"/>
  <c r="AO9" i="12"/>
  <c r="AN9" i="12"/>
  <c r="AK9" i="12"/>
  <c r="AO8" i="12"/>
  <c r="AN8" i="12"/>
  <c r="AK8" i="12"/>
  <c r="AO7" i="12"/>
  <c r="AN7" i="12"/>
  <c r="AK7" i="12"/>
  <c r="AO6" i="12"/>
  <c r="AN6" i="12"/>
  <c r="AK6" i="12"/>
  <c r="AO5" i="12"/>
  <c r="AN5" i="12"/>
  <c r="AK5" i="12"/>
  <c r="AO4" i="12"/>
  <c r="AN4" i="12"/>
  <c r="AK4" i="12"/>
  <c r="AK18" i="1"/>
  <c r="AN18" i="1" s="1"/>
  <c r="AT18" i="1" s="1"/>
  <c r="AN19" i="1"/>
  <c r="AT19" i="1" s="1"/>
  <c r="AO35" i="14"/>
  <c r="AN35" i="14"/>
  <c r="AK35" i="14"/>
  <c r="AO27" i="14"/>
  <c r="AN27" i="14"/>
  <c r="AK27" i="14"/>
  <c r="AO26" i="14"/>
  <c r="AN26" i="14"/>
  <c r="AK26" i="14"/>
  <c r="AO18" i="14"/>
  <c r="AN18" i="14"/>
  <c r="AK18" i="14"/>
  <c r="AO17" i="14"/>
  <c r="AN17" i="14"/>
  <c r="AK17" i="14"/>
  <c r="AO16" i="14"/>
  <c r="AN16" i="14"/>
  <c r="AK16" i="14"/>
  <c r="AO15" i="14"/>
  <c r="AN15" i="14"/>
  <c r="AK15" i="14"/>
  <c r="AO14" i="14"/>
  <c r="AN14" i="14"/>
  <c r="AK14" i="14"/>
  <c r="AO13" i="14"/>
  <c r="AN13" i="14"/>
  <c r="AK13" i="14"/>
  <c r="AO12" i="14"/>
  <c r="AN12" i="14"/>
  <c r="AK12" i="14"/>
  <c r="AO11" i="14"/>
  <c r="AN11" i="14"/>
  <c r="AK11" i="14"/>
  <c r="AO10" i="14"/>
  <c r="AN10" i="14"/>
  <c r="AK10" i="14"/>
  <c r="AO9" i="14"/>
  <c r="AN9" i="14"/>
  <c r="AK9" i="14"/>
  <c r="AO8" i="14"/>
  <c r="AN8" i="14"/>
  <c r="AK8" i="14"/>
  <c r="AO7" i="14"/>
  <c r="AN7" i="14"/>
  <c r="AK7" i="14"/>
  <c r="AO6" i="14"/>
  <c r="AN6" i="14"/>
  <c r="AK6" i="14"/>
  <c r="AO5" i="14"/>
  <c r="AN5" i="14"/>
  <c r="AK5" i="14"/>
  <c r="AO4" i="14"/>
  <c r="AN4" i="14"/>
  <c r="AK4" i="14"/>
  <c r="AO35" i="13"/>
  <c r="AN35" i="13"/>
  <c r="AK35" i="13"/>
  <c r="AO27" i="13"/>
  <c r="AN27" i="13"/>
  <c r="AK27" i="13"/>
  <c r="AO26" i="13"/>
  <c r="AN26" i="13"/>
  <c r="AK26" i="13"/>
  <c r="AO18" i="13"/>
  <c r="AN18" i="13"/>
  <c r="AK18" i="13"/>
  <c r="AO17" i="13"/>
  <c r="AN17" i="13"/>
  <c r="AK17" i="13"/>
  <c r="AO16" i="13"/>
  <c r="AN16" i="13"/>
  <c r="AK16" i="13"/>
  <c r="AO15" i="13"/>
  <c r="AN15" i="13"/>
  <c r="AK15" i="13"/>
  <c r="AO14" i="13"/>
  <c r="AN14" i="13"/>
  <c r="AK14" i="13"/>
  <c r="AO13" i="13"/>
  <c r="AN13" i="13"/>
  <c r="AK13" i="13"/>
  <c r="AO12" i="13"/>
  <c r="AN12" i="13"/>
  <c r="AK12" i="13"/>
  <c r="AO11" i="13"/>
  <c r="AN11" i="13"/>
  <c r="AK11" i="13"/>
  <c r="AO10" i="13"/>
  <c r="AN10" i="13"/>
  <c r="AK10" i="13"/>
  <c r="AO9" i="13"/>
  <c r="AN9" i="13"/>
  <c r="AK9" i="13"/>
  <c r="AO8" i="13"/>
  <c r="AN8" i="13"/>
  <c r="AK8" i="13"/>
  <c r="AO7" i="13"/>
  <c r="AN7" i="13"/>
  <c r="AK7" i="13"/>
  <c r="AO6" i="13"/>
  <c r="AN6" i="13"/>
  <c r="AK6" i="13"/>
  <c r="AO5" i="13"/>
  <c r="AN5" i="13"/>
  <c r="AK5" i="13"/>
  <c r="AO4" i="13"/>
  <c r="AN4" i="13"/>
  <c r="AK4" i="13"/>
  <c r="AO35" i="10"/>
  <c r="AN35" i="10"/>
  <c r="AK35" i="10"/>
  <c r="AO27" i="10"/>
  <c r="AN27" i="10"/>
  <c r="AK27" i="10"/>
  <c r="AO26" i="10"/>
  <c r="AN26" i="10"/>
  <c r="AK26" i="10"/>
  <c r="AO18" i="10"/>
  <c r="AN18" i="10"/>
  <c r="AK18" i="10"/>
  <c r="AO17" i="10"/>
  <c r="AN17" i="10"/>
  <c r="AK17" i="10"/>
  <c r="AO16" i="10"/>
  <c r="AN16" i="10"/>
  <c r="AK16" i="10"/>
  <c r="AO15" i="10"/>
  <c r="AN15" i="10"/>
  <c r="AK15" i="10"/>
  <c r="AO14" i="10"/>
  <c r="AN14" i="10"/>
  <c r="AK14" i="10"/>
  <c r="AO13" i="10"/>
  <c r="AN13" i="10"/>
  <c r="AK13" i="10"/>
  <c r="AO12" i="10"/>
  <c r="AN12" i="10"/>
  <c r="AK12" i="10"/>
  <c r="AO11" i="10"/>
  <c r="AN11" i="10"/>
  <c r="AK11" i="10"/>
  <c r="AO10" i="10"/>
  <c r="AN10" i="10"/>
  <c r="AK10" i="10"/>
  <c r="AO9" i="10"/>
  <c r="AN9" i="10"/>
  <c r="AK9" i="10"/>
  <c r="AO8" i="10"/>
  <c r="AN8" i="10"/>
  <c r="AK8" i="10"/>
  <c r="AO7" i="10"/>
  <c r="AN7" i="10"/>
  <c r="AK7" i="10"/>
  <c r="AO6" i="10"/>
  <c r="AN6" i="10"/>
  <c r="AK6" i="10"/>
  <c r="AO5" i="10"/>
  <c r="AN5" i="10"/>
  <c r="AK5" i="10"/>
  <c r="AO4" i="10"/>
  <c r="AN4" i="10"/>
  <c r="AK4" i="10"/>
  <c r="AK35" i="7"/>
  <c r="AK27" i="7"/>
  <c r="AK26" i="7"/>
  <c r="AK18" i="7"/>
  <c r="AK17" i="7"/>
  <c r="AK16" i="7"/>
  <c r="AK15" i="7"/>
  <c r="AK14" i="7"/>
  <c r="AK13" i="7"/>
  <c r="AK12" i="7"/>
  <c r="AK11" i="7"/>
  <c r="AK5" i="7"/>
  <c r="AK6" i="7"/>
  <c r="AK7" i="7"/>
  <c r="AK8" i="7"/>
  <c r="AK9" i="7"/>
  <c r="AK10" i="7"/>
  <c r="AK4" i="7"/>
  <c r="AN4" i="7"/>
  <c r="AO35" i="7"/>
  <c r="AN35" i="7"/>
  <c r="AO27" i="7"/>
  <c r="AN27" i="7"/>
  <c r="AO26" i="7"/>
  <c r="AN26" i="7"/>
  <c r="AO18" i="7"/>
  <c r="AN18" i="7"/>
  <c r="AO17" i="7"/>
  <c r="AN17" i="7"/>
  <c r="AO16" i="7"/>
  <c r="AN16" i="7"/>
  <c r="AO15" i="7"/>
  <c r="AN15" i="7"/>
  <c r="AO14" i="7"/>
  <c r="AN14" i="7"/>
  <c r="AO13" i="7"/>
  <c r="AN13" i="7"/>
  <c r="AO12" i="7"/>
  <c r="AN12" i="7"/>
  <c r="AO11" i="7"/>
  <c r="AN11" i="7"/>
  <c r="AO10" i="7"/>
  <c r="AN10" i="7"/>
  <c r="AO9" i="7"/>
  <c r="AN9" i="7"/>
  <c r="AO8" i="7"/>
  <c r="AN8" i="7"/>
  <c r="AO7" i="7"/>
  <c r="AN7" i="7"/>
  <c r="AO6" i="7"/>
  <c r="AN6" i="7"/>
  <c r="AO5" i="7"/>
  <c r="AN5" i="7"/>
  <c r="AO4" i="7"/>
  <c r="AH28" i="7"/>
  <c r="AH29" i="7"/>
  <c r="AH28" i="10"/>
  <c r="Z28" i="10" s="1"/>
  <c r="AH29" i="10"/>
  <c r="Y29" i="10" s="1"/>
  <c r="AH29" i="14"/>
  <c r="X29" i="14" s="1"/>
  <c r="AH28" i="14"/>
  <c r="H28" i="14" s="1"/>
  <c r="AH28" i="13"/>
  <c r="AH29" i="13"/>
  <c r="AH31" i="13"/>
  <c r="A1" i="14"/>
  <c r="T34" i="14"/>
  <c r="S34" i="14"/>
  <c r="R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T33" i="14"/>
  <c r="S33" i="14"/>
  <c r="R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T32" i="14"/>
  <c r="S32" i="14"/>
  <c r="R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T31" i="14"/>
  <c r="S31" i="14"/>
  <c r="R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T30" i="14"/>
  <c r="S30" i="14"/>
  <c r="R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25" i="14"/>
  <c r="C34" i="14" s="1"/>
  <c r="C42" i="14" s="1"/>
  <c r="C24" i="14"/>
  <c r="C33" i="14" s="1"/>
  <c r="C41" i="14" s="1"/>
  <c r="C23" i="14"/>
  <c r="C32" i="14" s="1"/>
  <c r="C40" i="14" s="1"/>
  <c r="C22" i="14"/>
  <c r="C31" i="14" s="1"/>
  <c r="C39" i="14" s="1"/>
  <c r="C21" i="14"/>
  <c r="C30" i="14" s="1"/>
  <c r="C38" i="14" s="1"/>
  <c r="C20" i="14"/>
  <c r="C29" i="14" s="1"/>
  <c r="C37" i="14" s="1"/>
  <c r="C19" i="14"/>
  <c r="C28" i="14" s="1"/>
  <c r="C36" i="14" s="1"/>
  <c r="T3" i="14"/>
  <c r="T44" i="14" s="1"/>
  <c r="S3" i="14"/>
  <c r="S44" i="14" s="1"/>
  <c r="R3" i="14"/>
  <c r="R44" i="14" s="1"/>
  <c r="P3" i="14"/>
  <c r="P44" i="14" s="1"/>
  <c r="O3" i="14"/>
  <c r="O44" i="14" s="1"/>
  <c r="N3" i="14"/>
  <c r="N44" i="14" s="1"/>
  <c r="M3" i="14"/>
  <c r="M44" i="14" s="1"/>
  <c r="L3" i="14"/>
  <c r="L44" i="14" s="1"/>
  <c r="K3" i="14"/>
  <c r="K44" i="14" s="1"/>
  <c r="J3" i="14"/>
  <c r="J44" i="14" s="1"/>
  <c r="I3" i="14"/>
  <c r="I44" i="14" s="1"/>
  <c r="H3" i="14"/>
  <c r="H44" i="14" s="1"/>
  <c r="G3" i="14"/>
  <c r="G44" i="14" s="1"/>
  <c r="F3" i="14"/>
  <c r="F44" i="14" s="1"/>
  <c r="E3" i="14"/>
  <c r="E44" i="14" s="1"/>
  <c r="D3" i="14"/>
  <c r="D44" i="14" s="1"/>
  <c r="T34" i="13"/>
  <c r="S34" i="13"/>
  <c r="R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T33" i="13"/>
  <c r="S33" i="13"/>
  <c r="R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T32" i="13"/>
  <c r="S32" i="13"/>
  <c r="R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T30" i="13"/>
  <c r="S30" i="13"/>
  <c r="R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S28" i="13"/>
  <c r="R28" i="13"/>
  <c r="P28" i="13"/>
  <c r="H28" i="13"/>
  <c r="G28" i="13"/>
  <c r="F28" i="13"/>
  <c r="E28" i="13"/>
  <c r="D28" i="13"/>
  <c r="C25" i="13"/>
  <c r="C34" i="13" s="1"/>
  <c r="C42" i="13" s="1"/>
  <c r="C24" i="13"/>
  <c r="C33" i="13" s="1"/>
  <c r="C41" i="13" s="1"/>
  <c r="T3" i="13"/>
  <c r="T44" i="13" s="1"/>
  <c r="S3" i="13"/>
  <c r="S44" i="13" s="1"/>
  <c r="R3" i="13"/>
  <c r="R44" i="13" s="1"/>
  <c r="P3" i="13"/>
  <c r="P44" i="13" s="1"/>
  <c r="O3" i="13"/>
  <c r="O44" i="13" s="1"/>
  <c r="N3" i="13"/>
  <c r="N44" i="13" s="1"/>
  <c r="M3" i="13"/>
  <c r="M44" i="13" s="1"/>
  <c r="L3" i="13"/>
  <c r="L44" i="13" s="1"/>
  <c r="K3" i="13"/>
  <c r="K44" i="13" s="1"/>
  <c r="J3" i="13"/>
  <c r="J44" i="13" s="1"/>
  <c r="I3" i="13"/>
  <c r="I44" i="13" s="1"/>
  <c r="H3" i="13"/>
  <c r="H44" i="13" s="1"/>
  <c r="G3" i="13"/>
  <c r="G44" i="13" s="1"/>
  <c r="F3" i="13"/>
  <c r="F44" i="13" s="1"/>
  <c r="E3" i="13"/>
  <c r="E44" i="13" s="1"/>
  <c r="D3" i="13"/>
  <c r="D44" i="13" s="1"/>
  <c r="T34" i="12"/>
  <c r="T25" i="12" s="1"/>
  <c r="S34" i="12"/>
  <c r="S25" i="12" s="1"/>
  <c r="R34" i="12"/>
  <c r="R25" i="12" s="1"/>
  <c r="Q34" i="12"/>
  <c r="Q25" i="12" s="1"/>
  <c r="P34" i="12"/>
  <c r="O34" i="12"/>
  <c r="N34" i="12"/>
  <c r="M34" i="12"/>
  <c r="L34" i="12"/>
  <c r="K34" i="12"/>
  <c r="J34" i="12"/>
  <c r="J25" i="12" s="1"/>
  <c r="I34" i="12"/>
  <c r="I25" i="12" s="1"/>
  <c r="H34" i="12"/>
  <c r="H25" i="12" s="1"/>
  <c r="G34" i="12"/>
  <c r="G25" i="12" s="1"/>
  <c r="F34" i="12"/>
  <c r="F25" i="12" s="1"/>
  <c r="E34" i="12"/>
  <c r="E25" i="12" s="1"/>
  <c r="D34" i="12"/>
  <c r="D25" i="12" s="1"/>
  <c r="T33" i="12"/>
  <c r="T24" i="12" s="1"/>
  <c r="S33" i="12"/>
  <c r="S24" i="12" s="1"/>
  <c r="R33" i="12"/>
  <c r="R24" i="12" s="1"/>
  <c r="Q33" i="12"/>
  <c r="Q24" i="12" s="1"/>
  <c r="P33" i="12"/>
  <c r="O33" i="12"/>
  <c r="N33" i="12"/>
  <c r="M33" i="12"/>
  <c r="L33" i="12"/>
  <c r="K33" i="12"/>
  <c r="J33" i="12"/>
  <c r="J24" i="12" s="1"/>
  <c r="I33" i="12"/>
  <c r="I24" i="12" s="1"/>
  <c r="H33" i="12"/>
  <c r="H24" i="12" s="1"/>
  <c r="G33" i="12"/>
  <c r="G24" i="12" s="1"/>
  <c r="F33" i="12"/>
  <c r="F24" i="12" s="1"/>
  <c r="E33" i="12"/>
  <c r="E24" i="12" s="1"/>
  <c r="D33" i="12"/>
  <c r="D24" i="12" s="1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2" i="12"/>
  <c r="C31" i="12" s="1"/>
  <c r="C39" i="12" s="1"/>
  <c r="C20" i="12"/>
  <c r="C29" i="12" s="1"/>
  <c r="C37" i="12" s="1"/>
  <c r="C19" i="12"/>
  <c r="C28" i="12" s="1"/>
  <c r="C36" i="12" s="1"/>
  <c r="T3" i="12"/>
  <c r="T44" i="12" s="1"/>
  <c r="S3" i="12"/>
  <c r="S44" i="12" s="1"/>
  <c r="R3" i="12"/>
  <c r="R44" i="12" s="1"/>
  <c r="Q3" i="12"/>
  <c r="Q44" i="12" s="1"/>
  <c r="P3" i="12"/>
  <c r="P44" i="12" s="1"/>
  <c r="O3" i="12"/>
  <c r="O44" i="12" s="1"/>
  <c r="N3" i="12"/>
  <c r="N44" i="12" s="1"/>
  <c r="M3" i="12"/>
  <c r="M44" i="12" s="1"/>
  <c r="L3" i="12"/>
  <c r="L44" i="12" s="1"/>
  <c r="K3" i="12"/>
  <c r="K44" i="12" s="1"/>
  <c r="J3" i="12"/>
  <c r="J44" i="12" s="1"/>
  <c r="I3" i="12"/>
  <c r="I44" i="12" s="1"/>
  <c r="H3" i="12"/>
  <c r="H44" i="12" s="1"/>
  <c r="G3" i="12"/>
  <c r="G44" i="12" s="1"/>
  <c r="F3" i="12"/>
  <c r="F44" i="12" s="1"/>
  <c r="E3" i="12"/>
  <c r="E44" i="12" s="1"/>
  <c r="D3" i="12"/>
  <c r="D44" i="12" s="1"/>
  <c r="AJ43" i="8"/>
  <c r="AJ39" i="8"/>
  <c r="AJ49" i="8"/>
  <c r="AK42" i="8"/>
  <c r="AK51" i="8"/>
  <c r="AJ56" i="8"/>
  <c r="AJ42" i="8"/>
  <c r="AJ38" i="8"/>
  <c r="AK53" i="8"/>
  <c r="AK39" i="8"/>
  <c r="AJ40" i="8"/>
  <c r="AJ48" i="8"/>
  <c r="AK49" i="8"/>
  <c r="AK54" i="8"/>
  <c r="AK37" i="8"/>
  <c r="AJ51" i="8"/>
  <c r="AK44" i="8"/>
  <c r="AJ41" i="8"/>
  <c r="AK35" i="8"/>
  <c r="AJ36" i="8"/>
  <c r="AK34" i="8"/>
  <c r="AK36" i="8"/>
  <c r="AK41" i="8"/>
  <c r="AK57" i="8"/>
  <c r="AJ53" i="8"/>
  <c r="AJ54" i="8"/>
  <c r="AJ35" i="8"/>
  <c r="AK38" i="8"/>
  <c r="AK56" i="8"/>
  <c r="AK48" i="8"/>
  <c r="AJ55" i="8"/>
  <c r="AK52" i="8"/>
  <c r="AJ34" i="8"/>
  <c r="AK55" i="8"/>
  <c r="AJ37" i="8"/>
  <c r="AK43" i="8"/>
  <c r="AJ50" i="8"/>
  <c r="AJ52" i="8"/>
  <c r="AK40" i="8"/>
  <c r="AK58" i="8"/>
  <c r="AJ44" i="8"/>
  <c r="AG42" i="8"/>
  <c r="AE54" i="8"/>
  <c r="AF42" i="8"/>
  <c r="AI40" i="8"/>
  <c r="AH58" i="8"/>
  <c r="AF43" i="8"/>
  <c r="P42" i="8"/>
  <c r="N48" i="8"/>
  <c r="G53" i="8"/>
  <c r="P35" i="8"/>
  <c r="R40" i="8"/>
  <c r="K39" i="8"/>
  <c r="U53" i="8"/>
  <c r="M51" i="8"/>
  <c r="I40" i="8"/>
  <c r="T39" i="8"/>
  <c r="X34" i="8"/>
  <c r="G43" i="8"/>
  <c r="I38" i="8"/>
  <c r="I58" i="8"/>
  <c r="N35" i="8"/>
  <c r="K44" i="8"/>
  <c r="U58" i="8"/>
  <c r="T40" i="8"/>
  <c r="L38" i="8"/>
  <c r="M35" i="8"/>
  <c r="I57" i="8"/>
  <c r="I34" i="8"/>
  <c r="J40" i="8"/>
  <c r="U41" i="8"/>
  <c r="AE35" i="8"/>
  <c r="T48" i="8"/>
  <c r="AD43" i="8"/>
  <c r="W38" i="8"/>
  <c r="AC39" i="8"/>
  <c r="W42" i="8"/>
  <c r="Y35" i="8"/>
  <c r="Q52" i="8"/>
  <c r="Y39" i="8"/>
  <c r="AD50" i="8"/>
  <c r="AF52" i="8"/>
  <c r="AG40" i="8"/>
  <c r="AF54" i="8"/>
  <c r="AH44" i="8"/>
  <c r="AE38" i="8"/>
  <c r="AH56" i="8"/>
  <c r="AG37" i="8"/>
  <c r="AA53" i="8"/>
  <c r="N41" i="8"/>
  <c r="AB43" i="8"/>
  <c r="R51" i="8"/>
  <c r="AA50" i="8"/>
  <c r="U55" i="8"/>
  <c r="J56" i="8"/>
  <c r="P40" i="8"/>
  <c r="Z38" i="8"/>
  <c r="T34" i="8"/>
  <c r="AD51" i="8"/>
  <c r="Z43" i="8"/>
  <c r="L44" i="8"/>
  <c r="K54" i="8"/>
  <c r="Q54" i="8"/>
  <c r="L55" i="8"/>
  <c r="H55" i="8"/>
  <c r="I48" i="8"/>
  <c r="AB36" i="8"/>
  <c r="G50" i="8"/>
  <c r="X48" i="8"/>
  <c r="AA36" i="8"/>
  <c r="AD49" i="8"/>
  <c r="V55" i="8"/>
  <c r="U37" i="8"/>
  <c r="AI53" i="8"/>
  <c r="AF58" i="8"/>
  <c r="AF49" i="8"/>
  <c r="AF56" i="8"/>
  <c r="AI38" i="8"/>
  <c r="AE57" i="8"/>
  <c r="S41" i="8"/>
  <c r="H57" i="8"/>
  <c r="J52" i="8"/>
  <c r="Q49" i="8"/>
  <c r="K57" i="8"/>
  <c r="H49" i="8"/>
  <c r="Y58" i="8"/>
  <c r="S42" i="8"/>
  <c r="U34" i="8"/>
  <c r="V41" i="8"/>
  <c r="G57" i="8"/>
  <c r="K42" i="8"/>
  <c r="Q39" i="8"/>
  <c r="Z36" i="8"/>
  <c r="R37" i="8"/>
  <c r="L51" i="8"/>
  <c r="AB37" i="8"/>
  <c r="AD36" i="8"/>
  <c r="H52" i="8"/>
  <c r="AD41" i="8"/>
  <c r="X41" i="8"/>
  <c r="T38" i="8"/>
  <c r="AB48" i="8"/>
  <c r="Y55" i="8"/>
  <c r="W37" i="8"/>
  <c r="AF57" i="8"/>
  <c r="AG43" i="8"/>
  <c r="AG51" i="8"/>
  <c r="AH43" i="8"/>
  <c r="AG48" i="8"/>
  <c r="AG54" i="8"/>
  <c r="AC58" i="8"/>
  <c r="P57" i="8"/>
  <c r="T52" i="8"/>
  <c r="J57" i="8"/>
  <c r="AA58" i="8"/>
  <c r="T58" i="8"/>
  <c r="X44" i="8"/>
  <c r="I37" i="8"/>
  <c r="X54" i="8"/>
  <c r="G44" i="8"/>
  <c r="V58" i="8"/>
  <c r="N43" i="8"/>
  <c r="K40" i="8"/>
  <c r="L43" i="8"/>
  <c r="AC56" i="8"/>
  <c r="J34" i="8"/>
  <c r="I49" i="8"/>
  <c r="AC49" i="8"/>
  <c r="V44" i="8"/>
  <c r="AH48" i="8"/>
  <c r="AE53" i="8"/>
  <c r="AG50" i="8"/>
  <c r="AI58" i="8"/>
  <c r="AE34" i="8"/>
  <c r="AE39" i="8"/>
  <c r="W50" i="8"/>
  <c r="N52" i="8"/>
  <c r="S49" i="8"/>
  <c r="K48" i="8"/>
  <c r="AC54" i="8"/>
  <c r="P37" i="8"/>
  <c r="O40" i="8"/>
  <c r="S37" i="8"/>
  <c r="AA56" i="8"/>
  <c r="Y52" i="8"/>
  <c r="O35" i="8"/>
  <c r="AB41" i="8"/>
  <c r="S56" i="8"/>
  <c r="O49" i="8"/>
  <c r="X35" i="8"/>
  <c r="AA44" i="8"/>
  <c r="AB54" i="8"/>
  <c r="X52" i="8"/>
  <c r="Z34" i="8"/>
  <c r="O41" i="8"/>
  <c r="G34" i="8"/>
  <c r="T37" i="8"/>
  <c r="AC35" i="8"/>
  <c r="J48" i="8"/>
  <c r="W49" i="8"/>
  <c r="AH50" i="8"/>
  <c r="AH39" i="8"/>
  <c r="AF36" i="8"/>
  <c r="AI37" i="8"/>
  <c r="AG34" i="8"/>
  <c r="L50" i="8"/>
  <c r="J38" i="8"/>
  <c r="AB53" i="8"/>
  <c r="R38" i="8"/>
  <c r="S54" i="8"/>
  <c r="Z58" i="8"/>
  <c r="AC52" i="8"/>
  <c r="W56" i="8"/>
  <c r="T57" i="8"/>
  <c r="AC51" i="8"/>
  <c r="H34" i="8"/>
  <c r="O43" i="8"/>
  <c r="R42" i="8"/>
  <c r="Y51" i="8"/>
  <c r="J43" i="8"/>
  <c r="V42" i="8"/>
  <c r="AF39" i="8"/>
  <c r="AG53" i="8"/>
  <c r="AG39" i="8"/>
  <c r="AH42" i="8"/>
  <c r="AG57" i="8"/>
  <c r="AH37" i="8"/>
  <c r="AI57" i="8"/>
  <c r="S40" i="8"/>
  <c r="AC36" i="8"/>
  <c r="N57" i="8"/>
  <c r="U49" i="8"/>
  <c r="T56" i="8"/>
  <c r="X40" i="8"/>
  <c r="P53" i="8"/>
  <c r="V52" i="8"/>
  <c r="J39" i="8"/>
  <c r="Z48" i="8"/>
  <c r="U50" i="8"/>
  <c r="O53" i="8"/>
  <c r="AA35" i="8"/>
  <c r="V35" i="8"/>
  <c r="N56" i="8"/>
  <c r="N42" i="8"/>
  <c r="S51" i="8"/>
  <c r="P49" i="8"/>
  <c r="U38" i="8"/>
  <c r="Q44" i="8"/>
  <c r="W55" i="8"/>
  <c r="M43" i="8"/>
  <c r="AB35" i="8"/>
  <c r="K36" i="8"/>
  <c r="AC55" i="8"/>
  <c r="AE36" i="8"/>
  <c r="AE37" i="8"/>
  <c r="AF44" i="8"/>
  <c r="AE42" i="8"/>
  <c r="AI48" i="8"/>
  <c r="AF38" i="8"/>
  <c r="M37" i="8"/>
  <c r="AA42" i="8"/>
  <c r="AA52" i="8"/>
  <c r="V48" i="8"/>
  <c r="I39" i="8"/>
  <c r="I56" i="8"/>
  <c r="AD40" i="8"/>
  <c r="U42" i="8"/>
  <c r="H37" i="8"/>
  <c r="U54" i="8"/>
  <c r="N58" i="8"/>
  <c r="V40" i="8"/>
  <c r="W57" i="8"/>
  <c r="K52" i="8"/>
  <c r="J58" i="8"/>
  <c r="Z44" i="8"/>
  <c r="W34" i="8"/>
  <c r="X53" i="8"/>
  <c r="J49" i="8"/>
  <c r="K58" i="8"/>
  <c r="P48" i="8"/>
  <c r="S55" i="8"/>
  <c r="K51" i="8"/>
  <c r="P39" i="8"/>
  <c r="N34" i="8"/>
  <c r="AI50" i="8"/>
  <c r="AH51" i="8"/>
  <c r="AI52" i="8"/>
  <c r="AH41" i="8"/>
  <c r="AE43" i="8"/>
  <c r="AG58" i="8"/>
  <c r="U40" i="8"/>
  <c r="W36" i="8"/>
  <c r="AC57" i="8"/>
  <c r="G48" i="8"/>
  <c r="R58" i="8"/>
  <c r="AA48" i="8"/>
  <c r="I44" i="8"/>
  <c r="AB55" i="8"/>
  <c r="U57" i="8"/>
  <c r="O50" i="8"/>
  <c r="AA39" i="8"/>
  <c r="S52" i="8"/>
  <c r="I42" i="8"/>
  <c r="L54" i="8"/>
  <c r="G37" i="8"/>
  <c r="AD48" i="8"/>
  <c r="J54" i="8"/>
  <c r="I55" i="8"/>
  <c r="AD53" i="8"/>
  <c r="AA40" i="8"/>
  <c r="Y44" i="8"/>
  <c r="J50" i="8"/>
  <c r="H41" i="8"/>
  <c r="K38" i="8"/>
  <c r="Z53" i="8"/>
  <c r="AG36" i="8"/>
  <c r="AF53" i="8"/>
  <c r="AH55" i="8"/>
  <c r="AE52" i="8"/>
  <c r="AF37" i="8"/>
  <c r="AG35" i="8"/>
  <c r="T35" i="8"/>
  <c r="Z42" i="8"/>
  <c r="AC37" i="8"/>
  <c r="V36" i="8"/>
  <c r="AA43" i="8"/>
  <c r="R35" i="8"/>
  <c r="H56" i="8"/>
  <c r="Z56" i="8"/>
  <c r="M57" i="8"/>
  <c r="Q57" i="8"/>
  <c r="AD55" i="8"/>
  <c r="O34" i="8"/>
  <c r="AD37" i="8"/>
  <c r="I50" i="8"/>
  <c r="I51" i="8"/>
  <c r="AC53" i="8"/>
  <c r="H54" i="8"/>
  <c r="X37" i="8"/>
  <c r="K50" i="8"/>
  <c r="X55" i="8"/>
  <c r="AC38" i="8"/>
  <c r="X57" i="8"/>
  <c r="H50" i="8"/>
  <c r="O54" i="8"/>
  <c r="AI54" i="8"/>
  <c r="AE51" i="8"/>
  <c r="AB56" i="8"/>
  <c r="U35" i="8"/>
  <c r="N37" i="8"/>
  <c r="T55" i="8"/>
  <c r="G39" i="8"/>
  <c r="O51" i="8"/>
  <c r="J55" i="8"/>
  <c r="V38" i="8"/>
  <c r="AB58" i="8"/>
  <c r="R55" i="8"/>
  <c r="Q36" i="8"/>
  <c r="G42" i="8"/>
  <c r="M36" i="8"/>
  <c r="AG38" i="8"/>
  <c r="AE40" i="8"/>
  <c r="L56" i="8"/>
  <c r="T41" i="8"/>
  <c r="K53" i="8"/>
  <c r="X58" i="8"/>
  <c r="U56" i="8"/>
  <c r="AC40" i="8"/>
  <c r="W52" i="8"/>
  <c r="M56" i="8"/>
  <c r="X36" i="8"/>
  <c r="Z35" i="8"/>
  <c r="R36" i="8"/>
  <c r="N55" i="8"/>
  <c r="AB40" i="8"/>
  <c r="AB42" i="8"/>
  <c r="Z52" i="8"/>
  <c r="X56" i="8"/>
  <c r="AE44" i="8"/>
  <c r="P58" i="8"/>
  <c r="T49" i="8"/>
  <c r="T51" i="8"/>
  <c r="M54" i="8"/>
  <c r="G49" i="8"/>
  <c r="S48" i="8"/>
  <c r="AF41" i="8"/>
  <c r="T53" i="8"/>
  <c r="AC44" i="8"/>
  <c r="P54" i="8"/>
  <c r="AD52" i="8"/>
  <c r="V57" i="8"/>
  <c r="M41" i="8"/>
  <c r="AA54" i="8"/>
  <c r="L41" i="8"/>
  <c r="AH54" i="8"/>
  <c r="Y38" i="8"/>
  <c r="Z39" i="8"/>
  <c r="O36" i="8"/>
  <c r="U51" i="8"/>
  <c r="I36" i="8"/>
  <c r="S50" i="8"/>
  <c r="I35" i="8"/>
  <c r="N54" i="8"/>
  <c r="N50" i="8"/>
  <c r="Y36" i="8"/>
  <c r="R54" i="8"/>
  <c r="R49" i="8"/>
  <c r="Y42" i="8"/>
  <c r="AG55" i="8"/>
  <c r="AD38" i="8"/>
  <c r="AA41" i="8"/>
  <c r="U44" i="8"/>
  <c r="V56" i="8"/>
  <c r="AI35" i="8"/>
  <c r="AH36" i="8"/>
  <c r="Q55" i="8"/>
  <c r="M40" i="8"/>
  <c r="L58" i="8"/>
  <c r="W48" i="8"/>
  <c r="Y48" i="8"/>
  <c r="AD42" i="8"/>
  <c r="V51" i="8"/>
  <c r="N49" i="8"/>
  <c r="T54" i="8"/>
  <c r="AA49" i="8"/>
  <c r="AF40" i="8"/>
  <c r="H38" i="8"/>
  <c r="Z40" i="8"/>
  <c r="Y37" i="8"/>
  <c r="AH57" i="8"/>
  <c r="X51" i="8"/>
  <c r="V50" i="8"/>
  <c r="U52" i="8"/>
  <c r="J36" i="8"/>
  <c r="Q41" i="8"/>
  <c r="O39" i="8"/>
  <c r="X42" i="8"/>
  <c r="AI55" i="8"/>
  <c r="Z51" i="8"/>
  <c r="J41" i="8"/>
  <c r="P56" i="8"/>
  <c r="L52" i="8"/>
  <c r="N44" i="8"/>
  <c r="K35" i="8"/>
  <c r="Q43" i="8"/>
  <c r="G51" i="8"/>
  <c r="W35" i="8"/>
  <c r="K49" i="8"/>
  <c r="AF35" i="8"/>
  <c r="Q58" i="8"/>
  <c r="L40" i="8"/>
  <c r="N36" i="8"/>
  <c r="M38" i="8"/>
  <c r="M49" i="8"/>
  <c r="H43" i="8"/>
  <c r="T44" i="8"/>
  <c r="R52" i="8"/>
  <c r="U48" i="8"/>
  <c r="L57" i="8"/>
  <c r="AH49" i="8"/>
  <c r="AE41" i="8"/>
  <c r="R34" i="8"/>
  <c r="AC50" i="8"/>
  <c r="K41" i="8"/>
  <c r="L37" i="8"/>
  <c r="AB50" i="8"/>
  <c r="AD58" i="8"/>
  <c r="O37" i="8"/>
  <c r="Q48" i="8"/>
  <c r="AF50" i="8"/>
  <c r="AH35" i="8"/>
  <c r="AG56" i="8"/>
  <c r="S58" i="8"/>
  <c r="L49" i="8"/>
  <c r="N39" i="8"/>
  <c r="P52" i="8"/>
  <c r="AA37" i="8"/>
  <c r="W51" i="8"/>
  <c r="L34" i="8"/>
  <c r="Y43" i="8"/>
  <c r="AC42" i="8"/>
  <c r="S53" i="8"/>
  <c r="P36" i="8"/>
  <c r="J51" i="8"/>
  <c r="AF55" i="8"/>
  <c r="AE55" i="8"/>
  <c r="G52" i="8"/>
  <c r="Q51" i="8"/>
  <c r="L53" i="8"/>
  <c r="M58" i="8"/>
  <c r="M39" i="8"/>
  <c r="AC41" i="8"/>
  <c r="G40" i="8"/>
  <c r="S35" i="8"/>
  <c r="W44" i="8"/>
  <c r="Y54" i="8"/>
  <c r="N40" i="8"/>
  <c r="AB39" i="8"/>
  <c r="AC48" i="8"/>
  <c r="AI36" i="8"/>
  <c r="AB57" i="8"/>
  <c r="W39" i="8"/>
  <c r="Q56" i="8"/>
  <c r="N53" i="8"/>
  <c r="Y41" i="8"/>
  <c r="O52" i="8"/>
  <c r="V49" i="8"/>
  <c r="AH38" i="8"/>
  <c r="AI41" i="8"/>
  <c r="H42" i="8"/>
  <c r="J37" i="8"/>
  <c r="Z54" i="8"/>
  <c r="Z50" i="8"/>
  <c r="J44" i="8"/>
  <c r="H40" i="8"/>
  <c r="R39" i="8"/>
  <c r="K34" i="8"/>
  <c r="Q42" i="8"/>
  <c r="Y34" i="8"/>
  <c r="AI43" i="8"/>
  <c r="AH52" i="8"/>
  <c r="R48" i="8"/>
  <c r="Q38" i="8"/>
  <c r="Q40" i="8"/>
  <c r="S44" i="8"/>
  <c r="X39" i="8"/>
  <c r="O56" i="8"/>
  <c r="Y56" i="8"/>
  <c r="N38" i="8"/>
  <c r="N51" i="8"/>
  <c r="I53" i="8"/>
  <c r="AD39" i="8"/>
  <c r="X49" i="8"/>
  <c r="AE49" i="8"/>
  <c r="AE56" i="8"/>
  <c r="AC34" i="8"/>
  <c r="X38" i="8"/>
  <c r="Z57" i="8"/>
  <c r="M44" i="8"/>
  <c r="M42" i="8"/>
  <c r="P34" i="8"/>
  <c r="AA57" i="8"/>
  <c r="I43" i="8"/>
  <c r="AA51" i="8"/>
  <c r="O57" i="8"/>
  <c r="Z41" i="8"/>
  <c r="H58" i="8"/>
  <c r="AI39" i="8"/>
  <c r="AE48" i="8"/>
  <c r="AI44" i="8"/>
  <c r="M55" i="8"/>
  <c r="K55" i="8"/>
  <c r="P44" i="8"/>
  <c r="P41" i="8"/>
  <c r="R53" i="8"/>
  <c r="Q37" i="8"/>
  <c r="R41" i="8"/>
  <c r="Q35" i="8"/>
  <c r="L48" i="8"/>
  <c r="S36" i="8"/>
  <c r="Q50" i="8"/>
  <c r="G36" i="8"/>
  <c r="AI42" i="8"/>
  <c r="AI49" i="8"/>
  <c r="AI56" i="8"/>
  <c r="M52" i="8"/>
  <c r="J53" i="8"/>
  <c r="S57" i="8"/>
  <c r="R50" i="8"/>
  <c r="Y40" i="8"/>
  <c r="R56" i="8"/>
  <c r="X50" i="8"/>
  <c r="H53" i="8"/>
  <c r="I41" i="8"/>
  <c r="G54" i="8"/>
  <c r="AA38" i="8"/>
  <c r="T50" i="8"/>
  <c r="AH40" i="8"/>
  <c r="AG52" i="8"/>
  <c r="AE50" i="8"/>
  <c r="Z49" i="8"/>
  <c r="P51" i="8"/>
  <c r="V53" i="8"/>
  <c r="L35" i="8"/>
  <c r="AB49" i="8"/>
  <c r="L36" i="8"/>
  <c r="AD56" i="8"/>
  <c r="AB51" i="8"/>
  <c r="L42" i="8"/>
  <c r="Y49" i="8"/>
  <c r="G35" i="8"/>
  <c r="M50" i="8"/>
  <c r="AF48" i="8"/>
  <c r="Y50" i="8"/>
  <c r="M53" i="8"/>
  <c r="H51" i="8"/>
  <c r="AD57" i="8"/>
  <c r="Q34" i="8"/>
  <c r="J42" i="8"/>
  <c r="P38" i="8"/>
  <c r="T42" i="8"/>
  <c r="M48" i="8"/>
  <c r="W53" i="8"/>
  <c r="O38" i="8"/>
  <c r="S34" i="8"/>
  <c r="AH34" i="8"/>
  <c r="AB34" i="8"/>
  <c r="R44" i="8"/>
  <c r="AD54" i="8"/>
  <c r="K37" i="8"/>
  <c r="O55" i="8"/>
  <c r="AA55" i="8"/>
  <c r="K56" i="8"/>
  <c r="S39" i="8"/>
  <c r="W58" i="8"/>
  <c r="AD34" i="8"/>
  <c r="O58" i="8"/>
  <c r="AG49" i="8"/>
  <c r="R43" i="8"/>
  <c r="O42" i="8"/>
  <c r="AB44" i="8"/>
  <c r="P55" i="8"/>
  <c r="AG41" i="8"/>
  <c r="P43" i="8"/>
  <c r="U39" i="8"/>
  <c r="AD35" i="8"/>
  <c r="AI51" i="8"/>
  <c r="V39" i="8"/>
  <c r="O48" i="8"/>
  <c r="I54" i="8"/>
  <c r="U43" i="8"/>
  <c r="AB38" i="8"/>
  <c r="H39" i="8"/>
  <c r="T43" i="8"/>
  <c r="Z55" i="8"/>
  <c r="H35" i="8"/>
  <c r="Z37" i="8"/>
  <c r="BF38" i="3" l="1"/>
  <c r="BF5" i="3"/>
  <c r="BF76" i="3"/>
  <c r="BF20" i="3"/>
  <c r="BF103" i="3"/>
  <c r="BF35" i="3"/>
  <c r="Y45" i="8" a="1"/>
  <c r="Y45" i="8" s="1"/>
  <c r="V12" i="7" s="1"/>
  <c r="Y59" i="8" a="1"/>
  <c r="Y59" i="8" s="1"/>
  <c r="E28" i="14"/>
  <c r="M45" i="8" a="1"/>
  <c r="M45" i="8" s="1"/>
  <c r="J12" i="7" s="1"/>
  <c r="L45" i="8" a="1"/>
  <c r="L45" i="8" s="1"/>
  <c r="I12" i="7" s="1"/>
  <c r="J45" i="8" a="1"/>
  <c r="J45" i="8" s="1"/>
  <c r="G12" i="7" s="1"/>
  <c r="V45" i="8" a="1"/>
  <c r="V45" i="8" s="1"/>
  <c r="S12" i="7" s="1"/>
  <c r="AI45" i="8" a="1"/>
  <c r="AI45" i="8" s="1"/>
  <c r="AF12" i="7" s="1"/>
  <c r="AK45" i="8" a="1"/>
  <c r="AK45" i="8" s="1"/>
  <c r="AJ45" i="8" a="1"/>
  <c r="AJ45" i="8" s="1"/>
  <c r="AG12" i="7" s="1"/>
  <c r="AJ59" i="8" a="1"/>
  <c r="AJ59" i="8" s="1"/>
  <c r="AK59" i="8" a="1"/>
  <c r="AK59" i="8" s="1"/>
  <c r="L31" i="13"/>
  <c r="V31" i="13"/>
  <c r="Q31" i="13"/>
  <c r="O29" i="13"/>
  <c r="V29" i="13"/>
  <c r="Q29" i="13"/>
  <c r="W29" i="14"/>
  <c r="AD28" i="13"/>
  <c r="V28" i="13"/>
  <c r="Q28" i="13"/>
  <c r="J28" i="14"/>
  <c r="V28" i="14"/>
  <c r="Q28" i="14"/>
  <c r="N29" i="14"/>
  <c r="V29" i="14"/>
  <c r="Q29" i="14"/>
  <c r="AA29" i="10"/>
  <c r="AB29" i="10"/>
  <c r="V29" i="7"/>
  <c r="Q29" i="7"/>
  <c r="W28" i="7"/>
  <c r="V28" i="7"/>
  <c r="Q28" i="7"/>
  <c r="T28" i="13"/>
  <c r="G28" i="14"/>
  <c r="K28" i="14"/>
  <c r="AG59" i="8" a="1"/>
  <c r="AG59" i="8" s="1"/>
  <c r="AB45" i="8" a="1"/>
  <c r="AB45" i="8" s="1"/>
  <c r="Y12" i="7" s="1"/>
  <c r="AG45" i="8" a="1"/>
  <c r="AG45" i="8" s="1"/>
  <c r="AD12" i="7" s="1"/>
  <c r="N45" i="8" a="1"/>
  <c r="N45" i="8" s="1"/>
  <c r="K12" i="7" s="1"/>
  <c r="T45" i="8" a="1"/>
  <c r="T45" i="8" s="1"/>
  <c r="Q12" i="7" s="1"/>
  <c r="AD59" i="8" a="1"/>
  <c r="AD59" i="8" s="1"/>
  <c r="AD45" i="8" a="1"/>
  <c r="AD45" i="8" s="1"/>
  <c r="AA12" i="7" s="1"/>
  <c r="AB59" i="8" a="1"/>
  <c r="AB59" i="8" s="1"/>
  <c r="Q45" i="8" a="1"/>
  <c r="Q45" i="8" s="1"/>
  <c r="N12" i="7" s="1"/>
  <c r="AF45" i="8" a="1"/>
  <c r="AF45" i="8" s="1"/>
  <c r="AC12" i="7" s="1"/>
  <c r="K45" i="8" a="1"/>
  <c r="K45" i="8" s="1"/>
  <c r="H12" i="7" s="1"/>
  <c r="AH45" i="8" a="1"/>
  <c r="AH45" i="8" s="1"/>
  <c r="AE12" i="7" s="1"/>
  <c r="W45" i="8" a="1"/>
  <c r="W45" i="8" s="1"/>
  <c r="T12" i="7" s="1"/>
  <c r="R45" i="8" a="1"/>
  <c r="R45" i="8" s="1"/>
  <c r="O12" i="7" s="1"/>
  <c r="AF59" i="8" a="1"/>
  <c r="AF59" i="8" s="1"/>
  <c r="G45" i="8" a="1"/>
  <c r="G45" i="8" s="1"/>
  <c r="D12" i="7" s="1"/>
  <c r="Z45" i="8" a="1"/>
  <c r="Z45" i="8" s="1"/>
  <c r="W12" i="7" s="1"/>
  <c r="U45" i="8" a="1"/>
  <c r="U45" i="8" s="1"/>
  <c r="R12" i="7" s="1"/>
  <c r="Z59" i="8" a="1"/>
  <c r="Z59" i="8" s="1"/>
  <c r="X59" i="8" a="1"/>
  <c r="X59" i="8" s="1"/>
  <c r="AI59" i="8" a="1"/>
  <c r="AI59" i="8" s="1"/>
  <c r="AC59" i="8" a="1"/>
  <c r="AC59" i="8" s="1"/>
  <c r="AA59" i="8" a="1"/>
  <c r="AA59" i="8" s="1"/>
  <c r="AH59" i="8" a="1"/>
  <c r="AH59" i="8" s="1"/>
  <c r="AC45" i="8" a="1"/>
  <c r="AC45" i="8" s="1"/>
  <c r="Z12" i="7" s="1"/>
  <c r="I45" i="8" a="1"/>
  <c r="I45" i="8" s="1"/>
  <c r="F12" i="7" s="1"/>
  <c r="X45" i="8" a="1"/>
  <c r="X45" i="8" s="1"/>
  <c r="U12" i="7" s="1"/>
  <c r="H45" i="8" a="1"/>
  <c r="H45" i="8" s="1"/>
  <c r="E12" i="7" s="1"/>
  <c r="S45" i="8" a="1"/>
  <c r="S45" i="8" s="1"/>
  <c r="P12" i="7" s="1"/>
  <c r="AA45" i="8" a="1"/>
  <c r="AA45" i="8" s="1"/>
  <c r="X12" i="7" s="1"/>
  <c r="P45" i="8" a="1"/>
  <c r="P45" i="8" s="1"/>
  <c r="M12" i="7" s="1"/>
  <c r="O45" i="8" a="1"/>
  <c r="O45" i="8" s="1"/>
  <c r="L12" i="7" s="1"/>
  <c r="AE45" i="8" a="1"/>
  <c r="AE45" i="8" s="1"/>
  <c r="AB12" i="7" s="1"/>
  <c r="AE59" i="8" a="1"/>
  <c r="AE59" i="8" s="1"/>
  <c r="AA102" i="3"/>
  <c r="AA97" i="3"/>
  <c r="AA91" i="3"/>
  <c r="AA86" i="3"/>
  <c r="AA80" i="3"/>
  <c r="AA75" i="3"/>
  <c r="AA70" i="3"/>
  <c r="AA64" i="3"/>
  <c r="AA59" i="3"/>
  <c r="AA53" i="3"/>
  <c r="AA47" i="3"/>
  <c r="AA41" i="3"/>
  <c r="AA42" i="3" s="1"/>
  <c r="AA36" i="3"/>
  <c r="AA30" i="3"/>
  <c r="AA24" i="3"/>
  <c r="AA19" i="3"/>
  <c r="AA14" i="3"/>
  <c r="AA8" i="3"/>
  <c r="AA3" i="3"/>
  <c r="AA98" i="3"/>
  <c r="AA92" i="3"/>
  <c r="AA87" i="3"/>
  <c r="AA81" i="3"/>
  <c r="AA77" i="3"/>
  <c r="AA83" i="3" s="1"/>
  <c r="BG83" i="3" s="1"/>
  <c r="AA71" i="3"/>
  <c r="AA65" i="3"/>
  <c r="AA60" i="3"/>
  <c r="AA54" i="3"/>
  <c r="AA49" i="3"/>
  <c r="AA44" i="3"/>
  <c r="AA37" i="3"/>
  <c r="AA31" i="3"/>
  <c r="AA25" i="3"/>
  <c r="AA21" i="3"/>
  <c r="BG21" i="3" s="1"/>
  <c r="AA15" i="3"/>
  <c r="AA9" i="3"/>
  <c r="AA4" i="3"/>
  <c r="AA99" i="3"/>
  <c r="AA93" i="3"/>
  <c r="AA89" i="3"/>
  <c r="AA95" i="3" s="1"/>
  <c r="BG95" i="3" s="1"/>
  <c r="AA84" i="3"/>
  <c r="AA78" i="3"/>
  <c r="AA72" i="3"/>
  <c r="AA66" i="3"/>
  <c r="AA62" i="3"/>
  <c r="AA68" i="3" s="1"/>
  <c r="BG68" i="3" s="1"/>
  <c r="AA57" i="3"/>
  <c r="AA50" i="3"/>
  <c r="AA45" i="3"/>
  <c r="AA39" i="3"/>
  <c r="BG39" i="3" s="1"/>
  <c r="AA33" i="3"/>
  <c r="AA28" i="3"/>
  <c r="AA22" i="3"/>
  <c r="AA16" i="3"/>
  <c r="AA10" i="3"/>
  <c r="AA6" i="3"/>
  <c r="AA12" i="3" s="1"/>
  <c r="BG12" i="3" s="1"/>
  <c r="AA101" i="3"/>
  <c r="AA96" i="3"/>
  <c r="AA90" i="3"/>
  <c r="AA85" i="3"/>
  <c r="AA79" i="3"/>
  <c r="AA74" i="3"/>
  <c r="AA69" i="3"/>
  <c r="AA63" i="3"/>
  <c r="AA58" i="3"/>
  <c r="AA52" i="3"/>
  <c r="AA56" i="3" s="1"/>
  <c r="BG56" i="3" s="1"/>
  <c r="AA46" i="3"/>
  <c r="AA34" i="3"/>
  <c r="AA29" i="3"/>
  <c r="AA23" i="3"/>
  <c r="AA18" i="3"/>
  <c r="AA13" i="3"/>
  <c r="AA7" i="3"/>
  <c r="AB102" i="3"/>
  <c r="AB97" i="3"/>
  <c r="AB91" i="3"/>
  <c r="AB86" i="3"/>
  <c r="AB80" i="3"/>
  <c r="AB75" i="3"/>
  <c r="AB70" i="3"/>
  <c r="AB64" i="3"/>
  <c r="AB59" i="3"/>
  <c r="AB53" i="3"/>
  <c r="AB47" i="3"/>
  <c r="AB41" i="3"/>
  <c r="AB42" i="3" s="1"/>
  <c r="AB36" i="3"/>
  <c r="AB30" i="3"/>
  <c r="AB24" i="3"/>
  <c r="AB19" i="3"/>
  <c r="AB14" i="3"/>
  <c r="AB8" i="3"/>
  <c r="AB3" i="3"/>
  <c r="AB98" i="3"/>
  <c r="AB92" i="3"/>
  <c r="AB87" i="3"/>
  <c r="AB81" i="3"/>
  <c r="AB77" i="3"/>
  <c r="AB83" i="3" s="1"/>
  <c r="BH83" i="3" s="1"/>
  <c r="AB71" i="3"/>
  <c r="AB65" i="3"/>
  <c r="AB60" i="3"/>
  <c r="AB54" i="3"/>
  <c r="AB49" i="3"/>
  <c r="AB44" i="3"/>
  <c r="AB37" i="3"/>
  <c r="AB31" i="3"/>
  <c r="AB25" i="3"/>
  <c r="AB21" i="3"/>
  <c r="BH21" i="3" s="1"/>
  <c r="AB15" i="3"/>
  <c r="AB9" i="3"/>
  <c r="AB4" i="3"/>
  <c r="AB99" i="3"/>
  <c r="AB93" i="3"/>
  <c r="AB89" i="3"/>
  <c r="AB95" i="3" s="1"/>
  <c r="BH95" i="3" s="1"/>
  <c r="AB84" i="3"/>
  <c r="AB78" i="3"/>
  <c r="AB72" i="3"/>
  <c r="AB66" i="3"/>
  <c r="AB62" i="3"/>
  <c r="AB68" i="3" s="1"/>
  <c r="BH68" i="3" s="1"/>
  <c r="AB57" i="3"/>
  <c r="AB50" i="3"/>
  <c r="AB45" i="3"/>
  <c r="AB39" i="3"/>
  <c r="BH39" i="3" s="1"/>
  <c r="AB33" i="3"/>
  <c r="AB28" i="3"/>
  <c r="AB22" i="3"/>
  <c r="AB16" i="3"/>
  <c r="AB10" i="3"/>
  <c r="AB6" i="3"/>
  <c r="AB12" i="3" s="1"/>
  <c r="BH12" i="3" s="1"/>
  <c r="AB101" i="3"/>
  <c r="AB96" i="3"/>
  <c r="AB90" i="3"/>
  <c r="AB85" i="3"/>
  <c r="AB79" i="3"/>
  <c r="AB74" i="3"/>
  <c r="AB69" i="3"/>
  <c r="AB63" i="3"/>
  <c r="AB58" i="3"/>
  <c r="AB52" i="3"/>
  <c r="AB56" i="3" s="1"/>
  <c r="BH56" i="3" s="1"/>
  <c r="AB46" i="3"/>
  <c r="AB34" i="3"/>
  <c r="AB29" i="3"/>
  <c r="AB23" i="3"/>
  <c r="AB18" i="3"/>
  <c r="AB13" i="3"/>
  <c r="AB7" i="3"/>
  <c r="AC102" i="3"/>
  <c r="AC97" i="3"/>
  <c r="AC91" i="3"/>
  <c r="AC86" i="3"/>
  <c r="AC80" i="3"/>
  <c r="AC75" i="3"/>
  <c r="AC70" i="3"/>
  <c r="AC64" i="3"/>
  <c r="AC47" i="3"/>
  <c r="AC41" i="3"/>
  <c r="AC42" i="3" s="1"/>
  <c r="AC30" i="3"/>
  <c r="AC24" i="3"/>
  <c r="AC19" i="3"/>
  <c r="AC14" i="3"/>
  <c r="AC8" i="3"/>
  <c r="AC3" i="3"/>
  <c r="AC98" i="3"/>
  <c r="AC92" i="3"/>
  <c r="AC87" i="3"/>
  <c r="AC81" i="3"/>
  <c r="AC77" i="3"/>
  <c r="AC83" i="3" s="1"/>
  <c r="BI83" i="3" s="1"/>
  <c r="AC71" i="3"/>
  <c r="AC65" i="3"/>
  <c r="AC49" i="3"/>
  <c r="AC44" i="3"/>
  <c r="AC31" i="3"/>
  <c r="AC25" i="3"/>
  <c r="AC21" i="3"/>
  <c r="BI21" i="3" s="1"/>
  <c r="AC15" i="3"/>
  <c r="AC9" i="3"/>
  <c r="AC4" i="3"/>
  <c r="AC99" i="3"/>
  <c r="AC93" i="3"/>
  <c r="AC89" i="3"/>
  <c r="AC95" i="3" s="1"/>
  <c r="BI95" i="3" s="1"/>
  <c r="AC84" i="3"/>
  <c r="AC78" i="3"/>
  <c r="AC72" i="3"/>
  <c r="AC66" i="3"/>
  <c r="AC62" i="3"/>
  <c r="AC68" i="3" s="1"/>
  <c r="BI68" i="3" s="1"/>
  <c r="AC50" i="3"/>
  <c r="AC45" i="3"/>
  <c r="AC39" i="3"/>
  <c r="BI39" i="3" s="1"/>
  <c r="AC33" i="3"/>
  <c r="AC28" i="3"/>
  <c r="AC22" i="3"/>
  <c r="AC16" i="3"/>
  <c r="AC10" i="3"/>
  <c r="AC6" i="3"/>
  <c r="AC12" i="3" s="1"/>
  <c r="BI12" i="3" s="1"/>
  <c r="AC101" i="3"/>
  <c r="AC96" i="3"/>
  <c r="AC90" i="3"/>
  <c r="AC85" i="3"/>
  <c r="AC79" i="3"/>
  <c r="AC74" i="3"/>
  <c r="AC69" i="3"/>
  <c r="AC63" i="3"/>
  <c r="AC46" i="3"/>
  <c r="AC34" i="3"/>
  <c r="AC29" i="3"/>
  <c r="AC23" i="3"/>
  <c r="AC18" i="3"/>
  <c r="AC13" i="3"/>
  <c r="AC7" i="3"/>
  <c r="AD98" i="3"/>
  <c r="AD87" i="3"/>
  <c r="AD81" i="3"/>
  <c r="AD77" i="3"/>
  <c r="AD83" i="3" s="1"/>
  <c r="BJ83" i="3" s="1"/>
  <c r="AD71" i="3"/>
  <c r="AD65" i="3"/>
  <c r="AD49" i="3"/>
  <c r="AD44" i="3"/>
  <c r="AD31" i="3"/>
  <c r="AD25" i="3"/>
  <c r="AD21" i="3"/>
  <c r="BJ21" i="3" s="1"/>
  <c r="AD15" i="3"/>
  <c r="AD9" i="3"/>
  <c r="AD4" i="3"/>
  <c r="AD99" i="3"/>
  <c r="AD89" i="3"/>
  <c r="AD95" i="3" s="1"/>
  <c r="BJ95" i="3" s="1"/>
  <c r="AD84" i="3"/>
  <c r="AD78" i="3"/>
  <c r="AD72" i="3"/>
  <c r="AD66" i="3"/>
  <c r="AD62" i="3"/>
  <c r="AD68" i="3" s="1"/>
  <c r="BJ68" i="3" s="1"/>
  <c r="AD50" i="3"/>
  <c r="AD45" i="3"/>
  <c r="AD39" i="3"/>
  <c r="BJ39" i="3" s="1"/>
  <c r="AD33" i="3"/>
  <c r="AD28" i="3"/>
  <c r="AD22" i="3"/>
  <c r="AD16" i="3"/>
  <c r="AD10" i="3"/>
  <c r="AD6" i="3"/>
  <c r="AD12" i="3" s="1"/>
  <c r="BJ12" i="3" s="1"/>
  <c r="AD101" i="3"/>
  <c r="AD96" i="3"/>
  <c r="AD85" i="3"/>
  <c r="AD79" i="3"/>
  <c r="AD74" i="3"/>
  <c r="AD69" i="3"/>
  <c r="AD63" i="3"/>
  <c r="AD46" i="3"/>
  <c r="AD34" i="3"/>
  <c r="AD29" i="3"/>
  <c r="AD23" i="3"/>
  <c r="AD18" i="3"/>
  <c r="AD13" i="3"/>
  <c r="AD7" i="3"/>
  <c r="AD102" i="3"/>
  <c r="AD97" i="3"/>
  <c r="AD86" i="3"/>
  <c r="AD80" i="3"/>
  <c r="AD75" i="3"/>
  <c r="AD70" i="3"/>
  <c r="AD64" i="3"/>
  <c r="AD47" i="3"/>
  <c r="AD41" i="3"/>
  <c r="AD42" i="3" s="1"/>
  <c r="AD30" i="3"/>
  <c r="AD24" i="3"/>
  <c r="AD19" i="3"/>
  <c r="AD14" i="3"/>
  <c r="AD8" i="3"/>
  <c r="AD3" i="3"/>
  <c r="AE98" i="3"/>
  <c r="AE87" i="3"/>
  <c r="AE81" i="3"/>
  <c r="AE77" i="3"/>
  <c r="AE83" i="3" s="1"/>
  <c r="BK83" i="3" s="1"/>
  <c r="AE71" i="3"/>
  <c r="AE65" i="3"/>
  <c r="AE49" i="3"/>
  <c r="AE44" i="3"/>
  <c r="AE31" i="3"/>
  <c r="AE25" i="3"/>
  <c r="AE21" i="3"/>
  <c r="BK21" i="3" s="1"/>
  <c r="AE15" i="3"/>
  <c r="AE9" i="3"/>
  <c r="AE4" i="3"/>
  <c r="AE99" i="3"/>
  <c r="AE89" i="3"/>
  <c r="AE95" i="3" s="1"/>
  <c r="BK95" i="3" s="1"/>
  <c r="AE84" i="3"/>
  <c r="AE78" i="3"/>
  <c r="AE72" i="3"/>
  <c r="AE66" i="3"/>
  <c r="AE62" i="3"/>
  <c r="AE68" i="3" s="1"/>
  <c r="BK68" i="3" s="1"/>
  <c r="AE50" i="3"/>
  <c r="AE45" i="3"/>
  <c r="AE39" i="3"/>
  <c r="BK39" i="3" s="1"/>
  <c r="AE33" i="3"/>
  <c r="AE28" i="3"/>
  <c r="AE22" i="3"/>
  <c r="AE16" i="3"/>
  <c r="AE10" i="3"/>
  <c r="AE6" i="3"/>
  <c r="AE12" i="3" s="1"/>
  <c r="BK12" i="3" s="1"/>
  <c r="AE101" i="3"/>
  <c r="AE96" i="3"/>
  <c r="AE85" i="3"/>
  <c r="AE79" i="3"/>
  <c r="AE74" i="3"/>
  <c r="AE69" i="3"/>
  <c r="AE63" i="3"/>
  <c r="AE46" i="3"/>
  <c r="AE34" i="3"/>
  <c r="AE29" i="3"/>
  <c r="AE23" i="3"/>
  <c r="AE18" i="3"/>
  <c r="AE13" i="3"/>
  <c r="AE7" i="3"/>
  <c r="AE102" i="3"/>
  <c r="AE97" i="3"/>
  <c r="AE86" i="3"/>
  <c r="AE80" i="3"/>
  <c r="AE75" i="3"/>
  <c r="AE70" i="3"/>
  <c r="AE64" i="3"/>
  <c r="AE47" i="3"/>
  <c r="AE41" i="3"/>
  <c r="AE42" i="3" s="1"/>
  <c r="AE30" i="3"/>
  <c r="AE24" i="3"/>
  <c r="AE19" i="3"/>
  <c r="AE14" i="3"/>
  <c r="AE8" i="3"/>
  <c r="AE3" i="3"/>
  <c r="AF98" i="3"/>
  <c r="AF92" i="3"/>
  <c r="AF87" i="3"/>
  <c r="AF81" i="3"/>
  <c r="AF77" i="3"/>
  <c r="AF83" i="3" s="1"/>
  <c r="BL83" i="3" s="1"/>
  <c r="AF71" i="3"/>
  <c r="AF65" i="3"/>
  <c r="AF49" i="3"/>
  <c r="AF44" i="3"/>
  <c r="AF31" i="3"/>
  <c r="AF25" i="3"/>
  <c r="AF21" i="3"/>
  <c r="BL21" i="3" s="1"/>
  <c r="AF15" i="3"/>
  <c r="AF9" i="3"/>
  <c r="AF4" i="3"/>
  <c r="AF99" i="3"/>
  <c r="AF93" i="3"/>
  <c r="AF89" i="3"/>
  <c r="AF95" i="3" s="1"/>
  <c r="BL95" i="3" s="1"/>
  <c r="AF84" i="3"/>
  <c r="AF78" i="3"/>
  <c r="AF72" i="3"/>
  <c r="AF66" i="3"/>
  <c r="AF62" i="3"/>
  <c r="AF68" i="3" s="1"/>
  <c r="BL68" i="3" s="1"/>
  <c r="AF50" i="3"/>
  <c r="AF45" i="3"/>
  <c r="AF39" i="3"/>
  <c r="BL39" i="3" s="1"/>
  <c r="AF33" i="3"/>
  <c r="AF28" i="3"/>
  <c r="AF22" i="3"/>
  <c r="AF16" i="3"/>
  <c r="AF10" i="3"/>
  <c r="AF6" i="3"/>
  <c r="AF12" i="3" s="1"/>
  <c r="BL12" i="3" s="1"/>
  <c r="AF101" i="3"/>
  <c r="AF96" i="3"/>
  <c r="AF90" i="3"/>
  <c r="AF85" i="3"/>
  <c r="AF79" i="3"/>
  <c r="AF74" i="3"/>
  <c r="AF69" i="3"/>
  <c r="AF63" i="3"/>
  <c r="AF46" i="3"/>
  <c r="AF34" i="3"/>
  <c r="AF29" i="3"/>
  <c r="AF23" i="3"/>
  <c r="AF18" i="3"/>
  <c r="AF13" i="3"/>
  <c r="AF7" i="3"/>
  <c r="AF102" i="3"/>
  <c r="AF97" i="3"/>
  <c r="AF91" i="3"/>
  <c r="AF86" i="3"/>
  <c r="AF80" i="3"/>
  <c r="AF75" i="3"/>
  <c r="AF70" i="3"/>
  <c r="AF64" i="3"/>
  <c r="AF47" i="3"/>
  <c r="AF41" i="3"/>
  <c r="AF42" i="3" s="1"/>
  <c r="AF30" i="3"/>
  <c r="AF24" i="3"/>
  <c r="AF19" i="3"/>
  <c r="AF14" i="3"/>
  <c r="AF8" i="3"/>
  <c r="AF3" i="3"/>
  <c r="BM2" i="3"/>
  <c r="CR2" i="3" s="1"/>
  <c r="AG98" i="3"/>
  <c r="AG87" i="3"/>
  <c r="AG81" i="3"/>
  <c r="AG77" i="3"/>
  <c r="AG83" i="3" s="1"/>
  <c r="BM83" i="3" s="1"/>
  <c r="AG71" i="3"/>
  <c r="AG65" i="3"/>
  <c r="AG60" i="3"/>
  <c r="AG54" i="3"/>
  <c r="AG49" i="3"/>
  <c r="AG44" i="3"/>
  <c r="AG31" i="3"/>
  <c r="AG25" i="3"/>
  <c r="AG21" i="3"/>
  <c r="BM21" i="3" s="1"/>
  <c r="AG15" i="3"/>
  <c r="AG9" i="3"/>
  <c r="AG4" i="3"/>
  <c r="AG99" i="3"/>
  <c r="AG89" i="3"/>
  <c r="AG95" i="3" s="1"/>
  <c r="BM95" i="3" s="1"/>
  <c r="AG84" i="3"/>
  <c r="AG78" i="3"/>
  <c r="AG72" i="3"/>
  <c r="AG66" i="3"/>
  <c r="AG62" i="3"/>
  <c r="AG68" i="3" s="1"/>
  <c r="BM68" i="3" s="1"/>
  <c r="AG57" i="3"/>
  <c r="AG50" i="3"/>
  <c r="AG45" i="3"/>
  <c r="AG39" i="3"/>
  <c r="BM39" i="3" s="1"/>
  <c r="AG33" i="3"/>
  <c r="AG28" i="3"/>
  <c r="AG22" i="3"/>
  <c r="AG16" i="3"/>
  <c r="AG10" i="3"/>
  <c r="AG6" i="3"/>
  <c r="AG12" i="3" s="1"/>
  <c r="BM12" i="3" s="1"/>
  <c r="AG101" i="3"/>
  <c r="AG96" i="3"/>
  <c r="AG85" i="3"/>
  <c r="AG79" i="3"/>
  <c r="AG74" i="3"/>
  <c r="AG69" i="3"/>
  <c r="AG63" i="3"/>
  <c r="AG58" i="3"/>
  <c r="AG52" i="3"/>
  <c r="AG56" i="3" s="1"/>
  <c r="BM56" i="3" s="1"/>
  <c r="AG46" i="3"/>
  <c r="AG34" i="3"/>
  <c r="AG29" i="3"/>
  <c r="AG23" i="3"/>
  <c r="AG18" i="3"/>
  <c r="AG13" i="3"/>
  <c r="AG7" i="3"/>
  <c r="AG102" i="3"/>
  <c r="AG97" i="3"/>
  <c r="AG86" i="3"/>
  <c r="AG80" i="3"/>
  <c r="AG75" i="3"/>
  <c r="AG70" i="3"/>
  <c r="AG64" i="3"/>
  <c r="AG59" i="3"/>
  <c r="AG53" i="3"/>
  <c r="AG47" i="3"/>
  <c r="AG41" i="3"/>
  <c r="AG42" i="3" s="1"/>
  <c r="AG30" i="3"/>
  <c r="AG24" i="3"/>
  <c r="AG19" i="3"/>
  <c r="AG14" i="3"/>
  <c r="AG8" i="3"/>
  <c r="AG3" i="3"/>
  <c r="AH99" i="3"/>
  <c r="AH93" i="3"/>
  <c r="AH89" i="3"/>
  <c r="AH95" i="3" s="1"/>
  <c r="BN95" i="3" s="1"/>
  <c r="AH84" i="3"/>
  <c r="AH78" i="3"/>
  <c r="AH72" i="3"/>
  <c r="AH66" i="3"/>
  <c r="AH62" i="3"/>
  <c r="AH68" i="3" s="1"/>
  <c r="BN68" i="3" s="1"/>
  <c r="AH57" i="3"/>
  <c r="AH50" i="3"/>
  <c r="AH45" i="3"/>
  <c r="AH39" i="3"/>
  <c r="AH33" i="3"/>
  <c r="AH28" i="3"/>
  <c r="AH22" i="3"/>
  <c r="AH16" i="3"/>
  <c r="AH10" i="3"/>
  <c r="AH6" i="3"/>
  <c r="AH12" i="3" s="1"/>
  <c r="BN12" i="3" s="1"/>
  <c r="AH101" i="3"/>
  <c r="AH96" i="3"/>
  <c r="AH90" i="3"/>
  <c r="AH85" i="3"/>
  <c r="AH79" i="3"/>
  <c r="AH74" i="3"/>
  <c r="AH69" i="3"/>
  <c r="AH63" i="3"/>
  <c r="AH58" i="3"/>
  <c r="AH52" i="3"/>
  <c r="AH56" i="3" s="1"/>
  <c r="BN56" i="3" s="1"/>
  <c r="AH46" i="3"/>
  <c r="AH34" i="3"/>
  <c r="AH29" i="3"/>
  <c r="AH23" i="3"/>
  <c r="AH18" i="3"/>
  <c r="AH13" i="3"/>
  <c r="AH7" i="3"/>
  <c r="AH102" i="3"/>
  <c r="AH97" i="3"/>
  <c r="AH91" i="3"/>
  <c r="AH86" i="3"/>
  <c r="AH80" i="3"/>
  <c r="AH75" i="3"/>
  <c r="AH70" i="3"/>
  <c r="AH64" i="3"/>
  <c r="AH59" i="3"/>
  <c r="AH53" i="3"/>
  <c r="AH47" i="3"/>
  <c r="AH41" i="3"/>
  <c r="AH42" i="3" s="1"/>
  <c r="AH36" i="3"/>
  <c r="AH30" i="3"/>
  <c r="AH24" i="3"/>
  <c r="AH19" i="3"/>
  <c r="AH14" i="3"/>
  <c r="AH8" i="3"/>
  <c r="AH3" i="3"/>
  <c r="AH98" i="3"/>
  <c r="AH92" i="3"/>
  <c r="AH87" i="3"/>
  <c r="AH81" i="3"/>
  <c r="AH77" i="3"/>
  <c r="AH83" i="3" s="1"/>
  <c r="BN83" i="3" s="1"/>
  <c r="AH71" i="3"/>
  <c r="AH65" i="3"/>
  <c r="AH60" i="3"/>
  <c r="AH54" i="3"/>
  <c r="AH49" i="3"/>
  <c r="AH44" i="3"/>
  <c r="AH37" i="3"/>
  <c r="AH31" i="3"/>
  <c r="AH25" i="3"/>
  <c r="AH21" i="3"/>
  <c r="BN21" i="3" s="1"/>
  <c r="AH15" i="3"/>
  <c r="AH9" i="3"/>
  <c r="AH4" i="3"/>
  <c r="AI99" i="3"/>
  <c r="AI93" i="3"/>
  <c r="AI89" i="3"/>
  <c r="AI95" i="3" s="1"/>
  <c r="BO95" i="3" s="1"/>
  <c r="AI84" i="3"/>
  <c r="AI78" i="3"/>
  <c r="AI72" i="3"/>
  <c r="AI66" i="3"/>
  <c r="AI62" i="3"/>
  <c r="AI68" i="3" s="1"/>
  <c r="BO68" i="3" s="1"/>
  <c r="AI57" i="3"/>
  <c r="AI50" i="3"/>
  <c r="AI45" i="3"/>
  <c r="AI39" i="3"/>
  <c r="BO39" i="3" s="1"/>
  <c r="AI33" i="3"/>
  <c r="AI28" i="3"/>
  <c r="AI22" i="3"/>
  <c r="AI16" i="3"/>
  <c r="AI10" i="3"/>
  <c r="AI6" i="3"/>
  <c r="AI12" i="3" s="1"/>
  <c r="BO12" i="3" s="1"/>
  <c r="AI101" i="3"/>
  <c r="AI96" i="3"/>
  <c r="AI90" i="3"/>
  <c r="AI85" i="3"/>
  <c r="AI79" i="3"/>
  <c r="AI74" i="3"/>
  <c r="AI69" i="3"/>
  <c r="AI63" i="3"/>
  <c r="AI58" i="3"/>
  <c r="AI52" i="3"/>
  <c r="AI56" i="3" s="1"/>
  <c r="BO56" i="3" s="1"/>
  <c r="AI46" i="3"/>
  <c r="AI34" i="3"/>
  <c r="AI29" i="3"/>
  <c r="AI23" i="3"/>
  <c r="AI18" i="3"/>
  <c r="AI13" i="3"/>
  <c r="AI7" i="3"/>
  <c r="AI102" i="3"/>
  <c r="AI97" i="3"/>
  <c r="AI91" i="3"/>
  <c r="AI86" i="3"/>
  <c r="AI80" i="3"/>
  <c r="AI75" i="3"/>
  <c r="AI70" i="3"/>
  <c r="AI64" i="3"/>
  <c r="AI59" i="3"/>
  <c r="AI53" i="3"/>
  <c r="AI47" i="3"/>
  <c r="AI41" i="3"/>
  <c r="AI42" i="3" s="1"/>
  <c r="AI36" i="3"/>
  <c r="AI30" i="3"/>
  <c r="AI24" i="3"/>
  <c r="AI19" i="3"/>
  <c r="AI14" i="3"/>
  <c r="AI8" i="3"/>
  <c r="AI3" i="3"/>
  <c r="AI98" i="3"/>
  <c r="AI92" i="3"/>
  <c r="AI87" i="3"/>
  <c r="AI81" i="3"/>
  <c r="AI77" i="3"/>
  <c r="AI83" i="3" s="1"/>
  <c r="BO83" i="3" s="1"/>
  <c r="AI71" i="3"/>
  <c r="AI65" i="3"/>
  <c r="AI60" i="3"/>
  <c r="AI54" i="3"/>
  <c r="AI49" i="3"/>
  <c r="AI44" i="3"/>
  <c r="AI37" i="3"/>
  <c r="AI31" i="3"/>
  <c r="AI25" i="3"/>
  <c r="AI21" i="3"/>
  <c r="BO21" i="3" s="1"/>
  <c r="AI15" i="3"/>
  <c r="AI9" i="3"/>
  <c r="AI4" i="3"/>
  <c r="BP2" i="3"/>
  <c r="CU2" i="3" s="1"/>
  <c r="AJ99" i="3"/>
  <c r="AJ93" i="3"/>
  <c r="AJ89" i="3"/>
  <c r="AJ95" i="3" s="1"/>
  <c r="BP95" i="3" s="1"/>
  <c r="AJ84" i="3"/>
  <c r="AJ78" i="3"/>
  <c r="AJ72" i="3"/>
  <c r="AJ66" i="3"/>
  <c r="AJ62" i="3"/>
  <c r="AJ68" i="3" s="1"/>
  <c r="BP68" i="3" s="1"/>
  <c r="AJ57" i="3"/>
  <c r="AJ50" i="3"/>
  <c r="AJ45" i="3"/>
  <c r="AJ39" i="3"/>
  <c r="AJ33" i="3"/>
  <c r="AJ28" i="3"/>
  <c r="AJ22" i="3"/>
  <c r="AJ16" i="3"/>
  <c r="AJ10" i="3"/>
  <c r="AJ6" i="3"/>
  <c r="AJ12" i="3" s="1"/>
  <c r="BP12" i="3" s="1"/>
  <c r="AJ101" i="3"/>
  <c r="AJ96" i="3"/>
  <c r="AJ90" i="3"/>
  <c r="AJ85" i="3"/>
  <c r="AJ79" i="3"/>
  <c r="AJ74" i="3"/>
  <c r="AJ69" i="3"/>
  <c r="AJ63" i="3"/>
  <c r="AJ58" i="3"/>
  <c r="AJ52" i="3"/>
  <c r="AJ56" i="3" s="1"/>
  <c r="BP56" i="3" s="1"/>
  <c r="AJ46" i="3"/>
  <c r="AJ34" i="3"/>
  <c r="AJ29" i="3"/>
  <c r="AJ23" i="3"/>
  <c r="AJ18" i="3"/>
  <c r="AJ13" i="3"/>
  <c r="AJ7" i="3"/>
  <c r="AJ102" i="3"/>
  <c r="AJ97" i="3"/>
  <c r="AJ91" i="3"/>
  <c r="AJ86" i="3"/>
  <c r="AJ80" i="3"/>
  <c r="AJ75" i="3"/>
  <c r="AJ70" i="3"/>
  <c r="AJ64" i="3"/>
  <c r="AJ59" i="3"/>
  <c r="AJ53" i="3"/>
  <c r="AJ47" i="3"/>
  <c r="AJ41" i="3"/>
  <c r="AJ42" i="3" s="1"/>
  <c r="AJ36" i="3"/>
  <c r="AJ30" i="3"/>
  <c r="AJ24" i="3"/>
  <c r="AJ19" i="3"/>
  <c r="AJ14" i="3"/>
  <c r="AJ8" i="3"/>
  <c r="AJ3" i="3"/>
  <c r="AJ98" i="3"/>
  <c r="AJ92" i="3"/>
  <c r="AJ87" i="3"/>
  <c r="AJ81" i="3"/>
  <c r="AJ77" i="3"/>
  <c r="AJ83" i="3" s="1"/>
  <c r="BP83" i="3" s="1"/>
  <c r="AJ71" i="3"/>
  <c r="AJ65" i="3"/>
  <c r="AJ60" i="3"/>
  <c r="AJ54" i="3"/>
  <c r="AJ49" i="3"/>
  <c r="AJ44" i="3"/>
  <c r="AJ37" i="3"/>
  <c r="AJ31" i="3"/>
  <c r="AJ25" i="3"/>
  <c r="AJ21" i="3"/>
  <c r="BP21" i="3" s="1"/>
  <c r="AJ15" i="3"/>
  <c r="AJ9" i="3"/>
  <c r="AJ4" i="3"/>
  <c r="AK99" i="3"/>
  <c r="AK93" i="3"/>
  <c r="AK89" i="3"/>
  <c r="AK95" i="3" s="1"/>
  <c r="BQ95" i="3" s="1"/>
  <c r="AK84" i="3"/>
  <c r="AK78" i="3"/>
  <c r="AK72" i="3"/>
  <c r="AK66" i="3"/>
  <c r="AK62" i="3"/>
  <c r="AK68" i="3" s="1"/>
  <c r="BQ68" i="3" s="1"/>
  <c r="AK57" i="3"/>
  <c r="AK50" i="3"/>
  <c r="AK45" i="3"/>
  <c r="AK39" i="3"/>
  <c r="AK33" i="3"/>
  <c r="AK28" i="3"/>
  <c r="AK22" i="3"/>
  <c r="AK16" i="3"/>
  <c r="AK10" i="3"/>
  <c r="AK6" i="3"/>
  <c r="AK12" i="3" s="1"/>
  <c r="BQ12" i="3" s="1"/>
  <c r="AK101" i="3"/>
  <c r="AK96" i="3"/>
  <c r="AK90" i="3"/>
  <c r="AK85" i="3"/>
  <c r="AK79" i="3"/>
  <c r="AK74" i="3"/>
  <c r="AK69" i="3"/>
  <c r="AK63" i="3"/>
  <c r="AK58" i="3"/>
  <c r="AK52" i="3"/>
  <c r="AK56" i="3" s="1"/>
  <c r="BQ56" i="3" s="1"/>
  <c r="AK46" i="3"/>
  <c r="AK34" i="3"/>
  <c r="AK29" i="3"/>
  <c r="AK23" i="3"/>
  <c r="AK18" i="3"/>
  <c r="AK13" i="3"/>
  <c r="AK7" i="3"/>
  <c r="AK102" i="3"/>
  <c r="AK97" i="3"/>
  <c r="AK91" i="3"/>
  <c r="AK86" i="3"/>
  <c r="AK80" i="3"/>
  <c r="AK75" i="3"/>
  <c r="AK70" i="3"/>
  <c r="AK64" i="3"/>
  <c r="AK59" i="3"/>
  <c r="AK53" i="3"/>
  <c r="AK47" i="3"/>
  <c r="AK41" i="3"/>
  <c r="AK42" i="3" s="1"/>
  <c r="AK36" i="3"/>
  <c r="AK30" i="3"/>
  <c r="AK24" i="3"/>
  <c r="AK19" i="3"/>
  <c r="AK14" i="3"/>
  <c r="AK8" i="3"/>
  <c r="AK3" i="3"/>
  <c r="AK98" i="3"/>
  <c r="AK92" i="3"/>
  <c r="AK87" i="3"/>
  <c r="AK81" i="3"/>
  <c r="AK77" i="3"/>
  <c r="AK83" i="3" s="1"/>
  <c r="BQ83" i="3" s="1"/>
  <c r="AK71" i="3"/>
  <c r="AK65" i="3"/>
  <c r="AK60" i="3"/>
  <c r="AK54" i="3"/>
  <c r="AK49" i="3"/>
  <c r="AK44" i="3"/>
  <c r="AK37" i="3"/>
  <c r="AK31" i="3"/>
  <c r="AK25" i="3"/>
  <c r="AK21" i="3"/>
  <c r="BQ21" i="3" s="1"/>
  <c r="AK15" i="3"/>
  <c r="AK9" i="3"/>
  <c r="AK4" i="3"/>
  <c r="BE68" i="3"/>
  <c r="BE83" i="3"/>
  <c r="BE56" i="3"/>
  <c r="BE12" i="3"/>
  <c r="BE95" i="3"/>
  <c r="BE21" i="3"/>
  <c r="AC29" i="10"/>
  <c r="Y29" i="14"/>
  <c r="AD29" i="10"/>
  <c r="U28" i="13"/>
  <c r="Z29" i="14"/>
  <c r="AE29" i="10"/>
  <c r="AE28" i="13"/>
  <c r="AA29" i="14"/>
  <c r="U28" i="10"/>
  <c r="AF28" i="13"/>
  <c r="X28" i="7"/>
  <c r="V28" i="10"/>
  <c r="AG28" i="13"/>
  <c r="AB31" i="13"/>
  <c r="Y28" i="10"/>
  <c r="AD29" i="13"/>
  <c r="AC31" i="13"/>
  <c r="AA28" i="10"/>
  <c r="AE29" i="13"/>
  <c r="AB28" i="10"/>
  <c r="AC28" i="10"/>
  <c r="AD28" i="10"/>
  <c r="AE28" i="10"/>
  <c r="W28" i="14"/>
  <c r="AF28" i="10"/>
  <c r="X28" i="14"/>
  <c r="L28" i="14"/>
  <c r="AG28" i="10"/>
  <c r="Y28" i="14"/>
  <c r="M28" i="14"/>
  <c r="Z29" i="10"/>
  <c r="AD44" i="7"/>
  <c r="AE52" i="1" s="1"/>
  <c r="W29" i="7"/>
  <c r="AF44" i="7"/>
  <c r="AG52" i="1" s="1"/>
  <c r="Z28" i="7"/>
  <c r="Y29" i="7"/>
  <c r="AF29" i="13"/>
  <c r="AD31" i="13"/>
  <c r="AE44" i="7"/>
  <c r="AF52" i="1" s="1"/>
  <c r="AA28" i="7"/>
  <c r="Z29" i="7"/>
  <c r="U29" i="13"/>
  <c r="AG29" i="13"/>
  <c r="AE31" i="13"/>
  <c r="Z28" i="14"/>
  <c r="BL2" i="3"/>
  <c r="CQ2" i="3" s="1"/>
  <c r="AB28" i="7"/>
  <c r="AA29" i="7"/>
  <c r="AG44" i="7"/>
  <c r="AH52" i="1" s="1"/>
  <c r="W28" i="13"/>
  <c r="AF31" i="13"/>
  <c r="AA28" i="14"/>
  <c r="AT24" i="1"/>
  <c r="AT22" i="1"/>
  <c r="X28" i="13"/>
  <c r="AB28" i="14"/>
  <c r="X29" i="7"/>
  <c r="I29" i="13"/>
  <c r="AD28" i="7"/>
  <c r="AC29" i="7"/>
  <c r="AF29" i="10"/>
  <c r="Y28" i="13"/>
  <c r="X29" i="13"/>
  <c r="AC28" i="14"/>
  <c r="AB29" i="14"/>
  <c r="BO2" i="3"/>
  <c r="CT2" i="3" s="1"/>
  <c r="I28" i="13"/>
  <c r="W29" i="13"/>
  <c r="U31" i="13"/>
  <c r="AG31" i="13"/>
  <c r="M29" i="13"/>
  <c r="N28" i="14"/>
  <c r="AE28" i="7"/>
  <c r="AD29" i="7"/>
  <c r="U29" i="10"/>
  <c r="AG29" i="10"/>
  <c r="Z28" i="13"/>
  <c r="Y29" i="13"/>
  <c r="W31" i="13"/>
  <c r="AD28" i="14"/>
  <c r="AC29" i="14"/>
  <c r="AC28" i="7"/>
  <c r="AB29" i="7"/>
  <c r="P28" i="14"/>
  <c r="AF28" i="7"/>
  <c r="AE29" i="7"/>
  <c r="W28" i="10"/>
  <c r="V29" i="10"/>
  <c r="AA28" i="13"/>
  <c r="Z29" i="13"/>
  <c r="X31" i="13"/>
  <c r="AE28" i="14"/>
  <c r="AD29" i="14"/>
  <c r="J28" i="13"/>
  <c r="K28" i="13"/>
  <c r="O28" i="14"/>
  <c r="L28" i="13"/>
  <c r="M28" i="13"/>
  <c r="U28" i="7"/>
  <c r="AG28" i="7"/>
  <c r="AF29" i="7"/>
  <c r="X28" i="10"/>
  <c r="W29" i="10"/>
  <c r="AB28" i="13"/>
  <c r="AA29" i="13"/>
  <c r="Y31" i="13"/>
  <c r="AF28" i="14"/>
  <c r="AE29" i="14"/>
  <c r="U29" i="7"/>
  <c r="AG29" i="7"/>
  <c r="X29" i="10"/>
  <c r="AC28" i="13"/>
  <c r="AB29" i="13"/>
  <c r="Z31" i="13"/>
  <c r="U28" i="14"/>
  <c r="AG28" i="14"/>
  <c r="AF29" i="14"/>
  <c r="Y28" i="7"/>
  <c r="N28" i="13"/>
  <c r="S28" i="14"/>
  <c r="O28" i="13"/>
  <c r="D28" i="14"/>
  <c r="T28" i="14"/>
  <c r="AC44" i="7"/>
  <c r="AD52" i="1" s="1"/>
  <c r="AC29" i="13"/>
  <c r="AA31" i="13"/>
  <c r="U29" i="14"/>
  <c r="AG29" i="14"/>
  <c r="BQ3" i="5"/>
  <c r="BN2" i="3"/>
  <c r="CS2" i="3" s="1"/>
  <c r="BR3" i="5"/>
  <c r="BQ2" i="3"/>
  <c r="CV2" i="3" s="1"/>
  <c r="BF3" i="5"/>
  <c r="BG3" i="5"/>
  <c r="BH3" i="5"/>
  <c r="BE2" i="3"/>
  <c r="CJ2" i="3" s="1"/>
  <c r="BI3" i="5"/>
  <c r="CW2" i="5"/>
  <c r="CW11" i="5" s="1"/>
  <c r="BF2" i="3"/>
  <c r="CK2" i="3" s="1"/>
  <c r="BJ3" i="5"/>
  <c r="BG2" i="3"/>
  <c r="CL2" i="3" s="1"/>
  <c r="BK3" i="5"/>
  <c r="BH2" i="3"/>
  <c r="CM2" i="3" s="1"/>
  <c r="BL3" i="5"/>
  <c r="BI2" i="3"/>
  <c r="CN2" i="3" s="1"/>
  <c r="BM3" i="5"/>
  <c r="BJ2" i="3"/>
  <c r="CO2" i="3" s="1"/>
  <c r="BN3" i="5"/>
  <c r="BK2" i="3"/>
  <c r="CP2" i="3" s="1"/>
  <c r="BO3" i="5"/>
  <c r="O29" i="14"/>
  <c r="P29" i="13"/>
  <c r="R29" i="13"/>
  <c r="S29" i="13"/>
  <c r="D29" i="13"/>
  <c r="T29" i="13"/>
  <c r="E29" i="13"/>
  <c r="F29" i="13"/>
  <c r="N31" i="13"/>
  <c r="G29" i="13"/>
  <c r="P31" i="13"/>
  <c r="H29" i="13"/>
  <c r="S31" i="13"/>
  <c r="J29" i="13"/>
  <c r="K29" i="13"/>
  <c r="L29" i="13"/>
  <c r="N29" i="13"/>
  <c r="R28" i="14"/>
  <c r="F28" i="14"/>
  <c r="I28" i="14"/>
  <c r="M31" i="13"/>
  <c r="O31" i="13"/>
  <c r="R31" i="13"/>
  <c r="D31" i="13"/>
  <c r="T31" i="13"/>
  <c r="E31" i="13"/>
  <c r="F31" i="13"/>
  <c r="G31" i="13"/>
  <c r="H31" i="13"/>
  <c r="I31" i="13"/>
  <c r="J31" i="13"/>
  <c r="K31" i="13"/>
  <c r="P29" i="14"/>
  <c r="R29" i="14"/>
  <c r="S29" i="14"/>
  <c r="T29" i="14"/>
  <c r="D29" i="14"/>
  <c r="E29" i="14"/>
  <c r="F29" i="14"/>
  <c r="H29" i="14"/>
  <c r="I29" i="14"/>
  <c r="J29" i="14"/>
  <c r="K29" i="14"/>
  <c r="L29" i="14"/>
  <c r="M29" i="14"/>
  <c r="G29" i="14"/>
  <c r="C19" i="13"/>
  <c r="C20" i="13"/>
  <c r="C21" i="13"/>
  <c r="C22" i="13"/>
  <c r="C23" i="13"/>
  <c r="C23" i="12"/>
  <c r="C24" i="12"/>
  <c r="C25" i="12"/>
  <c r="C21" i="12"/>
  <c r="T34" i="11"/>
  <c r="T25" i="11" s="1"/>
  <c r="S34" i="11"/>
  <c r="S25" i="11" s="1"/>
  <c r="R34" i="11"/>
  <c r="R25" i="11" s="1"/>
  <c r="Q34" i="11"/>
  <c r="Q25" i="11" s="1"/>
  <c r="P34" i="11"/>
  <c r="O34" i="11"/>
  <c r="N34" i="11"/>
  <c r="M34" i="11"/>
  <c r="L34" i="11"/>
  <c r="K34" i="11"/>
  <c r="J34" i="11"/>
  <c r="J25" i="11" s="1"/>
  <c r="I34" i="11"/>
  <c r="I25" i="11" s="1"/>
  <c r="H34" i="11"/>
  <c r="H25" i="11" s="1"/>
  <c r="G34" i="11"/>
  <c r="G25" i="11" s="1"/>
  <c r="F34" i="11"/>
  <c r="F25" i="11" s="1"/>
  <c r="E34" i="11"/>
  <c r="E25" i="11" s="1"/>
  <c r="D34" i="11"/>
  <c r="D25" i="11" s="1"/>
  <c r="T33" i="11"/>
  <c r="T24" i="11" s="1"/>
  <c r="S33" i="11"/>
  <c r="S24" i="11" s="1"/>
  <c r="R33" i="11"/>
  <c r="R24" i="11" s="1"/>
  <c r="Q33" i="11"/>
  <c r="Q24" i="11" s="1"/>
  <c r="P33" i="11"/>
  <c r="O33" i="11"/>
  <c r="N33" i="11"/>
  <c r="M33" i="11"/>
  <c r="L33" i="11"/>
  <c r="K33" i="11"/>
  <c r="J33" i="11"/>
  <c r="J24" i="11" s="1"/>
  <c r="I33" i="11"/>
  <c r="I24" i="11" s="1"/>
  <c r="H33" i="11"/>
  <c r="H24" i="11" s="1"/>
  <c r="G33" i="11"/>
  <c r="G24" i="11" s="1"/>
  <c r="F33" i="11"/>
  <c r="F24" i="11" s="1"/>
  <c r="E33" i="11"/>
  <c r="E24" i="11" s="1"/>
  <c r="D33" i="11"/>
  <c r="D24" i="11" s="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3" i="11"/>
  <c r="C22" i="11"/>
  <c r="C21" i="11"/>
  <c r="C20" i="11"/>
  <c r="T3" i="11"/>
  <c r="T44" i="11" s="1"/>
  <c r="S3" i="11"/>
  <c r="S44" i="11" s="1"/>
  <c r="R3" i="11"/>
  <c r="R44" i="11" s="1"/>
  <c r="Q3" i="11"/>
  <c r="Q44" i="11" s="1"/>
  <c r="P3" i="11"/>
  <c r="P44" i="11" s="1"/>
  <c r="O3" i="11"/>
  <c r="O44" i="11" s="1"/>
  <c r="N3" i="11"/>
  <c r="N44" i="11" s="1"/>
  <c r="M3" i="11"/>
  <c r="M44" i="11" s="1"/>
  <c r="L3" i="11"/>
  <c r="L44" i="11" s="1"/>
  <c r="K3" i="11"/>
  <c r="K44" i="11" s="1"/>
  <c r="J3" i="11"/>
  <c r="J44" i="11" s="1"/>
  <c r="I3" i="11"/>
  <c r="I44" i="11" s="1"/>
  <c r="H3" i="11"/>
  <c r="H44" i="11" s="1"/>
  <c r="G3" i="11"/>
  <c r="G44" i="11" s="1"/>
  <c r="F3" i="11"/>
  <c r="F44" i="11" s="1"/>
  <c r="E3" i="11"/>
  <c r="E44" i="11" s="1"/>
  <c r="D3" i="11"/>
  <c r="D44" i="11" s="1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5" i="10"/>
  <c r="AJ25" i="10" s="1"/>
  <c r="AJ34" i="10" s="1"/>
  <c r="AJ42" i="10" s="1"/>
  <c r="C24" i="10"/>
  <c r="AJ24" i="10" s="1"/>
  <c r="AJ33" i="10" s="1"/>
  <c r="AJ41" i="10" s="1"/>
  <c r="C23" i="10"/>
  <c r="AJ23" i="10" s="1"/>
  <c r="AJ32" i="10" s="1"/>
  <c r="AJ40" i="10" s="1"/>
  <c r="C22" i="10"/>
  <c r="AJ22" i="10" s="1"/>
  <c r="AJ31" i="10" s="1"/>
  <c r="AJ39" i="10" s="1"/>
  <c r="C21" i="10"/>
  <c r="AJ21" i="10" s="1"/>
  <c r="AJ30" i="10" s="1"/>
  <c r="AJ38" i="10" s="1"/>
  <c r="C20" i="10"/>
  <c r="AJ20" i="10" s="1"/>
  <c r="AJ29" i="10" s="1"/>
  <c r="AJ37" i="10" s="1"/>
  <c r="C19" i="10"/>
  <c r="AJ19" i="10" s="1"/>
  <c r="AJ28" i="10" s="1"/>
  <c r="AJ36" i="10" s="1"/>
  <c r="T3" i="10"/>
  <c r="T44" i="10" s="1"/>
  <c r="S3" i="10"/>
  <c r="S44" i="10" s="1"/>
  <c r="R3" i="10"/>
  <c r="R44" i="10" s="1"/>
  <c r="Q3" i="10"/>
  <c r="Q44" i="10" s="1"/>
  <c r="P3" i="10"/>
  <c r="P44" i="10" s="1"/>
  <c r="O3" i="10"/>
  <c r="O44" i="10" s="1"/>
  <c r="N3" i="10"/>
  <c r="N44" i="10" s="1"/>
  <c r="M3" i="10"/>
  <c r="M44" i="10" s="1"/>
  <c r="L3" i="10"/>
  <c r="L44" i="10" s="1"/>
  <c r="K3" i="10"/>
  <c r="K44" i="10" s="1"/>
  <c r="J3" i="10"/>
  <c r="J44" i="10" s="1"/>
  <c r="I3" i="10"/>
  <c r="I44" i="10" s="1"/>
  <c r="H3" i="10"/>
  <c r="H44" i="10" s="1"/>
  <c r="G3" i="10"/>
  <c r="G44" i="10" s="1"/>
  <c r="F3" i="10"/>
  <c r="F44" i="10" s="1"/>
  <c r="E3" i="10"/>
  <c r="E44" i="10" s="1"/>
  <c r="D3" i="10"/>
  <c r="D44" i="10" s="1"/>
  <c r="T34" i="7"/>
  <c r="S34" i="7"/>
  <c r="R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T33" i="7"/>
  <c r="S33" i="7"/>
  <c r="R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T32" i="7"/>
  <c r="S32" i="7"/>
  <c r="R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T31" i="7"/>
  <c r="S31" i="7"/>
  <c r="R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T30" i="7"/>
  <c r="S30" i="7"/>
  <c r="R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T29" i="7"/>
  <c r="S29" i="7"/>
  <c r="R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T28" i="7"/>
  <c r="S28" i="7"/>
  <c r="R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W59" i="8" a="1"/>
  <c r="W59" i="8" s="1"/>
  <c r="U13" i="9" s="1"/>
  <c r="V59" i="8" a="1"/>
  <c r="V59" i="8" s="1"/>
  <c r="U59" i="8" a="1"/>
  <c r="U59" i="8" s="1"/>
  <c r="T59" i="8" a="1"/>
  <c r="T59" i="8" s="1"/>
  <c r="Q13" i="9" s="1"/>
  <c r="S59" i="8" a="1"/>
  <c r="S59" i="8" s="1"/>
  <c r="R59" i="8" a="1"/>
  <c r="R59" i="8" s="1"/>
  <c r="Q59" i="8" a="1"/>
  <c r="Q59" i="8" s="1"/>
  <c r="P59" i="8" a="1"/>
  <c r="P59" i="8" s="1"/>
  <c r="O59" i="8" a="1"/>
  <c r="O59" i="8" s="1"/>
  <c r="N59" i="8" a="1"/>
  <c r="N59" i="8" s="1"/>
  <c r="M59" i="8" a="1"/>
  <c r="M59" i="8" s="1"/>
  <c r="L59" i="8" a="1"/>
  <c r="L59" i="8" s="1"/>
  <c r="K59" i="8" a="1"/>
  <c r="K59" i="8" s="1"/>
  <c r="J59" i="8" a="1"/>
  <c r="J59" i="8" s="1"/>
  <c r="I59" i="8" a="1"/>
  <c r="I59" i="8" s="1"/>
  <c r="H59" i="8" a="1"/>
  <c r="H59" i="8" s="1"/>
  <c r="G59" i="8" a="1"/>
  <c r="G59" i="8" s="1"/>
  <c r="C24" i="9"/>
  <c r="C32" i="9" s="1"/>
  <c r="C40" i="9" s="1"/>
  <c r="C23" i="9"/>
  <c r="C31" i="9" s="1"/>
  <c r="C39" i="9" s="1"/>
  <c r="C22" i="9"/>
  <c r="C30" i="9" s="1"/>
  <c r="C38" i="9" s="1"/>
  <c r="C21" i="9"/>
  <c r="C29" i="9" s="1"/>
  <c r="C37" i="9" s="1"/>
  <c r="C20" i="9"/>
  <c r="C28" i="9" s="1"/>
  <c r="C36" i="9" s="1"/>
  <c r="C19" i="9"/>
  <c r="C27" i="9" s="1"/>
  <c r="C35" i="9" s="1"/>
  <c r="C18" i="9"/>
  <c r="C26" i="9" s="1"/>
  <c r="C34" i="9" s="1"/>
  <c r="T3" i="9"/>
  <c r="S3" i="9"/>
  <c r="R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25" i="7"/>
  <c r="AJ25" i="7" s="1"/>
  <c r="AJ34" i="7" s="1"/>
  <c r="AJ42" i="7" s="1"/>
  <c r="C24" i="7"/>
  <c r="AJ24" i="7" s="1"/>
  <c r="AJ33" i="7" s="1"/>
  <c r="AJ41" i="7" s="1"/>
  <c r="C23" i="7"/>
  <c r="AJ23" i="7" s="1"/>
  <c r="AJ32" i="7" s="1"/>
  <c r="AJ40" i="7" s="1"/>
  <c r="C22" i="7"/>
  <c r="AJ22" i="7" s="1"/>
  <c r="AJ31" i="7" s="1"/>
  <c r="AJ39" i="7" s="1"/>
  <c r="C21" i="7"/>
  <c r="AJ21" i="7" s="1"/>
  <c r="AJ30" i="7" s="1"/>
  <c r="AJ38" i="7" s="1"/>
  <c r="C20" i="7"/>
  <c r="AJ20" i="7" s="1"/>
  <c r="AJ29" i="7" s="1"/>
  <c r="AJ37" i="7" s="1"/>
  <c r="C19" i="7"/>
  <c r="AJ19" i="7" s="1"/>
  <c r="AJ28" i="7" s="1"/>
  <c r="AJ36" i="7" s="1"/>
  <c r="T3" i="7"/>
  <c r="T44" i="7" s="1"/>
  <c r="U52" i="1" s="1"/>
  <c r="S3" i="7"/>
  <c r="S44" i="7" s="1"/>
  <c r="T52" i="1" s="1"/>
  <c r="R3" i="7"/>
  <c r="R44" i="7" s="1"/>
  <c r="S52" i="1" s="1"/>
  <c r="P3" i="7"/>
  <c r="P44" i="7" s="1"/>
  <c r="Q52" i="1" s="1"/>
  <c r="O3" i="7"/>
  <c r="O44" i="7" s="1"/>
  <c r="P52" i="1" s="1"/>
  <c r="N3" i="7"/>
  <c r="N44" i="7" s="1"/>
  <c r="O52" i="1" s="1"/>
  <c r="M3" i="7"/>
  <c r="M44" i="7" s="1"/>
  <c r="N52" i="1" s="1"/>
  <c r="L3" i="7"/>
  <c r="L44" i="7" s="1"/>
  <c r="M52" i="1" s="1"/>
  <c r="K3" i="7"/>
  <c r="K44" i="7" s="1"/>
  <c r="L52" i="1" s="1"/>
  <c r="J3" i="7"/>
  <c r="J44" i="7" s="1"/>
  <c r="K52" i="1" s="1"/>
  <c r="I3" i="7"/>
  <c r="I44" i="7" s="1"/>
  <c r="J52" i="1" s="1"/>
  <c r="H3" i="7"/>
  <c r="H44" i="7" s="1"/>
  <c r="I52" i="1" s="1"/>
  <c r="G3" i="7"/>
  <c r="G44" i="7" s="1"/>
  <c r="H52" i="1" s="1"/>
  <c r="F3" i="7"/>
  <c r="F44" i="7" s="1"/>
  <c r="G52" i="1" s="1"/>
  <c r="E3" i="7"/>
  <c r="E44" i="7" s="1"/>
  <c r="F52" i="1" s="1"/>
  <c r="D3" i="7"/>
  <c r="D44" i="7" s="1"/>
  <c r="E52" i="1" s="1"/>
  <c r="AE13" i="9" l="1"/>
  <c r="BG77" i="3"/>
  <c r="BN62" i="3"/>
  <c r="BL62" i="3"/>
  <c r="BJ62" i="3"/>
  <c r="BI62" i="3"/>
  <c r="BQ52" i="3"/>
  <c r="BM62" i="3"/>
  <c r="BG62" i="3"/>
  <c r="BO52" i="3"/>
  <c r="BN89" i="3"/>
  <c r="AJ43" i="3"/>
  <c r="BG52" i="3"/>
  <c r="BK62" i="3"/>
  <c r="BH62" i="3"/>
  <c r="BH77" i="3"/>
  <c r="AH43" i="3"/>
  <c r="BH52" i="3"/>
  <c r="BN39" i="3"/>
  <c r="BP6" i="3"/>
  <c r="BO6" i="3"/>
  <c r="AE43" i="3"/>
  <c r="BE52" i="3"/>
  <c r="BO62" i="3"/>
  <c r="AA43" i="3"/>
  <c r="BQ62" i="3"/>
  <c r="BN6" i="3"/>
  <c r="AG43" i="3"/>
  <c r="BI77" i="3"/>
  <c r="AF43" i="3"/>
  <c r="BQ6" i="3"/>
  <c r="BP62" i="3"/>
  <c r="BP39" i="3"/>
  <c r="BE6" i="3"/>
  <c r="BJ6" i="3"/>
  <c r="BI6" i="3"/>
  <c r="BH6" i="3"/>
  <c r="BQ89" i="3"/>
  <c r="BP89" i="3"/>
  <c r="AK43" i="3"/>
  <c r="BL6" i="3"/>
  <c r="BG6" i="3"/>
  <c r="BM6" i="3"/>
  <c r="BM77" i="3"/>
  <c r="BL77" i="3"/>
  <c r="AI43" i="3"/>
  <c r="BO89" i="3"/>
  <c r="BQ39" i="3"/>
  <c r="BE89" i="3"/>
  <c r="BK77" i="3"/>
  <c r="BJ77" i="3"/>
  <c r="AC43" i="3"/>
  <c r="BO77" i="3"/>
  <c r="BN77" i="3"/>
  <c r="AB43" i="3"/>
  <c r="BM89" i="3"/>
  <c r="BL89" i="3"/>
  <c r="BK89" i="3"/>
  <c r="BH89" i="3"/>
  <c r="BP77" i="3"/>
  <c r="BM52" i="3"/>
  <c r="BK6" i="3"/>
  <c r="BJ89" i="3"/>
  <c r="BI89" i="3"/>
  <c r="BG89" i="3"/>
  <c r="BN52" i="3"/>
  <c r="AD43" i="3"/>
  <c r="BE77" i="3"/>
  <c r="BQ77" i="3"/>
  <c r="BP52" i="3"/>
  <c r="BE62" i="3"/>
  <c r="BE39" i="3"/>
  <c r="AK27" i="3"/>
  <c r="BQ27" i="3" s="1"/>
  <c r="AE27" i="3"/>
  <c r="BK27" i="3" s="1"/>
  <c r="AI27" i="3"/>
  <c r="BO27" i="3" s="1"/>
  <c r="AG27" i="3"/>
  <c r="BM27" i="3" s="1"/>
  <c r="AA27" i="3"/>
  <c r="BG27" i="3" s="1"/>
  <c r="AF27" i="3"/>
  <c r="BL27" i="3" s="1"/>
  <c r="BE27" i="3"/>
  <c r="AJ27" i="3"/>
  <c r="BP27" i="3" s="1"/>
  <c r="AH27" i="3"/>
  <c r="BN27" i="3" s="1"/>
  <c r="AC27" i="3"/>
  <c r="BI27" i="3" s="1"/>
  <c r="AD27" i="3"/>
  <c r="BJ27" i="3" s="1"/>
  <c r="AB27" i="3"/>
  <c r="BH27" i="3" s="1"/>
  <c r="C12" i="7"/>
  <c r="AD13" i="9"/>
  <c r="AG13" i="9"/>
  <c r="Y13" i="9"/>
  <c r="X13" i="9"/>
  <c r="W13" i="9"/>
  <c r="Z13" i="9"/>
  <c r="AA13" i="9"/>
  <c r="AB13" i="9"/>
  <c r="V13" i="9"/>
  <c r="AF13" i="9"/>
  <c r="AC13" i="9"/>
  <c r="AG5" i="3"/>
  <c r="BM5" i="3" s="1"/>
  <c r="AB20" i="3"/>
  <c r="BH20" i="3" s="1"/>
  <c r="AJ51" i="3"/>
  <c r="AD5" i="3"/>
  <c r="BJ5" i="3" s="1"/>
  <c r="AI51" i="3"/>
  <c r="AC103" i="3"/>
  <c r="BI103" i="3" s="1"/>
  <c r="AD103" i="3"/>
  <c r="BJ103" i="3" s="1"/>
  <c r="AC20" i="3"/>
  <c r="BI20" i="3" s="1"/>
  <c r="AB67" i="3"/>
  <c r="AA17" i="3"/>
  <c r="AA103" i="3"/>
  <c r="BG103" i="3" s="1"/>
  <c r="AC76" i="3"/>
  <c r="BI76" i="3" s="1"/>
  <c r="AA67" i="3"/>
  <c r="AA11" i="3"/>
  <c r="AA100" i="3"/>
  <c r="AK51" i="3"/>
  <c r="AE5" i="3"/>
  <c r="BK5" i="3" s="1"/>
  <c r="AA76" i="3"/>
  <c r="BG76" i="3" s="1"/>
  <c r="AC94" i="3"/>
  <c r="AC17" i="3"/>
  <c r="AA94" i="3"/>
  <c r="BE38" i="3"/>
  <c r="AE67" i="3"/>
  <c r="AD17" i="3"/>
  <c r="AC73" i="3"/>
  <c r="AA73" i="3"/>
  <c r="AH51" i="3"/>
  <c r="AC67" i="3"/>
  <c r="AB103" i="3"/>
  <c r="BH103" i="3" s="1"/>
  <c r="AF5" i="3"/>
  <c r="BL5" i="3" s="1"/>
  <c r="AB76" i="3"/>
  <c r="BH76" i="3" s="1"/>
  <c r="AB17" i="3"/>
  <c r="BE103" i="3"/>
  <c r="BE5" i="3"/>
  <c r="AJ76" i="3"/>
  <c r="BP76" i="3" s="1"/>
  <c r="AI20" i="3"/>
  <c r="BO20" i="3" s="1"/>
  <c r="AH48" i="3"/>
  <c r="AB11" i="3"/>
  <c r="BE20" i="3"/>
  <c r="AI48" i="3"/>
  <c r="AC11" i="3"/>
  <c r="AC100" i="3"/>
  <c r="AK55" i="3"/>
  <c r="AI55" i="3"/>
  <c r="AH5" i="3"/>
  <c r="BN5" i="3" s="1"/>
  <c r="AG55" i="3"/>
  <c r="AB73" i="3"/>
  <c r="AA20" i="3"/>
  <c r="BG20" i="3" s="1"/>
  <c r="AB94" i="3"/>
  <c r="AH20" i="3"/>
  <c r="BN20" i="3" s="1"/>
  <c r="AB100" i="3"/>
  <c r="BE76" i="3"/>
  <c r="AK11" i="3"/>
  <c r="AK100" i="3"/>
  <c r="AK88" i="3"/>
  <c r="AJ35" i="3"/>
  <c r="BP35" i="3" s="1"/>
  <c r="AI5" i="3"/>
  <c r="BO5" i="3" s="1"/>
  <c r="AC48" i="3"/>
  <c r="AK17" i="3"/>
  <c r="AK103" i="3"/>
  <c r="BQ103" i="3" s="1"/>
  <c r="AH26" i="3"/>
  <c r="AE73" i="3"/>
  <c r="AE48" i="3"/>
  <c r="AD20" i="3"/>
  <c r="BJ20" i="3" s="1"/>
  <c r="AC51" i="3"/>
  <c r="AK48" i="3"/>
  <c r="AK20" i="3"/>
  <c r="BQ20" i="3" s="1"/>
  <c r="AI94" i="3"/>
  <c r="AI82" i="3"/>
  <c r="AH55" i="3"/>
  <c r="AH32" i="3"/>
  <c r="AG82" i="3"/>
  <c r="AF26" i="3"/>
  <c r="AE76" i="3"/>
  <c r="BK76" i="3" s="1"/>
  <c r="AE51" i="3"/>
  <c r="AA61" i="3"/>
  <c r="AA48" i="3"/>
  <c r="AK38" i="3"/>
  <c r="BQ38" i="3" s="1"/>
  <c r="AJ67" i="3"/>
  <c r="AI11" i="3"/>
  <c r="AI100" i="3"/>
  <c r="AI88" i="3"/>
  <c r="AH35" i="3"/>
  <c r="BN35" i="3" s="1"/>
  <c r="AG11" i="3"/>
  <c r="AG100" i="3"/>
  <c r="AG88" i="3"/>
  <c r="AF32" i="3"/>
  <c r="AB26" i="3"/>
  <c r="AA51" i="3"/>
  <c r="AA38" i="3"/>
  <c r="BG38" i="3" s="1"/>
  <c r="AJ73" i="3"/>
  <c r="AJ61" i="3"/>
  <c r="AI17" i="3"/>
  <c r="AI103" i="3"/>
  <c r="BO103" i="3" s="1"/>
  <c r="AG17" i="3"/>
  <c r="AG103" i="3"/>
  <c r="BM103" i="3" s="1"/>
  <c r="AF35" i="3"/>
  <c r="BL35" i="3" s="1"/>
  <c r="AD26" i="3"/>
  <c r="AC82" i="3"/>
  <c r="AB32" i="3"/>
  <c r="AB5" i="3"/>
  <c r="BH5" i="3" s="1"/>
  <c r="AK26" i="3"/>
  <c r="AG20" i="3"/>
  <c r="BM20" i="3" s="1"/>
  <c r="AE82" i="3"/>
  <c r="AD32" i="3"/>
  <c r="AC88" i="3"/>
  <c r="AB35" i="3"/>
  <c r="BH35" i="3" s="1"/>
  <c r="AK32" i="3"/>
  <c r="AJ5" i="3"/>
  <c r="BP5" i="3" s="1"/>
  <c r="AI38" i="3"/>
  <c r="BO38" i="3" s="1"/>
  <c r="AH67" i="3"/>
  <c r="AE11" i="3"/>
  <c r="AE100" i="3"/>
  <c r="AE88" i="3"/>
  <c r="AD35" i="3"/>
  <c r="BJ35" i="3" s="1"/>
  <c r="AA82" i="3"/>
  <c r="AA55" i="3"/>
  <c r="AK35" i="3"/>
  <c r="BQ35" i="3" s="1"/>
  <c r="AH73" i="3"/>
  <c r="AH61" i="3"/>
  <c r="AF67" i="3"/>
  <c r="AE17" i="3"/>
  <c r="AE103" i="3"/>
  <c r="BK103" i="3" s="1"/>
  <c r="AA88" i="3"/>
  <c r="AJ94" i="3"/>
  <c r="AJ82" i="3"/>
  <c r="AI26" i="3"/>
  <c r="AH76" i="3"/>
  <c r="BN76" i="3" s="1"/>
  <c r="AG26" i="3"/>
  <c r="AF73" i="3"/>
  <c r="AF48" i="3"/>
  <c r="AE20" i="3"/>
  <c r="BK20" i="3" s="1"/>
  <c r="AJ11" i="3"/>
  <c r="AJ100" i="3"/>
  <c r="AJ88" i="3"/>
  <c r="AI32" i="3"/>
  <c r="AG32" i="3"/>
  <c r="AF76" i="3"/>
  <c r="BL76" i="3" s="1"/>
  <c r="AF51" i="3"/>
  <c r="AD67" i="3"/>
  <c r="AB61" i="3"/>
  <c r="AB48" i="3"/>
  <c r="AK67" i="3"/>
  <c r="AJ17" i="3"/>
  <c r="AJ103" i="3"/>
  <c r="BP103" i="3" s="1"/>
  <c r="AI35" i="3"/>
  <c r="BO35" i="3" s="1"/>
  <c r="AG35" i="3"/>
  <c r="BM35" i="3" s="1"/>
  <c r="AD73" i="3"/>
  <c r="AD48" i="3"/>
  <c r="AC26" i="3"/>
  <c r="AB51" i="3"/>
  <c r="AB38" i="3"/>
  <c r="BH38" i="3" s="1"/>
  <c r="AK73" i="3"/>
  <c r="AK61" i="3"/>
  <c r="AJ48" i="3"/>
  <c r="AJ20" i="3"/>
  <c r="BP20" i="3" s="1"/>
  <c r="AH94" i="3"/>
  <c r="AH82" i="3"/>
  <c r="AE26" i="3"/>
  <c r="AD76" i="3"/>
  <c r="BJ76" i="3" s="1"/>
  <c r="AD51" i="3"/>
  <c r="AC32" i="3"/>
  <c r="AC5" i="3"/>
  <c r="BI5" i="3" s="1"/>
  <c r="AK76" i="3"/>
  <c r="BQ76" i="3" s="1"/>
  <c r="AJ38" i="3"/>
  <c r="BP38" i="3" s="1"/>
  <c r="AH11" i="3"/>
  <c r="AH100" i="3"/>
  <c r="AH88" i="3"/>
  <c r="AF94" i="3"/>
  <c r="AF82" i="3"/>
  <c r="AE32" i="3"/>
  <c r="AC35" i="3"/>
  <c r="BI35" i="3" s="1"/>
  <c r="AA26" i="3"/>
  <c r="BE35" i="3"/>
  <c r="AK5" i="3"/>
  <c r="BQ5" i="3" s="1"/>
  <c r="AI67" i="3"/>
  <c r="AH17" i="3"/>
  <c r="AH103" i="3"/>
  <c r="BN103" i="3" s="1"/>
  <c r="AG67" i="3"/>
  <c r="AF11" i="3"/>
  <c r="AF100" i="3"/>
  <c r="AF88" i="3"/>
  <c r="AE35" i="3"/>
  <c r="BK35" i="3" s="1"/>
  <c r="AB82" i="3"/>
  <c r="AB55" i="3"/>
  <c r="AA32" i="3"/>
  <c r="AA5" i="3"/>
  <c r="BG5" i="3" s="1"/>
  <c r="AJ26" i="3"/>
  <c r="AI73" i="3"/>
  <c r="AI61" i="3"/>
  <c r="AG73" i="3"/>
  <c r="AG61" i="3"/>
  <c r="AG48" i="3"/>
  <c r="AF17" i="3"/>
  <c r="AF103" i="3"/>
  <c r="BL103" i="3" s="1"/>
  <c r="AD82" i="3"/>
  <c r="AB88" i="3"/>
  <c r="AA35" i="3"/>
  <c r="BG35" i="3" s="1"/>
  <c r="AK94" i="3"/>
  <c r="AK82" i="3"/>
  <c r="AJ55" i="3"/>
  <c r="AJ32" i="3"/>
  <c r="AI76" i="3"/>
  <c r="BO76" i="3" s="1"/>
  <c r="AH38" i="3"/>
  <c r="BN38" i="3" s="1"/>
  <c r="AG76" i="3"/>
  <c r="BM76" i="3" s="1"/>
  <c r="AG51" i="3"/>
  <c r="AF20" i="3"/>
  <c r="BL20" i="3" s="1"/>
  <c r="AD11" i="3"/>
  <c r="AD100" i="3"/>
  <c r="AD88" i="3"/>
  <c r="S13" i="9"/>
  <c r="D13" i="9"/>
  <c r="O13" i="9"/>
  <c r="N13" i="9"/>
  <c r="F13" i="9"/>
  <c r="K13" i="9"/>
  <c r="P13" i="9"/>
  <c r="H13" i="9"/>
  <c r="M13" i="9"/>
  <c r="T13" i="9"/>
  <c r="G13" i="9"/>
  <c r="E13" i="9"/>
  <c r="J13" i="9"/>
  <c r="L13" i="9"/>
  <c r="R13" i="9"/>
  <c r="I13" i="9"/>
  <c r="C31" i="11"/>
  <c r="C30" i="12"/>
  <c r="C34" i="12"/>
  <c r="C33" i="12"/>
  <c r="C32" i="11"/>
  <c r="C32" i="12"/>
  <c r="C30" i="11"/>
  <c r="C29" i="11"/>
  <c r="C28" i="13"/>
  <c r="C31" i="10"/>
  <c r="AL22" i="10"/>
  <c r="C30" i="10"/>
  <c r="AL21" i="10"/>
  <c r="C32" i="10"/>
  <c r="AL23" i="10"/>
  <c r="C29" i="13"/>
  <c r="C33" i="10"/>
  <c r="AL24" i="10"/>
  <c r="C34" i="10"/>
  <c r="AL25" i="10"/>
  <c r="C28" i="10"/>
  <c r="AL19" i="10"/>
  <c r="C32" i="13"/>
  <c r="C31" i="13"/>
  <c r="C29" i="10"/>
  <c r="AL20" i="10"/>
  <c r="C30" i="13"/>
  <c r="C30" i="7"/>
  <c r="AL21" i="7"/>
  <c r="C32" i="7"/>
  <c r="AL23" i="7"/>
  <c r="C31" i="7"/>
  <c r="AL22" i="7"/>
  <c r="C33" i="7"/>
  <c r="AL24" i="7"/>
  <c r="C34" i="7"/>
  <c r="AL25" i="7"/>
  <c r="C28" i="7"/>
  <c r="AL19" i="7"/>
  <c r="C29" i="7"/>
  <c r="AL20" i="7"/>
  <c r="C24" i="11"/>
  <c r="C25" i="11"/>
  <c r="C19" i="11"/>
  <c r="BE3" i="5"/>
  <c r="BD3" i="5"/>
  <c r="AI43" i="1"/>
  <c r="CI103" i="3"/>
  <c r="CH103" i="3"/>
  <c r="CI95" i="3"/>
  <c r="CH95" i="3"/>
  <c r="CI89" i="3"/>
  <c r="CH89" i="3"/>
  <c r="CI83" i="3"/>
  <c r="CH83" i="3"/>
  <c r="CI77" i="3"/>
  <c r="CH77" i="3"/>
  <c r="CI76" i="3"/>
  <c r="CH76" i="3"/>
  <c r="CI68" i="3"/>
  <c r="CH68" i="3"/>
  <c r="CI62" i="3"/>
  <c r="CH62" i="3"/>
  <c r="CI56" i="3"/>
  <c r="CH56" i="3"/>
  <c r="CI52" i="3"/>
  <c r="CH52" i="3"/>
  <c r="CI51" i="3"/>
  <c r="CH51" i="3"/>
  <c r="CI43" i="3"/>
  <c r="CH43" i="3"/>
  <c r="CI39" i="3"/>
  <c r="CH39" i="3"/>
  <c r="CI38" i="3"/>
  <c r="CH38" i="3"/>
  <c r="CI35" i="3"/>
  <c r="CH35" i="3"/>
  <c r="CI27" i="3"/>
  <c r="CH27" i="3"/>
  <c r="CI21" i="3"/>
  <c r="CH21" i="3"/>
  <c r="CI20" i="3"/>
  <c r="CH20" i="3"/>
  <c r="CI12" i="3"/>
  <c r="CH12" i="3"/>
  <c r="CI6" i="3"/>
  <c r="CH6" i="3"/>
  <c r="CI5" i="3"/>
  <c r="CH5" i="3"/>
  <c r="M2" i="3"/>
  <c r="L2" i="3"/>
  <c r="K2" i="3"/>
  <c r="J2" i="3"/>
  <c r="I2" i="3"/>
  <c r="I40" i="3" s="1"/>
  <c r="H2" i="3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C102" i="6"/>
  <c r="C101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C100" i="6"/>
  <c r="C99" i="6"/>
  <c r="C98" i="6"/>
  <c r="C97" i="6"/>
  <c r="C96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V94" i="6"/>
  <c r="U94" i="6"/>
  <c r="T94" i="6"/>
  <c r="S94" i="6"/>
  <c r="R94" i="6"/>
  <c r="Q94" i="6"/>
  <c r="P94" i="6"/>
  <c r="O94" i="6"/>
  <c r="L94" i="6"/>
  <c r="K94" i="6"/>
  <c r="J94" i="6"/>
  <c r="I94" i="6"/>
  <c r="C94" i="6"/>
  <c r="N93" i="6"/>
  <c r="M93" i="6"/>
  <c r="H93" i="6"/>
  <c r="AG93" i="3" s="1"/>
  <c r="C93" i="6"/>
  <c r="N92" i="6"/>
  <c r="M92" i="6"/>
  <c r="H92" i="6"/>
  <c r="AG92" i="3" s="1"/>
  <c r="C92" i="6"/>
  <c r="N91" i="6"/>
  <c r="M91" i="6"/>
  <c r="H91" i="6"/>
  <c r="AG91" i="3" s="1"/>
  <c r="C91" i="6"/>
  <c r="N90" i="6"/>
  <c r="M90" i="6"/>
  <c r="H90" i="6"/>
  <c r="AG90" i="3" s="1"/>
  <c r="F90" i="6"/>
  <c r="B90" i="6" s="1"/>
  <c r="C90" i="6"/>
  <c r="B89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C88" i="6"/>
  <c r="C87" i="6"/>
  <c r="C86" i="6"/>
  <c r="C85" i="6"/>
  <c r="C84" i="6"/>
  <c r="V83" i="6"/>
  <c r="U83" i="6"/>
  <c r="T83" i="6"/>
  <c r="S83" i="6"/>
  <c r="R83" i="6"/>
  <c r="Q83" i="6"/>
  <c r="P83" i="6"/>
  <c r="O83" i="6"/>
  <c r="N83" i="6"/>
  <c r="L83" i="6"/>
  <c r="K83" i="6"/>
  <c r="J83" i="6"/>
  <c r="I83" i="6"/>
  <c r="H83" i="6"/>
  <c r="V82" i="6"/>
  <c r="U82" i="6"/>
  <c r="T82" i="6"/>
  <c r="S82" i="6"/>
  <c r="R82" i="6"/>
  <c r="Q82" i="6"/>
  <c r="P82" i="6"/>
  <c r="O82" i="6"/>
  <c r="N82" i="6"/>
  <c r="L82" i="6"/>
  <c r="K82" i="6"/>
  <c r="J82" i="6"/>
  <c r="I82" i="6"/>
  <c r="H82" i="6"/>
  <c r="C82" i="6"/>
  <c r="C81" i="6"/>
  <c r="C80" i="6"/>
  <c r="C79" i="6"/>
  <c r="F78" i="6"/>
  <c r="F79" i="6" s="1"/>
  <c r="F80" i="6" s="1"/>
  <c r="C78" i="6"/>
  <c r="M83" i="6"/>
  <c r="B77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C75" i="6"/>
  <c r="C74" i="6"/>
  <c r="V73" i="6"/>
  <c r="U73" i="6"/>
  <c r="T73" i="6"/>
  <c r="S73" i="6"/>
  <c r="R73" i="6"/>
  <c r="Q73" i="6"/>
  <c r="P73" i="6"/>
  <c r="O73" i="6"/>
  <c r="N73" i="6"/>
  <c r="L73" i="6"/>
  <c r="K73" i="6"/>
  <c r="J73" i="6"/>
  <c r="I73" i="6"/>
  <c r="H73" i="6"/>
  <c r="C73" i="6"/>
  <c r="C72" i="6"/>
  <c r="C71" i="6"/>
  <c r="C70" i="6"/>
  <c r="C69" i="6"/>
  <c r="V68" i="6"/>
  <c r="U68" i="6"/>
  <c r="T68" i="6"/>
  <c r="S68" i="6"/>
  <c r="R68" i="6"/>
  <c r="Q68" i="6"/>
  <c r="P68" i="6"/>
  <c r="O68" i="6"/>
  <c r="N68" i="6"/>
  <c r="L68" i="6"/>
  <c r="K68" i="6"/>
  <c r="J68" i="6"/>
  <c r="I68" i="6"/>
  <c r="H68" i="6"/>
  <c r="V67" i="6"/>
  <c r="U67" i="6"/>
  <c r="T67" i="6"/>
  <c r="S67" i="6"/>
  <c r="R67" i="6"/>
  <c r="Q67" i="6"/>
  <c r="P67" i="6"/>
  <c r="O67" i="6"/>
  <c r="N67" i="6"/>
  <c r="L67" i="6"/>
  <c r="K67" i="6"/>
  <c r="J67" i="6"/>
  <c r="I67" i="6"/>
  <c r="H67" i="6"/>
  <c r="C67" i="6"/>
  <c r="C66" i="6"/>
  <c r="C65" i="6"/>
  <c r="C64" i="6"/>
  <c r="F63" i="6"/>
  <c r="F64" i="6" s="1"/>
  <c r="C63" i="6"/>
  <c r="M68" i="6"/>
  <c r="B62" i="6"/>
  <c r="C61" i="6"/>
  <c r="C60" i="6"/>
  <c r="C59" i="6"/>
  <c r="C58" i="6"/>
  <c r="Q57" i="6"/>
  <c r="M57" i="6"/>
  <c r="M60" i="6" s="1"/>
  <c r="M61" i="6" s="1"/>
  <c r="C57" i="6"/>
  <c r="V56" i="6"/>
  <c r="U56" i="6"/>
  <c r="T56" i="6"/>
  <c r="S56" i="6"/>
  <c r="R56" i="6"/>
  <c r="P56" i="6"/>
  <c r="O56" i="6"/>
  <c r="N56" i="6"/>
  <c r="M56" i="6"/>
  <c r="L56" i="6"/>
  <c r="K56" i="6"/>
  <c r="J56" i="6"/>
  <c r="I56" i="6"/>
  <c r="H56" i="6"/>
  <c r="V55" i="6"/>
  <c r="U55" i="6"/>
  <c r="T55" i="6"/>
  <c r="S55" i="6"/>
  <c r="R55" i="6"/>
  <c r="P55" i="6"/>
  <c r="O55" i="6"/>
  <c r="N55" i="6"/>
  <c r="L55" i="6"/>
  <c r="K55" i="6"/>
  <c r="J55" i="6"/>
  <c r="I55" i="6"/>
  <c r="H55" i="6"/>
  <c r="C55" i="6"/>
  <c r="Q54" i="6"/>
  <c r="M54" i="6"/>
  <c r="C54" i="6"/>
  <c r="Q53" i="6"/>
  <c r="M53" i="6"/>
  <c r="F53" i="6"/>
  <c r="F54" i="6" s="1"/>
  <c r="C53" i="6"/>
  <c r="Q52" i="6"/>
  <c r="B52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C50" i="6"/>
  <c r="C49" i="6"/>
  <c r="C48" i="6"/>
  <c r="C47" i="6"/>
  <c r="C46" i="6"/>
  <c r="C45" i="6"/>
  <c r="C44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C42" i="6"/>
  <c r="C41" i="6"/>
  <c r="F40" i="6"/>
  <c r="B39" i="6"/>
  <c r="U38" i="6"/>
  <c r="T38" i="6"/>
  <c r="S38" i="6"/>
  <c r="R38" i="6"/>
  <c r="P38" i="6"/>
  <c r="O38" i="6"/>
  <c r="N38" i="6"/>
  <c r="L38" i="6"/>
  <c r="K38" i="6"/>
  <c r="I38" i="6"/>
  <c r="V37" i="6"/>
  <c r="Q37" i="6"/>
  <c r="M37" i="6"/>
  <c r="J37" i="6"/>
  <c r="H37" i="6"/>
  <c r="AG37" i="3" s="1"/>
  <c r="F37" i="6"/>
  <c r="F38" i="6" s="1"/>
  <c r="B38" i="6" s="1"/>
  <c r="C37" i="6"/>
  <c r="V36" i="6"/>
  <c r="Q36" i="6"/>
  <c r="M36" i="6"/>
  <c r="J36" i="6"/>
  <c r="H36" i="6"/>
  <c r="AG36" i="3" s="1"/>
  <c r="C36" i="6"/>
  <c r="B36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C34" i="6"/>
  <c r="C33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C32" i="6"/>
  <c r="C31" i="6"/>
  <c r="C30" i="6"/>
  <c r="C29" i="6"/>
  <c r="C28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C26" i="6"/>
  <c r="C25" i="6"/>
  <c r="C24" i="6"/>
  <c r="C23" i="6"/>
  <c r="F22" i="6"/>
  <c r="B22" i="6" s="1"/>
  <c r="C22" i="6"/>
  <c r="B21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C19" i="6"/>
  <c r="C18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C17" i="6"/>
  <c r="C16" i="6"/>
  <c r="C15" i="6"/>
  <c r="C14" i="6"/>
  <c r="C13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C11" i="6"/>
  <c r="C10" i="6"/>
  <c r="C9" i="6"/>
  <c r="C8" i="6"/>
  <c r="F7" i="6"/>
  <c r="B7" i="6" s="1"/>
  <c r="C7" i="6"/>
  <c r="B6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F4" i="6"/>
  <c r="B4" i="6" s="1"/>
  <c r="C4" i="6"/>
  <c r="C3" i="6"/>
  <c r="B3" i="6"/>
  <c r="H29" i="3" l="1"/>
  <c r="H40" i="3"/>
  <c r="K85" i="3"/>
  <c r="K40" i="3"/>
  <c r="J19" i="3"/>
  <c r="J40" i="3"/>
  <c r="L21" i="3"/>
  <c r="L40" i="3"/>
  <c r="AS2" i="3"/>
  <c r="BX2" i="3" s="1"/>
  <c r="M40" i="3"/>
  <c r="C13" i="9"/>
  <c r="AG38" i="3"/>
  <c r="BM38" i="3" s="1"/>
  <c r="AG94" i="3"/>
  <c r="Q60" i="6"/>
  <c r="Q61" i="6" s="1"/>
  <c r="AD92" i="3"/>
  <c r="AE92" i="3"/>
  <c r="AF37" i="3"/>
  <c r="AD37" i="3"/>
  <c r="AD93" i="3"/>
  <c r="AE93" i="3"/>
  <c r="AD58" i="3"/>
  <c r="AF58" i="3"/>
  <c r="AD59" i="3"/>
  <c r="AF59" i="3"/>
  <c r="AF60" i="3"/>
  <c r="AD60" i="3"/>
  <c r="AD90" i="3"/>
  <c r="AE90" i="3"/>
  <c r="AD52" i="3"/>
  <c r="BJ52" i="3" s="1"/>
  <c r="AF52" i="3"/>
  <c r="BL52" i="3" s="1"/>
  <c r="AF54" i="3"/>
  <c r="AD54" i="3"/>
  <c r="AF57" i="3"/>
  <c r="AD57" i="3"/>
  <c r="AD91" i="3"/>
  <c r="AE91" i="3"/>
  <c r="AD36" i="3"/>
  <c r="AF36" i="3"/>
  <c r="AD53" i="3"/>
  <c r="AF53" i="3"/>
  <c r="AC36" i="3"/>
  <c r="AE36" i="3"/>
  <c r="AC53" i="3"/>
  <c r="AE53" i="3"/>
  <c r="AE57" i="3"/>
  <c r="AC57" i="3"/>
  <c r="AE54" i="3"/>
  <c r="AC54" i="3"/>
  <c r="AE58" i="3"/>
  <c r="AC58" i="3"/>
  <c r="AE37" i="3"/>
  <c r="AC37" i="3"/>
  <c r="AC59" i="3"/>
  <c r="AE59" i="3"/>
  <c r="AE60" i="3"/>
  <c r="AC60" i="3"/>
  <c r="AE52" i="3"/>
  <c r="BK52" i="3" s="1"/>
  <c r="AC52" i="3"/>
  <c r="BI52" i="3" s="1"/>
  <c r="BC95" i="3"/>
  <c r="BC21" i="3"/>
  <c r="BC68" i="3"/>
  <c r="BC83" i="3"/>
  <c r="BC56" i="3"/>
  <c r="BC12" i="3"/>
  <c r="BD83" i="3"/>
  <c r="BD56" i="3"/>
  <c r="BD12" i="3"/>
  <c r="BD95" i="3"/>
  <c r="BD21" i="3"/>
  <c r="BD68" i="3"/>
  <c r="BD39" i="3"/>
  <c r="V14" i="9"/>
  <c r="Q14" i="9"/>
  <c r="O14" i="9"/>
  <c r="S14" i="9"/>
  <c r="J14" i="9"/>
  <c r="H14" i="9"/>
  <c r="F14" i="9"/>
  <c r="T14" i="9"/>
  <c r="X14" i="9"/>
  <c r="AG14" i="9"/>
  <c r="P14" i="9"/>
  <c r="W14" i="9"/>
  <c r="Y14" i="9"/>
  <c r="M14" i="9"/>
  <c r="Z14" i="9"/>
  <c r="N14" i="9"/>
  <c r="AC14" i="9"/>
  <c r="L14" i="9"/>
  <c r="K14" i="9"/>
  <c r="AD14" i="9"/>
  <c r="AE14" i="9"/>
  <c r="I14" i="9"/>
  <c r="G14" i="9"/>
  <c r="R14" i="9"/>
  <c r="U14" i="9"/>
  <c r="E14" i="9"/>
  <c r="AB14" i="9"/>
  <c r="AA14" i="9"/>
  <c r="D14" i="9"/>
  <c r="AF14" i="9"/>
  <c r="F23" i="6"/>
  <c r="F24" i="6" s="1"/>
  <c r="H38" i="6"/>
  <c r="B53" i="6"/>
  <c r="B63" i="6"/>
  <c r="F91" i="6"/>
  <c r="F92" i="6" s="1"/>
  <c r="Q56" i="6"/>
  <c r="M67" i="6"/>
  <c r="M38" i="6"/>
  <c r="B41" i="6"/>
  <c r="J38" i="6"/>
  <c r="M94" i="6"/>
  <c r="B78" i="6"/>
  <c r="N94" i="6"/>
  <c r="M55" i="6"/>
  <c r="L15" i="3"/>
  <c r="AY2" i="3"/>
  <c r="CD2" i="3" s="1"/>
  <c r="H3" i="3"/>
  <c r="M15" i="3"/>
  <c r="M19" i="3"/>
  <c r="C40" i="12"/>
  <c r="AN2" i="3"/>
  <c r="BS2" i="3" s="1"/>
  <c r="C38" i="11"/>
  <c r="C40" i="11"/>
  <c r="AU2" i="3"/>
  <c r="BZ2" i="3" s="1"/>
  <c r="AV2" i="3"/>
  <c r="CA2" i="3" s="1"/>
  <c r="H65" i="3"/>
  <c r="L18" i="3"/>
  <c r="BA2" i="3"/>
  <c r="CF2" i="3" s="1"/>
  <c r="M18" i="3"/>
  <c r="C41" i="12"/>
  <c r="C42" i="12"/>
  <c r="C28" i="11"/>
  <c r="C34" i="11"/>
  <c r="H4" i="3"/>
  <c r="C33" i="11"/>
  <c r="H41" i="3"/>
  <c r="H23" i="3"/>
  <c r="H44" i="3"/>
  <c r="H24" i="3"/>
  <c r="H90" i="3"/>
  <c r="C37" i="11"/>
  <c r="C38" i="12"/>
  <c r="C39" i="11"/>
  <c r="I23" i="3"/>
  <c r="K16" i="3"/>
  <c r="L16" i="3"/>
  <c r="I24" i="3"/>
  <c r="AX2" i="3"/>
  <c r="CC2" i="3" s="1"/>
  <c r="M16" i="3"/>
  <c r="H22" i="3"/>
  <c r="J24" i="3"/>
  <c r="M6" i="3"/>
  <c r="I3" i="3"/>
  <c r="J25" i="3"/>
  <c r="AP2" i="3"/>
  <c r="BU2" i="3" s="1"/>
  <c r="AW2" i="3"/>
  <c r="CB2" i="3" s="1"/>
  <c r="M80" i="3"/>
  <c r="AO24" i="10"/>
  <c r="AK24" i="10"/>
  <c r="AN24" i="10"/>
  <c r="K62" i="3"/>
  <c r="K81" i="3"/>
  <c r="K59" i="3"/>
  <c r="K6" i="3"/>
  <c r="K15" i="3"/>
  <c r="K102" i="3"/>
  <c r="K80" i="3"/>
  <c r="K58" i="3"/>
  <c r="K37" i="3"/>
  <c r="K14" i="3"/>
  <c r="K101" i="3"/>
  <c r="K79" i="3"/>
  <c r="K57" i="3"/>
  <c r="K36" i="3"/>
  <c r="K13" i="3"/>
  <c r="K99" i="3"/>
  <c r="K78" i="3"/>
  <c r="K54" i="3"/>
  <c r="K34" i="3"/>
  <c r="K10" i="3"/>
  <c r="K98" i="3"/>
  <c r="K77" i="3"/>
  <c r="K53" i="3"/>
  <c r="K33" i="3"/>
  <c r="K9" i="3"/>
  <c r="K97" i="3"/>
  <c r="K75" i="3"/>
  <c r="K52" i="3"/>
  <c r="K31" i="3"/>
  <c r="K8" i="3"/>
  <c r="K96" i="3"/>
  <c r="K74" i="3"/>
  <c r="K50" i="3"/>
  <c r="K30" i="3"/>
  <c r="K7" i="3"/>
  <c r="K89" i="3"/>
  <c r="K72" i="3"/>
  <c r="K49" i="3"/>
  <c r="K29" i="3"/>
  <c r="K4" i="3"/>
  <c r="K93" i="3"/>
  <c r="K71" i="3"/>
  <c r="K47" i="3"/>
  <c r="K28" i="3"/>
  <c r="K3" i="3"/>
  <c r="K92" i="3"/>
  <c r="K70" i="3"/>
  <c r="K46" i="3"/>
  <c r="K25" i="3"/>
  <c r="K91" i="3"/>
  <c r="K69" i="3"/>
  <c r="K45" i="3"/>
  <c r="K90" i="3"/>
  <c r="K66" i="3"/>
  <c r="K44" i="3"/>
  <c r="K87" i="3"/>
  <c r="K65" i="3"/>
  <c r="K41" i="3"/>
  <c r="K86" i="3"/>
  <c r="K64" i="3"/>
  <c r="J64" i="3"/>
  <c r="AQ2" i="3"/>
  <c r="BV2" i="3" s="1"/>
  <c r="I22" i="3"/>
  <c r="L59" i="3"/>
  <c r="M14" i="3"/>
  <c r="J22" i="3"/>
  <c r="M59" i="3"/>
  <c r="C39" i="13"/>
  <c r="L102" i="3"/>
  <c r="L80" i="3"/>
  <c r="L58" i="3"/>
  <c r="L37" i="3"/>
  <c r="L14" i="3"/>
  <c r="L101" i="3"/>
  <c r="L79" i="3"/>
  <c r="L57" i="3"/>
  <c r="L36" i="3"/>
  <c r="L13" i="3"/>
  <c r="L99" i="3"/>
  <c r="L78" i="3"/>
  <c r="L54" i="3"/>
  <c r="L34" i="3"/>
  <c r="L10" i="3"/>
  <c r="L98" i="3"/>
  <c r="L77" i="3"/>
  <c r="L53" i="3"/>
  <c r="L33" i="3"/>
  <c r="L9" i="3"/>
  <c r="L97" i="3"/>
  <c r="L75" i="3"/>
  <c r="L52" i="3"/>
  <c r="L31" i="3"/>
  <c r="L8" i="3"/>
  <c r="L96" i="3"/>
  <c r="L74" i="3"/>
  <c r="L50" i="3"/>
  <c r="L30" i="3"/>
  <c r="L7" i="3"/>
  <c r="L89" i="3"/>
  <c r="L72" i="3"/>
  <c r="L49" i="3"/>
  <c r="L29" i="3"/>
  <c r="L4" i="3"/>
  <c r="L93" i="3"/>
  <c r="L71" i="3"/>
  <c r="L47" i="3"/>
  <c r="L28" i="3"/>
  <c r="L3" i="3"/>
  <c r="L92" i="3"/>
  <c r="L70" i="3"/>
  <c r="L46" i="3"/>
  <c r="L25" i="3"/>
  <c r="L91" i="3"/>
  <c r="L69" i="3"/>
  <c r="L45" i="3"/>
  <c r="L24" i="3"/>
  <c r="L90" i="3"/>
  <c r="L66" i="3"/>
  <c r="L44" i="3"/>
  <c r="L87" i="3"/>
  <c r="L65" i="3"/>
  <c r="L41" i="3"/>
  <c r="L86" i="3"/>
  <c r="L64" i="3"/>
  <c r="L85" i="3"/>
  <c r="L63" i="3"/>
  <c r="L39" i="3"/>
  <c r="L6" i="3"/>
  <c r="BB2" i="3"/>
  <c r="CG2" i="3" s="1"/>
  <c r="K22" i="3"/>
  <c r="J39" i="3"/>
  <c r="K60" i="3"/>
  <c r="L81" i="3"/>
  <c r="M102" i="3"/>
  <c r="AO2" i="3"/>
  <c r="BT2" i="3" s="1"/>
  <c r="AZ2" i="3"/>
  <c r="CE2" i="3" s="1"/>
  <c r="K24" i="3"/>
  <c r="BC2" i="3"/>
  <c r="CH2" i="3" s="1"/>
  <c r="J18" i="3"/>
  <c r="L22" i="3"/>
  <c r="K39" i="3"/>
  <c r="L60" i="3"/>
  <c r="M81" i="3"/>
  <c r="M58" i="3"/>
  <c r="K21" i="3"/>
  <c r="H86" i="3"/>
  <c r="H64" i="3"/>
  <c r="H19" i="3"/>
  <c r="H85" i="3"/>
  <c r="H63" i="3"/>
  <c r="H39" i="3"/>
  <c r="H18" i="3"/>
  <c r="H84" i="3"/>
  <c r="H60" i="3"/>
  <c r="H21" i="3"/>
  <c r="H16" i="3"/>
  <c r="H62" i="3"/>
  <c r="H81" i="3"/>
  <c r="H59" i="3"/>
  <c r="H6" i="3"/>
  <c r="H15" i="3"/>
  <c r="H102" i="3"/>
  <c r="H80" i="3"/>
  <c r="H58" i="3"/>
  <c r="H37" i="3"/>
  <c r="H14" i="3"/>
  <c r="H101" i="3"/>
  <c r="H79" i="3"/>
  <c r="H57" i="3"/>
  <c r="H36" i="3"/>
  <c r="H13" i="3"/>
  <c r="H99" i="3"/>
  <c r="H78" i="3"/>
  <c r="H54" i="3"/>
  <c r="H34" i="3"/>
  <c r="H10" i="3"/>
  <c r="H98" i="3"/>
  <c r="H77" i="3"/>
  <c r="H53" i="3"/>
  <c r="H33" i="3"/>
  <c r="H9" i="3"/>
  <c r="H97" i="3"/>
  <c r="H75" i="3"/>
  <c r="H52" i="3"/>
  <c r="H31" i="3"/>
  <c r="H8" i="3"/>
  <c r="H96" i="3"/>
  <c r="H74" i="3"/>
  <c r="H50" i="3"/>
  <c r="H30" i="3"/>
  <c r="H7" i="3"/>
  <c r="H89" i="3"/>
  <c r="H72" i="3"/>
  <c r="H49" i="3"/>
  <c r="H93" i="3"/>
  <c r="H71" i="3"/>
  <c r="H47" i="3"/>
  <c r="H92" i="3"/>
  <c r="H70" i="3"/>
  <c r="H46" i="3"/>
  <c r="H91" i="3"/>
  <c r="H69" i="3"/>
  <c r="H45" i="3"/>
  <c r="BD2" i="3"/>
  <c r="CI2" i="3" s="1"/>
  <c r="K18" i="3"/>
  <c r="M22" i="3"/>
  <c r="H25" i="3"/>
  <c r="J63" i="3"/>
  <c r="K84" i="3"/>
  <c r="L62" i="3"/>
  <c r="I85" i="3"/>
  <c r="I63" i="3"/>
  <c r="I39" i="3"/>
  <c r="I18" i="3"/>
  <c r="I84" i="3"/>
  <c r="I60" i="3"/>
  <c r="I21" i="3"/>
  <c r="I16" i="3"/>
  <c r="I62" i="3"/>
  <c r="I81" i="3"/>
  <c r="I59" i="3"/>
  <c r="I6" i="3"/>
  <c r="I15" i="3"/>
  <c r="I102" i="3"/>
  <c r="I80" i="3"/>
  <c r="I58" i="3"/>
  <c r="I37" i="3"/>
  <c r="I14" i="3"/>
  <c r="I101" i="3"/>
  <c r="I79" i="3"/>
  <c r="I57" i="3"/>
  <c r="I36" i="3"/>
  <c r="I13" i="3"/>
  <c r="I99" i="3"/>
  <c r="I78" i="3"/>
  <c r="I54" i="3"/>
  <c r="I34" i="3"/>
  <c r="I10" i="3"/>
  <c r="I98" i="3"/>
  <c r="I77" i="3"/>
  <c r="I53" i="3"/>
  <c r="I33" i="3"/>
  <c r="I9" i="3"/>
  <c r="I97" i="3"/>
  <c r="I75" i="3"/>
  <c r="I52" i="3"/>
  <c r="I31" i="3"/>
  <c r="I8" i="3"/>
  <c r="I96" i="3"/>
  <c r="I74" i="3"/>
  <c r="I50" i="3"/>
  <c r="I30" i="3"/>
  <c r="I7" i="3"/>
  <c r="I89" i="3"/>
  <c r="I72" i="3"/>
  <c r="I49" i="3"/>
  <c r="I29" i="3"/>
  <c r="I4" i="3"/>
  <c r="I93" i="3"/>
  <c r="I71" i="3"/>
  <c r="I47" i="3"/>
  <c r="I92" i="3"/>
  <c r="I70" i="3"/>
  <c r="I46" i="3"/>
  <c r="I91" i="3"/>
  <c r="I69" i="3"/>
  <c r="I45" i="3"/>
  <c r="I90" i="3"/>
  <c r="I66" i="3"/>
  <c r="I44" i="3"/>
  <c r="I25" i="3"/>
  <c r="K63" i="3"/>
  <c r="L84" i="3"/>
  <c r="M62" i="3"/>
  <c r="I64" i="3"/>
  <c r="J85" i="3"/>
  <c r="I86" i="3"/>
  <c r="I41" i="3"/>
  <c r="I42" i="3" s="1"/>
  <c r="AR2" i="3"/>
  <c r="BW2" i="3" s="1"/>
  <c r="L23" i="3"/>
  <c r="H87" i="3"/>
  <c r="J84" i="3"/>
  <c r="J60" i="3"/>
  <c r="J21" i="3"/>
  <c r="J16" i="3"/>
  <c r="J62" i="3"/>
  <c r="J81" i="3"/>
  <c r="J59" i="3"/>
  <c r="J6" i="3"/>
  <c r="J15" i="3"/>
  <c r="J102" i="3"/>
  <c r="J80" i="3"/>
  <c r="J58" i="3"/>
  <c r="J37" i="3"/>
  <c r="J14" i="3"/>
  <c r="J101" i="3"/>
  <c r="J79" i="3"/>
  <c r="J57" i="3"/>
  <c r="J36" i="3"/>
  <c r="J13" i="3"/>
  <c r="J99" i="3"/>
  <c r="J78" i="3"/>
  <c r="J54" i="3"/>
  <c r="J34" i="3"/>
  <c r="J10" i="3"/>
  <c r="J98" i="3"/>
  <c r="J77" i="3"/>
  <c r="J53" i="3"/>
  <c r="J33" i="3"/>
  <c r="J9" i="3"/>
  <c r="J97" i="3"/>
  <c r="J75" i="3"/>
  <c r="J52" i="3"/>
  <c r="J31" i="3"/>
  <c r="J8" i="3"/>
  <c r="J96" i="3"/>
  <c r="J74" i="3"/>
  <c r="J50" i="3"/>
  <c r="J30" i="3"/>
  <c r="J7" i="3"/>
  <c r="J89" i="3"/>
  <c r="J72" i="3"/>
  <c r="J49" i="3"/>
  <c r="J29" i="3"/>
  <c r="J4" i="3"/>
  <c r="J93" i="3"/>
  <c r="J71" i="3"/>
  <c r="J47" i="3"/>
  <c r="J28" i="3"/>
  <c r="J3" i="3"/>
  <c r="J92" i="3"/>
  <c r="J70" i="3"/>
  <c r="J46" i="3"/>
  <c r="J91" i="3"/>
  <c r="J69" i="3"/>
  <c r="J45" i="3"/>
  <c r="J90" i="3"/>
  <c r="J66" i="3"/>
  <c r="J44" i="3"/>
  <c r="J87" i="3"/>
  <c r="J65" i="3"/>
  <c r="J41" i="3"/>
  <c r="I19" i="3"/>
  <c r="K23" i="3"/>
  <c r="AT2" i="3"/>
  <c r="BY2" i="3" s="1"/>
  <c r="K19" i="3"/>
  <c r="H28" i="3"/>
  <c r="H66" i="3"/>
  <c r="I87" i="3"/>
  <c r="J23" i="3"/>
  <c r="M101" i="3"/>
  <c r="M79" i="3"/>
  <c r="M57" i="3"/>
  <c r="M36" i="3"/>
  <c r="M13" i="3"/>
  <c r="M99" i="3"/>
  <c r="M78" i="3"/>
  <c r="M54" i="3"/>
  <c r="M34" i="3"/>
  <c r="M10" i="3"/>
  <c r="M98" i="3"/>
  <c r="M77" i="3"/>
  <c r="M53" i="3"/>
  <c r="M33" i="3"/>
  <c r="M9" i="3"/>
  <c r="M97" i="3"/>
  <c r="M75" i="3"/>
  <c r="M52" i="3"/>
  <c r="M31" i="3"/>
  <c r="M8" i="3"/>
  <c r="M96" i="3"/>
  <c r="M74" i="3"/>
  <c r="M50" i="3"/>
  <c r="M30" i="3"/>
  <c r="M7" i="3"/>
  <c r="M89" i="3"/>
  <c r="M72" i="3"/>
  <c r="M49" i="3"/>
  <c r="M29" i="3"/>
  <c r="M4" i="3"/>
  <c r="M93" i="3"/>
  <c r="M71" i="3"/>
  <c r="M47" i="3"/>
  <c r="M28" i="3"/>
  <c r="M3" i="3"/>
  <c r="M92" i="3"/>
  <c r="M70" i="3"/>
  <c r="M46" i="3"/>
  <c r="M25" i="3"/>
  <c r="M91" i="3"/>
  <c r="M69" i="3"/>
  <c r="M45" i="3"/>
  <c r="M24" i="3"/>
  <c r="M90" i="3"/>
  <c r="M66" i="3"/>
  <c r="M44" i="3"/>
  <c r="M23" i="3"/>
  <c r="M87" i="3"/>
  <c r="M65" i="3"/>
  <c r="M41" i="3"/>
  <c r="M86" i="3"/>
  <c r="M64" i="3"/>
  <c r="M85" i="3"/>
  <c r="M63" i="3"/>
  <c r="M39" i="3"/>
  <c r="M84" i="3"/>
  <c r="M60" i="3"/>
  <c r="M21" i="3"/>
  <c r="I65" i="3"/>
  <c r="J86" i="3"/>
  <c r="L19" i="3"/>
  <c r="I28" i="3"/>
  <c r="M37" i="3"/>
  <c r="C41" i="10"/>
  <c r="AL41" i="10" s="1"/>
  <c r="AL33" i="10"/>
  <c r="C40" i="13"/>
  <c r="C37" i="13"/>
  <c r="AO19" i="10"/>
  <c r="AK19" i="10"/>
  <c r="AN19" i="10"/>
  <c r="C36" i="10"/>
  <c r="AL36" i="10" s="1"/>
  <c r="AL28" i="10"/>
  <c r="AN23" i="10"/>
  <c r="AK23" i="10"/>
  <c r="AO23" i="10"/>
  <c r="C40" i="10"/>
  <c r="AL32" i="10"/>
  <c r="AO21" i="10"/>
  <c r="AK21" i="10"/>
  <c r="AN21" i="10"/>
  <c r="C38" i="13"/>
  <c r="C38" i="10"/>
  <c r="AL38" i="10" s="1"/>
  <c r="AL30" i="10"/>
  <c r="CK11" i="5"/>
  <c r="AO20" i="10"/>
  <c r="AN20" i="10"/>
  <c r="AK20" i="10"/>
  <c r="AK25" i="10"/>
  <c r="AO25" i="10"/>
  <c r="AN25" i="10"/>
  <c r="AO22" i="10"/>
  <c r="AK22" i="10"/>
  <c r="AN22" i="10"/>
  <c r="CL11" i="5"/>
  <c r="C37" i="10"/>
  <c r="AL37" i="10" s="1"/>
  <c r="AL29" i="10"/>
  <c r="C42" i="10"/>
  <c r="AL42" i="10" s="1"/>
  <c r="AL34" i="10"/>
  <c r="C39" i="10"/>
  <c r="AL39" i="10" s="1"/>
  <c r="AL31" i="10"/>
  <c r="C36" i="13"/>
  <c r="AK20" i="7"/>
  <c r="AK19" i="7"/>
  <c r="AK25" i="7"/>
  <c r="AK24" i="7"/>
  <c r="AK22" i="7"/>
  <c r="AK23" i="7"/>
  <c r="AK21" i="7"/>
  <c r="AN20" i="7"/>
  <c r="AO20" i="7"/>
  <c r="AO19" i="7"/>
  <c r="AN19" i="7"/>
  <c r="AO25" i="7"/>
  <c r="AN25" i="7"/>
  <c r="AO24" i="7"/>
  <c r="AN24" i="7"/>
  <c r="AO22" i="7"/>
  <c r="AN22" i="7"/>
  <c r="AO23" i="7"/>
  <c r="AN23" i="7"/>
  <c r="AO21" i="7"/>
  <c r="AN21" i="7"/>
  <c r="C37" i="7"/>
  <c r="AL37" i="7" s="1"/>
  <c r="AL29" i="7"/>
  <c r="C36" i="7"/>
  <c r="AL36" i="7" s="1"/>
  <c r="AL28" i="7"/>
  <c r="C42" i="7"/>
  <c r="AL42" i="7" s="1"/>
  <c r="AL34" i="7"/>
  <c r="C41" i="7"/>
  <c r="AL41" i="7" s="1"/>
  <c r="AL33" i="7"/>
  <c r="C39" i="7"/>
  <c r="AL39" i="7" s="1"/>
  <c r="AL31" i="7"/>
  <c r="C40" i="7"/>
  <c r="AL32" i="7"/>
  <c r="C38" i="7"/>
  <c r="AL38" i="7" s="1"/>
  <c r="AL30" i="7"/>
  <c r="B91" i="6"/>
  <c r="F42" i="6"/>
  <c r="Q38" i="6"/>
  <c r="V38" i="6"/>
  <c r="B37" i="6"/>
  <c r="M82" i="6"/>
  <c r="M73" i="6"/>
  <c r="Q55" i="6"/>
  <c r="F8" i="6"/>
  <c r="B8" i="6" s="1"/>
  <c r="H94" i="6"/>
  <c r="F25" i="6"/>
  <c r="B24" i="6"/>
  <c r="F5" i="6"/>
  <c r="B5" i="6" s="1"/>
  <c r="B23" i="6"/>
  <c r="F55" i="6"/>
  <c r="B54" i="6"/>
  <c r="F81" i="6"/>
  <c r="B80" i="6"/>
  <c r="F65" i="6"/>
  <c r="B64" i="6"/>
  <c r="F93" i="6"/>
  <c r="B92" i="6"/>
  <c r="B79" i="6"/>
  <c r="L42" i="3" l="1"/>
  <c r="K42" i="3"/>
  <c r="J42" i="3"/>
  <c r="M42" i="3"/>
  <c r="H42" i="3"/>
  <c r="BC52" i="3"/>
  <c r="BD62" i="3"/>
  <c r="BC62" i="3"/>
  <c r="BD89" i="3"/>
  <c r="BC89" i="3"/>
  <c r="BC77" i="3"/>
  <c r="BD6" i="3"/>
  <c r="BC6" i="3"/>
  <c r="BD77" i="3"/>
  <c r="BC39" i="3"/>
  <c r="BD52" i="3"/>
  <c r="AD56" i="3"/>
  <c r="BJ56" i="3" s="1"/>
  <c r="AF56" i="3"/>
  <c r="BL56" i="3" s="1"/>
  <c r="AC56" i="3"/>
  <c r="BI56" i="3" s="1"/>
  <c r="AE56" i="3"/>
  <c r="BK56" i="3" s="1"/>
  <c r="BC27" i="3"/>
  <c r="BD27" i="3"/>
  <c r="AD38" i="3"/>
  <c r="BJ38" i="3" s="1"/>
  <c r="AF38" i="3"/>
  <c r="BL38" i="3" s="1"/>
  <c r="AE94" i="3"/>
  <c r="AD94" i="3"/>
  <c r="AF55" i="3"/>
  <c r="AD55" i="3"/>
  <c r="AD61" i="3"/>
  <c r="AF61" i="3"/>
  <c r="AC61" i="3"/>
  <c r="AE38" i="3"/>
  <c r="BK38" i="3" s="1"/>
  <c r="AC38" i="3"/>
  <c r="BI38" i="3" s="1"/>
  <c r="AE61" i="3"/>
  <c r="AE55" i="3"/>
  <c r="AC55" i="3"/>
  <c r="BC103" i="3"/>
  <c r="BD76" i="3"/>
  <c r="BC5" i="3"/>
  <c r="BC38" i="3"/>
  <c r="BD20" i="3"/>
  <c r="BD38" i="3"/>
  <c r="BD5" i="3"/>
  <c r="BC35" i="3"/>
  <c r="BD103" i="3"/>
  <c r="BD35" i="3"/>
  <c r="BC76" i="3"/>
  <c r="BC20" i="3"/>
  <c r="F9" i="6"/>
  <c r="C42" i="11"/>
  <c r="C36" i="11"/>
  <c r="C41" i="11"/>
  <c r="AO42" i="10"/>
  <c r="AN42" i="10"/>
  <c r="AK42" i="10"/>
  <c r="AO29" i="10"/>
  <c r="AK29" i="10"/>
  <c r="AN29" i="10"/>
  <c r="AN38" i="10"/>
  <c r="AK38" i="10"/>
  <c r="AO38" i="10"/>
  <c r="AN37" i="10"/>
  <c r="AO37" i="10"/>
  <c r="AK37" i="10"/>
  <c r="AO28" i="10"/>
  <c r="AN28" i="10"/>
  <c r="AK28" i="10"/>
  <c r="AO30" i="10"/>
  <c r="AK30" i="10"/>
  <c r="AN30" i="10"/>
  <c r="AO36" i="10"/>
  <c r="AN36" i="10"/>
  <c r="AK36" i="10"/>
  <c r="AO34" i="10"/>
  <c r="AK34" i="10"/>
  <c r="AN34" i="10"/>
  <c r="AN33" i="10"/>
  <c r="AO33" i="10"/>
  <c r="AK33" i="10"/>
  <c r="AO31" i="10"/>
  <c r="AN31" i="10"/>
  <c r="AK31" i="10"/>
  <c r="AO32" i="10"/>
  <c r="AK32" i="10"/>
  <c r="AN32" i="10"/>
  <c r="AO41" i="10"/>
  <c r="AN41" i="10"/>
  <c r="AK41" i="10"/>
  <c r="AO39" i="10"/>
  <c r="AN39" i="10"/>
  <c r="AK39" i="10"/>
  <c r="AK28" i="7"/>
  <c r="AK36" i="7"/>
  <c r="AK29" i="7"/>
  <c r="AK37" i="7"/>
  <c r="AK30" i="7"/>
  <c r="AK38" i="7"/>
  <c r="AK32" i="7"/>
  <c r="AK31" i="7"/>
  <c r="AK39" i="7"/>
  <c r="AK33" i="7"/>
  <c r="AK41" i="7"/>
  <c r="AK34" i="7"/>
  <c r="AK42" i="7"/>
  <c r="AO29" i="7"/>
  <c r="AN29" i="7"/>
  <c r="AO37" i="7"/>
  <c r="AN37" i="7"/>
  <c r="AO30" i="7"/>
  <c r="AN30" i="7"/>
  <c r="AO38" i="7"/>
  <c r="AN38" i="7"/>
  <c r="AO32" i="7"/>
  <c r="AN32" i="7"/>
  <c r="AO31" i="7"/>
  <c r="AN31" i="7"/>
  <c r="AO39" i="7"/>
  <c r="AN39" i="7"/>
  <c r="AO33" i="7"/>
  <c r="AN33" i="7"/>
  <c r="AO41" i="7"/>
  <c r="AN41" i="7"/>
  <c r="AO34" i="7"/>
  <c r="AN34" i="7"/>
  <c r="AO42" i="7"/>
  <c r="AN42" i="7"/>
  <c r="AN28" i="7"/>
  <c r="AO28" i="7"/>
  <c r="AO36" i="7"/>
  <c r="AN36" i="7"/>
  <c r="B42" i="6"/>
  <c r="F43" i="6"/>
  <c r="F82" i="6"/>
  <c r="B81" i="6"/>
  <c r="B93" i="6"/>
  <c r="F94" i="6"/>
  <c r="F56" i="6"/>
  <c r="B55" i="6"/>
  <c r="F66" i="6"/>
  <c r="B65" i="6"/>
  <c r="B25" i="6"/>
  <c r="F26" i="6"/>
  <c r="B9" i="6"/>
  <c r="F10" i="6"/>
  <c r="B43" i="6" l="1"/>
  <c r="F44" i="6"/>
  <c r="F11" i="6"/>
  <c r="B10" i="6"/>
  <c r="F57" i="6"/>
  <c r="B56" i="6"/>
  <c r="F95" i="6"/>
  <c r="B94" i="6"/>
  <c r="F83" i="6"/>
  <c r="B82" i="6"/>
  <c r="B26" i="6"/>
  <c r="F27" i="6"/>
  <c r="F67" i="6"/>
  <c r="B66" i="6"/>
  <c r="B44" i="6" l="1"/>
  <c r="F45" i="6"/>
  <c r="F68" i="6"/>
  <c r="B67" i="6"/>
  <c r="F96" i="6"/>
  <c r="B95" i="6"/>
  <c r="F84" i="6"/>
  <c r="B83" i="6"/>
  <c r="F58" i="6"/>
  <c r="B57" i="6"/>
  <c r="F28" i="6"/>
  <c r="B27" i="6"/>
  <c r="F12" i="6"/>
  <c r="B11" i="6"/>
  <c r="B45" i="6" l="1"/>
  <c r="F46" i="6"/>
  <c r="B28" i="6"/>
  <c r="F29" i="6"/>
  <c r="B58" i="6"/>
  <c r="F59" i="6"/>
  <c r="F69" i="6"/>
  <c r="B68" i="6"/>
  <c r="F85" i="6"/>
  <c r="B84" i="6"/>
  <c r="F13" i="6"/>
  <c r="B12" i="6"/>
  <c r="B96" i="6"/>
  <c r="F97" i="6"/>
  <c r="B46" i="6" l="1"/>
  <c r="F47" i="6"/>
  <c r="B97" i="6"/>
  <c r="F98" i="6"/>
  <c r="F86" i="6"/>
  <c r="B85" i="6"/>
  <c r="B59" i="6"/>
  <c r="F60" i="6"/>
  <c r="F70" i="6"/>
  <c r="B69" i="6"/>
  <c r="B29" i="6"/>
  <c r="F30" i="6"/>
  <c r="F14" i="6"/>
  <c r="B13" i="6"/>
  <c r="F48" i="6" l="1"/>
  <c r="B47" i="6"/>
  <c r="F15" i="6"/>
  <c r="B14" i="6"/>
  <c r="B70" i="6"/>
  <c r="F71" i="6"/>
  <c r="F31" i="6"/>
  <c r="B30" i="6"/>
  <c r="B86" i="6"/>
  <c r="F87" i="6"/>
  <c r="B98" i="6"/>
  <c r="F99" i="6"/>
  <c r="F61" i="6"/>
  <c r="B61" i="6" s="1"/>
  <c r="B60" i="6"/>
  <c r="F49" i="6" l="1"/>
  <c r="B48" i="6"/>
  <c r="F32" i="6"/>
  <c r="B31" i="6"/>
  <c r="F100" i="6"/>
  <c r="B99" i="6"/>
  <c r="F72" i="6"/>
  <c r="B71" i="6"/>
  <c r="F16" i="6"/>
  <c r="B15" i="6"/>
  <c r="B87" i="6"/>
  <c r="F88" i="6"/>
  <c r="B88" i="6" s="1"/>
  <c r="F50" i="6" l="1"/>
  <c r="B49" i="6"/>
  <c r="F33" i="6"/>
  <c r="B32" i="6"/>
  <c r="F17" i="6"/>
  <c r="B16" i="6"/>
  <c r="F73" i="6"/>
  <c r="B72" i="6"/>
  <c r="F101" i="6"/>
  <c r="B100" i="6"/>
  <c r="F51" i="6" l="1"/>
  <c r="B51" i="6" s="1"/>
  <c r="B50" i="6"/>
  <c r="F102" i="6"/>
  <c r="B101" i="6"/>
  <c r="F74" i="6"/>
  <c r="B73" i="6"/>
  <c r="F18" i="6"/>
  <c r="B17" i="6"/>
  <c r="F34" i="6"/>
  <c r="B33" i="6"/>
  <c r="F103" i="6" l="1"/>
  <c r="B103" i="6" s="1"/>
  <c r="B102" i="6"/>
  <c r="F35" i="6"/>
  <c r="B35" i="6" s="1"/>
  <c r="B34" i="6"/>
  <c r="F75" i="6"/>
  <c r="B74" i="6"/>
  <c r="F19" i="6"/>
  <c r="B18" i="6"/>
  <c r="F76" i="6" l="1"/>
  <c r="B76" i="6" s="1"/>
  <c r="B75" i="6"/>
  <c r="F20" i="6"/>
  <c r="B20" i="6" s="1"/>
  <c r="B19" i="6"/>
  <c r="C108" i="3" l="1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D149" i="3"/>
  <c r="C150" i="3"/>
  <c r="D150" i="3"/>
  <c r="E152" i="3"/>
  <c r="E153" i="3"/>
  <c r="E154" i="3"/>
  <c r="E155" i="3"/>
  <c r="E156" i="3"/>
  <c r="E157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AN138" i="3"/>
  <c r="AN139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137" i="3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Q42" i="1" l="1"/>
  <c r="X42" i="1"/>
  <c r="AI42" i="1"/>
  <c r="AH42" i="1"/>
  <c r="AG42" i="1"/>
  <c r="M42" i="1"/>
  <c r="P42" i="1"/>
  <c r="AB42" i="1"/>
  <c r="R42" i="1"/>
  <c r="AA42" i="1"/>
  <c r="S42" i="1"/>
  <c r="Z42" i="1"/>
  <c r="T42" i="1"/>
  <c r="L42" i="1"/>
  <c r="AE42" i="1"/>
  <c r="K42" i="1"/>
  <c r="AF42" i="1"/>
  <c r="J42" i="1"/>
  <c r="W42" i="1"/>
  <c r="Y42" i="1"/>
  <c r="G42" i="1"/>
  <c r="I42" i="1"/>
  <c r="V42" i="1"/>
  <c r="H42" i="1"/>
  <c r="F42" i="1"/>
  <c r="O42" i="1"/>
  <c r="U42" i="1"/>
  <c r="E42" i="1"/>
  <c r="AD42" i="1"/>
  <c r="N42" i="1"/>
  <c r="AC42" i="1"/>
  <c r="BH40" i="5"/>
  <c r="BI39" i="5"/>
  <c r="BJ38" i="5"/>
  <c r="BK37" i="5"/>
  <c r="BL36" i="5"/>
  <c r="BM35" i="5"/>
  <c r="BN34" i="5"/>
  <c r="BO33" i="5"/>
  <c r="BP32" i="5"/>
  <c r="BQ31" i="5"/>
  <c r="BR30" i="5"/>
  <c r="BF30" i="5"/>
  <c r="BG29" i="5"/>
  <c r="BH28" i="5"/>
  <c r="BI27" i="5"/>
  <c r="BJ26" i="5"/>
  <c r="BK25" i="5"/>
  <c r="BL24" i="5"/>
  <c r="BM23" i="5"/>
  <c r="BN22" i="5"/>
  <c r="BO21" i="5"/>
  <c r="BP20" i="5"/>
  <c r="BQ19" i="5"/>
  <c r="BR18" i="5"/>
  <c r="BF18" i="5"/>
  <c r="BG17" i="5"/>
  <c r="BH16" i="5"/>
  <c r="BI15" i="5"/>
  <c r="BJ14" i="5"/>
  <c r="BK13" i="5"/>
  <c r="BL12" i="5"/>
  <c r="BM11" i="5"/>
  <c r="BN4" i="5"/>
  <c r="BG40" i="5"/>
  <c r="BH39" i="5"/>
  <c r="BI38" i="5"/>
  <c r="BJ37" i="5"/>
  <c r="BK36" i="5"/>
  <c r="BL35" i="5"/>
  <c r="BM34" i="5"/>
  <c r="BN33" i="5"/>
  <c r="BO32" i="5"/>
  <c r="BP31" i="5"/>
  <c r="BQ30" i="5"/>
  <c r="BR29" i="5"/>
  <c r="BF29" i="5"/>
  <c r="BG28" i="5"/>
  <c r="BH27" i="5"/>
  <c r="BI26" i="5"/>
  <c r="BJ25" i="5"/>
  <c r="BK24" i="5"/>
  <c r="BL23" i="5"/>
  <c r="BM22" i="5"/>
  <c r="BN21" i="5"/>
  <c r="BO20" i="5"/>
  <c r="BP19" i="5"/>
  <c r="BQ18" i="5"/>
  <c r="BR17" i="5"/>
  <c r="BF17" i="5"/>
  <c r="BG16" i="5"/>
  <c r="BH15" i="5"/>
  <c r="BI14" i="5"/>
  <c r="BJ13" i="5"/>
  <c r="BK12" i="5"/>
  <c r="BL11" i="5"/>
  <c r="BM4" i="5"/>
  <c r="BR40" i="5"/>
  <c r="BF40" i="5"/>
  <c r="BG39" i="5"/>
  <c r="BH38" i="5"/>
  <c r="BI37" i="5"/>
  <c r="BJ36" i="5"/>
  <c r="BK35" i="5"/>
  <c r="BL34" i="5"/>
  <c r="BM33" i="5"/>
  <c r="BN32" i="5"/>
  <c r="BO31" i="5"/>
  <c r="BP30" i="5"/>
  <c r="BQ29" i="5"/>
  <c r="BR28" i="5"/>
  <c r="BF28" i="5"/>
  <c r="BG27" i="5"/>
  <c r="BH26" i="5"/>
  <c r="BI25" i="5"/>
  <c r="BJ24" i="5"/>
  <c r="BK23" i="5"/>
  <c r="BL22" i="5"/>
  <c r="BM21" i="5"/>
  <c r="BN20" i="5"/>
  <c r="BO19" i="5"/>
  <c r="BP18" i="5"/>
  <c r="BQ17" i="5"/>
  <c r="BR16" i="5"/>
  <c r="BF16" i="5"/>
  <c r="BG15" i="5"/>
  <c r="BH14" i="5"/>
  <c r="BI13" i="5"/>
  <c r="BJ12" i="5"/>
  <c r="BK11" i="5"/>
  <c r="BL4" i="5"/>
  <c r="BQ40" i="5"/>
  <c r="BR39" i="5"/>
  <c r="BF39" i="5"/>
  <c r="BG38" i="5"/>
  <c r="BH37" i="5"/>
  <c r="BI36" i="5"/>
  <c r="BJ35" i="5"/>
  <c r="BK34" i="5"/>
  <c r="BL33" i="5"/>
  <c r="BM32" i="5"/>
  <c r="BN31" i="5"/>
  <c r="BO30" i="5"/>
  <c r="BP29" i="5"/>
  <c r="BQ28" i="5"/>
  <c r="BR27" i="5"/>
  <c r="BF27" i="5"/>
  <c r="BG26" i="5"/>
  <c r="BH25" i="5"/>
  <c r="BI24" i="5"/>
  <c r="BJ23" i="5"/>
  <c r="BK22" i="5"/>
  <c r="BL21" i="5"/>
  <c r="BM20" i="5"/>
  <c r="BN19" i="5"/>
  <c r="BO18" i="5"/>
  <c r="BP17" i="5"/>
  <c r="BQ16" i="5"/>
  <c r="BR15" i="5"/>
  <c r="BF15" i="5"/>
  <c r="BG14" i="5"/>
  <c r="BH13" i="5"/>
  <c r="BI12" i="5"/>
  <c r="BJ11" i="5"/>
  <c r="BK4" i="5"/>
  <c r="BP40" i="5"/>
  <c r="BQ39" i="5"/>
  <c r="BR38" i="5"/>
  <c r="BF38" i="5"/>
  <c r="BG37" i="5"/>
  <c r="BH36" i="5"/>
  <c r="BI35" i="5"/>
  <c r="BJ34" i="5"/>
  <c r="BK33" i="5"/>
  <c r="BL32" i="5"/>
  <c r="BM31" i="5"/>
  <c r="BN30" i="5"/>
  <c r="BO29" i="5"/>
  <c r="BP28" i="5"/>
  <c r="BQ27" i="5"/>
  <c r="BR26" i="5"/>
  <c r="BF26" i="5"/>
  <c r="BG25" i="5"/>
  <c r="BH24" i="5"/>
  <c r="BI23" i="5"/>
  <c r="BJ22" i="5"/>
  <c r="BK21" i="5"/>
  <c r="BL20" i="5"/>
  <c r="BM19" i="5"/>
  <c r="BN18" i="5"/>
  <c r="BO17" i="5"/>
  <c r="BP16" i="5"/>
  <c r="BQ15" i="5"/>
  <c r="BR14" i="5"/>
  <c r="BF14" i="5"/>
  <c r="BG13" i="5"/>
  <c r="BH12" i="5"/>
  <c r="BI11" i="5"/>
  <c r="BJ4" i="5"/>
  <c r="BO40" i="5"/>
  <c r="BP39" i="5"/>
  <c r="BQ38" i="5"/>
  <c r="BR37" i="5"/>
  <c r="BF37" i="5"/>
  <c r="BG36" i="5"/>
  <c r="BH35" i="5"/>
  <c r="BI34" i="5"/>
  <c r="BJ33" i="5"/>
  <c r="BK32" i="5"/>
  <c r="BL31" i="5"/>
  <c r="BM30" i="5"/>
  <c r="BN29" i="5"/>
  <c r="BO28" i="5"/>
  <c r="BP27" i="5"/>
  <c r="BQ26" i="5"/>
  <c r="BR25" i="5"/>
  <c r="BF25" i="5"/>
  <c r="BG24" i="5"/>
  <c r="BH23" i="5"/>
  <c r="BI22" i="5"/>
  <c r="BJ21" i="5"/>
  <c r="BK20" i="5"/>
  <c r="BL19" i="5"/>
  <c r="BM18" i="5"/>
  <c r="BN17" i="5"/>
  <c r="BO16" i="5"/>
  <c r="BP15" i="5"/>
  <c r="BQ14" i="5"/>
  <c r="BR13" i="5"/>
  <c r="BF13" i="5"/>
  <c r="BG12" i="5"/>
  <c r="BH11" i="5"/>
  <c r="BI4" i="5"/>
  <c r="BN40" i="5"/>
  <c r="BO39" i="5"/>
  <c r="BP38" i="5"/>
  <c r="BQ37" i="5"/>
  <c r="BR36" i="5"/>
  <c r="BF36" i="5"/>
  <c r="BG35" i="5"/>
  <c r="BH34" i="5"/>
  <c r="BI33" i="5"/>
  <c r="BJ32" i="5"/>
  <c r="BK31" i="5"/>
  <c r="BI40" i="5"/>
  <c r="BO37" i="5"/>
  <c r="BO35" i="5"/>
  <c r="BH33" i="5"/>
  <c r="BH31" i="5"/>
  <c r="BJ29" i="5"/>
  <c r="BL27" i="5"/>
  <c r="BN25" i="5"/>
  <c r="BP23" i="5"/>
  <c r="BR21" i="5"/>
  <c r="BG20" i="5"/>
  <c r="BI18" i="5"/>
  <c r="BK16" i="5"/>
  <c r="BM14" i="5"/>
  <c r="BO12" i="5"/>
  <c r="BQ4" i="5"/>
  <c r="BN39" i="5"/>
  <c r="BN37" i="5"/>
  <c r="BN35" i="5"/>
  <c r="BG33" i="5"/>
  <c r="BG31" i="5"/>
  <c r="BI29" i="5"/>
  <c r="BK27" i="5"/>
  <c r="BM25" i="5"/>
  <c r="BO23" i="5"/>
  <c r="BQ21" i="5"/>
  <c r="BF20" i="5"/>
  <c r="BH18" i="5"/>
  <c r="BJ16" i="5"/>
  <c r="BL14" i="5"/>
  <c r="BN12" i="5"/>
  <c r="BP4" i="5"/>
  <c r="BM39" i="5"/>
  <c r="BM37" i="5"/>
  <c r="BF35" i="5"/>
  <c r="BF33" i="5"/>
  <c r="BF31" i="5"/>
  <c r="BH29" i="5"/>
  <c r="BJ27" i="5"/>
  <c r="BL25" i="5"/>
  <c r="BN23" i="5"/>
  <c r="BP21" i="5"/>
  <c r="BR19" i="5"/>
  <c r="BG18" i="5"/>
  <c r="BI16" i="5"/>
  <c r="BK14" i="5"/>
  <c r="BM12" i="5"/>
  <c r="BO4" i="5"/>
  <c r="BL39" i="5"/>
  <c r="BL37" i="5"/>
  <c r="BR34" i="5"/>
  <c r="BR32" i="5"/>
  <c r="BL30" i="5"/>
  <c r="BN28" i="5"/>
  <c r="BP26" i="5"/>
  <c r="BR24" i="5"/>
  <c r="BG23" i="5"/>
  <c r="BI21" i="5"/>
  <c r="BK19" i="5"/>
  <c r="BM17" i="5"/>
  <c r="BO15" i="5"/>
  <c r="BQ13" i="5"/>
  <c r="BF12" i="5"/>
  <c r="BH4" i="5"/>
  <c r="BK39" i="5"/>
  <c r="BQ36" i="5"/>
  <c r="BQ34" i="5"/>
  <c r="BQ32" i="5"/>
  <c r="BK30" i="5"/>
  <c r="BM28" i="5"/>
  <c r="BO26" i="5"/>
  <c r="BQ24" i="5"/>
  <c r="BF23" i="5"/>
  <c r="BH21" i="5"/>
  <c r="BJ19" i="5"/>
  <c r="BL17" i="5"/>
  <c r="BN15" i="5"/>
  <c r="BP13" i="5"/>
  <c r="BR11" i="5"/>
  <c r="BG4" i="5"/>
  <c r="BJ39" i="5"/>
  <c r="BP36" i="5"/>
  <c r="BP34" i="5"/>
  <c r="BI32" i="5"/>
  <c r="BJ30" i="5"/>
  <c r="BL28" i="5"/>
  <c r="BN26" i="5"/>
  <c r="BP24" i="5"/>
  <c r="BR22" i="5"/>
  <c r="BG21" i="5"/>
  <c r="BI19" i="5"/>
  <c r="BK17" i="5"/>
  <c r="BM15" i="5"/>
  <c r="BO13" i="5"/>
  <c r="BQ11" i="5"/>
  <c r="BF4" i="5"/>
  <c r="BO38" i="5"/>
  <c r="BO36" i="5"/>
  <c r="BO34" i="5"/>
  <c r="BH32" i="5"/>
  <c r="BI30" i="5"/>
  <c r="BK28" i="5"/>
  <c r="BM26" i="5"/>
  <c r="BO24" i="5"/>
  <c r="BQ22" i="5"/>
  <c r="BF21" i="5"/>
  <c r="BH19" i="5"/>
  <c r="BJ17" i="5"/>
  <c r="BL15" i="5"/>
  <c r="BN13" i="5"/>
  <c r="BP11" i="5"/>
  <c r="BN38" i="5"/>
  <c r="BN36" i="5"/>
  <c r="BG34" i="5"/>
  <c r="BG32" i="5"/>
  <c r="BH30" i="5"/>
  <c r="BJ28" i="5"/>
  <c r="BL26" i="5"/>
  <c r="BN24" i="5"/>
  <c r="BP22" i="5"/>
  <c r="BR20" i="5"/>
  <c r="BG19" i="5"/>
  <c r="BI17" i="5"/>
  <c r="BK15" i="5"/>
  <c r="BM13" i="5"/>
  <c r="BO11" i="5"/>
  <c r="BM40" i="5"/>
  <c r="BM38" i="5"/>
  <c r="BM36" i="5"/>
  <c r="BF34" i="5"/>
  <c r="BF32" i="5"/>
  <c r="BG30" i="5"/>
  <c r="BI28" i="5"/>
  <c r="BK26" i="5"/>
  <c r="BM24" i="5"/>
  <c r="BO22" i="5"/>
  <c r="BQ20" i="5"/>
  <c r="BF19" i="5"/>
  <c r="BH17" i="5"/>
  <c r="BJ15" i="5"/>
  <c r="BL13" i="5"/>
  <c r="BN11" i="5"/>
  <c r="BL40" i="5"/>
  <c r="BL38" i="5"/>
  <c r="BR35" i="5"/>
  <c r="BR33" i="5"/>
  <c r="BR31" i="5"/>
  <c r="BM29" i="5"/>
  <c r="BO27" i="5"/>
  <c r="BQ25" i="5"/>
  <c r="BF24" i="5"/>
  <c r="BH22" i="5"/>
  <c r="BJ20" i="5"/>
  <c r="BL18" i="5"/>
  <c r="BN16" i="5"/>
  <c r="BP14" i="5"/>
  <c r="BR12" i="5"/>
  <c r="BG11" i="5"/>
  <c r="BK40" i="5"/>
  <c r="BK38" i="5"/>
  <c r="BQ35" i="5"/>
  <c r="BQ33" i="5"/>
  <c r="BJ31" i="5"/>
  <c r="BL29" i="5"/>
  <c r="BN27" i="5"/>
  <c r="BP25" i="5"/>
  <c r="BR23" i="5"/>
  <c r="BG22" i="5"/>
  <c r="BI20" i="5"/>
  <c r="BK18" i="5"/>
  <c r="BM16" i="5"/>
  <c r="BO14" i="5"/>
  <c r="BQ12" i="5"/>
  <c r="BF11" i="5"/>
  <c r="BJ40" i="5"/>
  <c r="BP37" i="5"/>
  <c r="BP35" i="5"/>
  <c r="BP33" i="5"/>
  <c r="BI31" i="5"/>
  <c r="BK29" i="5"/>
  <c r="BM27" i="5"/>
  <c r="BO25" i="5"/>
  <c r="BQ23" i="5"/>
  <c r="BF22" i="5"/>
  <c r="BH20" i="5"/>
  <c r="BJ18" i="5"/>
  <c r="BL16" i="5"/>
  <c r="BN14" i="5"/>
  <c r="BP12" i="5"/>
  <c r="BR4" i="5"/>
  <c r="AP40" i="5"/>
  <c r="AQ39" i="5"/>
  <c r="AR38" i="5"/>
  <c r="AS37" i="5"/>
  <c r="AT36" i="5"/>
  <c r="AU35" i="5"/>
  <c r="AV34" i="5"/>
  <c r="AW33" i="5"/>
  <c r="AX32" i="5"/>
  <c r="AY31" i="5"/>
  <c r="AZ30" i="5"/>
  <c r="BA29" i="5"/>
  <c r="BB28" i="5"/>
  <c r="BC27" i="5"/>
  <c r="BD26" i="5"/>
  <c r="BE25" i="5"/>
  <c r="AO25" i="5"/>
  <c r="AP24" i="5"/>
  <c r="AQ23" i="5"/>
  <c r="AR22" i="5"/>
  <c r="AS21" i="5"/>
  <c r="AT20" i="5"/>
  <c r="AU19" i="5"/>
  <c r="AV18" i="5"/>
  <c r="AW17" i="5"/>
  <c r="AX16" i="5"/>
  <c r="AY15" i="5"/>
  <c r="AZ14" i="5"/>
  <c r="BA13" i="5"/>
  <c r="BB12" i="5"/>
  <c r="BC11" i="5"/>
  <c r="BD4" i="5"/>
  <c r="AT19" i="5"/>
  <c r="AU18" i="5"/>
  <c r="AV17" i="5"/>
  <c r="AW16" i="5"/>
  <c r="AX15" i="5"/>
  <c r="AY14" i="5"/>
  <c r="AZ13" i="5"/>
  <c r="BA12" i="5"/>
  <c r="BB11" i="5"/>
  <c r="BC4" i="5"/>
  <c r="AQ21" i="5"/>
  <c r="AS19" i="5"/>
  <c r="AU17" i="5"/>
  <c r="AW15" i="5"/>
  <c r="AY13" i="5"/>
  <c r="BA11" i="5"/>
  <c r="BA30" i="5"/>
  <c r="AU20" i="5"/>
  <c r="BE40" i="5"/>
  <c r="AO40" i="5"/>
  <c r="AP39" i="5"/>
  <c r="AQ38" i="5"/>
  <c r="AR37" i="5"/>
  <c r="AS36" i="5"/>
  <c r="AT35" i="5"/>
  <c r="AU34" i="5"/>
  <c r="AV33" i="5"/>
  <c r="AW32" i="5"/>
  <c r="AX31" i="5"/>
  <c r="AY30" i="5"/>
  <c r="AZ29" i="5"/>
  <c r="BA28" i="5"/>
  <c r="BB27" i="5"/>
  <c r="BC26" i="5"/>
  <c r="BD25" i="5"/>
  <c r="BE24" i="5"/>
  <c r="AO24" i="5"/>
  <c r="AP23" i="5"/>
  <c r="AQ22" i="5"/>
  <c r="AR21" i="5"/>
  <c r="AS20" i="5"/>
  <c r="AQ24" i="5"/>
  <c r="BC12" i="5"/>
  <c r="BD40" i="5"/>
  <c r="BE39" i="5"/>
  <c r="AO39" i="5"/>
  <c r="AP38" i="5"/>
  <c r="AQ37" i="5"/>
  <c r="AR36" i="5"/>
  <c r="AS35" i="5"/>
  <c r="AT34" i="5"/>
  <c r="AU33" i="5"/>
  <c r="AV32" i="5"/>
  <c r="AW31" i="5"/>
  <c r="AX30" i="5"/>
  <c r="AY29" i="5"/>
  <c r="AZ28" i="5"/>
  <c r="BA27" i="5"/>
  <c r="BB26" i="5"/>
  <c r="BC25" i="5"/>
  <c r="BD24" i="5"/>
  <c r="BE23" i="5"/>
  <c r="AO23" i="5"/>
  <c r="AP22" i="5"/>
  <c r="AR20" i="5"/>
  <c r="AT18" i="5"/>
  <c r="AV16" i="5"/>
  <c r="AX14" i="5"/>
  <c r="AZ12" i="5"/>
  <c r="BB4" i="5"/>
  <c r="AW34" i="5"/>
  <c r="AP25" i="5"/>
  <c r="BA14" i="5"/>
  <c r="BC40" i="5"/>
  <c r="BD39" i="5"/>
  <c r="BE38" i="5"/>
  <c r="AO38" i="5"/>
  <c r="AP37" i="5"/>
  <c r="AQ36" i="5"/>
  <c r="AR35" i="5"/>
  <c r="AS34" i="5"/>
  <c r="AT33" i="5"/>
  <c r="AU32" i="5"/>
  <c r="AV31" i="5"/>
  <c r="AW30" i="5"/>
  <c r="AX29" i="5"/>
  <c r="AY28" i="5"/>
  <c r="AZ27" i="5"/>
  <c r="BA26" i="5"/>
  <c r="BB25" i="5"/>
  <c r="BC24" i="5"/>
  <c r="BD23" i="5"/>
  <c r="BE22" i="5"/>
  <c r="AO22" i="5"/>
  <c r="AP21" i="5"/>
  <c r="AQ20" i="5"/>
  <c r="AR19" i="5"/>
  <c r="AS18" i="5"/>
  <c r="AT17" i="5"/>
  <c r="AU16" i="5"/>
  <c r="AV15" i="5"/>
  <c r="AW14" i="5"/>
  <c r="AX13" i="5"/>
  <c r="AY12" i="5"/>
  <c r="AZ11" i="5"/>
  <c r="BA4" i="5"/>
  <c r="AU28" i="5"/>
  <c r="AY24" i="5"/>
  <c r="BC20" i="5"/>
  <c r="AQ16" i="5"/>
  <c r="AV11" i="5"/>
  <c r="AX20" i="5"/>
  <c r="AQ11" i="5"/>
  <c r="BB30" i="5"/>
  <c r="AW19" i="5"/>
  <c r="AP4" i="5"/>
  <c r="AV35" i="5"/>
  <c r="BB13" i="5"/>
  <c r="BB40" i="5"/>
  <c r="BC39" i="5"/>
  <c r="BD38" i="5"/>
  <c r="BE37" i="5"/>
  <c r="AO37" i="5"/>
  <c r="AP36" i="5"/>
  <c r="AQ35" i="5"/>
  <c r="AR34" i="5"/>
  <c r="AS33" i="5"/>
  <c r="AT32" i="5"/>
  <c r="AU31" i="5"/>
  <c r="AV30" i="5"/>
  <c r="AW29" i="5"/>
  <c r="AX28" i="5"/>
  <c r="AY27" i="5"/>
  <c r="AZ26" i="5"/>
  <c r="BA25" i="5"/>
  <c r="BB24" i="5"/>
  <c r="BC23" i="5"/>
  <c r="BD22" i="5"/>
  <c r="BE21" i="5"/>
  <c r="AO21" i="5"/>
  <c r="AP20" i="5"/>
  <c r="AQ19" i="5"/>
  <c r="AR18" i="5"/>
  <c r="AS17" i="5"/>
  <c r="AT16" i="5"/>
  <c r="AU15" i="5"/>
  <c r="AV14" i="5"/>
  <c r="AW13" i="5"/>
  <c r="AX12" i="5"/>
  <c r="AY11" i="5"/>
  <c r="AZ4" i="5"/>
  <c r="AS30" i="5"/>
  <c r="AX25" i="5"/>
  <c r="BD19" i="5"/>
  <c r="AR15" i="5"/>
  <c r="AW4" i="5"/>
  <c r="AW21" i="5"/>
  <c r="AO13" i="5"/>
  <c r="AX34" i="5"/>
  <c r="BD28" i="5"/>
  <c r="AX18" i="5"/>
  <c r="BB29" i="5"/>
  <c r="AW18" i="5"/>
  <c r="BA40" i="5"/>
  <c r="BB39" i="5"/>
  <c r="BC38" i="5"/>
  <c r="BD37" i="5"/>
  <c r="BE36" i="5"/>
  <c r="AO36" i="5"/>
  <c r="AP35" i="5"/>
  <c r="AQ34" i="5"/>
  <c r="AR33" i="5"/>
  <c r="AS32" i="5"/>
  <c r="AT31" i="5"/>
  <c r="AU30" i="5"/>
  <c r="AV29" i="5"/>
  <c r="AW28" i="5"/>
  <c r="AX27" i="5"/>
  <c r="AY26" i="5"/>
  <c r="AZ25" i="5"/>
  <c r="BA24" i="5"/>
  <c r="BB23" i="5"/>
  <c r="BC22" i="5"/>
  <c r="BD21" i="5"/>
  <c r="BE20" i="5"/>
  <c r="AO20" i="5"/>
  <c r="AP19" i="5"/>
  <c r="AQ18" i="5"/>
  <c r="AR17" i="5"/>
  <c r="AS16" i="5"/>
  <c r="AT15" i="5"/>
  <c r="AU14" i="5"/>
  <c r="AV13" i="5"/>
  <c r="AW12" i="5"/>
  <c r="AX11" i="5"/>
  <c r="AY4" i="5"/>
  <c r="AR31" i="5"/>
  <c r="AZ23" i="5"/>
  <c r="AP17" i="5"/>
  <c r="AU12" i="5"/>
  <c r="AU23" i="5"/>
  <c r="AP12" i="5"/>
  <c r="BC29" i="5"/>
  <c r="AU21" i="5"/>
  <c r="BD12" i="5"/>
  <c r="AQ40" i="5"/>
  <c r="BD27" i="5"/>
  <c r="AX17" i="5"/>
  <c r="AZ40" i="5"/>
  <c r="BA39" i="5"/>
  <c r="BB38" i="5"/>
  <c r="BC37" i="5"/>
  <c r="BD36" i="5"/>
  <c r="BE35" i="5"/>
  <c r="AO35" i="5"/>
  <c r="AP34" i="5"/>
  <c r="AQ33" i="5"/>
  <c r="AR32" i="5"/>
  <c r="AS31" i="5"/>
  <c r="AT30" i="5"/>
  <c r="AU29" i="5"/>
  <c r="AV28" i="5"/>
  <c r="AW27" i="5"/>
  <c r="AX26" i="5"/>
  <c r="AY25" i="5"/>
  <c r="AZ24" i="5"/>
  <c r="BA23" i="5"/>
  <c r="BB22" i="5"/>
  <c r="BC21" i="5"/>
  <c r="BD20" i="5"/>
  <c r="BE19" i="5"/>
  <c r="AO19" i="5"/>
  <c r="AP18" i="5"/>
  <c r="AQ17" i="5"/>
  <c r="AR16" i="5"/>
  <c r="AS15" i="5"/>
  <c r="AT14" i="5"/>
  <c r="AU13" i="5"/>
  <c r="AV12" i="5"/>
  <c r="AW11" i="5"/>
  <c r="AX4" i="5"/>
  <c r="AT29" i="5"/>
  <c r="BB21" i="5"/>
  <c r="BE18" i="5"/>
  <c r="AS14" i="5"/>
  <c r="AS25" i="5"/>
  <c r="BD14" i="5"/>
  <c r="AZ32" i="5"/>
  <c r="AQ25" i="5"/>
  <c r="BA15" i="5"/>
  <c r="AY32" i="5"/>
  <c r="AT21" i="5"/>
  <c r="AY40" i="5"/>
  <c r="AZ39" i="5"/>
  <c r="BA38" i="5"/>
  <c r="BB37" i="5"/>
  <c r="BC36" i="5"/>
  <c r="BD35" i="5"/>
  <c r="BE34" i="5"/>
  <c r="AO34" i="5"/>
  <c r="AP33" i="5"/>
  <c r="AQ32" i="5"/>
  <c r="AV27" i="5"/>
  <c r="AW26" i="5"/>
  <c r="BA22" i="5"/>
  <c r="AO18" i="5"/>
  <c r="AT13" i="5"/>
  <c r="BA17" i="5"/>
  <c r="AR4" i="5"/>
  <c r="AW35" i="5"/>
  <c r="AT22" i="5"/>
  <c r="BE11" i="5"/>
  <c r="AR39" i="5"/>
  <c r="BE26" i="5"/>
  <c r="AZ15" i="5"/>
  <c r="AX40" i="5"/>
  <c r="AY39" i="5"/>
  <c r="AZ38" i="5"/>
  <c r="BA37" i="5"/>
  <c r="BB36" i="5"/>
  <c r="BC35" i="5"/>
  <c r="BD34" i="5"/>
  <c r="BE33" i="5"/>
  <c r="AO33" i="5"/>
  <c r="AP32" i="5"/>
  <c r="AQ31" i="5"/>
  <c r="AR30" i="5"/>
  <c r="AS29" i="5"/>
  <c r="AT28" i="5"/>
  <c r="AU27" i="5"/>
  <c r="AV26" i="5"/>
  <c r="AW25" i="5"/>
  <c r="AX24" i="5"/>
  <c r="AY23" i="5"/>
  <c r="AZ22" i="5"/>
  <c r="BA21" i="5"/>
  <c r="BB20" i="5"/>
  <c r="BC19" i="5"/>
  <c r="BD18" i="5"/>
  <c r="BE17" i="5"/>
  <c r="AO17" i="5"/>
  <c r="AP16" i="5"/>
  <c r="AQ15" i="5"/>
  <c r="AR14" i="5"/>
  <c r="AS13" i="5"/>
  <c r="AT12" i="5"/>
  <c r="AU11" i="5"/>
  <c r="AV4" i="5"/>
  <c r="AP14" i="5"/>
  <c r="AS11" i="5"/>
  <c r="AW37" i="5"/>
  <c r="BB32" i="5"/>
  <c r="AP28" i="5"/>
  <c r="AY19" i="5"/>
  <c r="AT38" i="5"/>
  <c r="AO27" i="5"/>
  <c r="BC13" i="5"/>
  <c r="BC28" i="5"/>
  <c r="AV19" i="5"/>
  <c r="AW40" i="5"/>
  <c r="AX39" i="5"/>
  <c r="AY38" i="5"/>
  <c r="AZ37" i="5"/>
  <c r="BA36" i="5"/>
  <c r="BB35" i="5"/>
  <c r="BC34" i="5"/>
  <c r="BD33" i="5"/>
  <c r="BE32" i="5"/>
  <c r="AO32" i="5"/>
  <c r="AP31" i="5"/>
  <c r="AQ30" i="5"/>
  <c r="AR29" i="5"/>
  <c r="AS28" i="5"/>
  <c r="AT27" i="5"/>
  <c r="AU26" i="5"/>
  <c r="AV25" i="5"/>
  <c r="AW24" i="5"/>
  <c r="AX23" i="5"/>
  <c r="AY22" i="5"/>
  <c r="AZ21" i="5"/>
  <c r="BA20" i="5"/>
  <c r="BB19" i="5"/>
  <c r="BC18" i="5"/>
  <c r="BD17" i="5"/>
  <c r="BE16" i="5"/>
  <c r="AO16" i="5"/>
  <c r="AP15" i="5"/>
  <c r="AQ14" i="5"/>
  <c r="AR13" i="5"/>
  <c r="AS12" i="5"/>
  <c r="AT11" i="5"/>
  <c r="AU4" i="5"/>
  <c r="AO15" i="5"/>
  <c r="AR12" i="5"/>
  <c r="AU39" i="5"/>
  <c r="BD30" i="5"/>
  <c r="AR26" i="5"/>
  <c r="BB16" i="5"/>
  <c r="AU37" i="5"/>
  <c r="AV20" i="5"/>
  <c r="AX33" i="5"/>
  <c r="AV40" i="5"/>
  <c r="AW39" i="5"/>
  <c r="AX38" i="5"/>
  <c r="AY37" i="5"/>
  <c r="AZ36" i="5"/>
  <c r="BA35" i="5"/>
  <c r="BB34" i="5"/>
  <c r="BC33" i="5"/>
  <c r="BD32" i="5"/>
  <c r="BE31" i="5"/>
  <c r="AO31" i="5"/>
  <c r="AP30" i="5"/>
  <c r="AQ29" i="5"/>
  <c r="AR28" i="5"/>
  <c r="AS27" i="5"/>
  <c r="AT26" i="5"/>
  <c r="AU25" i="5"/>
  <c r="AV24" i="5"/>
  <c r="AW23" i="5"/>
  <c r="AX22" i="5"/>
  <c r="AY21" i="5"/>
  <c r="AZ20" i="5"/>
  <c r="BA19" i="5"/>
  <c r="BB18" i="5"/>
  <c r="BC17" i="5"/>
  <c r="BD16" i="5"/>
  <c r="BE15" i="5"/>
  <c r="AQ13" i="5"/>
  <c r="AT4" i="5"/>
  <c r="AX36" i="5"/>
  <c r="BE29" i="5"/>
  <c r="AT24" i="5"/>
  <c r="BC15" i="5"/>
  <c r="AV36" i="5"/>
  <c r="AS23" i="5"/>
  <c r="AO11" i="5"/>
  <c r="AZ31" i="5"/>
  <c r="BD11" i="5"/>
  <c r="AU40" i="5"/>
  <c r="AV39" i="5"/>
  <c r="AW38" i="5"/>
  <c r="AX37" i="5"/>
  <c r="AY36" i="5"/>
  <c r="AZ35" i="5"/>
  <c r="BA34" i="5"/>
  <c r="BB33" i="5"/>
  <c r="BC32" i="5"/>
  <c r="BD31" i="5"/>
  <c r="BE30" i="5"/>
  <c r="AO30" i="5"/>
  <c r="AP29" i="5"/>
  <c r="AQ28" i="5"/>
  <c r="AR27" i="5"/>
  <c r="AS26" i="5"/>
  <c r="AT25" i="5"/>
  <c r="AU24" i="5"/>
  <c r="AV23" i="5"/>
  <c r="AW22" i="5"/>
  <c r="AX21" i="5"/>
  <c r="AY20" i="5"/>
  <c r="AZ19" i="5"/>
  <c r="BA18" i="5"/>
  <c r="BB17" i="5"/>
  <c r="BC16" i="5"/>
  <c r="BD15" i="5"/>
  <c r="BE14" i="5"/>
  <c r="AO14" i="5"/>
  <c r="AP13" i="5"/>
  <c r="AQ12" i="5"/>
  <c r="AR11" i="5"/>
  <c r="AS4" i="5"/>
  <c r="AV38" i="5"/>
  <c r="AY35" i="5"/>
  <c r="BA33" i="5"/>
  <c r="BC31" i="5"/>
  <c r="AQ27" i="5"/>
  <c r="AZ18" i="5"/>
  <c r="AS39" i="5"/>
  <c r="BE27" i="5"/>
  <c r="AZ16" i="5"/>
  <c r="AT37" i="5"/>
  <c r="AR23" i="5"/>
  <c r="BE4" i="5"/>
  <c r="AT40" i="5"/>
  <c r="AZ34" i="5"/>
  <c r="AO29" i="5"/>
  <c r="AV22" i="5"/>
  <c r="BE13" i="5"/>
  <c r="AY33" i="5"/>
  <c r="AR24" i="5"/>
  <c r="BB14" i="5"/>
  <c r="AS38" i="5"/>
  <c r="AS22" i="5"/>
  <c r="AO4" i="5"/>
  <c r="AS40" i="5"/>
  <c r="AT39" i="5"/>
  <c r="AU38" i="5"/>
  <c r="AV37" i="5"/>
  <c r="AW36" i="5"/>
  <c r="AX35" i="5"/>
  <c r="AY34" i="5"/>
  <c r="AZ33" i="5"/>
  <c r="BA32" i="5"/>
  <c r="BB31" i="5"/>
  <c r="BC30" i="5"/>
  <c r="BD29" i="5"/>
  <c r="BE28" i="5"/>
  <c r="AO28" i="5"/>
  <c r="AP27" i="5"/>
  <c r="AQ26" i="5"/>
  <c r="AR25" i="5"/>
  <c r="AS24" i="5"/>
  <c r="AT23" i="5"/>
  <c r="AU22" i="5"/>
  <c r="AV21" i="5"/>
  <c r="AW20" i="5"/>
  <c r="AX19" i="5"/>
  <c r="AY18" i="5"/>
  <c r="AZ17" i="5"/>
  <c r="BA16" i="5"/>
  <c r="BB15" i="5"/>
  <c r="BC14" i="5"/>
  <c r="BD13" i="5"/>
  <c r="BE12" i="5"/>
  <c r="AO12" i="5"/>
  <c r="AP11" i="5"/>
  <c r="AQ4" i="5"/>
  <c r="AR40" i="5"/>
  <c r="BA31" i="5"/>
  <c r="AP26" i="5"/>
  <c r="AY17" i="5"/>
  <c r="AU36" i="5"/>
  <c r="AO26" i="5"/>
  <c r="AY16" i="5"/>
  <c r="BU17" i="5" l="1"/>
  <c r="BU16" i="5"/>
  <c r="BU15" i="5"/>
  <c r="BU14" i="5"/>
  <c r="C12" i="5"/>
  <c r="AN12" i="5" s="1"/>
  <c r="C13" i="5"/>
  <c r="AN13" i="5" s="1"/>
  <c r="C14" i="5"/>
  <c r="AN14" i="5" s="1"/>
  <c r="C15" i="5"/>
  <c r="AN15" i="5" s="1"/>
  <c r="C16" i="5"/>
  <c r="AN16" i="5" s="1"/>
  <c r="C17" i="5"/>
  <c r="AN17" i="5" s="1"/>
  <c r="C18" i="5"/>
  <c r="DB17" i="5" s="1"/>
  <c r="DA17" i="5" s="1"/>
  <c r="C19" i="5"/>
  <c r="DB18" i="5" s="1"/>
  <c r="DA18" i="5" s="1"/>
  <c r="C20" i="5"/>
  <c r="DB19" i="5" s="1"/>
  <c r="DA19" i="5" s="1"/>
  <c r="C21" i="5"/>
  <c r="DB20" i="5" s="1"/>
  <c r="DA20" i="5" s="1"/>
  <c r="C22" i="5"/>
  <c r="DB21" i="5" s="1"/>
  <c r="DA21" i="5" s="1"/>
  <c r="C23" i="5"/>
  <c r="DB22" i="5" s="1"/>
  <c r="DA22" i="5" s="1"/>
  <c r="C24" i="5"/>
  <c r="DB23" i="5" s="1"/>
  <c r="DA23" i="5" s="1"/>
  <c r="C25" i="5"/>
  <c r="C26" i="5"/>
  <c r="DB25" i="5" s="1"/>
  <c r="DA25" i="5" s="1"/>
  <c r="C27" i="5"/>
  <c r="DB26" i="5" s="1"/>
  <c r="DA26" i="5" s="1"/>
  <c r="C28" i="5"/>
  <c r="DB27" i="5" s="1"/>
  <c r="DA27" i="5" s="1"/>
  <c r="C29" i="5"/>
  <c r="DB28" i="5" s="1"/>
  <c r="DA28" i="5" s="1"/>
  <c r="C30" i="5"/>
  <c r="DB29" i="5" s="1"/>
  <c r="DA29" i="5" s="1"/>
  <c r="C31" i="5"/>
  <c r="DB30" i="5" s="1"/>
  <c r="DA30" i="5" s="1"/>
  <c r="C32" i="5"/>
  <c r="DB31" i="5" s="1"/>
  <c r="DA31" i="5" s="1"/>
  <c r="C33" i="5"/>
  <c r="C34" i="5"/>
  <c r="DB33" i="5" s="1"/>
  <c r="DA33" i="5" s="1"/>
  <c r="C35" i="5"/>
  <c r="DB34" i="5" s="1"/>
  <c r="DA34" i="5" s="1"/>
  <c r="C36" i="5"/>
  <c r="DB35" i="5" s="1"/>
  <c r="DA35" i="5" s="1"/>
  <c r="C37" i="5"/>
  <c r="DB36" i="5" s="1"/>
  <c r="DA36" i="5" s="1"/>
  <c r="C38" i="5"/>
  <c r="DB37" i="5" s="1"/>
  <c r="DA37" i="5" s="1"/>
  <c r="C39" i="5"/>
  <c r="DB38" i="5" s="1"/>
  <c r="DA38" i="5" s="1"/>
  <c r="C40" i="5"/>
  <c r="DB39" i="5" s="1"/>
  <c r="DA39" i="5" s="1"/>
  <c r="C41" i="5"/>
  <c r="C11" i="5"/>
  <c r="AN11" i="5" s="1"/>
  <c r="C5" i="5"/>
  <c r="AN5" i="5" s="1"/>
  <c r="C6" i="5"/>
  <c r="AN6" i="5" s="1"/>
  <c r="C7" i="5"/>
  <c r="AN7" i="5" s="1"/>
  <c r="C8" i="5"/>
  <c r="AN8" i="5" s="1"/>
  <c r="C9" i="5"/>
  <c r="AN9" i="5" s="1"/>
  <c r="C10" i="5"/>
  <c r="AN10" i="5" s="1"/>
  <c r="C4" i="5"/>
  <c r="AN4" i="5" s="1"/>
  <c r="BU13" i="5"/>
  <c r="BU12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AT3" i="5" l="1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DB24" i="5"/>
  <c r="DA24" i="5" s="1"/>
  <c r="DB32" i="5"/>
  <c r="DA32" i="5" s="1"/>
  <c r="DB40" i="5"/>
  <c r="DA40" i="5" s="1"/>
  <c r="AU3" i="5"/>
  <c r="AV3" i="5"/>
  <c r="AW3" i="5"/>
  <c r="AX3" i="5"/>
  <c r="AY3" i="5"/>
  <c r="AZ3" i="5"/>
  <c r="BA3" i="5"/>
  <c r="BB3" i="5"/>
  <c r="BC3" i="5"/>
  <c r="AP3" i="5"/>
  <c r="AQ3" i="5"/>
  <c r="AR3" i="5"/>
  <c r="AS3" i="5"/>
  <c r="L55" i="3"/>
  <c r="K55" i="3"/>
  <c r="J55" i="3"/>
  <c r="I55" i="3"/>
  <c r="H55" i="3"/>
  <c r="M100" i="3"/>
  <c r="L100" i="3"/>
  <c r="K100" i="3"/>
  <c r="J100" i="3"/>
  <c r="I100" i="3"/>
  <c r="H100" i="3"/>
  <c r="L94" i="3"/>
  <c r="K94" i="3"/>
  <c r="J94" i="3"/>
  <c r="I94" i="3"/>
  <c r="M88" i="3"/>
  <c r="L88" i="3"/>
  <c r="K88" i="3"/>
  <c r="J88" i="3"/>
  <c r="I88" i="3"/>
  <c r="H88" i="3"/>
  <c r="L82" i="3"/>
  <c r="K82" i="3"/>
  <c r="J82" i="3"/>
  <c r="I82" i="3"/>
  <c r="H82" i="3"/>
  <c r="L73" i="3"/>
  <c r="K73" i="3"/>
  <c r="J73" i="3"/>
  <c r="I73" i="3"/>
  <c r="H73" i="3"/>
  <c r="L67" i="3"/>
  <c r="K67" i="3"/>
  <c r="J67" i="3"/>
  <c r="I67" i="3"/>
  <c r="H67" i="3"/>
  <c r="L61" i="3"/>
  <c r="K61" i="3"/>
  <c r="J61" i="3"/>
  <c r="I61" i="3"/>
  <c r="H61" i="3"/>
  <c r="M48" i="3"/>
  <c r="L48" i="3"/>
  <c r="K48" i="3"/>
  <c r="J48" i="3"/>
  <c r="I48" i="3"/>
  <c r="H48" i="3"/>
  <c r="M32" i="3"/>
  <c r="L32" i="3"/>
  <c r="K32" i="3"/>
  <c r="J32" i="3"/>
  <c r="I32" i="3"/>
  <c r="H32" i="3"/>
  <c r="M26" i="3"/>
  <c r="L26" i="3"/>
  <c r="K26" i="3"/>
  <c r="J26" i="3"/>
  <c r="I26" i="3"/>
  <c r="H26" i="3"/>
  <c r="M17" i="3"/>
  <c r="L17" i="3"/>
  <c r="K17" i="3"/>
  <c r="J17" i="3"/>
  <c r="I17" i="3"/>
  <c r="H17" i="3"/>
  <c r="M11" i="3"/>
  <c r="L11" i="3"/>
  <c r="K11" i="3"/>
  <c r="J11" i="3"/>
  <c r="I11" i="3"/>
  <c r="H11" i="3"/>
  <c r="M103" i="3"/>
  <c r="L103" i="3"/>
  <c r="K103" i="3"/>
  <c r="J103" i="3"/>
  <c r="I103" i="3"/>
  <c r="H103" i="3"/>
  <c r="M76" i="3"/>
  <c r="L76" i="3"/>
  <c r="K76" i="3"/>
  <c r="J76" i="3"/>
  <c r="I76" i="3"/>
  <c r="H76" i="3"/>
  <c r="M51" i="3"/>
  <c r="L51" i="3"/>
  <c r="K51" i="3"/>
  <c r="J51" i="3"/>
  <c r="I51" i="3"/>
  <c r="H51" i="3"/>
  <c r="L38" i="3"/>
  <c r="K38" i="3"/>
  <c r="I38" i="3"/>
  <c r="M35" i="3"/>
  <c r="L35" i="3"/>
  <c r="K35" i="3"/>
  <c r="J35" i="3"/>
  <c r="I35" i="3"/>
  <c r="H35" i="3"/>
  <c r="M20" i="3"/>
  <c r="L20" i="3"/>
  <c r="K20" i="3"/>
  <c r="J20" i="3"/>
  <c r="I20" i="3"/>
  <c r="H20" i="3"/>
  <c r="M5" i="3"/>
  <c r="L5" i="3"/>
  <c r="K5" i="3"/>
  <c r="J5" i="3"/>
  <c r="I5" i="3"/>
  <c r="H5" i="3"/>
  <c r="H27" i="3"/>
  <c r="I27" i="3"/>
  <c r="J27" i="3"/>
  <c r="K27" i="3"/>
  <c r="L27" i="3"/>
  <c r="M27" i="3"/>
  <c r="H43" i="3"/>
  <c r="I43" i="3"/>
  <c r="J43" i="3"/>
  <c r="K43" i="3"/>
  <c r="L43" i="3"/>
  <c r="M43" i="3"/>
  <c r="H56" i="3"/>
  <c r="I56" i="3"/>
  <c r="J56" i="3"/>
  <c r="K56" i="3"/>
  <c r="L56" i="3"/>
  <c r="M56" i="3"/>
  <c r="M68" i="3"/>
  <c r="H68" i="3"/>
  <c r="I68" i="3"/>
  <c r="J68" i="3"/>
  <c r="K68" i="3"/>
  <c r="L68" i="3"/>
  <c r="M83" i="3"/>
  <c r="H83" i="3"/>
  <c r="I83" i="3"/>
  <c r="J83" i="3"/>
  <c r="K83" i="3"/>
  <c r="L83" i="3"/>
  <c r="H95" i="3"/>
  <c r="I95" i="3"/>
  <c r="J95" i="3"/>
  <c r="K95" i="3"/>
  <c r="L95" i="3"/>
  <c r="M95" i="3"/>
  <c r="CG103" i="3"/>
  <c r="BB103" i="3" s="1"/>
  <c r="CF103" i="3"/>
  <c r="BA103" i="3" s="1"/>
  <c r="CE103" i="3"/>
  <c r="AZ103" i="3" s="1"/>
  <c r="CD103" i="3"/>
  <c r="CC103" i="3"/>
  <c r="CB103" i="3"/>
  <c r="CA103" i="3"/>
  <c r="BZ103" i="3"/>
  <c r="BY103" i="3"/>
  <c r="BX103" i="3"/>
  <c r="BW103" i="3"/>
  <c r="BV103" i="3"/>
  <c r="BU103" i="3"/>
  <c r="BT103" i="3"/>
  <c r="CG95" i="3"/>
  <c r="BB95" i="3" s="1"/>
  <c r="CF95" i="3"/>
  <c r="BA95" i="3" s="1"/>
  <c r="CE95" i="3"/>
  <c r="AZ95" i="3" s="1"/>
  <c r="CD95" i="3"/>
  <c r="CC95" i="3"/>
  <c r="CB95" i="3"/>
  <c r="CA95" i="3"/>
  <c r="BZ95" i="3"/>
  <c r="BY95" i="3"/>
  <c r="BX95" i="3"/>
  <c r="BW95" i="3"/>
  <c r="BV95" i="3"/>
  <c r="BU95" i="3"/>
  <c r="BT95" i="3"/>
  <c r="CG89" i="3"/>
  <c r="BB89" i="3" s="1"/>
  <c r="CF89" i="3"/>
  <c r="BA89" i="3" s="1"/>
  <c r="CE89" i="3"/>
  <c r="AZ89" i="3" s="1"/>
  <c r="CD89" i="3"/>
  <c r="AY89" i="3" s="1"/>
  <c r="CC89" i="3"/>
  <c r="AX89" i="3" s="1"/>
  <c r="CB89" i="3"/>
  <c r="AW89" i="3" s="1"/>
  <c r="CA89" i="3"/>
  <c r="AV89" i="3" s="1"/>
  <c r="BZ89" i="3"/>
  <c r="AU89" i="3" s="1"/>
  <c r="BY89" i="3"/>
  <c r="AT89" i="3" s="1"/>
  <c r="BX89" i="3"/>
  <c r="AS89" i="3" s="1"/>
  <c r="BW89" i="3"/>
  <c r="AR89" i="3" s="1"/>
  <c r="BV89" i="3"/>
  <c r="AQ89" i="3" s="1"/>
  <c r="BU89" i="3"/>
  <c r="AP89" i="3" s="1"/>
  <c r="BT89" i="3"/>
  <c r="AO89" i="3" s="1"/>
  <c r="CG83" i="3"/>
  <c r="BB83" i="3" s="1"/>
  <c r="CF83" i="3"/>
  <c r="BA83" i="3" s="1"/>
  <c r="CE83" i="3"/>
  <c r="AZ83" i="3" s="1"/>
  <c r="CD83" i="3"/>
  <c r="CC83" i="3"/>
  <c r="CB83" i="3"/>
  <c r="CA83" i="3"/>
  <c r="BZ83" i="3"/>
  <c r="BY83" i="3"/>
  <c r="BX83" i="3"/>
  <c r="BW83" i="3"/>
  <c r="BV83" i="3"/>
  <c r="BU83" i="3"/>
  <c r="BT83" i="3"/>
  <c r="CG77" i="3"/>
  <c r="BB77" i="3" s="1"/>
  <c r="CF77" i="3"/>
  <c r="BA77" i="3" s="1"/>
  <c r="CE77" i="3"/>
  <c r="AZ77" i="3" s="1"/>
  <c r="CD77" i="3"/>
  <c r="AY77" i="3" s="1"/>
  <c r="CC77" i="3"/>
  <c r="AX77" i="3" s="1"/>
  <c r="CB77" i="3"/>
  <c r="AW77" i="3" s="1"/>
  <c r="CA77" i="3"/>
  <c r="AV77" i="3" s="1"/>
  <c r="BZ77" i="3"/>
  <c r="AU77" i="3" s="1"/>
  <c r="BY77" i="3"/>
  <c r="AT77" i="3" s="1"/>
  <c r="BX77" i="3"/>
  <c r="AS77" i="3" s="1"/>
  <c r="BW77" i="3"/>
  <c r="AR77" i="3" s="1"/>
  <c r="BV77" i="3"/>
  <c r="AQ77" i="3" s="1"/>
  <c r="BU77" i="3"/>
  <c r="AP77" i="3" s="1"/>
  <c r="BT77" i="3"/>
  <c r="AO77" i="3" s="1"/>
  <c r="CG76" i="3"/>
  <c r="BB76" i="3" s="1"/>
  <c r="CF76" i="3"/>
  <c r="BA76" i="3" s="1"/>
  <c r="CE76" i="3"/>
  <c r="AZ76" i="3" s="1"/>
  <c r="CD76" i="3"/>
  <c r="CC76" i="3"/>
  <c r="AX76" i="3" s="1"/>
  <c r="CB76" i="3"/>
  <c r="AW76" i="3" s="1"/>
  <c r="CA76" i="3"/>
  <c r="BZ76" i="3"/>
  <c r="BY76" i="3"/>
  <c r="BX76" i="3"/>
  <c r="BW76" i="3"/>
  <c r="BV76" i="3"/>
  <c r="BU76" i="3"/>
  <c r="BT76" i="3"/>
  <c r="CG68" i="3"/>
  <c r="BB68" i="3" s="1"/>
  <c r="CF68" i="3"/>
  <c r="BA68" i="3" s="1"/>
  <c r="CE68" i="3"/>
  <c r="AZ68" i="3" s="1"/>
  <c r="CD68" i="3"/>
  <c r="CC68" i="3"/>
  <c r="CB68" i="3"/>
  <c r="CA68" i="3"/>
  <c r="BZ68" i="3"/>
  <c r="AU68" i="3" s="1"/>
  <c r="BY68" i="3"/>
  <c r="BX68" i="3"/>
  <c r="BW68" i="3"/>
  <c r="BV68" i="3"/>
  <c r="BU68" i="3"/>
  <c r="BT68" i="3"/>
  <c r="CG62" i="3"/>
  <c r="BB62" i="3" s="1"/>
  <c r="CF62" i="3"/>
  <c r="BA62" i="3" s="1"/>
  <c r="CE62" i="3"/>
  <c r="AZ62" i="3" s="1"/>
  <c r="CD62" i="3"/>
  <c r="AY62" i="3" s="1"/>
  <c r="CC62" i="3"/>
  <c r="AX62" i="3" s="1"/>
  <c r="CB62" i="3"/>
  <c r="AW62" i="3" s="1"/>
  <c r="CA62" i="3"/>
  <c r="AV62" i="3" s="1"/>
  <c r="BZ62" i="3"/>
  <c r="AU62" i="3" s="1"/>
  <c r="BY62" i="3"/>
  <c r="AT62" i="3" s="1"/>
  <c r="BX62" i="3"/>
  <c r="AS62" i="3" s="1"/>
  <c r="BW62" i="3"/>
  <c r="AR62" i="3" s="1"/>
  <c r="BV62" i="3"/>
  <c r="AQ62" i="3" s="1"/>
  <c r="BU62" i="3"/>
  <c r="AP62" i="3" s="1"/>
  <c r="BT62" i="3"/>
  <c r="AO62" i="3" s="1"/>
  <c r="CG56" i="3"/>
  <c r="BB56" i="3" s="1"/>
  <c r="CF56" i="3"/>
  <c r="BA56" i="3" s="1"/>
  <c r="CE56" i="3"/>
  <c r="AZ56" i="3" s="1"/>
  <c r="CD56" i="3"/>
  <c r="CC56" i="3"/>
  <c r="CB56" i="3"/>
  <c r="CA56" i="3"/>
  <c r="BZ56" i="3"/>
  <c r="BY56" i="3"/>
  <c r="BX56" i="3"/>
  <c r="BW56" i="3"/>
  <c r="BV56" i="3"/>
  <c r="BU56" i="3"/>
  <c r="BT56" i="3"/>
  <c r="CG52" i="3"/>
  <c r="BB52" i="3" s="1"/>
  <c r="CF52" i="3"/>
  <c r="BA52" i="3" s="1"/>
  <c r="CE52" i="3"/>
  <c r="AZ52" i="3" s="1"/>
  <c r="CD52" i="3"/>
  <c r="AY52" i="3" s="1"/>
  <c r="CC52" i="3"/>
  <c r="AX52" i="3" s="1"/>
  <c r="CB52" i="3"/>
  <c r="AW52" i="3" s="1"/>
  <c r="CA52" i="3"/>
  <c r="AV52" i="3" s="1"/>
  <c r="BZ52" i="3"/>
  <c r="AU52" i="3" s="1"/>
  <c r="BY52" i="3"/>
  <c r="AT52" i="3" s="1"/>
  <c r="BX52" i="3"/>
  <c r="AS52" i="3" s="1"/>
  <c r="BW52" i="3"/>
  <c r="AR52" i="3" s="1"/>
  <c r="BV52" i="3"/>
  <c r="AQ52" i="3" s="1"/>
  <c r="BU52" i="3"/>
  <c r="AP52" i="3" s="1"/>
  <c r="BT52" i="3"/>
  <c r="AO52" i="3" s="1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CG39" i="3"/>
  <c r="BB39" i="3" s="1"/>
  <c r="CF39" i="3"/>
  <c r="BA39" i="3" s="1"/>
  <c r="CE39" i="3"/>
  <c r="AZ39" i="3" s="1"/>
  <c r="CD39" i="3"/>
  <c r="AY39" i="3" s="1"/>
  <c r="CC39" i="3"/>
  <c r="AX39" i="3" s="1"/>
  <c r="CB39" i="3"/>
  <c r="AW39" i="3" s="1"/>
  <c r="CA39" i="3"/>
  <c r="AV39" i="3" s="1"/>
  <c r="BZ39" i="3"/>
  <c r="AU39" i="3" s="1"/>
  <c r="BY39" i="3"/>
  <c r="AT39" i="3" s="1"/>
  <c r="BX39" i="3"/>
  <c r="AS39" i="3" s="1"/>
  <c r="BW39" i="3"/>
  <c r="AR39" i="3" s="1"/>
  <c r="BV39" i="3"/>
  <c r="AQ39" i="3" s="1"/>
  <c r="BU39" i="3"/>
  <c r="AP39" i="3" s="1"/>
  <c r="BT39" i="3"/>
  <c r="AO39" i="3" s="1"/>
  <c r="CG38" i="3"/>
  <c r="BB38" i="3" s="1"/>
  <c r="CF38" i="3"/>
  <c r="BA38" i="3" s="1"/>
  <c r="CE38" i="3"/>
  <c r="AZ38" i="3" s="1"/>
  <c r="CD38" i="3"/>
  <c r="CC38" i="3"/>
  <c r="AX38" i="3" s="1"/>
  <c r="CB38" i="3"/>
  <c r="CA38" i="3"/>
  <c r="BZ38" i="3"/>
  <c r="BY38" i="3"/>
  <c r="BX38" i="3"/>
  <c r="BW38" i="3"/>
  <c r="BV38" i="3"/>
  <c r="BU38" i="3"/>
  <c r="BT38" i="3"/>
  <c r="CG35" i="3"/>
  <c r="BB35" i="3" s="1"/>
  <c r="CF35" i="3"/>
  <c r="BA35" i="3" s="1"/>
  <c r="CE35" i="3"/>
  <c r="AZ35" i="3" s="1"/>
  <c r="CD35" i="3"/>
  <c r="CC35" i="3"/>
  <c r="CB35" i="3"/>
  <c r="CA35" i="3"/>
  <c r="BZ35" i="3"/>
  <c r="BY35" i="3"/>
  <c r="BX35" i="3"/>
  <c r="BW35" i="3"/>
  <c r="BV35" i="3"/>
  <c r="BU35" i="3"/>
  <c r="BT35" i="3"/>
  <c r="CG27" i="3"/>
  <c r="BB27" i="3" s="1"/>
  <c r="CF27" i="3"/>
  <c r="BA27" i="3" s="1"/>
  <c r="CE27" i="3"/>
  <c r="AZ27" i="3" s="1"/>
  <c r="CD27" i="3"/>
  <c r="CC27" i="3"/>
  <c r="CB27" i="3"/>
  <c r="CA27" i="3"/>
  <c r="AV27" i="3" s="1"/>
  <c r="BZ27" i="3"/>
  <c r="AU27" i="3" s="1"/>
  <c r="BY27" i="3"/>
  <c r="BX27" i="3"/>
  <c r="BW27" i="3"/>
  <c r="BV27" i="3"/>
  <c r="BU27" i="3"/>
  <c r="BT27" i="3"/>
  <c r="CG21" i="3"/>
  <c r="BB21" i="3" s="1"/>
  <c r="CF21" i="3"/>
  <c r="BA21" i="3" s="1"/>
  <c r="CE21" i="3"/>
  <c r="AZ21" i="3" s="1"/>
  <c r="CD21" i="3"/>
  <c r="AY21" i="3" s="1"/>
  <c r="CC21" i="3"/>
  <c r="AX21" i="3" s="1"/>
  <c r="CB21" i="3"/>
  <c r="AW21" i="3" s="1"/>
  <c r="CA21" i="3"/>
  <c r="AV21" i="3" s="1"/>
  <c r="BZ21" i="3"/>
  <c r="AU21" i="3" s="1"/>
  <c r="BY21" i="3"/>
  <c r="AT21" i="3" s="1"/>
  <c r="BX21" i="3"/>
  <c r="AS21" i="3" s="1"/>
  <c r="BW21" i="3"/>
  <c r="AR21" i="3" s="1"/>
  <c r="BV21" i="3"/>
  <c r="AQ21" i="3" s="1"/>
  <c r="BU21" i="3"/>
  <c r="AP21" i="3" s="1"/>
  <c r="BT21" i="3"/>
  <c r="AO21" i="3" s="1"/>
  <c r="CG20" i="3"/>
  <c r="BB20" i="3" s="1"/>
  <c r="CF20" i="3"/>
  <c r="BA20" i="3" s="1"/>
  <c r="CE20" i="3"/>
  <c r="AZ20" i="3" s="1"/>
  <c r="CD20" i="3"/>
  <c r="CC20" i="3"/>
  <c r="CB20" i="3"/>
  <c r="CA20" i="3"/>
  <c r="BZ20" i="3"/>
  <c r="BY20" i="3"/>
  <c r="BX20" i="3"/>
  <c r="BW20" i="3"/>
  <c r="BV20" i="3"/>
  <c r="BU20" i="3"/>
  <c r="BT20" i="3"/>
  <c r="CG12" i="3"/>
  <c r="BB12" i="3" s="1"/>
  <c r="CF12" i="3"/>
  <c r="BA12" i="3" s="1"/>
  <c r="CE12" i="3"/>
  <c r="AZ12" i="3" s="1"/>
  <c r="CD12" i="3"/>
  <c r="CC12" i="3"/>
  <c r="CB12" i="3"/>
  <c r="CA12" i="3"/>
  <c r="BZ12" i="3"/>
  <c r="BY12" i="3"/>
  <c r="BX12" i="3"/>
  <c r="BW12" i="3"/>
  <c r="BV12" i="3"/>
  <c r="BU12" i="3"/>
  <c r="BT12" i="3"/>
  <c r="CG6" i="3"/>
  <c r="BB6" i="3" s="1"/>
  <c r="CF6" i="3"/>
  <c r="BA6" i="3" s="1"/>
  <c r="CE6" i="3"/>
  <c r="AZ6" i="3" s="1"/>
  <c r="CD6" i="3"/>
  <c r="AY6" i="3" s="1"/>
  <c r="CC6" i="3"/>
  <c r="AX6" i="3" s="1"/>
  <c r="CB6" i="3"/>
  <c r="AW6" i="3" s="1"/>
  <c r="CA6" i="3"/>
  <c r="AV6" i="3" s="1"/>
  <c r="BZ6" i="3"/>
  <c r="AU6" i="3" s="1"/>
  <c r="BY6" i="3"/>
  <c r="AT6" i="3" s="1"/>
  <c r="BX6" i="3"/>
  <c r="AS6" i="3" s="1"/>
  <c r="BW6" i="3"/>
  <c r="AR6" i="3" s="1"/>
  <c r="BV6" i="3"/>
  <c r="AQ6" i="3" s="1"/>
  <c r="BU6" i="3"/>
  <c r="AP6" i="3" s="1"/>
  <c r="BT6" i="3"/>
  <c r="AO6" i="3" s="1"/>
  <c r="CG5" i="3"/>
  <c r="BB5" i="3" s="1"/>
  <c r="CF5" i="3"/>
  <c r="BA5" i="3" s="1"/>
  <c r="CE5" i="3"/>
  <c r="AZ5" i="3" s="1"/>
  <c r="CD5" i="3"/>
  <c r="CC5" i="3"/>
  <c r="CB5" i="3"/>
  <c r="CA5" i="3"/>
  <c r="BZ5" i="3"/>
  <c r="BY5" i="3"/>
  <c r="BX5" i="3"/>
  <c r="BW5" i="3"/>
  <c r="BV5" i="3"/>
  <c r="BU5" i="3"/>
  <c r="BT5" i="3"/>
  <c r="BS103" i="3"/>
  <c r="BS95" i="3"/>
  <c r="BS89" i="3"/>
  <c r="AN89" i="3" s="1"/>
  <c r="BS83" i="3"/>
  <c r="BS77" i="3"/>
  <c r="AN77" i="3" s="1"/>
  <c r="BS76" i="3"/>
  <c r="BS68" i="3"/>
  <c r="BS62" i="3"/>
  <c r="AN62" i="3" s="1"/>
  <c r="BS56" i="3"/>
  <c r="BS52" i="3"/>
  <c r="AN52" i="3" s="1"/>
  <c r="BS51" i="3"/>
  <c r="BS43" i="3"/>
  <c r="BS39" i="3"/>
  <c r="AN39" i="3" s="1"/>
  <c r="BS38" i="3"/>
  <c r="BS35" i="3"/>
  <c r="BS27" i="3"/>
  <c r="BS21" i="3"/>
  <c r="AN21" i="3" s="1"/>
  <c r="BS20" i="3"/>
  <c r="BS5" i="3"/>
  <c r="BS6" i="3"/>
  <c r="AN6" i="3" s="1"/>
  <c r="BS12" i="3"/>
  <c r="AN76" i="3" l="1"/>
  <c r="AN83" i="3"/>
  <c r="AO68" i="3"/>
  <c r="AP68" i="3"/>
  <c r="AO38" i="3"/>
  <c r="AN68" i="3"/>
  <c r="AO35" i="3"/>
  <c r="AP35" i="3"/>
  <c r="AN35" i="3"/>
  <c r="AO5" i="3"/>
  <c r="AN5" i="3"/>
  <c r="AQ68" i="3"/>
  <c r="AT38" i="3"/>
  <c r="AN27" i="3"/>
  <c r="AW56" i="3"/>
  <c r="AU76" i="3"/>
  <c r="AP5" i="3"/>
  <c r="AS27" i="3"/>
  <c r="AT27" i="3"/>
  <c r="AU38" i="3"/>
  <c r="AV38" i="3"/>
  <c r="AR27" i="3"/>
  <c r="AX35" i="3"/>
  <c r="AW20" i="3"/>
  <c r="AQ103" i="3"/>
  <c r="AU56" i="3"/>
  <c r="AY68" i="3"/>
  <c r="AV5" i="3"/>
  <c r="AT20" i="3"/>
  <c r="AW5" i="3"/>
  <c r="AU35" i="3"/>
  <c r="AO76" i="3"/>
  <c r="AO20" i="3"/>
  <c r="AW68" i="3"/>
  <c r="AX5" i="3"/>
  <c r="AR56" i="3"/>
  <c r="AP76" i="3"/>
  <c r="AS83" i="3"/>
  <c r="AX68" i="3"/>
  <c r="AU5" i="3"/>
  <c r="AY20" i="3"/>
  <c r="AW35" i="3"/>
  <c r="AS56" i="3"/>
  <c r="AX20" i="3"/>
  <c r="AT5" i="3"/>
  <c r="AR38" i="3"/>
  <c r="AW83" i="3"/>
  <c r="AN56" i="3"/>
  <c r="AR68" i="3"/>
  <c r="AW27" i="3"/>
  <c r="AP103" i="3"/>
  <c r="AQ5" i="3"/>
  <c r="AV20" i="3"/>
  <c r="AP56" i="3"/>
  <c r="AT68" i="3"/>
  <c r="AR5" i="3"/>
  <c r="AQ38" i="3"/>
  <c r="AS5" i="3"/>
  <c r="AN103" i="3"/>
  <c r="AX27" i="3"/>
  <c r="AX83" i="3"/>
  <c r="AY27" i="3"/>
  <c r="AO56" i="3"/>
  <c r="AY83" i="3"/>
  <c r="AV83" i="3"/>
  <c r="AQ20" i="3"/>
  <c r="AS20" i="3"/>
  <c r="AR95" i="3"/>
  <c r="AU83" i="3"/>
  <c r="AR20" i="3"/>
  <c r="AY103" i="3"/>
  <c r="AQ56" i="3"/>
  <c r="AV68" i="3"/>
  <c r="AY76" i="3"/>
  <c r="AN95" i="3"/>
  <c r="AY35" i="3"/>
  <c r="AU20" i="3"/>
  <c r="AR83" i="3"/>
  <c r="AP95" i="3"/>
  <c r="AV76" i="3"/>
  <c r="AV35" i="3"/>
  <c r="AT56" i="3"/>
  <c r="AT35" i="3"/>
  <c r="AP20" i="3"/>
  <c r="AS95" i="3"/>
  <c r="AV56" i="3"/>
  <c r="AX103" i="3"/>
  <c r="AO27" i="3"/>
  <c r="AT76" i="3"/>
  <c r="AR103" i="3"/>
  <c r="AQ95" i="3"/>
  <c r="AY95" i="3"/>
  <c r="AO103" i="3"/>
  <c r="AY5" i="3"/>
  <c r="AY38" i="3"/>
  <c r="AU103" i="3"/>
  <c r="AQ83" i="3"/>
  <c r="AV95" i="3"/>
  <c r="AQ76" i="3"/>
  <c r="AQ35" i="3"/>
  <c r="AS68" i="3"/>
  <c r="AS103" i="3"/>
  <c r="AO83" i="3"/>
  <c r="AT95" i="3"/>
  <c r="AW103" i="3"/>
  <c r="AX56" i="3"/>
  <c r="AT83" i="3"/>
  <c r="AX95" i="3"/>
  <c r="AS76" i="3"/>
  <c r="AP27" i="3"/>
  <c r="AS35" i="3"/>
  <c r="AO95" i="3"/>
  <c r="AT103" i="3"/>
  <c r="AW95" i="3"/>
  <c r="AP83" i="3"/>
  <c r="AV103" i="3"/>
  <c r="AU95" i="3"/>
  <c r="AY56" i="3"/>
  <c r="AN20" i="3"/>
  <c r="AR76" i="3"/>
  <c r="AR35" i="3"/>
  <c r="AQ27" i="3"/>
  <c r="AO3" i="5"/>
  <c r="DB11" i="5"/>
  <c r="DA11" i="5" s="1"/>
  <c r="J38" i="3"/>
  <c r="AP38" i="3" s="1"/>
  <c r="DB12" i="5"/>
  <c r="DA12" i="5" s="1"/>
  <c r="DB7" i="5"/>
  <c r="DA7" i="5" s="1"/>
  <c r="DB16" i="5"/>
  <c r="DA16" i="5" s="1"/>
  <c r="M55" i="3"/>
  <c r="M61" i="3"/>
  <c r="M38" i="3"/>
  <c r="AS38" i="3" s="1"/>
  <c r="H38" i="3"/>
  <c r="AN38" i="3" s="1"/>
  <c r="M94" i="3"/>
  <c r="M82" i="3"/>
  <c r="H94" i="3"/>
  <c r="M67" i="3"/>
  <c r="AW38" i="3"/>
  <c r="M73" i="3"/>
  <c r="B6" i="3"/>
  <c r="B21" i="3"/>
  <c r="B36" i="3"/>
  <c r="B39" i="3"/>
  <c r="B52" i="3"/>
  <c r="B62" i="3"/>
  <c r="B77" i="3"/>
  <c r="B89" i="3"/>
  <c r="B3" i="3"/>
  <c r="C102" i="3"/>
  <c r="C101" i="3"/>
  <c r="C100" i="3"/>
  <c r="C99" i="3"/>
  <c r="C98" i="3"/>
  <c r="C97" i="3"/>
  <c r="C96" i="3"/>
  <c r="C94" i="3"/>
  <c r="C93" i="3"/>
  <c r="C92" i="3"/>
  <c r="C91" i="3"/>
  <c r="C90" i="3"/>
  <c r="C88" i="3"/>
  <c r="C87" i="3"/>
  <c r="C86" i="3"/>
  <c r="C85" i="3"/>
  <c r="C84" i="3"/>
  <c r="C82" i="3"/>
  <c r="C81" i="3"/>
  <c r="C80" i="3"/>
  <c r="C79" i="3"/>
  <c r="C78" i="3"/>
  <c r="C75" i="3"/>
  <c r="C74" i="3"/>
  <c r="C73" i="3"/>
  <c r="C72" i="3"/>
  <c r="C71" i="3"/>
  <c r="C70" i="3"/>
  <c r="C69" i="3"/>
  <c r="C67" i="3"/>
  <c r="C66" i="3"/>
  <c r="C65" i="3"/>
  <c r="C64" i="3"/>
  <c r="C63" i="3"/>
  <c r="C61" i="3"/>
  <c r="C60" i="3"/>
  <c r="C59" i="3"/>
  <c r="C58" i="3"/>
  <c r="C57" i="3"/>
  <c r="C55" i="3"/>
  <c r="C54" i="3"/>
  <c r="C53" i="3"/>
  <c r="C50" i="3"/>
  <c r="C49" i="3"/>
  <c r="C48" i="3"/>
  <c r="C47" i="3"/>
  <c r="C46" i="3"/>
  <c r="C45" i="3"/>
  <c r="C44" i="3"/>
  <c r="C42" i="3"/>
  <c r="C41" i="3"/>
  <c r="C37" i="3"/>
  <c r="C36" i="3"/>
  <c r="C34" i="3"/>
  <c r="C33" i="3"/>
  <c r="C32" i="3"/>
  <c r="C31" i="3"/>
  <c r="C30" i="3"/>
  <c r="C29" i="3"/>
  <c r="C28" i="3"/>
  <c r="C26" i="3"/>
  <c r="C25" i="3"/>
  <c r="C24" i="3"/>
  <c r="C23" i="3"/>
  <c r="C22" i="3"/>
  <c r="C19" i="3"/>
  <c r="C18" i="3"/>
  <c r="C17" i="3"/>
  <c r="C16" i="3"/>
  <c r="C15" i="3"/>
  <c r="C14" i="3"/>
  <c r="C13" i="3"/>
  <c r="C11" i="3"/>
  <c r="C10" i="3"/>
  <c r="C9" i="3"/>
  <c r="C8" i="3"/>
  <c r="C7" i="3"/>
  <c r="C4" i="3"/>
  <c r="C3" i="3"/>
  <c r="F90" i="3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B103" i="3" s="1"/>
  <c r="F78" i="3"/>
  <c r="B78" i="3" s="1"/>
  <c r="F63" i="3"/>
  <c r="B63" i="3" s="1"/>
  <c r="F53" i="3"/>
  <c r="F54" i="3" s="1"/>
  <c r="F55" i="3" s="1"/>
  <c r="F56" i="3" s="1"/>
  <c r="F57" i="3" s="1"/>
  <c r="F58" i="3" s="1"/>
  <c r="F59" i="3" s="1"/>
  <c r="F60" i="3" s="1"/>
  <c r="F61" i="3" s="1"/>
  <c r="B61" i="3" s="1"/>
  <c r="F40" i="3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B51" i="3" s="1"/>
  <c r="F37" i="3"/>
  <c r="F38" i="3" s="1"/>
  <c r="B38" i="3" s="1"/>
  <c r="F22" i="3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B35" i="3" s="1"/>
  <c r="AY12" i="3"/>
  <c r="AX12" i="3"/>
  <c r="AW12" i="3"/>
  <c r="AV12" i="3"/>
  <c r="AU12" i="3"/>
  <c r="AT12" i="3"/>
  <c r="M12" i="3"/>
  <c r="AS12" i="3" s="1"/>
  <c r="L12" i="3"/>
  <c r="AR12" i="3" s="1"/>
  <c r="K12" i="3"/>
  <c r="AQ12" i="3" s="1"/>
  <c r="J12" i="3"/>
  <c r="AP12" i="3" s="1"/>
  <c r="I12" i="3"/>
  <c r="AO12" i="3" s="1"/>
  <c r="H12" i="3"/>
  <c r="AN12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B20" i="3" s="1"/>
  <c r="F4" i="3"/>
  <c r="F5" i="3" s="1"/>
  <c r="B5" i="3" s="1"/>
  <c r="BH51" i="3" l="1"/>
  <c r="AR51" i="3"/>
  <c r="BG51" i="3"/>
  <c r="AQ51" i="3"/>
  <c r="BF51" i="3"/>
  <c r="AP51" i="3"/>
  <c r="BD51" i="3"/>
  <c r="AN51" i="3"/>
  <c r="BC51" i="3"/>
  <c r="BB51" i="3"/>
  <c r="BQ51" i="3"/>
  <c r="BA51" i="3"/>
  <c r="BP51" i="3"/>
  <c r="AZ51" i="3"/>
  <c r="BO51" i="3"/>
  <c r="AY51" i="3"/>
  <c r="BN51" i="3"/>
  <c r="AX51" i="3"/>
  <c r="BM51" i="3"/>
  <c r="AW51" i="3"/>
  <c r="BL51" i="3"/>
  <c r="AV51" i="3"/>
  <c r="BK51" i="3"/>
  <c r="AU51" i="3"/>
  <c r="BJ51" i="3"/>
  <c r="AT51" i="3"/>
  <c r="BI51" i="3"/>
  <c r="BE51" i="3"/>
  <c r="AS51" i="3"/>
  <c r="AO51" i="3"/>
  <c r="CQ34" i="3"/>
  <c r="BL34" i="3" s="1"/>
  <c r="CP34" i="3"/>
  <c r="BK34" i="3" s="1"/>
  <c r="CO34" i="3"/>
  <c r="BJ34" i="3" s="1"/>
  <c r="CN34" i="3"/>
  <c r="BI34" i="3" s="1"/>
  <c r="CM34" i="3"/>
  <c r="BH34" i="3" s="1"/>
  <c r="CV34" i="3"/>
  <c r="BQ34" i="3" s="1"/>
  <c r="CU34" i="3"/>
  <c r="BP34" i="3" s="1"/>
  <c r="CT34" i="3"/>
  <c r="BO34" i="3" s="1"/>
  <c r="CS34" i="3"/>
  <c r="BN34" i="3" s="1"/>
  <c r="CR34" i="3"/>
  <c r="BM34" i="3" s="1"/>
  <c r="CL34" i="3"/>
  <c r="BG34" i="3" s="1"/>
  <c r="CK34" i="3"/>
  <c r="BF34" i="3" s="1"/>
  <c r="CJ34" i="3"/>
  <c r="BE34" i="3" s="1"/>
  <c r="CK100" i="3"/>
  <c r="BF100" i="3" s="1"/>
  <c r="CV100" i="3"/>
  <c r="BQ100" i="3" s="1"/>
  <c r="CJ100" i="3"/>
  <c r="BE100" i="3" s="1"/>
  <c r="CU100" i="3"/>
  <c r="BP100" i="3" s="1"/>
  <c r="CT100" i="3"/>
  <c r="BO100" i="3" s="1"/>
  <c r="CS100" i="3"/>
  <c r="BN100" i="3" s="1"/>
  <c r="CR100" i="3"/>
  <c r="BM100" i="3" s="1"/>
  <c r="CN100" i="3"/>
  <c r="BI100" i="3" s="1"/>
  <c r="CM100" i="3"/>
  <c r="BH100" i="3" s="1"/>
  <c r="CL100" i="3"/>
  <c r="BG100" i="3" s="1"/>
  <c r="CQ100" i="3"/>
  <c r="BL100" i="3" s="1"/>
  <c r="CP100" i="3"/>
  <c r="BK100" i="3" s="1"/>
  <c r="CO100" i="3"/>
  <c r="BJ100" i="3" s="1"/>
  <c r="CL67" i="3"/>
  <c r="BG67" i="3" s="1"/>
  <c r="CK67" i="3"/>
  <c r="BF67" i="3" s="1"/>
  <c r="CV67" i="3"/>
  <c r="BQ67" i="3" s="1"/>
  <c r="CJ67" i="3"/>
  <c r="BE67" i="3" s="1"/>
  <c r="CU67" i="3"/>
  <c r="BP67" i="3" s="1"/>
  <c r="CT67" i="3"/>
  <c r="BO67" i="3" s="1"/>
  <c r="CS67" i="3"/>
  <c r="BN67" i="3" s="1"/>
  <c r="CR67" i="3"/>
  <c r="BM67" i="3" s="1"/>
  <c r="CQ67" i="3"/>
  <c r="BL67" i="3" s="1"/>
  <c r="CP67" i="3"/>
  <c r="BK67" i="3" s="1"/>
  <c r="CO67" i="3"/>
  <c r="BJ67" i="3" s="1"/>
  <c r="CN67" i="3"/>
  <c r="BI67" i="3" s="1"/>
  <c r="CM67" i="3"/>
  <c r="BH67" i="3" s="1"/>
  <c r="CP55" i="3"/>
  <c r="BK55" i="3" s="1"/>
  <c r="CO55" i="3"/>
  <c r="BJ55" i="3" s="1"/>
  <c r="CN55" i="3"/>
  <c r="BI55" i="3" s="1"/>
  <c r="CM55" i="3"/>
  <c r="BH55" i="3" s="1"/>
  <c r="CL55" i="3"/>
  <c r="BG55" i="3" s="1"/>
  <c r="CV55" i="3"/>
  <c r="BQ55" i="3" s="1"/>
  <c r="CU55" i="3"/>
  <c r="BP55" i="3" s="1"/>
  <c r="CT55" i="3"/>
  <c r="BO55" i="3" s="1"/>
  <c r="CS55" i="3"/>
  <c r="BN55" i="3" s="1"/>
  <c r="CR55" i="3"/>
  <c r="BM55" i="3" s="1"/>
  <c r="CQ55" i="3"/>
  <c r="BL55" i="3" s="1"/>
  <c r="CK55" i="3"/>
  <c r="BF55" i="3" s="1"/>
  <c r="CJ55" i="3"/>
  <c r="BE55" i="3" s="1"/>
  <c r="CP11" i="3"/>
  <c r="BK11" i="3" s="1"/>
  <c r="CO11" i="3"/>
  <c r="BJ11" i="3" s="1"/>
  <c r="CN11" i="3"/>
  <c r="BI11" i="3" s="1"/>
  <c r="CM11" i="3"/>
  <c r="BH11" i="3" s="1"/>
  <c r="CL11" i="3"/>
  <c r="BG11" i="3" s="1"/>
  <c r="CV11" i="3"/>
  <c r="BQ11" i="3" s="1"/>
  <c r="CU11" i="3"/>
  <c r="BP11" i="3" s="1"/>
  <c r="CT11" i="3"/>
  <c r="BO11" i="3" s="1"/>
  <c r="CS11" i="3"/>
  <c r="BN11" i="3" s="1"/>
  <c r="CR11" i="3"/>
  <c r="BM11" i="3" s="1"/>
  <c r="CQ11" i="3"/>
  <c r="BL11" i="3" s="1"/>
  <c r="CK11" i="3"/>
  <c r="BF11" i="3" s="1"/>
  <c r="CJ11" i="3"/>
  <c r="BE11" i="3" s="1"/>
  <c r="CU26" i="3"/>
  <c r="BP26" i="3" s="1"/>
  <c r="CT26" i="3"/>
  <c r="BO26" i="3" s="1"/>
  <c r="CS26" i="3"/>
  <c r="BN26" i="3" s="1"/>
  <c r="CR26" i="3"/>
  <c r="BM26" i="3" s="1"/>
  <c r="CQ26" i="3"/>
  <c r="BL26" i="3" s="1"/>
  <c r="CV26" i="3"/>
  <c r="BQ26" i="3" s="1"/>
  <c r="CP26" i="3"/>
  <c r="BK26" i="3" s="1"/>
  <c r="CO26" i="3"/>
  <c r="BJ26" i="3" s="1"/>
  <c r="CN26" i="3"/>
  <c r="BI26" i="3" s="1"/>
  <c r="CM26" i="3"/>
  <c r="BH26" i="3" s="1"/>
  <c r="CL26" i="3"/>
  <c r="BG26" i="3" s="1"/>
  <c r="CK26" i="3"/>
  <c r="BF26" i="3" s="1"/>
  <c r="CJ26" i="3"/>
  <c r="BE26" i="3" s="1"/>
  <c r="CK42" i="3"/>
  <c r="CV42" i="3"/>
  <c r="CJ42" i="3"/>
  <c r="CU42" i="3"/>
  <c r="CT42" i="3"/>
  <c r="CS42" i="3"/>
  <c r="CR42" i="3"/>
  <c r="CQ42" i="3"/>
  <c r="CP42" i="3"/>
  <c r="CO42" i="3"/>
  <c r="CN42" i="3"/>
  <c r="CM42" i="3"/>
  <c r="CL42" i="3"/>
  <c r="CV101" i="3"/>
  <c r="BQ101" i="3" s="1"/>
  <c r="CJ101" i="3"/>
  <c r="BE101" i="3" s="1"/>
  <c r="CU101" i="3"/>
  <c r="BP101" i="3" s="1"/>
  <c r="CT101" i="3"/>
  <c r="BO101" i="3" s="1"/>
  <c r="CS101" i="3"/>
  <c r="BN101" i="3" s="1"/>
  <c r="CR101" i="3"/>
  <c r="BM101" i="3" s="1"/>
  <c r="CQ101" i="3"/>
  <c r="BL101" i="3" s="1"/>
  <c r="CP101" i="3"/>
  <c r="BK101" i="3" s="1"/>
  <c r="CO101" i="3"/>
  <c r="BJ101" i="3" s="1"/>
  <c r="CN101" i="3"/>
  <c r="BI101" i="3" s="1"/>
  <c r="CM101" i="3"/>
  <c r="BH101" i="3" s="1"/>
  <c r="CL101" i="3"/>
  <c r="BG101" i="3" s="1"/>
  <c r="CK101" i="3"/>
  <c r="BF101" i="3" s="1"/>
  <c r="CV73" i="3"/>
  <c r="BQ73" i="3" s="1"/>
  <c r="CJ73" i="3"/>
  <c r="BE73" i="3" s="1"/>
  <c r="CU73" i="3"/>
  <c r="BP73" i="3" s="1"/>
  <c r="CT73" i="3"/>
  <c r="BO73" i="3" s="1"/>
  <c r="CS73" i="3"/>
  <c r="BN73" i="3" s="1"/>
  <c r="CR73" i="3"/>
  <c r="BM73" i="3" s="1"/>
  <c r="CQ73" i="3"/>
  <c r="BL73" i="3" s="1"/>
  <c r="CP73" i="3"/>
  <c r="BK73" i="3" s="1"/>
  <c r="CO73" i="3"/>
  <c r="BJ73" i="3" s="1"/>
  <c r="CN73" i="3"/>
  <c r="BI73" i="3" s="1"/>
  <c r="CM73" i="3"/>
  <c r="BH73" i="3" s="1"/>
  <c r="CL73" i="3"/>
  <c r="BG73" i="3" s="1"/>
  <c r="CK73" i="3"/>
  <c r="BF73" i="3" s="1"/>
  <c r="CO88" i="3"/>
  <c r="BJ88" i="3" s="1"/>
  <c r="CN88" i="3"/>
  <c r="BI88" i="3" s="1"/>
  <c r="CM88" i="3"/>
  <c r="BH88" i="3" s="1"/>
  <c r="CL88" i="3"/>
  <c r="BG88" i="3" s="1"/>
  <c r="CK88" i="3"/>
  <c r="BF88" i="3" s="1"/>
  <c r="CV88" i="3"/>
  <c r="BQ88" i="3" s="1"/>
  <c r="CJ88" i="3"/>
  <c r="BE88" i="3" s="1"/>
  <c r="CT88" i="3"/>
  <c r="BO88" i="3" s="1"/>
  <c r="CS88" i="3"/>
  <c r="BN88" i="3" s="1"/>
  <c r="CR88" i="3"/>
  <c r="BM88" i="3" s="1"/>
  <c r="CQ88" i="3"/>
  <c r="BL88" i="3" s="1"/>
  <c r="CP88" i="3"/>
  <c r="BK88" i="3" s="1"/>
  <c r="CU88" i="3"/>
  <c r="BP88" i="3" s="1"/>
  <c r="CU102" i="3"/>
  <c r="BP102" i="3" s="1"/>
  <c r="CT102" i="3"/>
  <c r="BO102" i="3" s="1"/>
  <c r="CS102" i="3"/>
  <c r="BN102" i="3" s="1"/>
  <c r="CR102" i="3"/>
  <c r="BM102" i="3" s="1"/>
  <c r="CQ102" i="3"/>
  <c r="BL102" i="3" s="1"/>
  <c r="CP102" i="3"/>
  <c r="BK102" i="3" s="1"/>
  <c r="CL102" i="3"/>
  <c r="BG102" i="3" s="1"/>
  <c r="CK102" i="3"/>
  <c r="BF102" i="3" s="1"/>
  <c r="CJ102" i="3"/>
  <c r="BE102" i="3" s="1"/>
  <c r="CV102" i="3"/>
  <c r="BQ102" i="3" s="1"/>
  <c r="CO102" i="3"/>
  <c r="BJ102" i="3" s="1"/>
  <c r="CN102" i="3"/>
  <c r="BI102" i="3" s="1"/>
  <c r="CM102" i="3"/>
  <c r="BH102" i="3" s="1"/>
  <c r="CS4" i="3"/>
  <c r="BN4" i="3" s="1"/>
  <c r="CQ4" i="3"/>
  <c r="BL4" i="3" s="1"/>
  <c r="CP4" i="3"/>
  <c r="BK4" i="3" s="1"/>
  <c r="CO4" i="3"/>
  <c r="BJ4" i="3" s="1"/>
  <c r="CT4" i="3"/>
  <c r="BO4" i="3" s="1"/>
  <c r="CR4" i="3"/>
  <c r="BM4" i="3" s="1"/>
  <c r="CN4" i="3"/>
  <c r="BI4" i="3" s="1"/>
  <c r="CM4" i="3"/>
  <c r="BH4" i="3" s="1"/>
  <c r="CL4" i="3"/>
  <c r="BG4" i="3" s="1"/>
  <c r="CK4" i="3"/>
  <c r="BF4" i="3" s="1"/>
  <c r="CJ4" i="3"/>
  <c r="BE4" i="3" s="1"/>
  <c r="CV4" i="3"/>
  <c r="BQ4" i="3" s="1"/>
  <c r="CU4" i="3"/>
  <c r="BP4" i="3" s="1"/>
  <c r="CO36" i="3"/>
  <c r="BJ36" i="3" s="1"/>
  <c r="CN36" i="3"/>
  <c r="BI36" i="3" s="1"/>
  <c r="CM36" i="3"/>
  <c r="BH36" i="3" s="1"/>
  <c r="CL36" i="3"/>
  <c r="BG36" i="3" s="1"/>
  <c r="CK36" i="3"/>
  <c r="BF36" i="3" s="1"/>
  <c r="CP36" i="3"/>
  <c r="BK36" i="3" s="1"/>
  <c r="CJ36" i="3"/>
  <c r="BE36" i="3" s="1"/>
  <c r="CV36" i="3"/>
  <c r="BQ36" i="3" s="1"/>
  <c r="CU36" i="3"/>
  <c r="BP36" i="3" s="1"/>
  <c r="CT36" i="3"/>
  <c r="BO36" i="3" s="1"/>
  <c r="CS36" i="3"/>
  <c r="BN36" i="3" s="1"/>
  <c r="CR36" i="3"/>
  <c r="BM36" i="3" s="1"/>
  <c r="CQ36" i="3"/>
  <c r="BL36" i="3" s="1"/>
  <c r="CU74" i="3"/>
  <c r="BP74" i="3" s="1"/>
  <c r="CT74" i="3"/>
  <c r="BO74" i="3" s="1"/>
  <c r="CS74" i="3"/>
  <c r="BN74" i="3" s="1"/>
  <c r="CR74" i="3"/>
  <c r="BM74" i="3" s="1"/>
  <c r="CQ74" i="3"/>
  <c r="BL74" i="3" s="1"/>
  <c r="CP74" i="3"/>
  <c r="BK74" i="3" s="1"/>
  <c r="CN74" i="3"/>
  <c r="BI74" i="3" s="1"/>
  <c r="CM74" i="3"/>
  <c r="BH74" i="3" s="1"/>
  <c r="CL74" i="3"/>
  <c r="BG74" i="3" s="1"/>
  <c r="CK74" i="3"/>
  <c r="BF74" i="3" s="1"/>
  <c r="CJ74" i="3"/>
  <c r="BE74" i="3" s="1"/>
  <c r="CV74" i="3"/>
  <c r="BQ74" i="3" s="1"/>
  <c r="CO74" i="3"/>
  <c r="BJ74" i="3" s="1"/>
  <c r="CN37" i="3"/>
  <c r="BI37" i="3" s="1"/>
  <c r="CM37" i="3"/>
  <c r="BH37" i="3" s="1"/>
  <c r="CL37" i="3"/>
  <c r="BG37" i="3" s="1"/>
  <c r="CK37" i="3"/>
  <c r="BF37" i="3" s="1"/>
  <c r="CV37" i="3"/>
  <c r="BQ37" i="3" s="1"/>
  <c r="CJ37" i="3"/>
  <c r="BE37" i="3" s="1"/>
  <c r="CT37" i="3"/>
  <c r="BO37" i="3" s="1"/>
  <c r="CS37" i="3"/>
  <c r="BN37" i="3" s="1"/>
  <c r="CR37" i="3"/>
  <c r="BM37" i="3" s="1"/>
  <c r="CQ37" i="3"/>
  <c r="BL37" i="3" s="1"/>
  <c r="CP37" i="3"/>
  <c r="BK37" i="3" s="1"/>
  <c r="CO37" i="3"/>
  <c r="BJ37" i="3" s="1"/>
  <c r="CU37" i="3"/>
  <c r="BP37" i="3" s="1"/>
  <c r="CN61" i="3"/>
  <c r="BI61" i="3" s="1"/>
  <c r="CM61" i="3"/>
  <c r="BH61" i="3" s="1"/>
  <c r="CL61" i="3"/>
  <c r="BG61" i="3" s="1"/>
  <c r="CK61" i="3"/>
  <c r="BF61" i="3" s="1"/>
  <c r="CV61" i="3"/>
  <c r="BQ61" i="3" s="1"/>
  <c r="CJ61" i="3"/>
  <c r="BE61" i="3" s="1"/>
  <c r="CP61" i="3"/>
  <c r="BK61" i="3" s="1"/>
  <c r="CO61" i="3"/>
  <c r="BJ61" i="3" s="1"/>
  <c r="CU61" i="3"/>
  <c r="BP61" i="3" s="1"/>
  <c r="CT61" i="3"/>
  <c r="BO61" i="3" s="1"/>
  <c r="CS61" i="3"/>
  <c r="BN61" i="3" s="1"/>
  <c r="CR61" i="3"/>
  <c r="BM61" i="3" s="1"/>
  <c r="CQ61" i="3"/>
  <c r="BL61" i="3" s="1"/>
  <c r="CT75" i="3"/>
  <c r="BO75" i="3" s="1"/>
  <c r="CS75" i="3"/>
  <c r="BN75" i="3" s="1"/>
  <c r="CR75" i="3"/>
  <c r="BM75" i="3" s="1"/>
  <c r="CQ75" i="3"/>
  <c r="BL75" i="3" s="1"/>
  <c r="CP75" i="3"/>
  <c r="BK75" i="3" s="1"/>
  <c r="CO75" i="3"/>
  <c r="BJ75" i="3" s="1"/>
  <c r="CV75" i="3"/>
  <c r="BQ75" i="3" s="1"/>
  <c r="CU75" i="3"/>
  <c r="BP75" i="3" s="1"/>
  <c r="CN75" i="3"/>
  <c r="BI75" i="3" s="1"/>
  <c r="CM75" i="3"/>
  <c r="BH75" i="3" s="1"/>
  <c r="CL75" i="3"/>
  <c r="BG75" i="3" s="1"/>
  <c r="CK75" i="3"/>
  <c r="BF75" i="3" s="1"/>
  <c r="CJ75" i="3"/>
  <c r="BE75" i="3" s="1"/>
  <c r="CL19" i="3"/>
  <c r="BG19" i="3" s="1"/>
  <c r="CK19" i="3"/>
  <c r="BF19" i="3" s="1"/>
  <c r="CV19" i="3"/>
  <c r="BQ19" i="3" s="1"/>
  <c r="CJ19" i="3"/>
  <c r="BE19" i="3" s="1"/>
  <c r="CU19" i="3"/>
  <c r="BP19" i="3" s="1"/>
  <c r="CT19" i="3"/>
  <c r="BO19" i="3" s="1"/>
  <c r="CS19" i="3"/>
  <c r="BN19" i="3" s="1"/>
  <c r="CR19" i="3"/>
  <c r="BM19" i="3" s="1"/>
  <c r="CQ19" i="3"/>
  <c r="BL19" i="3" s="1"/>
  <c r="CP19" i="3"/>
  <c r="BK19" i="3" s="1"/>
  <c r="CO19" i="3"/>
  <c r="BJ19" i="3" s="1"/>
  <c r="CN19" i="3"/>
  <c r="BI19" i="3" s="1"/>
  <c r="CM19" i="3"/>
  <c r="BH19" i="3" s="1"/>
  <c r="CS50" i="3"/>
  <c r="CR50" i="3"/>
  <c r="CQ50" i="3"/>
  <c r="CP50" i="3"/>
  <c r="CO50" i="3"/>
  <c r="CV50" i="3"/>
  <c r="CU50" i="3"/>
  <c r="CT50" i="3"/>
  <c r="CN50" i="3"/>
  <c r="CM50" i="3"/>
  <c r="CL50" i="3"/>
  <c r="CK50" i="3"/>
  <c r="CJ50" i="3"/>
  <c r="CN17" i="3"/>
  <c r="BI17" i="3" s="1"/>
  <c r="CM17" i="3"/>
  <c r="BH17" i="3" s="1"/>
  <c r="CL17" i="3"/>
  <c r="BG17" i="3" s="1"/>
  <c r="CK17" i="3"/>
  <c r="BF17" i="3" s="1"/>
  <c r="CV17" i="3"/>
  <c r="BQ17" i="3" s="1"/>
  <c r="CJ17" i="3"/>
  <c r="BE17" i="3" s="1"/>
  <c r="CU17" i="3"/>
  <c r="BP17" i="3" s="1"/>
  <c r="CT17" i="3"/>
  <c r="BO17" i="3" s="1"/>
  <c r="CS17" i="3"/>
  <c r="BN17" i="3" s="1"/>
  <c r="CR17" i="3"/>
  <c r="BM17" i="3" s="1"/>
  <c r="CQ17" i="3"/>
  <c r="BL17" i="3" s="1"/>
  <c r="CP17" i="3"/>
  <c r="BK17" i="3" s="1"/>
  <c r="CO17" i="3"/>
  <c r="BJ17" i="3" s="1"/>
  <c r="CS32" i="3"/>
  <c r="BN32" i="3" s="1"/>
  <c r="CR32" i="3"/>
  <c r="BM32" i="3" s="1"/>
  <c r="CQ32" i="3"/>
  <c r="BL32" i="3" s="1"/>
  <c r="CP32" i="3"/>
  <c r="BK32" i="3" s="1"/>
  <c r="CO32" i="3"/>
  <c r="BJ32" i="3" s="1"/>
  <c r="CL32" i="3"/>
  <c r="BG32" i="3" s="1"/>
  <c r="CK32" i="3"/>
  <c r="BF32" i="3" s="1"/>
  <c r="CJ32" i="3"/>
  <c r="BE32" i="3" s="1"/>
  <c r="CV32" i="3"/>
  <c r="BQ32" i="3" s="1"/>
  <c r="CU32" i="3"/>
  <c r="BP32" i="3" s="1"/>
  <c r="CT32" i="3"/>
  <c r="BO32" i="3" s="1"/>
  <c r="CN32" i="3"/>
  <c r="BI32" i="3" s="1"/>
  <c r="CM32" i="3"/>
  <c r="BH32" i="3" s="1"/>
  <c r="CU48" i="3"/>
  <c r="CT48" i="3"/>
  <c r="CS48" i="3"/>
  <c r="CR48" i="3"/>
  <c r="CQ48" i="3"/>
  <c r="CJ48" i="3"/>
  <c r="CV48" i="3"/>
  <c r="CP48" i="3"/>
  <c r="CO48" i="3"/>
  <c r="CN48" i="3"/>
  <c r="CM48" i="3"/>
  <c r="CL48" i="3"/>
  <c r="CK48" i="3"/>
  <c r="CQ82" i="3"/>
  <c r="BL82" i="3" s="1"/>
  <c r="CP82" i="3"/>
  <c r="BK82" i="3" s="1"/>
  <c r="CO82" i="3"/>
  <c r="BJ82" i="3" s="1"/>
  <c r="CN82" i="3"/>
  <c r="BI82" i="3" s="1"/>
  <c r="CM82" i="3"/>
  <c r="BH82" i="3" s="1"/>
  <c r="CL82" i="3"/>
  <c r="BG82" i="3" s="1"/>
  <c r="CJ82" i="3"/>
  <c r="BE82" i="3" s="1"/>
  <c r="CV82" i="3"/>
  <c r="BQ82" i="3" s="1"/>
  <c r="CU82" i="3"/>
  <c r="BP82" i="3" s="1"/>
  <c r="CT82" i="3"/>
  <c r="BO82" i="3" s="1"/>
  <c r="CS82" i="3"/>
  <c r="BN82" i="3" s="1"/>
  <c r="CR82" i="3"/>
  <c r="BM82" i="3" s="1"/>
  <c r="CK82" i="3"/>
  <c r="BF82" i="3" s="1"/>
  <c r="CT3" i="3"/>
  <c r="BO3" i="3" s="1"/>
  <c r="CR3" i="3"/>
  <c r="BM3" i="3" s="1"/>
  <c r="CQ3" i="3"/>
  <c r="BL3" i="3" s="1"/>
  <c r="CP3" i="3"/>
  <c r="BK3" i="3" s="1"/>
  <c r="CM3" i="3"/>
  <c r="BH3" i="3" s="1"/>
  <c r="CL3" i="3"/>
  <c r="BG3" i="3" s="1"/>
  <c r="CK3" i="3"/>
  <c r="BF3" i="3" s="1"/>
  <c r="CJ3" i="3"/>
  <c r="BE3" i="3" s="1"/>
  <c r="CV3" i="3"/>
  <c r="BQ3" i="3" s="1"/>
  <c r="CU3" i="3"/>
  <c r="BP3" i="3" s="1"/>
  <c r="CS3" i="3"/>
  <c r="BN3" i="3" s="1"/>
  <c r="CO3" i="3"/>
  <c r="BJ3" i="3" s="1"/>
  <c r="CN3" i="3"/>
  <c r="BI3" i="3" s="1"/>
  <c r="CM18" i="3"/>
  <c r="BH18" i="3" s="1"/>
  <c r="CL18" i="3"/>
  <c r="BG18" i="3" s="1"/>
  <c r="CK18" i="3"/>
  <c r="BF18" i="3" s="1"/>
  <c r="CV18" i="3"/>
  <c r="BQ18" i="3" s="1"/>
  <c r="CJ18" i="3"/>
  <c r="BE18" i="3" s="1"/>
  <c r="CU18" i="3"/>
  <c r="BP18" i="3" s="1"/>
  <c r="CQ18" i="3"/>
  <c r="BL18" i="3" s="1"/>
  <c r="CP18" i="3"/>
  <c r="BK18" i="3" s="1"/>
  <c r="CO18" i="3"/>
  <c r="BJ18" i="3" s="1"/>
  <c r="CN18" i="3"/>
  <c r="BI18" i="3" s="1"/>
  <c r="CT18" i="3"/>
  <c r="BO18" i="3" s="1"/>
  <c r="CS18" i="3"/>
  <c r="BN18" i="3" s="1"/>
  <c r="CR18" i="3"/>
  <c r="BM18" i="3" s="1"/>
  <c r="CR33" i="3"/>
  <c r="BM33" i="3" s="1"/>
  <c r="CQ33" i="3"/>
  <c r="BL33" i="3" s="1"/>
  <c r="CP33" i="3"/>
  <c r="BK33" i="3" s="1"/>
  <c r="CO33" i="3"/>
  <c r="BJ33" i="3" s="1"/>
  <c r="CN33" i="3"/>
  <c r="BI33" i="3" s="1"/>
  <c r="CU33" i="3"/>
  <c r="BP33" i="3" s="1"/>
  <c r="CT33" i="3"/>
  <c r="BO33" i="3" s="1"/>
  <c r="CS33" i="3"/>
  <c r="BN33" i="3" s="1"/>
  <c r="CM33" i="3"/>
  <c r="BH33" i="3" s="1"/>
  <c r="CL33" i="3"/>
  <c r="BG33" i="3" s="1"/>
  <c r="CK33" i="3"/>
  <c r="BF33" i="3" s="1"/>
  <c r="CJ33" i="3"/>
  <c r="BE33" i="3" s="1"/>
  <c r="CV33" i="3"/>
  <c r="BQ33" i="3" s="1"/>
  <c r="CT49" i="3"/>
  <c r="CS49" i="3"/>
  <c r="CR49" i="3"/>
  <c r="CQ49" i="3"/>
  <c r="CP49" i="3"/>
  <c r="CN49" i="3"/>
  <c r="CM49" i="3"/>
  <c r="CL49" i="3"/>
  <c r="CK49" i="3"/>
  <c r="CJ49" i="3"/>
  <c r="CV49" i="3"/>
  <c r="CU49" i="3"/>
  <c r="CO49" i="3"/>
  <c r="CM94" i="3"/>
  <c r="BH94" i="3" s="1"/>
  <c r="CL94" i="3"/>
  <c r="BG94" i="3" s="1"/>
  <c r="CK94" i="3"/>
  <c r="BF94" i="3" s="1"/>
  <c r="CV94" i="3"/>
  <c r="BQ94" i="3" s="1"/>
  <c r="CJ94" i="3"/>
  <c r="BE94" i="3" s="1"/>
  <c r="CU94" i="3"/>
  <c r="BP94" i="3" s="1"/>
  <c r="CT94" i="3"/>
  <c r="BO94" i="3" s="1"/>
  <c r="CS94" i="3"/>
  <c r="BN94" i="3" s="1"/>
  <c r="CR94" i="3"/>
  <c r="BM94" i="3" s="1"/>
  <c r="CQ94" i="3"/>
  <c r="BL94" i="3" s="1"/>
  <c r="CP94" i="3"/>
  <c r="BK94" i="3" s="1"/>
  <c r="CO94" i="3"/>
  <c r="BJ94" i="3" s="1"/>
  <c r="CN94" i="3"/>
  <c r="BI94" i="3" s="1"/>
  <c r="CI82" i="3"/>
  <c r="BD82" i="3" s="1"/>
  <c r="CH82" i="3"/>
  <c r="BC82" i="3" s="1"/>
  <c r="CI102" i="3"/>
  <c r="BD102" i="3" s="1"/>
  <c r="CH102" i="3"/>
  <c r="BC102" i="3" s="1"/>
  <c r="CI11" i="3"/>
  <c r="BD11" i="3" s="1"/>
  <c r="CH11" i="3"/>
  <c r="BC11" i="3" s="1"/>
  <c r="CI33" i="3"/>
  <c r="BD33" i="3" s="1"/>
  <c r="CH33" i="3"/>
  <c r="BC33" i="3" s="1"/>
  <c r="CI100" i="3"/>
  <c r="BD100" i="3" s="1"/>
  <c r="CH100" i="3"/>
  <c r="BC100" i="3" s="1"/>
  <c r="CI42" i="3"/>
  <c r="CH42" i="3"/>
  <c r="CI3" i="3"/>
  <c r="BD3" i="3" s="1"/>
  <c r="CH3" i="3"/>
  <c r="BC3" i="3" s="1"/>
  <c r="CI55" i="3"/>
  <c r="BD55" i="3" s="1"/>
  <c r="CH55" i="3"/>
  <c r="BC55" i="3" s="1"/>
  <c r="CH4" i="3"/>
  <c r="BC4" i="3" s="1"/>
  <c r="CI4" i="3"/>
  <c r="BD4" i="3" s="1"/>
  <c r="CI19" i="3"/>
  <c r="BD19" i="3" s="1"/>
  <c r="CH19" i="3"/>
  <c r="BC19" i="3" s="1"/>
  <c r="CI101" i="3"/>
  <c r="BD101" i="3" s="1"/>
  <c r="CH101" i="3"/>
  <c r="BC101" i="3" s="1"/>
  <c r="CI26" i="3"/>
  <c r="BD26" i="3" s="1"/>
  <c r="CH26" i="3"/>
  <c r="BC26" i="3" s="1"/>
  <c r="CI67" i="3"/>
  <c r="BD67" i="3" s="1"/>
  <c r="CH67" i="3"/>
  <c r="BC67" i="3" s="1"/>
  <c r="CH36" i="3"/>
  <c r="BC36" i="3" s="1"/>
  <c r="CI36" i="3"/>
  <c r="BD36" i="3" s="1"/>
  <c r="CI61" i="3"/>
  <c r="BD61" i="3" s="1"/>
  <c r="CH61" i="3"/>
  <c r="BC61" i="3" s="1"/>
  <c r="CI48" i="3"/>
  <c r="CH48" i="3"/>
  <c r="CH88" i="3"/>
  <c r="BC88" i="3" s="1"/>
  <c r="CI88" i="3"/>
  <c r="BD88" i="3" s="1"/>
  <c r="CI49" i="3"/>
  <c r="CH49" i="3"/>
  <c r="CH50" i="3"/>
  <c r="CI50" i="3"/>
  <c r="CI32" i="3"/>
  <c r="BD32" i="3" s="1"/>
  <c r="CH32" i="3"/>
  <c r="BC32" i="3" s="1"/>
  <c r="CI73" i="3"/>
  <c r="BD73" i="3" s="1"/>
  <c r="CH73" i="3"/>
  <c r="BC73" i="3" s="1"/>
  <c r="CI94" i="3"/>
  <c r="BD94" i="3" s="1"/>
  <c r="CH94" i="3"/>
  <c r="BC94" i="3" s="1"/>
  <c r="CI34" i="3"/>
  <c r="BD34" i="3" s="1"/>
  <c r="CH34" i="3"/>
  <c r="BC34" i="3" s="1"/>
  <c r="CI75" i="3"/>
  <c r="BD75" i="3" s="1"/>
  <c r="CH75" i="3"/>
  <c r="BC75" i="3" s="1"/>
  <c r="CI74" i="3"/>
  <c r="BD74" i="3" s="1"/>
  <c r="CH74" i="3"/>
  <c r="BC74" i="3" s="1"/>
  <c r="CI17" i="3"/>
  <c r="BD17" i="3" s="1"/>
  <c r="CH17" i="3"/>
  <c r="BC17" i="3" s="1"/>
  <c r="CI37" i="3"/>
  <c r="BD37" i="3" s="1"/>
  <c r="CH37" i="3"/>
  <c r="BC37" i="3" s="1"/>
  <c r="CI18" i="3"/>
  <c r="BD18" i="3" s="1"/>
  <c r="CH18" i="3"/>
  <c r="BC18" i="3" s="1"/>
  <c r="DB9" i="5"/>
  <c r="DA9" i="5" s="1"/>
  <c r="DB14" i="5"/>
  <c r="DA14" i="5" s="1"/>
  <c r="DB5" i="5"/>
  <c r="DA5" i="5" s="1"/>
  <c r="DB15" i="5"/>
  <c r="DA15" i="5" s="1"/>
  <c r="DB8" i="5"/>
  <c r="DA8" i="5" s="1"/>
  <c r="DB4" i="5"/>
  <c r="DA4" i="5" s="1"/>
  <c r="DB6" i="5"/>
  <c r="DA6" i="5" s="1"/>
  <c r="DB10" i="5"/>
  <c r="DA10" i="5" s="1"/>
  <c r="DB13" i="5"/>
  <c r="DA13" i="5" s="1"/>
  <c r="DB3" i="5"/>
  <c r="DA3" i="5" s="1"/>
  <c r="BW49" i="3"/>
  <c r="BS49" i="3"/>
  <c r="CF49" i="3"/>
  <c r="BV49" i="3"/>
  <c r="BU49" i="3"/>
  <c r="BT49" i="3"/>
  <c r="CG49" i="3"/>
  <c r="CE49" i="3"/>
  <c r="CD49" i="3"/>
  <c r="CC49" i="3"/>
  <c r="CB49" i="3"/>
  <c r="CA49" i="3"/>
  <c r="BZ49" i="3"/>
  <c r="BY49" i="3"/>
  <c r="BX49" i="3"/>
  <c r="BY88" i="3"/>
  <c r="AT88" i="3" s="1"/>
  <c r="BX88" i="3"/>
  <c r="AS88" i="3" s="1"/>
  <c r="BW88" i="3"/>
  <c r="AR88" i="3" s="1"/>
  <c r="BV88" i="3"/>
  <c r="AQ88" i="3" s="1"/>
  <c r="BU88" i="3"/>
  <c r="AP88" i="3" s="1"/>
  <c r="BT88" i="3"/>
  <c r="AO88" i="3" s="1"/>
  <c r="CG88" i="3"/>
  <c r="BB88" i="3" s="1"/>
  <c r="CF88" i="3"/>
  <c r="BA88" i="3" s="1"/>
  <c r="CE88" i="3"/>
  <c r="AZ88" i="3" s="1"/>
  <c r="BZ88" i="3"/>
  <c r="AU88" i="3" s="1"/>
  <c r="CD88" i="3"/>
  <c r="AY88" i="3" s="1"/>
  <c r="CC88" i="3"/>
  <c r="AX88" i="3" s="1"/>
  <c r="CB88" i="3"/>
  <c r="AW88" i="3" s="1"/>
  <c r="CA88" i="3"/>
  <c r="AV88" i="3" s="1"/>
  <c r="BS88" i="3"/>
  <c r="AN88" i="3" s="1"/>
  <c r="BY50" i="3"/>
  <c r="BX50" i="3"/>
  <c r="BU50" i="3"/>
  <c r="BW50" i="3"/>
  <c r="BV50" i="3"/>
  <c r="CG50" i="3"/>
  <c r="CF50" i="3"/>
  <c r="BZ50" i="3"/>
  <c r="BT50" i="3"/>
  <c r="CE50" i="3"/>
  <c r="BS50" i="3"/>
  <c r="CD50" i="3"/>
  <c r="CC50" i="3"/>
  <c r="CB50" i="3"/>
  <c r="CA50" i="3"/>
  <c r="CE11" i="3"/>
  <c r="AZ11" i="3" s="1"/>
  <c r="BX11" i="3"/>
  <c r="AS11" i="3" s="1"/>
  <c r="CD11" i="3"/>
  <c r="AY11" i="3" s="1"/>
  <c r="CA11" i="3"/>
  <c r="AV11" i="3" s="1"/>
  <c r="BY11" i="3"/>
  <c r="AT11" i="3" s="1"/>
  <c r="CC11" i="3"/>
  <c r="AX11" i="3" s="1"/>
  <c r="CB11" i="3"/>
  <c r="AW11" i="3" s="1"/>
  <c r="BW11" i="3"/>
  <c r="AR11" i="3" s="1"/>
  <c r="CF11" i="3"/>
  <c r="BA11" i="3" s="1"/>
  <c r="BV11" i="3"/>
  <c r="AQ11" i="3" s="1"/>
  <c r="BU11" i="3"/>
  <c r="AP11" i="3" s="1"/>
  <c r="BZ11" i="3"/>
  <c r="AU11" i="3" s="1"/>
  <c r="BT11" i="3"/>
  <c r="AO11" i="3" s="1"/>
  <c r="CG11" i="3"/>
  <c r="BB11" i="3" s="1"/>
  <c r="BS11" i="3"/>
  <c r="AN11" i="3" s="1"/>
  <c r="CG32" i="3"/>
  <c r="BB32" i="3" s="1"/>
  <c r="CF32" i="3"/>
  <c r="BA32" i="3" s="1"/>
  <c r="CE32" i="3"/>
  <c r="AZ32" i="3" s="1"/>
  <c r="CC32" i="3"/>
  <c r="AX32" i="3" s="1"/>
  <c r="CD32" i="3"/>
  <c r="AY32" i="3" s="1"/>
  <c r="BY32" i="3"/>
  <c r="AT32" i="3" s="1"/>
  <c r="BX32" i="3"/>
  <c r="AS32" i="3" s="1"/>
  <c r="BW32" i="3"/>
  <c r="AR32" i="3" s="1"/>
  <c r="CA32" i="3"/>
  <c r="AV32" i="3" s="1"/>
  <c r="BZ32" i="3"/>
  <c r="AU32" i="3" s="1"/>
  <c r="BV32" i="3"/>
  <c r="AQ32" i="3" s="1"/>
  <c r="BS32" i="3"/>
  <c r="AN32" i="3" s="1"/>
  <c r="BU32" i="3"/>
  <c r="AP32" i="3" s="1"/>
  <c r="BT32" i="3"/>
  <c r="AO32" i="3" s="1"/>
  <c r="CB32" i="3"/>
  <c r="AW32" i="3" s="1"/>
  <c r="CA73" i="3"/>
  <c r="AV73" i="3" s="1"/>
  <c r="BZ73" i="3"/>
  <c r="AU73" i="3" s="1"/>
  <c r="BV73" i="3"/>
  <c r="AQ73" i="3" s="1"/>
  <c r="BY73" i="3"/>
  <c r="AT73" i="3" s="1"/>
  <c r="BW73" i="3"/>
  <c r="AR73" i="3" s="1"/>
  <c r="BX73" i="3"/>
  <c r="AS73" i="3" s="1"/>
  <c r="BU73" i="3"/>
  <c r="AP73" i="3" s="1"/>
  <c r="BS73" i="3"/>
  <c r="AN73" i="3" s="1"/>
  <c r="CG73" i="3"/>
  <c r="BB73" i="3" s="1"/>
  <c r="CF73" i="3"/>
  <c r="BA73" i="3" s="1"/>
  <c r="CE73" i="3"/>
  <c r="AZ73" i="3" s="1"/>
  <c r="CD73" i="3"/>
  <c r="AY73" i="3" s="1"/>
  <c r="CB73" i="3"/>
  <c r="AW73" i="3" s="1"/>
  <c r="BT73" i="3"/>
  <c r="AO73" i="3" s="1"/>
  <c r="CC73" i="3"/>
  <c r="AX73" i="3" s="1"/>
  <c r="BU48" i="3"/>
  <c r="BT48" i="3"/>
  <c r="BS48" i="3"/>
  <c r="CG48" i="3"/>
  <c r="CE48" i="3"/>
  <c r="CC48" i="3"/>
  <c r="CB48" i="3"/>
  <c r="CD48" i="3"/>
  <c r="CA48" i="3"/>
  <c r="BV48" i="3"/>
  <c r="BZ48" i="3"/>
  <c r="BY48" i="3"/>
  <c r="CF48" i="3"/>
  <c r="BX48" i="3"/>
  <c r="BW48" i="3"/>
  <c r="CG33" i="3"/>
  <c r="BB33" i="3" s="1"/>
  <c r="CF33" i="3"/>
  <c r="BA33" i="3" s="1"/>
  <c r="CE33" i="3"/>
  <c r="AZ33" i="3" s="1"/>
  <c r="CD33" i="3"/>
  <c r="AY33" i="3" s="1"/>
  <c r="CA33" i="3"/>
  <c r="AV33" i="3" s="1"/>
  <c r="BZ33" i="3"/>
  <c r="AU33" i="3" s="1"/>
  <c r="BY33" i="3"/>
  <c r="AT33" i="3" s="1"/>
  <c r="BS33" i="3"/>
  <c r="AN33" i="3" s="1"/>
  <c r="BX33" i="3"/>
  <c r="AS33" i="3" s="1"/>
  <c r="BW33" i="3"/>
  <c r="AR33" i="3" s="1"/>
  <c r="BV33" i="3"/>
  <c r="AQ33" i="3" s="1"/>
  <c r="CC33" i="3"/>
  <c r="AX33" i="3" s="1"/>
  <c r="BU33" i="3"/>
  <c r="AP33" i="3" s="1"/>
  <c r="BT33" i="3"/>
  <c r="AO33" i="3" s="1"/>
  <c r="CB33" i="3"/>
  <c r="AW33" i="3" s="1"/>
  <c r="CE55" i="3"/>
  <c r="AZ55" i="3" s="1"/>
  <c r="CD55" i="3"/>
  <c r="AY55" i="3" s="1"/>
  <c r="CA55" i="3"/>
  <c r="AV55" i="3" s="1"/>
  <c r="BX55" i="3"/>
  <c r="AS55" i="3" s="1"/>
  <c r="CC55" i="3"/>
  <c r="AX55" i="3" s="1"/>
  <c r="CB55" i="3"/>
  <c r="AW55" i="3" s="1"/>
  <c r="BY55" i="3"/>
  <c r="AT55" i="3" s="1"/>
  <c r="BW55" i="3"/>
  <c r="AR55" i="3" s="1"/>
  <c r="CF55" i="3"/>
  <c r="BA55" i="3" s="1"/>
  <c r="BV55" i="3"/>
  <c r="AQ55" i="3" s="1"/>
  <c r="BU55" i="3"/>
  <c r="AP55" i="3" s="1"/>
  <c r="BZ55" i="3"/>
  <c r="AU55" i="3" s="1"/>
  <c r="BT55" i="3"/>
  <c r="AO55" i="3" s="1"/>
  <c r="BS55" i="3"/>
  <c r="AN55" i="3" s="1"/>
  <c r="CG55" i="3"/>
  <c r="BB55" i="3" s="1"/>
  <c r="CC74" i="3"/>
  <c r="AX74" i="3" s="1"/>
  <c r="BY74" i="3"/>
  <c r="AT74" i="3" s="1"/>
  <c r="CB74" i="3"/>
  <c r="AW74" i="3" s="1"/>
  <c r="CA74" i="3"/>
  <c r="AV74" i="3" s="1"/>
  <c r="BV74" i="3"/>
  <c r="AQ74" i="3" s="1"/>
  <c r="BZ74" i="3"/>
  <c r="AU74" i="3" s="1"/>
  <c r="BX74" i="3"/>
  <c r="AS74" i="3" s="1"/>
  <c r="BW74" i="3"/>
  <c r="AR74" i="3" s="1"/>
  <c r="BU74" i="3"/>
  <c r="AP74" i="3" s="1"/>
  <c r="BT74" i="3"/>
  <c r="AO74" i="3" s="1"/>
  <c r="CD74" i="3"/>
  <c r="AY74" i="3" s="1"/>
  <c r="BS74" i="3"/>
  <c r="AN74" i="3" s="1"/>
  <c r="CG74" i="3"/>
  <c r="BB74" i="3" s="1"/>
  <c r="CF74" i="3"/>
  <c r="BA74" i="3" s="1"/>
  <c r="CE74" i="3"/>
  <c r="AZ74" i="3" s="1"/>
  <c r="CC94" i="3"/>
  <c r="AX94" i="3" s="1"/>
  <c r="BX94" i="3"/>
  <c r="AS94" i="3" s="1"/>
  <c r="CB94" i="3"/>
  <c r="AW94" i="3" s="1"/>
  <c r="BY94" i="3"/>
  <c r="AT94" i="3" s="1"/>
  <c r="CA94" i="3"/>
  <c r="AV94" i="3" s="1"/>
  <c r="BV94" i="3"/>
  <c r="AQ94" i="3" s="1"/>
  <c r="BZ94" i="3"/>
  <c r="AU94" i="3" s="1"/>
  <c r="BW94" i="3"/>
  <c r="AR94" i="3" s="1"/>
  <c r="BU94" i="3"/>
  <c r="AP94" i="3" s="1"/>
  <c r="BT94" i="3"/>
  <c r="AO94" i="3" s="1"/>
  <c r="CD94" i="3"/>
  <c r="AY94" i="3" s="1"/>
  <c r="CG94" i="3"/>
  <c r="BB94" i="3" s="1"/>
  <c r="CF94" i="3"/>
  <c r="BA94" i="3" s="1"/>
  <c r="BS94" i="3"/>
  <c r="AN94" i="3" s="1"/>
  <c r="CE94" i="3"/>
  <c r="AZ94" i="3" s="1"/>
  <c r="BU34" i="3"/>
  <c r="AP34" i="3" s="1"/>
  <c r="BT34" i="3"/>
  <c r="AO34" i="3" s="1"/>
  <c r="CG34" i="3"/>
  <c r="BB34" i="3" s="1"/>
  <c r="CC34" i="3"/>
  <c r="AX34" i="3" s="1"/>
  <c r="CD34" i="3"/>
  <c r="AY34" i="3" s="1"/>
  <c r="CB34" i="3"/>
  <c r="AW34" i="3" s="1"/>
  <c r="BS34" i="3"/>
  <c r="AN34" i="3" s="1"/>
  <c r="BV34" i="3"/>
  <c r="AQ34" i="3" s="1"/>
  <c r="CA34" i="3"/>
  <c r="AV34" i="3" s="1"/>
  <c r="CF34" i="3"/>
  <c r="BA34" i="3" s="1"/>
  <c r="BZ34" i="3"/>
  <c r="AU34" i="3" s="1"/>
  <c r="BY34" i="3"/>
  <c r="AT34" i="3" s="1"/>
  <c r="BX34" i="3"/>
  <c r="AS34" i="3" s="1"/>
  <c r="BW34" i="3"/>
  <c r="AR34" i="3" s="1"/>
  <c r="CE34" i="3"/>
  <c r="AZ34" i="3" s="1"/>
  <c r="CE75" i="3"/>
  <c r="AZ75" i="3" s="1"/>
  <c r="CD75" i="3"/>
  <c r="AY75" i="3" s="1"/>
  <c r="CA75" i="3"/>
  <c r="AV75" i="3" s="1"/>
  <c r="CC75" i="3"/>
  <c r="AX75" i="3" s="1"/>
  <c r="CB75" i="3"/>
  <c r="AW75" i="3" s="1"/>
  <c r="BY75" i="3"/>
  <c r="AT75" i="3" s="1"/>
  <c r="BW75" i="3"/>
  <c r="AR75" i="3" s="1"/>
  <c r="BV75" i="3"/>
  <c r="AQ75" i="3" s="1"/>
  <c r="BU75" i="3"/>
  <c r="AP75" i="3" s="1"/>
  <c r="BT75" i="3"/>
  <c r="AO75" i="3" s="1"/>
  <c r="BS75" i="3"/>
  <c r="AN75" i="3" s="1"/>
  <c r="BZ75" i="3"/>
  <c r="AU75" i="3" s="1"/>
  <c r="BX75" i="3"/>
  <c r="AS75" i="3" s="1"/>
  <c r="CG75" i="3"/>
  <c r="BB75" i="3" s="1"/>
  <c r="CF75" i="3"/>
  <c r="BA75" i="3" s="1"/>
  <c r="BY36" i="3"/>
  <c r="AT36" i="3" s="1"/>
  <c r="BX36" i="3"/>
  <c r="AS36" i="3" s="1"/>
  <c r="BW36" i="3"/>
  <c r="AR36" i="3" s="1"/>
  <c r="BU36" i="3"/>
  <c r="AP36" i="3" s="1"/>
  <c r="BT36" i="3"/>
  <c r="AO36" i="3" s="1"/>
  <c r="BV36" i="3"/>
  <c r="AQ36" i="3" s="1"/>
  <c r="CG36" i="3"/>
  <c r="BB36" i="3" s="1"/>
  <c r="CF36" i="3"/>
  <c r="BA36" i="3" s="1"/>
  <c r="CE36" i="3"/>
  <c r="AZ36" i="3" s="1"/>
  <c r="BZ36" i="3"/>
  <c r="AU36" i="3" s="1"/>
  <c r="BS36" i="3"/>
  <c r="AN36" i="3" s="1"/>
  <c r="CD36" i="3"/>
  <c r="AY36" i="3" s="1"/>
  <c r="CC36" i="3"/>
  <c r="AX36" i="3" s="1"/>
  <c r="CB36" i="3"/>
  <c r="AW36" i="3" s="1"/>
  <c r="CA36" i="3"/>
  <c r="AV36" i="3" s="1"/>
  <c r="CA37" i="3"/>
  <c r="AV37" i="3" s="1"/>
  <c r="BW37" i="3"/>
  <c r="AR37" i="3" s="1"/>
  <c r="BS37" i="3"/>
  <c r="AN37" i="3" s="1"/>
  <c r="BZ37" i="3"/>
  <c r="AU37" i="3" s="1"/>
  <c r="BY37" i="3"/>
  <c r="AT37" i="3" s="1"/>
  <c r="BX37" i="3"/>
  <c r="AS37" i="3" s="1"/>
  <c r="BT37" i="3"/>
  <c r="AO37" i="3" s="1"/>
  <c r="CG37" i="3"/>
  <c r="BB37" i="3" s="1"/>
  <c r="CF37" i="3"/>
  <c r="BA37" i="3" s="1"/>
  <c r="CE37" i="3"/>
  <c r="AZ37" i="3" s="1"/>
  <c r="BU37" i="3"/>
  <c r="AP37" i="3" s="1"/>
  <c r="CD37" i="3"/>
  <c r="AY37" i="3" s="1"/>
  <c r="BV37" i="3"/>
  <c r="AQ37" i="3" s="1"/>
  <c r="CC37" i="3"/>
  <c r="AX37" i="3" s="1"/>
  <c r="CB37" i="3"/>
  <c r="AW37" i="3" s="1"/>
  <c r="CG17" i="3"/>
  <c r="BB17" i="3" s="1"/>
  <c r="CF17" i="3"/>
  <c r="BA17" i="3" s="1"/>
  <c r="CD17" i="3"/>
  <c r="AY17" i="3" s="1"/>
  <c r="CB17" i="3"/>
  <c r="AW17" i="3" s="1"/>
  <c r="CA17" i="3"/>
  <c r="AV17" i="3" s="1"/>
  <c r="BZ17" i="3"/>
  <c r="AU17" i="3" s="1"/>
  <c r="BT17" i="3"/>
  <c r="AO17" i="3" s="1"/>
  <c r="BS17" i="3"/>
  <c r="AN17" i="3" s="1"/>
  <c r="BY17" i="3"/>
  <c r="AT17" i="3" s="1"/>
  <c r="CE17" i="3"/>
  <c r="AZ17" i="3" s="1"/>
  <c r="BX17" i="3"/>
  <c r="AS17" i="3" s="1"/>
  <c r="BW17" i="3"/>
  <c r="AR17" i="3" s="1"/>
  <c r="BV17" i="3"/>
  <c r="AQ17" i="3" s="1"/>
  <c r="CC17" i="3"/>
  <c r="AX17" i="3" s="1"/>
  <c r="BU17" i="3"/>
  <c r="AP17" i="3" s="1"/>
  <c r="BU18" i="3"/>
  <c r="AP18" i="3" s="1"/>
  <c r="BT18" i="3"/>
  <c r="AO18" i="3" s="1"/>
  <c r="CG18" i="3"/>
  <c r="BB18" i="3" s="1"/>
  <c r="CF18" i="3"/>
  <c r="BA18" i="3" s="1"/>
  <c r="CC18" i="3"/>
  <c r="AX18" i="3" s="1"/>
  <c r="CB18" i="3"/>
  <c r="AW18" i="3" s="1"/>
  <c r="CA18" i="3"/>
  <c r="AV18" i="3" s="1"/>
  <c r="BZ18" i="3"/>
  <c r="AU18" i="3" s="1"/>
  <c r="BY18" i="3"/>
  <c r="AT18" i="3" s="1"/>
  <c r="CE18" i="3"/>
  <c r="AZ18" i="3" s="1"/>
  <c r="BX18" i="3"/>
  <c r="AS18" i="3" s="1"/>
  <c r="BV18" i="3"/>
  <c r="AQ18" i="3" s="1"/>
  <c r="CD18" i="3"/>
  <c r="AY18" i="3" s="1"/>
  <c r="BS18" i="3"/>
  <c r="AN18" i="3" s="1"/>
  <c r="BW18" i="3"/>
  <c r="AR18" i="3" s="1"/>
  <c r="BW67" i="3"/>
  <c r="AR67" i="3" s="1"/>
  <c r="BV67" i="3"/>
  <c r="AQ67" i="3" s="1"/>
  <c r="BU67" i="3"/>
  <c r="AP67" i="3" s="1"/>
  <c r="BT67" i="3"/>
  <c r="AO67" i="3" s="1"/>
  <c r="CG67" i="3"/>
  <c r="BB67" i="3" s="1"/>
  <c r="CE67" i="3"/>
  <c r="AZ67" i="3" s="1"/>
  <c r="BS67" i="3"/>
  <c r="AN67" i="3" s="1"/>
  <c r="CD67" i="3"/>
  <c r="AY67" i="3" s="1"/>
  <c r="CC67" i="3"/>
  <c r="AX67" i="3" s="1"/>
  <c r="CB67" i="3"/>
  <c r="AW67" i="3" s="1"/>
  <c r="CF67" i="3"/>
  <c r="BA67" i="3" s="1"/>
  <c r="CA67" i="3"/>
  <c r="AV67" i="3" s="1"/>
  <c r="BZ67" i="3"/>
  <c r="AU67" i="3" s="1"/>
  <c r="BY67" i="3"/>
  <c r="AT67" i="3" s="1"/>
  <c r="BX67" i="3"/>
  <c r="AS67" i="3" s="1"/>
  <c r="BW19" i="3"/>
  <c r="AR19" i="3" s="1"/>
  <c r="BS19" i="3"/>
  <c r="AN19" i="3" s="1"/>
  <c r="BV19" i="3"/>
  <c r="AQ19" i="3" s="1"/>
  <c r="BU19" i="3"/>
  <c r="AP19" i="3" s="1"/>
  <c r="BT19" i="3"/>
  <c r="AO19" i="3" s="1"/>
  <c r="CF19" i="3"/>
  <c r="BA19" i="3" s="1"/>
  <c r="CE19" i="3"/>
  <c r="AZ19" i="3" s="1"/>
  <c r="CD19" i="3"/>
  <c r="AY19" i="3" s="1"/>
  <c r="CG19" i="3"/>
  <c r="BB19" i="3" s="1"/>
  <c r="CC19" i="3"/>
  <c r="AX19" i="3" s="1"/>
  <c r="BX19" i="3"/>
  <c r="AS19" i="3" s="1"/>
  <c r="CB19" i="3"/>
  <c r="AW19" i="3" s="1"/>
  <c r="CA19" i="3"/>
  <c r="AV19" i="3" s="1"/>
  <c r="BZ19" i="3"/>
  <c r="AU19" i="3" s="1"/>
  <c r="BY19" i="3"/>
  <c r="AT19" i="3" s="1"/>
  <c r="CG100" i="3"/>
  <c r="BB100" i="3" s="1"/>
  <c r="CF100" i="3"/>
  <c r="BA100" i="3" s="1"/>
  <c r="CC100" i="3"/>
  <c r="AX100" i="3" s="1"/>
  <c r="CE100" i="3"/>
  <c r="AZ100" i="3" s="1"/>
  <c r="CD100" i="3"/>
  <c r="AY100" i="3" s="1"/>
  <c r="CA100" i="3"/>
  <c r="AV100" i="3" s="1"/>
  <c r="BY100" i="3"/>
  <c r="AT100" i="3" s="1"/>
  <c r="BX100" i="3"/>
  <c r="AS100" i="3" s="1"/>
  <c r="BW100" i="3"/>
  <c r="AR100" i="3" s="1"/>
  <c r="CB100" i="3"/>
  <c r="AW100" i="3" s="1"/>
  <c r="BV100" i="3"/>
  <c r="AQ100" i="3" s="1"/>
  <c r="BS100" i="3"/>
  <c r="AN100" i="3" s="1"/>
  <c r="BU100" i="3"/>
  <c r="AP100" i="3" s="1"/>
  <c r="BT100" i="3"/>
  <c r="AO100" i="3" s="1"/>
  <c r="BZ100" i="3"/>
  <c r="AU100" i="3" s="1"/>
  <c r="CG42" i="3"/>
  <c r="CF42" i="3"/>
  <c r="CB42" i="3"/>
  <c r="CE42" i="3"/>
  <c r="CC42" i="3"/>
  <c r="CD42" i="3"/>
  <c r="BS42" i="3"/>
  <c r="CA42" i="3"/>
  <c r="BZ42" i="3"/>
  <c r="BY42" i="3"/>
  <c r="BX42" i="3"/>
  <c r="BW42" i="3"/>
  <c r="BV42" i="3"/>
  <c r="BU42" i="3"/>
  <c r="BT42" i="3"/>
  <c r="BU82" i="3"/>
  <c r="AP82" i="3" s="1"/>
  <c r="BT82" i="3"/>
  <c r="AO82" i="3" s="1"/>
  <c r="BS82" i="3"/>
  <c r="AN82" i="3" s="1"/>
  <c r="CG82" i="3"/>
  <c r="BB82" i="3" s="1"/>
  <c r="CF82" i="3"/>
  <c r="BA82" i="3" s="1"/>
  <c r="CE82" i="3"/>
  <c r="AZ82" i="3" s="1"/>
  <c r="CD82" i="3"/>
  <c r="AY82" i="3" s="1"/>
  <c r="CC82" i="3"/>
  <c r="AX82" i="3" s="1"/>
  <c r="CB82" i="3"/>
  <c r="AW82" i="3" s="1"/>
  <c r="CA82" i="3"/>
  <c r="AV82" i="3" s="1"/>
  <c r="BZ82" i="3"/>
  <c r="AU82" i="3" s="1"/>
  <c r="BY82" i="3"/>
  <c r="AT82" i="3" s="1"/>
  <c r="BX82" i="3"/>
  <c r="AS82" i="3" s="1"/>
  <c r="BW82" i="3"/>
  <c r="AR82" i="3" s="1"/>
  <c r="BV82" i="3"/>
  <c r="AQ82" i="3" s="1"/>
  <c r="CG101" i="3"/>
  <c r="BB101" i="3" s="1"/>
  <c r="CE101" i="3"/>
  <c r="AZ101" i="3" s="1"/>
  <c r="CF101" i="3"/>
  <c r="BA101" i="3" s="1"/>
  <c r="CC101" i="3"/>
  <c r="AX101" i="3" s="1"/>
  <c r="CA101" i="3"/>
  <c r="AV101" i="3" s="1"/>
  <c r="BZ101" i="3"/>
  <c r="AU101" i="3" s="1"/>
  <c r="BY101" i="3"/>
  <c r="AT101" i="3" s="1"/>
  <c r="BS101" i="3"/>
  <c r="AN101" i="3" s="1"/>
  <c r="BT101" i="3"/>
  <c r="AO101" i="3" s="1"/>
  <c r="BX101" i="3"/>
  <c r="AS101" i="3" s="1"/>
  <c r="BW101" i="3"/>
  <c r="AR101" i="3" s="1"/>
  <c r="BV101" i="3"/>
  <c r="AQ101" i="3" s="1"/>
  <c r="BU101" i="3"/>
  <c r="AP101" i="3" s="1"/>
  <c r="CD101" i="3"/>
  <c r="AY101" i="3" s="1"/>
  <c r="CB101" i="3"/>
  <c r="AW101" i="3" s="1"/>
  <c r="BU102" i="3"/>
  <c r="AP102" i="3" s="1"/>
  <c r="CG102" i="3"/>
  <c r="BB102" i="3" s="1"/>
  <c r="BT102" i="3"/>
  <c r="AO102" i="3" s="1"/>
  <c r="CF102" i="3"/>
  <c r="BA102" i="3" s="1"/>
  <c r="CE102" i="3"/>
  <c r="AZ102" i="3" s="1"/>
  <c r="CC102" i="3"/>
  <c r="AX102" i="3" s="1"/>
  <c r="BV102" i="3"/>
  <c r="AQ102" i="3" s="1"/>
  <c r="CB102" i="3"/>
  <c r="AW102" i="3" s="1"/>
  <c r="BS102" i="3"/>
  <c r="AN102" i="3" s="1"/>
  <c r="CA102" i="3"/>
  <c r="AV102" i="3" s="1"/>
  <c r="CD102" i="3"/>
  <c r="AY102" i="3" s="1"/>
  <c r="BZ102" i="3"/>
  <c r="AU102" i="3" s="1"/>
  <c r="BY102" i="3"/>
  <c r="AT102" i="3" s="1"/>
  <c r="BX102" i="3"/>
  <c r="AS102" i="3" s="1"/>
  <c r="BW102" i="3"/>
  <c r="AR102" i="3" s="1"/>
  <c r="CC26" i="3"/>
  <c r="AX26" i="3" s="1"/>
  <c r="CB26" i="3"/>
  <c r="AW26" i="3" s="1"/>
  <c r="BY26" i="3"/>
  <c r="AT26" i="3" s="1"/>
  <c r="BX26" i="3"/>
  <c r="AS26" i="3" s="1"/>
  <c r="CA26" i="3"/>
  <c r="AV26" i="3" s="1"/>
  <c r="BV26" i="3"/>
  <c r="AQ26" i="3" s="1"/>
  <c r="BZ26" i="3"/>
  <c r="AU26" i="3" s="1"/>
  <c r="BW26" i="3"/>
  <c r="AR26" i="3" s="1"/>
  <c r="BU26" i="3"/>
  <c r="AP26" i="3" s="1"/>
  <c r="BT26" i="3"/>
  <c r="AO26" i="3" s="1"/>
  <c r="CD26" i="3"/>
  <c r="AY26" i="3" s="1"/>
  <c r="CG26" i="3"/>
  <c r="BB26" i="3" s="1"/>
  <c r="CF26" i="3"/>
  <c r="BA26" i="3" s="1"/>
  <c r="BS26" i="3"/>
  <c r="AN26" i="3" s="1"/>
  <c r="CE26" i="3"/>
  <c r="AZ26" i="3" s="1"/>
  <c r="BW3" i="3"/>
  <c r="AR3" i="3" s="1"/>
  <c r="BV3" i="3"/>
  <c r="AQ3" i="3" s="1"/>
  <c r="BU3" i="3"/>
  <c r="AP3" i="3" s="1"/>
  <c r="BT3" i="3"/>
  <c r="AO3" i="3" s="1"/>
  <c r="CE3" i="3"/>
  <c r="AZ3" i="3" s="1"/>
  <c r="BS3" i="3"/>
  <c r="AN3" i="3" s="1"/>
  <c r="CD3" i="3"/>
  <c r="AY3" i="3" s="1"/>
  <c r="CC3" i="3"/>
  <c r="AX3" i="3" s="1"/>
  <c r="CB3" i="3"/>
  <c r="AW3" i="3" s="1"/>
  <c r="CA3" i="3"/>
  <c r="AV3" i="3" s="1"/>
  <c r="BX3" i="3"/>
  <c r="AS3" i="3" s="1"/>
  <c r="CF3" i="3"/>
  <c r="BA3" i="3" s="1"/>
  <c r="BZ3" i="3"/>
  <c r="AU3" i="3" s="1"/>
  <c r="BY3" i="3"/>
  <c r="AT3" i="3" s="1"/>
  <c r="CG3" i="3"/>
  <c r="BB3" i="3" s="1"/>
  <c r="CD61" i="3"/>
  <c r="AY61" i="3" s="1"/>
  <c r="CG61" i="3"/>
  <c r="BB61" i="3" s="1"/>
  <c r="CE61" i="3"/>
  <c r="AZ61" i="3" s="1"/>
  <c r="CF61" i="3"/>
  <c r="BA61" i="3" s="1"/>
  <c r="CC61" i="3"/>
  <c r="AX61" i="3" s="1"/>
  <c r="CA61" i="3"/>
  <c r="AV61" i="3" s="1"/>
  <c r="BZ61" i="3"/>
  <c r="AU61" i="3" s="1"/>
  <c r="BY61" i="3"/>
  <c r="AT61" i="3" s="1"/>
  <c r="BS61" i="3"/>
  <c r="AN61" i="3" s="1"/>
  <c r="CB61" i="3"/>
  <c r="AW61" i="3" s="1"/>
  <c r="BX61" i="3"/>
  <c r="AS61" i="3" s="1"/>
  <c r="BW61" i="3"/>
  <c r="AR61" i="3" s="1"/>
  <c r="BT61" i="3"/>
  <c r="AO61" i="3" s="1"/>
  <c r="BV61" i="3"/>
  <c r="AQ61" i="3" s="1"/>
  <c r="BU61" i="3"/>
  <c r="AP61" i="3" s="1"/>
  <c r="BY4" i="3"/>
  <c r="AT4" i="3" s="1"/>
  <c r="BX4" i="3"/>
  <c r="AS4" i="3" s="1"/>
  <c r="BS4" i="3"/>
  <c r="AN4" i="3" s="1"/>
  <c r="BW4" i="3"/>
  <c r="AR4" i="3" s="1"/>
  <c r="BV4" i="3"/>
  <c r="AQ4" i="3" s="1"/>
  <c r="CG4" i="3"/>
  <c r="BB4" i="3" s="1"/>
  <c r="CF4" i="3"/>
  <c r="BA4" i="3" s="1"/>
  <c r="CE4" i="3"/>
  <c r="AZ4" i="3" s="1"/>
  <c r="CD4" i="3"/>
  <c r="AY4" i="3" s="1"/>
  <c r="BZ4" i="3"/>
  <c r="AU4" i="3" s="1"/>
  <c r="BU4" i="3"/>
  <c r="AP4" i="3" s="1"/>
  <c r="CC4" i="3"/>
  <c r="AX4" i="3" s="1"/>
  <c r="CB4" i="3"/>
  <c r="AW4" i="3" s="1"/>
  <c r="CA4" i="3"/>
  <c r="AV4" i="3" s="1"/>
  <c r="BT4" i="3"/>
  <c r="AO4" i="3" s="1"/>
  <c r="B101" i="3"/>
  <c r="B53" i="3"/>
  <c r="F64" i="3"/>
  <c r="F65" i="3" s="1"/>
  <c r="F66" i="3" s="1"/>
  <c r="F67" i="3" s="1"/>
  <c r="F68" i="3" s="1"/>
  <c r="F69" i="3" s="1"/>
  <c r="B37" i="3"/>
  <c r="B100" i="3"/>
  <c r="B4" i="3"/>
  <c r="F79" i="3"/>
  <c r="B99" i="3"/>
  <c r="B19" i="3"/>
  <c r="B98" i="3"/>
  <c r="B50" i="3"/>
  <c r="B34" i="3"/>
  <c r="B18" i="3"/>
  <c r="B97" i="3"/>
  <c r="B49" i="3"/>
  <c r="B33" i="3"/>
  <c r="B17" i="3"/>
  <c r="B96" i="3"/>
  <c r="B48" i="3"/>
  <c r="B32" i="3"/>
  <c r="B16" i="3"/>
  <c r="B95" i="3"/>
  <c r="B47" i="3"/>
  <c r="B31" i="3"/>
  <c r="B15" i="3"/>
  <c r="B94" i="3"/>
  <c r="B46" i="3"/>
  <c r="B30" i="3"/>
  <c r="B14" i="3"/>
  <c r="B93" i="3"/>
  <c r="B45" i="3"/>
  <c r="B29" i="3"/>
  <c r="B13" i="3"/>
  <c r="B92" i="3"/>
  <c r="B60" i="3"/>
  <c r="B44" i="3"/>
  <c r="B28" i="3"/>
  <c r="B12" i="3"/>
  <c r="B91" i="3"/>
  <c r="B59" i="3"/>
  <c r="B43" i="3"/>
  <c r="B27" i="3"/>
  <c r="B11" i="3"/>
  <c r="B90" i="3"/>
  <c r="B58" i="3"/>
  <c r="B42" i="3"/>
  <c r="B26" i="3"/>
  <c r="B10" i="3"/>
  <c r="B57" i="3"/>
  <c r="B41" i="3"/>
  <c r="B25" i="3"/>
  <c r="B9" i="3"/>
  <c r="B56" i="3"/>
  <c r="B24" i="3"/>
  <c r="B8" i="3"/>
  <c r="B55" i="3"/>
  <c r="B23" i="3"/>
  <c r="B7" i="3"/>
  <c r="B102" i="3"/>
  <c r="B54" i="3"/>
  <c r="B22" i="3"/>
  <c r="BF42" i="3" l="1"/>
  <c r="AP42" i="3"/>
  <c r="BE42" i="3"/>
  <c r="AO42" i="3"/>
  <c r="BD42" i="3"/>
  <c r="AN42" i="3"/>
  <c r="BB42" i="3"/>
  <c r="BQ42" i="3"/>
  <c r="BA42" i="3"/>
  <c r="BP42" i="3"/>
  <c r="AZ42" i="3"/>
  <c r="BO42" i="3"/>
  <c r="AY42" i="3"/>
  <c r="BN42" i="3"/>
  <c r="AX42" i="3"/>
  <c r="BM42" i="3"/>
  <c r="AW42" i="3"/>
  <c r="BL42" i="3"/>
  <c r="AV42" i="3"/>
  <c r="BK42" i="3"/>
  <c r="AU42" i="3"/>
  <c r="BJ42" i="3"/>
  <c r="AT42" i="3"/>
  <c r="BI42" i="3"/>
  <c r="AS42" i="3"/>
  <c r="BH42" i="3"/>
  <c r="AR42" i="3"/>
  <c r="BG42" i="3"/>
  <c r="BC42" i="3"/>
  <c r="AQ42" i="3"/>
  <c r="BF50" i="3"/>
  <c r="AP50" i="3"/>
  <c r="BE50" i="3"/>
  <c r="AO50" i="3"/>
  <c r="BD50" i="3"/>
  <c r="AN50" i="3"/>
  <c r="BB50" i="3"/>
  <c r="BQ50" i="3"/>
  <c r="BA50" i="3"/>
  <c r="BP50" i="3"/>
  <c r="AZ50" i="3"/>
  <c r="BO50" i="3"/>
  <c r="AY50" i="3"/>
  <c r="BN50" i="3"/>
  <c r="AX50" i="3"/>
  <c r="BM50" i="3"/>
  <c r="AW50" i="3"/>
  <c r="BL50" i="3"/>
  <c r="AV50" i="3"/>
  <c r="BK50" i="3"/>
  <c r="AU50" i="3"/>
  <c r="BJ50" i="3"/>
  <c r="AT50" i="3"/>
  <c r="BI50" i="3"/>
  <c r="AS50" i="3"/>
  <c r="BH50" i="3"/>
  <c r="AR50" i="3"/>
  <c r="AQ50" i="3"/>
  <c r="BG50" i="3"/>
  <c r="BC50" i="3"/>
  <c r="BD49" i="3"/>
  <c r="AN49" i="3"/>
  <c r="BC49" i="3"/>
  <c r="BB49" i="3"/>
  <c r="BP49" i="3"/>
  <c r="AZ49" i="3"/>
  <c r="BO49" i="3"/>
  <c r="AY49" i="3"/>
  <c r="BN49" i="3"/>
  <c r="AX49" i="3"/>
  <c r="BM49" i="3"/>
  <c r="AW49" i="3"/>
  <c r="BL49" i="3"/>
  <c r="AV49" i="3"/>
  <c r="BK49" i="3"/>
  <c r="AU49" i="3"/>
  <c r="BJ49" i="3"/>
  <c r="AT49" i="3"/>
  <c r="BI49" i="3"/>
  <c r="AS49" i="3"/>
  <c r="BH49" i="3"/>
  <c r="AR49" i="3"/>
  <c r="BG49" i="3"/>
  <c r="AQ49" i="3"/>
  <c r="BF49" i="3"/>
  <c r="AP49" i="3"/>
  <c r="BQ49" i="3"/>
  <c r="BE49" i="3"/>
  <c r="BA49" i="3"/>
  <c r="AO49" i="3"/>
  <c r="BH43" i="3"/>
  <c r="AR43" i="3"/>
  <c r="BG43" i="3"/>
  <c r="AQ43" i="3"/>
  <c r="BF43" i="3"/>
  <c r="AP43" i="3"/>
  <c r="BD43" i="3"/>
  <c r="AN43" i="3"/>
  <c r="BC43" i="3"/>
  <c r="BB43" i="3"/>
  <c r="BQ43" i="3"/>
  <c r="BA43" i="3"/>
  <c r="BP43" i="3"/>
  <c r="AZ43" i="3"/>
  <c r="BO43" i="3"/>
  <c r="AY43" i="3"/>
  <c r="BN43" i="3"/>
  <c r="AX43" i="3"/>
  <c r="BM43" i="3"/>
  <c r="AW43" i="3"/>
  <c r="BL43" i="3"/>
  <c r="AV43" i="3"/>
  <c r="BK43" i="3"/>
  <c r="AU43" i="3"/>
  <c r="BJ43" i="3"/>
  <c r="AT43" i="3"/>
  <c r="BI43" i="3"/>
  <c r="BE43" i="3"/>
  <c r="AS43" i="3"/>
  <c r="AO43" i="3"/>
  <c r="BB48" i="3"/>
  <c r="BQ48" i="3"/>
  <c r="BA48" i="3"/>
  <c r="BP48" i="3"/>
  <c r="AZ48" i="3"/>
  <c r="BN48" i="3"/>
  <c r="AX48" i="3"/>
  <c r="BM48" i="3"/>
  <c r="AW48" i="3"/>
  <c r="BL48" i="3"/>
  <c r="AV48" i="3"/>
  <c r="BK48" i="3"/>
  <c r="AU48" i="3"/>
  <c r="BJ48" i="3"/>
  <c r="AT48" i="3"/>
  <c r="BI48" i="3"/>
  <c r="AS48" i="3"/>
  <c r="BH48" i="3"/>
  <c r="AR48" i="3"/>
  <c r="BG48" i="3"/>
  <c r="AQ48" i="3"/>
  <c r="BF48" i="3"/>
  <c r="AP48" i="3"/>
  <c r="BE48" i="3"/>
  <c r="AO48" i="3"/>
  <c r="BD48" i="3"/>
  <c r="AN48" i="3"/>
  <c r="BO48" i="3"/>
  <c r="BC48" i="3"/>
  <c r="AY48" i="3"/>
  <c r="CE40" i="3"/>
  <c r="AZ40" i="3" s="1"/>
  <c r="CK40" i="3"/>
  <c r="BF40" i="3" s="1"/>
  <c r="CT40" i="3"/>
  <c r="BO40" i="3" s="1"/>
  <c r="CJ40" i="3"/>
  <c r="BE40" i="3" s="1"/>
  <c r="CP40" i="3"/>
  <c r="BK40" i="3" s="1"/>
  <c r="CU40" i="3"/>
  <c r="BP40" i="3" s="1"/>
  <c r="CL40" i="3"/>
  <c r="BG40" i="3" s="1"/>
  <c r="CN40" i="3"/>
  <c r="BI40" i="3" s="1"/>
  <c r="CO40" i="3"/>
  <c r="BJ40" i="3" s="1"/>
  <c r="CV40" i="3"/>
  <c r="BQ40" i="3" s="1"/>
  <c r="CS40" i="3"/>
  <c r="BN40" i="3" s="1"/>
  <c r="CR40" i="3"/>
  <c r="BM40" i="3" s="1"/>
  <c r="CM40" i="3"/>
  <c r="BH40" i="3" s="1"/>
  <c r="CQ40" i="3"/>
  <c r="BL40" i="3" s="1"/>
  <c r="BT40" i="3"/>
  <c r="AO40" i="3" s="1"/>
  <c r="BV40" i="3"/>
  <c r="AQ40" i="3" s="1"/>
  <c r="BX40" i="3"/>
  <c r="AS40" i="3" s="1"/>
  <c r="CF40" i="3"/>
  <c r="BA40" i="3" s="1"/>
  <c r="BU40" i="3"/>
  <c r="AP40" i="3" s="1"/>
  <c r="CD40" i="3"/>
  <c r="AY40" i="3" s="1"/>
  <c r="CA40" i="3"/>
  <c r="AV40" i="3" s="1"/>
  <c r="CG40" i="3"/>
  <c r="BB40" i="3" s="1"/>
  <c r="BY40" i="3"/>
  <c r="AT40" i="3" s="1"/>
  <c r="BS40" i="3"/>
  <c r="AN40" i="3" s="1"/>
  <c r="BZ40" i="3"/>
  <c r="AU40" i="3" s="1"/>
  <c r="CB40" i="3"/>
  <c r="AW40" i="3" s="1"/>
  <c r="CC40" i="3"/>
  <c r="AX40" i="3" s="1"/>
  <c r="CI40" i="3"/>
  <c r="BD40" i="3" s="1"/>
  <c r="BW40" i="3"/>
  <c r="AR40" i="3" s="1"/>
  <c r="CH40" i="3"/>
  <c r="BC40" i="3" s="1"/>
  <c r="B66" i="3"/>
  <c r="B67" i="3"/>
  <c r="B65" i="3"/>
  <c r="B68" i="3"/>
  <c r="B64" i="3"/>
  <c r="F70" i="3"/>
  <c r="B69" i="3"/>
  <c r="F80" i="3"/>
  <c r="B79" i="3"/>
  <c r="F71" i="3" l="1"/>
  <c r="B70" i="3"/>
  <c r="F81" i="3"/>
  <c r="B80" i="3"/>
  <c r="AB20" i="5" l="1"/>
  <c r="Z20" i="5"/>
  <c r="AB26" i="5"/>
  <c r="AD21" i="5"/>
  <c r="AI32" i="5"/>
  <c r="AF21" i="5"/>
  <c r="AF31" i="5"/>
  <c r="AA38" i="5"/>
  <c r="AJ21" i="5"/>
  <c r="AC21" i="5"/>
  <c r="AA26" i="5"/>
  <c r="AE26" i="5"/>
  <c r="AJ43" i="5"/>
  <c r="Z45" i="5"/>
  <c r="AB36" i="5"/>
  <c r="AH38" i="5"/>
  <c r="AG34" i="5"/>
  <c r="Y26" i="5"/>
  <c r="Y28" i="5"/>
  <c r="Y40" i="5"/>
  <c r="X25" i="5"/>
  <c r="AE33" i="5"/>
  <c r="AD28" i="5"/>
  <c r="AA46" i="5"/>
  <c r="AG45" i="5"/>
  <c r="AC36" i="5"/>
  <c r="AH29" i="5"/>
  <c r="AD36" i="5"/>
  <c r="Z39" i="5"/>
  <c r="AD45" i="5"/>
  <c r="AF40" i="5"/>
  <c r="X48" i="5"/>
  <c r="X28" i="5"/>
  <c r="AG39" i="5"/>
  <c r="Y47" i="5"/>
  <c r="Z33" i="5"/>
  <c r="AJ39" i="5"/>
  <c r="AB47" i="5"/>
  <c r="AI40" i="5"/>
  <c r="AC30" i="5"/>
  <c r="X40" i="5"/>
  <c r="AE37" i="5"/>
  <c r="AJ30" i="5"/>
  <c r="AD26" i="5"/>
  <c r="AC26" i="5"/>
  <c r="CO8" i="5"/>
  <c r="CO17" i="5" s="1"/>
  <c r="Z35" i="5"/>
  <c r="AD47" i="5"/>
  <c r="Z25" i="5"/>
  <c r="Z26" i="5"/>
  <c r="AI22" i="5"/>
  <c r="CX6" i="5"/>
  <c r="CX15" i="5" s="1"/>
  <c r="AI23" i="5"/>
  <c r="CS8" i="5"/>
  <c r="CS17" i="5" s="1"/>
  <c r="AD35" i="5"/>
  <c r="AI42" i="5"/>
  <c r="Z47" i="5"/>
  <c r="Z44" i="5"/>
  <c r="CW9" i="5"/>
  <c r="AH41" i="5"/>
  <c r="AJ36" i="5"/>
  <c r="AB44" i="5"/>
  <c r="AB38" i="5"/>
  <c r="X36" i="5"/>
  <c r="CR9" i="5"/>
  <c r="AC43" i="5"/>
  <c r="AB42" i="5"/>
  <c r="AA36" i="5"/>
  <c r="AF43" i="5"/>
  <c r="Z29" i="5"/>
  <c r="AB30" i="5"/>
  <c r="AB27" i="5"/>
  <c r="CQ7" i="5"/>
  <c r="CQ16" i="5" s="1"/>
  <c r="AG48" i="5"/>
  <c r="AC46" i="5"/>
  <c r="Y25" i="5"/>
  <c r="AG36" i="5"/>
  <c r="Y44" i="5"/>
  <c r="AC48" i="5"/>
  <c r="AC45" i="5"/>
  <c r="Z38" i="5"/>
  <c r="AE45" i="5"/>
  <c r="AE39" i="5"/>
  <c r="AJ46" i="5"/>
  <c r="AA37" i="5"/>
  <c r="AF48" i="5"/>
  <c r="AF44" i="5"/>
  <c r="Y36" i="5"/>
  <c r="AE43" i="5"/>
  <c r="AD37" i="5"/>
  <c r="AC33" i="5"/>
  <c r="AH37" i="5"/>
  <c r="AE32" i="5"/>
  <c r="AE28" i="5"/>
  <c r="CP8" i="5"/>
  <c r="CP17" i="5" s="1"/>
  <c r="AA35" i="5"/>
  <c r="AF47" i="5"/>
  <c r="AJ37" i="5"/>
  <c r="AB45" i="5"/>
  <c r="AF45" i="5"/>
  <c r="AF46" i="5"/>
  <c r="AA44" i="5"/>
  <c r="AC39" i="5"/>
  <c r="AH46" i="5"/>
  <c r="AE21" i="5"/>
  <c r="CT5" i="5"/>
  <c r="CT14" i="5" s="1"/>
  <c r="AE18" i="5"/>
  <c r="AE19" i="5"/>
  <c r="AH40" i="5"/>
  <c r="Z48" i="5"/>
  <c r="AD38" i="5"/>
  <c r="AI44" i="5"/>
  <c r="AI45" i="5"/>
  <c r="AA28" i="5"/>
  <c r="AH44" i="5"/>
  <c r="AG38" i="5"/>
  <c r="AI48" i="5"/>
  <c r="AE41" i="5"/>
  <c r="CT9" i="5"/>
  <c r="AE46" i="5"/>
  <c r="AI46" i="5"/>
  <c r="AI47" i="5"/>
  <c r="AH19" i="5"/>
  <c r="AH20" i="5"/>
  <c r="X33" i="5"/>
  <c r="AG19" i="5"/>
  <c r="AG18" i="5"/>
  <c r="CV5" i="5"/>
  <c r="CV14" i="5" s="1"/>
  <c r="X46" i="5"/>
  <c r="AG40" i="5"/>
  <c r="AB29" i="5"/>
  <c r="X31" i="5"/>
  <c r="AA40" i="5"/>
  <c r="AH42" i="5"/>
  <c r="AC40" i="5"/>
  <c r="AH47" i="5"/>
  <c r="AH36" i="5"/>
  <c r="AG46" i="5"/>
  <c r="AI27" i="5"/>
  <c r="CX7" i="5"/>
  <c r="CX16" i="5" s="1"/>
  <c r="X23" i="5"/>
  <c r="CM6" i="5"/>
  <c r="CM15" i="5" s="1"/>
  <c r="X22" i="5"/>
  <c r="AA29" i="5"/>
  <c r="AA34" i="5"/>
  <c r="AJ20" i="5"/>
  <c r="AJ40" i="5"/>
  <c r="AB48" i="5"/>
  <c r="AC34" i="5"/>
  <c r="AA47" i="5"/>
  <c r="Z27" i="5"/>
  <c r="CO7" i="5"/>
  <c r="CO16" i="5" s="1"/>
  <c r="AE48" i="5"/>
  <c r="Y20" i="5"/>
  <c r="Y34" i="5"/>
  <c r="AG29" i="5"/>
  <c r="AA32" i="5"/>
  <c r="AJ38" i="5"/>
  <c r="AB46" i="5"/>
  <c r="AD27" i="5"/>
  <c r="CS7" i="5"/>
  <c r="CS16" i="5" s="1"/>
  <c r="X43" i="5"/>
  <c r="X44" i="5"/>
  <c r="AF27" i="5"/>
  <c r="CU7" i="5"/>
  <c r="CU16" i="5" s="1"/>
  <c r="AA39" i="5"/>
  <c r="AD40" i="5"/>
  <c r="AJ47" i="5"/>
  <c r="AA24" i="5"/>
  <c r="AD30" i="5"/>
  <c r="Z23" i="5"/>
  <c r="CO6" i="5"/>
  <c r="CO15" i="5" s="1"/>
  <c r="Z22" i="5"/>
  <c r="Z28" i="5"/>
  <c r="AE38" i="5"/>
  <c r="AI18" i="5"/>
  <c r="CX5" i="5"/>
  <c r="CX14" i="5" s="1"/>
  <c r="AI19" i="5"/>
  <c r="AD48" i="5"/>
  <c r="AC28" i="5"/>
  <c r="AF34" i="5"/>
  <c r="AB21" i="5"/>
  <c r="AC38" i="5"/>
  <c r="AD33" i="5"/>
  <c r="Z40" i="5"/>
  <c r="AE47" i="5"/>
  <c r="AG28" i="5"/>
  <c r="AA45" i="5"/>
  <c r="AI28" i="5"/>
  <c r="Z30" i="5"/>
  <c r="AG27" i="5"/>
  <c r="CV7" i="5"/>
  <c r="CV16" i="5" s="1"/>
  <c r="AE35" i="5"/>
  <c r="CT8" i="5"/>
  <c r="CT17" i="5" s="1"/>
  <c r="AD25" i="5"/>
  <c r="AG31" i="5"/>
  <c r="AC24" i="5"/>
  <c r="AC29" i="5"/>
  <c r="AD29" i="5"/>
  <c r="Y21" i="5"/>
  <c r="Z36" i="5"/>
  <c r="AB37" i="5"/>
  <c r="AF29" i="5"/>
  <c r="CT6" i="5"/>
  <c r="CT15" i="5" s="1"/>
  <c r="AE22" i="5"/>
  <c r="AE23" i="5"/>
  <c r="AE36" i="5"/>
  <c r="AC27" i="5"/>
  <c r="CR7" i="5"/>
  <c r="CR16" i="5" s="1"/>
  <c r="AH48" i="5"/>
  <c r="CN5" i="5"/>
  <c r="CN14" i="5" s="1"/>
  <c r="Y18" i="5"/>
  <c r="Y19" i="5"/>
  <c r="AC32" i="5"/>
  <c r="AD46" i="5"/>
  <c r="Y30" i="5"/>
  <c r="AC31" i="5"/>
  <c r="AI36" i="5"/>
  <c r="X38" i="5"/>
  <c r="AG26" i="5"/>
  <c r="AJ32" i="5"/>
  <c r="CU5" i="5"/>
  <c r="CU14" i="5" s="1"/>
  <c r="AF19" i="5"/>
  <c r="AF18" i="5"/>
  <c r="AF25" i="5"/>
  <c r="AF30" i="5"/>
  <c r="AJ31" i="5"/>
  <c r="AB23" i="5"/>
  <c r="AB22" i="5"/>
  <c r="AB28" i="5"/>
  <c r="AH39" i="5"/>
  <c r="AI30" i="5"/>
  <c r="AH24" i="5"/>
  <c r="X37" i="5"/>
  <c r="AF22" i="5"/>
  <c r="CU6" i="5"/>
  <c r="CU15" i="5" s="1"/>
  <c r="AF23" i="5"/>
  <c r="AF28" i="5"/>
  <c r="Z31" i="5"/>
  <c r="Y39" i="5"/>
  <c r="AG47" i="5"/>
  <c r="AB31" i="5"/>
  <c r="AF32" i="5"/>
  <c r="AB18" i="5"/>
  <c r="AB19" i="5"/>
  <c r="CQ5" i="5"/>
  <c r="CQ14" i="5" s="1"/>
  <c r="X29" i="5"/>
  <c r="AJ28" i="5"/>
  <c r="AH32" i="5"/>
  <c r="AD19" i="5"/>
  <c r="CS5" i="5"/>
  <c r="CS14" i="5" s="1"/>
  <c r="AD18" i="5"/>
  <c r="CY9" i="5"/>
  <c r="AJ41" i="5"/>
  <c r="Z34" i="5"/>
  <c r="AI26" i="5"/>
  <c r="AI31" i="5"/>
  <c r="AE24" i="5"/>
  <c r="AH30" i="5"/>
  <c r="X27" i="5"/>
  <c r="CM7" i="5"/>
  <c r="CM16" i="5" s="1"/>
  <c r="Y32" i="5"/>
  <c r="X26" i="5"/>
  <c r="AA27" i="5"/>
  <c r="CP7" i="5"/>
  <c r="CP16" i="5" s="1"/>
  <c r="Y35" i="5"/>
  <c r="CN8" i="5"/>
  <c r="CN17" i="5" s="1"/>
  <c r="AI24" i="5"/>
  <c r="AI29" i="5"/>
  <c r="AI34" i="5"/>
  <c r="AB40" i="5"/>
  <c r="AJ48" i="5"/>
  <c r="AA19" i="5"/>
  <c r="AA18" i="5"/>
  <c r="CP5" i="5"/>
  <c r="CP14" i="5" s="1"/>
  <c r="AI33" i="5"/>
  <c r="AE20" i="5"/>
  <c r="AA30" i="5"/>
  <c r="CU8" i="5"/>
  <c r="CU17" i="5" s="1"/>
  <c r="AF35" i="5"/>
  <c r="X34" i="5"/>
  <c r="AG20" i="5"/>
  <c r="Z43" i="5"/>
  <c r="Y22" i="5"/>
  <c r="Y23" i="5"/>
  <c r="CN6" i="5"/>
  <c r="CN15" i="5" s="1"/>
  <c r="Y46" i="5"/>
  <c r="Y42" i="5"/>
  <c r="Y33" i="5"/>
  <c r="CW5" i="5"/>
  <c r="CW14" i="5" s="1"/>
  <c r="AH18" i="5"/>
  <c r="AH25" i="5"/>
  <c r="X32" i="5"/>
  <c r="AG30" i="5"/>
  <c r="AB33" i="5"/>
  <c r="X19" i="5"/>
  <c r="X20" i="5"/>
  <c r="AA41" i="5"/>
  <c r="CP9" i="5"/>
  <c r="Z32" i="5"/>
  <c r="Z37" i="5"/>
  <c r="AI38" i="5"/>
  <c r="Y31" i="5"/>
  <c r="CW6" i="5"/>
  <c r="CW15" i="5" s="1"/>
  <c r="AH23" i="5"/>
  <c r="AH22" i="5"/>
  <c r="AE31" i="5"/>
  <c r="CT7" i="5"/>
  <c r="CT16" i="5" s="1"/>
  <c r="AE27" i="5"/>
  <c r="AJ29" i="5"/>
  <c r="AH33" i="5"/>
  <c r="AD20" i="5"/>
  <c r="AH21" i="5"/>
  <c r="AG32" i="5"/>
  <c r="CR5" i="5"/>
  <c r="CR14" i="5" s="1"/>
  <c r="AC18" i="5"/>
  <c r="AC19" i="5"/>
  <c r="Y38" i="5"/>
  <c r="AC44" i="5"/>
  <c r="CQ6" i="5"/>
  <c r="CQ15" i="5" s="1"/>
  <c r="AB24" i="5"/>
  <c r="AB43" i="5"/>
  <c r="AB34" i="5"/>
  <c r="X21" i="5"/>
  <c r="CM9" i="5"/>
  <c r="X41" i="5"/>
  <c r="AA33" i="5"/>
  <c r="AJ18" i="5"/>
  <c r="CY5" i="5"/>
  <c r="CY14" i="5" s="1"/>
  <c r="AJ19" i="5"/>
  <c r="AE34" i="5"/>
  <c r="AA20" i="5"/>
  <c r="AA21" i="5"/>
  <c r="AD42" i="5"/>
  <c r="CW8" i="5"/>
  <c r="CW17" i="5" s="1"/>
  <c r="AH35" i="5"/>
  <c r="CY7" i="5"/>
  <c r="CY16" i="5" s="1"/>
  <c r="AJ27" i="5"/>
  <c r="AE30" i="5"/>
  <c r="AB41" i="5"/>
  <c r="CQ9" i="5"/>
  <c r="AB32" i="5"/>
  <c r="X18" i="5"/>
  <c r="CM5" i="5"/>
  <c r="CM14" i="5" s="1"/>
  <c r="X30" i="5"/>
  <c r="AF33" i="5"/>
  <c r="AG21" i="5"/>
  <c r="X24" i="5"/>
  <c r="AJ33" i="5"/>
  <c r="AF20" i="5"/>
  <c r="AB39" i="5"/>
  <c r="Z24" i="5"/>
  <c r="AE25" i="5"/>
  <c r="AE44" i="5"/>
  <c r="AA25" i="5"/>
  <c r="AA23" i="5"/>
  <c r="CP6" i="5"/>
  <c r="CP15" i="5" s="1"/>
  <c r="AA22" i="5"/>
  <c r="AA42" i="5"/>
  <c r="AD34" i="5"/>
  <c r="Z21" i="5"/>
  <c r="AF38" i="5"/>
  <c r="AD22" i="5"/>
  <c r="CS6" i="5"/>
  <c r="CS15" i="5" s="1"/>
  <c r="AG43" i="5"/>
  <c r="CY8" i="5"/>
  <c r="CY17" i="5" s="1"/>
  <c r="AJ35" i="5"/>
  <c r="X39" i="5"/>
  <c r="AE42" i="5"/>
  <c r="AA31" i="5"/>
  <c r="AC37" i="5"/>
  <c r="AC35" i="5"/>
  <c r="CR8" i="5"/>
  <c r="CR17" i="5" s="1"/>
  <c r="AJ22" i="5"/>
  <c r="AJ23" i="5"/>
  <c r="AI20" i="5"/>
  <c r="AI21" i="5"/>
  <c r="AE40" i="5"/>
  <c r="AC25" i="5"/>
  <c r="AH26" i="5"/>
  <c r="AH45" i="5"/>
  <c r="AD23" i="5"/>
  <c r="AD24" i="5"/>
  <c r="AD43" i="5"/>
  <c r="AC23" i="5"/>
  <c r="CR6" i="5"/>
  <c r="CR15" i="5" s="1"/>
  <c r="AC22" i="5"/>
  <c r="AG24" i="5"/>
  <c r="AJ44" i="5"/>
  <c r="AH43" i="5"/>
  <c r="AH34" i="5"/>
  <c r="CS9" i="5"/>
  <c r="AD41" i="5"/>
  <c r="AD32" i="5"/>
  <c r="Z19" i="5"/>
  <c r="CO5" i="5"/>
  <c r="CO14" i="5" s="1"/>
  <c r="Z18" i="5"/>
  <c r="AF36" i="5"/>
  <c r="Y24" i="5"/>
  <c r="AH27" i="5"/>
  <c r="CW7" i="5"/>
  <c r="CW16" i="5" s="1"/>
  <c r="AF26" i="5"/>
  <c r="Y48" i="5"/>
  <c r="X42" i="5"/>
  <c r="X47" i="5"/>
  <c r="CV6" i="5"/>
  <c r="CV15" i="5" s="1"/>
  <c r="AG25" i="5"/>
  <c r="AF24" i="5"/>
  <c r="Y29" i="5"/>
  <c r="Y27" i="5"/>
  <c r="CN7" i="5"/>
  <c r="CN16" i="5" s="1"/>
  <c r="AF37" i="5"/>
  <c r="CQ8" i="5"/>
  <c r="CQ17" i="5" s="1"/>
  <c r="AB35" i="5"/>
  <c r="X45" i="5"/>
  <c r="AG22" i="5"/>
  <c r="AG23" i="5"/>
  <c r="AG42" i="5"/>
  <c r="AG33" i="5"/>
  <c r="AC20" i="5"/>
  <c r="AI37" i="5"/>
  <c r="AG44" i="5"/>
  <c r="AG41" i="5"/>
  <c r="CV9" i="5"/>
  <c r="AB25" i="5"/>
  <c r="AD31" i="5"/>
  <c r="AI43" i="5"/>
  <c r="CX9" i="5"/>
  <c r="AI41" i="5"/>
  <c r="AI39" i="5"/>
  <c r="AI35" i="5"/>
  <c r="CX8" i="5"/>
  <c r="CX17" i="5" s="1"/>
  <c r="AA43" i="5"/>
  <c r="AA48" i="5"/>
  <c r="AJ25" i="5"/>
  <c r="AJ26" i="5"/>
  <c r="AI25" i="5"/>
  <c r="AE29" i="5"/>
  <c r="Z41" i="5"/>
  <c r="CO9" i="5"/>
  <c r="AC47" i="5"/>
  <c r="AF39" i="5"/>
  <c r="AD39" i="5"/>
  <c r="CY6" i="5"/>
  <c r="CY15" i="5" s="1"/>
  <c r="AJ24" i="5"/>
  <c r="AJ34" i="5"/>
  <c r="AH28" i="5"/>
  <c r="AF42" i="5"/>
  <c r="CU9" i="5"/>
  <c r="AF41" i="5"/>
  <c r="AJ45" i="5"/>
  <c r="AJ42" i="5"/>
  <c r="AG37" i="5"/>
  <c r="AG35" i="5"/>
  <c r="CV8" i="5"/>
  <c r="CV17" i="5" s="1"/>
  <c r="Y43" i="5"/>
  <c r="Y37" i="5"/>
  <c r="AD44" i="5"/>
  <c r="AH31" i="5"/>
  <c r="Z46" i="5"/>
  <c r="Z42" i="5"/>
  <c r="Y45" i="5"/>
  <c r="CN9" i="5"/>
  <c r="Y41" i="5"/>
  <c r="CM8" i="5"/>
  <c r="CM17" i="5" s="1"/>
  <c r="X35" i="5"/>
  <c r="AC41" i="5"/>
  <c r="AC42" i="5"/>
  <c r="V42" i="5"/>
  <c r="V37" i="5"/>
  <c r="W33" i="5"/>
  <c r="W39" i="5"/>
  <c r="W20" i="5"/>
  <c r="W42" i="5"/>
  <c r="V31" i="5"/>
  <c r="V33" i="5"/>
  <c r="W25" i="5"/>
  <c r="V46" i="5"/>
  <c r="W32" i="5"/>
  <c r="W37" i="5"/>
  <c r="W29" i="5"/>
  <c r="V25" i="5"/>
  <c r="W27" i="5"/>
  <c r="V23" i="5"/>
  <c r="V22" i="5"/>
  <c r="W44" i="5"/>
  <c r="V20" i="5"/>
  <c r="V29" i="5"/>
  <c r="W38" i="5"/>
  <c r="V19" i="5"/>
  <c r="V18" i="5"/>
  <c r="W26" i="5"/>
  <c r="W21" i="5"/>
  <c r="V40" i="5"/>
  <c r="V38" i="5"/>
  <c r="V43" i="5"/>
  <c r="V30" i="5"/>
  <c r="V35" i="5"/>
  <c r="V47" i="5"/>
  <c r="V28" i="5"/>
  <c r="V34" i="5"/>
  <c r="W40" i="5"/>
  <c r="V21" i="5"/>
  <c r="CL5" i="5"/>
  <c r="CL14" i="5" s="1"/>
  <c r="W19" i="5"/>
  <c r="W18" i="5"/>
  <c r="W41" i="5"/>
  <c r="W35" i="5"/>
  <c r="W23" i="5"/>
  <c r="W22" i="5"/>
  <c r="V24" i="5"/>
  <c r="V45" i="5"/>
  <c r="W43" i="5"/>
  <c r="V32" i="5"/>
  <c r="V48" i="5"/>
  <c r="W24" i="5"/>
  <c r="V44" i="5"/>
  <c r="V41" i="5"/>
  <c r="W31" i="5"/>
  <c r="W30" i="5"/>
  <c r="V36" i="5"/>
  <c r="W46" i="5"/>
  <c r="W47" i="5"/>
  <c r="W48" i="5"/>
  <c r="W28" i="5"/>
  <c r="V26" i="5"/>
  <c r="W36" i="5"/>
  <c r="V39" i="5"/>
  <c r="V27" i="5"/>
  <c r="W34" i="5"/>
  <c r="W45" i="5"/>
  <c r="CL8" i="5"/>
  <c r="CL17" i="5" s="1"/>
  <c r="CK6" i="5"/>
  <c r="CK15" i="5" s="1"/>
  <c r="CL9" i="5"/>
  <c r="CL6" i="5"/>
  <c r="CL15" i="5" s="1"/>
  <c r="CK9" i="5"/>
  <c r="CK7" i="5"/>
  <c r="CK16" i="5" s="1"/>
  <c r="CL7" i="5"/>
  <c r="CL16" i="5" s="1"/>
  <c r="CK5" i="5"/>
  <c r="CK14" i="5" s="1"/>
  <c r="CK8" i="5"/>
  <c r="CK17" i="5" s="1"/>
  <c r="O42" i="5"/>
  <c r="P42" i="5"/>
  <c r="K48" i="5"/>
  <c r="H48" i="5"/>
  <c r="R44" i="5"/>
  <c r="T45" i="5"/>
  <c r="G45" i="5"/>
  <c r="I44" i="5"/>
  <c r="J44" i="5"/>
  <c r="Q48" i="5"/>
  <c r="S45" i="5"/>
  <c r="U47" i="5"/>
  <c r="BV9" i="5"/>
  <c r="G41" i="5"/>
  <c r="Q42" i="5"/>
  <c r="I48" i="5"/>
  <c r="J47" i="5"/>
  <c r="K47" i="5"/>
  <c r="M46" i="5"/>
  <c r="P48" i="5"/>
  <c r="P46" i="5"/>
  <c r="S48" i="5"/>
  <c r="T48" i="5"/>
  <c r="G42" i="5"/>
  <c r="S43" i="5"/>
  <c r="L48" i="5"/>
  <c r="N47" i="5"/>
  <c r="BW9" i="5"/>
  <c r="H41" i="5"/>
  <c r="Q47" i="5"/>
  <c r="T44" i="5"/>
  <c r="O48" i="5"/>
  <c r="J42" i="5"/>
  <c r="R48" i="5"/>
  <c r="U45" i="5"/>
  <c r="L43" i="5"/>
  <c r="CC9" i="5"/>
  <c r="N41" i="5"/>
  <c r="G47" i="5"/>
  <c r="M44" i="5"/>
  <c r="G43" i="5"/>
  <c r="CB9" i="5"/>
  <c r="M41" i="5"/>
  <c r="CF9" i="5"/>
  <c r="Q41" i="5"/>
  <c r="N45" i="5"/>
  <c r="R43" i="5"/>
  <c r="S42" i="5"/>
  <c r="CI9" i="5"/>
  <c r="T41" i="5"/>
  <c r="CJ9" i="5"/>
  <c r="U41" i="5"/>
  <c r="O46" i="5"/>
  <c r="Q43" i="5"/>
  <c r="S44" i="5"/>
  <c r="U43" i="5"/>
  <c r="H43" i="5"/>
  <c r="I43" i="5"/>
  <c r="P47" i="5"/>
  <c r="CA9" i="5"/>
  <c r="L41" i="5"/>
  <c r="U46" i="5"/>
  <c r="H46" i="5"/>
  <c r="J45" i="5"/>
  <c r="K45" i="5"/>
  <c r="BY9" i="5"/>
  <c r="J41" i="5"/>
  <c r="BZ9" i="5"/>
  <c r="K41" i="5"/>
  <c r="N42" i="5"/>
  <c r="G48" i="5"/>
  <c r="CE9" i="5"/>
  <c r="P41" i="5"/>
  <c r="I47" i="5"/>
  <c r="K46" i="5"/>
  <c r="L46" i="5"/>
  <c r="I42" i="5"/>
  <c r="L42" i="5"/>
  <c r="M42" i="5"/>
  <c r="P43" i="5"/>
  <c r="R42" i="5"/>
  <c r="J48" i="5"/>
  <c r="CG9" i="5"/>
  <c r="R41" i="5"/>
  <c r="CH9" i="5"/>
  <c r="S41" i="5"/>
  <c r="L47" i="5"/>
  <c r="M47" i="5"/>
  <c r="K43" i="5"/>
  <c r="BX9" i="5"/>
  <c r="I41" i="5"/>
  <c r="N43" i="5"/>
  <c r="O43" i="5"/>
  <c r="Q44" i="5"/>
  <c r="T46" i="5"/>
  <c r="T43" i="5"/>
  <c r="T42" i="5"/>
  <c r="U42" i="5"/>
  <c r="M48" i="5"/>
  <c r="N48" i="5"/>
  <c r="H42" i="5"/>
  <c r="L44" i="5"/>
  <c r="K42" i="5"/>
  <c r="O44" i="5"/>
  <c r="P44" i="5"/>
  <c r="R45" i="5"/>
  <c r="U44" i="5"/>
  <c r="G44" i="5"/>
  <c r="H44" i="5"/>
  <c r="J43" i="5"/>
  <c r="M45" i="5"/>
  <c r="M43" i="5"/>
  <c r="P45" i="5"/>
  <c r="Q45" i="5"/>
  <c r="S46" i="5"/>
  <c r="G46" i="5"/>
  <c r="H45" i="5"/>
  <c r="I45" i="5"/>
  <c r="K44" i="5"/>
  <c r="N46" i="5"/>
  <c r="N44" i="5"/>
  <c r="Q46" i="5"/>
  <c r="R46" i="5"/>
  <c r="T47" i="5"/>
  <c r="O41" i="5"/>
  <c r="CD9" i="5"/>
  <c r="H47" i="5"/>
  <c r="I46" i="5"/>
  <c r="J46" i="5"/>
  <c r="L45" i="5"/>
  <c r="O47" i="5"/>
  <c r="O45" i="5"/>
  <c r="R47" i="5"/>
  <c r="S47" i="5"/>
  <c r="U48" i="5"/>
  <c r="F72" i="3"/>
  <c r="B71" i="3"/>
  <c r="F82" i="3"/>
  <c r="B81" i="3"/>
  <c r="F73" i="3" l="1"/>
  <c r="B72" i="3"/>
  <c r="F83" i="3"/>
  <c r="B82" i="3"/>
  <c r="F74" i="3" l="1"/>
  <c r="B73" i="3"/>
  <c r="F84" i="3"/>
  <c r="B83" i="3"/>
  <c r="F75" i="3" l="1"/>
  <c r="B74" i="3"/>
  <c r="F85" i="3"/>
  <c r="B84" i="3"/>
  <c r="CO3" i="5" l="1"/>
  <c r="CO12" i="5" s="1"/>
  <c r="CS3" i="5"/>
  <c r="CS12" i="5" s="1"/>
  <c r="CM3" i="5"/>
  <c r="CM12" i="5" s="1"/>
  <c r="CY3" i="5"/>
  <c r="CY12" i="5" s="1"/>
  <c r="CR3" i="5"/>
  <c r="CR12" i="5" s="1"/>
  <c r="CQ3" i="5"/>
  <c r="CQ12" i="5" s="1"/>
  <c r="CT3" i="5"/>
  <c r="CT12" i="5" s="1"/>
  <c r="CP3" i="5"/>
  <c r="CP12" i="5" s="1"/>
  <c r="CW3" i="5"/>
  <c r="CW12" i="5" s="1"/>
  <c r="CX3" i="5"/>
  <c r="CX12" i="5" s="1"/>
  <c r="CV3" i="5"/>
  <c r="CV12" i="5" s="1"/>
  <c r="CU3" i="5"/>
  <c r="CU12" i="5" s="1"/>
  <c r="CN3" i="5"/>
  <c r="CN12" i="5" s="1"/>
  <c r="CK3" i="5"/>
  <c r="CK12" i="5" s="1"/>
  <c r="CL3" i="5"/>
  <c r="CL12" i="5" s="1"/>
  <c r="F76" i="3"/>
  <c r="B76" i="3" s="1"/>
  <c r="B75" i="3"/>
  <c r="F86" i="3"/>
  <c r="B85" i="3"/>
  <c r="Y10" i="5" l="1"/>
  <c r="X10" i="5"/>
  <c r="AD4" i="5"/>
  <c r="AH10" i="5"/>
  <c r="Y6" i="5"/>
  <c r="X5" i="5"/>
  <c r="Y7" i="5"/>
  <c r="Y4" i="5"/>
  <c r="Y5" i="5"/>
  <c r="AD10" i="5"/>
  <c r="AD7" i="5"/>
  <c r="Z6" i="5"/>
  <c r="X9" i="5"/>
  <c r="AD5" i="5"/>
  <c r="AD6" i="5"/>
  <c r="AD8" i="5"/>
  <c r="Y8" i="5"/>
  <c r="X7" i="5"/>
  <c r="AJ7" i="5"/>
  <c r="AC5" i="5"/>
  <c r="AA9" i="5"/>
  <c r="AA7" i="5"/>
  <c r="X6" i="5"/>
  <c r="Z5" i="5"/>
  <c r="AA6" i="5"/>
  <c r="AJ8" i="5"/>
  <c r="Z10" i="5"/>
  <c r="AE8" i="5"/>
  <c r="Z7" i="5"/>
  <c r="X8" i="5"/>
  <c r="X4" i="5"/>
  <c r="Z4" i="5"/>
  <c r="AH7" i="5"/>
  <c r="AC6" i="5"/>
  <c r="Z8" i="5"/>
  <c r="AJ4" i="5"/>
  <c r="Y9" i="5"/>
  <c r="Z9" i="5"/>
  <c r="AC8" i="5"/>
  <c r="AC9" i="5"/>
  <c r="AC4" i="5"/>
  <c r="AC10" i="5"/>
  <c r="AC7" i="5"/>
  <c r="AJ6" i="5"/>
  <c r="AA8" i="5"/>
  <c r="AJ9" i="5"/>
  <c r="AJ10" i="5"/>
  <c r="AI8" i="5"/>
  <c r="AH9" i="5"/>
  <c r="AA5" i="5"/>
  <c r="AA10" i="5"/>
  <c r="AD9" i="5"/>
  <c r="AH6" i="5"/>
  <c r="AE9" i="5"/>
  <c r="AI6" i="5"/>
  <c r="AA4" i="5"/>
  <c r="AF9" i="5"/>
  <c r="AI4" i="5"/>
  <c r="AI5" i="5"/>
  <c r="AI7" i="5"/>
  <c r="AI9" i="5"/>
  <c r="AG8" i="5"/>
  <c r="AF4" i="5"/>
  <c r="AI10" i="5"/>
  <c r="AF6" i="5"/>
  <c r="AF5" i="5"/>
  <c r="AG9" i="5"/>
  <c r="AG4" i="5"/>
  <c r="AG5" i="5"/>
  <c r="AJ5" i="5"/>
  <c r="AG7" i="5"/>
  <c r="AH4" i="5"/>
  <c r="AG10" i="5"/>
  <c r="AH8" i="5"/>
  <c r="AG6" i="5"/>
  <c r="AF7" i="5"/>
  <c r="AF10" i="5"/>
  <c r="AF8" i="5"/>
  <c r="AH5" i="5"/>
  <c r="AE4" i="5"/>
  <c r="AE6" i="5"/>
  <c r="AE10" i="5"/>
  <c r="CQ4" i="5"/>
  <c r="CQ13" i="5" s="1"/>
  <c r="CV4" i="5"/>
  <c r="CV13" i="5" s="1"/>
  <c r="CM4" i="5"/>
  <c r="CM13" i="5" s="1"/>
  <c r="CO4" i="5"/>
  <c r="CO13" i="5" s="1"/>
  <c r="CS4" i="5"/>
  <c r="CS13" i="5" s="1"/>
  <c r="CR4" i="5"/>
  <c r="CR13" i="5" s="1"/>
  <c r="CY4" i="5"/>
  <c r="CY13" i="5" s="1"/>
  <c r="CT4" i="5"/>
  <c r="CT13" i="5" s="1"/>
  <c r="CN4" i="5"/>
  <c r="CN13" i="5" s="1"/>
  <c r="CW4" i="5"/>
  <c r="CW13" i="5" s="1"/>
  <c r="CU4" i="5"/>
  <c r="CU13" i="5" s="1"/>
  <c r="CP4" i="5"/>
  <c r="CP13" i="5" s="1"/>
  <c r="CX4" i="5"/>
  <c r="CX13" i="5" s="1"/>
  <c r="AB10" i="5"/>
  <c r="AB6" i="5"/>
  <c r="AB9" i="5"/>
  <c r="AE5" i="5"/>
  <c r="AB4" i="5"/>
  <c r="AE7" i="5"/>
  <c r="AB7" i="5"/>
  <c r="AB5" i="5"/>
  <c r="AB8" i="5"/>
  <c r="W4" i="5"/>
  <c r="W8" i="5"/>
  <c r="W10" i="5"/>
  <c r="V6" i="5"/>
  <c r="W5" i="5"/>
  <c r="W6" i="5"/>
  <c r="W7" i="5"/>
  <c r="W9" i="5"/>
  <c r="V4" i="5"/>
  <c r="V10" i="5"/>
  <c r="CK4" i="5"/>
  <c r="CK13" i="5" s="1"/>
  <c r="CL4" i="5"/>
  <c r="CL13" i="5" s="1"/>
  <c r="V7" i="5"/>
  <c r="V5" i="5"/>
  <c r="V8" i="5"/>
  <c r="V9" i="5"/>
  <c r="F87" i="3"/>
  <c r="B86" i="3"/>
  <c r="AG13" i="5" l="1"/>
  <c r="AG14" i="5"/>
  <c r="AG17" i="5"/>
  <c r="AG16" i="5"/>
  <c r="AD15" i="5"/>
  <c r="Z17" i="5"/>
  <c r="Z15" i="5"/>
  <c r="AJ13" i="5"/>
  <c r="Z11" i="5"/>
  <c r="Z13" i="5"/>
  <c r="AD13" i="5"/>
  <c r="X15" i="5"/>
  <c r="X14" i="5"/>
  <c r="AD11" i="5"/>
  <c r="Z12" i="5"/>
  <c r="AG15" i="5"/>
  <c r="AG12" i="5"/>
  <c r="AD12" i="5"/>
  <c r="Z16" i="5"/>
  <c r="X13" i="5"/>
  <c r="X11" i="5"/>
  <c r="X17" i="5"/>
  <c r="X16" i="5"/>
  <c r="AG11" i="5"/>
  <c r="X12" i="5"/>
  <c r="Y12" i="5"/>
  <c r="AE14" i="5"/>
  <c r="AE11" i="5"/>
  <c r="AJ11" i="5"/>
  <c r="AC11" i="5"/>
  <c r="Y11" i="5"/>
  <c r="AH17" i="5"/>
  <c r="AF11" i="5"/>
  <c r="AJ15" i="5"/>
  <c r="AE15" i="5"/>
  <c r="AE17" i="5"/>
  <c r="AH14" i="5"/>
  <c r="AC17" i="5"/>
  <c r="AE12" i="5"/>
  <c r="AH16" i="5"/>
  <c r="AJ16" i="5"/>
  <c r="AJ12" i="5"/>
  <c r="AJ17" i="5"/>
  <c r="AC14" i="5"/>
  <c r="Y13" i="5"/>
  <c r="AC15" i="5"/>
  <c r="AC13" i="5"/>
  <c r="Y16" i="5"/>
  <c r="AJ14" i="5"/>
  <c r="AH13" i="5"/>
  <c r="AH11" i="5"/>
  <c r="AD16" i="5"/>
  <c r="AE16" i="5"/>
  <c r="AC12" i="5"/>
  <c r="AD17" i="5"/>
  <c r="Y14" i="5"/>
  <c r="Y15" i="5"/>
  <c r="AH15" i="5"/>
  <c r="AD14" i="5"/>
  <c r="Z14" i="5"/>
  <c r="AE13" i="5"/>
  <c r="AC16" i="5"/>
  <c r="Y17" i="5"/>
  <c r="AA11" i="5"/>
  <c r="AF13" i="5"/>
  <c r="AH12" i="5"/>
  <c r="AI13" i="5"/>
  <c r="AB16" i="5"/>
  <c r="AB17" i="5"/>
  <c r="AF17" i="5"/>
  <c r="AI17" i="5"/>
  <c r="AI14" i="5"/>
  <c r="AF14" i="5"/>
  <c r="AB15" i="5"/>
  <c r="AB14" i="5"/>
  <c r="AI11" i="5"/>
  <c r="AA17" i="5"/>
  <c r="AB11" i="5"/>
  <c r="AF12" i="5"/>
  <c r="AI16" i="5"/>
  <c r="AB12" i="5"/>
  <c r="AF15" i="5"/>
  <c r="AB13" i="5"/>
  <c r="AA14" i="5"/>
  <c r="AA13" i="5"/>
  <c r="AI15" i="5"/>
  <c r="AA12" i="5"/>
  <c r="AF16" i="5"/>
  <c r="AA15" i="5"/>
  <c r="AI12" i="5"/>
  <c r="AA16" i="5"/>
  <c r="L21" i="5"/>
  <c r="V12" i="5"/>
  <c r="V11" i="5"/>
  <c r="W16" i="5"/>
  <c r="V13" i="5"/>
  <c r="V14" i="5"/>
  <c r="V15" i="5"/>
  <c r="W15" i="5"/>
  <c r="W14" i="5"/>
  <c r="V17" i="5"/>
  <c r="W13" i="5"/>
  <c r="V16" i="5"/>
  <c r="W17" i="5"/>
  <c r="W12" i="5"/>
  <c r="W11" i="5"/>
  <c r="L40" i="5"/>
  <c r="S40" i="5"/>
  <c r="K40" i="5"/>
  <c r="N40" i="5"/>
  <c r="T40" i="5"/>
  <c r="O40" i="5"/>
  <c r="R40" i="5"/>
  <c r="I40" i="5"/>
  <c r="H40" i="5"/>
  <c r="U40" i="5"/>
  <c r="P40" i="5"/>
  <c r="Q40" i="5"/>
  <c r="J40" i="5"/>
  <c r="G40" i="5"/>
  <c r="M40" i="5"/>
  <c r="M21" i="5"/>
  <c r="M31" i="5"/>
  <c r="M37" i="5"/>
  <c r="S29" i="5"/>
  <c r="H33" i="5"/>
  <c r="P33" i="5"/>
  <c r="N20" i="5"/>
  <c r="G24" i="5"/>
  <c r="T23" i="5"/>
  <c r="O37" i="5"/>
  <c r="P20" i="5"/>
  <c r="O21" i="5"/>
  <c r="I24" i="5"/>
  <c r="S38" i="5"/>
  <c r="G33" i="5"/>
  <c r="G37" i="5"/>
  <c r="J34" i="5"/>
  <c r="L23" i="5"/>
  <c r="U25" i="5"/>
  <c r="S25" i="5"/>
  <c r="J38" i="5"/>
  <c r="Q33" i="5"/>
  <c r="U32" i="5"/>
  <c r="P39" i="5"/>
  <c r="O30" i="5"/>
  <c r="P23" i="5"/>
  <c r="J25" i="5"/>
  <c r="J19" i="5"/>
  <c r="Q37" i="5"/>
  <c r="O26" i="5"/>
  <c r="I20" i="5"/>
  <c r="K33" i="5"/>
  <c r="G20" i="5"/>
  <c r="U21" i="5"/>
  <c r="K24" i="5"/>
  <c r="U39" i="5"/>
  <c r="H38" i="5"/>
  <c r="H23" i="5"/>
  <c r="H21" i="5"/>
  <c r="N32" i="5"/>
  <c r="I28" i="5"/>
  <c r="R36" i="5"/>
  <c r="T30" i="5"/>
  <c r="I37" i="5"/>
  <c r="H34" i="5"/>
  <c r="N24" i="5"/>
  <c r="J21" i="5"/>
  <c r="S31" i="5"/>
  <c r="P38" i="5"/>
  <c r="T28" i="5"/>
  <c r="T36" i="5"/>
  <c r="N28" i="5"/>
  <c r="K34" i="5"/>
  <c r="U22" i="5"/>
  <c r="CJ6" i="5"/>
  <c r="CJ15" i="5" s="1"/>
  <c r="G36" i="5"/>
  <c r="CC6" i="5"/>
  <c r="CC15" i="5" s="1"/>
  <c r="N22" i="5"/>
  <c r="U31" i="5"/>
  <c r="U20" i="5"/>
  <c r="H37" i="5"/>
  <c r="L29" i="5"/>
  <c r="K37" i="5"/>
  <c r="CH7" i="5"/>
  <c r="CH16" i="5" s="1"/>
  <c r="S27" i="5"/>
  <c r="L31" i="5"/>
  <c r="N23" i="5"/>
  <c r="J31" i="5"/>
  <c r="J32" i="5"/>
  <c r="S33" i="5"/>
  <c r="Q36" i="5"/>
  <c r="U34" i="5"/>
  <c r="T26" i="5"/>
  <c r="O35" i="5"/>
  <c r="CD8" i="5"/>
  <c r="CD17" i="5" s="1"/>
  <c r="U27" i="5"/>
  <c r="CJ7" i="5"/>
  <c r="CJ16" i="5" s="1"/>
  <c r="K31" i="5"/>
  <c r="BV6" i="5"/>
  <c r="BV15" i="5" s="1"/>
  <c r="G22" i="5"/>
  <c r="U24" i="5"/>
  <c r="G32" i="5"/>
  <c r="U30" i="5"/>
  <c r="S37" i="5"/>
  <c r="K23" i="5"/>
  <c r="G34" i="5"/>
  <c r="N19" i="5"/>
  <c r="R35" i="5"/>
  <c r="CG8" i="5"/>
  <c r="CG17" i="5" s="1"/>
  <c r="H26" i="5"/>
  <c r="BY5" i="5"/>
  <c r="BY14" i="5" s="1"/>
  <c r="J18" i="5"/>
  <c r="CH8" i="5"/>
  <c r="CH17" i="5" s="1"/>
  <c r="S35" i="5"/>
  <c r="U36" i="5"/>
  <c r="H39" i="5"/>
  <c r="I27" i="5"/>
  <c r="BX7" i="5"/>
  <c r="BX16" i="5" s="1"/>
  <c r="Q22" i="5"/>
  <c r="CF6" i="5"/>
  <c r="CF15" i="5" s="1"/>
  <c r="I33" i="5"/>
  <c r="BW6" i="5"/>
  <c r="BW15" i="5" s="1"/>
  <c r="H22" i="5"/>
  <c r="I31" i="5"/>
  <c r="H29" i="5"/>
  <c r="O24" i="5"/>
  <c r="T21" i="5"/>
  <c r="I38" i="5"/>
  <c r="K27" i="5"/>
  <c r="BZ7" i="5"/>
  <c r="BZ16" i="5" s="1"/>
  <c r="N30" i="5"/>
  <c r="K26" i="5"/>
  <c r="R24" i="5"/>
  <c r="U28" i="5"/>
  <c r="R38" i="5"/>
  <c r="R28" i="5"/>
  <c r="R37" i="5"/>
  <c r="U33" i="5"/>
  <c r="U19" i="5"/>
  <c r="T24" i="5"/>
  <c r="J39" i="5"/>
  <c r="N21" i="5"/>
  <c r="L39" i="5"/>
  <c r="H19" i="5"/>
  <c r="Q35" i="5"/>
  <c r="CF8" i="5"/>
  <c r="CF17" i="5" s="1"/>
  <c r="S22" i="5"/>
  <c r="CH6" i="5"/>
  <c r="CH15" i="5" s="1"/>
  <c r="Q39" i="5"/>
  <c r="CI7" i="5"/>
  <c r="CI16" i="5" s="1"/>
  <c r="T27" i="5"/>
  <c r="K38" i="5"/>
  <c r="S26" i="5"/>
  <c r="L33" i="5"/>
  <c r="CC7" i="5"/>
  <c r="CC16" i="5" s="1"/>
  <c r="N27" i="5"/>
  <c r="P37" i="5"/>
  <c r="BY8" i="5"/>
  <c r="BY17" i="5" s="1"/>
  <c r="J35" i="5"/>
  <c r="M18" i="5"/>
  <c r="CB5" i="5"/>
  <c r="CB14" i="5" s="1"/>
  <c r="N38" i="5"/>
  <c r="M20" i="5"/>
  <c r="J26" i="5"/>
  <c r="CH5" i="5"/>
  <c r="CH14" i="5" s="1"/>
  <c r="S18" i="5"/>
  <c r="P24" i="5"/>
  <c r="R23" i="5"/>
  <c r="S19" i="5"/>
  <c r="K25" i="5"/>
  <c r="I36" i="5"/>
  <c r="M29" i="5"/>
  <c r="H24" i="5"/>
  <c r="BX6" i="5"/>
  <c r="BX15" i="5" s="1"/>
  <c r="I22" i="5"/>
  <c r="J37" i="5"/>
  <c r="P21" i="5"/>
  <c r="L34" i="5"/>
  <c r="K20" i="5"/>
  <c r="G39" i="5"/>
  <c r="T32" i="5"/>
  <c r="S36" i="5"/>
  <c r="O19" i="5"/>
  <c r="L25" i="5"/>
  <c r="R33" i="5"/>
  <c r="J20" i="5"/>
  <c r="BY7" i="5"/>
  <c r="BY16" i="5" s="1"/>
  <c r="J27" i="5"/>
  <c r="BW5" i="5"/>
  <c r="BW14" i="5" s="1"/>
  <c r="H18" i="5"/>
  <c r="M34" i="5"/>
  <c r="H20" i="5"/>
  <c r="I30" i="5"/>
  <c r="U26" i="5"/>
  <c r="Q20" i="5"/>
  <c r="K39" i="5"/>
  <c r="CG5" i="5"/>
  <c r="CG14" i="5" s="1"/>
  <c r="R18" i="5"/>
  <c r="U38" i="5"/>
  <c r="Q23" i="5"/>
  <c r="P34" i="5"/>
  <c r="Q32" i="5"/>
  <c r="P31" i="5"/>
  <c r="CF7" i="5"/>
  <c r="CF16" i="5" s="1"/>
  <c r="Q27" i="5"/>
  <c r="L36" i="5"/>
  <c r="J24" i="5"/>
  <c r="G19" i="5"/>
  <c r="I18" i="5"/>
  <c r="BX5" i="5"/>
  <c r="BX14" i="5" s="1"/>
  <c r="CA7" i="5"/>
  <c r="CA16" i="5" s="1"/>
  <c r="L27" i="5"/>
  <c r="I32" i="5"/>
  <c r="R32" i="5"/>
  <c r="N26" i="5"/>
  <c r="J23" i="5"/>
  <c r="R30" i="5"/>
  <c r="H25" i="5"/>
  <c r="K21" i="5"/>
  <c r="P30" i="5"/>
  <c r="BV8" i="5"/>
  <c r="BV17" i="5" s="1"/>
  <c r="G35" i="5"/>
  <c r="P26" i="5"/>
  <c r="T34" i="5"/>
  <c r="P18" i="5"/>
  <c r="CE5" i="5"/>
  <c r="CE14" i="5" s="1"/>
  <c r="T25" i="5"/>
  <c r="P28" i="5"/>
  <c r="M22" i="5"/>
  <c r="CB6" i="5"/>
  <c r="CB15" i="5" s="1"/>
  <c r="O36" i="5"/>
  <c r="H31" i="5"/>
  <c r="K36" i="5"/>
  <c r="P22" i="5"/>
  <c r="CE6" i="5"/>
  <c r="CE15" i="5" s="1"/>
  <c r="M39" i="5"/>
  <c r="M27" i="5"/>
  <c r="CB7" i="5"/>
  <c r="CB16" i="5" s="1"/>
  <c r="J33" i="5"/>
  <c r="M32" i="5"/>
  <c r="N37" i="5"/>
  <c r="K29" i="5"/>
  <c r="I25" i="5"/>
  <c r="P35" i="5"/>
  <c r="CE8" i="5"/>
  <c r="CE17" i="5" s="1"/>
  <c r="K19" i="5"/>
  <c r="CD7" i="5"/>
  <c r="CD16" i="5" s="1"/>
  <c r="O27" i="5"/>
  <c r="K30" i="5"/>
  <c r="O22" i="5"/>
  <c r="CD6" i="5"/>
  <c r="CD15" i="5" s="1"/>
  <c r="O34" i="5"/>
  <c r="H32" i="5"/>
  <c r="T19" i="5"/>
  <c r="P32" i="5"/>
  <c r="N29" i="5"/>
  <c r="H30" i="5"/>
  <c r="J30" i="5"/>
  <c r="L35" i="5"/>
  <c r="CA8" i="5"/>
  <c r="CA17" i="5" s="1"/>
  <c r="M19" i="5"/>
  <c r="T37" i="5"/>
  <c r="G26" i="5"/>
  <c r="M36" i="5"/>
  <c r="K18" i="5"/>
  <c r="BZ5" i="5"/>
  <c r="BZ14" i="5" s="1"/>
  <c r="Q29" i="5"/>
  <c r="R34" i="5"/>
  <c r="L37" i="5"/>
  <c r="Q21" i="5"/>
  <c r="BX8" i="5"/>
  <c r="BX17" i="5" s="1"/>
  <c r="I35" i="5"/>
  <c r="L18" i="5"/>
  <c r="CA5" i="5"/>
  <c r="CA14" i="5" s="1"/>
  <c r="Q38" i="5"/>
  <c r="L20" i="5"/>
  <c r="N18" i="5"/>
  <c r="CC5" i="5"/>
  <c r="CC14" i="5" s="1"/>
  <c r="BW8" i="5"/>
  <c r="BW17" i="5" s="1"/>
  <c r="H35" i="5"/>
  <c r="S32" i="5"/>
  <c r="N39" i="5"/>
  <c r="M23" i="5"/>
  <c r="M25" i="5"/>
  <c r="K22" i="5"/>
  <c r="BZ6" i="5"/>
  <c r="BZ15" i="5" s="1"/>
  <c r="T20" i="5"/>
  <c r="N34" i="5"/>
  <c r="P19" i="5"/>
  <c r="O38" i="5"/>
  <c r="M28" i="5"/>
  <c r="G30" i="5"/>
  <c r="I34" i="5"/>
  <c r="L22" i="5"/>
  <c r="CA6" i="5"/>
  <c r="CA15" i="5" s="1"/>
  <c r="O28" i="5"/>
  <c r="P27" i="5"/>
  <c r="CE7" i="5"/>
  <c r="CE16" i="5" s="1"/>
  <c r="M26" i="5"/>
  <c r="G23" i="5"/>
  <c r="O39" i="5"/>
  <c r="BW7" i="5"/>
  <c r="BW16" i="5" s="1"/>
  <c r="H27" i="5"/>
  <c r="P36" i="5"/>
  <c r="J22" i="5"/>
  <c r="BY6" i="5"/>
  <c r="BY15" i="5" s="1"/>
  <c r="U37" i="5"/>
  <c r="R19" i="5"/>
  <c r="L30" i="5"/>
  <c r="R29" i="5"/>
  <c r="H28" i="5"/>
  <c r="S30" i="5"/>
  <c r="O25" i="5"/>
  <c r="Q19" i="5"/>
  <c r="O32" i="5"/>
  <c r="S24" i="5"/>
  <c r="U29" i="5"/>
  <c r="J28" i="5"/>
  <c r="T33" i="5"/>
  <c r="Q28" i="5"/>
  <c r="T38" i="5"/>
  <c r="R21" i="5"/>
  <c r="L24" i="5"/>
  <c r="K32" i="5"/>
  <c r="M33" i="5"/>
  <c r="G28" i="5"/>
  <c r="Q34" i="5"/>
  <c r="P29" i="5"/>
  <c r="R22" i="5"/>
  <c r="CG6" i="5"/>
  <c r="CG15" i="5" s="1"/>
  <c r="CI5" i="5"/>
  <c r="CI14" i="5" s="1"/>
  <c r="T18" i="5"/>
  <c r="R25" i="5"/>
  <c r="O23" i="5"/>
  <c r="CG7" i="5"/>
  <c r="CG16" i="5" s="1"/>
  <c r="R27" i="5"/>
  <c r="K28" i="5"/>
  <c r="G27" i="5"/>
  <c r="BV7" i="5"/>
  <c r="BV16" i="5" s="1"/>
  <c r="G21" i="5"/>
  <c r="I21" i="5"/>
  <c r="R31" i="5"/>
  <c r="G31" i="5"/>
  <c r="Q18" i="5"/>
  <c r="CF5" i="5"/>
  <c r="CF14" i="5" s="1"/>
  <c r="T22" i="5"/>
  <c r="CI6" i="5"/>
  <c r="CI15" i="5" s="1"/>
  <c r="N31" i="5"/>
  <c r="O20" i="5"/>
  <c r="G25" i="5"/>
  <c r="Q26" i="5"/>
  <c r="CJ8" i="5"/>
  <c r="CJ17" i="5" s="1"/>
  <c r="U35" i="5"/>
  <c r="S39" i="5"/>
  <c r="L19" i="5"/>
  <c r="Q24" i="5"/>
  <c r="L28" i="5"/>
  <c r="BZ8" i="5"/>
  <c r="BZ17" i="5" s="1"/>
  <c r="K35" i="5"/>
  <c r="I23" i="5"/>
  <c r="T39" i="5"/>
  <c r="R20" i="5"/>
  <c r="Q30" i="5"/>
  <c r="S20" i="5"/>
  <c r="G38" i="5"/>
  <c r="L38" i="5"/>
  <c r="N33" i="5"/>
  <c r="U23" i="5"/>
  <c r="N25" i="5"/>
  <c r="S21" i="5"/>
  <c r="CI8" i="5"/>
  <c r="CI17" i="5" s="1"/>
  <c r="T35" i="5"/>
  <c r="BV5" i="5"/>
  <c r="BV14" i="5" s="1"/>
  <c r="G18" i="5"/>
  <c r="CJ5" i="5"/>
  <c r="CJ14" i="5" s="1"/>
  <c r="U18" i="5"/>
  <c r="L26" i="5"/>
  <c r="J36" i="5"/>
  <c r="I29" i="5"/>
  <c r="Q31" i="5"/>
  <c r="G29" i="5"/>
  <c r="P25" i="5"/>
  <c r="R26" i="5"/>
  <c r="N36" i="5"/>
  <c r="O33" i="5"/>
  <c r="T31" i="5"/>
  <c r="O31" i="5"/>
  <c r="O29" i="5"/>
  <c r="M35" i="5"/>
  <c r="CB8" i="5"/>
  <c r="CB17" i="5" s="1"/>
  <c r="I39" i="5"/>
  <c r="I19" i="5"/>
  <c r="J29" i="5"/>
  <c r="Q25" i="5"/>
  <c r="O18" i="5"/>
  <c r="CD5" i="5"/>
  <c r="CD14" i="5" s="1"/>
  <c r="H36" i="5"/>
  <c r="S28" i="5"/>
  <c r="S34" i="5"/>
  <c r="L32" i="5"/>
  <c r="M38" i="5"/>
  <c r="T29" i="5"/>
  <c r="M30" i="5"/>
  <c r="N35" i="5"/>
  <c r="CC8" i="5"/>
  <c r="CC17" i="5" s="1"/>
  <c r="S23" i="5"/>
  <c r="M24" i="5"/>
  <c r="I26" i="5"/>
  <c r="R39" i="5"/>
  <c r="F88" i="3"/>
  <c r="B88" i="3" s="1"/>
  <c r="B87" i="3"/>
  <c r="CP84" i="3" s="1"/>
  <c r="BK84" i="3" s="1"/>
  <c r="CO85" i="3" l="1"/>
  <c r="BJ85" i="3" s="1"/>
  <c r="CJ86" i="3"/>
  <c r="BE86" i="3" s="1"/>
  <c r="CO84" i="3"/>
  <c r="BJ84" i="3" s="1"/>
  <c r="CL86" i="3"/>
  <c r="BG86" i="3" s="1"/>
  <c r="CL72" i="3"/>
  <c r="BG72" i="3" s="1"/>
  <c r="CO72" i="3"/>
  <c r="BJ72" i="3" s="1"/>
  <c r="CP72" i="3"/>
  <c r="BK72" i="3" s="1"/>
  <c r="CJ85" i="3"/>
  <c r="BE85" i="3" s="1"/>
  <c r="CU86" i="3"/>
  <c r="BP86" i="3" s="1"/>
  <c r="CQ87" i="3"/>
  <c r="BL87" i="3" s="1"/>
  <c r="CP87" i="3"/>
  <c r="BK87" i="3" s="1"/>
  <c r="CR87" i="3"/>
  <c r="BM87" i="3" s="1"/>
  <c r="CK87" i="3"/>
  <c r="BF87" i="3" s="1"/>
  <c r="CO87" i="3"/>
  <c r="BJ87" i="3" s="1"/>
  <c r="CN87" i="3"/>
  <c r="BI87" i="3" s="1"/>
  <c r="CM87" i="3"/>
  <c r="BH87" i="3" s="1"/>
  <c r="CV87" i="3"/>
  <c r="BQ87" i="3" s="1"/>
  <c r="CS87" i="3"/>
  <c r="BN87" i="3" s="1"/>
  <c r="CT87" i="3"/>
  <c r="BO87" i="3" s="1"/>
  <c r="CU87" i="3"/>
  <c r="BP87" i="3" s="1"/>
  <c r="CL87" i="3"/>
  <c r="BG87" i="3" s="1"/>
  <c r="CJ87" i="3"/>
  <c r="BE87" i="3" s="1"/>
  <c r="CJ84" i="3"/>
  <c r="BE84" i="3" s="1"/>
  <c r="CN85" i="3"/>
  <c r="BI85" i="3" s="1"/>
  <c r="CT86" i="3"/>
  <c r="BO86" i="3" s="1"/>
  <c r="CL84" i="3"/>
  <c r="BG84" i="3" s="1"/>
  <c r="CJ41" i="3"/>
  <c r="BE41" i="3" s="1"/>
  <c r="Z9" i="12" a="1"/>
  <c r="Z9" i="12" s="1"/>
  <c r="CM41" i="3"/>
  <c r="BH41" i="3" s="1"/>
  <c r="CV30" i="3"/>
  <c r="BQ30" i="3" s="1"/>
  <c r="CP28" i="3"/>
  <c r="BK28" i="3" s="1"/>
  <c r="CR54" i="3"/>
  <c r="BM54" i="3" s="1"/>
  <c r="Y9" i="12" a="1"/>
  <c r="Y9" i="12" s="1"/>
  <c r="CO44" i="3"/>
  <c r="BJ44" i="3" s="1"/>
  <c r="CR93" i="3"/>
  <c r="BM93" i="3" s="1"/>
  <c r="CT45" i="3"/>
  <c r="BO45" i="3" s="1"/>
  <c r="CV15" i="3"/>
  <c r="BQ15" i="3" s="1"/>
  <c r="CT22" i="3"/>
  <c r="BO22" i="3" s="1"/>
  <c r="U9" i="12" a="1"/>
  <c r="U9" i="12" s="1"/>
  <c r="X9" i="12" a="1"/>
  <c r="X9" i="12" s="1"/>
  <c r="AE9" i="11" a="1"/>
  <c r="AE9" i="11" s="1"/>
  <c r="AA9" i="11" a="1"/>
  <c r="AA9" i="11" s="1"/>
  <c r="CK92" i="3"/>
  <c r="BF92" i="3" s="1"/>
  <c r="CJ47" i="3"/>
  <c r="BE47" i="3" s="1"/>
  <c r="CO24" i="3"/>
  <c r="BJ24" i="3" s="1"/>
  <c r="CT60" i="3"/>
  <c r="BO60" i="3" s="1"/>
  <c r="W9" i="11" a="1"/>
  <c r="W9" i="11" s="1"/>
  <c r="AD9" i="12" a="1"/>
  <c r="AD9" i="12" s="1"/>
  <c r="CL99" i="3"/>
  <c r="BG99" i="3" s="1"/>
  <c r="CN16" i="3"/>
  <c r="BI16" i="3" s="1"/>
  <c r="V9" i="12" a="1"/>
  <c r="V9" i="12" s="1"/>
  <c r="CO14" i="3"/>
  <c r="BJ14" i="3" s="1"/>
  <c r="AF9" i="12" a="1"/>
  <c r="AF9" i="12" s="1"/>
  <c r="CO15" i="3"/>
  <c r="BJ15" i="3" s="1"/>
  <c r="CP31" i="3"/>
  <c r="BK31" i="3" s="1"/>
  <c r="CU29" i="3"/>
  <c r="BP29" i="3" s="1"/>
  <c r="CR58" i="3"/>
  <c r="BM58" i="3" s="1"/>
  <c r="CP13" i="3"/>
  <c r="BK13" i="3" s="1"/>
  <c r="CS29" i="3"/>
  <c r="BN29" i="3" s="1"/>
  <c r="AF9" i="11" a="1"/>
  <c r="AF9" i="11" s="1"/>
  <c r="CQ29" i="3"/>
  <c r="BL29" i="3" s="1"/>
  <c r="CN29" i="3"/>
  <c r="BI29" i="3" s="1"/>
  <c r="U9" i="11" a="1"/>
  <c r="U9" i="11" s="1"/>
  <c r="AG9" i="12" a="1"/>
  <c r="AG9" i="12" s="1"/>
  <c r="CO91" i="3"/>
  <c r="BJ91" i="3" s="1"/>
  <c r="CU97" i="3"/>
  <c r="BP97" i="3" s="1"/>
  <c r="CP96" i="3"/>
  <c r="BK96" i="3" s="1"/>
  <c r="CO58" i="3"/>
  <c r="BJ58" i="3" s="1"/>
  <c r="CN14" i="3"/>
  <c r="BI14" i="3" s="1"/>
  <c r="CR7" i="3"/>
  <c r="BM7" i="3" s="1"/>
  <c r="CL9" i="3"/>
  <c r="BG9" i="3" s="1"/>
  <c r="AC9" i="11" a="1"/>
  <c r="AC9" i="11" s="1"/>
  <c r="CL59" i="3"/>
  <c r="BG59" i="3" s="1"/>
  <c r="AB9" i="11" a="1"/>
  <c r="AB9" i="11" s="1"/>
  <c r="CV23" i="3"/>
  <c r="BQ23" i="3" s="1"/>
  <c r="CT98" i="3"/>
  <c r="BO98" i="3" s="1"/>
  <c r="CR57" i="3"/>
  <c r="BM57" i="3" s="1"/>
  <c r="CM8" i="3"/>
  <c r="BH8" i="3" s="1"/>
  <c r="X9" i="11" a="1"/>
  <c r="X9" i="11" s="1"/>
  <c r="CT58" i="3"/>
  <c r="BO58" i="3" s="1"/>
  <c r="CT29" i="3"/>
  <c r="BO29" i="3" s="1"/>
  <c r="AA9" i="12" a="1"/>
  <c r="AA9" i="12" s="1"/>
  <c r="CR10" i="3"/>
  <c r="BM10" i="3" s="1"/>
  <c r="AG9" i="11" a="1"/>
  <c r="AG9" i="11" s="1"/>
  <c r="CQ22" i="3"/>
  <c r="BL22" i="3" s="1"/>
  <c r="CQ90" i="3"/>
  <c r="BL90" i="3" s="1"/>
  <c r="W9" i="12" a="1"/>
  <c r="W9" i="12" s="1"/>
  <c r="V9" i="11" a="1"/>
  <c r="V9" i="11" s="1"/>
  <c r="CJ46" i="3"/>
  <c r="BE46" i="3" s="1"/>
  <c r="AD9" i="11" a="1"/>
  <c r="AD9" i="11" s="1"/>
  <c r="CM53" i="3"/>
  <c r="BH53" i="3" s="1"/>
  <c r="CQ25" i="3"/>
  <c r="BL25" i="3" s="1"/>
  <c r="AE9" i="12" a="1"/>
  <c r="AE9" i="12" s="1"/>
  <c r="Y9" i="11" a="1"/>
  <c r="Y9" i="11" s="1"/>
  <c r="CO98" i="3"/>
  <c r="BJ98" i="3" s="1"/>
  <c r="CT91" i="3"/>
  <c r="BO91" i="3" s="1"/>
  <c r="CN92" i="3"/>
  <c r="BI92" i="3" s="1"/>
  <c r="CU92" i="3"/>
  <c r="BP92" i="3" s="1"/>
  <c r="CM98" i="3"/>
  <c r="BH98" i="3" s="1"/>
  <c r="CU45" i="3"/>
  <c r="BP45" i="3" s="1"/>
  <c r="CL16" i="3"/>
  <c r="BG16" i="3" s="1"/>
  <c r="CR16" i="3"/>
  <c r="BM16" i="3" s="1"/>
  <c r="CL25" i="3"/>
  <c r="BG25" i="3" s="1"/>
  <c r="CM97" i="3"/>
  <c r="BH97" i="3" s="1"/>
  <c r="CN53" i="3"/>
  <c r="BI53" i="3" s="1"/>
  <c r="CQ30" i="3"/>
  <c r="BL30" i="3" s="1"/>
  <c r="CK9" i="3"/>
  <c r="BF9" i="3" s="1"/>
  <c r="CN59" i="3"/>
  <c r="BI59" i="3" s="1"/>
  <c r="CN45" i="3"/>
  <c r="BI45" i="3" s="1"/>
  <c r="CU99" i="3"/>
  <c r="BP99" i="3" s="1"/>
  <c r="CT47" i="3"/>
  <c r="BO47" i="3" s="1"/>
  <c r="CS96" i="3"/>
  <c r="BN96" i="3" s="1"/>
  <c r="CU25" i="3"/>
  <c r="BP25" i="3" s="1"/>
  <c r="CU78" i="3"/>
  <c r="BP78" i="3" s="1"/>
  <c r="CV14" i="3"/>
  <c r="BQ14" i="3" s="1"/>
  <c r="CU10" i="3"/>
  <c r="BP10" i="3" s="1"/>
  <c r="CK58" i="3"/>
  <c r="BF58" i="3" s="1"/>
  <c r="CS92" i="3"/>
  <c r="BN92" i="3" s="1"/>
  <c r="CO8" i="3"/>
  <c r="BJ8" i="3" s="1"/>
  <c r="CT59" i="3"/>
  <c r="BO59" i="3" s="1"/>
  <c r="CT53" i="3"/>
  <c r="BO53" i="3" s="1"/>
  <c r="CS53" i="3"/>
  <c r="BN53" i="3" s="1"/>
  <c r="CP99" i="3"/>
  <c r="BK99" i="3" s="1"/>
  <c r="CQ15" i="3"/>
  <c r="BL15" i="3" s="1"/>
  <c r="CU54" i="3"/>
  <c r="BP54" i="3" s="1"/>
  <c r="CN54" i="3"/>
  <c r="BI54" i="3" s="1"/>
  <c r="CN60" i="3"/>
  <c r="BI60" i="3" s="1"/>
  <c r="CS98" i="3"/>
  <c r="BN98" i="3" s="1"/>
  <c r="CT57" i="3"/>
  <c r="BO57" i="3" s="1"/>
  <c r="CO90" i="3"/>
  <c r="BJ90" i="3" s="1"/>
  <c r="CN13" i="3"/>
  <c r="BI13" i="3" s="1"/>
  <c r="CP8" i="3"/>
  <c r="BK8" i="3" s="1"/>
  <c r="CO63" i="3"/>
  <c r="BJ63" i="3" s="1"/>
  <c r="CS10" i="3"/>
  <c r="BN10" i="3" s="1"/>
  <c r="CU93" i="3"/>
  <c r="BP93" i="3" s="1"/>
  <c r="CT15" i="3"/>
  <c r="BO15" i="3" s="1"/>
  <c r="CL28" i="3"/>
  <c r="BG28" i="3" s="1"/>
  <c r="CL92" i="3"/>
  <c r="BG92" i="3" s="1"/>
  <c r="CS93" i="3"/>
  <c r="BN93" i="3" s="1"/>
  <c r="CS78" i="3"/>
  <c r="BN78" i="3" s="1"/>
  <c r="CS99" i="3"/>
  <c r="BN99" i="3" s="1"/>
  <c r="CU16" i="3"/>
  <c r="BP16" i="3" s="1"/>
  <c r="CP53" i="3"/>
  <c r="BK53" i="3" s="1"/>
  <c r="CK99" i="3"/>
  <c r="BF99" i="3" s="1"/>
  <c r="CN24" i="3"/>
  <c r="BI24" i="3" s="1"/>
  <c r="CP15" i="3"/>
  <c r="BK15" i="3" s="1"/>
  <c r="CU41" i="3"/>
  <c r="BP41" i="3" s="1"/>
  <c r="CJ98" i="3"/>
  <c r="BE98" i="3" s="1"/>
  <c r="CO16" i="3"/>
  <c r="BJ16" i="3" s="1"/>
  <c r="CS90" i="3"/>
  <c r="BN90" i="3" s="1"/>
  <c r="CN30" i="3"/>
  <c r="BI30" i="3" s="1"/>
  <c r="CQ54" i="3"/>
  <c r="BL54" i="3" s="1"/>
  <c r="CO54" i="3"/>
  <c r="BJ54" i="3" s="1"/>
  <c r="CV28" i="3"/>
  <c r="BQ28" i="3" s="1"/>
  <c r="CM44" i="3"/>
  <c r="BH44" i="3" s="1"/>
  <c r="CK93" i="3"/>
  <c r="BF93" i="3" s="1"/>
  <c r="CR9" i="3"/>
  <c r="BM9" i="3" s="1"/>
  <c r="CL8" i="3"/>
  <c r="BG8" i="3" s="1"/>
  <c r="CR99" i="3"/>
  <c r="BM99" i="3" s="1"/>
  <c r="CN23" i="3"/>
  <c r="BI23" i="3" s="1"/>
  <c r="CM30" i="3"/>
  <c r="BH30" i="3" s="1"/>
  <c r="CT93" i="3"/>
  <c r="BO93" i="3" s="1"/>
  <c r="CV22" i="3"/>
  <c r="BQ22" i="3" s="1"/>
  <c r="CO45" i="3"/>
  <c r="BJ45" i="3" s="1"/>
  <c r="CN44" i="3"/>
  <c r="BI44" i="3" s="1"/>
  <c r="CJ45" i="3"/>
  <c r="BE45" i="3" s="1"/>
  <c r="CP24" i="3"/>
  <c r="BK24" i="3" s="1"/>
  <c r="CR46" i="3"/>
  <c r="BM46" i="3" s="1"/>
  <c r="CU15" i="3"/>
  <c r="BP15" i="3" s="1"/>
  <c r="CR14" i="3"/>
  <c r="BM14" i="3" s="1"/>
  <c r="CL78" i="3"/>
  <c r="BG78" i="3" s="1"/>
  <c r="CS59" i="3"/>
  <c r="BN59" i="3" s="1"/>
  <c r="CJ91" i="3"/>
  <c r="BE91" i="3" s="1"/>
  <c r="CM13" i="3"/>
  <c r="BH13" i="3" s="1"/>
  <c r="CQ99" i="3"/>
  <c r="BL99" i="3" s="1"/>
  <c r="CL24" i="3"/>
  <c r="BG24" i="3" s="1"/>
  <c r="CU57" i="3"/>
  <c r="BP57" i="3" s="1"/>
  <c r="CV90" i="3"/>
  <c r="BQ90" i="3" s="1"/>
  <c r="CL41" i="3"/>
  <c r="BG41" i="3" s="1"/>
  <c r="CO59" i="3"/>
  <c r="BJ59" i="3" s="1"/>
  <c r="CP57" i="3"/>
  <c r="BK57" i="3" s="1"/>
  <c r="CQ53" i="3"/>
  <c r="BL53" i="3" s="1"/>
  <c r="CL97" i="3"/>
  <c r="BG97" i="3" s="1"/>
  <c r="CK63" i="3"/>
  <c r="BF63" i="3" s="1"/>
  <c r="CJ60" i="3"/>
  <c r="BE60" i="3" s="1"/>
  <c r="CR28" i="3"/>
  <c r="BM28" i="3" s="1"/>
  <c r="CU13" i="3"/>
  <c r="BP13" i="3" s="1"/>
  <c r="CS58" i="3"/>
  <c r="BN58" i="3" s="1"/>
  <c r="CK14" i="3"/>
  <c r="BF14" i="3" s="1"/>
  <c r="CQ58" i="3"/>
  <c r="BL58" i="3" s="1"/>
  <c r="CR41" i="3"/>
  <c r="BM41" i="3" s="1"/>
  <c r="CJ16" i="3"/>
  <c r="BE16" i="3" s="1"/>
  <c r="CP78" i="3"/>
  <c r="BK78" i="3" s="1"/>
  <c r="CO10" i="3"/>
  <c r="BJ10" i="3" s="1"/>
  <c r="CR47" i="3"/>
  <c r="BM47" i="3" s="1"/>
  <c r="Z9" i="11" a="1"/>
  <c r="Z9" i="11" s="1"/>
  <c r="CT46" i="3"/>
  <c r="BO46" i="3" s="1"/>
  <c r="CK91" i="3"/>
  <c r="BF91" i="3" s="1"/>
  <c r="CK16" i="3"/>
  <c r="BF16" i="3" s="1"/>
  <c r="CJ7" i="3"/>
  <c r="BE7" i="3" s="1"/>
  <c r="CV57" i="3"/>
  <c r="BQ57" i="3" s="1"/>
  <c r="CS15" i="3"/>
  <c r="BN15" i="3" s="1"/>
  <c r="CP9" i="3"/>
  <c r="BK9" i="3" s="1"/>
  <c r="CK31" i="3"/>
  <c r="BF31" i="3" s="1"/>
  <c r="CQ45" i="3"/>
  <c r="BL45" i="3" s="1"/>
  <c r="CT25" i="3"/>
  <c r="BO25" i="3" s="1"/>
  <c r="CK98" i="3"/>
  <c r="BF98" i="3" s="1"/>
  <c r="CJ24" i="3"/>
  <c r="BE24" i="3" s="1"/>
  <c r="CU58" i="3"/>
  <c r="BP58" i="3" s="1"/>
  <c r="CK59" i="3"/>
  <c r="BF59" i="3" s="1"/>
  <c r="CL54" i="3"/>
  <c r="BG54" i="3" s="1"/>
  <c r="CS63" i="3"/>
  <c r="BN63" i="3" s="1"/>
  <c r="CN46" i="3"/>
  <c r="BI46" i="3" s="1"/>
  <c r="CL63" i="3"/>
  <c r="BG63" i="3" s="1"/>
  <c r="CK47" i="3"/>
  <c r="BF47" i="3" s="1"/>
  <c r="CN90" i="3"/>
  <c r="BI90" i="3" s="1"/>
  <c r="CO57" i="3"/>
  <c r="BJ57" i="3" s="1"/>
  <c r="CJ22" i="3"/>
  <c r="BE22" i="3" s="1"/>
  <c r="CJ63" i="3"/>
  <c r="BE63" i="3" s="1"/>
  <c r="CN9" i="3"/>
  <c r="BI9" i="3" s="1"/>
  <c r="CQ31" i="3"/>
  <c r="BL31" i="3" s="1"/>
  <c r="CP97" i="3"/>
  <c r="BK97" i="3" s="1"/>
  <c r="CP58" i="3"/>
  <c r="BK58" i="3" s="1"/>
  <c r="CQ59" i="3"/>
  <c r="BL59" i="3" s="1"/>
  <c r="CL93" i="3"/>
  <c r="BG93" i="3" s="1"/>
  <c r="CO60" i="3"/>
  <c r="BJ60" i="3" s="1"/>
  <c r="CM91" i="3"/>
  <c r="BH91" i="3" s="1"/>
  <c r="CV24" i="3"/>
  <c r="BQ24" i="3" s="1"/>
  <c r="CR30" i="3"/>
  <c r="BM30" i="3" s="1"/>
  <c r="CK57" i="3"/>
  <c r="BF57" i="3" s="1"/>
  <c r="CK78" i="3"/>
  <c r="BF78" i="3" s="1"/>
  <c r="CQ28" i="3"/>
  <c r="BL28" i="3" s="1"/>
  <c r="CV29" i="3"/>
  <c r="BQ29" i="3" s="1"/>
  <c r="CJ23" i="3"/>
  <c r="BE23" i="3" s="1"/>
  <c r="CS31" i="3"/>
  <c r="BN31" i="3" s="1"/>
  <c r="CM90" i="3"/>
  <c r="BH90" i="3" s="1"/>
  <c r="CN91" i="3"/>
  <c r="BI91" i="3" s="1"/>
  <c r="CR90" i="3"/>
  <c r="BM90" i="3" s="1"/>
  <c r="CM23" i="3"/>
  <c r="BH23" i="3" s="1"/>
  <c r="CM93" i="3"/>
  <c r="BH93" i="3" s="1"/>
  <c r="CU9" i="3"/>
  <c r="BP9" i="3" s="1"/>
  <c r="CV31" i="3"/>
  <c r="BQ31" i="3" s="1"/>
  <c r="CM9" i="3"/>
  <c r="BH9" i="3" s="1"/>
  <c r="CV47" i="3"/>
  <c r="BQ47" i="3" s="1"/>
  <c r="CN15" i="3"/>
  <c r="BI15" i="3" s="1"/>
  <c r="CL10" i="3"/>
  <c r="BG10" i="3" s="1"/>
  <c r="CJ53" i="3"/>
  <c r="BE53" i="3" s="1"/>
  <c r="CN10" i="3"/>
  <c r="BI10" i="3" s="1"/>
  <c r="CM78" i="3"/>
  <c r="BH78" i="3" s="1"/>
  <c r="CO47" i="3"/>
  <c r="BJ47" i="3" s="1"/>
  <c r="CJ30" i="3"/>
  <c r="BE30" i="3" s="1"/>
  <c r="CQ96" i="3"/>
  <c r="BL96" i="3" s="1"/>
  <c r="CT92" i="3"/>
  <c r="BO92" i="3" s="1"/>
  <c r="CL23" i="3"/>
  <c r="BG23" i="3" s="1"/>
  <c r="CS91" i="3"/>
  <c r="BN91" i="3" s="1"/>
  <c r="CO29" i="3"/>
  <c r="BJ29" i="3" s="1"/>
  <c r="CK97" i="3"/>
  <c r="BF97" i="3" s="1"/>
  <c r="CU14" i="3"/>
  <c r="BP14" i="3" s="1"/>
  <c r="CT8" i="3"/>
  <c r="BO8" i="3" s="1"/>
  <c r="CL57" i="3"/>
  <c r="BG57" i="3" s="1"/>
  <c r="CN93" i="3"/>
  <c r="BI93" i="3" s="1"/>
  <c r="CL90" i="3"/>
  <c r="BG90" i="3" s="1"/>
  <c r="CM47" i="3"/>
  <c r="BH47" i="3" s="1"/>
  <c r="CS16" i="3"/>
  <c r="BN16" i="3" s="1"/>
  <c r="CT97" i="3"/>
  <c r="BO97" i="3" s="1"/>
  <c r="CK7" i="3"/>
  <c r="BF7" i="3" s="1"/>
  <c r="CJ99" i="3"/>
  <c r="BE99" i="3" s="1"/>
  <c r="CP41" i="3"/>
  <c r="BK41" i="3" s="1"/>
  <c r="CM22" i="3"/>
  <c r="BH22" i="3" s="1"/>
  <c r="CL53" i="3"/>
  <c r="BG53" i="3" s="1"/>
  <c r="CT44" i="3"/>
  <c r="BO44" i="3" s="1"/>
  <c r="CV97" i="3"/>
  <c r="BQ97" i="3" s="1"/>
  <c r="CR31" i="3"/>
  <c r="BM31" i="3" s="1"/>
  <c r="CS9" i="3"/>
  <c r="BN9" i="3" s="1"/>
  <c r="CP91" i="3"/>
  <c r="BK91" i="3" s="1"/>
  <c r="CR91" i="3"/>
  <c r="BM91" i="3" s="1"/>
  <c r="CV46" i="3"/>
  <c r="BQ46" i="3" s="1"/>
  <c r="CV91" i="3"/>
  <c r="BQ91" i="3" s="1"/>
  <c r="CT30" i="3"/>
  <c r="BO30" i="3" s="1"/>
  <c r="CL91" i="3"/>
  <c r="BG91" i="3" s="1"/>
  <c r="CM29" i="3"/>
  <c r="BH29" i="3" s="1"/>
  <c r="CR60" i="3"/>
  <c r="BM60" i="3" s="1"/>
  <c r="CJ96" i="3"/>
  <c r="BE96" i="3" s="1"/>
  <c r="CR29" i="3"/>
  <c r="BM29" i="3" s="1"/>
  <c r="CN58" i="3"/>
  <c r="BI58" i="3" s="1"/>
  <c r="CR92" i="3"/>
  <c r="BM92" i="3" s="1"/>
  <c r="CR22" i="3"/>
  <c r="BM22" i="3" s="1"/>
  <c r="CS14" i="3"/>
  <c r="BN14" i="3" s="1"/>
  <c r="CS30" i="3"/>
  <c r="BN30" i="3" s="1"/>
  <c r="CO9" i="3"/>
  <c r="BJ9" i="3" s="1"/>
  <c r="CU7" i="3"/>
  <c r="BP7" i="3" s="1"/>
  <c r="CP14" i="3"/>
  <c r="BK14" i="3" s="1"/>
  <c r="CP25" i="3"/>
  <c r="BK25" i="3" s="1"/>
  <c r="CQ57" i="3"/>
  <c r="BL57" i="3" s="1"/>
  <c r="CQ41" i="3"/>
  <c r="BL41" i="3" s="1"/>
  <c r="CJ93" i="3"/>
  <c r="BE93" i="3" s="1"/>
  <c r="CJ59" i="3"/>
  <c r="BE59" i="3" s="1"/>
  <c r="CP92" i="3"/>
  <c r="BK92" i="3" s="1"/>
  <c r="CK13" i="3"/>
  <c r="BF13" i="3" s="1"/>
  <c r="CQ14" i="3"/>
  <c r="BL14" i="3" s="1"/>
  <c r="CR53" i="3"/>
  <c r="BM53" i="3" s="1"/>
  <c r="CR13" i="3"/>
  <c r="BM13" i="3" s="1"/>
  <c r="CU98" i="3"/>
  <c r="BP98" i="3" s="1"/>
  <c r="CP98" i="3"/>
  <c r="BK98" i="3" s="1"/>
  <c r="CQ8" i="3"/>
  <c r="BL8" i="3" s="1"/>
  <c r="CP59" i="3"/>
  <c r="BK59" i="3" s="1"/>
  <c r="CR98" i="3"/>
  <c r="BM98" i="3" s="1"/>
  <c r="CN98" i="3"/>
  <c r="BI98" i="3" s="1"/>
  <c r="CS7" i="3"/>
  <c r="BN7" i="3" s="1"/>
  <c r="CV7" i="3"/>
  <c r="BQ7" i="3" s="1"/>
  <c r="CK15" i="3"/>
  <c r="BF15" i="3" s="1"/>
  <c r="CO97" i="3"/>
  <c r="BJ97" i="3" s="1"/>
  <c r="CQ92" i="3"/>
  <c r="BL92" i="3" s="1"/>
  <c r="CM24" i="3"/>
  <c r="BH24" i="3" s="1"/>
  <c r="CT9" i="3"/>
  <c r="BO9" i="3" s="1"/>
  <c r="CT7" i="3"/>
  <c r="BO7" i="3" s="1"/>
  <c r="CU96" i="3"/>
  <c r="BP96" i="3" s="1"/>
  <c r="CP90" i="3"/>
  <c r="BK90" i="3" s="1"/>
  <c r="CU28" i="3"/>
  <c r="BP28" i="3" s="1"/>
  <c r="CO22" i="3"/>
  <c r="BJ22" i="3" s="1"/>
  <c r="CJ29" i="3"/>
  <c r="BE29" i="3" s="1"/>
  <c r="CV58" i="3"/>
  <c r="BQ58" i="3" s="1"/>
  <c r="CJ25" i="3"/>
  <c r="BE25" i="3" s="1"/>
  <c r="CO46" i="3"/>
  <c r="BJ46" i="3" s="1"/>
  <c r="CJ58" i="3"/>
  <c r="BE58" i="3" s="1"/>
  <c r="CL29" i="3"/>
  <c r="BG29" i="3" s="1"/>
  <c r="CM16" i="3"/>
  <c r="BH16" i="3" s="1"/>
  <c r="CN78" i="3"/>
  <c r="BI78" i="3" s="1"/>
  <c r="CM96" i="3"/>
  <c r="BH96" i="3" s="1"/>
  <c r="CV92" i="3"/>
  <c r="BQ92" i="3" s="1"/>
  <c r="CT14" i="3"/>
  <c r="BO14" i="3" s="1"/>
  <c r="CK41" i="3"/>
  <c r="BF41" i="3" s="1"/>
  <c r="CM54" i="3"/>
  <c r="BH54" i="3" s="1"/>
  <c r="CK45" i="3"/>
  <c r="BF45" i="3" s="1"/>
  <c r="CN28" i="3"/>
  <c r="BI28" i="3" s="1"/>
  <c r="CS22" i="3"/>
  <c r="BN22" i="3" s="1"/>
  <c r="CM58" i="3"/>
  <c r="BH58" i="3" s="1"/>
  <c r="CV78" i="3"/>
  <c r="BQ78" i="3" s="1"/>
  <c r="CQ44" i="3"/>
  <c r="BL44" i="3" s="1"/>
  <c r="CJ54" i="3"/>
  <c r="BE54" i="3" s="1"/>
  <c r="CQ60" i="3"/>
  <c r="BL60" i="3" s="1"/>
  <c r="CJ92" i="3"/>
  <c r="BE92" i="3" s="1"/>
  <c r="CR23" i="3"/>
  <c r="BM23" i="3" s="1"/>
  <c r="CJ28" i="3"/>
  <c r="BE28" i="3" s="1"/>
  <c r="CQ63" i="3"/>
  <c r="BL63" i="3" s="1"/>
  <c r="CN96" i="3"/>
  <c r="BI96" i="3" s="1"/>
  <c r="CN25" i="3"/>
  <c r="BI25" i="3" s="1"/>
  <c r="CL58" i="3"/>
  <c r="BG58" i="3" s="1"/>
  <c r="CP30" i="3"/>
  <c r="BK30" i="3" s="1"/>
  <c r="CM15" i="3"/>
  <c r="BH15" i="3" s="1"/>
  <c r="CO7" i="3"/>
  <c r="BJ7" i="3" s="1"/>
  <c r="CM31" i="3"/>
  <c r="BH31" i="3" s="1"/>
  <c r="CQ97" i="3"/>
  <c r="BL97" i="3" s="1"/>
  <c r="CU63" i="3"/>
  <c r="BP63" i="3" s="1"/>
  <c r="CS46" i="3"/>
  <c r="BN46" i="3" s="1"/>
  <c r="CV96" i="3"/>
  <c r="BQ96" i="3" s="1"/>
  <c r="CJ10" i="3"/>
  <c r="BE10" i="3" s="1"/>
  <c r="CV8" i="3"/>
  <c r="BQ8" i="3" s="1"/>
  <c r="CU47" i="3"/>
  <c r="BP47" i="3" s="1"/>
  <c r="CU44" i="3"/>
  <c r="BP44" i="3" s="1"/>
  <c r="CL47" i="3"/>
  <c r="BG47" i="3" s="1"/>
  <c r="CO23" i="3"/>
  <c r="BJ23" i="3" s="1"/>
  <c r="CT24" i="3"/>
  <c r="BO24" i="3" s="1"/>
  <c r="CL7" i="3"/>
  <c r="BG7" i="3" s="1"/>
  <c r="CU59" i="3"/>
  <c r="BP59" i="3" s="1"/>
  <c r="CP54" i="3"/>
  <c r="BK54" i="3" s="1"/>
  <c r="AB9" i="12" a="1"/>
  <c r="AB9" i="12" s="1"/>
  <c r="CK22" i="3"/>
  <c r="BF22" i="3" s="1"/>
  <c r="CP60" i="3"/>
  <c r="BK60" i="3" s="1"/>
  <c r="CJ14" i="3"/>
  <c r="BE14" i="3" s="1"/>
  <c r="CU90" i="3"/>
  <c r="BP90" i="3" s="1"/>
  <c r="CL98" i="3"/>
  <c r="BG98" i="3" s="1"/>
  <c r="CS13" i="3"/>
  <c r="BN13" i="3" s="1"/>
  <c r="CV45" i="3"/>
  <c r="BQ45" i="3" s="1"/>
  <c r="CP93" i="3"/>
  <c r="BK93" i="3" s="1"/>
  <c r="CK25" i="3"/>
  <c r="BF25" i="3" s="1"/>
  <c r="CK28" i="3"/>
  <c r="BF28" i="3" s="1"/>
  <c r="CK96" i="3"/>
  <c r="BF96" i="3" s="1"/>
  <c r="CO13" i="3"/>
  <c r="BJ13" i="3" s="1"/>
  <c r="CU24" i="3"/>
  <c r="BP24" i="3" s="1"/>
  <c r="CR96" i="3"/>
  <c r="BM96" i="3" s="1"/>
  <c r="CQ91" i="3"/>
  <c r="BL91" i="3" s="1"/>
  <c r="CT41" i="3"/>
  <c r="BO41" i="3" s="1"/>
  <c r="CN41" i="3"/>
  <c r="BI41" i="3" s="1"/>
  <c r="CR45" i="3"/>
  <c r="BM45" i="3" s="1"/>
  <c r="CJ13" i="3"/>
  <c r="BE13" i="3" s="1"/>
  <c r="CK44" i="3"/>
  <c r="BF44" i="3" s="1"/>
  <c r="CU8" i="3"/>
  <c r="BP8" i="3" s="1"/>
  <c r="CV16" i="3"/>
  <c r="BQ16" i="3" s="1"/>
  <c r="CR8" i="3"/>
  <c r="BM8" i="3" s="1"/>
  <c r="CL30" i="3"/>
  <c r="BG30" i="3" s="1"/>
  <c r="CK60" i="3"/>
  <c r="BF60" i="3" s="1"/>
  <c r="CU46" i="3"/>
  <c r="BP46" i="3" s="1"/>
  <c r="CT31" i="3"/>
  <c r="BO31" i="3" s="1"/>
  <c r="CK10" i="3"/>
  <c r="BF10" i="3" s="1"/>
  <c r="CS57" i="3"/>
  <c r="BN57" i="3" s="1"/>
  <c r="CP29" i="3"/>
  <c r="BK29" i="3" s="1"/>
  <c r="CL46" i="3"/>
  <c r="BG46" i="3" s="1"/>
  <c r="CU91" i="3"/>
  <c r="BP91" i="3" s="1"/>
  <c r="CM28" i="3"/>
  <c r="BH28" i="3" s="1"/>
  <c r="CN8" i="3"/>
  <c r="BI8" i="3" s="1"/>
  <c r="CM7" i="3"/>
  <c r="BH7" i="3" s="1"/>
  <c r="CO53" i="3"/>
  <c r="BJ53" i="3" s="1"/>
  <c r="CQ13" i="3"/>
  <c r="BL13" i="3" s="1"/>
  <c r="CK46" i="3"/>
  <c r="BF46" i="3" s="1"/>
  <c r="CL15" i="3"/>
  <c r="BG15" i="3" s="1"/>
  <c r="CO28" i="3"/>
  <c r="BJ28" i="3" s="1"/>
  <c r="CJ78" i="3"/>
  <c r="BE78" i="3" s="1"/>
  <c r="CM10" i="3"/>
  <c r="BH10" i="3" s="1"/>
  <c r="CO99" i="3"/>
  <c r="BJ99" i="3" s="1"/>
  <c r="CS41" i="3"/>
  <c r="BN41" i="3" s="1"/>
  <c r="CQ23" i="3"/>
  <c r="BL23" i="3" s="1"/>
  <c r="CN57" i="3"/>
  <c r="BI57" i="3" s="1"/>
  <c r="CU53" i="3"/>
  <c r="BP53" i="3" s="1"/>
  <c r="CS25" i="3"/>
  <c r="BN25" i="3" s="1"/>
  <c r="CT10" i="3"/>
  <c r="BO10" i="3" s="1"/>
  <c r="CJ15" i="3"/>
  <c r="BE15" i="3" s="1"/>
  <c r="CJ57" i="3"/>
  <c r="BE57" i="3" s="1"/>
  <c r="CO92" i="3"/>
  <c r="BJ92" i="3" s="1"/>
  <c r="AC9" i="12" a="1"/>
  <c r="AC9" i="12" s="1"/>
  <c r="CQ78" i="3"/>
  <c r="BL78" i="3" s="1"/>
  <c r="CO31" i="3"/>
  <c r="BJ31" i="3" s="1"/>
  <c r="CV54" i="3"/>
  <c r="BQ54" i="3" s="1"/>
  <c r="CT63" i="3"/>
  <c r="BO63" i="3" s="1"/>
  <c r="CU23" i="3"/>
  <c r="BP23" i="3" s="1"/>
  <c r="CO41" i="3"/>
  <c r="BJ41" i="3" s="1"/>
  <c r="CT16" i="3"/>
  <c r="BO16" i="3" s="1"/>
  <c r="CR59" i="3"/>
  <c r="BM59" i="3" s="1"/>
  <c r="CS44" i="3"/>
  <c r="BN44" i="3" s="1"/>
  <c r="CP10" i="3"/>
  <c r="BK10" i="3" s="1"/>
  <c r="CR24" i="3"/>
  <c r="BM24" i="3" s="1"/>
  <c r="CV98" i="3"/>
  <c r="BQ98" i="3" s="1"/>
  <c r="CO78" i="3"/>
  <c r="BJ78" i="3" s="1"/>
  <c r="CK23" i="3"/>
  <c r="BF23" i="3" s="1"/>
  <c r="CL22" i="3"/>
  <c r="BG22" i="3" s="1"/>
  <c r="CT99" i="3"/>
  <c r="BO99" i="3" s="1"/>
  <c r="CT54" i="3"/>
  <c r="BO54" i="3" s="1"/>
  <c r="CM92" i="3"/>
  <c r="BH92" i="3" s="1"/>
  <c r="CM46" i="3"/>
  <c r="BH46" i="3" s="1"/>
  <c r="CN99" i="3"/>
  <c r="BI99" i="3" s="1"/>
  <c r="CJ90" i="3"/>
  <c r="BE90" i="3" s="1"/>
  <c r="CT23" i="3"/>
  <c r="BO23" i="3" s="1"/>
  <c r="CM25" i="3"/>
  <c r="BH25" i="3" s="1"/>
  <c r="CO25" i="3"/>
  <c r="BJ25" i="3" s="1"/>
  <c r="CN31" i="3"/>
  <c r="BI31" i="3" s="1"/>
  <c r="CV41" i="3"/>
  <c r="BQ41" i="3" s="1"/>
  <c r="CJ8" i="3"/>
  <c r="BE8" i="3" s="1"/>
  <c r="CK54" i="3"/>
  <c r="BF54" i="3" s="1"/>
  <c r="CK90" i="3"/>
  <c r="BF90" i="3" s="1"/>
  <c r="CP23" i="3"/>
  <c r="BK23" i="3" s="1"/>
  <c r="CS97" i="3"/>
  <c r="BN97" i="3" s="1"/>
  <c r="CL31" i="3"/>
  <c r="BG31" i="3" s="1"/>
  <c r="CU31" i="3"/>
  <c r="BP31" i="3" s="1"/>
  <c r="CV44" i="3"/>
  <c r="BQ44" i="3" s="1"/>
  <c r="CP63" i="3"/>
  <c r="BK63" i="3" s="1"/>
  <c r="CV60" i="3"/>
  <c r="BQ60" i="3" s="1"/>
  <c r="CJ44" i="3"/>
  <c r="BE44" i="3" s="1"/>
  <c r="CR25" i="3"/>
  <c r="BM25" i="3" s="1"/>
  <c r="CS24" i="3"/>
  <c r="BN24" i="3" s="1"/>
  <c r="CL60" i="3"/>
  <c r="BG60" i="3" s="1"/>
  <c r="CM14" i="3"/>
  <c r="BH14" i="3" s="1"/>
  <c r="CP46" i="3"/>
  <c r="BK46" i="3" s="1"/>
  <c r="CQ16" i="3"/>
  <c r="BL16" i="3" s="1"/>
  <c r="CO96" i="3"/>
  <c r="BJ96" i="3" s="1"/>
  <c r="CP22" i="3"/>
  <c r="BK22" i="3" s="1"/>
  <c r="CP44" i="3"/>
  <c r="BK44" i="3" s="1"/>
  <c r="CM45" i="3"/>
  <c r="BH45" i="3" s="1"/>
  <c r="CV25" i="3"/>
  <c r="BQ25" i="3" s="1"/>
  <c r="CN97" i="3"/>
  <c r="BI97" i="3" s="1"/>
  <c r="CL96" i="3"/>
  <c r="BG96" i="3" s="1"/>
  <c r="CQ98" i="3"/>
  <c r="BL98" i="3" s="1"/>
  <c r="CU30" i="3"/>
  <c r="BP30" i="3" s="1"/>
  <c r="CT90" i="3"/>
  <c r="BO90" i="3" s="1"/>
  <c r="CK53" i="3"/>
  <c r="BF53" i="3" s="1"/>
  <c r="CP7" i="3"/>
  <c r="BK7" i="3" s="1"/>
  <c r="CN7" i="3"/>
  <c r="BI7" i="3" s="1"/>
  <c r="CV99" i="3"/>
  <c r="BQ99" i="3" s="1"/>
  <c r="CJ31" i="3"/>
  <c r="BE31" i="3" s="1"/>
  <c r="CV10" i="3"/>
  <c r="BQ10" i="3" s="1"/>
  <c r="CQ24" i="3"/>
  <c r="BL24" i="3" s="1"/>
  <c r="CL44" i="3"/>
  <c r="BG44" i="3" s="1"/>
  <c r="CV59" i="3"/>
  <c r="BQ59" i="3" s="1"/>
  <c r="CV9" i="3"/>
  <c r="BQ9" i="3" s="1"/>
  <c r="CR78" i="3"/>
  <c r="BM78" i="3" s="1"/>
  <c r="CT13" i="3"/>
  <c r="BO13" i="3" s="1"/>
  <c r="CS47" i="3"/>
  <c r="BN47" i="3" s="1"/>
  <c r="CP16" i="3"/>
  <c r="BK16" i="3" s="1"/>
  <c r="CR44" i="3"/>
  <c r="BM44" i="3" s="1"/>
  <c r="CL14" i="3"/>
  <c r="BG14" i="3" s="1"/>
  <c r="CK24" i="3"/>
  <c r="BF24" i="3" s="1"/>
  <c r="CR97" i="3"/>
  <c r="BM97" i="3" s="1"/>
  <c r="CM57" i="3"/>
  <c r="BH57" i="3" s="1"/>
  <c r="CR15" i="3"/>
  <c r="BM15" i="3" s="1"/>
  <c r="CN47" i="3"/>
  <c r="BI47" i="3" s="1"/>
  <c r="CK30" i="3"/>
  <c r="BF30" i="3" s="1"/>
  <c r="CQ46" i="3"/>
  <c r="BL46" i="3" s="1"/>
  <c r="CQ7" i="3"/>
  <c r="BL7" i="3" s="1"/>
  <c r="CQ93" i="3"/>
  <c r="BL93" i="3" s="1"/>
  <c r="CV93" i="3"/>
  <c r="BQ93" i="3" s="1"/>
  <c r="CV63" i="3"/>
  <c r="BQ63" i="3" s="1"/>
  <c r="CQ9" i="3"/>
  <c r="BL9" i="3" s="1"/>
  <c r="CR63" i="3"/>
  <c r="BM63" i="3" s="1"/>
  <c r="CK29" i="3"/>
  <c r="BF29" i="3" s="1"/>
  <c r="CS8" i="3"/>
  <c r="BN8" i="3" s="1"/>
  <c r="CS45" i="3"/>
  <c r="BN45" i="3" s="1"/>
  <c r="CM63" i="3"/>
  <c r="BH63" i="3" s="1"/>
  <c r="CT28" i="3"/>
  <c r="BO28" i="3" s="1"/>
  <c r="CS28" i="3"/>
  <c r="BN28" i="3" s="1"/>
  <c r="CM99" i="3"/>
  <c r="BH99" i="3" s="1"/>
  <c r="CM60" i="3"/>
  <c r="BH60" i="3" s="1"/>
  <c r="CN22" i="3"/>
  <c r="BI22" i="3" s="1"/>
  <c r="CP45" i="3"/>
  <c r="BK45" i="3" s="1"/>
  <c r="CQ10" i="3"/>
  <c r="BL10" i="3" s="1"/>
  <c r="CO93" i="3"/>
  <c r="BJ93" i="3" s="1"/>
  <c r="CV13" i="3"/>
  <c r="BQ13" i="3" s="1"/>
  <c r="CS60" i="3"/>
  <c r="BN60" i="3" s="1"/>
  <c r="CM59" i="3"/>
  <c r="BH59" i="3" s="1"/>
  <c r="CV53" i="3"/>
  <c r="BQ53" i="3" s="1"/>
  <c r="CN63" i="3"/>
  <c r="BI63" i="3" s="1"/>
  <c r="CS79" i="3"/>
  <c r="BN79" i="3" s="1"/>
  <c r="CJ65" i="3"/>
  <c r="BE65" i="3" s="1"/>
  <c r="CV64" i="3"/>
  <c r="BQ64" i="3" s="1"/>
  <c r="CO79" i="3"/>
  <c r="BJ79" i="3" s="1"/>
  <c r="CL79" i="3"/>
  <c r="BG79" i="3" s="1"/>
  <c r="CU22" i="3"/>
  <c r="BP22" i="3" s="1"/>
  <c r="CL13" i="3"/>
  <c r="BG13" i="3" s="1"/>
  <c r="CO30" i="3"/>
  <c r="BJ30" i="3" s="1"/>
  <c r="CK64" i="3"/>
  <c r="BF64" i="3" s="1"/>
  <c r="CO66" i="3"/>
  <c r="BJ66" i="3" s="1"/>
  <c r="CK65" i="3"/>
  <c r="BF65" i="3" s="1"/>
  <c r="CS65" i="3"/>
  <c r="BN65" i="3" s="1"/>
  <c r="CQ47" i="3"/>
  <c r="BL47" i="3" s="1"/>
  <c r="CT79" i="3"/>
  <c r="BO79" i="3" s="1"/>
  <c r="CV69" i="3"/>
  <c r="BQ69" i="3" s="1"/>
  <c r="CR66" i="3"/>
  <c r="BM66" i="3" s="1"/>
  <c r="CN64" i="3"/>
  <c r="BI64" i="3" s="1"/>
  <c r="CQ69" i="3"/>
  <c r="BL69" i="3" s="1"/>
  <c r="CU79" i="3"/>
  <c r="BP79" i="3" s="1"/>
  <c r="CU60" i="3"/>
  <c r="BP60" i="3" s="1"/>
  <c r="CS66" i="3"/>
  <c r="BN66" i="3" s="1"/>
  <c r="CK66" i="3"/>
  <c r="BF66" i="3" s="1"/>
  <c r="CP47" i="3"/>
  <c r="BK47" i="3" s="1"/>
  <c r="CL65" i="3"/>
  <c r="BG65" i="3" s="1"/>
  <c r="CS54" i="3"/>
  <c r="BN54" i="3" s="1"/>
  <c r="CL64" i="3"/>
  <c r="BG64" i="3" s="1"/>
  <c r="CM65" i="3"/>
  <c r="BH65" i="3" s="1"/>
  <c r="CT64" i="3"/>
  <c r="BO64" i="3" s="1"/>
  <c r="CO69" i="3"/>
  <c r="BJ69" i="3" s="1"/>
  <c r="CT78" i="3"/>
  <c r="BO78" i="3" s="1"/>
  <c r="CP69" i="3"/>
  <c r="BK69" i="3" s="1"/>
  <c r="CT65" i="3"/>
  <c r="BO65" i="3" s="1"/>
  <c r="CO64" i="3"/>
  <c r="BJ64" i="3" s="1"/>
  <c r="CL66" i="3"/>
  <c r="BG66" i="3" s="1"/>
  <c r="CO65" i="3"/>
  <c r="BJ65" i="3" s="1"/>
  <c r="CV66" i="3"/>
  <c r="BQ66" i="3" s="1"/>
  <c r="CS23" i="3"/>
  <c r="BN23" i="3" s="1"/>
  <c r="CN79" i="3"/>
  <c r="BI79" i="3" s="1"/>
  <c r="CQ65" i="3"/>
  <c r="BL65" i="3" s="1"/>
  <c r="CQ79" i="3"/>
  <c r="BL79" i="3" s="1"/>
  <c r="CS69" i="3"/>
  <c r="BN69" i="3" s="1"/>
  <c r="CU69" i="3"/>
  <c r="BP69" i="3" s="1"/>
  <c r="CJ64" i="3"/>
  <c r="BE64" i="3" s="1"/>
  <c r="CR79" i="3"/>
  <c r="BM79" i="3" s="1"/>
  <c r="CM64" i="3"/>
  <c r="BH64" i="3" s="1"/>
  <c r="CS64" i="3"/>
  <c r="BN64" i="3" s="1"/>
  <c r="CK69" i="3"/>
  <c r="BF69" i="3" s="1"/>
  <c r="CM69" i="3"/>
  <c r="BH69" i="3" s="1"/>
  <c r="CM79" i="3"/>
  <c r="BH79" i="3" s="1"/>
  <c r="CJ9" i="3"/>
  <c r="BE9" i="3" s="1"/>
  <c r="CP66" i="3"/>
  <c r="BK66" i="3" s="1"/>
  <c r="CM66" i="3"/>
  <c r="BH66" i="3" s="1"/>
  <c r="CL45" i="3"/>
  <c r="BG45" i="3" s="1"/>
  <c r="CL69" i="3"/>
  <c r="BG69" i="3" s="1"/>
  <c r="CR65" i="3"/>
  <c r="BM65" i="3" s="1"/>
  <c r="CK8" i="3"/>
  <c r="BF8" i="3" s="1"/>
  <c r="CR64" i="3"/>
  <c r="BM64" i="3" s="1"/>
  <c r="CQ66" i="3"/>
  <c r="BL66" i="3" s="1"/>
  <c r="CJ97" i="3"/>
  <c r="BE97" i="3" s="1"/>
  <c r="CR69" i="3"/>
  <c r="BM69" i="3" s="1"/>
  <c r="CN69" i="3"/>
  <c r="BI69" i="3" s="1"/>
  <c r="CN65" i="3"/>
  <c r="BI65" i="3" s="1"/>
  <c r="CT69" i="3"/>
  <c r="BO69" i="3" s="1"/>
  <c r="CQ64" i="3"/>
  <c r="BL64" i="3" s="1"/>
  <c r="CT66" i="3"/>
  <c r="BO66" i="3" s="1"/>
  <c r="CV65" i="3"/>
  <c r="BQ65" i="3" s="1"/>
  <c r="CK79" i="3"/>
  <c r="BF79" i="3" s="1"/>
  <c r="CT96" i="3"/>
  <c r="BO96" i="3" s="1"/>
  <c r="CJ66" i="3"/>
  <c r="BE66" i="3" s="1"/>
  <c r="CP79" i="3"/>
  <c r="BK79" i="3" s="1"/>
  <c r="CJ79" i="3"/>
  <c r="BE79" i="3" s="1"/>
  <c r="CU64" i="3"/>
  <c r="BP64" i="3" s="1"/>
  <c r="CP64" i="3"/>
  <c r="BK64" i="3" s="1"/>
  <c r="CN66" i="3"/>
  <c r="BI66" i="3" s="1"/>
  <c r="CU65" i="3"/>
  <c r="BP65" i="3" s="1"/>
  <c r="CP65" i="3"/>
  <c r="BK65" i="3" s="1"/>
  <c r="CU66" i="3"/>
  <c r="BP66" i="3" s="1"/>
  <c r="CJ69" i="3"/>
  <c r="BE69" i="3" s="1"/>
  <c r="CL80" i="3"/>
  <c r="BG80" i="3" s="1"/>
  <c r="CR70" i="3"/>
  <c r="BM70" i="3" s="1"/>
  <c r="CS80" i="3"/>
  <c r="BN80" i="3" s="1"/>
  <c r="CU80" i="3"/>
  <c r="BP80" i="3" s="1"/>
  <c r="CJ70" i="3"/>
  <c r="BE70" i="3" s="1"/>
  <c r="CN80" i="3"/>
  <c r="BI80" i="3" s="1"/>
  <c r="CN70" i="3"/>
  <c r="BI70" i="3" s="1"/>
  <c r="CO80" i="3"/>
  <c r="BJ80" i="3" s="1"/>
  <c r="CV70" i="3"/>
  <c r="BQ70" i="3" s="1"/>
  <c r="CQ80" i="3"/>
  <c r="BL80" i="3" s="1"/>
  <c r="CP80" i="3"/>
  <c r="BK80" i="3" s="1"/>
  <c r="CM80" i="3"/>
  <c r="BH80" i="3" s="1"/>
  <c r="CM70" i="3"/>
  <c r="BH70" i="3" s="1"/>
  <c r="CU70" i="3"/>
  <c r="BP70" i="3" s="1"/>
  <c r="CT70" i="3"/>
  <c r="BO70" i="3" s="1"/>
  <c r="CR80" i="3"/>
  <c r="BM80" i="3" s="1"/>
  <c r="CL70" i="3"/>
  <c r="BG70" i="3" s="1"/>
  <c r="CK80" i="3"/>
  <c r="BF80" i="3" s="1"/>
  <c r="CO70" i="3"/>
  <c r="BJ70" i="3" s="1"/>
  <c r="CS70" i="3"/>
  <c r="BN70" i="3" s="1"/>
  <c r="CJ80" i="3"/>
  <c r="BE80" i="3" s="1"/>
  <c r="CL71" i="3"/>
  <c r="BG71" i="3" s="1"/>
  <c r="CM81" i="3"/>
  <c r="BH81" i="3" s="1"/>
  <c r="CV71" i="3"/>
  <c r="BQ71" i="3" s="1"/>
  <c r="CO81" i="3"/>
  <c r="BJ81" i="3" s="1"/>
  <c r="CS71" i="3"/>
  <c r="BN71" i="3" s="1"/>
  <c r="CT71" i="3"/>
  <c r="BO71" i="3" s="1"/>
  <c r="CT81" i="3"/>
  <c r="BO81" i="3" s="1"/>
  <c r="CP81" i="3"/>
  <c r="BK81" i="3" s="1"/>
  <c r="CK72" i="3"/>
  <c r="BF72" i="3" s="1"/>
  <c r="CN71" i="3"/>
  <c r="BI71" i="3" s="1"/>
  <c r="CM71" i="3"/>
  <c r="BH71" i="3" s="1"/>
  <c r="CR81" i="3"/>
  <c r="BM81" i="3" s="1"/>
  <c r="CV81" i="3"/>
  <c r="BQ81" i="3" s="1"/>
  <c r="CQ70" i="3"/>
  <c r="BL70" i="3" s="1"/>
  <c r="CO71" i="3"/>
  <c r="BJ71" i="3" s="1"/>
  <c r="CN81" i="3"/>
  <c r="BI81" i="3" s="1"/>
  <c r="CQ81" i="3"/>
  <c r="BL81" i="3" s="1"/>
  <c r="CP70" i="3"/>
  <c r="BK70" i="3" s="1"/>
  <c r="CV80" i="3"/>
  <c r="BQ80" i="3" s="1"/>
  <c r="CS81" i="3"/>
  <c r="BN81" i="3" s="1"/>
  <c r="CU81" i="3"/>
  <c r="BP81" i="3" s="1"/>
  <c r="CV79" i="3"/>
  <c r="BQ79" i="3" s="1"/>
  <c r="CQ71" i="3"/>
  <c r="BL71" i="3" s="1"/>
  <c r="CU71" i="3"/>
  <c r="BP71" i="3" s="1"/>
  <c r="CK70" i="3"/>
  <c r="BF70" i="3" s="1"/>
  <c r="CL81" i="3"/>
  <c r="BG81" i="3" s="1"/>
  <c r="CT80" i="3"/>
  <c r="BO80" i="3" s="1"/>
  <c r="CJ71" i="3"/>
  <c r="BE71" i="3" s="1"/>
  <c r="CK81" i="3"/>
  <c r="BF81" i="3" s="1"/>
  <c r="CP71" i="3"/>
  <c r="BK71" i="3" s="1"/>
  <c r="CU72" i="3"/>
  <c r="BP72" i="3" s="1"/>
  <c r="CM72" i="3"/>
  <c r="BH72" i="3" s="1"/>
  <c r="CS72" i="3"/>
  <c r="BN72" i="3" s="1"/>
  <c r="CJ81" i="3"/>
  <c r="BE81" i="3" s="1"/>
  <c r="CV72" i="3"/>
  <c r="BQ72" i="3" s="1"/>
  <c r="CJ72" i="3"/>
  <c r="BE72" i="3" s="1"/>
  <c r="CK71" i="3"/>
  <c r="BF71" i="3" s="1"/>
  <c r="CT72" i="3"/>
  <c r="BO72" i="3" s="1"/>
  <c r="CR71" i="3"/>
  <c r="BM71" i="3" s="1"/>
  <c r="CR72" i="3"/>
  <c r="BM72" i="3" s="1"/>
  <c r="CN84" i="3"/>
  <c r="BI84" i="3" s="1"/>
  <c r="CV86" i="3"/>
  <c r="BQ86" i="3" s="1"/>
  <c r="CT85" i="3"/>
  <c r="BO85" i="3" s="1"/>
  <c r="CQ85" i="3"/>
  <c r="BL85" i="3" s="1"/>
  <c r="CS86" i="3"/>
  <c r="BN86" i="3" s="1"/>
  <c r="CM84" i="3"/>
  <c r="BH84" i="3" s="1"/>
  <c r="CR84" i="3"/>
  <c r="BM84" i="3" s="1"/>
  <c r="CN72" i="3"/>
  <c r="BI72" i="3" s="1"/>
  <c r="CK86" i="3"/>
  <c r="BF86" i="3" s="1"/>
  <c r="CU84" i="3"/>
  <c r="BP84" i="3" s="1"/>
  <c r="CL85" i="3"/>
  <c r="BG85" i="3" s="1"/>
  <c r="CK84" i="3"/>
  <c r="BF84" i="3" s="1"/>
  <c r="CN86" i="3"/>
  <c r="BI86" i="3" s="1"/>
  <c r="CM85" i="3"/>
  <c r="BH85" i="3" s="1"/>
  <c r="CQ72" i="3"/>
  <c r="BL72" i="3" s="1"/>
  <c r="CS85" i="3"/>
  <c r="BN85" i="3" s="1"/>
  <c r="CV84" i="3"/>
  <c r="BQ84" i="3" s="1"/>
  <c r="CO86" i="3"/>
  <c r="BJ86" i="3" s="1"/>
  <c r="CT84" i="3"/>
  <c r="BO84" i="3" s="1"/>
  <c r="CQ84" i="3"/>
  <c r="BL84" i="3" s="1"/>
  <c r="CM86" i="3"/>
  <c r="BH86" i="3" s="1"/>
  <c r="CU85" i="3"/>
  <c r="BP85" i="3" s="1"/>
  <c r="CP85" i="3"/>
  <c r="BK85" i="3" s="1"/>
  <c r="CR85" i="3"/>
  <c r="BM85" i="3" s="1"/>
  <c r="CP86" i="3"/>
  <c r="BK86" i="3" s="1"/>
  <c r="CR86" i="3"/>
  <c r="BM86" i="3" s="1"/>
  <c r="CS84" i="3"/>
  <c r="BN84" i="3" s="1"/>
  <c r="CK85" i="3"/>
  <c r="BF85" i="3" s="1"/>
  <c r="CQ86" i="3"/>
  <c r="BL86" i="3" s="1"/>
  <c r="CV85" i="3"/>
  <c r="BQ85" i="3" s="1"/>
  <c r="CI85" i="3"/>
  <c r="BD85" i="3" s="1"/>
  <c r="CH86" i="3"/>
  <c r="BC86" i="3" s="1"/>
  <c r="CI86" i="3"/>
  <c r="BD86" i="3" s="1"/>
  <c r="CI72" i="3"/>
  <c r="BD72" i="3" s="1"/>
  <c r="CH81" i="3"/>
  <c r="BC81" i="3" s="1"/>
  <c r="CH84" i="3"/>
  <c r="BC84" i="3" s="1"/>
  <c r="CH72" i="3"/>
  <c r="BC72" i="3" s="1"/>
  <c r="CI84" i="3"/>
  <c r="BD84" i="3" s="1"/>
  <c r="CH85" i="3"/>
  <c r="BC85" i="3" s="1"/>
  <c r="T9" i="11" a="1"/>
  <c r="T9" i="11" s="1"/>
  <c r="M9" i="11" a="1"/>
  <c r="M9" i="11" s="1"/>
  <c r="M24" i="11" s="1"/>
  <c r="P9" i="12" a="1"/>
  <c r="P9" i="12" s="1"/>
  <c r="P24" i="12" s="1"/>
  <c r="R9" i="11" a="1"/>
  <c r="R9" i="11" s="1"/>
  <c r="CI63" i="3"/>
  <c r="BD63" i="3" s="1"/>
  <c r="CI92" i="3"/>
  <c r="BD92" i="3" s="1"/>
  <c r="L9" i="11" a="1"/>
  <c r="L9" i="11" s="1"/>
  <c r="L24" i="11" s="1"/>
  <c r="Q9" i="12" a="1"/>
  <c r="Q9" i="12" s="1"/>
  <c r="D9" i="12" a="1"/>
  <c r="D9" i="12" s="1"/>
  <c r="G9" i="12" a="1"/>
  <c r="G9" i="12" s="1"/>
  <c r="T9" i="12" a="1"/>
  <c r="T9" i="12" s="1"/>
  <c r="N9" i="11" a="1"/>
  <c r="N9" i="11" s="1"/>
  <c r="N24" i="11" s="1"/>
  <c r="CH78" i="3"/>
  <c r="BC78" i="3" s="1"/>
  <c r="O9" i="11" a="1"/>
  <c r="O9" i="11" s="1"/>
  <c r="O24" i="11" s="1"/>
  <c r="S9" i="12" a="1"/>
  <c r="S9" i="12" s="1"/>
  <c r="O9" i="12" a="1"/>
  <c r="O9" i="12" s="1"/>
  <c r="O24" i="12" s="1"/>
  <c r="I9" i="11" a="1"/>
  <c r="I9" i="11" s="1"/>
  <c r="I9" i="12" a="1"/>
  <c r="I9" i="12" s="1"/>
  <c r="R9" i="12" a="1"/>
  <c r="R9" i="12" s="1"/>
  <c r="M9" i="12" a="1"/>
  <c r="M9" i="12" s="1"/>
  <c r="M24" i="12" s="1"/>
  <c r="K9" i="12" a="1"/>
  <c r="K9" i="12" s="1"/>
  <c r="K24" i="12" s="1"/>
  <c r="F9" i="12" a="1"/>
  <c r="F9" i="12" s="1"/>
  <c r="CI78" i="3"/>
  <c r="BD78" i="3" s="1"/>
  <c r="H9" i="11" a="1"/>
  <c r="H9" i="11" s="1"/>
  <c r="J9" i="12" a="1"/>
  <c r="J9" i="12" s="1"/>
  <c r="G9" i="11" a="1"/>
  <c r="G9" i="11" s="1"/>
  <c r="L9" i="12" a="1"/>
  <c r="L9" i="12" s="1"/>
  <c r="L24" i="12" s="1"/>
  <c r="J9" i="11" a="1"/>
  <c r="J9" i="11" s="1"/>
  <c r="D9" i="11" a="1"/>
  <c r="D9" i="11" s="1"/>
  <c r="E9" i="12" a="1"/>
  <c r="E9" i="12" s="1"/>
  <c r="N9" i="12" a="1"/>
  <c r="N9" i="12" s="1"/>
  <c r="N24" i="12" s="1"/>
  <c r="K9" i="11" a="1"/>
  <c r="K9" i="11" s="1"/>
  <c r="K24" i="11" s="1"/>
  <c r="P9" i="11" a="1"/>
  <c r="P9" i="11" s="1"/>
  <c r="P24" i="11" s="1"/>
  <c r="S9" i="11" a="1"/>
  <c r="S9" i="11" s="1"/>
  <c r="Q9" i="11" a="1"/>
  <c r="Q9" i="11" s="1"/>
  <c r="H9" i="12" a="1"/>
  <c r="H9" i="12" s="1"/>
  <c r="CH63" i="3"/>
  <c r="BC63" i="3" s="1"/>
  <c r="CH57" i="3"/>
  <c r="BC57" i="3" s="1"/>
  <c r="F9" i="11" a="1"/>
  <c r="F9" i="11" s="1"/>
  <c r="CH24" i="3"/>
  <c r="BC24" i="3" s="1"/>
  <c r="CI93" i="3"/>
  <c r="BD93" i="3" s="1"/>
  <c r="CH28" i="3"/>
  <c r="BC28" i="3" s="1"/>
  <c r="CI22" i="3"/>
  <c r="BD22" i="3" s="1"/>
  <c r="CH45" i="3"/>
  <c r="BC45" i="3" s="1"/>
  <c r="CH16" i="3"/>
  <c r="BC16" i="3" s="1"/>
  <c r="CI9" i="3"/>
  <c r="BD9" i="3" s="1"/>
  <c r="CI10" i="3"/>
  <c r="BD10" i="3" s="1"/>
  <c r="CH29" i="3"/>
  <c r="BC29" i="3" s="1"/>
  <c r="CI90" i="3"/>
  <c r="BD90" i="3" s="1"/>
  <c r="CI45" i="3"/>
  <c r="BD45" i="3" s="1"/>
  <c r="CH14" i="3"/>
  <c r="BC14" i="3" s="1"/>
  <c r="CH44" i="3"/>
  <c r="BC44" i="3" s="1"/>
  <c r="CH91" i="3"/>
  <c r="BC91" i="3" s="1"/>
  <c r="CI47" i="3"/>
  <c r="BD47" i="3" s="1"/>
  <c r="CH99" i="3"/>
  <c r="BC99" i="3" s="1"/>
  <c r="CH10" i="3"/>
  <c r="BC10" i="3" s="1"/>
  <c r="CI96" i="3"/>
  <c r="BD96" i="3" s="1"/>
  <c r="CI16" i="3"/>
  <c r="BD16" i="3" s="1"/>
  <c r="CI60" i="3"/>
  <c r="BD60" i="3" s="1"/>
  <c r="E9" i="11" a="1"/>
  <c r="E9" i="11" s="1"/>
  <c r="CI25" i="3"/>
  <c r="BD25" i="3" s="1"/>
  <c r="CH25" i="3"/>
  <c r="BC25" i="3" s="1"/>
  <c r="CI97" i="3"/>
  <c r="BD97" i="3" s="1"/>
  <c r="CH30" i="3"/>
  <c r="BC30" i="3" s="1"/>
  <c r="CH13" i="3"/>
  <c r="BC13" i="3" s="1"/>
  <c r="CH54" i="3"/>
  <c r="BC54" i="3" s="1"/>
  <c r="CH53" i="3"/>
  <c r="BC53" i="3" s="1"/>
  <c r="CI23" i="3"/>
  <c r="BD23" i="3" s="1"/>
  <c r="CH31" i="3"/>
  <c r="BC31" i="3" s="1"/>
  <c r="CH41" i="3"/>
  <c r="BC41" i="3" s="1"/>
  <c r="CH9" i="3"/>
  <c r="BC9" i="3" s="1"/>
  <c r="CI44" i="3"/>
  <c r="BD44" i="3" s="1"/>
  <c r="CI91" i="3"/>
  <c r="BD91" i="3" s="1"/>
  <c r="CH60" i="3"/>
  <c r="BC60" i="3" s="1"/>
  <c r="CH46" i="3"/>
  <c r="BC46" i="3" s="1"/>
  <c r="CH8" i="3"/>
  <c r="BC8" i="3" s="1"/>
  <c r="CH23" i="3"/>
  <c r="BC23" i="3" s="1"/>
  <c r="CI7" i="3"/>
  <c r="BD7" i="3" s="1"/>
  <c r="CI28" i="3"/>
  <c r="BD28" i="3" s="1"/>
  <c r="CI57" i="3"/>
  <c r="BD57" i="3" s="1"/>
  <c r="CI29" i="3"/>
  <c r="BD29" i="3" s="1"/>
  <c r="CI53" i="3"/>
  <c r="BD53" i="3" s="1"/>
  <c r="CH93" i="3"/>
  <c r="BC93" i="3" s="1"/>
  <c r="CH96" i="3"/>
  <c r="BC96" i="3" s="1"/>
  <c r="CH97" i="3"/>
  <c r="BC97" i="3" s="1"/>
  <c r="CH22" i="3"/>
  <c r="BC22" i="3" s="1"/>
  <c r="CI99" i="3"/>
  <c r="BD99" i="3" s="1"/>
  <c r="CI46" i="3"/>
  <c r="BD46" i="3" s="1"/>
  <c r="CI58" i="3"/>
  <c r="BD58" i="3" s="1"/>
  <c r="CI70" i="3"/>
  <c r="BD70" i="3" s="1"/>
  <c r="CI98" i="3"/>
  <c r="BD98" i="3" s="1"/>
  <c r="CI41" i="3"/>
  <c r="BD41" i="3" s="1"/>
  <c r="CI79" i="3"/>
  <c r="BD79" i="3" s="1"/>
  <c r="CH64" i="3"/>
  <c r="BC64" i="3" s="1"/>
  <c r="CH15" i="3"/>
  <c r="BC15" i="3" s="1"/>
  <c r="CI59" i="3"/>
  <c r="BD59" i="3" s="1"/>
  <c r="CI13" i="3"/>
  <c r="BD13" i="3" s="1"/>
  <c r="CH58" i="3"/>
  <c r="BC58" i="3" s="1"/>
  <c r="CI14" i="3"/>
  <c r="BD14" i="3" s="1"/>
  <c r="CI64" i="3"/>
  <c r="BD64" i="3" s="1"/>
  <c r="CI69" i="3"/>
  <c r="BD69" i="3" s="1"/>
  <c r="CH7" i="3"/>
  <c r="BC7" i="3" s="1"/>
  <c r="CI31" i="3"/>
  <c r="BD31" i="3" s="1"/>
  <c r="CH65" i="3"/>
  <c r="BC65" i="3" s="1"/>
  <c r="CH66" i="3"/>
  <c r="BC66" i="3" s="1"/>
  <c r="CI54" i="3"/>
  <c r="BD54" i="3" s="1"/>
  <c r="CH59" i="3"/>
  <c r="BC59" i="3" s="1"/>
  <c r="CI66" i="3"/>
  <c r="BD66" i="3" s="1"/>
  <c r="CH98" i="3"/>
  <c r="BC98" i="3" s="1"/>
  <c r="CI30" i="3"/>
  <c r="BD30" i="3" s="1"/>
  <c r="CI65" i="3"/>
  <c r="BD65" i="3" s="1"/>
  <c r="CI15" i="3"/>
  <c r="BD15" i="3" s="1"/>
  <c r="CH47" i="3"/>
  <c r="BC47" i="3" s="1"/>
  <c r="CH90" i="3"/>
  <c r="BC90" i="3" s="1"/>
  <c r="CH79" i="3"/>
  <c r="BC79" i="3" s="1"/>
  <c r="CI24" i="3"/>
  <c r="BD24" i="3" s="1"/>
  <c r="CH92" i="3"/>
  <c r="BC92" i="3" s="1"/>
  <c r="CI8" i="3"/>
  <c r="BD8" i="3" s="1"/>
  <c r="CI81" i="3"/>
  <c r="BD81" i="3" s="1"/>
  <c r="CH71" i="3"/>
  <c r="BC71" i="3" s="1"/>
  <c r="CH80" i="3"/>
  <c r="BC80" i="3" s="1"/>
  <c r="CI71" i="3"/>
  <c r="BD71" i="3" s="1"/>
  <c r="CH70" i="3"/>
  <c r="BC70" i="3" s="1"/>
  <c r="CH69" i="3"/>
  <c r="BC69" i="3" s="1"/>
  <c r="CI80" i="3"/>
  <c r="BD80" i="3" s="1"/>
  <c r="CH87" i="3"/>
  <c r="BC87" i="3" s="1"/>
  <c r="CI87" i="3"/>
  <c r="BD87" i="3" s="1"/>
  <c r="CD15" i="3"/>
  <c r="AY15" i="3" s="1"/>
  <c r="BT16" i="3"/>
  <c r="AO16" i="3" s="1"/>
  <c r="BX30" i="3"/>
  <c r="AS30" i="3" s="1"/>
  <c r="CE22" i="3"/>
  <c r="AZ22" i="3" s="1"/>
  <c r="BY29" i="3"/>
  <c r="AT29" i="3" s="1"/>
  <c r="CE28" i="3"/>
  <c r="AZ28" i="3" s="1"/>
  <c r="BZ24" i="3"/>
  <c r="AU24" i="3" s="1"/>
  <c r="BW16" i="3"/>
  <c r="AR16" i="3" s="1"/>
  <c r="CD28" i="3"/>
  <c r="AY28" i="3" s="1"/>
  <c r="BU7" i="3"/>
  <c r="AP7" i="3" s="1"/>
  <c r="CD30" i="3"/>
  <c r="AY30" i="3" s="1"/>
  <c r="BZ30" i="3"/>
  <c r="AU30" i="3" s="1"/>
  <c r="CF7" i="3"/>
  <c r="BA7" i="3" s="1"/>
  <c r="BU25" i="3"/>
  <c r="AP25" i="3" s="1"/>
  <c r="CB24" i="3"/>
  <c r="AW24" i="3" s="1"/>
  <c r="BX41" i="3"/>
  <c r="AS41" i="3" s="1"/>
  <c r="CE13" i="3"/>
  <c r="AZ13" i="3" s="1"/>
  <c r="BU16" i="3"/>
  <c r="AP16" i="3" s="1"/>
  <c r="BZ25" i="3"/>
  <c r="AU25" i="3" s="1"/>
  <c r="CB25" i="3"/>
  <c r="AW25" i="3" s="1"/>
  <c r="BX23" i="3"/>
  <c r="AS23" i="3" s="1"/>
  <c r="BS13" i="3"/>
  <c r="AN13" i="3" s="1"/>
  <c r="BZ9" i="3"/>
  <c r="AU9" i="3" s="1"/>
  <c r="CB15" i="3"/>
  <c r="AW15" i="3" s="1"/>
  <c r="CA9" i="3"/>
  <c r="AV9" i="3" s="1"/>
  <c r="BW14" i="3"/>
  <c r="AR14" i="3" s="1"/>
  <c r="CD29" i="3"/>
  <c r="AY29" i="3" s="1"/>
  <c r="CF24" i="3"/>
  <c r="BA24" i="3" s="1"/>
  <c r="CA13" i="3"/>
  <c r="AV13" i="3" s="1"/>
  <c r="CC24" i="3"/>
  <c r="AX24" i="3" s="1"/>
  <c r="BV28" i="3"/>
  <c r="AQ28" i="3" s="1"/>
  <c r="BW24" i="3"/>
  <c r="AR24" i="3" s="1"/>
  <c r="CC30" i="3"/>
  <c r="AX30" i="3" s="1"/>
  <c r="CF30" i="3"/>
  <c r="BA30" i="3" s="1"/>
  <c r="BY28" i="3"/>
  <c r="AT28" i="3" s="1"/>
  <c r="BY8" i="3"/>
  <c r="AT8" i="3" s="1"/>
  <c r="CB46" i="3"/>
  <c r="AW46" i="3" s="1"/>
  <c r="CE23" i="3"/>
  <c r="AZ23" i="3" s="1"/>
  <c r="BW22" i="3"/>
  <c r="AR22" i="3" s="1"/>
  <c r="CD25" i="3"/>
  <c r="AY25" i="3" s="1"/>
  <c r="BZ22" i="3"/>
  <c r="AU22" i="3" s="1"/>
  <c r="BX24" i="3"/>
  <c r="AS24" i="3" s="1"/>
  <c r="BT14" i="3"/>
  <c r="AO14" i="3" s="1"/>
  <c r="BZ8" i="3"/>
  <c r="AU8" i="3" s="1"/>
  <c r="BY22" i="3"/>
  <c r="AT22" i="3" s="1"/>
  <c r="BU28" i="3"/>
  <c r="AP28" i="3" s="1"/>
  <c r="BW13" i="3"/>
  <c r="AR13" i="3" s="1"/>
  <c r="CF10" i="3"/>
  <c r="BA10" i="3" s="1"/>
  <c r="CD41" i="3"/>
  <c r="AY41" i="3" s="1"/>
  <c r="BX7" i="3"/>
  <c r="AS7" i="3" s="1"/>
  <c r="CE29" i="3"/>
  <c r="AZ29" i="3" s="1"/>
  <c r="CB30" i="3"/>
  <c r="AW30" i="3" s="1"/>
  <c r="CG22" i="3"/>
  <c r="BB22" i="3" s="1"/>
  <c r="BY41" i="3"/>
  <c r="AT41" i="3" s="1"/>
  <c r="BS8" i="3"/>
  <c r="AN8" i="3" s="1"/>
  <c r="CG8" i="3"/>
  <c r="BB8" i="3" s="1"/>
  <c r="BT31" i="3"/>
  <c r="AO31" i="3" s="1"/>
  <c r="BU23" i="3"/>
  <c r="AP23" i="3" s="1"/>
  <c r="CA8" i="3"/>
  <c r="AV8" i="3" s="1"/>
  <c r="BU30" i="3"/>
  <c r="AP30" i="3" s="1"/>
  <c r="BZ23" i="3"/>
  <c r="AU23" i="3" s="1"/>
  <c r="CC31" i="3"/>
  <c r="AX31" i="3" s="1"/>
  <c r="BX10" i="3"/>
  <c r="AS10" i="3" s="1"/>
  <c r="CB10" i="3"/>
  <c r="AW10" i="3" s="1"/>
  <c r="BW28" i="3"/>
  <c r="AR28" i="3" s="1"/>
  <c r="CA22" i="3"/>
  <c r="AV22" i="3" s="1"/>
  <c r="CE8" i="3"/>
  <c r="AZ8" i="3" s="1"/>
  <c r="BZ14" i="3"/>
  <c r="AU14" i="3" s="1"/>
  <c r="BS30" i="3"/>
  <c r="AN30" i="3" s="1"/>
  <c r="CF13" i="3"/>
  <c r="BA13" i="3" s="1"/>
  <c r="BX8" i="3"/>
  <c r="AS8" i="3" s="1"/>
  <c r="CB8" i="3"/>
  <c r="AW8" i="3" s="1"/>
  <c r="CA10" i="3"/>
  <c r="AV10" i="3" s="1"/>
  <c r="BY9" i="3"/>
  <c r="AT9" i="3" s="1"/>
  <c r="CC7" i="3"/>
  <c r="AX7" i="3" s="1"/>
  <c r="CA31" i="3"/>
  <c r="AV31" i="3" s="1"/>
  <c r="BZ7" i="3"/>
  <c r="AU7" i="3" s="1"/>
  <c r="BT30" i="3"/>
  <c r="AO30" i="3" s="1"/>
  <c r="BS29" i="3"/>
  <c r="AN29" i="3" s="1"/>
  <c r="BS10" i="3"/>
  <c r="AN10" i="3" s="1"/>
  <c r="BT10" i="3"/>
  <c r="AO10" i="3" s="1"/>
  <c r="CF23" i="3"/>
  <c r="BA23" i="3" s="1"/>
  <c r="BU10" i="3"/>
  <c r="AP10" i="3" s="1"/>
  <c r="CA30" i="3"/>
  <c r="AV30" i="3" s="1"/>
  <c r="CD31" i="3"/>
  <c r="AY31" i="3" s="1"/>
  <c r="BX31" i="3"/>
  <c r="AS31" i="3" s="1"/>
  <c r="CA24" i="3"/>
  <c r="AV24" i="3" s="1"/>
  <c r="CF29" i="3"/>
  <c r="BA29" i="3" s="1"/>
  <c r="BV25" i="3"/>
  <c r="AQ25" i="3" s="1"/>
  <c r="BW29" i="3"/>
  <c r="AR29" i="3" s="1"/>
  <c r="CE24" i="3"/>
  <c r="AZ24" i="3" s="1"/>
  <c r="CC25" i="3"/>
  <c r="AX25" i="3" s="1"/>
  <c r="CF8" i="3"/>
  <c r="BA8" i="3" s="1"/>
  <c r="BV15" i="3"/>
  <c r="AQ15" i="3" s="1"/>
  <c r="BX22" i="3"/>
  <c r="AS22" i="3" s="1"/>
  <c r="BX14" i="3"/>
  <c r="AS14" i="3" s="1"/>
  <c r="CG30" i="3"/>
  <c r="BB30" i="3" s="1"/>
  <c r="BV30" i="3"/>
  <c r="AQ30" i="3" s="1"/>
  <c r="BV13" i="3"/>
  <c r="AQ13" i="3" s="1"/>
  <c r="CB41" i="3"/>
  <c r="AW41" i="3" s="1"/>
  <c r="BT9" i="3"/>
  <c r="AO9" i="3" s="1"/>
  <c r="BS16" i="3"/>
  <c r="AN16" i="3" s="1"/>
  <c r="CG10" i="3"/>
  <c r="BB10" i="3" s="1"/>
  <c r="BU8" i="3"/>
  <c r="AP8" i="3" s="1"/>
  <c r="BW31" i="3"/>
  <c r="AR31" i="3" s="1"/>
  <c r="CF25" i="3"/>
  <c r="BA25" i="3" s="1"/>
  <c r="BT25" i="3"/>
  <c r="AO25" i="3" s="1"/>
  <c r="CG9" i="3"/>
  <c r="BB9" i="3" s="1"/>
  <c r="BV8" i="3"/>
  <c r="AQ8" i="3" s="1"/>
  <c r="BY13" i="3"/>
  <c r="AT13" i="3" s="1"/>
  <c r="BX29" i="3"/>
  <c r="AS29" i="3" s="1"/>
  <c r="CB47" i="3"/>
  <c r="AW47" i="3" s="1"/>
  <c r="CE15" i="3"/>
  <c r="AZ15" i="3" s="1"/>
  <c r="BS28" i="3"/>
  <c r="AN28" i="3" s="1"/>
  <c r="CF14" i="3"/>
  <c r="BA14" i="3" s="1"/>
  <c r="BT41" i="3"/>
  <c r="AO41" i="3" s="1"/>
  <c r="CC28" i="3"/>
  <c r="AX28" i="3" s="1"/>
  <c r="BY23" i="3"/>
  <c r="AT23" i="3" s="1"/>
  <c r="CC41" i="3"/>
  <c r="AX41" i="3" s="1"/>
  <c r="CA29" i="3"/>
  <c r="AV29" i="3" s="1"/>
  <c r="CA7" i="3"/>
  <c r="AV7" i="3" s="1"/>
  <c r="BV23" i="3"/>
  <c r="AQ23" i="3" s="1"/>
  <c r="BU31" i="3"/>
  <c r="AP31" i="3" s="1"/>
  <c r="CD7" i="3"/>
  <c r="AY7" i="3" s="1"/>
  <c r="BW10" i="3"/>
  <c r="AR10" i="3" s="1"/>
  <c r="CF15" i="3"/>
  <c r="BA15" i="3" s="1"/>
  <c r="BV7" i="3"/>
  <c r="AQ7" i="3" s="1"/>
  <c r="CD9" i="3"/>
  <c r="AY9" i="3" s="1"/>
  <c r="CE14" i="3"/>
  <c r="AZ14" i="3" s="1"/>
  <c r="CD8" i="3"/>
  <c r="AY8" i="3" s="1"/>
  <c r="CG25" i="3"/>
  <c r="BB25" i="3" s="1"/>
  <c r="BZ13" i="3"/>
  <c r="AU13" i="3" s="1"/>
  <c r="CC15" i="3"/>
  <c r="AX15" i="3" s="1"/>
  <c r="CD13" i="3"/>
  <c r="AY13" i="3" s="1"/>
  <c r="CB45" i="3"/>
  <c r="AW45" i="3" s="1"/>
  <c r="CG13" i="3"/>
  <c r="BB13" i="3" s="1"/>
  <c r="BY15" i="3"/>
  <c r="AT15" i="3" s="1"/>
  <c r="CC14" i="3"/>
  <c r="AX14" i="3" s="1"/>
  <c r="BS14" i="3"/>
  <c r="AN14" i="3" s="1"/>
  <c r="BT22" i="3"/>
  <c r="AO22" i="3" s="1"/>
  <c r="CC23" i="3"/>
  <c r="AX23" i="3" s="1"/>
  <c r="BT13" i="3"/>
  <c r="AO13" i="3" s="1"/>
  <c r="BX16" i="3"/>
  <c r="AS16" i="3" s="1"/>
  <c r="CG15" i="3"/>
  <c r="BB15" i="3" s="1"/>
  <c r="CD14" i="3"/>
  <c r="AY14" i="3" s="1"/>
  <c r="CF22" i="3"/>
  <c r="BA22" i="3" s="1"/>
  <c r="CB29" i="3"/>
  <c r="AW29" i="3" s="1"/>
  <c r="BX25" i="3"/>
  <c r="AS25" i="3" s="1"/>
  <c r="CF16" i="3"/>
  <c r="BA16" i="3" s="1"/>
  <c r="BW9" i="3"/>
  <c r="AR9" i="3" s="1"/>
  <c r="BS41" i="3"/>
  <c r="AN41" i="3" s="1"/>
  <c r="CG31" i="3"/>
  <c r="BB31" i="3" s="1"/>
  <c r="CC22" i="3"/>
  <c r="AX22" i="3" s="1"/>
  <c r="BS15" i="3"/>
  <c r="AN15" i="3" s="1"/>
  <c r="CF28" i="3"/>
  <c r="BA28" i="3" s="1"/>
  <c r="CC9" i="3"/>
  <c r="AX9" i="3" s="1"/>
  <c r="CD10" i="3"/>
  <c r="AY10" i="3" s="1"/>
  <c r="BX9" i="3"/>
  <c r="AS9" i="3" s="1"/>
  <c r="BY25" i="3"/>
  <c r="AT25" i="3" s="1"/>
  <c r="CG24" i="3"/>
  <c r="BB24" i="3" s="1"/>
  <c r="CA25" i="3"/>
  <c r="AV25" i="3" s="1"/>
  <c r="BY10" i="3"/>
  <c r="AT10" i="3" s="1"/>
  <c r="CC29" i="3"/>
  <c r="AX29" i="3" s="1"/>
  <c r="CD23" i="3"/>
  <c r="AY23" i="3" s="1"/>
  <c r="BY7" i="3"/>
  <c r="AT7" i="3" s="1"/>
  <c r="BV24" i="3"/>
  <c r="AQ24" i="3" s="1"/>
  <c r="BV14" i="3"/>
  <c r="AQ14" i="3" s="1"/>
  <c r="BX15" i="3"/>
  <c r="AS15" i="3" s="1"/>
  <c r="BU22" i="3"/>
  <c r="AP22" i="3" s="1"/>
  <c r="BT28" i="3"/>
  <c r="AO28" i="3" s="1"/>
  <c r="CC16" i="3"/>
  <c r="AX16" i="3" s="1"/>
  <c r="CD22" i="3"/>
  <c r="AY22" i="3" s="1"/>
  <c r="BZ29" i="3"/>
  <c r="AU29" i="3" s="1"/>
  <c r="CG28" i="3"/>
  <c r="BB28" i="3" s="1"/>
  <c r="BY24" i="3"/>
  <c r="AT24" i="3" s="1"/>
  <c r="BW7" i="3"/>
  <c r="AR7" i="3" s="1"/>
  <c r="CB9" i="3"/>
  <c r="AW9" i="3" s="1"/>
  <c r="BS7" i="3"/>
  <c r="AN7" i="3" s="1"/>
  <c r="BY16" i="3"/>
  <c r="AT16" i="3" s="1"/>
  <c r="BW25" i="3"/>
  <c r="AR25" i="3" s="1"/>
  <c r="BT24" i="3"/>
  <c r="AO24" i="3" s="1"/>
  <c r="CA23" i="3"/>
  <c r="AV23" i="3" s="1"/>
  <c r="BX28" i="3"/>
  <c r="AS28" i="3" s="1"/>
  <c r="CD16" i="3"/>
  <c r="AY16" i="3" s="1"/>
  <c r="CF9" i="3"/>
  <c r="BA9" i="3" s="1"/>
  <c r="BY30" i="3"/>
  <c r="AT30" i="3" s="1"/>
  <c r="BT29" i="3"/>
  <c r="AO29" i="3" s="1"/>
  <c r="BZ16" i="3"/>
  <c r="AU16" i="3" s="1"/>
  <c r="CB16" i="3"/>
  <c r="AW16" i="3" s="1"/>
  <c r="CB7" i="3"/>
  <c r="AW7" i="3" s="1"/>
  <c r="CC13" i="3"/>
  <c r="AX13" i="3" s="1"/>
  <c r="CA28" i="3"/>
  <c r="AV28" i="3" s="1"/>
  <c r="BS31" i="3"/>
  <c r="AN31" i="3" s="1"/>
  <c r="BS9" i="3"/>
  <c r="AN9" i="3" s="1"/>
  <c r="CE9" i="3"/>
  <c r="AZ9" i="3" s="1"/>
  <c r="BT23" i="3"/>
  <c r="AO23" i="3" s="1"/>
  <c r="CE41" i="3"/>
  <c r="AZ41" i="3" s="1"/>
  <c r="BS22" i="3"/>
  <c r="AN22" i="3" s="1"/>
  <c r="CA16" i="3"/>
  <c r="AV16" i="3" s="1"/>
  <c r="CF41" i="3"/>
  <c r="BA41" i="3" s="1"/>
  <c r="BX13" i="3"/>
  <c r="AS13" i="3" s="1"/>
  <c r="BZ10" i="3"/>
  <c r="AU10" i="3" s="1"/>
  <c r="BV31" i="3"/>
  <c r="AQ31" i="3" s="1"/>
  <c r="CB28" i="3"/>
  <c r="AW28" i="3" s="1"/>
  <c r="CD24" i="3"/>
  <c r="AY24" i="3" s="1"/>
  <c r="BU9" i="3"/>
  <c r="AP9" i="3" s="1"/>
  <c r="BZ31" i="3"/>
  <c r="AU31" i="3" s="1"/>
  <c r="BS24" i="3"/>
  <c r="AN24" i="3" s="1"/>
  <c r="BV22" i="3"/>
  <c r="AQ22" i="3" s="1"/>
  <c r="BV41" i="3"/>
  <c r="AQ41" i="3" s="1"/>
  <c r="CB23" i="3"/>
  <c r="AW23" i="3" s="1"/>
  <c r="BV16" i="3"/>
  <c r="AQ16" i="3" s="1"/>
  <c r="BU29" i="3"/>
  <c r="AP29" i="3" s="1"/>
  <c r="BU24" i="3"/>
  <c r="AP24" i="3" s="1"/>
  <c r="CF31" i="3"/>
  <c r="BA31" i="3" s="1"/>
  <c r="BY14" i="3"/>
  <c r="AT14" i="3" s="1"/>
  <c r="BV10" i="3"/>
  <c r="AQ10" i="3" s="1"/>
  <c r="CG29" i="3"/>
  <c r="BB29" i="3" s="1"/>
  <c r="CG14" i="3"/>
  <c r="BB14" i="3" s="1"/>
  <c r="CC8" i="3"/>
  <c r="AX8" i="3" s="1"/>
  <c r="CC10" i="3"/>
  <c r="AX10" i="3" s="1"/>
  <c r="CE25" i="3"/>
  <c r="AZ25" i="3" s="1"/>
  <c r="CG16" i="3"/>
  <c r="BB16" i="3" s="1"/>
  <c r="BY31" i="3"/>
  <c r="AT31" i="3" s="1"/>
  <c r="BW30" i="3"/>
  <c r="AR30" i="3" s="1"/>
  <c r="BW8" i="3"/>
  <c r="AR8" i="3" s="1"/>
  <c r="CE7" i="3"/>
  <c r="AZ7" i="3" s="1"/>
  <c r="CB14" i="3"/>
  <c r="AW14" i="3" s="1"/>
  <c r="BV9" i="3"/>
  <c r="AQ9" i="3" s="1"/>
  <c r="CE31" i="3"/>
  <c r="AZ31" i="3" s="1"/>
  <c r="BW15" i="3"/>
  <c r="AR15" i="3" s="1"/>
  <c r="BU14" i="3"/>
  <c r="AP14" i="3" s="1"/>
  <c r="CE30" i="3"/>
  <c r="AZ30" i="3" s="1"/>
  <c r="BU13" i="3"/>
  <c r="AP13" i="3" s="1"/>
  <c r="BS25" i="3"/>
  <c r="AN25" i="3" s="1"/>
  <c r="BV29" i="3"/>
  <c r="AQ29" i="3" s="1"/>
  <c r="CB22" i="3"/>
  <c r="AW22" i="3" s="1"/>
  <c r="CA14" i="3"/>
  <c r="AV14" i="3" s="1"/>
  <c r="BT15" i="3"/>
  <c r="AO15" i="3" s="1"/>
  <c r="BT8" i="3"/>
  <c r="AO8" i="3" s="1"/>
  <c r="BS23" i="3"/>
  <c r="AN23" i="3" s="1"/>
  <c r="CG7" i="3"/>
  <c r="BB7" i="3" s="1"/>
  <c r="BU15" i="3"/>
  <c r="AP15" i="3" s="1"/>
  <c r="BW23" i="3"/>
  <c r="AR23" i="3" s="1"/>
  <c r="CG23" i="3"/>
  <c r="BB23" i="3" s="1"/>
  <c r="BZ15" i="3"/>
  <c r="AU15" i="3" s="1"/>
  <c r="CE10" i="3"/>
  <c r="AZ10" i="3" s="1"/>
  <c r="BT7" i="3"/>
  <c r="AO7" i="3" s="1"/>
  <c r="CE16" i="3"/>
  <c r="AZ16" i="3" s="1"/>
  <c r="BZ28" i="3"/>
  <c r="AU28" i="3" s="1"/>
  <c r="CB13" i="3"/>
  <c r="AW13" i="3" s="1"/>
  <c r="CB31" i="3"/>
  <c r="AW31" i="3" s="1"/>
  <c r="CB44" i="3"/>
  <c r="AW44" i="3" s="1"/>
  <c r="CA15" i="3"/>
  <c r="AV15" i="3" s="1"/>
  <c r="AE4" i="13" l="1" a="1"/>
  <c r="AE4" i="13" s="1"/>
  <c r="AE19" i="13" s="1"/>
  <c r="AA5" i="12" a="1"/>
  <c r="AA5" i="12" s="1"/>
  <c r="AA20" i="12" s="1"/>
  <c r="V5" i="10" a="1"/>
  <c r="V5" i="10" s="1"/>
  <c r="V20" i="10" s="1"/>
  <c r="AD5" i="11" a="1"/>
  <c r="AD5" i="11" s="1"/>
  <c r="AD20" i="11" s="1"/>
  <c r="Z5" i="11" a="1"/>
  <c r="Z5" i="11" s="1"/>
  <c r="Z20" i="11" s="1"/>
  <c r="AD43" i="1"/>
  <c r="W6" i="10" a="1"/>
  <c r="W6" i="10" s="1"/>
  <c r="W21" i="10" s="1"/>
  <c r="AA6" i="11" a="1"/>
  <c r="AA6" i="11" s="1"/>
  <c r="AA21" i="11" s="1"/>
  <c r="AC6" i="10" a="1"/>
  <c r="AC6" i="10" s="1"/>
  <c r="AC21" i="10" s="1"/>
  <c r="AF6" i="13" a="1"/>
  <c r="AF6" i="13" s="1"/>
  <c r="AF21" i="13" s="1"/>
  <c r="AF7" i="13" a="1"/>
  <c r="AF7" i="13" s="1"/>
  <c r="AF22" i="13" s="1"/>
  <c r="AE10" i="13" a="1"/>
  <c r="AE10" i="13" s="1"/>
  <c r="AE25" i="13" s="1"/>
  <c r="AE9" i="10" a="1"/>
  <c r="AE9" i="10" s="1"/>
  <c r="AE24" i="10" s="1"/>
  <c r="AE8" i="10" a="1"/>
  <c r="AE8" i="10" s="1"/>
  <c r="AE23" i="10" s="1"/>
  <c r="W5" i="14" a="1"/>
  <c r="W5" i="14" s="1"/>
  <c r="W20" i="14" s="1"/>
  <c r="AG4" i="13" a="1"/>
  <c r="AG4" i="13" s="1"/>
  <c r="AG19" i="13" s="1"/>
  <c r="AG5" i="12" a="1"/>
  <c r="AG5" i="12" s="1"/>
  <c r="AG20" i="12" s="1"/>
  <c r="Z5" i="12" a="1"/>
  <c r="Z5" i="12" s="1"/>
  <c r="Z20" i="12" s="1"/>
  <c r="AG7" i="13" a="1"/>
  <c r="AG7" i="13" s="1"/>
  <c r="AG22" i="13" s="1"/>
  <c r="X6" i="14" a="1"/>
  <c r="X6" i="14" s="1"/>
  <c r="X21" i="14" s="1"/>
  <c r="AF5" i="10" a="1"/>
  <c r="AF5" i="10" s="1"/>
  <c r="AF20" i="10" s="1"/>
  <c r="U5" i="11" a="1"/>
  <c r="U5" i="11" s="1"/>
  <c r="U20" i="11" s="1"/>
  <c r="X5" i="11" a="1"/>
  <c r="X5" i="11" s="1"/>
  <c r="X20" i="11" s="1"/>
  <c r="U4" i="11" a="1"/>
  <c r="U4" i="11" s="1"/>
  <c r="U19" i="11" s="1"/>
  <c r="AD4" i="11" a="1"/>
  <c r="AD4" i="11" s="1"/>
  <c r="AD19" i="11" s="1"/>
  <c r="AB6" i="14" a="1"/>
  <c r="AB6" i="14" s="1"/>
  <c r="AB21" i="14" s="1"/>
  <c r="Y6" i="12" a="1"/>
  <c r="Y6" i="12" s="1"/>
  <c r="Y21" i="12" s="1"/>
  <c r="AB5" i="11" a="1"/>
  <c r="AB5" i="11" s="1"/>
  <c r="AB20" i="11" s="1"/>
  <c r="Y5" i="12" a="1"/>
  <c r="Y5" i="12" s="1"/>
  <c r="Y20" i="12" s="1"/>
  <c r="X4" i="11" a="1"/>
  <c r="X4" i="11" s="1"/>
  <c r="X19" i="11" s="1"/>
  <c r="AF10" i="9" a="1"/>
  <c r="AF10" i="9" s="1"/>
  <c r="AC7" i="14" a="1"/>
  <c r="AC7" i="14" s="1"/>
  <c r="AC22" i="14" s="1"/>
  <c r="AE6" i="13" a="1"/>
  <c r="AE6" i="13" s="1"/>
  <c r="AE21" i="13" s="1"/>
  <c r="AA6" i="12" a="1"/>
  <c r="AA6" i="12" s="1"/>
  <c r="AA21" i="12" s="1"/>
  <c r="Y5" i="11" a="1"/>
  <c r="Y5" i="11" s="1"/>
  <c r="Y20" i="11" s="1"/>
  <c r="U5" i="12" a="1"/>
  <c r="U5" i="12" s="1"/>
  <c r="U20" i="12" s="1"/>
  <c r="Z4" i="12" a="1"/>
  <c r="Z4" i="12" s="1"/>
  <c r="Z19" i="12" s="1"/>
  <c r="AE8" i="13" a="1"/>
  <c r="AE8" i="13" s="1"/>
  <c r="AE23" i="13" s="1"/>
  <c r="AC5" i="10" a="1"/>
  <c r="AC5" i="10" s="1"/>
  <c r="AC20" i="10" s="1"/>
  <c r="AF4" i="13" a="1"/>
  <c r="AF4" i="13" s="1"/>
  <c r="AF19" i="13" s="1"/>
  <c r="AF5" i="12" a="1"/>
  <c r="AF5" i="12" s="1"/>
  <c r="AF20" i="12" s="1"/>
  <c r="V43" i="1"/>
  <c r="W4" i="11" a="1"/>
  <c r="W4" i="11" s="1"/>
  <c r="W19" i="11" s="1"/>
  <c r="U9" i="10" a="1"/>
  <c r="U9" i="10" s="1"/>
  <c r="U24" i="10" s="1"/>
  <c r="X6" i="11" a="1"/>
  <c r="X6" i="11" s="1"/>
  <c r="X21" i="11" s="1"/>
  <c r="T10" i="12" a="1"/>
  <c r="T10" i="12" s="1"/>
  <c r="AF5" i="14" a="1"/>
  <c r="AF5" i="14" s="1"/>
  <c r="AF20" i="14" s="1"/>
  <c r="X5" i="10" a="1"/>
  <c r="X5" i="10" s="1"/>
  <c r="X20" i="10" s="1"/>
  <c r="AD5" i="12" a="1"/>
  <c r="AD5" i="12" s="1"/>
  <c r="AD20" i="12" s="1"/>
  <c r="AE4" i="11" a="1"/>
  <c r="AE4" i="11" s="1"/>
  <c r="AE19" i="11" s="1"/>
  <c r="AG10" i="13" a="1"/>
  <c r="AG10" i="13" s="1"/>
  <c r="AG25" i="13" s="1"/>
  <c r="AF9" i="10" a="1"/>
  <c r="AF9" i="10" s="1"/>
  <c r="AF24" i="10" s="1"/>
  <c r="V5" i="12" a="1"/>
  <c r="V5" i="12" s="1"/>
  <c r="V20" i="12" s="1"/>
  <c r="AB4" i="7" a="1"/>
  <c r="AB4" i="7" s="1"/>
  <c r="AB19" i="7" s="1"/>
  <c r="AE4" i="12" a="1"/>
  <c r="AE4" i="12" s="1"/>
  <c r="AE19" i="12" s="1"/>
  <c r="AC4" i="11" a="1"/>
  <c r="AC4" i="11" s="1"/>
  <c r="AC19" i="11" s="1"/>
  <c r="AF9" i="13" a="1"/>
  <c r="AF9" i="13" s="1"/>
  <c r="AF24" i="13" s="1"/>
  <c r="AF5" i="11" a="1"/>
  <c r="AF5" i="11" s="1"/>
  <c r="AF20" i="11" s="1"/>
  <c r="AE9" i="13" a="1"/>
  <c r="AE9" i="13" s="1"/>
  <c r="AE24" i="13" s="1"/>
  <c r="T8" i="7" a="1"/>
  <c r="T8" i="7" s="1"/>
  <c r="T23" i="7" s="1"/>
  <c r="T8" i="11" a="1"/>
  <c r="T8" i="11" s="1"/>
  <c r="T23" i="11" s="1"/>
  <c r="AB5" i="10" a="1"/>
  <c r="AB5" i="10" s="1"/>
  <c r="AB20" i="10" s="1"/>
  <c r="AC5" i="11" a="1"/>
  <c r="AC5" i="11" s="1"/>
  <c r="AC20" i="11" s="1"/>
  <c r="W5" i="12" a="1"/>
  <c r="W5" i="12" s="1"/>
  <c r="W20" i="12" s="1"/>
  <c r="V4" i="10" a="1"/>
  <c r="V4" i="10" s="1"/>
  <c r="V19" i="10" s="1"/>
  <c r="AA4" i="10" a="1"/>
  <c r="AA4" i="10" s="1"/>
  <c r="AA19" i="10" s="1"/>
  <c r="AG9" i="10" a="1"/>
  <c r="AG9" i="10" s="1"/>
  <c r="AG24" i="10" s="1"/>
  <c r="W6" i="11" a="1"/>
  <c r="W6" i="11" s="1"/>
  <c r="W21" i="11" s="1"/>
  <c r="T10" i="11" a="1"/>
  <c r="T10" i="11" s="1"/>
  <c r="AE5" i="10" a="1"/>
  <c r="AE5" i="10" s="1"/>
  <c r="AE20" i="10" s="1"/>
  <c r="AE5" i="14" a="1"/>
  <c r="AE5" i="14" s="1"/>
  <c r="AE20" i="14" s="1"/>
  <c r="AE5" i="12" a="1"/>
  <c r="AE5" i="12" s="1"/>
  <c r="AE20" i="12" s="1"/>
  <c r="AC5" i="12" a="1"/>
  <c r="AC5" i="12" s="1"/>
  <c r="AC20" i="12" s="1"/>
  <c r="U4" i="10" a="1"/>
  <c r="U4" i="10" s="1"/>
  <c r="U19" i="10" s="1"/>
  <c r="Y4" i="12" a="1"/>
  <c r="Y4" i="12" s="1"/>
  <c r="Y19" i="12" s="1"/>
  <c r="AF8" i="13" a="1"/>
  <c r="AF8" i="13" s="1"/>
  <c r="AF23" i="13" s="1"/>
  <c r="AG6" i="13" a="1"/>
  <c r="AG6" i="13" s="1"/>
  <c r="AG21" i="13" s="1"/>
  <c r="U6" i="11" a="1"/>
  <c r="U6" i="11" s="1"/>
  <c r="U21" i="11" s="1"/>
  <c r="W4" i="12" a="1"/>
  <c r="W4" i="12" s="1"/>
  <c r="W19" i="12" s="1"/>
  <c r="W5" i="11" a="1"/>
  <c r="W5" i="11" s="1"/>
  <c r="W20" i="11" s="1"/>
  <c r="AF4" i="11" a="1"/>
  <c r="AF4" i="11" s="1"/>
  <c r="AF19" i="11" s="1"/>
  <c r="Y4" i="10" a="1"/>
  <c r="Y4" i="10" s="1"/>
  <c r="Y19" i="10" s="1"/>
  <c r="Z4" i="10" a="1"/>
  <c r="Z4" i="10" s="1"/>
  <c r="Z19" i="10" s="1"/>
  <c r="AE7" i="13" a="1"/>
  <c r="AE7" i="13" s="1"/>
  <c r="AE22" i="13" s="1"/>
  <c r="AB6" i="10" a="1"/>
  <c r="AB6" i="10" s="1"/>
  <c r="AB21" i="10" s="1"/>
  <c r="AG9" i="13" a="1"/>
  <c r="AG9" i="13" s="1"/>
  <c r="AG24" i="13" s="1"/>
  <c r="AF5" i="13" a="1"/>
  <c r="AF5" i="13" s="1"/>
  <c r="AF20" i="13" s="1"/>
  <c r="AB5" i="12" a="1"/>
  <c r="AB5" i="12" s="1"/>
  <c r="AB20" i="12" s="1"/>
  <c r="AG5" i="10" a="1"/>
  <c r="AG5" i="10" s="1"/>
  <c r="AG20" i="10" s="1"/>
  <c r="Y5" i="10" a="1"/>
  <c r="Y5" i="10" s="1"/>
  <c r="Y20" i="10" s="1"/>
  <c r="V4" i="14" a="1"/>
  <c r="V4" i="14" s="1"/>
  <c r="V19" i="14" s="1"/>
  <c r="AC4" i="10" a="1"/>
  <c r="AC4" i="10" s="1"/>
  <c r="AC19" i="10" s="1"/>
  <c r="AD4" i="12" a="1"/>
  <c r="AD4" i="12" s="1"/>
  <c r="AD19" i="12" s="1"/>
  <c r="AG6" i="10" a="1"/>
  <c r="AG6" i="10" s="1"/>
  <c r="AG21" i="10" s="1"/>
  <c r="AH43" i="1"/>
  <c r="V9" i="10" a="1"/>
  <c r="V9" i="10" s="1"/>
  <c r="V24" i="10" s="1"/>
  <c r="AB9" i="10" a="1"/>
  <c r="AB9" i="10" s="1"/>
  <c r="AB24" i="10" s="1"/>
  <c r="AE5" i="13" a="1"/>
  <c r="AE5" i="13" s="1"/>
  <c r="AE20" i="13" s="1"/>
  <c r="S10" i="11" a="1"/>
  <c r="S10" i="11" s="1"/>
  <c r="AA5" i="11" a="1"/>
  <c r="AA5" i="11" s="1"/>
  <c r="AA20" i="11" s="1"/>
  <c r="AF4" i="12" a="1"/>
  <c r="AF4" i="12" s="1"/>
  <c r="AF19" i="12" s="1"/>
  <c r="V4" i="12" a="1"/>
  <c r="V4" i="12" s="1"/>
  <c r="V19" i="12" s="1"/>
  <c r="AA9" i="10" a="1"/>
  <c r="AA9" i="10" s="1"/>
  <c r="AA24" i="10" s="1"/>
  <c r="U6" i="10" a="1"/>
  <c r="U6" i="10" s="1"/>
  <c r="U21" i="10" s="1"/>
  <c r="Z6" i="12" a="1"/>
  <c r="Z6" i="12" s="1"/>
  <c r="Z21" i="12" s="1"/>
  <c r="AG8" i="13" a="1"/>
  <c r="AG8" i="13" s="1"/>
  <c r="AG23" i="13" s="1"/>
  <c r="S10" i="12" a="1"/>
  <c r="S10" i="12" s="1"/>
  <c r="Z43" i="1"/>
  <c r="AB4" i="11" a="1"/>
  <c r="AB4" i="11" s="1"/>
  <c r="AB19" i="11" s="1"/>
  <c r="Z10" i="11" a="1"/>
  <c r="Z10" i="11" s="1"/>
  <c r="AB6" i="11" a="1"/>
  <c r="AB6" i="11" s="1"/>
  <c r="AB21" i="11" s="1"/>
  <c r="W9" i="10" a="1"/>
  <c r="W9" i="10" s="1"/>
  <c r="W24" i="10" s="1"/>
  <c r="AC9" i="14" a="1"/>
  <c r="AC9" i="14" s="1"/>
  <c r="AC24" i="14" s="1"/>
  <c r="AG5" i="13" a="1"/>
  <c r="AG5" i="13" s="1"/>
  <c r="AG20" i="13" s="1"/>
  <c r="AH9" i="12"/>
  <c r="AJ24" i="12" s="1"/>
  <c r="AG6" i="14" a="1"/>
  <c r="AG6" i="14" s="1"/>
  <c r="AG21" i="14" s="1"/>
  <c r="W9" i="14" a="1"/>
  <c r="W9" i="14" s="1"/>
  <c r="W24" i="14" s="1"/>
  <c r="AG8" i="14" a="1"/>
  <c r="AG8" i="14" s="1"/>
  <c r="AG23" i="14" s="1"/>
  <c r="AD6" i="14" a="1"/>
  <c r="AD6" i="14" s="1"/>
  <c r="AD21" i="14" s="1"/>
  <c r="Y10" i="14" a="1"/>
  <c r="Y10" i="14" s="1"/>
  <c r="Y25" i="14" s="1"/>
  <c r="J6" i="14" a="1"/>
  <c r="J6" i="14" s="1"/>
  <c r="J21" i="14" s="1"/>
  <c r="U7" i="14" a="1"/>
  <c r="U7" i="14" s="1"/>
  <c r="U22" i="14" s="1"/>
  <c r="AE6" i="14" a="1"/>
  <c r="AE6" i="14" s="1"/>
  <c r="AE21" i="14" s="1"/>
  <c r="AG9" i="14" a="1"/>
  <c r="AG9" i="14" s="1"/>
  <c r="AG24" i="14" s="1"/>
  <c r="X8" i="14" a="1"/>
  <c r="X8" i="14" s="1"/>
  <c r="X23" i="14" s="1"/>
  <c r="W10" i="14" a="1"/>
  <c r="W10" i="14" s="1"/>
  <c r="W25" i="14" s="1"/>
  <c r="AA9" i="14" a="1"/>
  <c r="AA9" i="14" s="1"/>
  <c r="AA24" i="14" s="1"/>
  <c r="AE7" i="14" a="1"/>
  <c r="AE7" i="14" s="1"/>
  <c r="AE22" i="14" s="1"/>
  <c r="U9" i="14" a="1"/>
  <c r="U9" i="14" s="1"/>
  <c r="U24" i="14" s="1"/>
  <c r="AD9" i="14" a="1"/>
  <c r="AD9" i="14" s="1"/>
  <c r="AD24" i="14" s="1"/>
  <c r="AF6" i="14" a="1"/>
  <c r="AF6" i="14" s="1"/>
  <c r="AF21" i="14" s="1"/>
  <c r="AD10" i="14" a="1"/>
  <c r="AD10" i="14" s="1"/>
  <c r="AD25" i="14" s="1"/>
  <c r="AD4" i="14" a="1"/>
  <c r="AD4" i="14" s="1"/>
  <c r="AD19" i="14" s="1"/>
  <c r="AA4" i="14" a="1"/>
  <c r="AA4" i="14" s="1"/>
  <c r="AA19" i="14" s="1"/>
  <c r="Y7" i="14" a="1"/>
  <c r="Y7" i="14" s="1"/>
  <c r="Y22" i="14" s="1"/>
  <c r="T10" i="14" a="1"/>
  <c r="T10" i="14" s="1"/>
  <c r="T25" i="14" s="1"/>
  <c r="Z6" i="14" a="1"/>
  <c r="Z6" i="14" s="1"/>
  <c r="Z21" i="14" s="1"/>
  <c r="T6" i="14" a="1"/>
  <c r="T6" i="14" s="1"/>
  <c r="T21" i="14" s="1"/>
  <c r="AG4" i="14" a="1"/>
  <c r="AG4" i="14" s="1"/>
  <c r="AG19" i="14" s="1"/>
  <c r="AC8" i="14" a="1"/>
  <c r="AC8" i="14" s="1"/>
  <c r="AC23" i="14" s="1"/>
  <c r="AA6" i="14" a="1"/>
  <c r="AA6" i="14" s="1"/>
  <c r="AA21" i="14" s="1"/>
  <c r="M6" i="14" a="1"/>
  <c r="M6" i="14" s="1"/>
  <c r="M21" i="14" s="1"/>
  <c r="O6" i="14" a="1"/>
  <c r="O6" i="14" s="1"/>
  <c r="O21" i="14" s="1"/>
  <c r="F6" i="14" a="1"/>
  <c r="F6" i="14" s="1"/>
  <c r="F21" i="14" s="1"/>
  <c r="AB5" i="14" a="1"/>
  <c r="AB5" i="14" s="1"/>
  <c r="AB20" i="14" s="1"/>
  <c r="AG5" i="14" a="1"/>
  <c r="AG5" i="14" s="1"/>
  <c r="AG20" i="14" s="1"/>
  <c r="Y4" i="14" a="1"/>
  <c r="Y4" i="14" s="1"/>
  <c r="Y19" i="14" s="1"/>
  <c r="S7" i="14" a="1"/>
  <c r="S7" i="14" s="1"/>
  <c r="S22" i="14" s="1"/>
  <c r="AD5" i="14" a="1"/>
  <c r="AD5" i="14" s="1"/>
  <c r="AD20" i="14" s="1"/>
  <c r="V7" i="14" a="1"/>
  <c r="V7" i="14" s="1"/>
  <c r="V22" i="14" s="1"/>
  <c r="AB4" i="14" a="1"/>
  <c r="AB4" i="14" s="1"/>
  <c r="AB19" i="14" s="1"/>
  <c r="W4" i="14" a="1"/>
  <c r="W4" i="14" s="1"/>
  <c r="W19" i="14" s="1"/>
  <c r="X4" i="14" a="1"/>
  <c r="X4" i="14" s="1"/>
  <c r="X19" i="14" s="1"/>
  <c r="Z7" i="14" a="1"/>
  <c r="Z7" i="14" s="1"/>
  <c r="Z22" i="14" s="1"/>
  <c r="N6" i="14" a="1"/>
  <c r="N6" i="14" s="1"/>
  <c r="N21" i="14" s="1"/>
  <c r="T8" i="14" a="1"/>
  <c r="T8" i="14" s="1"/>
  <c r="T23" i="14" s="1"/>
  <c r="T9" i="14" a="1"/>
  <c r="T9" i="14" s="1"/>
  <c r="T24" i="14" s="1"/>
  <c r="V5" i="14" a="1"/>
  <c r="V5" i="14" s="1"/>
  <c r="V20" i="14" s="1"/>
  <c r="AA8" i="14" a="1"/>
  <c r="AA8" i="14" s="1"/>
  <c r="AA23" i="14" s="1"/>
  <c r="U8" i="14" a="1"/>
  <c r="U8" i="14" s="1"/>
  <c r="U23" i="14" s="1"/>
  <c r="M8" i="14" a="1"/>
  <c r="M8" i="14" s="1"/>
  <c r="M23" i="14" s="1"/>
  <c r="AA5" i="14" a="1"/>
  <c r="AA5" i="14" s="1"/>
  <c r="AA20" i="14" s="1"/>
  <c r="S4" i="14" a="1"/>
  <c r="S4" i="14" s="1"/>
  <c r="S19" i="14" s="1"/>
  <c r="W6" i="14" a="1"/>
  <c r="W6" i="14" s="1"/>
  <c r="W21" i="14" s="1"/>
  <c r="AC4" i="14" a="1"/>
  <c r="AC4" i="14" s="1"/>
  <c r="AC19" i="14" s="1"/>
  <c r="AB10" i="14" a="1"/>
  <c r="AB10" i="14" s="1"/>
  <c r="AB25" i="14" s="1"/>
  <c r="AE10" i="14" a="1"/>
  <c r="AE10" i="14" s="1"/>
  <c r="AE25" i="14" s="1"/>
  <c r="S9" i="14" a="1"/>
  <c r="S9" i="14" s="1"/>
  <c r="S24" i="14" s="1"/>
  <c r="AB8" i="14" a="1"/>
  <c r="AB8" i="14" s="1"/>
  <c r="AB23" i="14" s="1"/>
  <c r="X7" i="14" a="1"/>
  <c r="X7" i="14" s="1"/>
  <c r="X22" i="14" s="1"/>
  <c r="Z4" i="14" a="1"/>
  <c r="Z4" i="14" s="1"/>
  <c r="Z19" i="14" s="1"/>
  <c r="I6" i="14" a="1"/>
  <c r="I6" i="14" s="1"/>
  <c r="I21" i="14" s="1"/>
  <c r="AB9" i="14" a="1"/>
  <c r="AB9" i="14" s="1"/>
  <c r="AB24" i="14" s="1"/>
  <c r="V6" i="14" a="1"/>
  <c r="V6" i="14" s="1"/>
  <c r="V21" i="14" s="1"/>
  <c r="R6" i="14" a="1"/>
  <c r="R6" i="14" s="1"/>
  <c r="R21" i="14" s="1"/>
  <c r="AE4" i="14" a="1"/>
  <c r="AE4" i="14" s="1"/>
  <c r="AE19" i="14" s="1"/>
  <c r="Y8" i="14" a="1"/>
  <c r="Y8" i="14" s="1"/>
  <c r="Y23" i="14" s="1"/>
  <c r="AF4" i="14" a="1"/>
  <c r="AF4" i="14" s="1"/>
  <c r="AF19" i="14" s="1"/>
  <c r="Y9" i="14" a="1"/>
  <c r="Y9" i="14" s="1"/>
  <c r="Y24" i="14" s="1"/>
  <c r="X9" i="14" a="1"/>
  <c r="X9" i="14" s="1"/>
  <c r="X24" i="14" s="1"/>
  <c r="AD7" i="14" a="1"/>
  <c r="AD7" i="14" s="1"/>
  <c r="AD22" i="14" s="1"/>
  <c r="AC6" i="14" a="1"/>
  <c r="AC6" i="14" s="1"/>
  <c r="AC21" i="14" s="1"/>
  <c r="D6" i="14" a="1"/>
  <c r="D6" i="14" s="1"/>
  <c r="D21" i="14" s="1"/>
  <c r="T5" i="14" a="1"/>
  <c r="T5" i="14" s="1"/>
  <c r="T20" i="14" s="1"/>
  <c r="W8" i="14" a="1"/>
  <c r="W8" i="14" s="1"/>
  <c r="W23" i="14" s="1"/>
  <c r="X5" i="14" a="1"/>
  <c r="X5" i="14" s="1"/>
  <c r="X20" i="14" s="1"/>
  <c r="U6" i="14" a="1"/>
  <c r="U6" i="14" s="1"/>
  <c r="U21" i="14" s="1"/>
  <c r="U10" i="14" a="1"/>
  <c r="U10" i="14" s="1"/>
  <c r="U25" i="14" s="1"/>
  <c r="AD8" i="14" a="1"/>
  <c r="AD8" i="14" s="1"/>
  <c r="AD23" i="14" s="1"/>
  <c r="G6" i="14" a="1"/>
  <c r="G6" i="14" s="1"/>
  <c r="G21" i="14" s="1"/>
  <c r="S10" i="14" a="1"/>
  <c r="S10" i="14" s="1"/>
  <c r="S25" i="14" s="1"/>
  <c r="S6" i="14" a="1"/>
  <c r="S6" i="14" s="1"/>
  <c r="S21" i="14" s="1"/>
  <c r="AB7" i="14" a="1"/>
  <c r="AB7" i="14" s="1"/>
  <c r="AB22" i="14" s="1"/>
  <c r="W7" i="14" a="1"/>
  <c r="W7" i="14" s="1"/>
  <c r="W22" i="14" s="1"/>
  <c r="X10" i="14" a="1"/>
  <c r="X10" i="14" s="1"/>
  <c r="X25" i="14" s="1"/>
  <c r="AC10" i="14" a="1"/>
  <c r="AC10" i="14" s="1"/>
  <c r="AC25" i="14" s="1"/>
  <c r="Y5" i="14" a="1"/>
  <c r="Y5" i="14" s="1"/>
  <c r="Y20" i="14" s="1"/>
  <c r="U5" i="14" a="1"/>
  <c r="U5" i="14" s="1"/>
  <c r="U20" i="14" s="1"/>
  <c r="AG10" i="14" a="1"/>
  <c r="AG10" i="14" s="1"/>
  <c r="AG25" i="14" s="1"/>
  <c r="AF8" i="14" a="1"/>
  <c r="AF8" i="14" s="1"/>
  <c r="AF23" i="14" s="1"/>
  <c r="S8" i="14" a="1"/>
  <c r="S8" i="14" s="1"/>
  <c r="S23" i="14" s="1"/>
  <c r="E6" i="14" a="1"/>
  <c r="E6" i="14" s="1"/>
  <c r="E21" i="14" s="1"/>
  <c r="T7" i="14" a="1"/>
  <c r="T7" i="14" s="1"/>
  <c r="T22" i="14" s="1"/>
  <c r="V9" i="14" a="1"/>
  <c r="V9" i="14" s="1"/>
  <c r="V24" i="14" s="1"/>
  <c r="Z9" i="14" a="1"/>
  <c r="Z9" i="14" s="1"/>
  <c r="Z24" i="14" s="1"/>
  <c r="V10" i="14" a="1"/>
  <c r="V10" i="14" s="1"/>
  <c r="V25" i="14" s="1"/>
  <c r="Y6" i="14" a="1"/>
  <c r="Y6" i="14" s="1"/>
  <c r="Y21" i="14" s="1"/>
  <c r="H6" i="14" a="1"/>
  <c r="H6" i="14" s="1"/>
  <c r="H21" i="14" s="1"/>
  <c r="AC5" i="14" a="1"/>
  <c r="AC5" i="14" s="1"/>
  <c r="AC20" i="14" s="1"/>
  <c r="U4" i="14" a="1"/>
  <c r="U4" i="14" s="1"/>
  <c r="U19" i="14" s="1"/>
  <c r="AG7" i="14" a="1"/>
  <c r="AG7" i="14" s="1"/>
  <c r="AG22" i="14" s="1"/>
  <c r="Z8" i="14" a="1"/>
  <c r="Z8" i="14" s="1"/>
  <c r="Z23" i="14" s="1"/>
  <c r="AF9" i="14" a="1"/>
  <c r="AF9" i="14" s="1"/>
  <c r="AF24" i="14" s="1"/>
  <c r="Z10" i="14" a="1"/>
  <c r="Z10" i="14" s="1"/>
  <c r="Z25" i="14" s="1"/>
  <c r="S5" i="14" a="1"/>
  <c r="S5" i="14" s="1"/>
  <c r="S20" i="14" s="1"/>
  <c r="AF10" i="14" a="1"/>
  <c r="AF10" i="14" s="1"/>
  <c r="AF25" i="14" s="1"/>
  <c r="Q6" i="14" a="1"/>
  <c r="Q6" i="14" s="1"/>
  <c r="Q21" i="14" s="1"/>
  <c r="AA10" i="14" a="1"/>
  <c r="AA10" i="14" s="1"/>
  <c r="AA25" i="14" s="1"/>
  <c r="AF7" i="14" a="1"/>
  <c r="AF7" i="14" s="1"/>
  <c r="AF22" i="14" s="1"/>
  <c r="AE9" i="14" a="1"/>
  <c r="AE9" i="14" s="1"/>
  <c r="AE24" i="14" s="1"/>
  <c r="L6" i="14" a="1"/>
  <c r="L6" i="14" s="1"/>
  <c r="L21" i="14" s="1"/>
  <c r="P6" i="14" a="1"/>
  <c r="P6" i="14" s="1"/>
  <c r="P21" i="14" s="1"/>
  <c r="K6" i="14" a="1"/>
  <c r="K6" i="14" s="1"/>
  <c r="K21" i="14" s="1"/>
  <c r="T4" i="14" a="1"/>
  <c r="T4" i="14" s="1"/>
  <c r="T19" i="14" s="1"/>
  <c r="V8" i="14" a="1"/>
  <c r="V8" i="14" s="1"/>
  <c r="V23" i="14" s="1"/>
  <c r="AA7" i="14" a="1"/>
  <c r="AA7" i="14" s="1"/>
  <c r="AA22" i="14" s="1"/>
  <c r="AE8" i="14" a="1"/>
  <c r="AE8" i="14" s="1"/>
  <c r="AE23" i="14" s="1"/>
  <c r="Z5" i="14" a="1"/>
  <c r="Z5" i="14" s="1"/>
  <c r="Z20" i="14" s="1"/>
  <c r="M8" i="13" a="1"/>
  <c r="M8" i="13" s="1"/>
  <c r="M23" i="13" s="1"/>
  <c r="S10" i="13" a="1"/>
  <c r="S10" i="13" s="1"/>
  <c r="S25" i="13" s="1"/>
  <c r="T6" i="13" a="1"/>
  <c r="T6" i="13" s="1"/>
  <c r="T21" i="13" s="1"/>
  <c r="AA6" i="13" a="1"/>
  <c r="AA6" i="13" s="1"/>
  <c r="AA21" i="13" s="1"/>
  <c r="AB8" i="13" a="1"/>
  <c r="AB8" i="13" s="1"/>
  <c r="AB23" i="13" s="1"/>
  <c r="AC7" i="13" a="1"/>
  <c r="AC7" i="13" s="1"/>
  <c r="AC22" i="13" s="1"/>
  <c r="W7" i="13" a="1"/>
  <c r="W7" i="13" s="1"/>
  <c r="W22" i="13" s="1"/>
  <c r="X5" i="13" a="1"/>
  <c r="X5" i="13" s="1"/>
  <c r="X20" i="13" s="1"/>
  <c r="M6" i="13" a="1"/>
  <c r="M6" i="13" s="1"/>
  <c r="M21" i="13" s="1"/>
  <c r="I6" i="13" a="1"/>
  <c r="I6" i="13" s="1"/>
  <c r="I21" i="13" s="1"/>
  <c r="AD9" i="13" a="1"/>
  <c r="AD9" i="13" s="1"/>
  <c r="AD24" i="13" s="1"/>
  <c r="Z8" i="13" a="1"/>
  <c r="Z8" i="13" s="1"/>
  <c r="Z23" i="13" s="1"/>
  <c r="U7" i="13" a="1"/>
  <c r="U7" i="13" s="1"/>
  <c r="U22" i="13" s="1"/>
  <c r="AD8" i="13" a="1"/>
  <c r="AD8" i="13" s="1"/>
  <c r="AD23" i="13" s="1"/>
  <c r="Y10" i="13" a="1"/>
  <c r="Y10" i="13" s="1"/>
  <c r="Y25" i="13" s="1"/>
  <c r="Y5" i="13" a="1"/>
  <c r="Y5" i="13" s="1"/>
  <c r="Y20" i="13" s="1"/>
  <c r="K6" i="13" a="1"/>
  <c r="K6" i="13" s="1"/>
  <c r="K21" i="13" s="1"/>
  <c r="T8" i="13" a="1"/>
  <c r="T8" i="13" s="1"/>
  <c r="T23" i="13" s="1"/>
  <c r="T7" i="13" a="1"/>
  <c r="T7" i="13" s="1"/>
  <c r="T22" i="13" s="1"/>
  <c r="T4" i="13" a="1"/>
  <c r="T4" i="13" s="1"/>
  <c r="T19" i="13" s="1"/>
  <c r="AB9" i="13" a="1"/>
  <c r="AB9" i="13" s="1"/>
  <c r="AB24" i="13" s="1"/>
  <c r="AD10" i="13" a="1"/>
  <c r="AD10" i="13" s="1"/>
  <c r="AD25" i="13" s="1"/>
  <c r="AC10" i="13" a="1"/>
  <c r="AC10" i="13" s="1"/>
  <c r="AC25" i="13" s="1"/>
  <c r="Z9" i="13" a="1"/>
  <c r="Z9" i="13" s="1"/>
  <c r="Z24" i="13" s="1"/>
  <c r="V8" i="13" a="1"/>
  <c r="V8" i="13" s="1"/>
  <c r="V23" i="13" s="1"/>
  <c r="AD7" i="13" a="1"/>
  <c r="AD7" i="13" s="1"/>
  <c r="AD22" i="13" s="1"/>
  <c r="Z5" i="13" a="1"/>
  <c r="Z5" i="13" s="1"/>
  <c r="Z20" i="13" s="1"/>
  <c r="N6" i="13" a="1"/>
  <c r="N6" i="13" s="1"/>
  <c r="N21" i="13" s="1"/>
  <c r="S7" i="13" a="1"/>
  <c r="S7" i="13" s="1"/>
  <c r="S22" i="13" s="1"/>
  <c r="V4" i="13" a="1"/>
  <c r="V4" i="13" s="1"/>
  <c r="V19" i="13" s="1"/>
  <c r="W8" i="13" a="1"/>
  <c r="W8" i="13" s="1"/>
  <c r="W23" i="13" s="1"/>
  <c r="V5" i="13" a="1"/>
  <c r="V5" i="13" s="1"/>
  <c r="V20" i="13" s="1"/>
  <c r="F6" i="13" a="1"/>
  <c r="F6" i="13" s="1"/>
  <c r="F21" i="13" s="1"/>
  <c r="E6" i="13" a="1"/>
  <c r="E6" i="13" s="1"/>
  <c r="E21" i="13" s="1"/>
  <c r="T9" i="13" a="1"/>
  <c r="T9" i="13" s="1"/>
  <c r="T24" i="13" s="1"/>
  <c r="AC4" i="13" a="1"/>
  <c r="AC4" i="13" s="1"/>
  <c r="AC19" i="13" s="1"/>
  <c r="AB10" i="13" a="1"/>
  <c r="AB10" i="13" s="1"/>
  <c r="AB25" i="13" s="1"/>
  <c r="X6" i="13" a="1"/>
  <c r="X6" i="13" s="1"/>
  <c r="X21" i="13" s="1"/>
  <c r="AD6" i="13" a="1"/>
  <c r="AD6" i="13" s="1"/>
  <c r="AD21" i="13" s="1"/>
  <c r="AC5" i="13" a="1"/>
  <c r="AC5" i="13" s="1"/>
  <c r="AC20" i="13" s="1"/>
  <c r="S8" i="13" a="1"/>
  <c r="S8" i="13" s="1"/>
  <c r="S23" i="13" s="1"/>
  <c r="AB4" i="13" a="1"/>
  <c r="AB4" i="13" s="1"/>
  <c r="AB19" i="13" s="1"/>
  <c r="X9" i="13" a="1"/>
  <c r="X9" i="13" s="1"/>
  <c r="X24" i="13" s="1"/>
  <c r="U10" i="13" a="1"/>
  <c r="U10" i="13" s="1"/>
  <c r="U25" i="13" s="1"/>
  <c r="AA7" i="13" a="1"/>
  <c r="AA7" i="13" s="1"/>
  <c r="AA22" i="13" s="1"/>
  <c r="U9" i="13" a="1"/>
  <c r="U9" i="13" s="1"/>
  <c r="U24" i="13" s="1"/>
  <c r="AA5" i="13" a="1"/>
  <c r="AA5" i="13" s="1"/>
  <c r="AA20" i="13" s="1"/>
  <c r="O6" i="13" a="1"/>
  <c r="O6" i="13" s="1"/>
  <c r="O21" i="13" s="1"/>
  <c r="V9" i="13" a="1"/>
  <c r="V9" i="13" s="1"/>
  <c r="V24" i="13" s="1"/>
  <c r="AB5" i="13" a="1"/>
  <c r="AB5" i="13" s="1"/>
  <c r="AB20" i="13" s="1"/>
  <c r="AA10" i="13" a="1"/>
  <c r="AA10" i="13" s="1"/>
  <c r="AA25" i="13" s="1"/>
  <c r="V6" i="13" a="1"/>
  <c r="V6" i="13" s="1"/>
  <c r="V21" i="13" s="1"/>
  <c r="P6" i="13" a="1"/>
  <c r="P6" i="13" s="1"/>
  <c r="P21" i="13" s="1"/>
  <c r="S9" i="13" a="1"/>
  <c r="S9" i="13" s="1"/>
  <c r="S24" i="13" s="1"/>
  <c r="U4" i="13" a="1"/>
  <c r="U4" i="13" s="1"/>
  <c r="U19" i="13" s="1"/>
  <c r="AA9" i="13" a="1"/>
  <c r="AA9" i="13" s="1"/>
  <c r="AA24" i="13" s="1"/>
  <c r="X10" i="13" a="1"/>
  <c r="X10" i="13" s="1"/>
  <c r="X25" i="13" s="1"/>
  <c r="AB6" i="13" a="1"/>
  <c r="AB6" i="13" s="1"/>
  <c r="AB21" i="13" s="1"/>
  <c r="X8" i="13" a="1"/>
  <c r="X8" i="13" s="1"/>
  <c r="X23" i="13" s="1"/>
  <c r="L6" i="13" a="1"/>
  <c r="L6" i="13" s="1"/>
  <c r="L21" i="13" s="1"/>
  <c r="G6" i="13" a="1"/>
  <c r="G6" i="13" s="1"/>
  <c r="G21" i="13" s="1"/>
  <c r="X7" i="13" a="1"/>
  <c r="X7" i="13" s="1"/>
  <c r="X22" i="13" s="1"/>
  <c r="Y9" i="13" a="1"/>
  <c r="Y9" i="13" s="1"/>
  <c r="Y24" i="13" s="1"/>
  <c r="U8" i="13" a="1"/>
  <c r="U8" i="13" s="1"/>
  <c r="U23" i="13" s="1"/>
  <c r="AA4" i="13" a="1"/>
  <c r="AA4" i="13" s="1"/>
  <c r="AA19" i="13" s="1"/>
  <c r="T5" i="13" a="1"/>
  <c r="T5" i="13" s="1"/>
  <c r="T20" i="13" s="1"/>
  <c r="Y8" i="13" a="1"/>
  <c r="Y8" i="13" s="1"/>
  <c r="Y23" i="13" s="1"/>
  <c r="Z6" i="13" a="1"/>
  <c r="Z6" i="13" s="1"/>
  <c r="Z21" i="13" s="1"/>
  <c r="AC6" i="13" a="1"/>
  <c r="AC6" i="13" s="1"/>
  <c r="AC21" i="13" s="1"/>
  <c r="AA8" i="13" a="1"/>
  <c r="AA8" i="13" s="1"/>
  <c r="AA23" i="13" s="1"/>
  <c r="U5" i="13" a="1"/>
  <c r="U5" i="13" s="1"/>
  <c r="U20" i="13" s="1"/>
  <c r="Z4" i="13" a="1"/>
  <c r="Z4" i="13" s="1"/>
  <c r="Z19" i="13" s="1"/>
  <c r="J6" i="13" a="1"/>
  <c r="J6" i="13" s="1"/>
  <c r="J21" i="13" s="1"/>
  <c r="Q6" i="13" a="1"/>
  <c r="Q6" i="13" s="1"/>
  <c r="Q21" i="13" s="1"/>
  <c r="D6" i="13" a="1"/>
  <c r="D6" i="13" s="1"/>
  <c r="D21" i="13" s="1"/>
  <c r="S5" i="13" a="1"/>
  <c r="S5" i="13" s="1"/>
  <c r="S20" i="13" s="1"/>
  <c r="AD4" i="13" a="1"/>
  <c r="AD4" i="13" s="1"/>
  <c r="AD19" i="13" s="1"/>
  <c r="W10" i="13" a="1"/>
  <c r="W10" i="13" s="1"/>
  <c r="W25" i="13" s="1"/>
  <c r="AC8" i="13" a="1"/>
  <c r="AC8" i="13" s="1"/>
  <c r="AC23" i="13" s="1"/>
  <c r="Z10" i="13" a="1"/>
  <c r="Z10" i="13" s="1"/>
  <c r="Z25" i="13" s="1"/>
  <c r="AC9" i="13" a="1"/>
  <c r="AC9" i="13" s="1"/>
  <c r="AC24" i="13" s="1"/>
  <c r="W6" i="13" a="1"/>
  <c r="W6" i="13" s="1"/>
  <c r="W21" i="13" s="1"/>
  <c r="W5" i="13" a="1"/>
  <c r="W5" i="13" s="1"/>
  <c r="W20" i="13" s="1"/>
  <c r="W4" i="13" a="1"/>
  <c r="W4" i="13" s="1"/>
  <c r="W19" i="13" s="1"/>
  <c r="Y4" i="13" a="1"/>
  <c r="Y4" i="13" s="1"/>
  <c r="Y19" i="13" s="1"/>
  <c r="X4" i="13" a="1"/>
  <c r="X4" i="13" s="1"/>
  <c r="X19" i="13" s="1"/>
  <c r="S6" i="13" a="1"/>
  <c r="S6" i="13" s="1"/>
  <c r="S21" i="13" s="1"/>
  <c r="Z7" i="13" a="1"/>
  <c r="Z7" i="13" s="1"/>
  <c r="Z22" i="13" s="1"/>
  <c r="R6" i="13" a="1"/>
  <c r="R6" i="13" s="1"/>
  <c r="R21" i="13" s="1"/>
  <c r="H6" i="13" a="1"/>
  <c r="H6" i="13" s="1"/>
  <c r="H21" i="13" s="1"/>
  <c r="U6" i="13" a="1"/>
  <c r="U6" i="13" s="1"/>
  <c r="U21" i="13" s="1"/>
  <c r="AD5" i="13" a="1"/>
  <c r="AD5" i="13" s="1"/>
  <c r="AD20" i="13" s="1"/>
  <c r="T10" i="13" a="1"/>
  <c r="T10" i="13" s="1"/>
  <c r="T25" i="13" s="1"/>
  <c r="S4" i="13" a="1"/>
  <c r="S4" i="13" s="1"/>
  <c r="S19" i="13" s="1"/>
  <c r="Y7" i="13" a="1"/>
  <c r="Y7" i="13" s="1"/>
  <c r="Y22" i="13" s="1"/>
  <c r="V10" i="13" a="1"/>
  <c r="V10" i="13" s="1"/>
  <c r="V25" i="13" s="1"/>
  <c r="W9" i="13" a="1"/>
  <c r="W9" i="13" s="1"/>
  <c r="W24" i="13" s="1"/>
  <c r="AB7" i="13" a="1"/>
  <c r="AB7" i="13" s="1"/>
  <c r="AB22" i="13" s="1"/>
  <c r="V7" i="13" a="1"/>
  <c r="V7" i="13" s="1"/>
  <c r="V22" i="13" s="1"/>
  <c r="Y6" i="13" a="1"/>
  <c r="Y6" i="13" s="1"/>
  <c r="Y21" i="13" s="1"/>
  <c r="D6" i="9" a="1"/>
  <c r="D6" i="9" s="1"/>
  <c r="AG4" i="10" a="1"/>
  <c r="AG4" i="10" s="1"/>
  <c r="AG19" i="10" s="1"/>
  <c r="AF4" i="10" a="1"/>
  <c r="AF4" i="10" s="1"/>
  <c r="AF19" i="10" s="1"/>
  <c r="AA6" i="10" a="1"/>
  <c r="AA6" i="10" s="1"/>
  <c r="AA21" i="10" s="1"/>
  <c r="AB6" i="12" a="1"/>
  <c r="AB6" i="12" s="1"/>
  <c r="AB21" i="12" s="1"/>
  <c r="AE6" i="11" a="1"/>
  <c r="AE6" i="11" s="1"/>
  <c r="AE21" i="11" s="1"/>
  <c r="AD5" i="10" a="1"/>
  <c r="AD5" i="10" s="1"/>
  <c r="AD20" i="10" s="1"/>
  <c r="X6" i="10" a="1"/>
  <c r="X6" i="10" s="1"/>
  <c r="X21" i="10" s="1"/>
  <c r="AE6" i="12" a="1"/>
  <c r="AE6" i="12" s="1"/>
  <c r="AE21" i="12" s="1"/>
  <c r="V6" i="10" a="1"/>
  <c r="V6" i="10" s="1"/>
  <c r="V21" i="10" s="1"/>
  <c r="AE6" i="10" a="1"/>
  <c r="AE6" i="10" s="1"/>
  <c r="AE21" i="10" s="1"/>
  <c r="X8" i="12" a="1"/>
  <c r="X8" i="12" s="1"/>
  <c r="X23" i="12" s="1"/>
  <c r="AC6" i="12" a="1"/>
  <c r="AC6" i="12" s="1"/>
  <c r="AC21" i="12" s="1"/>
  <c r="AD6" i="10" a="1"/>
  <c r="AD6" i="10" s="1"/>
  <c r="AD21" i="10" s="1"/>
  <c r="AF6" i="10" a="1"/>
  <c r="AF6" i="10" s="1"/>
  <c r="AF21" i="10" s="1"/>
  <c r="Y6" i="11" a="1"/>
  <c r="Y6" i="11" s="1"/>
  <c r="Y21" i="11" s="1"/>
  <c r="V6" i="12" a="1"/>
  <c r="V6" i="12" s="1"/>
  <c r="V21" i="12" s="1"/>
  <c r="V4" i="7" a="1"/>
  <c r="V4" i="7" s="1"/>
  <c r="V19" i="7" s="1"/>
  <c r="AG6" i="11" a="1"/>
  <c r="AG6" i="11" s="1"/>
  <c r="AG21" i="11" s="1"/>
  <c r="AD8" i="11" a="1"/>
  <c r="AD8" i="11" s="1"/>
  <c r="AD23" i="11" s="1"/>
  <c r="X6" i="12" a="1"/>
  <c r="X6" i="12" s="1"/>
  <c r="X21" i="12" s="1"/>
  <c r="AD6" i="11" a="1"/>
  <c r="AD6" i="11" s="1"/>
  <c r="AD21" i="11" s="1"/>
  <c r="W6" i="12" a="1"/>
  <c r="W6" i="12" s="1"/>
  <c r="W21" i="12" s="1"/>
  <c r="Y8" i="10" a="1"/>
  <c r="Y8" i="10" s="1"/>
  <c r="Y23" i="10" s="1"/>
  <c r="AD6" i="12" a="1"/>
  <c r="AD6" i="12" s="1"/>
  <c r="AD21" i="12" s="1"/>
  <c r="Z8" i="11" a="1"/>
  <c r="Z8" i="11" s="1"/>
  <c r="Z23" i="11" s="1"/>
  <c r="AF6" i="12" a="1"/>
  <c r="AF6" i="12" s="1"/>
  <c r="AF21" i="12" s="1"/>
  <c r="AD8" i="12" a="1"/>
  <c r="AD8" i="12" s="1"/>
  <c r="AD23" i="12" s="1"/>
  <c r="V6" i="11" a="1"/>
  <c r="V6" i="11" s="1"/>
  <c r="V21" i="11" s="1"/>
  <c r="AF8" i="12" a="1"/>
  <c r="AF8" i="12" s="1"/>
  <c r="AF23" i="12" s="1"/>
  <c r="Z6" i="11" a="1"/>
  <c r="Z6" i="11" s="1"/>
  <c r="Z21" i="11" s="1"/>
  <c r="AF6" i="11" a="1"/>
  <c r="AF6" i="11" s="1"/>
  <c r="AF21" i="11" s="1"/>
  <c r="V8" i="12" a="1"/>
  <c r="V8" i="12" s="1"/>
  <c r="V23" i="12" s="1"/>
  <c r="AC8" i="11" a="1"/>
  <c r="AC8" i="11" s="1"/>
  <c r="AC23" i="11" s="1"/>
  <c r="Z6" i="10" a="1"/>
  <c r="Z6" i="10" s="1"/>
  <c r="Z21" i="10" s="1"/>
  <c r="Y8" i="11" a="1"/>
  <c r="Y8" i="11" s="1"/>
  <c r="Y23" i="11" s="1"/>
  <c r="Y6" i="10" a="1"/>
  <c r="Y6" i="10" s="1"/>
  <c r="Y21" i="10" s="1"/>
  <c r="AC6" i="11" a="1"/>
  <c r="AC6" i="11" s="1"/>
  <c r="AC21" i="11" s="1"/>
  <c r="W8" i="12" a="1"/>
  <c r="W8" i="12" s="1"/>
  <c r="W23" i="12" s="1"/>
  <c r="AA4" i="12" a="1"/>
  <c r="AA4" i="12" s="1"/>
  <c r="AA19" i="12" s="1"/>
  <c r="X5" i="12" a="1"/>
  <c r="X5" i="12" s="1"/>
  <c r="X20" i="12" s="1"/>
  <c r="AC8" i="12" a="1"/>
  <c r="AC8" i="12" s="1"/>
  <c r="AC23" i="12" s="1"/>
  <c r="X4" i="10" a="1"/>
  <c r="X4" i="10" s="1"/>
  <c r="X19" i="10" s="1"/>
  <c r="AB4" i="12" a="1"/>
  <c r="AB4" i="12" s="1"/>
  <c r="AB19" i="12" s="1"/>
  <c r="V4" i="11" a="1"/>
  <c r="V4" i="11" s="1"/>
  <c r="V19" i="11" s="1"/>
  <c r="AD8" i="10" a="1"/>
  <c r="AD8" i="10" s="1"/>
  <c r="AD23" i="10" s="1"/>
  <c r="AG4" i="11" a="1"/>
  <c r="AG4" i="11" s="1"/>
  <c r="AG19" i="11" s="1"/>
  <c r="AF8" i="10" a="1"/>
  <c r="AF8" i="10" s="1"/>
  <c r="AF23" i="10" s="1"/>
  <c r="U4" i="12" a="1"/>
  <c r="U4" i="12" s="1"/>
  <c r="U19" i="12" s="1"/>
  <c r="Z9" i="7" a="1"/>
  <c r="Z9" i="7" s="1"/>
  <c r="Z24" i="7" s="1"/>
  <c r="AG5" i="11" a="1"/>
  <c r="AG5" i="11" s="1"/>
  <c r="AG20" i="11" s="1"/>
  <c r="AC9" i="10" a="1"/>
  <c r="AC9" i="10" s="1"/>
  <c r="AC24" i="10" s="1"/>
  <c r="AF8" i="11" a="1"/>
  <c r="AF8" i="11" s="1"/>
  <c r="AF23" i="11" s="1"/>
  <c r="X4" i="12" a="1"/>
  <c r="X4" i="12" s="1"/>
  <c r="X19" i="12" s="1"/>
  <c r="W4" i="10" a="1"/>
  <c r="W4" i="10" s="1"/>
  <c r="W19" i="10" s="1"/>
  <c r="AA4" i="11" a="1"/>
  <c r="AA4" i="11" s="1"/>
  <c r="AA19" i="11" s="1"/>
  <c r="AG4" i="12" a="1"/>
  <c r="AG4" i="12" s="1"/>
  <c r="AG19" i="12" s="1"/>
  <c r="AE8" i="12" a="1"/>
  <c r="AE8" i="12" s="1"/>
  <c r="AE23" i="12" s="1"/>
  <c r="V8" i="10" a="1"/>
  <c r="V8" i="10" s="1"/>
  <c r="V23" i="10" s="1"/>
  <c r="Z8" i="10" a="1"/>
  <c r="Z8" i="10" s="1"/>
  <c r="Z23" i="10" s="1"/>
  <c r="V8" i="11" a="1"/>
  <c r="V8" i="11" s="1"/>
  <c r="V23" i="11" s="1"/>
  <c r="U8" i="10" a="1"/>
  <c r="U8" i="10" s="1"/>
  <c r="U23" i="10" s="1"/>
  <c r="Z7" i="11" a="1"/>
  <c r="Z7" i="11" s="1"/>
  <c r="Z22" i="11" s="1"/>
  <c r="AE5" i="11" a="1"/>
  <c r="AE5" i="11" s="1"/>
  <c r="AE20" i="11" s="1"/>
  <c r="AD4" i="10" a="1"/>
  <c r="AD4" i="10" s="1"/>
  <c r="AD19" i="10" s="1"/>
  <c r="Z7" i="10" a="1"/>
  <c r="Z7" i="10" s="1"/>
  <c r="Z22" i="10" s="1"/>
  <c r="X8" i="10" a="1"/>
  <c r="X8" i="10" s="1"/>
  <c r="X23" i="10" s="1"/>
  <c r="U8" i="11" a="1"/>
  <c r="U8" i="11" s="1"/>
  <c r="U23" i="11" s="1"/>
  <c r="AE7" i="10" a="1"/>
  <c r="AE7" i="10" s="1"/>
  <c r="AE22" i="10" s="1"/>
  <c r="X10" i="10" a="1"/>
  <c r="X10" i="10" s="1"/>
  <c r="X25" i="10" s="1"/>
  <c r="AB4" i="10" a="1"/>
  <c r="AB4" i="10" s="1"/>
  <c r="AB19" i="10" s="1"/>
  <c r="AE8" i="7" a="1"/>
  <c r="AE8" i="7" s="1"/>
  <c r="AE23" i="7" s="1"/>
  <c r="V5" i="11" a="1"/>
  <c r="V5" i="11" s="1"/>
  <c r="V20" i="11" s="1"/>
  <c r="AD10" i="10" a="1"/>
  <c r="AD10" i="10" s="1"/>
  <c r="AD25" i="10" s="1"/>
  <c r="AG10" i="11" a="1"/>
  <c r="AG10" i="11" s="1"/>
  <c r="AF10" i="11" a="1"/>
  <c r="AF10" i="11" s="1"/>
  <c r="V7" i="12" a="1"/>
  <c r="V7" i="12" s="1"/>
  <c r="V22" i="12" s="1"/>
  <c r="X8" i="11" a="1"/>
  <c r="X8" i="11" s="1"/>
  <c r="X23" i="11" s="1"/>
  <c r="W8" i="11" a="1"/>
  <c r="W8" i="11" s="1"/>
  <c r="W23" i="11" s="1"/>
  <c r="V10" i="11" a="1"/>
  <c r="V10" i="11" s="1"/>
  <c r="AA8" i="10" a="1"/>
  <c r="AA8" i="10" s="1"/>
  <c r="AA23" i="10" s="1"/>
  <c r="X7" i="11" a="1"/>
  <c r="X7" i="11" s="1"/>
  <c r="X22" i="11" s="1"/>
  <c r="W7" i="11" a="1"/>
  <c r="W7" i="11" s="1"/>
  <c r="W22" i="11" s="1"/>
  <c r="AF9" i="7" a="1"/>
  <c r="AF9" i="7" s="1"/>
  <c r="AF24" i="7" s="1"/>
  <c r="AD7" i="12" a="1"/>
  <c r="AD7" i="12" s="1"/>
  <c r="AD22" i="12" s="1"/>
  <c r="Y10" i="11" a="1"/>
  <c r="Y10" i="11" s="1"/>
  <c r="V7" i="10" a="1"/>
  <c r="V7" i="10" s="1"/>
  <c r="V22" i="10" s="1"/>
  <c r="Y7" i="10" a="1"/>
  <c r="Y7" i="10" s="1"/>
  <c r="Y22" i="10" s="1"/>
  <c r="AF7" i="10" a="1"/>
  <c r="AF7" i="10" s="1"/>
  <c r="AF22" i="10" s="1"/>
  <c r="AC7" i="12" a="1"/>
  <c r="AC7" i="12" s="1"/>
  <c r="AC22" i="12" s="1"/>
  <c r="AF10" i="10" a="1"/>
  <c r="AF10" i="10" s="1"/>
  <c r="AF25" i="10" s="1"/>
  <c r="AE7" i="11" a="1"/>
  <c r="AE7" i="11" s="1"/>
  <c r="AE22" i="11" s="1"/>
  <c r="AA7" i="10" a="1"/>
  <c r="AA7" i="10" s="1"/>
  <c r="AA22" i="10" s="1"/>
  <c r="U8" i="12" a="1"/>
  <c r="U8" i="12" s="1"/>
  <c r="U23" i="12" s="1"/>
  <c r="Y8" i="12" a="1"/>
  <c r="Y8" i="12" s="1"/>
  <c r="Y23" i="12" s="1"/>
  <c r="AE10" i="11" a="1"/>
  <c r="AE10" i="11" s="1"/>
  <c r="AG10" i="12" a="1"/>
  <c r="AG10" i="12" s="1"/>
  <c r="AE4" i="10" a="1"/>
  <c r="AE4" i="10" s="1"/>
  <c r="AE19" i="10" s="1"/>
  <c r="AE7" i="12" a="1"/>
  <c r="AE7" i="12" s="1"/>
  <c r="AE22" i="12" s="1"/>
  <c r="AC10" i="10" a="1"/>
  <c r="AC10" i="10" s="1"/>
  <c r="AC25" i="10" s="1"/>
  <c r="AE10" i="12" a="1"/>
  <c r="AE10" i="12" s="1"/>
  <c r="W5" i="10" a="1"/>
  <c r="W5" i="10" s="1"/>
  <c r="W20" i="10" s="1"/>
  <c r="W7" i="10" a="1"/>
  <c r="W7" i="10" s="1"/>
  <c r="W22" i="10" s="1"/>
  <c r="X7" i="12" a="1"/>
  <c r="X7" i="12" s="1"/>
  <c r="X22" i="12" s="1"/>
  <c r="AA7" i="11" a="1"/>
  <c r="AA7" i="11" s="1"/>
  <c r="AA22" i="11" s="1"/>
  <c r="AG7" i="12" a="1"/>
  <c r="AG7" i="12" s="1"/>
  <c r="AG22" i="12" s="1"/>
  <c r="U7" i="10" a="1"/>
  <c r="U7" i="10" s="1"/>
  <c r="U22" i="10" s="1"/>
  <c r="AB7" i="10" a="1"/>
  <c r="AB7" i="10" s="1"/>
  <c r="AB22" i="10" s="1"/>
  <c r="AE8" i="11" a="1"/>
  <c r="AE8" i="11" s="1"/>
  <c r="AE23" i="11" s="1"/>
  <c r="AE10" i="10" a="1"/>
  <c r="AE10" i="10" s="1"/>
  <c r="AE25" i="10" s="1"/>
  <c r="AF7" i="12" a="1"/>
  <c r="AF7" i="12" s="1"/>
  <c r="AF22" i="12" s="1"/>
  <c r="X7" i="10" a="1"/>
  <c r="X7" i="10" s="1"/>
  <c r="X22" i="10" s="1"/>
  <c r="AA7" i="12" a="1"/>
  <c r="AA7" i="12" s="1"/>
  <c r="AA22" i="12" s="1"/>
  <c r="AB10" i="12" a="1"/>
  <c r="AB10" i="12" s="1"/>
  <c r="Y7" i="12" a="1"/>
  <c r="Y7" i="12" s="1"/>
  <c r="Y22" i="12" s="1"/>
  <c r="X10" i="12" a="1"/>
  <c r="X10" i="12" s="1"/>
  <c r="Y10" i="12" a="1"/>
  <c r="Y10" i="12" s="1"/>
  <c r="AG8" i="11" a="1"/>
  <c r="AG8" i="11" s="1"/>
  <c r="AG23" i="11" s="1"/>
  <c r="U7" i="12" a="1"/>
  <c r="U7" i="12" s="1"/>
  <c r="U22" i="12" s="1"/>
  <c r="AB7" i="12" a="1"/>
  <c r="AB7" i="12" s="1"/>
  <c r="AB22" i="12" s="1"/>
  <c r="AD7" i="10" a="1"/>
  <c r="AD7" i="10" s="1"/>
  <c r="AD22" i="10" s="1"/>
  <c r="AF10" i="12" a="1"/>
  <c r="AF10" i="12" s="1"/>
  <c r="X10" i="11" a="1"/>
  <c r="X10" i="11" s="1"/>
  <c r="U5" i="10" a="1"/>
  <c r="U5" i="10" s="1"/>
  <c r="U20" i="10" s="1"/>
  <c r="AG7" i="11" a="1"/>
  <c r="AG7" i="11" s="1"/>
  <c r="AG22" i="11" s="1"/>
  <c r="Z7" i="12" a="1"/>
  <c r="Z7" i="12" s="1"/>
  <c r="Z22" i="12" s="1"/>
  <c r="AG7" i="10" a="1"/>
  <c r="AG7" i="10" s="1"/>
  <c r="AG22" i="10" s="1"/>
  <c r="U7" i="11" a="1"/>
  <c r="U7" i="11" s="1"/>
  <c r="U22" i="11" s="1"/>
  <c r="V7" i="11" a="1"/>
  <c r="V7" i="11" s="1"/>
  <c r="V22" i="11" s="1"/>
  <c r="AA10" i="12" a="1"/>
  <c r="AA10" i="12" s="1"/>
  <c r="Z4" i="11" a="1"/>
  <c r="Z4" i="11" s="1"/>
  <c r="Z19" i="11" s="1"/>
  <c r="AB7" i="11" a="1"/>
  <c r="AB7" i="11" s="1"/>
  <c r="AB22" i="11" s="1"/>
  <c r="U10" i="10" a="1"/>
  <c r="U10" i="10" s="1"/>
  <c r="U25" i="10" s="1"/>
  <c r="AB8" i="10" a="1"/>
  <c r="AB8" i="10" s="1"/>
  <c r="AB23" i="10" s="1"/>
  <c r="Z10" i="10" a="1"/>
  <c r="Z10" i="10" s="1"/>
  <c r="Z25" i="10" s="1"/>
  <c r="AC8" i="10" a="1"/>
  <c r="AC8" i="10" s="1"/>
  <c r="AC23" i="10" s="1"/>
  <c r="X9" i="10" a="1"/>
  <c r="X9" i="10" s="1"/>
  <c r="X24" i="10" s="1"/>
  <c r="U10" i="12" a="1"/>
  <c r="U10" i="12" s="1"/>
  <c r="V10" i="12" a="1"/>
  <c r="V10" i="12" s="1"/>
  <c r="AB10" i="10" a="1"/>
  <c r="AB10" i="10" s="1"/>
  <c r="AB25" i="10" s="1"/>
  <c r="AG10" i="10" a="1"/>
  <c r="AG10" i="10" s="1"/>
  <c r="AG25" i="10" s="1"/>
  <c r="AG8" i="10" a="1"/>
  <c r="AG8" i="10" s="1"/>
  <c r="AG23" i="10" s="1"/>
  <c r="AD7" i="11" a="1"/>
  <c r="AD7" i="11" s="1"/>
  <c r="AD22" i="11" s="1"/>
  <c r="AB10" i="11" a="1"/>
  <c r="AB10" i="11" s="1"/>
  <c r="AA10" i="11" a="1"/>
  <c r="AA10" i="11" s="1"/>
  <c r="AC7" i="11" a="1"/>
  <c r="AC7" i="11" s="1"/>
  <c r="AC22" i="11" s="1"/>
  <c r="AB8" i="12" a="1"/>
  <c r="AB8" i="12" s="1"/>
  <c r="AB23" i="12" s="1"/>
  <c r="AA8" i="11" a="1"/>
  <c r="AA8" i="11" s="1"/>
  <c r="AA23" i="11" s="1"/>
  <c r="V10" i="10" a="1"/>
  <c r="V10" i="10" s="1"/>
  <c r="V25" i="10" s="1"/>
  <c r="W7" i="12" a="1"/>
  <c r="W7" i="12" s="1"/>
  <c r="W22" i="12" s="1"/>
  <c r="U10" i="11" a="1"/>
  <c r="U10" i="11" s="1"/>
  <c r="AD10" i="11" a="1"/>
  <c r="AD10" i="11" s="1"/>
  <c r="Z5" i="10" a="1"/>
  <c r="Z5" i="10" s="1"/>
  <c r="Z20" i="10" s="1"/>
  <c r="Y7" i="11" a="1"/>
  <c r="Y7" i="11" s="1"/>
  <c r="Y22" i="11" s="1"/>
  <c r="AA8" i="12" a="1"/>
  <c r="AA8" i="12" s="1"/>
  <c r="AA23" i="12" s="1"/>
  <c r="W8" i="10" a="1"/>
  <c r="W8" i="10" s="1"/>
  <c r="W23" i="10" s="1"/>
  <c r="AB8" i="11" a="1"/>
  <c r="AB8" i="11" s="1"/>
  <c r="AB23" i="11" s="1"/>
  <c r="AD10" i="12" a="1"/>
  <c r="AD10" i="12" s="1"/>
  <c r="W10" i="12" a="1"/>
  <c r="W10" i="12" s="1"/>
  <c r="W10" i="10" a="1"/>
  <c r="W10" i="10" s="1"/>
  <c r="W25" i="10" s="1"/>
  <c r="AC10" i="12" a="1"/>
  <c r="AC10" i="12" s="1"/>
  <c r="AC10" i="11" a="1"/>
  <c r="AC10" i="11" s="1"/>
  <c r="Z8" i="12" a="1"/>
  <c r="Z8" i="12" s="1"/>
  <c r="Z23" i="12" s="1"/>
  <c r="Z9" i="10" a="1"/>
  <c r="Z9" i="10" s="1"/>
  <c r="Z24" i="10" s="1"/>
  <c r="AD9" i="10" a="1"/>
  <c r="AD9" i="10" s="1"/>
  <c r="AD24" i="10" s="1"/>
  <c r="Y10" i="10" a="1"/>
  <c r="Y10" i="10" s="1"/>
  <c r="Y25" i="10" s="1"/>
  <c r="AC7" i="10" a="1"/>
  <c r="AC7" i="10" s="1"/>
  <c r="AC22" i="10" s="1"/>
  <c r="AA10" i="7" a="1"/>
  <c r="AA10" i="7" s="1"/>
  <c r="AA25" i="7" s="1"/>
  <c r="AG8" i="12" a="1"/>
  <c r="AG8" i="12" s="1"/>
  <c r="AG23" i="12" s="1"/>
  <c r="AA10" i="10" a="1"/>
  <c r="AA10" i="10" s="1"/>
  <c r="AA25" i="10" s="1"/>
  <c r="Y9" i="10" a="1"/>
  <c r="Y9" i="10" s="1"/>
  <c r="Y24" i="10" s="1"/>
  <c r="AF7" i="11" a="1"/>
  <c r="AF7" i="11" s="1"/>
  <c r="AF22" i="11" s="1"/>
  <c r="Z10" i="12" a="1"/>
  <c r="Z10" i="12" s="1"/>
  <c r="W10" i="11" a="1"/>
  <c r="W10" i="11" s="1"/>
  <c r="AA5" i="10" a="1"/>
  <c r="AA5" i="10" s="1"/>
  <c r="AA20" i="10" s="1"/>
  <c r="AF5" i="7" a="1"/>
  <c r="AF5" i="7" s="1"/>
  <c r="AF20" i="7" s="1"/>
  <c r="V9" i="7" a="1"/>
  <c r="V9" i="7" s="1"/>
  <c r="V24" i="7" s="1"/>
  <c r="AA5" i="7" a="1"/>
  <c r="AA5" i="7" s="1"/>
  <c r="AA20" i="7" s="1"/>
  <c r="Y7" i="9" a="1"/>
  <c r="Y7" i="9" s="1"/>
  <c r="AF6" i="9" a="1"/>
  <c r="AF6" i="9" s="1"/>
  <c r="V6" i="7" a="1"/>
  <c r="V6" i="7" s="1"/>
  <c r="V21" i="7" s="1"/>
  <c r="AB7" i="7" a="1"/>
  <c r="AB7" i="7" s="1"/>
  <c r="AB22" i="7" s="1"/>
  <c r="V5" i="7" a="1"/>
  <c r="V5" i="7" s="1"/>
  <c r="V20" i="7" s="1"/>
  <c r="AF4" i="7" a="1"/>
  <c r="AF4" i="7" s="1"/>
  <c r="AF19" i="7" s="1"/>
  <c r="V8" i="7" a="1"/>
  <c r="V8" i="7" s="1"/>
  <c r="V23" i="7" s="1"/>
  <c r="AE10" i="7" a="1"/>
  <c r="AE10" i="7" s="1"/>
  <c r="AE25" i="7" s="1"/>
  <c r="W5" i="7" a="1"/>
  <c r="W5" i="7" s="1"/>
  <c r="W20" i="7" s="1"/>
  <c r="AE9" i="7" a="1"/>
  <c r="AE9" i="7" s="1"/>
  <c r="AE24" i="7" s="1"/>
  <c r="Q6" i="7" a="1"/>
  <c r="Q6" i="7" s="1"/>
  <c r="Q21" i="7" s="1"/>
  <c r="U10" i="7" a="1"/>
  <c r="U10" i="7" s="1"/>
  <c r="U25" i="7" s="1"/>
  <c r="V5" i="9" a="1"/>
  <c r="V5" i="9" s="1"/>
  <c r="V7" i="9" a="1"/>
  <c r="V7" i="9" s="1"/>
  <c r="W7" i="9" a="1"/>
  <c r="W7" i="9" s="1"/>
  <c r="V4" i="9" a="1"/>
  <c r="V4" i="9" s="1"/>
  <c r="V9" i="9" a="1"/>
  <c r="V9" i="9" s="1"/>
  <c r="V10" i="9" a="1"/>
  <c r="V10" i="9" s="1"/>
  <c r="V8" i="9" a="1"/>
  <c r="V8" i="9" s="1"/>
  <c r="V6" i="9" a="1"/>
  <c r="V6" i="9" s="1"/>
  <c r="Q6" i="9" a="1"/>
  <c r="Q6" i="9" s="1"/>
  <c r="AB5" i="7" a="1"/>
  <c r="AB5" i="7" s="1"/>
  <c r="AB20" i="7" s="1"/>
  <c r="V10" i="7" a="1"/>
  <c r="V10" i="7" s="1"/>
  <c r="V25" i="7" s="1"/>
  <c r="V7" i="7" a="1"/>
  <c r="V7" i="7" s="1"/>
  <c r="V22" i="7" s="1"/>
  <c r="X7" i="9" a="1"/>
  <c r="X7" i="9" s="1"/>
  <c r="Y7" i="7" a="1"/>
  <c r="Y7" i="7" s="1"/>
  <c r="Y22" i="7" s="1"/>
  <c r="AH9" i="11"/>
  <c r="AJ24" i="11" s="1"/>
  <c r="U4" i="7" a="1"/>
  <c r="U4" i="7" s="1"/>
  <c r="U19" i="7" s="1"/>
  <c r="AD7" i="7" a="1"/>
  <c r="AD7" i="7" s="1"/>
  <c r="AD22" i="7" s="1"/>
  <c r="AD4" i="7" a="1"/>
  <c r="AD4" i="7" s="1"/>
  <c r="AD19" i="7" s="1"/>
  <c r="AC6" i="7" a="1"/>
  <c r="AC6" i="7" s="1"/>
  <c r="AC21" i="7" s="1"/>
  <c r="X7" i="7" a="1"/>
  <c r="X7" i="7" s="1"/>
  <c r="X22" i="7" s="1"/>
  <c r="Y9" i="7" a="1"/>
  <c r="Y9" i="7" s="1"/>
  <c r="Y24" i="7" s="1"/>
  <c r="U7" i="7" a="1"/>
  <c r="U7" i="7" s="1"/>
  <c r="U22" i="7" s="1"/>
  <c r="AG4" i="7" a="1"/>
  <c r="AG4" i="7" s="1"/>
  <c r="AG19" i="7" s="1"/>
  <c r="X10" i="7" a="1"/>
  <c r="X10" i="7" s="1"/>
  <c r="X25" i="7" s="1"/>
  <c r="AD6" i="9" a="1"/>
  <c r="AD6" i="9" s="1"/>
  <c r="Y10" i="7" a="1"/>
  <c r="Y10" i="7" s="1"/>
  <c r="Y25" i="7" s="1"/>
  <c r="AD8" i="7" a="1"/>
  <c r="AD8" i="7" s="1"/>
  <c r="AD23" i="7" s="1"/>
  <c r="AD5" i="7" a="1"/>
  <c r="AD5" i="7" s="1"/>
  <c r="AD20" i="7" s="1"/>
  <c r="AC8" i="7" a="1"/>
  <c r="AC8" i="7" s="1"/>
  <c r="AC23" i="7" s="1"/>
  <c r="AE7" i="9" a="1"/>
  <c r="AE7" i="9" s="1"/>
  <c r="AF6" i="7" a="1"/>
  <c r="AF6" i="7" s="1"/>
  <c r="AF21" i="7" s="1"/>
  <c r="W6" i="9" a="1"/>
  <c r="W6" i="9" s="1"/>
  <c r="U7" i="9" a="1"/>
  <c r="U7" i="9" s="1"/>
  <c r="AD9" i="7" a="1"/>
  <c r="AD9" i="7" s="1"/>
  <c r="AD24" i="7" s="1"/>
  <c r="AF7" i="7" a="1"/>
  <c r="AF7" i="7" s="1"/>
  <c r="AF22" i="7" s="1"/>
  <c r="AC8" i="9" a="1"/>
  <c r="AC8" i="9" s="1"/>
  <c r="Z7" i="7" a="1"/>
  <c r="Z7" i="7" s="1"/>
  <c r="Z22" i="7" s="1"/>
  <c r="W4" i="7" a="1"/>
  <c r="W4" i="7" s="1"/>
  <c r="W19" i="7" s="1"/>
  <c r="X5" i="7" a="1"/>
  <c r="X5" i="7" s="1"/>
  <c r="X20" i="7" s="1"/>
  <c r="AD10" i="7" a="1"/>
  <c r="AD10" i="7" s="1"/>
  <c r="AD25" i="7" s="1"/>
  <c r="Z4" i="7" a="1"/>
  <c r="Z4" i="7" s="1"/>
  <c r="Z19" i="7" s="1"/>
  <c r="W4" i="9" a="1"/>
  <c r="W4" i="9" s="1"/>
  <c r="AA4" i="7" a="1"/>
  <c r="AA4" i="7" s="1"/>
  <c r="AA19" i="7" s="1"/>
  <c r="X6" i="9" a="1"/>
  <c r="X6" i="9" s="1"/>
  <c r="AB8" i="7" a="1"/>
  <c r="AB8" i="7" s="1"/>
  <c r="AB23" i="7" s="1"/>
  <c r="AG9" i="7" a="1"/>
  <c r="AG9" i="7" s="1"/>
  <c r="AG24" i="7" s="1"/>
  <c r="AG9" i="9" a="1"/>
  <c r="AG9" i="9" s="1"/>
  <c r="AC4" i="7" a="1"/>
  <c r="AC4" i="7" s="1"/>
  <c r="AC19" i="7" s="1"/>
  <c r="X4" i="7" a="1"/>
  <c r="X4" i="7" s="1"/>
  <c r="X19" i="7" s="1"/>
  <c r="AE7" i="7" a="1"/>
  <c r="AE7" i="7" s="1"/>
  <c r="AE22" i="7" s="1"/>
  <c r="W9" i="9" a="1"/>
  <c r="W9" i="9" s="1"/>
  <c r="AG7" i="9" a="1"/>
  <c r="AG7" i="9" s="1"/>
  <c r="Y5" i="7" a="1"/>
  <c r="Y5" i="7" s="1"/>
  <c r="Y20" i="7" s="1"/>
  <c r="AG5" i="7" a="1"/>
  <c r="AG5" i="7" s="1"/>
  <c r="AG20" i="7" s="1"/>
  <c r="Y10" i="9" a="1"/>
  <c r="Y10" i="9" s="1"/>
  <c r="U5" i="7" a="1"/>
  <c r="U5" i="7" s="1"/>
  <c r="U20" i="7" s="1"/>
  <c r="U6" i="7" a="1"/>
  <c r="U6" i="7" s="1"/>
  <c r="U21" i="7" s="1"/>
  <c r="W9" i="7" a="1"/>
  <c r="W9" i="7" s="1"/>
  <c r="W24" i="7" s="1"/>
  <c r="AA8" i="9" a="1"/>
  <c r="AA8" i="9" s="1"/>
  <c r="Z4" i="9" a="1"/>
  <c r="Z4" i="9" s="1"/>
  <c r="W7" i="7" a="1"/>
  <c r="W7" i="7" s="1"/>
  <c r="W22" i="7" s="1"/>
  <c r="AA8" i="7" a="1"/>
  <c r="AA8" i="7" s="1"/>
  <c r="AA23" i="7" s="1"/>
  <c r="AG8" i="9" a="1"/>
  <c r="AG8" i="9" s="1"/>
  <c r="AG5" i="9" a="1"/>
  <c r="AG5" i="9" s="1"/>
  <c r="AC7" i="7" a="1"/>
  <c r="AC7" i="7" s="1"/>
  <c r="AC22" i="7" s="1"/>
  <c r="AG6" i="7" a="1"/>
  <c r="AG6" i="7" s="1"/>
  <c r="AG21" i="7" s="1"/>
  <c r="AG7" i="7" a="1"/>
  <c r="AG7" i="7" s="1"/>
  <c r="AG22" i="7" s="1"/>
  <c r="AB7" i="9" a="1"/>
  <c r="AB7" i="9" s="1"/>
  <c r="AA7" i="9" a="1"/>
  <c r="AA7" i="9" s="1"/>
  <c r="AF9" i="9" a="1"/>
  <c r="AF9" i="9" s="1"/>
  <c r="AG8" i="7" a="1"/>
  <c r="AG8" i="7" s="1"/>
  <c r="AG23" i="7" s="1"/>
  <c r="AF7" i="9" a="1"/>
  <c r="AF7" i="9" s="1"/>
  <c r="W5" i="9" a="1"/>
  <c r="W5" i="9" s="1"/>
  <c r="U8" i="7" a="1"/>
  <c r="U8" i="7" s="1"/>
  <c r="U23" i="7" s="1"/>
  <c r="AD7" i="9" a="1"/>
  <c r="AD7" i="9" s="1"/>
  <c r="X9" i="9" a="1"/>
  <c r="X9" i="9" s="1"/>
  <c r="X5" i="9" a="1"/>
  <c r="X5" i="9" s="1"/>
  <c r="AA5" i="9" a="1"/>
  <c r="AA5" i="9" s="1"/>
  <c r="AE5" i="7" a="1"/>
  <c r="AE5" i="7" s="1"/>
  <c r="AE20" i="7" s="1"/>
  <c r="AA7" i="7" a="1"/>
  <c r="AA7" i="7" s="1"/>
  <c r="AA22" i="7" s="1"/>
  <c r="AD5" i="9" a="1"/>
  <c r="AD5" i="9" s="1"/>
  <c r="U4" i="9" a="1"/>
  <c r="U4" i="9" s="1"/>
  <c r="AG10" i="7" a="1"/>
  <c r="AG10" i="7" s="1"/>
  <c r="AG25" i="7" s="1"/>
  <c r="X43" i="1"/>
  <c r="AE6" i="9" a="1"/>
  <c r="AE6" i="9" s="1"/>
  <c r="AC9" i="7" a="1"/>
  <c r="AC9" i="7" s="1"/>
  <c r="AC24" i="7" s="1"/>
  <c r="AE9" i="9" a="1"/>
  <c r="AE9" i="9" s="1"/>
  <c r="AD9" i="9" a="1"/>
  <c r="AD9" i="9" s="1"/>
  <c r="Z5" i="7" a="1"/>
  <c r="Z5" i="7" s="1"/>
  <c r="Z20" i="7" s="1"/>
  <c r="Z7" i="9" a="1"/>
  <c r="Z7" i="9" s="1"/>
  <c r="AA43" i="1"/>
  <c r="AB9" i="7" a="1"/>
  <c r="AB9" i="7" s="1"/>
  <c r="AB24" i="7" s="1"/>
  <c r="AB10" i="9" a="1"/>
  <c r="AB10" i="9" s="1"/>
  <c r="U9" i="9" a="1"/>
  <c r="U9" i="9" s="1"/>
  <c r="U9" i="7" a="1"/>
  <c r="U9" i="7" s="1"/>
  <c r="U24" i="7" s="1"/>
  <c r="U5" i="9" a="1"/>
  <c r="U5" i="9" s="1"/>
  <c r="AC5" i="9" a="1"/>
  <c r="AC5" i="9" s="1"/>
  <c r="AA4" i="9" a="1"/>
  <c r="AA4" i="9" s="1"/>
  <c r="AE4" i="9" a="1"/>
  <c r="AE4" i="9" s="1"/>
  <c r="AD6" i="7" a="1"/>
  <c r="AD6" i="7" s="1"/>
  <c r="AD21" i="7" s="1"/>
  <c r="AC9" i="9" a="1"/>
  <c r="AC9" i="9" s="1"/>
  <c r="Z8" i="7" a="1"/>
  <c r="Z8" i="7" s="1"/>
  <c r="Z23" i="7" s="1"/>
  <c r="AE6" i="7" a="1"/>
  <c r="AE6" i="7" s="1"/>
  <c r="AE21" i="7" s="1"/>
  <c r="AA6" i="7" a="1"/>
  <c r="AA6" i="7" s="1"/>
  <c r="AA21" i="7" s="1"/>
  <c r="Y9" i="9" a="1"/>
  <c r="Y9" i="9" s="1"/>
  <c r="AF4" i="9" a="1"/>
  <c r="AF4" i="9" s="1"/>
  <c r="AC4" i="9" a="1"/>
  <c r="AC4" i="9" s="1"/>
  <c r="AC5" i="7" a="1"/>
  <c r="AC5" i="7" s="1"/>
  <c r="AC20" i="7" s="1"/>
  <c r="AB6" i="7" a="1"/>
  <c r="AB6" i="7" s="1"/>
  <c r="AB21" i="7" s="1"/>
  <c r="AA10" i="9" a="1"/>
  <c r="AA10" i="9" s="1"/>
  <c r="W10" i="7" a="1"/>
  <c r="W10" i="7" s="1"/>
  <c r="W25" i="7" s="1"/>
  <c r="AD10" i="9" a="1"/>
  <c r="AD10" i="9" s="1"/>
  <c r="Z10" i="7" a="1"/>
  <c r="Z10" i="7" s="1"/>
  <c r="Z25" i="7" s="1"/>
  <c r="AE10" i="9" a="1"/>
  <c r="AE10" i="9" s="1"/>
  <c r="Y8" i="9" a="1"/>
  <c r="Y8" i="9" s="1"/>
  <c r="X4" i="9" a="1"/>
  <c r="X4" i="9" s="1"/>
  <c r="W10" i="9" a="1"/>
  <c r="W10" i="9" s="1"/>
  <c r="X10" i="9" a="1"/>
  <c r="X10" i="9" s="1"/>
  <c r="AF43" i="1"/>
  <c r="AA6" i="9" a="1"/>
  <c r="AA6" i="9" s="1"/>
  <c r="X8" i="9" a="1"/>
  <c r="X8" i="9" s="1"/>
  <c r="Z9" i="9" a="1"/>
  <c r="Z9" i="9" s="1"/>
  <c r="AB10" i="7" a="1"/>
  <c r="AB10" i="7" s="1"/>
  <c r="AB25" i="7" s="1"/>
  <c r="Z6" i="7" a="1"/>
  <c r="Z6" i="7" s="1"/>
  <c r="Z21" i="7" s="1"/>
  <c r="AB8" i="9" a="1"/>
  <c r="AB8" i="9" s="1"/>
  <c r="AF5" i="9" a="1"/>
  <c r="AF5" i="9" s="1"/>
  <c r="W8" i="9" a="1"/>
  <c r="W8" i="9" s="1"/>
  <c r="AA9" i="7" a="1"/>
  <c r="AA9" i="7" s="1"/>
  <c r="AA24" i="7" s="1"/>
  <c r="Z8" i="9" a="1"/>
  <c r="Z8" i="9" s="1"/>
  <c r="Z6" i="9" a="1"/>
  <c r="Z6" i="9" s="1"/>
  <c r="X9" i="7" a="1"/>
  <c r="X9" i="7" s="1"/>
  <c r="X24" i="7" s="1"/>
  <c r="AB4" i="9" a="1"/>
  <c r="AB4" i="9" s="1"/>
  <c r="Y4" i="7" a="1"/>
  <c r="Y4" i="7" s="1"/>
  <c r="Y19" i="7" s="1"/>
  <c r="AA9" i="9" a="1"/>
  <c r="AA9" i="9" s="1"/>
  <c r="U6" i="9" a="1"/>
  <c r="U6" i="9" s="1"/>
  <c r="U10" i="9" a="1"/>
  <c r="U10" i="9" s="1"/>
  <c r="X6" i="7" a="1"/>
  <c r="X6" i="7" s="1"/>
  <c r="X21" i="7" s="1"/>
  <c r="AE4" i="7" a="1"/>
  <c r="AE4" i="7" s="1"/>
  <c r="AE19" i="7" s="1"/>
  <c r="Y5" i="9" a="1"/>
  <c r="Y5" i="9" s="1"/>
  <c r="W43" i="1"/>
  <c r="W8" i="7" a="1"/>
  <c r="W8" i="7" s="1"/>
  <c r="W23" i="7" s="1"/>
  <c r="AD8" i="9" a="1"/>
  <c r="AD8" i="9" s="1"/>
  <c r="AC10" i="7" a="1"/>
  <c r="AC10" i="7" s="1"/>
  <c r="AC25" i="7" s="1"/>
  <c r="AB5" i="9" a="1"/>
  <c r="AB5" i="9" s="1"/>
  <c r="AG4" i="9" a="1"/>
  <c r="AG4" i="9" s="1"/>
  <c r="AB43" i="1"/>
  <c r="AB6" i="9" a="1"/>
  <c r="AB6" i="9" s="1"/>
  <c r="Y8" i="7" a="1"/>
  <c r="Y8" i="7" s="1"/>
  <c r="Y23" i="7" s="1"/>
  <c r="AG6" i="9" a="1"/>
  <c r="AG6" i="9" s="1"/>
  <c r="Y6" i="9" a="1"/>
  <c r="Y6" i="9" s="1"/>
  <c r="Z5" i="9" a="1"/>
  <c r="Z5" i="9" s="1"/>
  <c r="AE5" i="9" a="1"/>
  <c r="AE5" i="9" s="1"/>
  <c r="AE43" i="1"/>
  <c r="AD4" i="9" a="1"/>
  <c r="AD4" i="9" s="1"/>
  <c r="Y43" i="1"/>
  <c r="AG10" i="9" a="1"/>
  <c r="AG10" i="9" s="1"/>
  <c r="AC6" i="9" a="1"/>
  <c r="AC6" i="9" s="1"/>
  <c r="AC7" i="9" a="1"/>
  <c r="AC7" i="9" s="1"/>
  <c r="AF10" i="7" a="1"/>
  <c r="AF10" i="7" s="1"/>
  <c r="AF25" i="7" s="1"/>
  <c r="Z10" i="9" a="1"/>
  <c r="Z10" i="9" s="1"/>
  <c r="AC10" i="9" a="1"/>
  <c r="AC10" i="9" s="1"/>
  <c r="Y4" i="9" a="1"/>
  <c r="Y4" i="9" s="1"/>
  <c r="AC43" i="1"/>
  <c r="AF8" i="7" a="1"/>
  <c r="AF8" i="7" s="1"/>
  <c r="AF23" i="7" s="1"/>
  <c r="Y6" i="7" a="1"/>
  <c r="Y6" i="7" s="1"/>
  <c r="Y21" i="7" s="1"/>
  <c r="U8" i="9" a="1"/>
  <c r="U8" i="9" s="1"/>
  <c r="X8" i="7" a="1"/>
  <c r="X8" i="7" s="1"/>
  <c r="X23" i="7" s="1"/>
  <c r="AB9" i="9" a="1"/>
  <c r="AB9" i="9" s="1"/>
  <c r="W6" i="7" a="1"/>
  <c r="W6" i="7" s="1"/>
  <c r="W21" i="7" s="1"/>
  <c r="AE8" i="9" a="1"/>
  <c r="AE8" i="9" s="1"/>
  <c r="T7" i="10" a="1"/>
  <c r="T7" i="10" s="1"/>
  <c r="T22" i="10" s="1"/>
  <c r="S7" i="9" a="1"/>
  <c r="S7" i="9" s="1"/>
  <c r="T7" i="12" a="1"/>
  <c r="T7" i="12" s="1"/>
  <c r="T22" i="12" s="1"/>
  <c r="T7" i="11" a="1"/>
  <c r="T7" i="11" s="1"/>
  <c r="T22" i="11" s="1"/>
  <c r="T5" i="11" a="1"/>
  <c r="T5" i="11" s="1"/>
  <c r="T20" i="11" s="1"/>
  <c r="T6" i="7" a="1"/>
  <c r="T6" i="7" s="1"/>
  <c r="T21" i="7" s="1"/>
  <c r="T43" i="1"/>
  <c r="T9" i="10" a="1"/>
  <c r="T9" i="10" s="1"/>
  <c r="T24" i="10" s="1"/>
  <c r="S8" i="10" a="1"/>
  <c r="S8" i="10" s="1"/>
  <c r="S23" i="10" s="1"/>
  <c r="T5" i="10" a="1"/>
  <c r="T5" i="10" s="1"/>
  <c r="T20" i="10" s="1"/>
  <c r="T5" i="7" a="1"/>
  <c r="T5" i="7" s="1"/>
  <c r="T20" i="7" s="1"/>
  <c r="T4" i="10" a="1"/>
  <c r="T4" i="10" s="1"/>
  <c r="T19" i="10" s="1"/>
  <c r="S6" i="12" a="1"/>
  <c r="S6" i="12" s="1"/>
  <c r="S21" i="12" s="1"/>
  <c r="S6" i="11" a="1"/>
  <c r="S6" i="11" s="1"/>
  <c r="S21" i="11" s="1"/>
  <c r="T8" i="12" a="1"/>
  <c r="T8" i="12" s="1"/>
  <c r="T23" i="12" s="1"/>
  <c r="T4" i="7" a="1"/>
  <c r="T4" i="7" s="1"/>
  <c r="T19" i="7" s="1"/>
  <c r="S9" i="7" a="1"/>
  <c r="S9" i="7" s="1"/>
  <c r="S24" i="7" s="1"/>
  <c r="S8" i="12" a="1"/>
  <c r="S8" i="12" s="1"/>
  <c r="S23" i="12" s="1"/>
  <c r="S5" i="10" a="1"/>
  <c r="S5" i="10" s="1"/>
  <c r="S20" i="10" s="1"/>
  <c r="S5" i="7" a="1"/>
  <c r="S5" i="7" s="1"/>
  <c r="S20" i="7" s="1"/>
  <c r="T6" i="9" a="1"/>
  <c r="T6" i="9" s="1"/>
  <c r="S7" i="12" a="1"/>
  <c r="S7" i="12" s="1"/>
  <c r="S22" i="12" s="1"/>
  <c r="S10" i="9" a="1"/>
  <c r="S10" i="9" s="1"/>
  <c r="S5" i="11" a="1"/>
  <c r="S5" i="11" s="1"/>
  <c r="S20" i="11" s="1"/>
  <c r="T6" i="10" a="1"/>
  <c r="T6" i="10" s="1"/>
  <c r="T21" i="10" s="1"/>
  <c r="T8" i="9" a="1"/>
  <c r="T8" i="9" s="1"/>
  <c r="S9" i="10" a="1"/>
  <c r="S9" i="10" s="1"/>
  <c r="S24" i="10" s="1"/>
  <c r="T7" i="9" a="1"/>
  <c r="T7" i="9" s="1"/>
  <c r="T10" i="10" a="1"/>
  <c r="T10" i="10" s="1"/>
  <c r="T25" i="10" s="1"/>
  <c r="S10" i="7" a="1"/>
  <c r="S10" i="7" s="1"/>
  <c r="S25" i="7" s="1"/>
  <c r="S6" i="9" a="1"/>
  <c r="S6" i="9" s="1"/>
  <c r="S7" i="11" a="1"/>
  <c r="S7" i="11" s="1"/>
  <c r="S22" i="11" s="1"/>
  <c r="S4" i="12" a="1"/>
  <c r="S4" i="12" s="1"/>
  <c r="S19" i="12" s="1"/>
  <c r="T4" i="12" a="1"/>
  <c r="T4" i="12" s="1"/>
  <c r="T19" i="12" s="1"/>
  <c r="T8" i="10" a="1"/>
  <c r="T8" i="10" s="1"/>
  <c r="T23" i="10" s="1"/>
  <c r="S6" i="10" a="1"/>
  <c r="S6" i="10" s="1"/>
  <c r="S21" i="10" s="1"/>
  <c r="T9" i="9" a="1"/>
  <c r="T9" i="9" s="1"/>
  <c r="S10" i="10" a="1"/>
  <c r="S10" i="10" s="1"/>
  <c r="S25" i="10" s="1"/>
  <c r="T7" i="7" a="1"/>
  <c r="T7" i="7" s="1"/>
  <c r="T22" i="7" s="1"/>
  <c r="S4" i="7" a="1"/>
  <c r="S4" i="7" s="1"/>
  <c r="S19" i="7" s="1"/>
  <c r="S5" i="9" a="1"/>
  <c r="S5" i="9" s="1"/>
  <c r="T5" i="12" a="1"/>
  <c r="T5" i="12" s="1"/>
  <c r="T20" i="12" s="1"/>
  <c r="S8" i="9" a="1"/>
  <c r="S8" i="9" s="1"/>
  <c r="S4" i="10" a="1"/>
  <c r="S4" i="10" s="1"/>
  <c r="S19" i="10" s="1"/>
  <c r="T4" i="11" a="1"/>
  <c r="T4" i="11" s="1"/>
  <c r="T19" i="11" s="1"/>
  <c r="T9" i="7" a="1"/>
  <c r="T9" i="7" s="1"/>
  <c r="T24" i="7" s="1"/>
  <c r="T6" i="11" a="1"/>
  <c r="T6" i="11" s="1"/>
  <c r="T21" i="11" s="1"/>
  <c r="S4" i="9" a="1"/>
  <c r="S4" i="9" s="1"/>
  <c r="S8" i="7" a="1"/>
  <c r="S8" i="7" s="1"/>
  <c r="S23" i="7" s="1"/>
  <c r="S8" i="11" a="1"/>
  <c r="S8" i="11" s="1"/>
  <c r="S23" i="11" s="1"/>
  <c r="T6" i="12" a="1"/>
  <c r="T6" i="12" s="1"/>
  <c r="T21" i="12" s="1"/>
  <c r="T5" i="9" a="1"/>
  <c r="T5" i="9" s="1"/>
  <c r="T10" i="7" a="1"/>
  <c r="T10" i="7" s="1"/>
  <c r="T25" i="7" s="1"/>
  <c r="T4" i="9" a="1"/>
  <c r="T4" i="9" s="1"/>
  <c r="S6" i="7" a="1"/>
  <c r="S6" i="7" s="1"/>
  <c r="S21" i="7" s="1"/>
  <c r="S7" i="10" a="1"/>
  <c r="S7" i="10" s="1"/>
  <c r="S22" i="10" s="1"/>
  <c r="S5" i="12" a="1"/>
  <c r="S5" i="12" s="1"/>
  <c r="S20" i="12" s="1"/>
  <c r="S4" i="11" a="1"/>
  <c r="S4" i="11" s="1"/>
  <c r="S19" i="11" s="1"/>
  <c r="T10" i="9" a="1"/>
  <c r="T10" i="9" s="1"/>
  <c r="S9" i="9" a="1"/>
  <c r="S9" i="9" s="1"/>
  <c r="S7" i="7" a="1"/>
  <c r="S7" i="7" s="1"/>
  <c r="S22" i="7" s="1"/>
  <c r="E6" i="12" a="1"/>
  <c r="E6" i="12" s="1"/>
  <c r="E21" i="12" s="1"/>
  <c r="H6" i="12" a="1"/>
  <c r="H6" i="12" s="1"/>
  <c r="H21" i="12" s="1"/>
  <c r="M6" i="12" a="1"/>
  <c r="M6" i="12" s="1"/>
  <c r="M21" i="12" s="1"/>
  <c r="L6" i="12" a="1"/>
  <c r="L6" i="12" s="1"/>
  <c r="L21" i="12" s="1"/>
  <c r="D6" i="12" a="1"/>
  <c r="D6" i="12" s="1"/>
  <c r="D21" i="12" s="1"/>
  <c r="F6" i="12" a="1"/>
  <c r="F6" i="12" s="1"/>
  <c r="F21" i="12" s="1"/>
  <c r="K6" i="12" a="1"/>
  <c r="K6" i="12" s="1"/>
  <c r="K21" i="12" s="1"/>
  <c r="I6" i="12" a="1"/>
  <c r="I6" i="12" s="1"/>
  <c r="I21" i="12" s="1"/>
  <c r="O6" i="12" a="1"/>
  <c r="O6" i="12" s="1"/>
  <c r="O21" i="12" s="1"/>
  <c r="N6" i="12" a="1"/>
  <c r="N6" i="12" s="1"/>
  <c r="N21" i="12" s="1"/>
  <c r="Q6" i="12" a="1"/>
  <c r="Q6" i="12" s="1"/>
  <c r="Q21" i="12" s="1"/>
  <c r="R6" i="12" a="1"/>
  <c r="R6" i="12" s="1"/>
  <c r="R21" i="12" s="1"/>
  <c r="P6" i="12" a="1"/>
  <c r="P6" i="12" s="1"/>
  <c r="P21" i="12" s="1"/>
  <c r="G6" i="12" a="1"/>
  <c r="G6" i="12" s="1"/>
  <c r="G21" i="12" s="1"/>
  <c r="J6" i="12" a="1"/>
  <c r="J6" i="12" s="1"/>
  <c r="J21" i="12" s="1"/>
  <c r="J6" i="11" a="1"/>
  <c r="J6" i="11" s="1"/>
  <c r="J21" i="11" s="1"/>
  <c r="F6" i="11" a="1"/>
  <c r="F6" i="11" s="1"/>
  <c r="F21" i="11" s="1"/>
  <c r="N6" i="11" a="1"/>
  <c r="N6" i="11" s="1"/>
  <c r="N21" i="11" s="1"/>
  <c r="E6" i="11" a="1"/>
  <c r="E6" i="11" s="1"/>
  <c r="E21" i="11" s="1"/>
  <c r="R6" i="11" a="1"/>
  <c r="R6" i="11" s="1"/>
  <c r="R21" i="11" s="1"/>
  <c r="O6" i="11" a="1"/>
  <c r="O6" i="11" s="1"/>
  <c r="O21" i="11" s="1"/>
  <c r="D6" i="11" a="1"/>
  <c r="D6" i="11" s="1"/>
  <c r="D21" i="11" s="1"/>
  <c r="K6" i="11" a="1"/>
  <c r="K6" i="11" s="1"/>
  <c r="K21" i="11" s="1"/>
  <c r="M6" i="11" a="1"/>
  <c r="M6" i="11" s="1"/>
  <c r="M21" i="11" s="1"/>
  <c r="L6" i="11" a="1"/>
  <c r="L6" i="11" s="1"/>
  <c r="L21" i="11" s="1"/>
  <c r="G6" i="11" a="1"/>
  <c r="G6" i="11" s="1"/>
  <c r="G21" i="11" s="1"/>
  <c r="H6" i="11" a="1"/>
  <c r="H6" i="11" s="1"/>
  <c r="H21" i="11" s="1"/>
  <c r="I6" i="11" a="1"/>
  <c r="I6" i="11" s="1"/>
  <c r="I21" i="11" s="1"/>
  <c r="Q6" i="11" a="1"/>
  <c r="Q6" i="11" s="1"/>
  <c r="Q21" i="11" s="1"/>
  <c r="P6" i="11" a="1"/>
  <c r="P6" i="11" s="1"/>
  <c r="P21" i="11" s="1"/>
  <c r="K6" i="10" a="1"/>
  <c r="K6" i="10" s="1"/>
  <c r="K21" i="10" s="1"/>
  <c r="Q6" i="10" a="1"/>
  <c r="Q6" i="10" s="1"/>
  <c r="Q21" i="10" s="1"/>
  <c r="G6" i="10" a="1"/>
  <c r="G6" i="10" s="1"/>
  <c r="G21" i="10" s="1"/>
  <c r="N6" i="10" a="1"/>
  <c r="N6" i="10" s="1"/>
  <c r="N21" i="10" s="1"/>
  <c r="D6" i="10" a="1"/>
  <c r="D6" i="10" s="1"/>
  <c r="D21" i="10" s="1"/>
  <c r="O6" i="10" a="1"/>
  <c r="O6" i="10" s="1"/>
  <c r="O21" i="10" s="1"/>
  <c r="M6" i="10" a="1"/>
  <c r="M6" i="10" s="1"/>
  <c r="M21" i="10" s="1"/>
  <c r="E6" i="10" a="1"/>
  <c r="E6" i="10" s="1"/>
  <c r="E21" i="10" s="1"/>
  <c r="F6" i="10" a="1"/>
  <c r="F6" i="10" s="1"/>
  <c r="F21" i="10" s="1"/>
  <c r="J6" i="10" a="1"/>
  <c r="J6" i="10" s="1"/>
  <c r="J21" i="10" s="1"/>
  <c r="I6" i="10" a="1"/>
  <c r="I6" i="10" s="1"/>
  <c r="I21" i="10" s="1"/>
  <c r="P6" i="10" a="1"/>
  <c r="P6" i="10" s="1"/>
  <c r="P21" i="10" s="1"/>
  <c r="H6" i="10" a="1"/>
  <c r="H6" i="10" s="1"/>
  <c r="H21" i="10" s="1"/>
  <c r="R6" i="10" a="1"/>
  <c r="R6" i="10" s="1"/>
  <c r="R21" i="10" s="1"/>
  <c r="L6" i="10" a="1"/>
  <c r="L6" i="10" s="1"/>
  <c r="L21" i="10" s="1"/>
  <c r="H6" i="9" a="1"/>
  <c r="H6" i="9" s="1"/>
  <c r="E6" i="9" a="1"/>
  <c r="E6" i="9" s="1"/>
  <c r="L6" i="9" a="1"/>
  <c r="L6" i="9" s="1"/>
  <c r="O6" i="9" a="1"/>
  <c r="O6" i="9" s="1"/>
  <c r="P6" i="9" a="1"/>
  <c r="P6" i="9" s="1"/>
  <c r="K6" i="9" a="1"/>
  <c r="K6" i="9" s="1"/>
  <c r="I6" i="9" a="1"/>
  <c r="I6" i="9" s="1"/>
  <c r="R6" i="9" a="1"/>
  <c r="R6" i="9" s="1"/>
  <c r="F6" i="9" a="1"/>
  <c r="F6" i="9" s="1"/>
  <c r="J6" i="9" a="1"/>
  <c r="J6" i="9" s="1"/>
  <c r="N6" i="9" a="1"/>
  <c r="N6" i="9" s="1"/>
  <c r="G6" i="9" a="1"/>
  <c r="G6" i="9" s="1"/>
  <c r="M6" i="9" a="1"/>
  <c r="M6" i="9" s="1"/>
  <c r="K6" i="7" a="1"/>
  <c r="K6" i="7" s="1"/>
  <c r="K21" i="7" s="1"/>
  <c r="I6" i="7" a="1"/>
  <c r="I6" i="7" s="1"/>
  <c r="I21" i="7" s="1"/>
  <c r="O6" i="7" a="1"/>
  <c r="O6" i="7" s="1"/>
  <c r="O21" i="7" s="1"/>
  <c r="R6" i="7" a="1"/>
  <c r="R6" i="7" s="1"/>
  <c r="R21" i="7" s="1"/>
  <c r="P6" i="7" a="1"/>
  <c r="P6" i="7" s="1"/>
  <c r="P21" i="7" s="1"/>
  <c r="N6" i="7" a="1"/>
  <c r="N6" i="7" s="1"/>
  <c r="N21" i="7" s="1"/>
  <c r="H6" i="7" a="1"/>
  <c r="H6" i="7" s="1"/>
  <c r="H21" i="7" s="1"/>
  <c r="J6" i="7" a="1"/>
  <c r="J6" i="7" s="1"/>
  <c r="J21" i="7" s="1"/>
  <c r="G6" i="7" a="1"/>
  <c r="G6" i="7" s="1"/>
  <c r="G21" i="7" s="1"/>
  <c r="M6" i="7" a="1"/>
  <c r="M6" i="7" s="1"/>
  <c r="M21" i="7" s="1"/>
  <c r="L6" i="7" a="1"/>
  <c r="L6" i="7" s="1"/>
  <c r="L21" i="7" s="1"/>
  <c r="F6" i="7" a="1"/>
  <c r="F6" i="7" s="1"/>
  <c r="F21" i="7" s="1"/>
  <c r="BT47" i="3"/>
  <c r="BT46" i="3"/>
  <c r="AO46" i="3" s="1"/>
  <c r="BT44" i="3"/>
  <c r="AO44" i="3" s="1"/>
  <c r="BT45" i="3"/>
  <c r="BU41" i="3"/>
  <c r="AP41" i="3" s="1"/>
  <c r="BW41" i="3"/>
  <c r="AR41" i="3" s="1"/>
  <c r="E8" i="13" l="1" a="1"/>
  <c r="E8" i="13" s="1"/>
  <c r="E23" i="13" s="1"/>
  <c r="AO47" i="3"/>
  <c r="E8" i="14" a="1"/>
  <c r="E8" i="14" s="1"/>
  <c r="E23" i="14" s="1"/>
  <c r="AO45" i="3"/>
  <c r="AG6" i="12" a="1"/>
  <c r="AG6" i="12" s="1"/>
  <c r="AC4" i="12" a="1"/>
  <c r="AC4" i="12" s="1"/>
  <c r="U43" i="1"/>
  <c r="AG13" i="11"/>
  <c r="U6" i="12" a="1"/>
  <c r="U6" i="12" s="1"/>
  <c r="Y4" i="11" a="1"/>
  <c r="Y4" i="11" s="1"/>
  <c r="AF10" i="13" a="1"/>
  <c r="AF10" i="13" s="1"/>
  <c r="AF25" i="13" s="1"/>
  <c r="AF8" i="9" a="1"/>
  <c r="AF8" i="9" s="1"/>
  <c r="AF18" i="9" s="1"/>
  <c r="AF34" i="9" s="1"/>
  <c r="AG43" i="1"/>
  <c r="U13" i="10"/>
  <c r="AB13" i="7"/>
  <c r="AB15" i="7" s="1"/>
  <c r="AJ33" i="11"/>
  <c r="AO24" i="11"/>
  <c r="AL24" i="11"/>
  <c r="AK24" i="11"/>
  <c r="AN24" i="11"/>
  <c r="AJ33" i="12"/>
  <c r="AO24" i="12"/>
  <c r="AL24" i="12"/>
  <c r="AN24" i="12"/>
  <c r="AK24" i="12"/>
  <c r="AH6" i="14"/>
  <c r="AH6" i="13"/>
  <c r="W45" i="12"/>
  <c r="W46" i="12" s="1"/>
  <c r="AB45" i="11"/>
  <c r="AB46" i="11" s="1"/>
  <c r="AC13" i="11"/>
  <c r="X13" i="12"/>
  <c r="AG45" i="10"/>
  <c r="AB13" i="11"/>
  <c r="AG13" i="10"/>
  <c r="AE45" i="11"/>
  <c r="AE46" i="11" s="1"/>
  <c r="AE13" i="11"/>
  <c r="V13" i="12"/>
  <c r="W13" i="12"/>
  <c r="AF13" i="11"/>
  <c r="AF45" i="11"/>
  <c r="AF46" i="11" s="1"/>
  <c r="AF45" i="12"/>
  <c r="AF46" i="12" s="1"/>
  <c r="Z13" i="11"/>
  <c r="AC45" i="11"/>
  <c r="AC46" i="11" s="1"/>
  <c r="AD45" i="11"/>
  <c r="AD46" i="11" s="1"/>
  <c r="AD13" i="11"/>
  <c r="AD45" i="12"/>
  <c r="AD46" i="12" s="1"/>
  <c r="X45" i="12"/>
  <c r="X46" i="12" s="1"/>
  <c r="AD13" i="12"/>
  <c r="Y45" i="10"/>
  <c r="AC13" i="10"/>
  <c r="U45" i="11"/>
  <c r="U46" i="11" s="1"/>
  <c r="AB45" i="12"/>
  <c r="AB46" i="12" s="1"/>
  <c r="X13" i="11"/>
  <c r="AA45" i="12"/>
  <c r="AA46" i="12" s="1"/>
  <c r="V13" i="11"/>
  <c r="V45" i="11"/>
  <c r="V46" i="11" s="1"/>
  <c r="AF45" i="10"/>
  <c r="W13" i="10"/>
  <c r="V45" i="10"/>
  <c r="AB45" i="10"/>
  <c r="AE13" i="10"/>
  <c r="V13" i="10"/>
  <c r="AE45" i="10"/>
  <c r="AB13" i="10"/>
  <c r="W45" i="10"/>
  <c r="AC45" i="10"/>
  <c r="U13" i="11"/>
  <c r="Z45" i="12"/>
  <c r="Z46" i="12" s="1"/>
  <c r="Y45" i="12"/>
  <c r="Y46" i="12" s="1"/>
  <c r="AE45" i="12"/>
  <c r="AE46" i="12" s="1"/>
  <c r="W13" i="11"/>
  <c r="Z45" i="11"/>
  <c r="Z46" i="11" s="1"/>
  <c r="W45" i="11"/>
  <c r="W46" i="11" s="1"/>
  <c r="AE13" i="12"/>
  <c r="Y13" i="12"/>
  <c r="AB13" i="12"/>
  <c r="AA13" i="10"/>
  <c r="AF13" i="12"/>
  <c r="X45" i="10"/>
  <c r="Z13" i="12"/>
  <c r="V45" i="12"/>
  <c r="V46" i="12" s="1"/>
  <c r="AD45" i="10"/>
  <c r="X45" i="11"/>
  <c r="X46" i="11" s="1"/>
  <c r="AA13" i="12"/>
  <c r="Y13" i="10"/>
  <c r="U45" i="10"/>
  <c r="AA45" i="10"/>
  <c r="AF13" i="10"/>
  <c r="Z45" i="10"/>
  <c r="AD13" i="10"/>
  <c r="AA13" i="11"/>
  <c r="AA45" i="11"/>
  <c r="AA46" i="11" s="1"/>
  <c r="X13" i="10"/>
  <c r="Z13" i="10"/>
  <c r="D6" i="7" a="1"/>
  <c r="D6" i="7" s="1"/>
  <c r="D21" i="7" s="1"/>
  <c r="V13" i="7"/>
  <c r="V15" i="7" s="1"/>
  <c r="Y13" i="7"/>
  <c r="Y15" i="7" s="1"/>
  <c r="AA13" i="7"/>
  <c r="AA15" i="7" s="1"/>
  <c r="Z13" i="7"/>
  <c r="Z15" i="7" s="1"/>
  <c r="AG13" i="7"/>
  <c r="AG15" i="7" s="1"/>
  <c r="AF13" i="7"/>
  <c r="AF15" i="7" s="1"/>
  <c r="AE13" i="7"/>
  <c r="AE15" i="7" s="1"/>
  <c r="W13" i="7"/>
  <c r="W15" i="7" s="1"/>
  <c r="T13" i="7"/>
  <c r="T15" i="7" s="1"/>
  <c r="AD13" i="7"/>
  <c r="AD15" i="7" s="1"/>
  <c r="S13" i="7"/>
  <c r="S15" i="7" s="1"/>
  <c r="X13" i="7"/>
  <c r="X15" i="7" s="1"/>
  <c r="AC13" i="7"/>
  <c r="AC15" i="7" s="1"/>
  <c r="U13" i="7"/>
  <c r="U15" i="7" s="1"/>
  <c r="V19" i="9"/>
  <c r="V35" i="9" s="1"/>
  <c r="V18" i="9"/>
  <c r="V34" i="9" s="1"/>
  <c r="V20" i="9"/>
  <c r="V36" i="9" s="1"/>
  <c r="V22" i="9"/>
  <c r="V38" i="9" s="1"/>
  <c r="V24" i="9"/>
  <c r="V40" i="9" s="1"/>
  <c r="V21" i="9"/>
  <c r="V37" i="9" s="1"/>
  <c r="V23" i="9"/>
  <c r="V39" i="9" s="1"/>
  <c r="AH6" i="11"/>
  <c r="AJ21" i="11" s="1"/>
  <c r="W19" i="9"/>
  <c r="W35" i="9" s="1"/>
  <c r="W23" i="9"/>
  <c r="W39" i="9" s="1"/>
  <c r="W20" i="9"/>
  <c r="W36" i="9" s="1"/>
  <c r="AE21" i="9"/>
  <c r="AE37" i="9" s="1"/>
  <c r="AG22" i="9"/>
  <c r="AG38" i="9" s="1"/>
  <c r="Y22" i="9"/>
  <c r="Y38" i="9" s="1"/>
  <c r="AB23" i="9"/>
  <c r="AB39" i="9" s="1"/>
  <c r="AB18" i="9"/>
  <c r="AB34" i="9" s="1"/>
  <c r="AA20" i="9"/>
  <c r="AA36" i="9" s="1"/>
  <c r="AE24" i="9"/>
  <c r="AE40" i="9" s="1"/>
  <c r="Y23" i="9"/>
  <c r="Y39" i="9" s="1"/>
  <c r="AD23" i="9"/>
  <c r="AD39" i="9" s="1"/>
  <c r="W21" i="9"/>
  <c r="W37" i="9" s="1"/>
  <c r="AE20" i="9"/>
  <c r="AE36" i="9" s="1"/>
  <c r="U18" i="9"/>
  <c r="U34" i="9" s="1"/>
  <c r="AA23" i="9"/>
  <c r="AA39" i="9" s="1"/>
  <c r="AD18" i="9"/>
  <c r="AD34" i="9" s="1"/>
  <c r="U19" i="9"/>
  <c r="U35" i="9" s="1"/>
  <c r="AG20" i="9"/>
  <c r="AG36" i="9" s="1"/>
  <c r="AD20" i="9"/>
  <c r="AD36" i="9" s="1"/>
  <c r="X24" i="9"/>
  <c r="X40" i="9" s="1"/>
  <c r="X18" i="9"/>
  <c r="X34" i="9" s="1"/>
  <c r="AD24" i="9"/>
  <c r="AD40" i="9" s="1"/>
  <c r="Y21" i="9"/>
  <c r="Y37" i="9" s="1"/>
  <c r="AG19" i="9"/>
  <c r="AG35" i="9" s="1"/>
  <c r="U22" i="9"/>
  <c r="U38" i="9" s="1"/>
  <c r="W24" i="9"/>
  <c r="W40" i="9" s="1"/>
  <c r="U23" i="9"/>
  <c r="U39" i="9" s="1"/>
  <c r="W18" i="9"/>
  <c r="W34" i="9" s="1"/>
  <c r="X22" i="9"/>
  <c r="X38" i="9" s="1"/>
  <c r="AC24" i="9"/>
  <c r="AC40" i="9" s="1"/>
  <c r="Z20" i="9"/>
  <c r="Z36" i="9" s="1"/>
  <c r="AB22" i="9"/>
  <c r="AB38" i="9" s="1"/>
  <c r="AB24" i="9"/>
  <c r="AB40" i="9" s="1"/>
  <c r="U21" i="9"/>
  <c r="U37" i="9" s="1"/>
  <c r="AD19" i="9"/>
  <c r="AD35" i="9" s="1"/>
  <c r="AD21" i="9"/>
  <c r="AD37" i="9" s="1"/>
  <c r="Z24" i="9"/>
  <c r="Z40" i="9" s="1"/>
  <c r="AB20" i="9"/>
  <c r="AB36" i="9" s="1"/>
  <c r="AD22" i="9"/>
  <c r="AD38" i="9" s="1"/>
  <c r="U24" i="9"/>
  <c r="U40" i="9" s="1"/>
  <c r="Z22" i="9"/>
  <c r="Z38" i="9" s="1"/>
  <c r="X23" i="9"/>
  <c r="X39" i="9" s="1"/>
  <c r="AA24" i="9"/>
  <c r="AA40" i="9" s="1"/>
  <c r="AC18" i="9"/>
  <c r="AC34" i="9" s="1"/>
  <c r="AA19" i="9"/>
  <c r="AA35" i="9" s="1"/>
  <c r="AG23" i="9"/>
  <c r="AG39" i="9" s="1"/>
  <c r="AE23" i="9"/>
  <c r="AE39" i="9" s="1"/>
  <c r="U20" i="9"/>
  <c r="U36" i="9" s="1"/>
  <c r="Z23" i="9"/>
  <c r="Z39" i="9" s="1"/>
  <c r="AB21" i="9"/>
  <c r="AB37" i="9" s="1"/>
  <c r="AC23" i="9"/>
  <c r="AC39" i="9" s="1"/>
  <c r="Y18" i="9"/>
  <c r="Y34" i="9" s="1"/>
  <c r="AC21" i="9"/>
  <c r="AC37" i="9" s="1"/>
  <c r="AE19" i="9"/>
  <c r="AE35" i="9" s="1"/>
  <c r="W22" i="9"/>
  <c r="W38" i="9" s="1"/>
  <c r="X19" i="9"/>
  <c r="X35" i="9" s="1"/>
  <c r="AE18" i="9"/>
  <c r="AE34" i="9" s="1"/>
  <c r="Z21" i="9"/>
  <c r="Z37" i="9" s="1"/>
  <c r="X20" i="9"/>
  <c r="X36" i="9" s="1"/>
  <c r="Z18" i="9"/>
  <c r="Z34" i="9" s="1"/>
  <c r="AC20" i="9"/>
  <c r="AC36" i="9" s="1"/>
  <c r="Z19" i="9"/>
  <c r="Z35" i="9" s="1"/>
  <c r="AG18" i="9"/>
  <c r="AG34" i="9" s="1"/>
  <c r="Y19" i="9"/>
  <c r="Y35" i="9" s="1"/>
  <c r="AA22" i="9"/>
  <c r="AA38" i="9" s="1"/>
  <c r="AA18" i="9"/>
  <c r="AA34" i="9" s="1"/>
  <c r="AC22" i="9"/>
  <c r="AC38" i="9" s="1"/>
  <c r="AA21" i="9"/>
  <c r="AA37" i="9" s="1"/>
  <c r="AE22" i="9"/>
  <c r="AE38" i="9" s="1"/>
  <c r="AG24" i="9"/>
  <c r="AG40" i="9" s="1"/>
  <c r="Y20" i="9"/>
  <c r="Y36" i="9" s="1"/>
  <c r="AB19" i="9"/>
  <c r="AB35" i="9" s="1"/>
  <c r="X21" i="9"/>
  <c r="X37" i="9" s="1"/>
  <c r="Y24" i="9"/>
  <c r="Y40" i="9" s="1"/>
  <c r="AC19" i="9"/>
  <c r="AC35" i="9" s="1"/>
  <c r="AG21" i="9"/>
  <c r="AG37" i="9" s="1"/>
  <c r="S22" i="9"/>
  <c r="S38" i="9" s="1"/>
  <c r="T23" i="9"/>
  <c r="T39" i="9" s="1"/>
  <c r="S18" i="9"/>
  <c r="S34" i="9" s="1"/>
  <c r="S24" i="9"/>
  <c r="S40" i="9" s="1"/>
  <c r="T21" i="9"/>
  <c r="T37" i="9" s="1"/>
  <c r="S19" i="9"/>
  <c r="S35" i="9" s="1"/>
  <c r="T18" i="9"/>
  <c r="T34" i="9" s="1"/>
  <c r="T45" i="12"/>
  <c r="T46" i="12" s="1"/>
  <c r="T13" i="12"/>
  <c r="T20" i="9"/>
  <c r="T36" i="9" s="1"/>
  <c r="S23" i="9"/>
  <c r="S39" i="9" s="1"/>
  <c r="T45" i="11"/>
  <c r="T46" i="11" s="1"/>
  <c r="T13" i="11"/>
  <c r="S45" i="12"/>
  <c r="S46" i="12" s="1"/>
  <c r="S13" i="12"/>
  <c r="T22" i="9"/>
  <c r="T38" i="9" s="1"/>
  <c r="T24" i="9"/>
  <c r="T40" i="9" s="1"/>
  <c r="T19" i="9"/>
  <c r="T35" i="9" s="1"/>
  <c r="S21" i="9"/>
  <c r="S37" i="9" s="1"/>
  <c r="S13" i="10"/>
  <c r="S45" i="10"/>
  <c r="T13" i="10"/>
  <c r="T45" i="10"/>
  <c r="S45" i="11"/>
  <c r="S46" i="11" s="1"/>
  <c r="S13" i="11"/>
  <c r="S20" i="9"/>
  <c r="S36" i="9" s="1"/>
  <c r="E6" i="7" a="1"/>
  <c r="E6" i="7" s="1"/>
  <c r="E21" i="7" s="1"/>
  <c r="CD46" i="3"/>
  <c r="AY46" i="3" s="1"/>
  <c r="CD47" i="3"/>
  <c r="CD45" i="3"/>
  <c r="AY45" i="3" s="1"/>
  <c r="CD44" i="3"/>
  <c r="AY44" i="3" s="1"/>
  <c r="CE47" i="3"/>
  <c r="CE44" i="3"/>
  <c r="AZ44" i="3" s="1"/>
  <c r="CE46" i="3"/>
  <c r="AZ46" i="3" s="1"/>
  <c r="CE45" i="3"/>
  <c r="CG41" i="3"/>
  <c r="BB41" i="3" s="1"/>
  <c r="CA41" i="3"/>
  <c r="AV41" i="3" s="1"/>
  <c r="U21" i="12" l="1"/>
  <c r="U13" i="12" s="1"/>
  <c r="AC19" i="12"/>
  <c r="AC45" i="12" s="1"/>
  <c r="AC46" i="12" s="1"/>
  <c r="AG21" i="12"/>
  <c r="AG45" i="12" s="1"/>
  <c r="AG46" i="12" s="1"/>
  <c r="Y19" i="11"/>
  <c r="Y45" i="11" s="1"/>
  <c r="Y46" i="11" s="1"/>
  <c r="AF20" i="9"/>
  <c r="AF36" i="9" s="1"/>
  <c r="P8" i="14" a="1"/>
  <c r="P8" i="14" s="1"/>
  <c r="P23" i="14" s="1"/>
  <c r="AZ45" i="3"/>
  <c r="P9" i="14" s="1" a="1"/>
  <c r="P9" i="14" s="1"/>
  <c r="P24" i="14" s="1"/>
  <c r="P8" i="13" a="1"/>
  <c r="P8" i="13" s="1"/>
  <c r="P23" i="13" s="1"/>
  <c r="AZ47" i="3"/>
  <c r="O8" i="13" a="1"/>
  <c r="O8" i="13" s="1"/>
  <c r="O23" i="13" s="1"/>
  <c r="AY47" i="3"/>
  <c r="AF19" i="9"/>
  <c r="AF35" i="9" s="1"/>
  <c r="AF23" i="9"/>
  <c r="AF39" i="9" s="1"/>
  <c r="AF21" i="9"/>
  <c r="AF37" i="9" s="1"/>
  <c r="AF24" i="9"/>
  <c r="AF40" i="9" s="1"/>
  <c r="AG45" i="11"/>
  <c r="AG46" i="11" s="1"/>
  <c r="AH6" i="12"/>
  <c r="AJ21" i="12" s="1"/>
  <c r="AJ30" i="12" s="1"/>
  <c r="AF22" i="9"/>
  <c r="AF38" i="9" s="1"/>
  <c r="O8" i="14" a="1"/>
  <c r="O8" i="14" s="1"/>
  <c r="O23" i="14" s="1"/>
  <c r="AJ41" i="12"/>
  <c r="AN33" i="12"/>
  <c r="AL33" i="12"/>
  <c r="AK33" i="12"/>
  <c r="AO33" i="12"/>
  <c r="AJ41" i="11"/>
  <c r="AN33" i="11"/>
  <c r="AL33" i="11"/>
  <c r="AK33" i="11"/>
  <c r="AO33" i="11"/>
  <c r="M9" i="14" a="1"/>
  <c r="M9" i="14" s="1"/>
  <c r="M24" i="14" s="1"/>
  <c r="AJ30" i="11"/>
  <c r="AO21" i="11"/>
  <c r="AL21" i="11"/>
  <c r="AK21" i="11"/>
  <c r="AN21" i="11"/>
  <c r="AA13" i="14"/>
  <c r="AB13" i="14"/>
  <c r="Z13" i="14"/>
  <c r="U13" i="14"/>
  <c r="V13" i="14"/>
  <c r="AG13" i="14"/>
  <c r="Y13" i="14"/>
  <c r="AC13" i="14"/>
  <c r="AE13" i="14"/>
  <c r="X13" i="14"/>
  <c r="AD13" i="14"/>
  <c r="S13" i="14"/>
  <c r="W13" i="14"/>
  <c r="T13" i="14"/>
  <c r="AF13" i="14"/>
  <c r="V45" i="13"/>
  <c r="V13" i="13"/>
  <c r="V45" i="7"/>
  <c r="W53" i="1" s="1"/>
  <c r="AG45" i="7"/>
  <c r="AH53" i="1" s="1"/>
  <c r="U45" i="7"/>
  <c r="V53" i="1" s="1"/>
  <c r="Z45" i="13"/>
  <c r="AB45" i="7"/>
  <c r="AC53" i="1" s="1"/>
  <c r="W45" i="13"/>
  <c r="AD45" i="7"/>
  <c r="AE53" i="1" s="1"/>
  <c r="AF45" i="7"/>
  <c r="AG53" i="1" s="1"/>
  <c r="AA45" i="7"/>
  <c r="AB53" i="1" s="1"/>
  <c r="Z13" i="13"/>
  <c r="AE45" i="7"/>
  <c r="AF53" i="1" s="1"/>
  <c r="AA13" i="13"/>
  <c r="AA45" i="13"/>
  <c r="AG13" i="13"/>
  <c r="AG45" i="13"/>
  <c r="X13" i="13"/>
  <c r="X45" i="13"/>
  <c r="W13" i="13"/>
  <c r="AC45" i="7"/>
  <c r="AD53" i="1" s="1"/>
  <c r="AD13" i="13"/>
  <c r="AD45" i="13"/>
  <c r="AF13" i="13"/>
  <c r="AF45" i="13"/>
  <c r="AC13" i="13"/>
  <c r="AC45" i="13"/>
  <c r="Z45" i="7"/>
  <c r="AA53" i="1" s="1"/>
  <c r="AB45" i="13"/>
  <c r="AB13" i="13"/>
  <c r="Y45" i="13"/>
  <c r="Y13" i="13"/>
  <c r="AE13" i="13"/>
  <c r="AE45" i="13"/>
  <c r="W45" i="7"/>
  <c r="X53" i="1" s="1"/>
  <c r="X45" i="7"/>
  <c r="Y53" i="1" s="1"/>
  <c r="Y45" i="7"/>
  <c r="Z53" i="1" s="1"/>
  <c r="U45" i="13"/>
  <c r="U13" i="13"/>
  <c r="S45" i="7"/>
  <c r="T53" i="1" s="1"/>
  <c r="T45" i="7"/>
  <c r="U53" i="1" s="1"/>
  <c r="S13" i="13"/>
  <c r="S45" i="13"/>
  <c r="T13" i="13"/>
  <c r="T45" i="13"/>
  <c r="AJ21" i="14"/>
  <c r="AJ30" i="14" s="1"/>
  <c r="AJ38" i="14" s="1"/>
  <c r="AJ21" i="13"/>
  <c r="O9" i="14" a="1"/>
  <c r="O9" i="14" s="1"/>
  <c r="O24" i="14" s="1"/>
  <c r="BX46" i="3"/>
  <c r="AS46" i="3" s="1"/>
  <c r="BX44" i="3"/>
  <c r="AS44" i="3" s="1"/>
  <c r="BX45" i="3"/>
  <c r="BX47" i="3"/>
  <c r="BZ41" i="3"/>
  <c r="AU41" i="3" s="1"/>
  <c r="BY45" i="3"/>
  <c r="AT45" i="3" s="1"/>
  <c r="BY47" i="3"/>
  <c r="BY44" i="3"/>
  <c r="AT44" i="3" s="1"/>
  <c r="BY46" i="3"/>
  <c r="AT46" i="3" s="1"/>
  <c r="BS46" i="3"/>
  <c r="AN46" i="3" s="1"/>
  <c r="BS44" i="3"/>
  <c r="AN44" i="3" s="1"/>
  <c r="BS45" i="3"/>
  <c r="BS47" i="3"/>
  <c r="BV45" i="3"/>
  <c r="BV47" i="3"/>
  <c r="BV44" i="3"/>
  <c r="AQ44" i="3" s="1"/>
  <c r="BV46" i="3"/>
  <c r="AQ46" i="3" s="1"/>
  <c r="AC13" i="12" l="1"/>
  <c r="AG13" i="12"/>
  <c r="U45" i="12"/>
  <c r="U46" i="12" s="1"/>
  <c r="Y13" i="11"/>
  <c r="X12" i="9"/>
  <c r="AE12" i="9"/>
  <c r="J8" i="13" a="1"/>
  <c r="J8" i="13" s="1"/>
  <c r="J23" i="13" s="1"/>
  <c r="AT47" i="3"/>
  <c r="Y12" i="9"/>
  <c r="V12" i="9"/>
  <c r="I8" i="13" a="1"/>
  <c r="I8" i="13" s="1"/>
  <c r="I23" i="13" s="1"/>
  <c r="AS47" i="3"/>
  <c r="D8" i="14" a="1"/>
  <c r="D8" i="14" s="1"/>
  <c r="D23" i="14" s="1"/>
  <c r="AN45" i="3"/>
  <c r="I8" i="14" a="1"/>
  <c r="I8" i="14" s="1"/>
  <c r="I23" i="14" s="1"/>
  <c r="AS45" i="3"/>
  <c r="I9" i="14" s="1" a="1"/>
  <c r="I9" i="14" s="1"/>
  <c r="I24" i="14" s="1"/>
  <c r="AB12" i="9"/>
  <c r="AA12" i="9"/>
  <c r="G8" i="13" a="1"/>
  <c r="G8" i="13" s="1"/>
  <c r="G23" i="13" s="1"/>
  <c r="AQ47" i="3"/>
  <c r="G8" i="14" a="1"/>
  <c r="G8" i="14" s="1"/>
  <c r="G23" i="14" s="1"/>
  <c r="AQ45" i="3"/>
  <c r="D8" i="13" a="1"/>
  <c r="D8" i="13" s="1"/>
  <c r="D23" i="13" s="1"/>
  <c r="AN47" i="3"/>
  <c r="J8" i="14" a="1"/>
  <c r="J8" i="14" s="1"/>
  <c r="J23" i="14" s="1"/>
  <c r="AK21" i="12"/>
  <c r="AN21" i="12"/>
  <c r="AL21" i="12"/>
  <c r="AO21" i="12"/>
  <c r="AG12" i="9"/>
  <c r="Z12" i="9"/>
  <c r="AC12" i="9"/>
  <c r="U12" i="9"/>
  <c r="AF12" i="9"/>
  <c r="T12" i="9"/>
  <c r="W12" i="9"/>
  <c r="S12" i="9"/>
  <c r="AD12" i="9"/>
  <c r="AO41" i="11"/>
  <c r="AK41" i="11"/>
  <c r="AN41" i="11"/>
  <c r="AL41" i="11"/>
  <c r="AN41" i="12"/>
  <c r="AO41" i="12"/>
  <c r="AL41" i="12"/>
  <c r="AK41" i="12"/>
  <c r="O9" i="13" a="1"/>
  <c r="O9" i="13" s="1"/>
  <c r="O24" i="13" s="1"/>
  <c r="M9" i="13" a="1"/>
  <c r="M9" i="13" s="1"/>
  <c r="M24" i="13" s="1"/>
  <c r="AJ38" i="11"/>
  <c r="AL30" i="11"/>
  <c r="AO30" i="11"/>
  <c r="AN30" i="11"/>
  <c r="AK30" i="11"/>
  <c r="AJ38" i="12"/>
  <c r="AN30" i="12"/>
  <c r="AL30" i="12"/>
  <c r="AO30" i="12"/>
  <c r="AK30" i="12"/>
  <c r="AJ30" i="13"/>
  <c r="AL21" i="13"/>
  <c r="AK21" i="13"/>
  <c r="AN21" i="13"/>
  <c r="AO21" i="13"/>
  <c r="AO38" i="14"/>
  <c r="AK38" i="14"/>
  <c r="AN38" i="14"/>
  <c r="AL38" i="14"/>
  <c r="AL30" i="14"/>
  <c r="AN30" i="14"/>
  <c r="AK30" i="14"/>
  <c r="AO30" i="14"/>
  <c r="AO21" i="14"/>
  <c r="AL21" i="14"/>
  <c r="AK21" i="14"/>
  <c r="AN21" i="14"/>
  <c r="V15" i="14"/>
  <c r="V15" i="13"/>
  <c r="Z15" i="14"/>
  <c r="Z15" i="13"/>
  <c r="W15" i="13"/>
  <c r="AC15" i="13"/>
  <c r="AD15" i="13"/>
  <c r="X15" i="13"/>
  <c r="AF15" i="13"/>
  <c r="AE15" i="13"/>
  <c r="AB15" i="13"/>
  <c r="AG15" i="13"/>
  <c r="AA15" i="13"/>
  <c r="U15" i="13"/>
  <c r="Y15" i="13"/>
  <c r="T15" i="13"/>
  <c r="S15" i="13"/>
  <c r="CF46" i="3"/>
  <c r="BA46" i="3" s="1"/>
  <c r="CF45" i="3"/>
  <c r="CF47" i="3"/>
  <c r="CF44" i="3"/>
  <c r="BA44" i="3" s="1"/>
  <c r="E9" i="14" a="1"/>
  <c r="E9" i="14" s="1"/>
  <c r="E24" i="14" s="1"/>
  <c r="CC44" i="3"/>
  <c r="AX44" i="3" s="1"/>
  <c r="CC45" i="3"/>
  <c r="CC47" i="3"/>
  <c r="CC46" i="3"/>
  <c r="AX46" i="3" s="1"/>
  <c r="CA44" i="3"/>
  <c r="AV44" i="3" s="1"/>
  <c r="CA45" i="3"/>
  <c r="AV45" i="3" s="1"/>
  <c r="CA46" i="3"/>
  <c r="AV46" i="3" s="1"/>
  <c r="CA47" i="3"/>
  <c r="Q8" i="13" l="1" a="1"/>
  <c r="Q8" i="13" s="1"/>
  <c r="Q23" i="13" s="1"/>
  <c r="BA47" i="3"/>
  <c r="L8" i="13" a="1"/>
  <c r="L8" i="13" s="1"/>
  <c r="L23" i="13" s="1"/>
  <c r="AV47" i="3"/>
  <c r="Q8" i="14" a="1"/>
  <c r="Q8" i="14" s="1"/>
  <c r="Q23" i="14" s="1"/>
  <c r="BA45" i="3"/>
  <c r="N8" i="13" a="1"/>
  <c r="N8" i="13" s="1"/>
  <c r="N23" i="13" s="1"/>
  <c r="AX47" i="3"/>
  <c r="N8" i="14" a="1"/>
  <c r="N8" i="14" s="1"/>
  <c r="N23" i="14" s="1"/>
  <c r="AX45" i="3"/>
  <c r="N9" i="14" s="1" a="1"/>
  <c r="N9" i="14" s="1"/>
  <c r="N24" i="14" s="1"/>
  <c r="L8" i="14" a="1"/>
  <c r="L8" i="14" s="1"/>
  <c r="L23" i="14" s="1"/>
  <c r="J9" i="14" a="1"/>
  <c r="J9" i="14" s="1"/>
  <c r="J24" i="14" s="1"/>
  <c r="P9" i="13" a="1"/>
  <c r="P9" i="13" s="1"/>
  <c r="P24" i="13" s="1"/>
  <c r="E9" i="13" a="1"/>
  <c r="E9" i="13" s="1"/>
  <c r="E24" i="13" s="1"/>
  <c r="AL38" i="11"/>
  <c r="AN38" i="11"/>
  <c r="AK38" i="11"/>
  <c r="AO38" i="11"/>
  <c r="AO38" i="12"/>
  <c r="AL38" i="12"/>
  <c r="AK38" i="12"/>
  <c r="AN38" i="12"/>
  <c r="AJ38" i="13"/>
  <c r="AL30" i="13"/>
  <c r="AK30" i="13"/>
  <c r="AN30" i="13"/>
  <c r="AO30" i="13"/>
  <c r="V45" i="14"/>
  <c r="W54" i="1" s="1"/>
  <c r="Z45" i="14"/>
  <c r="AA54" i="1" s="1"/>
  <c r="U15" i="14"/>
  <c r="AF15" i="14"/>
  <c r="X15" i="14"/>
  <c r="AA15" i="14"/>
  <c r="AD15" i="14"/>
  <c r="AC15" i="14"/>
  <c r="AG15" i="14"/>
  <c r="AB15" i="14"/>
  <c r="AE15" i="14"/>
  <c r="W15" i="14"/>
  <c r="Y15" i="14"/>
  <c r="S15" i="14"/>
  <c r="T15" i="14"/>
  <c r="BW47" i="3"/>
  <c r="BW44" i="3"/>
  <c r="AR44" i="3" s="1"/>
  <c r="BW45" i="3"/>
  <c r="BW46" i="3"/>
  <c r="AR46" i="3" s="1"/>
  <c r="CG46" i="3"/>
  <c r="BB46" i="3" s="1"/>
  <c r="CG47" i="3"/>
  <c r="CG45" i="3"/>
  <c r="CG44" i="3"/>
  <c r="BB44" i="3" s="1"/>
  <c r="BZ46" i="3"/>
  <c r="AU46" i="3" s="1"/>
  <c r="BZ47" i="3"/>
  <c r="BZ45" i="3"/>
  <c r="BZ44" i="3"/>
  <c r="AU44" i="3" s="1"/>
  <c r="BU47" i="3"/>
  <c r="BU45" i="3"/>
  <c r="BU46" i="3"/>
  <c r="AP46" i="3" s="1"/>
  <c r="BU44" i="3"/>
  <c r="AP44" i="3" s="1"/>
  <c r="F8" i="14" l="1" a="1"/>
  <c r="F8" i="14" s="1"/>
  <c r="F23" i="14" s="1"/>
  <c r="AP45" i="3"/>
  <c r="F9" i="14" s="1" a="1"/>
  <c r="F9" i="14" s="1"/>
  <c r="F24" i="14" s="1"/>
  <c r="K8" i="14" a="1"/>
  <c r="K8" i="14" s="1"/>
  <c r="K23" i="14" s="1"/>
  <c r="AU45" i="3"/>
  <c r="K9" i="14" s="1" a="1"/>
  <c r="K9" i="14" s="1"/>
  <c r="K24" i="14" s="1"/>
  <c r="K8" i="13" a="1"/>
  <c r="K8" i="13" s="1"/>
  <c r="K23" i="13" s="1"/>
  <c r="AU47" i="3"/>
  <c r="R8" i="14" a="1"/>
  <c r="R8" i="14" s="1"/>
  <c r="R23" i="14" s="1"/>
  <c r="BB45" i="3"/>
  <c r="R9" i="14" s="1" a="1"/>
  <c r="R9" i="14" s="1"/>
  <c r="R24" i="14" s="1"/>
  <c r="R8" i="13" a="1"/>
  <c r="R8" i="13" s="1"/>
  <c r="R23" i="13" s="1"/>
  <c r="BB47" i="3"/>
  <c r="H8" i="14" a="1"/>
  <c r="H8" i="14" s="1"/>
  <c r="H23" i="14" s="1"/>
  <c r="AR45" i="3"/>
  <c r="F8" i="13" a="1"/>
  <c r="F8" i="13" s="1"/>
  <c r="F23" i="13" s="1"/>
  <c r="AP47" i="3"/>
  <c r="H8" i="13" a="1"/>
  <c r="H8" i="13" s="1"/>
  <c r="H23" i="13" s="1"/>
  <c r="AR47" i="3"/>
  <c r="D9" i="9" a="1"/>
  <c r="D9" i="9" s="1"/>
  <c r="D9" i="14" a="1"/>
  <c r="D9" i="14" s="1"/>
  <c r="D24" i="14" s="1"/>
  <c r="N9" i="13" a="1"/>
  <c r="N9" i="13" s="1"/>
  <c r="N24" i="13" s="1"/>
  <c r="D9" i="13" a="1"/>
  <c r="D9" i="13" s="1"/>
  <c r="D24" i="13" s="1"/>
  <c r="J9" i="13" a="1"/>
  <c r="J9" i="13" s="1"/>
  <c r="J24" i="13" s="1"/>
  <c r="AL38" i="13"/>
  <c r="AO38" i="13"/>
  <c r="AN38" i="13"/>
  <c r="AK38" i="13"/>
  <c r="U45" i="14"/>
  <c r="V54" i="1" s="1"/>
  <c r="AG45" i="14"/>
  <c r="AH54" i="1" s="1"/>
  <c r="Y45" i="14"/>
  <c r="Z54" i="1" s="1"/>
  <c r="AF45" i="14"/>
  <c r="AG54" i="1" s="1"/>
  <c r="AC45" i="14"/>
  <c r="AD54" i="1" s="1"/>
  <c r="AE45" i="14"/>
  <c r="AF54" i="1" s="1"/>
  <c r="X45" i="14"/>
  <c r="Y54" i="1" s="1"/>
  <c r="W45" i="14"/>
  <c r="X54" i="1" s="1"/>
  <c r="AB45" i="14"/>
  <c r="AC54" i="1" s="1"/>
  <c r="AD45" i="14"/>
  <c r="AE54" i="1" s="1"/>
  <c r="AA45" i="14"/>
  <c r="AB54" i="1" s="1"/>
  <c r="G9" i="14" a="1"/>
  <c r="G9" i="14" s="1"/>
  <c r="G24" i="14" s="1"/>
  <c r="CB53" i="3"/>
  <c r="AW53" i="3" s="1"/>
  <c r="CB54" i="3"/>
  <c r="AW54" i="3" s="1"/>
  <c r="L9" i="14" a="1"/>
  <c r="L9" i="14" s="1"/>
  <c r="L24" i="14" s="1"/>
  <c r="AH8" i="13" l="1"/>
  <c r="AH8" i="14"/>
  <c r="M9" i="7" a="1"/>
  <c r="M9" i="7" s="1"/>
  <c r="M24" i="7" s="1"/>
  <c r="L9" i="13" a="1"/>
  <c r="L9" i="13" s="1"/>
  <c r="L24" i="13" s="1"/>
  <c r="I9" i="13" a="1"/>
  <c r="I9" i="13" s="1"/>
  <c r="I24" i="13" s="1"/>
  <c r="BT54" i="3"/>
  <c r="AO54" i="3" s="1"/>
  <c r="BT53" i="3"/>
  <c r="AO53" i="3" s="1"/>
  <c r="Q9" i="14" a="1"/>
  <c r="Q9" i="14" s="1"/>
  <c r="Q24" i="14" s="1"/>
  <c r="CD53" i="3"/>
  <c r="AY53" i="3" s="1"/>
  <c r="CD54" i="3"/>
  <c r="AY54" i="3" s="1"/>
  <c r="O9" i="7" l="1" a="1"/>
  <c r="O9" i="7" s="1"/>
  <c r="O24" i="7" s="1"/>
  <c r="G9" i="13" a="1"/>
  <c r="G9" i="13" s="1"/>
  <c r="G24" i="13" s="1"/>
  <c r="Q9" i="13" a="1"/>
  <c r="Q9" i="13" s="1"/>
  <c r="Q24" i="13" s="1"/>
  <c r="BY53" i="3"/>
  <c r="AT53" i="3" s="1"/>
  <c r="BY54" i="3"/>
  <c r="AT54" i="3" s="1"/>
  <c r="BS54" i="3"/>
  <c r="AN54" i="3" s="1"/>
  <c r="BS53" i="3"/>
  <c r="AN53" i="3" s="1"/>
  <c r="CE54" i="3"/>
  <c r="AZ54" i="3" s="1"/>
  <c r="CE53" i="3"/>
  <c r="AZ53" i="3" s="1"/>
  <c r="H9" i="14" a="1"/>
  <c r="H9" i="14" s="1"/>
  <c r="CB58" i="3"/>
  <c r="AW58" i="3" s="1"/>
  <c r="CB60" i="3"/>
  <c r="AW60" i="3" s="1"/>
  <c r="CB57" i="3"/>
  <c r="AW57" i="3" s="1"/>
  <c r="CB59" i="3"/>
  <c r="AW59" i="3" s="1"/>
  <c r="AH9" i="14" l="1"/>
  <c r="H24" i="14"/>
  <c r="M9" i="10" a="1"/>
  <c r="M9" i="10" s="1"/>
  <c r="M24" i="10" s="1"/>
  <c r="F9" i="13" a="1"/>
  <c r="F9" i="13" s="1"/>
  <c r="F24" i="13" s="1"/>
  <c r="R9" i="13" a="1"/>
  <c r="R9" i="13" s="1"/>
  <c r="R24" i="13" s="1"/>
  <c r="K9" i="13" a="1"/>
  <c r="K9" i="13" s="1"/>
  <c r="K24" i="13" s="1"/>
  <c r="P9" i="7" a="1"/>
  <c r="P9" i="7" s="1"/>
  <c r="P24" i="7" s="1"/>
  <c r="E9" i="7" a="1"/>
  <c r="E9" i="7" s="1"/>
  <c r="E24" i="7" s="1"/>
  <c r="CD59" i="3"/>
  <c r="AY59" i="3" s="1"/>
  <c r="CD57" i="3"/>
  <c r="AY57" i="3" s="1"/>
  <c r="CD58" i="3"/>
  <c r="AY58" i="3" s="1"/>
  <c r="CD60" i="3"/>
  <c r="AY60" i="3" s="1"/>
  <c r="CA53" i="3"/>
  <c r="AV53" i="3" s="1"/>
  <c r="CA54" i="3"/>
  <c r="AV54" i="3" s="1"/>
  <c r="BX54" i="3"/>
  <c r="AS54" i="3" s="1"/>
  <c r="BX53" i="3"/>
  <c r="AS53" i="3" s="1"/>
  <c r="M10" i="14" a="1"/>
  <c r="M10" i="14" s="1"/>
  <c r="M25" i="14" s="1"/>
  <c r="D9" i="7" a="1"/>
  <c r="D9" i="7" s="1"/>
  <c r="D24" i="7" s="1"/>
  <c r="J9" i="7" a="1"/>
  <c r="J9" i="7" s="1"/>
  <c r="J24" i="7" s="1"/>
  <c r="CC53" i="3"/>
  <c r="AX53" i="3" s="1"/>
  <c r="CC54" i="3"/>
  <c r="AX54" i="3" s="1"/>
  <c r="H9" i="13" l="1" a="1"/>
  <c r="H9" i="13" s="1"/>
  <c r="M10" i="13" a="1"/>
  <c r="M10" i="13" s="1"/>
  <c r="M25" i="13" s="1"/>
  <c r="M9" i="9" a="1"/>
  <c r="M9" i="9" s="1"/>
  <c r="N9" i="7" a="1"/>
  <c r="N9" i="7" s="1"/>
  <c r="N24" i="7" s="1"/>
  <c r="CG54" i="3"/>
  <c r="BB54" i="3" s="1"/>
  <c r="CG53" i="3"/>
  <c r="BB53" i="3" s="1"/>
  <c r="CF53" i="3"/>
  <c r="BA53" i="3" s="1"/>
  <c r="CF54" i="3"/>
  <c r="BA54" i="3" s="1"/>
  <c r="BT60" i="3"/>
  <c r="AO60" i="3" s="1"/>
  <c r="BT57" i="3"/>
  <c r="AO57" i="3" s="1"/>
  <c r="BT58" i="3"/>
  <c r="AO58" i="3" s="1"/>
  <c r="BT59" i="3"/>
  <c r="AO59" i="3" s="1"/>
  <c r="I9" i="7" a="1"/>
  <c r="I9" i="7" s="1"/>
  <c r="I24" i="7" s="1"/>
  <c r="O9" i="10" a="1"/>
  <c r="O9" i="10" s="1"/>
  <c r="O24" i="10" s="1"/>
  <c r="CE59" i="3"/>
  <c r="AZ59" i="3" s="1"/>
  <c r="CE60" i="3"/>
  <c r="AZ60" i="3" s="1"/>
  <c r="CE58" i="3"/>
  <c r="AZ58" i="3" s="1"/>
  <c r="CE57" i="3"/>
  <c r="AZ57" i="3" s="1"/>
  <c r="AH9" i="13" l="1"/>
  <c r="H24" i="13"/>
  <c r="AJ24" i="14"/>
  <c r="L9" i="7" a="1"/>
  <c r="L9" i="7" s="1"/>
  <c r="L24" i="7" s="1"/>
  <c r="BZ53" i="3"/>
  <c r="AU53" i="3" s="1"/>
  <c r="BZ54" i="3"/>
  <c r="AU54" i="3" s="1"/>
  <c r="CC57" i="3"/>
  <c r="AX57" i="3" s="1"/>
  <c r="CC58" i="3"/>
  <c r="AX58" i="3" s="1"/>
  <c r="CC60" i="3"/>
  <c r="AX60" i="3" s="1"/>
  <c r="CC59" i="3"/>
  <c r="AX59" i="3" s="1"/>
  <c r="CB66" i="3"/>
  <c r="AW66" i="3" s="1"/>
  <c r="CB65" i="3"/>
  <c r="AW65" i="3" s="1"/>
  <c r="CB63" i="3"/>
  <c r="AW63" i="3" s="1"/>
  <c r="CB64" i="3"/>
  <c r="AW64" i="3" s="1"/>
  <c r="BY57" i="3"/>
  <c r="AT57" i="3" s="1"/>
  <c r="BY60" i="3"/>
  <c r="AT60" i="3" s="1"/>
  <c r="BY58" i="3"/>
  <c r="AT58" i="3" s="1"/>
  <c r="BY59" i="3"/>
  <c r="AT59" i="3" s="1"/>
  <c r="P9" i="10" a="1"/>
  <c r="P9" i="10" s="1"/>
  <c r="P24" i="10" s="1"/>
  <c r="E9" i="10" a="1"/>
  <c r="E9" i="10" s="1"/>
  <c r="E24" i="10" s="1"/>
  <c r="BU53" i="3"/>
  <c r="AP53" i="3" s="1"/>
  <c r="BU54" i="3"/>
  <c r="AP54" i="3" s="1"/>
  <c r="BS58" i="3"/>
  <c r="AN58" i="3" s="1"/>
  <c r="BS57" i="3"/>
  <c r="AN57" i="3" s="1"/>
  <c r="BS59" i="3"/>
  <c r="AN59" i="3" s="1"/>
  <c r="BS60" i="3"/>
  <c r="AN60" i="3" s="1"/>
  <c r="J9" i="10" l="1" a="1"/>
  <c r="J9" i="10" s="1"/>
  <c r="J24" i="10" s="1"/>
  <c r="AJ33" i="14"/>
  <c r="AN24" i="14"/>
  <c r="AL24" i="14"/>
  <c r="AO24" i="14"/>
  <c r="AK24" i="14"/>
  <c r="Q9" i="7" a="1"/>
  <c r="Q9" i="7" s="1"/>
  <c r="Q24" i="7" s="1"/>
  <c r="D9" i="10" a="1"/>
  <c r="D9" i="10" s="1"/>
  <c r="D24" i="10" s="1"/>
  <c r="R9" i="7" a="1"/>
  <c r="R9" i="7" s="1"/>
  <c r="R24" i="7" s="1"/>
  <c r="CG57" i="3"/>
  <c r="BB57" i="3" s="1"/>
  <c r="CG59" i="3"/>
  <c r="BB59" i="3" s="1"/>
  <c r="CG58" i="3"/>
  <c r="BB58" i="3" s="1"/>
  <c r="CG60" i="3"/>
  <c r="BB60" i="3" s="1"/>
  <c r="F9" i="7" a="1"/>
  <c r="F9" i="7" s="1"/>
  <c r="F24" i="7" s="1"/>
  <c r="CA59" i="3"/>
  <c r="AV59" i="3" s="1"/>
  <c r="CA57" i="3"/>
  <c r="AV57" i="3" s="1"/>
  <c r="CA58" i="3"/>
  <c r="AV58" i="3" s="1"/>
  <c r="CA60" i="3"/>
  <c r="AV60" i="3" s="1"/>
  <c r="BX57" i="3"/>
  <c r="AS57" i="3" s="1"/>
  <c r="BX58" i="3"/>
  <c r="AS58" i="3" s="1"/>
  <c r="BX59" i="3"/>
  <c r="AS59" i="3" s="1"/>
  <c r="BX60" i="3"/>
  <c r="AS60" i="3" s="1"/>
  <c r="BV54" i="3"/>
  <c r="AQ54" i="3" s="1"/>
  <c r="BV53" i="3"/>
  <c r="AQ53" i="3" s="1"/>
  <c r="BW54" i="3"/>
  <c r="AR54" i="3" s="1"/>
  <c r="BW53" i="3"/>
  <c r="AR53" i="3" s="1"/>
  <c r="N9" i="10" a="1"/>
  <c r="N9" i="10" s="1"/>
  <c r="N24" i="10" s="1"/>
  <c r="I9" i="10" l="1" a="1"/>
  <c r="I9" i="10" s="1"/>
  <c r="I24" i="10" s="1"/>
  <c r="L9" i="10" a="1"/>
  <c r="L9" i="10" s="1"/>
  <c r="L24" i="10" s="1"/>
  <c r="N10" i="14" a="1"/>
  <c r="N10" i="14" s="1"/>
  <c r="N25" i="14" s="1"/>
  <c r="J10" i="14" a="1"/>
  <c r="J10" i="14" s="1"/>
  <c r="J25" i="14" s="1"/>
  <c r="O9" i="9" a="1"/>
  <c r="O9" i="9" s="1"/>
  <c r="O10" i="14" a="1"/>
  <c r="O10" i="14" s="1"/>
  <c r="O25" i="14" s="1"/>
  <c r="O10" i="13" a="1"/>
  <c r="O10" i="13" s="1"/>
  <c r="O25" i="13" s="1"/>
  <c r="D10" i="13" a="1"/>
  <c r="D10" i="13" s="1"/>
  <c r="D25" i="13" s="1"/>
  <c r="AJ41" i="14"/>
  <c r="AL33" i="14"/>
  <c r="AK33" i="14"/>
  <c r="AO33" i="14"/>
  <c r="AN33" i="14"/>
  <c r="G9" i="7" a="1"/>
  <c r="G9" i="7" s="1"/>
  <c r="G24" i="7" s="1"/>
  <c r="R9" i="10" a="1"/>
  <c r="R9" i="10" s="1"/>
  <c r="R24" i="10" s="1"/>
  <c r="D10" i="14" a="1"/>
  <c r="D10" i="14" s="1"/>
  <c r="D25" i="14" s="1"/>
  <c r="CF60" i="3"/>
  <c r="BA60" i="3" s="1"/>
  <c r="CF59" i="3"/>
  <c r="BA59" i="3" s="1"/>
  <c r="CF58" i="3"/>
  <c r="BA58" i="3" s="1"/>
  <c r="CF57" i="3"/>
  <c r="BA57" i="3" s="1"/>
  <c r="K9" i="7" a="1"/>
  <c r="K9" i="7" s="1"/>
  <c r="K24" i="7" s="1"/>
  <c r="E9" i="9" a="1"/>
  <c r="E9" i="9" s="1"/>
  <c r="H9" i="7" a="1"/>
  <c r="H9" i="7" s="1"/>
  <c r="H24" i="7" s="1"/>
  <c r="P9" i="9" l="1" a="1"/>
  <c r="P9" i="9" s="1"/>
  <c r="P10" i="14" a="1"/>
  <c r="P10" i="14" s="1"/>
  <c r="P25" i="14" s="1"/>
  <c r="I9" i="9" a="1"/>
  <c r="I9" i="9" s="1"/>
  <c r="I10" i="14" a="1"/>
  <c r="I10" i="14" s="1"/>
  <c r="I25" i="14" s="1"/>
  <c r="E10" i="14" a="1"/>
  <c r="E10" i="14" s="1"/>
  <c r="E25" i="14" s="1"/>
  <c r="I10" i="13" a="1"/>
  <c r="I10" i="13" s="1"/>
  <c r="I25" i="13" s="1"/>
  <c r="P10" i="13" a="1"/>
  <c r="P10" i="13" s="1"/>
  <c r="P25" i="13" s="1"/>
  <c r="E10" i="13" a="1"/>
  <c r="E10" i="13" s="1"/>
  <c r="E25" i="13" s="1"/>
  <c r="AO41" i="14"/>
  <c r="AL41" i="14"/>
  <c r="AK41" i="14"/>
  <c r="AN41" i="14"/>
  <c r="D10" i="9" a="1"/>
  <c r="D10" i="9" s="1"/>
  <c r="M10" i="7" a="1"/>
  <c r="M10" i="7" s="1"/>
  <c r="M25" i="7" s="1"/>
  <c r="M8" i="7" a="1"/>
  <c r="M8" i="7" s="1"/>
  <c r="M23" i="7" s="1"/>
  <c r="M10" i="12" a="1"/>
  <c r="M10" i="12" s="1"/>
  <c r="M25" i="12" s="1"/>
  <c r="M8" i="12" a="1"/>
  <c r="M8" i="12" s="1"/>
  <c r="M23" i="12" s="1"/>
  <c r="Q9" i="10" a="1"/>
  <c r="Q9" i="10" s="1"/>
  <c r="Q24" i="10" s="1"/>
  <c r="R10" i="14" a="1"/>
  <c r="R10" i="14" s="1"/>
  <c r="R25" i="14" s="1"/>
  <c r="CE66" i="3"/>
  <c r="AZ66" i="3" s="1"/>
  <c r="CE64" i="3"/>
  <c r="AZ64" i="3" s="1"/>
  <c r="CE63" i="3"/>
  <c r="AZ63" i="3" s="1"/>
  <c r="CE65" i="3"/>
  <c r="AZ65" i="3" s="1"/>
  <c r="BS63" i="3"/>
  <c r="AN63" i="3" s="1"/>
  <c r="BS66" i="3"/>
  <c r="AN66" i="3" s="1"/>
  <c r="BS65" i="3"/>
  <c r="AN65" i="3" s="1"/>
  <c r="BS64" i="3"/>
  <c r="AN64" i="3" s="1"/>
  <c r="BU58" i="3"/>
  <c r="AP58" i="3" s="1"/>
  <c r="BU59" i="3"/>
  <c r="AP59" i="3" s="1"/>
  <c r="BU57" i="3"/>
  <c r="AP57" i="3" s="1"/>
  <c r="BU60" i="3"/>
  <c r="AP60" i="3" s="1"/>
  <c r="BZ58" i="3"/>
  <c r="AU58" i="3" s="1"/>
  <c r="BZ60" i="3"/>
  <c r="AU60" i="3" s="1"/>
  <c r="BZ59" i="3"/>
  <c r="AU59" i="3" s="1"/>
  <c r="BZ57" i="3"/>
  <c r="AU57" i="3" s="1"/>
  <c r="BV60" i="3"/>
  <c r="AQ60" i="3" s="1"/>
  <c r="BV57" i="3"/>
  <c r="AQ57" i="3" s="1"/>
  <c r="BV59" i="3"/>
  <c r="AQ59" i="3" s="1"/>
  <c r="BV58" i="3"/>
  <c r="AQ58" i="3" s="1"/>
  <c r="Q10" i="14" a="1"/>
  <c r="Q10" i="14" s="1"/>
  <c r="Q25" i="14" s="1"/>
  <c r="CD64" i="3"/>
  <c r="AY64" i="3" s="1"/>
  <c r="CD66" i="3"/>
  <c r="AY66" i="3" s="1"/>
  <c r="CD63" i="3"/>
  <c r="AY63" i="3" s="1"/>
  <c r="CD65" i="3"/>
  <c r="AY65" i="3" s="1"/>
  <c r="F9" i="10" l="1" a="1"/>
  <c r="F9" i="10" s="1"/>
  <c r="F24" i="10" s="1"/>
  <c r="N9" i="9" a="1"/>
  <c r="N9" i="9" s="1"/>
  <c r="N10" i="13" a="1"/>
  <c r="N10" i="13" s="1"/>
  <c r="N25" i="13" s="1"/>
  <c r="J9" i="9" a="1"/>
  <c r="J9" i="9" s="1"/>
  <c r="J10" i="13" a="1"/>
  <c r="J10" i="13" s="1"/>
  <c r="J25" i="13" s="1"/>
  <c r="O10" i="7" a="1"/>
  <c r="O10" i="7" s="1"/>
  <c r="O25" i="7" s="1"/>
  <c r="O8" i="7" a="1"/>
  <c r="O8" i="7" s="1"/>
  <c r="O23" i="7" s="1"/>
  <c r="M10" i="11" a="1"/>
  <c r="M10" i="11" s="1"/>
  <c r="M25" i="11" s="1"/>
  <c r="M8" i="11" a="1"/>
  <c r="M8" i="11" s="1"/>
  <c r="M23" i="11" s="1"/>
  <c r="G9" i="10" a="1"/>
  <c r="G9" i="10" s="1"/>
  <c r="G24" i="10" s="1"/>
  <c r="BX63" i="3"/>
  <c r="AS63" i="3" s="1"/>
  <c r="BX65" i="3"/>
  <c r="AS65" i="3" s="1"/>
  <c r="BX64" i="3"/>
  <c r="AS64" i="3" s="1"/>
  <c r="BX66" i="3"/>
  <c r="AS66" i="3" s="1"/>
  <c r="BW57" i="3"/>
  <c r="AR57" i="3" s="1"/>
  <c r="BW59" i="3"/>
  <c r="AR59" i="3" s="1"/>
  <c r="BW58" i="3"/>
  <c r="AR58" i="3" s="1"/>
  <c r="BW60" i="3"/>
  <c r="AR60" i="3" s="1"/>
  <c r="BT63" i="3"/>
  <c r="AO63" i="3" s="1"/>
  <c r="BT66" i="3"/>
  <c r="AO66" i="3" s="1"/>
  <c r="BT65" i="3"/>
  <c r="AO65" i="3" s="1"/>
  <c r="BT64" i="3"/>
  <c r="AO64" i="3" s="1"/>
  <c r="L10" i="14" a="1"/>
  <c r="L10" i="14" s="1"/>
  <c r="L25" i="14" s="1"/>
  <c r="K9" i="10" a="1"/>
  <c r="K9" i="10" s="1"/>
  <c r="K24" i="10" s="1"/>
  <c r="F10" i="14" l="1" a="1"/>
  <c r="F10" i="14" s="1"/>
  <c r="F25" i="14" s="1"/>
  <c r="K10" i="14" a="1"/>
  <c r="K10" i="14" s="1"/>
  <c r="K25" i="14" s="1"/>
  <c r="G10" i="13" a="1"/>
  <c r="G10" i="13" s="1"/>
  <c r="G25" i="13" s="1"/>
  <c r="R9" i="9" a="1"/>
  <c r="R9" i="9" s="1"/>
  <c r="R10" i="13" a="1"/>
  <c r="R10" i="13" s="1"/>
  <c r="R25" i="13" s="1"/>
  <c r="Q9" i="9" a="1"/>
  <c r="Q9" i="9" s="1"/>
  <c r="Q10" i="13" a="1"/>
  <c r="Q10" i="13" s="1"/>
  <c r="Q25" i="13" s="1"/>
  <c r="D8" i="7" a="1"/>
  <c r="D8" i="7" s="1"/>
  <c r="D23" i="7" s="1"/>
  <c r="P10" i="7" a="1"/>
  <c r="P10" i="7" s="1"/>
  <c r="P25" i="7" s="1"/>
  <c r="P8" i="7" a="1"/>
  <c r="P8" i="7" s="1"/>
  <c r="P23" i="7" s="1"/>
  <c r="O10" i="12" a="1"/>
  <c r="O10" i="12" s="1"/>
  <c r="O25" i="12" s="1"/>
  <c r="O8" i="12" a="1"/>
  <c r="O8" i="12" s="1"/>
  <c r="O23" i="12" s="1"/>
  <c r="D10" i="12" a="1"/>
  <c r="D10" i="12" s="1"/>
  <c r="D8" i="12" a="1"/>
  <c r="D8" i="12" s="1"/>
  <c r="D23" i="12" s="1"/>
  <c r="P10" i="12" a="1"/>
  <c r="P10" i="12" s="1"/>
  <c r="P25" i="12" s="1"/>
  <c r="P8" i="12" a="1"/>
  <c r="P8" i="12" s="1"/>
  <c r="P23" i="12" s="1"/>
  <c r="D10" i="7" a="1"/>
  <c r="D10" i="7" s="1"/>
  <c r="D25" i="7" s="1"/>
  <c r="G10" i="14" a="1"/>
  <c r="G10" i="14" s="1"/>
  <c r="G25" i="14" s="1"/>
  <c r="CF66" i="3"/>
  <c r="BA66" i="3" s="1"/>
  <c r="CF65" i="3"/>
  <c r="BA65" i="3" s="1"/>
  <c r="CF64" i="3"/>
  <c r="BA64" i="3" s="1"/>
  <c r="CF63" i="3"/>
  <c r="BA63" i="3" s="1"/>
  <c r="CC65" i="3"/>
  <c r="AX65" i="3" s="1"/>
  <c r="CC63" i="3"/>
  <c r="AX63" i="3" s="1"/>
  <c r="CC66" i="3"/>
  <c r="AX66" i="3" s="1"/>
  <c r="CC64" i="3"/>
  <c r="AX64" i="3" s="1"/>
  <c r="CB71" i="3"/>
  <c r="AW71" i="3" s="1"/>
  <c r="CB72" i="3"/>
  <c r="AW72" i="3" s="1"/>
  <c r="CB69" i="3"/>
  <c r="AW69" i="3" s="1"/>
  <c r="CB70" i="3"/>
  <c r="AW70" i="3" s="1"/>
  <c r="BY66" i="3"/>
  <c r="AT66" i="3" s="1"/>
  <c r="BY64" i="3"/>
  <c r="AT64" i="3" s="1"/>
  <c r="BY65" i="3"/>
  <c r="AT65" i="3" s="1"/>
  <c r="BY63" i="3"/>
  <c r="AT63" i="3" s="1"/>
  <c r="CG66" i="3"/>
  <c r="BB66" i="3" s="1"/>
  <c r="CG65" i="3"/>
  <c r="BB65" i="3" s="1"/>
  <c r="CG63" i="3"/>
  <c r="BB63" i="3" s="1"/>
  <c r="CG64" i="3"/>
  <c r="BB64" i="3" s="1"/>
  <c r="H9" i="10" a="1"/>
  <c r="H9" i="10" s="1"/>
  <c r="H24" i="10" s="1"/>
  <c r="H10" i="14" l="1" a="1"/>
  <c r="H10" i="14" s="1"/>
  <c r="F10" i="13" a="1"/>
  <c r="F10" i="13" s="1"/>
  <c r="F25" i="13" s="1"/>
  <c r="L10" i="13" a="1"/>
  <c r="L10" i="13" s="1"/>
  <c r="L25" i="13" s="1"/>
  <c r="M8" i="9" a="1"/>
  <c r="M8" i="9" s="1"/>
  <c r="M10" i="10" a="1"/>
  <c r="M10" i="10" s="1"/>
  <c r="M25" i="10" s="1"/>
  <c r="M8" i="10" a="1"/>
  <c r="M8" i="10" s="1"/>
  <c r="M23" i="10" s="1"/>
  <c r="J10" i="7" a="1"/>
  <c r="J10" i="7" s="1"/>
  <c r="J25" i="7" s="1"/>
  <c r="J8" i="7" a="1"/>
  <c r="J8" i="7" s="1"/>
  <c r="J23" i="7" s="1"/>
  <c r="O10" i="11" a="1"/>
  <c r="O10" i="11" s="1"/>
  <c r="O25" i="11" s="1"/>
  <c r="O8" i="11" a="1"/>
  <c r="O8" i="11" s="1"/>
  <c r="O23" i="11" s="1"/>
  <c r="F9" i="9" a="1"/>
  <c r="F9" i="9" s="1"/>
  <c r="G9" i="9" a="1"/>
  <c r="G9" i="9" s="1"/>
  <c r="L9" i="9" a="1"/>
  <c r="L9" i="9" s="1"/>
  <c r="M4" i="14" a="1"/>
  <c r="M4" i="14" s="1"/>
  <c r="M19" i="14" s="1"/>
  <c r="Q8" i="7" a="1"/>
  <c r="Q8" i="7" s="1"/>
  <c r="Q23" i="7" s="1"/>
  <c r="BU65" i="3"/>
  <c r="AP65" i="3" s="1"/>
  <c r="BU64" i="3"/>
  <c r="AP64" i="3" s="1"/>
  <c r="BU63" i="3"/>
  <c r="AP63" i="3" s="1"/>
  <c r="BU66" i="3"/>
  <c r="AP66" i="3" s="1"/>
  <c r="CA65" i="3"/>
  <c r="AV65" i="3" s="1"/>
  <c r="CA64" i="3"/>
  <c r="AV64" i="3" s="1"/>
  <c r="CA63" i="3"/>
  <c r="AV63" i="3" s="1"/>
  <c r="CA66" i="3"/>
  <c r="AV66" i="3" s="1"/>
  <c r="N8" i="7" a="1"/>
  <c r="N8" i="7" s="1"/>
  <c r="N23" i="7" s="1"/>
  <c r="BV66" i="3"/>
  <c r="AQ66" i="3" s="1"/>
  <c r="BV63" i="3"/>
  <c r="AQ63" i="3" s="1"/>
  <c r="BV64" i="3"/>
  <c r="AQ64" i="3" s="1"/>
  <c r="BV65" i="3"/>
  <c r="AQ65" i="3" s="1"/>
  <c r="AH10" i="14" l="1"/>
  <c r="H25" i="14"/>
  <c r="M4" i="13" a="1"/>
  <c r="M4" i="13" s="1"/>
  <c r="M19" i="13" s="1"/>
  <c r="K9" i="9" a="1"/>
  <c r="K9" i="9" s="1"/>
  <c r="K10" i="13" a="1"/>
  <c r="K10" i="13" s="1"/>
  <c r="K25" i="13" s="1"/>
  <c r="E10" i="12" a="1"/>
  <c r="E10" i="12" s="1"/>
  <c r="E8" i="12" a="1"/>
  <c r="E8" i="12" s="1"/>
  <c r="E23" i="12" s="1"/>
  <c r="L10" i="7" a="1"/>
  <c r="L10" i="7" s="1"/>
  <c r="L25" i="7" s="1"/>
  <c r="L8" i="7" a="1"/>
  <c r="L8" i="7" s="1"/>
  <c r="L23" i="7" s="1"/>
  <c r="R10" i="7" a="1"/>
  <c r="R10" i="7" s="1"/>
  <c r="R25" i="7" s="1"/>
  <c r="R8" i="7" a="1"/>
  <c r="R8" i="7" s="1"/>
  <c r="R23" i="7" s="1"/>
  <c r="I10" i="12" a="1"/>
  <c r="I10" i="12" s="1"/>
  <c r="I8" i="12" a="1"/>
  <c r="I8" i="12" s="1"/>
  <c r="I23" i="12" s="1"/>
  <c r="E10" i="7" a="1"/>
  <c r="E10" i="7" s="1"/>
  <c r="E25" i="7" s="1"/>
  <c r="E8" i="7" a="1"/>
  <c r="E8" i="7" s="1"/>
  <c r="E23" i="7" s="1"/>
  <c r="N10" i="12" a="1"/>
  <c r="N10" i="12" s="1"/>
  <c r="N25" i="12" s="1"/>
  <c r="N8" i="12" a="1"/>
  <c r="N8" i="12" s="1"/>
  <c r="N23" i="12" s="1"/>
  <c r="P10" i="11" a="1"/>
  <c r="P10" i="11" s="1"/>
  <c r="P25" i="11" s="1"/>
  <c r="P8" i="11" a="1"/>
  <c r="P8" i="11" s="1"/>
  <c r="P23" i="11" s="1"/>
  <c r="D10" i="11" a="1"/>
  <c r="D10" i="11" s="1"/>
  <c r="D8" i="11" a="1"/>
  <c r="D8" i="11" s="1"/>
  <c r="D23" i="11" s="1"/>
  <c r="I10" i="7" a="1"/>
  <c r="I10" i="7" s="1"/>
  <c r="I25" i="7" s="1"/>
  <c r="I8" i="7" a="1"/>
  <c r="I8" i="7" s="1"/>
  <c r="I23" i="7" s="1"/>
  <c r="M10" i="9" a="1"/>
  <c r="M10" i="9" s="1"/>
  <c r="N10" i="7" a="1"/>
  <c r="N10" i="7" s="1"/>
  <c r="N25" i="7" s="1"/>
  <c r="Q10" i="7" a="1"/>
  <c r="Q10" i="7" s="1"/>
  <c r="Q25" i="7" s="1"/>
  <c r="CE72" i="3"/>
  <c r="AZ72" i="3" s="1"/>
  <c r="CE69" i="3"/>
  <c r="AZ69" i="3" s="1"/>
  <c r="CE71" i="3"/>
  <c r="AZ71" i="3" s="1"/>
  <c r="CE70" i="3"/>
  <c r="AZ70" i="3" s="1"/>
  <c r="BS69" i="3"/>
  <c r="AN69" i="3" s="1"/>
  <c r="BS72" i="3"/>
  <c r="AN72" i="3" s="1"/>
  <c r="BS70" i="3"/>
  <c r="AN70" i="3" s="1"/>
  <c r="BS71" i="3"/>
  <c r="AN71" i="3" s="1"/>
  <c r="CD69" i="3"/>
  <c r="AY69" i="3" s="1"/>
  <c r="CD71" i="3"/>
  <c r="AY71" i="3" s="1"/>
  <c r="CD70" i="3"/>
  <c r="AY70" i="3" s="1"/>
  <c r="CD72" i="3"/>
  <c r="AY72" i="3" s="1"/>
  <c r="AJ25" i="14" l="1"/>
  <c r="H9" i="9" a="1"/>
  <c r="H9" i="9" s="1"/>
  <c r="H10" i="13" a="1"/>
  <c r="H10" i="13" s="1"/>
  <c r="O10" i="10" a="1"/>
  <c r="O10" i="10" s="1"/>
  <c r="O25" i="10" s="1"/>
  <c r="O8" i="10" a="1"/>
  <c r="O8" i="10" s="1"/>
  <c r="O23" i="10" s="1"/>
  <c r="Q10" i="11" a="1"/>
  <c r="Q10" i="11" s="1"/>
  <c r="Q8" i="11" a="1"/>
  <c r="Q8" i="11" s="1"/>
  <c r="Q23" i="11" s="1"/>
  <c r="J10" i="12" a="1"/>
  <c r="J10" i="12" s="1"/>
  <c r="J8" i="12" a="1"/>
  <c r="J8" i="12" s="1"/>
  <c r="J23" i="12" s="1"/>
  <c r="J10" i="11" a="1"/>
  <c r="J10" i="11" s="1"/>
  <c r="J8" i="11" a="1"/>
  <c r="J8" i="11" s="1"/>
  <c r="J23" i="11" s="1"/>
  <c r="Q10" i="12" a="1"/>
  <c r="Q10" i="12" s="1"/>
  <c r="Q8" i="12" a="1"/>
  <c r="Q8" i="12" s="1"/>
  <c r="Q23" i="12" s="1"/>
  <c r="R10" i="12" a="1"/>
  <c r="R10" i="12" s="1"/>
  <c r="R8" i="12" a="1"/>
  <c r="R8" i="12" s="1"/>
  <c r="R23" i="12" s="1"/>
  <c r="F10" i="12" a="1"/>
  <c r="F10" i="12" s="1"/>
  <c r="F8" i="12" a="1"/>
  <c r="F8" i="12" s="1"/>
  <c r="F23" i="12" s="1"/>
  <c r="L10" i="12" a="1"/>
  <c r="L10" i="12" s="1"/>
  <c r="L25" i="12" s="1"/>
  <c r="L8" i="12" a="1"/>
  <c r="L8" i="12" s="1"/>
  <c r="L23" i="12" s="1"/>
  <c r="D10" i="10" a="1"/>
  <c r="D10" i="10" s="1"/>
  <c r="D25" i="10" s="1"/>
  <c r="D8" i="10" a="1"/>
  <c r="D8" i="10" s="1"/>
  <c r="D23" i="10" s="1"/>
  <c r="F10" i="7" a="1"/>
  <c r="F10" i="7" s="1"/>
  <c r="F25" i="7" s="1"/>
  <c r="F8" i="7" a="1"/>
  <c r="F8" i="7" s="1"/>
  <c r="F23" i="7" s="1"/>
  <c r="I10" i="11" a="1"/>
  <c r="I10" i="11" s="1"/>
  <c r="I8" i="11" a="1"/>
  <c r="I8" i="11" s="1"/>
  <c r="I23" i="11" s="1"/>
  <c r="E10" i="11" a="1"/>
  <c r="E10" i="11" s="1"/>
  <c r="E8" i="11" a="1"/>
  <c r="E8" i="11" s="1"/>
  <c r="E23" i="11" s="1"/>
  <c r="G10" i="7" a="1"/>
  <c r="G10" i="7" s="1"/>
  <c r="G25" i="7" s="1"/>
  <c r="G8" i="7" a="1"/>
  <c r="G8" i="7" s="1"/>
  <c r="G23" i="7" s="1"/>
  <c r="P10" i="10" a="1"/>
  <c r="P10" i="10" s="1"/>
  <c r="P25" i="10" s="1"/>
  <c r="P8" i="10" a="1"/>
  <c r="P8" i="10" s="1"/>
  <c r="P23" i="10" s="1"/>
  <c r="AJ24" i="13"/>
  <c r="BX72" i="3"/>
  <c r="AS72" i="3" s="1"/>
  <c r="BX71" i="3"/>
  <c r="AS71" i="3" s="1"/>
  <c r="BX69" i="3"/>
  <c r="AS69" i="3" s="1"/>
  <c r="BX70" i="3"/>
  <c r="AS70" i="3" s="1"/>
  <c r="P4" i="14" a="1"/>
  <c r="P4" i="14" s="1"/>
  <c r="P19" i="14" s="1"/>
  <c r="O8" i="9" a="1"/>
  <c r="O8" i="9" s="1"/>
  <c r="BW63" i="3"/>
  <c r="AR63" i="3" s="1"/>
  <c r="BW64" i="3"/>
  <c r="AR64" i="3" s="1"/>
  <c r="BW66" i="3"/>
  <c r="AR66" i="3" s="1"/>
  <c r="BW65" i="3"/>
  <c r="AR65" i="3" s="1"/>
  <c r="BZ66" i="3"/>
  <c r="AU66" i="3" s="1"/>
  <c r="BZ64" i="3"/>
  <c r="AU64" i="3" s="1"/>
  <c r="BZ63" i="3"/>
  <c r="AU63" i="3" s="1"/>
  <c r="BZ65" i="3"/>
  <c r="AU65" i="3" s="1"/>
  <c r="AH10" i="13" l="1"/>
  <c r="H25" i="13"/>
  <c r="O4" i="14" a="1"/>
  <c r="O4" i="14" s="1"/>
  <c r="O19" i="14" s="1"/>
  <c r="AJ34" i="14"/>
  <c r="AO25" i="14"/>
  <c r="AK25" i="14"/>
  <c r="AN25" i="14"/>
  <c r="AL25" i="14"/>
  <c r="O10" i="9" a="1"/>
  <c r="O10" i="9" s="1"/>
  <c r="O4" i="13" a="1"/>
  <c r="O4" i="13" s="1"/>
  <c r="O19" i="13" s="1"/>
  <c r="AJ33" i="13"/>
  <c r="AO24" i="13"/>
  <c r="AK24" i="13"/>
  <c r="AL24" i="13"/>
  <c r="AN24" i="13"/>
  <c r="R10" i="11" a="1"/>
  <c r="R10" i="11" s="1"/>
  <c r="R8" i="11" a="1"/>
  <c r="R8" i="11" s="1"/>
  <c r="R23" i="11" s="1"/>
  <c r="N10" i="11" a="1"/>
  <c r="N10" i="11" s="1"/>
  <c r="N25" i="11" s="1"/>
  <c r="N8" i="11" a="1"/>
  <c r="N8" i="11" s="1"/>
  <c r="N23" i="11" s="1"/>
  <c r="K10" i="7" a="1"/>
  <c r="K10" i="7" s="1"/>
  <c r="K25" i="7" s="1"/>
  <c r="K8" i="7" a="1"/>
  <c r="K8" i="7" s="1"/>
  <c r="K23" i="7" s="1"/>
  <c r="I10" i="10" a="1"/>
  <c r="I10" i="10" s="1"/>
  <c r="I25" i="10" s="1"/>
  <c r="I8" i="10" a="1"/>
  <c r="I8" i="10" s="1"/>
  <c r="I23" i="10" s="1"/>
  <c r="G10" i="12" a="1"/>
  <c r="G10" i="12" s="1"/>
  <c r="G8" i="12" a="1"/>
  <c r="G8" i="12" s="1"/>
  <c r="G23" i="12" s="1"/>
  <c r="CC69" i="3"/>
  <c r="AX69" i="3" s="1"/>
  <c r="CC71" i="3"/>
  <c r="AX71" i="3" s="1"/>
  <c r="CC72" i="3"/>
  <c r="AX72" i="3" s="1"/>
  <c r="CC70" i="3"/>
  <c r="AX70" i="3" s="1"/>
  <c r="BY70" i="3"/>
  <c r="AT70" i="3" s="1"/>
  <c r="BY69" i="3"/>
  <c r="AT69" i="3" s="1"/>
  <c r="BY71" i="3"/>
  <c r="AT71" i="3" s="1"/>
  <c r="BY72" i="3"/>
  <c r="AT72" i="3" s="1"/>
  <c r="CF69" i="3"/>
  <c r="BA69" i="3" s="1"/>
  <c r="CF71" i="3"/>
  <c r="BA71" i="3" s="1"/>
  <c r="CF72" i="3"/>
  <c r="BA72" i="3" s="1"/>
  <c r="CF70" i="3"/>
  <c r="BA70" i="3" s="1"/>
  <c r="BT69" i="3"/>
  <c r="AO69" i="3" s="1"/>
  <c r="BT70" i="3"/>
  <c r="AO70" i="3" s="1"/>
  <c r="BT72" i="3"/>
  <c r="AO72" i="3" s="1"/>
  <c r="BT71" i="3"/>
  <c r="AO71" i="3" s="1"/>
  <c r="CG71" i="3"/>
  <c r="BB71" i="3" s="1"/>
  <c r="CG70" i="3"/>
  <c r="BB70" i="3" s="1"/>
  <c r="CG72" i="3"/>
  <c r="BB72" i="3" s="1"/>
  <c r="CG69" i="3"/>
  <c r="BB69" i="3" s="1"/>
  <c r="AJ42" i="14" l="1"/>
  <c r="AN34" i="14"/>
  <c r="AO34" i="14"/>
  <c r="AK34" i="14"/>
  <c r="AL34" i="14"/>
  <c r="AJ41" i="13"/>
  <c r="AL33" i="13"/>
  <c r="AO33" i="13"/>
  <c r="AK33" i="13"/>
  <c r="AN33" i="13"/>
  <c r="H10" i="12" a="1"/>
  <c r="H10" i="12" s="1"/>
  <c r="H8" i="12" a="1"/>
  <c r="H8" i="12" s="1"/>
  <c r="H23" i="12" s="1"/>
  <c r="L10" i="11" a="1"/>
  <c r="L10" i="11" s="1"/>
  <c r="L25" i="11" s="1"/>
  <c r="L8" i="11" a="1"/>
  <c r="L8" i="11" s="1"/>
  <c r="L23" i="11" s="1"/>
  <c r="J10" i="10" a="1"/>
  <c r="J10" i="10" s="1"/>
  <c r="J25" i="10" s="1"/>
  <c r="J8" i="10" a="1"/>
  <c r="J8" i="10" s="1"/>
  <c r="J23" i="10" s="1"/>
  <c r="H10" i="11" a="1"/>
  <c r="H10" i="11" s="1"/>
  <c r="H8" i="11" a="1"/>
  <c r="H8" i="11" s="1"/>
  <c r="H23" i="11" s="1"/>
  <c r="G10" i="11" a="1"/>
  <c r="G10" i="11" s="1"/>
  <c r="G8" i="11" a="1"/>
  <c r="G8" i="11" s="1"/>
  <c r="G23" i="11" s="1"/>
  <c r="F10" i="11" a="1"/>
  <c r="F10" i="11" s="1"/>
  <c r="F8" i="11" a="1"/>
  <c r="F8" i="11" s="1"/>
  <c r="F23" i="11" s="1"/>
  <c r="E10" i="10" a="1"/>
  <c r="E10" i="10" s="1"/>
  <c r="E25" i="10" s="1"/>
  <c r="E8" i="10" a="1"/>
  <c r="E8" i="10" s="1"/>
  <c r="E23" i="10" s="1"/>
  <c r="H10" i="7" a="1"/>
  <c r="H10" i="7" s="1"/>
  <c r="H25" i="7" s="1"/>
  <c r="H8" i="7" a="1"/>
  <c r="H8" i="7" s="1"/>
  <c r="H23" i="7" s="1"/>
  <c r="K10" i="11" a="1"/>
  <c r="K10" i="11" s="1"/>
  <c r="K25" i="11" s="1"/>
  <c r="K8" i="11" a="1"/>
  <c r="K8" i="11" s="1"/>
  <c r="K23" i="11" s="1"/>
  <c r="R10" i="10" a="1"/>
  <c r="R10" i="10" s="1"/>
  <c r="R25" i="10" s="1"/>
  <c r="R8" i="10" a="1"/>
  <c r="R8" i="10" s="1"/>
  <c r="R23" i="10" s="1"/>
  <c r="BU71" i="3"/>
  <c r="AP71" i="3" s="1"/>
  <c r="BU69" i="3"/>
  <c r="AP69" i="3" s="1"/>
  <c r="BU72" i="3"/>
  <c r="AP72" i="3" s="1"/>
  <c r="BU70" i="3"/>
  <c r="AP70" i="3" s="1"/>
  <c r="R8" i="9" a="1"/>
  <c r="R8" i="9" s="1"/>
  <c r="D4" i="14" a="1"/>
  <c r="D4" i="14" s="1"/>
  <c r="D19" i="14" s="1"/>
  <c r="CA70" i="3"/>
  <c r="AV70" i="3" s="1"/>
  <c r="CA69" i="3"/>
  <c r="AV69" i="3" s="1"/>
  <c r="CA71" i="3"/>
  <c r="AV71" i="3" s="1"/>
  <c r="CA72" i="3"/>
  <c r="AV72" i="3" s="1"/>
  <c r="CB79" i="3"/>
  <c r="AW79" i="3" s="1"/>
  <c r="CB78" i="3"/>
  <c r="AW78" i="3" s="1"/>
  <c r="CB81" i="3"/>
  <c r="AW81" i="3" s="1"/>
  <c r="CB80" i="3"/>
  <c r="AW80" i="3" s="1"/>
  <c r="BV72" i="3"/>
  <c r="AQ72" i="3" s="1"/>
  <c r="BV70" i="3"/>
  <c r="AQ70" i="3" s="1"/>
  <c r="BV69" i="3"/>
  <c r="AQ69" i="3" s="1"/>
  <c r="BV71" i="3"/>
  <c r="AQ71" i="3" s="1"/>
  <c r="I4" i="14" a="1"/>
  <c r="I4" i="14" s="1"/>
  <c r="I19" i="14" s="1"/>
  <c r="J4" i="14" a="1"/>
  <c r="J4" i="14" s="1"/>
  <c r="J19" i="14" s="1"/>
  <c r="E4" i="14" l="1" a="1"/>
  <c r="E4" i="14" s="1"/>
  <c r="E19" i="14" s="1"/>
  <c r="R4" i="14" a="1"/>
  <c r="R4" i="14" s="1"/>
  <c r="R19" i="14" s="1"/>
  <c r="R4" i="13" a="1"/>
  <c r="R4" i="13" s="1"/>
  <c r="R19" i="13" s="1"/>
  <c r="P4" i="13" a="1"/>
  <c r="P4" i="13" s="1"/>
  <c r="P19" i="13" s="1"/>
  <c r="AN42" i="14"/>
  <c r="AL42" i="14"/>
  <c r="AK42" i="14"/>
  <c r="AO42" i="14"/>
  <c r="D4" i="13" a="1"/>
  <c r="D4" i="13" s="1"/>
  <c r="D19" i="13" s="1"/>
  <c r="AO41" i="13"/>
  <c r="AK41" i="13"/>
  <c r="AN41" i="13"/>
  <c r="AL41" i="13"/>
  <c r="D8" i="9" a="1"/>
  <c r="D8" i="9" s="1"/>
  <c r="D4" i="9" a="1"/>
  <c r="D4" i="9" s="1"/>
  <c r="K10" i="12" a="1"/>
  <c r="K10" i="12" s="1"/>
  <c r="K25" i="12" s="1"/>
  <c r="K8" i="12" a="1"/>
  <c r="K8" i="12" s="1"/>
  <c r="K23" i="12" s="1"/>
  <c r="AH8" i="11"/>
  <c r="AJ23" i="11" s="1"/>
  <c r="AH10" i="11"/>
  <c r="AJ25" i="11" s="1"/>
  <c r="L10" i="10" a="1"/>
  <c r="L10" i="10" s="1"/>
  <c r="L25" i="10" s="1"/>
  <c r="L8" i="10" a="1"/>
  <c r="L8" i="10" s="1"/>
  <c r="L23" i="10" s="1"/>
  <c r="Q10" i="10" a="1"/>
  <c r="Q10" i="10" s="1"/>
  <c r="Q25" i="10" s="1"/>
  <c r="Q8" i="10" a="1"/>
  <c r="Q8" i="10" s="1"/>
  <c r="Q23" i="10" s="1"/>
  <c r="N10" i="10" a="1"/>
  <c r="N10" i="10" s="1"/>
  <c r="N25" i="10" s="1"/>
  <c r="N8" i="10" a="1"/>
  <c r="N8" i="10" s="1"/>
  <c r="N23" i="10" s="1"/>
  <c r="P10" i="9" a="1"/>
  <c r="P10" i="9" s="1"/>
  <c r="P8" i="9" a="1"/>
  <c r="P8" i="9" s="1"/>
  <c r="G10" i="10" a="1"/>
  <c r="G10" i="10" s="1"/>
  <c r="G25" i="10" s="1"/>
  <c r="G8" i="10" a="1"/>
  <c r="G8" i="10" s="1"/>
  <c r="G23" i="10" s="1"/>
  <c r="R10" i="9" a="1"/>
  <c r="R10" i="9" s="1"/>
  <c r="J10" i="9" a="1"/>
  <c r="J10" i="9" s="1"/>
  <c r="E10" i="9" a="1"/>
  <c r="E10" i="9" s="1"/>
  <c r="BW72" i="3"/>
  <c r="AR72" i="3" s="1"/>
  <c r="BW69" i="3"/>
  <c r="AR69" i="3" s="1"/>
  <c r="BW70" i="3"/>
  <c r="AR70" i="3" s="1"/>
  <c r="BW71" i="3"/>
  <c r="AR71" i="3" s="1"/>
  <c r="BZ69" i="3"/>
  <c r="AU69" i="3" s="1"/>
  <c r="BZ71" i="3"/>
  <c r="AU71" i="3" s="1"/>
  <c r="BZ70" i="3"/>
  <c r="AU70" i="3" s="1"/>
  <c r="BZ72" i="3"/>
  <c r="AU72" i="3" s="1"/>
  <c r="G4" i="14" a="1"/>
  <c r="G4" i="14" s="1"/>
  <c r="G19" i="14" s="1"/>
  <c r="Q4" i="14" a="1"/>
  <c r="Q4" i="14" s="1"/>
  <c r="Q19" i="14" s="1"/>
  <c r="N4" i="14" a="1"/>
  <c r="N4" i="14" s="1"/>
  <c r="N19" i="14" s="1"/>
  <c r="L4" i="14" a="1"/>
  <c r="L4" i="14" s="1"/>
  <c r="L19" i="14" s="1"/>
  <c r="AJ34" i="11" l="1"/>
  <c r="AK25" i="11"/>
  <c r="AL25" i="11"/>
  <c r="AN25" i="11"/>
  <c r="AO25" i="11"/>
  <c r="AH10" i="12"/>
  <c r="AJ25" i="12" s="1"/>
  <c r="F4" i="14" a="1"/>
  <c r="F4" i="14" s="1"/>
  <c r="F19" i="14" s="1"/>
  <c r="AH8" i="12"/>
  <c r="AJ23" i="12" s="1"/>
  <c r="E8" i="9" a="1"/>
  <c r="E8" i="9" s="1"/>
  <c r="E4" i="13" a="1"/>
  <c r="E4" i="13" s="1"/>
  <c r="E19" i="13" s="1"/>
  <c r="I10" i="9" a="1"/>
  <c r="I10" i="9" s="1"/>
  <c r="I4" i="13" a="1"/>
  <c r="I4" i="13" s="1"/>
  <c r="I19" i="13" s="1"/>
  <c r="J8" i="9" a="1"/>
  <c r="J8" i="9" s="1"/>
  <c r="J4" i="13" a="1"/>
  <c r="J4" i="13" s="1"/>
  <c r="J19" i="13" s="1"/>
  <c r="AJ32" i="11"/>
  <c r="AN23" i="11"/>
  <c r="AL23" i="11"/>
  <c r="AO23" i="11"/>
  <c r="AK23" i="11"/>
  <c r="L8" i="9" a="1"/>
  <c r="L8" i="9" s="1"/>
  <c r="F10" i="10" a="1"/>
  <c r="F10" i="10" s="1"/>
  <c r="F25" i="10" s="1"/>
  <c r="F8" i="10" a="1"/>
  <c r="F8" i="10" s="1"/>
  <c r="F23" i="10" s="1"/>
  <c r="H10" i="10" a="1"/>
  <c r="H10" i="10" s="1"/>
  <c r="H25" i="10" s="1"/>
  <c r="H8" i="10" a="1"/>
  <c r="H8" i="10" s="1"/>
  <c r="H23" i="10" s="1"/>
  <c r="I8" i="9" a="1"/>
  <c r="I8" i="9" s="1"/>
  <c r="K10" i="10" a="1"/>
  <c r="K10" i="10" s="1"/>
  <c r="K25" i="10" s="1"/>
  <c r="K8" i="10" a="1"/>
  <c r="K8" i="10" s="1"/>
  <c r="K23" i="10" s="1"/>
  <c r="L10" i="9" a="1"/>
  <c r="L10" i="9" s="1"/>
  <c r="Q10" i="9" a="1"/>
  <c r="Q10" i="9" s="1"/>
  <c r="CD81" i="3"/>
  <c r="AY81" i="3" s="1"/>
  <c r="CD78" i="3"/>
  <c r="AY78" i="3" s="1"/>
  <c r="CD80" i="3"/>
  <c r="AY80" i="3" s="1"/>
  <c r="CD79" i="3"/>
  <c r="AY79" i="3" s="1"/>
  <c r="AJ34" i="12" l="1"/>
  <c r="AK25" i="12"/>
  <c r="AN25" i="12"/>
  <c r="AO25" i="12"/>
  <c r="AL25" i="12"/>
  <c r="AJ42" i="11"/>
  <c r="AO34" i="11"/>
  <c r="AL34" i="11"/>
  <c r="AK34" i="11"/>
  <c r="AN34" i="11"/>
  <c r="H4" i="14" a="1"/>
  <c r="H4" i="14" s="1"/>
  <c r="H19" i="14" s="1"/>
  <c r="L4" i="13" a="1"/>
  <c r="L4" i="13" s="1"/>
  <c r="L19" i="13" s="1"/>
  <c r="N10" i="9" a="1"/>
  <c r="N10" i="9" s="1"/>
  <c r="N4" i="13" a="1"/>
  <c r="N4" i="13" s="1"/>
  <c r="N19" i="13" s="1"/>
  <c r="G8" i="9" a="1"/>
  <c r="G8" i="9" s="1"/>
  <c r="G4" i="13" a="1"/>
  <c r="G4" i="13" s="1"/>
  <c r="G19" i="13" s="1"/>
  <c r="Q8" i="9" a="1"/>
  <c r="Q8" i="9" s="1"/>
  <c r="Q4" i="13" a="1"/>
  <c r="Q4" i="13" s="1"/>
  <c r="Q19" i="13" s="1"/>
  <c r="AJ40" i="11"/>
  <c r="AK32" i="11"/>
  <c r="AL32" i="11"/>
  <c r="AN32" i="11"/>
  <c r="AO32" i="11"/>
  <c r="AJ32" i="12"/>
  <c r="AN23" i="12"/>
  <c r="AL23" i="12"/>
  <c r="AO23" i="12"/>
  <c r="AK23" i="12"/>
  <c r="H8" i="9" a="1"/>
  <c r="H8" i="9" s="1"/>
  <c r="N8" i="9" a="1"/>
  <c r="N8" i="9" s="1"/>
  <c r="CE81" i="3"/>
  <c r="AZ81" i="3" s="1"/>
  <c r="CE79" i="3"/>
  <c r="AZ79" i="3" s="1"/>
  <c r="CE80" i="3"/>
  <c r="AZ80" i="3" s="1"/>
  <c r="CE78" i="3"/>
  <c r="AZ78" i="3" s="1"/>
  <c r="AN40" i="11" l="1"/>
  <c r="AK40" i="11"/>
  <c r="AO40" i="11"/>
  <c r="AL40" i="11"/>
  <c r="AL42" i="11"/>
  <c r="AK42" i="11"/>
  <c r="AO42" i="11"/>
  <c r="AN42" i="11"/>
  <c r="AJ42" i="12"/>
  <c r="AO34" i="12"/>
  <c r="AL34" i="12"/>
  <c r="AK34" i="12"/>
  <c r="AN34" i="12"/>
  <c r="F4" i="13" a="1"/>
  <c r="F4" i="13" s="1"/>
  <c r="F19" i="13" s="1"/>
  <c r="H10" i="9" a="1"/>
  <c r="H10" i="9" s="1"/>
  <c r="H4" i="13" a="1"/>
  <c r="H4" i="13" s="1"/>
  <c r="H19" i="13" s="1"/>
  <c r="AJ40" i="12"/>
  <c r="AO32" i="12"/>
  <c r="AN32" i="12"/>
  <c r="AL32" i="12"/>
  <c r="AK32" i="12"/>
  <c r="F10" i="9" a="1"/>
  <c r="F10" i="9" s="1"/>
  <c r="F8" i="9" a="1"/>
  <c r="F8" i="9" s="1"/>
  <c r="CF79" i="3"/>
  <c r="BA79" i="3" s="1"/>
  <c r="CF81" i="3"/>
  <c r="BA81" i="3" s="1"/>
  <c r="CF78" i="3"/>
  <c r="BA78" i="3" s="1"/>
  <c r="CF80" i="3"/>
  <c r="BA80" i="3" s="1"/>
  <c r="BT81" i="3"/>
  <c r="AO81" i="3" s="1"/>
  <c r="BT79" i="3"/>
  <c r="AO79" i="3" s="1"/>
  <c r="BT80" i="3"/>
  <c r="AO80" i="3" s="1"/>
  <c r="BT78" i="3"/>
  <c r="AO78" i="3" s="1"/>
  <c r="CG79" i="3"/>
  <c r="BB79" i="3" s="1"/>
  <c r="CG81" i="3"/>
  <c r="BB81" i="3" s="1"/>
  <c r="CG78" i="3"/>
  <c r="BB78" i="3" s="1"/>
  <c r="CG80" i="3"/>
  <c r="BB80" i="3" s="1"/>
  <c r="K10" i="9" a="1"/>
  <c r="K10" i="9" s="1"/>
  <c r="BS80" i="3"/>
  <c r="AN80" i="3" s="1"/>
  <c r="BS78" i="3"/>
  <c r="AN78" i="3" s="1"/>
  <c r="BS79" i="3"/>
  <c r="AN79" i="3" s="1"/>
  <c r="BS81" i="3"/>
  <c r="AN81" i="3" s="1"/>
  <c r="CB84" i="3"/>
  <c r="AW84" i="3" s="1"/>
  <c r="CB85" i="3"/>
  <c r="AW85" i="3" s="1"/>
  <c r="CB86" i="3"/>
  <c r="AW86" i="3" s="1"/>
  <c r="CB87" i="3"/>
  <c r="AW87" i="3" s="1"/>
  <c r="BY78" i="3"/>
  <c r="AT78" i="3" s="1"/>
  <c r="BY81" i="3"/>
  <c r="AT81" i="3" s="1"/>
  <c r="BY80" i="3"/>
  <c r="AT80" i="3" s="1"/>
  <c r="BY79" i="3"/>
  <c r="AT79" i="3" s="1"/>
  <c r="BX78" i="3"/>
  <c r="AS78" i="3" s="1"/>
  <c r="BX80" i="3"/>
  <c r="AS80" i="3" s="1"/>
  <c r="BX79" i="3"/>
  <c r="AS79" i="3" s="1"/>
  <c r="BX81" i="3"/>
  <c r="AS81" i="3" s="1"/>
  <c r="AN40" i="12" l="1"/>
  <c r="AL40" i="12"/>
  <c r="AK40" i="12"/>
  <c r="AO40" i="12"/>
  <c r="AK42" i="12"/>
  <c r="AL42" i="12"/>
  <c r="AN42" i="12"/>
  <c r="AO42" i="12"/>
  <c r="K4" i="14" a="1"/>
  <c r="K4" i="14" s="1"/>
  <c r="K4" i="13" a="1"/>
  <c r="K4" i="13" s="1"/>
  <c r="K8" i="9" a="1"/>
  <c r="K8" i="9" s="1"/>
  <c r="BV81" i="3"/>
  <c r="AQ81" i="3" s="1"/>
  <c r="BV79" i="3"/>
  <c r="AQ79" i="3" s="1"/>
  <c r="BV80" i="3"/>
  <c r="AQ80" i="3" s="1"/>
  <c r="BV78" i="3"/>
  <c r="AQ78" i="3" s="1"/>
  <c r="AH4" i="14" l="1"/>
  <c r="K19" i="14"/>
  <c r="AH4" i="13"/>
  <c r="K19" i="13"/>
  <c r="AJ23" i="13"/>
  <c r="BW79" i="3"/>
  <c r="AR79" i="3" s="1"/>
  <c r="BW81" i="3"/>
  <c r="AR81" i="3" s="1"/>
  <c r="BW80" i="3"/>
  <c r="AR80" i="3" s="1"/>
  <c r="BW78" i="3"/>
  <c r="AR78" i="3" s="1"/>
  <c r="CA79" i="3"/>
  <c r="AV79" i="3" s="1"/>
  <c r="CA81" i="3"/>
  <c r="AV81" i="3" s="1"/>
  <c r="CA78" i="3"/>
  <c r="AV78" i="3" s="1"/>
  <c r="CA80" i="3"/>
  <c r="AV80" i="3" s="1"/>
  <c r="M5" i="14" a="1"/>
  <c r="M5" i="14" s="1"/>
  <c r="M20" i="14" s="1"/>
  <c r="CC81" i="3"/>
  <c r="AX81" i="3" s="1"/>
  <c r="CC80" i="3"/>
  <c r="AX80" i="3" s="1"/>
  <c r="CC78" i="3"/>
  <c r="AX78" i="3" s="1"/>
  <c r="CC79" i="3"/>
  <c r="AX79" i="3" s="1"/>
  <c r="BU80" i="3"/>
  <c r="AP80" i="3" s="1"/>
  <c r="BU81" i="3"/>
  <c r="AP81" i="3" s="1"/>
  <c r="BU78" i="3"/>
  <c r="AP78" i="3" s="1"/>
  <c r="BU79" i="3"/>
  <c r="AP79" i="3" s="1"/>
  <c r="CD86" i="3"/>
  <c r="AY86" i="3" s="1"/>
  <c r="CD84" i="3"/>
  <c r="AY84" i="3" s="1"/>
  <c r="CD85" i="3"/>
  <c r="AY85" i="3" s="1"/>
  <c r="CD87" i="3"/>
  <c r="AY87" i="3" s="1"/>
  <c r="AJ32" i="13" l="1"/>
  <c r="AL23" i="13"/>
  <c r="AN23" i="13"/>
  <c r="AK23" i="13"/>
  <c r="AO23" i="13"/>
  <c r="AJ23" i="14"/>
  <c r="AJ32" i="14" s="1"/>
  <c r="AJ40" i="14" s="1"/>
  <c r="CE85" i="3"/>
  <c r="AZ85" i="3" s="1"/>
  <c r="CE84" i="3"/>
  <c r="AZ84" i="3" s="1"/>
  <c r="CE87" i="3"/>
  <c r="AZ87" i="3" s="1"/>
  <c r="CE86" i="3"/>
  <c r="AZ86" i="3" s="1"/>
  <c r="CG85" i="3"/>
  <c r="BB85" i="3" s="1"/>
  <c r="CG86" i="3"/>
  <c r="BB86" i="3" s="1"/>
  <c r="CG84" i="3"/>
  <c r="BB84" i="3" s="1"/>
  <c r="CG87" i="3"/>
  <c r="BB87" i="3" s="1"/>
  <c r="AN40" i="14" l="1"/>
  <c r="AL40" i="14"/>
  <c r="AK40" i="14"/>
  <c r="AO40" i="14"/>
  <c r="M5" i="13" a="1"/>
  <c r="M5" i="13" s="1"/>
  <c r="M20" i="13" s="1"/>
  <c r="AJ40" i="13"/>
  <c r="AL32" i="13"/>
  <c r="AN32" i="13"/>
  <c r="AO32" i="13"/>
  <c r="AK32" i="13"/>
  <c r="AN32" i="14"/>
  <c r="AK32" i="14"/>
  <c r="AO32" i="14"/>
  <c r="AL32" i="14"/>
  <c r="AN23" i="14"/>
  <c r="AK23" i="14"/>
  <c r="AL23" i="14"/>
  <c r="AO23" i="14"/>
  <c r="BT87" i="3"/>
  <c r="AO87" i="3" s="1"/>
  <c r="BT85" i="3"/>
  <c r="AO85" i="3" s="1"/>
  <c r="BT84" i="3"/>
  <c r="AO84" i="3" s="1"/>
  <c r="BT86" i="3"/>
  <c r="AO86" i="3" s="1"/>
  <c r="BX87" i="3"/>
  <c r="AS87" i="3" s="1"/>
  <c r="BX84" i="3"/>
  <c r="AS84" i="3" s="1"/>
  <c r="BX86" i="3"/>
  <c r="AS86" i="3" s="1"/>
  <c r="BX85" i="3"/>
  <c r="AS85" i="3" s="1"/>
  <c r="CB93" i="3"/>
  <c r="AW93" i="3" s="1"/>
  <c r="CB92" i="3"/>
  <c r="AW92" i="3" s="1"/>
  <c r="CB90" i="3"/>
  <c r="AW90" i="3" s="1"/>
  <c r="CB91" i="3"/>
  <c r="AW91" i="3" s="1"/>
  <c r="BS84" i="3"/>
  <c r="AN84" i="3" s="1"/>
  <c r="BS86" i="3"/>
  <c r="AN86" i="3" s="1"/>
  <c r="BS87" i="3"/>
  <c r="AN87" i="3" s="1"/>
  <c r="BS85" i="3"/>
  <c r="AN85" i="3" s="1"/>
  <c r="BZ81" i="3"/>
  <c r="AU81" i="3" s="1"/>
  <c r="BZ78" i="3"/>
  <c r="AU78" i="3" s="1"/>
  <c r="BZ79" i="3"/>
  <c r="AU79" i="3" s="1"/>
  <c r="BZ80" i="3"/>
  <c r="AU80" i="3" s="1"/>
  <c r="BY84" i="3"/>
  <c r="AT84" i="3" s="1"/>
  <c r="BY85" i="3"/>
  <c r="AT85" i="3" s="1"/>
  <c r="BY86" i="3"/>
  <c r="AT86" i="3" s="1"/>
  <c r="BY87" i="3"/>
  <c r="AT87" i="3" s="1"/>
  <c r="AO40" i="13" l="1"/>
  <c r="AN40" i="13"/>
  <c r="AL40" i="13"/>
  <c r="AK40" i="13"/>
  <c r="P5" i="14" a="1"/>
  <c r="P5" i="14" s="1"/>
  <c r="P20" i="14" s="1"/>
  <c r="R5" i="14" a="1"/>
  <c r="R5" i="14" s="1"/>
  <c r="R20" i="14" s="1"/>
  <c r="CF84" i="3"/>
  <c r="BA84" i="3" s="1"/>
  <c r="CF87" i="3"/>
  <c r="BA87" i="3" s="1"/>
  <c r="CF86" i="3"/>
  <c r="BA86" i="3" s="1"/>
  <c r="CF85" i="3"/>
  <c r="BA85" i="3" s="1"/>
  <c r="O5" i="14" a="1"/>
  <c r="O5" i="14" s="1"/>
  <c r="O20" i="14" s="1"/>
  <c r="BU84" i="3"/>
  <c r="AP84" i="3" s="1"/>
  <c r="BU87" i="3"/>
  <c r="AP87" i="3" s="1"/>
  <c r="BU86" i="3"/>
  <c r="AP86" i="3" s="1"/>
  <c r="BU85" i="3"/>
  <c r="AP85" i="3" s="1"/>
  <c r="D5" i="14" a="1"/>
  <c r="D5" i="14" s="1"/>
  <c r="D20" i="14" s="1"/>
  <c r="BV85" i="3"/>
  <c r="AQ85" i="3" s="1"/>
  <c r="BV86" i="3"/>
  <c r="AQ86" i="3" s="1"/>
  <c r="BV87" i="3"/>
  <c r="AQ87" i="3" s="1"/>
  <c r="BV84" i="3"/>
  <c r="AQ84" i="3" s="1"/>
  <c r="I5" i="14" a="1"/>
  <c r="I5" i="14" s="1"/>
  <c r="I20" i="14" s="1"/>
  <c r="J5" i="14" a="1"/>
  <c r="J5" i="14" s="1"/>
  <c r="J20" i="14" s="1"/>
  <c r="O5" i="13" l="1" a="1"/>
  <c r="O5" i="13" s="1"/>
  <c r="O20" i="13" s="1"/>
  <c r="P5" i="13" a="1"/>
  <c r="P5" i="13" s="1"/>
  <c r="P20" i="13" s="1"/>
  <c r="R5" i="13" a="1"/>
  <c r="R5" i="13" s="1"/>
  <c r="R20" i="13" s="1"/>
  <c r="J5" i="13" a="1"/>
  <c r="J5" i="13" s="1"/>
  <c r="J20" i="13" s="1"/>
  <c r="M4" i="12" a="1"/>
  <c r="M4" i="12" s="1"/>
  <c r="M19" i="12" s="1"/>
  <c r="M5" i="12" a="1"/>
  <c r="M5" i="12" s="1"/>
  <c r="M20" i="12" s="1"/>
  <c r="M4" i="7" a="1"/>
  <c r="M4" i="7" s="1"/>
  <c r="M19" i="7" s="1"/>
  <c r="M5" i="7" a="1"/>
  <c r="M5" i="7" s="1"/>
  <c r="M20" i="7" s="1"/>
  <c r="M7" i="12" a="1"/>
  <c r="M7" i="12" s="1"/>
  <c r="M22" i="12" s="1"/>
  <c r="M7" i="7" a="1"/>
  <c r="M7" i="7" s="1"/>
  <c r="M22" i="7" s="1"/>
  <c r="CE90" i="3"/>
  <c r="AZ90" i="3" s="1"/>
  <c r="CE93" i="3"/>
  <c r="AZ93" i="3" s="1"/>
  <c r="CE92" i="3"/>
  <c r="AZ92" i="3" s="1"/>
  <c r="CE91" i="3"/>
  <c r="AZ91" i="3" s="1"/>
  <c r="CD90" i="3"/>
  <c r="AY90" i="3" s="1"/>
  <c r="CD92" i="3"/>
  <c r="AY92" i="3" s="1"/>
  <c r="CD93" i="3"/>
  <c r="AY93" i="3" s="1"/>
  <c r="CD91" i="3"/>
  <c r="AY91" i="3" s="1"/>
  <c r="G5" i="14" a="1"/>
  <c r="G5" i="14" s="1"/>
  <c r="G20" i="14" s="1"/>
  <c r="CA87" i="3"/>
  <c r="AV87" i="3" s="1"/>
  <c r="CA86" i="3"/>
  <c r="AV86" i="3" s="1"/>
  <c r="CA85" i="3"/>
  <c r="AV85" i="3" s="1"/>
  <c r="CA84" i="3"/>
  <c r="AV84" i="3" s="1"/>
  <c r="E5" i="14" a="1"/>
  <c r="E5" i="14" s="1"/>
  <c r="E20" i="14" s="1"/>
  <c r="BW84" i="3"/>
  <c r="AR84" i="3" s="1"/>
  <c r="BW87" i="3"/>
  <c r="AR87" i="3" s="1"/>
  <c r="BW86" i="3"/>
  <c r="AR86" i="3" s="1"/>
  <c r="BW85" i="3"/>
  <c r="AR85" i="3" s="1"/>
  <c r="F5" i="14" a="1"/>
  <c r="F5" i="14" s="1"/>
  <c r="F20" i="14" s="1"/>
  <c r="E5" i="13" l="1" a="1"/>
  <c r="E5" i="13" s="1"/>
  <c r="E20" i="13" s="1"/>
  <c r="D5" i="13" a="1"/>
  <c r="D5" i="13" s="1"/>
  <c r="D20" i="13" s="1"/>
  <c r="M13" i="7"/>
  <c r="M15" i="7" s="1"/>
  <c r="BT91" i="3"/>
  <c r="AO91" i="3" s="1"/>
  <c r="BT93" i="3"/>
  <c r="AO93" i="3" s="1"/>
  <c r="BT92" i="3"/>
  <c r="AO92" i="3" s="1"/>
  <c r="BT90" i="3"/>
  <c r="AO90" i="3" s="1"/>
  <c r="BY90" i="3"/>
  <c r="AT90" i="3" s="1"/>
  <c r="BY93" i="3"/>
  <c r="AT93" i="3" s="1"/>
  <c r="BY92" i="3"/>
  <c r="AT92" i="3" s="1"/>
  <c r="BY91" i="3"/>
  <c r="AT91" i="3" s="1"/>
  <c r="CG93" i="3"/>
  <c r="BB93" i="3" s="1"/>
  <c r="CG91" i="3"/>
  <c r="BB91" i="3" s="1"/>
  <c r="CG90" i="3"/>
  <c r="BB90" i="3" s="1"/>
  <c r="CG92" i="3"/>
  <c r="BB92" i="3" s="1"/>
  <c r="H5" i="14" a="1"/>
  <c r="H5" i="14" s="1"/>
  <c r="H20" i="14" s="1"/>
  <c r="CC84" i="3"/>
  <c r="AX84" i="3" s="1"/>
  <c r="CC85" i="3"/>
  <c r="AX85" i="3" s="1"/>
  <c r="CC87" i="3"/>
  <c r="AX87" i="3" s="1"/>
  <c r="CC86" i="3"/>
  <c r="AX86" i="3" s="1"/>
  <c r="I5" i="13" l="1" a="1"/>
  <c r="I5" i="13" s="1"/>
  <c r="I20" i="13" s="1"/>
  <c r="G5" i="13" a="1"/>
  <c r="G5" i="13" s="1"/>
  <c r="G20" i="13" s="1"/>
  <c r="H5" i="13" a="1"/>
  <c r="H5" i="13" s="1"/>
  <c r="H20" i="13" s="1"/>
  <c r="M4" i="11" a="1"/>
  <c r="M4" i="11" s="1"/>
  <c r="M19" i="11" s="1"/>
  <c r="M5" i="11" a="1"/>
  <c r="M5" i="11" s="1"/>
  <c r="M20" i="11" s="1"/>
  <c r="O4" i="7" a="1"/>
  <c r="O4" i="7" s="1"/>
  <c r="O19" i="7" s="1"/>
  <c r="O5" i="7" a="1"/>
  <c r="O5" i="7" s="1"/>
  <c r="O20" i="7" s="1"/>
  <c r="M7" i="11" a="1"/>
  <c r="M7" i="11" s="1"/>
  <c r="M22" i="11" s="1"/>
  <c r="M45" i="7"/>
  <c r="N53" i="1" s="1"/>
  <c r="O7" i="7" a="1"/>
  <c r="O7" i="7" s="1"/>
  <c r="O22" i="7" s="1"/>
  <c r="L5" i="14" a="1"/>
  <c r="L5" i="14" s="1"/>
  <c r="L20" i="14" s="1"/>
  <c r="Q5" i="14" a="1"/>
  <c r="Q5" i="14" s="1"/>
  <c r="Q20" i="14" s="1"/>
  <c r="CB99" i="3"/>
  <c r="AW99" i="3" s="1"/>
  <c r="CB96" i="3"/>
  <c r="AW96" i="3" s="1"/>
  <c r="CB98" i="3"/>
  <c r="AW98" i="3" s="1"/>
  <c r="CB97" i="3"/>
  <c r="AW97" i="3" s="1"/>
  <c r="BX92" i="3"/>
  <c r="AS92" i="3" s="1"/>
  <c r="BX91" i="3"/>
  <c r="AS91" i="3" s="1"/>
  <c r="BX90" i="3"/>
  <c r="AS90" i="3" s="1"/>
  <c r="BX93" i="3"/>
  <c r="AS93" i="3" s="1"/>
  <c r="BS91" i="3"/>
  <c r="AN91" i="3" s="1"/>
  <c r="BS93" i="3"/>
  <c r="AN93" i="3" s="1"/>
  <c r="BS90" i="3"/>
  <c r="AN90" i="3" s="1"/>
  <c r="BS92" i="3"/>
  <c r="AN92" i="3" s="1"/>
  <c r="N5" i="14" a="1"/>
  <c r="N5" i="14" s="1"/>
  <c r="N20" i="14" s="1"/>
  <c r="D5" i="7" l="1" a="1"/>
  <c r="D5" i="7" s="1"/>
  <c r="D20" i="7" s="1"/>
  <c r="L5" i="13" a="1"/>
  <c r="L5" i="13" s="1"/>
  <c r="L20" i="13" s="1"/>
  <c r="F5" i="13" a="1"/>
  <c r="F5" i="13" s="1"/>
  <c r="F20" i="13" s="1"/>
  <c r="O13" i="7"/>
  <c r="O15" i="7" s="1"/>
  <c r="J4" i="7" a="1"/>
  <c r="J4" i="7" s="1"/>
  <c r="J19" i="7" s="1"/>
  <c r="J5" i="7" a="1"/>
  <c r="J5" i="7" s="1"/>
  <c r="J20" i="7" s="1"/>
  <c r="E4" i="12" a="1"/>
  <c r="E4" i="12" s="1"/>
  <c r="E19" i="12" s="1"/>
  <c r="E5" i="12" a="1"/>
  <c r="E5" i="12" s="1"/>
  <c r="E20" i="12" s="1"/>
  <c r="P4" i="7" a="1"/>
  <c r="P4" i="7" s="1"/>
  <c r="P19" i="7" s="1"/>
  <c r="P5" i="7" a="1"/>
  <c r="P5" i="7" s="1"/>
  <c r="P20" i="7" s="1"/>
  <c r="E4" i="7" a="1"/>
  <c r="E4" i="7" s="1"/>
  <c r="E19" i="7" s="1"/>
  <c r="E5" i="7" a="1"/>
  <c r="E5" i="7" s="1"/>
  <c r="E20" i="7" s="1"/>
  <c r="J4" i="12" a="1"/>
  <c r="J4" i="12" s="1"/>
  <c r="J19" i="12" s="1"/>
  <c r="J5" i="12" a="1"/>
  <c r="J5" i="12" s="1"/>
  <c r="J20" i="12" s="1"/>
  <c r="D4" i="12" a="1"/>
  <c r="D4" i="12" s="1"/>
  <c r="D19" i="12" s="1"/>
  <c r="D5" i="12" a="1"/>
  <c r="D5" i="12" s="1"/>
  <c r="D20" i="12" s="1"/>
  <c r="D4" i="7" a="1"/>
  <c r="D4" i="7" s="1"/>
  <c r="D19" i="7" s="1"/>
  <c r="D7" i="12" a="1"/>
  <c r="D7" i="12" s="1"/>
  <c r="D22" i="12" s="1"/>
  <c r="E7" i="12" a="1"/>
  <c r="E7" i="12" s="1"/>
  <c r="E22" i="12" s="1"/>
  <c r="J7" i="12" a="1"/>
  <c r="J7" i="12" s="1"/>
  <c r="J22" i="12" s="1"/>
  <c r="M13" i="12"/>
  <c r="M45" i="12"/>
  <c r="M46" i="12" s="1"/>
  <c r="P7" i="7" a="1"/>
  <c r="P7" i="7" s="1"/>
  <c r="P22" i="7" s="1"/>
  <c r="J7" i="7" a="1"/>
  <c r="J7" i="7" s="1"/>
  <c r="J22" i="7" s="1"/>
  <c r="E7" i="7" a="1"/>
  <c r="E7" i="7" s="1"/>
  <c r="E22" i="7" s="1"/>
  <c r="D7" i="7" a="1"/>
  <c r="D7" i="7" s="1"/>
  <c r="D22" i="7" s="1"/>
  <c r="CA91" i="3"/>
  <c r="AV91" i="3" s="1"/>
  <c r="CA90" i="3"/>
  <c r="AV90" i="3" s="1"/>
  <c r="CA93" i="3"/>
  <c r="AV93" i="3" s="1"/>
  <c r="CA92" i="3"/>
  <c r="AV92" i="3" s="1"/>
  <c r="BW92" i="3"/>
  <c r="AR92" i="3" s="1"/>
  <c r="BW93" i="3"/>
  <c r="AR93" i="3" s="1"/>
  <c r="BW90" i="3"/>
  <c r="AR90" i="3" s="1"/>
  <c r="BW91" i="3"/>
  <c r="AR91" i="3" s="1"/>
  <c r="BZ85" i="3"/>
  <c r="AU85" i="3" s="1"/>
  <c r="BZ87" i="3"/>
  <c r="AU87" i="3" s="1"/>
  <c r="BZ86" i="3"/>
  <c r="AU86" i="3" s="1"/>
  <c r="BZ84" i="3"/>
  <c r="AU84" i="3" s="1"/>
  <c r="BV92" i="3"/>
  <c r="AQ92" i="3" s="1"/>
  <c r="BV93" i="3"/>
  <c r="AQ93" i="3" s="1"/>
  <c r="BV91" i="3"/>
  <c r="AQ91" i="3" s="1"/>
  <c r="BV90" i="3"/>
  <c r="AQ90" i="3" s="1"/>
  <c r="BU93" i="3"/>
  <c r="AP93" i="3" s="1"/>
  <c r="BU90" i="3"/>
  <c r="AP90" i="3" s="1"/>
  <c r="BU92" i="3"/>
  <c r="AP92" i="3" s="1"/>
  <c r="BU91" i="3"/>
  <c r="AP91" i="3" s="1"/>
  <c r="K5" i="14" l="1" a="1"/>
  <c r="K5" i="14" s="1"/>
  <c r="Q5" i="13" a="1"/>
  <c r="Q5" i="13" s="1"/>
  <c r="Q20" i="13" s="1"/>
  <c r="J13" i="7"/>
  <c r="J15" i="7" s="1"/>
  <c r="D13" i="7"/>
  <c r="D15" i="7" s="1"/>
  <c r="E13" i="7"/>
  <c r="E15" i="7" s="1"/>
  <c r="P13" i="7"/>
  <c r="P15" i="7" s="1"/>
  <c r="R4" i="12" a="1"/>
  <c r="R4" i="12" s="1"/>
  <c r="R19" i="12" s="1"/>
  <c r="R5" i="12" a="1"/>
  <c r="R5" i="12" s="1"/>
  <c r="R20" i="12" s="1"/>
  <c r="I4" i="12" a="1"/>
  <c r="I4" i="12" s="1"/>
  <c r="I19" i="12" s="1"/>
  <c r="I5" i="12" a="1"/>
  <c r="I5" i="12" s="1"/>
  <c r="I20" i="12" s="1"/>
  <c r="I4" i="7" a="1"/>
  <c r="I4" i="7" s="1"/>
  <c r="I19" i="7" s="1"/>
  <c r="I5" i="7" a="1"/>
  <c r="I5" i="7" s="1"/>
  <c r="I20" i="7" s="1"/>
  <c r="P4" i="12" a="1"/>
  <c r="P4" i="12" s="1"/>
  <c r="P19" i="12" s="1"/>
  <c r="P5" i="12" a="1"/>
  <c r="P5" i="12" s="1"/>
  <c r="P20" i="12" s="1"/>
  <c r="R4" i="7" a="1"/>
  <c r="R4" i="7" s="1"/>
  <c r="R19" i="7" s="1"/>
  <c r="R5" i="7" a="1"/>
  <c r="R5" i="7" s="1"/>
  <c r="R20" i="7" s="1"/>
  <c r="O4" i="12" a="1"/>
  <c r="O4" i="12" s="1"/>
  <c r="O19" i="12" s="1"/>
  <c r="O5" i="12" a="1"/>
  <c r="O5" i="12" s="1"/>
  <c r="O20" i="12" s="1"/>
  <c r="F4" i="7" a="1"/>
  <c r="F4" i="7" s="1"/>
  <c r="F19" i="7" s="1"/>
  <c r="F5" i="7" a="1"/>
  <c r="F5" i="7" s="1"/>
  <c r="F20" i="7" s="1"/>
  <c r="M4" i="10" a="1"/>
  <c r="M4" i="10" s="1"/>
  <c r="M19" i="10" s="1"/>
  <c r="M5" i="10" a="1"/>
  <c r="M5" i="10" s="1"/>
  <c r="M20" i="10" s="1"/>
  <c r="P7" i="12" a="1"/>
  <c r="P7" i="12" s="1"/>
  <c r="P22" i="12" s="1"/>
  <c r="O7" i="12" a="1"/>
  <c r="O7" i="12" s="1"/>
  <c r="O22" i="12" s="1"/>
  <c r="R7" i="12" a="1"/>
  <c r="R7" i="12" s="1"/>
  <c r="R22" i="12" s="1"/>
  <c r="I7" i="12" a="1"/>
  <c r="I7" i="12" s="1"/>
  <c r="I22" i="12" s="1"/>
  <c r="M7" i="10" a="1"/>
  <c r="M7" i="10" s="1"/>
  <c r="M22" i="10" s="1"/>
  <c r="O45" i="7"/>
  <c r="P53" i="1" s="1"/>
  <c r="I7" i="7" a="1"/>
  <c r="I7" i="7" s="1"/>
  <c r="I22" i="7" s="1"/>
  <c r="R7" i="7" a="1"/>
  <c r="R7" i="7" s="1"/>
  <c r="R22" i="7" s="1"/>
  <c r="F7" i="7" a="1"/>
  <c r="F7" i="7" s="1"/>
  <c r="F22" i="7" s="1"/>
  <c r="M7" i="14" a="1"/>
  <c r="M7" i="14" s="1"/>
  <c r="M22" i="14" s="1"/>
  <c r="CF92" i="3"/>
  <c r="BA92" i="3" s="1"/>
  <c r="CF93" i="3"/>
  <c r="BA93" i="3" s="1"/>
  <c r="CF90" i="3"/>
  <c r="BA90" i="3" s="1"/>
  <c r="CF91" i="3"/>
  <c r="BA91" i="3" s="1"/>
  <c r="AH5" i="14" l="1"/>
  <c r="K20" i="14"/>
  <c r="M13" i="10"/>
  <c r="N5" i="13" a="1"/>
  <c r="N5" i="13" s="1"/>
  <c r="N20" i="13" s="1"/>
  <c r="K5" i="13" a="1"/>
  <c r="K5" i="13" s="1"/>
  <c r="K20" i="13" s="1"/>
  <c r="I13" i="7"/>
  <c r="I15" i="7" s="1"/>
  <c r="R13" i="7"/>
  <c r="R15" i="7" s="1"/>
  <c r="H4" i="12" a="1"/>
  <c r="H4" i="12" s="1"/>
  <c r="H19" i="12" s="1"/>
  <c r="H5" i="12" a="1"/>
  <c r="H5" i="12" s="1"/>
  <c r="H20" i="12" s="1"/>
  <c r="D4" i="11" a="1"/>
  <c r="D4" i="11" s="1"/>
  <c r="D19" i="11" s="1"/>
  <c r="D5" i="11" a="1"/>
  <c r="D5" i="11" s="1"/>
  <c r="D20" i="11" s="1"/>
  <c r="P4" i="11" a="1"/>
  <c r="P4" i="11" s="1"/>
  <c r="P19" i="11" s="1"/>
  <c r="P5" i="11" a="1"/>
  <c r="P5" i="11" s="1"/>
  <c r="P20" i="11" s="1"/>
  <c r="J4" i="11" a="1"/>
  <c r="J4" i="11" s="1"/>
  <c r="J19" i="11" s="1"/>
  <c r="J5" i="11" a="1"/>
  <c r="J5" i="11" s="1"/>
  <c r="J20" i="11" s="1"/>
  <c r="O4" i="11" a="1"/>
  <c r="O4" i="11" s="1"/>
  <c r="O19" i="11" s="1"/>
  <c r="O5" i="11" a="1"/>
  <c r="O5" i="11" s="1"/>
  <c r="O20" i="11" s="1"/>
  <c r="H4" i="7" a="1"/>
  <c r="H4" i="7" s="1"/>
  <c r="H19" i="7" s="1"/>
  <c r="H5" i="7" a="1"/>
  <c r="H5" i="7" s="1"/>
  <c r="H20" i="7" s="1"/>
  <c r="R4" i="11" a="1"/>
  <c r="R4" i="11" s="1"/>
  <c r="R19" i="11" s="1"/>
  <c r="R5" i="11" a="1"/>
  <c r="R5" i="11" s="1"/>
  <c r="R20" i="11" s="1"/>
  <c r="F4" i="12" a="1"/>
  <c r="F4" i="12" s="1"/>
  <c r="F19" i="12" s="1"/>
  <c r="F5" i="12" a="1"/>
  <c r="F5" i="12" s="1"/>
  <c r="F20" i="12" s="1"/>
  <c r="E4" i="11" a="1"/>
  <c r="E4" i="11" s="1"/>
  <c r="E19" i="11" s="1"/>
  <c r="E5" i="11" a="1"/>
  <c r="E5" i="11" s="1"/>
  <c r="E20" i="11" s="1"/>
  <c r="L4" i="7" a="1"/>
  <c r="L4" i="7" s="1"/>
  <c r="L19" i="7" s="1"/>
  <c r="L5" i="7" a="1"/>
  <c r="L5" i="7" s="1"/>
  <c r="L20" i="7" s="1"/>
  <c r="F13" i="7"/>
  <c r="F15" i="7" s="1"/>
  <c r="F7" i="12" a="1"/>
  <c r="F7" i="12" s="1"/>
  <c r="F22" i="12" s="1"/>
  <c r="H7" i="12" a="1"/>
  <c r="H7" i="12" s="1"/>
  <c r="H22" i="12" s="1"/>
  <c r="P7" i="11" a="1"/>
  <c r="P7" i="11" s="1"/>
  <c r="P22" i="11" s="1"/>
  <c r="D7" i="11" a="1"/>
  <c r="D7" i="11" s="1"/>
  <c r="D22" i="11" s="1"/>
  <c r="J7" i="11" a="1"/>
  <c r="J7" i="11" s="1"/>
  <c r="J22" i="11" s="1"/>
  <c r="O7" i="11" a="1"/>
  <c r="O7" i="11" s="1"/>
  <c r="O22" i="11" s="1"/>
  <c r="E7" i="11" a="1"/>
  <c r="E7" i="11" s="1"/>
  <c r="E22" i="11" s="1"/>
  <c r="R7" i="11" a="1"/>
  <c r="R7" i="11" s="1"/>
  <c r="R22" i="11" s="1"/>
  <c r="M45" i="11"/>
  <c r="M46" i="11" s="1"/>
  <c r="M13" i="11"/>
  <c r="D45" i="7"/>
  <c r="E53" i="1" s="1"/>
  <c r="J45" i="7"/>
  <c r="K53" i="1" s="1"/>
  <c r="E45" i="7"/>
  <c r="F53" i="1" s="1"/>
  <c r="P45" i="7"/>
  <c r="Q53" i="1" s="1"/>
  <c r="L7" i="7" a="1"/>
  <c r="L7" i="7" s="1"/>
  <c r="L22" i="7" s="1"/>
  <c r="H7" i="7" a="1"/>
  <c r="H7" i="7" s="1"/>
  <c r="H22" i="7" s="1"/>
  <c r="CC92" i="3"/>
  <c r="AX92" i="3" s="1"/>
  <c r="CC90" i="3"/>
  <c r="AX90" i="3" s="1"/>
  <c r="CC91" i="3"/>
  <c r="AX91" i="3" s="1"/>
  <c r="CC93" i="3"/>
  <c r="AX93" i="3" s="1"/>
  <c r="CG98" i="3"/>
  <c r="BB98" i="3" s="1"/>
  <c r="CG96" i="3"/>
  <c r="BB96" i="3" s="1"/>
  <c r="CG97" i="3"/>
  <c r="BB97" i="3" s="1"/>
  <c r="CG99" i="3"/>
  <c r="BB99" i="3" s="1"/>
  <c r="BS99" i="3"/>
  <c r="AN99" i="3" s="1"/>
  <c r="BS96" i="3"/>
  <c r="AN96" i="3" s="1"/>
  <c r="BS98" i="3"/>
  <c r="AN98" i="3" s="1"/>
  <c r="BS97" i="3"/>
  <c r="AN97" i="3" s="1"/>
  <c r="CD96" i="3"/>
  <c r="AY96" i="3" s="1"/>
  <c r="CD98" i="3"/>
  <c r="AY98" i="3" s="1"/>
  <c r="CD97" i="3"/>
  <c r="AY97" i="3" s="1"/>
  <c r="CD99" i="3"/>
  <c r="AY99" i="3" s="1"/>
  <c r="BY96" i="3"/>
  <c r="AT96" i="3" s="1"/>
  <c r="BY98" i="3"/>
  <c r="AT98" i="3" s="1"/>
  <c r="BY97" i="3"/>
  <c r="AT97" i="3" s="1"/>
  <c r="BY99" i="3"/>
  <c r="AT99" i="3" s="1"/>
  <c r="BT98" i="3"/>
  <c r="AO98" i="3" s="1"/>
  <c r="BT97" i="3"/>
  <c r="AO97" i="3" s="1"/>
  <c r="BT96" i="3"/>
  <c r="AO96" i="3" s="1"/>
  <c r="BT99" i="3"/>
  <c r="AO99" i="3" s="1"/>
  <c r="Q5" i="7" a="1"/>
  <c r="Q5" i="7" s="1"/>
  <c r="Q20" i="7" s="1"/>
  <c r="AH5" i="13" l="1"/>
  <c r="M7" i="13" a="1"/>
  <c r="M7" i="13" s="1"/>
  <c r="M22" i="13" s="1"/>
  <c r="H13" i="7"/>
  <c r="H15" i="7" s="1"/>
  <c r="L13" i="7"/>
  <c r="L15" i="7" s="1"/>
  <c r="M4" i="9" a="1"/>
  <c r="M4" i="9" s="1"/>
  <c r="M5" i="9" a="1"/>
  <c r="M5" i="9" s="1"/>
  <c r="R4" i="10" a="1"/>
  <c r="R4" i="10" s="1"/>
  <c r="R19" i="10" s="1"/>
  <c r="R5" i="10" a="1"/>
  <c r="R5" i="10" s="1"/>
  <c r="R20" i="10" s="1"/>
  <c r="F4" i="11" a="1"/>
  <c r="F4" i="11" s="1"/>
  <c r="F19" i="11" s="1"/>
  <c r="F5" i="11" a="1"/>
  <c r="F5" i="11" s="1"/>
  <c r="F20" i="11" s="1"/>
  <c r="O4" i="10" a="1"/>
  <c r="O4" i="10" s="1"/>
  <c r="O19" i="10" s="1"/>
  <c r="O5" i="10" a="1"/>
  <c r="O5" i="10" s="1"/>
  <c r="O20" i="10" s="1"/>
  <c r="H4" i="11" a="1"/>
  <c r="H4" i="11" s="1"/>
  <c r="H19" i="11" s="1"/>
  <c r="H5" i="11" a="1"/>
  <c r="H5" i="11" s="1"/>
  <c r="H20" i="11" s="1"/>
  <c r="G4" i="7" a="1"/>
  <c r="G4" i="7" s="1"/>
  <c r="G19" i="7" s="1"/>
  <c r="G5" i="7" a="1"/>
  <c r="G5" i="7" s="1"/>
  <c r="G20" i="7" s="1"/>
  <c r="E4" i="10" a="1"/>
  <c r="E4" i="10" s="1"/>
  <c r="E19" i="10" s="1"/>
  <c r="E5" i="10" a="1"/>
  <c r="E5" i="10" s="1"/>
  <c r="E20" i="10" s="1"/>
  <c r="G4" i="12" a="1"/>
  <c r="G4" i="12" s="1"/>
  <c r="G19" i="12" s="1"/>
  <c r="G5" i="12" a="1"/>
  <c r="G5" i="12" s="1"/>
  <c r="G20" i="12" s="1"/>
  <c r="L4" i="12" a="1"/>
  <c r="L4" i="12" s="1"/>
  <c r="L19" i="12" s="1"/>
  <c r="L5" i="12" a="1"/>
  <c r="L5" i="12" s="1"/>
  <c r="L20" i="12" s="1"/>
  <c r="I4" i="11" a="1"/>
  <c r="I4" i="11" s="1"/>
  <c r="I19" i="11" s="1"/>
  <c r="I5" i="11" a="1"/>
  <c r="I5" i="11" s="1"/>
  <c r="I20" i="11" s="1"/>
  <c r="D4" i="10" a="1"/>
  <c r="D4" i="10" s="1"/>
  <c r="D19" i="10" s="1"/>
  <c r="D5" i="10" a="1"/>
  <c r="D5" i="10" s="1"/>
  <c r="D20" i="10" s="1"/>
  <c r="J4" i="10" a="1"/>
  <c r="J4" i="10" s="1"/>
  <c r="J19" i="10" s="1"/>
  <c r="J5" i="10" a="1"/>
  <c r="J5" i="10" s="1"/>
  <c r="J20" i="10" s="1"/>
  <c r="Q7" i="7" a="1"/>
  <c r="Q7" i="7" s="1"/>
  <c r="Q22" i="7" s="1"/>
  <c r="Q4" i="7" a="1"/>
  <c r="Q4" i="7" s="1"/>
  <c r="Q19" i="7" s="1"/>
  <c r="G7" i="12" a="1"/>
  <c r="G7" i="12" s="1"/>
  <c r="G22" i="12" s="1"/>
  <c r="L7" i="12" a="1"/>
  <c r="L7" i="12" s="1"/>
  <c r="L22" i="12" s="1"/>
  <c r="E45" i="12"/>
  <c r="E46" i="12" s="1"/>
  <c r="E13" i="12"/>
  <c r="O45" i="12"/>
  <c r="O46" i="12" s="1"/>
  <c r="O13" i="12"/>
  <c r="R45" i="12"/>
  <c r="R46" i="12" s="1"/>
  <c r="R13" i="12"/>
  <c r="J13" i="12"/>
  <c r="J45" i="12"/>
  <c r="J46" i="12" s="1"/>
  <c r="D45" i="12"/>
  <c r="D46" i="12" s="1"/>
  <c r="D13" i="12"/>
  <c r="P45" i="12"/>
  <c r="P46" i="12" s="1"/>
  <c r="P13" i="12"/>
  <c r="F7" i="11" a="1"/>
  <c r="F7" i="11" s="1"/>
  <c r="F22" i="11" s="1"/>
  <c r="H7" i="11" a="1"/>
  <c r="H7" i="11" s="1"/>
  <c r="H22" i="11" s="1"/>
  <c r="I7" i="11" a="1"/>
  <c r="I7" i="11" s="1"/>
  <c r="I22" i="11" s="1"/>
  <c r="M45" i="10"/>
  <c r="O7" i="10" a="1"/>
  <c r="O7" i="10" s="1"/>
  <c r="O22" i="10" s="1"/>
  <c r="E7" i="10" a="1"/>
  <c r="E7" i="10" s="1"/>
  <c r="E22" i="10" s="1"/>
  <c r="D7" i="10" a="1"/>
  <c r="D7" i="10" s="1"/>
  <c r="D22" i="10" s="1"/>
  <c r="J7" i="10" a="1"/>
  <c r="J7" i="10" s="1"/>
  <c r="J22" i="10" s="1"/>
  <c r="R7" i="10" a="1"/>
  <c r="R7" i="10" s="1"/>
  <c r="R22" i="10" s="1"/>
  <c r="R45" i="7"/>
  <c r="S53" i="1" s="1"/>
  <c r="I45" i="7"/>
  <c r="J53" i="1" s="1"/>
  <c r="F45" i="7"/>
  <c r="G53" i="1" s="1"/>
  <c r="M7" i="9" a="1"/>
  <c r="M7" i="9" s="1"/>
  <c r="G7" i="7" a="1"/>
  <c r="G7" i="7" s="1"/>
  <c r="G22" i="7" s="1"/>
  <c r="E4" i="9" a="1"/>
  <c r="E4" i="9" s="1"/>
  <c r="BW99" i="3"/>
  <c r="AR99" i="3" s="1"/>
  <c r="BW97" i="3"/>
  <c r="AR97" i="3" s="1"/>
  <c r="BW98" i="3"/>
  <c r="AR98" i="3" s="1"/>
  <c r="BW96" i="3"/>
  <c r="AR96" i="3" s="1"/>
  <c r="CE97" i="3"/>
  <c r="AZ97" i="3" s="1"/>
  <c r="CE98" i="3"/>
  <c r="AZ98" i="3" s="1"/>
  <c r="CE96" i="3"/>
  <c r="AZ96" i="3" s="1"/>
  <c r="CE99" i="3"/>
  <c r="AZ99" i="3" s="1"/>
  <c r="BX96" i="3"/>
  <c r="AS96" i="3" s="1"/>
  <c r="BX99" i="3"/>
  <c r="AS99" i="3" s="1"/>
  <c r="BX98" i="3"/>
  <c r="AS98" i="3" s="1"/>
  <c r="BX97" i="3"/>
  <c r="AS97" i="3" s="1"/>
  <c r="BZ92" i="3"/>
  <c r="AU92" i="3" s="1"/>
  <c r="BZ91" i="3"/>
  <c r="AU91" i="3" s="1"/>
  <c r="BZ93" i="3"/>
  <c r="AU93" i="3" s="1"/>
  <c r="BZ90" i="3"/>
  <c r="AU90" i="3" s="1"/>
  <c r="J4" i="9" a="1"/>
  <c r="J4" i="9" s="1"/>
  <c r="D5" i="9" a="1"/>
  <c r="D5" i="9" s="1"/>
  <c r="O13" i="10" l="1"/>
  <c r="J7" i="14" a="1"/>
  <c r="J7" i="14" s="1"/>
  <c r="J22" i="14" s="1"/>
  <c r="D7" i="14" a="1"/>
  <c r="D7" i="14" s="1"/>
  <c r="D22" i="14" s="1"/>
  <c r="E7" i="14" a="1"/>
  <c r="E7" i="14" s="1"/>
  <c r="E22" i="14" s="1"/>
  <c r="J7" i="13" a="1"/>
  <c r="J7" i="13" s="1"/>
  <c r="J22" i="13" s="1"/>
  <c r="D7" i="13" a="1"/>
  <c r="D7" i="13" s="1"/>
  <c r="D22" i="13" s="1"/>
  <c r="E5" i="9" a="1"/>
  <c r="E5" i="9" s="1"/>
  <c r="E7" i="13" a="1"/>
  <c r="E7" i="13" s="1"/>
  <c r="E22" i="13" s="1"/>
  <c r="D7" i="9" a="1"/>
  <c r="D7" i="9" s="1"/>
  <c r="G13" i="7"/>
  <c r="G15" i="7" s="1"/>
  <c r="E13" i="10"/>
  <c r="L4" i="11" a="1"/>
  <c r="L4" i="11" s="1"/>
  <c r="L19" i="11" s="1"/>
  <c r="L5" i="11" a="1"/>
  <c r="L5" i="11" s="1"/>
  <c r="L20" i="11" s="1"/>
  <c r="N4" i="7" a="1"/>
  <c r="N4" i="7" s="1"/>
  <c r="N19" i="7" s="1"/>
  <c r="N5" i="7" a="1"/>
  <c r="N5" i="7" s="1"/>
  <c r="N20" i="7" s="1"/>
  <c r="J5" i="9" a="1"/>
  <c r="J5" i="9" s="1"/>
  <c r="G4" i="11" a="1"/>
  <c r="G4" i="11" s="1"/>
  <c r="G19" i="11" s="1"/>
  <c r="G5" i="11" a="1"/>
  <c r="G5" i="11" s="1"/>
  <c r="G20" i="11" s="1"/>
  <c r="J13" i="10"/>
  <c r="Q13" i="7"/>
  <c r="Q15" i="7" s="1"/>
  <c r="Q45" i="7"/>
  <c r="R53" i="1" s="1"/>
  <c r="R13" i="10"/>
  <c r="D13" i="10"/>
  <c r="I13" i="12"/>
  <c r="I45" i="12"/>
  <c r="I46" i="12" s="1"/>
  <c r="F13" i="12"/>
  <c r="F45" i="12"/>
  <c r="F46" i="12" s="1"/>
  <c r="H13" i="12"/>
  <c r="H45" i="12"/>
  <c r="H46" i="12" s="1"/>
  <c r="L7" i="11" a="1"/>
  <c r="L7" i="11" s="1"/>
  <c r="L22" i="11" s="1"/>
  <c r="G7" i="11" a="1"/>
  <c r="G7" i="11" s="1"/>
  <c r="G22" i="11" s="1"/>
  <c r="D45" i="11"/>
  <c r="D46" i="11" s="1"/>
  <c r="D13" i="11"/>
  <c r="J13" i="11"/>
  <c r="J45" i="11"/>
  <c r="J46" i="11" s="1"/>
  <c r="E45" i="11"/>
  <c r="E46" i="11" s="1"/>
  <c r="E13" i="11"/>
  <c r="O45" i="11"/>
  <c r="O46" i="11" s="1"/>
  <c r="O13" i="11"/>
  <c r="R45" i="11"/>
  <c r="R46" i="11" s="1"/>
  <c r="R13" i="11"/>
  <c r="H45" i="7"/>
  <c r="I53" i="1" s="1"/>
  <c r="L45" i="7"/>
  <c r="M53" i="1" s="1"/>
  <c r="M21" i="9"/>
  <c r="M37" i="9" s="1"/>
  <c r="M19" i="9"/>
  <c r="M35" i="9" s="1"/>
  <c r="M18" i="9"/>
  <c r="M34" i="9" s="1"/>
  <c r="M22" i="9"/>
  <c r="M38" i="9" s="1"/>
  <c r="M20" i="9"/>
  <c r="M36" i="9" s="1"/>
  <c r="M23" i="9"/>
  <c r="M39" i="9" s="1"/>
  <c r="M24" i="9"/>
  <c r="M40" i="9" s="1"/>
  <c r="J7" i="9" a="1"/>
  <c r="J7" i="9" s="1"/>
  <c r="E7" i="9" a="1"/>
  <c r="E7" i="9" s="1"/>
  <c r="N7" i="7" a="1"/>
  <c r="N7" i="7" s="1"/>
  <c r="N22" i="7" s="1"/>
  <c r="N43" i="1"/>
  <c r="P17" i="5"/>
  <c r="P16" i="5"/>
  <c r="P15" i="5"/>
  <c r="P12" i="5"/>
  <c r="P11" i="5"/>
  <c r="CE4" i="5"/>
  <c r="CE13" i="5" s="1"/>
  <c r="P13" i="5"/>
  <c r="P14" i="5"/>
  <c r="P10" i="5"/>
  <c r="P9" i="5"/>
  <c r="P8" i="5"/>
  <c r="P5" i="5"/>
  <c r="CE3" i="5"/>
  <c r="CE12" i="5" s="1"/>
  <c r="P4" i="5"/>
  <c r="P6" i="5"/>
  <c r="P7" i="5"/>
  <c r="K5" i="7" a="1"/>
  <c r="K5" i="7" s="1"/>
  <c r="K20" i="7" s="1"/>
  <c r="BU98" i="3"/>
  <c r="AP98" i="3" s="1"/>
  <c r="BU99" i="3"/>
  <c r="AP99" i="3" s="1"/>
  <c r="BU97" i="3"/>
  <c r="AP97" i="3" s="1"/>
  <c r="BU96" i="3"/>
  <c r="AP96" i="3" s="1"/>
  <c r="CA96" i="3"/>
  <c r="AV96" i="3" s="1"/>
  <c r="CA98" i="3"/>
  <c r="AV98" i="3" s="1"/>
  <c r="CA97" i="3"/>
  <c r="AV97" i="3" s="1"/>
  <c r="CA99" i="3"/>
  <c r="AV99" i="3" s="1"/>
  <c r="BV99" i="3"/>
  <c r="AQ99" i="3" s="1"/>
  <c r="BV97" i="3"/>
  <c r="AQ97" i="3" s="1"/>
  <c r="BV98" i="3"/>
  <c r="AQ98" i="3" s="1"/>
  <c r="BV96" i="3"/>
  <c r="AQ96" i="3" s="1"/>
  <c r="O7" i="14" l="1" a="1"/>
  <c r="O7" i="14" s="1"/>
  <c r="O22" i="14" s="1"/>
  <c r="M13" i="14"/>
  <c r="E13" i="14"/>
  <c r="N13" i="7"/>
  <c r="N15" i="7" s="1"/>
  <c r="L4" i="10" a="1"/>
  <c r="L4" i="10" s="1"/>
  <c r="L19" i="10" s="1"/>
  <c r="L5" i="10" a="1"/>
  <c r="L5" i="10" s="1"/>
  <c r="L20" i="10" s="1"/>
  <c r="M13" i="13"/>
  <c r="M15" i="13" s="1"/>
  <c r="F4" i="10" a="1"/>
  <c r="F4" i="10" s="1"/>
  <c r="F19" i="10" s="1"/>
  <c r="F5" i="10" a="1"/>
  <c r="F5" i="10" s="1"/>
  <c r="F20" i="10" s="1"/>
  <c r="J13" i="14"/>
  <c r="I4" i="10" a="1"/>
  <c r="I4" i="10" s="1"/>
  <c r="I19" i="10" s="1"/>
  <c r="I5" i="10" a="1"/>
  <c r="I5" i="10" s="1"/>
  <c r="I20" i="10" s="1"/>
  <c r="P4" i="10" a="1"/>
  <c r="P4" i="10" s="1"/>
  <c r="P19" i="10" s="1"/>
  <c r="P5" i="10" a="1"/>
  <c r="P5" i="10" s="1"/>
  <c r="P20" i="10" s="1"/>
  <c r="H4" i="10" a="1"/>
  <c r="H4" i="10" s="1"/>
  <c r="H19" i="10" s="1"/>
  <c r="H5" i="10" a="1"/>
  <c r="H5" i="10" s="1"/>
  <c r="H20" i="10" s="1"/>
  <c r="Q4" i="12" a="1"/>
  <c r="Q4" i="12" s="1"/>
  <c r="Q19" i="12" s="1"/>
  <c r="Q5" i="12" a="1"/>
  <c r="Q5" i="12" s="1"/>
  <c r="Q20" i="12" s="1"/>
  <c r="Q4" i="11" a="1"/>
  <c r="Q4" i="11" s="1"/>
  <c r="Q19" i="11" s="1"/>
  <c r="Q5" i="11" a="1"/>
  <c r="Q5" i="11" s="1"/>
  <c r="Q20" i="11" s="1"/>
  <c r="G4" i="10" a="1"/>
  <c r="G4" i="10" s="1"/>
  <c r="G19" i="10" s="1"/>
  <c r="G5" i="10" a="1"/>
  <c r="G5" i="10" s="1"/>
  <c r="G20" i="10" s="1"/>
  <c r="K4" i="7" a="1"/>
  <c r="K4" i="7" s="1"/>
  <c r="K19" i="7" s="1"/>
  <c r="Q49" i="7"/>
  <c r="E13" i="13"/>
  <c r="M45" i="13"/>
  <c r="Q7" i="12" a="1"/>
  <c r="Q7" i="12" s="1"/>
  <c r="Q22" i="12" s="1"/>
  <c r="L13" i="12"/>
  <c r="L45" i="12"/>
  <c r="L46" i="12" s="1"/>
  <c r="G45" i="12"/>
  <c r="G46" i="12" s="1"/>
  <c r="G13" i="12"/>
  <c r="Q7" i="11" a="1"/>
  <c r="Q7" i="11" s="1"/>
  <c r="Q22" i="11" s="1"/>
  <c r="O45" i="10"/>
  <c r="P7" i="10" a="1"/>
  <c r="P7" i="10" s="1"/>
  <c r="P22" i="10" s="1"/>
  <c r="E45" i="10"/>
  <c r="H7" i="10" a="1"/>
  <c r="H7" i="10" s="1"/>
  <c r="H22" i="10" s="1"/>
  <c r="J45" i="10"/>
  <c r="I7" i="10" a="1"/>
  <c r="I7" i="10" s="1"/>
  <c r="I22" i="10" s="1"/>
  <c r="L7" i="10" a="1"/>
  <c r="L7" i="10" s="1"/>
  <c r="L22" i="10" s="1"/>
  <c r="D45" i="10"/>
  <c r="R45" i="10"/>
  <c r="F7" i="10" a="1"/>
  <c r="F7" i="10" s="1"/>
  <c r="F22" i="10" s="1"/>
  <c r="G7" i="10" a="1"/>
  <c r="G7" i="10" s="1"/>
  <c r="G22" i="10" s="1"/>
  <c r="G45" i="7"/>
  <c r="H53" i="1" s="1"/>
  <c r="E21" i="9"/>
  <c r="E37" i="9" s="1"/>
  <c r="E19" i="9"/>
  <c r="E35" i="9" s="1"/>
  <c r="E18" i="9"/>
  <c r="E34" i="9" s="1"/>
  <c r="E22" i="9"/>
  <c r="E38" i="9" s="1"/>
  <c r="E20" i="9"/>
  <c r="E36" i="9" s="1"/>
  <c r="E23" i="9"/>
  <c r="E39" i="9" s="1"/>
  <c r="E24" i="9"/>
  <c r="E40" i="9" s="1"/>
  <c r="J21" i="9"/>
  <c r="J37" i="9" s="1"/>
  <c r="J19" i="9"/>
  <c r="J35" i="9" s="1"/>
  <c r="J18" i="9"/>
  <c r="J34" i="9" s="1"/>
  <c r="J20" i="9"/>
  <c r="J36" i="9" s="1"/>
  <c r="J22" i="9"/>
  <c r="J38" i="9" s="1"/>
  <c r="J24" i="9"/>
  <c r="J40" i="9" s="1"/>
  <c r="J23" i="9"/>
  <c r="J39" i="9" s="1"/>
  <c r="D21" i="9"/>
  <c r="D37" i="9" s="1"/>
  <c r="D19" i="9"/>
  <c r="D35" i="9" s="1"/>
  <c r="D18" i="9"/>
  <c r="D34" i="9" s="1"/>
  <c r="D22" i="9"/>
  <c r="D38" i="9" s="1"/>
  <c r="D20" i="9"/>
  <c r="D36" i="9" s="1"/>
  <c r="D23" i="9"/>
  <c r="D39" i="9" s="1"/>
  <c r="D24" i="9"/>
  <c r="D40" i="9" s="1"/>
  <c r="K7" i="7" a="1"/>
  <c r="K7" i="7" s="1"/>
  <c r="K22" i="7" s="1"/>
  <c r="CF96" i="3"/>
  <c r="BA96" i="3" s="1"/>
  <c r="CF99" i="3"/>
  <c r="BA99" i="3" s="1"/>
  <c r="CF97" i="3"/>
  <c r="BA97" i="3" s="1"/>
  <c r="CF98" i="3"/>
  <c r="BA98" i="3" s="1"/>
  <c r="R7" i="14" a="1"/>
  <c r="R7" i="14" s="1"/>
  <c r="R22" i="14" s="1"/>
  <c r="F5" i="9" a="1"/>
  <c r="F5" i="9" s="1"/>
  <c r="G7" i="14" a="1"/>
  <c r="G7" i="14" s="1"/>
  <c r="G22" i="14" s="1"/>
  <c r="E12" i="9" l="1"/>
  <c r="M15" i="14"/>
  <c r="M12" i="9"/>
  <c r="L7" i="14" a="1"/>
  <c r="L7" i="14" s="1"/>
  <c r="L22" i="14" s="1"/>
  <c r="L13" i="10"/>
  <c r="J13" i="13"/>
  <c r="J15" i="13" s="1"/>
  <c r="I13" i="10"/>
  <c r="F7" i="14" a="1"/>
  <c r="F7" i="14" s="1"/>
  <c r="F22" i="14" s="1"/>
  <c r="O4" i="9" a="1"/>
  <c r="O4" i="9" s="1"/>
  <c r="O7" i="13" a="1"/>
  <c r="O7" i="13" s="1"/>
  <c r="O22" i="13" s="1"/>
  <c r="F4" i="9" a="1"/>
  <c r="F4" i="9" s="1"/>
  <c r="F7" i="13" a="1"/>
  <c r="F7" i="13" s="1"/>
  <c r="F22" i="13" s="1"/>
  <c r="H13" i="10"/>
  <c r="N4" i="12" a="1"/>
  <c r="N4" i="12" s="1"/>
  <c r="N19" i="12" s="1"/>
  <c r="N5" i="12" a="1"/>
  <c r="N5" i="12" s="1"/>
  <c r="N20" i="12" s="1"/>
  <c r="K4" i="12" a="1"/>
  <c r="K4" i="12" s="1"/>
  <c r="K19" i="12" s="1"/>
  <c r="K5" i="12" a="1"/>
  <c r="K5" i="12" s="1"/>
  <c r="K20" i="12" s="1"/>
  <c r="G13" i="10"/>
  <c r="Q4" i="10" a="1"/>
  <c r="Q4" i="10" s="1"/>
  <c r="Q19" i="10" s="1"/>
  <c r="Q5" i="10" a="1"/>
  <c r="Q5" i="10" s="1"/>
  <c r="Q20" i="10" s="1"/>
  <c r="N4" i="11" a="1"/>
  <c r="N4" i="11" s="1"/>
  <c r="N19" i="11" s="1"/>
  <c r="N5" i="11" a="1"/>
  <c r="N5" i="11" s="1"/>
  <c r="N20" i="11" s="1"/>
  <c r="D13" i="14"/>
  <c r="O5" i="9" a="1"/>
  <c r="O5" i="9" s="1"/>
  <c r="K13" i="7"/>
  <c r="K15" i="7" s="1"/>
  <c r="P13" i="10"/>
  <c r="K4" i="11" a="1"/>
  <c r="K4" i="11" s="1"/>
  <c r="K19" i="11" s="1"/>
  <c r="K5" i="11" a="1"/>
  <c r="K5" i="11" s="1"/>
  <c r="K20" i="11" s="1"/>
  <c r="Q11" i="7"/>
  <c r="V11" i="7"/>
  <c r="U11" i="7"/>
  <c r="Y11" i="7"/>
  <c r="X11" i="7"/>
  <c r="AF11" i="7"/>
  <c r="AC11" i="7"/>
  <c r="AD11" i="7"/>
  <c r="Z11" i="7"/>
  <c r="AG11" i="7"/>
  <c r="W11" i="7"/>
  <c r="AE11" i="7"/>
  <c r="AA11" i="7"/>
  <c r="AB11" i="7"/>
  <c r="F13" i="10"/>
  <c r="Q45" i="12"/>
  <c r="Q46" i="12" s="1"/>
  <c r="J15" i="14"/>
  <c r="E15" i="14"/>
  <c r="E15" i="13"/>
  <c r="E45" i="13"/>
  <c r="N7" i="12" a="1"/>
  <c r="N7" i="12" s="1"/>
  <c r="N22" i="12" s="1"/>
  <c r="K7" i="12" a="1"/>
  <c r="K7" i="12" s="1"/>
  <c r="K22" i="12" s="1"/>
  <c r="N7" i="11" a="1"/>
  <c r="N7" i="11" s="1"/>
  <c r="N22" i="11" s="1"/>
  <c r="K7" i="11" a="1"/>
  <c r="K7" i="11" s="1"/>
  <c r="K22" i="11" s="1"/>
  <c r="L13" i="11"/>
  <c r="L45" i="11"/>
  <c r="L46" i="11" s="1"/>
  <c r="I13" i="11"/>
  <c r="I45" i="11"/>
  <c r="I46" i="11" s="1"/>
  <c r="H13" i="11"/>
  <c r="H45" i="11"/>
  <c r="H46" i="11" s="1"/>
  <c r="F13" i="11"/>
  <c r="F45" i="11"/>
  <c r="F46" i="11" s="1"/>
  <c r="P13" i="11"/>
  <c r="P45" i="11"/>
  <c r="P46" i="11" s="1"/>
  <c r="G13" i="11"/>
  <c r="G45" i="11"/>
  <c r="G46" i="11" s="1"/>
  <c r="Q7" i="10" a="1"/>
  <c r="Q7" i="10" s="1"/>
  <c r="Q22" i="10" s="1"/>
  <c r="N45" i="7"/>
  <c r="O53" i="1" s="1"/>
  <c r="O7" i="9" a="1"/>
  <c r="O7" i="9" s="1"/>
  <c r="F7" i="9" a="1"/>
  <c r="F7" i="9" s="1"/>
  <c r="D11" i="7"/>
  <c r="K11" i="7"/>
  <c r="F11" i="7"/>
  <c r="R11" i="7"/>
  <c r="I11" i="7"/>
  <c r="T11" i="7"/>
  <c r="S11" i="7"/>
  <c r="M11" i="7"/>
  <c r="O11" i="7"/>
  <c r="P11" i="7"/>
  <c r="J11" i="7"/>
  <c r="L11" i="7"/>
  <c r="E11" i="7"/>
  <c r="H11" i="7"/>
  <c r="G11" i="7"/>
  <c r="N11" i="7"/>
  <c r="H10" i="5"/>
  <c r="H5" i="5"/>
  <c r="H6" i="5"/>
  <c r="H7" i="5"/>
  <c r="H4" i="5"/>
  <c r="H9" i="5"/>
  <c r="H8" i="5"/>
  <c r="BW3" i="5"/>
  <c r="BW12" i="5" s="1"/>
  <c r="H17" i="5"/>
  <c r="H16" i="5"/>
  <c r="H15" i="5"/>
  <c r="H11" i="5"/>
  <c r="H13" i="5"/>
  <c r="BW4" i="5"/>
  <c r="BW13" i="5" s="1"/>
  <c r="H12" i="5"/>
  <c r="H14" i="5"/>
  <c r="G17" i="5"/>
  <c r="G11" i="5"/>
  <c r="BV4" i="5"/>
  <c r="BV13" i="5" s="1"/>
  <c r="G15" i="5"/>
  <c r="G14" i="5"/>
  <c r="G16" i="5"/>
  <c r="H7" i="14" a="1"/>
  <c r="H7" i="14" s="1"/>
  <c r="H22" i="14" s="1"/>
  <c r="I4" i="9" a="1"/>
  <c r="I4" i="9" s="1"/>
  <c r="CC96" i="3"/>
  <c r="AX96" i="3" s="1"/>
  <c r="CC99" i="3"/>
  <c r="AX99" i="3" s="1"/>
  <c r="CC98" i="3"/>
  <c r="AX98" i="3" s="1"/>
  <c r="CC97" i="3"/>
  <c r="AX97" i="3" s="1"/>
  <c r="P7" i="14" a="1"/>
  <c r="P7" i="14" s="1"/>
  <c r="P22" i="14" s="1"/>
  <c r="J12" i="9" l="1"/>
  <c r="AH7" i="12"/>
  <c r="AJ22" i="12" s="1"/>
  <c r="AH5" i="12"/>
  <c r="AJ20" i="12" s="1"/>
  <c r="AH4" i="12"/>
  <c r="AJ19" i="12" s="1"/>
  <c r="I7" i="14" a="1"/>
  <c r="I7" i="14" s="1"/>
  <c r="I22" i="14" s="1"/>
  <c r="P7" i="13" a="1"/>
  <c r="P7" i="13" s="1"/>
  <c r="P22" i="13" s="1"/>
  <c r="H7" i="13" a="1"/>
  <c r="H7" i="13" s="1"/>
  <c r="H22" i="13" s="1"/>
  <c r="I7" i="13" a="1"/>
  <c r="I7" i="13" s="1"/>
  <c r="I22" i="13" s="1"/>
  <c r="D13" i="13"/>
  <c r="D15" i="13" s="1"/>
  <c r="R4" i="9" a="1"/>
  <c r="R4" i="9" s="1"/>
  <c r="R7" i="13" a="1"/>
  <c r="R7" i="13" s="1"/>
  <c r="R22" i="13" s="1"/>
  <c r="AD14" i="7"/>
  <c r="AD17" i="7" s="1"/>
  <c r="AG14" i="7"/>
  <c r="AG17" i="7" s="1"/>
  <c r="N14" i="7"/>
  <c r="N17" i="7" s="1"/>
  <c r="AA14" i="7"/>
  <c r="AA17" i="7" s="1"/>
  <c r="AC14" i="7"/>
  <c r="AC17" i="7" s="1"/>
  <c r="Y14" i="7"/>
  <c r="Y17" i="7" s="1"/>
  <c r="O14" i="7"/>
  <c r="O17" i="7" s="1"/>
  <c r="S14" i="7"/>
  <c r="S17" i="7" s="1"/>
  <c r="Q14" i="7"/>
  <c r="Q17" i="7" s="1"/>
  <c r="D14" i="7"/>
  <c r="D17" i="7" s="1"/>
  <c r="H14" i="7"/>
  <c r="H17" i="7" s="1"/>
  <c r="G14" i="7"/>
  <c r="G17" i="7" s="1"/>
  <c r="M14" i="7"/>
  <c r="M17" i="7" s="1"/>
  <c r="J14" i="7"/>
  <c r="J17" i="7" s="1"/>
  <c r="K14" i="7"/>
  <c r="K17" i="7" s="1"/>
  <c r="P14" i="7"/>
  <c r="P17" i="7" s="1"/>
  <c r="Q13" i="10"/>
  <c r="AE14" i="7"/>
  <c r="AE17" i="7" s="1"/>
  <c r="W14" i="7"/>
  <c r="W17" i="7" s="1"/>
  <c r="R14" i="7"/>
  <c r="R17" i="7" s="1"/>
  <c r="I14" i="7"/>
  <c r="I17" i="7" s="1"/>
  <c r="T14" i="7"/>
  <c r="T17" i="7" s="1"/>
  <c r="F14" i="7"/>
  <c r="F17" i="7" s="1"/>
  <c r="C13" i="7"/>
  <c r="N4" i="10" a="1"/>
  <c r="N4" i="10" s="1"/>
  <c r="N19" i="10" s="1"/>
  <c r="N5" i="10" a="1"/>
  <c r="N5" i="10" s="1"/>
  <c r="N20" i="10" s="1"/>
  <c r="AH4" i="11"/>
  <c r="AJ19" i="11" s="1"/>
  <c r="H4" i="9" a="1"/>
  <c r="H4" i="9" s="1"/>
  <c r="H5" i="9" a="1"/>
  <c r="H5" i="9" s="1"/>
  <c r="Z14" i="7"/>
  <c r="Z17" i="7" s="1"/>
  <c r="V14" i="7"/>
  <c r="V17" i="7" s="1"/>
  <c r="L14" i="7"/>
  <c r="L17" i="7" s="1"/>
  <c r="E14" i="7"/>
  <c r="E17" i="7" s="1"/>
  <c r="U14" i="7"/>
  <c r="U17" i="7" s="1"/>
  <c r="AH5" i="11"/>
  <c r="AJ20" i="11" s="1"/>
  <c r="X14" i="7"/>
  <c r="X17" i="7" s="1"/>
  <c r="AB14" i="7"/>
  <c r="AB17" i="7" s="1"/>
  <c r="I5" i="9" a="1"/>
  <c r="I5" i="9" s="1"/>
  <c r="R5" i="9" a="1"/>
  <c r="R5" i="9" s="1"/>
  <c r="O13" i="14"/>
  <c r="P4" i="9" a="1"/>
  <c r="P4" i="9" s="1"/>
  <c r="P5" i="9" a="1"/>
  <c r="P5" i="9" s="1"/>
  <c r="AF14" i="7"/>
  <c r="AF17" i="7" s="1"/>
  <c r="F43" i="1"/>
  <c r="AH7" i="11"/>
  <c r="AJ22" i="11" s="1"/>
  <c r="W11" i="12"/>
  <c r="U11" i="12"/>
  <c r="AB11" i="12"/>
  <c r="X11" i="12"/>
  <c r="AC11" i="12"/>
  <c r="Y11" i="12"/>
  <c r="V11" i="12"/>
  <c r="AF11" i="12"/>
  <c r="AD11" i="12"/>
  <c r="Z11" i="12"/>
  <c r="AA11" i="12"/>
  <c r="AG11" i="12"/>
  <c r="AE11" i="12"/>
  <c r="AC11" i="11"/>
  <c r="AB11" i="11"/>
  <c r="U11" i="11"/>
  <c r="X11" i="11"/>
  <c r="AA11" i="11"/>
  <c r="AG11" i="11"/>
  <c r="Z11" i="11"/>
  <c r="Y11" i="11"/>
  <c r="AF11" i="11"/>
  <c r="AE11" i="11"/>
  <c r="AD11" i="11"/>
  <c r="V11" i="11"/>
  <c r="W11" i="11"/>
  <c r="Q13" i="12"/>
  <c r="D45" i="13"/>
  <c r="J45" i="13"/>
  <c r="R11" i="12"/>
  <c r="Q11" i="12"/>
  <c r="F11" i="12"/>
  <c r="S11" i="12"/>
  <c r="H11" i="12"/>
  <c r="T11" i="12"/>
  <c r="I11" i="12"/>
  <c r="L11" i="12"/>
  <c r="G11" i="12"/>
  <c r="K11" i="12"/>
  <c r="P11" i="12"/>
  <c r="E11" i="12"/>
  <c r="N11" i="12"/>
  <c r="O11" i="12"/>
  <c r="J11" i="12"/>
  <c r="M11" i="12"/>
  <c r="D11" i="12"/>
  <c r="N13" i="12"/>
  <c r="N45" i="12"/>
  <c r="N46" i="12" s="1"/>
  <c r="Q45" i="11"/>
  <c r="Q46" i="11" s="1"/>
  <c r="Q13" i="11"/>
  <c r="L45" i="10"/>
  <c r="P45" i="10"/>
  <c r="H45" i="10"/>
  <c r="I45" i="10"/>
  <c r="N7" i="10" a="1"/>
  <c r="N7" i="10" s="1"/>
  <c r="N22" i="10" s="1"/>
  <c r="F45" i="10"/>
  <c r="G45" i="10"/>
  <c r="K45" i="7"/>
  <c r="L53" i="1" s="1"/>
  <c r="F21" i="9"/>
  <c r="F37" i="9" s="1"/>
  <c r="F19" i="9"/>
  <c r="F35" i="9" s="1"/>
  <c r="F18" i="9"/>
  <c r="F34" i="9" s="1"/>
  <c r="F22" i="9"/>
  <c r="F38" i="9" s="1"/>
  <c r="F20" i="9"/>
  <c r="F36" i="9" s="1"/>
  <c r="F23" i="9"/>
  <c r="F39" i="9" s="1"/>
  <c r="F24" i="9"/>
  <c r="F40" i="9" s="1"/>
  <c r="O21" i="9"/>
  <c r="O37" i="9" s="1"/>
  <c r="O19" i="9"/>
  <c r="O35" i="9" s="1"/>
  <c r="O18" i="9"/>
  <c r="O34" i="9" s="1"/>
  <c r="O20" i="9"/>
  <c r="O36" i="9" s="1"/>
  <c r="O22" i="9"/>
  <c r="O38" i="9" s="1"/>
  <c r="O23" i="9"/>
  <c r="O39" i="9" s="1"/>
  <c r="O24" i="9"/>
  <c r="O40" i="9" s="1"/>
  <c r="P7" i="9" a="1"/>
  <c r="P7" i="9" s="1"/>
  <c r="I7" i="9" a="1"/>
  <c r="I7" i="9" s="1"/>
  <c r="H7" i="9" a="1"/>
  <c r="H7" i="9" s="1"/>
  <c r="R7" i="9" a="1"/>
  <c r="R7" i="9" s="1"/>
  <c r="E43" i="1"/>
  <c r="G6" i="5"/>
  <c r="G13" i="5"/>
  <c r="G12" i="5"/>
  <c r="R10" i="5"/>
  <c r="R9" i="5"/>
  <c r="R8" i="5"/>
  <c r="CG3" i="5"/>
  <c r="CG12" i="5" s="1"/>
  <c r="R4" i="5"/>
  <c r="R6" i="5"/>
  <c r="R7" i="5"/>
  <c r="R5" i="5"/>
  <c r="G10" i="5"/>
  <c r="G4" i="5"/>
  <c r="G9" i="5"/>
  <c r="G5" i="5"/>
  <c r="G8" i="5"/>
  <c r="G7" i="5"/>
  <c r="BV3" i="5"/>
  <c r="BV12" i="5" s="1"/>
  <c r="M10" i="5"/>
  <c r="M6" i="5"/>
  <c r="M7" i="5"/>
  <c r="M4" i="5"/>
  <c r="M8" i="5"/>
  <c r="M9" i="5"/>
  <c r="M5" i="5"/>
  <c r="CB3" i="5"/>
  <c r="CB12" i="5" s="1"/>
  <c r="R17" i="5"/>
  <c r="R11" i="5"/>
  <c r="CG4" i="5"/>
  <c r="CG13" i="5" s="1"/>
  <c r="R14" i="5"/>
  <c r="R13" i="5"/>
  <c r="R12" i="5"/>
  <c r="R16" i="5"/>
  <c r="R15" i="5"/>
  <c r="M17" i="5"/>
  <c r="M16" i="5"/>
  <c r="M15" i="5"/>
  <c r="M11" i="5"/>
  <c r="CB4" i="5"/>
  <c r="CB13" i="5" s="1"/>
  <c r="M14" i="5"/>
  <c r="M12" i="5"/>
  <c r="Q4" i="9" a="1"/>
  <c r="Q4" i="9" s="1"/>
  <c r="BZ97" i="3"/>
  <c r="AU97" i="3" s="1"/>
  <c r="BZ96" i="3"/>
  <c r="AU96" i="3" s="1"/>
  <c r="BZ98" i="3"/>
  <c r="AU98" i="3" s="1"/>
  <c r="BZ99" i="3"/>
  <c r="AU99" i="3" s="1"/>
  <c r="G10" i="9" a="1"/>
  <c r="G10" i="9" s="1"/>
  <c r="K5" i="10" l="1" a="1"/>
  <c r="K5" i="10" s="1"/>
  <c r="K20" i="10" s="1"/>
  <c r="D12" i="9"/>
  <c r="F13" i="14"/>
  <c r="N7" i="14" a="1"/>
  <c r="N7" i="14" s="1"/>
  <c r="N22" i="14" s="1"/>
  <c r="Q7" i="14" a="1"/>
  <c r="Q7" i="14" s="1"/>
  <c r="Q22" i="14" s="1"/>
  <c r="L7" i="13" a="1"/>
  <c r="L7" i="13" s="1"/>
  <c r="L22" i="13" s="1"/>
  <c r="Q7" i="13" a="1"/>
  <c r="Q7" i="13" s="1"/>
  <c r="Q22" i="13" s="1"/>
  <c r="G7" i="13" a="1"/>
  <c r="G7" i="13" s="1"/>
  <c r="G22" i="13" s="1"/>
  <c r="AJ28" i="11"/>
  <c r="AO19" i="11"/>
  <c r="AN19" i="11"/>
  <c r="AL19" i="11"/>
  <c r="AK19" i="11"/>
  <c r="AJ29" i="11"/>
  <c r="AL20" i="11"/>
  <c r="AN20" i="11"/>
  <c r="AK20" i="11"/>
  <c r="AO20" i="11"/>
  <c r="AJ31" i="11"/>
  <c r="AO22" i="11"/>
  <c r="AL22" i="11"/>
  <c r="AK22" i="11"/>
  <c r="AN22" i="11"/>
  <c r="AJ29" i="12"/>
  <c r="AL20" i="12"/>
  <c r="AK20" i="12"/>
  <c r="AO20" i="12"/>
  <c r="AN20" i="12"/>
  <c r="AJ31" i="12"/>
  <c r="AK22" i="12"/>
  <c r="AN22" i="12"/>
  <c r="AL22" i="12"/>
  <c r="AO22" i="12"/>
  <c r="AJ28" i="12"/>
  <c r="AO19" i="12"/>
  <c r="AL19" i="12"/>
  <c r="AK19" i="12"/>
  <c r="AN19" i="12"/>
  <c r="N13" i="10"/>
  <c r="K13" i="12"/>
  <c r="Y14" i="12" s="1"/>
  <c r="Y17" i="12" s="1"/>
  <c r="O13" i="13"/>
  <c r="O15" i="13" s="1"/>
  <c r="P13" i="14"/>
  <c r="L4" i="9" a="1"/>
  <c r="L4" i="9" s="1"/>
  <c r="L5" i="9" a="1"/>
  <c r="L5" i="9" s="1"/>
  <c r="R13" i="14"/>
  <c r="I13" i="14"/>
  <c r="Q5" i="9" a="1"/>
  <c r="Q5" i="9" s="1"/>
  <c r="G4" i="9" a="1"/>
  <c r="G4" i="9" s="1"/>
  <c r="G5" i="9" a="1"/>
  <c r="G5" i="9" s="1"/>
  <c r="AJ25" i="13"/>
  <c r="N11" i="11"/>
  <c r="K4" i="10" a="1"/>
  <c r="K4" i="10" s="1"/>
  <c r="K19" i="10" s="1"/>
  <c r="P43" i="1"/>
  <c r="Q7" i="9" a="1"/>
  <c r="Q7" i="9" s="1"/>
  <c r="D15" i="14"/>
  <c r="F13" i="13"/>
  <c r="O45" i="13"/>
  <c r="K45" i="12"/>
  <c r="K46" i="12" s="1"/>
  <c r="N45" i="11"/>
  <c r="N46" i="11" s="1"/>
  <c r="N13" i="11"/>
  <c r="K11" i="11"/>
  <c r="G11" i="11"/>
  <c r="P11" i="11"/>
  <c r="F11" i="11"/>
  <c r="R11" i="11"/>
  <c r="H11" i="11"/>
  <c r="T11" i="11"/>
  <c r="S11" i="11"/>
  <c r="O11" i="11"/>
  <c r="E11" i="11"/>
  <c r="I11" i="11"/>
  <c r="J11" i="11"/>
  <c r="D11" i="11"/>
  <c r="L11" i="11"/>
  <c r="M11" i="11"/>
  <c r="Q11" i="11"/>
  <c r="K7" i="10" a="1"/>
  <c r="K7" i="10" s="1"/>
  <c r="K22" i="10" s="1"/>
  <c r="Q45" i="10"/>
  <c r="R21" i="9"/>
  <c r="R37" i="9" s="1"/>
  <c r="R19" i="9"/>
  <c r="R35" i="9" s="1"/>
  <c r="R23" i="9"/>
  <c r="R39" i="9" s="1"/>
  <c r="R20" i="9"/>
  <c r="R36" i="9" s="1"/>
  <c r="R24" i="9"/>
  <c r="R40" i="9" s="1"/>
  <c r="R22" i="9"/>
  <c r="R38" i="9" s="1"/>
  <c r="R18" i="9"/>
  <c r="R34" i="9" s="1"/>
  <c r="H21" i="9"/>
  <c r="H37" i="9" s="1"/>
  <c r="H19" i="9"/>
  <c r="H35" i="9" s="1"/>
  <c r="H18" i="9"/>
  <c r="H34" i="9" s="1"/>
  <c r="H22" i="9"/>
  <c r="H38" i="9" s="1"/>
  <c r="H20" i="9"/>
  <c r="H36" i="9" s="1"/>
  <c r="H23" i="9"/>
  <c r="H39" i="9" s="1"/>
  <c r="H24" i="9"/>
  <c r="H40" i="9" s="1"/>
  <c r="I21" i="9"/>
  <c r="I37" i="9" s="1"/>
  <c r="I23" i="9"/>
  <c r="I39" i="9" s="1"/>
  <c r="I24" i="9"/>
  <c r="I40" i="9" s="1"/>
  <c r="I18" i="9"/>
  <c r="I34" i="9" s="1"/>
  <c r="I22" i="9"/>
  <c r="I38" i="9" s="1"/>
  <c r="I20" i="9"/>
  <c r="I36" i="9" s="1"/>
  <c r="I19" i="9"/>
  <c r="I35" i="9" s="1"/>
  <c r="P21" i="9"/>
  <c r="P37" i="9" s="1"/>
  <c r="P18" i="9"/>
  <c r="P34" i="9" s="1"/>
  <c r="P22" i="9"/>
  <c r="P38" i="9" s="1"/>
  <c r="P20" i="9"/>
  <c r="P36" i="9" s="1"/>
  <c r="P23" i="9"/>
  <c r="P39" i="9" s="1"/>
  <c r="P24" i="9"/>
  <c r="P40" i="9" s="1"/>
  <c r="P19" i="9"/>
  <c r="P35" i="9" s="1"/>
  <c r="L7" i="9" a="1"/>
  <c r="L7" i="9" s="1"/>
  <c r="G7" i="9" a="1"/>
  <c r="G7" i="9" s="1"/>
  <c r="I17" i="5"/>
  <c r="I16" i="5"/>
  <c r="I15" i="5"/>
  <c r="I14" i="5"/>
  <c r="I11" i="5"/>
  <c r="BX4" i="5"/>
  <c r="BX13" i="5" s="1"/>
  <c r="I10" i="5"/>
  <c r="BX3" i="5"/>
  <c r="BX12" i="5" s="1"/>
  <c r="I9" i="5"/>
  <c r="I4" i="5"/>
  <c r="I7" i="5"/>
  <c r="I8" i="5"/>
  <c r="I6" i="5"/>
  <c r="U17" i="5"/>
  <c r="U16" i="5"/>
  <c r="U15" i="5"/>
  <c r="U14" i="5"/>
  <c r="CJ4" i="5"/>
  <c r="CJ13" i="5" s="1"/>
  <c r="U11" i="5"/>
  <c r="J17" i="5"/>
  <c r="J16" i="5"/>
  <c r="J12" i="5"/>
  <c r="J14" i="5"/>
  <c r="BY4" i="5"/>
  <c r="BY13" i="5" s="1"/>
  <c r="J11" i="5"/>
  <c r="J15" i="5"/>
  <c r="U10" i="5"/>
  <c r="U9" i="5"/>
  <c r="U8" i="5"/>
  <c r="U6" i="5"/>
  <c r="U7" i="5"/>
  <c r="U4" i="5"/>
  <c r="CJ3" i="5"/>
  <c r="CJ12" i="5" s="1"/>
  <c r="U5" i="5"/>
  <c r="S17" i="5"/>
  <c r="S16" i="5"/>
  <c r="S14" i="5"/>
  <c r="S12" i="5"/>
  <c r="S15" i="5"/>
  <c r="CH4" i="5"/>
  <c r="CH13" i="5" s="1"/>
  <c r="S13" i="5"/>
  <c r="S11" i="5"/>
  <c r="K17" i="5"/>
  <c r="BZ4" i="5"/>
  <c r="BZ13" i="5" s="1"/>
  <c r="K14" i="5"/>
  <c r="K11" i="5"/>
  <c r="K12" i="5"/>
  <c r="K15" i="5"/>
  <c r="K16" i="5"/>
  <c r="S10" i="5"/>
  <c r="S9" i="5"/>
  <c r="S7" i="5"/>
  <c r="S5" i="5"/>
  <c r="S6" i="5"/>
  <c r="S4" i="5"/>
  <c r="S8" i="5"/>
  <c r="CH3" i="5"/>
  <c r="CH12" i="5" s="1"/>
  <c r="K43" i="1"/>
  <c r="M13" i="5"/>
  <c r="K10" i="5"/>
  <c r="K9" i="5"/>
  <c r="K8" i="5"/>
  <c r="K4" i="5"/>
  <c r="K7" i="5"/>
  <c r="BZ3" i="5"/>
  <c r="BZ12" i="5" s="1"/>
  <c r="N14" i="12" l="1"/>
  <c r="N17" i="12" s="1"/>
  <c r="F12" i="9"/>
  <c r="O12" i="9"/>
  <c r="U14" i="12"/>
  <c r="U17" i="12" s="1"/>
  <c r="I14" i="12"/>
  <c r="I17" i="12" s="1"/>
  <c r="D14" i="12"/>
  <c r="D17" i="12" s="1"/>
  <c r="G14" i="12"/>
  <c r="G17" i="12" s="1"/>
  <c r="T14" i="12"/>
  <c r="T17" i="12" s="1"/>
  <c r="H14" i="12"/>
  <c r="H17" i="12" s="1"/>
  <c r="X14" i="12"/>
  <c r="X17" i="12" s="1"/>
  <c r="S14" i="12"/>
  <c r="S17" i="12" s="1"/>
  <c r="M14" i="12"/>
  <c r="M17" i="12" s="1"/>
  <c r="K14" i="12"/>
  <c r="K17" i="12" s="1"/>
  <c r="Q14" i="12"/>
  <c r="Q17" i="12" s="1"/>
  <c r="O14" i="12"/>
  <c r="O17" i="12" s="1"/>
  <c r="L14" i="12"/>
  <c r="L17" i="12" s="1"/>
  <c r="AA14" i="12"/>
  <c r="AA17" i="12" s="1"/>
  <c r="C13" i="12"/>
  <c r="P14" i="12"/>
  <c r="P17" i="12" s="1"/>
  <c r="AE14" i="12"/>
  <c r="AE17" i="12" s="1"/>
  <c r="P13" i="13"/>
  <c r="P12" i="9" s="1"/>
  <c r="F14" i="12"/>
  <c r="F17" i="12" s="1"/>
  <c r="E14" i="12"/>
  <c r="E17" i="12" s="1"/>
  <c r="V14" i="12"/>
  <c r="V17" i="12" s="1"/>
  <c r="AC14" i="12"/>
  <c r="AC17" i="12" s="1"/>
  <c r="W14" i="12"/>
  <c r="W17" i="12" s="1"/>
  <c r="J14" i="12"/>
  <c r="J17" i="12" s="1"/>
  <c r="AG14" i="12"/>
  <c r="AG17" i="12" s="1"/>
  <c r="K7" i="14" a="1"/>
  <c r="K7" i="14" s="1"/>
  <c r="K22" i="14" s="1"/>
  <c r="AF14" i="12"/>
  <c r="AF17" i="12" s="1"/>
  <c r="R14" i="12"/>
  <c r="R17" i="12" s="1"/>
  <c r="AB14" i="12"/>
  <c r="AB17" i="12" s="1"/>
  <c r="Z14" i="12"/>
  <c r="Z17" i="12" s="1"/>
  <c r="AD14" i="12"/>
  <c r="AD17" i="12" s="1"/>
  <c r="K7" i="13" a="1"/>
  <c r="K7" i="13" s="1"/>
  <c r="K22" i="13" s="1"/>
  <c r="H13" i="14"/>
  <c r="AJ39" i="11"/>
  <c r="AO31" i="11"/>
  <c r="AL31" i="11"/>
  <c r="AK31" i="11"/>
  <c r="AN31" i="11"/>
  <c r="AJ37" i="11"/>
  <c r="AN29" i="11"/>
  <c r="AO29" i="11"/>
  <c r="AL29" i="11"/>
  <c r="AK29" i="11"/>
  <c r="AJ36" i="11"/>
  <c r="AO28" i="11"/>
  <c r="AK28" i="11"/>
  <c r="AL28" i="11"/>
  <c r="AN28" i="11"/>
  <c r="AJ36" i="12"/>
  <c r="AO28" i="12"/>
  <c r="AK28" i="12"/>
  <c r="AL28" i="12"/>
  <c r="AN28" i="12"/>
  <c r="AJ39" i="12"/>
  <c r="AN31" i="12"/>
  <c r="AK31" i="12"/>
  <c r="AO31" i="12"/>
  <c r="AL31" i="12"/>
  <c r="AJ37" i="12"/>
  <c r="AO29" i="12"/>
  <c r="AL29" i="12"/>
  <c r="AK29" i="12"/>
  <c r="AN29" i="12"/>
  <c r="AJ34" i="13"/>
  <c r="AL25" i="13"/>
  <c r="AK25" i="13"/>
  <c r="AN25" i="13"/>
  <c r="AO25" i="13"/>
  <c r="Q21" i="9"/>
  <c r="Q37" i="9" s="1"/>
  <c r="K5" i="9" a="1"/>
  <c r="K5" i="9" s="1"/>
  <c r="L13" i="14"/>
  <c r="I13" i="13"/>
  <c r="I15" i="13" s="1"/>
  <c r="H13" i="13"/>
  <c r="H15" i="13" s="1"/>
  <c r="K4" i="9" a="1"/>
  <c r="K4" i="9" s="1"/>
  <c r="Q43" i="1"/>
  <c r="Q24" i="9"/>
  <c r="Q40" i="9" s="1"/>
  <c r="Q23" i="9"/>
  <c r="Q39" i="9" s="1"/>
  <c r="Q20" i="9"/>
  <c r="Q36" i="9" s="1"/>
  <c r="Q22" i="9"/>
  <c r="Q38" i="9" s="1"/>
  <c r="Q18" i="9"/>
  <c r="Q34" i="9" s="1"/>
  <c r="Q19" i="9"/>
  <c r="Q35" i="9" s="1"/>
  <c r="R13" i="13"/>
  <c r="R15" i="13" s="1"/>
  <c r="F15" i="13"/>
  <c r="U11" i="10"/>
  <c r="AC11" i="10"/>
  <c r="AB11" i="10"/>
  <c r="X11" i="10"/>
  <c r="AD11" i="10"/>
  <c r="W11" i="10"/>
  <c r="AE11" i="10"/>
  <c r="Y11" i="10"/>
  <c r="AF11" i="10"/>
  <c r="Z11" i="10"/>
  <c r="V11" i="10"/>
  <c r="AA11" i="10"/>
  <c r="AG11" i="10"/>
  <c r="F45" i="13"/>
  <c r="K13" i="10"/>
  <c r="O15" i="14"/>
  <c r="P45" i="13"/>
  <c r="H45" i="13"/>
  <c r="I45" i="13"/>
  <c r="K13" i="11"/>
  <c r="K45" i="11"/>
  <c r="K46" i="11" s="1"/>
  <c r="N45" i="10"/>
  <c r="K11" i="10"/>
  <c r="O11" i="10"/>
  <c r="R11" i="10"/>
  <c r="L11" i="10"/>
  <c r="S11" i="10"/>
  <c r="H11" i="10"/>
  <c r="F11" i="10"/>
  <c r="D11" i="10"/>
  <c r="G11" i="10"/>
  <c r="J11" i="10"/>
  <c r="M11" i="10"/>
  <c r="I11" i="10"/>
  <c r="E11" i="10"/>
  <c r="T11" i="10"/>
  <c r="P11" i="10"/>
  <c r="Q11" i="10"/>
  <c r="N11" i="10"/>
  <c r="G21" i="9"/>
  <c r="G37" i="9" s="1"/>
  <c r="G19" i="9"/>
  <c r="G35" i="9" s="1"/>
  <c r="G18" i="9"/>
  <c r="G34" i="9" s="1"/>
  <c r="G20" i="9"/>
  <c r="G36" i="9" s="1"/>
  <c r="G22" i="9"/>
  <c r="G38" i="9" s="1"/>
  <c r="G23" i="9"/>
  <c r="G39" i="9" s="1"/>
  <c r="G24" i="9"/>
  <c r="G40" i="9" s="1"/>
  <c r="L21" i="9"/>
  <c r="L37" i="9" s="1"/>
  <c r="L19" i="9"/>
  <c r="L35" i="9" s="1"/>
  <c r="L18" i="9"/>
  <c r="L34" i="9" s="1"/>
  <c r="L22" i="9"/>
  <c r="L38" i="9" s="1"/>
  <c r="L20" i="9"/>
  <c r="L36" i="9" s="1"/>
  <c r="L23" i="9"/>
  <c r="L39" i="9" s="1"/>
  <c r="L24" i="9"/>
  <c r="L40" i="9" s="1"/>
  <c r="K7" i="9" a="1"/>
  <c r="K7" i="9" s="1"/>
  <c r="T17" i="5"/>
  <c r="T11" i="5"/>
  <c r="T14" i="5"/>
  <c r="CI4" i="5"/>
  <c r="CI13" i="5" s="1"/>
  <c r="T16" i="5"/>
  <c r="T15" i="5"/>
  <c r="S43" i="1"/>
  <c r="U13" i="5"/>
  <c r="U12" i="5"/>
  <c r="O17" i="5"/>
  <c r="O16" i="5"/>
  <c r="O15" i="5"/>
  <c r="O14" i="5"/>
  <c r="L10" i="5"/>
  <c r="L9" i="5"/>
  <c r="L6" i="5"/>
  <c r="L5" i="5"/>
  <c r="L8" i="5"/>
  <c r="L4" i="5"/>
  <c r="CA3" i="5"/>
  <c r="CA12" i="5" s="1"/>
  <c r="L7" i="5"/>
  <c r="J10" i="5"/>
  <c r="J9" i="5"/>
  <c r="BY3" i="5"/>
  <c r="BY12" i="5" s="1"/>
  <c r="J4" i="5"/>
  <c r="J6" i="5"/>
  <c r="J5" i="5"/>
  <c r="J7" i="5"/>
  <c r="J8" i="5"/>
  <c r="H43" i="1"/>
  <c r="J13" i="5"/>
  <c r="T10" i="5"/>
  <c r="T9" i="5"/>
  <c r="T4" i="5"/>
  <c r="T8" i="5"/>
  <c r="T7" i="5"/>
  <c r="O10" i="5"/>
  <c r="O7" i="5"/>
  <c r="CD3" i="5"/>
  <c r="CD12" i="5" s="1"/>
  <c r="O4" i="5"/>
  <c r="O9" i="5"/>
  <c r="O8" i="5"/>
  <c r="I43" i="1"/>
  <c r="K6" i="5"/>
  <c r="K5" i="5"/>
  <c r="K13" i="5"/>
  <c r="L17" i="5"/>
  <c r="L16" i="5"/>
  <c r="L15" i="5"/>
  <c r="L14" i="5"/>
  <c r="CA4" i="5"/>
  <c r="CA13" i="5" s="1"/>
  <c r="L11" i="5"/>
  <c r="L12" i="5"/>
  <c r="G43" i="1"/>
  <c r="I5" i="5"/>
  <c r="I12" i="5"/>
  <c r="I13" i="5"/>
  <c r="P15" i="13" l="1"/>
  <c r="H12" i="9"/>
  <c r="R12" i="9"/>
  <c r="I12" i="9"/>
  <c r="AH7" i="14"/>
  <c r="N7" i="13" a="1"/>
  <c r="N7" i="13" s="1"/>
  <c r="AL36" i="11"/>
  <c r="AO36" i="11"/>
  <c r="AN36" i="11"/>
  <c r="AK36" i="11"/>
  <c r="AN37" i="11"/>
  <c r="AL37" i="11"/>
  <c r="AK37" i="11"/>
  <c r="AO37" i="11"/>
  <c r="AO39" i="11"/>
  <c r="AL39" i="11"/>
  <c r="AN39" i="11"/>
  <c r="AK39" i="11"/>
  <c r="AK37" i="12"/>
  <c r="AO37" i="12"/>
  <c r="AN37" i="12"/>
  <c r="AL37" i="12"/>
  <c r="AO39" i="12"/>
  <c r="AL39" i="12"/>
  <c r="AK39" i="12"/>
  <c r="AN39" i="12"/>
  <c r="AL36" i="12"/>
  <c r="AN36" i="12"/>
  <c r="AK36" i="12"/>
  <c r="AO36" i="12"/>
  <c r="Q13" i="14"/>
  <c r="L13" i="13"/>
  <c r="L15" i="13" s="1"/>
  <c r="AJ42" i="13"/>
  <c r="AL34" i="13"/>
  <c r="AN34" i="13"/>
  <c r="AK34" i="13"/>
  <c r="AO34" i="13"/>
  <c r="N4" i="9" a="1"/>
  <c r="N4" i="9" s="1"/>
  <c r="AJ19" i="14" s="1"/>
  <c r="AJ28" i="14" s="1"/>
  <c r="AJ36" i="14" s="1"/>
  <c r="N5" i="9" a="1"/>
  <c r="N5" i="9" s="1"/>
  <c r="G13" i="14"/>
  <c r="Q45" i="13"/>
  <c r="Q13" i="13"/>
  <c r="C13" i="10"/>
  <c r="W14" i="10"/>
  <c r="W17" i="10" s="1"/>
  <c r="Y14" i="10"/>
  <c r="Y17" i="10" s="1"/>
  <c r="AC14" i="10"/>
  <c r="AC17" i="10" s="1"/>
  <c r="AF14" i="10"/>
  <c r="AF17" i="10" s="1"/>
  <c r="U14" i="10"/>
  <c r="U17" i="10" s="1"/>
  <c r="AG14" i="10"/>
  <c r="AG17" i="10" s="1"/>
  <c r="AD14" i="10"/>
  <c r="AD17" i="10" s="1"/>
  <c r="V14" i="10"/>
  <c r="V17" i="10" s="1"/>
  <c r="AB14" i="10"/>
  <c r="AB17" i="10" s="1"/>
  <c r="AE14" i="10"/>
  <c r="AE17" i="10" s="1"/>
  <c r="Z14" i="10"/>
  <c r="Z17" i="10" s="1"/>
  <c r="X14" i="10"/>
  <c r="X17" i="10" s="1"/>
  <c r="AA14" i="10"/>
  <c r="AA17" i="10" s="1"/>
  <c r="AG14" i="11"/>
  <c r="AG17" i="11" s="1"/>
  <c r="X14" i="11"/>
  <c r="X17" i="11" s="1"/>
  <c r="AA14" i="11"/>
  <c r="AA17" i="11" s="1"/>
  <c r="AE14" i="11"/>
  <c r="AE17" i="11" s="1"/>
  <c r="AB14" i="11"/>
  <c r="AB17" i="11" s="1"/>
  <c r="W14" i="11"/>
  <c r="W17" i="11" s="1"/>
  <c r="Z14" i="11"/>
  <c r="Z17" i="11" s="1"/>
  <c r="Y14" i="11"/>
  <c r="Y17" i="11" s="1"/>
  <c r="V14" i="11"/>
  <c r="V17" i="11" s="1"/>
  <c r="AF14" i="11"/>
  <c r="AF17" i="11" s="1"/>
  <c r="U14" i="11"/>
  <c r="U17" i="11" s="1"/>
  <c r="AD14" i="11"/>
  <c r="AD17" i="11" s="1"/>
  <c r="AC14" i="11"/>
  <c r="AC17" i="11" s="1"/>
  <c r="E14" i="10"/>
  <c r="E17" i="10" s="1"/>
  <c r="R14" i="10"/>
  <c r="R17" i="10" s="1"/>
  <c r="G14" i="10"/>
  <c r="G17" i="10" s="1"/>
  <c r="F14" i="10"/>
  <c r="F17" i="10" s="1"/>
  <c r="Q14" i="10"/>
  <c r="Q17" i="10" s="1"/>
  <c r="P14" i="10"/>
  <c r="P17" i="10" s="1"/>
  <c r="L14" i="10"/>
  <c r="L17" i="10" s="1"/>
  <c r="K14" i="10"/>
  <c r="K17" i="10" s="1"/>
  <c r="N14" i="10"/>
  <c r="N17" i="10" s="1"/>
  <c r="H14" i="10"/>
  <c r="H17" i="10" s="1"/>
  <c r="I14" i="10"/>
  <c r="I17" i="10" s="1"/>
  <c r="M14" i="10"/>
  <c r="M17" i="10" s="1"/>
  <c r="J14" i="10"/>
  <c r="J17" i="10" s="1"/>
  <c r="S14" i="10"/>
  <c r="S17" i="10" s="1"/>
  <c r="T14" i="10"/>
  <c r="T17" i="10" s="1"/>
  <c r="O14" i="10"/>
  <c r="O17" i="10" s="1"/>
  <c r="D14" i="10"/>
  <c r="D17" i="10" s="1"/>
  <c r="F15" i="14"/>
  <c r="P15" i="14"/>
  <c r="I15" i="14"/>
  <c r="H15" i="14"/>
  <c r="R45" i="13"/>
  <c r="K14" i="11"/>
  <c r="K17" i="11" s="1"/>
  <c r="P14" i="11"/>
  <c r="P17" i="11" s="1"/>
  <c r="F14" i="11"/>
  <c r="F17" i="11" s="1"/>
  <c r="S14" i="11"/>
  <c r="S17" i="11" s="1"/>
  <c r="L14" i="11"/>
  <c r="L17" i="11" s="1"/>
  <c r="C13" i="11"/>
  <c r="I14" i="11"/>
  <c r="I17" i="11" s="1"/>
  <c r="T14" i="11"/>
  <c r="T17" i="11" s="1"/>
  <c r="M14" i="11"/>
  <c r="M17" i="11" s="1"/>
  <c r="R14" i="11"/>
  <c r="R17" i="11" s="1"/>
  <c r="O14" i="11"/>
  <c r="O17" i="11" s="1"/>
  <c r="E14" i="11"/>
  <c r="E17" i="11" s="1"/>
  <c r="D14" i="11"/>
  <c r="D17" i="11" s="1"/>
  <c r="J14" i="11"/>
  <c r="J17" i="11" s="1"/>
  <c r="H14" i="11"/>
  <c r="H17" i="11" s="1"/>
  <c r="G14" i="11"/>
  <c r="G17" i="11" s="1"/>
  <c r="Q14" i="11"/>
  <c r="Q17" i="11" s="1"/>
  <c r="N14" i="11"/>
  <c r="N17" i="11" s="1"/>
  <c r="K45" i="10"/>
  <c r="K21" i="9"/>
  <c r="K37" i="9" s="1"/>
  <c r="K19" i="9"/>
  <c r="K35" i="9" s="1"/>
  <c r="K18" i="9"/>
  <c r="K34" i="9" s="1"/>
  <c r="K20" i="9"/>
  <c r="K36" i="9" s="1"/>
  <c r="K22" i="9"/>
  <c r="K38" i="9" s="1"/>
  <c r="K23" i="9"/>
  <c r="K39" i="9" s="1"/>
  <c r="K24" i="9"/>
  <c r="K40" i="9" s="1"/>
  <c r="N7" i="9" a="1"/>
  <c r="N7" i="9" s="1"/>
  <c r="M43" i="1"/>
  <c r="O6" i="5"/>
  <c r="O5" i="5"/>
  <c r="O12" i="5"/>
  <c r="O13" i="5"/>
  <c r="CD4" i="5"/>
  <c r="CD13" i="5" s="1"/>
  <c r="O11" i="5"/>
  <c r="R43" i="1"/>
  <c r="T13" i="5"/>
  <c r="T5" i="5"/>
  <c r="CI3" i="5"/>
  <c r="CI12" i="5" s="1"/>
  <c r="T12" i="5"/>
  <c r="T6" i="5"/>
  <c r="J43" i="1"/>
  <c r="L13" i="5"/>
  <c r="AH7" i="13" l="1"/>
  <c r="N22" i="13"/>
  <c r="Q12" i="9"/>
  <c r="L12" i="9"/>
  <c r="K13" i="14"/>
  <c r="G13" i="13"/>
  <c r="G12" i="9" s="1"/>
  <c r="AJ22" i="14"/>
  <c r="AO42" i="13"/>
  <c r="AL42" i="13"/>
  <c r="AK42" i="13"/>
  <c r="AN42" i="13"/>
  <c r="AO36" i="14"/>
  <c r="AK36" i="14"/>
  <c r="AL36" i="14"/>
  <c r="AN36" i="14"/>
  <c r="AN28" i="14"/>
  <c r="AK28" i="14"/>
  <c r="AO28" i="14"/>
  <c r="AL28" i="14"/>
  <c r="AK19" i="14"/>
  <c r="AO19" i="14"/>
  <c r="AL19" i="14"/>
  <c r="AN19" i="14"/>
  <c r="V11" i="9"/>
  <c r="V16" i="9" s="1"/>
  <c r="AA11" i="9"/>
  <c r="AA16" i="9" s="1"/>
  <c r="Q11" i="9"/>
  <c r="Q16" i="9" s="1"/>
  <c r="Q15" i="14"/>
  <c r="Q15" i="13"/>
  <c r="R15" i="14"/>
  <c r="AD11" i="9"/>
  <c r="AD16" i="9" s="1"/>
  <c r="AE11" i="9"/>
  <c r="AE16" i="9" s="1"/>
  <c r="W11" i="9"/>
  <c r="W16" i="9" s="1"/>
  <c r="AB11" i="9"/>
  <c r="AB16" i="9" s="1"/>
  <c r="Y11" i="9"/>
  <c r="Y16" i="9" s="1"/>
  <c r="AF11" i="9"/>
  <c r="AF16" i="9" s="1"/>
  <c r="X11" i="9"/>
  <c r="X16" i="9" s="1"/>
  <c r="U11" i="9"/>
  <c r="U16" i="9" s="1"/>
  <c r="Z11" i="9"/>
  <c r="Z16" i="9" s="1"/>
  <c r="AC11" i="9"/>
  <c r="AC16" i="9" s="1"/>
  <c r="AG11" i="9"/>
  <c r="AG16" i="9" s="1"/>
  <c r="K13" i="13"/>
  <c r="G45" i="13"/>
  <c r="L15" i="14"/>
  <c r="L45" i="13"/>
  <c r="K11" i="14"/>
  <c r="R11" i="14"/>
  <c r="S11" i="14"/>
  <c r="H11" i="14"/>
  <c r="T11" i="14"/>
  <c r="I11" i="14"/>
  <c r="V11" i="13"/>
  <c r="D11" i="9"/>
  <c r="D16" i="9" s="1"/>
  <c r="N21" i="9"/>
  <c r="N37" i="9" s="1"/>
  <c r="N19" i="9"/>
  <c r="N35" i="9" s="1"/>
  <c r="N23" i="9"/>
  <c r="N39" i="9" s="1"/>
  <c r="N24" i="9"/>
  <c r="N40" i="9" s="1"/>
  <c r="N22" i="9"/>
  <c r="N38" i="9" s="1"/>
  <c r="N20" i="9"/>
  <c r="N36" i="9" s="1"/>
  <c r="N18" i="9"/>
  <c r="N34" i="9" s="1"/>
  <c r="G11" i="9"/>
  <c r="G16" i="9" s="1"/>
  <c r="R11" i="9"/>
  <c r="R16" i="9" s="1"/>
  <c r="S11" i="9"/>
  <c r="S16" i="9" s="1"/>
  <c r="M11" i="9"/>
  <c r="M16" i="9" s="1"/>
  <c r="E11" i="9"/>
  <c r="E16" i="9" s="1"/>
  <c r="J11" i="9"/>
  <c r="J16" i="9" s="1"/>
  <c r="N11" i="9"/>
  <c r="N16" i="9" s="1"/>
  <c r="L11" i="9"/>
  <c r="L16" i="9" s="1"/>
  <c r="H11" i="9"/>
  <c r="H16" i="9" s="1"/>
  <c r="T11" i="9"/>
  <c r="T16" i="9" s="1"/>
  <c r="F11" i="9"/>
  <c r="F16" i="9" s="1"/>
  <c r="O11" i="9"/>
  <c r="O16" i="9" s="1"/>
  <c r="K11" i="9"/>
  <c r="K16" i="9" s="1"/>
  <c r="P11" i="9"/>
  <c r="P16" i="9" s="1"/>
  <c r="I11" i="9"/>
  <c r="I16" i="9" s="1"/>
  <c r="G15" i="13" l="1"/>
  <c r="K12" i="9"/>
  <c r="AJ31" i="14"/>
  <c r="AO22" i="14"/>
  <c r="AN22" i="14"/>
  <c r="AK22" i="14"/>
  <c r="AL22" i="14"/>
  <c r="Q11" i="14"/>
  <c r="AD11" i="14"/>
  <c r="Y11" i="14"/>
  <c r="N13" i="14"/>
  <c r="AG11" i="14"/>
  <c r="Z11" i="14"/>
  <c r="AB11" i="14"/>
  <c r="AA11" i="14"/>
  <c r="V11" i="14"/>
  <c r="W11" i="14"/>
  <c r="AF11" i="14"/>
  <c r="U11" i="14"/>
  <c r="X11" i="14"/>
  <c r="AJ19" i="13"/>
  <c r="AJ20" i="13"/>
  <c r="AC11" i="14"/>
  <c r="AJ20" i="14"/>
  <c r="AJ29" i="14" s="1"/>
  <c r="AJ37" i="14" s="1"/>
  <c r="AE11" i="14"/>
  <c r="G15" i="14"/>
  <c r="Q45" i="14"/>
  <c r="R54" i="1" s="1"/>
  <c r="N13" i="13"/>
  <c r="AD14" i="13" s="1"/>
  <c r="Q11" i="13"/>
  <c r="K15" i="13"/>
  <c r="K45" i="13"/>
  <c r="AA11" i="13"/>
  <c r="Z11" i="13"/>
  <c r="U11" i="13"/>
  <c r="Y11" i="13"/>
  <c r="AG11" i="13"/>
  <c r="AF11" i="13"/>
  <c r="AD11" i="13"/>
  <c r="AE11" i="13"/>
  <c r="X11" i="13"/>
  <c r="W11" i="13"/>
  <c r="AC11" i="13"/>
  <c r="AB11" i="13"/>
  <c r="AJ22" i="13"/>
  <c r="K15" i="14"/>
  <c r="R45" i="14"/>
  <c r="S54" i="1" s="1"/>
  <c r="S45" i="14"/>
  <c r="T54" i="1" s="1"/>
  <c r="H45" i="14"/>
  <c r="I54" i="1" s="1"/>
  <c r="I45" i="14"/>
  <c r="J54" i="1" s="1"/>
  <c r="T45" i="14"/>
  <c r="U54" i="1" s="1"/>
  <c r="S11" i="13"/>
  <c r="M11" i="13"/>
  <c r="F11" i="13"/>
  <c r="N11" i="13"/>
  <c r="T11" i="13"/>
  <c r="K11" i="13"/>
  <c r="H11" i="13"/>
  <c r="L11" i="13"/>
  <c r="D11" i="13"/>
  <c r="O11" i="13"/>
  <c r="G11" i="13"/>
  <c r="E11" i="13"/>
  <c r="I11" i="13"/>
  <c r="J11" i="13"/>
  <c r="R11" i="13"/>
  <c r="P11" i="13"/>
  <c r="N11" i="14"/>
  <c r="P11" i="14"/>
  <c r="O11" i="14"/>
  <c r="F11" i="14"/>
  <c r="G11" i="14"/>
  <c r="M11" i="14"/>
  <c r="D11" i="14"/>
  <c r="L11" i="14"/>
  <c r="E11" i="14"/>
  <c r="J11" i="14"/>
  <c r="Q17" i="5"/>
  <c r="Q16" i="5"/>
  <c r="CF4" i="5"/>
  <c r="CF13" i="5" s="1"/>
  <c r="Q14" i="5"/>
  <c r="Q11" i="5"/>
  <c r="Q15" i="5"/>
  <c r="Q12" i="5"/>
  <c r="N17" i="5"/>
  <c r="N16" i="5"/>
  <c r="N14" i="5"/>
  <c r="N15" i="5"/>
  <c r="N12" i="5"/>
  <c r="N10" i="5"/>
  <c r="N9" i="5"/>
  <c r="N8" i="5"/>
  <c r="N7" i="5"/>
  <c r="CC3" i="5"/>
  <c r="CC12" i="5" s="1"/>
  <c r="N4" i="5"/>
  <c r="Q10" i="5"/>
  <c r="CF3" i="5"/>
  <c r="CF12" i="5" s="1"/>
  <c r="Q6" i="5"/>
  <c r="Q9" i="5"/>
  <c r="Q8" i="5"/>
  <c r="Q5" i="5"/>
  <c r="Q4" i="5"/>
  <c r="Q7" i="5"/>
  <c r="N12" i="9" l="1"/>
  <c r="C12" i="9" s="1"/>
  <c r="AH11" i="13"/>
  <c r="AJ39" i="14"/>
  <c r="AN31" i="14"/>
  <c r="AL31" i="14"/>
  <c r="AK31" i="14"/>
  <c r="AO31" i="14"/>
  <c r="AJ29" i="13"/>
  <c r="AL20" i="13"/>
  <c r="AO20" i="13"/>
  <c r="AK20" i="13"/>
  <c r="AN20" i="13"/>
  <c r="AJ28" i="13"/>
  <c r="AL19" i="13"/>
  <c r="AK19" i="13"/>
  <c r="AO19" i="13"/>
  <c r="AN19" i="13"/>
  <c r="AJ31" i="13"/>
  <c r="AL22" i="13"/>
  <c r="AO22" i="13"/>
  <c r="AN22" i="13"/>
  <c r="AK22" i="13"/>
  <c r="AK37" i="14"/>
  <c r="AO37" i="14"/>
  <c r="AN37" i="14"/>
  <c r="AL37" i="14"/>
  <c r="AN29" i="14"/>
  <c r="AK29" i="14"/>
  <c r="AO29" i="14"/>
  <c r="AL29" i="14"/>
  <c r="AN20" i="14"/>
  <c r="AK20" i="14"/>
  <c r="AL20" i="14"/>
  <c r="AO20" i="14"/>
  <c r="X14" i="13"/>
  <c r="X17" i="13" s="1"/>
  <c r="C13" i="13"/>
  <c r="N14" i="13"/>
  <c r="N17" i="13" s="1"/>
  <c r="W14" i="13"/>
  <c r="W17" i="13" s="1"/>
  <c r="K14" i="13"/>
  <c r="K17" i="13" s="1"/>
  <c r="E14" i="13"/>
  <c r="E17" i="13" s="1"/>
  <c r="P14" i="13"/>
  <c r="P17" i="13" s="1"/>
  <c r="O14" i="13"/>
  <c r="O17" i="13" s="1"/>
  <c r="J14" i="13"/>
  <c r="J17" i="13" s="1"/>
  <c r="Z14" i="13"/>
  <c r="Z17" i="13" s="1"/>
  <c r="S14" i="13"/>
  <c r="S17" i="13" s="1"/>
  <c r="AB14" i="13"/>
  <c r="AB17" i="13" s="1"/>
  <c r="H14" i="13"/>
  <c r="H17" i="13" s="1"/>
  <c r="T14" i="13"/>
  <c r="T17" i="13" s="1"/>
  <c r="G14" i="13"/>
  <c r="G17" i="13" s="1"/>
  <c r="F14" i="13"/>
  <c r="F17" i="13" s="1"/>
  <c r="I14" i="13"/>
  <c r="I17" i="13" s="1"/>
  <c r="M14" i="13"/>
  <c r="M17" i="13" s="1"/>
  <c r="C13" i="14"/>
  <c r="L14" i="13"/>
  <c r="L17" i="13" s="1"/>
  <c r="N15" i="13"/>
  <c r="AA14" i="13"/>
  <c r="AA17" i="13" s="1"/>
  <c r="Q14" i="13"/>
  <c r="Q17" i="13" s="1"/>
  <c r="AF14" i="13"/>
  <c r="AF17" i="13" s="1"/>
  <c r="R14" i="13"/>
  <c r="R17" i="13" s="1"/>
  <c r="AG14" i="13"/>
  <c r="AG17" i="13" s="1"/>
  <c r="AC14" i="13"/>
  <c r="AC17" i="13" s="1"/>
  <c r="D14" i="13"/>
  <c r="D17" i="13" s="1"/>
  <c r="U14" i="13"/>
  <c r="U17" i="13" s="1"/>
  <c r="AE14" i="13"/>
  <c r="AE17" i="13" s="1"/>
  <c r="Y14" i="13"/>
  <c r="Y17" i="13" s="1"/>
  <c r="V14" i="13"/>
  <c r="V17" i="13" s="1"/>
  <c r="AD17" i="13"/>
  <c r="K45" i="14"/>
  <c r="L54" i="1" s="1"/>
  <c r="P45" i="14"/>
  <c r="Q54" i="1" s="1"/>
  <c r="N45" i="13"/>
  <c r="F45" i="14"/>
  <c r="G54" i="1" s="1"/>
  <c r="O45" i="14"/>
  <c r="P54" i="1" s="1"/>
  <c r="J45" i="14"/>
  <c r="K54" i="1" s="1"/>
  <c r="E45" i="14"/>
  <c r="F54" i="1" s="1"/>
  <c r="L45" i="14"/>
  <c r="M54" i="1" s="1"/>
  <c r="M45" i="14"/>
  <c r="N54" i="1" s="1"/>
  <c r="G45" i="14"/>
  <c r="H54" i="1" s="1"/>
  <c r="D45" i="14"/>
  <c r="E54" i="1" s="1"/>
  <c r="O43" i="1"/>
  <c r="Q13" i="5"/>
  <c r="L43" i="1"/>
  <c r="N5" i="5"/>
  <c r="N6" i="5"/>
  <c r="CC4" i="5"/>
  <c r="CC13" i="5" s="1"/>
  <c r="N11" i="5"/>
  <c r="N13" i="5"/>
  <c r="AK39" i="14" l="1"/>
  <c r="AN39" i="14"/>
  <c r="AL39" i="14"/>
  <c r="AO39" i="14"/>
  <c r="AJ39" i="13"/>
  <c r="AL31" i="13"/>
  <c r="AN31" i="13"/>
  <c r="AK31" i="13"/>
  <c r="AO31" i="13"/>
  <c r="AJ36" i="13"/>
  <c r="AL28" i="13"/>
  <c r="AO28" i="13"/>
  <c r="AN28" i="13"/>
  <c r="AK28" i="13"/>
  <c r="AJ37" i="13"/>
  <c r="AL29" i="13"/>
  <c r="AK29" i="13"/>
  <c r="AN29" i="13"/>
  <c r="AO29" i="13"/>
  <c r="AC14" i="14"/>
  <c r="AC17" i="14" s="1"/>
  <c r="T14" i="14"/>
  <c r="T17" i="14" s="1"/>
  <c r="K14" i="14"/>
  <c r="K17" i="14" s="1"/>
  <c r="N14" i="14"/>
  <c r="N17" i="14" s="1"/>
  <c r="I14" i="14"/>
  <c r="I17" i="14" s="1"/>
  <c r="N15" i="14"/>
  <c r="W14" i="14"/>
  <c r="W17" i="14" s="1"/>
  <c r="S14" i="14"/>
  <c r="S17" i="14" s="1"/>
  <c r="O14" i="14"/>
  <c r="O17" i="14" s="1"/>
  <c r="Z14" i="14"/>
  <c r="Z17" i="14" s="1"/>
  <c r="X14" i="14"/>
  <c r="X17" i="14" s="1"/>
  <c r="Q14" i="14"/>
  <c r="Q17" i="14" s="1"/>
  <c r="H14" i="14"/>
  <c r="H17" i="14" s="1"/>
  <c r="AA14" i="14"/>
  <c r="AA17" i="14" s="1"/>
  <c r="M14" i="14"/>
  <c r="M17" i="14" s="1"/>
  <c r="AF14" i="14"/>
  <c r="AF17" i="14" s="1"/>
  <c r="E14" i="14"/>
  <c r="E17" i="14" s="1"/>
  <c r="AG14" i="14"/>
  <c r="AG17" i="14" s="1"/>
  <c r="V14" i="14"/>
  <c r="V17" i="14" s="1"/>
  <c r="F14" i="14"/>
  <c r="F17" i="14" s="1"/>
  <c r="Y14" i="14"/>
  <c r="Y17" i="14" s="1"/>
  <c r="L14" i="14"/>
  <c r="L17" i="14" s="1"/>
  <c r="AD14" i="14"/>
  <c r="AD17" i="14" s="1"/>
  <c r="P14" i="14"/>
  <c r="P17" i="14" s="1"/>
  <c r="AE14" i="14"/>
  <c r="AE17" i="14" s="1"/>
  <c r="R14" i="14"/>
  <c r="R17" i="14" s="1"/>
  <c r="G14" i="14"/>
  <c r="G17" i="14" s="1"/>
  <c r="D14" i="14"/>
  <c r="D17" i="14" s="1"/>
  <c r="U14" i="14"/>
  <c r="U17" i="14" s="1"/>
  <c r="AB14" i="14"/>
  <c r="AB17" i="14" s="1"/>
  <c r="J14" i="14"/>
  <c r="J17" i="14" s="1"/>
  <c r="AN37" i="13" l="1"/>
  <c r="AO37" i="13"/>
  <c r="AK37" i="13"/>
  <c r="AL37" i="13"/>
  <c r="AL36" i="13"/>
  <c r="AO36" i="13"/>
  <c r="AN36" i="13"/>
  <c r="AK36" i="13"/>
  <c r="AO39" i="13"/>
  <c r="AK39" i="13"/>
  <c r="AL39" i="13"/>
  <c r="AN39" i="13"/>
  <c r="N45" i="14"/>
  <c r="O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15" authorId="0" shapeId="0" xr:uid="{D5CB1130-2114-42C6-B6EE-45667BC70B05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28-04-2025
moved TWI number here
</t>
        </r>
      </text>
    </comment>
    <comment ref="H39" authorId="0" shapeId="0" xr:uid="{512BB6B3-2F69-4102-A545-35DA4204A59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28-04-2025
-.6.9 here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AH28" authorId="0" shapeId="0" xr:uid="{BD5E5493-7C2F-4571-A0E4-1424C1612943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18-01-2023
PRIMES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AH28" authorId="0" shapeId="0" xr:uid="{76C2B37B-552E-47D4-9835-D826AC242A75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18-01-2023
PRIMES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28" authorId="0" shapeId="0" xr:uid="{7EFC0228-2BEF-490D-861B-ABBA8CF70705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17-01-2023
updated with PRIMES info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AH28" authorId="0" shapeId="0" xr:uid="{37045253-8CC6-494F-9BDC-76968C91911C}">
      <text>
        <r>
          <rPr>
            <b/>
            <sz val="9"/>
            <color indexed="81"/>
            <rFont val="Tahoma"/>
            <family val="2"/>
          </rPr>
          <t>AMIT:</t>
        </r>
        <r>
          <rPr>
            <sz val="9"/>
            <color indexed="81"/>
            <rFont val="Tahoma"/>
            <family val="2"/>
          </rPr>
          <t xml:space="preserve">
18-01-2023
PRIMES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28" authorId="0" shapeId="0" xr:uid="{EEE21E8D-E618-4C27-801D-C924384A4AB4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17-01-2023
PRIMES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28" authorId="0" shapeId="0" xr:uid="{980D7C3E-A79C-4018-B4F1-516B913E1043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17-01-2023
PRIMES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12" authorId="0" shapeId="0" xr:uid="{58CE03C3-A7D3-4FC7-A790-B9119C38FD05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07-02-2023
from lcv/hdt sheets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K21" authorId="0" shapeId="0" xr:uid="{9BAC3CAA-5BE1-403E-9E2D-24CBD88843E1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31-07-2021
was .25
</t>
        </r>
      </text>
    </comment>
    <comment ref="H62" authorId="0" shapeId="0" xr:uid="{125EAB37-8C02-44AE-835E-0182EAEE4CF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04-04-2022
same as Diesel
</t>
        </r>
      </text>
    </comment>
    <comment ref="H77" authorId="0" shapeId="0" xr:uid="{9018CF48-15A0-494D-B1E1-8560393ACFBA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04-04-2022
same as Gasoline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<sst xmlns="http://schemas.openxmlformats.org/spreadsheetml/2006/main" count="4004" uniqueCount="437">
  <si>
    <t>MEX</t>
  </si>
  <si>
    <t>WEU</t>
  </si>
  <si>
    <t>JPN</t>
  </si>
  <si>
    <t>SKO</t>
  </si>
  <si>
    <t>EEU</t>
  </si>
  <si>
    <t>USA</t>
  </si>
  <si>
    <t>CSA</t>
  </si>
  <si>
    <t>IND</t>
  </si>
  <si>
    <t>CAN</t>
  </si>
  <si>
    <t>AFR</t>
  </si>
  <si>
    <t>LPG</t>
  </si>
  <si>
    <t>MEA</t>
  </si>
  <si>
    <t>ODA</t>
  </si>
  <si>
    <t>FSU</t>
  </si>
  <si>
    <t>CHI</t>
  </si>
  <si>
    <t>AUS</t>
  </si>
  <si>
    <t>ROAD</t>
  </si>
  <si>
    <t>RAIL</t>
  </si>
  <si>
    <t>TAI</t>
  </si>
  <si>
    <t>TRA</t>
  </si>
  <si>
    <t>TAD</t>
  </si>
  <si>
    <t>TWD</t>
  </si>
  <si>
    <t>TWI</t>
  </si>
  <si>
    <t>NEU</t>
  </si>
  <si>
    <t>TT</t>
  </si>
  <si>
    <t>TR</t>
  </si>
  <si>
    <t>ktoe to PJ</t>
  </si>
  <si>
    <t>ELC</t>
  </si>
  <si>
    <t>COA</t>
  </si>
  <si>
    <t>TRACOA</t>
  </si>
  <si>
    <t>DST</t>
  </si>
  <si>
    <t>TRAAVG</t>
  </si>
  <si>
    <t>TRABDS</t>
  </si>
  <si>
    <t>TRABGS</t>
  </si>
  <si>
    <t>OILASP</t>
  </si>
  <si>
    <t>OILCRD</t>
  </si>
  <si>
    <t>HFO</t>
  </si>
  <si>
    <t>TRAELC</t>
  </si>
  <si>
    <t>TRANGA</t>
  </si>
  <si>
    <t>TRALPG</t>
  </si>
  <si>
    <t>OILLUB</t>
  </si>
  <si>
    <t>TRADST</t>
  </si>
  <si>
    <t>TRAGSL</t>
  </si>
  <si>
    <t>TRAJTK</t>
  </si>
  <si>
    <t>OILNSP</t>
  </si>
  <si>
    <t>TRAHFO</t>
  </si>
  <si>
    <t>OILKER</t>
  </si>
  <si>
    <t>OILPTC</t>
  </si>
  <si>
    <t>Fuel</t>
  </si>
  <si>
    <t>SubSector</t>
  </si>
  <si>
    <t>Mode</t>
  </si>
  <si>
    <t>Description</t>
  </si>
  <si>
    <t>Service</t>
  </si>
  <si>
    <t>Freight</t>
  </si>
  <si>
    <t>Coal</t>
  </si>
  <si>
    <t>TTF</t>
  </si>
  <si>
    <t>Passengers</t>
  </si>
  <si>
    <t>TTP</t>
  </si>
  <si>
    <t>Check Rail</t>
  </si>
  <si>
    <t>Light Duty Vehicles Share</t>
  </si>
  <si>
    <t>Diesel</t>
  </si>
  <si>
    <t>Auto</t>
  </si>
  <si>
    <t>TRT</t>
  </si>
  <si>
    <t>Light Trucks</t>
  </si>
  <si>
    <t>TRL</t>
  </si>
  <si>
    <t>Three Wheels</t>
  </si>
  <si>
    <t>TRE</t>
  </si>
  <si>
    <t>Two Wheels</t>
  </si>
  <si>
    <t>TRW</t>
  </si>
  <si>
    <t>Check Light Duty Vehicles Share</t>
  </si>
  <si>
    <t>Other Road Vehicles</t>
  </si>
  <si>
    <t>Bus</t>
  </si>
  <si>
    <t>TRB</t>
  </si>
  <si>
    <t>Heavy Trucks</t>
  </si>
  <si>
    <t>TRH</t>
  </si>
  <si>
    <t>Medium Trucks</t>
  </si>
  <si>
    <t>TRM</t>
  </si>
  <si>
    <t>Commercial Trucks</t>
  </si>
  <si>
    <t>TRC</t>
  </si>
  <si>
    <t>Check Other Road Vehicles</t>
  </si>
  <si>
    <t>Gasoline</t>
  </si>
  <si>
    <t>Heavy Fuel Oil</t>
  </si>
  <si>
    <t>Liquified Petroleum Gases</t>
  </si>
  <si>
    <t>Natural Gas</t>
  </si>
  <si>
    <t>Bio Diesel</t>
  </si>
  <si>
    <t>Bio Gasoline</t>
  </si>
  <si>
    <t>Electricity</t>
  </si>
  <si>
    <t>Biogas</t>
  </si>
  <si>
    <t>TRTDST000</t>
  </si>
  <si>
    <t>TRTELC000</t>
  </si>
  <si>
    <t>TRTETH000</t>
  </si>
  <si>
    <t>TRTGAS000</t>
  </si>
  <si>
    <t>TRTLPG000</t>
  </si>
  <si>
    <t>TRTMET000</t>
  </si>
  <si>
    <t>TRTNGA000</t>
  </si>
  <si>
    <t>TRLDST000</t>
  </si>
  <si>
    <t>TRLELC000</t>
  </si>
  <si>
    <t>TRLETH000</t>
  </si>
  <si>
    <t>TRLGAS000</t>
  </si>
  <si>
    <t>TRLLPG000</t>
  </si>
  <si>
    <t>TRLMET000</t>
  </si>
  <si>
    <t>TRLNGA000</t>
  </si>
  <si>
    <t>TRBDST000</t>
  </si>
  <si>
    <t>TRBELC000</t>
  </si>
  <si>
    <t>TRBETH000</t>
  </si>
  <si>
    <t>TRBGAS000</t>
  </si>
  <si>
    <t>TRBLPG000</t>
  </si>
  <si>
    <t>TRBMET000</t>
  </si>
  <si>
    <t>TRBNGA000</t>
  </si>
  <si>
    <t>TRHDST000</t>
  </si>
  <si>
    <t>TRHETH000</t>
  </si>
  <si>
    <t>TRHGAS000</t>
  </si>
  <si>
    <t>TRHLPG000</t>
  </si>
  <si>
    <t>TRHMET000</t>
  </si>
  <si>
    <t>TRHNGA000</t>
  </si>
  <si>
    <t>TRMDST000</t>
  </si>
  <si>
    <t>TRMETH000</t>
  </si>
  <si>
    <t>TRMGAS000</t>
  </si>
  <si>
    <t>TRMLPG000</t>
  </si>
  <si>
    <t>TRMMET000</t>
  </si>
  <si>
    <t>TRMNGA000</t>
  </si>
  <si>
    <t>TRCDST000</t>
  </si>
  <si>
    <t>TRCETH000</t>
  </si>
  <si>
    <t>TRCGAS000</t>
  </si>
  <si>
    <t>TRCLPG000</t>
  </si>
  <si>
    <t>TRCMET000</t>
  </si>
  <si>
    <t>TRCNGA000</t>
  </si>
  <si>
    <t>TRWMCG000</t>
  </si>
  <si>
    <t>TRWMPG000</t>
  </si>
  <si>
    <t>TREDST000</t>
  </si>
  <si>
    <t>TREGSL000</t>
  </si>
  <si>
    <t>TAI000</t>
  </si>
  <si>
    <t>TAD000</t>
  </si>
  <si>
    <t>TWD000</t>
  </si>
  <si>
    <t>TWI000</t>
  </si>
  <si>
    <t>1/2</t>
  </si>
  <si>
    <t>process</t>
  </si>
  <si>
    <t>TTF000</t>
  </si>
  <si>
    <t>TTP000</t>
  </si>
  <si>
    <t>TechName</t>
  </si>
  <si>
    <t>Comm-IN</t>
  </si>
  <si>
    <t>Comm-OUT</t>
  </si>
  <si>
    <t>~FI_T: EFF</t>
  </si>
  <si>
    <t>\I:</t>
  </si>
  <si>
    <t>GAS</t>
  </si>
  <si>
    <t>Techname</t>
  </si>
  <si>
    <t>CommName</t>
  </si>
  <si>
    <t>~FI_T: Demand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</si>
  <si>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</si>
  <si>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</si>
  <si>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</si>
  <si>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</si>
  <si>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</si>
  <si>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</si>
  <si>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</si>
  <si>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</si>
  <si>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Bvkm</t>
  </si>
  <si>
    <t>NCAP_TLIFE</t>
  </si>
  <si>
    <t>LIFE</t>
  </si>
  <si>
    <t>first level shares of road transport</t>
  </si>
  <si>
    <t>PJ</t>
  </si>
  <si>
    <t>PJ_a</t>
  </si>
  <si>
    <t>Non Energy Uses</t>
  </si>
  <si>
    <t>Generic Domestic Aircraft-Existing</t>
  </si>
  <si>
    <t>Generic International Aircraft-Existing</t>
  </si>
  <si>
    <t>Generic Freight Train-Existing</t>
  </si>
  <si>
    <t>Generic Passengers Train-Existing</t>
  </si>
  <si>
    <t>Generic Domestic Navigation Ship Existing</t>
  </si>
  <si>
    <t>Generic International Boat-Existing</t>
  </si>
  <si>
    <t>*</t>
  </si>
  <si>
    <t>COATAR</t>
  </si>
  <si>
    <t>COACOK</t>
  </si>
  <si>
    <t>Sum of val_field</t>
  </si>
  <si>
    <t>region</t>
  </si>
  <si>
    <t>attribute</t>
  </si>
  <si>
    <t>TRBDST005</t>
  </si>
  <si>
    <t>TRBELC005</t>
  </si>
  <si>
    <t>TRBETH005</t>
  </si>
  <si>
    <t>TRBGAS005</t>
  </si>
  <si>
    <t>TRBHYB005</t>
  </si>
  <si>
    <t>TRBLPG005</t>
  </si>
  <si>
    <t>TRBMET005</t>
  </si>
  <si>
    <t>TRBNGA005</t>
  </si>
  <si>
    <t>TRCDSA005</t>
  </si>
  <si>
    <t>TRCDSB005</t>
  </si>
  <si>
    <t>TRCDST005</t>
  </si>
  <si>
    <t>TRCETA005</t>
  </si>
  <si>
    <t>TRCETB005</t>
  </si>
  <si>
    <t>TRCETH005</t>
  </si>
  <si>
    <t>TRCGAS005</t>
  </si>
  <si>
    <t>TRCLPG005</t>
  </si>
  <si>
    <t>TRCMET005</t>
  </si>
  <si>
    <t>TRCNGA005</t>
  </si>
  <si>
    <t>TREDST005</t>
  </si>
  <si>
    <t>TREGSL005</t>
  </si>
  <si>
    <t>TRHDSA005</t>
  </si>
  <si>
    <t>TRHDSB005</t>
  </si>
  <si>
    <t>TRHDST005</t>
  </si>
  <si>
    <t>TRHETH005</t>
  </si>
  <si>
    <t>TRHGAS005</t>
  </si>
  <si>
    <t>TRHLPG005</t>
  </si>
  <si>
    <t>TRHMET005</t>
  </si>
  <si>
    <t>TRHNGA005</t>
  </si>
  <si>
    <t>TRLDCA005</t>
  </si>
  <si>
    <t>TRLDCB005</t>
  </si>
  <si>
    <t>TRLDCC005</t>
  </si>
  <si>
    <t>TRLDEG005</t>
  </si>
  <si>
    <t>TRLDMG005</t>
  </si>
  <si>
    <t>TRLELC005</t>
  </si>
  <si>
    <t>TRLGCA005</t>
  </si>
  <si>
    <t>TRLGCB005</t>
  </si>
  <si>
    <t>TRLGCC005</t>
  </si>
  <si>
    <t>TRLHYB005</t>
  </si>
  <si>
    <t>TRLLPG005</t>
  </si>
  <si>
    <t>TRLNGA005</t>
  </si>
  <si>
    <t>TRMDSA005</t>
  </si>
  <si>
    <t>TRMDSB005</t>
  </si>
  <si>
    <t>TRMDST005</t>
  </si>
  <si>
    <t>TRMETA005</t>
  </si>
  <si>
    <t>TRMETB005</t>
  </si>
  <si>
    <t>TRMETH005</t>
  </si>
  <si>
    <t>TRMGAS005</t>
  </si>
  <si>
    <t>TRMLPG005</t>
  </si>
  <si>
    <t>TRMMET005</t>
  </si>
  <si>
    <t>TRMNGA005</t>
  </si>
  <si>
    <t>TRTDCA005</t>
  </si>
  <si>
    <t>TRTDCB005</t>
  </si>
  <si>
    <t>TRTDCC005</t>
  </si>
  <si>
    <t>TRTDEG005</t>
  </si>
  <si>
    <t>TRTDMG005</t>
  </si>
  <si>
    <t>TRTELC005</t>
  </si>
  <si>
    <t>TRTETA005</t>
  </si>
  <si>
    <t>TRTETB005</t>
  </si>
  <si>
    <t>TRTETH005</t>
  </si>
  <si>
    <t>TRTGCA005</t>
  </si>
  <si>
    <t>TRTGCB005</t>
  </si>
  <si>
    <t>TRTGCC005</t>
  </si>
  <si>
    <t>TRTHYB005</t>
  </si>
  <si>
    <t>TRTLPG005</t>
  </si>
  <si>
    <t>TRTMET005</t>
  </si>
  <si>
    <t>TRTNGA005</t>
  </si>
  <si>
    <t>TRWMCG005</t>
  </si>
  <si>
    <t>TRWMPG005</t>
  </si>
  <si>
    <t>TTF005</t>
  </si>
  <si>
    <t>TTP005</t>
  </si>
  <si>
    <t>TWD005</t>
  </si>
  <si>
    <t>TWI005</t>
  </si>
  <si>
    <t>DSA</t>
  </si>
  <si>
    <t>TRBDST</t>
  </si>
  <si>
    <t>TRBELC</t>
  </si>
  <si>
    <t>TRBETH</t>
  </si>
  <si>
    <t>TRBFUE</t>
  </si>
  <si>
    <t>TRBGAS</t>
  </si>
  <si>
    <t>TRBHYB</t>
  </si>
  <si>
    <t>TRBLPG</t>
  </si>
  <si>
    <t>TRBMET</t>
  </si>
  <si>
    <t>TRBNGA</t>
  </si>
  <si>
    <t>TRCDSA</t>
  </si>
  <si>
    <t>TRCDSB</t>
  </si>
  <si>
    <t>TRCDST</t>
  </si>
  <si>
    <t>TRCETA</t>
  </si>
  <si>
    <t>TRCETB</t>
  </si>
  <si>
    <t>TRCETH</t>
  </si>
  <si>
    <t>TRCGAS</t>
  </si>
  <si>
    <t>TRCLPG</t>
  </si>
  <si>
    <t>TRCMET</t>
  </si>
  <si>
    <t>TRCNGA</t>
  </si>
  <si>
    <t>TREDST</t>
  </si>
  <si>
    <t>TREGSL</t>
  </si>
  <si>
    <t>TRHDSA</t>
  </si>
  <si>
    <t>TRHDSB</t>
  </si>
  <si>
    <t>TRHDST</t>
  </si>
  <si>
    <t>TRHETH</t>
  </si>
  <si>
    <t>TRHGAS</t>
  </si>
  <si>
    <t>TRHLPG</t>
  </si>
  <si>
    <t>TRHMET</t>
  </si>
  <si>
    <t>TRHNGA</t>
  </si>
  <si>
    <t>TRLDCA</t>
  </si>
  <si>
    <t>TRLDCB</t>
  </si>
  <si>
    <t>TRLDCC</t>
  </si>
  <si>
    <t>TRLDEG</t>
  </si>
  <si>
    <t>TRLDMG</t>
  </si>
  <si>
    <t>TRLELC</t>
  </si>
  <si>
    <t>TRLETH</t>
  </si>
  <si>
    <t>TRLGCA</t>
  </si>
  <si>
    <t>TRLGCB</t>
  </si>
  <si>
    <t>TRLGCC</t>
  </si>
  <si>
    <t>TRLLPG</t>
  </si>
  <si>
    <t>TRLMET</t>
  </si>
  <si>
    <t>TRLNGA</t>
  </si>
  <si>
    <t>TRMDSA</t>
  </si>
  <si>
    <t>TRMDSB</t>
  </si>
  <si>
    <t>TRMDST</t>
  </si>
  <si>
    <t>TRMETA</t>
  </si>
  <si>
    <t>TRMETB</t>
  </si>
  <si>
    <t>TRMETH</t>
  </si>
  <si>
    <t>TRMGAS</t>
  </si>
  <si>
    <t>TRMLPG</t>
  </si>
  <si>
    <t>TRMMET</t>
  </si>
  <si>
    <t>TRMNGA</t>
  </si>
  <si>
    <t>TRTDCA</t>
  </si>
  <si>
    <t>TRTDCB</t>
  </si>
  <si>
    <t>TRTDCC</t>
  </si>
  <si>
    <t>TRTELC</t>
  </si>
  <si>
    <t>TRTETA</t>
  </si>
  <si>
    <t>TRTETB</t>
  </si>
  <si>
    <t>TRTETH</t>
  </si>
  <si>
    <t>TRTGCA</t>
  </si>
  <si>
    <t>TRTGCB</t>
  </si>
  <si>
    <t>TRTGCC</t>
  </si>
  <si>
    <t>TRTLPG</t>
  </si>
  <si>
    <t>TRTMET</t>
  </si>
  <si>
    <t>TRTNGA</t>
  </si>
  <si>
    <t>TRWMCG</t>
  </si>
  <si>
    <t>TRWMPG</t>
  </si>
  <si>
    <t>China</t>
  </si>
  <si>
    <t>Russia</t>
  </si>
  <si>
    <t>India</t>
  </si>
  <si>
    <t>veh_type</t>
  </si>
  <si>
    <t>ActiveReg</t>
  </si>
  <si>
    <t>mVeh</t>
  </si>
  <si>
    <t>cars</t>
  </si>
  <si>
    <t>trucks</t>
  </si>
  <si>
    <t>Row Labels</t>
  </si>
  <si>
    <t>Sum of mVeh</t>
  </si>
  <si>
    <t>Column Labels</t>
  </si>
  <si>
    <t>year</t>
  </si>
  <si>
    <t>Share of PJ</t>
  </si>
  <si>
    <t>m Vehicles</t>
  </si>
  <si>
    <t>Share of Veh</t>
  </si>
  <si>
    <t>PJ share/Veh share</t>
  </si>
  <si>
    <t>Efficiency</t>
  </si>
  <si>
    <t>000km/veh</t>
  </si>
  <si>
    <t>Dem Bvkm</t>
  </si>
  <si>
    <t>GJ/lt Gasoline</t>
  </si>
  <si>
    <t>GJ/lt Diesel</t>
  </si>
  <si>
    <t>km/l</t>
  </si>
  <si>
    <t>equivalent to Bvkm/PJ = 1</t>
  </si>
  <si>
    <t>bdl</t>
  </si>
  <si>
    <t>dsl</t>
  </si>
  <si>
    <t>eth</t>
  </si>
  <si>
    <t>nga</t>
  </si>
  <si>
    <t>coa</t>
  </si>
  <si>
    <t>elc</t>
  </si>
  <si>
    <t>gsl</t>
  </si>
  <si>
    <t>hfo</t>
  </si>
  <si>
    <t>lpg</t>
  </si>
  <si>
    <t>comm-in</t>
  </si>
  <si>
    <t>Trd_car</t>
  </si>
  <si>
    <t>comm-out</t>
  </si>
  <si>
    <t>EFF</t>
  </si>
  <si>
    <t>AF</t>
  </si>
  <si>
    <t>Demand</t>
  </si>
  <si>
    <t>~FI_T</t>
  </si>
  <si>
    <t>million Vehicles</t>
  </si>
  <si>
    <t>Trd_bus</t>
  </si>
  <si>
    <t>Trd_hdt</t>
  </si>
  <si>
    <t>Trd_lcv</t>
  </si>
  <si>
    <t>Trd_2w</t>
  </si>
  <si>
    <t>Trd_3w</t>
  </si>
  <si>
    <t>PASTI</t>
  </si>
  <si>
    <t>yes</t>
  </si>
  <si>
    <t>l/100km</t>
  </si>
  <si>
    <t>mtoe</t>
  </si>
  <si>
    <t>Road</t>
  </si>
  <si>
    <t>BGS/GSL</t>
  </si>
  <si>
    <t>BDS/DST</t>
  </si>
  <si>
    <t>Average Annual Vehicle Miles Traveled per Vehicle by Major Vehicle Category</t>
  </si>
  <si>
    <t>Vehicle Type</t>
  </si>
  <si>
    <t>VMT per Vehicle</t>
  </si>
  <si>
    <t>Source</t>
  </si>
  <si>
    <t>Class 8 Truck</t>
  </si>
  <si>
    <t>A</t>
  </si>
  <si>
    <t>Transit Bus</t>
  </si>
  <si>
    <t>B</t>
  </si>
  <si>
    <t>Paratransit Shuttle</t>
  </si>
  <si>
    <t>Refuse Truck</t>
  </si>
  <si>
    <t>C</t>
  </si>
  <si>
    <t>Delivery Truck</t>
  </si>
  <si>
    <t>School Bus</t>
  </si>
  <si>
    <t>D</t>
  </si>
  <si>
    <t>Light Truck/Van</t>
  </si>
  <si>
    <t>Car</t>
  </si>
  <si>
    <t>Motorcycle</t>
  </si>
  <si>
    <t>Data Sources:</t>
  </si>
  <si>
    <t>Federal Highway Administration. Highway Statistics 2018, Table VM-1.  Accessed 02/11/20 at fhwa.dot.gov/policyinformation/statistics/2018/pdf/vm1.pdf</t>
  </si>
  <si>
    <t>Calculated from statistics found in American Public Transit Association's Public Transportation Fact Book 2019. Accessed 02/11/2020 at: www.apta.com/wp-content/uploads/APTA_Fact-Book-2019_FINAL.pdf</t>
  </si>
  <si>
    <t>Gordon, Deborah, Juliet Burdelski, and James S. Cannon.  Greening Garbage Trucks: New Technologies for Cleaner Air.  Inform, Inc. 2003.  ISBN #0-918780-80-2.</t>
  </si>
  <si>
    <t>American School Bus Council.  National School Bus Fuel Data.  Accessed 11/21/18 at americanschoolbuscouncil.org/insights/environment/</t>
  </si>
  <si>
    <t>Notes:</t>
  </si>
  <si>
    <t>Light-duty vehicles are a sales-weighted combination of cars, wagons, vans, sport utility vehicles, and pickups. Vehicles with short wheelbases (&lt;121") are generalized as cars and vehicles with long wheelbases are generalized as light trucks.</t>
  </si>
  <si>
    <t>Delivery trucks are single-unit trucks with 2 axles and 6 or more tires.</t>
  </si>
  <si>
    <t>Class 8 trucks are combined tractor/trailer trucks, also know as long-haul.</t>
  </si>
  <si>
    <t>Acronyms:</t>
  </si>
  <si>
    <t>VMT: Vehicle miles traveled</t>
  </si>
  <si>
    <t>Worksheet available at afdc.energy.gov/data</t>
  </si>
  <si>
    <t>Last updated 02/11/2020</t>
  </si>
  <si>
    <t>LimType</t>
  </si>
  <si>
    <t>~FI_T: SHARE-I~UP</t>
  </si>
  <si>
    <t>LO</t>
  </si>
  <si>
    <t>TIAMReg</t>
  </si>
  <si>
    <t>Sector</t>
  </si>
  <si>
    <t>Sub-Sector</t>
  </si>
  <si>
    <t>sectfuel</t>
  </si>
  <si>
    <t>Cars</t>
  </si>
  <si>
    <t>H Trucks</t>
  </si>
  <si>
    <t>Year</t>
  </si>
  <si>
    <t>Drvr</t>
  </si>
  <si>
    <t>GDP</t>
  </si>
  <si>
    <t>POP</t>
  </si>
  <si>
    <t>Bvkm/POP</t>
  </si>
  <si>
    <t>Bvkm/GDP</t>
  </si>
  <si>
    <t>Germany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</si>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</sst>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#,##0.000"/>
    <numFmt numFmtId="167" formatCode="_(* #,##0_);_(* \(#,##0\);_(* &quot;-&quot;??_);_(@_)"/>
    <numFmt numFmtId="168" formatCode="_ * #,##0_ ;_ * \-#,##0_ ;_ * &quot;-&quot;??_ ;_ @_ "/>
    <numFmt numFmtId="169" formatCode="0.000"/>
  </numFmts>
  <fonts count="3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A7D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5">
    <xf numFmtId="0" fontId="0" fillId="0" borderId="0"/>
    <xf numFmtId="0" fontId="1" fillId="2" borderId="1" applyNumberFormat="0" applyAlignment="0" applyProtection="0"/>
    <xf numFmtId="0" fontId="3" fillId="3" borderId="1" applyNumberFormat="0" applyAlignment="0" applyProtection="0"/>
    <xf numFmtId="0" fontId="7" fillId="0" borderId="0"/>
    <xf numFmtId="0" fontId="15" fillId="12" borderId="0" applyNumberFormat="0" applyBorder="0" applyAlignment="0" applyProtection="0"/>
    <xf numFmtId="0" fontId="14" fillId="13" borderId="0" applyNumberFormat="0" applyBorder="0" applyAlignment="0" applyProtection="0"/>
    <xf numFmtId="9" fontId="14" fillId="0" borderId="0" applyFont="0" applyFill="0" applyBorder="0" applyAlignment="0" applyProtection="0"/>
    <xf numFmtId="0" fontId="20" fillId="0" borderId="4" applyNumberFormat="0" applyFill="0" applyAlignment="0" applyProtection="0"/>
    <xf numFmtId="0" fontId="22" fillId="16" borderId="0" applyNumberFormat="0" applyBorder="0" applyAlignment="0" applyProtection="0"/>
    <xf numFmtId="0" fontId="23" fillId="0" borderId="5" applyNumberFormat="0" applyFill="0" applyAlignment="0" applyProtection="0"/>
    <xf numFmtId="0" fontId="24" fillId="17" borderId="0" applyNumberFormat="0" applyBorder="0" applyAlignment="0" applyProtection="0"/>
    <xf numFmtId="0" fontId="25" fillId="0" borderId="0"/>
    <xf numFmtId="164" fontId="7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1" fillId="18" borderId="0" applyNumberFormat="0" applyBorder="0" applyAlignment="0" applyProtection="0"/>
  </cellStyleXfs>
  <cellXfs count="113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2" fontId="1" fillId="2" borderId="1" xfId="1" applyNumberFormat="1"/>
    <xf numFmtId="0" fontId="4" fillId="4" borderId="0" xfId="0" applyFont="1" applyFill="1"/>
    <xf numFmtId="0" fontId="5" fillId="4" borderId="0" xfId="0" applyFont="1" applyFill="1"/>
    <xf numFmtId="0" fontId="6" fillId="5" borderId="0" xfId="0" applyFont="1" applyFill="1"/>
    <xf numFmtId="0" fontId="8" fillId="6" borderId="0" xfId="3" applyFont="1" applyFill="1"/>
    <xf numFmtId="2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2" xfId="0" applyFont="1" applyFill="1" applyBorder="1"/>
    <xf numFmtId="2" fontId="9" fillId="4" borderId="2" xfId="2" applyNumberFormat="1" applyFont="1" applyFill="1" applyBorder="1" applyAlignment="1">
      <alignment horizontal="right"/>
    </xf>
    <xf numFmtId="0" fontId="8" fillId="6" borderId="2" xfId="3" applyFont="1" applyFill="1" applyBorder="1"/>
    <xf numFmtId="0" fontId="5" fillId="7" borderId="0" xfId="0" applyFont="1" applyFill="1"/>
    <xf numFmtId="0" fontId="6" fillId="8" borderId="0" xfId="0" applyFont="1" applyFill="1"/>
    <xf numFmtId="0" fontId="10" fillId="8" borderId="0" xfId="0" applyFont="1" applyFill="1"/>
    <xf numFmtId="2" fontId="6" fillId="9" borderId="0" xfId="2" applyNumberFormat="1" applyFont="1" applyFill="1" applyBorder="1" applyAlignment="1">
      <alignment horizontal="left"/>
    </xf>
    <xf numFmtId="0" fontId="11" fillId="5" borderId="0" xfId="0" applyFont="1" applyFill="1"/>
    <xf numFmtId="2" fontId="9" fillId="4" borderId="0" xfId="2" applyNumberFormat="1" applyFont="1" applyFill="1" applyBorder="1" applyAlignment="1">
      <alignment horizontal="right"/>
    </xf>
    <xf numFmtId="2" fontId="9" fillId="10" borderId="0" xfId="2" applyNumberFormat="1" applyFont="1" applyFill="1" applyBorder="1" applyAlignment="1">
      <alignment horizontal="right"/>
    </xf>
    <xf numFmtId="2" fontId="9" fillId="9" borderId="0" xfId="2" applyNumberFormat="1" applyFont="1" applyFill="1" applyBorder="1" applyAlignment="1">
      <alignment horizontal="left"/>
    </xf>
    <xf numFmtId="2" fontId="9" fillId="10" borderId="0" xfId="2" applyNumberFormat="1" applyFont="1" applyFill="1" applyBorder="1"/>
    <xf numFmtId="2" fontId="5" fillId="11" borderId="0" xfId="0" applyNumberFormat="1" applyFont="1" applyFill="1" applyAlignment="1">
      <alignment horizontal="right"/>
    </xf>
    <xf numFmtId="2" fontId="6" fillId="11" borderId="0" xfId="2" applyNumberFormat="1" applyFont="1" applyFill="1" applyBorder="1" applyAlignment="1">
      <alignment horizontal="left"/>
    </xf>
    <xf numFmtId="0" fontId="6" fillId="5" borderId="2" xfId="0" applyFont="1" applyFill="1" applyBorder="1"/>
    <xf numFmtId="2" fontId="9" fillId="10" borderId="2" xfId="2" applyNumberFormat="1" applyFont="1" applyFill="1" applyBorder="1"/>
    <xf numFmtId="0" fontId="5" fillId="0" borderId="0" xfId="0" applyFont="1"/>
    <xf numFmtId="2" fontId="9" fillId="0" borderId="0" xfId="2" applyNumberFormat="1" applyFont="1" applyFill="1" applyBorder="1" applyAlignment="1">
      <alignment horizontal="right"/>
    </xf>
    <xf numFmtId="0" fontId="8" fillId="0" borderId="0" xfId="3" applyFont="1"/>
    <xf numFmtId="16" fontId="0" fillId="0" borderId="0" xfId="0" quotePrefix="1" applyNumberFormat="1"/>
    <xf numFmtId="2" fontId="12" fillId="4" borderId="2" xfId="2" applyNumberFormat="1" applyFont="1" applyFill="1" applyBorder="1" applyAlignment="1">
      <alignment horizontal="right"/>
    </xf>
    <xf numFmtId="2" fontId="13" fillId="4" borderId="2" xfId="2" applyNumberFormat="1" applyFont="1" applyFill="1" applyBorder="1" applyAlignment="1">
      <alignment horizontal="right"/>
    </xf>
    <xf numFmtId="2" fontId="5" fillId="0" borderId="0" xfId="0" applyNumberFormat="1" applyFont="1"/>
    <xf numFmtId="1" fontId="5" fillId="0" borderId="0" xfId="0" applyNumberFormat="1" applyFont="1"/>
    <xf numFmtId="165" fontId="5" fillId="0" borderId="0" xfId="0" applyNumberFormat="1" applyFont="1"/>
    <xf numFmtId="0" fontId="4" fillId="13" borderId="0" xfId="5" applyFont="1"/>
    <xf numFmtId="0" fontId="4" fillId="0" borderId="0" xfId="0" applyFont="1" applyAlignment="1">
      <alignment horizontal="right"/>
    </xf>
    <xf numFmtId="0" fontId="16" fillId="0" borderId="0" xfId="0" applyFont="1"/>
    <xf numFmtId="2" fontId="5" fillId="14" borderId="0" xfId="0" applyNumberFormat="1" applyFont="1" applyFill="1" applyAlignment="1">
      <alignment horizontal="right"/>
    </xf>
    <xf numFmtId="165" fontId="0" fillId="0" borderId="0" xfId="0" applyNumberFormat="1"/>
    <xf numFmtId="2" fontId="6" fillId="15" borderId="0" xfId="2" applyNumberFormat="1" applyFont="1" applyFill="1" applyBorder="1" applyAlignment="1">
      <alignment horizontal="left"/>
    </xf>
    <xf numFmtId="9" fontId="0" fillId="0" borderId="0" xfId="6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7" fillId="0" borderId="3" xfId="0" applyFont="1" applyBorder="1" applyAlignment="1">
      <alignment horizontal="left"/>
    </xf>
    <xf numFmtId="0" fontId="17" fillId="0" borderId="0" xfId="0" applyFont="1" applyAlignment="1">
      <alignment horizontal="left" indent="1"/>
    </xf>
    <xf numFmtId="0" fontId="1" fillId="2" borderId="1" xfId="1"/>
    <xf numFmtId="0" fontId="20" fillId="0" borderId="4" xfId="7"/>
    <xf numFmtId="166" fontId="15" fillId="12" borderId="0" xfId="4" applyNumberFormat="1"/>
    <xf numFmtId="0" fontId="15" fillId="12" borderId="0" xfId="4"/>
    <xf numFmtId="2" fontId="17" fillId="0" borderId="0" xfId="0" applyNumberFormat="1" applyFont="1"/>
    <xf numFmtId="1" fontId="21" fillId="0" borderId="0" xfId="0" applyNumberFormat="1" applyFont="1" applyAlignment="1">
      <alignment horizontal="right"/>
    </xf>
    <xf numFmtId="2" fontId="17" fillId="0" borderId="3" xfId="0" applyNumberFormat="1" applyFont="1" applyBorder="1" applyAlignment="1">
      <alignment horizontal="left"/>
    </xf>
    <xf numFmtId="2" fontId="17" fillId="0" borderId="3" xfId="0" applyNumberFormat="1" applyFont="1" applyBorder="1"/>
    <xf numFmtId="0" fontId="17" fillId="0" borderId="0" xfId="0" applyFont="1"/>
    <xf numFmtId="0" fontId="0" fillId="0" borderId="0" xfId="0" applyAlignment="1">
      <alignment horizontal="right"/>
    </xf>
    <xf numFmtId="0" fontId="23" fillId="0" borderId="5" xfId="9"/>
    <xf numFmtId="0" fontId="23" fillId="4" borderId="5" xfId="9" applyFill="1"/>
    <xf numFmtId="1" fontId="0" fillId="0" borderId="0" xfId="0" applyNumberFormat="1" applyAlignment="1">
      <alignment horizontal="left" indent="1"/>
    </xf>
    <xf numFmtId="0" fontId="24" fillId="17" borderId="0" xfId="10"/>
    <xf numFmtId="1" fontId="17" fillId="0" borderId="0" xfId="0" applyNumberFormat="1" applyFont="1"/>
    <xf numFmtId="1" fontId="17" fillId="0" borderId="3" xfId="0" applyNumberFormat="1" applyFont="1" applyBorder="1"/>
    <xf numFmtId="2" fontId="23" fillId="0" borderId="5" xfId="9" applyNumberFormat="1" applyFill="1"/>
    <xf numFmtId="2" fontId="12" fillId="9" borderId="0" xfId="2" applyNumberFormat="1" applyFont="1" applyFill="1" applyBorder="1" applyAlignment="1">
      <alignment horizontal="left"/>
    </xf>
    <xf numFmtId="0" fontId="0" fillId="11" borderId="0" xfId="0" applyFill="1"/>
    <xf numFmtId="0" fontId="25" fillId="0" borderId="0" xfId="11"/>
    <xf numFmtId="0" fontId="25" fillId="0" borderId="9" xfId="11" applyBorder="1"/>
    <xf numFmtId="0" fontId="25" fillId="0" borderId="10" xfId="11" applyBorder="1"/>
    <xf numFmtId="0" fontId="25" fillId="0" borderId="11" xfId="11" applyBorder="1"/>
    <xf numFmtId="0" fontId="25" fillId="0" borderId="12" xfId="11" applyBorder="1"/>
    <xf numFmtId="167" fontId="27" fillId="0" borderId="13" xfId="12" applyNumberFormat="1" applyFont="1" applyFill="1" applyBorder="1" applyAlignment="1" applyProtection="1">
      <alignment horizontal="right" vertical="top" wrapText="1"/>
    </xf>
    <xf numFmtId="0" fontId="25" fillId="0" borderId="14" xfId="11" applyBorder="1" applyAlignment="1">
      <alignment horizontal="center"/>
    </xf>
    <xf numFmtId="3" fontId="25" fillId="0" borderId="13" xfId="13" applyNumberFormat="1" applyFont="1" applyFill="1" applyBorder="1" applyAlignment="1">
      <alignment horizontal="right" wrapText="1"/>
    </xf>
    <xf numFmtId="3" fontId="7" fillId="0" borderId="13" xfId="13" applyNumberFormat="1" applyFont="1" applyFill="1" applyBorder="1" applyAlignment="1">
      <alignment horizontal="right" wrapText="1"/>
    </xf>
    <xf numFmtId="0" fontId="25" fillId="0" borderId="0" xfId="11" applyAlignment="1">
      <alignment horizontal="left" wrapText="1"/>
    </xf>
    <xf numFmtId="0" fontId="25" fillId="0" borderId="15" xfId="11" applyBorder="1"/>
    <xf numFmtId="167" fontId="27" fillId="0" borderId="16" xfId="12" applyNumberFormat="1" applyFont="1" applyFill="1" applyBorder="1" applyAlignment="1" applyProtection="1">
      <alignment horizontal="right" vertical="top" wrapText="1"/>
    </xf>
    <xf numFmtId="0" fontId="25" fillId="0" borderId="17" xfId="11" applyBorder="1" applyAlignment="1">
      <alignment horizontal="center"/>
    </xf>
    <xf numFmtId="0" fontId="25" fillId="0" borderId="18" xfId="11" applyBorder="1"/>
    <xf numFmtId="0" fontId="25" fillId="0" borderId="0" xfId="11" applyAlignment="1">
      <alignment horizontal="center" vertical="center"/>
    </xf>
    <xf numFmtId="0" fontId="28" fillId="0" borderId="0" xfId="11" applyFont="1"/>
    <xf numFmtId="3" fontId="7" fillId="0" borderId="0" xfId="13" applyNumberFormat="1" applyFont="1" applyFill="1" applyBorder="1" applyAlignment="1">
      <alignment horizontal="right" wrapText="1"/>
    </xf>
    <xf numFmtId="0" fontId="25" fillId="0" borderId="0" xfId="11" applyAlignment="1">
      <alignment horizontal="center"/>
    </xf>
    <xf numFmtId="0" fontId="7" fillId="0" borderId="0" xfId="3"/>
    <xf numFmtId="0" fontId="7" fillId="0" borderId="0" xfId="3" applyAlignment="1">
      <alignment horizontal="left"/>
    </xf>
    <xf numFmtId="2" fontId="25" fillId="0" borderId="0" xfId="11" applyNumberFormat="1"/>
    <xf numFmtId="0" fontId="29" fillId="0" borderId="0" xfId="11" applyFont="1"/>
    <xf numFmtId="0" fontId="30" fillId="0" borderId="0" xfId="11" applyFont="1"/>
    <xf numFmtId="168" fontId="25" fillId="0" borderId="0" xfId="11" applyNumberFormat="1"/>
    <xf numFmtId="0" fontId="31" fillId="18" borderId="0" xfId="14"/>
    <xf numFmtId="2" fontId="0" fillId="11" borderId="0" xfId="6" applyNumberFormat="1" applyFont="1" applyFill="1"/>
    <xf numFmtId="2" fontId="6" fillId="19" borderId="0" xfId="2" applyNumberFormat="1" applyFont="1" applyFill="1" applyBorder="1" applyAlignment="1">
      <alignment horizontal="left"/>
    </xf>
    <xf numFmtId="1" fontId="20" fillId="0" borderId="4" xfId="7" applyNumberFormat="1"/>
    <xf numFmtId="2" fontId="32" fillId="12" borderId="0" xfId="4" applyNumberFormat="1" applyFont="1"/>
    <xf numFmtId="2" fontId="4" fillId="4" borderId="0" xfId="0" applyNumberFormat="1" applyFont="1" applyFill="1" applyAlignment="1">
      <alignment horizontal="right"/>
    </xf>
    <xf numFmtId="2" fontId="15" fillId="12" borderId="0" xfId="4" applyNumberFormat="1"/>
    <xf numFmtId="1" fontId="15" fillId="12" borderId="0" xfId="4" applyNumberFormat="1"/>
    <xf numFmtId="2" fontId="24" fillId="17" borderId="0" xfId="10" applyNumberFormat="1"/>
    <xf numFmtId="2" fontId="5" fillId="20" borderId="0" xfId="0" applyNumberFormat="1" applyFont="1" applyFill="1" applyAlignment="1">
      <alignment horizontal="right"/>
    </xf>
    <xf numFmtId="2" fontId="6" fillId="20" borderId="0" xfId="2" applyNumberFormat="1" applyFont="1" applyFill="1" applyBorder="1" applyAlignment="1">
      <alignment horizontal="left"/>
    </xf>
    <xf numFmtId="169" fontId="5" fillId="20" borderId="0" xfId="0" applyNumberFormat="1" applyFont="1" applyFill="1" applyAlignment="1">
      <alignment horizontal="right"/>
    </xf>
    <xf numFmtId="0" fontId="7" fillId="0" borderId="0" xfId="3" applyAlignment="1">
      <alignment horizontal="left"/>
    </xf>
    <xf numFmtId="0" fontId="26" fillId="0" borderId="6" xfId="11" applyFont="1" applyBorder="1" applyAlignment="1">
      <alignment horizontal="center" vertical="center" wrapText="1"/>
    </xf>
    <xf numFmtId="0" fontId="26" fillId="0" borderId="7" xfId="11" applyFont="1" applyBorder="1" applyAlignment="1">
      <alignment horizontal="center" vertical="center" wrapText="1"/>
    </xf>
    <xf numFmtId="0" fontId="26" fillId="0" borderId="8" xfId="11" applyFont="1" applyBorder="1" applyAlignment="1">
      <alignment horizontal="center" vertical="center" wrapText="1"/>
    </xf>
    <xf numFmtId="0" fontId="28" fillId="0" borderId="0" xfId="11" applyFont="1" applyAlignment="1">
      <alignment horizontal="left" wrapText="1"/>
    </xf>
    <xf numFmtId="0" fontId="25" fillId="0" borderId="0" xfId="11" applyAlignment="1">
      <alignment wrapText="1"/>
    </xf>
    <xf numFmtId="0" fontId="25" fillId="0" borderId="0" xfId="11" applyAlignment="1">
      <alignment horizontal="left" wrapText="1"/>
    </xf>
    <xf numFmtId="0" fontId="28" fillId="0" borderId="0" xfId="11" applyFont="1" applyAlignment="1">
      <alignment horizontal="left" vertical="top" wrapText="1"/>
    </xf>
    <xf numFmtId="0" fontId="25" fillId="0" borderId="0" xfId="11" applyAlignment="1">
      <alignment horizontal="left" vertical="top"/>
    </xf>
    <xf numFmtId="165" fontId="13" fillId="15" borderId="0" xfId="0" applyNumberFormat="1" applyFont="1" applyFill="1"/>
  </cellXfs>
  <cellStyles count="15">
    <cellStyle name="20% - Accent1" xfId="5" builtinId="30"/>
    <cellStyle name="20% - Accent3 3 2" xfId="8" xr:uid="{2CE039FF-C60E-4F1F-A581-70B47029867C}"/>
    <cellStyle name="Bad" xfId="10" builtinId="27"/>
    <cellStyle name="Calculation" xfId="2" builtinId="22"/>
    <cellStyle name="Comma 2" xfId="13" xr:uid="{A61D540C-AE1E-4D4D-92C0-F95202360561}"/>
    <cellStyle name="Comma 4" xfId="12" xr:uid="{6D1FBBC5-2489-4F8C-9355-AE2FA890EC75}"/>
    <cellStyle name="Good" xfId="4" builtinId="26"/>
    <cellStyle name="Heading 3" xfId="9" builtinId="18"/>
    <cellStyle name="Input" xfId="1" builtinId="20"/>
    <cellStyle name="Linked Cell" xfId="7" builtinId="24"/>
    <cellStyle name="Neutral" xfId="14" builtinId="28"/>
    <cellStyle name="Normal" xfId="0" builtinId="0"/>
    <cellStyle name="Normal 2" xfId="11" xr:uid="{CDAE4AE7-B775-497B-8B42-C9DA432C025E}"/>
    <cellStyle name="Normal 3" xfId="3" xr:uid="{6F5F0363-99B6-40DA-BDE0-F5C804E5FFB7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Average Annual Vehicle Miles Traveled by Major Vehicle Category</a:t>
            </a:r>
          </a:p>
        </c:rich>
      </c:tx>
      <c:layout>
        <c:manualLayout>
          <c:xMode val="edge"/>
          <c:yMode val="edge"/>
          <c:x val="0.11883284740540935"/>
          <c:y val="2.84789644012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827459225027606E-2"/>
          <c:y val="0.11152161042036711"/>
          <c:w val="0.90770066839881791"/>
          <c:h val="0.78163320847030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'Average VMT by Vehicle Type'!$D$3</c:f>
              <c:strCache>
                <c:ptCount val="1"/>
                <c:pt idx="0">
                  <c:v>VMT per Vehicle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VMT by Vehicle Type'!$C$4:$C$12</c:f>
              <c:strCache>
                <c:ptCount val="9"/>
                <c:pt idx="0">
                  <c:v>Class 8 Truck</c:v>
                </c:pt>
                <c:pt idx="1">
                  <c:v>Transit Bus</c:v>
                </c:pt>
                <c:pt idx="2">
                  <c:v>Paratransit Shuttle</c:v>
                </c:pt>
                <c:pt idx="3">
                  <c:v>Refuse Truck</c:v>
                </c:pt>
                <c:pt idx="4">
                  <c:v>Delivery Truck</c:v>
                </c:pt>
                <c:pt idx="5">
                  <c:v>School Bus</c:v>
                </c:pt>
                <c:pt idx="6">
                  <c:v>Light Truck/Van</c:v>
                </c:pt>
                <c:pt idx="7">
                  <c:v>Car</c:v>
                </c:pt>
                <c:pt idx="8">
                  <c:v>Motorcycle</c:v>
                </c:pt>
              </c:strCache>
            </c:strRef>
          </c:cat>
          <c:val>
            <c:numRef>
              <c:f>'Average VMT by Vehicle Type'!$D$4:$D$12</c:f>
              <c:numCache>
                <c:formatCode>#,##0</c:formatCode>
                <c:ptCount val="9"/>
                <c:pt idx="0" formatCode="_(* #,##0_);_(* \(#,##0\);_(* &quot;-&quot;??_);_(@_)">
                  <c:v>62751</c:v>
                </c:pt>
                <c:pt idx="1">
                  <c:v>43647</c:v>
                </c:pt>
                <c:pt idx="2">
                  <c:v>29429</c:v>
                </c:pt>
                <c:pt idx="3">
                  <c:v>25000</c:v>
                </c:pt>
                <c:pt idx="4" formatCode="_(* #,##0_);_(* \(#,##0\);_(* &quot;-&quot;??_);_(@_)">
                  <c:v>12435</c:v>
                </c:pt>
                <c:pt idx="5">
                  <c:v>12000</c:v>
                </c:pt>
                <c:pt idx="6" formatCode="_(* #,##0_);_(* \(#,##0\);_(* &quot;-&quot;??_);_(@_)">
                  <c:v>11543</c:v>
                </c:pt>
                <c:pt idx="7" formatCode="_(* #,##0_);_(* \(#,##0\);_(* &quot;-&quot;??_);_(@_)">
                  <c:v>11467</c:v>
                </c:pt>
                <c:pt idx="8" formatCode="_(* #,##0_);_(* \(#,##0\);_(* &quot;-&quot;??_);_(@_)">
                  <c:v>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A-4C7F-8727-CCAF828D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718752"/>
        <c:axId val="305720320"/>
      </c:barChart>
      <c:catAx>
        <c:axId val="3057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20320"/>
        <c:crosses val="autoZero"/>
        <c:auto val="1"/>
        <c:lblAlgn val="ctr"/>
        <c:lblOffset val="100"/>
        <c:noMultiLvlLbl val="0"/>
      </c:catAx>
      <c:valAx>
        <c:axId val="3057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411" l="0.70000000000000095" r="0.70000000000000095" t="0.75000000000000411" header="0.30000000000000004" footer="0.30000000000000004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152400</xdr:rowOff>
    </xdr:from>
    <xdr:to>
      <xdr:col>20</xdr:col>
      <xdr:colOff>28575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9EBEF-4BFD-4115-BE84-6F535E317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0.81024</cdr:x>
      <cdr:y>0.95987</cdr:y>
    </cdr:from>
    <cdr:to>
      <cdr:x>0.99344</cdr:x>
      <cdr:y>0.99509</cdr:y>
    </cdr:to>
    <cdr:sp macro="" textlink="">
      <cdr:nvSpPr>
        <cdr:cNvPr id="4" name="Text Box 1">
          <a:extLst xmlns:a="http://schemas.openxmlformats.org/drawingml/2006/main">
            <a:ext uri="{FF2B5EF4-FFF2-40B4-BE49-F238E27FC236}">
              <a16:creationId xmlns:a16="http://schemas.microsoft.com/office/drawing/2014/main" id="{92F93EDF-D657-4842-AF7D-C2C6340799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27750" y="4708525"/>
          <a:ext cx="1385455" cy="17277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0" tIns="0" rIns="27432" bIns="22860" anchor="b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afdc.energy.gov/data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5368.635881828704" createdVersion="8" refreshedVersion="8" minRefreshableVersion="3" recordCount="638" xr:uid="{3A52102A-CD0D-47F2-BDB9-1AFED0F3473D}">
  <cacheSource type="worksheet">
    <worksheetSource ref="A1:D639" sheet="vehicle population data"/>
  </cacheSource>
  <cacheFields count="4">
    <cacheField name="veh_type" numFmtId="0">
      <sharedItems count="2">
        <s v="cars"/>
        <s v="trucks"/>
      </sharedItems>
    </cacheField>
    <cacheField name="year" numFmtId="0">
      <sharedItems containsSemiMixedTypes="0" containsString="0" containsNumber="1" containsInteger="1" minValue="2005" maxValue="2015" count="11"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ActiveReg" numFmtId="0">
      <sharedItems count="29">
        <s v="Africa_north"/>
        <s v="Africa_other"/>
        <s v="Arg-Chi"/>
        <s v="Asia_central"/>
        <s v="Asia_east"/>
        <s v="Asia_other"/>
        <s v="Australia_NZ"/>
        <s v="Brazil"/>
        <s v="Canada"/>
        <s v="China"/>
        <s v="EU_north"/>
        <s v="EU_northeast"/>
        <s v="EU_northwest"/>
        <s v="EU_south"/>
        <s v="EU_southeast"/>
        <s v="EU_southwest"/>
        <s v="Europe_other"/>
        <s v="France"/>
        <s v="Germany"/>
        <s v="India"/>
        <s v="LatAm_other"/>
        <s v="Mexico"/>
        <s v="MidEast_other"/>
        <s v="Nor-Ice"/>
        <s v="Russia"/>
        <s v="SaudiArabia"/>
        <s v="SouthAfrica"/>
        <s v="UK"/>
        <s v="USA"/>
      </sharedItems>
    </cacheField>
    <cacheField name="mVeh" numFmtId="0">
      <sharedItems containsSemiMixedTypes="0" containsString="0" containsNumber="1" minValue="0.52100000000000002" maxValue="141.872375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x v="0"/>
    <x v="0"/>
    <x v="0"/>
    <n v="7.4080000000000004"/>
  </r>
  <r>
    <x v="0"/>
    <x v="1"/>
    <x v="0"/>
    <n v="8.0644279999999995"/>
  </r>
  <r>
    <x v="0"/>
    <x v="2"/>
    <x v="0"/>
    <n v="8.4715699999999998"/>
  </r>
  <r>
    <x v="0"/>
    <x v="3"/>
    <x v="0"/>
    <n v="8.8680289999999999"/>
  </r>
  <r>
    <x v="0"/>
    <x v="4"/>
    <x v="0"/>
    <n v="9.4617059999999995"/>
  </r>
  <r>
    <x v="0"/>
    <x v="5"/>
    <x v="0"/>
    <n v="10.341404000000001"/>
  </r>
  <r>
    <x v="0"/>
    <x v="6"/>
    <x v="0"/>
    <n v="10.914955000000001"/>
  </r>
  <r>
    <x v="0"/>
    <x v="7"/>
    <x v="0"/>
    <n v="11.497769999999999"/>
  </r>
  <r>
    <x v="0"/>
    <x v="8"/>
    <x v="0"/>
    <n v="12.123381"/>
  </r>
  <r>
    <x v="0"/>
    <x v="9"/>
    <x v="0"/>
    <n v="12.821766"/>
  </r>
  <r>
    <x v="0"/>
    <x v="10"/>
    <x v="0"/>
    <n v="13.794338"/>
  </r>
  <r>
    <x v="0"/>
    <x v="0"/>
    <x v="1"/>
    <n v="5.2352020000000001"/>
  </r>
  <r>
    <x v="0"/>
    <x v="1"/>
    <x v="1"/>
    <n v="6.6282420000000002"/>
  </r>
  <r>
    <x v="0"/>
    <x v="2"/>
    <x v="1"/>
    <n v="7.0369700000000002"/>
  </r>
  <r>
    <x v="0"/>
    <x v="3"/>
    <x v="1"/>
    <n v="7.5913899999999996"/>
  </r>
  <r>
    <x v="0"/>
    <x v="4"/>
    <x v="1"/>
    <n v="7.8151419999999998"/>
  </r>
  <r>
    <x v="0"/>
    <x v="5"/>
    <x v="1"/>
    <n v="8.1680989999999998"/>
  </r>
  <r>
    <x v="0"/>
    <x v="6"/>
    <x v="1"/>
    <n v="8.5718429999999994"/>
  </r>
  <r>
    <x v="0"/>
    <x v="7"/>
    <x v="1"/>
    <n v="9.0576910000000002"/>
  </r>
  <r>
    <x v="0"/>
    <x v="8"/>
    <x v="1"/>
    <n v="9.5199680000000004"/>
  </r>
  <r>
    <x v="0"/>
    <x v="9"/>
    <x v="1"/>
    <n v="10.067513"/>
  </r>
  <r>
    <x v="0"/>
    <x v="10"/>
    <x v="1"/>
    <n v="10.632235"/>
  </r>
  <r>
    <x v="0"/>
    <x v="0"/>
    <x v="2"/>
    <n v="6.8250000000000002"/>
  </r>
  <r>
    <x v="0"/>
    <x v="1"/>
    <x v="2"/>
    <n v="7.0270000000000001"/>
  </r>
  <r>
    <x v="0"/>
    <x v="2"/>
    <x v="2"/>
    <n v="7.548"/>
  </r>
  <r>
    <x v="0"/>
    <x v="3"/>
    <x v="2"/>
    <n v="8.1980000000000004"/>
  </r>
  <r>
    <x v="0"/>
    <x v="4"/>
    <x v="2"/>
    <n v="8.7140000000000004"/>
  </r>
  <r>
    <x v="0"/>
    <x v="5"/>
    <x v="2"/>
    <n v="9.7769999999999992"/>
  </r>
  <r>
    <x v="0"/>
    <x v="6"/>
    <x v="2"/>
    <n v="10.632"/>
  </r>
  <r>
    <x v="0"/>
    <x v="7"/>
    <x v="2"/>
    <n v="11.263"/>
  </r>
  <r>
    <x v="0"/>
    <x v="8"/>
    <x v="2"/>
    <n v="12.237463"/>
  </r>
  <r>
    <x v="0"/>
    <x v="9"/>
    <x v="2"/>
    <n v="13.137313000000001"/>
  </r>
  <r>
    <x v="0"/>
    <x v="10"/>
    <x v="2"/>
    <n v="13.53839"/>
  </r>
  <r>
    <x v="0"/>
    <x v="0"/>
    <x v="3"/>
    <n v="2.4257469999999999"/>
  </r>
  <r>
    <x v="0"/>
    <x v="1"/>
    <x v="3"/>
    <n v="2.8949790000000002"/>
  </r>
  <r>
    <x v="0"/>
    <x v="2"/>
    <x v="3"/>
    <n v="3.4579529999999998"/>
  </r>
  <r>
    <x v="0"/>
    <x v="3"/>
    <x v="3"/>
    <n v="4.0926799999999997"/>
  </r>
  <r>
    <x v="0"/>
    <x v="4"/>
    <x v="3"/>
    <n v="4.3520029999999998"/>
  </r>
  <r>
    <x v="0"/>
    <x v="5"/>
    <x v="3"/>
    <n v="4.9862830000000002"/>
  </r>
  <r>
    <x v="0"/>
    <x v="6"/>
    <x v="3"/>
    <n v="5.620063"/>
  </r>
  <r>
    <x v="0"/>
    <x v="7"/>
    <x v="3"/>
    <n v="5.9242866666666698"/>
  </r>
  <r>
    <x v="0"/>
    <x v="8"/>
    <x v="3"/>
    <n v="6.1950213333333304"/>
  </r>
  <r>
    <x v="0"/>
    <x v="9"/>
    <x v="3"/>
    <n v="6.7312329999999996"/>
  </r>
  <r>
    <x v="0"/>
    <x v="10"/>
    <x v="3"/>
    <n v="6.7608009999999998"/>
  </r>
  <r>
    <x v="0"/>
    <x v="0"/>
    <x v="4"/>
    <n v="68.212999999999994"/>
  </r>
  <r>
    <x v="0"/>
    <x v="1"/>
    <x v="4"/>
    <n v="69.128"/>
  </r>
  <r>
    <x v="0"/>
    <x v="2"/>
    <x v="4"/>
    <n v="69.724000000000004"/>
  </r>
  <r>
    <x v="0"/>
    <x v="3"/>
    <x v="4"/>
    <n v="70.349000000000004"/>
  </r>
  <r>
    <x v="0"/>
    <x v="4"/>
    <x v="4"/>
    <n v="71.043999999999997"/>
  </r>
  <r>
    <x v="0"/>
    <x v="5"/>
    <x v="4"/>
    <n v="71.978999999999999"/>
  </r>
  <r>
    <x v="0"/>
    <x v="6"/>
    <x v="4"/>
    <n v="72.805999999999997"/>
  </r>
  <r>
    <x v="0"/>
    <x v="7"/>
    <x v="4"/>
    <n v="73.998000000000005"/>
  </r>
  <r>
    <x v="0"/>
    <x v="8"/>
    <x v="4"/>
    <n v="75.113848000000004"/>
  </r>
  <r>
    <x v="0"/>
    <x v="9"/>
    <x v="4"/>
    <n v="76.415232000000003"/>
  </r>
  <r>
    <x v="0"/>
    <x v="10"/>
    <x v="4"/>
    <n v="77.549548000000001"/>
  </r>
  <r>
    <x v="0"/>
    <x v="0"/>
    <x v="5"/>
    <n v="27.494779000000001"/>
  </r>
  <r>
    <x v="0"/>
    <x v="1"/>
    <x v="5"/>
    <n v="28.898498"/>
  </r>
  <r>
    <x v="0"/>
    <x v="2"/>
    <x v="5"/>
    <n v="33.296093999999997"/>
  </r>
  <r>
    <x v="0"/>
    <x v="3"/>
    <x v="5"/>
    <n v="32.858829999999998"/>
  </r>
  <r>
    <x v="0"/>
    <x v="4"/>
    <x v="5"/>
    <n v="34.581547"/>
  </r>
  <r>
    <x v="0"/>
    <x v="5"/>
    <x v="5"/>
    <n v="36.990822999999999"/>
  </r>
  <r>
    <x v="0"/>
    <x v="6"/>
    <x v="5"/>
    <n v="39.627600000000001"/>
  </r>
  <r>
    <x v="0"/>
    <x v="7"/>
    <x v="5"/>
    <n v="43.093556999999997"/>
  </r>
  <r>
    <x v="0"/>
    <x v="8"/>
    <x v="5"/>
    <n v="44.962614000000002"/>
  </r>
  <r>
    <x v="0"/>
    <x v="9"/>
    <x v="5"/>
    <n v="48.842317000000001"/>
  </r>
  <r>
    <x v="0"/>
    <x v="10"/>
    <x v="5"/>
    <n v="51.635837000000002"/>
  </r>
  <r>
    <x v="0"/>
    <x v="0"/>
    <x v="6"/>
    <n v="13.193"/>
  </r>
  <r>
    <x v="0"/>
    <x v="1"/>
    <x v="6"/>
    <n v="13.513999999999999"/>
  </r>
  <r>
    <x v="0"/>
    <x v="2"/>
    <x v="6"/>
    <n v="13.801"/>
  </r>
  <r>
    <x v="0"/>
    <x v="3"/>
    <x v="6"/>
    <n v="14.103"/>
  </r>
  <r>
    <x v="0"/>
    <x v="4"/>
    <x v="6"/>
    <n v="14.352"/>
  </r>
  <r>
    <x v="0"/>
    <x v="5"/>
    <x v="6"/>
    <n v="14.596304999999999"/>
  </r>
  <r>
    <x v="0"/>
    <x v="6"/>
    <x v="6"/>
    <n v="14.836"/>
  </r>
  <r>
    <x v="0"/>
    <x v="7"/>
    <x v="6"/>
    <n v="15.139234999999999"/>
  </r>
  <r>
    <x v="0"/>
    <x v="8"/>
    <x v="6"/>
    <n v="15.895021"/>
  </r>
  <r>
    <x v="0"/>
    <x v="9"/>
    <x v="6"/>
    <n v="16.278517999999998"/>
  </r>
  <r>
    <x v="0"/>
    <x v="10"/>
    <x v="6"/>
    <n v="16.628401"/>
  </r>
  <r>
    <x v="0"/>
    <x v="0"/>
    <x v="7"/>
    <n v="18.925913524999999"/>
  </r>
  <r>
    <x v="0"/>
    <x v="1"/>
    <x v="7"/>
    <n v="19.892111395000001"/>
  </r>
  <r>
    <x v="0"/>
    <x v="2"/>
    <x v="7"/>
    <n v="21.296756030000001"/>
  </r>
  <r>
    <x v="0"/>
    <x v="3"/>
    <x v="7"/>
    <n v="22.91713966"/>
  </r>
  <r>
    <x v="0"/>
    <x v="4"/>
    <x v="7"/>
    <n v="24.814742644999999"/>
  </r>
  <r>
    <x v="0"/>
    <x v="5"/>
    <x v="7"/>
    <n v="26.887691905000001"/>
  </r>
  <r>
    <x v="0"/>
    <x v="6"/>
    <x v="7"/>
    <n v="28.945932710000001"/>
  </r>
  <r>
    <x v="0"/>
    <x v="7"/>
    <x v="7"/>
    <n v="31.122621939999998"/>
  </r>
  <r>
    <x v="0"/>
    <x v="8"/>
    <x v="7"/>
    <n v="33.091826185000002"/>
  </r>
  <r>
    <x v="0"/>
    <x v="9"/>
    <x v="7"/>
    <n v="34.676231829999999"/>
  </r>
  <r>
    <x v="0"/>
    <x v="10"/>
    <x v="7"/>
    <n v="35.471423000000001"/>
  </r>
  <r>
    <x v="0"/>
    <x v="0"/>
    <x v="8"/>
    <n v="18.123999999999999"/>
  </r>
  <r>
    <x v="0"/>
    <x v="1"/>
    <x v="8"/>
    <n v="18.739000000000001"/>
  </r>
  <r>
    <x v="0"/>
    <x v="2"/>
    <x v="8"/>
    <n v="19.199000000000002"/>
  </r>
  <r>
    <x v="0"/>
    <x v="3"/>
    <x v="8"/>
    <n v="19.613"/>
  </r>
  <r>
    <x v="0"/>
    <x v="4"/>
    <x v="8"/>
    <n v="19.876999999999999"/>
  </r>
  <r>
    <x v="0"/>
    <x v="5"/>
    <x v="8"/>
    <n v="20.268000000000001"/>
  </r>
  <r>
    <x v="0"/>
    <x v="6"/>
    <x v="8"/>
    <n v="20.608000000000001"/>
  </r>
  <r>
    <x v="0"/>
    <x v="7"/>
    <x v="8"/>
    <n v="20.652000000000001"/>
  </r>
  <r>
    <x v="0"/>
    <x v="8"/>
    <x v="8"/>
    <n v="21.261659999999999"/>
  </r>
  <r>
    <x v="0"/>
    <x v="9"/>
    <x v="8"/>
    <n v="21.729596000000001"/>
  </r>
  <r>
    <x v="0"/>
    <x v="10"/>
    <x v="8"/>
    <n v="22.067778000000001"/>
  </r>
  <r>
    <x v="0"/>
    <x v="0"/>
    <x v="9"/>
    <n v="21.693999999999999"/>
  </r>
  <r>
    <x v="0"/>
    <x v="1"/>
    <x v="9"/>
    <n v="26.574000000000002"/>
  </r>
  <r>
    <x v="0"/>
    <x v="2"/>
    <x v="9"/>
    <n v="32.35"/>
  </r>
  <r>
    <x v="0"/>
    <x v="3"/>
    <x v="9"/>
    <n v="38.79"/>
  </r>
  <r>
    <x v="0"/>
    <x v="4"/>
    <x v="9"/>
    <n v="48.863"/>
  </r>
  <r>
    <x v="0"/>
    <x v="5"/>
    <x v="9"/>
    <n v="62.067"/>
  </r>
  <r>
    <x v="0"/>
    <x v="6"/>
    <x v="9"/>
    <n v="75.302999999999997"/>
  </r>
  <r>
    <x v="0"/>
    <x v="7"/>
    <x v="9"/>
    <n v="87.849000000000004"/>
  </r>
  <r>
    <x v="0"/>
    <x v="8"/>
    <x v="9"/>
    <n v="101.854635"/>
  </r>
  <r>
    <x v="0"/>
    <x v="9"/>
    <x v="9"/>
    <n v="117.995017"/>
  </r>
  <r>
    <x v="0"/>
    <x v="10"/>
    <x v="9"/>
    <n v="136.34480300000001"/>
  </r>
  <r>
    <x v="0"/>
    <x v="0"/>
    <x v="10"/>
    <n v="8.5394769999999998"/>
  </r>
  <r>
    <x v="0"/>
    <x v="1"/>
    <x v="10"/>
    <n v="8.7172870000000007"/>
  </r>
  <r>
    <x v="0"/>
    <x v="2"/>
    <x v="10"/>
    <n v="8.8138799999999993"/>
  </r>
  <r>
    <x v="0"/>
    <x v="3"/>
    <x v="10"/>
    <n v="8.8337219999999999"/>
  </r>
  <r>
    <x v="0"/>
    <x v="4"/>
    <x v="10"/>
    <n v="8.8766040000000004"/>
  </r>
  <r>
    <x v="0"/>
    <x v="5"/>
    <x v="10"/>
    <n v="8.9902829999999998"/>
  </r>
  <r>
    <x v="0"/>
    <x v="6"/>
    <x v="10"/>
    <n v="9.1364959999999993"/>
  </r>
  <r>
    <x v="0"/>
    <x v="7"/>
    <x v="10"/>
    <n v="9.2471899999999998"/>
  </r>
  <r>
    <x v="0"/>
    <x v="8"/>
    <x v="10"/>
    <n v="9.3512160000000009"/>
  </r>
  <r>
    <x v="0"/>
    <x v="9"/>
    <x v="10"/>
    <n v="9.5025580000000005"/>
  </r>
  <r>
    <x v="0"/>
    <x v="10"/>
    <x v="10"/>
    <n v="9.6740639999999996"/>
  </r>
  <r>
    <x v="0"/>
    <x v="0"/>
    <x v="11"/>
    <n v="24.450523"/>
  </r>
  <r>
    <x v="0"/>
    <x v="1"/>
    <x v="11"/>
    <n v="26.000249"/>
  </r>
  <r>
    <x v="0"/>
    <x v="2"/>
    <x v="11"/>
    <n v="27.565572"/>
  </r>
  <r>
    <x v="0"/>
    <x v="3"/>
    <x v="11"/>
    <n v="29.488693000000001"/>
  </r>
  <r>
    <x v="0"/>
    <x v="4"/>
    <x v="11"/>
    <n v="30.024294000000001"/>
  </r>
  <r>
    <x v="0"/>
    <x v="5"/>
    <x v="11"/>
    <n v="30.727219000000002"/>
  </r>
  <r>
    <x v="0"/>
    <x v="6"/>
    <x v="11"/>
    <n v="31.616613000000001"/>
  </r>
  <r>
    <x v="0"/>
    <x v="7"/>
    <x v="11"/>
    <n v="32.826813999999999"/>
  </r>
  <r>
    <x v="0"/>
    <x v="8"/>
    <x v="11"/>
    <n v="33.758389000000001"/>
  </r>
  <r>
    <x v="0"/>
    <x v="9"/>
    <x v="11"/>
    <n v="34.079185000000003"/>
  </r>
  <r>
    <x v="0"/>
    <x v="10"/>
    <x v="11"/>
    <n v="35.232221000000003"/>
  </r>
  <r>
    <x v="0"/>
    <x v="0"/>
    <x v="12"/>
    <n v="13.922157"/>
  </r>
  <r>
    <x v="0"/>
    <x v="1"/>
    <x v="12"/>
    <n v="14.252860999999999"/>
  </r>
  <r>
    <x v="0"/>
    <x v="2"/>
    <x v="12"/>
    <n v="14.602900999999999"/>
  </r>
  <r>
    <x v="0"/>
    <x v="3"/>
    <x v="12"/>
    <n v="14.882281000000001"/>
  </r>
  <r>
    <x v="0"/>
    <x v="4"/>
    <x v="12"/>
    <n v="15.016429"/>
  </r>
  <r>
    <x v="0"/>
    <x v="5"/>
    <x v="12"/>
    <n v="15.224715"/>
  </r>
  <r>
    <x v="0"/>
    <x v="6"/>
    <x v="12"/>
    <n v="15.45181"/>
  </r>
  <r>
    <x v="0"/>
    <x v="7"/>
    <x v="12"/>
    <n v="15.547013"/>
  </r>
  <r>
    <x v="0"/>
    <x v="8"/>
    <x v="12"/>
    <n v="15.866707"/>
  </r>
  <r>
    <x v="0"/>
    <x v="9"/>
    <x v="12"/>
    <n v="16.020775"/>
  </r>
  <r>
    <x v="0"/>
    <x v="10"/>
    <x v="12"/>
    <n v="16.289404999999999"/>
  </r>
  <r>
    <x v="0"/>
    <x v="0"/>
    <x v="13"/>
    <n v="39.531129"/>
  </r>
  <r>
    <x v="0"/>
    <x v="1"/>
    <x v="13"/>
    <n v="40.425015999999999"/>
  </r>
  <r>
    <x v="0"/>
    <x v="2"/>
    <x v="13"/>
    <n v="41.107529999999997"/>
  </r>
  <r>
    <x v="0"/>
    <x v="3"/>
    <x v="13"/>
    <n v="41.794944000000001"/>
  </r>
  <r>
    <x v="0"/>
    <x v="4"/>
    <x v="13"/>
    <n v="42.191960000000002"/>
  </r>
  <r>
    <x v="0"/>
    <x v="5"/>
    <x v="13"/>
    <n v="42.664873"/>
  </r>
  <r>
    <x v="0"/>
    <x v="6"/>
    <x v="13"/>
    <n v="43.026591000000003"/>
  </r>
  <r>
    <x v="0"/>
    <x v="7"/>
    <x v="13"/>
    <n v="42.970168999999999"/>
  </r>
  <r>
    <x v="0"/>
    <x v="8"/>
    <x v="13"/>
    <n v="42.817799000000001"/>
  </r>
  <r>
    <x v="0"/>
    <x v="9"/>
    <x v="13"/>
    <n v="42.927397999999997"/>
  </r>
  <r>
    <x v="0"/>
    <x v="10"/>
    <x v="13"/>
    <n v="43.219213000000003"/>
  </r>
  <r>
    <x v="0"/>
    <x v="0"/>
    <x v="14"/>
    <n v="11.140781"/>
  </r>
  <r>
    <x v="0"/>
    <x v="1"/>
    <x v="14"/>
    <n v="10.364566999999999"/>
  </r>
  <r>
    <x v="0"/>
    <x v="2"/>
    <x v="14"/>
    <n v="11.159127"/>
  </r>
  <r>
    <x v="0"/>
    <x v="3"/>
    <x v="14"/>
    <n v="12.035263"/>
  </r>
  <r>
    <x v="0"/>
    <x v="4"/>
    <x v="14"/>
    <n v="12.359646"/>
  </r>
  <r>
    <x v="0"/>
    <x v="5"/>
    <x v="14"/>
    <n v="12.489995"/>
  </r>
  <r>
    <x v="0"/>
    <x v="6"/>
    <x v="14"/>
    <n v="12.588917"/>
  </r>
  <r>
    <x v="0"/>
    <x v="7"/>
    <x v="14"/>
    <n v="12.799029000000001"/>
  </r>
  <r>
    <x v="0"/>
    <x v="8"/>
    <x v="14"/>
    <n v="13.164839000000001"/>
  </r>
  <r>
    <x v="0"/>
    <x v="9"/>
    <x v="14"/>
    <n v="13.578645"/>
  </r>
  <r>
    <x v="0"/>
    <x v="10"/>
    <x v="14"/>
    <n v="14.099563"/>
  </r>
  <r>
    <x v="0"/>
    <x v="0"/>
    <x v="15"/>
    <n v="24.45"/>
  </r>
  <r>
    <x v="0"/>
    <x v="1"/>
    <x v="15"/>
    <n v="25.343"/>
  </r>
  <r>
    <x v="0"/>
    <x v="2"/>
    <x v="15"/>
    <n v="26.138999999999999"/>
  </r>
  <r>
    <x v="0"/>
    <x v="3"/>
    <x v="15"/>
    <n v="26.553000000000001"/>
  </r>
  <r>
    <x v="0"/>
    <x v="4"/>
    <x v="15"/>
    <n v="26.44"/>
  </r>
  <r>
    <x v="0"/>
    <x v="5"/>
    <x v="15"/>
    <n v="26.626999999999999"/>
  </r>
  <r>
    <x v="0"/>
    <x v="6"/>
    <x v="15"/>
    <n v="26.798999999999999"/>
  </r>
  <r>
    <x v="0"/>
    <x v="7"/>
    <x v="15"/>
    <n v="26.745000000000001"/>
  </r>
  <r>
    <x v="0"/>
    <x v="8"/>
    <x v="15"/>
    <n v="26.504538"/>
  </r>
  <r>
    <x v="0"/>
    <x v="9"/>
    <x v="15"/>
    <n v="26.525511999999999"/>
  </r>
  <r>
    <x v="0"/>
    <x v="10"/>
    <x v="15"/>
    <n v="26.948705"/>
  </r>
  <r>
    <x v="0"/>
    <x v="0"/>
    <x v="16"/>
    <n v="19.835536999999999"/>
  </r>
  <r>
    <x v="0"/>
    <x v="1"/>
    <x v="16"/>
    <n v="20.610371000000001"/>
  </r>
  <r>
    <x v="0"/>
    <x v="2"/>
    <x v="16"/>
    <n v="21.535450000000001"/>
  </r>
  <r>
    <x v="0"/>
    <x v="3"/>
    <x v="16"/>
    <n v="22.582678000000001"/>
  </r>
  <r>
    <x v="0"/>
    <x v="4"/>
    <x v="16"/>
    <n v="23.401726"/>
  </r>
  <r>
    <x v="0"/>
    <x v="5"/>
    <x v="16"/>
    <n v="24.335685999999999"/>
  </r>
  <r>
    <x v="0"/>
    <x v="6"/>
    <x v="16"/>
    <n v="25.428014999999998"/>
  </r>
  <r>
    <x v="0"/>
    <x v="7"/>
    <x v="16"/>
    <n v="26.228052999999999"/>
  </r>
  <r>
    <x v="0"/>
    <x v="8"/>
    <x v="16"/>
    <n v="27.394863000000001"/>
  </r>
  <r>
    <x v="0"/>
    <x v="9"/>
    <x v="16"/>
    <n v="28.431460999999999"/>
  </r>
  <r>
    <x v="0"/>
    <x v="10"/>
    <x v="16"/>
    <n v="29.509689999999999"/>
  </r>
  <r>
    <x v="0"/>
    <x v="0"/>
    <x v="17"/>
    <n v="30.1"/>
  </r>
  <r>
    <x v="0"/>
    <x v="1"/>
    <x v="17"/>
    <n v="30.4"/>
  </r>
  <r>
    <x v="0"/>
    <x v="2"/>
    <x v="17"/>
    <n v="30.7"/>
  </r>
  <r>
    <x v="0"/>
    <x v="3"/>
    <x v="17"/>
    <n v="30.85"/>
  </r>
  <r>
    <x v="0"/>
    <x v="4"/>
    <x v="17"/>
    <n v="31.05"/>
  </r>
  <r>
    <x v="0"/>
    <x v="5"/>
    <x v="17"/>
    <n v="31.3"/>
  </r>
  <r>
    <x v="0"/>
    <x v="6"/>
    <x v="17"/>
    <n v="31.55"/>
  </r>
  <r>
    <x v="0"/>
    <x v="7"/>
    <x v="17"/>
    <n v="31.6"/>
  </r>
  <r>
    <x v="0"/>
    <x v="8"/>
    <x v="17"/>
    <n v="31.65"/>
  </r>
  <r>
    <x v="0"/>
    <x v="9"/>
    <x v="17"/>
    <n v="31.8"/>
  </r>
  <r>
    <x v="0"/>
    <x v="10"/>
    <x v="17"/>
    <n v="32"/>
  </r>
  <r>
    <x v="0"/>
    <x v="0"/>
    <x v="18"/>
    <n v="46.09"/>
  </r>
  <r>
    <x v="0"/>
    <x v="1"/>
    <x v="18"/>
    <n v="46.57"/>
  </r>
  <r>
    <x v="0"/>
    <x v="2"/>
    <x v="18"/>
    <n v="41.183999999999997"/>
  </r>
  <r>
    <x v="0"/>
    <x v="3"/>
    <x v="18"/>
    <n v="41.320999999999998"/>
  </r>
  <r>
    <x v="0"/>
    <x v="4"/>
    <x v="18"/>
    <n v="41.738"/>
  </r>
  <r>
    <x v="0"/>
    <x v="5"/>
    <x v="18"/>
    <n v="42.302"/>
  </r>
  <r>
    <x v="0"/>
    <x v="6"/>
    <x v="18"/>
    <n v="42.927999999999997"/>
  </r>
  <r>
    <x v="0"/>
    <x v="7"/>
    <x v="18"/>
    <n v="43.430999999999997"/>
  </r>
  <r>
    <x v="0"/>
    <x v="8"/>
    <x v="18"/>
    <n v="43.851230000000001"/>
  </r>
  <r>
    <x v="0"/>
    <x v="9"/>
    <x v="18"/>
    <n v="44.403123999999998"/>
  </r>
  <r>
    <x v="0"/>
    <x v="10"/>
    <x v="18"/>
    <n v="45.071209000000003"/>
  </r>
  <r>
    <x v="0"/>
    <x v="0"/>
    <x v="19"/>
    <n v="7.6260000000000003"/>
  </r>
  <r>
    <x v="0"/>
    <x v="1"/>
    <x v="19"/>
    <n v="8.5719999999999992"/>
  </r>
  <r>
    <x v="0"/>
    <x v="2"/>
    <x v="19"/>
    <n v="9.4440000000000008"/>
  </r>
  <r>
    <x v="0"/>
    <x v="3"/>
    <x v="19"/>
    <n v="10.606"/>
  </r>
  <r>
    <x v="0"/>
    <x v="4"/>
    <x v="19"/>
    <n v="11.744"/>
  </r>
  <r>
    <x v="0"/>
    <x v="5"/>
    <x v="19"/>
    <n v="13.268000000000001"/>
  </r>
  <r>
    <x v="0"/>
    <x v="6"/>
    <x v="19"/>
    <n v="15.026999999999999"/>
  </r>
  <r>
    <x v="0"/>
    <x v="7"/>
    <x v="19"/>
    <n v="16.896000000000001"/>
  </r>
  <r>
    <x v="0"/>
    <x v="8"/>
    <x v="19"/>
    <n v="18.917999999999999"/>
  </r>
  <r>
    <x v="0"/>
    <x v="9"/>
    <x v="19"/>
    <n v="20.442"/>
  </r>
  <r>
    <x v="0"/>
    <x v="10"/>
    <x v="19"/>
    <n v="22.468"/>
  </r>
  <r>
    <x v="0"/>
    <x v="0"/>
    <x v="20"/>
    <n v="11.520078"/>
  </r>
  <r>
    <x v="0"/>
    <x v="1"/>
    <x v="20"/>
    <n v="12.284973000000001"/>
  </r>
  <r>
    <x v="0"/>
    <x v="2"/>
    <x v="20"/>
    <n v="13.176600000000001"/>
  </r>
  <r>
    <x v="0"/>
    <x v="3"/>
    <x v="20"/>
    <n v="14.209678"/>
  </r>
  <r>
    <x v="0"/>
    <x v="4"/>
    <x v="20"/>
    <n v="14.472860000000001"/>
  </r>
  <r>
    <x v="0"/>
    <x v="5"/>
    <x v="20"/>
    <n v="14.876384"/>
  </r>
  <r>
    <x v="0"/>
    <x v="6"/>
    <x v="20"/>
    <n v="15.639431999999999"/>
  </r>
  <r>
    <x v="0"/>
    <x v="7"/>
    <x v="20"/>
    <n v="16.46208"/>
  </r>
  <r>
    <x v="0"/>
    <x v="8"/>
    <x v="20"/>
    <n v="16.685293999999999"/>
  </r>
  <r>
    <x v="0"/>
    <x v="9"/>
    <x v="20"/>
    <n v="17.381653"/>
  </r>
  <r>
    <x v="0"/>
    <x v="10"/>
    <x v="20"/>
    <n v="17.922999000000001"/>
  </r>
  <r>
    <x v="0"/>
    <x v="0"/>
    <x v="21"/>
    <n v="14.3"/>
  </r>
  <r>
    <x v="0"/>
    <x v="1"/>
    <x v="21"/>
    <n v="16.411999999999999"/>
  </r>
  <r>
    <x v="0"/>
    <x v="2"/>
    <x v="21"/>
    <n v="17.696999999999999"/>
  </r>
  <r>
    <x v="0"/>
    <x v="3"/>
    <x v="21"/>
    <n v="19.420999999999999"/>
  </r>
  <r>
    <x v="0"/>
    <x v="4"/>
    <x v="21"/>
    <n v="20.518999999999998"/>
  </r>
  <r>
    <x v="0"/>
    <x v="5"/>
    <x v="21"/>
    <n v="21.152999999999999"/>
  </r>
  <r>
    <x v="0"/>
    <x v="6"/>
    <x v="21"/>
    <n v="22.373999999999999"/>
  </r>
  <r>
    <x v="0"/>
    <x v="7"/>
    <x v="21"/>
    <n v="23.57"/>
  </r>
  <r>
    <x v="0"/>
    <x v="8"/>
    <x v="21"/>
    <n v="24.82"/>
  </r>
  <r>
    <x v="0"/>
    <x v="9"/>
    <x v="21"/>
    <n v="25.543907999999998"/>
  </r>
  <r>
    <x v="0"/>
    <x v="10"/>
    <x v="21"/>
    <n v="26.937356000000001"/>
  </r>
  <r>
    <x v="0"/>
    <x v="0"/>
    <x v="22"/>
    <n v="14.902664"/>
  </r>
  <r>
    <x v="0"/>
    <x v="1"/>
    <x v="22"/>
    <n v="15.721219"/>
  </r>
  <r>
    <x v="0"/>
    <x v="2"/>
    <x v="22"/>
    <n v="16.676894999999998"/>
  </r>
  <r>
    <x v="0"/>
    <x v="3"/>
    <x v="22"/>
    <n v="17.986143666666699"/>
  </r>
  <r>
    <x v="0"/>
    <x v="4"/>
    <x v="22"/>
    <n v="18.880660333333299"/>
  </r>
  <r>
    <x v="0"/>
    <x v="5"/>
    <x v="22"/>
    <n v="19.947797000000001"/>
  </r>
  <r>
    <x v="0"/>
    <x v="6"/>
    <x v="22"/>
    <n v="22.121991000000001"/>
  </r>
  <r>
    <x v="0"/>
    <x v="7"/>
    <x v="22"/>
    <n v="24.065127"/>
  </r>
  <r>
    <x v="0"/>
    <x v="8"/>
    <x v="22"/>
    <n v="25.967972"/>
  </r>
  <r>
    <x v="0"/>
    <x v="9"/>
    <x v="22"/>
    <n v="27.695111000000001"/>
  </r>
  <r>
    <x v="0"/>
    <x v="10"/>
    <x v="22"/>
    <n v="29.563624999999998"/>
  </r>
  <r>
    <x v="0"/>
    <x v="0"/>
    <x v="23"/>
    <n v="2.2160000000000002"/>
  </r>
  <r>
    <x v="0"/>
    <x v="1"/>
    <x v="23"/>
    <n v="2.282"/>
  </r>
  <r>
    <x v="0"/>
    <x v="2"/>
    <x v="23"/>
    <n v="2.363"/>
  </r>
  <r>
    <x v="0"/>
    <x v="3"/>
    <x v="23"/>
    <n v="2.4079999999999999"/>
  </r>
  <r>
    <x v="0"/>
    <x v="4"/>
    <x v="23"/>
    <n v="2.448"/>
  </r>
  <r>
    <x v="0"/>
    <x v="5"/>
    <x v="23"/>
    <n v="2.5099999999999998"/>
  </r>
  <r>
    <x v="0"/>
    <x v="6"/>
    <x v="23"/>
    <n v="2.5761120000000002"/>
  </r>
  <r>
    <x v="0"/>
    <x v="7"/>
    <x v="23"/>
    <n v="2.6430699999999998"/>
  </r>
  <r>
    <x v="0"/>
    <x v="8"/>
    <x v="23"/>
    <n v="2.700466"/>
  </r>
  <r>
    <x v="0"/>
    <x v="9"/>
    <x v="23"/>
    <n v="2.7570060000000001"/>
  </r>
  <r>
    <x v="0"/>
    <x v="10"/>
    <x v="23"/>
    <n v="2.818711"/>
  </r>
  <r>
    <x v="0"/>
    <x v="0"/>
    <x v="24"/>
    <n v="25.57"/>
  </r>
  <r>
    <x v="0"/>
    <x v="1"/>
    <x v="24"/>
    <n v="26.794"/>
  </r>
  <r>
    <x v="0"/>
    <x v="2"/>
    <x v="24"/>
    <n v="29.405000000000001"/>
  </r>
  <r>
    <x v="0"/>
    <x v="3"/>
    <x v="24"/>
    <n v="32.021000000000001"/>
  </r>
  <r>
    <x v="0"/>
    <x v="4"/>
    <x v="24"/>
    <n v="33.084000000000003"/>
  </r>
  <r>
    <x v="0"/>
    <x v="5"/>
    <x v="24"/>
    <n v="34.353999999999999"/>
  </r>
  <r>
    <x v="0"/>
    <x v="6"/>
    <x v="24"/>
    <n v="36.414999999999999"/>
  </r>
  <r>
    <x v="0"/>
    <x v="7"/>
    <x v="24"/>
    <n v="38.481999999999999"/>
  </r>
  <r>
    <x v="0"/>
    <x v="8"/>
    <x v="24"/>
    <n v="41.224527000000002"/>
  </r>
  <r>
    <x v="0"/>
    <x v="9"/>
    <x v="24"/>
    <n v="43.383783000000001"/>
  </r>
  <r>
    <x v="0"/>
    <x v="10"/>
    <x v="24"/>
    <n v="44.253107999999997"/>
  </r>
  <r>
    <x v="0"/>
    <x v="0"/>
    <x v="25"/>
    <n v="2.16"/>
  </r>
  <r>
    <x v="0"/>
    <x v="1"/>
    <x v="25"/>
    <n v="2.29"/>
  </r>
  <r>
    <x v="0"/>
    <x v="2"/>
    <x v="25"/>
    <n v="2.4500000000000002"/>
  </r>
  <r>
    <x v="0"/>
    <x v="3"/>
    <x v="25"/>
    <n v="2.62"/>
  </r>
  <r>
    <x v="0"/>
    <x v="4"/>
    <x v="25"/>
    <n v="2.83"/>
  </r>
  <r>
    <x v="0"/>
    <x v="5"/>
    <x v="25"/>
    <n v="3.11"/>
  </r>
  <r>
    <x v="0"/>
    <x v="6"/>
    <x v="25"/>
    <n v="3.41"/>
  </r>
  <r>
    <x v="0"/>
    <x v="7"/>
    <x v="25"/>
    <n v="3.6890000000000001"/>
  </r>
  <r>
    <x v="0"/>
    <x v="8"/>
    <x v="25"/>
    <n v="3.8675000000000002"/>
  </r>
  <r>
    <x v="0"/>
    <x v="9"/>
    <x v="25"/>
    <n v="4.1100000000000003"/>
  </r>
  <r>
    <x v="0"/>
    <x v="10"/>
    <x v="25"/>
    <n v="4.4000000000000004"/>
  </r>
  <r>
    <x v="0"/>
    <x v="0"/>
    <x v="26"/>
    <n v="4.5750000000000002"/>
  </r>
  <r>
    <x v="0"/>
    <x v="1"/>
    <x v="26"/>
    <n v="4.8899999999999997"/>
  </r>
  <r>
    <x v="0"/>
    <x v="2"/>
    <x v="26"/>
    <n v="5.1609999999999996"/>
  </r>
  <r>
    <x v="0"/>
    <x v="3"/>
    <x v="26"/>
    <n v="5.2759999999999998"/>
  </r>
  <r>
    <x v="0"/>
    <x v="4"/>
    <x v="26"/>
    <n v="5.4109999999999996"/>
  </r>
  <r>
    <x v="0"/>
    <x v="5"/>
    <x v="26"/>
    <n v="5.3190689999999998"/>
  </r>
  <r>
    <x v="0"/>
    <x v="6"/>
    <x v="26"/>
    <n v="5.5069220000000003"/>
  </r>
  <r>
    <x v="0"/>
    <x v="7"/>
    <x v="26"/>
    <n v="5.733314"/>
  </r>
  <r>
    <x v="0"/>
    <x v="8"/>
    <x v="26"/>
    <n v="5.9672219999999996"/>
  </r>
  <r>
    <x v="0"/>
    <x v="9"/>
    <x v="26"/>
    <n v="6.1883319999999999"/>
  </r>
  <r>
    <x v="0"/>
    <x v="10"/>
    <x v="26"/>
    <n v="6.383756"/>
  </r>
  <r>
    <x v="0"/>
    <x v="0"/>
    <x v="27"/>
    <n v="30.477058"/>
  </r>
  <r>
    <x v="0"/>
    <x v="1"/>
    <x v="27"/>
    <n v="30.817036000000002"/>
  </r>
  <r>
    <x v="0"/>
    <x v="2"/>
    <x v="27"/>
    <n v="31.105988"/>
  </r>
  <r>
    <x v="0"/>
    <x v="3"/>
    <x v="27"/>
    <n v="31.252476000000001"/>
  </r>
  <r>
    <x v="0"/>
    <x v="4"/>
    <x v="27"/>
    <n v="31.035791"/>
  </r>
  <r>
    <x v="0"/>
    <x v="5"/>
    <x v="27"/>
    <n v="31.258196999999999"/>
  </r>
  <r>
    <x v="0"/>
    <x v="6"/>
    <x v="27"/>
    <n v="31.362715999999999"/>
  </r>
  <r>
    <x v="0"/>
    <x v="7"/>
    <x v="27"/>
    <n v="31.481999999999999"/>
  </r>
  <r>
    <x v="0"/>
    <x v="8"/>
    <x v="27"/>
    <n v="32.103000000000002"/>
  </r>
  <r>
    <x v="0"/>
    <x v="9"/>
    <x v="27"/>
    <n v="32.612782000000003"/>
  </r>
  <r>
    <x v="0"/>
    <x v="10"/>
    <x v="27"/>
    <n v="33.542448"/>
  </r>
  <r>
    <x v="0"/>
    <x v="0"/>
    <x v="28"/>
    <n v="132.90899999999999"/>
  </r>
  <r>
    <x v="0"/>
    <x v="1"/>
    <x v="28"/>
    <n v="135.047"/>
  </r>
  <r>
    <x v="0"/>
    <x v="2"/>
    <x v="28"/>
    <n v="135.22200000000001"/>
  </r>
  <r>
    <x v="0"/>
    <x v="3"/>
    <x v="28"/>
    <n v="135.88200000000001"/>
  </r>
  <r>
    <x v="0"/>
    <x v="4"/>
    <x v="28"/>
    <n v="132.5"/>
  </r>
  <r>
    <x v="0"/>
    <x v="5"/>
    <x v="28"/>
    <n v="129.053"/>
  </r>
  <r>
    <x v="0"/>
    <x v="6"/>
    <x v="28"/>
    <n v="127.577"/>
  </r>
  <r>
    <x v="0"/>
    <x v="7"/>
    <x v="28"/>
    <n v="120.901628"/>
  </r>
  <r>
    <x v="0"/>
    <x v="8"/>
    <x v="28"/>
    <n v="120.213973"/>
  </r>
  <r>
    <x v="0"/>
    <x v="9"/>
    <x v="28"/>
    <n v="120.983811"/>
  </r>
  <r>
    <x v="0"/>
    <x v="10"/>
    <x v="28"/>
    <n v="122.321991"/>
  </r>
  <r>
    <x v="1"/>
    <x v="0"/>
    <x v="0"/>
    <n v="2.8679999999999999"/>
  </r>
  <r>
    <x v="1"/>
    <x v="1"/>
    <x v="0"/>
    <n v="2.9976430000000001"/>
  </r>
  <r>
    <x v="1"/>
    <x v="2"/>
    <x v="0"/>
    <n v="3.1997300000000002"/>
  </r>
  <r>
    <x v="1"/>
    <x v="3"/>
    <x v="0"/>
    <n v="3.5495649999999999"/>
  </r>
  <r>
    <x v="1"/>
    <x v="4"/>
    <x v="0"/>
    <n v="3.7944529999999999"/>
  </r>
  <r>
    <x v="1"/>
    <x v="5"/>
    <x v="0"/>
    <n v="3.9928439999999998"/>
  </r>
  <r>
    <x v="1"/>
    <x v="6"/>
    <x v="0"/>
    <n v="4.1577570000000001"/>
  </r>
  <r>
    <x v="1"/>
    <x v="7"/>
    <x v="0"/>
    <n v="4.4210079999999996"/>
  </r>
  <r>
    <x v="1"/>
    <x v="8"/>
    <x v="0"/>
    <n v="4.6194930000000003"/>
  </r>
  <r>
    <x v="1"/>
    <x v="9"/>
    <x v="0"/>
    <n v="4.8339270000000001"/>
  </r>
  <r>
    <x v="1"/>
    <x v="10"/>
    <x v="0"/>
    <n v="5.2694720000000004"/>
  </r>
  <r>
    <x v="1"/>
    <x v="0"/>
    <x v="1"/>
    <n v="3.34293"/>
  </r>
  <r>
    <x v="1"/>
    <x v="1"/>
    <x v="1"/>
    <n v="3.513242"/>
  </r>
  <r>
    <x v="1"/>
    <x v="2"/>
    <x v="1"/>
    <n v="3.8583750000000001"/>
  </r>
  <r>
    <x v="1"/>
    <x v="3"/>
    <x v="1"/>
    <n v="4.3895970000000002"/>
  </r>
  <r>
    <x v="1"/>
    <x v="4"/>
    <x v="1"/>
    <n v="4.5615139999999998"/>
  </r>
  <r>
    <x v="1"/>
    <x v="5"/>
    <x v="1"/>
    <n v="4.6867809999999999"/>
  </r>
  <r>
    <x v="1"/>
    <x v="6"/>
    <x v="1"/>
    <n v="4.8195699999999997"/>
  </r>
  <r>
    <x v="1"/>
    <x v="7"/>
    <x v="1"/>
    <n v="4.9413140000000002"/>
  </r>
  <r>
    <x v="1"/>
    <x v="8"/>
    <x v="1"/>
    <n v="5.1137920000000001"/>
  </r>
  <r>
    <x v="1"/>
    <x v="9"/>
    <x v="1"/>
    <n v="5.3239979999999996"/>
  </r>
  <r>
    <x v="1"/>
    <x v="10"/>
    <x v="1"/>
    <n v="5.5067769999999996"/>
  </r>
  <r>
    <x v="1"/>
    <x v="0"/>
    <x v="2"/>
    <n v="2.59"/>
  </r>
  <r>
    <x v="1"/>
    <x v="1"/>
    <x v="2"/>
    <n v="2.7"/>
  </r>
  <r>
    <x v="1"/>
    <x v="2"/>
    <x v="2"/>
    <n v="2.8839999999999999"/>
  </r>
  <r>
    <x v="1"/>
    <x v="3"/>
    <x v="2"/>
    <n v="3.1230000000000002"/>
  </r>
  <r>
    <x v="1"/>
    <x v="4"/>
    <x v="2"/>
    <n v="3.2069999999999999"/>
  </r>
  <r>
    <x v="1"/>
    <x v="5"/>
    <x v="2"/>
    <n v="3.5289999999999999"/>
  </r>
  <r>
    <x v="1"/>
    <x v="6"/>
    <x v="2"/>
    <n v="3.7770000000000001"/>
  </r>
  <r>
    <x v="1"/>
    <x v="7"/>
    <x v="2"/>
    <n v="3.9569999999999999"/>
  </r>
  <r>
    <x v="1"/>
    <x v="8"/>
    <x v="2"/>
    <n v="4.231535"/>
  </r>
  <r>
    <x v="1"/>
    <x v="9"/>
    <x v="2"/>
    <n v="4.5107010000000001"/>
  </r>
  <r>
    <x v="1"/>
    <x v="10"/>
    <x v="2"/>
    <n v="4.6427769999999997"/>
  </r>
  <r>
    <x v="1"/>
    <x v="0"/>
    <x v="3"/>
    <n v="0.76782300000000003"/>
  </r>
  <r>
    <x v="1"/>
    <x v="1"/>
    <x v="3"/>
    <n v="0.86273900000000003"/>
  </r>
  <r>
    <x v="1"/>
    <x v="2"/>
    <x v="3"/>
    <n v="0.98304899999999995"/>
  </r>
  <r>
    <x v="1"/>
    <x v="3"/>
    <x v="3"/>
    <n v="1.06298"/>
  </r>
  <r>
    <x v="1"/>
    <x v="4"/>
    <x v="3"/>
    <n v="1.09198"/>
  </r>
  <r>
    <x v="1"/>
    <x v="5"/>
    <x v="3"/>
    <n v="1.0965830000000001"/>
  </r>
  <r>
    <x v="1"/>
    <x v="6"/>
    <x v="3"/>
    <n v="1.1638299999999999"/>
  </r>
  <r>
    <x v="1"/>
    <x v="7"/>
    <x v="3"/>
    <n v="1.2357959999999999"/>
  </r>
  <r>
    <x v="1"/>
    <x v="8"/>
    <x v="3"/>
    <n v="1.2811319999999999"/>
  </r>
  <r>
    <x v="1"/>
    <x v="9"/>
    <x v="3"/>
    <n v="1.2883880000000001"/>
  </r>
  <r>
    <x v="1"/>
    <x v="10"/>
    <x v="3"/>
    <n v="1.312379"/>
  </r>
  <r>
    <x v="1"/>
    <x v="0"/>
    <x v="4"/>
    <n v="22.870999999999999"/>
  </r>
  <r>
    <x v="1"/>
    <x v="1"/>
    <x v="4"/>
    <n v="22.626000000000001"/>
  </r>
  <r>
    <x v="1"/>
    <x v="2"/>
    <x v="4"/>
    <n v="22.419"/>
  </r>
  <r>
    <x v="1"/>
    <x v="3"/>
    <x v="4"/>
    <n v="21.972999999999999"/>
  </r>
  <r>
    <x v="1"/>
    <x v="4"/>
    <x v="4"/>
    <n v="21.606000000000002"/>
  </r>
  <r>
    <x v="1"/>
    <x v="5"/>
    <x v="4"/>
    <n v="21.324000000000002"/>
  </r>
  <r>
    <x v="1"/>
    <x v="6"/>
    <x v="4"/>
    <n v="21.143999999999998"/>
  </r>
  <r>
    <x v="1"/>
    <x v="7"/>
    <x v="4"/>
    <n v="20.998000000000001"/>
  </r>
  <r>
    <x v="1"/>
    <x v="8"/>
    <x v="4"/>
    <n v="20.905737999999999"/>
  </r>
  <r>
    <x v="1"/>
    <x v="9"/>
    <x v="4"/>
    <n v="20.891189000000001"/>
  </r>
  <r>
    <x v="1"/>
    <x v="10"/>
    <x v="4"/>
    <n v="20.844667999999999"/>
  </r>
  <r>
    <x v="1"/>
    <x v="0"/>
    <x v="5"/>
    <n v="13.320069935287"/>
  </r>
  <r>
    <x v="1"/>
    <x v="1"/>
    <x v="5"/>
    <n v="13.6447438752403"/>
  </r>
  <r>
    <x v="1"/>
    <x v="2"/>
    <x v="5"/>
    <n v="15.4477627254902"/>
  </r>
  <r>
    <x v="1"/>
    <x v="3"/>
    <x v="5"/>
    <n v="15.949635000000001"/>
  </r>
  <r>
    <x v="1"/>
    <x v="4"/>
    <x v="5"/>
    <n v="16.396377999999999"/>
  </r>
  <r>
    <x v="1"/>
    <x v="5"/>
    <x v="5"/>
    <n v="17.024431"/>
  </r>
  <r>
    <x v="1"/>
    <x v="6"/>
    <x v="5"/>
    <n v="17.783567000000001"/>
  </r>
  <r>
    <x v="1"/>
    <x v="7"/>
    <x v="5"/>
    <n v="18.761140000000001"/>
  </r>
  <r>
    <x v="1"/>
    <x v="8"/>
    <x v="5"/>
    <n v="19.662590999999999"/>
  </r>
  <r>
    <x v="1"/>
    <x v="9"/>
    <x v="5"/>
    <n v="20.818173000000002"/>
  </r>
  <r>
    <x v="1"/>
    <x v="10"/>
    <x v="5"/>
    <n v="21.573640999999999"/>
  </r>
  <r>
    <x v="1"/>
    <x v="0"/>
    <x v="6"/>
    <n v="3.0150000000000001"/>
  </r>
  <r>
    <x v="1"/>
    <x v="1"/>
    <x v="6"/>
    <n v="3.1320000000000001"/>
  </r>
  <r>
    <x v="1"/>
    <x v="2"/>
    <x v="6"/>
    <n v="3.2360000000000002"/>
  </r>
  <r>
    <x v="1"/>
    <x v="3"/>
    <x v="6"/>
    <n v="3.3679999999999999"/>
  </r>
  <r>
    <x v="1"/>
    <x v="4"/>
    <x v="6"/>
    <n v="3.4790000000000001"/>
  </r>
  <r>
    <x v="1"/>
    <x v="5"/>
    <x v="6"/>
    <n v="3.5819999999999999"/>
  </r>
  <r>
    <x v="1"/>
    <x v="6"/>
    <x v="6"/>
    <n v="3.1669999999999998"/>
  </r>
  <r>
    <x v="1"/>
    <x v="7"/>
    <x v="6"/>
    <n v="3.7771210000000002"/>
  </r>
  <r>
    <x v="1"/>
    <x v="8"/>
    <x v="6"/>
    <n v="3.9828429999999999"/>
  </r>
  <r>
    <x v="1"/>
    <x v="9"/>
    <x v="6"/>
    <n v="4.1545310000000004"/>
  </r>
  <r>
    <x v="1"/>
    <x v="10"/>
    <x v="6"/>
    <n v="4.2800380000000002"/>
  </r>
  <r>
    <x v="1"/>
    <x v="0"/>
    <x v="7"/>
    <n v="4.1126820000000004"/>
  </r>
  <r>
    <x v="1"/>
    <x v="1"/>
    <x v="7"/>
    <n v="4.192272"/>
  </r>
  <r>
    <x v="1"/>
    <x v="2"/>
    <x v="7"/>
    <n v="4.3458259999999997"/>
  </r>
  <r>
    <x v="1"/>
    <x v="3"/>
    <x v="7"/>
    <n v="4.592854"/>
  </r>
  <r>
    <x v="1"/>
    <x v="4"/>
    <x v="7"/>
    <n v="4.8525640000000001"/>
  </r>
  <r>
    <x v="1"/>
    <x v="5"/>
    <x v="7"/>
    <n v="5.222702"/>
  </r>
  <r>
    <x v="1"/>
    <x v="6"/>
    <x v="7"/>
    <n v="5.7636240000000001"/>
  </r>
  <r>
    <x v="1"/>
    <x v="7"/>
    <x v="7"/>
    <n v="6.2080700000000002"/>
  </r>
  <r>
    <x v="1"/>
    <x v="8"/>
    <x v="7"/>
    <n v="6.6792470000000002"/>
  </r>
  <r>
    <x v="1"/>
    <x v="9"/>
    <x v="7"/>
    <n v="7.1111019999999998"/>
  </r>
  <r>
    <x v="1"/>
    <x v="10"/>
    <x v="7"/>
    <n v="7.2719009999999997"/>
  </r>
  <r>
    <x v="1"/>
    <x v="0"/>
    <x v="8"/>
    <n v="0.78600000000000003"/>
  </r>
  <r>
    <x v="1"/>
    <x v="1"/>
    <x v="8"/>
    <n v="0.84099999999999997"/>
  </r>
  <r>
    <x v="1"/>
    <x v="2"/>
    <x v="8"/>
    <n v="0.872"/>
  </r>
  <r>
    <x v="1"/>
    <x v="3"/>
    <x v="8"/>
    <n v="0.90700000000000003"/>
  </r>
  <r>
    <x v="1"/>
    <x v="4"/>
    <x v="8"/>
    <n v="0.91500000000000004"/>
  </r>
  <r>
    <x v="1"/>
    <x v="5"/>
    <x v="8"/>
    <n v="0.96299999999999997"/>
  </r>
  <r>
    <x v="1"/>
    <x v="6"/>
    <x v="8"/>
    <n v="1.008"/>
  </r>
  <r>
    <x v="1"/>
    <x v="7"/>
    <x v="8"/>
    <n v="1.0529999999999999"/>
  </r>
  <r>
    <x v="1"/>
    <x v="8"/>
    <x v="8"/>
    <n v="1.0721339999999999"/>
  </r>
  <r>
    <x v="1"/>
    <x v="9"/>
    <x v="8"/>
    <n v="1.120204"/>
  </r>
  <r>
    <x v="1"/>
    <x v="10"/>
    <x v="8"/>
    <n v="1.1467700000000001"/>
  </r>
  <r>
    <x v="1"/>
    <x v="0"/>
    <x v="9"/>
    <n v="10.401999999999999"/>
  </r>
  <r>
    <x v="1"/>
    <x v="1"/>
    <x v="9"/>
    <n v="10.909000000000001"/>
  </r>
  <r>
    <x v="1"/>
    <x v="2"/>
    <x v="9"/>
    <n v="11.754"/>
  </r>
  <r>
    <x v="1"/>
    <x v="3"/>
    <x v="9"/>
    <n v="12.736000000000001"/>
  </r>
  <r>
    <x v="1"/>
    <x v="4"/>
    <x v="9"/>
    <n v="14.481999999999999"/>
  </r>
  <r>
    <x v="1"/>
    <x v="5"/>
    <x v="9"/>
    <n v="16.513000000000002"/>
  </r>
  <r>
    <x v="1"/>
    <x v="6"/>
    <x v="9"/>
    <n v="18.844000000000001"/>
  </r>
  <r>
    <x v="1"/>
    <x v="7"/>
    <x v="9"/>
    <n v="21.978000000000002"/>
  </r>
  <r>
    <x v="1"/>
    <x v="8"/>
    <x v="9"/>
    <n v="25.479208"/>
  </r>
  <r>
    <x v="1"/>
    <x v="9"/>
    <x v="9"/>
    <n v="28.634872999999999"/>
  </r>
  <r>
    <x v="1"/>
    <x v="10"/>
    <x v="9"/>
    <n v="27.173950999999999"/>
  </r>
  <r>
    <x v="1"/>
    <x v="0"/>
    <x v="10"/>
    <n v="1.0406899999999999"/>
  </r>
  <r>
    <x v="1"/>
    <x v="1"/>
    <x v="10"/>
    <n v="1.1029249999999999"/>
  </r>
  <r>
    <x v="1"/>
    <x v="2"/>
    <x v="10"/>
    <n v="1.155745"/>
  </r>
  <r>
    <x v="1"/>
    <x v="3"/>
    <x v="10"/>
    <n v="1.158004"/>
  </r>
  <r>
    <x v="1"/>
    <x v="4"/>
    <x v="10"/>
    <n v="1.1382810000000001"/>
  </r>
  <r>
    <x v="1"/>
    <x v="5"/>
    <x v="10"/>
    <n v="1.1293340000000001"/>
  </r>
  <r>
    <x v="1"/>
    <x v="6"/>
    <x v="10"/>
    <n v="1.137864"/>
  </r>
  <r>
    <x v="1"/>
    <x v="7"/>
    <x v="10"/>
    <n v="1.132714"/>
  </r>
  <r>
    <x v="1"/>
    <x v="8"/>
    <x v="10"/>
    <n v="1.1273390000000001"/>
  </r>
  <r>
    <x v="1"/>
    <x v="9"/>
    <x v="10"/>
    <n v="1.1379729999999999"/>
  </r>
  <r>
    <x v="1"/>
    <x v="10"/>
    <x v="10"/>
    <n v="1.1517170000000001"/>
  </r>
  <r>
    <x v="1"/>
    <x v="0"/>
    <x v="11"/>
    <n v="3.9361570000000001"/>
  </r>
  <r>
    <x v="1"/>
    <x v="1"/>
    <x v="11"/>
    <n v="4.1339480000000002"/>
  </r>
  <r>
    <x v="1"/>
    <x v="2"/>
    <x v="11"/>
    <n v="4.3837380000000001"/>
  </r>
  <r>
    <x v="1"/>
    <x v="3"/>
    <x v="11"/>
    <n v="4.6989479999999997"/>
  </r>
  <r>
    <x v="1"/>
    <x v="4"/>
    <x v="11"/>
    <n v="4.8024579999999997"/>
  </r>
  <r>
    <x v="1"/>
    <x v="5"/>
    <x v="11"/>
    <n v="4.9373519999999997"/>
  </r>
  <r>
    <x v="1"/>
    <x v="6"/>
    <x v="11"/>
    <n v="5.1253010000000003"/>
  </r>
  <r>
    <x v="1"/>
    <x v="7"/>
    <x v="11"/>
    <n v="5.186553"/>
  </r>
  <r>
    <x v="1"/>
    <x v="8"/>
    <x v="11"/>
    <n v="5.2960589999999996"/>
  </r>
  <r>
    <x v="1"/>
    <x v="9"/>
    <x v="11"/>
    <n v="5.2482240000000004"/>
  </r>
  <r>
    <x v="1"/>
    <x v="10"/>
    <x v="11"/>
    <n v="5.3950610000000001"/>
  </r>
  <r>
    <x v="1"/>
    <x v="0"/>
    <x v="12"/>
    <n v="2.0626180000000001"/>
  </r>
  <r>
    <x v="1"/>
    <x v="1"/>
    <x v="12"/>
    <n v="2.106544"/>
  </r>
  <r>
    <x v="1"/>
    <x v="2"/>
    <x v="12"/>
    <n v="2.174668"/>
  </r>
  <r>
    <x v="1"/>
    <x v="3"/>
    <x v="12"/>
    <n v="2.2194349999999998"/>
  </r>
  <r>
    <x v="1"/>
    <x v="4"/>
    <x v="12"/>
    <n v="2.218874"/>
  </r>
  <r>
    <x v="1"/>
    <x v="5"/>
    <x v="12"/>
    <n v="2.20641"/>
  </r>
  <r>
    <x v="1"/>
    <x v="6"/>
    <x v="12"/>
    <n v="2.20465"/>
  </r>
  <r>
    <x v="1"/>
    <x v="7"/>
    <x v="12"/>
    <n v="2.1832060000000002"/>
  </r>
  <r>
    <x v="1"/>
    <x v="8"/>
    <x v="12"/>
    <n v="2.2123569999999999"/>
  </r>
  <r>
    <x v="1"/>
    <x v="9"/>
    <x v="12"/>
    <n v="2.2199680000000002"/>
  </r>
  <r>
    <x v="1"/>
    <x v="10"/>
    <x v="12"/>
    <n v="2.269936"/>
  </r>
  <r>
    <x v="1"/>
    <x v="0"/>
    <x v="13"/>
    <n v="5.803312"/>
  </r>
  <r>
    <x v="1"/>
    <x v="1"/>
    <x v="13"/>
    <n v="5.9928270000000001"/>
  </r>
  <r>
    <x v="1"/>
    <x v="2"/>
    <x v="13"/>
    <n v="6.140047"/>
  </r>
  <r>
    <x v="1"/>
    <x v="3"/>
    <x v="13"/>
    <n v="6.2797109999999998"/>
  </r>
  <r>
    <x v="1"/>
    <x v="4"/>
    <x v="13"/>
    <n v="6.3467539999999998"/>
  </r>
  <r>
    <x v="1"/>
    <x v="5"/>
    <x v="13"/>
    <n v="6.4161720000000004"/>
  </r>
  <r>
    <x v="1"/>
    <x v="6"/>
    <x v="13"/>
    <n v="6.4708810000000003"/>
  </r>
  <r>
    <x v="1"/>
    <x v="7"/>
    <x v="13"/>
    <n v="6.4321799999999998"/>
  </r>
  <r>
    <x v="1"/>
    <x v="8"/>
    <x v="13"/>
    <n v="6.3701499999999998"/>
  </r>
  <r>
    <x v="1"/>
    <x v="9"/>
    <x v="13"/>
    <n v="6.3456159999999997"/>
  </r>
  <r>
    <x v="1"/>
    <x v="10"/>
    <x v="13"/>
    <n v="6.1467340000000004"/>
  </r>
  <r>
    <x v="1"/>
    <x v="0"/>
    <x v="14"/>
    <n v="1.570282"/>
  </r>
  <r>
    <x v="1"/>
    <x v="1"/>
    <x v="14"/>
    <n v="1.508275"/>
  </r>
  <r>
    <x v="1"/>
    <x v="2"/>
    <x v="14"/>
    <n v="1.623791"/>
  </r>
  <r>
    <x v="1"/>
    <x v="3"/>
    <x v="14"/>
    <n v="1.7622690000000001"/>
  </r>
  <r>
    <x v="1"/>
    <x v="4"/>
    <x v="14"/>
    <n v="1.785874"/>
  </r>
  <r>
    <x v="1"/>
    <x v="5"/>
    <x v="14"/>
    <n v="1.7975429999999999"/>
  </r>
  <r>
    <x v="1"/>
    <x v="6"/>
    <x v="14"/>
    <n v="1.8376049999999999"/>
  </r>
  <r>
    <x v="1"/>
    <x v="7"/>
    <x v="14"/>
    <n v="1.869"/>
  </r>
  <r>
    <x v="1"/>
    <x v="8"/>
    <x v="14"/>
    <n v="1.8862080000000001"/>
  </r>
  <r>
    <x v="1"/>
    <x v="9"/>
    <x v="14"/>
    <n v="1.983017"/>
  </r>
  <r>
    <x v="1"/>
    <x v="10"/>
    <x v="14"/>
    <n v="2.1013229999999998"/>
  </r>
  <r>
    <x v="1"/>
    <x v="0"/>
    <x v="15"/>
    <n v="6.2309999999999999"/>
  </r>
  <r>
    <x v="1"/>
    <x v="1"/>
    <x v="15"/>
    <n v="6.51"/>
  </r>
  <r>
    <x v="1"/>
    <x v="2"/>
    <x v="15"/>
    <n v="6.7619999999999996"/>
  </r>
  <r>
    <x v="1"/>
    <x v="3"/>
    <x v="15"/>
    <n v="6.8170000000000002"/>
  </r>
  <r>
    <x v="1"/>
    <x v="4"/>
    <x v="15"/>
    <n v="6.7590000000000003"/>
  </r>
  <r>
    <x v="1"/>
    <x v="5"/>
    <x v="15"/>
    <n v="6.7190000000000003"/>
  </r>
  <r>
    <x v="1"/>
    <x v="6"/>
    <x v="15"/>
    <n v="6.67"/>
  </r>
  <r>
    <x v="1"/>
    <x v="7"/>
    <x v="15"/>
    <n v="6.5430000000000001"/>
  </r>
  <r>
    <x v="1"/>
    <x v="8"/>
    <x v="15"/>
    <n v="6.4032660000000003"/>
  </r>
  <r>
    <x v="1"/>
    <x v="9"/>
    <x v="15"/>
    <n v="6.336843"/>
  </r>
  <r>
    <x v="1"/>
    <x v="10"/>
    <x v="15"/>
    <n v="6.3859709999999996"/>
  </r>
  <r>
    <x v="1"/>
    <x v="0"/>
    <x v="16"/>
    <n v="4.9243639999999997"/>
  </r>
  <r>
    <x v="1"/>
    <x v="1"/>
    <x v="16"/>
    <n v="5.3106549999999997"/>
  </r>
  <r>
    <x v="1"/>
    <x v="2"/>
    <x v="16"/>
    <n v="5.6293639999999998"/>
  </r>
  <r>
    <x v="1"/>
    <x v="3"/>
    <x v="16"/>
    <n v="6.0018159999999998"/>
  </r>
  <r>
    <x v="1"/>
    <x v="4"/>
    <x v="16"/>
    <n v="6.1406599999999996"/>
  </r>
  <r>
    <x v="1"/>
    <x v="5"/>
    <x v="16"/>
    <n v="6.4050960000000003"/>
  </r>
  <r>
    <x v="1"/>
    <x v="6"/>
    <x v="16"/>
    <n v="6.6490200000000002"/>
  </r>
  <r>
    <x v="1"/>
    <x v="7"/>
    <x v="16"/>
    <n v="7.2840090000000002"/>
  </r>
  <r>
    <x v="1"/>
    <x v="8"/>
    <x v="16"/>
    <n v="7.6217100000000002"/>
  </r>
  <r>
    <x v="1"/>
    <x v="9"/>
    <x v="16"/>
    <n v="7.7908609999999996"/>
  </r>
  <r>
    <x v="1"/>
    <x v="10"/>
    <x v="16"/>
    <n v="7.9527289999999997"/>
  </r>
  <r>
    <x v="1"/>
    <x v="0"/>
    <x v="17"/>
    <n v="6.1980000000000004"/>
  </r>
  <r>
    <x v="1"/>
    <x v="1"/>
    <x v="17"/>
    <n v="6.2610000000000001"/>
  </r>
  <r>
    <x v="1"/>
    <x v="2"/>
    <x v="17"/>
    <n v="6.3330000000000002"/>
  </r>
  <r>
    <x v="1"/>
    <x v="3"/>
    <x v="17"/>
    <n v="6.3620000000000001"/>
  </r>
  <r>
    <x v="1"/>
    <x v="4"/>
    <x v="17"/>
    <n v="6.3879999999999999"/>
  </r>
  <r>
    <x v="1"/>
    <x v="5"/>
    <x v="17"/>
    <n v="6.444"/>
  </r>
  <r>
    <x v="1"/>
    <x v="6"/>
    <x v="17"/>
    <n v="6.5170000000000003"/>
  </r>
  <r>
    <x v="1"/>
    <x v="7"/>
    <x v="17"/>
    <n v="6.5380000000000003"/>
  </r>
  <r>
    <x v="1"/>
    <x v="8"/>
    <x v="17"/>
    <n v="6.55"/>
  </r>
  <r>
    <x v="1"/>
    <x v="9"/>
    <x v="17"/>
    <n v="6.6079999999999997"/>
  </r>
  <r>
    <x v="1"/>
    <x v="10"/>
    <x v="17"/>
    <n v="6.6520000000000001"/>
  </r>
  <r>
    <x v="1"/>
    <x v="0"/>
    <x v="18"/>
    <n v="3.133"/>
  </r>
  <r>
    <x v="1"/>
    <x v="1"/>
    <x v="18"/>
    <n v="3.1720000000000002"/>
  </r>
  <r>
    <x v="1"/>
    <x v="2"/>
    <x v="18"/>
    <n v="2.8370000000000002"/>
  </r>
  <r>
    <x v="1"/>
    <x v="3"/>
    <x v="18"/>
    <n v="2.859"/>
  </r>
  <r>
    <x v="1"/>
    <x v="4"/>
    <x v="18"/>
    <n v="2.8929999999999998"/>
  </r>
  <r>
    <x v="1"/>
    <x v="5"/>
    <x v="18"/>
    <n v="2.96"/>
  </r>
  <r>
    <x v="1"/>
    <x v="6"/>
    <x v="18"/>
    <n v="3.056"/>
  </r>
  <r>
    <x v="1"/>
    <x v="7"/>
    <x v="18"/>
    <n v="3.1070000000000002"/>
  </r>
  <r>
    <x v="1"/>
    <x v="8"/>
    <x v="18"/>
    <n v="3.1634690000000001"/>
  </r>
  <r>
    <x v="1"/>
    <x v="9"/>
    <x v="18"/>
    <n v="3.2444570000000001"/>
  </r>
  <r>
    <x v="1"/>
    <x v="10"/>
    <x v="18"/>
    <n v="3.3558849999999998"/>
  </r>
  <r>
    <x v="1"/>
    <x v="0"/>
    <x v="19"/>
    <n v="2.706"/>
  </r>
  <r>
    <x v="1"/>
    <x v="1"/>
    <x v="19"/>
    <n v="2.948"/>
  </r>
  <r>
    <x v="1"/>
    <x v="2"/>
    <x v="19"/>
    <n v="3.6419999999999999"/>
  </r>
  <r>
    <x v="1"/>
    <x v="3"/>
    <x v="19"/>
    <n v="3.9540000000000002"/>
  </r>
  <r>
    <x v="1"/>
    <x v="4"/>
    <x v="19"/>
    <n v="4.4329999999999998"/>
  </r>
  <r>
    <x v="1"/>
    <x v="5"/>
    <x v="19"/>
    <n v="4.6820000000000004"/>
  </r>
  <r>
    <x v="1"/>
    <x v="6"/>
    <x v="19"/>
    <n v="5.0860000000000003"/>
  </r>
  <r>
    <x v="1"/>
    <x v="7"/>
    <x v="19"/>
    <n v="5.726"/>
  </r>
  <r>
    <x v="1"/>
    <x v="8"/>
    <x v="19"/>
    <n v="5.9080000000000004"/>
  </r>
  <r>
    <x v="1"/>
    <x v="9"/>
    <x v="19"/>
    <n v="6.0679999999999996"/>
  </r>
  <r>
    <x v="1"/>
    <x v="10"/>
    <x v="19"/>
    <n v="6.3920000000000003"/>
  </r>
  <r>
    <x v="1"/>
    <x v="0"/>
    <x v="20"/>
    <n v="5.6563730000000003"/>
  </r>
  <r>
    <x v="1"/>
    <x v="1"/>
    <x v="20"/>
    <n v="6.0851220000000001"/>
  </r>
  <r>
    <x v="1"/>
    <x v="2"/>
    <x v="20"/>
    <n v="6.6200609999999998"/>
  </r>
  <r>
    <x v="1"/>
    <x v="3"/>
    <x v="20"/>
    <n v="7.2183809999999999"/>
  </r>
  <r>
    <x v="1"/>
    <x v="4"/>
    <x v="20"/>
    <n v="7.5220440000000002"/>
  </r>
  <r>
    <x v="1"/>
    <x v="5"/>
    <x v="20"/>
    <n v="7.9624160000000002"/>
  </r>
  <r>
    <x v="1"/>
    <x v="6"/>
    <x v="20"/>
    <n v="8.4356539999999995"/>
  </r>
  <r>
    <x v="1"/>
    <x v="7"/>
    <x v="20"/>
    <n v="8.9638109999999998"/>
  </r>
  <r>
    <x v="1"/>
    <x v="8"/>
    <x v="20"/>
    <n v="9.1223849999999995"/>
  </r>
  <r>
    <x v="1"/>
    <x v="9"/>
    <x v="20"/>
    <n v="9.5734890000000004"/>
  </r>
  <r>
    <x v="1"/>
    <x v="10"/>
    <x v="20"/>
    <n v="10.114943999999999"/>
  </r>
  <r>
    <x v="1"/>
    <x v="0"/>
    <x v="21"/>
    <n v="7.25"/>
  </r>
  <r>
    <x v="1"/>
    <x v="1"/>
    <x v="21"/>
    <n v="7.7729999999999997"/>
  </r>
  <r>
    <x v="1"/>
    <x v="2"/>
    <x v="21"/>
    <n v="8.1720000000000006"/>
  </r>
  <r>
    <x v="1"/>
    <x v="3"/>
    <x v="21"/>
    <n v="8.7870000000000008"/>
  </r>
  <r>
    <x v="1"/>
    <x v="4"/>
    <x v="21"/>
    <n v="9.173"/>
  </r>
  <r>
    <x v="1"/>
    <x v="5"/>
    <x v="21"/>
    <n v="9.3290000000000006"/>
  </r>
  <r>
    <x v="1"/>
    <x v="6"/>
    <x v="21"/>
    <n v="9.5909999999999993"/>
  </r>
  <r>
    <x v="1"/>
    <x v="7"/>
    <x v="21"/>
    <n v="9.7230000000000008"/>
  </r>
  <r>
    <x v="1"/>
    <x v="8"/>
    <x v="21"/>
    <n v="10.050316"/>
  </r>
  <r>
    <x v="1"/>
    <x v="9"/>
    <x v="21"/>
    <n v="10.210521999999999"/>
  </r>
  <r>
    <x v="1"/>
    <x v="10"/>
    <x v="21"/>
    <n v="10.416238"/>
  </r>
  <r>
    <x v="1"/>
    <x v="0"/>
    <x v="22"/>
    <n v="5.0019879999999999"/>
  </r>
  <r>
    <x v="1"/>
    <x v="1"/>
    <x v="22"/>
    <n v="5.2311310000000004"/>
  </r>
  <r>
    <x v="1"/>
    <x v="2"/>
    <x v="22"/>
    <n v="5.5350000000000001"/>
  </r>
  <r>
    <x v="1"/>
    <x v="3"/>
    <x v="22"/>
    <n v="5.8105226666666701"/>
  </r>
  <r>
    <x v="1"/>
    <x v="4"/>
    <x v="22"/>
    <n v="6.0245273333333298"/>
  </r>
  <r>
    <x v="1"/>
    <x v="5"/>
    <x v="22"/>
    <n v="6.3115170000000003"/>
  </r>
  <r>
    <x v="1"/>
    <x v="6"/>
    <x v="22"/>
    <n v="6.7776536666666702"/>
  </r>
  <r>
    <x v="1"/>
    <x v="7"/>
    <x v="22"/>
    <n v="7.3034853333333301"/>
  </r>
  <r>
    <x v="1"/>
    <x v="8"/>
    <x v="22"/>
    <n v="7.5937799999999998"/>
  </r>
  <r>
    <x v="1"/>
    <x v="9"/>
    <x v="22"/>
    <n v="7.8313959999999998"/>
  </r>
  <r>
    <x v="1"/>
    <x v="10"/>
    <x v="22"/>
    <n v="8.1383279999999996"/>
  </r>
  <r>
    <x v="1"/>
    <x v="0"/>
    <x v="23"/>
    <n v="0.52100000000000002"/>
  </r>
  <r>
    <x v="1"/>
    <x v="1"/>
    <x v="23"/>
    <n v="0.54500000000000004"/>
  </r>
  <r>
    <x v="1"/>
    <x v="2"/>
    <x v="23"/>
    <n v="0.57099999999999995"/>
  </r>
  <r>
    <x v="1"/>
    <x v="3"/>
    <x v="23"/>
    <n v="0.57999999999999996"/>
  </r>
  <r>
    <x v="1"/>
    <x v="4"/>
    <x v="23"/>
    <n v="0.58299999999999996"/>
  </r>
  <r>
    <x v="1"/>
    <x v="5"/>
    <x v="23"/>
    <n v="0.58899999999999997"/>
  </r>
  <r>
    <x v="1"/>
    <x v="6"/>
    <x v="23"/>
    <n v="0.59218099999999996"/>
  </r>
  <r>
    <x v="1"/>
    <x v="7"/>
    <x v="23"/>
    <n v="0.60342200000000001"/>
  </r>
  <r>
    <x v="1"/>
    <x v="8"/>
    <x v="23"/>
    <n v="0.61136699999999999"/>
  </r>
  <r>
    <x v="1"/>
    <x v="9"/>
    <x v="23"/>
    <n v="0.618502"/>
  </r>
  <r>
    <x v="1"/>
    <x v="10"/>
    <x v="23"/>
    <n v="0.62629800000000002"/>
  </r>
  <r>
    <x v="1"/>
    <x v="0"/>
    <x v="24"/>
    <n v="5.6420000000000003"/>
  </r>
  <r>
    <x v="1"/>
    <x v="1"/>
    <x v="24"/>
    <n v="5.7530000000000001"/>
  </r>
  <r>
    <x v="1"/>
    <x v="2"/>
    <x v="24"/>
    <n v="6.05"/>
  </r>
  <r>
    <x v="1"/>
    <x v="3"/>
    <x v="24"/>
    <n v="6.2430000000000003"/>
  </r>
  <r>
    <x v="1"/>
    <x v="4"/>
    <x v="24"/>
    <n v="6.2190000000000003"/>
  </r>
  <r>
    <x v="1"/>
    <x v="5"/>
    <x v="24"/>
    <n v="6.3070000000000004"/>
  </r>
  <r>
    <x v="1"/>
    <x v="6"/>
    <x v="24"/>
    <n v="6.4470000000000001"/>
  </r>
  <r>
    <x v="1"/>
    <x v="7"/>
    <x v="24"/>
    <n v="6.94"/>
  </r>
  <r>
    <x v="1"/>
    <x v="8"/>
    <x v="24"/>
    <n v="6.9070859999999996"/>
  </r>
  <r>
    <x v="1"/>
    <x v="9"/>
    <x v="24"/>
    <n v="7.116403"/>
  </r>
  <r>
    <x v="1"/>
    <x v="10"/>
    <x v="24"/>
    <n v="7.1022780000000001"/>
  </r>
  <r>
    <x v="1"/>
    <x v="0"/>
    <x v="25"/>
    <n v="1.42"/>
  </r>
  <r>
    <x v="1"/>
    <x v="1"/>
    <x v="25"/>
    <n v="1.44"/>
  </r>
  <r>
    <x v="1"/>
    <x v="2"/>
    <x v="25"/>
    <n v="1.54"/>
  </r>
  <r>
    <x v="1"/>
    <x v="3"/>
    <x v="25"/>
    <n v="1.61"/>
  </r>
  <r>
    <x v="1"/>
    <x v="4"/>
    <x v="25"/>
    <n v="1.68"/>
  </r>
  <r>
    <x v="1"/>
    <x v="5"/>
    <x v="25"/>
    <n v="1.76"/>
  </r>
  <r>
    <x v="1"/>
    <x v="6"/>
    <x v="25"/>
    <n v="1.87"/>
  </r>
  <r>
    <x v="1"/>
    <x v="7"/>
    <x v="25"/>
    <n v="2.0138889999999998"/>
  </r>
  <r>
    <x v="1"/>
    <x v="8"/>
    <x v="25"/>
    <n v="2.0825"/>
  </r>
  <r>
    <x v="1"/>
    <x v="9"/>
    <x v="25"/>
    <n v="2.13"/>
  </r>
  <r>
    <x v="1"/>
    <x v="10"/>
    <x v="25"/>
    <n v="2.2000000000000002"/>
  </r>
  <r>
    <x v="1"/>
    <x v="0"/>
    <x v="26"/>
    <n v="2.2970000000000002"/>
  </r>
  <r>
    <x v="1"/>
    <x v="1"/>
    <x v="26"/>
    <n v="2.4820000000000002"/>
  </r>
  <r>
    <x v="1"/>
    <x v="2"/>
    <x v="26"/>
    <n v="2.6419999999999999"/>
  </r>
  <r>
    <x v="1"/>
    <x v="3"/>
    <x v="26"/>
    <n v="2.7410000000000001"/>
  </r>
  <r>
    <x v="1"/>
    <x v="4"/>
    <x v="26"/>
    <n v="2.81"/>
  </r>
  <r>
    <x v="1"/>
    <x v="5"/>
    <x v="26"/>
    <n v="2.8375349999999999"/>
  </r>
  <r>
    <x v="1"/>
    <x v="6"/>
    <x v="26"/>
    <n v="2.8975650000000002"/>
  </r>
  <r>
    <x v="1"/>
    <x v="7"/>
    <x v="26"/>
    <n v="2.9663689999999998"/>
  </r>
  <r>
    <x v="1"/>
    <x v="8"/>
    <x v="26"/>
    <n v="3.0454659999999998"/>
  </r>
  <r>
    <x v="1"/>
    <x v="9"/>
    <x v="26"/>
    <n v="3.130862"/>
  </r>
  <r>
    <x v="1"/>
    <x v="10"/>
    <x v="26"/>
    <n v="3.216656"/>
  </r>
  <r>
    <x v="1"/>
    <x v="0"/>
    <x v="27"/>
    <n v="3.9167649999999998"/>
  </r>
  <r>
    <x v="1"/>
    <x v="1"/>
    <x v="27"/>
    <n v="4.1179870000000003"/>
  </r>
  <r>
    <x v="1"/>
    <x v="2"/>
    <x v="27"/>
    <n v="4.2479880000000003"/>
  </r>
  <r>
    <x v="1"/>
    <x v="3"/>
    <x v="27"/>
    <n v="4.2852059999999996"/>
  </r>
  <r>
    <x v="1"/>
    <x v="4"/>
    <x v="27"/>
    <n v="4.1815189999999998"/>
  </r>
  <r>
    <x v="1"/>
    <x v="5"/>
    <x v="27"/>
    <n v="4.2204550000000003"/>
  </r>
  <r>
    <x v="1"/>
    <x v="6"/>
    <x v="27"/>
    <n v="4.269641"/>
  </r>
  <r>
    <x v="1"/>
    <x v="7"/>
    <x v="27"/>
    <n v="4.2789999999999999"/>
  </r>
  <r>
    <x v="1"/>
    <x v="8"/>
    <x v="27"/>
    <n v="4.3647179999999999"/>
  </r>
  <r>
    <x v="1"/>
    <x v="9"/>
    <x v="27"/>
    <n v="4.5005759999999997"/>
  </r>
  <r>
    <x v="1"/>
    <x v="10"/>
    <x v="27"/>
    <n v="4.677162"/>
  </r>
  <r>
    <x v="1"/>
    <x v="0"/>
    <x v="28"/>
    <n v="104.788"/>
  </r>
  <r>
    <x v="1"/>
    <x v="1"/>
    <x v="28"/>
    <n v="109.596"/>
  </r>
  <r>
    <x v="1"/>
    <x v="2"/>
    <x v="28"/>
    <n v="113.479"/>
  </r>
  <r>
    <x v="1"/>
    <x v="3"/>
    <x v="28"/>
    <n v="113.931"/>
  </r>
  <r>
    <x v="1"/>
    <x v="4"/>
    <x v="28"/>
    <n v="116.47199999999999"/>
  </r>
  <r>
    <x v="1"/>
    <x v="5"/>
    <x v="28"/>
    <n v="119.179"/>
  </r>
  <r>
    <x v="1"/>
    <x v="6"/>
    <x v="28"/>
    <n v="121.355"/>
  </r>
  <r>
    <x v="1"/>
    <x v="7"/>
    <x v="28"/>
    <n v="130.59545900000001"/>
  </r>
  <r>
    <x v="1"/>
    <x v="8"/>
    <x v="28"/>
    <n v="132.50072299999999"/>
  </r>
  <r>
    <x v="1"/>
    <x v="9"/>
    <x v="28"/>
    <n v="137.04311799999999"/>
  </r>
  <r>
    <x v="1"/>
    <x v="10"/>
    <x v="28"/>
    <n v="141.872375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4BFD1-43E6-4123-BC2C-E73755ED828B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7" indent="0" outline="1" outlineData="1" multipleFieldFilters="0">
  <location ref="F1:AI26" firstHeaderRow="1" firstDataRow="2" firstDataCol="1"/>
  <pivotFields count="4">
    <pivotField axis="axisRow" showAll="0" defaultSubtotal="0">
      <items count="2">
        <item x="0"/>
        <item x="1"/>
      </items>
    </pivotField>
    <pivotField axis="axisRow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showAll="0" sortType="ascending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howAll="0" defaultSubtota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</rowItems>
  <colFields count="1">
    <field x="2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dataFields count="1">
    <dataField name="Sum of mVeh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AFC6-F3DD-4788-9569-A39C4545E1FC}">
  <dimension ref="A1:AU59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5" sqref="H15"/>
    </sheetView>
  </sheetViews>
  <sheetFormatPr defaultRowHeight="14.25" x14ac:dyDescent="0.45"/>
  <cols>
    <col min="1" max="1" width="4.53125" bestFit="1" customWidth="1"/>
    <col min="3" max="3" width="9.86328125" bestFit="1" customWidth="1"/>
    <col min="5" max="5" width="7.86328125" bestFit="1" customWidth="1"/>
    <col min="6" max="6" width="7.46484375" bestFit="1" customWidth="1"/>
    <col min="7" max="7" width="8.46484375" bestFit="1" customWidth="1"/>
    <col min="8" max="13" width="7.86328125" bestFit="1" customWidth="1"/>
    <col min="14" max="14" width="8.46484375" bestFit="1" customWidth="1"/>
    <col min="15" max="15" width="7.86328125" bestFit="1" customWidth="1"/>
    <col min="16" max="16" width="8.46484375" bestFit="1" customWidth="1"/>
    <col min="17" max="17" width="7.86328125" bestFit="1" customWidth="1"/>
    <col min="18" max="18" width="8.86328125" bestFit="1" customWidth="1"/>
    <col min="19" max="19" width="8.46484375" bestFit="1" customWidth="1"/>
    <col min="20" max="20" width="7.46484375" customWidth="1"/>
    <col min="21" max="21" width="7.53125" customWidth="1"/>
    <col min="22" max="22" width="6.86328125" bestFit="1" customWidth="1"/>
    <col min="23" max="23" width="7.33203125" bestFit="1" customWidth="1"/>
    <col min="24" max="24" width="6.86328125" bestFit="1" customWidth="1"/>
    <col min="25" max="26" width="6.6640625" bestFit="1" customWidth="1"/>
    <col min="27" max="27" width="7.6640625" bestFit="1" customWidth="1"/>
    <col min="28" max="28" width="8.86328125" bestFit="1" customWidth="1"/>
    <col min="29" max="29" width="7.86328125" bestFit="1" customWidth="1"/>
    <col min="30" max="30" width="6.33203125" customWidth="1"/>
    <col min="31" max="34" width="7.6640625" bestFit="1" customWidth="1"/>
    <col min="35" max="35" width="9.46484375" bestFit="1" customWidth="1"/>
    <col min="37" max="37" width="24.6640625" bestFit="1" customWidth="1"/>
    <col min="39" max="39" width="4.1328125" bestFit="1" customWidth="1"/>
  </cols>
  <sheetData>
    <row r="1" spans="1:39" x14ac:dyDescent="0.45">
      <c r="A1" s="4">
        <v>4.1868000000000002E-2</v>
      </c>
      <c r="B1" s="3" t="s">
        <v>26</v>
      </c>
    </row>
    <row r="2" spans="1:39" x14ac:dyDescent="0.45">
      <c r="D2" s="2"/>
    </row>
    <row r="3" spans="1:39" x14ac:dyDescent="0.45">
      <c r="D3" s="2"/>
    </row>
    <row r="4" spans="1:39" ht="14.65" thickBot="1" x14ac:dyDescent="0.5">
      <c r="B4" s="66" t="s">
        <v>401</v>
      </c>
      <c r="C4" s="27" t="s">
        <v>402</v>
      </c>
      <c r="D4" s="27" t="s">
        <v>403</v>
      </c>
      <c r="E4" s="58" t="s">
        <v>413</v>
      </c>
      <c r="F4" s="58" t="s">
        <v>414</v>
      </c>
      <c r="G4" s="58" t="s">
        <v>415</v>
      </c>
      <c r="H4" s="58" t="s">
        <v>416</v>
      </c>
      <c r="I4" s="58" t="s">
        <v>417</v>
      </c>
      <c r="J4" s="58" t="s">
        <v>418</v>
      </c>
      <c r="K4" s="58" t="s">
        <v>419</v>
      </c>
      <c r="L4" s="58" t="s">
        <v>420</v>
      </c>
      <c r="M4" s="58" t="s">
        <v>421</v>
      </c>
      <c r="N4" s="58" t="s">
        <v>315</v>
      </c>
      <c r="O4" s="58" t="s">
        <v>422</v>
      </c>
      <c r="P4" s="58" t="s">
        <v>423</v>
      </c>
      <c r="Q4" s="58" t="s">
        <v>424</v>
      </c>
      <c r="R4" s="58" t="s">
        <v>425</v>
      </c>
      <c r="S4" s="58" t="s">
        <v>426</v>
      </c>
      <c r="T4" s="58" t="s">
        <v>427</v>
      </c>
      <c r="U4" s="58" t="s">
        <v>428</v>
      </c>
      <c r="V4" s="58" t="s">
        <v>429</v>
      </c>
      <c r="W4" s="58" t="s">
        <v>412</v>
      </c>
      <c r="X4" s="58" t="s">
        <v>317</v>
      </c>
      <c r="Y4" s="58" t="s">
        <v>430</v>
      </c>
      <c r="Z4" s="58" t="s">
        <v>431</v>
      </c>
      <c r="AA4" s="59" t="s">
        <v>432</v>
      </c>
      <c r="AB4" s="59" t="s">
        <v>433</v>
      </c>
      <c r="AC4" s="59" t="s">
        <v>316</v>
      </c>
      <c r="AD4" s="59" t="s">
        <v>434</v>
      </c>
      <c r="AE4" s="59" t="s">
        <v>435</v>
      </c>
      <c r="AF4" s="59" t="s">
        <v>436</v>
      </c>
      <c r="AG4" s="59" t="s">
        <v>5</v>
      </c>
      <c r="AH4" s="59" t="s">
        <v>143</v>
      </c>
      <c r="AI4" s="59"/>
    </row>
    <row r="5" spans="1:39" x14ac:dyDescent="0.45">
      <c r="A5" t="str">
        <f>IF(OR(C5="TT",C5="TR"),"RR","")</f>
        <v/>
      </c>
      <c r="B5" t="s">
        <v>19</v>
      </c>
      <c r="C5" t="s">
        <v>23</v>
      </c>
      <c r="D5" t="s">
        <v>170</v>
      </c>
      <c r="E5" s="35"/>
      <c r="F5" s="35"/>
      <c r="G5" s="35"/>
      <c r="H5" s="35"/>
      <c r="I5" s="35"/>
      <c r="J5" s="35"/>
      <c r="K5" s="35"/>
      <c r="L5" s="35">
        <v>6.1607003544000003</v>
      </c>
      <c r="M5" s="35"/>
      <c r="N5" s="35"/>
      <c r="O5" s="35"/>
      <c r="P5" s="35">
        <v>2.3990364E-2</v>
      </c>
      <c r="Q5" s="35"/>
      <c r="R5" s="35"/>
      <c r="S5" s="35"/>
      <c r="T5" s="35"/>
      <c r="U5" s="35"/>
      <c r="V5" s="35"/>
      <c r="W5" s="35"/>
      <c r="X5" s="35"/>
      <c r="Y5" s="35"/>
      <c r="Z5" s="35">
        <v>2.5819618788000001</v>
      </c>
      <c r="AA5" s="35"/>
      <c r="AB5" s="35"/>
      <c r="AC5" s="35"/>
      <c r="AD5" s="35"/>
      <c r="AE5" s="35"/>
      <c r="AF5" s="35"/>
      <c r="AG5" s="35"/>
      <c r="AH5" s="35"/>
      <c r="AI5" s="35"/>
      <c r="AK5" t="s">
        <v>84</v>
      </c>
      <c r="AL5" t="s">
        <v>32</v>
      </c>
      <c r="AM5" t="s">
        <v>338</v>
      </c>
    </row>
    <row r="6" spans="1:39" x14ac:dyDescent="0.45">
      <c r="A6" t="str">
        <f t="shared" ref="A6:A40" si="0">IF(OR(C6="TT",C6="TR"),"RR","")</f>
        <v/>
      </c>
      <c r="B6" t="s">
        <v>19</v>
      </c>
      <c r="C6" t="s">
        <v>23</v>
      </c>
      <c r="D6" t="s">
        <v>34</v>
      </c>
      <c r="E6" s="35"/>
      <c r="F6" s="35">
        <v>2.3701893479999998</v>
      </c>
      <c r="G6" s="35"/>
      <c r="H6" s="35">
        <v>0.50052775319999998</v>
      </c>
      <c r="I6" s="35"/>
      <c r="J6" s="35"/>
      <c r="K6" s="35"/>
      <c r="L6" s="35"/>
      <c r="M6" s="35">
        <v>22.4800010208</v>
      </c>
      <c r="N6" s="35">
        <v>1314.7580152476</v>
      </c>
      <c r="O6" s="35"/>
      <c r="P6" s="35">
        <v>1.10364048E-2</v>
      </c>
      <c r="Q6" s="35"/>
      <c r="R6" s="35">
        <v>1.1388096E-2</v>
      </c>
      <c r="S6" s="35">
        <v>4.7114060399999998E-2</v>
      </c>
      <c r="T6" s="35"/>
      <c r="U6" s="35">
        <v>15.3699018984</v>
      </c>
      <c r="V6" s="35"/>
      <c r="W6" s="35"/>
      <c r="X6" s="35"/>
      <c r="Y6" s="35">
        <v>0.37424549159999998</v>
      </c>
      <c r="Z6" s="35"/>
      <c r="AA6" s="35">
        <v>1.7316018648</v>
      </c>
      <c r="AB6" s="35">
        <v>7.9440343199999999E-2</v>
      </c>
      <c r="AC6" s="35"/>
      <c r="AD6" s="35"/>
      <c r="AE6" s="35">
        <v>3.6019249740000001</v>
      </c>
      <c r="AF6" s="35"/>
      <c r="AG6" s="35"/>
      <c r="AH6" s="35"/>
      <c r="AI6" s="35"/>
      <c r="AK6" t="s">
        <v>85</v>
      </c>
      <c r="AL6" t="s">
        <v>33</v>
      </c>
      <c r="AM6" t="s">
        <v>340</v>
      </c>
    </row>
    <row r="7" spans="1:39" x14ac:dyDescent="0.45">
      <c r="A7" t="str">
        <f t="shared" si="0"/>
        <v/>
      </c>
      <c r="B7" t="s">
        <v>19</v>
      </c>
      <c r="C7" t="s">
        <v>23</v>
      </c>
      <c r="D7" t="s">
        <v>46</v>
      </c>
      <c r="E7" s="35">
        <v>0.27722058840000002</v>
      </c>
      <c r="F7" s="35"/>
      <c r="G7" s="35"/>
      <c r="H7" s="35">
        <v>0.691198812</v>
      </c>
      <c r="I7" s="35"/>
      <c r="J7" s="35"/>
      <c r="K7" s="35"/>
      <c r="L7" s="35"/>
      <c r="M7" s="35"/>
      <c r="N7" s="35"/>
      <c r="O7" s="35"/>
      <c r="P7" s="35"/>
      <c r="Q7" s="35">
        <v>7.5379147199999996E-2</v>
      </c>
      <c r="R7" s="35"/>
      <c r="S7" s="35">
        <v>3.3159456E-3</v>
      </c>
      <c r="T7" s="35"/>
      <c r="U7" s="35"/>
      <c r="V7" s="35"/>
      <c r="W7" s="35"/>
      <c r="X7" s="35"/>
      <c r="Y7" s="35">
        <v>0.2399496948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K7" t="s">
        <v>87</v>
      </c>
      <c r="AL7" t="s">
        <v>38</v>
      </c>
      <c r="AM7" t="s">
        <v>341</v>
      </c>
    </row>
    <row r="8" spans="1:39" x14ac:dyDescent="0.45">
      <c r="A8" t="str">
        <f t="shared" si="0"/>
        <v/>
      </c>
      <c r="B8" t="s">
        <v>19</v>
      </c>
      <c r="C8" t="s">
        <v>23</v>
      </c>
      <c r="D8" t="s">
        <v>40</v>
      </c>
      <c r="E8" s="35">
        <v>2.5678104947999998</v>
      </c>
      <c r="F8" s="35">
        <v>2.1184789319999999</v>
      </c>
      <c r="G8" s="35"/>
      <c r="H8" s="35">
        <v>7.7056965432000002</v>
      </c>
      <c r="I8" s="35">
        <v>86.862605943600002</v>
      </c>
      <c r="J8" s="35">
        <v>3.9347923212000002</v>
      </c>
      <c r="K8" s="35"/>
      <c r="L8" s="35"/>
      <c r="M8" s="35">
        <v>21.702997929599999</v>
      </c>
      <c r="N8" s="35">
        <v>99.093555025200004</v>
      </c>
      <c r="O8" s="35">
        <v>1.7354411604</v>
      </c>
      <c r="P8" s="35">
        <v>28.133206786799999</v>
      </c>
      <c r="Q8" s="35">
        <v>7.0347074147999997</v>
      </c>
      <c r="R8" s="35">
        <v>10.076853042</v>
      </c>
      <c r="S8" s="35">
        <v>6.7545853740000004</v>
      </c>
      <c r="T8" s="35">
        <v>10.991359018800001</v>
      </c>
      <c r="U8" s="35">
        <v>12.1829851008</v>
      </c>
      <c r="V8" s="35">
        <v>12.396298374000001</v>
      </c>
      <c r="W8" s="35">
        <v>13.18800132</v>
      </c>
      <c r="X8" s="35"/>
      <c r="Y8" s="35">
        <v>2.2883667156</v>
      </c>
      <c r="Z8" s="35"/>
      <c r="AA8" s="35">
        <v>8.2227202883999997</v>
      </c>
      <c r="AB8" s="35">
        <v>2.0430160488000002</v>
      </c>
      <c r="AC8" s="35"/>
      <c r="AD8" s="35"/>
      <c r="AE8" s="35">
        <v>6.0861250727999998</v>
      </c>
      <c r="AF8" s="35">
        <v>5.7178708919999996</v>
      </c>
      <c r="AG8" s="35">
        <v>105.002997138</v>
      </c>
      <c r="AH8" s="35"/>
      <c r="AI8" s="35"/>
      <c r="AK8" t="s">
        <v>54</v>
      </c>
      <c r="AL8" t="s">
        <v>29</v>
      </c>
      <c r="AM8" t="s">
        <v>342</v>
      </c>
    </row>
    <row r="9" spans="1:39" x14ac:dyDescent="0.45">
      <c r="A9" t="str">
        <f t="shared" si="0"/>
        <v/>
      </c>
      <c r="B9" t="s">
        <v>19</v>
      </c>
      <c r="C9" t="s">
        <v>23</v>
      </c>
      <c r="D9" t="s">
        <v>44</v>
      </c>
      <c r="E9" s="35"/>
      <c r="F9" s="35">
        <v>0.14324717519999999</v>
      </c>
      <c r="G9" s="35"/>
      <c r="H9" s="35">
        <v>0.12708194040000001</v>
      </c>
      <c r="I9" s="35">
        <v>3.9983939999999997E-3</v>
      </c>
      <c r="J9" s="35">
        <v>2.8799992367999998</v>
      </c>
      <c r="K9" s="35"/>
      <c r="L9" s="35"/>
      <c r="M9" s="35">
        <v>85.400001791999998</v>
      </c>
      <c r="N9" s="35"/>
      <c r="O9" s="35"/>
      <c r="P9" s="35"/>
      <c r="Q9" s="35"/>
      <c r="R9" s="35"/>
      <c r="S9" s="35"/>
      <c r="T9" s="35"/>
      <c r="U9" s="35">
        <v>3.59981064E-2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>
        <v>176.0400014976</v>
      </c>
      <c r="AH9" s="35"/>
      <c r="AI9" s="35"/>
      <c r="AK9" t="s">
        <v>60</v>
      </c>
      <c r="AL9" t="s">
        <v>41</v>
      </c>
      <c r="AM9" t="s">
        <v>339</v>
      </c>
    </row>
    <row r="10" spans="1:39" x14ac:dyDescent="0.45">
      <c r="A10" t="str">
        <f t="shared" si="0"/>
        <v/>
      </c>
      <c r="B10" t="s">
        <v>19</v>
      </c>
      <c r="C10" t="s">
        <v>20</v>
      </c>
      <c r="D10" t="s">
        <v>41</v>
      </c>
      <c r="E10" s="35"/>
      <c r="F10" s="35">
        <v>4.6243206000000002E-2</v>
      </c>
      <c r="G10" s="35">
        <v>0.30864252240000001</v>
      </c>
      <c r="H10" s="35">
        <v>1.27948608E-2</v>
      </c>
      <c r="I10" s="35">
        <v>5.6019383999999998E-2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>
        <v>0.74616312240000005</v>
      </c>
      <c r="AF10" s="35"/>
      <c r="AG10" s="35"/>
      <c r="AH10" s="35"/>
      <c r="AI10" s="35"/>
      <c r="AK10" t="s">
        <v>86</v>
      </c>
      <c r="AL10" t="s">
        <v>37</v>
      </c>
      <c r="AM10" t="s">
        <v>343</v>
      </c>
    </row>
    <row r="11" spans="1:39" x14ac:dyDescent="0.45">
      <c r="A11" t="str">
        <f t="shared" si="0"/>
        <v/>
      </c>
      <c r="B11" t="s">
        <v>19</v>
      </c>
      <c r="C11" t="s">
        <v>20</v>
      </c>
      <c r="D11" t="s">
        <v>42</v>
      </c>
      <c r="E11" s="35"/>
      <c r="F11" s="35"/>
      <c r="G11" s="35">
        <v>0.18076927679999999</v>
      </c>
      <c r="H11" s="35"/>
      <c r="I11" s="35"/>
      <c r="J11" s="35">
        <v>8.9597519999999996E-3</v>
      </c>
      <c r="K11" s="35"/>
      <c r="L11" s="35"/>
      <c r="M11" s="35"/>
      <c r="N11" s="35"/>
      <c r="O11" s="35">
        <v>4.6054799999999998E-5</v>
      </c>
      <c r="P11" s="35"/>
      <c r="Q11" s="35">
        <v>3.09320784E-2</v>
      </c>
      <c r="R11" s="35"/>
      <c r="S11" s="35"/>
      <c r="T11" s="35"/>
      <c r="U11" s="35"/>
      <c r="V11" s="35"/>
      <c r="W11" s="35"/>
      <c r="X11" s="35"/>
      <c r="Y11" s="35">
        <v>0.51011552520000003</v>
      </c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K11" t="s">
        <v>80</v>
      </c>
      <c r="AL11" t="s">
        <v>42</v>
      </c>
      <c r="AM11" t="s">
        <v>344</v>
      </c>
    </row>
    <row r="12" spans="1:39" x14ac:dyDescent="0.45">
      <c r="A12" t="str">
        <f t="shared" si="0"/>
        <v/>
      </c>
      <c r="B12" t="s">
        <v>19</v>
      </c>
      <c r="C12" t="s">
        <v>20</v>
      </c>
      <c r="D12" t="s">
        <v>45</v>
      </c>
      <c r="E12" s="35">
        <v>1.19993688E-2</v>
      </c>
      <c r="F12" s="35"/>
      <c r="G12" s="35"/>
      <c r="H12" s="35"/>
      <c r="I12" s="35">
        <v>5.9452560000000003E-4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>
        <v>7.6400014644000001</v>
      </c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K12" t="s">
        <v>81</v>
      </c>
      <c r="AL12" t="s">
        <v>45</v>
      </c>
      <c r="AM12" t="s">
        <v>345</v>
      </c>
    </row>
    <row r="13" spans="1:39" x14ac:dyDescent="0.45">
      <c r="A13" t="str">
        <f t="shared" si="0"/>
        <v/>
      </c>
      <c r="B13" t="s">
        <v>19</v>
      </c>
      <c r="C13" t="s">
        <v>20</v>
      </c>
      <c r="D13" t="s">
        <v>43</v>
      </c>
      <c r="E13" s="35">
        <v>28.892667186000001</v>
      </c>
      <c r="F13" s="35">
        <v>22.6259235612</v>
      </c>
      <c r="G13" s="35">
        <v>52.095644830799998</v>
      </c>
      <c r="H13" s="35">
        <v>25.442262503999999</v>
      </c>
      <c r="I13" s="35">
        <v>193.77428983920001</v>
      </c>
      <c r="J13" s="35">
        <v>278.03334676319997</v>
      </c>
      <c r="K13" s="35">
        <v>137.98737372240001</v>
      </c>
      <c r="L13" s="35">
        <v>140.16918637800001</v>
      </c>
      <c r="M13" s="35">
        <v>290.2215988584</v>
      </c>
      <c r="N13" s="35">
        <v>1141.9091299080001</v>
      </c>
      <c r="O13" s="35">
        <v>10.7713468656</v>
      </c>
      <c r="P13" s="35">
        <v>4.7938525056000003</v>
      </c>
      <c r="Q13" s="35">
        <v>0.76662820080000005</v>
      </c>
      <c r="R13" s="35">
        <v>47.447853029999997</v>
      </c>
      <c r="S13" s="35">
        <v>3.6679717439999999</v>
      </c>
      <c r="T13" s="35">
        <v>104.06784605039999</v>
      </c>
      <c r="U13" s="35">
        <v>53.855017740000001</v>
      </c>
      <c r="V13" s="35">
        <v>67.799230502399993</v>
      </c>
      <c r="W13" s="35">
        <v>30.753000590399999</v>
      </c>
      <c r="X13" s="35">
        <v>179.28629130600001</v>
      </c>
      <c r="Y13" s="35">
        <v>36.970817270399998</v>
      </c>
      <c r="Z13" s="35">
        <v>0.54145372319999996</v>
      </c>
      <c r="AA13" s="35">
        <v>60.200674171199999</v>
      </c>
      <c r="AB13" s="35">
        <v>15.0798403944</v>
      </c>
      <c r="AC13" s="35">
        <v>245.14399797839999</v>
      </c>
      <c r="AD13" s="35">
        <v>40.847534488800001</v>
      </c>
      <c r="AE13" s="35">
        <v>51.997133613599999</v>
      </c>
      <c r="AF13" s="35">
        <v>37.125494409600002</v>
      </c>
      <c r="AG13" s="35">
        <v>2524.0834341827999</v>
      </c>
      <c r="AH13" s="35"/>
      <c r="AI13" s="35"/>
      <c r="AK13" t="s">
        <v>82</v>
      </c>
      <c r="AL13" t="s">
        <v>39</v>
      </c>
      <c r="AM13" t="s">
        <v>346</v>
      </c>
    </row>
    <row r="14" spans="1:39" x14ac:dyDescent="0.45">
      <c r="A14" t="str">
        <f t="shared" si="0"/>
        <v/>
      </c>
      <c r="B14" t="s">
        <v>19</v>
      </c>
      <c r="C14" t="s">
        <v>18</v>
      </c>
      <c r="D14" t="s">
        <v>45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>
        <v>-5.0799993515999997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K14" t="s">
        <v>83</v>
      </c>
      <c r="AL14" t="s">
        <v>38</v>
      </c>
      <c r="AM14" t="s">
        <v>341</v>
      </c>
    </row>
    <row r="15" spans="1:39" x14ac:dyDescent="0.45">
      <c r="A15" t="str">
        <f t="shared" si="0"/>
        <v/>
      </c>
      <c r="B15" t="s">
        <v>19</v>
      </c>
      <c r="C15" t="s">
        <v>18</v>
      </c>
      <c r="D15" t="s">
        <v>43</v>
      </c>
      <c r="E15" s="35">
        <v>-99.123030097200001</v>
      </c>
      <c r="F15" s="35">
        <v>-192.09280397040001</v>
      </c>
      <c r="G15" s="35">
        <v>-79.985694834</v>
      </c>
      <c r="H15" s="35">
        <f>-61.7382848448-6.9025133916</f>
        <v>-68.640798236400002</v>
      </c>
      <c r="I15" s="35">
        <v>-541.37213084159998</v>
      </c>
      <c r="J15" s="35">
        <v>-1095.7451465376</v>
      </c>
      <c r="K15" s="35">
        <v>-265.72400822520001</v>
      </c>
      <c r="L15" s="35">
        <v>-101.4462184284</v>
      </c>
      <c r="M15" s="35">
        <v>-35.947601031600001</v>
      </c>
      <c r="N15" s="35">
        <v>-739.07707225679997</v>
      </c>
      <c r="O15" s="35">
        <v>-115.4657935908</v>
      </c>
      <c r="P15" s="35">
        <v>-118.5745135248</v>
      </c>
      <c r="Q15" s="35">
        <v>-306.15462535680001</v>
      </c>
      <c r="R15" s="35">
        <v>-233.41009741920001</v>
      </c>
      <c r="S15" s="35">
        <v>-37.673998703999999</v>
      </c>
      <c r="T15" s="35">
        <v>-260.69910716160001</v>
      </c>
      <c r="U15" s="35">
        <v>-282.17336346000002</v>
      </c>
      <c r="V15" s="35">
        <v>-260.04602497680003</v>
      </c>
      <c r="W15" s="35">
        <v>-409.87600114679998</v>
      </c>
      <c r="X15" s="35">
        <v>-177.46910706240001</v>
      </c>
      <c r="Y15" s="35">
        <v>-242.4319689708</v>
      </c>
      <c r="Z15" s="35">
        <v>-176.72738613480001</v>
      </c>
      <c r="AA15" s="35">
        <v>-762.82424179199995</v>
      </c>
      <c r="AB15" s="35">
        <v>-35.984771442000003</v>
      </c>
      <c r="AC15" s="35">
        <v>-245.09999889720001</v>
      </c>
      <c r="AD15" s="35">
        <v>-153.09619095959999</v>
      </c>
      <c r="AE15" s="35">
        <v>-46.072598086799999</v>
      </c>
      <c r="AF15" s="35">
        <v>-493.59478083840003</v>
      </c>
      <c r="AG15" s="35">
        <v>-1072.1840007132</v>
      </c>
      <c r="AH15" s="35"/>
      <c r="AI15" s="35"/>
    </row>
    <row r="16" spans="1:39" x14ac:dyDescent="0.45">
      <c r="A16" t="str">
        <f t="shared" si="0"/>
        <v>RR</v>
      </c>
      <c r="B16" t="s">
        <v>19</v>
      </c>
      <c r="C16" t="s">
        <v>25</v>
      </c>
      <c r="D16" t="s">
        <v>32</v>
      </c>
      <c r="E16" s="35"/>
      <c r="F16" s="35"/>
      <c r="G16" s="35">
        <v>42.357390865200003</v>
      </c>
      <c r="H16" s="35">
        <v>9.6045191999999998E-3</v>
      </c>
      <c r="I16" s="35">
        <v>27.3704555628</v>
      </c>
      <c r="J16" s="35">
        <v>257.7551796756</v>
      </c>
      <c r="K16" s="35">
        <v>0.21377800799999999</v>
      </c>
      <c r="L16" s="35">
        <v>651.0299242968</v>
      </c>
      <c r="M16" s="35">
        <v>21.4185216168</v>
      </c>
      <c r="N16" s="35">
        <v>38.175623398799999</v>
      </c>
      <c r="O16" s="35">
        <v>71.6650494804</v>
      </c>
      <c r="P16" s="35">
        <v>74.2140779904</v>
      </c>
      <c r="Q16" s="35">
        <v>43.711728555599997</v>
      </c>
      <c r="R16" s="35">
        <v>59.775014775599999</v>
      </c>
      <c r="S16" s="35">
        <v>32.294936228399997</v>
      </c>
      <c r="T16" s="35">
        <v>73.584672159600004</v>
      </c>
      <c r="U16" s="35">
        <v>16.160009673600001</v>
      </c>
      <c r="V16" s="35">
        <v>105.7032561852</v>
      </c>
      <c r="W16" s="35">
        <v>79.093889686799997</v>
      </c>
      <c r="X16" s="35">
        <v>1.6369383168</v>
      </c>
      <c r="Y16" s="35">
        <v>31.90613742</v>
      </c>
      <c r="Z16" s="35"/>
      <c r="AA16" s="35"/>
      <c r="AB16" s="35">
        <v>18.191457593999999</v>
      </c>
      <c r="AC16" s="35"/>
      <c r="AD16" s="35"/>
      <c r="AE16" s="35"/>
      <c r="AF16" s="35">
        <v>52.885601881200003</v>
      </c>
      <c r="AG16" s="35">
        <v>182.8209092832</v>
      </c>
      <c r="AH16" s="35"/>
      <c r="AI16" s="35"/>
    </row>
    <row r="17" spans="1:47" x14ac:dyDescent="0.45">
      <c r="A17" t="str">
        <f t="shared" si="0"/>
        <v>RR</v>
      </c>
      <c r="B17" t="s">
        <v>19</v>
      </c>
      <c r="C17" t="s">
        <v>25</v>
      </c>
      <c r="D17" t="s">
        <v>33</v>
      </c>
      <c r="E17" s="35"/>
      <c r="F17" s="35">
        <v>1.9221473196000001</v>
      </c>
      <c r="G17" s="35">
        <v>22.553671953599999</v>
      </c>
      <c r="H17" s="35"/>
      <c r="I17" s="35">
        <v>16.6368485124</v>
      </c>
      <c r="J17" s="35">
        <v>53.3124252072</v>
      </c>
      <c r="K17" s="35">
        <v>5.4593946072000001</v>
      </c>
      <c r="L17" s="35">
        <v>235.95354911160001</v>
      </c>
      <c r="M17" s="35">
        <v>66.814997558399995</v>
      </c>
      <c r="N17" s="35">
        <v>85.759999603200001</v>
      </c>
      <c r="O17" s="35">
        <v>9.3798262044000005</v>
      </c>
      <c r="P17" s="35">
        <v>15.139456239599999</v>
      </c>
      <c r="Q17" s="35">
        <v>15.655638438</v>
      </c>
      <c r="R17" s="35">
        <v>2.3274546803999998</v>
      </c>
      <c r="S17" s="35">
        <v>7.5601131335999998</v>
      </c>
      <c r="T17" s="35">
        <v>5.7976587396000001</v>
      </c>
      <c r="U17" s="35">
        <v>7.2547865568000001</v>
      </c>
      <c r="V17" s="35">
        <v>27.351933159600001</v>
      </c>
      <c r="W17" s="35">
        <v>30.0974942484</v>
      </c>
      <c r="X17" s="35">
        <v>36.820816786800002</v>
      </c>
      <c r="Y17" s="35">
        <v>30.535860582000002</v>
      </c>
      <c r="Z17" s="35"/>
      <c r="AA17" s="35"/>
      <c r="AB17" s="35">
        <v>1.9523927628</v>
      </c>
      <c r="AC17" s="35"/>
      <c r="AD17" s="35"/>
      <c r="AE17" s="35"/>
      <c r="AF17" s="35">
        <v>16.015121272799998</v>
      </c>
      <c r="AG17" s="35">
        <v>1368.38733516</v>
      </c>
      <c r="AH17" s="35"/>
      <c r="AI17" s="35"/>
    </row>
    <row r="18" spans="1:47" x14ac:dyDescent="0.45">
      <c r="A18" t="str">
        <f t="shared" si="0"/>
        <v>RR</v>
      </c>
      <c r="B18" t="s">
        <v>19</v>
      </c>
      <c r="C18" t="s">
        <v>25</v>
      </c>
      <c r="D18" t="s">
        <v>41</v>
      </c>
      <c r="E18" s="35">
        <v>1112.0205486059999</v>
      </c>
      <c r="F18" s="35">
        <v>988.22762012160001</v>
      </c>
      <c r="G18" s="35">
        <v>474.01882803360002</v>
      </c>
      <c r="H18" s="35">
        <v>196.82151824159999</v>
      </c>
      <c r="I18" s="35">
        <v>1715.4087082307999</v>
      </c>
      <c r="J18" s="35">
        <v>2836.3807231596002</v>
      </c>
      <c r="K18" s="35">
        <v>674.97821514359998</v>
      </c>
      <c r="L18" s="35">
        <v>1435.9916282544</v>
      </c>
      <c r="M18" s="35">
        <v>644.83407156960004</v>
      </c>
      <c r="N18" s="35">
        <v>3962.0627206163999</v>
      </c>
      <c r="O18" s="35">
        <v>322.46291473920002</v>
      </c>
      <c r="P18" s="35">
        <v>1230.9174122364</v>
      </c>
      <c r="Q18" s="35">
        <v>671.57681695559995</v>
      </c>
      <c r="R18" s="35">
        <v>1012.3927411536</v>
      </c>
      <c r="S18" s="35">
        <v>523.33750658880001</v>
      </c>
      <c r="T18" s="35">
        <v>1074.182301738</v>
      </c>
      <c r="U18" s="35">
        <v>1390.5105873263999</v>
      </c>
      <c r="V18" s="35">
        <v>1286.4001238388</v>
      </c>
      <c r="W18" s="35">
        <v>1389.27119823</v>
      </c>
      <c r="X18" s="35">
        <v>2433.6589206996</v>
      </c>
      <c r="Y18" s="35">
        <v>1000.349109504</v>
      </c>
      <c r="Z18" s="35">
        <v>517.1857241184</v>
      </c>
      <c r="AA18" s="35">
        <v>1497.7659279528</v>
      </c>
      <c r="AB18" s="35">
        <v>96.304756852799997</v>
      </c>
      <c r="AC18" s="35">
        <v>616.49952994440002</v>
      </c>
      <c r="AD18" s="35">
        <v>851.79872408400001</v>
      </c>
      <c r="AE18" s="35">
        <v>347.12819089919998</v>
      </c>
      <c r="AF18" s="35">
        <v>1019.928177288</v>
      </c>
      <c r="AG18" s="35">
        <v>5138.1263246651997</v>
      </c>
      <c r="AH18" s="35"/>
      <c r="AI18" s="35"/>
      <c r="AK18" s="50">
        <f>31536000/10^9</f>
        <v>3.1536000000000002E-2</v>
      </c>
      <c r="AL18" s="51" t="s">
        <v>334</v>
      </c>
      <c r="AN18" s="52">
        <f>1/AK18</f>
        <v>31.709791983764585</v>
      </c>
      <c r="AO18" s="3" t="s">
        <v>336</v>
      </c>
      <c r="AP18" s="3" t="s">
        <v>337</v>
      </c>
      <c r="AT18" s="52">
        <f>100/AN18</f>
        <v>3.1536</v>
      </c>
      <c r="AU18" s="56" t="s">
        <v>362</v>
      </c>
    </row>
    <row r="19" spans="1:47" x14ac:dyDescent="0.45">
      <c r="A19" t="str">
        <f t="shared" si="0"/>
        <v>RR</v>
      </c>
      <c r="B19" t="s">
        <v>19</v>
      </c>
      <c r="C19" t="s">
        <v>25</v>
      </c>
      <c r="D19" t="s">
        <v>37</v>
      </c>
      <c r="E19" s="35"/>
      <c r="F19" s="35"/>
      <c r="G19" s="35">
        <v>2.9016701135999998</v>
      </c>
      <c r="H19" s="35">
        <v>0.13203492480000001</v>
      </c>
      <c r="I19" s="35">
        <v>0.89122318199999995</v>
      </c>
      <c r="J19" s="35">
        <v>0.61552240199999997</v>
      </c>
      <c r="K19" s="35">
        <v>0.2148833232</v>
      </c>
      <c r="L19" s="35"/>
      <c r="M19" s="35">
        <v>4.6296001548000003</v>
      </c>
      <c r="N19" s="35">
        <v>245.36301367319999</v>
      </c>
      <c r="O19" s="35">
        <v>1.3584365676000001</v>
      </c>
      <c r="P19" s="35">
        <v>0.79621212959999998</v>
      </c>
      <c r="Q19" s="35">
        <v>2.4166167731999999</v>
      </c>
      <c r="R19" s="35">
        <v>0.57130560720000001</v>
      </c>
      <c r="S19" s="35">
        <v>0.4362352524</v>
      </c>
      <c r="T19" s="35">
        <v>0.60042061440000005</v>
      </c>
      <c r="U19" s="35">
        <v>0.56393683920000004</v>
      </c>
      <c r="V19" s="35">
        <v>1.1790573084</v>
      </c>
      <c r="W19" s="35">
        <v>1.2096000144000001</v>
      </c>
      <c r="X19" s="35"/>
      <c r="Y19" s="35">
        <v>3.9439655999999997E-2</v>
      </c>
      <c r="Z19" s="35"/>
      <c r="AA19" s="35"/>
      <c r="AB19" s="35">
        <v>3.1735985867999998</v>
      </c>
      <c r="AC19" s="35"/>
      <c r="AD19" s="35"/>
      <c r="AE19" s="35">
        <v>0.19335061079999999</v>
      </c>
      <c r="AF19" s="35">
        <v>1.31936535</v>
      </c>
      <c r="AG19" s="35">
        <v>23.414913460800001</v>
      </c>
      <c r="AH19" s="35"/>
      <c r="AI19" s="35"/>
      <c r="AK19" s="51">
        <v>3.7999999999999999E-2</v>
      </c>
      <c r="AL19" s="51" t="s">
        <v>335</v>
      </c>
      <c r="AN19" s="52">
        <f>1/AK19</f>
        <v>26.315789473684212</v>
      </c>
      <c r="AO19" s="3" t="s">
        <v>336</v>
      </c>
      <c r="AP19" s="3" t="s">
        <v>337</v>
      </c>
      <c r="AT19" s="52">
        <f>100/AN19</f>
        <v>3.8</v>
      </c>
      <c r="AU19" s="56" t="s">
        <v>362</v>
      </c>
    </row>
    <row r="20" spans="1:47" x14ac:dyDescent="0.45">
      <c r="A20" t="str">
        <f t="shared" si="0"/>
        <v>RR</v>
      </c>
      <c r="B20" t="s">
        <v>19</v>
      </c>
      <c r="C20" t="s">
        <v>25</v>
      </c>
      <c r="D20" t="s">
        <v>42</v>
      </c>
      <c r="E20" s="35">
        <v>715.67029374840001</v>
      </c>
      <c r="F20" s="35">
        <v>1242.7521769944001</v>
      </c>
      <c r="G20" s="35">
        <v>410.2075119708</v>
      </c>
      <c r="H20" s="35">
        <v>410.23312262640002</v>
      </c>
      <c r="I20" s="35">
        <v>2017.2047031288</v>
      </c>
      <c r="J20" s="35">
        <v>3553.7054769828001</v>
      </c>
      <c r="K20" s="35">
        <v>674.81302913640002</v>
      </c>
      <c r="L20" s="35">
        <v>898.18184037959998</v>
      </c>
      <c r="M20" s="35">
        <v>1359.4516530732001</v>
      </c>
      <c r="N20" s="35">
        <v>6022.4049829224004</v>
      </c>
      <c r="O20" s="35">
        <v>190.16307435600001</v>
      </c>
      <c r="P20" s="35">
        <v>381.57698451959999</v>
      </c>
      <c r="Q20" s="35">
        <v>300.14472097800001</v>
      </c>
      <c r="R20" s="35">
        <v>439.49505301200003</v>
      </c>
      <c r="S20" s="35">
        <v>176.45298326279999</v>
      </c>
      <c r="T20" s="35">
        <v>271.13869199520002</v>
      </c>
      <c r="U20" s="35">
        <v>369.3510051696</v>
      </c>
      <c r="V20" s="35">
        <v>329.10323396759998</v>
      </c>
      <c r="W20" s="35">
        <v>722.61199977479998</v>
      </c>
      <c r="X20" s="35">
        <v>1342.8800014103999</v>
      </c>
      <c r="Y20" s="35">
        <v>1297.5831043200001</v>
      </c>
      <c r="Z20" s="35">
        <v>1497.1269385368</v>
      </c>
      <c r="AA20" s="35">
        <v>2359.6238953980001</v>
      </c>
      <c r="AB20" s="35">
        <v>33.120606682800002</v>
      </c>
      <c r="AC20" s="35">
        <v>1493.0669608956</v>
      </c>
      <c r="AD20" s="35">
        <v>1019.3706881208</v>
      </c>
      <c r="AE20" s="35">
        <v>316.57444849439997</v>
      </c>
      <c r="AF20" s="35">
        <v>517.44923712360003</v>
      </c>
      <c r="AG20" s="35">
        <v>15490.670717991599</v>
      </c>
      <c r="AH20" s="35"/>
      <c r="AI20" s="35"/>
    </row>
    <row r="21" spans="1:47" x14ac:dyDescent="0.45">
      <c r="A21" t="str">
        <f t="shared" si="0"/>
        <v>RR</v>
      </c>
      <c r="B21" t="s">
        <v>19</v>
      </c>
      <c r="C21" t="s">
        <v>25</v>
      </c>
      <c r="D21" t="s">
        <v>45</v>
      </c>
      <c r="E21" s="35"/>
      <c r="F21" s="35"/>
      <c r="G21" s="35">
        <v>9.0451627199999995E-2</v>
      </c>
      <c r="H21" s="35">
        <v>0.20284627320000001</v>
      </c>
      <c r="I21" s="35">
        <v>0.1539151416</v>
      </c>
      <c r="J21" s="35"/>
      <c r="K21" s="35"/>
      <c r="L21" s="35"/>
      <c r="M21" s="35"/>
      <c r="N21" s="35"/>
      <c r="O21" s="35"/>
      <c r="P21" s="35"/>
      <c r="Q21" s="35"/>
      <c r="R21" s="35">
        <v>2.0808395999999999E-3</v>
      </c>
      <c r="S21" s="35"/>
      <c r="T21" s="35"/>
      <c r="U21" s="35"/>
      <c r="V21" s="35"/>
      <c r="W21" s="35"/>
      <c r="X21" s="35">
        <v>6.4200391199999998E-2</v>
      </c>
      <c r="Y21" s="35"/>
      <c r="Z21" s="35"/>
      <c r="AA21" s="35"/>
      <c r="AB21" s="35"/>
      <c r="AC21" s="35"/>
      <c r="AD21" s="35"/>
      <c r="AE21" s="35">
        <v>0.74931159599999997</v>
      </c>
      <c r="AF21" s="35"/>
      <c r="AG21" s="35"/>
      <c r="AH21" s="35"/>
      <c r="AI21" s="35"/>
    </row>
    <row r="22" spans="1:47" x14ac:dyDescent="0.45">
      <c r="A22" t="str">
        <f t="shared" si="0"/>
        <v>RR</v>
      </c>
      <c r="B22" t="s">
        <v>19</v>
      </c>
      <c r="C22" t="s">
        <v>25</v>
      </c>
      <c r="D22" t="s">
        <v>43</v>
      </c>
      <c r="E22" s="35"/>
      <c r="F22" s="35"/>
      <c r="G22" s="35">
        <v>0.32455654919999999</v>
      </c>
      <c r="H22" s="35"/>
      <c r="I22" s="35">
        <v>2.8315328399999999E-2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>
        <v>2.5273995012000001</v>
      </c>
      <c r="AF22" s="35"/>
      <c r="AG22" s="35"/>
      <c r="AH22" s="35"/>
      <c r="AI22" s="35"/>
      <c r="AT22">
        <f>AT18/7.96</f>
        <v>0.39618090452261306</v>
      </c>
    </row>
    <row r="23" spans="1:47" x14ac:dyDescent="0.45">
      <c r="A23" t="str">
        <f t="shared" si="0"/>
        <v>RR</v>
      </c>
      <c r="B23" t="s">
        <v>19</v>
      </c>
      <c r="C23" t="s">
        <v>25</v>
      </c>
      <c r="D23" t="s">
        <v>39</v>
      </c>
      <c r="E23" s="35">
        <v>42.939992458799999</v>
      </c>
      <c r="F23" s="35">
        <v>2.46435048E-2</v>
      </c>
      <c r="G23" s="35">
        <v>0.52063276680000004</v>
      </c>
      <c r="H23" s="35">
        <v>18.922824565199999</v>
      </c>
      <c r="I23" s="35">
        <v>175.4077821372</v>
      </c>
      <c r="J23" s="35">
        <v>55.315411261199998</v>
      </c>
      <c r="K23" s="35">
        <v>15.3402216732</v>
      </c>
      <c r="L23" s="35"/>
      <c r="M23" s="35">
        <v>10.9263003336</v>
      </c>
      <c r="N23" s="35">
        <v>90.6037043364</v>
      </c>
      <c r="O23" s="35"/>
      <c r="P23" s="35">
        <v>100.1956338288</v>
      </c>
      <c r="Q23" s="35">
        <v>8.2554819984000005</v>
      </c>
      <c r="R23" s="35">
        <v>86.156368146000005</v>
      </c>
      <c r="S23" s="35">
        <v>27.006714752400001</v>
      </c>
      <c r="T23" s="35">
        <v>5.6658624623999998</v>
      </c>
      <c r="U23" s="35">
        <v>252.03442826520001</v>
      </c>
      <c r="V23" s="35">
        <v>2.4205649255999999</v>
      </c>
      <c r="W23" s="35">
        <v>15.5940003684</v>
      </c>
      <c r="X23" s="35">
        <v>8.1308702700000008</v>
      </c>
      <c r="Y23" s="35">
        <v>34.076507551200002</v>
      </c>
      <c r="Z23" s="35">
        <v>59.731103617199999</v>
      </c>
      <c r="AA23" s="35">
        <v>2.8085347476</v>
      </c>
      <c r="AB23" s="35">
        <v>0.2147284116</v>
      </c>
      <c r="AC23" s="35">
        <v>55.659080552399999</v>
      </c>
      <c r="AD23" s="35"/>
      <c r="AE23" s="35">
        <v>0.65408283</v>
      </c>
      <c r="AF23" s="35">
        <v>2.8979982899999999</v>
      </c>
      <c r="AG23" s="35">
        <v>3.1691019636000002</v>
      </c>
      <c r="AI23" s="35"/>
    </row>
    <row r="24" spans="1:47" x14ac:dyDescent="0.45">
      <c r="A24" t="str">
        <f t="shared" si="0"/>
        <v>RR</v>
      </c>
      <c r="B24" t="s">
        <v>19</v>
      </c>
      <c r="C24" t="s">
        <v>25</v>
      </c>
      <c r="D24" t="s">
        <v>38</v>
      </c>
      <c r="E24" s="35">
        <v>20.348053153199999</v>
      </c>
      <c r="F24" s="35">
        <v>7.4688325200000003E-2</v>
      </c>
      <c r="G24" s="35">
        <v>86.1378373692</v>
      </c>
      <c r="H24" s="35">
        <v>147.9762872172</v>
      </c>
      <c r="I24" s="35">
        <v>51.2277128172</v>
      </c>
      <c r="J24" s="35">
        <v>167.0900424228</v>
      </c>
      <c r="K24" s="35">
        <v>3.1234532831999999</v>
      </c>
      <c r="L24" s="35">
        <v>84.173068425599993</v>
      </c>
      <c r="M24" s="35">
        <v>2.0538012455999999</v>
      </c>
      <c r="N24" s="35">
        <v>1028.3403293424001</v>
      </c>
      <c r="O24" s="35">
        <v>5.2760630087999996</v>
      </c>
      <c r="P24" s="35">
        <v>5.4630580571999996</v>
      </c>
      <c r="Q24" s="35">
        <v>3.8368881899999998</v>
      </c>
      <c r="R24" s="35">
        <v>40.937940061200003</v>
      </c>
      <c r="S24" s="35">
        <v>4.39948944</v>
      </c>
      <c r="T24" s="35">
        <v>8.8681657499999993</v>
      </c>
      <c r="U24" s="35">
        <v>6.0262957008000004</v>
      </c>
      <c r="V24" s="35">
        <v>6.8120701380000002</v>
      </c>
      <c r="W24" s="35">
        <v>8.3365510068000006</v>
      </c>
      <c r="X24" s="35">
        <v>123.3807422112</v>
      </c>
      <c r="Y24" s="35">
        <v>75.744123116400004</v>
      </c>
      <c r="Z24" s="35">
        <v>1.8773988012</v>
      </c>
      <c r="AA24" s="35">
        <v>279.44311349880002</v>
      </c>
      <c r="AB24" s="35">
        <v>2.4442664004000001</v>
      </c>
      <c r="AC24" s="35">
        <v>8.7022177452000005</v>
      </c>
      <c r="AD24" s="35"/>
      <c r="AE24" s="35">
        <v>7.3310868E-3</v>
      </c>
      <c r="AF24" s="35">
        <v>0.56970206280000002</v>
      </c>
      <c r="AG24" s="35">
        <v>50.417244633599999</v>
      </c>
      <c r="AI24" s="35"/>
      <c r="AK24" s="57" t="s">
        <v>363</v>
      </c>
      <c r="AL24">
        <v>41.868000000000002</v>
      </c>
      <c r="AM24" t="s">
        <v>160</v>
      </c>
      <c r="AT24">
        <f>AT18/14.35</f>
        <v>0.2197630662020906</v>
      </c>
    </row>
    <row r="25" spans="1:47" x14ac:dyDescent="0.45">
      <c r="A25" t="str">
        <f t="shared" si="0"/>
        <v>RR</v>
      </c>
      <c r="B25" t="s">
        <v>19</v>
      </c>
      <c r="C25" t="s">
        <v>24</v>
      </c>
      <c r="D25" t="s">
        <v>32</v>
      </c>
      <c r="E25" s="35"/>
      <c r="F25" s="35"/>
      <c r="G25" s="35"/>
      <c r="H25" s="35"/>
      <c r="I25" s="35"/>
      <c r="J25" s="35">
        <v>1.2602268E-3</v>
      </c>
      <c r="K25" s="35"/>
      <c r="L25" s="35">
        <v>4.3922839572000001</v>
      </c>
      <c r="M25" s="35"/>
      <c r="N25" s="35"/>
      <c r="O25" s="35"/>
      <c r="P25" s="35">
        <v>0.39039816599999999</v>
      </c>
      <c r="Q25" s="35">
        <v>6.9345968399999999E-2</v>
      </c>
      <c r="R25" s="35"/>
      <c r="S25" s="35"/>
      <c r="T25" s="35"/>
      <c r="U25" s="35">
        <v>1.2983266800000001E-2</v>
      </c>
      <c r="V25" s="35">
        <v>0.34193176920000001</v>
      </c>
      <c r="W25" s="35">
        <v>0.59372592120000001</v>
      </c>
      <c r="X25" s="35"/>
      <c r="Y25" s="35"/>
      <c r="Z25" s="35"/>
      <c r="AA25" s="35"/>
      <c r="AB25" s="35"/>
      <c r="AC25" s="35"/>
      <c r="AD25" s="35"/>
      <c r="AE25" s="35"/>
      <c r="AF25" s="35"/>
      <c r="AG25" s="35">
        <v>17.209033347599998</v>
      </c>
      <c r="AH25" s="35"/>
      <c r="AI25" s="35"/>
    </row>
    <row r="26" spans="1:47" x14ac:dyDescent="0.45">
      <c r="A26" t="str">
        <f t="shared" si="0"/>
        <v>RR</v>
      </c>
      <c r="B26" t="s">
        <v>19</v>
      </c>
      <c r="C26" t="s">
        <v>24</v>
      </c>
      <c r="D26" t="s">
        <v>29</v>
      </c>
      <c r="E26" s="35"/>
      <c r="F26" s="35">
        <v>0.1461570012</v>
      </c>
      <c r="G26" s="35"/>
      <c r="H26" s="35">
        <v>0.71013989519999998</v>
      </c>
      <c r="I26" s="35">
        <v>3.59897328E-2</v>
      </c>
      <c r="J26" s="35">
        <v>0.75160596239999999</v>
      </c>
      <c r="K26" s="35"/>
      <c r="L26" s="35"/>
      <c r="M26" s="35"/>
      <c r="N26" s="35"/>
      <c r="O26" s="35"/>
      <c r="P26" s="35">
        <v>1.7463142800000001E-2</v>
      </c>
      <c r="Q26" s="35">
        <v>2.6293103999999999E-3</v>
      </c>
      <c r="R26" s="35"/>
      <c r="S26" s="35">
        <v>4.2998435999999996E-3</v>
      </c>
      <c r="T26" s="35"/>
      <c r="U26" s="35">
        <v>0.44037181079999999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>
        <v>0.41068321200000002</v>
      </c>
      <c r="AG26" s="35"/>
      <c r="AH26" s="35"/>
      <c r="AI26" s="35"/>
    </row>
    <row r="27" spans="1:47" x14ac:dyDescent="0.45">
      <c r="A27" t="str">
        <f t="shared" si="0"/>
        <v>RR</v>
      </c>
      <c r="B27" t="s">
        <v>19</v>
      </c>
      <c r="C27" t="s">
        <v>24</v>
      </c>
      <c r="D27" t="s">
        <v>41</v>
      </c>
      <c r="E27" s="35">
        <v>2.6678205864</v>
      </c>
      <c r="F27" s="35">
        <v>15.084554731200001</v>
      </c>
      <c r="G27" s="35">
        <v>1.8757575756</v>
      </c>
      <c r="H27" s="35">
        <v>4.2143198363999996</v>
      </c>
      <c r="I27" s="35">
        <v>10.483391321999999</v>
      </c>
      <c r="J27" s="35">
        <v>68.181623506799994</v>
      </c>
      <c r="K27" s="35">
        <v>49.288198651199998</v>
      </c>
      <c r="L27" s="35">
        <v>40.785770815200003</v>
      </c>
      <c r="M27" s="35">
        <v>94.018198834800003</v>
      </c>
      <c r="N27" s="35">
        <v>114.11817990119999</v>
      </c>
      <c r="O27" s="35">
        <v>4.5532580435999996</v>
      </c>
      <c r="P27" s="35">
        <v>12.799981256400001</v>
      </c>
      <c r="Q27" s="35">
        <v>3.5362675763999998</v>
      </c>
      <c r="R27" s="35">
        <v>2.2759486668000002</v>
      </c>
      <c r="S27" s="35">
        <v>8.3750653800000006</v>
      </c>
      <c r="T27" s="35">
        <v>3.8659069008000002</v>
      </c>
      <c r="U27" s="35">
        <v>14.919272427599999</v>
      </c>
      <c r="V27" s="35">
        <v>4.9130172072000002</v>
      </c>
      <c r="W27" s="35">
        <v>10.7351980344</v>
      </c>
      <c r="X27" s="35">
        <v>109.9560192192</v>
      </c>
      <c r="Y27" s="35">
        <v>7.7455800000000005E-2</v>
      </c>
      <c r="Z27" s="35">
        <v>27.067059100800002</v>
      </c>
      <c r="AA27" s="35">
        <v>3.4297930656000002</v>
      </c>
      <c r="AB27" s="35">
        <v>0.56947597559999996</v>
      </c>
      <c r="AC27" s="35">
        <v>164.53398008880001</v>
      </c>
      <c r="AD27" s="35"/>
      <c r="AE27" s="35">
        <v>5.0480498807999998</v>
      </c>
      <c r="AF27" s="35">
        <v>27.0309772584</v>
      </c>
      <c r="AG27" s="35">
        <v>562.80223314720001</v>
      </c>
      <c r="AH27" s="35"/>
      <c r="AI27" s="35"/>
      <c r="AK27">
        <v>1489</v>
      </c>
    </row>
    <row r="28" spans="1:47" x14ac:dyDescent="0.45">
      <c r="A28" t="str">
        <f t="shared" si="0"/>
        <v>RR</v>
      </c>
      <c r="B28" t="s">
        <v>19</v>
      </c>
      <c r="C28" t="s">
        <v>24</v>
      </c>
      <c r="D28" t="s">
        <v>37</v>
      </c>
      <c r="E28" s="35">
        <v>7.7860747296000001</v>
      </c>
      <c r="F28" s="35">
        <v>0.1818871524</v>
      </c>
      <c r="G28" s="35">
        <v>3.6344857176000001</v>
      </c>
      <c r="H28" s="35">
        <v>21.9661424964</v>
      </c>
      <c r="I28" s="35">
        <v>72.6015738384</v>
      </c>
      <c r="J28" s="35">
        <v>18.411118055999999</v>
      </c>
      <c r="K28" s="35">
        <v>11.929838612399999</v>
      </c>
      <c r="L28" s="35">
        <v>8.1020441519999995</v>
      </c>
      <c r="M28" s="35"/>
      <c r="N28" s="35">
        <v>351.09232431480001</v>
      </c>
      <c r="O28" s="35">
        <v>13.2546426156</v>
      </c>
      <c r="P28" s="35">
        <v>26.296788383999999</v>
      </c>
      <c r="Q28" s="35">
        <v>12.3465131352</v>
      </c>
      <c r="R28" s="35">
        <v>20.635627698</v>
      </c>
      <c r="S28" s="35">
        <v>10.5214953888</v>
      </c>
      <c r="T28" s="35">
        <v>14.2327418976</v>
      </c>
      <c r="U28" s="35">
        <v>38.995235553599997</v>
      </c>
      <c r="V28" s="35">
        <v>30.492908200799999</v>
      </c>
      <c r="W28" s="35">
        <v>40.568400532799998</v>
      </c>
      <c r="X28" s="35">
        <v>68.932798228799996</v>
      </c>
      <c r="Y28" s="35">
        <v>1.569924396</v>
      </c>
      <c r="Z28" s="35">
        <v>3.9816007452000002</v>
      </c>
      <c r="AA28" s="35"/>
      <c r="AB28" s="35">
        <v>2.1131993772</v>
      </c>
      <c r="AC28" s="35">
        <v>190.37124205200001</v>
      </c>
      <c r="AD28" s="35"/>
      <c r="AE28" s="35">
        <v>9.3600017064000003</v>
      </c>
      <c r="AF28" s="35">
        <v>20.356774257600001</v>
      </c>
      <c r="AG28" s="35">
        <v>26.401521186</v>
      </c>
      <c r="AH28" s="35"/>
      <c r="AI28" s="35"/>
    </row>
    <row r="29" spans="1:47" x14ac:dyDescent="0.45">
      <c r="A29" t="str">
        <f t="shared" si="0"/>
        <v>RR</v>
      </c>
      <c r="B29" t="s">
        <v>19</v>
      </c>
      <c r="C29" t="s">
        <v>24</v>
      </c>
      <c r="D29" t="s">
        <v>42</v>
      </c>
      <c r="E29" s="35"/>
      <c r="F29" s="35"/>
      <c r="G29" s="35"/>
      <c r="H29" s="35">
        <v>8.2676739599999993E-2</v>
      </c>
      <c r="I29" s="35"/>
      <c r="J29" s="35"/>
      <c r="K29" s="35">
        <v>4.4555925599999997E-2</v>
      </c>
      <c r="L29" s="35"/>
      <c r="M29" s="35"/>
      <c r="N29" s="35"/>
      <c r="O29" s="35">
        <v>8.7922800000000005E-5</v>
      </c>
      <c r="P29" s="35"/>
      <c r="Q29" s="35"/>
      <c r="R29" s="35">
        <v>1.0111122E-2</v>
      </c>
      <c r="S29" s="35"/>
      <c r="T29" s="35"/>
      <c r="U29" s="35"/>
      <c r="V29" s="35"/>
      <c r="W29" s="35"/>
      <c r="X29" s="35"/>
      <c r="Y29" s="35">
        <v>2.2219347600000001E-2</v>
      </c>
      <c r="Z29" s="35"/>
      <c r="AA29" s="35"/>
      <c r="AB29" s="35"/>
      <c r="AC29" s="35">
        <v>1.1968009667999999</v>
      </c>
      <c r="AD29" s="35"/>
      <c r="AE29" s="35">
        <v>1.3372053048000001</v>
      </c>
      <c r="AF29" s="35"/>
      <c r="AG29" s="35"/>
      <c r="AH29" s="35"/>
      <c r="AI29" s="35"/>
      <c r="AK29">
        <v>6344</v>
      </c>
    </row>
    <row r="30" spans="1:47" x14ac:dyDescent="0.45">
      <c r="A30" t="str">
        <f t="shared" si="0"/>
        <v>RR</v>
      </c>
      <c r="B30" t="s">
        <v>19</v>
      </c>
      <c r="C30" t="s">
        <v>24</v>
      </c>
      <c r="D30" t="s">
        <v>45</v>
      </c>
      <c r="E30" s="35">
        <v>4.2400016675999996</v>
      </c>
      <c r="F30" s="35"/>
      <c r="G30" s="35"/>
      <c r="H30" s="35">
        <v>1.4046714E-2</v>
      </c>
      <c r="I30" s="35"/>
      <c r="J30" s="35">
        <v>8.2563696000000006E-3</v>
      </c>
      <c r="K30" s="35">
        <v>1.7040276000000001E-3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v>8.7198483600000001E-2</v>
      </c>
      <c r="AD30" s="35"/>
      <c r="AE30" s="35">
        <v>3.0902728931999999</v>
      </c>
      <c r="AF30" s="35"/>
      <c r="AG30" s="35"/>
      <c r="AH30" s="35"/>
      <c r="AI30" s="35"/>
      <c r="AK30">
        <v>39.450000000000003</v>
      </c>
    </row>
    <row r="31" spans="1:47" x14ac:dyDescent="0.45">
      <c r="A31" t="str">
        <f t="shared" si="0"/>
        <v/>
      </c>
      <c r="B31" t="s">
        <v>19</v>
      </c>
      <c r="C31" t="s">
        <v>21</v>
      </c>
      <c r="D31" t="s">
        <v>32</v>
      </c>
      <c r="E31" s="35"/>
      <c r="F31" s="35"/>
      <c r="G31" s="35"/>
      <c r="H31" s="35"/>
      <c r="I31" s="35"/>
      <c r="J31" s="35">
        <v>0.25656291720000002</v>
      </c>
      <c r="K31" s="35"/>
      <c r="L31" s="35"/>
      <c r="M31" s="35"/>
      <c r="N31" s="35"/>
      <c r="O31" s="35">
        <v>0.16820468999999999</v>
      </c>
      <c r="P31" s="35"/>
      <c r="Q31" s="35">
        <v>0.1182477924</v>
      </c>
      <c r="R31" s="35">
        <v>1.6964913599999999E-2</v>
      </c>
      <c r="S31" s="35"/>
      <c r="T31" s="35">
        <v>0.1059637212</v>
      </c>
      <c r="U31" s="35">
        <v>2.8968469199999999E-2</v>
      </c>
      <c r="V31" s="35">
        <v>0.17838280079999999</v>
      </c>
      <c r="W31" s="35"/>
      <c r="X31" s="35"/>
      <c r="Y31" s="35"/>
      <c r="Z31" s="35"/>
      <c r="AA31" s="35"/>
      <c r="AB31" s="35">
        <v>4.1868E-5</v>
      </c>
      <c r="AC31" s="35"/>
      <c r="AD31" s="35"/>
      <c r="AE31" s="35"/>
      <c r="AF31" s="35"/>
      <c r="AG31" s="35">
        <v>4.5131526863999998</v>
      </c>
      <c r="AH31" s="35"/>
      <c r="AI31" s="35"/>
      <c r="AK31">
        <v>14164</v>
      </c>
    </row>
    <row r="32" spans="1:47" x14ac:dyDescent="0.45">
      <c r="A32" t="str">
        <f t="shared" si="0"/>
        <v/>
      </c>
      <c r="B32" t="s">
        <v>19</v>
      </c>
      <c r="C32" t="s">
        <v>21</v>
      </c>
      <c r="D32" t="s">
        <v>41</v>
      </c>
      <c r="E32" s="35">
        <v>2.2515982380000001</v>
      </c>
      <c r="F32" s="35">
        <v>20.462294178</v>
      </c>
      <c r="G32" s="35">
        <v>17.652453148799999</v>
      </c>
      <c r="H32" s="35">
        <v>1.3265792063999999</v>
      </c>
      <c r="I32" s="35">
        <v>52.541350624800003</v>
      </c>
      <c r="J32" s="35">
        <v>232.6104186192</v>
      </c>
      <c r="K32" s="35">
        <v>14.6172952908</v>
      </c>
      <c r="L32" s="35">
        <v>13.322179886400001</v>
      </c>
      <c r="M32" s="35">
        <v>31.6092011904</v>
      </c>
      <c r="N32" s="35">
        <v>622.70790957719998</v>
      </c>
      <c r="O32" s="35">
        <v>10.993741308000001</v>
      </c>
      <c r="P32" s="35">
        <v>1.8474757416000001</v>
      </c>
      <c r="Q32" s="35">
        <v>21.490681114800001</v>
      </c>
      <c r="R32" s="35">
        <v>23.319680508000001</v>
      </c>
      <c r="S32" s="35">
        <v>4.1350260311999998</v>
      </c>
      <c r="T32" s="35">
        <v>20.691115358400001</v>
      </c>
      <c r="U32" s="35">
        <v>23.018729137200001</v>
      </c>
      <c r="V32" s="35">
        <v>7.3308230315999996</v>
      </c>
      <c r="W32" s="35">
        <v>11.2463979408</v>
      </c>
      <c r="X32" s="35">
        <v>35.081661934800003</v>
      </c>
      <c r="Y32" s="35">
        <v>17.332950067199999</v>
      </c>
      <c r="Z32" s="35">
        <v>26.123810742</v>
      </c>
      <c r="AA32" s="35"/>
      <c r="AB32" s="35">
        <v>36.583387545599997</v>
      </c>
      <c r="AC32" s="35">
        <v>17.106456747599999</v>
      </c>
      <c r="AD32" s="35"/>
      <c r="AE32" s="35">
        <v>11.0169654876</v>
      </c>
      <c r="AF32" s="35">
        <v>36.848575270799998</v>
      </c>
      <c r="AG32" s="35">
        <v>146.75256931320001</v>
      </c>
      <c r="AH32" s="35"/>
      <c r="AI32" s="35"/>
    </row>
    <row r="33" spans="1:37" x14ac:dyDescent="0.45">
      <c r="A33" t="str">
        <f t="shared" si="0"/>
        <v/>
      </c>
      <c r="B33" t="s">
        <v>19</v>
      </c>
      <c r="C33" t="s">
        <v>21</v>
      </c>
      <c r="D33" t="s">
        <v>42</v>
      </c>
      <c r="E33" s="35"/>
      <c r="F33" s="35">
        <v>2.8287653652000002</v>
      </c>
      <c r="G33" s="35">
        <v>2.0967494400000002E-2</v>
      </c>
      <c r="H33" s="35"/>
      <c r="I33" s="35"/>
      <c r="J33" s="35">
        <v>9.0982597175999995</v>
      </c>
      <c r="K33" s="35">
        <v>11.242319997599999</v>
      </c>
      <c r="L33" s="35"/>
      <c r="M33" s="35"/>
      <c r="N33" s="35"/>
      <c r="O33" s="35">
        <v>1.3640008248</v>
      </c>
      <c r="P33" s="35">
        <v>0.102388194</v>
      </c>
      <c r="Q33" s="35">
        <v>1.8463787999999999E-3</v>
      </c>
      <c r="R33" s="35">
        <v>2.0238991200000001E-2</v>
      </c>
      <c r="S33" s="35"/>
      <c r="T33" s="35"/>
      <c r="U33" s="35">
        <v>0.82389943799999998</v>
      </c>
      <c r="V33" s="35">
        <v>13.110285938400001</v>
      </c>
      <c r="W33" s="35"/>
      <c r="X33" s="35"/>
      <c r="Y33" s="35">
        <v>0.3150608868</v>
      </c>
      <c r="Z33" s="35"/>
      <c r="AA33" s="35"/>
      <c r="AB33" s="35">
        <v>2.6370978479999998</v>
      </c>
      <c r="AC33" s="35">
        <v>0.58520159640000002</v>
      </c>
      <c r="AD33" s="35"/>
      <c r="AE33" s="35">
        <v>3.8229670799999997E-2</v>
      </c>
      <c r="AF33" s="35"/>
      <c r="AG33" s="35">
        <v>198.20899864079999</v>
      </c>
      <c r="AH33" s="35"/>
      <c r="AI33" s="35"/>
    </row>
    <row r="34" spans="1:37" x14ac:dyDescent="0.45">
      <c r="A34" t="str">
        <f t="shared" si="0"/>
        <v/>
      </c>
      <c r="B34" t="s">
        <v>19</v>
      </c>
      <c r="C34" t="s">
        <v>21</v>
      </c>
      <c r="D34" t="s">
        <v>45</v>
      </c>
      <c r="E34" s="35">
        <v>9.7814743019999995</v>
      </c>
      <c r="F34" s="35">
        <v>0.26331622560000001</v>
      </c>
      <c r="G34" s="35">
        <v>9.4408404408000006</v>
      </c>
      <c r="H34" s="35"/>
      <c r="I34" s="35">
        <v>94.339020758399997</v>
      </c>
      <c r="J34" s="35">
        <v>17.3398289796</v>
      </c>
      <c r="K34" s="35">
        <v>7.7457432851999997</v>
      </c>
      <c r="L34" s="35">
        <v>40.989353965200003</v>
      </c>
      <c r="M34" s="35">
        <v>21.466799607599999</v>
      </c>
      <c r="N34" s="35">
        <v>395.31815841600002</v>
      </c>
      <c r="O34" s="35">
        <v>3.920917266</v>
      </c>
      <c r="P34" s="35"/>
      <c r="Q34" s="35">
        <v>2.8001318399999999E-2</v>
      </c>
      <c r="R34" s="35">
        <v>29.446522210800001</v>
      </c>
      <c r="S34" s="35"/>
      <c r="T34" s="35">
        <v>25.9033589748</v>
      </c>
      <c r="U34" s="35">
        <v>1.3999989312000001</v>
      </c>
      <c r="V34" s="35">
        <v>0.47387877119999999</v>
      </c>
      <c r="W34" s="35"/>
      <c r="X34" s="35">
        <v>29.293741692000001</v>
      </c>
      <c r="Y34" s="35">
        <v>7.1833723092000001</v>
      </c>
      <c r="Z34" s="35">
        <v>2.6532002808000001</v>
      </c>
      <c r="AA34" s="35"/>
      <c r="AB34" s="35">
        <v>0.32504221799999999</v>
      </c>
      <c r="AC34" s="35">
        <v>7.8600010571999999</v>
      </c>
      <c r="AD34" s="35"/>
      <c r="AE34" s="35"/>
      <c r="AF34" s="35">
        <v>0.330401322</v>
      </c>
      <c r="AG34" s="35">
        <v>14.3525639268</v>
      </c>
      <c r="AH34" s="35"/>
      <c r="AI34" s="35"/>
    </row>
    <row r="35" spans="1:37" x14ac:dyDescent="0.45">
      <c r="A35" t="str">
        <f t="shared" si="0"/>
        <v/>
      </c>
      <c r="B35" t="s">
        <v>19</v>
      </c>
      <c r="C35" t="s">
        <v>21</v>
      </c>
      <c r="D35" t="s">
        <v>38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>
        <v>3.1542220764</v>
      </c>
      <c r="AC35" s="35"/>
      <c r="AD35" s="35"/>
      <c r="AE35" s="35"/>
      <c r="AF35" s="35"/>
      <c r="AG35" s="35"/>
      <c r="AH35" s="35"/>
      <c r="AI35" s="35"/>
      <c r="AK35">
        <v>89.6</v>
      </c>
    </row>
    <row r="36" spans="1:37" x14ac:dyDescent="0.45">
      <c r="A36" t="str">
        <f t="shared" si="0"/>
        <v/>
      </c>
      <c r="B36" t="s">
        <v>19</v>
      </c>
      <c r="C36" t="s">
        <v>22</v>
      </c>
      <c r="D36" t="s">
        <v>32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>
        <v>-1.9816836155999999</v>
      </c>
      <c r="R36" s="35">
        <v>-1.5449292000000001E-3</v>
      </c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>
        <v>-8.5687467480000006</v>
      </c>
      <c r="AH36" s="35"/>
      <c r="AI36" s="35"/>
    </row>
    <row r="37" spans="1:37" x14ac:dyDescent="0.45">
      <c r="A37" t="str">
        <f t="shared" si="0"/>
        <v/>
      </c>
      <c r="B37" t="s">
        <v>19</v>
      </c>
      <c r="C37" t="s">
        <v>22</v>
      </c>
      <c r="D37" t="s">
        <v>41</v>
      </c>
      <c r="E37" s="35">
        <v>-9.1431003456000006</v>
      </c>
      <c r="F37" s="35">
        <v>-35.018964604799997</v>
      </c>
      <c r="G37" s="35">
        <v>-3.3965415000000001</v>
      </c>
      <c r="H37" s="35">
        <v>-1.4358128184000001</v>
      </c>
      <c r="I37" s="35">
        <v>-67.518656287200002</v>
      </c>
      <c r="J37" s="35">
        <v>-196.70221956239999</v>
      </c>
      <c r="K37" s="35">
        <v>-5.1881695164000003</v>
      </c>
      <c r="L37" s="35">
        <v>-19.718090478000001</v>
      </c>
      <c r="M37" s="35">
        <v>-4.6860005376</v>
      </c>
      <c r="N37" s="35">
        <v>-177.87757545720001</v>
      </c>
      <c r="O37" s="35">
        <v>-38.849790308400003</v>
      </c>
      <c r="P37" s="35">
        <v>-25.3862347464</v>
      </c>
      <c r="Q37" s="35">
        <v>-138.48621419520001</v>
      </c>
      <c r="R37" s="35">
        <v>-59.697609217199997</v>
      </c>
      <c r="S37" s="35">
        <v>-5.9606341163999996</v>
      </c>
      <c r="T37" s="35">
        <v>-74.435618325600004</v>
      </c>
      <c r="U37" s="35">
        <v>-8.3002975055999997</v>
      </c>
      <c r="V37" s="35">
        <v>-5.9298778835999997</v>
      </c>
      <c r="W37" s="35">
        <v>-30.075601471199999</v>
      </c>
      <c r="X37" s="35">
        <v>-2.3815020815999999</v>
      </c>
      <c r="Y37" s="35">
        <v>-65.907060670800007</v>
      </c>
      <c r="Z37" s="35">
        <v>-30.033000781199998</v>
      </c>
      <c r="AA37" s="35">
        <v>-35.604873770399998</v>
      </c>
      <c r="AB37" s="35">
        <v>-12.075819768000001</v>
      </c>
      <c r="AC37" s="35">
        <v>-364.01444290080002</v>
      </c>
      <c r="AD37" s="35"/>
      <c r="AE37" s="35">
        <v>-68.675029513200002</v>
      </c>
      <c r="AF37" s="35">
        <v>-87.642087620400005</v>
      </c>
      <c r="AG37" s="35">
        <v>-427.02095133360001</v>
      </c>
      <c r="AH37" s="35"/>
      <c r="AI37" s="35"/>
    </row>
    <row r="38" spans="1:37" x14ac:dyDescent="0.45">
      <c r="A38" t="str">
        <f t="shared" si="0"/>
        <v/>
      </c>
      <c r="B38" t="s">
        <v>19</v>
      </c>
      <c r="C38" t="s">
        <v>22</v>
      </c>
      <c r="D38" t="s">
        <v>45</v>
      </c>
      <c r="E38" s="35">
        <v>-26.7034690152</v>
      </c>
      <c r="F38" s="35">
        <v>-53.407917741600002</v>
      </c>
      <c r="G38" s="35">
        <v>-19.622568636</v>
      </c>
      <c r="H38" s="35"/>
      <c r="I38" s="35">
        <v>-468.93261128400002</v>
      </c>
      <c r="J38" s="35">
        <v>-1904.0822866188</v>
      </c>
      <c r="K38" s="35">
        <v>-40.581057229199999</v>
      </c>
      <c r="L38" s="35">
        <v>-119.4358555152</v>
      </c>
      <c r="M38" s="35">
        <v>-18.813599326799999</v>
      </c>
      <c r="N38" s="35">
        <v>-701.81569525320003</v>
      </c>
      <c r="O38" s="35">
        <v>-88.967678742000004</v>
      </c>
      <c r="P38" s="35">
        <v>-13.9614414444</v>
      </c>
      <c r="Q38" s="35">
        <v>-673.53079232879998</v>
      </c>
      <c r="R38" s="35">
        <v>-263.21380809840002</v>
      </c>
      <c r="S38" s="35">
        <v>-7.4917678103999998</v>
      </c>
      <c r="T38" s="35">
        <v>-261.79840593</v>
      </c>
      <c r="U38" s="35">
        <v>-30.7200002328</v>
      </c>
      <c r="V38" s="35">
        <v>-65.158238930400003</v>
      </c>
      <c r="W38" s="35">
        <v>-26.719998501599999</v>
      </c>
      <c r="X38" s="35">
        <v>-65.767439264399997</v>
      </c>
      <c r="Y38" s="35">
        <v>-272.1700348128</v>
      </c>
      <c r="Z38" s="35">
        <v>-3.0168029268000001</v>
      </c>
      <c r="AA38" s="35">
        <v>-833.70404855879997</v>
      </c>
      <c r="AB38" s="35">
        <v>-2.1987608220000001</v>
      </c>
      <c r="AC38" s="35">
        <v>-88.480000278000006</v>
      </c>
      <c r="AD38" s="35">
        <v>-135.01029096720001</v>
      </c>
      <c r="AE38" s="35">
        <v>-57.689933947199997</v>
      </c>
      <c r="AF38" s="35">
        <v>-179.67128012640001</v>
      </c>
      <c r="AG38" s="35">
        <v>-522.96714644760004</v>
      </c>
      <c r="AH38" s="35"/>
      <c r="AI38" s="35"/>
    </row>
    <row r="39" spans="1:37" x14ac:dyDescent="0.45">
      <c r="A39" t="str">
        <f t="shared" si="0"/>
        <v/>
      </c>
      <c r="B39" t="s">
        <v>19</v>
      </c>
      <c r="C39" t="s">
        <v>22</v>
      </c>
      <c r="D39" t="s">
        <v>43</v>
      </c>
      <c r="E39" s="35"/>
      <c r="F39" s="35"/>
      <c r="G39" s="35"/>
      <c r="H39" s="112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spans="1:37" x14ac:dyDescent="0.45">
      <c r="A40" t="str">
        <f t="shared" si="0"/>
        <v/>
      </c>
      <c r="B40" t="s">
        <v>19</v>
      </c>
      <c r="C40" t="s">
        <v>22</v>
      </c>
      <c r="D40" t="s">
        <v>38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>
        <v>-0.74190096000000005</v>
      </c>
      <c r="P40" s="35">
        <v>-0.85229850240000005</v>
      </c>
      <c r="Q40" s="35">
        <v>-2.8695364236000001</v>
      </c>
      <c r="R40" s="35"/>
      <c r="S40" s="35"/>
      <c r="T40" s="35">
        <v>-1.4913004787999999</v>
      </c>
      <c r="U40" s="35"/>
      <c r="V40" s="35"/>
      <c r="W40" s="35"/>
      <c r="X40" s="35"/>
      <c r="Y40" s="35"/>
      <c r="Z40" s="35"/>
      <c r="AA40" s="35"/>
      <c r="AB40" s="35">
        <v>-2.2015199231999998</v>
      </c>
      <c r="AC40" s="35"/>
      <c r="AD40" s="35"/>
      <c r="AE40" s="35"/>
      <c r="AF40" s="35"/>
      <c r="AG40" s="35"/>
      <c r="AH40" s="35"/>
      <c r="AI40" s="35"/>
    </row>
    <row r="41" spans="1:37" x14ac:dyDescent="0.45"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</row>
    <row r="42" spans="1:37" x14ac:dyDescent="0.45">
      <c r="E42" s="40">
        <f t="shared" ref="E42:AI42" si="1">SUMIF($A$5:$A$40,"RR",E$5:E$40)</f>
        <v>1905.6727849499998</v>
      </c>
      <c r="F42" s="40">
        <f t="shared" si="1"/>
        <v>2248.4138751504006</v>
      </c>
      <c r="G42" s="40">
        <f t="shared" si="1"/>
        <v>1044.6227945423998</v>
      </c>
      <c r="H42" s="40">
        <f t="shared" si="1"/>
        <v>801.28556404919993</v>
      </c>
      <c r="I42" s="40">
        <f t="shared" si="1"/>
        <v>4087.4506189343997</v>
      </c>
      <c r="J42" s="40">
        <f t="shared" si="1"/>
        <v>7011.528645232801</v>
      </c>
      <c r="K42" s="40">
        <f t="shared" si="1"/>
        <v>1435.4072723915999</v>
      </c>
      <c r="L42" s="40">
        <f t="shared" si="1"/>
        <v>3358.6101093923999</v>
      </c>
      <c r="M42" s="40">
        <f t="shared" si="1"/>
        <v>2204.1471443867999</v>
      </c>
      <c r="N42" s="40">
        <f t="shared" si="1"/>
        <v>11937.9208781088</v>
      </c>
      <c r="O42" s="40">
        <f t="shared" si="1"/>
        <v>618.1133529384</v>
      </c>
      <c r="P42" s="40">
        <f t="shared" si="1"/>
        <v>1847.8074659508</v>
      </c>
      <c r="Q42" s="40">
        <f t="shared" si="1"/>
        <v>1061.5526478791999</v>
      </c>
      <c r="R42" s="40">
        <f t="shared" si="1"/>
        <v>1664.5796457623999</v>
      </c>
      <c r="S42" s="40">
        <f t="shared" si="1"/>
        <v>790.38883927080019</v>
      </c>
      <c r="T42" s="40">
        <f t="shared" si="1"/>
        <v>1457.9364222575998</v>
      </c>
      <c r="U42" s="40">
        <f t="shared" si="1"/>
        <v>2096.2689125903999</v>
      </c>
      <c r="V42" s="40">
        <f t="shared" si="1"/>
        <v>1794.7180967004001</v>
      </c>
      <c r="W42" s="40">
        <f t="shared" si="1"/>
        <v>2298.1120578180003</v>
      </c>
      <c r="X42" s="40">
        <f t="shared" si="1"/>
        <v>4125.4613075339994</v>
      </c>
      <c r="Y42" s="40">
        <f t="shared" si="1"/>
        <v>2471.9038816931998</v>
      </c>
      <c r="Z42" s="40">
        <f t="shared" si="1"/>
        <v>2106.9698249195999</v>
      </c>
      <c r="AA42" s="40">
        <f t="shared" si="1"/>
        <v>4143.0712646627999</v>
      </c>
      <c r="AB42" s="40">
        <f t="shared" si="1"/>
        <v>158.08448264399999</v>
      </c>
      <c r="AC42" s="40">
        <f t="shared" si="1"/>
        <v>2530.1170107287999</v>
      </c>
      <c r="AD42" s="40">
        <f t="shared" si="1"/>
        <v>1871.1694122048</v>
      </c>
      <c r="AE42" s="40">
        <f t="shared" si="1"/>
        <v>686.66964480359991</v>
      </c>
      <c r="AF42" s="40">
        <f t="shared" si="1"/>
        <v>1658.8636379964003</v>
      </c>
      <c r="AG42" s="40">
        <f t="shared" si="1"/>
        <v>22863.419334838796</v>
      </c>
      <c r="AH42" s="40">
        <f t="shared" si="1"/>
        <v>0</v>
      </c>
      <c r="AI42" s="40">
        <f t="shared" si="1"/>
        <v>0</v>
      </c>
    </row>
    <row r="43" spans="1:37" x14ac:dyDescent="0.45">
      <c r="E43" s="40">
        <f ca="1">SUM(Assumptions!AN3:AN103)</f>
        <v>1905.6727849500001</v>
      </c>
      <c r="F43" s="40">
        <f ca="1">SUM(Assumptions!AO3:AO103)</f>
        <v>2248.4138751504001</v>
      </c>
      <c r="G43" s="40">
        <f ca="1">SUM(Assumptions!AP3:AP103)</f>
        <v>1044.2077863660004</v>
      </c>
      <c r="H43" s="40">
        <f ca="1">SUM(Assumptions!AQ3:AQ103)</f>
        <v>801.08271777599987</v>
      </c>
      <c r="I43" s="40">
        <f ca="1">SUM(Assumptions!AR3:AR103)</f>
        <v>4087.2683884644002</v>
      </c>
      <c r="J43" s="40">
        <f ca="1">SUM(Assumptions!AS3:AS103)</f>
        <v>7011.5286452328019</v>
      </c>
      <c r="K43" s="40">
        <f ca="1">SUM(Assumptions!AT3:AT103)</f>
        <v>1435.4072723915999</v>
      </c>
      <c r="L43" s="40">
        <f ca="1">SUM(Assumptions!AU3:AU103)</f>
        <v>3358.6101093924003</v>
      </c>
      <c r="M43" s="40">
        <f ca="1">SUM(Assumptions!AV3:AV103)</f>
        <v>2204.1471443867999</v>
      </c>
      <c r="N43" s="40">
        <f ca="1">SUM(Assumptions!AW3:AW103)</f>
        <v>11937.920878108798</v>
      </c>
      <c r="O43" s="40">
        <f ca="1">SUM(Assumptions!AX3:AX103)</f>
        <v>618.1133529384</v>
      </c>
      <c r="P43" s="40">
        <f ca="1">SUM(Assumptions!AY3:AY103)</f>
        <v>1847.8074659507997</v>
      </c>
      <c r="Q43" s="40">
        <f ca="1">SUM(Assumptions!AZ3:AZ103)</f>
        <v>1061.5526478791999</v>
      </c>
      <c r="R43" s="40">
        <f ca="1">SUM(Assumptions!BA3:BA103)</f>
        <v>1664.5775649227999</v>
      </c>
      <c r="S43" s="40">
        <f ca="1">SUM(Assumptions!BB3:BB103)</f>
        <v>790.38883927079996</v>
      </c>
      <c r="T43" s="40">
        <f ca="1">SUM(Assumptions!BC3:BC103)</f>
        <v>1457.9364222576003</v>
      </c>
      <c r="U43" s="40">
        <f ca="1">SUM(Assumptions!BD3:BD103)</f>
        <v>2096.2689125903994</v>
      </c>
      <c r="V43" s="40">
        <f ca="1">SUM(Assumptions!BE3:BE103)</f>
        <v>1794.7180967004008</v>
      </c>
      <c r="W43" s="40">
        <f ca="1">SUM(Assumptions!BF3:BF103)</f>
        <v>2298.1120578179994</v>
      </c>
      <c r="X43" s="40">
        <f ca="1">SUM(Assumptions!BG3:BG103)</f>
        <v>4125.3971071428005</v>
      </c>
      <c r="Y43" s="40">
        <f ca="1">SUM(Assumptions!BH3:BH103)</f>
        <v>2471.9038816931989</v>
      </c>
      <c r="Z43" s="40">
        <f ca="1">SUM(Assumptions!BI3:BI103)</f>
        <v>2106.9698249196003</v>
      </c>
      <c r="AA43" s="40">
        <f ca="1">SUM(Assumptions!BJ3:BJ103)</f>
        <v>4143.0712646628008</v>
      </c>
      <c r="AB43" s="40">
        <f ca="1">SUM(Assumptions!BK3:BK103)</f>
        <v>158.08448264400005</v>
      </c>
      <c r="AC43" s="40">
        <f ca="1">SUM(Assumptions!BL3:BL103)</f>
        <v>2530.1170107287999</v>
      </c>
      <c r="AD43" s="40">
        <f ca="1">SUM(Assumptions!BM3:BM103)</f>
        <v>1871.1694122048002</v>
      </c>
      <c r="AE43" s="40">
        <f ca="1">SUM(Assumptions!BN3:BN103)</f>
        <v>683.39293370640019</v>
      </c>
      <c r="AF43" s="40">
        <f ca="1">SUM(Assumptions!BO3:BO103)</f>
        <v>1658.8636379964003</v>
      </c>
      <c r="AG43" s="40">
        <f ca="1">SUM(Assumptions!BP3:BP103)</f>
        <v>22863.419334838793</v>
      </c>
      <c r="AH43" s="40">
        <f ca="1">SUM(Assumptions!BQ3:BQ103)</f>
        <v>0</v>
      </c>
      <c r="AI43" s="40">
        <f>SUM(Assumptions!BR3:BR103)</f>
        <v>0</v>
      </c>
    </row>
    <row r="45" spans="1:37" x14ac:dyDescent="0.45">
      <c r="E45" t="str">
        <f>E4</f>
        <v>Africa_north</v>
      </c>
      <c r="F45" t="str">
        <f t="shared" ref="F45:AI45" si="2">F4</f>
        <v>Africa_other</v>
      </c>
      <c r="G45" t="str">
        <f t="shared" si="2"/>
        <v>Arg-Chi</v>
      </c>
      <c r="H45" t="str">
        <f t="shared" si="2"/>
        <v>Asia_central</v>
      </c>
      <c r="I45" t="str">
        <f t="shared" si="2"/>
        <v>Asia_east</v>
      </c>
      <c r="J45" t="str">
        <f t="shared" si="2"/>
        <v>Asia_other</v>
      </c>
      <c r="K45" t="str">
        <f t="shared" si="2"/>
        <v>Australia_NZ</v>
      </c>
      <c r="L45" t="str">
        <f t="shared" si="2"/>
        <v>Brazil</v>
      </c>
      <c r="M45" t="str">
        <f t="shared" si="2"/>
        <v>Canada</v>
      </c>
      <c r="N45" t="str">
        <f t="shared" si="2"/>
        <v>China</v>
      </c>
      <c r="O45" t="str">
        <f t="shared" si="2"/>
        <v>EU_north</v>
      </c>
      <c r="P45" t="str">
        <f t="shared" si="2"/>
        <v>EU_northeast</v>
      </c>
      <c r="Q45" t="str">
        <f t="shared" si="2"/>
        <v>EU_northwest</v>
      </c>
      <c r="R45" t="str">
        <f t="shared" si="2"/>
        <v>EU_south</v>
      </c>
      <c r="S45" t="str">
        <f t="shared" si="2"/>
        <v>EU_southeast</v>
      </c>
      <c r="T45" t="str">
        <f t="shared" si="2"/>
        <v>EU_southwest</v>
      </c>
      <c r="U45" t="str">
        <f t="shared" si="2"/>
        <v>Europe_other</v>
      </c>
      <c r="V45" t="str">
        <f t="shared" si="2"/>
        <v>France</v>
      </c>
      <c r="W45" t="str">
        <f t="shared" si="2"/>
        <v>Germany</v>
      </c>
      <c r="X45" t="str">
        <f t="shared" si="2"/>
        <v>India</v>
      </c>
      <c r="Y45" t="str">
        <f t="shared" si="2"/>
        <v>LatAm_other</v>
      </c>
      <c r="Z45" t="str">
        <f t="shared" si="2"/>
        <v>Mexico</v>
      </c>
      <c r="AA45" t="str">
        <f t="shared" si="2"/>
        <v>MidEast_other</v>
      </c>
      <c r="AB45" t="str">
        <f t="shared" si="2"/>
        <v>Nor-Ice</v>
      </c>
      <c r="AC45" t="str">
        <f t="shared" si="2"/>
        <v>Russia</v>
      </c>
      <c r="AD45" t="str">
        <f t="shared" si="2"/>
        <v>SaudiArabia</v>
      </c>
      <c r="AE45" t="str">
        <f t="shared" si="2"/>
        <v>SouthAfrica</v>
      </c>
      <c r="AF45" t="str">
        <f t="shared" si="2"/>
        <v>UK</v>
      </c>
      <c r="AG45" t="str">
        <f t="shared" si="2"/>
        <v>USA</v>
      </c>
      <c r="AH45" t="str">
        <f t="shared" si="2"/>
        <v>\I:</v>
      </c>
      <c r="AI45">
        <f t="shared" si="2"/>
        <v>0</v>
      </c>
    </row>
    <row r="46" spans="1:37" x14ac:dyDescent="0.45">
      <c r="A46" s="91" t="s">
        <v>33</v>
      </c>
      <c r="B46" s="91" t="s">
        <v>42</v>
      </c>
      <c r="C46" s="66" t="s">
        <v>364</v>
      </c>
      <c r="D46" s="66" t="s">
        <v>365</v>
      </c>
      <c r="E46" s="92">
        <f>IFERROR(SUMIFS(E$5:E$39,$C$5:$C$39,"TR",$D$5:$D$39,$A46)/SUMIFS(E$5:E$39,$C$5:$C$39,"TR",$D$5:$D$39,$B46),"")</f>
        <v>0</v>
      </c>
      <c r="F46" s="92">
        <f t="shared" ref="F46:U47" si="3">IFERROR(SUMIFS(F$5:F$39,$C$5:$C$39,"TR",$D$5:$D$39,$A46)/SUMIFS(F$5:F$39,$C$5:$C$39,"TR",$D$5:$D$39,$B46),"")</f>
        <v>1.5466859404332078E-3</v>
      </c>
      <c r="G46" s="92">
        <f t="shared" si="3"/>
        <v>5.4981128564036259E-2</v>
      </c>
      <c r="H46" s="92">
        <f t="shared" si="3"/>
        <v>0</v>
      </c>
      <c r="I46" s="92">
        <f t="shared" si="3"/>
        <v>8.2474765632834859E-3</v>
      </c>
      <c r="J46" s="92">
        <f t="shared" si="3"/>
        <v>1.5001925610465561E-2</v>
      </c>
      <c r="K46" s="92">
        <f t="shared" si="3"/>
        <v>8.0902329556184257E-3</v>
      </c>
      <c r="L46" s="92">
        <f t="shared" si="3"/>
        <v>0.26270131336865882</v>
      </c>
      <c r="M46" s="92">
        <f t="shared" si="3"/>
        <v>4.9148491163592947E-2</v>
      </c>
      <c r="N46" s="92">
        <f t="shared" si="3"/>
        <v>1.4240158183713603E-2</v>
      </c>
      <c r="O46" s="92">
        <f t="shared" si="3"/>
        <v>4.9325171230878602E-2</v>
      </c>
      <c r="P46" s="92">
        <f t="shared" si="3"/>
        <v>3.9676020446202644E-2</v>
      </c>
      <c r="Q46" s="92">
        <f t="shared" si="3"/>
        <v>5.2160299161641846E-2</v>
      </c>
      <c r="R46" s="92">
        <f t="shared" si="3"/>
        <v>5.2957471635896904E-3</v>
      </c>
      <c r="S46" s="92">
        <f t="shared" si="3"/>
        <v>4.28449153638868E-2</v>
      </c>
      <c r="T46" s="92">
        <f t="shared" si="3"/>
        <v>2.1382631512077355E-2</v>
      </c>
      <c r="U46" s="92">
        <f t="shared" si="3"/>
        <v>1.9641984061932415E-2</v>
      </c>
      <c r="V46" s="92">
        <f t="shared" ref="V46:AI47" si="4">IFERROR(SUMIFS(V$5:V$39,$C$5:$C$39,"TR",$D$5:$D$39,$A46)/SUMIFS(V$5:V$39,$C$5:$C$39,"TR",$D$5:$D$39,$B46),"")</f>
        <v>8.3110496453805083E-2</v>
      </c>
      <c r="W46" s="92">
        <f t="shared" si="4"/>
        <v>4.1650974876946134E-2</v>
      </c>
      <c r="X46" s="92">
        <f t="shared" si="4"/>
        <v>2.7419290441534492E-2</v>
      </c>
      <c r="Y46" s="92">
        <f t="shared" si="4"/>
        <v>2.3532874680887862E-2</v>
      </c>
      <c r="Z46" s="92">
        <f t="shared" si="4"/>
        <v>0</v>
      </c>
      <c r="AA46" s="92">
        <f t="shared" si="4"/>
        <v>0</v>
      </c>
      <c r="AB46" s="92">
        <f t="shared" si="4"/>
        <v>5.8947977055441594E-2</v>
      </c>
      <c r="AC46" s="92">
        <f t="shared" si="4"/>
        <v>0</v>
      </c>
      <c r="AD46" s="92">
        <f t="shared" si="4"/>
        <v>0</v>
      </c>
      <c r="AE46" s="92">
        <f t="shared" si="4"/>
        <v>0</v>
      </c>
      <c r="AF46" s="92">
        <f t="shared" si="4"/>
        <v>3.0950130223062946E-2</v>
      </c>
      <c r="AG46" s="92">
        <f t="shared" si="4"/>
        <v>8.8336222496207997E-2</v>
      </c>
      <c r="AH46" s="92" t="str">
        <f t="shared" si="4"/>
        <v/>
      </c>
      <c r="AI46" s="92" t="str">
        <f t="shared" si="4"/>
        <v/>
      </c>
    </row>
    <row r="47" spans="1:37" x14ac:dyDescent="0.45">
      <c r="A47" s="91" t="s">
        <v>32</v>
      </c>
      <c r="B47" s="91" t="s">
        <v>41</v>
      </c>
      <c r="C47" s="66"/>
      <c r="D47" s="66" t="s">
        <v>366</v>
      </c>
      <c r="E47" s="92">
        <f t="shared" ref="E47" si="5">IFERROR(SUMIFS(E$5:E$39,$C$5:$C$39,"TR",$D$5:$D$39,$A47)/SUMIFS(E$5:E$39,$C$5:$C$39,"TR",$D$5:$D$39,$B47),"")</f>
        <v>0</v>
      </c>
      <c r="F47" s="92">
        <f t="shared" si="3"/>
        <v>0</v>
      </c>
      <c r="G47" s="92">
        <f t="shared" si="3"/>
        <v>8.9358034660592792E-2</v>
      </c>
      <c r="H47" s="92">
        <f t="shared" si="3"/>
        <v>4.8798115601416991E-5</v>
      </c>
      <c r="I47" s="92">
        <f t="shared" si="3"/>
        <v>1.5955646856327745E-2</v>
      </c>
      <c r="J47" s="92">
        <f t="shared" si="3"/>
        <v>9.0874676157181172E-2</v>
      </c>
      <c r="K47" s="92">
        <f t="shared" si="3"/>
        <v>3.167183817251335E-4</v>
      </c>
      <c r="L47" s="92">
        <f t="shared" si="3"/>
        <v>0.45336610011312939</v>
      </c>
      <c r="M47" s="92">
        <f t="shared" si="3"/>
        <v>3.3215555072431055E-2</v>
      </c>
      <c r="N47" s="92">
        <f t="shared" si="3"/>
        <v>9.6352900220773915E-3</v>
      </c>
      <c r="O47" s="92">
        <f t="shared" si="3"/>
        <v>0.22224276406594201</v>
      </c>
      <c r="P47" s="92">
        <f t="shared" si="3"/>
        <v>6.029167940322145E-2</v>
      </c>
      <c r="Q47" s="92">
        <f t="shared" si="3"/>
        <v>6.5088203541263573E-2</v>
      </c>
      <c r="R47" s="92">
        <f t="shared" si="3"/>
        <v>5.9043306362990752E-2</v>
      </c>
      <c r="S47" s="92">
        <f t="shared" si="3"/>
        <v>6.1709577131025269E-2</v>
      </c>
      <c r="T47" s="92">
        <f t="shared" si="3"/>
        <v>6.8502964571788102E-2</v>
      </c>
      <c r="U47" s="92">
        <f t="shared" si="3"/>
        <v>1.1621637275464124E-2</v>
      </c>
      <c r="V47" s="92">
        <f t="shared" si="4"/>
        <v>8.21698118854082E-2</v>
      </c>
      <c r="W47" s="92">
        <f t="shared" si="4"/>
        <v>5.6931929336453177E-2</v>
      </c>
      <c r="X47" s="92">
        <f t="shared" si="4"/>
        <v>6.7262437758921123E-4</v>
      </c>
      <c r="Y47" s="92">
        <f t="shared" si="4"/>
        <v>3.1895002571472195E-2</v>
      </c>
      <c r="Z47" s="92">
        <f t="shared" si="4"/>
        <v>0</v>
      </c>
      <c r="AA47" s="92">
        <f t="shared" si="4"/>
        <v>0</v>
      </c>
      <c r="AB47" s="92">
        <f t="shared" si="4"/>
        <v>0.18889469418219185</v>
      </c>
      <c r="AC47" s="92">
        <f t="shared" si="4"/>
        <v>0</v>
      </c>
      <c r="AD47" s="92">
        <f t="shared" si="4"/>
        <v>0</v>
      </c>
      <c r="AE47" s="92">
        <f t="shared" si="4"/>
        <v>0</v>
      </c>
      <c r="AF47" s="92">
        <f t="shared" si="4"/>
        <v>5.1852280443730248E-2</v>
      </c>
      <c r="AG47" s="92">
        <f t="shared" si="4"/>
        <v>3.5581240656848312E-2</v>
      </c>
      <c r="AH47" s="92" t="str">
        <f>IFERROR(SUMIFS(AH$5:AH$39,$C$5:$C$39,"TR",$D$5:$D$39,$A47)/SUMIFS(AH$5:AH$39,$C$5:$C$39,"TR",$D$5:$D$39,$B47),"")</f>
        <v/>
      </c>
      <c r="AI47" s="92" t="str">
        <f t="shared" si="4"/>
        <v/>
      </c>
    </row>
    <row r="52" spans="3:34" x14ac:dyDescent="0.45">
      <c r="D52" t="s">
        <v>156</v>
      </c>
      <c r="E52" t="str">
        <f>Cars!D44</f>
        <v>Africa_north</v>
      </c>
      <c r="F52" t="str">
        <f>Cars!E44</f>
        <v>Africa_other</v>
      </c>
      <c r="G52" t="str">
        <f>Cars!F44</f>
        <v>Arg-Chi</v>
      </c>
      <c r="H52" t="str">
        <f>Cars!G44</f>
        <v>Asia_central</v>
      </c>
      <c r="I52" t="str">
        <f>Cars!H44</f>
        <v>Asia_east</v>
      </c>
      <c r="J52" t="str">
        <f>Cars!I44</f>
        <v>Asia_other</v>
      </c>
      <c r="K52" t="str">
        <f>Cars!J44</f>
        <v>Australia_NZ</v>
      </c>
      <c r="L52" t="str">
        <f>Cars!K44</f>
        <v>Brazil</v>
      </c>
      <c r="M52" t="str">
        <f>Cars!L44</f>
        <v>Canada</v>
      </c>
      <c r="N52" t="str">
        <f>Cars!M44</f>
        <v>China</v>
      </c>
      <c r="O52" t="str">
        <f>Cars!N44</f>
        <v>EU_north</v>
      </c>
      <c r="P52" t="str">
        <f>Cars!O44</f>
        <v>EU_northeast</v>
      </c>
      <c r="Q52" t="str">
        <f>Cars!P44</f>
        <v>EU_northwest</v>
      </c>
      <c r="R52" t="str">
        <f>Cars!Q44</f>
        <v>EU_south</v>
      </c>
      <c r="S52" t="str">
        <f>Cars!R44</f>
        <v>EU_southeast</v>
      </c>
      <c r="T52" t="str">
        <f>Cars!S44</f>
        <v>EU_southwest</v>
      </c>
      <c r="U52" t="str">
        <f>Cars!T44</f>
        <v>Europe_other</v>
      </c>
      <c r="V52" t="str">
        <f>Cars!U44</f>
        <v>France</v>
      </c>
      <c r="W52" t="str">
        <f>Cars!V44</f>
        <v>Germany</v>
      </c>
      <c r="X52" t="str">
        <f>Cars!W44</f>
        <v>India</v>
      </c>
      <c r="Y52" t="str">
        <f>Cars!X44</f>
        <v>LatAm_other</v>
      </c>
      <c r="Z52" t="str">
        <f>Cars!Y44</f>
        <v>Mexico</v>
      </c>
      <c r="AA52" t="str">
        <f>Cars!Z44</f>
        <v>MidEast_other</v>
      </c>
      <c r="AB52" t="str">
        <f>Cars!AA44</f>
        <v>Nor-Ice</v>
      </c>
      <c r="AC52" t="str">
        <f>Cars!AB44</f>
        <v>Russia</v>
      </c>
      <c r="AD52" t="str">
        <f>Cars!AC44</f>
        <v>SaudiArabia</v>
      </c>
      <c r="AE52" t="str">
        <f>Cars!AD44</f>
        <v>SouthAfrica</v>
      </c>
      <c r="AF52" t="str">
        <f>Cars!AE44</f>
        <v>UK</v>
      </c>
      <c r="AG52" t="str">
        <f>Cars!AF44</f>
        <v>USA</v>
      </c>
      <c r="AH52" t="str">
        <f>Cars!AG44</f>
        <v>\I:</v>
      </c>
    </row>
    <row r="53" spans="3:34" x14ac:dyDescent="0.45">
      <c r="C53" t="s">
        <v>410</v>
      </c>
      <c r="D53" t="s">
        <v>404</v>
      </c>
      <c r="E53" s="1">
        <f ca="1">IFERROR(Cars!D45/E59,"")</f>
        <v>1.2932426107713257</v>
      </c>
      <c r="F53" s="1">
        <f ca="1">IFERROR(Cars!E45/F59,"")</f>
        <v>0.35717665648334485</v>
      </c>
      <c r="G53" s="1">
        <f ca="1">IFERROR(Cars!F45/G59,"")</f>
        <v>3.3957993886434177</v>
      </c>
      <c r="H53" s="1">
        <f ca="1">IFERROR(Cars!G45/H59,"")</f>
        <v>2.0548944049423525</v>
      </c>
      <c r="I53" s="1">
        <f ca="1">IFERROR(Cars!H45/I59,"")</f>
        <v>5.367073074115841</v>
      </c>
      <c r="J53" s="1">
        <f ca="1">IFERROR(Cars!I45/J59,"")</f>
        <v>0.95173487719059635</v>
      </c>
      <c r="K53" s="1">
        <f ca="1">IFERROR(Cars!J45/K59,"")</f>
        <v>9.5304003954523004</v>
      </c>
      <c r="L53" s="1">
        <f ca="1">IFERROR(Cars!K45/L59,"")</f>
        <v>2.6564321250888412</v>
      </c>
      <c r="M53" s="1">
        <f ca="1">IFERROR(Cars!L45/M59,"")</f>
        <v>13.947661025605555</v>
      </c>
      <c r="N53" s="1">
        <f ca="1">IFERROR(Cars!M45/N59,"")</f>
        <v>2.4555171639835662</v>
      </c>
      <c r="O53" s="1">
        <f ca="1">IFERROR(Cars!N45/O59,"")</f>
        <v>8.5996114722555195</v>
      </c>
      <c r="P53" s="1">
        <f ca="1">IFERROR(Cars!O45/P59,"")</f>
        <v>6.4620158759348589</v>
      </c>
      <c r="Q53" s="1">
        <f ca="1">IFERROR(Cars!P45/Q59,"")</f>
        <v>9.243857515131408</v>
      </c>
      <c r="R53" s="1">
        <f ca="1">IFERROR(Cars!Q45/R59,"")</f>
        <v>6.8690040055156683</v>
      </c>
      <c r="S53" s="1">
        <f ca="1">IFERROR(Cars!R45/S59,"")</f>
        <v>4.5533535799228524</v>
      </c>
      <c r="T53" s="1">
        <f ca="1">IFERROR(Cars!S45/T59,"")</f>
        <v>7.0136085461809357</v>
      </c>
      <c r="U53" s="1">
        <f ca="1">IFERROR(Cars!T45/U59,"")</f>
        <v>1.6207011889790581</v>
      </c>
      <c r="V53" s="1">
        <f ca="1">IFERROR(Cars!U45/V59,"")</f>
        <v>7.2360540680870509</v>
      </c>
      <c r="W53" s="1">
        <f ca="1">IFERROR(Cars!V45/W59,"")</f>
        <v>7.5197670080512182</v>
      </c>
      <c r="X53" s="1">
        <f ca="1">IFERROR(Cars!W45/X59,"")</f>
        <v>0.42206642174441239</v>
      </c>
      <c r="Y53" s="1">
        <f ca="1">IFERROR(Cars!X45/Y59,"")</f>
        <v>2.4813061156632275</v>
      </c>
      <c r="Z53" s="1">
        <f ca="1">IFERROR(Cars!Y45/Z59,"")</f>
        <v>5.3013105913337926</v>
      </c>
      <c r="AA53" s="1">
        <f ca="1">IFERROR(Cars!Z45/AA59,"")</f>
        <v>4.0818004454613162</v>
      </c>
      <c r="AB53" s="1">
        <f ca="1">IFERROR(Cars!AA45/AB59,"")</f>
        <v>8.3034610191920315</v>
      </c>
      <c r="AC53" s="1">
        <f ca="1">IFERROR(Cars!AB45/AC59,"")</f>
        <v>3.5416810935833691</v>
      </c>
      <c r="AD53" s="1">
        <f ca="1">IFERROR(Cars!AC45/AD59,"")</f>
        <v>7.5077695259494872</v>
      </c>
      <c r="AE53" s="1">
        <f ca="1">IFERROR(Cars!AD45/AE59,"")</f>
        <v>1.7029182882699805</v>
      </c>
      <c r="AF53" s="1">
        <f ca="1">IFERROR(Cars!AE45/AF59,"")</f>
        <v>7.4122693883666573</v>
      </c>
      <c r="AG53" s="1">
        <f ca="1">IFERROR(Cars!AF45/AG59,"")</f>
        <v>15.572442359820911</v>
      </c>
      <c r="AH53" s="1" t="str">
        <f ca="1">IFERROR(Cars!AG45/AH59,"")</f>
        <v/>
      </c>
    </row>
    <row r="54" spans="3:34" x14ac:dyDescent="0.45">
      <c r="C54" t="s">
        <v>411</v>
      </c>
      <c r="D54" t="s">
        <v>405</v>
      </c>
      <c r="E54" s="1">
        <f ca="1">IFERROR('Trucks-hdt'!D45/E58,"")</f>
        <v>3.1214790459570901E-2</v>
      </c>
      <c r="F54" s="1">
        <f ca="1">IFERROR('Trucks-hdt'!E45/F58,"")</f>
        <v>2.0115381880756476E-2</v>
      </c>
      <c r="G54" s="1">
        <f ca="1">IFERROR('Trucks-hdt'!F45/G58,"")</f>
        <v>5.4175983294096786E-2</v>
      </c>
      <c r="H54" s="1">
        <f ca="1">IFERROR('Trucks-hdt'!G45/H58,"")</f>
        <v>2.7950996313263587E-2</v>
      </c>
      <c r="I54" s="1">
        <f ca="1">IFERROR('Trucks-hdt'!H45/I58,"")</f>
        <v>2.9125937713116615E-2</v>
      </c>
      <c r="J54" s="1">
        <f ca="1">IFERROR('Trucks-hdt'!I45/J58,"")</f>
        <v>2.8384957920775042E-2</v>
      </c>
      <c r="K54" s="1">
        <f ca="1">IFERROR('Trucks-hdt'!J45/K58,"")</f>
        <v>5.3979406856284322E-2</v>
      </c>
      <c r="L54" s="1">
        <f ca="1">IFERROR('Trucks-hdt'!K45/L58,"")</f>
        <v>8.1286491763091162E-2</v>
      </c>
      <c r="M54" s="1">
        <f ca="1">IFERROR('Trucks-hdt'!L45/M58,"")</f>
        <v>4.9166067849173628E-2</v>
      </c>
      <c r="N54" s="1">
        <f ca="1">IFERROR('Trucks-hdt'!M45/N58,"")</f>
        <v>1.3111473377971333E-2</v>
      </c>
      <c r="O54" s="1">
        <f ca="1">IFERROR('Trucks-hdt'!N45/O58,"")</f>
        <v>2.075296645344011E-2</v>
      </c>
      <c r="P54" s="1">
        <f ca="1">IFERROR('Trucks-hdt'!O45/P58,"")</f>
        <v>3.4191846067454207E-2</v>
      </c>
      <c r="Q54" s="1">
        <f ca="1">IFERROR('Trucks-hdt'!P45/Q58,"")</f>
        <v>2.0751714042171042E-2</v>
      </c>
      <c r="R54" s="1">
        <f ca="1">IFERROR('Trucks-hdt'!Q45/R58,"")</f>
        <v>2.3304371338278961E-2</v>
      </c>
      <c r="S54" s="1">
        <f ca="1">IFERROR('Trucks-hdt'!R45/S58,"")</f>
        <v>3.4129353974766616E-2</v>
      </c>
      <c r="T54" s="1">
        <f ca="1">IFERROR('Trucks-hdt'!S45/T58,"")</f>
        <v>3.0199254682394438E-2</v>
      </c>
      <c r="U54" s="1">
        <f ca="1">IFERROR('Trucks-hdt'!T45/U58,"")</f>
        <v>5.1048746107740219E-2</v>
      </c>
      <c r="V54" s="1">
        <f ca="1">IFERROR('Trucks-hdt'!U45/V58,"")</f>
        <v>2.6367298446199693E-2</v>
      </c>
      <c r="W54" s="1">
        <f ca="1">IFERROR('Trucks-hdt'!V45/W58,"")</f>
        <v>2.0038710439080766E-2</v>
      </c>
      <c r="X54" s="1">
        <f ca="1">IFERROR('Trucks-hdt'!W45/X58,"")</f>
        <v>1.5213133606051714E-2</v>
      </c>
      <c r="Y54" s="1">
        <f ca="1">IFERROR('Trucks-hdt'!X45/Y58,"")</f>
        <v>4.2126628263841115E-2</v>
      </c>
      <c r="Z54" s="1">
        <f ca="1">IFERROR('Trucks-hdt'!Y45/Z58,"")</f>
        <v>2.6646620927975588E-2</v>
      </c>
      <c r="AA54" s="1">
        <f ca="1">IFERROR('Trucks-hdt'!Z45/AA58,"")</f>
        <v>4.5026273407793367E-2</v>
      </c>
      <c r="AB54" s="1">
        <f ca="1">IFERROR('Trucks-hdt'!AA45/AB58,"")</f>
        <v>1.7774055495577992E-2</v>
      </c>
      <c r="AC54" s="1">
        <f ca="1">IFERROR('Trucks-hdt'!AB45/AC58,"")</f>
        <v>3.9166129304487443E-2</v>
      </c>
      <c r="AD54" s="1">
        <f ca="1">IFERROR('Trucks-hdt'!AC45/AD58,"")</f>
        <v>5.546246942266489E-2</v>
      </c>
      <c r="AE54" s="1">
        <f ca="1">IFERROR('Trucks-hdt'!AD45/AE58,"")</f>
        <v>3.1159517554792814E-2</v>
      </c>
      <c r="AF54" s="1">
        <f ca="1">IFERROR('Trucks-hdt'!AE45/AF58,"")</f>
        <v>1.9872159438647855E-2</v>
      </c>
      <c r="AG54" s="1">
        <f ca="1">IFERROR('Trucks-hdt'!AF45/AG58,"")</f>
        <v>4.787269099645898E-2</v>
      </c>
      <c r="AH54" s="1" t="str">
        <f ca="1">IFERROR('Trucks-hdt'!AG45/AH58,"")</f>
        <v/>
      </c>
    </row>
    <row r="57" spans="3:34" x14ac:dyDescent="0.45">
      <c r="C57" s="66" t="s">
        <v>406</v>
      </c>
      <c r="D57" t="s">
        <v>407</v>
      </c>
      <c r="E57" t="s">
        <v>413</v>
      </c>
      <c r="F57" t="s">
        <v>414</v>
      </c>
      <c r="G57" t="s">
        <v>415</v>
      </c>
      <c r="H57" t="s">
        <v>416</v>
      </c>
      <c r="I57" t="s">
        <v>417</v>
      </c>
      <c r="J57" t="s">
        <v>418</v>
      </c>
      <c r="K57" t="s">
        <v>419</v>
      </c>
      <c r="L57" t="s">
        <v>420</v>
      </c>
      <c r="M57" t="s">
        <v>421</v>
      </c>
      <c r="N57" t="s">
        <v>315</v>
      </c>
      <c r="O57" t="s">
        <v>422</v>
      </c>
      <c r="P57" t="s">
        <v>423</v>
      </c>
      <c r="Q57" t="s">
        <v>424</v>
      </c>
      <c r="R57" t="s">
        <v>425</v>
      </c>
      <c r="S57" t="s">
        <v>426</v>
      </c>
      <c r="T57" t="s">
        <v>427</v>
      </c>
      <c r="U57" t="s">
        <v>428</v>
      </c>
      <c r="V57" t="s">
        <v>429</v>
      </c>
      <c r="W57" t="s">
        <v>412</v>
      </c>
      <c r="X57" t="s">
        <v>317</v>
      </c>
      <c r="Y57" t="s">
        <v>430</v>
      </c>
      <c r="Z57" t="s">
        <v>431</v>
      </c>
      <c r="AA57" t="s">
        <v>432</v>
      </c>
      <c r="AB57" t="s">
        <v>433</v>
      </c>
      <c r="AC57" t="s">
        <v>316</v>
      </c>
      <c r="AD57" t="s">
        <v>434</v>
      </c>
      <c r="AE57" t="s">
        <v>435</v>
      </c>
      <c r="AF57" t="s">
        <v>436</v>
      </c>
      <c r="AG57" t="s">
        <v>5</v>
      </c>
    </row>
    <row r="58" spans="3:34" x14ac:dyDescent="0.45">
      <c r="C58">
        <v>2019</v>
      </c>
      <c r="D58" t="s">
        <v>408</v>
      </c>
      <c r="E58" s="2">
        <v>2018.2739999999999</v>
      </c>
      <c r="F58" s="2">
        <v>2783.9391930000002</v>
      </c>
      <c r="G58" s="2">
        <v>1015.21</v>
      </c>
      <c r="H58" s="2">
        <v>1001.7532</v>
      </c>
      <c r="I58" s="2">
        <v>6334.56</v>
      </c>
      <c r="J58" s="2">
        <v>10498.5182938</v>
      </c>
      <c r="K58" s="2">
        <v>1111.5350000000001</v>
      </c>
      <c r="L58" s="2">
        <v>2724.93</v>
      </c>
      <c r="M58" s="2">
        <v>1586.46</v>
      </c>
      <c r="N58" s="2">
        <v>21698.553</v>
      </c>
      <c r="O58" s="2">
        <v>819.16</v>
      </c>
      <c r="P58" s="2">
        <v>1871.7913000000001</v>
      </c>
      <c r="Q58" s="2">
        <v>1517.9468999999999</v>
      </c>
      <c r="R58" s="2">
        <v>2016.78901</v>
      </c>
      <c r="S58" s="2">
        <v>805.75800000000004</v>
      </c>
      <c r="T58" s="2">
        <v>1655.67</v>
      </c>
      <c r="U58" s="2">
        <v>2703.2985239</v>
      </c>
      <c r="V58" s="2">
        <v>2313.4717470000001</v>
      </c>
      <c r="W58" s="2">
        <v>3218.77</v>
      </c>
      <c r="X58" s="2">
        <v>8348.0499999999993</v>
      </c>
      <c r="Y58" s="2">
        <v>2670.5199213999999</v>
      </c>
      <c r="Z58" s="2">
        <v>1782.59</v>
      </c>
      <c r="AA58" s="2">
        <v>3897.7242999999999</v>
      </c>
      <c r="AB58" s="2">
        <v>281.30889999999999</v>
      </c>
      <c r="AC58" s="2">
        <v>2310.67</v>
      </c>
      <c r="AD58" s="2">
        <v>1712.87</v>
      </c>
      <c r="AE58" s="2">
        <v>625.81200000000001</v>
      </c>
      <c r="AF58">
        <v>2365.1179000000002</v>
      </c>
      <c r="AG58">
        <v>16690.099999999999</v>
      </c>
    </row>
    <row r="59" spans="3:34" x14ac:dyDescent="0.45">
      <c r="C59">
        <v>2019</v>
      </c>
      <c r="D59" t="s">
        <v>409</v>
      </c>
      <c r="E59" s="2">
        <v>198.38505000000001</v>
      </c>
      <c r="F59" s="2">
        <v>1039.485625</v>
      </c>
      <c r="G59" s="2">
        <v>63.890700000000002</v>
      </c>
      <c r="H59" s="2">
        <v>90.515600000000006</v>
      </c>
      <c r="I59" s="2">
        <v>177.97409999999999</v>
      </c>
      <c r="J59" s="2">
        <v>1196.67780103</v>
      </c>
      <c r="K59" s="2">
        <v>30.344999999999999</v>
      </c>
      <c r="L59" s="2">
        <v>211.05</v>
      </c>
      <c r="M59" s="2">
        <v>37.593400000000003</v>
      </c>
      <c r="N59" s="2">
        <v>1405.2274</v>
      </c>
      <c r="O59" s="2">
        <v>21.614930000000001</v>
      </c>
      <c r="P59" s="2">
        <v>69.006330000000005</v>
      </c>
      <c r="Q59" s="2">
        <v>34.388241000000001</v>
      </c>
      <c r="R59" s="2">
        <v>72.185137699999999</v>
      </c>
      <c r="S59" s="2">
        <v>42.27214</v>
      </c>
      <c r="T59" s="2">
        <v>57.419800000000002</v>
      </c>
      <c r="U59" s="2">
        <v>164.817550463</v>
      </c>
      <c r="V59" s="2">
        <v>68.440616300000002</v>
      </c>
      <c r="W59" s="2">
        <v>83.093000000000004</v>
      </c>
      <c r="X59" s="2">
        <v>1366.42</v>
      </c>
      <c r="Y59" s="2">
        <v>245.14508555</v>
      </c>
      <c r="Z59" s="2">
        <v>127.57599999999999</v>
      </c>
      <c r="AA59" s="2">
        <v>222.57825</v>
      </c>
      <c r="AB59" s="2">
        <v>5.7084630000000001</v>
      </c>
      <c r="AC59" s="2">
        <v>144.40600000000001</v>
      </c>
      <c r="AD59" s="2">
        <v>34.268500000000003</v>
      </c>
      <c r="AE59" s="2">
        <v>58.558300000000003</v>
      </c>
      <c r="AF59">
        <v>66.878303259999996</v>
      </c>
      <c r="AG59">
        <v>328.33</v>
      </c>
    </row>
  </sheetData>
  <conditionalFormatting sqref="E53:AH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AH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582D-4B61-4184-AA25-778D801D155C}">
  <dimension ref="A1:AS46"/>
  <sheetViews>
    <sheetView topLeftCell="A2" zoomScaleNormal="100" workbookViewId="0">
      <selection activeCell="AI47" sqref="AI47"/>
    </sheetView>
  </sheetViews>
  <sheetFormatPr defaultRowHeight="14.25" x14ac:dyDescent="0.45"/>
  <cols>
    <col min="1" max="1" width="10.86328125" bestFit="1" customWidth="1"/>
    <col min="2" max="2" width="2" bestFit="1" customWidth="1"/>
    <col min="4" max="4" width="6.1328125" bestFit="1" customWidth="1"/>
    <col min="5" max="6" width="8.1328125" bestFit="1" customWidth="1"/>
    <col min="7" max="7" width="7.46484375" bestFit="1" customWidth="1"/>
    <col min="8" max="8" width="8.86328125" bestFit="1" customWidth="1"/>
    <col min="9" max="9" width="5.86328125" bestFit="1" customWidth="1"/>
    <col min="10" max="10" width="7.46484375" bestFit="1" customWidth="1"/>
    <col min="11" max="11" width="6.53125" bestFit="1" customWidth="1"/>
    <col min="12" max="12" width="5.53125" bestFit="1" customWidth="1"/>
    <col min="13" max="13" width="6.53125" bestFit="1" customWidth="1"/>
    <col min="14" max="14" width="7.33203125" bestFit="1" customWidth="1"/>
    <col min="15" max="16" width="6.53125" bestFit="1" customWidth="1"/>
    <col min="17" max="17" width="7.46484375" bestFit="1" customWidth="1"/>
    <col min="18" max="18" width="8" bestFit="1" customWidth="1"/>
    <col min="19" max="20" width="6.53125" bestFit="1" customWidth="1"/>
    <col min="21" max="33" width="6.53125" customWidth="1"/>
    <col min="34" max="34" width="6.53125" bestFit="1" customWidth="1"/>
    <col min="35" max="35" width="6" bestFit="1" customWidth="1"/>
    <col min="36" max="36" width="11.53125" bestFit="1" customWidth="1"/>
    <col min="38" max="38" width="4.46484375" bestFit="1" customWidth="1"/>
    <col min="41" max="41" width="11.53125" bestFit="1" customWidth="1"/>
  </cols>
  <sheetData>
    <row r="1" spans="1:45" x14ac:dyDescent="0.45">
      <c r="AO1" s="3"/>
    </row>
    <row r="2" spans="1:45" x14ac:dyDescent="0.45">
      <c r="AI2" t="s">
        <v>353</v>
      </c>
      <c r="AN2" t="s">
        <v>148</v>
      </c>
      <c r="AO2" s="3"/>
    </row>
    <row r="3" spans="1:45" x14ac:dyDescent="0.45">
      <c r="C3" t="s">
        <v>347</v>
      </c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  <c r="AH3" t="s">
        <v>169</v>
      </c>
      <c r="AI3" t="s">
        <v>174</v>
      </c>
      <c r="AJ3" t="s">
        <v>136</v>
      </c>
      <c r="AK3" t="s">
        <v>349</v>
      </c>
      <c r="AL3" t="s">
        <v>158</v>
      </c>
      <c r="AN3" t="s">
        <v>149</v>
      </c>
      <c r="AO3" t="s">
        <v>139</v>
      </c>
      <c r="AP3" t="s">
        <v>150</v>
      </c>
      <c r="AQ3" t="s">
        <v>151</v>
      </c>
      <c r="AR3" t="s">
        <v>152</v>
      </c>
      <c r="AS3" t="s">
        <v>155</v>
      </c>
    </row>
    <row r="4" spans="1:45" x14ac:dyDescent="0.45">
      <c r="A4" t="s">
        <v>25</v>
      </c>
      <c r="C4" s="35" t="s">
        <v>32</v>
      </c>
      <c r="D4" s="2" cm="1">
        <f t="array" aca="1" ref="D4" ca="1">SUM(SUMIFS(Assumptions!AN$3:AN$102,Assumptions!$B$3:$B$102,'2-w'!$C4,Assumptions!$G$3:$G$102,{"TRW"}))</f>
        <v>0</v>
      </c>
      <c r="E4" s="2" cm="1">
        <f t="array" aca="1" ref="E4" ca="1">SUM(SUMIFS(Assumptions!AO$3:AO$102,Assumptions!$B$3:$B$102,'2-w'!$C4,Assumptions!$G$3:$G$102,{"TRW"}))</f>
        <v>0</v>
      </c>
      <c r="F4" s="2" cm="1">
        <f t="array" aca="1" ref="F4" ca="1">SUM(SUMIFS(Assumptions!AP$3:AP$102,Assumptions!$B$3:$B$102,'2-w'!$C4,Assumptions!$G$3:$G$102,{"TRW"}))</f>
        <v>0</v>
      </c>
      <c r="G4" s="2" cm="1">
        <f t="array" aca="1" ref="G4" ca="1">SUM(SUMIFS(Assumptions!AQ$3:AQ$102,Assumptions!$B$3:$B$102,'2-w'!$C4,Assumptions!$G$3:$G$102,{"TRW"}))</f>
        <v>0</v>
      </c>
      <c r="H4" s="2" cm="1">
        <f t="array" aca="1" ref="H4" ca="1">SUM(SUMIFS(Assumptions!AR$3:AR$102,Assumptions!$B$3:$B$102,'2-w'!$C4,Assumptions!$G$3:$G$102,{"TRW"}))</f>
        <v>0</v>
      </c>
      <c r="I4" s="2" cm="1">
        <f t="array" aca="1" ref="I4" ca="1">SUM(SUMIFS(Assumptions!AS$3:AS$102,Assumptions!$B$3:$B$102,'2-w'!$C4,Assumptions!$G$3:$G$102,{"TRW"}))</f>
        <v>0</v>
      </c>
      <c r="J4" s="2" cm="1">
        <f t="array" aca="1" ref="J4" ca="1">SUM(SUMIFS(Assumptions!AT$3:AT$102,Assumptions!$B$3:$B$102,'2-w'!$C4,Assumptions!$G$3:$G$102,{"TRW"}))</f>
        <v>0</v>
      </c>
      <c r="K4" s="2" cm="1">
        <f t="array" aca="1" ref="K4" ca="1">SUM(SUMIFS(Assumptions!AU$3:AU$102,Assumptions!$B$3:$B$102,'2-w'!$C4,Assumptions!$G$3:$G$102,{"TRW"}))</f>
        <v>0</v>
      </c>
      <c r="L4" s="2" cm="1">
        <f t="array" aca="1" ref="L4" ca="1">SUM(SUMIFS(Assumptions!AV$3:AV$102,Assumptions!$B$3:$B$102,'2-w'!$C4,Assumptions!$G$3:$G$102,{"TRW"}))</f>
        <v>0</v>
      </c>
      <c r="M4" s="2" cm="1">
        <f t="array" aca="1" ref="M4" ca="1">SUM(SUMIFS(Assumptions!AW$3:AW$102,Assumptions!$B$3:$B$102,'2-w'!$C4,Assumptions!$G$3:$G$102,{"TRW"}))</f>
        <v>0</v>
      </c>
      <c r="N4" s="2" cm="1">
        <f t="array" aca="1" ref="N4" ca="1">SUM(SUMIFS(Assumptions!AX$3:AX$102,Assumptions!$B$3:$B$102,'2-w'!$C4,Assumptions!$G$3:$G$102,{"TRW"}))</f>
        <v>0</v>
      </c>
      <c r="O4" s="2" cm="1">
        <f t="array" aca="1" ref="O4" ca="1">SUM(SUMIFS(Assumptions!AY$3:AY$102,Assumptions!$B$3:$B$102,'2-w'!$C4,Assumptions!$G$3:$G$102,{"TRW"}))</f>
        <v>0</v>
      </c>
      <c r="P4" s="2" cm="1">
        <f t="array" aca="1" ref="P4" ca="1">SUM(SUMIFS(Assumptions!AZ$3:AZ$102,Assumptions!$B$3:$B$102,'2-w'!$C4,Assumptions!$G$3:$G$102,{"TRW"}))</f>
        <v>0</v>
      </c>
      <c r="Q4" s="2" cm="1">
        <f t="array" aca="1" ref="Q4" ca="1">SUM(SUMIFS(Assumptions!BA$3:BA$102,Assumptions!$B$3:$B$102,'2-w'!$C4,Assumptions!$G$3:$G$102,{"TRW"}))</f>
        <v>0</v>
      </c>
      <c r="R4" s="2" cm="1">
        <f t="array" aca="1" ref="R4" ca="1">SUM(SUMIFS(Assumptions!BB$3:BB$102,Assumptions!$B$3:$B$102,'2-w'!$C4,Assumptions!$G$3:$G$102,{"TRW"}))</f>
        <v>0</v>
      </c>
      <c r="S4" s="2" cm="1">
        <f t="array" aca="1" ref="S4" ca="1">SUM(SUMIFS(Assumptions!BC$3:BC$102,Assumptions!$B$3:$B$102,'2-w'!$C4,Assumptions!$G$3:$G$102,{"TRW"}))</f>
        <v>0</v>
      </c>
      <c r="T4" s="2" cm="1">
        <f t="array" aca="1" ref="T4" ca="1">SUM(SUMIFS(Assumptions!BD$3:BD$102,Assumptions!$B$3:$B$102,'2-w'!$C4,Assumptions!$G$3:$G$102,{"TRW"}))</f>
        <v>0</v>
      </c>
      <c r="U4" s="2" cm="1">
        <f t="array" aca="1" ref="U4" ca="1">SUM(SUMIFS(Assumptions!BE$3:BE$102,Assumptions!$B$3:$B$102,'2-w'!$C4,Assumptions!$G$3:$G$102,{"TRW"}))</f>
        <v>0</v>
      </c>
      <c r="V4" s="2" cm="1">
        <f t="array" aca="1" ref="V4" ca="1">SUM(SUMIFS(Assumptions!BF$3:BF$102,Assumptions!$B$3:$B$102,'2-w'!$C4,Assumptions!$G$3:$G$102,{"TRW"}))</f>
        <v>0</v>
      </c>
      <c r="W4" s="2" cm="1">
        <f t="array" aca="1" ref="W4" ca="1">SUM(SUMIFS(Assumptions!BG$3:BG$102,Assumptions!$B$3:$B$102,'2-w'!$C4,Assumptions!$G$3:$G$102,{"TRW"}))</f>
        <v>0</v>
      </c>
      <c r="X4" s="2" cm="1">
        <f t="array" aca="1" ref="X4" ca="1">SUM(SUMIFS(Assumptions!BH$3:BH$102,Assumptions!$B$3:$B$102,'2-w'!$C4,Assumptions!$G$3:$G$102,{"TRW"}))</f>
        <v>0</v>
      </c>
      <c r="Y4" s="2" cm="1">
        <f t="array" aca="1" ref="Y4" ca="1">SUM(SUMIFS(Assumptions!BI$3:BI$102,Assumptions!$B$3:$B$102,'2-w'!$C4,Assumptions!$G$3:$G$102,{"TRW"}))</f>
        <v>0</v>
      </c>
      <c r="Z4" s="2" cm="1">
        <f t="array" aca="1" ref="Z4" ca="1">SUM(SUMIFS(Assumptions!BJ$3:BJ$102,Assumptions!$B$3:$B$102,'2-w'!$C4,Assumptions!$G$3:$G$102,{"TRW"}))</f>
        <v>0</v>
      </c>
      <c r="AA4" s="2" cm="1">
        <f t="array" aca="1" ref="AA4" ca="1">SUM(SUMIFS(Assumptions!BK$3:BK$102,Assumptions!$B$3:$B$102,'2-w'!$C4,Assumptions!$G$3:$G$102,{"TRW"}))</f>
        <v>0</v>
      </c>
      <c r="AB4" s="2" cm="1">
        <f t="array" aca="1" ref="AB4" ca="1">SUM(SUMIFS(Assumptions!BL$3:BL$102,Assumptions!$B$3:$B$102,'2-w'!$C4,Assumptions!$G$3:$G$102,{"TRW"}))</f>
        <v>0</v>
      </c>
      <c r="AC4" s="2" cm="1">
        <f t="array" aca="1" ref="AC4" ca="1">SUM(SUMIFS(Assumptions!BM$3:BM$102,Assumptions!$B$3:$B$102,'2-w'!$C4,Assumptions!$G$3:$G$102,{"TRW"}))</f>
        <v>0</v>
      </c>
      <c r="AD4" s="2" cm="1">
        <f t="array" aca="1" ref="AD4" ca="1">SUM(SUMIFS(Assumptions!BN$3:BN$102,Assumptions!$B$3:$B$102,'2-w'!$C4,Assumptions!$G$3:$G$102,{"TRW"}))</f>
        <v>0</v>
      </c>
      <c r="AE4" s="2" cm="1">
        <f t="array" aca="1" ref="AE4" ca="1">SUM(SUMIFS(Assumptions!BO$3:BO$102,Assumptions!$B$3:$B$102,'2-w'!$C4,Assumptions!$G$3:$G$102,{"TRW"}))</f>
        <v>0</v>
      </c>
      <c r="AF4" s="2" cm="1">
        <f t="array" aca="1" ref="AF4" ca="1">SUM(SUMIFS(Assumptions!BP$3:BP$102,Assumptions!$B$3:$B$102,'2-w'!$C4,Assumptions!$G$3:$G$102,{"TRW"}))</f>
        <v>0</v>
      </c>
      <c r="AG4" s="2" cm="1">
        <f t="array" aca="1" ref="AG4" ca="1">SUM(SUMIFS(Assumptions!BQ$3:BQ$102,Assumptions!$B$3:$B$102,'2-w'!$C4,Assumptions!$G$3:$G$102,{"TRW"}))</f>
        <v>0</v>
      </c>
      <c r="AH4" s="53" t="str">
        <f ca="1">IF(SUM(D4:AG4)=0,"zero","")</f>
        <v>zero</v>
      </c>
      <c r="AI4" s="2" t="s">
        <v>169</v>
      </c>
      <c r="AK4" t="str">
        <f t="shared" ref="AK4:AK42" si="0">IF($AJ4="","",$AK$45)</f>
        <v/>
      </c>
      <c r="AL4" t="str">
        <f t="shared" ref="AL4:AL45" si="1">IF($AJ4="","",25)</f>
        <v/>
      </c>
      <c r="AN4" t="str">
        <f>IF($AJ4="","*","DMD")</f>
        <v>*</v>
      </c>
      <c r="AO4">
        <f>AJ4</f>
        <v>0</v>
      </c>
      <c r="AQ4" t="s">
        <v>156</v>
      </c>
      <c r="AR4" t="s">
        <v>354</v>
      </c>
      <c r="AS4" t="s">
        <v>361</v>
      </c>
    </row>
    <row r="5" spans="1:45" x14ac:dyDescent="0.45">
      <c r="A5" t="s">
        <v>25</v>
      </c>
      <c r="C5" s="35" t="s">
        <v>33</v>
      </c>
      <c r="D5" s="2" cm="1">
        <f t="array" aca="1" ref="D5" ca="1">SUM(SUMIFS(Assumptions!AN$3:AN$102,Assumptions!$B$3:$B$102,'2-w'!$C5,Assumptions!$G$3:$G$102,{"TRW"}))</f>
        <v>0</v>
      </c>
      <c r="E5" s="2" cm="1">
        <f t="array" aca="1" ref="E5" ca="1">SUM(SUMIFS(Assumptions!AO$3:AO$102,Assumptions!$B$3:$B$102,'2-w'!$C5,Assumptions!$G$3:$G$102,{"TRW"}))</f>
        <v>0.67275156185999996</v>
      </c>
      <c r="F5" s="2" cm="1">
        <f t="array" aca="1" ref="F5" ca="1">SUM(SUMIFS(Assumptions!AP$3:AP$102,Assumptions!$B$3:$B$102,'2-w'!$C5,Assumptions!$G$3:$G$102,{"TRW"}))</f>
        <v>0.30447457137360001</v>
      </c>
      <c r="G5" s="2" cm="1">
        <f t="array" aca="1" ref="G5" ca="1">SUM(SUMIFS(Assumptions!AQ$3:AQ$102,Assumptions!$B$3:$B$102,'2-w'!$C5,Assumptions!$G$3:$G$102,{"TRW"}))</f>
        <v>0</v>
      </c>
      <c r="H5" s="2" cm="1">
        <f t="array" aca="1" ref="H5" ca="1">SUM(SUMIFS(Assumptions!AR$3:AR$102,Assumptions!$B$3:$B$102,'2-w'!$C5,Assumptions!$G$3:$G$102,{"TRW"}))</f>
        <v>0.14973163661160002</v>
      </c>
      <c r="I5" s="2" cm="1">
        <f t="array" aca="1" ref="I5" ca="1">SUM(SUMIFS(Assumptions!AS$3:AS$102,Assumptions!$B$3:$B$102,'2-w'!$C5,Assumptions!$G$3:$G$102,{"TRW"}))</f>
        <v>18.659348822519998</v>
      </c>
      <c r="J5" s="2" cm="1">
        <f t="array" aca="1" ref="J5" ca="1">SUM(SUMIFS(Assumptions!AT$3:AT$102,Assumptions!$B$3:$B$102,'2-w'!$C5,Assumptions!$G$3:$G$102,{"TRW"}))</f>
        <v>9.8269102929600005E-2</v>
      </c>
      <c r="K5" s="2" cm="1">
        <f t="array" aca="1" ref="K5" ca="1">SUM(SUMIFS(Assumptions!AU$3:AU$102,Assumptions!$B$3:$B$102,'2-w'!$C5,Assumptions!$G$3:$G$102,{"TRW"}))</f>
        <v>3.1853729130066002</v>
      </c>
      <c r="L5" s="2" cm="1">
        <f t="array" aca="1" ref="L5" ca="1">SUM(SUMIFS(Assumptions!AV$3:AV$102,Assumptions!$B$3:$B$102,'2-w'!$C5,Assumptions!$G$3:$G$102,{"TRW"}))</f>
        <v>6.4142397656063999E-2</v>
      </c>
      <c r="M5" s="2" cm="1">
        <f t="array" aca="1" ref="M5" ca="1">SUM(SUMIFS(Assumptions!AW$3:AW$102,Assumptions!$B$3:$B$102,'2-w'!$C5,Assumptions!$G$3:$G$102,{"TRW"}))</f>
        <v>23.155199892863997</v>
      </c>
      <c r="N5" s="2" cm="1">
        <f t="array" aca="1" ref="N5" ca="1">SUM(SUMIFS(Assumptions!AX$3:AX$102,Assumptions!$B$3:$B$102,'2-w'!$C5,Assumptions!$G$3:$G$102,{"TRW"}))</f>
        <v>0.1364764712740201</v>
      </c>
      <c r="O5" s="2" cm="1">
        <f t="array" aca="1" ref="O5" ca="1">SUM(SUMIFS(Assumptions!AY$3:AY$102,Assumptions!$B$3:$B$102,'2-w'!$C5,Assumptions!$G$3:$G$102,{"TRW"}))</f>
        <v>0.11013954414309009</v>
      </c>
      <c r="P5" s="2" cm="1">
        <f t="array" aca="1" ref="P5" ca="1">SUM(SUMIFS(Assumptions!AZ$3:AZ$102,Assumptions!$B$3:$B$102,'2-w'!$C5,Assumptions!$G$3:$G$102,{"TRW"}))</f>
        <v>0.22778953927290022</v>
      </c>
      <c r="Q5" s="2" cm="1">
        <f t="array" aca="1" ref="Q5" ca="1">SUM(SUMIFS(Assumptions!BA$3:BA$102,Assumptions!$B$3:$B$102,'2-w'!$C5,Assumptions!$G$3:$G$102,{"TRW"}))</f>
        <v>3.386446559982003E-2</v>
      </c>
      <c r="R5" s="2" cm="1">
        <f t="array" aca="1" ref="R5" ca="1">SUM(SUMIFS(Assumptions!BB$3:BB$102,Assumptions!$B$3:$B$102,'2-w'!$C5,Assumptions!$G$3:$G$102,{"TRW"}))</f>
        <v>5.4999823046940045E-2</v>
      </c>
      <c r="S5" s="2" cm="1">
        <f t="array" aca="1" ref="S5" ca="1">SUM(SUMIFS(Assumptions!BC$3:BC$102,Assumptions!$B$3:$B$102,'2-w'!$C5,Assumptions!$G$3:$G$102,{"TRW"}))</f>
        <v>8.4355934661180076E-2</v>
      </c>
      <c r="T5" s="2" cm="1">
        <f t="array" aca="1" ref="T5" ca="1">SUM(SUMIFS(Assumptions!BD$3:BD$102,Assumptions!$B$3:$B$102,'2-w'!$C5,Assumptions!$G$3:$G$102,{"TRW"}))</f>
        <v>0.10156701179519999</v>
      </c>
      <c r="U5" s="2" cm="1">
        <f t="array" aca="1" ref="U5" ca="1">SUM(SUMIFS(Assumptions!BE$3:BE$102,Assumptions!$B$3:$B$102,'2-w'!$C5,Assumptions!$G$3:$G$102,{"TRW"}))</f>
        <v>0.39797062747218037</v>
      </c>
      <c r="V5" s="2" cm="1">
        <f t="array" aca="1" ref="V5" ca="1">SUM(SUMIFS(Assumptions!BF$3:BF$102,Assumptions!$B$3:$B$102,'2-w'!$C5,Assumptions!$G$3:$G$102,{"TRW"}))</f>
        <v>0.43791854131422037</v>
      </c>
      <c r="W5" s="2" cm="1">
        <f t="array" aca="1" ref="W5" ca="1">SUM(SUMIFS(Assumptions!BG$3:BG$102,Assumptions!$B$3:$B$102,'2-w'!$C5,Assumptions!$G$3:$G$102,{"TRW"}))</f>
        <v>14.728326714720001</v>
      </c>
      <c r="X5" s="2" cm="1">
        <f t="array" aca="1" ref="X5" ca="1">SUM(SUMIFS(Assumptions!BH$3:BH$102,Assumptions!$B$3:$B$102,'2-w'!$C5,Assumptions!$G$3:$G$102,{"TRW"}))</f>
        <v>0.41223411785699998</v>
      </c>
      <c r="Y5" s="2" cm="1">
        <f t="array" aca="1" ref="Y5" ca="1">SUM(SUMIFS(Assumptions!BI$3:BI$102,Assumptions!$B$3:$B$102,'2-w'!$C5,Assumptions!$G$3:$G$102,{"TRW"}))</f>
        <v>0</v>
      </c>
      <c r="Z5" s="2" cm="1">
        <f t="array" aca="1" ref="Z5" ca="1">SUM(SUMIFS(Assumptions!BJ$3:BJ$102,Assumptions!$B$3:$B$102,'2-w'!$C5,Assumptions!$G$3:$G$102,{"TRW"}))</f>
        <v>0</v>
      </c>
      <c r="AA5" s="2" cm="1">
        <f t="array" aca="1" ref="AA5" ca="1">SUM(SUMIFS(Assumptions!BK$3:BK$102,Assumptions!$B$3:$B$102,'2-w'!$C5,Assumptions!$G$3:$G$102,{"TRW"}))</f>
        <v>2.8407314698740024E-2</v>
      </c>
      <c r="AB5" s="2" cm="1">
        <f t="array" aca="1" ref="AB5" ca="1">SUM(SUMIFS(Assumptions!BL$3:BL$102,Assumptions!$B$3:$B$102,'2-w'!$C5,Assumptions!$G$3:$G$102,{"TRW"}))</f>
        <v>0</v>
      </c>
      <c r="AC5" s="2" cm="1">
        <f t="array" aca="1" ref="AC5" ca="1">SUM(SUMIFS(Assumptions!BM$3:BM$102,Assumptions!$B$3:$B$102,'2-w'!$C5,Assumptions!$G$3:$G$102,{"TRW"}))</f>
        <v>0</v>
      </c>
      <c r="AD5" s="2" cm="1">
        <f t="array" aca="1" ref="AD5" ca="1">SUM(SUMIFS(Assumptions!BN$3:BN$102,Assumptions!$B$3:$B$102,'2-w'!$C5,Assumptions!$G$3:$G$102,{"TRW"}))</f>
        <v>0</v>
      </c>
      <c r="AE5" s="2" cm="1">
        <f t="array" aca="1" ref="AE5" ca="1">SUM(SUMIFS(Assumptions!BO$3:BO$102,Assumptions!$B$3:$B$102,'2-w'!$C5,Assumptions!$G$3:$G$102,{"TRW"}))</f>
        <v>0.23302001451924018</v>
      </c>
      <c r="AF5" s="2" cm="1">
        <f t="array" aca="1" ref="AF5" ca="1">SUM(SUMIFS(Assumptions!BP$3:BP$102,Assumptions!$B$3:$B$102,'2-w'!$C5,Assumptions!$G$3:$G$102,{"TRW"}))</f>
        <v>1.0947098681280001</v>
      </c>
      <c r="AG5" s="2" cm="1">
        <f t="array" aca="1" ref="AG5" ca="1">SUM(SUMIFS(Assumptions!BQ$3:BQ$102,Assumptions!$B$3:$B$102,'2-w'!$C5,Assumptions!$G$3:$G$102,{"TRW"}))</f>
        <v>0</v>
      </c>
      <c r="AH5" s="53" t="str">
        <f t="shared" ref="AH5:AH10" ca="1" si="2">IF(SUM(D5:AG5)=0,"zero","")</f>
        <v/>
      </c>
      <c r="AI5" t="s">
        <v>169</v>
      </c>
      <c r="AK5" t="str">
        <f t="shared" si="0"/>
        <v/>
      </c>
      <c r="AL5" t="str">
        <f t="shared" si="1"/>
        <v/>
      </c>
      <c r="AN5" t="str">
        <f t="shared" ref="AN5:AN42" si="3">IF(AJ5="","*","DMD")</f>
        <v>*</v>
      </c>
      <c r="AO5">
        <f t="shared" ref="AO5:AO42" si="4">AJ5</f>
        <v>0</v>
      </c>
      <c r="AQ5" t="s">
        <v>156</v>
      </c>
      <c r="AR5" t="s">
        <v>354</v>
      </c>
      <c r="AS5" t="s">
        <v>361</v>
      </c>
    </row>
    <row r="6" spans="1:45" x14ac:dyDescent="0.45">
      <c r="A6" t="s">
        <v>25</v>
      </c>
      <c r="C6" s="35" t="s">
        <v>41</v>
      </c>
      <c r="D6" s="2" cm="1">
        <f t="array" aca="1" ref="D6" ca="1">SUM(SUMIFS(Assumptions!AN$3:AN$102,Assumptions!$B$3:$B$102,'2-w'!$C6,Assumptions!$G$3:$G$102,{"TRW"}))</f>
        <v>0</v>
      </c>
      <c r="E6" s="2" cm="1">
        <f t="array" aca="1" ref="E6" ca="1">SUM(SUMIFS(Assumptions!AO$3:AO$102,Assumptions!$B$3:$B$102,'2-w'!$C6,Assumptions!$G$3:$G$102,{"TRW"}))</f>
        <v>0</v>
      </c>
      <c r="F6" s="2" cm="1">
        <f t="array" aca="1" ref="F6" ca="1">SUM(SUMIFS(Assumptions!AP$3:AP$102,Assumptions!$B$3:$B$102,'2-w'!$C6,Assumptions!$G$3:$G$102,{"TRW"}))</f>
        <v>0</v>
      </c>
      <c r="G6" s="2" cm="1">
        <f t="array" aca="1" ref="G6" ca="1">SUM(SUMIFS(Assumptions!AQ$3:AQ$102,Assumptions!$B$3:$B$102,'2-w'!$C6,Assumptions!$G$3:$G$102,{"TRW"}))</f>
        <v>0</v>
      </c>
      <c r="H6" s="2" cm="1">
        <f t="array" aca="1" ref="H6" ca="1">SUM(SUMIFS(Assumptions!AR$3:AR$102,Assumptions!$B$3:$B$102,'2-w'!$C6,Assumptions!$G$3:$G$102,{"TRW"}))</f>
        <v>0</v>
      </c>
      <c r="I6" s="2" cm="1">
        <f t="array" aca="1" ref="I6" ca="1">SUM(SUMIFS(Assumptions!AS$3:AS$102,Assumptions!$B$3:$B$102,'2-w'!$C6,Assumptions!$G$3:$G$102,{"TRW"}))</f>
        <v>0</v>
      </c>
      <c r="J6" s="2" cm="1">
        <f t="array" aca="1" ref="J6" ca="1">SUM(SUMIFS(Assumptions!AT$3:AT$102,Assumptions!$B$3:$B$102,'2-w'!$C6,Assumptions!$G$3:$G$102,{"TRW"}))</f>
        <v>0</v>
      </c>
      <c r="K6" s="2" cm="1">
        <f t="array" aca="1" ref="K6" ca="1">SUM(SUMIFS(Assumptions!AU$3:AU$102,Assumptions!$B$3:$B$102,'2-w'!$C6,Assumptions!$G$3:$G$102,{"TRW"}))</f>
        <v>0</v>
      </c>
      <c r="L6" s="2" cm="1">
        <f t="array" aca="1" ref="L6" ca="1">SUM(SUMIFS(Assumptions!AV$3:AV$102,Assumptions!$B$3:$B$102,'2-w'!$C6,Assumptions!$G$3:$G$102,{"TRW"}))</f>
        <v>0</v>
      </c>
      <c r="M6" s="2" cm="1">
        <f t="array" aca="1" ref="M6" ca="1">SUM(SUMIFS(Assumptions!AW$3:AW$102,Assumptions!$B$3:$B$102,'2-w'!$C6,Assumptions!$G$3:$G$102,{"TRW"}))</f>
        <v>0</v>
      </c>
      <c r="N6" s="2" cm="1">
        <f t="array" aca="1" ref="N6" ca="1">SUM(SUMIFS(Assumptions!AX$3:AX$102,Assumptions!$B$3:$B$102,'2-w'!$C6,Assumptions!$G$3:$G$102,{"TRW"}))</f>
        <v>0</v>
      </c>
      <c r="O6" s="2" cm="1">
        <f t="array" aca="1" ref="O6" ca="1">SUM(SUMIFS(Assumptions!AY$3:AY$102,Assumptions!$B$3:$B$102,'2-w'!$C6,Assumptions!$G$3:$G$102,{"TRW"}))</f>
        <v>0</v>
      </c>
      <c r="P6" s="2" cm="1">
        <f t="array" aca="1" ref="P6" ca="1">SUM(SUMIFS(Assumptions!AZ$3:AZ$102,Assumptions!$B$3:$B$102,'2-w'!$C6,Assumptions!$G$3:$G$102,{"TRW"}))</f>
        <v>0</v>
      </c>
      <c r="Q6" s="2" cm="1">
        <f t="array" aca="1" ref="Q6" ca="1">SUM(SUMIFS(Assumptions!BA$3:BA$102,Assumptions!$B$3:$B$102,'2-w'!$C6,Assumptions!$G$3:$G$102,{"TRW"}))</f>
        <v>0</v>
      </c>
      <c r="R6" s="2" cm="1">
        <f t="array" aca="1" ref="R6" ca="1">SUM(SUMIFS(Assumptions!BB$3:BB$102,Assumptions!$B$3:$B$102,'2-w'!$C6,Assumptions!$G$3:$G$102,{"TRW"}))</f>
        <v>0</v>
      </c>
      <c r="S6" s="2" cm="1">
        <f t="array" aca="1" ref="S6" ca="1">SUM(SUMIFS(Assumptions!BC$3:BC$102,Assumptions!$B$3:$B$102,'2-w'!$C6,Assumptions!$G$3:$G$102,{"TRW"}))</f>
        <v>0</v>
      </c>
      <c r="T6" s="2" cm="1">
        <f t="array" aca="1" ref="T6" ca="1">SUM(SUMIFS(Assumptions!BD$3:BD$102,Assumptions!$B$3:$B$102,'2-w'!$C6,Assumptions!$G$3:$G$102,{"TRW"}))</f>
        <v>0</v>
      </c>
      <c r="U6" s="2" cm="1">
        <f t="array" aca="1" ref="U6" ca="1">SUM(SUMIFS(Assumptions!BE$3:BE$102,Assumptions!$B$3:$B$102,'2-w'!$C6,Assumptions!$G$3:$G$102,{"TRW"}))</f>
        <v>0</v>
      </c>
      <c r="V6" s="2" cm="1">
        <f t="array" aca="1" ref="V6" ca="1">SUM(SUMIFS(Assumptions!BF$3:BF$102,Assumptions!$B$3:$B$102,'2-w'!$C6,Assumptions!$G$3:$G$102,{"TRW"}))</f>
        <v>0</v>
      </c>
      <c r="W6" s="2" cm="1">
        <f t="array" aca="1" ref="W6" ca="1">SUM(SUMIFS(Assumptions!BG$3:BG$102,Assumptions!$B$3:$B$102,'2-w'!$C6,Assumptions!$G$3:$G$102,{"TRW"}))</f>
        <v>0</v>
      </c>
      <c r="X6" s="2" cm="1">
        <f t="array" aca="1" ref="X6" ca="1">SUM(SUMIFS(Assumptions!BH$3:BH$102,Assumptions!$B$3:$B$102,'2-w'!$C6,Assumptions!$G$3:$G$102,{"TRW"}))</f>
        <v>0</v>
      </c>
      <c r="Y6" s="2" cm="1">
        <f t="array" aca="1" ref="Y6" ca="1">SUM(SUMIFS(Assumptions!BI$3:BI$102,Assumptions!$B$3:$B$102,'2-w'!$C6,Assumptions!$G$3:$G$102,{"TRW"}))</f>
        <v>0</v>
      </c>
      <c r="Z6" s="2" cm="1">
        <f t="array" aca="1" ref="Z6" ca="1">SUM(SUMIFS(Assumptions!BJ$3:BJ$102,Assumptions!$B$3:$B$102,'2-w'!$C6,Assumptions!$G$3:$G$102,{"TRW"}))</f>
        <v>0</v>
      </c>
      <c r="AA6" s="2" cm="1">
        <f t="array" aca="1" ref="AA6" ca="1">SUM(SUMIFS(Assumptions!BK$3:BK$102,Assumptions!$B$3:$B$102,'2-w'!$C6,Assumptions!$G$3:$G$102,{"TRW"}))</f>
        <v>0</v>
      </c>
      <c r="AB6" s="2" cm="1">
        <f t="array" aca="1" ref="AB6" ca="1">SUM(SUMIFS(Assumptions!BL$3:BL$102,Assumptions!$B$3:$B$102,'2-w'!$C6,Assumptions!$G$3:$G$102,{"TRW"}))</f>
        <v>0</v>
      </c>
      <c r="AC6" s="2" cm="1">
        <f t="array" aca="1" ref="AC6" ca="1">SUM(SUMIFS(Assumptions!BM$3:BM$102,Assumptions!$B$3:$B$102,'2-w'!$C6,Assumptions!$G$3:$G$102,{"TRW"}))</f>
        <v>0</v>
      </c>
      <c r="AD6" s="2" cm="1">
        <f t="array" aca="1" ref="AD6" ca="1">SUM(SUMIFS(Assumptions!BN$3:BN$102,Assumptions!$B$3:$B$102,'2-w'!$C6,Assumptions!$G$3:$G$102,{"TRW"}))</f>
        <v>0</v>
      </c>
      <c r="AE6" s="2" cm="1">
        <f t="array" aca="1" ref="AE6" ca="1">SUM(SUMIFS(Assumptions!BO$3:BO$102,Assumptions!$B$3:$B$102,'2-w'!$C6,Assumptions!$G$3:$G$102,{"TRW"}))</f>
        <v>0</v>
      </c>
      <c r="AF6" s="2" cm="1">
        <f t="array" aca="1" ref="AF6" ca="1">SUM(SUMIFS(Assumptions!BP$3:BP$102,Assumptions!$B$3:$B$102,'2-w'!$C6,Assumptions!$G$3:$G$102,{"TRW"}))</f>
        <v>0</v>
      </c>
      <c r="AG6" s="2" cm="1">
        <f t="array" aca="1" ref="AG6" ca="1">SUM(SUMIFS(Assumptions!BQ$3:BQ$102,Assumptions!$B$3:$B$102,'2-w'!$C6,Assumptions!$G$3:$G$102,{"TRW"}))</f>
        <v>0</v>
      </c>
      <c r="AH6" s="53" t="str">
        <f t="shared" ca="1" si="2"/>
        <v>zero</v>
      </c>
      <c r="AI6" t="s">
        <v>169</v>
      </c>
      <c r="AK6" t="str">
        <f t="shared" si="0"/>
        <v/>
      </c>
      <c r="AL6" t="str">
        <f t="shared" si="1"/>
        <v/>
      </c>
      <c r="AN6" t="str">
        <f t="shared" si="3"/>
        <v>*</v>
      </c>
      <c r="AO6">
        <f t="shared" si="4"/>
        <v>0</v>
      </c>
      <c r="AQ6" t="s">
        <v>156</v>
      </c>
      <c r="AR6" t="s">
        <v>354</v>
      </c>
      <c r="AS6" t="s">
        <v>361</v>
      </c>
    </row>
    <row r="7" spans="1:45" x14ac:dyDescent="0.45">
      <c r="A7" t="s">
        <v>25</v>
      </c>
      <c r="C7" s="35" t="s">
        <v>37</v>
      </c>
      <c r="D7" s="2" cm="1">
        <f t="array" aca="1" ref="D7" ca="1">SUM(SUMIFS(Assumptions!AN$3:AN$102,Assumptions!$B$3:$B$102,'2-w'!$C7,Assumptions!$G$3:$G$102,{"TRW"}))</f>
        <v>0</v>
      </c>
      <c r="E7" s="2" cm="1">
        <f t="array" aca="1" ref="E7" ca="1">SUM(SUMIFS(Assumptions!AO$3:AO$102,Assumptions!$B$3:$B$102,'2-w'!$C7,Assumptions!$G$3:$G$102,{"TRW"}))</f>
        <v>0</v>
      </c>
      <c r="F7" s="2" cm="1">
        <f t="array" aca="1" ref="F7" ca="1">SUM(SUMIFS(Assumptions!AP$3:AP$102,Assumptions!$B$3:$B$102,'2-w'!$C7,Assumptions!$G$3:$G$102,{"TRW"}))</f>
        <v>0</v>
      </c>
      <c r="G7" s="2" cm="1">
        <f t="array" aca="1" ref="G7" ca="1">SUM(SUMIFS(Assumptions!AQ$3:AQ$102,Assumptions!$B$3:$B$102,'2-w'!$C7,Assumptions!$G$3:$G$102,{"TRW"}))</f>
        <v>0</v>
      </c>
      <c r="H7" s="2" cm="1">
        <f t="array" aca="1" ref="H7" ca="1">SUM(SUMIFS(Assumptions!AR$3:AR$102,Assumptions!$B$3:$B$102,'2-w'!$C7,Assumptions!$G$3:$G$102,{"TRW"}))</f>
        <v>0</v>
      </c>
      <c r="I7" s="2" cm="1">
        <f t="array" aca="1" ref="I7" ca="1">SUM(SUMIFS(Assumptions!AS$3:AS$102,Assumptions!$B$3:$B$102,'2-w'!$C7,Assumptions!$G$3:$G$102,{"TRW"}))</f>
        <v>0</v>
      </c>
      <c r="J7" s="2" cm="1">
        <f t="array" aca="1" ref="J7" ca="1">SUM(SUMIFS(Assumptions!AT$3:AT$102,Assumptions!$B$3:$B$102,'2-w'!$C7,Assumptions!$G$3:$G$102,{"TRW"}))</f>
        <v>0</v>
      </c>
      <c r="K7" s="2" cm="1">
        <f t="array" aca="1" ref="K7" ca="1">SUM(SUMIFS(Assumptions!AU$3:AU$102,Assumptions!$B$3:$B$102,'2-w'!$C7,Assumptions!$G$3:$G$102,{"TRW"}))</f>
        <v>0</v>
      </c>
      <c r="L7" s="2" cm="1">
        <f t="array" aca="1" ref="L7" ca="1">SUM(SUMIFS(Assumptions!AV$3:AV$102,Assumptions!$B$3:$B$102,'2-w'!$C7,Assumptions!$G$3:$G$102,{"TRW"}))</f>
        <v>0</v>
      </c>
      <c r="M7" s="2" cm="1">
        <f t="array" aca="1" ref="M7" ca="1">SUM(SUMIFS(Assumptions!AW$3:AW$102,Assumptions!$B$3:$B$102,'2-w'!$C7,Assumptions!$G$3:$G$102,{"TRW"}))</f>
        <v>0</v>
      </c>
      <c r="N7" s="2" cm="1">
        <f t="array" aca="1" ref="N7" ca="1">SUM(SUMIFS(Assumptions!AX$3:AX$102,Assumptions!$B$3:$B$102,'2-w'!$C7,Assumptions!$G$3:$G$102,{"TRW"}))</f>
        <v>0</v>
      </c>
      <c r="O7" s="2" cm="1">
        <f t="array" aca="1" ref="O7" ca="1">SUM(SUMIFS(Assumptions!AY$3:AY$102,Assumptions!$B$3:$B$102,'2-w'!$C7,Assumptions!$G$3:$G$102,{"TRW"}))</f>
        <v>0</v>
      </c>
      <c r="P7" s="2" cm="1">
        <f t="array" aca="1" ref="P7" ca="1">SUM(SUMIFS(Assumptions!AZ$3:AZ$102,Assumptions!$B$3:$B$102,'2-w'!$C7,Assumptions!$G$3:$G$102,{"TRW"}))</f>
        <v>0</v>
      </c>
      <c r="Q7" s="2" cm="1">
        <f t="array" aca="1" ref="Q7" ca="1">SUM(SUMIFS(Assumptions!BA$3:BA$102,Assumptions!$B$3:$B$102,'2-w'!$C7,Assumptions!$G$3:$G$102,{"TRW"}))</f>
        <v>0</v>
      </c>
      <c r="R7" s="2" cm="1">
        <f t="array" aca="1" ref="R7" ca="1">SUM(SUMIFS(Assumptions!BB$3:BB$102,Assumptions!$B$3:$B$102,'2-w'!$C7,Assumptions!$G$3:$G$102,{"TRW"}))</f>
        <v>0</v>
      </c>
      <c r="S7" s="2" cm="1">
        <f t="array" aca="1" ref="S7" ca="1">SUM(SUMIFS(Assumptions!BC$3:BC$102,Assumptions!$B$3:$B$102,'2-w'!$C7,Assumptions!$G$3:$G$102,{"TRW"}))</f>
        <v>0</v>
      </c>
      <c r="T7" s="2" cm="1">
        <f t="array" aca="1" ref="T7" ca="1">SUM(SUMIFS(Assumptions!BD$3:BD$102,Assumptions!$B$3:$B$102,'2-w'!$C7,Assumptions!$G$3:$G$102,{"TRW"}))</f>
        <v>0</v>
      </c>
      <c r="U7" s="2" cm="1">
        <f t="array" aca="1" ref="U7" ca="1">SUM(SUMIFS(Assumptions!BE$3:BE$102,Assumptions!$B$3:$B$102,'2-w'!$C7,Assumptions!$G$3:$G$102,{"TRW"}))</f>
        <v>0</v>
      </c>
      <c r="V7" s="2" cm="1">
        <f t="array" aca="1" ref="V7" ca="1">SUM(SUMIFS(Assumptions!BF$3:BF$102,Assumptions!$B$3:$B$102,'2-w'!$C7,Assumptions!$G$3:$G$102,{"TRW"}))</f>
        <v>0</v>
      </c>
      <c r="W7" s="2" cm="1">
        <f t="array" aca="1" ref="W7" ca="1">SUM(SUMIFS(Assumptions!BG$3:BG$102,Assumptions!$B$3:$B$102,'2-w'!$C7,Assumptions!$G$3:$G$102,{"TRW"}))</f>
        <v>0</v>
      </c>
      <c r="X7" s="2" cm="1">
        <f t="array" aca="1" ref="X7" ca="1">SUM(SUMIFS(Assumptions!BH$3:BH$102,Assumptions!$B$3:$B$102,'2-w'!$C7,Assumptions!$G$3:$G$102,{"TRW"}))</f>
        <v>0</v>
      </c>
      <c r="Y7" s="2" cm="1">
        <f t="array" aca="1" ref="Y7" ca="1">SUM(SUMIFS(Assumptions!BI$3:BI$102,Assumptions!$B$3:$B$102,'2-w'!$C7,Assumptions!$G$3:$G$102,{"TRW"}))</f>
        <v>0</v>
      </c>
      <c r="Z7" s="2" cm="1">
        <f t="array" aca="1" ref="Z7" ca="1">SUM(SUMIFS(Assumptions!BJ$3:BJ$102,Assumptions!$B$3:$B$102,'2-w'!$C7,Assumptions!$G$3:$G$102,{"TRW"}))</f>
        <v>0</v>
      </c>
      <c r="AA7" s="2" cm="1">
        <f t="array" aca="1" ref="AA7" ca="1">SUM(SUMIFS(Assumptions!BK$3:BK$102,Assumptions!$B$3:$B$102,'2-w'!$C7,Assumptions!$G$3:$G$102,{"TRW"}))</f>
        <v>0</v>
      </c>
      <c r="AB7" s="2" cm="1">
        <f t="array" aca="1" ref="AB7" ca="1">SUM(SUMIFS(Assumptions!BL$3:BL$102,Assumptions!$B$3:$B$102,'2-w'!$C7,Assumptions!$G$3:$G$102,{"TRW"}))</f>
        <v>0</v>
      </c>
      <c r="AC7" s="2" cm="1">
        <f t="array" aca="1" ref="AC7" ca="1">SUM(SUMIFS(Assumptions!BM$3:BM$102,Assumptions!$B$3:$B$102,'2-w'!$C7,Assumptions!$G$3:$G$102,{"TRW"}))</f>
        <v>0</v>
      </c>
      <c r="AD7" s="2" cm="1">
        <f t="array" aca="1" ref="AD7" ca="1">SUM(SUMIFS(Assumptions!BN$3:BN$102,Assumptions!$B$3:$B$102,'2-w'!$C7,Assumptions!$G$3:$G$102,{"TRW"}))</f>
        <v>0</v>
      </c>
      <c r="AE7" s="2" cm="1">
        <f t="array" aca="1" ref="AE7" ca="1">SUM(SUMIFS(Assumptions!BO$3:BO$102,Assumptions!$B$3:$B$102,'2-w'!$C7,Assumptions!$G$3:$G$102,{"TRW"}))</f>
        <v>0</v>
      </c>
      <c r="AF7" s="2" cm="1">
        <f t="array" aca="1" ref="AF7" ca="1">SUM(SUMIFS(Assumptions!BP$3:BP$102,Assumptions!$B$3:$B$102,'2-w'!$C7,Assumptions!$G$3:$G$102,{"TRW"}))</f>
        <v>0</v>
      </c>
      <c r="AG7" s="2" cm="1">
        <f t="array" aca="1" ref="AG7" ca="1">SUM(SUMIFS(Assumptions!BQ$3:BQ$102,Assumptions!$B$3:$B$102,'2-w'!$C7,Assumptions!$G$3:$G$102,{"TRW"}))</f>
        <v>0</v>
      </c>
      <c r="AH7" s="53" t="str">
        <f t="shared" ca="1" si="2"/>
        <v>zero</v>
      </c>
      <c r="AI7" t="s">
        <v>169</v>
      </c>
      <c r="AK7" t="str">
        <f t="shared" si="0"/>
        <v/>
      </c>
      <c r="AL7" t="str">
        <f t="shared" si="1"/>
        <v/>
      </c>
      <c r="AN7" t="str">
        <f t="shared" si="3"/>
        <v>*</v>
      </c>
      <c r="AO7">
        <f t="shared" si="4"/>
        <v>0</v>
      </c>
      <c r="AQ7" t="s">
        <v>156</v>
      </c>
      <c r="AR7" t="s">
        <v>354</v>
      </c>
      <c r="AS7" t="s">
        <v>361</v>
      </c>
    </row>
    <row r="8" spans="1:45" x14ac:dyDescent="0.45">
      <c r="A8" t="s">
        <v>25</v>
      </c>
      <c r="C8" s="35" t="s">
        <v>42</v>
      </c>
      <c r="D8" s="2" cm="1">
        <f t="array" aca="1" ref="D8" ca="1">SUM(SUMIFS(Assumptions!AN$3:AN$102,Assumptions!$B$3:$B$102,'2-w'!$C8,Assumptions!$G$3:$G$102,{"TRW"}))</f>
        <v>250.48460281193999</v>
      </c>
      <c r="E8" s="2" cm="1">
        <f t="array" aca="1" ref="E8" ca="1">SUM(SUMIFS(Assumptions!AO$3:AO$102,Assumptions!$B$3:$B$102,'2-w'!$C8,Assumptions!$G$3:$G$102,{"TRW"}))</f>
        <v>434.96326194803999</v>
      </c>
      <c r="F8" s="2" cm="1">
        <f t="array" aca="1" ref="F8" ca="1">SUM(SUMIFS(Assumptions!AP$3:AP$102,Assumptions!$B$3:$B$102,'2-w'!$C8,Assumptions!$G$3:$G$102,{"TRW"}))</f>
        <v>5.5378014116057992</v>
      </c>
      <c r="G8" s="2" cm="1">
        <f t="array" aca="1" ref="G8" ca="1">SUM(SUMIFS(Assumptions!AQ$3:AQ$102,Assumptions!$B$3:$B$102,'2-w'!$C8,Assumptions!$G$3:$G$102,{"TRW"}))</f>
        <v>4.3074477875771997</v>
      </c>
      <c r="H8" s="2" cm="1">
        <f t="array" aca="1" ref="H8" ca="1">SUM(SUMIFS(Assumptions!AR$3:AR$102,Assumptions!$B$3:$B$102,'2-w'!$C8,Assumptions!$G$3:$G$102,{"TRW"}))</f>
        <v>18.154842328159202</v>
      </c>
      <c r="I8" s="2" cm="1">
        <f t="array" aca="1" ref="I8" ca="1">SUM(SUMIFS(Assumptions!AS$3:AS$102,Assumptions!$B$3:$B$102,'2-w'!$C8,Assumptions!$G$3:$G$102,{"TRW"}))</f>
        <v>1243.79691694398</v>
      </c>
      <c r="J8" s="2" cm="1">
        <f t="array" aca="1" ref="J8" ca="1">SUM(SUMIFS(Assumptions!AT$3:AT$102,Assumptions!$B$3:$B$102,'2-w'!$C8,Assumptions!$G$3:$G$102,{"TRW"}))</f>
        <v>12.146634524455202</v>
      </c>
      <c r="K8" s="2" cm="1">
        <f t="array" aca="1" ref="K8" ca="1">SUM(SUMIFS(Assumptions!AU$3:AU$102,Assumptions!$B$3:$B$102,'2-w'!$C8,Assumptions!$G$3:$G$102,{"TRW"}))</f>
        <v>12.125454845124599</v>
      </c>
      <c r="L8" s="2" cm="1">
        <f t="array" aca="1" ref="L8" ca="1">SUM(SUMIFS(Assumptions!AV$3:AV$102,Assumptions!$B$3:$B$102,'2-w'!$C8,Assumptions!$G$3:$G$102,{"TRW"}))</f>
        <v>1.3050735869502721</v>
      </c>
      <c r="M8" s="2" cm="1">
        <f t="array" aca="1" ref="M8" ca="1">SUM(SUMIFS(Assumptions!AW$3:AW$102,Assumptions!$B$3:$B$102,'2-w'!$C8,Assumptions!$G$3:$G$102,{"TRW"}))</f>
        <v>1626.0493453890481</v>
      </c>
      <c r="N8" s="2" cm="1">
        <f t="array" aca="1" ref="N8" ca="1">SUM(SUMIFS(Assumptions!AX$3:AX$102,Assumptions!$B$3:$B$102,'2-w'!$C8,Assumptions!$G$3:$G$102,{"TRW"}))</f>
        <v>2.7668727318798028</v>
      </c>
      <c r="O8" s="2" cm="1">
        <f t="array" aca="1" ref="O8" ca="1">SUM(SUMIFS(Assumptions!AY$3:AY$102,Assumptions!$B$3:$B$102,'2-w'!$C8,Assumptions!$G$3:$G$102,{"TRW"}))</f>
        <v>2.7759725623800922</v>
      </c>
      <c r="P8" s="2" cm="1">
        <f t="array" aca="1" ref="P8" ca="1">SUM(SUMIFS(Assumptions!AZ$3:AZ$102,Assumptions!$B$3:$B$102,'2-w'!$C8,Assumptions!$G$3:$G$102,{"TRW"}))</f>
        <v>4.3671056902299039</v>
      </c>
      <c r="Q8" s="2" cm="1">
        <f t="array" aca="1" ref="Q8" ca="1">SUM(SUMIFS(Assumptions!BA$3:BA$102,Assumptions!$B$3:$B$102,'2-w'!$C8,Assumptions!$G$3:$G$102,{"TRW"}))</f>
        <v>6.3946530213246051</v>
      </c>
      <c r="R8" s="2" cm="1">
        <f t="array" aca="1" ref="R8" ca="1">SUM(SUMIFS(Assumptions!BB$3:BB$102,Assumptions!$B$3:$B$102,'2-w'!$C8,Assumptions!$G$3:$G$102,{"TRW"}))</f>
        <v>1.283695453236871</v>
      </c>
      <c r="S8" s="2" cm="1">
        <f t="array" aca="1" ref="S8" ca="1">SUM(SUMIFS(Assumptions!BC$3:BC$102,Assumptions!$B$3:$B$102,'2-w'!$C8,Assumptions!$G$3:$G$102,{"TRW"}))</f>
        <v>3.9450679685301639</v>
      </c>
      <c r="T8" s="2" cm="1">
        <f t="array" aca="1" ref="T8" ca="1">SUM(SUMIFS(Assumptions!BD$3:BD$102,Assumptions!$B$3:$B$102,'2-w'!$C8,Assumptions!$G$3:$G$102,{"TRW"}))</f>
        <v>5.1709140723743996</v>
      </c>
      <c r="U8" s="2" cm="1">
        <f t="array" aca="1" ref="U8" ca="1">SUM(SUMIFS(Assumptions!BE$3:BE$102,Assumptions!$B$3:$B$102,'2-w'!$C8,Assumptions!$G$3:$G$102,{"TRW"}))</f>
        <v>4.7884520542285838</v>
      </c>
      <c r="V8" s="2" cm="1">
        <f t="array" aca="1" ref="V8" ca="1">SUM(SUMIFS(Assumptions!BF$3:BF$102,Assumptions!$B$3:$B$102,'2-w'!$C8,Assumptions!$G$3:$G$102,{"TRW"}))</f>
        <v>10.514004596723348</v>
      </c>
      <c r="W8" s="2" cm="1">
        <f t="array" aca="1" ref="W8" ca="1">SUM(SUMIFS(Assumptions!BG$3:BG$102,Assumptions!$B$3:$B$102,'2-w'!$C8,Assumptions!$G$3:$G$102,{"TRW"}))</f>
        <v>537.15200056415995</v>
      </c>
      <c r="X8" s="2" cm="1">
        <f t="array" aca="1" ref="X8" ca="1">SUM(SUMIFS(Assumptions!BH$3:BH$102,Assumptions!$B$3:$B$102,'2-w'!$C8,Assumptions!$G$3:$G$102,{"TRW"}))</f>
        <v>17.517371908320001</v>
      </c>
      <c r="Y8" s="2" cm="1">
        <f t="array" aca="1" ref="Y8" ca="1">SUM(SUMIFS(Assumptions!BI$3:BI$102,Assumptions!$B$3:$B$102,'2-w'!$C8,Assumptions!$G$3:$G$102,{"TRW"}))</f>
        <v>92.447588454647388</v>
      </c>
      <c r="Z8" s="2" cm="1">
        <f t="array" aca="1" ref="Z8" ca="1">SUM(SUMIFS(Assumptions!BJ$3:BJ$102,Assumptions!$B$3:$B$102,'2-w'!$C8,Assumptions!$G$3:$G$102,{"TRW"}))</f>
        <v>33.034734535571999</v>
      </c>
      <c r="AA8" s="2" cm="1">
        <f t="array" aca="1" ref="AA8" ca="1">SUM(SUMIFS(Assumptions!BK$3:BK$102,Assumptions!$B$3:$B$102,'2-w'!$C8,Assumptions!$G$3:$G$102,{"TRW"}))</f>
        <v>0.48190482723474043</v>
      </c>
      <c r="AB8" s="2" cm="1">
        <f t="array" aca="1" ref="AB8" ca="1">SUM(SUMIFS(Assumptions!BL$3:BL$102,Assumptions!$B$3:$B$102,'2-w'!$C8,Assumptions!$G$3:$G$102,{"TRW"}))</f>
        <v>15.677203089403799</v>
      </c>
      <c r="AC8" s="2" cm="1">
        <f t="array" aca="1" ref="AC8" ca="1">SUM(SUMIFS(Assumptions!BM$3:BM$102,Assumptions!$B$3:$B$102,'2-w'!$C8,Assumptions!$G$3:$G$102,{"TRW"}))</f>
        <v>14.271189633691199</v>
      </c>
      <c r="AD8" s="2" cm="1">
        <f t="array" aca="1" ref="AD8" ca="1">SUM(SUMIFS(Assumptions!BN$3:BN$102,Assumptions!$B$3:$B$102,'2-w'!$C8,Assumptions!$G$3:$G$102,{"TRW"}))</f>
        <v>110.80105697303999</v>
      </c>
      <c r="AE8" s="2" cm="1">
        <f t="array" aca="1" ref="AE8" ca="1">SUM(SUMIFS(Assumptions!BO$3:BO$102,Assumptions!$B$3:$B$102,'2-w'!$C8,Assumptions!$G$3:$G$102,{"TRW"}))</f>
        <v>7.5288864001483873</v>
      </c>
      <c r="AF8" s="2" cm="1">
        <f t="array" aca="1" ref="AF8" ca="1">SUM(SUMIFS(Assumptions!BP$3:BP$102,Assumptions!$B$3:$B$102,'2-w'!$C8,Assumptions!$G$3:$G$102,{"TRW"}))</f>
        <v>12.392536574393279</v>
      </c>
      <c r="AG8" s="2" cm="1">
        <f t="array" aca="1" ref="AG8" ca="1">SUM(SUMIFS(Assumptions!BQ$3:BQ$102,Assumptions!$B$3:$B$102,'2-w'!$C8,Assumptions!$G$3:$G$102,{"TRW"}))</f>
        <v>0</v>
      </c>
      <c r="AH8" s="53" t="str">
        <f t="shared" ca="1" si="2"/>
        <v/>
      </c>
      <c r="AI8" t="s">
        <v>169</v>
      </c>
      <c r="AK8" t="str">
        <f t="shared" si="0"/>
        <v/>
      </c>
      <c r="AL8" t="str">
        <f t="shared" si="1"/>
        <v/>
      </c>
      <c r="AN8" t="str">
        <f t="shared" si="3"/>
        <v>*</v>
      </c>
      <c r="AO8">
        <f t="shared" si="4"/>
        <v>0</v>
      </c>
      <c r="AQ8" t="s">
        <v>156</v>
      </c>
      <c r="AR8" t="s">
        <v>354</v>
      </c>
      <c r="AS8" t="s">
        <v>361</v>
      </c>
    </row>
    <row r="9" spans="1:45" x14ac:dyDescent="0.45">
      <c r="A9" t="s">
        <v>25</v>
      </c>
      <c r="C9" s="35" t="s">
        <v>39</v>
      </c>
      <c r="D9" s="2" cm="1">
        <f t="array" ref="D9">SUM(SUMIFS(Assumptions!AN$3:AN$102,Assumptions!$B$3:$B$102,'2-w'!$C9,Assumptions!$G$3:$G$102,{"TRW"}))</f>
        <v>0</v>
      </c>
      <c r="E9" s="2" cm="1">
        <f t="array" ref="E9">SUM(SUMIFS(Assumptions!AO$3:AO$102,Assumptions!$B$3:$B$102,'2-w'!$C9,Assumptions!$G$3:$G$102,{"TRW"}))</f>
        <v>0</v>
      </c>
      <c r="F9" s="2" cm="1">
        <f t="array" ref="F9">SUM(SUMIFS(Assumptions!AP$3:AP$102,Assumptions!$B$3:$B$102,'2-w'!$C9,Assumptions!$G$3:$G$102,{"TRW"}))</f>
        <v>0</v>
      </c>
      <c r="G9" s="2" cm="1">
        <f t="array" ref="G9">SUM(SUMIFS(Assumptions!AQ$3:AQ$102,Assumptions!$B$3:$B$102,'2-w'!$C9,Assumptions!$G$3:$G$102,{"TRW"}))</f>
        <v>0</v>
      </c>
      <c r="H9" s="2" cm="1">
        <f t="array" ref="H9">SUM(SUMIFS(Assumptions!AR$3:AR$102,Assumptions!$B$3:$B$102,'2-w'!$C9,Assumptions!$G$3:$G$102,{"TRW"}))</f>
        <v>0</v>
      </c>
      <c r="I9" s="2" cm="1">
        <f t="array" ref="I9">SUM(SUMIFS(Assumptions!AS$3:AS$102,Assumptions!$B$3:$B$102,'2-w'!$C9,Assumptions!$G$3:$G$102,{"TRW"}))</f>
        <v>0</v>
      </c>
      <c r="J9" s="2" cm="1">
        <f t="array" ref="J9">SUM(SUMIFS(Assumptions!AT$3:AT$102,Assumptions!$B$3:$B$102,'2-w'!$C9,Assumptions!$G$3:$G$102,{"TRW"}))</f>
        <v>0</v>
      </c>
      <c r="K9" s="2" cm="1">
        <f t="array" ref="K9">SUM(SUMIFS(Assumptions!AU$3:AU$102,Assumptions!$B$3:$B$102,'2-w'!$C9,Assumptions!$G$3:$G$102,{"TRW"}))</f>
        <v>0</v>
      </c>
      <c r="L9" s="2" cm="1">
        <f t="array" ref="L9">SUM(SUMIFS(Assumptions!AV$3:AV$102,Assumptions!$B$3:$B$102,'2-w'!$C9,Assumptions!$G$3:$G$102,{"TRW"}))</f>
        <v>0</v>
      </c>
      <c r="M9" s="2" cm="1">
        <f t="array" ref="M9">SUM(SUMIFS(Assumptions!AW$3:AW$102,Assumptions!$B$3:$B$102,'2-w'!$C9,Assumptions!$G$3:$G$102,{"TRW"}))</f>
        <v>0</v>
      </c>
      <c r="N9" s="2" cm="1">
        <f t="array" ref="N9">SUM(SUMIFS(Assumptions!AX$3:AX$102,Assumptions!$B$3:$B$102,'2-w'!$C9,Assumptions!$G$3:$G$102,{"TRW"}))</f>
        <v>0</v>
      </c>
      <c r="O9" s="2" cm="1">
        <f t="array" ref="O9">SUM(SUMIFS(Assumptions!AY$3:AY$102,Assumptions!$B$3:$B$102,'2-w'!$C9,Assumptions!$G$3:$G$102,{"TRW"}))</f>
        <v>0</v>
      </c>
      <c r="P9" s="2" cm="1">
        <f t="array" ref="P9">SUM(SUMIFS(Assumptions!AZ$3:AZ$102,Assumptions!$B$3:$B$102,'2-w'!$C9,Assumptions!$G$3:$G$102,{"TRW"}))</f>
        <v>0</v>
      </c>
      <c r="Q9" s="2" cm="1">
        <f t="array" ref="Q9">SUM(SUMIFS(Assumptions!BA$3:BA$102,Assumptions!$B$3:$B$102,'2-w'!$C9,Assumptions!$G$3:$G$102,{"TRW"}))</f>
        <v>0</v>
      </c>
      <c r="R9" s="2" cm="1">
        <f t="array" ref="R9">SUM(SUMIFS(Assumptions!BB$3:BB$102,Assumptions!$B$3:$B$102,'2-w'!$C9,Assumptions!$G$3:$G$102,{"TRW"}))</f>
        <v>0</v>
      </c>
      <c r="S9" s="2" cm="1">
        <f t="array" ref="S9">SUM(SUMIFS(Assumptions!BC$3:BC$102,Assumptions!$B$3:$B$102,'2-w'!$C9,Assumptions!$G$3:$G$102,{"TRW"}))</f>
        <v>0</v>
      </c>
      <c r="T9" s="2" cm="1">
        <f t="array" ref="T9">SUM(SUMIFS(Assumptions!BD$3:BD$102,Assumptions!$B$3:$B$102,'2-w'!$C9,Assumptions!$G$3:$G$102,{"TRW"}))</f>
        <v>0</v>
      </c>
      <c r="U9" s="2" cm="1">
        <f t="array" ref="U9">SUM(SUMIFS(Assumptions!BE$3:BE$102,Assumptions!$B$3:$B$102,'2-w'!$C9,Assumptions!$G$3:$G$102,{"TRW"}))</f>
        <v>0</v>
      </c>
      <c r="V9" s="2" cm="1">
        <f t="array" ref="V9">SUM(SUMIFS(Assumptions!BF$3:BF$102,Assumptions!$B$3:$B$102,'2-w'!$C9,Assumptions!$G$3:$G$102,{"TRW"}))</f>
        <v>0</v>
      </c>
      <c r="W9" s="2" cm="1">
        <f t="array" ref="W9">SUM(SUMIFS(Assumptions!BG$3:BG$102,Assumptions!$B$3:$B$102,'2-w'!$C9,Assumptions!$G$3:$G$102,{"TRW"}))</f>
        <v>0</v>
      </c>
      <c r="X9" s="2" cm="1">
        <f t="array" ref="X9">SUM(SUMIFS(Assumptions!BH$3:BH$102,Assumptions!$B$3:$B$102,'2-w'!$C9,Assumptions!$G$3:$G$102,{"TRW"}))</f>
        <v>0</v>
      </c>
      <c r="Y9" s="2" cm="1">
        <f t="array" ref="Y9">SUM(SUMIFS(Assumptions!BI$3:BI$102,Assumptions!$B$3:$B$102,'2-w'!$C9,Assumptions!$G$3:$G$102,{"TRW"}))</f>
        <v>0</v>
      </c>
      <c r="Z9" s="2" cm="1">
        <f t="array" ref="Z9">SUM(SUMIFS(Assumptions!BJ$3:BJ$102,Assumptions!$B$3:$B$102,'2-w'!$C9,Assumptions!$G$3:$G$102,{"TRW"}))</f>
        <v>0</v>
      </c>
      <c r="AA9" s="2" cm="1">
        <f t="array" ref="AA9">SUM(SUMIFS(Assumptions!BK$3:BK$102,Assumptions!$B$3:$B$102,'2-w'!$C9,Assumptions!$G$3:$G$102,{"TRW"}))</f>
        <v>0</v>
      </c>
      <c r="AB9" s="2" cm="1">
        <f t="array" ref="AB9">SUM(SUMIFS(Assumptions!BL$3:BL$102,Assumptions!$B$3:$B$102,'2-w'!$C9,Assumptions!$G$3:$G$102,{"TRW"}))</f>
        <v>0</v>
      </c>
      <c r="AC9" s="2" cm="1">
        <f t="array" ref="AC9">SUM(SUMIFS(Assumptions!BM$3:BM$102,Assumptions!$B$3:$B$102,'2-w'!$C9,Assumptions!$G$3:$G$102,{"TRW"}))</f>
        <v>0</v>
      </c>
      <c r="AD9" s="2" cm="1">
        <f t="array" ref="AD9">SUM(SUMIFS(Assumptions!BN$3:BN$102,Assumptions!$B$3:$B$102,'2-w'!$C9,Assumptions!$G$3:$G$102,{"TRW"}))</f>
        <v>0</v>
      </c>
      <c r="AE9" s="2" cm="1">
        <f t="array" ref="AE9">SUM(SUMIFS(Assumptions!BO$3:BO$102,Assumptions!$B$3:$B$102,'2-w'!$C9,Assumptions!$G$3:$G$102,{"TRW"}))</f>
        <v>0</v>
      </c>
      <c r="AF9" s="2" cm="1">
        <f t="array" ref="AF9">SUM(SUMIFS(Assumptions!BP$3:BP$102,Assumptions!$B$3:$B$102,'2-w'!$C9,Assumptions!$G$3:$G$102,{"TRW"}))</f>
        <v>0</v>
      </c>
      <c r="AG9" s="2" cm="1">
        <f t="array" ref="AG9">SUM(SUMIFS(Assumptions!BQ$3:BQ$102,Assumptions!$B$3:$B$102,'2-w'!$C9,Assumptions!$G$3:$G$102,{"TRW"}))</f>
        <v>0</v>
      </c>
      <c r="AH9" s="53" t="str">
        <f t="shared" si="2"/>
        <v>zero</v>
      </c>
      <c r="AI9" t="s">
        <v>169</v>
      </c>
      <c r="AK9" t="str">
        <f t="shared" si="0"/>
        <v/>
      </c>
      <c r="AL9" t="str">
        <f t="shared" si="1"/>
        <v/>
      </c>
      <c r="AN9" t="str">
        <f t="shared" si="3"/>
        <v>*</v>
      </c>
      <c r="AO9">
        <f t="shared" si="4"/>
        <v>0</v>
      </c>
      <c r="AQ9" t="s">
        <v>156</v>
      </c>
      <c r="AR9" t="s">
        <v>354</v>
      </c>
      <c r="AS9" t="s">
        <v>361</v>
      </c>
    </row>
    <row r="10" spans="1:45" x14ac:dyDescent="0.45">
      <c r="A10" t="s">
        <v>25</v>
      </c>
      <c r="C10" s="35" t="s">
        <v>38</v>
      </c>
      <c r="D10" s="2" cm="1">
        <f t="array" ref="D10">SUM(SUMIFS(Assumptions!AN$3:AN$102,Assumptions!$B$3:$B$102,'2-w'!$C10,Assumptions!$G$3:$G$102,{"TRW"}))</f>
        <v>0</v>
      </c>
      <c r="E10" s="2" cm="1">
        <f t="array" ref="E10">SUM(SUMIFS(Assumptions!AO$3:AO$102,Assumptions!$B$3:$B$102,'2-w'!$C10,Assumptions!$G$3:$G$102,{"TRW"}))</f>
        <v>0</v>
      </c>
      <c r="F10" s="2" cm="1">
        <f t="array" ref="F10">SUM(SUMIFS(Assumptions!AP$3:AP$102,Assumptions!$B$3:$B$102,'2-w'!$C10,Assumptions!$G$3:$G$102,{"TRW"}))</f>
        <v>0</v>
      </c>
      <c r="G10" s="2" cm="1">
        <f t="array" ref="G10">SUM(SUMIFS(Assumptions!AQ$3:AQ$102,Assumptions!$B$3:$B$102,'2-w'!$C10,Assumptions!$G$3:$G$102,{"TRW"}))</f>
        <v>0</v>
      </c>
      <c r="H10" s="2" cm="1">
        <f t="array" ref="H10">SUM(SUMIFS(Assumptions!AR$3:AR$102,Assumptions!$B$3:$B$102,'2-w'!$C10,Assumptions!$G$3:$G$102,{"TRW"}))</f>
        <v>0</v>
      </c>
      <c r="I10" s="2" cm="1">
        <f t="array" ref="I10">SUM(SUMIFS(Assumptions!AS$3:AS$102,Assumptions!$B$3:$B$102,'2-w'!$C10,Assumptions!$G$3:$G$102,{"TRW"}))</f>
        <v>0</v>
      </c>
      <c r="J10" s="2" cm="1">
        <f t="array" ref="J10">SUM(SUMIFS(Assumptions!AT$3:AT$102,Assumptions!$B$3:$B$102,'2-w'!$C10,Assumptions!$G$3:$G$102,{"TRW"}))</f>
        <v>0</v>
      </c>
      <c r="K10" s="2" cm="1">
        <f t="array" ref="K10">SUM(SUMIFS(Assumptions!AU$3:AU$102,Assumptions!$B$3:$B$102,'2-w'!$C10,Assumptions!$G$3:$G$102,{"TRW"}))</f>
        <v>0</v>
      </c>
      <c r="L10" s="2" cm="1">
        <f t="array" ref="L10">SUM(SUMIFS(Assumptions!AV$3:AV$102,Assumptions!$B$3:$B$102,'2-w'!$C10,Assumptions!$G$3:$G$102,{"TRW"}))</f>
        <v>0</v>
      </c>
      <c r="M10" s="2" cm="1">
        <f t="array" ref="M10">SUM(SUMIFS(Assumptions!AW$3:AW$102,Assumptions!$B$3:$B$102,'2-w'!$C10,Assumptions!$G$3:$G$102,{"TRW"}))</f>
        <v>0</v>
      </c>
      <c r="N10" s="2" cm="1">
        <f t="array" ref="N10">SUM(SUMIFS(Assumptions!AX$3:AX$102,Assumptions!$B$3:$B$102,'2-w'!$C10,Assumptions!$G$3:$G$102,{"TRW"}))</f>
        <v>0</v>
      </c>
      <c r="O10" s="2" cm="1">
        <f t="array" ref="O10">SUM(SUMIFS(Assumptions!AY$3:AY$102,Assumptions!$B$3:$B$102,'2-w'!$C10,Assumptions!$G$3:$G$102,{"TRW"}))</f>
        <v>0</v>
      </c>
      <c r="P10" s="2" cm="1">
        <f t="array" ref="P10">SUM(SUMIFS(Assumptions!AZ$3:AZ$102,Assumptions!$B$3:$B$102,'2-w'!$C10,Assumptions!$G$3:$G$102,{"TRW"}))</f>
        <v>0</v>
      </c>
      <c r="Q10" s="2" cm="1">
        <f t="array" ref="Q10">SUM(SUMIFS(Assumptions!BA$3:BA$102,Assumptions!$B$3:$B$102,'2-w'!$C10,Assumptions!$G$3:$G$102,{"TRW"}))</f>
        <v>0</v>
      </c>
      <c r="R10" s="2" cm="1">
        <f t="array" ref="R10">SUM(SUMIFS(Assumptions!BB$3:BB$102,Assumptions!$B$3:$B$102,'2-w'!$C10,Assumptions!$G$3:$G$102,{"TRW"}))</f>
        <v>0</v>
      </c>
      <c r="S10" s="2" cm="1">
        <f t="array" ref="S10">SUM(SUMIFS(Assumptions!BC$3:BC$102,Assumptions!$B$3:$B$102,'2-w'!$C10,Assumptions!$G$3:$G$102,{"TRW"}))</f>
        <v>0</v>
      </c>
      <c r="T10" s="2" cm="1">
        <f t="array" ref="T10">SUM(SUMIFS(Assumptions!BD$3:BD$102,Assumptions!$B$3:$B$102,'2-w'!$C10,Assumptions!$G$3:$G$102,{"TRW"}))</f>
        <v>0</v>
      </c>
      <c r="U10" s="2" cm="1">
        <f t="array" ref="U10">SUM(SUMIFS(Assumptions!BE$3:BE$102,Assumptions!$B$3:$B$102,'2-w'!$C10,Assumptions!$G$3:$G$102,{"TRW"}))</f>
        <v>0</v>
      </c>
      <c r="V10" s="2" cm="1">
        <f t="array" ref="V10">SUM(SUMIFS(Assumptions!BF$3:BF$102,Assumptions!$B$3:$B$102,'2-w'!$C10,Assumptions!$G$3:$G$102,{"TRW"}))</f>
        <v>0</v>
      </c>
      <c r="W10" s="2" cm="1">
        <f t="array" ref="W10">SUM(SUMIFS(Assumptions!BG$3:BG$102,Assumptions!$B$3:$B$102,'2-w'!$C10,Assumptions!$G$3:$G$102,{"TRW"}))</f>
        <v>0</v>
      </c>
      <c r="X10" s="2" cm="1">
        <f t="array" ref="X10">SUM(SUMIFS(Assumptions!BH$3:BH$102,Assumptions!$B$3:$B$102,'2-w'!$C10,Assumptions!$G$3:$G$102,{"TRW"}))</f>
        <v>0</v>
      </c>
      <c r="Y10" s="2" cm="1">
        <f t="array" ref="Y10">SUM(SUMIFS(Assumptions!BI$3:BI$102,Assumptions!$B$3:$B$102,'2-w'!$C10,Assumptions!$G$3:$G$102,{"TRW"}))</f>
        <v>0</v>
      </c>
      <c r="Z10" s="2" cm="1">
        <f t="array" ref="Z10">SUM(SUMIFS(Assumptions!BJ$3:BJ$102,Assumptions!$B$3:$B$102,'2-w'!$C10,Assumptions!$G$3:$G$102,{"TRW"}))</f>
        <v>0</v>
      </c>
      <c r="AA10" s="2" cm="1">
        <f t="array" ref="AA10">SUM(SUMIFS(Assumptions!BK$3:BK$102,Assumptions!$B$3:$B$102,'2-w'!$C10,Assumptions!$G$3:$G$102,{"TRW"}))</f>
        <v>0</v>
      </c>
      <c r="AB10" s="2" cm="1">
        <f t="array" ref="AB10">SUM(SUMIFS(Assumptions!BL$3:BL$102,Assumptions!$B$3:$B$102,'2-w'!$C10,Assumptions!$G$3:$G$102,{"TRW"}))</f>
        <v>0</v>
      </c>
      <c r="AC10" s="2" cm="1">
        <f t="array" ref="AC10">SUM(SUMIFS(Assumptions!BM$3:BM$102,Assumptions!$B$3:$B$102,'2-w'!$C10,Assumptions!$G$3:$G$102,{"TRW"}))</f>
        <v>0</v>
      </c>
      <c r="AD10" s="2" cm="1">
        <f t="array" ref="AD10">SUM(SUMIFS(Assumptions!BN$3:BN$102,Assumptions!$B$3:$B$102,'2-w'!$C10,Assumptions!$G$3:$G$102,{"TRW"}))</f>
        <v>0</v>
      </c>
      <c r="AE10" s="2" cm="1">
        <f t="array" ref="AE10">SUM(SUMIFS(Assumptions!BO$3:BO$102,Assumptions!$B$3:$B$102,'2-w'!$C10,Assumptions!$G$3:$G$102,{"TRW"}))</f>
        <v>0</v>
      </c>
      <c r="AF10" s="2" cm="1">
        <f t="array" ref="AF10">SUM(SUMIFS(Assumptions!BP$3:BP$102,Assumptions!$B$3:$B$102,'2-w'!$C10,Assumptions!$G$3:$G$102,{"TRW"}))</f>
        <v>0</v>
      </c>
      <c r="AG10" s="2" cm="1">
        <f t="array" ref="AG10">SUM(SUMIFS(Assumptions!BQ$3:BQ$102,Assumptions!$B$3:$B$102,'2-w'!$C10,Assumptions!$G$3:$G$102,{"TRW"}))</f>
        <v>0</v>
      </c>
      <c r="AH10" s="53" t="str">
        <f t="shared" si="2"/>
        <v>zero</v>
      </c>
      <c r="AI10" t="s">
        <v>169</v>
      </c>
      <c r="AK10" t="str">
        <f t="shared" si="0"/>
        <v/>
      </c>
      <c r="AL10" t="str">
        <f t="shared" si="1"/>
        <v/>
      </c>
      <c r="AN10" t="str">
        <f t="shared" si="3"/>
        <v>*</v>
      </c>
      <c r="AO10">
        <f t="shared" si="4"/>
        <v>0</v>
      </c>
      <c r="AQ10" t="s">
        <v>156</v>
      </c>
      <c r="AR10" t="s">
        <v>354</v>
      </c>
      <c r="AS10" t="s">
        <v>361</v>
      </c>
    </row>
    <row r="11" spans="1:45" x14ac:dyDescent="0.45">
      <c r="A11" s="3" t="s">
        <v>327</v>
      </c>
      <c r="B11" s="3"/>
      <c r="D11" s="42">
        <f t="shared" ref="D11:AG11" ca="1" si="5">SUM(D$4:D$10)/SUM($D$4:$T$10)</f>
        <v>6.801815037612563E-2</v>
      </c>
      <c r="E11" s="42">
        <f t="shared" ca="1" si="5"/>
        <v>0.11829531852869574</v>
      </c>
      <c r="F11" s="42">
        <f t="shared" ca="1" si="5"/>
        <v>1.5864480366781961E-3</v>
      </c>
      <c r="G11" s="42">
        <f t="shared" ca="1" si="5"/>
        <v>1.1696712215588916E-3</v>
      </c>
      <c r="H11" s="42">
        <f t="shared" ca="1" si="5"/>
        <v>4.9705381110449103E-3</v>
      </c>
      <c r="I11" s="42">
        <f t="shared" ca="1" si="5"/>
        <v>0.34281524358867549</v>
      </c>
      <c r="J11" s="42">
        <f t="shared" ca="1" si="5"/>
        <v>3.3250574563017592E-3</v>
      </c>
      <c r="K11" s="42">
        <f t="shared" ca="1" si="5"/>
        <v>4.1575976053801773E-3</v>
      </c>
      <c r="L11" s="42">
        <f t="shared" ca="1" si="5"/>
        <v>3.7180544310051034E-4</v>
      </c>
      <c r="M11" s="42">
        <f t="shared" ca="1" si="5"/>
        <v>0.44783528209993367</v>
      </c>
      <c r="N11" s="42">
        <f t="shared" ca="1" si="5"/>
        <v>7.8839353987273449E-4</v>
      </c>
      <c r="O11" s="42">
        <f t="shared" ca="1" si="5"/>
        <v>7.8371287121083274E-4</v>
      </c>
      <c r="P11" s="42">
        <f t="shared" ca="1" si="5"/>
        <v>1.2477264916658831E-3</v>
      </c>
      <c r="Q11" s="42">
        <f t="shared" ca="1" si="5"/>
        <v>1.7456397088385662E-3</v>
      </c>
      <c r="R11" s="42">
        <f t="shared" ca="1" si="5"/>
        <v>3.6351765971996463E-4</v>
      </c>
      <c r="S11" s="42">
        <f t="shared" ca="1" si="5"/>
        <v>1.0941748830054616E-3</v>
      </c>
      <c r="T11" s="42">
        <f t="shared" ca="1" si="5"/>
        <v>1.4317223781917464E-3</v>
      </c>
      <c r="U11" s="42">
        <f t="shared" ca="1" si="5"/>
        <v>1.4083535431633947E-3</v>
      </c>
      <c r="V11" s="42">
        <f t="shared" ca="1" si="5"/>
        <v>2.9739534747774128E-3</v>
      </c>
      <c r="W11" s="42">
        <f t="shared" ca="1" si="5"/>
        <v>0.14986102406726831</v>
      </c>
      <c r="X11" s="42">
        <f t="shared" ca="1" si="5"/>
        <v>4.8687169797371E-3</v>
      </c>
      <c r="Y11" s="42">
        <f t="shared" ca="1" si="5"/>
        <v>2.5103794416215682E-2</v>
      </c>
      <c r="Z11" s="42">
        <f t="shared" ca="1" si="5"/>
        <v>8.9704577289443678E-3</v>
      </c>
      <c r="AA11" s="42">
        <f t="shared" ca="1" si="5"/>
        <v>1.3857333991444714E-4</v>
      </c>
      <c r="AB11" s="42">
        <f t="shared" ca="1" si="5"/>
        <v>4.2570854465362748E-3</v>
      </c>
      <c r="AC11" s="42">
        <f t="shared" ca="1" si="5"/>
        <v>3.8752877887644052E-3</v>
      </c>
      <c r="AD11" s="42">
        <f t="shared" ca="1" si="5"/>
        <v>3.0087609659122137E-2</v>
      </c>
      <c r="AE11" s="42">
        <f t="shared" ca="1" si="5"/>
        <v>2.107716449600114E-3</v>
      </c>
      <c r="AF11" s="42">
        <f t="shared" ca="1" si="5"/>
        <v>3.66241096813456E-3</v>
      </c>
      <c r="AG11" s="42">
        <f t="shared" ca="1" si="5"/>
        <v>0</v>
      </c>
      <c r="AI11" t="s">
        <v>169</v>
      </c>
      <c r="AK11" t="str">
        <f t="shared" si="0"/>
        <v/>
      </c>
      <c r="AL11" t="str">
        <f t="shared" si="1"/>
        <v/>
      </c>
      <c r="AN11" t="str">
        <f t="shared" si="3"/>
        <v>*</v>
      </c>
      <c r="AO11">
        <f t="shared" si="4"/>
        <v>0</v>
      </c>
      <c r="AQ11" t="s">
        <v>156</v>
      </c>
      <c r="AR11" t="s">
        <v>354</v>
      </c>
      <c r="AS11" t="s">
        <v>361</v>
      </c>
    </row>
    <row r="12" spans="1:45" x14ac:dyDescent="0.45">
      <c r="AI12" t="s">
        <v>169</v>
      </c>
      <c r="AK12" t="str">
        <f t="shared" si="0"/>
        <v/>
      </c>
      <c r="AL12" t="str">
        <f t="shared" si="1"/>
        <v/>
      </c>
      <c r="AN12" t="str">
        <f t="shared" si="3"/>
        <v>*</v>
      </c>
      <c r="AO12">
        <f t="shared" si="4"/>
        <v>0</v>
      </c>
      <c r="AQ12" t="s">
        <v>156</v>
      </c>
      <c r="AR12" t="s">
        <v>354</v>
      </c>
      <c r="AS12" t="s">
        <v>361</v>
      </c>
    </row>
    <row r="13" spans="1:45" x14ac:dyDescent="0.45">
      <c r="A13" s="3" t="s">
        <v>328</v>
      </c>
      <c r="B13" s="3"/>
      <c r="C13" s="52">
        <f ca="1">SUM(D13:T13)</f>
        <v>520.81000000000006</v>
      </c>
      <c r="D13" s="40">
        <f t="shared" ref="D13:T13" ca="1" si="6">SUM(D19:D25)</f>
        <v>35.43</v>
      </c>
      <c r="E13" s="1">
        <f t="shared" ca="1" si="6"/>
        <v>61.620000000000005</v>
      </c>
      <c r="F13" s="1">
        <f t="shared" ca="1" si="6"/>
        <v>0.82000000000000006</v>
      </c>
      <c r="G13" s="1">
        <f t="shared" ca="1" si="6"/>
        <v>0.61</v>
      </c>
      <c r="H13" s="1">
        <f t="shared" ca="1" si="6"/>
        <v>2.59</v>
      </c>
      <c r="I13" s="1">
        <f t="shared" ca="1" si="6"/>
        <v>178.54999999999998</v>
      </c>
      <c r="J13" s="1">
        <f t="shared" ca="1" si="6"/>
        <v>1.73</v>
      </c>
      <c r="K13" s="1">
        <f t="shared" ca="1" si="6"/>
        <v>2.16</v>
      </c>
      <c r="L13" s="1">
        <f t="shared" ca="1" si="6"/>
        <v>0.19</v>
      </c>
      <c r="M13" s="1">
        <f t="shared" ca="1" si="6"/>
        <v>233.24</v>
      </c>
      <c r="N13" s="1">
        <f t="shared" ca="1" si="6"/>
        <v>0.41000000000000003</v>
      </c>
      <c r="O13" s="1">
        <f t="shared" ca="1" si="6"/>
        <v>0.41000000000000003</v>
      </c>
      <c r="P13" s="1">
        <f t="shared" ca="1" si="6"/>
        <v>0.65</v>
      </c>
      <c r="Q13" s="1">
        <f t="shared" ca="1" si="6"/>
        <v>0.9</v>
      </c>
      <c r="R13" s="1">
        <f t="shared" ca="1" si="6"/>
        <v>0.19</v>
      </c>
      <c r="S13" s="1">
        <f t="shared" ca="1" si="6"/>
        <v>0.57000000000000006</v>
      </c>
      <c r="T13" s="1">
        <f t="shared" ca="1" si="6"/>
        <v>0.74</v>
      </c>
      <c r="U13" s="1">
        <f t="shared" ref="U13:AG13" ca="1" si="7">SUM(U19:U25)</f>
        <v>0.74</v>
      </c>
      <c r="V13" s="1">
        <f t="shared" ca="1" si="7"/>
        <v>1.55</v>
      </c>
      <c r="W13" s="1">
        <f t="shared" ca="1" si="7"/>
        <v>78.05</v>
      </c>
      <c r="X13" s="1">
        <f t="shared" ca="1" si="7"/>
        <v>2.54</v>
      </c>
      <c r="Y13" s="1">
        <f t="shared" ca="1" si="7"/>
        <v>13.07</v>
      </c>
      <c r="Z13" s="1">
        <f t="shared" ca="1" si="7"/>
        <v>4.67</v>
      </c>
      <c r="AA13" s="1">
        <f t="shared" ca="1" si="7"/>
        <v>7.0000000000000007E-2</v>
      </c>
      <c r="AB13" s="1">
        <f t="shared" ca="1" si="7"/>
        <v>2.2200000000000002</v>
      </c>
      <c r="AC13" s="1">
        <f t="shared" ca="1" si="7"/>
        <v>2.02</v>
      </c>
      <c r="AD13" s="1">
        <f t="shared" ca="1" si="7"/>
        <v>15.67</v>
      </c>
      <c r="AE13" s="1">
        <f t="shared" ca="1" si="7"/>
        <v>1.0900000000000001</v>
      </c>
      <c r="AF13" s="1">
        <f t="shared" ca="1" si="7"/>
        <v>1.9</v>
      </c>
      <c r="AG13" s="1">
        <f t="shared" ca="1" si="7"/>
        <v>0</v>
      </c>
      <c r="AI13" t="s">
        <v>169</v>
      </c>
      <c r="AK13" t="str">
        <f t="shared" si="0"/>
        <v/>
      </c>
      <c r="AL13" t="str">
        <f t="shared" si="1"/>
        <v/>
      </c>
      <c r="AN13" t="str">
        <f t="shared" si="3"/>
        <v>*</v>
      </c>
      <c r="AO13">
        <f t="shared" si="4"/>
        <v>0</v>
      </c>
      <c r="AQ13" t="s">
        <v>156</v>
      </c>
      <c r="AR13" t="s">
        <v>354</v>
      </c>
      <c r="AS13" t="s">
        <v>361</v>
      </c>
    </row>
    <row r="14" spans="1:45" x14ac:dyDescent="0.45">
      <c r="A14" s="3" t="s">
        <v>329</v>
      </c>
      <c r="B14" s="3"/>
      <c r="D14" s="42">
        <f t="shared" ref="D14:T14" ca="1" si="8">D13/SUM($D$13:$T$13)</f>
        <v>6.802864768341621E-2</v>
      </c>
      <c r="E14" s="42">
        <f t="shared" ca="1" si="8"/>
        <v>0.11831570054338433</v>
      </c>
      <c r="F14" s="42">
        <f t="shared" ca="1" si="8"/>
        <v>1.5744705362800253E-3</v>
      </c>
      <c r="G14" s="42">
        <f t="shared" ca="1" si="8"/>
        <v>1.1712524721107505E-3</v>
      </c>
      <c r="H14" s="42">
        <f t="shared" ca="1" si="8"/>
        <v>4.9730227914210551E-3</v>
      </c>
      <c r="I14" s="42">
        <f t="shared" ca="1" si="8"/>
        <v>0.3428313588448762</v>
      </c>
      <c r="J14" s="42">
        <f t="shared" ca="1" si="8"/>
        <v>3.3217488143468823E-3</v>
      </c>
      <c r="K14" s="42">
        <f t="shared" ca="1" si="8"/>
        <v>4.1473858028839693E-3</v>
      </c>
      <c r="L14" s="42">
        <f t="shared" ca="1" si="8"/>
        <v>3.6481634377220098E-4</v>
      </c>
      <c r="M14" s="42">
        <f t="shared" ca="1" si="8"/>
        <v>0.44784086327067452</v>
      </c>
      <c r="N14" s="42">
        <f t="shared" ca="1" si="8"/>
        <v>7.8723526814001264E-4</v>
      </c>
      <c r="O14" s="42">
        <f t="shared" ca="1" si="8"/>
        <v>7.8723526814001264E-4</v>
      </c>
      <c r="P14" s="42">
        <f t="shared" ca="1" si="8"/>
        <v>1.248055912904898E-3</v>
      </c>
      <c r="Q14" s="42">
        <f t="shared" ca="1" si="8"/>
        <v>1.7280774178683204E-3</v>
      </c>
      <c r="R14" s="42">
        <f t="shared" ca="1" si="8"/>
        <v>3.6481634377220098E-4</v>
      </c>
      <c r="S14" s="42">
        <f t="shared" ca="1" si="8"/>
        <v>1.0944490313166029E-3</v>
      </c>
      <c r="T14" s="42">
        <f t="shared" ca="1" si="8"/>
        <v>1.4208636546917299E-3</v>
      </c>
      <c r="U14" s="42">
        <f t="shared" ref="U14:AG14" ca="1" si="9">U13/SUM($D$13:$T$13)</f>
        <v>1.4208636546917299E-3</v>
      </c>
      <c r="V14" s="42">
        <f t="shared" ca="1" si="9"/>
        <v>2.9761333307732184E-3</v>
      </c>
      <c r="W14" s="42">
        <f t="shared" ca="1" si="9"/>
        <v>0.14986271384958044</v>
      </c>
      <c r="X14" s="42">
        <f t="shared" ca="1" si="9"/>
        <v>4.877018490428371E-3</v>
      </c>
      <c r="Y14" s="42">
        <f t="shared" ca="1" si="9"/>
        <v>2.5095524279487719E-2</v>
      </c>
      <c r="Z14" s="42">
        <f t="shared" ca="1" si="9"/>
        <v>8.9668017127167293E-3</v>
      </c>
      <c r="AA14" s="42">
        <f t="shared" ca="1" si="9"/>
        <v>1.3440602138975826E-4</v>
      </c>
      <c r="AB14" s="42">
        <f t="shared" ca="1" si="9"/>
        <v>4.2625909640751905E-3</v>
      </c>
      <c r="AC14" s="42">
        <f t="shared" ca="1" si="9"/>
        <v>3.8785737601044522E-3</v>
      </c>
      <c r="AD14" s="42">
        <f t="shared" ca="1" si="9"/>
        <v>3.0087747931107311E-2</v>
      </c>
      <c r="AE14" s="42">
        <f t="shared" ca="1" si="9"/>
        <v>2.0928937616405212E-3</v>
      </c>
      <c r="AF14" s="42">
        <f t="shared" ca="1" si="9"/>
        <v>3.6481634377220095E-3</v>
      </c>
      <c r="AG14" s="42">
        <f t="shared" ca="1" si="9"/>
        <v>0</v>
      </c>
      <c r="AI14" t="s">
        <v>169</v>
      </c>
      <c r="AK14" t="str">
        <f t="shared" si="0"/>
        <v/>
      </c>
      <c r="AL14" t="str">
        <f t="shared" si="1"/>
        <v/>
      </c>
      <c r="AN14" t="str">
        <f t="shared" si="3"/>
        <v>*</v>
      </c>
      <c r="AO14">
        <f t="shared" si="4"/>
        <v>0</v>
      </c>
      <c r="AQ14" t="s">
        <v>156</v>
      </c>
      <c r="AR14" t="s">
        <v>354</v>
      </c>
      <c r="AS14" t="s">
        <v>361</v>
      </c>
    </row>
    <row r="15" spans="1:45" x14ac:dyDescent="0.45">
      <c r="A15" s="3"/>
      <c r="B15" s="3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I15" t="s">
        <v>169</v>
      </c>
      <c r="AK15" t="str">
        <f t="shared" si="0"/>
        <v/>
      </c>
      <c r="AL15" t="str">
        <f t="shared" si="1"/>
        <v/>
      </c>
      <c r="AN15" t="str">
        <f t="shared" si="3"/>
        <v>*</v>
      </c>
      <c r="AO15">
        <f t="shared" si="4"/>
        <v>0</v>
      </c>
      <c r="AQ15" t="s">
        <v>156</v>
      </c>
      <c r="AR15" t="s">
        <v>354</v>
      </c>
      <c r="AS15" t="s">
        <v>361</v>
      </c>
    </row>
    <row r="16" spans="1:45" x14ac:dyDescent="0.45">
      <c r="AI16" t="s">
        <v>169</v>
      </c>
      <c r="AK16" t="str">
        <f t="shared" si="0"/>
        <v/>
      </c>
      <c r="AL16" t="str">
        <f t="shared" si="1"/>
        <v/>
      </c>
      <c r="AN16" t="str">
        <f t="shared" si="3"/>
        <v>*</v>
      </c>
      <c r="AO16">
        <f t="shared" si="4"/>
        <v>0</v>
      </c>
      <c r="AQ16" t="s">
        <v>156</v>
      </c>
      <c r="AR16" t="s">
        <v>354</v>
      </c>
      <c r="AS16" t="s">
        <v>361</v>
      </c>
    </row>
    <row r="17" spans="1:45" x14ac:dyDescent="0.45">
      <c r="A17" s="3" t="s">
        <v>330</v>
      </c>
      <c r="B17" s="3"/>
      <c r="D17" s="1">
        <f ca="1">IFERROR(D11/D14,"")</f>
        <v>0.99984569284194169</v>
      </c>
      <c r="E17" s="1">
        <f t="shared" ref="E17:AG17" ca="1" si="10">IFERROR(E11/E14,"")</f>
        <v>0.99982773195277563</v>
      </c>
      <c r="F17" s="1">
        <f t="shared" ca="1" si="10"/>
        <v>1.0076073194906967</v>
      </c>
      <c r="G17" s="1">
        <f t="shared" ca="1" si="10"/>
        <v>0.99864994901653503</v>
      </c>
      <c r="H17" s="1">
        <f t="shared" ca="1" si="10"/>
        <v>0.99950036819046328</v>
      </c>
      <c r="I17" s="1">
        <f t="shared" ca="1" si="10"/>
        <v>0.99995299363437751</v>
      </c>
      <c r="J17" s="1">
        <f t="shared" ca="1" si="10"/>
        <v>1.000996054229202</v>
      </c>
      <c r="K17" s="1">
        <f t="shared" ca="1" si="10"/>
        <v>1.0024622263231713</v>
      </c>
      <c r="L17" s="1">
        <f t="shared" ca="1" si="10"/>
        <v>1.019157856953562</v>
      </c>
      <c r="M17" s="1">
        <f t="shared" ca="1" si="10"/>
        <v>0.99998753760275449</v>
      </c>
      <c r="N17" s="1">
        <f t="shared" ca="1" si="10"/>
        <v>1.0014713158563875</v>
      </c>
      <c r="O17" s="1">
        <f t="shared" ca="1" si="10"/>
        <v>0.99552561086661906</v>
      </c>
      <c r="P17" s="1">
        <f t="shared" ca="1" si="10"/>
        <v>0.99973605249924413</v>
      </c>
      <c r="Q17" s="1">
        <f t="shared" ca="1" si="10"/>
        <v>1.0101629075113485</v>
      </c>
      <c r="R17" s="1">
        <f t="shared" ca="1" si="10"/>
        <v>0.99644017030923571</v>
      </c>
      <c r="S17" s="1">
        <f t="shared" ca="1" si="10"/>
        <v>0.9997495102071482</v>
      </c>
      <c r="T17" s="1">
        <f t="shared" ca="1" si="10"/>
        <v>1.0076423402514103</v>
      </c>
      <c r="U17" s="1">
        <f t="shared" ca="1" si="10"/>
        <v>0.99119541731746985</v>
      </c>
      <c r="V17" s="1">
        <f t="shared" ca="1" si="10"/>
        <v>0.99926755432182224</v>
      </c>
      <c r="W17" s="1">
        <f t="shared" ca="1" si="10"/>
        <v>0.99998872446475362</v>
      </c>
      <c r="X17" s="1">
        <f t="shared" ca="1" si="10"/>
        <v>0.99829783079404688</v>
      </c>
      <c r="Y17" s="1">
        <f t="shared" ca="1" si="10"/>
        <v>1.0003295462822717</v>
      </c>
      <c r="Z17" s="1">
        <f t="shared" ca="1" si="10"/>
        <v>1.0004077280110313</v>
      </c>
      <c r="AA17" s="1">
        <f t="shared" ca="1" si="10"/>
        <v>1.0310054451549031</v>
      </c>
      <c r="AB17" s="1">
        <f t="shared" ca="1" si="10"/>
        <v>0.99870841054529613</v>
      </c>
      <c r="AC17" s="1">
        <f t="shared" ca="1" si="10"/>
        <v>0.99915278874573765</v>
      </c>
      <c r="AD17" s="1">
        <f t="shared" ca="1" si="10"/>
        <v>0.99999540437571166</v>
      </c>
      <c r="AE17" s="1">
        <f t="shared" ca="1" si="10"/>
        <v>1.0070823890974638</v>
      </c>
      <c r="AF17" s="1">
        <f t="shared" ca="1" si="10"/>
        <v>1.0039053980600845</v>
      </c>
      <c r="AG17" s="1" t="str">
        <f t="shared" ca="1" si="10"/>
        <v/>
      </c>
      <c r="AI17" t="s">
        <v>169</v>
      </c>
      <c r="AK17" t="str">
        <f t="shared" si="0"/>
        <v/>
      </c>
      <c r="AL17" t="str">
        <f t="shared" si="1"/>
        <v/>
      </c>
      <c r="AN17" t="str">
        <f t="shared" si="3"/>
        <v>*</v>
      </c>
      <c r="AO17">
        <f t="shared" si="4"/>
        <v>0</v>
      </c>
      <c r="AQ17" t="s">
        <v>156</v>
      </c>
      <c r="AR17" t="s">
        <v>354</v>
      </c>
      <c r="AS17" t="s">
        <v>361</v>
      </c>
    </row>
    <row r="18" spans="1:45" x14ac:dyDescent="0.45">
      <c r="AI18" t="s">
        <v>169</v>
      </c>
      <c r="AK18" t="str">
        <f t="shared" si="0"/>
        <v/>
      </c>
      <c r="AL18" t="str">
        <f t="shared" si="1"/>
        <v/>
      </c>
      <c r="AN18" t="str">
        <f t="shared" si="3"/>
        <v>*</v>
      </c>
      <c r="AO18">
        <f t="shared" si="4"/>
        <v>0</v>
      </c>
      <c r="AQ18" t="s">
        <v>156</v>
      </c>
      <c r="AR18" t="s">
        <v>354</v>
      </c>
      <c r="AS18" t="s">
        <v>361</v>
      </c>
    </row>
    <row r="19" spans="1:45" x14ac:dyDescent="0.45">
      <c r="A19" t="s">
        <v>320</v>
      </c>
      <c r="C19" t="str">
        <f t="shared" ref="C19:C25" si="11">C4</f>
        <v>TRABDS</v>
      </c>
      <c r="D19" s="40">
        <f t="shared" ref="D19:AG25" ca="1" si="12">ROUND(D4*D28/D36,2)</f>
        <v>0</v>
      </c>
      <c r="E19" s="40">
        <f t="shared" ca="1" si="12"/>
        <v>0</v>
      </c>
      <c r="F19" s="40">
        <f t="shared" ca="1" si="12"/>
        <v>0</v>
      </c>
      <c r="G19" s="40">
        <f t="shared" ca="1" si="12"/>
        <v>0</v>
      </c>
      <c r="H19" s="40">
        <f t="shared" ca="1" si="12"/>
        <v>0</v>
      </c>
      <c r="I19" s="40">
        <f t="shared" ca="1" si="12"/>
        <v>0</v>
      </c>
      <c r="J19" s="40">
        <f t="shared" ca="1" si="12"/>
        <v>0</v>
      </c>
      <c r="K19" s="40">
        <f t="shared" ca="1" si="12"/>
        <v>0</v>
      </c>
      <c r="L19" s="40">
        <f t="shared" ca="1" si="12"/>
        <v>0</v>
      </c>
      <c r="M19" s="40">
        <f t="shared" ca="1" si="12"/>
        <v>0</v>
      </c>
      <c r="N19" s="40">
        <f t="shared" ca="1" si="12"/>
        <v>0</v>
      </c>
      <c r="O19" s="40">
        <f t="shared" ca="1" si="12"/>
        <v>0</v>
      </c>
      <c r="P19" s="40">
        <f t="shared" ca="1" si="12"/>
        <v>0</v>
      </c>
      <c r="Q19" s="40">
        <f t="shared" ca="1" si="12"/>
        <v>0</v>
      </c>
      <c r="R19" s="40">
        <f t="shared" ca="1" si="12"/>
        <v>0</v>
      </c>
      <c r="S19" s="40">
        <f t="shared" ca="1" si="12"/>
        <v>0</v>
      </c>
      <c r="T19" s="40">
        <f t="shared" ca="1" si="12"/>
        <v>0</v>
      </c>
      <c r="U19" s="40">
        <f t="shared" ca="1" si="12"/>
        <v>0</v>
      </c>
      <c r="V19" s="40">
        <f t="shared" ca="1" si="12"/>
        <v>0</v>
      </c>
      <c r="W19" s="40">
        <f t="shared" ca="1" si="12"/>
        <v>0</v>
      </c>
      <c r="X19" s="40">
        <f t="shared" ca="1" si="12"/>
        <v>0</v>
      </c>
      <c r="Y19" s="40">
        <f t="shared" ca="1" si="12"/>
        <v>0</v>
      </c>
      <c r="Z19" s="40">
        <f t="shared" ca="1" si="12"/>
        <v>0</v>
      </c>
      <c r="AA19" s="40">
        <f t="shared" ca="1" si="12"/>
        <v>0</v>
      </c>
      <c r="AB19" s="40">
        <f t="shared" ca="1" si="12"/>
        <v>0</v>
      </c>
      <c r="AC19" s="40">
        <f t="shared" ca="1" si="12"/>
        <v>0</v>
      </c>
      <c r="AD19" s="40">
        <f t="shared" ca="1" si="12"/>
        <v>0</v>
      </c>
      <c r="AE19" s="40">
        <f t="shared" ca="1" si="12"/>
        <v>0</v>
      </c>
      <c r="AF19" s="40">
        <f t="shared" ca="1" si="12"/>
        <v>0</v>
      </c>
      <c r="AG19" s="40">
        <f t="shared" ca="1" si="12"/>
        <v>0</v>
      </c>
      <c r="AI19" t="s">
        <v>360</v>
      </c>
      <c r="AJ19" t="str">
        <f ca="1">IF(AH4="zero","\I:",$AK$45&amp;"_"&amp;VLOOKUP(C19,'TRA balance'!$AL$5:$AM$15,2,FALSE))</f>
        <v>\I:</v>
      </c>
      <c r="AK19" t="str">
        <f t="shared" ca="1" si="0"/>
        <v>Trd_2w</v>
      </c>
      <c r="AL19">
        <f t="shared" ca="1" si="1"/>
        <v>25</v>
      </c>
      <c r="AN19" t="str">
        <f t="shared" ca="1" si="3"/>
        <v>DMD</v>
      </c>
      <c r="AO19" t="str">
        <f t="shared" ca="1" si="4"/>
        <v>\I:</v>
      </c>
      <c r="AQ19" t="s">
        <v>156</v>
      </c>
      <c r="AR19" t="s">
        <v>354</v>
      </c>
      <c r="AS19" t="s">
        <v>361</v>
      </c>
    </row>
    <row r="20" spans="1:45" x14ac:dyDescent="0.45">
      <c r="C20" t="str">
        <f t="shared" si="11"/>
        <v>TRABGS</v>
      </c>
      <c r="D20" s="40">
        <f t="shared" ca="1" si="12"/>
        <v>0</v>
      </c>
      <c r="E20" s="40">
        <f t="shared" ca="1" si="12"/>
        <v>0.1</v>
      </c>
      <c r="F20" s="40">
        <f t="shared" ca="1" si="12"/>
        <v>0.04</v>
      </c>
      <c r="G20" s="40">
        <f t="shared" ca="1" si="12"/>
        <v>0</v>
      </c>
      <c r="H20" s="40">
        <f t="shared" ca="1" si="12"/>
        <v>0.02</v>
      </c>
      <c r="I20" s="40">
        <f t="shared" ca="1" si="12"/>
        <v>2.64</v>
      </c>
      <c r="J20" s="40">
        <f t="shared" ca="1" si="12"/>
        <v>0.01</v>
      </c>
      <c r="K20" s="40">
        <f t="shared" ca="1" si="12"/>
        <v>0.45</v>
      </c>
      <c r="L20" s="40">
        <f t="shared" ca="1" si="12"/>
        <v>0.01</v>
      </c>
      <c r="M20" s="40">
        <f t="shared" ca="1" si="12"/>
        <v>3.27</v>
      </c>
      <c r="N20" s="40">
        <f t="shared" ca="1" si="12"/>
        <v>0.02</v>
      </c>
      <c r="O20" s="40">
        <f t="shared" ca="1" si="12"/>
        <v>0.02</v>
      </c>
      <c r="P20" s="40">
        <f t="shared" ca="1" si="12"/>
        <v>0.03</v>
      </c>
      <c r="Q20" s="40">
        <f t="shared" ca="1" si="12"/>
        <v>0</v>
      </c>
      <c r="R20" s="40">
        <f t="shared" ca="1" si="12"/>
        <v>0.01</v>
      </c>
      <c r="S20" s="40">
        <f t="shared" ca="1" si="12"/>
        <v>0.01</v>
      </c>
      <c r="T20" s="40">
        <f t="shared" ca="1" si="12"/>
        <v>0.01</v>
      </c>
      <c r="U20" s="40">
        <f t="shared" ca="1" si="12"/>
        <v>0.06</v>
      </c>
      <c r="V20" s="40">
        <f t="shared" ca="1" si="12"/>
        <v>0.06</v>
      </c>
      <c r="W20" s="40">
        <f t="shared" ca="1" si="12"/>
        <v>2.08</v>
      </c>
      <c r="X20" s="40">
        <f t="shared" ca="1" si="12"/>
        <v>0.06</v>
      </c>
      <c r="Y20" s="40">
        <f t="shared" ca="1" si="12"/>
        <v>0</v>
      </c>
      <c r="Z20" s="40">
        <f t="shared" ca="1" si="12"/>
        <v>0</v>
      </c>
      <c r="AA20" s="40">
        <f t="shared" ca="1" si="12"/>
        <v>0</v>
      </c>
      <c r="AB20" s="40">
        <f t="shared" ca="1" si="12"/>
        <v>0</v>
      </c>
      <c r="AC20" s="40">
        <f t="shared" ca="1" si="12"/>
        <v>0</v>
      </c>
      <c r="AD20" s="40">
        <f t="shared" ca="1" si="12"/>
        <v>0</v>
      </c>
      <c r="AE20" s="40">
        <f t="shared" ca="1" si="12"/>
        <v>0.03</v>
      </c>
      <c r="AF20" s="40">
        <f t="shared" ca="1" si="12"/>
        <v>0.15</v>
      </c>
      <c r="AG20" s="40">
        <f t="shared" ca="1" si="12"/>
        <v>0</v>
      </c>
      <c r="AI20" t="s">
        <v>360</v>
      </c>
      <c r="AJ20" t="str">
        <f ca="1">IF(AH5="zero","\I:",$AK$45&amp;"_"&amp;VLOOKUP(C20,'TRA balance'!$AL$5:$AM$15,2,FALSE))</f>
        <v>Trd_2w_eth</v>
      </c>
      <c r="AK20" t="str">
        <f t="shared" ca="1" si="0"/>
        <v>Trd_2w</v>
      </c>
      <c r="AL20">
        <f t="shared" ca="1" si="1"/>
        <v>25</v>
      </c>
      <c r="AN20" t="str">
        <f t="shared" ca="1" si="3"/>
        <v>DMD</v>
      </c>
      <c r="AO20" t="str">
        <f t="shared" ca="1" si="4"/>
        <v>Trd_2w_eth</v>
      </c>
      <c r="AQ20" t="s">
        <v>156</v>
      </c>
      <c r="AR20" t="s">
        <v>354</v>
      </c>
      <c r="AS20" t="s">
        <v>361</v>
      </c>
    </row>
    <row r="21" spans="1:45" x14ac:dyDescent="0.45">
      <c r="C21" t="str">
        <f t="shared" si="11"/>
        <v>TRADST</v>
      </c>
      <c r="D21" s="40">
        <f t="shared" ca="1" si="12"/>
        <v>0</v>
      </c>
      <c r="E21" s="40">
        <f t="shared" ca="1" si="12"/>
        <v>0</v>
      </c>
      <c r="F21" s="40">
        <f t="shared" ca="1" si="12"/>
        <v>0</v>
      </c>
      <c r="G21" s="40">
        <f t="shared" ca="1" si="12"/>
        <v>0</v>
      </c>
      <c r="H21" s="40">
        <f t="shared" ca="1" si="12"/>
        <v>0</v>
      </c>
      <c r="I21" s="40">
        <f t="shared" ca="1" si="12"/>
        <v>0</v>
      </c>
      <c r="J21" s="40">
        <f t="shared" ca="1" si="12"/>
        <v>0</v>
      </c>
      <c r="K21" s="40">
        <f t="shared" ca="1" si="12"/>
        <v>0</v>
      </c>
      <c r="L21" s="40">
        <f t="shared" ca="1" si="12"/>
        <v>0</v>
      </c>
      <c r="M21" s="40">
        <f t="shared" ca="1" si="12"/>
        <v>0</v>
      </c>
      <c r="N21" s="40">
        <f t="shared" ca="1" si="12"/>
        <v>0</v>
      </c>
      <c r="O21" s="40">
        <f t="shared" ca="1" si="12"/>
        <v>0</v>
      </c>
      <c r="P21" s="40">
        <f t="shared" ca="1" si="12"/>
        <v>0</v>
      </c>
      <c r="Q21" s="40">
        <f t="shared" ca="1" si="12"/>
        <v>0</v>
      </c>
      <c r="R21" s="40">
        <f t="shared" ca="1" si="12"/>
        <v>0</v>
      </c>
      <c r="S21" s="40">
        <f t="shared" ca="1" si="12"/>
        <v>0</v>
      </c>
      <c r="T21" s="40">
        <f t="shared" ca="1" si="12"/>
        <v>0</v>
      </c>
      <c r="U21" s="40">
        <f t="shared" ca="1" si="12"/>
        <v>0</v>
      </c>
      <c r="V21" s="40">
        <f t="shared" ca="1" si="12"/>
        <v>0</v>
      </c>
      <c r="W21" s="40">
        <f t="shared" ca="1" si="12"/>
        <v>0</v>
      </c>
      <c r="X21" s="40">
        <f t="shared" ca="1" si="12"/>
        <v>0</v>
      </c>
      <c r="Y21" s="40">
        <f t="shared" ca="1" si="12"/>
        <v>0</v>
      </c>
      <c r="Z21" s="40">
        <f t="shared" ca="1" si="12"/>
        <v>0</v>
      </c>
      <c r="AA21" s="40">
        <f t="shared" ca="1" si="12"/>
        <v>0</v>
      </c>
      <c r="AB21" s="40">
        <f t="shared" ca="1" si="12"/>
        <v>0</v>
      </c>
      <c r="AC21" s="40">
        <f t="shared" ca="1" si="12"/>
        <v>0</v>
      </c>
      <c r="AD21" s="40">
        <f t="shared" ca="1" si="12"/>
        <v>0</v>
      </c>
      <c r="AE21" s="40">
        <f t="shared" ca="1" si="12"/>
        <v>0</v>
      </c>
      <c r="AF21" s="40">
        <f t="shared" ca="1" si="12"/>
        <v>0</v>
      </c>
      <c r="AG21" s="40">
        <f t="shared" ca="1" si="12"/>
        <v>0</v>
      </c>
      <c r="AI21" t="s">
        <v>360</v>
      </c>
      <c r="AJ21" t="str">
        <f ca="1">IF(AH6="zero","\I:",$AK$45&amp;"_"&amp;VLOOKUP(C21,'TRA balance'!$AL$5:$AM$15,2,FALSE))</f>
        <v>\I:</v>
      </c>
      <c r="AK21" t="str">
        <f t="shared" ca="1" si="0"/>
        <v>Trd_2w</v>
      </c>
      <c r="AL21">
        <f t="shared" ca="1" si="1"/>
        <v>25</v>
      </c>
      <c r="AN21" t="str">
        <f t="shared" ca="1" si="3"/>
        <v>DMD</v>
      </c>
      <c r="AO21" t="str">
        <f t="shared" ca="1" si="4"/>
        <v>\I:</v>
      </c>
      <c r="AQ21" t="s">
        <v>156</v>
      </c>
      <c r="AR21" t="s">
        <v>354</v>
      </c>
      <c r="AS21" t="s">
        <v>361</v>
      </c>
    </row>
    <row r="22" spans="1:45" x14ac:dyDescent="0.45">
      <c r="C22" t="str">
        <f t="shared" si="11"/>
        <v>TRAELC</v>
      </c>
      <c r="D22" s="40">
        <f t="shared" ca="1" si="12"/>
        <v>0</v>
      </c>
      <c r="E22" s="40">
        <f t="shared" ca="1" si="12"/>
        <v>0</v>
      </c>
      <c r="F22" s="40">
        <f t="shared" ca="1" si="12"/>
        <v>0</v>
      </c>
      <c r="G22" s="40">
        <f t="shared" ca="1" si="12"/>
        <v>0</v>
      </c>
      <c r="H22" s="40">
        <f t="shared" ca="1" si="12"/>
        <v>0</v>
      </c>
      <c r="I22" s="40">
        <f t="shared" ca="1" si="12"/>
        <v>0</v>
      </c>
      <c r="J22" s="40">
        <f t="shared" ca="1" si="12"/>
        <v>0</v>
      </c>
      <c r="K22" s="40">
        <f t="shared" ca="1" si="12"/>
        <v>0</v>
      </c>
      <c r="L22" s="40">
        <f t="shared" ca="1" si="12"/>
        <v>0</v>
      </c>
      <c r="M22" s="40">
        <f t="shared" ca="1" si="12"/>
        <v>0</v>
      </c>
      <c r="N22" s="40">
        <f t="shared" ca="1" si="12"/>
        <v>0</v>
      </c>
      <c r="O22" s="40">
        <f t="shared" ca="1" si="12"/>
        <v>0</v>
      </c>
      <c r="P22" s="40">
        <f t="shared" ca="1" si="12"/>
        <v>0</v>
      </c>
      <c r="Q22" s="40">
        <f t="shared" ca="1" si="12"/>
        <v>0</v>
      </c>
      <c r="R22" s="40">
        <f t="shared" ca="1" si="12"/>
        <v>0</v>
      </c>
      <c r="S22" s="40">
        <f t="shared" ca="1" si="12"/>
        <v>0</v>
      </c>
      <c r="T22" s="40">
        <f t="shared" ca="1" si="12"/>
        <v>0</v>
      </c>
      <c r="U22" s="40">
        <f t="shared" ca="1" si="12"/>
        <v>0</v>
      </c>
      <c r="V22" s="40">
        <f t="shared" ca="1" si="12"/>
        <v>0</v>
      </c>
      <c r="W22" s="40">
        <f t="shared" ca="1" si="12"/>
        <v>0</v>
      </c>
      <c r="X22" s="40">
        <f t="shared" ca="1" si="12"/>
        <v>0</v>
      </c>
      <c r="Y22" s="40">
        <f t="shared" ca="1" si="12"/>
        <v>0</v>
      </c>
      <c r="Z22" s="40">
        <f t="shared" ca="1" si="12"/>
        <v>0</v>
      </c>
      <c r="AA22" s="40">
        <f t="shared" ca="1" si="12"/>
        <v>0</v>
      </c>
      <c r="AB22" s="40">
        <f t="shared" ca="1" si="12"/>
        <v>0</v>
      </c>
      <c r="AC22" s="40">
        <f t="shared" ca="1" si="12"/>
        <v>0</v>
      </c>
      <c r="AD22" s="40">
        <f t="shared" ca="1" si="12"/>
        <v>0</v>
      </c>
      <c r="AE22" s="40">
        <f t="shared" ca="1" si="12"/>
        <v>0</v>
      </c>
      <c r="AF22" s="40">
        <f t="shared" ca="1" si="12"/>
        <v>0</v>
      </c>
      <c r="AG22" s="40">
        <f t="shared" ca="1" si="12"/>
        <v>0</v>
      </c>
      <c r="AI22" t="s">
        <v>360</v>
      </c>
      <c r="AJ22" t="str">
        <f ca="1">IF(AH7="zero","\I:",$AK$45&amp;"_"&amp;VLOOKUP(C22,'TRA balance'!$AL$5:$AM$15,2,FALSE))</f>
        <v>\I:</v>
      </c>
      <c r="AK22" t="str">
        <f t="shared" ca="1" si="0"/>
        <v>Trd_2w</v>
      </c>
      <c r="AL22">
        <f t="shared" ca="1" si="1"/>
        <v>25</v>
      </c>
      <c r="AN22" t="str">
        <f t="shared" ca="1" si="3"/>
        <v>DMD</v>
      </c>
      <c r="AO22" t="str">
        <f t="shared" ca="1" si="4"/>
        <v>\I:</v>
      </c>
      <c r="AQ22" t="s">
        <v>156</v>
      </c>
      <c r="AR22" t="s">
        <v>354</v>
      </c>
      <c r="AS22" t="s">
        <v>361</v>
      </c>
    </row>
    <row r="23" spans="1:45" x14ac:dyDescent="0.45">
      <c r="C23" t="str">
        <f t="shared" si="11"/>
        <v>TRAGSL</v>
      </c>
      <c r="D23" s="40">
        <f t="shared" ca="1" si="12"/>
        <v>35.43</v>
      </c>
      <c r="E23" s="40">
        <f t="shared" ca="1" si="12"/>
        <v>61.52</v>
      </c>
      <c r="F23" s="40">
        <f t="shared" ca="1" si="12"/>
        <v>0.78</v>
      </c>
      <c r="G23" s="40">
        <f t="shared" ca="1" si="12"/>
        <v>0.61</v>
      </c>
      <c r="H23" s="40">
        <f t="shared" ca="1" si="12"/>
        <v>2.57</v>
      </c>
      <c r="I23" s="40">
        <f t="shared" ca="1" si="12"/>
        <v>175.91</v>
      </c>
      <c r="J23" s="40">
        <f t="shared" ca="1" si="12"/>
        <v>1.72</v>
      </c>
      <c r="K23" s="40">
        <f t="shared" ca="1" si="12"/>
        <v>1.71</v>
      </c>
      <c r="L23" s="40">
        <f t="shared" ca="1" si="12"/>
        <v>0.18</v>
      </c>
      <c r="M23" s="40">
        <f t="shared" ca="1" si="12"/>
        <v>229.97</v>
      </c>
      <c r="N23" s="40">
        <f t="shared" ca="1" si="12"/>
        <v>0.39</v>
      </c>
      <c r="O23" s="40">
        <f t="shared" ca="1" si="12"/>
        <v>0.39</v>
      </c>
      <c r="P23" s="40">
        <f t="shared" ca="1" si="12"/>
        <v>0.62</v>
      </c>
      <c r="Q23" s="40">
        <f t="shared" ca="1" si="12"/>
        <v>0.9</v>
      </c>
      <c r="R23" s="40">
        <f t="shared" ca="1" si="12"/>
        <v>0.18</v>
      </c>
      <c r="S23" s="40">
        <f t="shared" ca="1" si="12"/>
        <v>0.56000000000000005</v>
      </c>
      <c r="T23" s="40">
        <f t="shared" ca="1" si="12"/>
        <v>0.73</v>
      </c>
      <c r="U23" s="40">
        <f t="shared" ca="1" si="12"/>
        <v>0.68</v>
      </c>
      <c r="V23" s="40">
        <f t="shared" ca="1" si="12"/>
        <v>1.49</v>
      </c>
      <c r="W23" s="40">
        <f t="shared" ca="1" si="12"/>
        <v>75.97</v>
      </c>
      <c r="X23" s="40">
        <f t="shared" ca="1" si="12"/>
        <v>2.48</v>
      </c>
      <c r="Y23" s="40">
        <f t="shared" ca="1" si="12"/>
        <v>13.07</v>
      </c>
      <c r="Z23" s="40">
        <f t="shared" ca="1" si="12"/>
        <v>4.67</v>
      </c>
      <c r="AA23" s="40">
        <f t="shared" ca="1" si="12"/>
        <v>7.0000000000000007E-2</v>
      </c>
      <c r="AB23" s="40">
        <f t="shared" ca="1" si="12"/>
        <v>2.2200000000000002</v>
      </c>
      <c r="AC23" s="40">
        <f t="shared" ca="1" si="12"/>
        <v>2.02</v>
      </c>
      <c r="AD23" s="40">
        <f t="shared" ca="1" si="12"/>
        <v>15.67</v>
      </c>
      <c r="AE23" s="40">
        <f t="shared" ca="1" si="12"/>
        <v>1.06</v>
      </c>
      <c r="AF23" s="40">
        <f t="shared" ca="1" si="12"/>
        <v>1.75</v>
      </c>
      <c r="AG23" s="40">
        <f t="shared" ca="1" si="12"/>
        <v>0</v>
      </c>
      <c r="AI23" t="s">
        <v>360</v>
      </c>
      <c r="AJ23" t="str">
        <f ca="1">IF(AH8="zero","\I:",$AK$45&amp;"_"&amp;VLOOKUP(C23,'TRA balance'!$AL$5:$AM$15,2,FALSE))</f>
        <v>Trd_2w_gsl</v>
      </c>
      <c r="AK23" t="str">
        <f t="shared" ca="1" si="0"/>
        <v>Trd_2w</v>
      </c>
      <c r="AL23">
        <f t="shared" ca="1" si="1"/>
        <v>25</v>
      </c>
      <c r="AN23" t="str">
        <f t="shared" ca="1" si="3"/>
        <v>DMD</v>
      </c>
      <c r="AO23" t="str">
        <f t="shared" ca="1" si="4"/>
        <v>Trd_2w_gsl</v>
      </c>
      <c r="AQ23" t="s">
        <v>156</v>
      </c>
      <c r="AR23" t="s">
        <v>354</v>
      </c>
      <c r="AS23" t="s">
        <v>361</v>
      </c>
    </row>
    <row r="24" spans="1:45" x14ac:dyDescent="0.45">
      <c r="C24" t="str">
        <f t="shared" si="11"/>
        <v>TRALPG</v>
      </c>
      <c r="D24" s="40">
        <f t="shared" si="12"/>
        <v>0</v>
      </c>
      <c r="E24" s="40">
        <f t="shared" si="12"/>
        <v>0</v>
      </c>
      <c r="F24" s="40">
        <f t="shared" si="12"/>
        <v>0</v>
      </c>
      <c r="G24" s="40">
        <f t="shared" si="12"/>
        <v>0</v>
      </c>
      <c r="H24" s="40">
        <f t="shared" si="12"/>
        <v>0</v>
      </c>
      <c r="I24" s="40">
        <f t="shared" si="12"/>
        <v>0</v>
      </c>
      <c r="J24" s="40">
        <f t="shared" si="12"/>
        <v>0</v>
      </c>
      <c r="K24" s="40">
        <f t="shared" si="12"/>
        <v>0</v>
      </c>
      <c r="L24" s="40">
        <f t="shared" si="12"/>
        <v>0</v>
      </c>
      <c r="M24" s="40">
        <f t="shared" si="12"/>
        <v>0</v>
      </c>
      <c r="N24" s="40">
        <f t="shared" si="12"/>
        <v>0</v>
      </c>
      <c r="O24" s="40">
        <f t="shared" si="12"/>
        <v>0</v>
      </c>
      <c r="P24" s="40">
        <f t="shared" si="12"/>
        <v>0</v>
      </c>
      <c r="Q24" s="40">
        <f t="shared" si="12"/>
        <v>0</v>
      </c>
      <c r="R24" s="40">
        <f t="shared" si="12"/>
        <v>0</v>
      </c>
      <c r="S24" s="40">
        <f t="shared" si="12"/>
        <v>0</v>
      </c>
      <c r="T24" s="40">
        <f t="shared" si="12"/>
        <v>0</v>
      </c>
      <c r="U24" s="40">
        <f t="shared" si="12"/>
        <v>0</v>
      </c>
      <c r="V24" s="40">
        <f t="shared" si="12"/>
        <v>0</v>
      </c>
      <c r="W24" s="40">
        <f t="shared" si="12"/>
        <v>0</v>
      </c>
      <c r="X24" s="40">
        <f t="shared" si="12"/>
        <v>0</v>
      </c>
      <c r="Y24" s="40">
        <f t="shared" si="12"/>
        <v>0</v>
      </c>
      <c r="Z24" s="40">
        <f t="shared" si="12"/>
        <v>0</v>
      </c>
      <c r="AA24" s="40">
        <f t="shared" si="12"/>
        <v>0</v>
      </c>
      <c r="AB24" s="40">
        <f t="shared" si="12"/>
        <v>0</v>
      </c>
      <c r="AC24" s="40">
        <f t="shared" si="12"/>
        <v>0</v>
      </c>
      <c r="AD24" s="40">
        <f t="shared" si="12"/>
        <v>0</v>
      </c>
      <c r="AE24" s="40">
        <f t="shared" si="12"/>
        <v>0</v>
      </c>
      <c r="AF24" s="40">
        <f t="shared" si="12"/>
        <v>0</v>
      </c>
      <c r="AG24" s="40">
        <f t="shared" si="12"/>
        <v>0</v>
      </c>
      <c r="AI24" t="s">
        <v>360</v>
      </c>
      <c r="AJ24" t="str">
        <f>IF(AH9="zero","\I:",$AK$45&amp;"_"&amp;VLOOKUP(C24,'TRA balance'!$AL$5:$AM$15,2,FALSE))</f>
        <v>\I:</v>
      </c>
      <c r="AK24" t="str">
        <f t="shared" si="0"/>
        <v>Trd_2w</v>
      </c>
      <c r="AL24">
        <f t="shared" si="1"/>
        <v>25</v>
      </c>
      <c r="AN24" t="str">
        <f t="shared" si="3"/>
        <v>DMD</v>
      </c>
      <c r="AO24" t="str">
        <f t="shared" si="4"/>
        <v>\I:</v>
      </c>
      <c r="AQ24" t="s">
        <v>156</v>
      </c>
      <c r="AR24" t="s">
        <v>354</v>
      </c>
      <c r="AS24" t="s">
        <v>361</v>
      </c>
    </row>
    <row r="25" spans="1:45" x14ac:dyDescent="0.45">
      <c r="C25" t="str">
        <f t="shared" si="11"/>
        <v>TRANGA</v>
      </c>
      <c r="D25" s="40">
        <f t="shared" si="12"/>
        <v>0</v>
      </c>
      <c r="E25" s="40">
        <f t="shared" si="12"/>
        <v>0</v>
      </c>
      <c r="F25" s="40">
        <f t="shared" si="12"/>
        <v>0</v>
      </c>
      <c r="G25" s="40">
        <f t="shared" si="12"/>
        <v>0</v>
      </c>
      <c r="H25" s="40">
        <f t="shared" si="12"/>
        <v>0</v>
      </c>
      <c r="I25" s="40">
        <f t="shared" si="12"/>
        <v>0</v>
      </c>
      <c r="J25" s="40">
        <f t="shared" si="12"/>
        <v>0</v>
      </c>
      <c r="K25" s="40">
        <f t="shared" si="12"/>
        <v>0</v>
      </c>
      <c r="L25" s="40">
        <f t="shared" si="12"/>
        <v>0</v>
      </c>
      <c r="M25" s="40">
        <f t="shared" si="12"/>
        <v>0</v>
      </c>
      <c r="N25" s="40">
        <f t="shared" si="12"/>
        <v>0</v>
      </c>
      <c r="O25" s="40">
        <f t="shared" si="12"/>
        <v>0</v>
      </c>
      <c r="P25" s="40">
        <f t="shared" si="12"/>
        <v>0</v>
      </c>
      <c r="Q25" s="40">
        <f t="shared" si="12"/>
        <v>0</v>
      </c>
      <c r="R25" s="40">
        <f t="shared" si="12"/>
        <v>0</v>
      </c>
      <c r="S25" s="40">
        <f t="shared" si="12"/>
        <v>0</v>
      </c>
      <c r="T25" s="40">
        <f t="shared" si="12"/>
        <v>0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0</v>
      </c>
      <c r="Y25" s="40">
        <f t="shared" si="12"/>
        <v>0</v>
      </c>
      <c r="Z25" s="40">
        <f t="shared" si="12"/>
        <v>0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0</v>
      </c>
      <c r="AE25" s="40">
        <f t="shared" si="12"/>
        <v>0</v>
      </c>
      <c r="AF25" s="40">
        <f t="shared" si="12"/>
        <v>0</v>
      </c>
      <c r="AG25" s="40">
        <f t="shared" si="12"/>
        <v>0</v>
      </c>
      <c r="AI25" t="s">
        <v>360</v>
      </c>
      <c r="AJ25" t="str">
        <f>IF(AH10="zero","\I:",$AK$45&amp;"_"&amp;VLOOKUP(C25,'TRA balance'!$AL$5:$AM$15,2,FALSE))</f>
        <v>\I:</v>
      </c>
      <c r="AK25" t="str">
        <f t="shared" si="0"/>
        <v>Trd_2w</v>
      </c>
      <c r="AL25">
        <f t="shared" si="1"/>
        <v>25</v>
      </c>
      <c r="AN25" t="str">
        <f t="shared" si="3"/>
        <v>DMD</v>
      </c>
      <c r="AO25" t="str">
        <f t="shared" si="4"/>
        <v>\I:</v>
      </c>
      <c r="AQ25" t="s">
        <v>156</v>
      </c>
      <c r="AR25" t="s">
        <v>354</v>
      </c>
      <c r="AS25" t="s">
        <v>361</v>
      </c>
    </row>
    <row r="26" spans="1:45" x14ac:dyDescent="0.4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I26" t="s">
        <v>169</v>
      </c>
      <c r="AK26" t="str">
        <f t="shared" si="0"/>
        <v/>
      </c>
      <c r="AL26" t="str">
        <f t="shared" si="1"/>
        <v/>
      </c>
      <c r="AN26" t="str">
        <f t="shared" si="3"/>
        <v>*</v>
      </c>
      <c r="AO26">
        <f t="shared" si="4"/>
        <v>0</v>
      </c>
      <c r="AQ26" t="s">
        <v>156</v>
      </c>
      <c r="AR26" t="s">
        <v>354</v>
      </c>
      <c r="AS26" t="s">
        <v>361</v>
      </c>
    </row>
    <row r="27" spans="1:45" x14ac:dyDescent="0.45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I27" t="s">
        <v>169</v>
      </c>
      <c r="AK27" t="str">
        <f t="shared" si="0"/>
        <v/>
      </c>
      <c r="AL27" t="str">
        <f t="shared" si="1"/>
        <v/>
      </c>
      <c r="AN27" t="str">
        <f t="shared" si="3"/>
        <v>*</v>
      </c>
      <c r="AO27">
        <f t="shared" si="4"/>
        <v>0</v>
      </c>
      <c r="AQ27" t="s">
        <v>156</v>
      </c>
      <c r="AR27" t="s">
        <v>354</v>
      </c>
      <c r="AS27" t="s">
        <v>361</v>
      </c>
    </row>
    <row r="28" spans="1:45" x14ac:dyDescent="0.45">
      <c r="A28" t="s">
        <v>331</v>
      </c>
      <c r="C28" t="str">
        <f>C19</f>
        <v>TRABDS</v>
      </c>
      <c r="D28">
        <f t="shared" ref="D28:M34" si="13">$AH28*D$27</f>
        <v>0.99</v>
      </c>
      <c r="E28">
        <f t="shared" si="13"/>
        <v>0.99</v>
      </c>
      <c r="F28">
        <f t="shared" si="13"/>
        <v>0.99</v>
      </c>
      <c r="G28">
        <f t="shared" si="13"/>
        <v>0.99</v>
      </c>
      <c r="H28">
        <f t="shared" si="13"/>
        <v>0.99</v>
      </c>
      <c r="I28">
        <f t="shared" si="13"/>
        <v>0.99</v>
      </c>
      <c r="J28">
        <f t="shared" si="13"/>
        <v>0.99</v>
      </c>
      <c r="K28">
        <f t="shared" si="13"/>
        <v>0.99</v>
      </c>
      <c r="L28">
        <f t="shared" si="13"/>
        <v>0.99</v>
      </c>
      <c r="M28">
        <f t="shared" si="13"/>
        <v>0.99</v>
      </c>
      <c r="N28">
        <f t="shared" ref="N28:AC34" si="14">$AH28*N$27</f>
        <v>0.99</v>
      </c>
      <c r="O28">
        <f t="shared" si="14"/>
        <v>0.99</v>
      </c>
      <c r="P28">
        <f t="shared" si="14"/>
        <v>0.99</v>
      </c>
      <c r="Q28">
        <f t="shared" si="14"/>
        <v>0.99</v>
      </c>
      <c r="R28">
        <f t="shared" si="14"/>
        <v>0.99</v>
      </c>
      <c r="S28">
        <f t="shared" si="14"/>
        <v>0.99</v>
      </c>
      <c r="T28">
        <f t="shared" si="14"/>
        <v>0.99</v>
      </c>
      <c r="U28">
        <f t="shared" si="14"/>
        <v>0.99</v>
      </c>
      <c r="V28">
        <f t="shared" si="14"/>
        <v>0.99</v>
      </c>
      <c r="W28">
        <f t="shared" si="14"/>
        <v>0.99</v>
      </c>
      <c r="X28">
        <f t="shared" si="14"/>
        <v>0.99</v>
      </c>
      <c r="Y28">
        <f t="shared" si="14"/>
        <v>0.99</v>
      </c>
      <c r="Z28">
        <f t="shared" si="14"/>
        <v>0.99</v>
      </c>
      <c r="AA28">
        <f t="shared" si="14"/>
        <v>0.99</v>
      </c>
      <c r="AB28">
        <f t="shared" si="14"/>
        <v>0.99</v>
      </c>
      <c r="AC28">
        <f t="shared" si="14"/>
        <v>0.99</v>
      </c>
      <c r="AD28">
        <f t="shared" ref="U28:AG34" si="15">$AH28*AD$27</f>
        <v>0.99</v>
      </c>
      <c r="AE28">
        <f t="shared" si="15"/>
        <v>0.99</v>
      </c>
      <c r="AF28">
        <f t="shared" si="15"/>
        <v>0.99</v>
      </c>
      <c r="AG28">
        <f t="shared" si="15"/>
        <v>0.99</v>
      </c>
      <c r="AH28" s="56">
        <v>0.99</v>
      </c>
      <c r="AI28" t="s">
        <v>350</v>
      </c>
      <c r="AJ28" s="1" t="str">
        <f ca="1">AJ19</f>
        <v>\I:</v>
      </c>
      <c r="AK28" t="str">
        <f t="shared" ca="1" si="0"/>
        <v>Trd_2w</v>
      </c>
      <c r="AL28">
        <f t="shared" ca="1" si="1"/>
        <v>25</v>
      </c>
      <c r="AN28" t="str">
        <f t="shared" ca="1" si="3"/>
        <v>DMD</v>
      </c>
      <c r="AO28" t="str">
        <f t="shared" ca="1" si="4"/>
        <v>\I:</v>
      </c>
      <c r="AQ28" t="s">
        <v>156</v>
      </c>
      <c r="AR28" t="s">
        <v>354</v>
      </c>
      <c r="AS28" t="s">
        <v>361</v>
      </c>
    </row>
    <row r="29" spans="1:45" x14ac:dyDescent="0.45">
      <c r="C29" t="str">
        <f t="shared" ref="C29:C34" si="16">C20</f>
        <v>TRABGS</v>
      </c>
      <c r="D29">
        <f t="shared" si="13"/>
        <v>0.99</v>
      </c>
      <c r="E29">
        <f t="shared" si="13"/>
        <v>0.99</v>
      </c>
      <c r="F29">
        <f t="shared" si="13"/>
        <v>0.99</v>
      </c>
      <c r="G29">
        <f t="shared" si="13"/>
        <v>0.99</v>
      </c>
      <c r="H29">
        <f t="shared" si="13"/>
        <v>0.99</v>
      </c>
      <c r="I29">
        <f t="shared" si="13"/>
        <v>0.99</v>
      </c>
      <c r="J29">
        <f t="shared" si="13"/>
        <v>0.99</v>
      </c>
      <c r="K29">
        <f t="shared" si="13"/>
        <v>0.99</v>
      </c>
      <c r="L29">
        <f t="shared" si="13"/>
        <v>0.99</v>
      </c>
      <c r="M29">
        <f t="shared" si="13"/>
        <v>0.99</v>
      </c>
      <c r="N29">
        <f t="shared" si="14"/>
        <v>0.99</v>
      </c>
      <c r="O29">
        <f t="shared" si="14"/>
        <v>0.99</v>
      </c>
      <c r="P29">
        <f t="shared" si="14"/>
        <v>0.99</v>
      </c>
      <c r="Q29">
        <f t="shared" si="14"/>
        <v>0.99</v>
      </c>
      <c r="R29">
        <f t="shared" si="14"/>
        <v>0.99</v>
      </c>
      <c r="S29">
        <f t="shared" si="14"/>
        <v>0.99</v>
      </c>
      <c r="T29">
        <f t="shared" si="14"/>
        <v>0.99</v>
      </c>
      <c r="U29">
        <f t="shared" si="15"/>
        <v>0.99</v>
      </c>
      <c r="V29">
        <f t="shared" si="15"/>
        <v>0.99</v>
      </c>
      <c r="W29">
        <f t="shared" si="15"/>
        <v>0.99</v>
      </c>
      <c r="X29">
        <f t="shared" si="15"/>
        <v>0.99</v>
      </c>
      <c r="Y29">
        <f t="shared" si="15"/>
        <v>0.99</v>
      </c>
      <c r="Z29">
        <f t="shared" si="15"/>
        <v>0.99</v>
      </c>
      <c r="AA29">
        <f t="shared" si="15"/>
        <v>0.99</v>
      </c>
      <c r="AB29">
        <f t="shared" si="15"/>
        <v>0.99</v>
      </c>
      <c r="AC29">
        <f t="shared" si="15"/>
        <v>0.99</v>
      </c>
      <c r="AD29">
        <f t="shared" si="15"/>
        <v>0.99</v>
      </c>
      <c r="AE29">
        <f t="shared" si="15"/>
        <v>0.99</v>
      </c>
      <c r="AF29">
        <f t="shared" si="15"/>
        <v>0.99</v>
      </c>
      <c r="AG29">
        <f t="shared" si="15"/>
        <v>0.99</v>
      </c>
      <c r="AH29" s="56">
        <v>0.99</v>
      </c>
      <c r="AI29" t="s">
        <v>350</v>
      </c>
      <c r="AJ29" s="1" t="str">
        <f t="shared" ref="AJ29:AJ34" ca="1" si="17">AJ20</f>
        <v>Trd_2w_eth</v>
      </c>
      <c r="AK29" t="str">
        <f t="shared" ca="1" si="0"/>
        <v>Trd_2w</v>
      </c>
      <c r="AL29">
        <f t="shared" ca="1" si="1"/>
        <v>25</v>
      </c>
      <c r="AN29" t="str">
        <f t="shared" ca="1" si="3"/>
        <v>DMD</v>
      </c>
      <c r="AO29" t="str">
        <f t="shared" ca="1" si="4"/>
        <v>Trd_2w_eth</v>
      </c>
      <c r="AQ29" t="s">
        <v>156</v>
      </c>
      <c r="AR29" t="s">
        <v>354</v>
      </c>
      <c r="AS29" t="s">
        <v>361</v>
      </c>
    </row>
    <row r="30" spans="1:45" x14ac:dyDescent="0.45">
      <c r="C30" t="str">
        <f t="shared" si="16"/>
        <v>TRADST</v>
      </c>
      <c r="D30">
        <f t="shared" si="13"/>
        <v>0.99</v>
      </c>
      <c r="E30">
        <f t="shared" si="13"/>
        <v>0.99</v>
      </c>
      <c r="F30">
        <f t="shared" si="13"/>
        <v>0.99</v>
      </c>
      <c r="G30">
        <f t="shared" si="13"/>
        <v>0.99</v>
      </c>
      <c r="H30">
        <f t="shared" si="13"/>
        <v>0.99</v>
      </c>
      <c r="I30">
        <f t="shared" si="13"/>
        <v>0.99</v>
      </c>
      <c r="J30">
        <f t="shared" si="13"/>
        <v>0.99</v>
      </c>
      <c r="K30">
        <f t="shared" si="13"/>
        <v>0.99</v>
      </c>
      <c r="L30">
        <f t="shared" si="13"/>
        <v>0.99</v>
      </c>
      <c r="M30">
        <f t="shared" si="13"/>
        <v>0.99</v>
      </c>
      <c r="N30">
        <f t="shared" si="14"/>
        <v>0.99</v>
      </c>
      <c r="O30">
        <f t="shared" si="14"/>
        <v>0.99</v>
      </c>
      <c r="P30">
        <f t="shared" si="14"/>
        <v>0.99</v>
      </c>
      <c r="Q30">
        <f t="shared" si="14"/>
        <v>0.99</v>
      </c>
      <c r="R30">
        <f t="shared" si="14"/>
        <v>0.99</v>
      </c>
      <c r="S30">
        <f t="shared" si="14"/>
        <v>0.99</v>
      </c>
      <c r="T30">
        <f t="shared" si="14"/>
        <v>0.99</v>
      </c>
      <c r="U30">
        <f t="shared" si="15"/>
        <v>0.99</v>
      </c>
      <c r="V30">
        <f t="shared" si="15"/>
        <v>0.99</v>
      </c>
      <c r="W30">
        <f t="shared" si="15"/>
        <v>0.99</v>
      </c>
      <c r="X30">
        <f t="shared" si="15"/>
        <v>0.99</v>
      </c>
      <c r="Y30">
        <f t="shared" si="15"/>
        <v>0.99</v>
      </c>
      <c r="Z30">
        <f t="shared" si="15"/>
        <v>0.99</v>
      </c>
      <c r="AA30">
        <f t="shared" si="15"/>
        <v>0.99</v>
      </c>
      <c r="AB30">
        <f t="shared" si="15"/>
        <v>0.99</v>
      </c>
      <c r="AC30">
        <f t="shared" si="15"/>
        <v>0.99</v>
      </c>
      <c r="AD30">
        <f t="shared" si="15"/>
        <v>0.99</v>
      </c>
      <c r="AE30">
        <f t="shared" si="15"/>
        <v>0.99</v>
      </c>
      <c r="AF30">
        <f t="shared" si="15"/>
        <v>0.99</v>
      </c>
      <c r="AG30">
        <f t="shared" si="15"/>
        <v>0.99</v>
      </c>
      <c r="AH30" s="56">
        <v>0.99</v>
      </c>
      <c r="AI30" t="s">
        <v>350</v>
      </c>
      <c r="AJ30" s="1" t="str">
        <f t="shared" ca="1" si="17"/>
        <v>\I:</v>
      </c>
      <c r="AK30" t="str">
        <f t="shared" ca="1" si="0"/>
        <v>Trd_2w</v>
      </c>
      <c r="AL30">
        <f t="shared" ca="1" si="1"/>
        <v>25</v>
      </c>
      <c r="AN30" t="str">
        <f t="shared" ca="1" si="3"/>
        <v>DMD</v>
      </c>
      <c r="AO30" t="str">
        <f t="shared" ca="1" si="4"/>
        <v>\I:</v>
      </c>
      <c r="AQ30" t="s">
        <v>156</v>
      </c>
      <c r="AR30" t="s">
        <v>354</v>
      </c>
      <c r="AS30" t="s">
        <v>361</v>
      </c>
    </row>
    <row r="31" spans="1:45" x14ac:dyDescent="0.45">
      <c r="C31" t="str">
        <f t="shared" si="16"/>
        <v>TRAELC</v>
      </c>
      <c r="D31">
        <f t="shared" si="13"/>
        <v>0.99</v>
      </c>
      <c r="E31">
        <f t="shared" si="13"/>
        <v>0.99</v>
      </c>
      <c r="F31">
        <f t="shared" si="13"/>
        <v>0.99</v>
      </c>
      <c r="G31">
        <f t="shared" si="13"/>
        <v>0.99</v>
      </c>
      <c r="H31">
        <f t="shared" si="13"/>
        <v>0.99</v>
      </c>
      <c r="I31">
        <f t="shared" si="13"/>
        <v>0.99</v>
      </c>
      <c r="J31">
        <f t="shared" si="13"/>
        <v>0.99</v>
      </c>
      <c r="K31">
        <f t="shared" si="13"/>
        <v>0.99</v>
      </c>
      <c r="L31">
        <f t="shared" si="13"/>
        <v>0.99</v>
      </c>
      <c r="M31">
        <f t="shared" si="13"/>
        <v>0.99</v>
      </c>
      <c r="N31">
        <f t="shared" si="14"/>
        <v>0.99</v>
      </c>
      <c r="O31">
        <f t="shared" si="14"/>
        <v>0.99</v>
      </c>
      <c r="P31">
        <f t="shared" si="14"/>
        <v>0.99</v>
      </c>
      <c r="Q31">
        <f t="shared" si="14"/>
        <v>0.99</v>
      </c>
      <c r="R31">
        <f t="shared" si="14"/>
        <v>0.99</v>
      </c>
      <c r="S31">
        <f t="shared" si="14"/>
        <v>0.99</v>
      </c>
      <c r="T31">
        <f t="shared" si="14"/>
        <v>0.99</v>
      </c>
      <c r="U31">
        <f t="shared" si="15"/>
        <v>0.99</v>
      </c>
      <c r="V31">
        <f t="shared" si="15"/>
        <v>0.99</v>
      </c>
      <c r="W31">
        <f t="shared" si="15"/>
        <v>0.99</v>
      </c>
      <c r="X31">
        <f t="shared" si="15"/>
        <v>0.99</v>
      </c>
      <c r="Y31">
        <f t="shared" si="15"/>
        <v>0.99</v>
      </c>
      <c r="Z31">
        <f t="shared" si="15"/>
        <v>0.99</v>
      </c>
      <c r="AA31">
        <f t="shared" si="15"/>
        <v>0.99</v>
      </c>
      <c r="AB31">
        <f t="shared" si="15"/>
        <v>0.99</v>
      </c>
      <c r="AC31">
        <f t="shared" si="15"/>
        <v>0.99</v>
      </c>
      <c r="AD31">
        <f t="shared" si="15"/>
        <v>0.99</v>
      </c>
      <c r="AE31">
        <f t="shared" si="15"/>
        <v>0.99</v>
      </c>
      <c r="AF31">
        <f t="shared" si="15"/>
        <v>0.99</v>
      </c>
      <c r="AG31">
        <f t="shared" si="15"/>
        <v>0.99</v>
      </c>
      <c r="AH31" s="56">
        <v>0.99</v>
      </c>
      <c r="AI31" t="s">
        <v>350</v>
      </c>
      <c r="AJ31" s="1" t="str">
        <f t="shared" ca="1" si="17"/>
        <v>\I:</v>
      </c>
      <c r="AK31" t="str">
        <f t="shared" ca="1" si="0"/>
        <v>Trd_2w</v>
      </c>
      <c r="AL31">
        <f t="shared" ca="1" si="1"/>
        <v>25</v>
      </c>
      <c r="AN31" t="str">
        <f t="shared" ca="1" si="3"/>
        <v>DMD</v>
      </c>
      <c r="AO31" t="str">
        <f t="shared" ca="1" si="4"/>
        <v>\I:</v>
      </c>
      <c r="AQ31" t="s">
        <v>156</v>
      </c>
      <c r="AR31" t="s">
        <v>354</v>
      </c>
      <c r="AS31" t="s">
        <v>361</v>
      </c>
    </row>
    <row r="32" spans="1:45" x14ac:dyDescent="0.45">
      <c r="C32" t="str">
        <f t="shared" si="16"/>
        <v>TRAGSL</v>
      </c>
      <c r="D32">
        <f t="shared" si="13"/>
        <v>0.99</v>
      </c>
      <c r="E32">
        <f t="shared" si="13"/>
        <v>0.99</v>
      </c>
      <c r="F32">
        <f t="shared" si="13"/>
        <v>0.99</v>
      </c>
      <c r="G32">
        <f t="shared" si="13"/>
        <v>0.99</v>
      </c>
      <c r="H32">
        <f t="shared" si="13"/>
        <v>0.99</v>
      </c>
      <c r="I32">
        <f t="shared" si="13"/>
        <v>0.99</v>
      </c>
      <c r="J32">
        <f t="shared" si="13"/>
        <v>0.99</v>
      </c>
      <c r="K32">
        <f t="shared" si="13"/>
        <v>0.99</v>
      </c>
      <c r="L32">
        <f t="shared" si="13"/>
        <v>0.99</v>
      </c>
      <c r="M32">
        <f t="shared" si="13"/>
        <v>0.99</v>
      </c>
      <c r="N32">
        <f t="shared" si="14"/>
        <v>0.99</v>
      </c>
      <c r="O32">
        <f t="shared" si="14"/>
        <v>0.99</v>
      </c>
      <c r="P32">
        <f t="shared" si="14"/>
        <v>0.99</v>
      </c>
      <c r="Q32">
        <f t="shared" si="14"/>
        <v>0.99</v>
      </c>
      <c r="R32">
        <f t="shared" si="14"/>
        <v>0.99</v>
      </c>
      <c r="S32">
        <f t="shared" si="14"/>
        <v>0.99</v>
      </c>
      <c r="T32">
        <f t="shared" si="14"/>
        <v>0.99</v>
      </c>
      <c r="U32">
        <f t="shared" si="15"/>
        <v>0.99</v>
      </c>
      <c r="V32">
        <f t="shared" si="15"/>
        <v>0.99</v>
      </c>
      <c r="W32">
        <f t="shared" si="15"/>
        <v>0.99</v>
      </c>
      <c r="X32">
        <f t="shared" si="15"/>
        <v>0.99</v>
      </c>
      <c r="Y32">
        <f t="shared" si="15"/>
        <v>0.99</v>
      </c>
      <c r="Z32">
        <f t="shared" si="15"/>
        <v>0.99</v>
      </c>
      <c r="AA32">
        <f t="shared" si="15"/>
        <v>0.99</v>
      </c>
      <c r="AB32">
        <f t="shared" si="15"/>
        <v>0.99</v>
      </c>
      <c r="AC32">
        <f t="shared" si="15"/>
        <v>0.99</v>
      </c>
      <c r="AD32">
        <f t="shared" si="15"/>
        <v>0.99</v>
      </c>
      <c r="AE32">
        <f t="shared" si="15"/>
        <v>0.99</v>
      </c>
      <c r="AF32">
        <f t="shared" si="15"/>
        <v>0.99</v>
      </c>
      <c r="AG32">
        <f t="shared" si="15"/>
        <v>0.99</v>
      </c>
      <c r="AH32" s="56">
        <v>0.99</v>
      </c>
      <c r="AI32" t="s">
        <v>350</v>
      </c>
      <c r="AJ32" s="95" t="str">
        <f t="shared" ca="1" si="17"/>
        <v>Trd_2w_gsl</v>
      </c>
      <c r="AK32" t="str">
        <f t="shared" ca="1" si="0"/>
        <v>Trd_2w</v>
      </c>
      <c r="AL32">
        <f t="shared" ca="1" si="1"/>
        <v>25</v>
      </c>
      <c r="AN32" t="str">
        <f t="shared" ca="1" si="3"/>
        <v>DMD</v>
      </c>
      <c r="AO32" t="str">
        <f t="shared" ca="1" si="4"/>
        <v>Trd_2w_gsl</v>
      </c>
      <c r="AQ32" t="s">
        <v>156</v>
      </c>
      <c r="AR32" t="s">
        <v>354</v>
      </c>
      <c r="AS32" t="s">
        <v>361</v>
      </c>
    </row>
    <row r="33" spans="1:45" x14ac:dyDescent="0.45">
      <c r="C33" t="str">
        <f t="shared" si="16"/>
        <v>TRALPG</v>
      </c>
      <c r="D33">
        <f t="shared" si="13"/>
        <v>0.99</v>
      </c>
      <c r="E33">
        <f t="shared" si="13"/>
        <v>0.99</v>
      </c>
      <c r="F33">
        <f t="shared" si="13"/>
        <v>0.99</v>
      </c>
      <c r="G33">
        <f t="shared" si="13"/>
        <v>0.99</v>
      </c>
      <c r="H33">
        <f t="shared" si="13"/>
        <v>0.99</v>
      </c>
      <c r="I33">
        <f t="shared" si="13"/>
        <v>0.99</v>
      </c>
      <c r="J33">
        <f t="shared" si="13"/>
        <v>0.99</v>
      </c>
      <c r="K33">
        <f t="shared" si="13"/>
        <v>0.99</v>
      </c>
      <c r="L33">
        <f t="shared" si="13"/>
        <v>0.99</v>
      </c>
      <c r="M33">
        <f t="shared" si="13"/>
        <v>0.99</v>
      </c>
      <c r="N33">
        <f t="shared" si="14"/>
        <v>0.99</v>
      </c>
      <c r="O33">
        <f t="shared" si="14"/>
        <v>0.99</v>
      </c>
      <c r="P33">
        <f t="shared" si="14"/>
        <v>0.99</v>
      </c>
      <c r="Q33">
        <f t="shared" si="14"/>
        <v>0.99</v>
      </c>
      <c r="R33">
        <f t="shared" si="14"/>
        <v>0.99</v>
      </c>
      <c r="S33">
        <f t="shared" si="14"/>
        <v>0.99</v>
      </c>
      <c r="T33">
        <f t="shared" si="14"/>
        <v>0.99</v>
      </c>
      <c r="U33">
        <f t="shared" si="15"/>
        <v>0.99</v>
      </c>
      <c r="V33">
        <f t="shared" si="15"/>
        <v>0.99</v>
      </c>
      <c r="W33">
        <f t="shared" si="15"/>
        <v>0.99</v>
      </c>
      <c r="X33">
        <f t="shared" si="15"/>
        <v>0.99</v>
      </c>
      <c r="Y33">
        <f t="shared" si="15"/>
        <v>0.99</v>
      </c>
      <c r="Z33">
        <f t="shared" si="15"/>
        <v>0.99</v>
      </c>
      <c r="AA33">
        <f t="shared" si="15"/>
        <v>0.99</v>
      </c>
      <c r="AB33">
        <f t="shared" si="15"/>
        <v>0.99</v>
      </c>
      <c r="AC33">
        <f t="shared" si="15"/>
        <v>0.99</v>
      </c>
      <c r="AD33">
        <f t="shared" si="15"/>
        <v>0.99</v>
      </c>
      <c r="AE33">
        <f t="shared" si="15"/>
        <v>0.99</v>
      </c>
      <c r="AF33">
        <f t="shared" si="15"/>
        <v>0.99</v>
      </c>
      <c r="AG33">
        <f t="shared" si="15"/>
        <v>0.99</v>
      </c>
      <c r="AH33" s="56">
        <v>0.99</v>
      </c>
      <c r="AI33" t="s">
        <v>350</v>
      </c>
      <c r="AJ33" s="1" t="str">
        <f t="shared" si="17"/>
        <v>\I:</v>
      </c>
      <c r="AK33" t="str">
        <f t="shared" si="0"/>
        <v>Trd_2w</v>
      </c>
      <c r="AL33">
        <f t="shared" si="1"/>
        <v>25</v>
      </c>
      <c r="AN33" t="str">
        <f t="shared" si="3"/>
        <v>DMD</v>
      </c>
      <c r="AO33" t="str">
        <f t="shared" si="4"/>
        <v>\I:</v>
      </c>
      <c r="AQ33" t="s">
        <v>156</v>
      </c>
      <c r="AR33" t="s">
        <v>354</v>
      </c>
      <c r="AS33" t="s">
        <v>361</v>
      </c>
    </row>
    <row r="34" spans="1:45" x14ac:dyDescent="0.45">
      <c r="C34" t="str">
        <f t="shared" si="16"/>
        <v>TRANGA</v>
      </c>
      <c r="D34">
        <f t="shared" si="13"/>
        <v>0.99</v>
      </c>
      <c r="E34">
        <f t="shared" si="13"/>
        <v>0.99</v>
      </c>
      <c r="F34">
        <f t="shared" si="13"/>
        <v>0.99</v>
      </c>
      <c r="G34">
        <f t="shared" si="13"/>
        <v>0.99</v>
      </c>
      <c r="H34">
        <f t="shared" si="13"/>
        <v>0.99</v>
      </c>
      <c r="I34">
        <f t="shared" si="13"/>
        <v>0.99</v>
      </c>
      <c r="J34">
        <f t="shared" si="13"/>
        <v>0.99</v>
      </c>
      <c r="K34">
        <f t="shared" si="13"/>
        <v>0.99</v>
      </c>
      <c r="L34">
        <f t="shared" si="13"/>
        <v>0.99</v>
      </c>
      <c r="M34">
        <f t="shared" si="13"/>
        <v>0.99</v>
      </c>
      <c r="N34">
        <f t="shared" si="14"/>
        <v>0.99</v>
      </c>
      <c r="O34">
        <f t="shared" si="14"/>
        <v>0.99</v>
      </c>
      <c r="P34">
        <f t="shared" si="14"/>
        <v>0.99</v>
      </c>
      <c r="Q34">
        <f t="shared" si="14"/>
        <v>0.99</v>
      </c>
      <c r="R34">
        <f t="shared" si="14"/>
        <v>0.99</v>
      </c>
      <c r="S34">
        <f t="shared" si="14"/>
        <v>0.99</v>
      </c>
      <c r="T34">
        <f t="shared" si="14"/>
        <v>0.99</v>
      </c>
      <c r="U34">
        <f t="shared" si="15"/>
        <v>0.99</v>
      </c>
      <c r="V34">
        <f t="shared" si="15"/>
        <v>0.99</v>
      </c>
      <c r="W34">
        <f t="shared" si="15"/>
        <v>0.99</v>
      </c>
      <c r="X34">
        <f t="shared" si="15"/>
        <v>0.99</v>
      </c>
      <c r="Y34">
        <f t="shared" si="15"/>
        <v>0.99</v>
      </c>
      <c r="Z34">
        <f t="shared" si="15"/>
        <v>0.99</v>
      </c>
      <c r="AA34">
        <f t="shared" si="15"/>
        <v>0.99</v>
      </c>
      <c r="AB34">
        <f t="shared" si="15"/>
        <v>0.99</v>
      </c>
      <c r="AC34">
        <f t="shared" si="15"/>
        <v>0.99</v>
      </c>
      <c r="AD34">
        <f t="shared" si="15"/>
        <v>0.99</v>
      </c>
      <c r="AE34">
        <f t="shared" si="15"/>
        <v>0.99</v>
      </c>
      <c r="AF34">
        <f t="shared" si="15"/>
        <v>0.99</v>
      </c>
      <c r="AG34">
        <f t="shared" si="15"/>
        <v>0.99</v>
      </c>
      <c r="AH34" s="56">
        <v>0.99</v>
      </c>
      <c r="AI34" t="s">
        <v>350</v>
      </c>
      <c r="AJ34" s="1" t="str">
        <f t="shared" si="17"/>
        <v>\I:</v>
      </c>
      <c r="AK34" t="str">
        <f t="shared" si="0"/>
        <v>Trd_2w</v>
      </c>
      <c r="AL34">
        <f t="shared" si="1"/>
        <v>25</v>
      </c>
      <c r="AN34" t="str">
        <f t="shared" si="3"/>
        <v>DMD</v>
      </c>
      <c r="AO34" t="str">
        <f t="shared" si="4"/>
        <v>\I:</v>
      </c>
      <c r="AQ34" t="s">
        <v>156</v>
      </c>
      <c r="AR34" t="s">
        <v>354</v>
      </c>
      <c r="AS34" t="s">
        <v>361</v>
      </c>
    </row>
    <row r="35" spans="1:45" x14ac:dyDescent="0.45">
      <c r="AI35" t="s">
        <v>169</v>
      </c>
      <c r="AK35" t="str">
        <f t="shared" si="0"/>
        <v/>
      </c>
      <c r="AL35" t="str">
        <f t="shared" si="1"/>
        <v/>
      </c>
      <c r="AN35" t="str">
        <f t="shared" si="3"/>
        <v>*</v>
      </c>
      <c r="AO35">
        <f t="shared" si="4"/>
        <v>0</v>
      </c>
      <c r="AQ35" t="s">
        <v>156</v>
      </c>
      <c r="AR35" t="s">
        <v>354</v>
      </c>
      <c r="AS35" t="s">
        <v>361</v>
      </c>
    </row>
    <row r="36" spans="1:45" x14ac:dyDescent="0.45">
      <c r="A36" t="s">
        <v>332</v>
      </c>
      <c r="C36" t="str">
        <f>C28</f>
        <v>TRABDS</v>
      </c>
      <c r="D36" s="40">
        <v>7</v>
      </c>
      <c r="E36" s="40">
        <v>7</v>
      </c>
      <c r="F36" s="40">
        <v>7</v>
      </c>
      <c r="G36" s="40">
        <v>7</v>
      </c>
      <c r="H36" s="40">
        <v>7</v>
      </c>
      <c r="I36" s="40">
        <v>7</v>
      </c>
      <c r="J36" s="40">
        <v>7</v>
      </c>
      <c r="K36" s="40">
        <v>7</v>
      </c>
      <c r="L36" s="40">
        <v>7</v>
      </c>
      <c r="M36" s="40">
        <v>7</v>
      </c>
      <c r="N36" s="40">
        <v>7</v>
      </c>
      <c r="O36" s="40">
        <v>7</v>
      </c>
      <c r="P36" s="40">
        <v>7</v>
      </c>
      <c r="Q36" s="40">
        <v>7</v>
      </c>
      <c r="R36" s="40">
        <v>7</v>
      </c>
      <c r="S36" s="40">
        <v>7</v>
      </c>
      <c r="T36" s="40">
        <v>7</v>
      </c>
      <c r="U36" s="40">
        <v>7</v>
      </c>
      <c r="V36" s="40">
        <v>7</v>
      </c>
      <c r="W36" s="40">
        <v>7</v>
      </c>
      <c r="X36" s="40">
        <v>7</v>
      </c>
      <c r="Y36" s="40">
        <v>7</v>
      </c>
      <c r="Z36" s="40">
        <v>7</v>
      </c>
      <c r="AA36" s="40">
        <v>7</v>
      </c>
      <c r="AB36" s="40">
        <v>7</v>
      </c>
      <c r="AC36" s="40">
        <v>7</v>
      </c>
      <c r="AD36" s="40">
        <v>7</v>
      </c>
      <c r="AE36" s="40">
        <v>7</v>
      </c>
      <c r="AF36" s="40">
        <v>7</v>
      </c>
      <c r="AG36" s="40">
        <v>7</v>
      </c>
      <c r="AI36" t="s">
        <v>351</v>
      </c>
      <c r="AJ36" s="1" t="str">
        <f ca="1">AJ28</f>
        <v>\I:</v>
      </c>
      <c r="AK36" t="str">
        <f t="shared" ca="1" si="0"/>
        <v>Trd_2w</v>
      </c>
      <c r="AL36">
        <f t="shared" ca="1" si="1"/>
        <v>25</v>
      </c>
      <c r="AN36" t="str">
        <f t="shared" ca="1" si="3"/>
        <v>DMD</v>
      </c>
      <c r="AO36" t="str">
        <f t="shared" ca="1" si="4"/>
        <v>\I:</v>
      </c>
      <c r="AQ36" t="s">
        <v>156</v>
      </c>
      <c r="AR36" t="s">
        <v>354</v>
      </c>
      <c r="AS36" t="s">
        <v>361</v>
      </c>
    </row>
    <row r="37" spans="1:45" x14ac:dyDescent="0.45">
      <c r="C37" t="str">
        <f t="shared" ref="C37:C42" si="18">C29</f>
        <v>TRABGS</v>
      </c>
      <c r="D37" s="40">
        <f>D$36</f>
        <v>7</v>
      </c>
      <c r="E37" s="40">
        <f t="shared" ref="E37:T42" si="19">E$36</f>
        <v>7</v>
      </c>
      <c r="F37" s="40">
        <f t="shared" si="19"/>
        <v>7</v>
      </c>
      <c r="G37" s="40">
        <f t="shared" si="19"/>
        <v>7</v>
      </c>
      <c r="H37" s="40">
        <f t="shared" si="19"/>
        <v>7</v>
      </c>
      <c r="I37" s="40">
        <f t="shared" si="19"/>
        <v>7</v>
      </c>
      <c r="J37" s="40">
        <f t="shared" si="19"/>
        <v>7</v>
      </c>
      <c r="K37" s="40">
        <f t="shared" si="19"/>
        <v>7</v>
      </c>
      <c r="L37" s="40">
        <f t="shared" si="19"/>
        <v>7</v>
      </c>
      <c r="M37" s="40">
        <f t="shared" si="19"/>
        <v>7</v>
      </c>
      <c r="N37" s="40">
        <f t="shared" si="19"/>
        <v>7</v>
      </c>
      <c r="O37" s="40">
        <f t="shared" si="19"/>
        <v>7</v>
      </c>
      <c r="P37" s="40">
        <f t="shared" si="19"/>
        <v>7</v>
      </c>
      <c r="Q37" s="40">
        <f t="shared" si="19"/>
        <v>7</v>
      </c>
      <c r="R37" s="40">
        <f t="shared" si="19"/>
        <v>7</v>
      </c>
      <c r="S37" s="40">
        <f t="shared" si="19"/>
        <v>7</v>
      </c>
      <c r="T37" s="40">
        <f t="shared" si="19"/>
        <v>7</v>
      </c>
      <c r="U37" s="40">
        <f t="shared" ref="U37:AG42" si="20">U$36</f>
        <v>7</v>
      </c>
      <c r="V37" s="40">
        <f t="shared" si="20"/>
        <v>7</v>
      </c>
      <c r="W37" s="40">
        <f t="shared" si="20"/>
        <v>7</v>
      </c>
      <c r="X37" s="40">
        <f t="shared" si="20"/>
        <v>7</v>
      </c>
      <c r="Y37" s="40">
        <f t="shared" si="20"/>
        <v>7</v>
      </c>
      <c r="Z37" s="40">
        <f t="shared" si="20"/>
        <v>7</v>
      </c>
      <c r="AA37" s="40">
        <f t="shared" si="20"/>
        <v>7</v>
      </c>
      <c r="AB37" s="40">
        <f t="shared" si="20"/>
        <v>7</v>
      </c>
      <c r="AC37" s="40">
        <f t="shared" si="20"/>
        <v>7</v>
      </c>
      <c r="AD37" s="40">
        <f t="shared" si="20"/>
        <v>7</v>
      </c>
      <c r="AE37" s="40">
        <f t="shared" si="20"/>
        <v>7</v>
      </c>
      <c r="AF37" s="40">
        <f t="shared" si="20"/>
        <v>7</v>
      </c>
      <c r="AG37" s="40">
        <f t="shared" si="20"/>
        <v>7</v>
      </c>
      <c r="AI37" t="s">
        <v>351</v>
      </c>
      <c r="AJ37" s="1" t="str">
        <f t="shared" ref="AJ37:AJ42" ca="1" si="21">AJ29</f>
        <v>Trd_2w_eth</v>
      </c>
      <c r="AK37" t="str">
        <f t="shared" ca="1" si="0"/>
        <v>Trd_2w</v>
      </c>
      <c r="AL37">
        <f t="shared" ca="1" si="1"/>
        <v>25</v>
      </c>
      <c r="AN37" t="str">
        <f t="shared" ca="1" si="3"/>
        <v>DMD</v>
      </c>
      <c r="AO37" t="str">
        <f t="shared" ca="1" si="4"/>
        <v>Trd_2w_eth</v>
      </c>
      <c r="AQ37" t="s">
        <v>156</v>
      </c>
      <c r="AR37" t="s">
        <v>354</v>
      </c>
      <c r="AS37" t="s">
        <v>361</v>
      </c>
    </row>
    <row r="38" spans="1:45" x14ac:dyDescent="0.45">
      <c r="C38" t="str">
        <f t="shared" si="18"/>
        <v>TRADST</v>
      </c>
      <c r="D38" s="40">
        <f t="shared" ref="D38:D42" si="22">D$36</f>
        <v>7</v>
      </c>
      <c r="E38" s="40">
        <f t="shared" si="19"/>
        <v>7</v>
      </c>
      <c r="F38" s="40">
        <f t="shared" si="19"/>
        <v>7</v>
      </c>
      <c r="G38" s="40">
        <f t="shared" si="19"/>
        <v>7</v>
      </c>
      <c r="H38" s="40">
        <f t="shared" si="19"/>
        <v>7</v>
      </c>
      <c r="I38" s="40">
        <f t="shared" si="19"/>
        <v>7</v>
      </c>
      <c r="J38" s="40">
        <f t="shared" si="19"/>
        <v>7</v>
      </c>
      <c r="K38" s="40">
        <f t="shared" si="19"/>
        <v>7</v>
      </c>
      <c r="L38" s="40">
        <f t="shared" si="19"/>
        <v>7</v>
      </c>
      <c r="M38" s="40">
        <f t="shared" si="19"/>
        <v>7</v>
      </c>
      <c r="N38" s="40">
        <f t="shared" si="19"/>
        <v>7</v>
      </c>
      <c r="O38" s="40">
        <f t="shared" si="19"/>
        <v>7</v>
      </c>
      <c r="P38" s="40">
        <f t="shared" si="19"/>
        <v>7</v>
      </c>
      <c r="Q38" s="40">
        <f t="shared" si="19"/>
        <v>7</v>
      </c>
      <c r="R38" s="40">
        <f t="shared" si="19"/>
        <v>7</v>
      </c>
      <c r="S38" s="40">
        <f t="shared" si="19"/>
        <v>7</v>
      </c>
      <c r="T38" s="40">
        <f t="shared" si="19"/>
        <v>7</v>
      </c>
      <c r="U38" s="40">
        <f t="shared" si="20"/>
        <v>7</v>
      </c>
      <c r="V38" s="40">
        <f t="shared" si="20"/>
        <v>7</v>
      </c>
      <c r="W38" s="40">
        <f t="shared" si="20"/>
        <v>7</v>
      </c>
      <c r="X38" s="40">
        <f t="shared" si="20"/>
        <v>7</v>
      </c>
      <c r="Y38" s="40">
        <f t="shared" si="20"/>
        <v>7</v>
      </c>
      <c r="Z38" s="40">
        <f t="shared" si="20"/>
        <v>7</v>
      </c>
      <c r="AA38" s="40">
        <f t="shared" si="20"/>
        <v>7</v>
      </c>
      <c r="AB38" s="40">
        <f t="shared" si="20"/>
        <v>7</v>
      </c>
      <c r="AC38" s="40">
        <f t="shared" si="20"/>
        <v>7</v>
      </c>
      <c r="AD38" s="40">
        <f t="shared" si="20"/>
        <v>7</v>
      </c>
      <c r="AE38" s="40">
        <f t="shared" si="20"/>
        <v>7</v>
      </c>
      <c r="AF38" s="40">
        <f t="shared" si="20"/>
        <v>7</v>
      </c>
      <c r="AG38" s="40">
        <f t="shared" si="20"/>
        <v>7</v>
      </c>
      <c r="AI38" t="s">
        <v>351</v>
      </c>
      <c r="AJ38" s="1" t="str">
        <f t="shared" ca="1" si="21"/>
        <v>\I:</v>
      </c>
      <c r="AK38" t="str">
        <f t="shared" ca="1" si="0"/>
        <v>Trd_2w</v>
      </c>
      <c r="AL38">
        <f t="shared" ca="1" si="1"/>
        <v>25</v>
      </c>
      <c r="AN38" t="str">
        <f t="shared" ca="1" si="3"/>
        <v>DMD</v>
      </c>
      <c r="AO38" t="str">
        <f t="shared" ca="1" si="4"/>
        <v>\I:</v>
      </c>
      <c r="AQ38" t="s">
        <v>156</v>
      </c>
      <c r="AR38" t="s">
        <v>354</v>
      </c>
      <c r="AS38" t="s">
        <v>361</v>
      </c>
    </row>
    <row r="39" spans="1:45" x14ac:dyDescent="0.45">
      <c r="C39" t="str">
        <f t="shared" si="18"/>
        <v>TRAELC</v>
      </c>
      <c r="D39" s="40">
        <f t="shared" si="22"/>
        <v>7</v>
      </c>
      <c r="E39" s="40">
        <f t="shared" si="19"/>
        <v>7</v>
      </c>
      <c r="F39" s="40">
        <f t="shared" si="19"/>
        <v>7</v>
      </c>
      <c r="G39" s="40">
        <f t="shared" si="19"/>
        <v>7</v>
      </c>
      <c r="H39" s="40">
        <f t="shared" si="19"/>
        <v>7</v>
      </c>
      <c r="I39" s="40">
        <f t="shared" si="19"/>
        <v>7</v>
      </c>
      <c r="J39" s="40">
        <f t="shared" si="19"/>
        <v>7</v>
      </c>
      <c r="K39" s="40">
        <f t="shared" si="19"/>
        <v>7</v>
      </c>
      <c r="L39" s="40">
        <f t="shared" si="19"/>
        <v>7</v>
      </c>
      <c r="M39" s="40">
        <f t="shared" si="19"/>
        <v>7</v>
      </c>
      <c r="N39" s="40">
        <f t="shared" si="19"/>
        <v>7</v>
      </c>
      <c r="O39" s="40">
        <f t="shared" si="19"/>
        <v>7</v>
      </c>
      <c r="P39" s="40">
        <f t="shared" si="19"/>
        <v>7</v>
      </c>
      <c r="Q39" s="40">
        <f t="shared" si="19"/>
        <v>7</v>
      </c>
      <c r="R39" s="40">
        <f t="shared" si="19"/>
        <v>7</v>
      </c>
      <c r="S39" s="40">
        <f t="shared" si="19"/>
        <v>7</v>
      </c>
      <c r="T39" s="40">
        <f t="shared" si="19"/>
        <v>7</v>
      </c>
      <c r="U39" s="40">
        <f t="shared" si="20"/>
        <v>7</v>
      </c>
      <c r="V39" s="40">
        <f t="shared" si="20"/>
        <v>7</v>
      </c>
      <c r="W39" s="40">
        <f t="shared" si="20"/>
        <v>7</v>
      </c>
      <c r="X39" s="40">
        <f t="shared" si="20"/>
        <v>7</v>
      </c>
      <c r="Y39" s="40">
        <f t="shared" si="20"/>
        <v>7</v>
      </c>
      <c r="Z39" s="40">
        <f t="shared" si="20"/>
        <v>7</v>
      </c>
      <c r="AA39" s="40">
        <f t="shared" si="20"/>
        <v>7</v>
      </c>
      <c r="AB39" s="40">
        <f t="shared" si="20"/>
        <v>7</v>
      </c>
      <c r="AC39" s="40">
        <f t="shared" si="20"/>
        <v>7</v>
      </c>
      <c r="AD39" s="40">
        <f t="shared" si="20"/>
        <v>7</v>
      </c>
      <c r="AE39" s="40">
        <f t="shared" si="20"/>
        <v>7</v>
      </c>
      <c r="AF39" s="40">
        <f t="shared" si="20"/>
        <v>7</v>
      </c>
      <c r="AG39" s="40">
        <f t="shared" si="20"/>
        <v>7</v>
      </c>
      <c r="AI39" t="s">
        <v>351</v>
      </c>
      <c r="AJ39" s="1" t="str">
        <f t="shared" ca="1" si="21"/>
        <v>\I:</v>
      </c>
      <c r="AK39" t="str">
        <f t="shared" ca="1" si="0"/>
        <v>Trd_2w</v>
      </c>
      <c r="AL39">
        <f t="shared" ca="1" si="1"/>
        <v>25</v>
      </c>
      <c r="AN39" t="str">
        <f t="shared" ca="1" si="3"/>
        <v>DMD</v>
      </c>
      <c r="AO39" t="str">
        <f t="shared" ca="1" si="4"/>
        <v>\I:</v>
      </c>
      <c r="AQ39" t="s">
        <v>156</v>
      </c>
      <c r="AR39" t="s">
        <v>354</v>
      </c>
      <c r="AS39" t="s">
        <v>361</v>
      </c>
    </row>
    <row r="40" spans="1:45" x14ac:dyDescent="0.45">
      <c r="C40" t="str">
        <f t="shared" si="18"/>
        <v>TRAGSL</v>
      </c>
      <c r="D40" s="40">
        <f t="shared" si="22"/>
        <v>7</v>
      </c>
      <c r="E40" s="40">
        <f t="shared" si="19"/>
        <v>7</v>
      </c>
      <c r="F40" s="40">
        <f t="shared" si="19"/>
        <v>7</v>
      </c>
      <c r="G40" s="40">
        <f t="shared" si="19"/>
        <v>7</v>
      </c>
      <c r="H40" s="40">
        <f t="shared" si="19"/>
        <v>7</v>
      </c>
      <c r="I40" s="40">
        <f t="shared" si="19"/>
        <v>7</v>
      </c>
      <c r="J40" s="40">
        <f t="shared" si="19"/>
        <v>7</v>
      </c>
      <c r="K40" s="40">
        <f t="shared" si="19"/>
        <v>7</v>
      </c>
      <c r="L40" s="40">
        <f t="shared" si="19"/>
        <v>7</v>
      </c>
      <c r="M40" s="40">
        <f t="shared" si="19"/>
        <v>7</v>
      </c>
      <c r="N40" s="40">
        <f t="shared" si="19"/>
        <v>7</v>
      </c>
      <c r="O40" s="40">
        <f t="shared" si="19"/>
        <v>7</v>
      </c>
      <c r="P40" s="40">
        <f t="shared" si="19"/>
        <v>7</v>
      </c>
      <c r="Q40" s="40">
        <f t="shared" si="19"/>
        <v>7</v>
      </c>
      <c r="R40" s="40">
        <f t="shared" si="19"/>
        <v>7</v>
      </c>
      <c r="S40" s="40">
        <f t="shared" si="19"/>
        <v>7</v>
      </c>
      <c r="T40" s="40">
        <f t="shared" si="19"/>
        <v>7</v>
      </c>
      <c r="U40" s="40">
        <f t="shared" si="20"/>
        <v>7</v>
      </c>
      <c r="V40" s="40">
        <f t="shared" si="20"/>
        <v>7</v>
      </c>
      <c r="W40" s="40">
        <f t="shared" si="20"/>
        <v>7</v>
      </c>
      <c r="X40" s="40">
        <f t="shared" si="20"/>
        <v>7</v>
      </c>
      <c r="Y40" s="40">
        <f t="shared" si="20"/>
        <v>7</v>
      </c>
      <c r="Z40" s="40">
        <f t="shared" si="20"/>
        <v>7</v>
      </c>
      <c r="AA40" s="40">
        <f t="shared" si="20"/>
        <v>7</v>
      </c>
      <c r="AB40" s="40">
        <f t="shared" si="20"/>
        <v>7</v>
      </c>
      <c r="AC40" s="40">
        <f t="shared" si="20"/>
        <v>7</v>
      </c>
      <c r="AD40" s="40">
        <f t="shared" si="20"/>
        <v>7</v>
      </c>
      <c r="AE40" s="40">
        <f t="shared" si="20"/>
        <v>7</v>
      </c>
      <c r="AF40" s="40">
        <f t="shared" si="20"/>
        <v>7</v>
      </c>
      <c r="AG40" s="40">
        <f t="shared" si="20"/>
        <v>7</v>
      </c>
      <c r="AI40" t="s">
        <v>351</v>
      </c>
      <c r="AJ40" s="1" t="str">
        <f t="shared" ca="1" si="21"/>
        <v>Trd_2w_gsl</v>
      </c>
      <c r="AK40" t="str">
        <f t="shared" ca="1" si="0"/>
        <v>Trd_2w</v>
      </c>
      <c r="AL40">
        <f t="shared" ca="1" si="1"/>
        <v>25</v>
      </c>
      <c r="AN40" t="str">
        <f t="shared" ca="1" si="3"/>
        <v>DMD</v>
      </c>
      <c r="AO40" t="str">
        <f t="shared" ca="1" si="4"/>
        <v>Trd_2w_gsl</v>
      </c>
      <c r="AQ40" t="s">
        <v>156</v>
      </c>
      <c r="AR40" t="s">
        <v>354</v>
      </c>
      <c r="AS40" t="s">
        <v>361</v>
      </c>
    </row>
    <row r="41" spans="1:45" x14ac:dyDescent="0.45">
      <c r="C41" t="str">
        <f t="shared" si="18"/>
        <v>TRALPG</v>
      </c>
      <c r="D41" s="40">
        <f t="shared" si="22"/>
        <v>7</v>
      </c>
      <c r="E41" s="40">
        <f t="shared" si="19"/>
        <v>7</v>
      </c>
      <c r="F41" s="40">
        <f t="shared" si="19"/>
        <v>7</v>
      </c>
      <c r="G41" s="40">
        <f t="shared" si="19"/>
        <v>7</v>
      </c>
      <c r="H41" s="40">
        <f t="shared" si="19"/>
        <v>7</v>
      </c>
      <c r="I41" s="40">
        <f t="shared" si="19"/>
        <v>7</v>
      </c>
      <c r="J41" s="40">
        <f t="shared" si="19"/>
        <v>7</v>
      </c>
      <c r="K41" s="40">
        <f t="shared" si="19"/>
        <v>7</v>
      </c>
      <c r="L41" s="40">
        <f t="shared" si="19"/>
        <v>7</v>
      </c>
      <c r="M41" s="40">
        <f t="shared" si="19"/>
        <v>7</v>
      </c>
      <c r="N41" s="40">
        <f t="shared" si="19"/>
        <v>7</v>
      </c>
      <c r="O41" s="40">
        <f t="shared" si="19"/>
        <v>7</v>
      </c>
      <c r="P41" s="40">
        <f t="shared" si="19"/>
        <v>7</v>
      </c>
      <c r="Q41" s="40">
        <f t="shared" si="19"/>
        <v>7</v>
      </c>
      <c r="R41" s="40">
        <f t="shared" si="19"/>
        <v>7</v>
      </c>
      <c r="S41" s="40">
        <f t="shared" si="19"/>
        <v>7</v>
      </c>
      <c r="T41" s="40">
        <f t="shared" si="19"/>
        <v>7</v>
      </c>
      <c r="U41" s="40">
        <f t="shared" si="20"/>
        <v>7</v>
      </c>
      <c r="V41" s="40">
        <f t="shared" si="20"/>
        <v>7</v>
      </c>
      <c r="W41" s="40">
        <f t="shared" si="20"/>
        <v>7</v>
      </c>
      <c r="X41" s="40">
        <f t="shared" si="20"/>
        <v>7</v>
      </c>
      <c r="Y41" s="40">
        <f t="shared" si="20"/>
        <v>7</v>
      </c>
      <c r="Z41" s="40">
        <f t="shared" si="20"/>
        <v>7</v>
      </c>
      <c r="AA41" s="40">
        <f t="shared" si="20"/>
        <v>7</v>
      </c>
      <c r="AB41" s="40">
        <f t="shared" si="20"/>
        <v>7</v>
      </c>
      <c r="AC41" s="40">
        <f t="shared" si="20"/>
        <v>7</v>
      </c>
      <c r="AD41" s="40">
        <f t="shared" si="20"/>
        <v>7</v>
      </c>
      <c r="AE41" s="40">
        <f t="shared" si="20"/>
        <v>7</v>
      </c>
      <c r="AF41" s="40">
        <f t="shared" si="20"/>
        <v>7</v>
      </c>
      <c r="AG41" s="40">
        <f t="shared" si="20"/>
        <v>7</v>
      </c>
      <c r="AI41" t="s">
        <v>351</v>
      </c>
      <c r="AJ41" s="1" t="str">
        <f t="shared" si="21"/>
        <v>\I:</v>
      </c>
      <c r="AK41" t="str">
        <f t="shared" si="0"/>
        <v>Trd_2w</v>
      </c>
      <c r="AL41">
        <f t="shared" si="1"/>
        <v>25</v>
      </c>
      <c r="AN41" t="str">
        <f t="shared" si="3"/>
        <v>DMD</v>
      </c>
      <c r="AO41" t="str">
        <f t="shared" si="4"/>
        <v>\I:</v>
      </c>
      <c r="AQ41" t="s">
        <v>156</v>
      </c>
      <c r="AR41" t="s">
        <v>354</v>
      </c>
      <c r="AS41" t="s">
        <v>361</v>
      </c>
    </row>
    <row r="42" spans="1:45" x14ac:dyDescent="0.45">
      <c r="C42" t="str">
        <f t="shared" si="18"/>
        <v>TRANGA</v>
      </c>
      <c r="D42" s="40">
        <f t="shared" si="22"/>
        <v>7</v>
      </c>
      <c r="E42" s="40">
        <f t="shared" si="19"/>
        <v>7</v>
      </c>
      <c r="F42" s="40">
        <f t="shared" si="19"/>
        <v>7</v>
      </c>
      <c r="G42" s="40">
        <f t="shared" si="19"/>
        <v>7</v>
      </c>
      <c r="H42" s="40">
        <f t="shared" si="19"/>
        <v>7</v>
      </c>
      <c r="I42" s="40">
        <f t="shared" si="19"/>
        <v>7</v>
      </c>
      <c r="J42" s="40">
        <f t="shared" si="19"/>
        <v>7</v>
      </c>
      <c r="K42" s="40">
        <f t="shared" si="19"/>
        <v>7</v>
      </c>
      <c r="L42" s="40">
        <f t="shared" si="19"/>
        <v>7</v>
      </c>
      <c r="M42" s="40">
        <f t="shared" si="19"/>
        <v>7</v>
      </c>
      <c r="N42" s="40">
        <f t="shared" si="19"/>
        <v>7</v>
      </c>
      <c r="O42" s="40">
        <f t="shared" si="19"/>
        <v>7</v>
      </c>
      <c r="P42" s="40">
        <f t="shared" si="19"/>
        <v>7</v>
      </c>
      <c r="Q42" s="40">
        <f t="shared" si="19"/>
        <v>7</v>
      </c>
      <c r="R42" s="40">
        <f t="shared" si="19"/>
        <v>7</v>
      </c>
      <c r="S42" s="40">
        <f t="shared" si="19"/>
        <v>7</v>
      </c>
      <c r="T42" s="40">
        <f t="shared" si="19"/>
        <v>7</v>
      </c>
      <c r="U42" s="40">
        <f t="shared" si="20"/>
        <v>7</v>
      </c>
      <c r="V42" s="40">
        <f t="shared" si="20"/>
        <v>7</v>
      </c>
      <c r="W42" s="40">
        <f t="shared" si="20"/>
        <v>7</v>
      </c>
      <c r="X42" s="40">
        <f t="shared" si="20"/>
        <v>7</v>
      </c>
      <c r="Y42" s="40">
        <f t="shared" si="20"/>
        <v>7</v>
      </c>
      <c r="Z42" s="40">
        <f t="shared" si="20"/>
        <v>7</v>
      </c>
      <c r="AA42" s="40">
        <f t="shared" si="20"/>
        <v>7</v>
      </c>
      <c r="AB42" s="40">
        <f t="shared" si="20"/>
        <v>7</v>
      </c>
      <c r="AC42" s="40">
        <f t="shared" si="20"/>
        <v>7</v>
      </c>
      <c r="AD42" s="40">
        <f t="shared" si="20"/>
        <v>7</v>
      </c>
      <c r="AE42" s="40">
        <f t="shared" si="20"/>
        <v>7</v>
      </c>
      <c r="AF42" s="40">
        <f t="shared" si="20"/>
        <v>7</v>
      </c>
      <c r="AG42" s="40">
        <f t="shared" si="20"/>
        <v>7</v>
      </c>
      <c r="AI42" t="s">
        <v>351</v>
      </c>
      <c r="AJ42" s="1" t="str">
        <f t="shared" si="21"/>
        <v>\I:</v>
      </c>
      <c r="AK42" t="str">
        <f t="shared" si="0"/>
        <v>Trd_2w</v>
      </c>
      <c r="AL42">
        <f t="shared" si="1"/>
        <v>25</v>
      </c>
      <c r="AN42" t="str">
        <f t="shared" si="3"/>
        <v>DMD</v>
      </c>
      <c r="AO42" t="str">
        <f t="shared" si="4"/>
        <v>\I:</v>
      </c>
      <c r="AQ42" t="s">
        <v>156</v>
      </c>
      <c r="AR42" t="s">
        <v>354</v>
      </c>
      <c r="AS42" t="s">
        <v>361</v>
      </c>
    </row>
    <row r="43" spans="1:45" x14ac:dyDescent="0.45">
      <c r="AI43" t="s">
        <v>169</v>
      </c>
      <c r="AL43" t="str">
        <f t="shared" si="1"/>
        <v/>
      </c>
    </row>
    <row r="44" spans="1:45" x14ac:dyDescent="0.45">
      <c r="D44" t="str">
        <f>D3</f>
        <v>Africa_north</v>
      </c>
      <c r="E44" t="str">
        <f t="shared" ref="E44:T44" si="23">E3</f>
        <v>Africa_other</v>
      </c>
      <c r="F44" t="str">
        <f t="shared" si="23"/>
        <v>Arg-Chi</v>
      </c>
      <c r="G44" t="str">
        <f t="shared" si="23"/>
        <v>Asia_central</v>
      </c>
      <c r="H44" t="str">
        <f t="shared" si="23"/>
        <v>Asia_east</v>
      </c>
      <c r="I44" t="str">
        <f t="shared" si="23"/>
        <v>Asia_other</v>
      </c>
      <c r="J44" t="str">
        <f t="shared" si="23"/>
        <v>Australia_NZ</v>
      </c>
      <c r="K44" t="str">
        <f t="shared" si="23"/>
        <v>Brazil</v>
      </c>
      <c r="L44" t="str">
        <f t="shared" si="23"/>
        <v>Canada</v>
      </c>
      <c r="M44" t="str">
        <f t="shared" si="23"/>
        <v>China</v>
      </c>
      <c r="N44" t="str">
        <f t="shared" si="23"/>
        <v>EU_north</v>
      </c>
      <c r="O44" t="str">
        <f t="shared" si="23"/>
        <v>EU_northeast</v>
      </c>
      <c r="P44" t="str">
        <f t="shared" si="23"/>
        <v>EU_northwest</v>
      </c>
      <c r="Q44" t="str">
        <f t="shared" si="23"/>
        <v>EU_south</v>
      </c>
      <c r="R44" t="str">
        <f t="shared" si="23"/>
        <v>EU_southeast</v>
      </c>
      <c r="S44" t="str">
        <f t="shared" si="23"/>
        <v>EU_southwest</v>
      </c>
      <c r="T44" t="str">
        <f t="shared" si="23"/>
        <v>Europe_other</v>
      </c>
      <c r="U44" t="str">
        <f t="shared" ref="U44:AG44" si="24">U3</f>
        <v>France</v>
      </c>
      <c r="V44" t="str">
        <f t="shared" si="24"/>
        <v>Germany</v>
      </c>
      <c r="W44" t="str">
        <f t="shared" si="24"/>
        <v>India</v>
      </c>
      <c r="X44" t="str">
        <f t="shared" si="24"/>
        <v>LatAm_other</v>
      </c>
      <c r="Y44" t="str">
        <f t="shared" si="24"/>
        <v>Mexico</v>
      </c>
      <c r="Z44" t="str">
        <f t="shared" si="24"/>
        <v>MidEast_other</v>
      </c>
      <c r="AA44" t="str">
        <f t="shared" si="24"/>
        <v>Nor-Ice</v>
      </c>
      <c r="AB44" t="str">
        <f t="shared" si="24"/>
        <v>Russia</v>
      </c>
      <c r="AC44" t="str">
        <f t="shared" si="24"/>
        <v>SaudiArabia</v>
      </c>
      <c r="AD44" t="str">
        <f t="shared" si="24"/>
        <v>SouthAfrica</v>
      </c>
      <c r="AE44" t="str">
        <f t="shared" si="24"/>
        <v>UK</v>
      </c>
      <c r="AF44" t="str">
        <f t="shared" si="24"/>
        <v>USA</v>
      </c>
      <c r="AG44" t="str">
        <f t="shared" si="24"/>
        <v>\I:</v>
      </c>
      <c r="AI44" t="s">
        <v>169</v>
      </c>
      <c r="AL44" t="str">
        <f t="shared" si="1"/>
        <v/>
      </c>
    </row>
    <row r="45" spans="1:45" x14ac:dyDescent="0.45">
      <c r="A45" t="s">
        <v>333</v>
      </c>
      <c r="D45" s="2">
        <f t="shared" ref="D45:T45" ca="1" si="25">SUMPRODUCT(D36:D42,D19:D25)</f>
        <v>248.01</v>
      </c>
      <c r="E45" s="2">
        <f t="shared" ca="1" si="25"/>
        <v>431.34000000000003</v>
      </c>
      <c r="F45" s="2">
        <f t="shared" ca="1" si="25"/>
        <v>5.74</v>
      </c>
      <c r="G45" s="2">
        <f t="shared" ca="1" si="25"/>
        <v>4.2699999999999996</v>
      </c>
      <c r="H45" s="2">
        <f t="shared" ca="1" si="25"/>
        <v>18.13</v>
      </c>
      <c r="I45" s="2">
        <f t="shared" ca="1" si="25"/>
        <v>1249.8499999999999</v>
      </c>
      <c r="J45" s="2">
        <f t="shared" ca="1" si="25"/>
        <v>12.11</v>
      </c>
      <c r="K45" s="2">
        <f t="shared" ca="1" si="25"/>
        <v>15.12</v>
      </c>
      <c r="L45" s="2">
        <f t="shared" ca="1" si="25"/>
        <v>1.33</v>
      </c>
      <c r="M45" s="2">
        <f t="shared" ca="1" si="25"/>
        <v>1632.68</v>
      </c>
      <c r="N45" s="2">
        <f t="shared" ca="1" si="25"/>
        <v>2.87</v>
      </c>
      <c r="O45" s="2">
        <f t="shared" ca="1" si="25"/>
        <v>2.87</v>
      </c>
      <c r="P45" s="2">
        <f t="shared" ca="1" si="25"/>
        <v>4.55</v>
      </c>
      <c r="Q45" s="2">
        <f t="shared" ca="1" si="25"/>
        <v>6.3</v>
      </c>
      <c r="R45" s="2">
        <f t="shared" ca="1" si="25"/>
        <v>1.33</v>
      </c>
      <c r="S45" s="2">
        <f t="shared" ca="1" si="25"/>
        <v>3.99</v>
      </c>
      <c r="T45" s="2">
        <f t="shared" ca="1" si="25"/>
        <v>5.18</v>
      </c>
      <c r="U45" s="2">
        <f t="shared" ref="U45:AG45" ca="1" si="26">SUMPRODUCT(U36:U42,U19:U25)</f>
        <v>5.1800000000000006</v>
      </c>
      <c r="V45" s="2">
        <f t="shared" ca="1" si="26"/>
        <v>10.85</v>
      </c>
      <c r="W45" s="2">
        <f t="shared" ca="1" si="26"/>
        <v>546.34999999999991</v>
      </c>
      <c r="X45" s="2">
        <f t="shared" ca="1" si="26"/>
        <v>17.78</v>
      </c>
      <c r="Y45" s="2">
        <f t="shared" ca="1" si="26"/>
        <v>91.490000000000009</v>
      </c>
      <c r="Z45" s="2">
        <f t="shared" ca="1" si="26"/>
        <v>32.69</v>
      </c>
      <c r="AA45" s="2">
        <f t="shared" ca="1" si="26"/>
        <v>0.49000000000000005</v>
      </c>
      <c r="AB45" s="2">
        <f t="shared" ca="1" si="26"/>
        <v>15.540000000000001</v>
      </c>
      <c r="AC45" s="2">
        <f t="shared" ca="1" si="26"/>
        <v>14.14</v>
      </c>
      <c r="AD45" s="2">
        <f t="shared" ca="1" si="26"/>
        <v>109.69</v>
      </c>
      <c r="AE45" s="2">
        <f t="shared" ca="1" si="26"/>
        <v>7.63</v>
      </c>
      <c r="AF45" s="2">
        <f t="shared" ca="1" si="26"/>
        <v>13.3</v>
      </c>
      <c r="AG45" s="2">
        <f t="shared" ca="1" si="26"/>
        <v>0</v>
      </c>
      <c r="AI45" t="s">
        <v>352</v>
      </c>
      <c r="AK45" t="s">
        <v>358</v>
      </c>
      <c r="AL45" t="str">
        <f t="shared" si="1"/>
        <v/>
      </c>
    </row>
    <row r="46" spans="1:45" x14ac:dyDescent="0.45">
      <c r="D46" s="1">
        <f ca="1">D45/'non-road'!BV20</f>
        <v>0.12288222510917744</v>
      </c>
      <c r="E46" s="1">
        <f ca="1">E45/'non-road'!BW20</f>
        <v>0.15493872893652674</v>
      </c>
      <c r="F46" s="1">
        <f ca="1">F45/'non-road'!BX20</f>
        <v>5.6540026201475557E-3</v>
      </c>
      <c r="G46" s="1">
        <f ca="1">G45/'non-road'!BY20</f>
        <v>4.2625269377726963E-3</v>
      </c>
      <c r="H46" s="1">
        <f ca="1">H45/'non-road'!BZ20</f>
        <v>2.8620772397767165E-3</v>
      </c>
      <c r="I46" s="1">
        <f ca="1">I45/'non-road'!CA20</f>
        <v>0.11905013307812311</v>
      </c>
      <c r="J46" s="1">
        <f ca="1">J45/'non-road'!CB20</f>
        <v>1.0894843617160052E-2</v>
      </c>
      <c r="K46" s="1">
        <f ca="1">K45/'non-road'!CC20</f>
        <v>5.5487663903292933E-3</v>
      </c>
      <c r="L46" s="1">
        <f ca="1">L45/'non-road'!CD20</f>
        <v>8.3834449024872994E-4</v>
      </c>
      <c r="M46" s="1">
        <f ca="1">M45/'non-road'!CE20</f>
        <v>7.5243727081709094E-2</v>
      </c>
      <c r="N46" s="1">
        <f ca="1">N45/'non-road'!CF20</f>
        <v>3.5035890424337129E-3</v>
      </c>
      <c r="O46" s="1">
        <f ca="1">O45/'non-road'!CG20</f>
        <v>1.5332905970873996E-3</v>
      </c>
      <c r="P46" s="1">
        <f ca="1">P45/'non-road'!CH20</f>
        <v>2.9974698060913725E-3</v>
      </c>
      <c r="Q46" s="1">
        <f ca="1">Q45/'non-road'!CI20</f>
        <v>3.1237774347054777E-3</v>
      </c>
      <c r="R46" s="1">
        <f ca="1">R45/'non-road'!CJ20</f>
        <v>1.6506196649614399E-3</v>
      </c>
      <c r="S46" s="1">
        <f ca="1">S45/'non-road'!CK20</f>
        <v>2.4099005236550763E-3</v>
      </c>
      <c r="T46" s="1">
        <f ca="1">T45/'non-road'!CL20</f>
        <v>1.9161775712905386E-3</v>
      </c>
      <c r="U46" s="1">
        <f ca="1">U45/'non-road'!CM20</f>
        <v>2.2390591139559747E-3</v>
      </c>
      <c r="V46" s="1">
        <f ca="1">V45/'non-road'!CN20</f>
        <v>3.3708528413027338E-3</v>
      </c>
      <c r="W46" s="1">
        <f ca="1">W45/'non-road'!CO20</f>
        <v>6.5446421619420103E-2</v>
      </c>
      <c r="X46" s="1">
        <f ca="1">X45/'non-road'!CP20</f>
        <v>6.657879560276401E-3</v>
      </c>
      <c r="Y46" s="1">
        <f ca="1">Y45/'non-road'!CQ20</f>
        <v>5.1324196814747092E-2</v>
      </c>
      <c r="Z46" s="1">
        <f ca="1">Z45/'non-road'!CR20</f>
        <v>8.3869451720841315E-3</v>
      </c>
      <c r="AA46" s="1">
        <f ca="1">AA45/'non-road'!CS20</f>
        <v>1.7418574385666436E-3</v>
      </c>
      <c r="AB46" s="1">
        <f ca="1">AB45/'non-road'!CT20</f>
        <v>6.7253220927263524E-3</v>
      </c>
      <c r="AC46" s="1">
        <f ca="1">AC45/'non-road'!CU20</f>
        <v>8.2551507119629636E-3</v>
      </c>
      <c r="AD46" s="1">
        <f ca="1">AD45/'non-road'!CV20</f>
        <v>0.17527628105565249</v>
      </c>
      <c r="AE46" s="1">
        <f ca="1">AE45/'non-road'!CW20</f>
        <v>3.2260548195081518E-3</v>
      </c>
      <c r="AF46" s="1">
        <f ca="1">AF45/'non-road'!CX20</f>
        <v>7.9687958730025597E-4</v>
      </c>
      <c r="AG46" s="1" t="e">
        <f ca="1">AG45/'non-road'!CY20</f>
        <v>#DIV/0!</v>
      </c>
      <c r="AI46" t="s">
        <v>169</v>
      </c>
    </row>
  </sheetData>
  <conditionalFormatting sqref="D46:T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:AG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1480-65B1-4030-8DFB-67F25231E4AA}">
  <dimension ref="A2:AS46"/>
  <sheetViews>
    <sheetView topLeftCell="A2" zoomScaleNormal="100" workbookViewId="0">
      <selection activeCell="AI46" sqref="AI46"/>
    </sheetView>
  </sheetViews>
  <sheetFormatPr defaultRowHeight="14.25" x14ac:dyDescent="0.45"/>
  <cols>
    <col min="1" max="1" width="10.86328125" bestFit="1" customWidth="1"/>
    <col min="2" max="2" width="2.53125" bestFit="1" customWidth="1"/>
    <col min="4" max="4" width="6.1328125" bestFit="1" customWidth="1"/>
    <col min="5" max="6" width="8.1328125" bestFit="1" customWidth="1"/>
    <col min="7" max="7" width="7.46484375" bestFit="1" customWidth="1"/>
    <col min="8" max="8" width="8.86328125" bestFit="1" customWidth="1"/>
    <col min="9" max="9" width="5.86328125" bestFit="1" customWidth="1"/>
    <col min="10" max="10" width="7.46484375" bestFit="1" customWidth="1"/>
    <col min="11" max="11" width="6.53125" bestFit="1" customWidth="1"/>
    <col min="12" max="12" width="5.53125" bestFit="1" customWidth="1"/>
    <col min="13" max="13" width="6.53125" bestFit="1" customWidth="1"/>
    <col min="14" max="14" width="7.33203125" bestFit="1" customWidth="1"/>
    <col min="15" max="16" width="6.53125" bestFit="1" customWidth="1"/>
    <col min="17" max="17" width="7.46484375" bestFit="1" customWidth="1"/>
    <col min="18" max="18" width="8" bestFit="1" customWidth="1"/>
    <col min="19" max="20" width="6.53125" bestFit="1" customWidth="1"/>
    <col min="21" max="33" width="6.53125" customWidth="1"/>
    <col min="34" max="34" width="5.53125" bestFit="1" customWidth="1"/>
    <col min="41" max="41" width="11.53125" bestFit="1" customWidth="1"/>
  </cols>
  <sheetData>
    <row r="2" spans="1:45" x14ac:dyDescent="0.45">
      <c r="AI2" t="s">
        <v>353</v>
      </c>
      <c r="AN2" t="s">
        <v>148</v>
      </c>
    </row>
    <row r="3" spans="1:45" x14ac:dyDescent="0.45">
      <c r="C3" t="s">
        <v>347</v>
      </c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  <c r="AH3" t="s">
        <v>169</v>
      </c>
      <c r="AI3" t="s">
        <v>174</v>
      </c>
      <c r="AJ3" t="s">
        <v>136</v>
      </c>
      <c r="AK3" t="s">
        <v>349</v>
      </c>
      <c r="AL3" t="s">
        <v>158</v>
      </c>
      <c r="AN3" t="s">
        <v>149</v>
      </c>
      <c r="AO3" t="s">
        <v>139</v>
      </c>
      <c r="AP3" t="s">
        <v>150</v>
      </c>
      <c r="AQ3" t="s">
        <v>151</v>
      </c>
      <c r="AR3" t="s">
        <v>152</v>
      </c>
      <c r="AS3" t="s">
        <v>155</v>
      </c>
    </row>
    <row r="4" spans="1:45" x14ac:dyDescent="0.45">
      <c r="A4" t="s">
        <v>25</v>
      </c>
      <c r="C4" s="35" t="s">
        <v>32</v>
      </c>
      <c r="D4" s="2" cm="1">
        <f t="array" aca="1" ref="D4" ca="1">SUM(SUMIFS(Assumptions!AN$3:AN$102,Assumptions!$B$3:$B$102,'3-w'!$C4,Assumptions!$G$3:$G$102,{"TRE"}))</f>
        <v>0</v>
      </c>
      <c r="E4" s="2" cm="1">
        <f t="array" aca="1" ref="E4" ca="1">SUM(SUMIFS(Assumptions!AO$3:AO$102,Assumptions!$B$3:$B$102,'3-w'!$C4,Assumptions!$G$3:$G$102,{"TRE"}))</f>
        <v>0</v>
      </c>
      <c r="F4" s="2" cm="1">
        <f t="array" aca="1" ref="F4" ca="1">SUM(SUMIFS(Assumptions!AP$3:AP$102,Assumptions!$B$3:$B$102,'3-w'!$C4,Assumptions!$G$3:$G$102,{"TRE"}))</f>
        <v>2.9650173605640005E-2</v>
      </c>
      <c r="G4" s="2" cm="1">
        <f t="array" aca="1" ref="G4" ca="1">SUM(SUMIFS(Assumptions!AQ$3:AQ$102,Assumptions!$B$3:$B$102,'3-w'!$C4,Assumptions!$G$3:$G$102,{"TRE"}))</f>
        <v>0</v>
      </c>
      <c r="H4" s="2" cm="1">
        <f t="array" aca="1" ref="H4" ca="1">SUM(SUMIFS(Assumptions!AR$3:AR$102,Assumptions!$B$3:$B$102,'3-w'!$C4,Assumptions!$G$3:$G$102,{"TRE"}))</f>
        <v>1.36852277814E-2</v>
      </c>
      <c r="I4" s="2" cm="1">
        <f t="array" aca="1" ref="I4" ca="1">SUM(SUMIFS(Assumptions!AS$3:AS$102,Assumptions!$B$3:$B$102,'3-w'!$C4,Assumptions!$G$3:$G$102,{"TRE"}))</f>
        <v>0</v>
      </c>
      <c r="J4" s="2" cm="1">
        <f t="array" aca="1" ref="J4" ca="1">SUM(SUMIFS(Assumptions!AT$3:AT$102,Assumptions!$B$3:$B$102,'3-w'!$C4,Assumptions!$G$3:$G$102,{"TRE"}))</f>
        <v>0</v>
      </c>
      <c r="K4" s="2" cm="1">
        <f t="array" aca="1" ref="K4" ca="1">SUM(SUMIFS(Assumptions!AU$3:AU$102,Assumptions!$B$3:$B$102,'3-w'!$C4,Assumptions!$G$3:$G$102,{"TRE"}))</f>
        <v>0.45572094700776006</v>
      </c>
      <c r="L4" s="2" cm="1">
        <f t="array" aca="1" ref="L4" ca="1">SUM(SUMIFS(Assumptions!AV$3:AV$102,Assumptions!$B$3:$B$102,'3-w'!$C4,Assumptions!$G$3:$G$102,{"TRE"}))</f>
        <v>0</v>
      </c>
      <c r="M4" s="2" cm="1">
        <f t="array" aca="1" ref="M4" ca="1">SUM(SUMIFS(Assumptions!AW$3:AW$102,Assumptions!$B$3:$B$102,'3-w'!$C4,Assumptions!$G$3:$G$102,{"TRE"}))</f>
        <v>2.290537403928</v>
      </c>
      <c r="N4" s="2" cm="1">
        <f t="array" aca="1" ref="N4" ca="1">SUM(SUMIFS(Assumptions!AX$3:AX$102,Assumptions!$B$3:$B$102,'3-w'!$C4,Assumptions!$G$3:$G$102,{"TRE"}))</f>
        <v>0</v>
      </c>
      <c r="O4" s="2" cm="1">
        <f t="array" aca="1" ref="O4" ca="1">SUM(SUMIFS(Assumptions!AY$3:AY$102,Assumptions!$B$3:$B$102,'3-w'!$C4,Assumptions!$G$3:$G$102,{"TRE"}))</f>
        <v>0</v>
      </c>
      <c r="P4" s="2" cm="1">
        <f t="array" aca="1" ref="P4" ca="1">SUM(SUMIFS(Assumptions!AZ$3:AZ$102,Assumptions!$B$3:$B$102,'3-w'!$C4,Assumptions!$G$3:$G$102,{"TRE"}))</f>
        <v>0</v>
      </c>
      <c r="Q4" s="2" cm="1">
        <f t="array" aca="1" ref="Q4" ca="1">SUM(SUMIFS(Assumptions!BA$3:BA$102,Assumptions!$B$3:$B$102,'3-w'!$C4,Assumptions!$G$3:$G$102,{"TRE"}))</f>
        <v>0</v>
      </c>
      <c r="R4" s="2" cm="1">
        <f t="array" aca="1" ref="R4" ca="1">SUM(SUMIFS(Assumptions!BB$3:BB$102,Assumptions!$B$3:$B$102,'3-w'!$C4,Assumptions!$G$3:$G$102,{"TRE"}))</f>
        <v>0</v>
      </c>
      <c r="S4" s="2" cm="1">
        <f t="array" aca="1" ref="S4" ca="1">SUM(SUMIFS(Assumptions!BC$3:BC$102,Assumptions!$B$3:$B$102,'3-w'!$C4,Assumptions!$G$3:$G$102,{"TRE"}))</f>
        <v>0</v>
      </c>
      <c r="T4" s="2" cm="1">
        <f t="array" aca="1" ref="T4" ca="1">SUM(SUMIFS(Assumptions!BD$3:BD$102,Assumptions!$B$3:$B$102,'3-w'!$C4,Assumptions!$G$3:$G$102,{"TRE"}))</f>
        <v>0</v>
      </c>
      <c r="U4" s="2" cm="1">
        <f t="array" aca="1" ref="U4" ca="1">SUM(SUMIFS(Assumptions!BE$3:BE$102,Assumptions!$B$3:$B$102,'3-w'!$C4,Assumptions!$G$3:$G$102,{"TRE"}))</f>
        <v>0</v>
      </c>
      <c r="V4" s="2" cm="1">
        <f t="array" aca="1" ref="V4" ca="1">SUM(SUMIFS(Assumptions!BF$3:BF$102,Assumptions!$B$3:$B$102,'3-w'!$C4,Assumptions!$G$3:$G$102,{"TRE"}))</f>
        <v>0</v>
      </c>
      <c r="W4" s="2" cm="1">
        <f t="array" aca="1" ref="W4" ca="1">SUM(SUMIFS(Assumptions!BG$3:BG$102,Assumptions!$B$3:$B$102,'3-w'!$C4,Assumptions!$G$3:$G$102,{"TRE"}))</f>
        <v>0.1023086448</v>
      </c>
      <c r="X4" s="2" cm="1">
        <f t="array" aca="1" ref="X4" ca="1">SUM(SUMIFS(Assumptions!BH$3:BH$102,Assumptions!$B$3:$B$102,'3-w'!$C4,Assumptions!$G$3:$G$102,{"TRE"}))</f>
        <v>2.2334296194000004E-2</v>
      </c>
      <c r="Y4" s="2" cm="1">
        <f t="array" aca="1" ref="Y4" ca="1">SUM(SUMIFS(Assumptions!BI$3:BI$102,Assumptions!$B$3:$B$102,'3-w'!$C4,Assumptions!$G$3:$G$102,{"TRE"}))</f>
        <v>0</v>
      </c>
      <c r="Z4" s="2" cm="1">
        <f t="array" aca="1" ref="Z4" ca="1">SUM(SUMIFS(Assumptions!BJ$3:BJ$102,Assumptions!$B$3:$B$102,'3-w'!$C4,Assumptions!$G$3:$G$102,{"TRE"}))</f>
        <v>0</v>
      </c>
      <c r="AA4" s="2" cm="1">
        <f t="array" aca="1" ref="AA4" ca="1">SUM(SUMIFS(Assumptions!BK$3:BK$102,Assumptions!$B$3:$B$102,'3-w'!$C4,Assumptions!$G$3:$G$102,{"TRE"}))</f>
        <v>0</v>
      </c>
      <c r="AB4" s="2" cm="1">
        <f t="array" aca="1" ref="AB4" ca="1">SUM(SUMIFS(Assumptions!BL$3:BL$102,Assumptions!$B$3:$B$102,'3-w'!$C4,Assumptions!$G$3:$G$102,{"TRE"}))</f>
        <v>0</v>
      </c>
      <c r="AC4" s="2" cm="1">
        <f t="array" aca="1" ref="AC4" ca="1">SUM(SUMIFS(Assumptions!BM$3:BM$102,Assumptions!$B$3:$B$102,'3-w'!$C4,Assumptions!$G$3:$G$102,{"TRE"}))</f>
        <v>0</v>
      </c>
      <c r="AD4" s="2" cm="1">
        <f t="array" aca="1" ref="AD4" ca="1">SUM(SUMIFS(Assumptions!BN$3:BN$102,Assumptions!$B$3:$B$102,'3-w'!$C4,Assumptions!$G$3:$G$102,{"TRE"}))</f>
        <v>0</v>
      </c>
      <c r="AE4" s="2" cm="1">
        <f t="array" aca="1" ref="AE4" ca="1">SUM(SUMIFS(Assumptions!BO$3:BO$102,Assumptions!$B$3:$B$102,'3-w'!$C4,Assumptions!$G$3:$G$102,{"TRE"}))</f>
        <v>0</v>
      </c>
      <c r="AF4" s="2" cm="1">
        <f t="array" aca="1" ref="AF4" ca="1">SUM(SUMIFS(Assumptions!BP$3:BP$102,Assumptions!$B$3:$B$102,'3-w'!$C4,Assumptions!$G$3:$G$102,{"TRE"}))</f>
        <v>0</v>
      </c>
      <c r="AG4" s="2" cm="1">
        <f t="array" aca="1" ref="AG4" ca="1">SUM(SUMIFS(Assumptions!BQ$3:BQ$102,Assumptions!$B$3:$B$102,'3-w'!$C4,Assumptions!$G$3:$G$102,{"TRE"}))</f>
        <v>0</v>
      </c>
      <c r="AH4" s="53" t="str">
        <f ca="1">IF(SUM(D4:AG4)=0,"zero","")</f>
        <v/>
      </c>
      <c r="AI4" s="2" t="s">
        <v>169</v>
      </c>
      <c r="AK4" t="str">
        <f t="shared" ref="AK4:AK42" si="0">IF($AJ4="","",$AK$45)</f>
        <v/>
      </c>
      <c r="AL4" t="str">
        <f t="shared" ref="AL4:AL45" si="1">IF($AJ4="","",25)</f>
        <v/>
      </c>
      <c r="AN4" t="str">
        <f>IF($AJ4="","*","DMD")</f>
        <v>*</v>
      </c>
      <c r="AO4">
        <f>AJ4</f>
        <v>0</v>
      </c>
      <c r="AQ4" t="s">
        <v>156</v>
      </c>
      <c r="AR4" t="s">
        <v>354</v>
      </c>
      <c r="AS4" t="s">
        <v>361</v>
      </c>
    </row>
    <row r="5" spans="1:45" x14ac:dyDescent="0.45">
      <c r="A5" t="s">
        <v>25</v>
      </c>
      <c r="C5" s="35" t="s">
        <v>33</v>
      </c>
      <c r="D5" s="2" cm="1">
        <f t="array" aca="1" ref="D5" ca="1">SUM(SUMIFS(Assumptions!AN$3:AN$102,Assumptions!$B$3:$B$102,'3-w'!$C5,Assumptions!$G$3:$G$102,{"TRE"}))</f>
        <v>0</v>
      </c>
      <c r="E5" s="2" cm="1">
        <f t="array" aca="1" ref="E5" ca="1">SUM(SUMIFS(Assumptions!AO$3:AO$102,Assumptions!$B$3:$B$102,'3-w'!$C5,Assumptions!$G$3:$G$102,{"TRE"}))</f>
        <v>0.19221473196000002</v>
      </c>
      <c r="F5" s="2" cm="1">
        <f t="array" aca="1" ref="F5" ca="1">SUM(SUMIFS(Assumptions!AP$3:AP$102,Assumptions!$B$3:$B$102,'3-w'!$C5,Assumptions!$G$3:$G$102,{"TRE"}))</f>
        <v>0.10149152379120001</v>
      </c>
      <c r="G5" s="2" cm="1">
        <f t="array" aca="1" ref="G5" ca="1">SUM(SUMIFS(Assumptions!AQ$3:AQ$102,Assumptions!$B$3:$B$102,'3-w'!$C5,Assumptions!$G$3:$G$102,{"TRE"}))</f>
        <v>0</v>
      </c>
      <c r="H5" s="2" cm="1">
        <f t="array" aca="1" ref="H5" ca="1">SUM(SUMIFS(Assumptions!AR$3:AR$102,Assumptions!$B$3:$B$102,'3-w'!$C5,Assumptions!$G$3:$G$102,{"TRE"}))</f>
        <v>7.4865818305800011E-2</v>
      </c>
      <c r="I5" s="2" cm="1">
        <f t="array" aca="1" ref="I5" ca="1">SUM(SUMIFS(Assumptions!AS$3:AS$102,Assumptions!$B$3:$B$102,'3-w'!$C5,Assumptions!$G$3:$G$102,{"TRE"}))</f>
        <v>5.33124252072</v>
      </c>
      <c r="J5" s="2" cm="1">
        <f t="array" aca="1" ref="J5" ca="1">SUM(SUMIFS(Assumptions!AT$3:AT$102,Assumptions!$B$3:$B$102,'3-w'!$C5,Assumptions!$G$3:$G$102,{"TRE"}))</f>
        <v>0</v>
      </c>
      <c r="K5" s="2" cm="1">
        <f t="array" aca="1" ref="K5" ca="1">SUM(SUMIFS(Assumptions!AU$3:AU$102,Assumptions!$B$3:$B$102,'3-w'!$C5,Assumptions!$G$3:$G$102,{"TRE"}))</f>
        <v>1.0617909710022</v>
      </c>
      <c r="L5" s="2" cm="1">
        <f t="array" aca="1" ref="L5" ca="1">SUM(SUMIFS(Assumptions!AV$3:AV$102,Assumptions!$B$3:$B$102,'3-w'!$C5,Assumptions!$G$3:$G$102,{"TRE"}))</f>
        <v>0</v>
      </c>
      <c r="M5" s="2" cm="1">
        <f t="array" aca="1" ref="M5" ca="1">SUM(SUMIFS(Assumptions!AW$3:AW$102,Assumptions!$B$3:$B$102,'3-w'!$C5,Assumptions!$G$3:$G$102,{"TRE"}))</f>
        <v>0</v>
      </c>
      <c r="N5" s="2" cm="1">
        <f t="array" aca="1" ref="N5" ca="1">SUM(SUMIFS(Assumptions!AX$3:AX$102,Assumptions!$B$3:$B$102,'3-w'!$C5,Assumptions!$G$3:$G$102,{"TRE"}))</f>
        <v>4.5492157091340038E-2</v>
      </c>
      <c r="O5" s="2" cm="1">
        <f t="array" aca="1" ref="O5" ca="1">SUM(SUMIFS(Assumptions!AY$3:AY$102,Assumptions!$B$3:$B$102,'3-w'!$C5,Assumptions!$G$3:$G$102,{"TRE"}))</f>
        <v>3.6713181381030031E-2</v>
      </c>
      <c r="P5" s="2" cm="1">
        <f t="array" aca="1" ref="P5" ca="1">SUM(SUMIFS(Assumptions!AZ$3:AZ$102,Assumptions!$B$3:$B$102,'3-w'!$C5,Assumptions!$G$3:$G$102,{"TRE"}))</f>
        <v>7.5929846424300076E-2</v>
      </c>
      <c r="Q5" s="2" cm="1">
        <f t="array" aca="1" ref="Q5" ca="1">SUM(SUMIFS(Assumptions!BA$3:BA$102,Assumptions!$B$3:$B$102,'3-w'!$C5,Assumptions!$G$3:$G$102,{"TRE"}))</f>
        <v>1.128815519994001E-2</v>
      </c>
      <c r="R5" s="2" cm="1">
        <f t="array" aca="1" ref="R5" ca="1">SUM(SUMIFS(Assumptions!BB$3:BB$102,Assumptions!$B$3:$B$102,'3-w'!$C5,Assumptions!$G$3:$G$102,{"TRE"}))</f>
        <v>1.8333274348980015E-2</v>
      </c>
      <c r="S5" s="2" cm="1">
        <f t="array" aca="1" ref="S5" ca="1">SUM(SUMIFS(Assumptions!BC$3:BC$102,Assumptions!$B$3:$B$102,'3-w'!$C5,Assumptions!$G$3:$G$102,{"TRE"}))</f>
        <v>2.8118644887060024E-2</v>
      </c>
      <c r="T5" s="2" cm="1">
        <f t="array" aca="1" ref="T5" ca="1">SUM(SUMIFS(Assumptions!BD$3:BD$102,Assumptions!$B$3:$B$102,'3-w'!$C5,Assumptions!$G$3:$G$102,{"TRE"}))</f>
        <v>5.0783505897599994E-2</v>
      </c>
      <c r="U5" s="2" cm="1">
        <f t="array" aca="1" ref="U5" ca="1">SUM(SUMIFS(Assumptions!BE$3:BE$102,Assumptions!$B$3:$B$102,'3-w'!$C5,Assumptions!$G$3:$G$102,{"TRE"}))</f>
        <v>0.13265687582406013</v>
      </c>
      <c r="V5" s="2" cm="1">
        <f t="array" aca="1" ref="V5" ca="1">SUM(SUMIFS(Assumptions!BF$3:BF$102,Assumptions!$B$3:$B$102,'3-w'!$C5,Assumptions!$G$3:$G$102,{"TRE"}))</f>
        <v>0.14597284710474012</v>
      </c>
      <c r="W5" s="2" cm="1">
        <f t="array" aca="1" ref="W5" ca="1">SUM(SUMIFS(Assumptions!BG$3:BG$102,Assumptions!$B$3:$B$102,'3-w'!$C5,Assumptions!$G$3:$G$102,{"TRE"}))</f>
        <v>3.6820816786800004</v>
      </c>
      <c r="X5" s="2" cm="1">
        <f t="array" aca="1" ref="X5" ca="1">SUM(SUMIFS(Assumptions!BH$3:BH$102,Assumptions!$B$3:$B$102,'3-w'!$C5,Assumptions!$G$3:$G$102,{"TRE"}))</f>
        <v>0.13741137261900002</v>
      </c>
      <c r="Y5" s="2" cm="1">
        <f t="array" aca="1" ref="Y5" ca="1">SUM(SUMIFS(Assumptions!BI$3:BI$102,Assumptions!$B$3:$B$102,'3-w'!$C5,Assumptions!$G$3:$G$102,{"TRE"}))</f>
        <v>0</v>
      </c>
      <c r="Z5" s="2" cm="1">
        <f t="array" aca="1" ref="Z5" ca="1">SUM(SUMIFS(Assumptions!BJ$3:BJ$102,Assumptions!$B$3:$B$102,'3-w'!$C5,Assumptions!$G$3:$G$102,{"TRE"}))</f>
        <v>0</v>
      </c>
      <c r="AA5" s="2" cm="1">
        <f t="array" aca="1" ref="AA5" ca="1">SUM(SUMIFS(Assumptions!BK$3:BK$102,Assumptions!$B$3:$B$102,'3-w'!$C5,Assumptions!$G$3:$G$102,{"TRE"}))</f>
        <v>9.4691048995800085E-3</v>
      </c>
      <c r="AB5" s="2" cm="1">
        <f t="array" aca="1" ref="AB5" ca="1">SUM(SUMIFS(Assumptions!BL$3:BL$102,Assumptions!$B$3:$B$102,'3-w'!$C5,Assumptions!$G$3:$G$102,{"TRE"}))</f>
        <v>0</v>
      </c>
      <c r="AC5" s="2" cm="1">
        <f t="array" aca="1" ref="AC5" ca="1">SUM(SUMIFS(Assumptions!BM$3:BM$102,Assumptions!$B$3:$B$102,'3-w'!$C5,Assumptions!$G$3:$G$102,{"TRE"}))</f>
        <v>0</v>
      </c>
      <c r="AD5" s="2" cm="1">
        <f t="array" aca="1" ref="AD5" ca="1">SUM(SUMIFS(Assumptions!BN$3:BN$102,Assumptions!$B$3:$B$102,'3-w'!$C5,Assumptions!$G$3:$G$102,{"TRE"}))</f>
        <v>0</v>
      </c>
      <c r="AE5" s="2" cm="1">
        <f t="array" aca="1" ref="AE5" ca="1">SUM(SUMIFS(Assumptions!BO$3:BO$102,Assumptions!$B$3:$B$102,'3-w'!$C5,Assumptions!$G$3:$G$102,{"TRE"}))</f>
        <v>7.7673338173080059E-2</v>
      </c>
      <c r="AF5" s="2" cm="1">
        <f t="array" aca="1" ref="AF5" ca="1">SUM(SUMIFS(Assumptions!BP$3:BP$102,Assumptions!$B$3:$B$102,'3-w'!$C5,Assumptions!$G$3:$G$102,{"TRE"}))</f>
        <v>1.0947098681280001</v>
      </c>
      <c r="AG5" s="2" cm="1">
        <f t="array" aca="1" ref="AG5" ca="1">SUM(SUMIFS(Assumptions!BQ$3:BQ$102,Assumptions!$B$3:$B$102,'3-w'!$C5,Assumptions!$G$3:$G$102,{"TRE"}))</f>
        <v>0</v>
      </c>
      <c r="AH5" s="53" t="str">
        <f t="shared" ref="AH5:AH10" ca="1" si="2">IF(SUM(D5:AG5)=0,"zero","")</f>
        <v/>
      </c>
      <c r="AI5" t="s">
        <v>169</v>
      </c>
      <c r="AK5" t="str">
        <f t="shared" si="0"/>
        <v/>
      </c>
      <c r="AL5" t="str">
        <f t="shared" si="1"/>
        <v/>
      </c>
      <c r="AN5" t="str">
        <f t="shared" ref="AN5:AN42" si="3">IF(AJ5="","*","DMD")</f>
        <v>*</v>
      </c>
      <c r="AO5">
        <f t="shared" ref="AO5:AO42" si="4">AJ5</f>
        <v>0</v>
      </c>
      <c r="AQ5" t="s">
        <v>156</v>
      </c>
      <c r="AR5" t="s">
        <v>354</v>
      </c>
      <c r="AS5" t="s">
        <v>361</v>
      </c>
    </row>
    <row r="6" spans="1:45" x14ac:dyDescent="0.45">
      <c r="A6" t="s">
        <v>25</v>
      </c>
      <c r="C6" s="35" t="s">
        <v>41</v>
      </c>
      <c r="D6" s="2" cm="1">
        <f t="array" aca="1" ref="D6" ca="1">SUM(SUMIFS(Assumptions!AN$3:AN$102,Assumptions!$B$3:$B$102,'3-w'!$C6,Assumptions!$G$3:$G$102,{"TRE"}))</f>
        <v>0</v>
      </c>
      <c r="E6" s="2" cm="1">
        <f t="array" aca="1" ref="E6" ca="1">SUM(SUMIFS(Assumptions!AO$3:AO$102,Assumptions!$B$3:$B$102,'3-w'!$C6,Assumptions!$G$3:$G$102,{"TRE"}))</f>
        <v>0</v>
      </c>
      <c r="F6" s="2" cm="1">
        <f t="array" aca="1" ref="F6" ca="1">SUM(SUMIFS(Assumptions!AP$3:AP$102,Assumptions!$B$3:$B$102,'3-w'!$C6,Assumptions!$G$3:$G$102,{"TRE"}))</f>
        <v>0.33181317962352003</v>
      </c>
      <c r="G6" s="2" cm="1">
        <f t="array" aca="1" ref="G6" ca="1">SUM(SUMIFS(Assumptions!AQ$3:AQ$102,Assumptions!$B$3:$B$102,'3-w'!$C6,Assumptions!$G$3:$G$102,{"TRE"}))</f>
        <v>0</v>
      </c>
      <c r="H6" s="2" cm="1">
        <f t="array" aca="1" ref="H6" ca="1">SUM(SUMIFS(Assumptions!AR$3:AR$102,Assumptions!$B$3:$B$102,'3-w'!$C6,Assumptions!$G$3:$G$102,{"TRE"}))</f>
        <v>0.85770435411540014</v>
      </c>
      <c r="I6" s="2" cm="1">
        <f t="array" aca="1" ref="I6" ca="1">SUM(SUMIFS(Assumptions!AS$3:AS$102,Assumptions!$B$3:$B$102,'3-w'!$C6,Assumptions!$G$3:$G$102,{"TRE"}))</f>
        <v>0</v>
      </c>
      <c r="J6" s="2" cm="1">
        <f t="array" aca="1" ref="J6" ca="1">SUM(SUMIFS(Assumptions!AT$3:AT$102,Assumptions!$B$3:$B$102,'3-w'!$C6,Assumptions!$G$3:$G$102,{"TRE"}))</f>
        <v>0</v>
      </c>
      <c r="K6" s="2" cm="1">
        <f t="array" aca="1" ref="K6" ca="1">SUM(SUMIFS(Assumptions!AU$3:AU$102,Assumptions!$B$3:$B$102,'3-w'!$C6,Assumptions!$G$3:$G$102,{"TRE"}))</f>
        <v>1.0051941397780801</v>
      </c>
      <c r="L6" s="2" cm="1">
        <f t="array" aca="1" ref="L6" ca="1">SUM(SUMIFS(Assumptions!AV$3:AV$102,Assumptions!$B$3:$B$102,'3-w'!$C6,Assumptions!$G$3:$G$102,{"TRE"}))</f>
        <v>0</v>
      </c>
      <c r="M6" s="2" cm="1">
        <f t="array" aca="1" ref="M6" ca="1">SUM(SUMIFS(Assumptions!AW$3:AW$102,Assumptions!$B$3:$B$102,'3-w'!$C6,Assumptions!$G$3:$G$102,{"TRE"}))</f>
        <v>237.72376323698398</v>
      </c>
      <c r="N6" s="2" cm="1">
        <f t="array" aca="1" ref="N6" ca="1">SUM(SUMIFS(Assumptions!AX$3:AX$102,Assumptions!$B$3:$B$102,'3-w'!$C6,Assumptions!$G$3:$G$102,{"TRE"}))</f>
        <v>0</v>
      </c>
      <c r="O6" s="2" cm="1">
        <f t="array" aca="1" ref="O6" ca="1">SUM(SUMIFS(Assumptions!AY$3:AY$102,Assumptions!$B$3:$B$102,'3-w'!$C6,Assumptions!$G$3:$G$102,{"TRE"}))</f>
        <v>0</v>
      </c>
      <c r="P6" s="2" cm="1">
        <f t="array" aca="1" ref="P6" ca="1">SUM(SUMIFS(Assumptions!AZ$3:AZ$102,Assumptions!$B$3:$B$102,'3-w'!$C6,Assumptions!$G$3:$G$102,{"TRE"}))</f>
        <v>0</v>
      </c>
      <c r="Q6" s="2" cm="1">
        <f t="array" aca="1" ref="Q6" ca="1">SUM(SUMIFS(Assumptions!BA$3:BA$102,Assumptions!$B$3:$B$102,'3-w'!$C6,Assumptions!$G$3:$G$102,{"TRE"}))</f>
        <v>0</v>
      </c>
      <c r="R6" s="2" cm="1">
        <f t="array" aca="1" ref="R6" ca="1">SUM(SUMIFS(Assumptions!BB$3:BB$102,Assumptions!$B$3:$B$102,'3-w'!$C6,Assumptions!$G$3:$G$102,{"TRE"}))</f>
        <v>0</v>
      </c>
      <c r="S6" s="2" cm="1">
        <f t="array" aca="1" ref="S6" ca="1">SUM(SUMIFS(Assumptions!BC$3:BC$102,Assumptions!$B$3:$B$102,'3-w'!$C6,Assumptions!$G$3:$G$102,{"TRE"}))</f>
        <v>0</v>
      </c>
      <c r="T6" s="2" cm="1">
        <f t="array" aca="1" ref="T6" ca="1">SUM(SUMIFS(Assumptions!BD$3:BD$102,Assumptions!$B$3:$B$102,'3-w'!$C6,Assumptions!$G$3:$G$102,{"TRE"}))</f>
        <v>0</v>
      </c>
      <c r="U6" s="2" cm="1">
        <f t="array" aca="1" ref="U6" ca="1">SUM(SUMIFS(Assumptions!BE$3:BE$102,Assumptions!$B$3:$B$102,'3-w'!$C6,Assumptions!$G$3:$G$102,{"TRE"}))</f>
        <v>0</v>
      </c>
      <c r="V6" s="2" cm="1">
        <f t="array" aca="1" ref="V6" ca="1">SUM(SUMIFS(Assumptions!BF$3:BF$102,Assumptions!$B$3:$B$102,'3-w'!$C6,Assumptions!$G$3:$G$102,{"TRE"}))</f>
        <v>0</v>
      </c>
      <c r="W6" s="2" cm="1">
        <f t="array" aca="1" ref="W6" ca="1">SUM(SUMIFS(Assumptions!BG$3:BG$102,Assumptions!$B$3:$B$102,'3-w'!$C6,Assumptions!$G$3:$G$102,{"TRE"}))</f>
        <v>152.103682543725</v>
      </c>
      <c r="X6" s="2" cm="1">
        <f t="array" aca="1" ref="X6" ca="1">SUM(SUMIFS(Assumptions!BH$3:BH$102,Assumptions!$B$3:$B$102,'3-w'!$C6,Assumptions!$G$3:$G$102,{"TRE"}))</f>
        <v>0.70024437665280004</v>
      </c>
      <c r="Y6" s="2" cm="1">
        <f t="array" aca="1" ref="Y6" ca="1">SUM(SUMIFS(Assumptions!BI$3:BI$102,Assumptions!$B$3:$B$102,'3-w'!$C6,Assumptions!$G$3:$G$102,{"TRE"}))</f>
        <v>0</v>
      </c>
      <c r="Z6" s="2" cm="1">
        <f t="array" aca="1" ref="Z6" ca="1">SUM(SUMIFS(Assumptions!BJ$3:BJ$102,Assumptions!$B$3:$B$102,'3-w'!$C6,Assumptions!$G$3:$G$102,{"TRE"}))</f>
        <v>0</v>
      </c>
      <c r="AA6" s="2" cm="1">
        <f t="array" aca="1" ref="AA6" ca="1">SUM(SUMIFS(Assumptions!BK$3:BK$102,Assumptions!$B$3:$B$102,'3-w'!$C6,Assumptions!$G$3:$G$102,{"TRE"}))</f>
        <v>0</v>
      </c>
      <c r="AB6" s="2" cm="1">
        <f t="array" aca="1" ref="AB6" ca="1">SUM(SUMIFS(Assumptions!BL$3:BL$102,Assumptions!$B$3:$B$102,'3-w'!$C6,Assumptions!$G$3:$G$102,{"TRE"}))</f>
        <v>0</v>
      </c>
      <c r="AC6" s="2" cm="1">
        <f t="array" aca="1" ref="AC6" ca="1">SUM(SUMIFS(Assumptions!BM$3:BM$102,Assumptions!$B$3:$B$102,'3-w'!$C6,Assumptions!$G$3:$G$102,{"TRE"}))</f>
        <v>0</v>
      </c>
      <c r="AD6" s="2" cm="1">
        <f t="array" aca="1" ref="AD6" ca="1">SUM(SUMIFS(Assumptions!BN$3:BN$102,Assumptions!$B$3:$B$102,'3-w'!$C6,Assumptions!$G$3:$G$102,{"TRE"}))</f>
        <v>0</v>
      </c>
      <c r="AE6" s="2" cm="1">
        <f t="array" aca="1" ref="AE6" ca="1">SUM(SUMIFS(Assumptions!BO$3:BO$102,Assumptions!$B$3:$B$102,'3-w'!$C6,Assumptions!$G$3:$G$102,{"TRE"}))</f>
        <v>0</v>
      </c>
      <c r="AF6" s="2" cm="1">
        <f t="array" aca="1" ref="AF6" ca="1">SUM(SUMIFS(Assumptions!BP$3:BP$102,Assumptions!$B$3:$B$102,'3-w'!$C6,Assumptions!$G$3:$G$102,{"TRE"}))</f>
        <v>0</v>
      </c>
      <c r="AG6" s="2" cm="1">
        <f t="array" aca="1" ref="AG6" ca="1">SUM(SUMIFS(Assumptions!BQ$3:BQ$102,Assumptions!$B$3:$B$102,'3-w'!$C6,Assumptions!$G$3:$G$102,{"TRE"}))</f>
        <v>0</v>
      </c>
      <c r="AH6" s="53" t="str">
        <f t="shared" ca="1" si="2"/>
        <v/>
      </c>
      <c r="AI6" t="s">
        <v>169</v>
      </c>
      <c r="AK6" t="str">
        <f t="shared" si="0"/>
        <v/>
      </c>
      <c r="AL6" t="str">
        <f t="shared" si="1"/>
        <v/>
      </c>
      <c r="AN6" t="str">
        <f t="shared" si="3"/>
        <v>*</v>
      </c>
      <c r="AO6">
        <f t="shared" si="4"/>
        <v>0</v>
      </c>
      <c r="AQ6" t="s">
        <v>156</v>
      </c>
      <c r="AR6" t="s">
        <v>354</v>
      </c>
      <c r="AS6" t="s">
        <v>361</v>
      </c>
    </row>
    <row r="7" spans="1:45" x14ac:dyDescent="0.45">
      <c r="A7" t="s">
        <v>25</v>
      </c>
      <c r="C7" s="35" t="s">
        <v>37</v>
      </c>
      <c r="D7" s="2" cm="1">
        <f t="array" aca="1" ref="D7" ca="1">SUM(SUMIFS(Assumptions!AN$3:AN$102,Assumptions!$B$3:$B$102,'3-w'!$C7,Assumptions!$G$3:$G$102,{"TRE"}))</f>
        <v>0</v>
      </c>
      <c r="E7" s="2" cm="1">
        <f t="array" aca="1" ref="E7" ca="1">SUM(SUMIFS(Assumptions!AO$3:AO$102,Assumptions!$B$3:$B$102,'3-w'!$C7,Assumptions!$G$3:$G$102,{"TRE"}))</f>
        <v>0</v>
      </c>
      <c r="F7" s="2" cm="1">
        <f t="array" aca="1" ref="F7" ca="1">SUM(SUMIFS(Assumptions!AP$3:AP$102,Assumptions!$B$3:$B$102,'3-w'!$C7,Assumptions!$G$3:$G$102,{"TRE"}))</f>
        <v>0</v>
      </c>
      <c r="G7" s="2" cm="1">
        <f t="array" aca="1" ref="G7" ca="1">SUM(SUMIFS(Assumptions!AQ$3:AQ$102,Assumptions!$B$3:$B$102,'3-w'!$C7,Assumptions!$G$3:$G$102,{"TRE"}))</f>
        <v>0</v>
      </c>
      <c r="H7" s="2" cm="1">
        <f t="array" aca="1" ref="H7" ca="1">SUM(SUMIFS(Assumptions!AR$3:AR$102,Assumptions!$B$3:$B$102,'3-w'!$C7,Assumptions!$G$3:$G$102,{"TRE"}))</f>
        <v>0</v>
      </c>
      <c r="I7" s="2" cm="1">
        <f t="array" aca="1" ref="I7" ca="1">SUM(SUMIFS(Assumptions!AS$3:AS$102,Assumptions!$B$3:$B$102,'3-w'!$C7,Assumptions!$G$3:$G$102,{"TRE"}))</f>
        <v>0</v>
      </c>
      <c r="J7" s="2" cm="1">
        <f t="array" aca="1" ref="J7" ca="1">SUM(SUMIFS(Assumptions!AT$3:AT$102,Assumptions!$B$3:$B$102,'3-w'!$C7,Assumptions!$G$3:$G$102,{"TRE"}))</f>
        <v>0</v>
      </c>
      <c r="K7" s="2" cm="1">
        <f t="array" aca="1" ref="K7" ca="1">SUM(SUMIFS(Assumptions!AU$3:AU$102,Assumptions!$B$3:$B$102,'3-w'!$C7,Assumptions!$G$3:$G$102,{"TRE"}))</f>
        <v>0</v>
      </c>
      <c r="L7" s="2" cm="1">
        <f t="array" aca="1" ref="L7" ca="1">SUM(SUMIFS(Assumptions!AV$3:AV$102,Assumptions!$B$3:$B$102,'3-w'!$C7,Assumptions!$G$3:$G$102,{"TRE"}))</f>
        <v>0</v>
      </c>
      <c r="M7" s="2" cm="1">
        <f t="array" aca="1" ref="M7" ca="1">SUM(SUMIFS(Assumptions!AW$3:AW$102,Assumptions!$B$3:$B$102,'3-w'!$C7,Assumptions!$G$3:$G$102,{"TRE"}))</f>
        <v>0</v>
      </c>
      <c r="N7" s="2" cm="1">
        <f t="array" aca="1" ref="N7" ca="1">SUM(SUMIFS(Assumptions!AX$3:AX$102,Assumptions!$B$3:$B$102,'3-w'!$C7,Assumptions!$G$3:$G$102,{"TRE"}))</f>
        <v>0</v>
      </c>
      <c r="O7" s="2" cm="1">
        <f t="array" aca="1" ref="O7" ca="1">SUM(SUMIFS(Assumptions!AY$3:AY$102,Assumptions!$B$3:$B$102,'3-w'!$C7,Assumptions!$G$3:$G$102,{"TRE"}))</f>
        <v>0</v>
      </c>
      <c r="P7" s="2" cm="1">
        <f t="array" aca="1" ref="P7" ca="1">SUM(SUMIFS(Assumptions!AZ$3:AZ$102,Assumptions!$B$3:$B$102,'3-w'!$C7,Assumptions!$G$3:$G$102,{"TRE"}))</f>
        <v>0</v>
      </c>
      <c r="Q7" s="2" cm="1">
        <f t="array" aca="1" ref="Q7" ca="1">SUM(SUMIFS(Assumptions!BA$3:BA$102,Assumptions!$B$3:$B$102,'3-w'!$C7,Assumptions!$G$3:$G$102,{"TRE"}))</f>
        <v>0</v>
      </c>
      <c r="R7" s="2" cm="1">
        <f t="array" aca="1" ref="R7" ca="1">SUM(SUMIFS(Assumptions!BB$3:BB$102,Assumptions!$B$3:$B$102,'3-w'!$C7,Assumptions!$G$3:$G$102,{"TRE"}))</f>
        <v>0</v>
      </c>
      <c r="S7" s="2" cm="1">
        <f t="array" aca="1" ref="S7" ca="1">SUM(SUMIFS(Assumptions!BC$3:BC$102,Assumptions!$B$3:$B$102,'3-w'!$C7,Assumptions!$G$3:$G$102,{"TRE"}))</f>
        <v>0</v>
      </c>
      <c r="T7" s="2" cm="1">
        <f t="array" aca="1" ref="T7" ca="1">SUM(SUMIFS(Assumptions!BD$3:BD$102,Assumptions!$B$3:$B$102,'3-w'!$C7,Assumptions!$G$3:$G$102,{"TRE"}))</f>
        <v>0</v>
      </c>
      <c r="U7" s="2" cm="1">
        <f t="array" aca="1" ref="U7" ca="1">SUM(SUMIFS(Assumptions!BE$3:BE$102,Assumptions!$B$3:$B$102,'3-w'!$C7,Assumptions!$G$3:$G$102,{"TRE"}))</f>
        <v>0</v>
      </c>
      <c r="V7" s="2" cm="1">
        <f t="array" aca="1" ref="V7" ca="1">SUM(SUMIFS(Assumptions!BF$3:BF$102,Assumptions!$B$3:$B$102,'3-w'!$C7,Assumptions!$G$3:$G$102,{"TRE"}))</f>
        <v>0</v>
      </c>
      <c r="W7" s="2" cm="1">
        <f t="array" aca="1" ref="W7" ca="1">SUM(SUMIFS(Assumptions!BG$3:BG$102,Assumptions!$B$3:$B$102,'3-w'!$C7,Assumptions!$G$3:$G$102,{"TRE"}))</f>
        <v>0</v>
      </c>
      <c r="X7" s="2" cm="1">
        <f t="array" aca="1" ref="X7" ca="1">SUM(SUMIFS(Assumptions!BH$3:BH$102,Assumptions!$B$3:$B$102,'3-w'!$C7,Assumptions!$G$3:$G$102,{"TRE"}))</f>
        <v>0</v>
      </c>
      <c r="Y7" s="2" cm="1">
        <f t="array" aca="1" ref="Y7" ca="1">SUM(SUMIFS(Assumptions!BI$3:BI$102,Assumptions!$B$3:$B$102,'3-w'!$C7,Assumptions!$G$3:$G$102,{"TRE"}))</f>
        <v>0</v>
      </c>
      <c r="Z7" s="2" cm="1">
        <f t="array" aca="1" ref="Z7" ca="1">SUM(SUMIFS(Assumptions!BJ$3:BJ$102,Assumptions!$B$3:$B$102,'3-w'!$C7,Assumptions!$G$3:$G$102,{"TRE"}))</f>
        <v>0</v>
      </c>
      <c r="AA7" s="2" cm="1">
        <f t="array" aca="1" ref="AA7" ca="1">SUM(SUMIFS(Assumptions!BK$3:BK$102,Assumptions!$B$3:$B$102,'3-w'!$C7,Assumptions!$G$3:$G$102,{"TRE"}))</f>
        <v>0</v>
      </c>
      <c r="AB7" s="2" cm="1">
        <f t="array" aca="1" ref="AB7" ca="1">SUM(SUMIFS(Assumptions!BL$3:BL$102,Assumptions!$B$3:$B$102,'3-w'!$C7,Assumptions!$G$3:$G$102,{"TRE"}))</f>
        <v>0</v>
      </c>
      <c r="AC7" s="2" cm="1">
        <f t="array" aca="1" ref="AC7" ca="1">SUM(SUMIFS(Assumptions!BM$3:BM$102,Assumptions!$B$3:$B$102,'3-w'!$C7,Assumptions!$G$3:$G$102,{"TRE"}))</f>
        <v>0</v>
      </c>
      <c r="AD7" s="2" cm="1">
        <f t="array" aca="1" ref="AD7" ca="1">SUM(SUMIFS(Assumptions!BN$3:BN$102,Assumptions!$B$3:$B$102,'3-w'!$C7,Assumptions!$G$3:$G$102,{"TRE"}))</f>
        <v>0</v>
      </c>
      <c r="AE7" s="2" cm="1">
        <f t="array" aca="1" ref="AE7" ca="1">SUM(SUMIFS(Assumptions!BO$3:BO$102,Assumptions!$B$3:$B$102,'3-w'!$C7,Assumptions!$G$3:$G$102,{"TRE"}))</f>
        <v>0</v>
      </c>
      <c r="AF7" s="2" cm="1">
        <f t="array" aca="1" ref="AF7" ca="1">SUM(SUMIFS(Assumptions!BP$3:BP$102,Assumptions!$B$3:$B$102,'3-w'!$C7,Assumptions!$G$3:$G$102,{"TRE"}))</f>
        <v>0</v>
      </c>
      <c r="AG7" s="2" cm="1">
        <f t="array" aca="1" ref="AG7" ca="1">SUM(SUMIFS(Assumptions!BQ$3:BQ$102,Assumptions!$B$3:$B$102,'3-w'!$C7,Assumptions!$G$3:$G$102,{"TRE"}))</f>
        <v>0</v>
      </c>
      <c r="AH7" s="53" t="str">
        <f t="shared" ca="1" si="2"/>
        <v>zero</v>
      </c>
      <c r="AI7" t="s">
        <v>169</v>
      </c>
      <c r="AK7" t="str">
        <f t="shared" si="0"/>
        <v/>
      </c>
      <c r="AL7" t="str">
        <f t="shared" si="1"/>
        <v/>
      </c>
      <c r="AN7" t="str">
        <f t="shared" si="3"/>
        <v>*</v>
      </c>
      <c r="AO7">
        <f t="shared" si="4"/>
        <v>0</v>
      </c>
      <c r="AQ7" t="s">
        <v>156</v>
      </c>
      <c r="AR7" t="s">
        <v>354</v>
      </c>
      <c r="AS7" t="s">
        <v>361</v>
      </c>
    </row>
    <row r="8" spans="1:45" x14ac:dyDescent="0.45">
      <c r="A8" t="s">
        <v>25</v>
      </c>
      <c r="C8" s="35" t="s">
        <v>42</v>
      </c>
      <c r="D8" s="2" cm="1">
        <f t="array" aca="1" ref="D8" ca="1">SUM(SUMIFS(Assumptions!AN$3:AN$102,Assumptions!$B$3:$B$102,'3-w'!$C8,Assumptions!$G$3:$G$102,{"TRE"}))</f>
        <v>71.567029374840004</v>
      </c>
      <c r="E8" s="2" cm="1">
        <f t="array" aca="1" ref="E8" ca="1">SUM(SUMIFS(Assumptions!AO$3:AO$102,Assumptions!$B$3:$B$102,'3-w'!$C8,Assumptions!$G$3:$G$102,{"TRE"}))</f>
        <v>124.27521769944002</v>
      </c>
      <c r="F8" s="2" cm="1">
        <f t="array" aca="1" ref="F8" ca="1">SUM(SUMIFS(Assumptions!AP$3:AP$102,Assumptions!$B$3:$B$102,'3-w'!$C8,Assumptions!$G$3:$G$102,{"TRE"}))</f>
        <v>1.8459338038686</v>
      </c>
      <c r="G8" s="2" cm="1">
        <f t="array" aca="1" ref="G8" ca="1">SUM(SUMIFS(Assumptions!AQ$3:AQ$102,Assumptions!$B$3:$B$102,'3-w'!$C8,Assumptions!$G$3:$G$102,{"TRE"}))</f>
        <v>1.4358159291924</v>
      </c>
      <c r="H8" s="2" cm="1">
        <f t="array" aca="1" ref="H8" ca="1">SUM(SUMIFS(Assumptions!AR$3:AR$102,Assumptions!$B$3:$B$102,'3-w'!$C8,Assumptions!$G$3:$G$102,{"TRE"}))</f>
        <v>9.0774211640796008</v>
      </c>
      <c r="I8" s="2" cm="1">
        <f t="array" aca="1" ref="I8" ca="1">SUM(SUMIFS(Assumptions!AS$3:AS$102,Assumptions!$B$3:$B$102,'3-w'!$C8,Assumptions!$G$3:$G$102,{"TRE"}))</f>
        <v>355.37054769828001</v>
      </c>
      <c r="J8" s="2" cm="1">
        <f t="array" aca="1" ref="J8" ca="1">SUM(SUMIFS(Assumptions!AT$3:AT$102,Assumptions!$B$3:$B$102,'3-w'!$C8,Assumptions!$G$3:$G$102,{"TRE"}))</f>
        <v>0</v>
      </c>
      <c r="K8" s="2" cm="1">
        <f t="array" aca="1" ref="K8" ca="1">SUM(SUMIFS(Assumptions!AU$3:AU$102,Assumptions!$B$3:$B$102,'3-w'!$C8,Assumptions!$G$3:$G$102,{"TRE"}))</f>
        <v>4.0418182817082</v>
      </c>
      <c r="L8" s="2" cm="1">
        <f t="array" aca="1" ref="L8" ca="1">SUM(SUMIFS(Assumptions!AV$3:AV$102,Assumptions!$B$3:$B$102,'3-w'!$C8,Assumptions!$G$3:$G$102,{"TRE"}))</f>
        <v>0</v>
      </c>
      <c r="M8" s="2" cm="1">
        <f t="array" aca="1" ref="M8" ca="1">SUM(SUMIFS(Assumptions!AW$3:AW$102,Assumptions!$B$3:$B$102,'3-w'!$C8,Assumptions!$G$3:$G$102,{"TRE"}))</f>
        <v>0</v>
      </c>
      <c r="N8" s="2" cm="1">
        <f t="array" aca="1" ref="N8" ca="1">SUM(SUMIFS(Assumptions!AX$3:AX$102,Assumptions!$B$3:$B$102,'3-w'!$C8,Assumptions!$G$3:$G$102,{"TRE"}))</f>
        <v>0.92229091062660085</v>
      </c>
      <c r="O8" s="2" cm="1">
        <f t="array" aca="1" ref="O8" ca="1">SUM(SUMIFS(Assumptions!AY$3:AY$102,Assumptions!$B$3:$B$102,'3-w'!$C8,Assumptions!$G$3:$G$102,{"TRE"}))</f>
        <v>0.92532418746003076</v>
      </c>
      <c r="P8" s="2" cm="1">
        <f t="array" aca="1" ref="P8" ca="1">SUM(SUMIFS(Assumptions!AZ$3:AZ$102,Assumptions!$B$3:$B$102,'3-w'!$C8,Assumptions!$G$3:$G$102,{"TRE"}))</f>
        <v>1.4557018967433013</v>
      </c>
      <c r="Q8" s="2" cm="1">
        <f t="array" aca="1" ref="Q8" ca="1">SUM(SUMIFS(Assumptions!BA$3:BA$102,Assumptions!$B$3:$B$102,'3-w'!$C8,Assumptions!$G$3:$G$102,{"TRE"}))</f>
        <v>2.131551007108202</v>
      </c>
      <c r="R8" s="2" cm="1">
        <f t="array" aca="1" ref="R8" ca="1">SUM(SUMIFS(Assumptions!BB$3:BB$102,Assumptions!$B$3:$B$102,'3-w'!$C8,Assumptions!$G$3:$G$102,{"TRE"}))</f>
        <v>0.42789848441229034</v>
      </c>
      <c r="S8" s="2" cm="1">
        <f t="array" aca="1" ref="S8" ca="1">SUM(SUMIFS(Assumptions!BC$3:BC$102,Assumptions!$B$3:$B$102,'3-w'!$C8,Assumptions!$G$3:$G$102,{"TRE"}))</f>
        <v>1.3150226561767213</v>
      </c>
      <c r="T8" s="2" cm="1">
        <f t="array" aca="1" ref="T8" ca="1">SUM(SUMIFS(Assumptions!BD$3:BD$102,Assumptions!$B$3:$B$102,'3-w'!$C8,Assumptions!$G$3:$G$102,{"TRE"}))</f>
        <v>2.5854570361871998</v>
      </c>
      <c r="U8" s="2" cm="1">
        <f t="array" aca="1" ref="U8" ca="1">SUM(SUMIFS(Assumptions!BE$3:BE$102,Assumptions!$B$3:$B$102,'3-w'!$C8,Assumptions!$G$3:$G$102,{"TRE"}))</f>
        <v>1.5961506847428613</v>
      </c>
      <c r="V8" s="2" cm="1">
        <f t="array" aca="1" ref="V8" ca="1">SUM(SUMIFS(Assumptions!BF$3:BF$102,Assumptions!$B$3:$B$102,'3-w'!$C8,Assumptions!$G$3:$G$102,{"TRE"}))</f>
        <v>3.5046681989077828</v>
      </c>
      <c r="W8" s="2" cm="1">
        <f t="array" aca="1" ref="W8" ca="1">SUM(SUMIFS(Assumptions!BG$3:BG$102,Assumptions!$B$3:$B$102,'3-w'!$C8,Assumptions!$G$3:$G$102,{"TRE"}))</f>
        <v>134.28800014103999</v>
      </c>
      <c r="X8" s="2" cm="1">
        <f t="array" aca="1" ref="X8" ca="1">SUM(SUMIFS(Assumptions!BH$3:BH$102,Assumptions!$B$3:$B$102,'3-w'!$C8,Assumptions!$G$3:$G$102,{"TRE"}))</f>
        <v>5.839123969440001</v>
      </c>
      <c r="Y8" s="2" cm="1">
        <f t="array" aca="1" ref="Y8" ca="1">SUM(SUMIFS(Assumptions!BI$3:BI$102,Assumptions!$B$3:$B$102,'3-w'!$C8,Assumptions!$G$3:$G$102,{"TRE"}))</f>
        <v>7.1113529580497996</v>
      </c>
      <c r="Z8" s="2" cm="1">
        <f t="array" aca="1" ref="Z8" ca="1">SUM(SUMIFS(Assumptions!BJ$3:BJ$102,Assumptions!$B$3:$B$102,'3-w'!$C8,Assumptions!$G$3:$G$102,{"TRE"}))</f>
        <v>16.517367267786</v>
      </c>
      <c r="AA8" s="2" cm="1">
        <f t="array" aca="1" ref="AA8" ca="1">SUM(SUMIFS(Assumptions!BK$3:BK$102,Assumptions!$B$3:$B$102,'3-w'!$C8,Assumptions!$G$3:$G$102,{"TRE"}))</f>
        <v>0.16063494241158016</v>
      </c>
      <c r="AB8" s="2" cm="1">
        <f t="array" aca="1" ref="AB8" ca="1">SUM(SUMIFS(Assumptions!BL$3:BL$102,Assumptions!$B$3:$B$102,'3-w'!$C8,Assumptions!$G$3:$G$102,{"TRE"}))</f>
        <v>5.2257343631345998</v>
      </c>
      <c r="AC8" s="2" cm="1">
        <f t="array" aca="1" ref="AC8" ca="1">SUM(SUMIFS(Assumptions!BM$3:BM$102,Assumptions!$B$3:$B$102,'3-w'!$C8,Assumptions!$G$3:$G$102,{"TRE"}))</f>
        <v>7.1355948168455994</v>
      </c>
      <c r="AD8" s="2" cm="1">
        <f t="array" aca="1" ref="AD8" ca="1">SUM(SUMIFS(Assumptions!BN$3:BN$102,Assumptions!$B$3:$B$102,'3-w'!$C8,Assumptions!$G$3:$G$102,{"TRE"}))</f>
        <v>31.657444849439997</v>
      </c>
      <c r="AE8" s="2" cm="1">
        <f t="array" aca="1" ref="AE8" ca="1">SUM(SUMIFS(Assumptions!BO$3:BO$102,Assumptions!$B$3:$B$102,'3-w'!$C8,Assumptions!$G$3:$G$102,{"TRE"}))</f>
        <v>2.5096288000494624</v>
      </c>
      <c r="AF8" s="2" cm="1">
        <f t="array" aca="1" ref="AF8" ca="1">SUM(SUMIFS(Assumptions!BP$3:BP$102,Assumptions!$B$3:$B$102,'3-w'!$C8,Assumptions!$G$3:$G$102,{"TRE"}))</f>
        <v>12.392536574393279</v>
      </c>
      <c r="AG8" s="2" cm="1">
        <f t="array" aca="1" ref="AG8" ca="1">SUM(SUMIFS(Assumptions!BQ$3:BQ$102,Assumptions!$B$3:$B$102,'3-w'!$C8,Assumptions!$G$3:$G$102,{"TRE"}))</f>
        <v>0</v>
      </c>
      <c r="AH8" s="53" t="str">
        <f t="shared" ca="1" si="2"/>
        <v/>
      </c>
      <c r="AI8" t="s">
        <v>169</v>
      </c>
      <c r="AK8" t="str">
        <f t="shared" si="0"/>
        <v/>
      </c>
      <c r="AL8" t="str">
        <f t="shared" si="1"/>
        <v/>
      </c>
      <c r="AN8" t="str">
        <f t="shared" si="3"/>
        <v>*</v>
      </c>
      <c r="AO8">
        <f t="shared" si="4"/>
        <v>0</v>
      </c>
      <c r="AQ8" t="s">
        <v>156</v>
      </c>
      <c r="AR8" t="s">
        <v>354</v>
      </c>
      <c r="AS8" t="s">
        <v>361</v>
      </c>
    </row>
    <row r="9" spans="1:45" x14ac:dyDescent="0.45">
      <c r="A9" t="s">
        <v>25</v>
      </c>
      <c r="C9" s="35" t="s">
        <v>39</v>
      </c>
      <c r="D9" s="2" cm="1">
        <f t="array" ref="D9">SUM(SUMIFS(Assumptions!AN$3:AN$102,Assumptions!$B$3:$B$102,'3-w'!$C9,Assumptions!$G$3:$G$102,{"TRE"}))</f>
        <v>0</v>
      </c>
      <c r="E9" s="2" cm="1">
        <f t="array" ref="E9">SUM(SUMIFS(Assumptions!AO$3:AO$102,Assumptions!$B$3:$B$102,'3-w'!$C9,Assumptions!$G$3:$G$102,{"TRE"}))</f>
        <v>0</v>
      </c>
      <c r="F9" s="2" cm="1">
        <f t="array" ref="F9">SUM(SUMIFS(Assumptions!AP$3:AP$102,Assumptions!$B$3:$B$102,'3-w'!$C9,Assumptions!$G$3:$G$102,{"TRE"}))</f>
        <v>0</v>
      </c>
      <c r="G9" s="2" cm="1">
        <f t="array" ref="G9">SUM(SUMIFS(Assumptions!AQ$3:AQ$102,Assumptions!$B$3:$B$102,'3-w'!$C9,Assumptions!$G$3:$G$102,{"TRE"}))</f>
        <v>0</v>
      </c>
      <c r="H9" s="2" cm="1">
        <f t="array" ref="H9">SUM(SUMIFS(Assumptions!AR$3:AR$102,Assumptions!$B$3:$B$102,'3-w'!$C9,Assumptions!$G$3:$G$102,{"TRE"}))</f>
        <v>0</v>
      </c>
      <c r="I9" s="2" cm="1">
        <f t="array" ref="I9">SUM(SUMIFS(Assumptions!AS$3:AS$102,Assumptions!$B$3:$B$102,'3-w'!$C9,Assumptions!$G$3:$G$102,{"TRE"}))</f>
        <v>0</v>
      </c>
      <c r="J9" s="2" cm="1">
        <f t="array" ref="J9">SUM(SUMIFS(Assumptions!AT$3:AT$102,Assumptions!$B$3:$B$102,'3-w'!$C9,Assumptions!$G$3:$G$102,{"TRE"}))</f>
        <v>0</v>
      </c>
      <c r="K9" s="2" cm="1">
        <f t="array" ref="K9">SUM(SUMIFS(Assumptions!AU$3:AU$102,Assumptions!$B$3:$B$102,'3-w'!$C9,Assumptions!$G$3:$G$102,{"TRE"}))</f>
        <v>0</v>
      </c>
      <c r="L9" s="2" cm="1">
        <f t="array" ref="L9">SUM(SUMIFS(Assumptions!AV$3:AV$102,Assumptions!$B$3:$B$102,'3-w'!$C9,Assumptions!$G$3:$G$102,{"TRE"}))</f>
        <v>0</v>
      </c>
      <c r="M9" s="2" cm="1">
        <f t="array" ref="M9">SUM(SUMIFS(Assumptions!AW$3:AW$102,Assumptions!$B$3:$B$102,'3-w'!$C9,Assumptions!$G$3:$G$102,{"TRE"}))</f>
        <v>0</v>
      </c>
      <c r="N9" s="2" cm="1">
        <f t="array" ref="N9">SUM(SUMIFS(Assumptions!AX$3:AX$102,Assumptions!$B$3:$B$102,'3-w'!$C9,Assumptions!$G$3:$G$102,{"TRE"}))</f>
        <v>0</v>
      </c>
      <c r="O9" s="2" cm="1">
        <f t="array" ref="O9">SUM(SUMIFS(Assumptions!AY$3:AY$102,Assumptions!$B$3:$B$102,'3-w'!$C9,Assumptions!$G$3:$G$102,{"TRE"}))</f>
        <v>0</v>
      </c>
      <c r="P9" s="2" cm="1">
        <f t="array" ref="P9">SUM(SUMIFS(Assumptions!AZ$3:AZ$102,Assumptions!$B$3:$B$102,'3-w'!$C9,Assumptions!$G$3:$G$102,{"TRE"}))</f>
        <v>0</v>
      </c>
      <c r="Q9" s="2" cm="1">
        <f t="array" ref="Q9">SUM(SUMIFS(Assumptions!BA$3:BA$102,Assumptions!$B$3:$B$102,'3-w'!$C9,Assumptions!$G$3:$G$102,{"TRE"}))</f>
        <v>0</v>
      </c>
      <c r="R9" s="2" cm="1">
        <f t="array" ref="R9">SUM(SUMIFS(Assumptions!BB$3:BB$102,Assumptions!$B$3:$B$102,'3-w'!$C9,Assumptions!$G$3:$G$102,{"TRE"}))</f>
        <v>0</v>
      </c>
      <c r="S9" s="2" cm="1">
        <f t="array" ref="S9">SUM(SUMIFS(Assumptions!BC$3:BC$102,Assumptions!$B$3:$B$102,'3-w'!$C9,Assumptions!$G$3:$G$102,{"TRE"}))</f>
        <v>0</v>
      </c>
      <c r="T9" s="2" cm="1">
        <f t="array" ref="T9">SUM(SUMIFS(Assumptions!BD$3:BD$102,Assumptions!$B$3:$B$102,'3-w'!$C9,Assumptions!$G$3:$G$102,{"TRE"}))</f>
        <v>0</v>
      </c>
      <c r="U9" s="2" cm="1">
        <f t="array" ref="U9">SUM(SUMIFS(Assumptions!BE$3:BE$102,Assumptions!$B$3:$B$102,'3-w'!$C9,Assumptions!$G$3:$G$102,{"TRE"}))</f>
        <v>0</v>
      </c>
      <c r="V9" s="2" cm="1">
        <f t="array" ref="V9">SUM(SUMIFS(Assumptions!BF$3:BF$102,Assumptions!$B$3:$B$102,'3-w'!$C9,Assumptions!$G$3:$G$102,{"TRE"}))</f>
        <v>0</v>
      </c>
      <c r="W9" s="2" cm="1">
        <f t="array" ref="W9">SUM(SUMIFS(Assumptions!BG$3:BG$102,Assumptions!$B$3:$B$102,'3-w'!$C9,Assumptions!$G$3:$G$102,{"TRE"}))</f>
        <v>0</v>
      </c>
      <c r="X9" s="2" cm="1">
        <f t="array" ref="X9">SUM(SUMIFS(Assumptions!BH$3:BH$102,Assumptions!$B$3:$B$102,'3-w'!$C9,Assumptions!$G$3:$G$102,{"TRE"}))</f>
        <v>0</v>
      </c>
      <c r="Y9" s="2" cm="1">
        <f t="array" ref="Y9">SUM(SUMIFS(Assumptions!BI$3:BI$102,Assumptions!$B$3:$B$102,'3-w'!$C9,Assumptions!$G$3:$G$102,{"TRE"}))</f>
        <v>0</v>
      </c>
      <c r="Z9" s="2" cm="1">
        <f t="array" ref="Z9">SUM(SUMIFS(Assumptions!BJ$3:BJ$102,Assumptions!$B$3:$B$102,'3-w'!$C9,Assumptions!$G$3:$G$102,{"TRE"}))</f>
        <v>0</v>
      </c>
      <c r="AA9" s="2" cm="1">
        <f t="array" ref="AA9">SUM(SUMIFS(Assumptions!BK$3:BK$102,Assumptions!$B$3:$B$102,'3-w'!$C9,Assumptions!$G$3:$G$102,{"TRE"}))</f>
        <v>0</v>
      </c>
      <c r="AB9" s="2" cm="1">
        <f t="array" ref="AB9">SUM(SUMIFS(Assumptions!BL$3:BL$102,Assumptions!$B$3:$B$102,'3-w'!$C9,Assumptions!$G$3:$G$102,{"TRE"}))</f>
        <v>0</v>
      </c>
      <c r="AC9" s="2" cm="1">
        <f t="array" ref="AC9">SUM(SUMIFS(Assumptions!BM$3:BM$102,Assumptions!$B$3:$B$102,'3-w'!$C9,Assumptions!$G$3:$G$102,{"TRE"}))</f>
        <v>0</v>
      </c>
      <c r="AD9" s="2" cm="1">
        <f t="array" ref="AD9">SUM(SUMIFS(Assumptions!BN$3:BN$102,Assumptions!$B$3:$B$102,'3-w'!$C9,Assumptions!$G$3:$G$102,{"TRE"}))</f>
        <v>0</v>
      </c>
      <c r="AE9" s="2" cm="1">
        <f t="array" ref="AE9">SUM(SUMIFS(Assumptions!BO$3:BO$102,Assumptions!$B$3:$B$102,'3-w'!$C9,Assumptions!$G$3:$G$102,{"TRE"}))</f>
        <v>0</v>
      </c>
      <c r="AF9" s="2" cm="1">
        <f t="array" ref="AF9">SUM(SUMIFS(Assumptions!BP$3:BP$102,Assumptions!$B$3:$B$102,'3-w'!$C9,Assumptions!$G$3:$G$102,{"TRE"}))</f>
        <v>0</v>
      </c>
      <c r="AG9" s="2" cm="1">
        <f t="array" ref="AG9">SUM(SUMIFS(Assumptions!BQ$3:BQ$102,Assumptions!$B$3:$B$102,'3-w'!$C9,Assumptions!$G$3:$G$102,{"TRE"}))</f>
        <v>0</v>
      </c>
      <c r="AH9" s="53" t="str">
        <f t="shared" si="2"/>
        <v>zero</v>
      </c>
      <c r="AI9" t="s">
        <v>169</v>
      </c>
      <c r="AK9" t="str">
        <f t="shared" si="0"/>
        <v/>
      </c>
      <c r="AL9" t="str">
        <f t="shared" si="1"/>
        <v/>
      </c>
      <c r="AN9" t="str">
        <f t="shared" si="3"/>
        <v>*</v>
      </c>
      <c r="AO9">
        <f t="shared" si="4"/>
        <v>0</v>
      </c>
      <c r="AQ9" t="s">
        <v>156</v>
      </c>
      <c r="AR9" t="s">
        <v>354</v>
      </c>
      <c r="AS9" t="s">
        <v>361</v>
      </c>
    </row>
    <row r="10" spans="1:45" x14ac:dyDescent="0.45">
      <c r="A10" t="s">
        <v>25</v>
      </c>
      <c r="C10" s="35" t="s">
        <v>38</v>
      </c>
      <c r="D10" s="2" cm="1">
        <f t="array" ref="D10">SUM(SUMIFS(Assumptions!AN$3:AN$102,Assumptions!$B$3:$B$102,'3-w'!$C10,Assumptions!$G$3:$G$102,{"TRE"}))</f>
        <v>0</v>
      </c>
      <c r="E10" s="2" cm="1">
        <f t="array" ref="E10">SUM(SUMIFS(Assumptions!AO$3:AO$102,Assumptions!$B$3:$B$102,'3-w'!$C10,Assumptions!$G$3:$G$102,{"TRE"}))</f>
        <v>0</v>
      </c>
      <c r="F10" s="2" cm="1">
        <f t="array" ref="F10">SUM(SUMIFS(Assumptions!AP$3:AP$102,Assumptions!$B$3:$B$102,'3-w'!$C10,Assumptions!$G$3:$G$102,{"TRE"}))</f>
        <v>0</v>
      </c>
      <c r="G10" s="2" cm="1">
        <f t="array" ref="G10">SUM(SUMIFS(Assumptions!AQ$3:AQ$102,Assumptions!$B$3:$B$102,'3-w'!$C10,Assumptions!$G$3:$G$102,{"TRE"}))</f>
        <v>0</v>
      </c>
      <c r="H10" s="2" cm="1">
        <f t="array" ref="H10">SUM(SUMIFS(Assumptions!AR$3:AR$102,Assumptions!$B$3:$B$102,'3-w'!$C10,Assumptions!$G$3:$G$102,{"TRE"}))</f>
        <v>0</v>
      </c>
      <c r="I10" s="2" cm="1">
        <f t="array" ref="I10">SUM(SUMIFS(Assumptions!AS$3:AS$102,Assumptions!$B$3:$B$102,'3-w'!$C10,Assumptions!$G$3:$G$102,{"TRE"}))</f>
        <v>0</v>
      </c>
      <c r="J10" s="2" cm="1">
        <f t="array" ref="J10">SUM(SUMIFS(Assumptions!AT$3:AT$102,Assumptions!$B$3:$B$102,'3-w'!$C10,Assumptions!$G$3:$G$102,{"TRE"}))</f>
        <v>0</v>
      </c>
      <c r="K10" s="2" cm="1">
        <f t="array" ref="K10">SUM(SUMIFS(Assumptions!AU$3:AU$102,Assumptions!$B$3:$B$102,'3-w'!$C10,Assumptions!$G$3:$G$102,{"TRE"}))</f>
        <v>0</v>
      </c>
      <c r="L10" s="2" cm="1">
        <f t="array" ref="L10">SUM(SUMIFS(Assumptions!AV$3:AV$102,Assumptions!$B$3:$B$102,'3-w'!$C10,Assumptions!$G$3:$G$102,{"TRE"}))</f>
        <v>0</v>
      </c>
      <c r="M10" s="2" cm="1">
        <f t="array" ref="M10">SUM(SUMIFS(Assumptions!AW$3:AW$102,Assumptions!$B$3:$B$102,'3-w'!$C10,Assumptions!$G$3:$G$102,{"TRE"}))</f>
        <v>0</v>
      </c>
      <c r="N10" s="2" cm="1">
        <f t="array" ref="N10">SUM(SUMIFS(Assumptions!AX$3:AX$102,Assumptions!$B$3:$B$102,'3-w'!$C10,Assumptions!$G$3:$G$102,{"TRE"}))</f>
        <v>0</v>
      </c>
      <c r="O10" s="2" cm="1">
        <f t="array" ref="O10">SUM(SUMIFS(Assumptions!AY$3:AY$102,Assumptions!$B$3:$B$102,'3-w'!$C10,Assumptions!$G$3:$G$102,{"TRE"}))</f>
        <v>0</v>
      </c>
      <c r="P10" s="2" cm="1">
        <f t="array" ref="P10">SUM(SUMIFS(Assumptions!AZ$3:AZ$102,Assumptions!$B$3:$B$102,'3-w'!$C10,Assumptions!$G$3:$G$102,{"TRE"}))</f>
        <v>0</v>
      </c>
      <c r="Q10" s="2" cm="1">
        <f t="array" ref="Q10">SUM(SUMIFS(Assumptions!BA$3:BA$102,Assumptions!$B$3:$B$102,'3-w'!$C10,Assumptions!$G$3:$G$102,{"TRE"}))</f>
        <v>0</v>
      </c>
      <c r="R10" s="2" cm="1">
        <f t="array" ref="R10">SUM(SUMIFS(Assumptions!BB$3:BB$102,Assumptions!$B$3:$B$102,'3-w'!$C10,Assumptions!$G$3:$G$102,{"TRE"}))</f>
        <v>0</v>
      </c>
      <c r="S10" s="2" cm="1">
        <f t="array" ref="S10">SUM(SUMIFS(Assumptions!BC$3:BC$102,Assumptions!$B$3:$B$102,'3-w'!$C10,Assumptions!$G$3:$G$102,{"TRE"}))</f>
        <v>0</v>
      </c>
      <c r="T10" s="2" cm="1">
        <f t="array" ref="T10">SUM(SUMIFS(Assumptions!BD$3:BD$102,Assumptions!$B$3:$B$102,'3-w'!$C10,Assumptions!$G$3:$G$102,{"TRE"}))</f>
        <v>0</v>
      </c>
      <c r="U10" s="2" cm="1">
        <f t="array" ref="U10">SUM(SUMIFS(Assumptions!BE$3:BE$102,Assumptions!$B$3:$B$102,'3-w'!$C10,Assumptions!$G$3:$G$102,{"TRE"}))</f>
        <v>0</v>
      </c>
      <c r="V10" s="2" cm="1">
        <f t="array" ref="V10">SUM(SUMIFS(Assumptions!BF$3:BF$102,Assumptions!$B$3:$B$102,'3-w'!$C10,Assumptions!$G$3:$G$102,{"TRE"}))</f>
        <v>0</v>
      </c>
      <c r="W10" s="2" cm="1">
        <f t="array" ref="W10">SUM(SUMIFS(Assumptions!BG$3:BG$102,Assumptions!$B$3:$B$102,'3-w'!$C10,Assumptions!$G$3:$G$102,{"TRE"}))</f>
        <v>0</v>
      </c>
      <c r="X10" s="2" cm="1">
        <f t="array" ref="X10">SUM(SUMIFS(Assumptions!BH$3:BH$102,Assumptions!$B$3:$B$102,'3-w'!$C10,Assumptions!$G$3:$G$102,{"TRE"}))</f>
        <v>0</v>
      </c>
      <c r="Y10" s="2" cm="1">
        <f t="array" ref="Y10">SUM(SUMIFS(Assumptions!BI$3:BI$102,Assumptions!$B$3:$B$102,'3-w'!$C10,Assumptions!$G$3:$G$102,{"TRE"}))</f>
        <v>0</v>
      </c>
      <c r="Z10" s="2" cm="1">
        <f t="array" ref="Z10">SUM(SUMIFS(Assumptions!BJ$3:BJ$102,Assumptions!$B$3:$B$102,'3-w'!$C10,Assumptions!$G$3:$G$102,{"TRE"}))</f>
        <v>0</v>
      </c>
      <c r="AA10" s="2" cm="1">
        <f t="array" ref="AA10">SUM(SUMIFS(Assumptions!BK$3:BK$102,Assumptions!$B$3:$B$102,'3-w'!$C10,Assumptions!$G$3:$G$102,{"TRE"}))</f>
        <v>0</v>
      </c>
      <c r="AB10" s="2" cm="1">
        <f t="array" ref="AB10">SUM(SUMIFS(Assumptions!BL$3:BL$102,Assumptions!$B$3:$B$102,'3-w'!$C10,Assumptions!$G$3:$G$102,{"TRE"}))</f>
        <v>0</v>
      </c>
      <c r="AC10" s="2" cm="1">
        <f t="array" ref="AC10">SUM(SUMIFS(Assumptions!BM$3:BM$102,Assumptions!$B$3:$B$102,'3-w'!$C10,Assumptions!$G$3:$G$102,{"TRE"}))</f>
        <v>0</v>
      </c>
      <c r="AD10" s="2" cm="1">
        <f t="array" ref="AD10">SUM(SUMIFS(Assumptions!BN$3:BN$102,Assumptions!$B$3:$B$102,'3-w'!$C10,Assumptions!$G$3:$G$102,{"TRE"}))</f>
        <v>0</v>
      </c>
      <c r="AE10" s="2" cm="1">
        <f t="array" ref="AE10">SUM(SUMIFS(Assumptions!BO$3:BO$102,Assumptions!$B$3:$B$102,'3-w'!$C10,Assumptions!$G$3:$G$102,{"TRE"}))</f>
        <v>0</v>
      </c>
      <c r="AF10" s="2" cm="1">
        <f t="array" ref="AF10">SUM(SUMIFS(Assumptions!BP$3:BP$102,Assumptions!$B$3:$B$102,'3-w'!$C10,Assumptions!$G$3:$G$102,{"TRE"}))</f>
        <v>0</v>
      </c>
      <c r="AG10" s="2" cm="1">
        <f t="array" ref="AG10">SUM(SUMIFS(Assumptions!BQ$3:BQ$102,Assumptions!$B$3:$B$102,'3-w'!$C10,Assumptions!$G$3:$G$102,{"TRE"}))</f>
        <v>0</v>
      </c>
      <c r="AH10" s="53" t="str">
        <f t="shared" si="2"/>
        <v>zero</v>
      </c>
      <c r="AI10" t="s">
        <v>169</v>
      </c>
      <c r="AK10" t="str">
        <f t="shared" si="0"/>
        <v/>
      </c>
      <c r="AL10" t="str">
        <f t="shared" si="1"/>
        <v/>
      </c>
      <c r="AN10" t="str">
        <f t="shared" si="3"/>
        <v>*</v>
      </c>
      <c r="AO10">
        <f t="shared" si="4"/>
        <v>0</v>
      </c>
      <c r="AQ10" t="s">
        <v>156</v>
      </c>
      <c r="AR10" t="s">
        <v>354</v>
      </c>
      <c r="AS10" t="s">
        <v>361</v>
      </c>
    </row>
    <row r="11" spans="1:45" x14ac:dyDescent="0.45">
      <c r="A11" s="3" t="s">
        <v>327</v>
      </c>
      <c r="B11" s="3"/>
      <c r="D11" s="42">
        <f ca="1">SUM(D$4:D$10)/SUM($D$4:$T$10)</f>
        <v>8.6526264192535507E-2</v>
      </c>
      <c r="E11" s="42">
        <f t="shared" ref="E11:AG11" ca="1" si="5">SUM(E$4:E$10)/SUM($D$4:$T$10)</f>
        <v>0.15048412706245509</v>
      </c>
      <c r="F11" s="42">
        <f t="shared" ca="1" si="5"/>
        <v>2.7915020888653391E-3</v>
      </c>
      <c r="G11" s="42">
        <f t="shared" ca="1" si="5"/>
        <v>1.7359360798735151E-3</v>
      </c>
      <c r="H11" s="42">
        <f t="shared" ca="1" si="5"/>
        <v>1.2118866664689578E-2</v>
      </c>
      <c r="I11" s="42">
        <f t="shared" ca="1" si="5"/>
        <v>0.43609716188921377</v>
      </c>
      <c r="J11" s="42">
        <f t="shared" ca="1" si="5"/>
        <v>0</v>
      </c>
      <c r="K11" s="42">
        <f t="shared" ca="1" si="5"/>
        <v>7.9366682152280012E-3</v>
      </c>
      <c r="L11" s="42">
        <f t="shared" ca="1" si="5"/>
        <v>0</v>
      </c>
      <c r="M11" s="42">
        <f t="shared" ca="1" si="5"/>
        <v>0.2901830768812545</v>
      </c>
      <c r="N11" s="42">
        <f t="shared" ca="1" si="5"/>
        <v>1.1700730647884634E-3</v>
      </c>
      <c r="O11" s="42">
        <f t="shared" ca="1" si="5"/>
        <v>1.1631263763016775E-3</v>
      </c>
      <c r="P11" s="42">
        <f t="shared" ca="1" si="5"/>
        <v>1.8517797093529265E-3</v>
      </c>
      <c r="Q11" s="42">
        <f t="shared" ca="1" si="5"/>
        <v>2.5907442169895191E-3</v>
      </c>
      <c r="R11" s="42">
        <f t="shared" ca="1" si="5"/>
        <v>5.3950495622012489E-4</v>
      </c>
      <c r="S11" s="42">
        <f t="shared" ca="1" si="5"/>
        <v>1.6238902198252719E-3</v>
      </c>
      <c r="T11" s="42">
        <f t="shared" ca="1" si="5"/>
        <v>3.1872783824068336E-3</v>
      </c>
      <c r="U11" s="42">
        <f t="shared" ca="1" si="5"/>
        <v>2.0901700270411802E-3</v>
      </c>
      <c r="V11" s="42">
        <f t="shared" ca="1" si="5"/>
        <v>4.4137130516478133E-3</v>
      </c>
      <c r="W11" s="42">
        <f t="shared" ca="1" si="5"/>
        <v>0.35082986921196363</v>
      </c>
      <c r="X11" s="42">
        <f t="shared" ca="1" si="5"/>
        <v>8.0993903781262332E-3</v>
      </c>
      <c r="Y11" s="42">
        <f t="shared" ca="1" si="5"/>
        <v>8.597797200604591E-3</v>
      </c>
      <c r="Z11" s="42">
        <f t="shared" ca="1" si="5"/>
        <v>1.9969895306008501E-2</v>
      </c>
      <c r="AA11" s="42">
        <f t="shared" ca="1" si="5"/>
        <v>2.0565989487666798E-4</v>
      </c>
      <c r="AB11" s="42">
        <f t="shared" ca="1" si="5"/>
        <v>6.3180388518900505E-3</v>
      </c>
      <c r="AC11" s="42">
        <f t="shared" ca="1" si="5"/>
        <v>8.6271061924267506E-3</v>
      </c>
      <c r="AD11" s="42">
        <f t="shared" ca="1" si="5"/>
        <v>3.8274614171232554E-2</v>
      </c>
      <c r="AE11" s="42">
        <f t="shared" ca="1" si="5"/>
        <v>3.1281106720975481E-3</v>
      </c>
      <c r="AF11" s="42">
        <f t="shared" ca="1" si="5"/>
        <v>1.6306406163697777E-2</v>
      </c>
      <c r="AG11" s="42">
        <f t="shared" ca="1" si="5"/>
        <v>0</v>
      </c>
      <c r="AI11" t="s">
        <v>169</v>
      </c>
      <c r="AK11" t="str">
        <f t="shared" si="0"/>
        <v/>
      </c>
      <c r="AL11" t="str">
        <f t="shared" si="1"/>
        <v/>
      </c>
      <c r="AN11" t="str">
        <f t="shared" si="3"/>
        <v>*</v>
      </c>
      <c r="AO11">
        <f t="shared" si="4"/>
        <v>0</v>
      </c>
      <c r="AQ11" t="s">
        <v>156</v>
      </c>
      <c r="AR11" t="s">
        <v>354</v>
      </c>
      <c r="AS11" t="s">
        <v>361</v>
      </c>
    </row>
    <row r="12" spans="1:45" x14ac:dyDescent="0.45">
      <c r="AI12" t="s">
        <v>169</v>
      </c>
      <c r="AK12" t="str">
        <f t="shared" si="0"/>
        <v/>
      </c>
      <c r="AL12" t="str">
        <f t="shared" si="1"/>
        <v/>
      </c>
      <c r="AN12" t="str">
        <f t="shared" si="3"/>
        <v>*</v>
      </c>
      <c r="AO12">
        <f t="shared" si="4"/>
        <v>0</v>
      </c>
      <c r="AQ12" t="s">
        <v>156</v>
      </c>
      <c r="AR12" t="s">
        <v>354</v>
      </c>
      <c r="AS12" t="s">
        <v>361</v>
      </c>
    </row>
    <row r="13" spans="1:45" x14ac:dyDescent="0.45">
      <c r="A13" s="3" t="s">
        <v>328</v>
      </c>
      <c r="B13" s="3"/>
      <c r="C13" s="52">
        <f ca="1">SUM(D13:T13)</f>
        <v>32.360000000000007</v>
      </c>
      <c r="D13" s="1">
        <f ca="1">SUM(D19:D25)</f>
        <v>2.8</v>
      </c>
      <c r="E13" s="1">
        <f t="shared" ref="E13:T13" ca="1" si="6">SUM(E19:E25)</f>
        <v>4.87</v>
      </c>
      <c r="F13" s="1">
        <f t="shared" ca="1" si="6"/>
        <v>0.08</v>
      </c>
      <c r="G13" s="1">
        <f t="shared" ca="1" si="6"/>
        <v>0.06</v>
      </c>
      <c r="H13" s="1">
        <f t="shared" ca="1" si="6"/>
        <v>0.39</v>
      </c>
      <c r="I13" s="1">
        <f t="shared" ca="1" si="6"/>
        <v>14.120000000000001</v>
      </c>
      <c r="J13" s="1">
        <f t="shared" ca="1" si="6"/>
        <v>0</v>
      </c>
      <c r="K13" s="1">
        <f t="shared" ca="1" si="6"/>
        <v>0.26</v>
      </c>
      <c r="L13" s="1">
        <f t="shared" ca="1" si="6"/>
        <v>0</v>
      </c>
      <c r="M13" s="1">
        <f t="shared" ca="1" si="6"/>
        <v>9.39</v>
      </c>
      <c r="N13" s="1">
        <f t="shared" ca="1" si="6"/>
        <v>0.04</v>
      </c>
      <c r="O13" s="1">
        <f t="shared" ca="1" si="6"/>
        <v>0.04</v>
      </c>
      <c r="P13" s="1">
        <f t="shared" ca="1" si="6"/>
        <v>0.06</v>
      </c>
      <c r="Q13" s="1">
        <f t="shared" ca="1" si="6"/>
        <v>0.08</v>
      </c>
      <c r="R13" s="1">
        <f t="shared" ca="1" si="6"/>
        <v>0.02</v>
      </c>
      <c r="S13" s="1">
        <f t="shared" ca="1" si="6"/>
        <v>0.05</v>
      </c>
      <c r="T13" s="1">
        <f t="shared" ca="1" si="6"/>
        <v>0.1</v>
      </c>
      <c r="U13" s="1">
        <f t="shared" ref="U13:AG13" ca="1" si="7">SUM(U19:U25)</f>
        <v>6.9999999999999993E-2</v>
      </c>
      <c r="V13" s="1">
        <f t="shared" ca="1" si="7"/>
        <v>0.15000000000000002</v>
      </c>
      <c r="W13" s="1">
        <f t="shared" ca="1" si="7"/>
        <v>11.34</v>
      </c>
      <c r="X13" s="1">
        <f t="shared" ca="1" si="7"/>
        <v>0.27</v>
      </c>
      <c r="Y13" s="1">
        <f t="shared" ca="1" si="7"/>
        <v>0.28000000000000003</v>
      </c>
      <c r="Z13" s="1">
        <f t="shared" ca="1" si="7"/>
        <v>0.65</v>
      </c>
      <c r="AA13" s="1">
        <f t="shared" ca="1" si="7"/>
        <v>0.01</v>
      </c>
      <c r="AB13" s="1">
        <f t="shared" ca="1" si="7"/>
        <v>0.2</v>
      </c>
      <c r="AC13" s="1">
        <f t="shared" ca="1" si="7"/>
        <v>0.28000000000000003</v>
      </c>
      <c r="AD13" s="1">
        <f t="shared" ca="1" si="7"/>
        <v>1.24</v>
      </c>
      <c r="AE13" s="1">
        <f t="shared" ca="1" si="7"/>
        <v>0.1</v>
      </c>
      <c r="AF13" s="1">
        <f t="shared" ca="1" si="7"/>
        <v>0.52</v>
      </c>
      <c r="AG13" s="1">
        <f t="shared" ca="1" si="7"/>
        <v>0</v>
      </c>
      <c r="AI13" t="s">
        <v>169</v>
      </c>
      <c r="AK13" t="str">
        <f t="shared" si="0"/>
        <v/>
      </c>
      <c r="AL13" t="str">
        <f t="shared" si="1"/>
        <v/>
      </c>
      <c r="AN13" t="str">
        <f t="shared" si="3"/>
        <v>*</v>
      </c>
      <c r="AO13">
        <f t="shared" si="4"/>
        <v>0</v>
      </c>
      <c r="AQ13" t="s">
        <v>156</v>
      </c>
      <c r="AR13" t="s">
        <v>354</v>
      </c>
      <c r="AS13" t="s">
        <v>361</v>
      </c>
    </row>
    <row r="14" spans="1:45" x14ac:dyDescent="0.45">
      <c r="A14" s="3" t="s">
        <v>329</v>
      </c>
      <c r="B14" s="3"/>
      <c r="D14" s="42">
        <f ca="1">D13/SUM($D$13:$T$13)</f>
        <v>8.6526576019777479E-2</v>
      </c>
      <c r="E14" s="42">
        <f t="shared" ref="E14:T14" ca="1" si="8">E13/SUM($D$13:$T$13)</f>
        <v>0.15049443757725584</v>
      </c>
      <c r="F14" s="42">
        <f t="shared" ca="1" si="8"/>
        <v>2.4721878862793566E-3</v>
      </c>
      <c r="G14" s="42">
        <f t="shared" ca="1" si="8"/>
        <v>1.8541409147095175E-3</v>
      </c>
      <c r="H14" s="42">
        <f t="shared" ca="1" si="8"/>
        <v>1.2051915945611865E-2</v>
      </c>
      <c r="I14" s="42">
        <f t="shared" ca="1" si="8"/>
        <v>0.43634116192830652</v>
      </c>
      <c r="J14" s="42">
        <f t="shared" ca="1" si="8"/>
        <v>0</v>
      </c>
      <c r="K14" s="42">
        <f t="shared" ca="1" si="8"/>
        <v>8.0346106304079092E-3</v>
      </c>
      <c r="L14" s="42">
        <f t="shared" ca="1" si="8"/>
        <v>0</v>
      </c>
      <c r="M14" s="42">
        <f t="shared" ca="1" si="8"/>
        <v>0.29017305315203951</v>
      </c>
      <c r="N14" s="42">
        <f t="shared" ca="1" si="8"/>
        <v>1.2360939431396783E-3</v>
      </c>
      <c r="O14" s="42">
        <f t="shared" ca="1" si="8"/>
        <v>1.2360939431396783E-3</v>
      </c>
      <c r="P14" s="42">
        <f t="shared" ca="1" si="8"/>
        <v>1.8541409147095175E-3</v>
      </c>
      <c r="Q14" s="42">
        <f t="shared" ca="1" si="8"/>
        <v>2.4721878862793566E-3</v>
      </c>
      <c r="R14" s="42">
        <f t="shared" ca="1" si="8"/>
        <v>6.1804697156983915E-4</v>
      </c>
      <c r="S14" s="42">
        <f t="shared" ca="1" si="8"/>
        <v>1.545117428924598E-3</v>
      </c>
      <c r="T14" s="42">
        <f t="shared" ca="1" si="8"/>
        <v>3.0902348578491961E-3</v>
      </c>
      <c r="U14" s="42">
        <f t="shared" ref="U14:AG14" ca="1" si="9">U13/SUM($D$13:$T$13)</f>
        <v>2.1631644004944371E-3</v>
      </c>
      <c r="V14" s="42">
        <f t="shared" ca="1" si="9"/>
        <v>4.6353522867737945E-3</v>
      </c>
      <c r="W14" s="42">
        <f t="shared" ca="1" si="9"/>
        <v>0.35043263288009879</v>
      </c>
      <c r="X14" s="42">
        <f t="shared" ca="1" si="9"/>
        <v>8.3436341161928287E-3</v>
      </c>
      <c r="Y14" s="42">
        <f t="shared" ca="1" si="9"/>
        <v>8.65265760197775E-3</v>
      </c>
      <c r="Z14" s="42">
        <f t="shared" ca="1" si="9"/>
        <v>2.0086526576019774E-2</v>
      </c>
      <c r="AA14" s="42">
        <f t="shared" ca="1" si="9"/>
        <v>3.0902348578491957E-4</v>
      </c>
      <c r="AB14" s="42">
        <f t="shared" ca="1" si="9"/>
        <v>6.1804697156983921E-3</v>
      </c>
      <c r="AC14" s="42">
        <f t="shared" ca="1" si="9"/>
        <v>8.65265760197775E-3</v>
      </c>
      <c r="AD14" s="42">
        <f t="shared" ca="1" si="9"/>
        <v>3.8318912237330027E-2</v>
      </c>
      <c r="AE14" s="42">
        <f t="shared" ca="1" si="9"/>
        <v>3.0902348578491961E-3</v>
      </c>
      <c r="AF14" s="42">
        <f t="shared" ca="1" si="9"/>
        <v>1.6069221260815818E-2</v>
      </c>
      <c r="AG14" s="42">
        <f t="shared" ca="1" si="9"/>
        <v>0</v>
      </c>
      <c r="AI14" t="s">
        <v>169</v>
      </c>
      <c r="AK14" t="str">
        <f t="shared" si="0"/>
        <v/>
      </c>
      <c r="AL14" t="str">
        <f t="shared" si="1"/>
        <v/>
      </c>
      <c r="AN14" t="str">
        <f t="shared" si="3"/>
        <v>*</v>
      </c>
      <c r="AO14">
        <f t="shared" si="4"/>
        <v>0</v>
      </c>
      <c r="AQ14" t="s">
        <v>156</v>
      </c>
      <c r="AR14" t="s">
        <v>354</v>
      </c>
      <c r="AS14" t="s">
        <v>361</v>
      </c>
    </row>
    <row r="15" spans="1:45" x14ac:dyDescent="0.45">
      <c r="A15" s="3"/>
      <c r="B15" s="3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I15" t="s">
        <v>169</v>
      </c>
      <c r="AK15" t="str">
        <f t="shared" si="0"/>
        <v/>
      </c>
      <c r="AL15" t="str">
        <f t="shared" si="1"/>
        <v/>
      </c>
      <c r="AN15" t="str">
        <f t="shared" si="3"/>
        <v>*</v>
      </c>
      <c r="AO15">
        <f t="shared" si="4"/>
        <v>0</v>
      </c>
      <c r="AQ15" t="s">
        <v>156</v>
      </c>
      <c r="AR15" t="s">
        <v>354</v>
      </c>
      <c r="AS15" t="s">
        <v>361</v>
      </c>
    </row>
    <row r="16" spans="1:45" x14ac:dyDescent="0.45">
      <c r="AI16" t="s">
        <v>169</v>
      </c>
      <c r="AK16" t="str">
        <f t="shared" si="0"/>
        <v/>
      </c>
      <c r="AL16" t="str">
        <f t="shared" si="1"/>
        <v/>
      </c>
      <c r="AN16" t="str">
        <f t="shared" si="3"/>
        <v>*</v>
      </c>
      <c r="AO16">
        <f t="shared" si="4"/>
        <v>0</v>
      </c>
      <c r="AQ16" t="s">
        <v>156</v>
      </c>
      <c r="AR16" t="s">
        <v>354</v>
      </c>
      <c r="AS16" t="s">
        <v>361</v>
      </c>
    </row>
    <row r="17" spans="1:45" x14ac:dyDescent="0.45">
      <c r="A17" s="3" t="s">
        <v>330</v>
      </c>
      <c r="B17" s="3"/>
      <c r="D17" s="1">
        <f ca="1">IFERROR(D11/D14,"")</f>
        <v>0.99999639616801783</v>
      </c>
      <c r="E17" s="1">
        <f t="shared" ref="E17:T17" ca="1" si="10">IFERROR(E11/E14,"")</f>
        <v>0.99993148906387019</v>
      </c>
      <c r="F17" s="1">
        <f t="shared" ca="1" si="10"/>
        <v>1.12916259494603</v>
      </c>
      <c r="G17" s="1">
        <f t="shared" ca="1" si="10"/>
        <v>0.9362481924117827</v>
      </c>
      <c r="H17" s="1">
        <f t="shared" ca="1" si="10"/>
        <v>1.0055551929983457</v>
      </c>
      <c r="I17" s="1">
        <f t="shared" ca="1" si="10"/>
        <v>0.99944080444298578</v>
      </c>
      <c r="J17" s="1" t="str">
        <f t="shared" ca="1" si="10"/>
        <v/>
      </c>
      <c r="K17" s="1">
        <f t="shared" ca="1" si="10"/>
        <v>0.98780993632606995</v>
      </c>
      <c r="L17" s="1" t="str">
        <f t="shared" ca="1" si="10"/>
        <v/>
      </c>
      <c r="M17" s="1">
        <f t="shared" ca="1" si="10"/>
        <v>1.0000345439699039</v>
      </c>
      <c r="N17" s="1">
        <f t="shared" ca="1" si="10"/>
        <v>0.9465891094138672</v>
      </c>
      <c r="O17" s="1">
        <f t="shared" ca="1" si="10"/>
        <v>0.94096923842805735</v>
      </c>
      <c r="P17" s="1">
        <f t="shared" ca="1" si="10"/>
        <v>0.99872652324434519</v>
      </c>
      <c r="Q17" s="1">
        <f t="shared" ca="1" si="10"/>
        <v>1.0479560357722608</v>
      </c>
      <c r="R17" s="1">
        <f t="shared" ca="1" si="10"/>
        <v>0.87291901916416226</v>
      </c>
      <c r="S17" s="1">
        <f t="shared" ca="1" si="10"/>
        <v>1.0509817502709162</v>
      </c>
      <c r="T17" s="1">
        <f t="shared" ca="1" si="10"/>
        <v>1.0314032845468515</v>
      </c>
      <c r="U17" s="1">
        <f t="shared" ref="U17:AG17" ca="1" si="11">IFERROR(U11/U14,"")</f>
        <v>0.96625574392932301</v>
      </c>
      <c r="V17" s="1">
        <f t="shared" ca="1" si="11"/>
        <v>0.95218502900882163</v>
      </c>
      <c r="W17" s="1">
        <f t="shared" ca="1" si="11"/>
        <v>1.0011335597618294</v>
      </c>
      <c r="X17" s="1">
        <f t="shared" ca="1" si="11"/>
        <v>0.97072693568949986</v>
      </c>
      <c r="Y17" s="1">
        <f t="shared" ca="1" si="11"/>
        <v>0.99365970504130208</v>
      </c>
      <c r="Z17" s="1">
        <f t="shared" ca="1" si="11"/>
        <v>0.99419355708066959</v>
      </c>
      <c r="AA17" s="1">
        <f t="shared" ca="1" si="11"/>
        <v>0.66551541982089779</v>
      </c>
      <c r="AB17" s="1">
        <f t="shared" ca="1" si="11"/>
        <v>1.0222586862358103</v>
      </c>
      <c r="AC17" s="1">
        <f t="shared" ca="1" si="11"/>
        <v>0.99704698709617734</v>
      </c>
      <c r="AD17" s="1">
        <f t="shared" ca="1" si="11"/>
        <v>0.99884396337184334</v>
      </c>
      <c r="AE17" s="1">
        <f t="shared" ca="1" si="11"/>
        <v>1.0122566134907667</v>
      </c>
      <c r="AF17" s="1">
        <f t="shared" ca="1" si="11"/>
        <v>1.0147601989562696</v>
      </c>
      <c r="AG17" s="1" t="str">
        <f t="shared" ca="1" si="11"/>
        <v/>
      </c>
      <c r="AI17" t="s">
        <v>169</v>
      </c>
      <c r="AK17" t="str">
        <f t="shared" si="0"/>
        <v/>
      </c>
      <c r="AL17" t="str">
        <f t="shared" si="1"/>
        <v/>
      </c>
      <c r="AN17" t="str">
        <f t="shared" si="3"/>
        <v>*</v>
      </c>
      <c r="AO17">
        <f t="shared" si="4"/>
        <v>0</v>
      </c>
      <c r="AQ17" t="s">
        <v>156</v>
      </c>
      <c r="AR17" t="s">
        <v>354</v>
      </c>
      <c r="AS17" t="s">
        <v>361</v>
      </c>
    </row>
    <row r="18" spans="1:45" x14ac:dyDescent="0.45">
      <c r="AI18" t="s">
        <v>169</v>
      </c>
      <c r="AK18" t="str">
        <f t="shared" si="0"/>
        <v/>
      </c>
      <c r="AL18" t="str">
        <f t="shared" si="1"/>
        <v/>
      </c>
      <c r="AN18" t="str">
        <f t="shared" si="3"/>
        <v>*</v>
      </c>
      <c r="AO18">
        <f t="shared" si="4"/>
        <v>0</v>
      </c>
      <c r="AQ18" t="s">
        <v>156</v>
      </c>
      <c r="AR18" t="s">
        <v>354</v>
      </c>
      <c r="AS18" t="s">
        <v>361</v>
      </c>
    </row>
    <row r="19" spans="1:45" x14ac:dyDescent="0.45">
      <c r="A19" t="s">
        <v>320</v>
      </c>
      <c r="C19" t="str">
        <f t="shared" ref="C19:C25" si="12">C4</f>
        <v>TRABDS</v>
      </c>
      <c r="D19" s="40">
        <f t="shared" ref="D19:AG25" ca="1" si="13">ROUND(D4*D28/D36,2)</f>
        <v>0</v>
      </c>
      <c r="E19" s="40">
        <f t="shared" ca="1" si="13"/>
        <v>0</v>
      </c>
      <c r="F19" s="40">
        <f t="shared" ca="1" si="13"/>
        <v>0</v>
      </c>
      <c r="G19" s="40">
        <f t="shared" ca="1" si="13"/>
        <v>0</v>
      </c>
      <c r="H19" s="40">
        <f t="shared" ca="1" si="13"/>
        <v>0</v>
      </c>
      <c r="I19" s="40">
        <f t="shared" ca="1" si="13"/>
        <v>0</v>
      </c>
      <c r="J19" s="40">
        <f t="shared" ca="1" si="13"/>
        <v>0</v>
      </c>
      <c r="K19" s="40">
        <f t="shared" ca="1" si="13"/>
        <v>0.02</v>
      </c>
      <c r="L19" s="40">
        <f t="shared" ca="1" si="13"/>
        <v>0</v>
      </c>
      <c r="M19" s="40">
        <f t="shared" ca="1" si="13"/>
        <v>0.09</v>
      </c>
      <c r="N19" s="40">
        <f t="shared" ca="1" si="13"/>
        <v>0</v>
      </c>
      <c r="O19" s="40">
        <f t="shared" ca="1" si="13"/>
        <v>0</v>
      </c>
      <c r="P19" s="40">
        <f t="shared" ca="1" si="13"/>
        <v>0</v>
      </c>
      <c r="Q19" s="40">
        <f t="shared" ca="1" si="13"/>
        <v>0</v>
      </c>
      <c r="R19" s="40">
        <f t="shared" ca="1" si="13"/>
        <v>0</v>
      </c>
      <c r="S19" s="40">
        <f t="shared" ca="1" si="13"/>
        <v>0</v>
      </c>
      <c r="T19" s="40">
        <f t="shared" ca="1" si="13"/>
        <v>0</v>
      </c>
      <c r="U19" s="40">
        <f t="shared" ca="1" si="13"/>
        <v>0</v>
      </c>
      <c r="V19" s="40">
        <f t="shared" ca="1" si="13"/>
        <v>0</v>
      </c>
      <c r="W19" s="40">
        <f t="shared" ca="1" si="13"/>
        <v>0</v>
      </c>
      <c r="X19" s="40">
        <f t="shared" ca="1" si="13"/>
        <v>0</v>
      </c>
      <c r="Y19" s="40">
        <f t="shared" ca="1" si="13"/>
        <v>0</v>
      </c>
      <c r="Z19" s="40">
        <f t="shared" ca="1" si="13"/>
        <v>0</v>
      </c>
      <c r="AA19" s="40">
        <f t="shared" ca="1" si="13"/>
        <v>0</v>
      </c>
      <c r="AB19" s="40">
        <f t="shared" ca="1" si="13"/>
        <v>0</v>
      </c>
      <c r="AC19" s="40">
        <f t="shared" ca="1" si="13"/>
        <v>0</v>
      </c>
      <c r="AD19" s="40">
        <f t="shared" ca="1" si="13"/>
        <v>0</v>
      </c>
      <c r="AE19" s="40">
        <f t="shared" ca="1" si="13"/>
        <v>0</v>
      </c>
      <c r="AF19" s="40">
        <f t="shared" ca="1" si="13"/>
        <v>0</v>
      </c>
      <c r="AG19" s="40">
        <f t="shared" ca="1" si="13"/>
        <v>0</v>
      </c>
      <c r="AI19" t="s">
        <v>360</v>
      </c>
      <c r="AJ19" t="str">
        <f ca="1">IF(AH4="zero","\I:",$AK$45&amp;"_"&amp;VLOOKUP(C19,'TRA balance'!$AL$5:$AM$15,2,FALSE))</f>
        <v>Trd_3w_bdl</v>
      </c>
      <c r="AK19" t="str">
        <f t="shared" ca="1" si="0"/>
        <v>Trd_3w</v>
      </c>
      <c r="AL19">
        <f t="shared" ca="1" si="1"/>
        <v>25</v>
      </c>
      <c r="AN19" t="str">
        <f t="shared" ca="1" si="3"/>
        <v>DMD</v>
      </c>
      <c r="AO19" t="str">
        <f t="shared" ca="1" si="4"/>
        <v>Trd_3w_bdl</v>
      </c>
      <c r="AQ19" t="s">
        <v>156</v>
      </c>
      <c r="AR19" t="s">
        <v>354</v>
      </c>
      <c r="AS19" t="s">
        <v>361</v>
      </c>
    </row>
    <row r="20" spans="1:45" x14ac:dyDescent="0.45">
      <c r="C20" t="str">
        <f t="shared" si="12"/>
        <v>TRABGS</v>
      </c>
      <c r="D20" s="40">
        <f t="shared" ca="1" si="13"/>
        <v>0</v>
      </c>
      <c r="E20" s="40">
        <f t="shared" ca="1" si="13"/>
        <v>0.01</v>
      </c>
      <c r="F20" s="40">
        <f t="shared" ca="1" si="13"/>
        <v>0</v>
      </c>
      <c r="G20" s="40">
        <f t="shared" ca="1" si="13"/>
        <v>0</v>
      </c>
      <c r="H20" s="40">
        <f t="shared" ca="1" si="13"/>
        <v>0</v>
      </c>
      <c r="I20" s="40">
        <f t="shared" ca="1" si="13"/>
        <v>0.21</v>
      </c>
      <c r="J20" s="40">
        <f t="shared" ca="1" si="13"/>
        <v>0</v>
      </c>
      <c r="K20" s="40">
        <f t="shared" ca="1" si="13"/>
        <v>0.04</v>
      </c>
      <c r="L20" s="40">
        <f t="shared" ca="1" si="13"/>
        <v>0</v>
      </c>
      <c r="M20" s="40">
        <f t="shared" ca="1" si="13"/>
        <v>0</v>
      </c>
      <c r="N20" s="40">
        <f t="shared" ca="1" si="13"/>
        <v>0</v>
      </c>
      <c r="O20" s="40">
        <f t="shared" ca="1" si="13"/>
        <v>0</v>
      </c>
      <c r="P20" s="40">
        <f t="shared" ca="1" si="13"/>
        <v>0</v>
      </c>
      <c r="Q20" s="40">
        <f t="shared" ca="1" si="13"/>
        <v>0</v>
      </c>
      <c r="R20" s="40">
        <f t="shared" ca="1" si="13"/>
        <v>0</v>
      </c>
      <c r="S20" s="40">
        <f t="shared" ca="1" si="13"/>
        <v>0</v>
      </c>
      <c r="T20" s="40">
        <f t="shared" ca="1" si="13"/>
        <v>0</v>
      </c>
      <c r="U20" s="40">
        <f t="shared" ca="1" si="13"/>
        <v>0.01</v>
      </c>
      <c r="V20" s="40">
        <f t="shared" ca="1" si="13"/>
        <v>0.01</v>
      </c>
      <c r="W20" s="40">
        <f t="shared" ca="1" si="13"/>
        <v>0.14000000000000001</v>
      </c>
      <c r="X20" s="40">
        <f t="shared" ca="1" si="13"/>
        <v>0.01</v>
      </c>
      <c r="Y20" s="40">
        <f t="shared" ca="1" si="13"/>
        <v>0</v>
      </c>
      <c r="Z20" s="40">
        <f t="shared" ca="1" si="13"/>
        <v>0</v>
      </c>
      <c r="AA20" s="40">
        <f t="shared" ca="1" si="13"/>
        <v>0</v>
      </c>
      <c r="AB20" s="40">
        <f t="shared" ca="1" si="13"/>
        <v>0</v>
      </c>
      <c r="AC20" s="40">
        <f t="shared" ca="1" si="13"/>
        <v>0</v>
      </c>
      <c r="AD20" s="40">
        <f t="shared" ca="1" si="13"/>
        <v>0</v>
      </c>
      <c r="AE20" s="40">
        <f t="shared" ca="1" si="13"/>
        <v>0</v>
      </c>
      <c r="AF20" s="40">
        <f t="shared" ca="1" si="13"/>
        <v>0.04</v>
      </c>
      <c r="AG20" s="40">
        <f t="shared" ca="1" si="13"/>
        <v>0</v>
      </c>
      <c r="AI20" t="s">
        <v>360</v>
      </c>
      <c r="AJ20" t="str">
        <f ca="1">IF(AH5="zero","\I:",$AK$45&amp;"_"&amp;VLOOKUP(C20,'TRA balance'!$AL$5:$AM$15,2,FALSE))</f>
        <v>Trd_3w_eth</v>
      </c>
      <c r="AK20" t="str">
        <f t="shared" ca="1" si="0"/>
        <v>Trd_3w</v>
      </c>
      <c r="AL20">
        <f t="shared" ca="1" si="1"/>
        <v>25</v>
      </c>
      <c r="AN20" t="str">
        <f t="shared" ca="1" si="3"/>
        <v>DMD</v>
      </c>
      <c r="AO20" t="str">
        <f t="shared" ca="1" si="4"/>
        <v>Trd_3w_eth</v>
      </c>
      <c r="AQ20" t="s">
        <v>156</v>
      </c>
      <c r="AR20" t="s">
        <v>354</v>
      </c>
      <c r="AS20" t="s">
        <v>361</v>
      </c>
    </row>
    <row r="21" spans="1:45" x14ac:dyDescent="0.45">
      <c r="C21" t="str">
        <f t="shared" si="12"/>
        <v>TRADST</v>
      </c>
      <c r="D21" s="40">
        <f t="shared" ca="1" si="13"/>
        <v>0</v>
      </c>
      <c r="E21" s="40">
        <f t="shared" ca="1" si="13"/>
        <v>0</v>
      </c>
      <c r="F21" s="40">
        <f t="shared" ca="1" si="13"/>
        <v>0.01</v>
      </c>
      <c r="G21" s="40">
        <f t="shared" ca="1" si="13"/>
        <v>0</v>
      </c>
      <c r="H21" s="40">
        <f t="shared" ca="1" si="13"/>
        <v>0.03</v>
      </c>
      <c r="I21" s="40">
        <f t="shared" ca="1" si="13"/>
        <v>0</v>
      </c>
      <c r="J21" s="40">
        <f t="shared" ca="1" si="13"/>
        <v>0</v>
      </c>
      <c r="K21" s="40">
        <f t="shared" ca="1" si="13"/>
        <v>0.04</v>
      </c>
      <c r="L21" s="40">
        <f t="shared" ca="1" si="13"/>
        <v>0</v>
      </c>
      <c r="M21" s="40">
        <f t="shared" ca="1" si="13"/>
        <v>9.3000000000000007</v>
      </c>
      <c r="N21" s="40">
        <f t="shared" ca="1" si="13"/>
        <v>0</v>
      </c>
      <c r="O21" s="40">
        <f t="shared" ca="1" si="13"/>
        <v>0</v>
      </c>
      <c r="P21" s="40">
        <f t="shared" ca="1" si="13"/>
        <v>0</v>
      </c>
      <c r="Q21" s="40">
        <f t="shared" ca="1" si="13"/>
        <v>0</v>
      </c>
      <c r="R21" s="40">
        <f t="shared" ca="1" si="13"/>
        <v>0</v>
      </c>
      <c r="S21" s="40">
        <f t="shared" ca="1" si="13"/>
        <v>0</v>
      </c>
      <c r="T21" s="40">
        <f t="shared" ca="1" si="13"/>
        <v>0</v>
      </c>
      <c r="U21" s="40">
        <f t="shared" ca="1" si="13"/>
        <v>0</v>
      </c>
      <c r="V21" s="40">
        <f t="shared" ca="1" si="13"/>
        <v>0</v>
      </c>
      <c r="W21" s="40">
        <f t="shared" ca="1" si="13"/>
        <v>5.95</v>
      </c>
      <c r="X21" s="40">
        <f t="shared" ca="1" si="13"/>
        <v>0.03</v>
      </c>
      <c r="Y21" s="40">
        <f t="shared" ca="1" si="13"/>
        <v>0</v>
      </c>
      <c r="Z21" s="40">
        <f t="shared" ca="1" si="13"/>
        <v>0</v>
      </c>
      <c r="AA21" s="40">
        <f t="shared" ca="1" si="13"/>
        <v>0</v>
      </c>
      <c r="AB21" s="40">
        <f t="shared" ca="1" si="13"/>
        <v>0</v>
      </c>
      <c r="AC21" s="40">
        <f t="shared" ca="1" si="13"/>
        <v>0</v>
      </c>
      <c r="AD21" s="40">
        <f t="shared" ca="1" si="13"/>
        <v>0</v>
      </c>
      <c r="AE21" s="40">
        <f t="shared" ca="1" si="13"/>
        <v>0</v>
      </c>
      <c r="AF21" s="40">
        <f t="shared" ca="1" si="13"/>
        <v>0</v>
      </c>
      <c r="AG21" s="40">
        <f t="shared" ca="1" si="13"/>
        <v>0</v>
      </c>
      <c r="AI21" t="s">
        <v>360</v>
      </c>
      <c r="AJ21" t="str">
        <f ca="1">IF(AH6="zero","\I:",$AK$45&amp;"_"&amp;VLOOKUP(C21,'TRA balance'!$AL$5:$AM$15,2,FALSE))</f>
        <v>Trd_3w_dsl</v>
      </c>
      <c r="AK21" t="str">
        <f t="shared" ca="1" si="0"/>
        <v>Trd_3w</v>
      </c>
      <c r="AL21">
        <f t="shared" ca="1" si="1"/>
        <v>25</v>
      </c>
      <c r="AN21" t="str">
        <f t="shared" ca="1" si="3"/>
        <v>DMD</v>
      </c>
      <c r="AO21" t="str">
        <f t="shared" ca="1" si="4"/>
        <v>Trd_3w_dsl</v>
      </c>
      <c r="AQ21" t="s">
        <v>156</v>
      </c>
      <c r="AR21" t="s">
        <v>354</v>
      </c>
      <c r="AS21" t="s">
        <v>361</v>
      </c>
    </row>
    <row r="22" spans="1:45" x14ac:dyDescent="0.45">
      <c r="C22" t="str">
        <f t="shared" si="12"/>
        <v>TRAELC</v>
      </c>
      <c r="D22" s="40">
        <f t="shared" ca="1" si="13"/>
        <v>0</v>
      </c>
      <c r="E22" s="40">
        <f t="shared" ca="1" si="13"/>
        <v>0</v>
      </c>
      <c r="F22" s="40">
        <f t="shared" ca="1" si="13"/>
        <v>0</v>
      </c>
      <c r="G22" s="40">
        <f t="shared" ca="1" si="13"/>
        <v>0</v>
      </c>
      <c r="H22" s="40">
        <f t="shared" ca="1" si="13"/>
        <v>0</v>
      </c>
      <c r="I22" s="40">
        <f t="shared" ca="1" si="13"/>
        <v>0</v>
      </c>
      <c r="J22" s="40">
        <f t="shared" ca="1" si="13"/>
        <v>0</v>
      </c>
      <c r="K22" s="40">
        <f t="shared" ca="1" si="13"/>
        <v>0</v>
      </c>
      <c r="L22" s="40">
        <f t="shared" ca="1" si="13"/>
        <v>0</v>
      </c>
      <c r="M22" s="40">
        <f t="shared" ca="1" si="13"/>
        <v>0</v>
      </c>
      <c r="N22" s="40">
        <f t="shared" ca="1" si="13"/>
        <v>0</v>
      </c>
      <c r="O22" s="40">
        <f t="shared" ca="1" si="13"/>
        <v>0</v>
      </c>
      <c r="P22" s="40">
        <f t="shared" ca="1" si="13"/>
        <v>0</v>
      </c>
      <c r="Q22" s="40">
        <f t="shared" ca="1" si="13"/>
        <v>0</v>
      </c>
      <c r="R22" s="40">
        <f t="shared" ca="1" si="13"/>
        <v>0</v>
      </c>
      <c r="S22" s="40">
        <f t="shared" ca="1" si="13"/>
        <v>0</v>
      </c>
      <c r="T22" s="40">
        <f t="shared" ca="1" si="13"/>
        <v>0</v>
      </c>
      <c r="U22" s="40">
        <f t="shared" ca="1" si="13"/>
        <v>0</v>
      </c>
      <c r="V22" s="40">
        <f t="shared" ca="1" si="13"/>
        <v>0</v>
      </c>
      <c r="W22" s="40">
        <f t="shared" ca="1" si="13"/>
        <v>0</v>
      </c>
      <c r="X22" s="40">
        <f t="shared" ca="1" si="13"/>
        <v>0</v>
      </c>
      <c r="Y22" s="40">
        <f t="shared" ca="1" si="13"/>
        <v>0</v>
      </c>
      <c r="Z22" s="40">
        <f t="shared" ca="1" si="13"/>
        <v>0</v>
      </c>
      <c r="AA22" s="40">
        <f t="shared" ca="1" si="13"/>
        <v>0</v>
      </c>
      <c r="AB22" s="40">
        <f t="shared" ca="1" si="13"/>
        <v>0</v>
      </c>
      <c r="AC22" s="40">
        <f t="shared" ca="1" si="13"/>
        <v>0</v>
      </c>
      <c r="AD22" s="40">
        <f t="shared" ca="1" si="13"/>
        <v>0</v>
      </c>
      <c r="AE22" s="40">
        <f t="shared" ca="1" si="13"/>
        <v>0</v>
      </c>
      <c r="AF22" s="40">
        <f t="shared" ca="1" si="13"/>
        <v>0</v>
      </c>
      <c r="AG22" s="40">
        <f t="shared" ca="1" si="13"/>
        <v>0</v>
      </c>
      <c r="AI22" t="s">
        <v>360</v>
      </c>
      <c r="AJ22" t="str">
        <f ca="1">IF(AH7="zero","\I:",$AK$45&amp;"_"&amp;VLOOKUP(C22,'TRA balance'!$AL$5:$AM$15,2,FALSE))</f>
        <v>\I:</v>
      </c>
      <c r="AK22" t="str">
        <f t="shared" ca="1" si="0"/>
        <v>Trd_3w</v>
      </c>
      <c r="AL22">
        <f t="shared" ca="1" si="1"/>
        <v>25</v>
      </c>
      <c r="AN22" t="str">
        <f t="shared" ca="1" si="3"/>
        <v>DMD</v>
      </c>
      <c r="AO22" t="str">
        <f t="shared" ca="1" si="4"/>
        <v>\I:</v>
      </c>
      <c r="AQ22" t="s">
        <v>156</v>
      </c>
      <c r="AR22" t="s">
        <v>354</v>
      </c>
      <c r="AS22" t="s">
        <v>361</v>
      </c>
    </row>
    <row r="23" spans="1:45" x14ac:dyDescent="0.45">
      <c r="C23" t="str">
        <f t="shared" si="12"/>
        <v>TRAGSL</v>
      </c>
      <c r="D23" s="40">
        <f t="shared" ca="1" si="13"/>
        <v>2.8</v>
      </c>
      <c r="E23" s="40">
        <f t="shared" ca="1" si="13"/>
        <v>4.8600000000000003</v>
      </c>
      <c r="F23" s="40">
        <f t="shared" ca="1" si="13"/>
        <v>7.0000000000000007E-2</v>
      </c>
      <c r="G23" s="40">
        <f t="shared" ca="1" si="13"/>
        <v>0.06</v>
      </c>
      <c r="H23" s="40">
        <f t="shared" ca="1" si="13"/>
        <v>0.36</v>
      </c>
      <c r="I23" s="40">
        <f t="shared" ca="1" si="13"/>
        <v>13.91</v>
      </c>
      <c r="J23" s="40">
        <f t="shared" ca="1" si="13"/>
        <v>0</v>
      </c>
      <c r="K23" s="40">
        <f t="shared" ca="1" si="13"/>
        <v>0.16</v>
      </c>
      <c r="L23" s="40">
        <f t="shared" ca="1" si="13"/>
        <v>0</v>
      </c>
      <c r="M23" s="40">
        <f t="shared" ca="1" si="13"/>
        <v>0</v>
      </c>
      <c r="N23" s="40">
        <f t="shared" ca="1" si="13"/>
        <v>0.04</v>
      </c>
      <c r="O23" s="40">
        <f t="shared" ca="1" si="13"/>
        <v>0.04</v>
      </c>
      <c r="P23" s="40">
        <f t="shared" ca="1" si="13"/>
        <v>0.06</v>
      </c>
      <c r="Q23" s="40">
        <f t="shared" ca="1" si="13"/>
        <v>0.08</v>
      </c>
      <c r="R23" s="40">
        <f t="shared" ca="1" si="13"/>
        <v>0.02</v>
      </c>
      <c r="S23" s="40">
        <f t="shared" ca="1" si="13"/>
        <v>0.05</v>
      </c>
      <c r="T23" s="40">
        <f t="shared" ca="1" si="13"/>
        <v>0.1</v>
      </c>
      <c r="U23" s="40">
        <f t="shared" ca="1" si="13"/>
        <v>0.06</v>
      </c>
      <c r="V23" s="40">
        <f t="shared" ca="1" si="13"/>
        <v>0.14000000000000001</v>
      </c>
      <c r="W23" s="40">
        <f t="shared" ca="1" si="13"/>
        <v>5.25</v>
      </c>
      <c r="X23" s="40">
        <f t="shared" ca="1" si="13"/>
        <v>0.23</v>
      </c>
      <c r="Y23" s="40">
        <f t="shared" ca="1" si="13"/>
        <v>0.28000000000000003</v>
      </c>
      <c r="Z23" s="40">
        <f t="shared" ca="1" si="13"/>
        <v>0.65</v>
      </c>
      <c r="AA23" s="40">
        <f t="shared" ca="1" si="13"/>
        <v>0.01</v>
      </c>
      <c r="AB23" s="40">
        <f t="shared" ca="1" si="13"/>
        <v>0.2</v>
      </c>
      <c r="AC23" s="40">
        <f t="shared" ca="1" si="13"/>
        <v>0.28000000000000003</v>
      </c>
      <c r="AD23" s="40">
        <f t="shared" ca="1" si="13"/>
        <v>1.24</v>
      </c>
      <c r="AE23" s="40">
        <f t="shared" ca="1" si="13"/>
        <v>0.1</v>
      </c>
      <c r="AF23" s="40">
        <f t="shared" ca="1" si="13"/>
        <v>0.48</v>
      </c>
      <c r="AG23" s="40">
        <f t="shared" ca="1" si="13"/>
        <v>0</v>
      </c>
      <c r="AI23" t="s">
        <v>360</v>
      </c>
      <c r="AJ23" t="str">
        <f ca="1">IF(AH8="zero","\I:",$AK$45&amp;"_"&amp;VLOOKUP(C23,'TRA balance'!$AL$5:$AM$15,2,FALSE))</f>
        <v>Trd_3w_gsl</v>
      </c>
      <c r="AK23" t="str">
        <f t="shared" ca="1" si="0"/>
        <v>Trd_3w</v>
      </c>
      <c r="AL23">
        <f t="shared" ca="1" si="1"/>
        <v>25</v>
      </c>
      <c r="AN23" t="str">
        <f t="shared" ca="1" si="3"/>
        <v>DMD</v>
      </c>
      <c r="AO23" t="str">
        <f t="shared" ca="1" si="4"/>
        <v>Trd_3w_gsl</v>
      </c>
      <c r="AQ23" t="s">
        <v>156</v>
      </c>
      <c r="AR23" t="s">
        <v>354</v>
      </c>
      <c r="AS23" t="s">
        <v>361</v>
      </c>
    </row>
    <row r="24" spans="1:45" x14ac:dyDescent="0.45">
      <c r="C24" t="str">
        <f t="shared" si="12"/>
        <v>TRALPG</v>
      </c>
      <c r="D24" s="40">
        <f t="shared" si="13"/>
        <v>0</v>
      </c>
      <c r="E24" s="40">
        <f t="shared" si="13"/>
        <v>0</v>
      </c>
      <c r="F24" s="40">
        <f t="shared" si="13"/>
        <v>0</v>
      </c>
      <c r="G24" s="40">
        <f t="shared" si="13"/>
        <v>0</v>
      </c>
      <c r="H24" s="40">
        <f t="shared" si="13"/>
        <v>0</v>
      </c>
      <c r="I24" s="40">
        <f t="shared" si="13"/>
        <v>0</v>
      </c>
      <c r="J24" s="40">
        <f t="shared" si="13"/>
        <v>0</v>
      </c>
      <c r="K24" s="40">
        <f t="shared" si="13"/>
        <v>0</v>
      </c>
      <c r="L24" s="40">
        <f t="shared" si="13"/>
        <v>0</v>
      </c>
      <c r="M24" s="40">
        <f t="shared" si="13"/>
        <v>0</v>
      </c>
      <c r="N24" s="40">
        <f t="shared" si="13"/>
        <v>0</v>
      </c>
      <c r="O24" s="40">
        <f t="shared" si="13"/>
        <v>0</v>
      </c>
      <c r="P24" s="40">
        <f t="shared" si="13"/>
        <v>0</v>
      </c>
      <c r="Q24" s="40">
        <f t="shared" si="13"/>
        <v>0</v>
      </c>
      <c r="R24" s="40">
        <f t="shared" si="13"/>
        <v>0</v>
      </c>
      <c r="S24" s="40">
        <f t="shared" si="13"/>
        <v>0</v>
      </c>
      <c r="T24" s="40">
        <f t="shared" si="13"/>
        <v>0</v>
      </c>
      <c r="U24" s="40">
        <f t="shared" si="13"/>
        <v>0</v>
      </c>
      <c r="V24" s="40">
        <f t="shared" si="13"/>
        <v>0</v>
      </c>
      <c r="W24" s="40">
        <f t="shared" si="13"/>
        <v>0</v>
      </c>
      <c r="X24" s="40">
        <f t="shared" si="13"/>
        <v>0</v>
      </c>
      <c r="Y24" s="40">
        <f t="shared" si="13"/>
        <v>0</v>
      </c>
      <c r="Z24" s="40">
        <f t="shared" si="13"/>
        <v>0</v>
      </c>
      <c r="AA24" s="40">
        <f t="shared" si="13"/>
        <v>0</v>
      </c>
      <c r="AB24" s="40">
        <f t="shared" si="13"/>
        <v>0</v>
      </c>
      <c r="AC24" s="40">
        <f t="shared" si="13"/>
        <v>0</v>
      </c>
      <c r="AD24" s="40">
        <f t="shared" si="13"/>
        <v>0</v>
      </c>
      <c r="AE24" s="40">
        <f t="shared" si="13"/>
        <v>0</v>
      </c>
      <c r="AF24" s="40">
        <f t="shared" si="13"/>
        <v>0</v>
      </c>
      <c r="AG24" s="40">
        <f t="shared" si="13"/>
        <v>0</v>
      </c>
      <c r="AI24" t="s">
        <v>360</v>
      </c>
      <c r="AJ24" t="str">
        <f>IF(AH9="zero","\I:",$AK$45&amp;"_"&amp;VLOOKUP(C24,'TRA balance'!$AL$5:$AM$15,2,FALSE))</f>
        <v>\I:</v>
      </c>
      <c r="AK24" t="str">
        <f t="shared" si="0"/>
        <v>Trd_3w</v>
      </c>
      <c r="AL24">
        <f t="shared" si="1"/>
        <v>25</v>
      </c>
      <c r="AN24" t="str">
        <f t="shared" si="3"/>
        <v>DMD</v>
      </c>
      <c r="AO24" t="str">
        <f t="shared" si="4"/>
        <v>\I:</v>
      </c>
      <c r="AQ24" t="s">
        <v>156</v>
      </c>
      <c r="AR24" t="s">
        <v>354</v>
      </c>
      <c r="AS24" t="s">
        <v>361</v>
      </c>
    </row>
    <row r="25" spans="1:45" x14ac:dyDescent="0.45">
      <c r="C25" t="str">
        <f t="shared" si="12"/>
        <v>TRANGA</v>
      </c>
      <c r="D25" s="40">
        <f t="shared" si="13"/>
        <v>0</v>
      </c>
      <c r="E25" s="40">
        <f t="shared" si="13"/>
        <v>0</v>
      </c>
      <c r="F25" s="40">
        <f t="shared" si="13"/>
        <v>0</v>
      </c>
      <c r="G25" s="40">
        <f t="shared" si="13"/>
        <v>0</v>
      </c>
      <c r="H25" s="40">
        <f t="shared" si="13"/>
        <v>0</v>
      </c>
      <c r="I25" s="40">
        <f t="shared" si="13"/>
        <v>0</v>
      </c>
      <c r="J25" s="40">
        <f t="shared" si="13"/>
        <v>0</v>
      </c>
      <c r="K25" s="40">
        <f t="shared" si="13"/>
        <v>0</v>
      </c>
      <c r="L25" s="40">
        <f t="shared" si="13"/>
        <v>0</v>
      </c>
      <c r="M25" s="40">
        <f t="shared" si="13"/>
        <v>0</v>
      </c>
      <c r="N25" s="40">
        <f t="shared" si="13"/>
        <v>0</v>
      </c>
      <c r="O25" s="40">
        <f t="shared" si="13"/>
        <v>0</v>
      </c>
      <c r="P25" s="40">
        <f t="shared" si="13"/>
        <v>0</v>
      </c>
      <c r="Q25" s="40">
        <f t="shared" si="13"/>
        <v>0</v>
      </c>
      <c r="R25" s="40">
        <f t="shared" si="13"/>
        <v>0</v>
      </c>
      <c r="S25" s="40">
        <f t="shared" si="13"/>
        <v>0</v>
      </c>
      <c r="T25" s="40">
        <f t="shared" si="13"/>
        <v>0</v>
      </c>
      <c r="U25" s="40">
        <f t="shared" si="13"/>
        <v>0</v>
      </c>
      <c r="V25" s="40">
        <f t="shared" si="13"/>
        <v>0</v>
      </c>
      <c r="W25" s="40">
        <f t="shared" si="13"/>
        <v>0</v>
      </c>
      <c r="X25" s="40">
        <f t="shared" si="13"/>
        <v>0</v>
      </c>
      <c r="Y25" s="40">
        <f t="shared" si="13"/>
        <v>0</v>
      </c>
      <c r="Z25" s="40">
        <f t="shared" si="13"/>
        <v>0</v>
      </c>
      <c r="AA25" s="40">
        <f t="shared" si="13"/>
        <v>0</v>
      </c>
      <c r="AB25" s="40">
        <f t="shared" si="13"/>
        <v>0</v>
      </c>
      <c r="AC25" s="40">
        <f t="shared" si="13"/>
        <v>0</v>
      </c>
      <c r="AD25" s="40">
        <f t="shared" si="13"/>
        <v>0</v>
      </c>
      <c r="AE25" s="40">
        <f t="shared" si="13"/>
        <v>0</v>
      </c>
      <c r="AF25" s="40">
        <f t="shared" si="13"/>
        <v>0</v>
      </c>
      <c r="AG25" s="40">
        <f t="shared" si="13"/>
        <v>0</v>
      </c>
      <c r="AI25" t="s">
        <v>360</v>
      </c>
      <c r="AJ25" t="str">
        <f>IF(AH10="zero","\I:",$AK$45&amp;"_"&amp;VLOOKUP(C25,'TRA balance'!$AL$5:$AM$15,2,FALSE))</f>
        <v>\I:</v>
      </c>
      <c r="AK25" t="str">
        <f t="shared" si="0"/>
        <v>Trd_3w</v>
      </c>
      <c r="AL25">
        <f t="shared" si="1"/>
        <v>25</v>
      </c>
      <c r="AN25" t="str">
        <f t="shared" si="3"/>
        <v>DMD</v>
      </c>
      <c r="AO25" t="str">
        <f t="shared" si="4"/>
        <v>\I:</v>
      </c>
      <c r="AQ25" t="s">
        <v>156</v>
      </c>
      <c r="AR25" t="s">
        <v>354</v>
      </c>
      <c r="AS25" t="s">
        <v>361</v>
      </c>
    </row>
    <row r="26" spans="1:45" x14ac:dyDescent="0.4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I26" t="s">
        <v>169</v>
      </c>
      <c r="AK26" t="str">
        <f t="shared" si="0"/>
        <v/>
      </c>
      <c r="AL26" t="str">
        <f t="shared" si="1"/>
        <v/>
      </c>
      <c r="AN26" t="str">
        <f t="shared" si="3"/>
        <v>*</v>
      </c>
      <c r="AO26">
        <f t="shared" si="4"/>
        <v>0</v>
      </c>
      <c r="AQ26" t="s">
        <v>156</v>
      </c>
      <c r="AR26" t="s">
        <v>354</v>
      </c>
      <c r="AS26" t="s">
        <v>361</v>
      </c>
    </row>
    <row r="27" spans="1:45" x14ac:dyDescent="0.45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I27" t="s">
        <v>169</v>
      </c>
      <c r="AK27" t="str">
        <f t="shared" si="0"/>
        <v/>
      </c>
      <c r="AL27" t="str">
        <f t="shared" si="1"/>
        <v/>
      </c>
      <c r="AN27" t="str">
        <f t="shared" si="3"/>
        <v>*</v>
      </c>
      <c r="AO27">
        <f t="shared" si="4"/>
        <v>0</v>
      </c>
      <c r="AQ27" t="s">
        <v>156</v>
      </c>
      <c r="AR27" t="s">
        <v>354</v>
      </c>
      <c r="AS27" t="s">
        <v>361</v>
      </c>
    </row>
    <row r="28" spans="1:45" x14ac:dyDescent="0.45">
      <c r="A28" t="s">
        <v>331</v>
      </c>
      <c r="C28" t="str">
        <f>C19</f>
        <v>TRABDS</v>
      </c>
      <c r="D28">
        <f t="shared" ref="D28:M34" si="14">$AH28*D$27</f>
        <v>0.58696999999999999</v>
      </c>
      <c r="E28">
        <f t="shared" si="14"/>
        <v>0.58696999999999999</v>
      </c>
      <c r="F28">
        <f t="shared" si="14"/>
        <v>0.58696999999999999</v>
      </c>
      <c r="G28">
        <f t="shared" si="14"/>
        <v>0.58696999999999999</v>
      </c>
      <c r="H28">
        <f t="shared" si="14"/>
        <v>0.58696999999999999</v>
      </c>
      <c r="I28">
        <f t="shared" si="14"/>
        <v>0.58696999999999999</v>
      </c>
      <c r="J28">
        <f t="shared" si="14"/>
        <v>0.58696999999999999</v>
      </c>
      <c r="K28">
        <f t="shared" si="14"/>
        <v>0.58696999999999999</v>
      </c>
      <c r="L28">
        <f t="shared" si="14"/>
        <v>0.58696999999999999</v>
      </c>
      <c r="M28">
        <f t="shared" si="14"/>
        <v>0.58696999999999999</v>
      </c>
      <c r="N28">
        <f t="shared" ref="N28:AC34" si="15">$AH28*N$27</f>
        <v>0.58696999999999999</v>
      </c>
      <c r="O28">
        <f t="shared" si="15"/>
        <v>0.58696999999999999</v>
      </c>
      <c r="P28">
        <f t="shared" si="15"/>
        <v>0.58696999999999999</v>
      </c>
      <c r="Q28">
        <f t="shared" si="15"/>
        <v>0.58696999999999999</v>
      </c>
      <c r="R28">
        <f t="shared" si="15"/>
        <v>0.58696999999999999</v>
      </c>
      <c r="S28">
        <f t="shared" si="15"/>
        <v>0.58696999999999999</v>
      </c>
      <c r="T28">
        <f t="shared" si="15"/>
        <v>0.58696999999999999</v>
      </c>
      <c r="U28">
        <f t="shared" si="15"/>
        <v>0.58696999999999999</v>
      </c>
      <c r="V28">
        <f t="shared" si="15"/>
        <v>0.58696999999999999</v>
      </c>
      <c r="W28">
        <f t="shared" si="15"/>
        <v>0.58696999999999999</v>
      </c>
      <c r="X28">
        <f t="shared" si="15"/>
        <v>0.58696999999999999</v>
      </c>
      <c r="Y28">
        <f t="shared" si="15"/>
        <v>0.58696999999999999</v>
      </c>
      <c r="Z28">
        <f t="shared" si="15"/>
        <v>0.58696999999999999</v>
      </c>
      <c r="AA28">
        <f t="shared" si="15"/>
        <v>0.58696999999999999</v>
      </c>
      <c r="AB28">
        <f t="shared" si="15"/>
        <v>0.58696999999999999</v>
      </c>
      <c r="AC28">
        <f t="shared" si="15"/>
        <v>0.58696999999999999</v>
      </c>
      <c r="AD28">
        <f t="shared" ref="U28:AG34" si="16">$AH28*AD$27</f>
        <v>0.58696999999999999</v>
      </c>
      <c r="AE28">
        <f t="shared" si="16"/>
        <v>0.58696999999999999</v>
      </c>
      <c r="AF28">
        <f t="shared" si="16"/>
        <v>0.58696999999999999</v>
      </c>
      <c r="AG28">
        <f t="shared" si="16"/>
        <v>0.58696999999999999</v>
      </c>
      <c r="AH28" s="56">
        <v>0.58696999999999999</v>
      </c>
      <c r="AI28" t="s">
        <v>350</v>
      </c>
      <c r="AJ28" s="1" t="str">
        <f ca="1">AJ19</f>
        <v>Trd_3w_bdl</v>
      </c>
      <c r="AK28" t="str">
        <f t="shared" ca="1" si="0"/>
        <v>Trd_3w</v>
      </c>
      <c r="AL28">
        <f t="shared" ca="1" si="1"/>
        <v>25</v>
      </c>
      <c r="AN28" t="str">
        <f t="shared" ca="1" si="3"/>
        <v>DMD</v>
      </c>
      <c r="AO28" t="str">
        <f t="shared" ca="1" si="4"/>
        <v>Trd_3w_bdl</v>
      </c>
      <c r="AQ28" t="s">
        <v>156</v>
      </c>
      <c r="AR28" t="s">
        <v>354</v>
      </c>
      <c r="AS28" t="s">
        <v>361</v>
      </c>
    </row>
    <row r="29" spans="1:45" x14ac:dyDescent="0.45">
      <c r="C29" t="str">
        <f t="shared" ref="C29:C34" si="17">C20</f>
        <v>TRABGS</v>
      </c>
      <c r="D29">
        <f t="shared" si="14"/>
        <v>0.58696999999999999</v>
      </c>
      <c r="E29">
        <f t="shared" si="14"/>
        <v>0.58696999999999999</v>
      </c>
      <c r="F29">
        <f t="shared" si="14"/>
        <v>0.58696999999999999</v>
      </c>
      <c r="G29">
        <f t="shared" si="14"/>
        <v>0.58696999999999999</v>
      </c>
      <c r="H29">
        <f t="shared" si="14"/>
        <v>0.58696999999999999</v>
      </c>
      <c r="I29">
        <f t="shared" si="14"/>
        <v>0.58696999999999999</v>
      </c>
      <c r="J29">
        <f t="shared" si="14"/>
        <v>0.58696999999999999</v>
      </c>
      <c r="K29">
        <f t="shared" si="14"/>
        <v>0.58696999999999999</v>
      </c>
      <c r="L29">
        <f t="shared" si="14"/>
        <v>0.58696999999999999</v>
      </c>
      <c r="M29">
        <f t="shared" si="14"/>
        <v>0.58696999999999999</v>
      </c>
      <c r="N29">
        <f t="shared" si="15"/>
        <v>0.58696999999999999</v>
      </c>
      <c r="O29">
        <f t="shared" si="15"/>
        <v>0.58696999999999999</v>
      </c>
      <c r="P29">
        <f t="shared" si="15"/>
        <v>0.58696999999999999</v>
      </c>
      <c r="Q29">
        <f t="shared" si="15"/>
        <v>0.58696999999999999</v>
      </c>
      <c r="R29">
        <f t="shared" si="15"/>
        <v>0.58696999999999999</v>
      </c>
      <c r="S29">
        <f t="shared" si="15"/>
        <v>0.58696999999999999</v>
      </c>
      <c r="T29">
        <f t="shared" si="15"/>
        <v>0.58696999999999999</v>
      </c>
      <c r="U29">
        <f t="shared" si="16"/>
        <v>0.58696999999999999</v>
      </c>
      <c r="V29">
        <f t="shared" si="16"/>
        <v>0.58696999999999999</v>
      </c>
      <c r="W29">
        <f t="shared" si="16"/>
        <v>0.58696999999999999</v>
      </c>
      <c r="X29">
        <f t="shared" si="16"/>
        <v>0.58696999999999999</v>
      </c>
      <c r="Y29">
        <f t="shared" si="16"/>
        <v>0.58696999999999999</v>
      </c>
      <c r="Z29">
        <f t="shared" si="16"/>
        <v>0.58696999999999999</v>
      </c>
      <c r="AA29">
        <f t="shared" si="16"/>
        <v>0.58696999999999999</v>
      </c>
      <c r="AB29">
        <f t="shared" si="16"/>
        <v>0.58696999999999999</v>
      </c>
      <c r="AC29">
        <f t="shared" si="16"/>
        <v>0.58696999999999999</v>
      </c>
      <c r="AD29">
        <f t="shared" si="16"/>
        <v>0.58696999999999999</v>
      </c>
      <c r="AE29">
        <f t="shared" si="16"/>
        <v>0.58696999999999999</v>
      </c>
      <c r="AF29">
        <f t="shared" si="16"/>
        <v>0.58696999999999999</v>
      </c>
      <c r="AG29">
        <f t="shared" si="16"/>
        <v>0.58696999999999999</v>
      </c>
      <c r="AH29" s="56">
        <v>0.58696999999999999</v>
      </c>
      <c r="AI29" t="s">
        <v>350</v>
      </c>
      <c r="AJ29" s="1" t="str">
        <f t="shared" ref="AJ29:AJ34" ca="1" si="18">AJ20</f>
        <v>Trd_3w_eth</v>
      </c>
      <c r="AK29" t="str">
        <f t="shared" ca="1" si="0"/>
        <v>Trd_3w</v>
      </c>
      <c r="AL29">
        <f t="shared" ca="1" si="1"/>
        <v>25</v>
      </c>
      <c r="AN29" t="str">
        <f t="shared" ca="1" si="3"/>
        <v>DMD</v>
      </c>
      <c r="AO29" t="str">
        <f t="shared" ca="1" si="4"/>
        <v>Trd_3w_eth</v>
      </c>
      <c r="AQ29" t="s">
        <v>156</v>
      </c>
      <c r="AR29" t="s">
        <v>354</v>
      </c>
      <c r="AS29" t="s">
        <v>361</v>
      </c>
    </row>
    <row r="30" spans="1:45" x14ac:dyDescent="0.45">
      <c r="C30" t="str">
        <f t="shared" si="17"/>
        <v>TRADST</v>
      </c>
      <c r="D30">
        <f t="shared" si="14"/>
        <v>0.58696999999999999</v>
      </c>
      <c r="E30">
        <f t="shared" si="14"/>
        <v>0.58696999999999999</v>
      </c>
      <c r="F30">
        <f t="shared" si="14"/>
        <v>0.58696999999999999</v>
      </c>
      <c r="G30">
        <f t="shared" si="14"/>
        <v>0.58696999999999999</v>
      </c>
      <c r="H30">
        <f t="shared" si="14"/>
        <v>0.58696999999999999</v>
      </c>
      <c r="I30">
        <f t="shared" si="14"/>
        <v>0.58696999999999999</v>
      </c>
      <c r="J30">
        <f t="shared" si="14"/>
        <v>0.58696999999999999</v>
      </c>
      <c r="K30">
        <f t="shared" si="14"/>
        <v>0.58696999999999999</v>
      </c>
      <c r="L30">
        <f t="shared" si="14"/>
        <v>0.58696999999999999</v>
      </c>
      <c r="M30">
        <f t="shared" si="14"/>
        <v>0.58696999999999999</v>
      </c>
      <c r="N30">
        <f t="shared" si="15"/>
        <v>0.58696999999999999</v>
      </c>
      <c r="O30">
        <f t="shared" si="15"/>
        <v>0.58696999999999999</v>
      </c>
      <c r="P30">
        <f t="shared" si="15"/>
        <v>0.58696999999999999</v>
      </c>
      <c r="Q30">
        <f t="shared" si="15"/>
        <v>0.58696999999999999</v>
      </c>
      <c r="R30">
        <f t="shared" si="15"/>
        <v>0.58696999999999999</v>
      </c>
      <c r="S30">
        <f t="shared" si="15"/>
        <v>0.58696999999999999</v>
      </c>
      <c r="T30">
        <f t="shared" si="15"/>
        <v>0.58696999999999999</v>
      </c>
      <c r="U30">
        <f t="shared" si="16"/>
        <v>0.58696999999999999</v>
      </c>
      <c r="V30">
        <f t="shared" si="16"/>
        <v>0.58696999999999999</v>
      </c>
      <c r="W30">
        <f t="shared" si="16"/>
        <v>0.58696999999999999</v>
      </c>
      <c r="X30">
        <f t="shared" si="16"/>
        <v>0.58696999999999999</v>
      </c>
      <c r="Y30">
        <f t="shared" si="16"/>
        <v>0.58696999999999999</v>
      </c>
      <c r="Z30">
        <f t="shared" si="16"/>
        <v>0.58696999999999999</v>
      </c>
      <c r="AA30">
        <f t="shared" si="16"/>
        <v>0.58696999999999999</v>
      </c>
      <c r="AB30">
        <f t="shared" si="16"/>
        <v>0.58696999999999999</v>
      </c>
      <c r="AC30">
        <f t="shared" si="16"/>
        <v>0.58696999999999999</v>
      </c>
      <c r="AD30">
        <f t="shared" si="16"/>
        <v>0.58696999999999999</v>
      </c>
      <c r="AE30">
        <f t="shared" si="16"/>
        <v>0.58696999999999999</v>
      </c>
      <c r="AF30">
        <f t="shared" si="16"/>
        <v>0.58696999999999999</v>
      </c>
      <c r="AG30">
        <f t="shared" si="16"/>
        <v>0.58696999999999999</v>
      </c>
      <c r="AH30" s="56">
        <v>0.58696999999999999</v>
      </c>
      <c r="AI30" t="s">
        <v>350</v>
      </c>
      <c r="AJ30" s="1" t="str">
        <f t="shared" ca="1" si="18"/>
        <v>Trd_3w_dsl</v>
      </c>
      <c r="AK30" t="str">
        <f t="shared" ca="1" si="0"/>
        <v>Trd_3w</v>
      </c>
      <c r="AL30">
        <f t="shared" ca="1" si="1"/>
        <v>25</v>
      </c>
      <c r="AN30" t="str">
        <f t="shared" ca="1" si="3"/>
        <v>DMD</v>
      </c>
      <c r="AO30" t="str">
        <f t="shared" ca="1" si="4"/>
        <v>Trd_3w_dsl</v>
      </c>
      <c r="AQ30" t="s">
        <v>156</v>
      </c>
      <c r="AR30" t="s">
        <v>354</v>
      </c>
      <c r="AS30" t="s">
        <v>361</v>
      </c>
    </row>
    <row r="31" spans="1:45" x14ac:dyDescent="0.45">
      <c r="C31" t="str">
        <f t="shared" si="17"/>
        <v>TRAELC</v>
      </c>
      <c r="D31">
        <f t="shared" si="14"/>
        <v>0.58696999999999999</v>
      </c>
      <c r="E31">
        <f t="shared" si="14"/>
        <v>0.58696999999999999</v>
      </c>
      <c r="F31">
        <f t="shared" si="14"/>
        <v>0.58696999999999999</v>
      </c>
      <c r="G31">
        <f t="shared" si="14"/>
        <v>0.58696999999999999</v>
      </c>
      <c r="H31">
        <f t="shared" si="14"/>
        <v>0.58696999999999999</v>
      </c>
      <c r="I31">
        <f t="shared" si="14"/>
        <v>0.58696999999999999</v>
      </c>
      <c r="J31">
        <f t="shared" si="14"/>
        <v>0.58696999999999999</v>
      </c>
      <c r="K31">
        <f t="shared" si="14"/>
        <v>0.58696999999999999</v>
      </c>
      <c r="L31">
        <f t="shared" si="14"/>
        <v>0.58696999999999999</v>
      </c>
      <c r="M31">
        <f t="shared" si="14"/>
        <v>0.58696999999999999</v>
      </c>
      <c r="N31">
        <f t="shared" si="15"/>
        <v>0.58696999999999999</v>
      </c>
      <c r="O31">
        <f t="shared" si="15"/>
        <v>0.58696999999999999</v>
      </c>
      <c r="P31">
        <f t="shared" si="15"/>
        <v>0.58696999999999999</v>
      </c>
      <c r="Q31">
        <f t="shared" si="15"/>
        <v>0.58696999999999999</v>
      </c>
      <c r="R31">
        <f t="shared" si="15"/>
        <v>0.58696999999999999</v>
      </c>
      <c r="S31">
        <f t="shared" si="15"/>
        <v>0.58696999999999999</v>
      </c>
      <c r="T31">
        <f t="shared" si="15"/>
        <v>0.58696999999999999</v>
      </c>
      <c r="U31">
        <f t="shared" si="16"/>
        <v>0.58696999999999999</v>
      </c>
      <c r="V31">
        <f t="shared" si="16"/>
        <v>0.58696999999999999</v>
      </c>
      <c r="W31">
        <f t="shared" si="16"/>
        <v>0.58696999999999999</v>
      </c>
      <c r="X31">
        <f t="shared" si="16"/>
        <v>0.58696999999999999</v>
      </c>
      <c r="Y31">
        <f t="shared" si="16"/>
        <v>0.58696999999999999</v>
      </c>
      <c r="Z31">
        <f t="shared" si="16"/>
        <v>0.58696999999999999</v>
      </c>
      <c r="AA31">
        <f t="shared" si="16"/>
        <v>0.58696999999999999</v>
      </c>
      <c r="AB31">
        <f t="shared" si="16"/>
        <v>0.58696999999999999</v>
      </c>
      <c r="AC31">
        <f t="shared" si="16"/>
        <v>0.58696999999999999</v>
      </c>
      <c r="AD31">
        <f t="shared" si="16"/>
        <v>0.58696999999999999</v>
      </c>
      <c r="AE31">
        <f t="shared" si="16"/>
        <v>0.58696999999999999</v>
      </c>
      <c r="AF31">
        <f t="shared" si="16"/>
        <v>0.58696999999999999</v>
      </c>
      <c r="AG31">
        <f t="shared" si="16"/>
        <v>0.58696999999999999</v>
      </c>
      <c r="AH31" s="56">
        <v>0.58696999999999999</v>
      </c>
      <c r="AI31" t="s">
        <v>350</v>
      </c>
      <c r="AJ31" s="1" t="str">
        <f t="shared" ca="1" si="18"/>
        <v>\I:</v>
      </c>
      <c r="AK31" t="str">
        <f t="shared" ca="1" si="0"/>
        <v>Trd_3w</v>
      </c>
      <c r="AL31">
        <f t="shared" ca="1" si="1"/>
        <v>25</v>
      </c>
      <c r="AN31" t="str">
        <f t="shared" ca="1" si="3"/>
        <v>DMD</v>
      </c>
      <c r="AO31" t="str">
        <f t="shared" ca="1" si="4"/>
        <v>\I:</v>
      </c>
      <c r="AQ31" t="s">
        <v>156</v>
      </c>
      <c r="AR31" t="s">
        <v>354</v>
      </c>
      <c r="AS31" t="s">
        <v>361</v>
      </c>
    </row>
    <row r="32" spans="1:45" x14ac:dyDescent="0.45">
      <c r="C32" t="str">
        <f t="shared" si="17"/>
        <v>TRAGSL</v>
      </c>
      <c r="D32">
        <f t="shared" si="14"/>
        <v>0.58696999999999999</v>
      </c>
      <c r="E32">
        <f t="shared" si="14"/>
        <v>0.58696999999999999</v>
      </c>
      <c r="F32">
        <f t="shared" si="14"/>
        <v>0.58696999999999999</v>
      </c>
      <c r="G32">
        <f t="shared" si="14"/>
        <v>0.58696999999999999</v>
      </c>
      <c r="H32">
        <f t="shared" si="14"/>
        <v>0.58696999999999999</v>
      </c>
      <c r="I32">
        <f t="shared" si="14"/>
        <v>0.58696999999999999</v>
      </c>
      <c r="J32">
        <f t="shared" si="14"/>
        <v>0.58696999999999999</v>
      </c>
      <c r="K32">
        <f t="shared" si="14"/>
        <v>0.58696999999999999</v>
      </c>
      <c r="L32">
        <f t="shared" si="14"/>
        <v>0.58696999999999999</v>
      </c>
      <c r="M32">
        <f t="shared" si="14"/>
        <v>0.58696999999999999</v>
      </c>
      <c r="N32">
        <f t="shared" si="15"/>
        <v>0.58696999999999999</v>
      </c>
      <c r="O32">
        <f t="shared" si="15"/>
        <v>0.58696999999999999</v>
      </c>
      <c r="P32">
        <f t="shared" si="15"/>
        <v>0.58696999999999999</v>
      </c>
      <c r="Q32">
        <f t="shared" si="15"/>
        <v>0.58696999999999999</v>
      </c>
      <c r="R32">
        <f t="shared" si="15"/>
        <v>0.58696999999999999</v>
      </c>
      <c r="S32">
        <f t="shared" si="15"/>
        <v>0.58696999999999999</v>
      </c>
      <c r="T32">
        <f t="shared" si="15"/>
        <v>0.58696999999999999</v>
      </c>
      <c r="U32">
        <f t="shared" si="16"/>
        <v>0.58696999999999999</v>
      </c>
      <c r="V32">
        <f t="shared" si="16"/>
        <v>0.58696999999999999</v>
      </c>
      <c r="W32">
        <f t="shared" si="16"/>
        <v>0.58696999999999999</v>
      </c>
      <c r="X32">
        <f t="shared" si="16"/>
        <v>0.58696999999999999</v>
      </c>
      <c r="Y32">
        <f t="shared" si="16"/>
        <v>0.58696999999999999</v>
      </c>
      <c r="Z32">
        <f t="shared" si="16"/>
        <v>0.58696999999999999</v>
      </c>
      <c r="AA32">
        <f t="shared" si="16"/>
        <v>0.58696999999999999</v>
      </c>
      <c r="AB32">
        <f t="shared" si="16"/>
        <v>0.58696999999999999</v>
      </c>
      <c r="AC32">
        <f t="shared" si="16"/>
        <v>0.58696999999999999</v>
      </c>
      <c r="AD32">
        <f t="shared" si="16"/>
        <v>0.58696999999999999</v>
      </c>
      <c r="AE32">
        <f t="shared" si="16"/>
        <v>0.58696999999999999</v>
      </c>
      <c r="AF32">
        <f t="shared" si="16"/>
        <v>0.58696999999999999</v>
      </c>
      <c r="AG32">
        <f t="shared" si="16"/>
        <v>0.58696999999999999</v>
      </c>
      <c r="AH32" s="56">
        <v>0.58696999999999999</v>
      </c>
      <c r="AI32" t="s">
        <v>350</v>
      </c>
      <c r="AJ32" s="95" t="str">
        <f t="shared" ca="1" si="18"/>
        <v>Trd_3w_gsl</v>
      </c>
      <c r="AK32" t="str">
        <f t="shared" ca="1" si="0"/>
        <v>Trd_3w</v>
      </c>
      <c r="AL32">
        <f t="shared" ca="1" si="1"/>
        <v>25</v>
      </c>
      <c r="AN32" t="str">
        <f t="shared" ca="1" si="3"/>
        <v>DMD</v>
      </c>
      <c r="AO32" t="str">
        <f t="shared" ca="1" si="4"/>
        <v>Trd_3w_gsl</v>
      </c>
      <c r="AQ32" t="s">
        <v>156</v>
      </c>
      <c r="AR32" t="s">
        <v>354</v>
      </c>
      <c r="AS32" t="s">
        <v>361</v>
      </c>
    </row>
    <row r="33" spans="1:45" x14ac:dyDescent="0.45">
      <c r="C33" t="str">
        <f t="shared" si="17"/>
        <v>TRALPG</v>
      </c>
      <c r="D33">
        <f t="shared" si="14"/>
        <v>0.58696999999999999</v>
      </c>
      <c r="E33">
        <f t="shared" si="14"/>
        <v>0.58696999999999999</v>
      </c>
      <c r="F33">
        <f t="shared" si="14"/>
        <v>0.58696999999999999</v>
      </c>
      <c r="G33">
        <f t="shared" si="14"/>
        <v>0.58696999999999999</v>
      </c>
      <c r="H33">
        <f t="shared" si="14"/>
        <v>0.58696999999999999</v>
      </c>
      <c r="I33">
        <f t="shared" si="14"/>
        <v>0.58696999999999999</v>
      </c>
      <c r="J33">
        <f t="shared" si="14"/>
        <v>0.58696999999999999</v>
      </c>
      <c r="K33">
        <f t="shared" si="14"/>
        <v>0.58696999999999999</v>
      </c>
      <c r="L33">
        <f t="shared" si="14"/>
        <v>0.58696999999999999</v>
      </c>
      <c r="M33">
        <f t="shared" si="14"/>
        <v>0.58696999999999999</v>
      </c>
      <c r="N33">
        <f t="shared" si="15"/>
        <v>0.58696999999999999</v>
      </c>
      <c r="O33">
        <f t="shared" si="15"/>
        <v>0.58696999999999999</v>
      </c>
      <c r="P33">
        <f t="shared" si="15"/>
        <v>0.58696999999999999</v>
      </c>
      <c r="Q33">
        <f t="shared" si="15"/>
        <v>0.58696999999999999</v>
      </c>
      <c r="R33">
        <f t="shared" si="15"/>
        <v>0.58696999999999999</v>
      </c>
      <c r="S33">
        <f t="shared" si="15"/>
        <v>0.58696999999999999</v>
      </c>
      <c r="T33">
        <f t="shared" si="15"/>
        <v>0.58696999999999999</v>
      </c>
      <c r="U33">
        <f t="shared" si="16"/>
        <v>0.58696999999999999</v>
      </c>
      <c r="V33">
        <f t="shared" si="16"/>
        <v>0.58696999999999999</v>
      </c>
      <c r="W33">
        <f t="shared" si="16"/>
        <v>0.58696999999999999</v>
      </c>
      <c r="X33">
        <f t="shared" si="16"/>
        <v>0.58696999999999999</v>
      </c>
      <c r="Y33">
        <f t="shared" si="16"/>
        <v>0.58696999999999999</v>
      </c>
      <c r="Z33">
        <f t="shared" si="16"/>
        <v>0.58696999999999999</v>
      </c>
      <c r="AA33">
        <f t="shared" si="16"/>
        <v>0.58696999999999999</v>
      </c>
      <c r="AB33">
        <f t="shared" si="16"/>
        <v>0.58696999999999999</v>
      </c>
      <c r="AC33">
        <f t="shared" si="16"/>
        <v>0.58696999999999999</v>
      </c>
      <c r="AD33">
        <f t="shared" si="16"/>
        <v>0.58696999999999999</v>
      </c>
      <c r="AE33">
        <f t="shared" si="16"/>
        <v>0.58696999999999999</v>
      </c>
      <c r="AF33">
        <f t="shared" si="16"/>
        <v>0.58696999999999999</v>
      </c>
      <c r="AG33">
        <f t="shared" si="16"/>
        <v>0.58696999999999999</v>
      </c>
      <c r="AH33" s="56">
        <v>0.58696999999999999</v>
      </c>
      <c r="AI33" t="s">
        <v>350</v>
      </c>
      <c r="AJ33" s="1" t="str">
        <f t="shared" si="18"/>
        <v>\I:</v>
      </c>
      <c r="AK33" t="str">
        <f t="shared" si="0"/>
        <v>Trd_3w</v>
      </c>
      <c r="AL33">
        <f t="shared" si="1"/>
        <v>25</v>
      </c>
      <c r="AN33" t="str">
        <f t="shared" si="3"/>
        <v>DMD</v>
      </c>
      <c r="AO33" t="str">
        <f t="shared" si="4"/>
        <v>\I:</v>
      </c>
      <c r="AQ33" t="s">
        <v>156</v>
      </c>
      <c r="AR33" t="s">
        <v>354</v>
      </c>
      <c r="AS33" t="s">
        <v>361</v>
      </c>
    </row>
    <row r="34" spans="1:45" x14ac:dyDescent="0.45">
      <c r="C34" t="str">
        <f t="shared" si="17"/>
        <v>TRANGA</v>
      </c>
      <c r="D34">
        <f t="shared" si="14"/>
        <v>0.58696999999999999</v>
      </c>
      <c r="E34">
        <f t="shared" si="14"/>
        <v>0.58696999999999999</v>
      </c>
      <c r="F34">
        <f t="shared" si="14"/>
        <v>0.58696999999999999</v>
      </c>
      <c r="G34">
        <f t="shared" si="14"/>
        <v>0.58696999999999999</v>
      </c>
      <c r="H34">
        <f t="shared" si="14"/>
        <v>0.58696999999999999</v>
      </c>
      <c r="I34">
        <f t="shared" si="14"/>
        <v>0.58696999999999999</v>
      </c>
      <c r="J34">
        <f t="shared" si="14"/>
        <v>0.58696999999999999</v>
      </c>
      <c r="K34">
        <f t="shared" si="14"/>
        <v>0.58696999999999999</v>
      </c>
      <c r="L34">
        <f t="shared" si="14"/>
        <v>0.58696999999999999</v>
      </c>
      <c r="M34">
        <f t="shared" si="14"/>
        <v>0.58696999999999999</v>
      </c>
      <c r="N34">
        <f t="shared" si="15"/>
        <v>0.58696999999999999</v>
      </c>
      <c r="O34">
        <f t="shared" si="15"/>
        <v>0.58696999999999999</v>
      </c>
      <c r="P34">
        <f t="shared" si="15"/>
        <v>0.58696999999999999</v>
      </c>
      <c r="Q34">
        <f t="shared" si="15"/>
        <v>0.58696999999999999</v>
      </c>
      <c r="R34">
        <f t="shared" si="15"/>
        <v>0.58696999999999999</v>
      </c>
      <c r="S34">
        <f t="shared" si="15"/>
        <v>0.58696999999999999</v>
      </c>
      <c r="T34">
        <f t="shared" si="15"/>
        <v>0.58696999999999999</v>
      </c>
      <c r="U34">
        <f t="shared" si="16"/>
        <v>0.58696999999999999</v>
      </c>
      <c r="V34">
        <f t="shared" si="16"/>
        <v>0.58696999999999999</v>
      </c>
      <c r="W34">
        <f t="shared" si="16"/>
        <v>0.58696999999999999</v>
      </c>
      <c r="X34">
        <f t="shared" si="16"/>
        <v>0.58696999999999999</v>
      </c>
      <c r="Y34">
        <f t="shared" si="16"/>
        <v>0.58696999999999999</v>
      </c>
      <c r="Z34">
        <f t="shared" si="16"/>
        <v>0.58696999999999999</v>
      </c>
      <c r="AA34">
        <f t="shared" si="16"/>
        <v>0.58696999999999999</v>
      </c>
      <c r="AB34">
        <f t="shared" si="16"/>
        <v>0.58696999999999999</v>
      </c>
      <c r="AC34">
        <f t="shared" si="16"/>
        <v>0.58696999999999999</v>
      </c>
      <c r="AD34">
        <f t="shared" si="16"/>
        <v>0.58696999999999999</v>
      </c>
      <c r="AE34">
        <f t="shared" si="16"/>
        <v>0.58696999999999999</v>
      </c>
      <c r="AF34">
        <f t="shared" si="16"/>
        <v>0.58696999999999999</v>
      </c>
      <c r="AG34">
        <f t="shared" si="16"/>
        <v>0.58696999999999999</v>
      </c>
      <c r="AH34" s="56">
        <v>0.58696999999999999</v>
      </c>
      <c r="AI34" t="s">
        <v>350</v>
      </c>
      <c r="AJ34" s="1" t="str">
        <f t="shared" si="18"/>
        <v>\I:</v>
      </c>
      <c r="AK34" t="str">
        <f t="shared" si="0"/>
        <v>Trd_3w</v>
      </c>
      <c r="AL34">
        <f t="shared" si="1"/>
        <v>25</v>
      </c>
      <c r="AN34" t="str">
        <f t="shared" si="3"/>
        <v>DMD</v>
      </c>
      <c r="AO34" t="str">
        <f t="shared" si="4"/>
        <v>\I:</v>
      </c>
      <c r="AQ34" t="s">
        <v>156</v>
      </c>
      <c r="AR34" t="s">
        <v>354</v>
      </c>
      <c r="AS34" t="s">
        <v>361</v>
      </c>
    </row>
    <row r="35" spans="1:45" x14ac:dyDescent="0.45">
      <c r="AI35" t="s">
        <v>169</v>
      </c>
      <c r="AK35" t="str">
        <f t="shared" si="0"/>
        <v/>
      </c>
      <c r="AL35" t="str">
        <f t="shared" si="1"/>
        <v/>
      </c>
      <c r="AN35" t="str">
        <f t="shared" si="3"/>
        <v>*</v>
      </c>
      <c r="AO35">
        <f t="shared" si="4"/>
        <v>0</v>
      </c>
      <c r="AQ35" t="s">
        <v>156</v>
      </c>
      <c r="AR35" t="s">
        <v>354</v>
      </c>
      <c r="AS35" t="s">
        <v>361</v>
      </c>
    </row>
    <row r="36" spans="1:45" x14ac:dyDescent="0.45">
      <c r="A36" t="s">
        <v>332</v>
      </c>
      <c r="C36" t="str">
        <f>C28</f>
        <v>TRABDS</v>
      </c>
      <c r="D36" s="40">
        <v>15</v>
      </c>
      <c r="E36" s="40">
        <v>15</v>
      </c>
      <c r="F36" s="40">
        <v>15</v>
      </c>
      <c r="G36" s="40">
        <v>15</v>
      </c>
      <c r="H36" s="40">
        <v>15</v>
      </c>
      <c r="I36" s="40">
        <v>15</v>
      </c>
      <c r="J36" s="40">
        <v>15</v>
      </c>
      <c r="K36" s="40">
        <v>15</v>
      </c>
      <c r="L36" s="40">
        <v>15</v>
      </c>
      <c r="M36" s="40">
        <v>15</v>
      </c>
      <c r="N36" s="40">
        <v>15</v>
      </c>
      <c r="O36" s="40">
        <v>15</v>
      </c>
      <c r="P36" s="40">
        <v>15</v>
      </c>
      <c r="Q36" s="40">
        <v>15</v>
      </c>
      <c r="R36" s="40">
        <v>15</v>
      </c>
      <c r="S36" s="40">
        <v>15</v>
      </c>
      <c r="T36" s="40">
        <v>15</v>
      </c>
      <c r="U36" s="40">
        <v>15</v>
      </c>
      <c r="V36" s="40">
        <v>15</v>
      </c>
      <c r="W36" s="40">
        <v>15</v>
      </c>
      <c r="X36" s="40">
        <v>15</v>
      </c>
      <c r="Y36" s="40">
        <v>15</v>
      </c>
      <c r="Z36" s="40">
        <v>15</v>
      </c>
      <c r="AA36" s="40">
        <v>15</v>
      </c>
      <c r="AB36" s="40">
        <v>15</v>
      </c>
      <c r="AC36" s="40">
        <v>15</v>
      </c>
      <c r="AD36" s="40">
        <v>15</v>
      </c>
      <c r="AE36" s="40">
        <v>15</v>
      </c>
      <c r="AF36" s="40">
        <v>15</v>
      </c>
      <c r="AG36" s="40">
        <v>15</v>
      </c>
      <c r="AI36" t="s">
        <v>351</v>
      </c>
      <c r="AJ36" s="1" t="str">
        <f ca="1">AJ28</f>
        <v>Trd_3w_bdl</v>
      </c>
      <c r="AK36" t="str">
        <f t="shared" ca="1" si="0"/>
        <v>Trd_3w</v>
      </c>
      <c r="AL36">
        <f t="shared" ca="1" si="1"/>
        <v>25</v>
      </c>
      <c r="AN36" t="str">
        <f t="shared" ca="1" si="3"/>
        <v>DMD</v>
      </c>
      <c r="AO36" t="str">
        <f t="shared" ca="1" si="4"/>
        <v>Trd_3w_bdl</v>
      </c>
      <c r="AQ36" t="s">
        <v>156</v>
      </c>
      <c r="AR36" t="s">
        <v>354</v>
      </c>
      <c r="AS36" t="s">
        <v>361</v>
      </c>
    </row>
    <row r="37" spans="1:45" x14ac:dyDescent="0.45">
      <c r="C37" t="str">
        <f t="shared" ref="C37:C42" si="19">C29</f>
        <v>TRABGS</v>
      </c>
      <c r="D37" s="40">
        <v>15</v>
      </c>
      <c r="E37" s="40">
        <v>15</v>
      </c>
      <c r="F37" s="40">
        <v>15</v>
      </c>
      <c r="G37" s="40">
        <v>15</v>
      </c>
      <c r="H37" s="40">
        <v>15</v>
      </c>
      <c r="I37" s="40">
        <v>15</v>
      </c>
      <c r="J37" s="40">
        <v>15</v>
      </c>
      <c r="K37" s="40">
        <f>K36</f>
        <v>15</v>
      </c>
      <c r="L37" s="40">
        <f t="shared" ref="L37:P42" si="20">L36</f>
        <v>15</v>
      </c>
      <c r="M37" s="40">
        <f t="shared" si="20"/>
        <v>15</v>
      </c>
      <c r="N37" s="40">
        <f t="shared" si="20"/>
        <v>15</v>
      </c>
      <c r="O37" s="40">
        <f t="shared" si="20"/>
        <v>15</v>
      </c>
      <c r="P37" s="40">
        <f t="shared" si="20"/>
        <v>15</v>
      </c>
      <c r="Q37" s="40">
        <v>15</v>
      </c>
      <c r="R37" s="40">
        <v>15</v>
      </c>
      <c r="S37" s="40">
        <v>15</v>
      </c>
      <c r="T37" s="40">
        <v>15</v>
      </c>
      <c r="U37" s="40">
        <v>15</v>
      </c>
      <c r="V37" s="40">
        <v>15</v>
      </c>
      <c r="W37" s="40">
        <v>15</v>
      </c>
      <c r="X37" s="40">
        <v>15</v>
      </c>
      <c r="Y37" s="40">
        <v>15</v>
      </c>
      <c r="Z37" s="40">
        <v>15</v>
      </c>
      <c r="AA37" s="40">
        <v>15</v>
      </c>
      <c r="AB37" s="40">
        <v>15</v>
      </c>
      <c r="AC37" s="40">
        <v>15</v>
      </c>
      <c r="AD37" s="40">
        <v>15</v>
      </c>
      <c r="AE37" s="40">
        <v>15</v>
      </c>
      <c r="AF37" s="40">
        <v>15</v>
      </c>
      <c r="AG37" s="40">
        <v>15</v>
      </c>
      <c r="AI37" t="s">
        <v>351</v>
      </c>
      <c r="AJ37" s="1" t="str">
        <f t="shared" ref="AJ37:AJ42" ca="1" si="21">AJ29</f>
        <v>Trd_3w_eth</v>
      </c>
      <c r="AK37" t="str">
        <f t="shared" ca="1" si="0"/>
        <v>Trd_3w</v>
      </c>
      <c r="AL37">
        <f t="shared" ca="1" si="1"/>
        <v>25</v>
      </c>
      <c r="AN37" t="str">
        <f t="shared" ca="1" si="3"/>
        <v>DMD</v>
      </c>
      <c r="AO37" t="str">
        <f t="shared" ca="1" si="4"/>
        <v>Trd_3w_eth</v>
      </c>
      <c r="AQ37" t="s">
        <v>156</v>
      </c>
      <c r="AR37" t="s">
        <v>354</v>
      </c>
      <c r="AS37" t="s">
        <v>361</v>
      </c>
    </row>
    <row r="38" spans="1:45" x14ac:dyDescent="0.45">
      <c r="C38" t="str">
        <f t="shared" si="19"/>
        <v>TRADST</v>
      </c>
      <c r="D38" s="40">
        <v>15</v>
      </c>
      <c r="E38" s="40">
        <v>15</v>
      </c>
      <c r="F38" s="40">
        <v>15</v>
      </c>
      <c r="G38" s="40">
        <v>15</v>
      </c>
      <c r="H38" s="40">
        <v>15</v>
      </c>
      <c r="I38" s="40">
        <v>15</v>
      </c>
      <c r="J38" s="40">
        <v>15</v>
      </c>
      <c r="K38" s="40">
        <f t="shared" ref="K38:K42" si="22">K37</f>
        <v>15</v>
      </c>
      <c r="L38" s="40">
        <f t="shared" si="20"/>
        <v>15</v>
      </c>
      <c r="M38" s="40">
        <f t="shared" si="20"/>
        <v>15</v>
      </c>
      <c r="N38" s="40">
        <f t="shared" si="20"/>
        <v>15</v>
      </c>
      <c r="O38" s="40">
        <f t="shared" si="20"/>
        <v>15</v>
      </c>
      <c r="P38" s="40">
        <f t="shared" si="20"/>
        <v>15</v>
      </c>
      <c r="Q38" s="40">
        <v>15</v>
      </c>
      <c r="R38" s="40">
        <v>15</v>
      </c>
      <c r="S38" s="40">
        <v>15</v>
      </c>
      <c r="T38" s="40">
        <v>15</v>
      </c>
      <c r="U38" s="40">
        <v>15</v>
      </c>
      <c r="V38" s="40">
        <v>15</v>
      </c>
      <c r="W38" s="40">
        <v>15</v>
      </c>
      <c r="X38" s="40">
        <v>15</v>
      </c>
      <c r="Y38" s="40">
        <v>15</v>
      </c>
      <c r="Z38" s="40">
        <v>15</v>
      </c>
      <c r="AA38" s="40">
        <v>15</v>
      </c>
      <c r="AB38" s="40">
        <v>15</v>
      </c>
      <c r="AC38" s="40">
        <v>15</v>
      </c>
      <c r="AD38" s="40">
        <v>15</v>
      </c>
      <c r="AE38" s="40">
        <v>15</v>
      </c>
      <c r="AF38" s="40">
        <v>15</v>
      </c>
      <c r="AG38" s="40">
        <v>15</v>
      </c>
      <c r="AI38" t="s">
        <v>351</v>
      </c>
      <c r="AJ38" s="1" t="str">
        <f t="shared" ca="1" si="21"/>
        <v>Trd_3w_dsl</v>
      </c>
      <c r="AK38" t="str">
        <f t="shared" ca="1" si="0"/>
        <v>Trd_3w</v>
      </c>
      <c r="AL38">
        <f t="shared" ca="1" si="1"/>
        <v>25</v>
      </c>
      <c r="AN38" t="str">
        <f t="shared" ca="1" si="3"/>
        <v>DMD</v>
      </c>
      <c r="AO38" t="str">
        <f t="shared" ca="1" si="4"/>
        <v>Trd_3w_dsl</v>
      </c>
      <c r="AQ38" t="s">
        <v>156</v>
      </c>
      <c r="AR38" t="s">
        <v>354</v>
      </c>
      <c r="AS38" t="s">
        <v>361</v>
      </c>
    </row>
    <row r="39" spans="1:45" x14ac:dyDescent="0.45">
      <c r="C39" t="str">
        <f t="shared" si="19"/>
        <v>TRAELC</v>
      </c>
      <c r="D39" s="40">
        <v>15</v>
      </c>
      <c r="E39" s="40">
        <v>15</v>
      </c>
      <c r="F39" s="40">
        <v>15</v>
      </c>
      <c r="G39" s="40">
        <v>15</v>
      </c>
      <c r="H39" s="40">
        <v>15</v>
      </c>
      <c r="I39" s="40">
        <v>15</v>
      </c>
      <c r="J39" s="40">
        <v>15</v>
      </c>
      <c r="K39" s="40">
        <f t="shared" si="22"/>
        <v>15</v>
      </c>
      <c r="L39" s="40">
        <f t="shared" si="20"/>
        <v>15</v>
      </c>
      <c r="M39" s="40">
        <f t="shared" si="20"/>
        <v>15</v>
      </c>
      <c r="N39" s="40">
        <f t="shared" si="20"/>
        <v>15</v>
      </c>
      <c r="O39" s="40">
        <f t="shared" si="20"/>
        <v>15</v>
      </c>
      <c r="P39" s="40">
        <f t="shared" si="20"/>
        <v>15</v>
      </c>
      <c r="Q39" s="40">
        <v>15</v>
      </c>
      <c r="R39" s="40">
        <v>15</v>
      </c>
      <c r="S39" s="40">
        <v>15</v>
      </c>
      <c r="T39" s="40">
        <v>15</v>
      </c>
      <c r="U39" s="40">
        <v>15</v>
      </c>
      <c r="V39" s="40">
        <v>15</v>
      </c>
      <c r="W39" s="40">
        <v>15</v>
      </c>
      <c r="X39" s="40">
        <v>15</v>
      </c>
      <c r="Y39" s="40">
        <v>15</v>
      </c>
      <c r="Z39" s="40">
        <v>15</v>
      </c>
      <c r="AA39" s="40">
        <v>15</v>
      </c>
      <c r="AB39" s="40">
        <v>15</v>
      </c>
      <c r="AC39" s="40">
        <v>15</v>
      </c>
      <c r="AD39" s="40">
        <v>15</v>
      </c>
      <c r="AE39" s="40">
        <v>15</v>
      </c>
      <c r="AF39" s="40">
        <v>15</v>
      </c>
      <c r="AG39" s="40">
        <v>15</v>
      </c>
      <c r="AI39" t="s">
        <v>351</v>
      </c>
      <c r="AJ39" s="1" t="str">
        <f t="shared" ca="1" si="21"/>
        <v>\I:</v>
      </c>
      <c r="AK39" t="str">
        <f t="shared" ca="1" si="0"/>
        <v>Trd_3w</v>
      </c>
      <c r="AL39">
        <f t="shared" ca="1" si="1"/>
        <v>25</v>
      </c>
      <c r="AN39" t="str">
        <f t="shared" ca="1" si="3"/>
        <v>DMD</v>
      </c>
      <c r="AO39" t="str">
        <f t="shared" ca="1" si="4"/>
        <v>\I:</v>
      </c>
      <c r="AQ39" t="s">
        <v>156</v>
      </c>
      <c r="AR39" t="s">
        <v>354</v>
      </c>
      <c r="AS39" t="s">
        <v>361</v>
      </c>
    </row>
    <row r="40" spans="1:45" x14ac:dyDescent="0.45">
      <c r="C40" t="str">
        <f t="shared" si="19"/>
        <v>TRAGSL</v>
      </c>
      <c r="D40" s="40">
        <v>15</v>
      </c>
      <c r="E40" s="40">
        <v>15</v>
      </c>
      <c r="F40" s="40">
        <v>15</v>
      </c>
      <c r="G40" s="40">
        <v>15</v>
      </c>
      <c r="H40" s="40">
        <v>15</v>
      </c>
      <c r="I40" s="40">
        <v>15</v>
      </c>
      <c r="J40" s="40">
        <v>15</v>
      </c>
      <c r="K40" s="40">
        <f t="shared" si="22"/>
        <v>15</v>
      </c>
      <c r="L40" s="40">
        <f t="shared" si="20"/>
        <v>15</v>
      </c>
      <c r="M40" s="40">
        <f t="shared" si="20"/>
        <v>15</v>
      </c>
      <c r="N40" s="40">
        <f t="shared" si="20"/>
        <v>15</v>
      </c>
      <c r="O40" s="40">
        <f t="shared" si="20"/>
        <v>15</v>
      </c>
      <c r="P40" s="40">
        <f t="shared" si="20"/>
        <v>15</v>
      </c>
      <c r="Q40" s="40">
        <v>15</v>
      </c>
      <c r="R40" s="40">
        <v>15</v>
      </c>
      <c r="S40" s="40">
        <v>15</v>
      </c>
      <c r="T40" s="40">
        <v>15</v>
      </c>
      <c r="U40" s="40">
        <v>15</v>
      </c>
      <c r="V40" s="40">
        <v>15</v>
      </c>
      <c r="W40" s="40">
        <v>15</v>
      </c>
      <c r="X40" s="40">
        <v>15</v>
      </c>
      <c r="Y40" s="40">
        <v>15</v>
      </c>
      <c r="Z40" s="40">
        <v>15</v>
      </c>
      <c r="AA40" s="40">
        <v>15</v>
      </c>
      <c r="AB40" s="40">
        <v>15</v>
      </c>
      <c r="AC40" s="40">
        <v>15</v>
      </c>
      <c r="AD40" s="40">
        <v>15</v>
      </c>
      <c r="AE40" s="40">
        <v>15</v>
      </c>
      <c r="AF40" s="40">
        <v>15</v>
      </c>
      <c r="AG40" s="40">
        <v>15</v>
      </c>
      <c r="AI40" t="s">
        <v>351</v>
      </c>
      <c r="AJ40" s="1" t="str">
        <f t="shared" ca="1" si="21"/>
        <v>Trd_3w_gsl</v>
      </c>
      <c r="AK40" t="str">
        <f t="shared" ca="1" si="0"/>
        <v>Trd_3w</v>
      </c>
      <c r="AL40">
        <f t="shared" ca="1" si="1"/>
        <v>25</v>
      </c>
      <c r="AN40" t="str">
        <f t="shared" ca="1" si="3"/>
        <v>DMD</v>
      </c>
      <c r="AO40" t="str">
        <f t="shared" ca="1" si="4"/>
        <v>Trd_3w_gsl</v>
      </c>
      <c r="AQ40" t="s">
        <v>156</v>
      </c>
      <c r="AR40" t="s">
        <v>354</v>
      </c>
      <c r="AS40" t="s">
        <v>361</v>
      </c>
    </row>
    <row r="41" spans="1:45" x14ac:dyDescent="0.45">
      <c r="C41" t="str">
        <f t="shared" si="19"/>
        <v>TRALPG</v>
      </c>
      <c r="D41" s="40">
        <v>15</v>
      </c>
      <c r="E41" s="40">
        <v>15</v>
      </c>
      <c r="F41" s="40">
        <v>15</v>
      </c>
      <c r="G41" s="40">
        <v>15</v>
      </c>
      <c r="H41" s="40">
        <v>15</v>
      </c>
      <c r="I41" s="40">
        <v>15</v>
      </c>
      <c r="J41" s="40">
        <v>15</v>
      </c>
      <c r="K41" s="40">
        <f t="shared" si="22"/>
        <v>15</v>
      </c>
      <c r="L41" s="40">
        <f t="shared" si="20"/>
        <v>15</v>
      </c>
      <c r="M41" s="40">
        <f t="shared" si="20"/>
        <v>15</v>
      </c>
      <c r="N41" s="40">
        <f t="shared" si="20"/>
        <v>15</v>
      </c>
      <c r="O41" s="40">
        <f t="shared" si="20"/>
        <v>15</v>
      </c>
      <c r="P41" s="40">
        <f t="shared" si="20"/>
        <v>15</v>
      </c>
      <c r="Q41" s="40">
        <v>15</v>
      </c>
      <c r="R41" s="40">
        <v>15</v>
      </c>
      <c r="S41" s="40">
        <v>15</v>
      </c>
      <c r="T41" s="40">
        <v>15</v>
      </c>
      <c r="U41" s="40">
        <v>15</v>
      </c>
      <c r="V41" s="40">
        <v>15</v>
      </c>
      <c r="W41" s="40">
        <v>15</v>
      </c>
      <c r="X41" s="40">
        <v>15</v>
      </c>
      <c r="Y41" s="40">
        <v>15</v>
      </c>
      <c r="Z41" s="40">
        <v>15</v>
      </c>
      <c r="AA41" s="40">
        <v>15</v>
      </c>
      <c r="AB41" s="40">
        <v>15</v>
      </c>
      <c r="AC41" s="40">
        <v>15</v>
      </c>
      <c r="AD41" s="40">
        <v>15</v>
      </c>
      <c r="AE41" s="40">
        <v>15</v>
      </c>
      <c r="AF41" s="40">
        <v>15</v>
      </c>
      <c r="AG41" s="40">
        <v>15</v>
      </c>
      <c r="AI41" t="s">
        <v>351</v>
      </c>
      <c r="AJ41" s="1" t="str">
        <f t="shared" si="21"/>
        <v>\I:</v>
      </c>
      <c r="AK41" t="str">
        <f t="shared" si="0"/>
        <v>Trd_3w</v>
      </c>
      <c r="AL41">
        <f t="shared" si="1"/>
        <v>25</v>
      </c>
      <c r="AN41" t="str">
        <f t="shared" si="3"/>
        <v>DMD</v>
      </c>
      <c r="AO41" t="str">
        <f t="shared" si="4"/>
        <v>\I:</v>
      </c>
      <c r="AQ41" t="s">
        <v>156</v>
      </c>
      <c r="AR41" t="s">
        <v>354</v>
      </c>
      <c r="AS41" t="s">
        <v>361</v>
      </c>
    </row>
    <row r="42" spans="1:45" x14ac:dyDescent="0.45">
      <c r="C42" t="str">
        <f t="shared" si="19"/>
        <v>TRANGA</v>
      </c>
      <c r="D42" s="40">
        <v>15</v>
      </c>
      <c r="E42" s="40">
        <v>15</v>
      </c>
      <c r="F42" s="40">
        <v>15</v>
      </c>
      <c r="G42" s="40">
        <v>15</v>
      </c>
      <c r="H42" s="40">
        <v>15</v>
      </c>
      <c r="I42" s="40">
        <v>15</v>
      </c>
      <c r="J42" s="40">
        <v>15</v>
      </c>
      <c r="K42" s="40">
        <f t="shared" si="22"/>
        <v>15</v>
      </c>
      <c r="L42" s="40">
        <f t="shared" si="20"/>
        <v>15</v>
      </c>
      <c r="M42" s="40">
        <f t="shared" si="20"/>
        <v>15</v>
      </c>
      <c r="N42" s="40">
        <f t="shared" si="20"/>
        <v>15</v>
      </c>
      <c r="O42" s="40">
        <f t="shared" si="20"/>
        <v>15</v>
      </c>
      <c r="P42" s="40">
        <f t="shared" si="20"/>
        <v>15</v>
      </c>
      <c r="Q42" s="40">
        <v>15</v>
      </c>
      <c r="R42" s="40">
        <v>15</v>
      </c>
      <c r="S42" s="40">
        <v>15</v>
      </c>
      <c r="T42" s="40">
        <v>15</v>
      </c>
      <c r="U42" s="40">
        <v>15</v>
      </c>
      <c r="V42" s="40">
        <v>15</v>
      </c>
      <c r="W42" s="40">
        <v>15</v>
      </c>
      <c r="X42" s="40">
        <v>15</v>
      </c>
      <c r="Y42" s="40">
        <v>15</v>
      </c>
      <c r="Z42" s="40">
        <v>15</v>
      </c>
      <c r="AA42" s="40">
        <v>15</v>
      </c>
      <c r="AB42" s="40">
        <v>15</v>
      </c>
      <c r="AC42" s="40">
        <v>15</v>
      </c>
      <c r="AD42" s="40">
        <v>15</v>
      </c>
      <c r="AE42" s="40">
        <v>15</v>
      </c>
      <c r="AF42" s="40">
        <v>15</v>
      </c>
      <c r="AG42" s="40">
        <v>15</v>
      </c>
      <c r="AI42" t="s">
        <v>351</v>
      </c>
      <c r="AJ42" s="1" t="str">
        <f t="shared" si="21"/>
        <v>\I:</v>
      </c>
      <c r="AK42" t="str">
        <f t="shared" si="0"/>
        <v>Trd_3w</v>
      </c>
      <c r="AL42">
        <f t="shared" si="1"/>
        <v>25</v>
      </c>
      <c r="AN42" t="str">
        <f t="shared" si="3"/>
        <v>DMD</v>
      </c>
      <c r="AO42" t="str">
        <f t="shared" si="4"/>
        <v>\I:</v>
      </c>
      <c r="AQ42" t="s">
        <v>156</v>
      </c>
      <c r="AR42" t="s">
        <v>354</v>
      </c>
      <c r="AS42" t="s">
        <v>361</v>
      </c>
    </row>
    <row r="43" spans="1:45" x14ac:dyDescent="0.45">
      <c r="AI43" t="s">
        <v>169</v>
      </c>
      <c r="AL43" t="str">
        <f t="shared" si="1"/>
        <v/>
      </c>
    </row>
    <row r="44" spans="1:45" x14ac:dyDescent="0.45">
      <c r="D44" t="str">
        <f>D3</f>
        <v>Africa_north</v>
      </c>
      <c r="E44" t="str">
        <f t="shared" ref="E44:T44" si="23">E3</f>
        <v>Africa_other</v>
      </c>
      <c r="F44" t="str">
        <f t="shared" si="23"/>
        <v>Arg-Chi</v>
      </c>
      <c r="G44" t="str">
        <f t="shared" si="23"/>
        <v>Asia_central</v>
      </c>
      <c r="H44" t="str">
        <f t="shared" si="23"/>
        <v>Asia_east</v>
      </c>
      <c r="I44" t="str">
        <f t="shared" si="23"/>
        <v>Asia_other</v>
      </c>
      <c r="J44" t="str">
        <f t="shared" si="23"/>
        <v>Australia_NZ</v>
      </c>
      <c r="K44" t="str">
        <f t="shared" si="23"/>
        <v>Brazil</v>
      </c>
      <c r="L44" t="str">
        <f t="shared" si="23"/>
        <v>Canada</v>
      </c>
      <c r="M44" t="str">
        <f t="shared" si="23"/>
        <v>China</v>
      </c>
      <c r="N44" t="str">
        <f t="shared" si="23"/>
        <v>EU_north</v>
      </c>
      <c r="O44" t="str">
        <f t="shared" si="23"/>
        <v>EU_northeast</v>
      </c>
      <c r="P44" t="str">
        <f t="shared" si="23"/>
        <v>EU_northwest</v>
      </c>
      <c r="Q44" t="str">
        <f t="shared" si="23"/>
        <v>EU_south</v>
      </c>
      <c r="R44" t="str">
        <f t="shared" si="23"/>
        <v>EU_southeast</v>
      </c>
      <c r="S44" t="str">
        <f t="shared" si="23"/>
        <v>EU_southwest</v>
      </c>
      <c r="T44" t="str">
        <f t="shared" si="23"/>
        <v>Europe_other</v>
      </c>
      <c r="U44" t="str">
        <f t="shared" ref="U44:AG44" si="24">U3</f>
        <v>France</v>
      </c>
      <c r="V44" t="str">
        <f t="shared" si="24"/>
        <v>Germany</v>
      </c>
      <c r="W44" t="str">
        <f t="shared" si="24"/>
        <v>India</v>
      </c>
      <c r="X44" t="str">
        <f t="shared" si="24"/>
        <v>LatAm_other</v>
      </c>
      <c r="Y44" t="str">
        <f t="shared" si="24"/>
        <v>Mexico</v>
      </c>
      <c r="Z44" t="str">
        <f t="shared" si="24"/>
        <v>MidEast_other</v>
      </c>
      <c r="AA44" t="str">
        <f t="shared" si="24"/>
        <v>Nor-Ice</v>
      </c>
      <c r="AB44" t="str">
        <f t="shared" si="24"/>
        <v>Russia</v>
      </c>
      <c r="AC44" t="str">
        <f t="shared" si="24"/>
        <v>SaudiArabia</v>
      </c>
      <c r="AD44" t="str">
        <f t="shared" si="24"/>
        <v>SouthAfrica</v>
      </c>
      <c r="AE44" t="str">
        <f t="shared" si="24"/>
        <v>UK</v>
      </c>
      <c r="AF44" t="str">
        <f t="shared" si="24"/>
        <v>USA</v>
      </c>
      <c r="AG44" t="str">
        <f t="shared" si="24"/>
        <v>\I:</v>
      </c>
      <c r="AI44" t="s">
        <v>169</v>
      </c>
      <c r="AL44" t="str">
        <f t="shared" si="1"/>
        <v/>
      </c>
    </row>
    <row r="45" spans="1:45" x14ac:dyDescent="0.45">
      <c r="A45" t="s">
        <v>333</v>
      </c>
      <c r="D45" s="2">
        <f ca="1">SUMPRODUCT(D36:D42,D19:D25)</f>
        <v>42</v>
      </c>
      <c r="E45" s="2">
        <f t="shared" ref="E45:T45" ca="1" si="25">SUMPRODUCT(E36:E42,E19:E25)</f>
        <v>73.050000000000011</v>
      </c>
      <c r="F45" s="2">
        <f t="shared" ca="1" si="25"/>
        <v>1.2</v>
      </c>
      <c r="G45" s="2">
        <f t="shared" ca="1" si="25"/>
        <v>0.89999999999999991</v>
      </c>
      <c r="H45" s="2">
        <f t="shared" ca="1" si="25"/>
        <v>5.85</v>
      </c>
      <c r="I45" s="2">
        <f t="shared" ca="1" si="25"/>
        <v>211.8</v>
      </c>
      <c r="J45" s="2">
        <f t="shared" ca="1" si="25"/>
        <v>0</v>
      </c>
      <c r="K45" s="2">
        <f t="shared" ca="1" si="25"/>
        <v>3.9</v>
      </c>
      <c r="L45" s="2">
        <f t="shared" ca="1" si="25"/>
        <v>0</v>
      </c>
      <c r="M45" s="2">
        <f t="shared" ca="1" si="25"/>
        <v>140.85</v>
      </c>
      <c r="N45" s="2">
        <f t="shared" ca="1" si="25"/>
        <v>0.6</v>
      </c>
      <c r="O45" s="2">
        <f t="shared" ca="1" si="25"/>
        <v>0.6</v>
      </c>
      <c r="P45" s="2">
        <f t="shared" ca="1" si="25"/>
        <v>0.89999999999999991</v>
      </c>
      <c r="Q45" s="2">
        <f t="shared" ca="1" si="25"/>
        <v>1.2</v>
      </c>
      <c r="R45" s="2">
        <f t="shared" ca="1" si="25"/>
        <v>0.3</v>
      </c>
      <c r="S45" s="2">
        <f t="shared" ca="1" si="25"/>
        <v>0.75</v>
      </c>
      <c r="T45" s="2">
        <f t="shared" ca="1" si="25"/>
        <v>1.5</v>
      </c>
      <c r="U45" s="2">
        <f t="shared" ref="U45:AG45" ca="1" si="26">SUMPRODUCT(U36:U42,U19:U25)</f>
        <v>1.0499999999999998</v>
      </c>
      <c r="V45" s="2">
        <f t="shared" ca="1" si="26"/>
        <v>2.25</v>
      </c>
      <c r="W45" s="2">
        <f t="shared" ca="1" si="26"/>
        <v>170.1</v>
      </c>
      <c r="X45" s="2">
        <f t="shared" ca="1" si="26"/>
        <v>4.05</v>
      </c>
      <c r="Y45" s="2">
        <f t="shared" ca="1" si="26"/>
        <v>4.2</v>
      </c>
      <c r="Z45" s="2">
        <f t="shared" ca="1" si="26"/>
        <v>9.75</v>
      </c>
      <c r="AA45" s="2">
        <f t="shared" ca="1" si="26"/>
        <v>0.15</v>
      </c>
      <c r="AB45" s="2">
        <f t="shared" ca="1" si="26"/>
        <v>3</v>
      </c>
      <c r="AC45" s="2">
        <f t="shared" ca="1" si="26"/>
        <v>4.2</v>
      </c>
      <c r="AD45" s="2">
        <f t="shared" ca="1" si="26"/>
        <v>18.600000000000001</v>
      </c>
      <c r="AE45" s="2">
        <f t="shared" ca="1" si="26"/>
        <v>1.5</v>
      </c>
      <c r="AF45" s="2">
        <f t="shared" ca="1" si="26"/>
        <v>7.7999999999999989</v>
      </c>
      <c r="AG45" s="2">
        <f t="shared" ca="1" si="26"/>
        <v>0</v>
      </c>
      <c r="AI45" t="s">
        <v>352</v>
      </c>
      <c r="AK45" t="s">
        <v>359</v>
      </c>
      <c r="AL45" t="str">
        <f t="shared" si="1"/>
        <v/>
      </c>
    </row>
    <row r="46" spans="1:45" x14ac:dyDescent="0.45">
      <c r="D46" s="1">
        <f ca="1">D45/'non-road'!BV20</f>
        <v>2.0809860306380601E-2</v>
      </c>
      <c r="E46" s="1">
        <f ca="1">E45/'non-road'!BW20</f>
        <v>2.6239797256951081E-2</v>
      </c>
      <c r="F46" s="1">
        <f ca="1">F45/'non-road'!BX20</f>
        <v>1.1820214536893844E-3</v>
      </c>
      <c r="G46" s="1">
        <f ca="1">G45/'non-road'!BY20</f>
        <v>8.9842488149775802E-4</v>
      </c>
      <c r="H46" s="1">
        <f ca="1">H45/'non-road'!BZ20</f>
        <v>9.2350534212320967E-4</v>
      </c>
      <c r="I46" s="1">
        <f ca="1">I45/'non-road'!CA20</f>
        <v>2.0174275461812601E-2</v>
      </c>
      <c r="J46" s="1">
        <f ca="1">J45/'non-road'!CB20</f>
        <v>0</v>
      </c>
      <c r="K46" s="1">
        <f ca="1">K45/'non-road'!CC20</f>
        <v>1.4312294260770003E-3</v>
      </c>
      <c r="L46" s="1">
        <f ca="1">L45/'non-road'!CD20</f>
        <v>0</v>
      </c>
      <c r="M46" s="1">
        <f ca="1">M45/'non-road'!CE20</f>
        <v>6.4912162576002182E-3</v>
      </c>
      <c r="N46" s="1">
        <f ca="1">N45/'non-road'!CF20</f>
        <v>7.3245763953318037E-4</v>
      </c>
      <c r="O46" s="1">
        <f ca="1">O45/'non-road'!CG20</f>
        <v>3.2054855688238318E-4</v>
      </c>
      <c r="P46" s="1">
        <f ca="1">P45/'non-road'!CH20</f>
        <v>5.9290611549060116E-4</v>
      </c>
      <c r="Q46" s="1">
        <f ca="1">Q45/'non-road'!CI20</f>
        <v>5.9500522565818627E-4</v>
      </c>
      <c r="R46" s="1">
        <f ca="1">R45/'non-road'!CJ20</f>
        <v>3.7232022517927213E-4</v>
      </c>
      <c r="S46" s="1">
        <f ca="1">S45/'non-road'!CK20</f>
        <v>4.5298882023591655E-4</v>
      </c>
      <c r="T46" s="1">
        <f ca="1">T45/'non-road'!CL20</f>
        <v>5.5487767508413275E-4</v>
      </c>
      <c r="U46" s="1">
        <f ca="1">U45/'non-road'!CM20</f>
        <v>4.5386333390999469E-4</v>
      </c>
      <c r="V46" s="1">
        <f ca="1">V45/'non-road'!CN20</f>
        <v>6.9902478275863137E-4</v>
      </c>
      <c r="W46" s="1">
        <f ca="1">W45/'non-road'!CO20</f>
        <v>2.037601595582202E-2</v>
      </c>
      <c r="X46" s="1">
        <f ca="1">X45/'non-road'!CP20</f>
        <v>1.5165586174982803E-3</v>
      </c>
      <c r="Y46" s="1">
        <f ca="1">Y45/'non-road'!CQ20</f>
        <v>2.3561222715262624E-3</v>
      </c>
      <c r="Z46" s="1">
        <f ca="1">Z45/'non-road'!CR20</f>
        <v>2.5014596337662978E-3</v>
      </c>
      <c r="AA46" s="1">
        <f ca="1">AA45/'non-road'!CS20</f>
        <v>5.3322166486733974E-4</v>
      </c>
      <c r="AB46" s="1">
        <f ca="1">AB45/'non-road'!CT20</f>
        <v>1.2983247283255505E-3</v>
      </c>
      <c r="AC46" s="1">
        <f ca="1">AC45/'non-road'!CU20</f>
        <v>2.4520249639493953E-3</v>
      </c>
      <c r="AD46" s="1">
        <f ca="1">AD45/'non-road'!CV20</f>
        <v>2.9721385975340839E-2</v>
      </c>
      <c r="AE46" s="1">
        <f ca="1">AE45/'non-road'!CW20</f>
        <v>6.3421785442493159E-4</v>
      </c>
      <c r="AF46" s="1">
        <f ca="1">AF45/'non-road'!CX20</f>
        <v>4.673429158603004E-4</v>
      </c>
      <c r="AG46" s="1" t="e">
        <f ca="1">AG45/'non-road'!CY20</f>
        <v>#DIV/0!</v>
      </c>
      <c r="AI46" t="s">
        <v>169</v>
      </c>
    </row>
  </sheetData>
  <conditionalFormatting sqref="D46:T4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6:AG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10AB-10AB-4618-9A7C-073F7D1786A9}">
  <dimension ref="A2:AS49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U27" sqref="U27"/>
    </sheetView>
  </sheetViews>
  <sheetFormatPr defaultRowHeight="14.25" x14ac:dyDescent="0.45"/>
  <cols>
    <col min="1" max="1" width="10.86328125" bestFit="1" customWidth="1"/>
    <col min="2" max="2" width="2" bestFit="1" customWidth="1"/>
    <col min="4" max="4" width="6.33203125" bestFit="1" customWidth="1"/>
    <col min="5" max="6" width="8.33203125" bestFit="1" customWidth="1"/>
    <col min="7" max="7" width="8.46484375" bestFit="1" customWidth="1"/>
    <col min="8" max="8" width="9" bestFit="1" customWidth="1"/>
    <col min="9" max="9" width="6" bestFit="1" customWidth="1"/>
    <col min="10" max="10" width="7.53125" bestFit="1" customWidth="1"/>
    <col min="11" max="11" width="6.6640625" bestFit="1" customWidth="1"/>
    <col min="12" max="12" width="5.6640625" bestFit="1" customWidth="1"/>
    <col min="13" max="13" width="6.6640625" bestFit="1" customWidth="1"/>
    <col min="14" max="14" width="7.46484375" bestFit="1" customWidth="1"/>
    <col min="15" max="15" width="6.6640625" bestFit="1" customWidth="1"/>
    <col min="16" max="16" width="5.6640625" bestFit="1" customWidth="1"/>
    <col min="17" max="17" width="7.53125" bestFit="1" customWidth="1"/>
    <col min="18" max="18" width="8.1328125" bestFit="1" customWidth="1"/>
    <col min="19" max="19" width="7.53125" customWidth="1"/>
    <col min="20" max="20" width="6.6640625" bestFit="1" customWidth="1"/>
    <col min="21" max="33" width="6.53125" customWidth="1"/>
    <col min="34" max="34" width="5.53125" bestFit="1" customWidth="1"/>
    <col min="35" max="35" width="8.86328125" bestFit="1" customWidth="1"/>
    <col min="36" max="36" width="11.33203125" bestFit="1" customWidth="1"/>
    <col min="37" max="37" width="10.1328125" bestFit="1" customWidth="1"/>
    <col min="38" max="38" width="4.46484375" bestFit="1" customWidth="1"/>
    <col min="39" max="39" width="2" bestFit="1" customWidth="1"/>
    <col min="41" max="41" width="11.53125" bestFit="1" customWidth="1"/>
    <col min="42" max="42" width="9.33203125" bestFit="1" customWidth="1"/>
  </cols>
  <sheetData>
    <row r="2" spans="1:45" x14ac:dyDescent="0.45">
      <c r="AI2" t="s">
        <v>353</v>
      </c>
      <c r="AN2" t="s">
        <v>148</v>
      </c>
    </row>
    <row r="3" spans="1:45" x14ac:dyDescent="0.45">
      <c r="C3" t="s">
        <v>347</v>
      </c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  <c r="AH3" t="s">
        <v>169</v>
      </c>
      <c r="AI3" t="s">
        <v>174</v>
      </c>
      <c r="AJ3" t="s">
        <v>136</v>
      </c>
      <c r="AK3" t="s">
        <v>349</v>
      </c>
      <c r="AL3" t="s">
        <v>158</v>
      </c>
      <c r="AN3" t="s">
        <v>149</v>
      </c>
      <c r="AO3" t="s">
        <v>139</v>
      </c>
      <c r="AP3" t="s">
        <v>150</v>
      </c>
      <c r="AQ3" t="s">
        <v>151</v>
      </c>
      <c r="AR3" t="s">
        <v>152</v>
      </c>
      <c r="AS3" t="s">
        <v>155</v>
      </c>
    </row>
    <row r="4" spans="1:45" x14ac:dyDescent="0.45">
      <c r="A4" t="s">
        <v>25</v>
      </c>
      <c r="C4" s="35" t="s">
        <v>32</v>
      </c>
      <c r="D4" s="2" cm="1">
        <f t="array" aca="1" ref="D4" ca="1">SUM(SUMIFS(Assumptions!AN$3:AN$102,Assumptions!$B$3:$B$102,Cars!$C4,Assumptions!$G$3:$G$102,{"TRL","TRT"}))</f>
        <v>0</v>
      </c>
      <c r="E4" s="2" cm="1">
        <f t="array" aca="1" ref="E4" ca="1">SUM(SUMIFS(Assumptions!AO$3:AO$102,Assumptions!$B$3:$B$102,Cars!$C4,Assumptions!$G$3:$G$102,{"TRL","TRT"}))</f>
        <v>0</v>
      </c>
      <c r="F4" s="2" cm="1">
        <f t="array" aca="1" ref="F4" ca="1">SUM(SUMIFS(Assumptions!AP$3:AP$102,Assumptions!$B$3:$B$102,Cars!$C4,Assumptions!$G$3:$G$102,{"TRL","TRT"}))</f>
        <v>2.9353671869583602</v>
      </c>
      <c r="G4" s="2" cm="1">
        <f t="array" aca="1" ref="G4" ca="1">SUM(SUMIFS(Assumptions!AQ$3:AQ$102,Assumptions!$B$3:$B$102,Cars!$C4,Assumptions!$G$3:$G$102,{"TRL","TRT"}))</f>
        <v>4.8022595999999999E-4</v>
      </c>
      <c r="H4" s="2" cm="1">
        <f t="array" aca="1" ref="H4" ca="1">SUM(SUMIFS(Assumptions!AR$3:AR$102,Assumptions!$B$3:$B$102,Cars!$C4,Assumptions!$G$3:$G$102,{"TRL","TRT"}))</f>
        <v>1.3548375503586001</v>
      </c>
      <c r="I4" s="2" cm="1">
        <f t="array" aca="1" ref="I4" ca="1">SUM(SUMIFS(Assumptions!AS$3:AS$102,Assumptions!$B$3:$B$102,Cars!$C4,Assumptions!$G$3:$G$102,{"TRL","TRT"}))</f>
        <v>20.620414374048</v>
      </c>
      <c r="J4" s="2" cm="1">
        <f t="array" aca="1" ref="J4" ca="1">SUM(SUMIFS(Assumptions!AT$3:AT$102,Assumptions!$B$3:$B$102,Cars!$C4,Assumptions!$G$3:$G$102,{"TRL","TRT"}))</f>
        <v>4.2755601599999997E-3</v>
      </c>
      <c r="K4" s="2" cm="1">
        <f t="array" aca="1" ref="K4" ca="1">SUM(SUMIFS(Assumptions!AU$3:AU$102,Assumptions!$B$3:$B$102,Cars!$C4,Assumptions!$G$3:$G$102,{"TRL","TRT"}))</f>
        <v>45.116373753768244</v>
      </c>
      <c r="L4" s="2" cm="1">
        <f t="array" aca="1" ref="L4" ca="1">SUM(SUMIFS(Assumptions!AV$3:AV$102,Assumptions!$B$3:$B$102,Cars!$C4,Assumptions!$G$3:$G$102,{"TRL","TRT"}))</f>
        <v>0.42837043233600003</v>
      </c>
      <c r="M4" s="2" cm="1">
        <f t="array" aca="1" ref="M4" ca="1">SUM(SUMIFS(Assumptions!AW$3:AW$102,Assumptions!$B$3:$B$102,Cars!$C4,Assumptions!$G$3:$G$102,{"TRL","TRT"}))</f>
        <v>1.5270249359520003</v>
      </c>
      <c r="N4" s="2" cm="1">
        <f t="array" aca="1" ref="N4" ca="1">SUM(SUMIFS(Assumptions!AX$3:AX$102,Assumptions!$B$3:$B$102,Cars!$C4,Assumptions!$G$3:$G$102,{"TRL","TRT"}))</f>
        <v>32.494742438718681</v>
      </c>
      <c r="O4" s="2" cm="1">
        <f t="array" aca="1" ref="O4" ca="1">SUM(SUMIFS(Assumptions!AY$3:AY$102,Assumptions!$B$3:$B$102,Cars!$C4,Assumptions!$G$3:$G$102,{"TRL","TRT"}))</f>
        <v>26.013006490362493</v>
      </c>
      <c r="P4" s="2" cm="1">
        <f t="array" aca="1" ref="P4" ca="1">SUM(SUMIFS(Assumptions!AZ$3:AZ$102,Assumptions!$B$3:$B$102,Cars!$C4,Assumptions!$G$3:$G$102,{"TRL","TRT"}))</f>
        <v>19.820001119986369</v>
      </c>
      <c r="Q4" s="2" cm="1">
        <f t="array" aca="1" ref="Q4" ca="1">SUM(SUMIFS(Assumptions!BA$3:BA$102,Assumptions!$B$3:$B$102,Cars!$C4,Assumptions!$G$3:$G$102,{"TRL","TRT"}))</f>
        <v>27.103500569478491</v>
      </c>
      <c r="R4" s="2" cm="1">
        <f t="array" aca="1" ref="R4" ca="1">SUM(SUMIFS(Assumptions!BB$3:BB$102,Assumptions!$B$3:$B$102,Cars!$C4,Assumptions!$G$3:$G$102,{"TRL","TRT"}))</f>
        <v>11.319798190093826</v>
      </c>
      <c r="S4" s="2" cm="1">
        <f t="array" aca="1" ref="S4" ca="1">SUM(SUMIFS(Assumptions!BC$3:BC$102,Assumptions!$B$3:$B$102,Cars!$C4,Assumptions!$G$3:$G$102,{"TRL","TRT"}))</f>
        <v>33.365147817524523</v>
      </c>
      <c r="T4" s="2" cm="1">
        <f t="array" aca="1" ref="T4" ca="1">SUM(SUMIFS(Assumptions!BD$3:BD$102,Assumptions!$B$3:$B$102,Cars!$C4,Assumptions!$G$3:$G$102,{"TRL","TRT"}))</f>
        <v>1.6160009673600004</v>
      </c>
      <c r="U4" s="2" cm="1">
        <f t="array" aca="1" ref="U4" ca="1">SUM(SUMIFS(Assumptions!BE$3:BE$102,Assumptions!$B$3:$B$102,Cars!$C4,Assumptions!$G$3:$G$102,{"TRL","TRT"}))</f>
        <v>47.928524567772335</v>
      </c>
      <c r="V4" s="2" cm="1">
        <f t="array" aca="1" ref="V4" ca="1">SUM(SUMIFS(Assumptions!BF$3:BF$102,Assumptions!$B$3:$B$102,Cars!$C4,Assumptions!$G$3:$G$102,{"TRL","TRT"}))</f>
        <v>35.863166110726148</v>
      </c>
      <c r="W4" s="2" cm="1">
        <f t="array" aca="1" ref="W4" ca="1">SUM(SUMIFS(Assumptions!BG$3:BG$102,Assumptions!$B$3:$B$102,Cars!$C4,Assumptions!$G$3:$G$102,{"TRL","TRT"}))</f>
        <v>0.30692593440000004</v>
      </c>
      <c r="X4" s="2" cm="1">
        <f t="array" aca="1" ref="X4" ca="1">SUM(SUMIFS(Assumptions!BH$3:BH$102,Assumptions!$B$3:$B$102,Cars!$C4,Assumptions!$G$3:$G$102,{"TRL","TRT"}))</f>
        <v>2.211095323206</v>
      </c>
      <c r="Y4" s="2" cm="1">
        <f t="array" aca="1" ref="Y4" ca="1">SUM(SUMIFS(Assumptions!BI$3:BI$102,Assumptions!$B$3:$B$102,Cars!$C4,Assumptions!$G$3:$G$102,{"TRL","TRT"}))</f>
        <v>0</v>
      </c>
      <c r="Z4" s="2" cm="1">
        <f t="array" aca="1" ref="Z4" ca="1">SUM(SUMIFS(Assumptions!BJ$3:BJ$102,Assumptions!$B$3:$B$102,Cars!$C4,Assumptions!$G$3:$G$102,{"TRL","TRT"}))</f>
        <v>0</v>
      </c>
      <c r="AA4" s="2" cm="1">
        <f t="array" aca="1" ref="AA4" ca="1">SUM(SUMIFS(Assumptions!BK$3:BK$102,Assumptions!$B$3:$B$102,Cars!$C4,Assumptions!$G$3:$G$102,{"TRL","TRT"}))</f>
        <v>8.2484660708086572</v>
      </c>
      <c r="AB4" s="2" cm="1">
        <f t="array" aca="1" ref="AB4" ca="1">SUM(SUMIFS(Assumptions!BL$3:BL$102,Assumptions!$B$3:$B$102,Cars!$C4,Assumptions!$G$3:$G$102,{"TRL","TRT"}))</f>
        <v>0</v>
      </c>
      <c r="AC4" s="2" cm="1">
        <f t="array" aca="1" ref="AC4" ca="1">SUM(SUMIFS(Assumptions!BM$3:BM$102,Assumptions!$B$3:$B$102,Cars!$C4,Assumptions!$G$3:$G$102,{"TRL","TRT"}))</f>
        <v>0</v>
      </c>
      <c r="AD4" s="2" cm="1">
        <f t="array" aca="1" ref="AD4" ca="1">SUM(SUMIFS(Assumptions!BN$3:BN$102,Assumptions!$B$3:$B$102,Cars!$C4,Assumptions!$G$3:$G$102,{"TRL","TRT"}))</f>
        <v>0</v>
      </c>
      <c r="AE4" s="2" cm="1">
        <f t="array" aca="1" ref="AE4" ca="1">SUM(SUMIFS(Assumptions!BO$3:BO$102,Assumptions!$B$3:$B$102,Cars!$C4,Assumptions!$G$3:$G$102,{"TRL","TRT"}))</f>
        <v>23.979666857220433</v>
      </c>
      <c r="AF4" s="2" cm="1">
        <f t="array" aca="1" ref="AF4" ca="1">SUM(SUMIFS(Assumptions!BP$3:BP$102,Assumptions!$B$3:$B$102,Cars!$C4,Assumptions!$G$3:$G$102,{"TRL","TRT"}))</f>
        <v>4.4620042299600833</v>
      </c>
      <c r="AG4" s="2" cm="1">
        <f t="array" aca="1" ref="AG4" ca="1">SUM(SUMIFS(Assumptions!BQ$3:BQ$102,Assumptions!$B$3:$B$102,Cars!$C4,Assumptions!$G$3:$G$102,{"TRL","TRT"}))</f>
        <v>0</v>
      </c>
      <c r="AH4" s="2"/>
      <c r="AI4" s="2" t="s">
        <v>169</v>
      </c>
      <c r="AK4" t="str">
        <f t="shared" ref="AK4:AK42" si="0">IF($AJ4="","",$AK$45)</f>
        <v/>
      </c>
      <c r="AL4" t="str">
        <f t="shared" ref="AL4:AL45" si="1">IF($AJ4="","",25)</f>
        <v/>
      </c>
      <c r="AN4" t="str">
        <f>IF($AJ4="","*","DMD")</f>
        <v>*</v>
      </c>
      <c r="AO4">
        <f>AJ4</f>
        <v>0</v>
      </c>
      <c r="AQ4" t="s">
        <v>156</v>
      </c>
      <c r="AR4" t="s">
        <v>354</v>
      </c>
      <c r="AS4" t="s">
        <v>361</v>
      </c>
    </row>
    <row r="5" spans="1:45" x14ac:dyDescent="0.45">
      <c r="A5" t="s">
        <v>25</v>
      </c>
      <c r="C5" s="35" t="s">
        <v>33</v>
      </c>
      <c r="D5" s="2" cm="1">
        <f t="array" aca="1" ref="D5" ca="1">SUM(SUMIFS(Assumptions!AN$3:AN$102,Assumptions!$B$3:$B$102,Cars!$C5,Assumptions!$G$3:$G$102,{"TRL","TRT"}))</f>
        <v>0</v>
      </c>
      <c r="E5" s="2" cm="1">
        <f t="array" aca="1" ref="E5" ca="1">SUM(SUMIFS(Assumptions!AO$3:AO$102,Assumptions!$B$3:$B$102,Cars!$C5,Assumptions!$G$3:$G$102,{"TRL","TRT"}))</f>
        <v>1.0571810257800001</v>
      </c>
      <c r="F5" s="2" cm="1">
        <f t="array" aca="1" ref="F5" ca="1">SUM(SUMIFS(Assumptions!AP$3:AP$102,Assumptions!$B$3:$B$102,Cars!$C5,Assumptions!$G$3:$G$102,{"TRL","TRT"}))</f>
        <v>19.892338663075201</v>
      </c>
      <c r="G5" s="2" cm="1">
        <f t="array" aca="1" ref="G5" ca="1">SUM(SUMIFS(Assumptions!AQ$3:AQ$102,Assumptions!$B$3:$B$102,Cars!$C5,Assumptions!$G$3:$G$102,{"TRL","TRT"}))</f>
        <v>0</v>
      </c>
      <c r="H5" s="2" cm="1">
        <f t="array" aca="1" ref="H5" ca="1">SUM(SUMIFS(Assumptions!AR$3:AR$102,Assumptions!$B$3:$B$102,Cars!$C5,Assumptions!$G$3:$G$102,{"TRL","TRT"}))</f>
        <v>14.7485662062426</v>
      </c>
      <c r="I5" s="2" cm="1">
        <f t="array" aca="1" ref="I5" ca="1">SUM(SUMIFS(Assumptions!AS$3:AS$102,Assumptions!$B$3:$B$102,Cars!$C5,Assumptions!$G$3:$G$102,{"TRL","TRT"}))</f>
        <v>29.321833863960002</v>
      </c>
      <c r="J5" s="2" cm="1">
        <f t="array" aca="1" ref="J5" ca="1">SUM(SUMIFS(Assumptions!AT$3:AT$102,Assumptions!$B$3:$B$102,Cars!$C5,Assumptions!$G$3:$G$102,{"TRL","TRT"}))</f>
        <v>4.8151860435504004</v>
      </c>
      <c r="K5" s="2" cm="1">
        <f t="array" aca="1" ref="K5" ca="1">SUM(SUMIFS(Assumptions!AU$3:AU$102,Assumptions!$B$3:$B$102,Cars!$C5,Assumptions!$G$3:$G$102,{"TRL","TRT"}))</f>
        <v>208.1110303164312</v>
      </c>
      <c r="L5" s="2" cm="1">
        <f t="array" aca="1" ref="L5" ca="1">SUM(SUMIFS(Assumptions!AV$3:AV$102,Assumptions!$B$3:$B$102,Cars!$C5,Assumptions!$G$3:$G$102,{"TRL","TRT"}))</f>
        <v>64.078255258407921</v>
      </c>
      <c r="M5" s="2" cm="1">
        <f t="array" aca="1" ref="M5" ca="1">SUM(SUMIFS(Assumptions!AW$3:AW$102,Assumptions!$B$3:$B$102,Cars!$C5,Assumptions!$G$3:$G$102,{"TRL","TRT"}))</f>
        <v>54.028799750015999</v>
      </c>
      <c r="N5" s="2" cm="1">
        <f t="array" aca="1" ref="N5" ca="1">SUM(SUMIFS(Assumptions!AX$3:AX$102,Assumptions!$B$3:$B$102,Cars!$C5,Assumptions!$G$3:$G$102,{"TRL","TRT"}))</f>
        <v>8.9164627899026385</v>
      </c>
      <c r="O5" s="2" cm="1">
        <f t="array" aca="1" ref="O5" ca="1">SUM(SUMIFS(Assumptions!AY$3:AY$102,Assumptions!$B$3:$B$102,Cars!$C5,Assumptions!$G$3:$G$102,{"TRL","TRT"}))</f>
        <v>14.538419826887878</v>
      </c>
      <c r="P5" s="2" cm="1">
        <f t="array" aca="1" ref="P5" ca="1">SUM(SUMIFS(Assumptions!AZ$3:AZ$102,Assumptions!$B$3:$B$102,Cars!$C5,Assumptions!$G$3:$G$102,{"TRL","TRT"}))</f>
        <v>14.882249899162801</v>
      </c>
      <c r="Q5" s="2" cm="1">
        <f t="array" aca="1" ref="Q5" ca="1">SUM(SUMIFS(Assumptions!BA$3:BA$102,Assumptions!$B$3:$B$102,Cars!$C5,Assumptions!$G$3:$G$102,{"TRL","TRT"}))</f>
        <v>2.2124784191882401</v>
      </c>
      <c r="R5" s="2" cm="1">
        <f t="array" aca="1" ref="R5" ca="1">SUM(SUMIFS(Assumptions!BB$3:BB$102,Assumptions!$B$3:$B$102,Cars!$C5,Assumptions!$G$3:$G$102,{"TRL","TRT"}))</f>
        <v>7.2599766421960803</v>
      </c>
      <c r="S5" s="2" cm="1">
        <f t="array" aca="1" ref="S5" ca="1">SUM(SUMIFS(Assumptions!BC$3:BC$102,Assumptions!$B$3:$B$102,Cars!$C5,Assumptions!$G$3:$G$102,{"TRL","TRT"}))</f>
        <v>5.5112543978637598</v>
      </c>
      <c r="T5" s="2" cm="1">
        <f t="array" aca="1" ref="T5" ca="1">SUM(SUMIFS(Assumptions!BD$3:BD$102,Assumptions!$B$3:$B$102,Cars!$C5,Assumptions!$G$3:$G$102,{"TRL","TRT"}))</f>
        <v>4.9260000720671995</v>
      </c>
      <c r="U5" s="2" cm="1">
        <f t="array" aca="1" ref="U5" ca="1">SUM(SUMIFS(Assumptions!BE$3:BE$102,Assumptions!$B$3:$B$102,Cars!$C5,Assumptions!$G$3:$G$102,{"TRL","TRT"}))</f>
        <v>26.00074766151576</v>
      </c>
      <c r="V5" s="2" cm="1">
        <f t="array" aca="1" ref="V5" ca="1">SUM(SUMIFS(Assumptions!BF$3:BF$102,Assumptions!$B$3:$B$102,Cars!$C5,Assumptions!$G$3:$G$102,{"TRL","TRT"}))</f>
        <v>28.610678032529037</v>
      </c>
      <c r="W5" s="2" cm="1">
        <f t="array" aca="1" ref="W5" ca="1">SUM(SUMIFS(Assumptions!BG$3:BG$102,Assumptions!$B$3:$B$102,Cars!$C5,Assumptions!$G$3:$G$102,{"TRL","TRT"}))</f>
        <v>18.410408393400001</v>
      </c>
      <c r="X5" s="2" cm="1">
        <f t="array" aca="1" ref="X5" ca="1">SUM(SUMIFS(Assumptions!BH$3:BH$102,Assumptions!$B$3:$B$102,Cars!$C5,Assumptions!$G$3:$G$102,{"TRL","TRT"}))</f>
        <v>26.932629033324005</v>
      </c>
      <c r="Y5" s="2" cm="1">
        <f t="array" aca="1" ref="Y5" ca="1">SUM(SUMIFS(Assumptions!BI$3:BI$102,Assumptions!$B$3:$B$102,Cars!$C5,Assumptions!$G$3:$G$102,{"TRL","TRT"}))</f>
        <v>0</v>
      </c>
      <c r="Z5" s="2" cm="1">
        <f t="array" aca="1" ref="Z5" ca="1">SUM(SUMIFS(Assumptions!BJ$3:BJ$102,Assumptions!$B$3:$B$102,Cars!$C5,Assumptions!$G$3:$G$102,{"TRL","TRT"}))</f>
        <v>0</v>
      </c>
      <c r="AA5" s="2" cm="1">
        <f t="array" aca="1" ref="AA5" ca="1">SUM(SUMIFS(Assumptions!BK$3:BK$102,Assumptions!$B$3:$B$102,Cars!$C5,Assumptions!$G$3:$G$102,{"TRL","TRT"}))</f>
        <v>1.8559445603176798</v>
      </c>
      <c r="AB5" s="2" cm="1">
        <f t="array" aca="1" ref="AB5" ca="1">SUM(SUMIFS(Assumptions!BL$3:BL$102,Assumptions!$B$3:$B$102,Cars!$C5,Assumptions!$G$3:$G$102,{"TRL","TRT"}))</f>
        <v>0</v>
      </c>
      <c r="AC5" s="2" cm="1">
        <f t="array" aca="1" ref="AC5" ca="1">SUM(SUMIFS(Assumptions!BM$3:BM$102,Assumptions!$B$3:$B$102,Cars!$C5,Assumptions!$G$3:$G$102,{"TRL","TRT"}))</f>
        <v>0</v>
      </c>
      <c r="AD5" s="2" cm="1">
        <f t="array" aca="1" ref="AD5" ca="1">SUM(SUMIFS(Assumptions!BN$3:BN$102,Assumptions!$B$3:$B$102,Cars!$C5,Assumptions!$G$3:$G$102,{"TRL","TRT"}))</f>
        <v>0</v>
      </c>
      <c r="AE5" s="2" cm="1">
        <f t="array" aca="1" ref="AE5" ca="1">SUM(SUMIFS(Assumptions!BO$3:BO$102,Assumptions!$B$3:$B$102,Cars!$C5,Assumptions!$G$3:$G$102,{"TRL","TRT"}))</f>
        <v>15.223974281923677</v>
      </c>
      <c r="AF5" s="2" cm="1">
        <f t="array" aca="1" ref="AF5" ca="1">SUM(SUMIFS(Assumptions!BP$3:BP$102,Assumptions!$B$3:$B$102,Cars!$C5,Assumptions!$G$3:$G$102,{"TRL","TRT"}))</f>
        <v>1092.5204483917441</v>
      </c>
      <c r="AG5" s="2" cm="1">
        <f t="array" aca="1" ref="AG5" ca="1">SUM(SUMIFS(Assumptions!BQ$3:BQ$102,Assumptions!$B$3:$B$102,Cars!$C5,Assumptions!$G$3:$G$102,{"TRL","TRT"}))</f>
        <v>0</v>
      </c>
      <c r="AI5" s="2" t="s">
        <v>169</v>
      </c>
      <c r="AK5" t="str">
        <f t="shared" si="0"/>
        <v/>
      </c>
      <c r="AL5" t="str">
        <f t="shared" si="1"/>
        <v/>
      </c>
      <c r="AN5" t="str">
        <f t="shared" ref="AN5:AN42" si="2">IF(AJ5="","*","DMD")</f>
        <v>*</v>
      </c>
      <c r="AO5">
        <f t="shared" ref="AO5:AO42" si="3">AJ5</f>
        <v>0</v>
      </c>
      <c r="AQ5" t="s">
        <v>156</v>
      </c>
      <c r="AR5" t="s">
        <v>354</v>
      </c>
      <c r="AS5" t="s">
        <v>361</v>
      </c>
    </row>
    <row r="6" spans="1:45" x14ac:dyDescent="0.45">
      <c r="A6" t="s">
        <v>25</v>
      </c>
      <c r="C6" s="35" t="s">
        <v>41</v>
      </c>
      <c r="D6" s="2" cm="1">
        <f t="array" aca="1" ref="D6" ca="1">SUM(SUMIFS(Assumptions!AN$3:AN$102,Assumptions!$B$3:$B$102,Cars!$C6,Assumptions!$G$3:$G$102,{"TRL","TRT"}))</f>
        <v>111.2020548606</v>
      </c>
      <c r="E6" s="2" cm="1">
        <f t="array" aca="1" ref="E6" ca="1">SUM(SUMIFS(Assumptions!AO$3:AO$102,Assumptions!$B$3:$B$102,Cars!$C6,Assumptions!$G$3:$G$102,{"TRL","TRT"}))</f>
        <v>98.822762012160013</v>
      </c>
      <c r="F6" s="2" cm="1">
        <f t="array" aca="1" ref="F6" ca="1">SUM(SUMIFS(Assumptions!AP$3:AP$102,Assumptions!$B$3:$B$102,Cars!$C6,Assumptions!$G$3:$G$102,{"TRL","TRT"}))</f>
        <v>32.849504782728481</v>
      </c>
      <c r="G6" s="2" cm="1">
        <f t="array" aca="1" ref="G6" ca="1">SUM(SUMIFS(Assumptions!AQ$3:AQ$102,Assumptions!$B$3:$B$102,Cars!$C6,Assumptions!$G$3:$G$102,{"TRL","TRT"}))</f>
        <v>9.8410759120800009</v>
      </c>
      <c r="H6" s="2" cm="1">
        <f t="array" aca="1" ref="H6" ca="1">SUM(SUMIFS(Assumptions!AR$3:AR$102,Assumptions!$B$3:$B$102,Cars!$C6,Assumptions!$G$3:$G$102,{"TRL","TRT"}))</f>
        <v>84.912731057424608</v>
      </c>
      <c r="I6" s="2" cm="1">
        <f t="array" aca="1" ref="I6" ca="1">SUM(SUMIFS(Assumptions!AS$3:AS$102,Assumptions!$B$3:$B$102,Cars!$C6,Assumptions!$G$3:$G$102,{"TRL","TRT"}))</f>
        <v>226.91045785276805</v>
      </c>
      <c r="J6" s="2" cm="1">
        <f t="array" aca="1" ref="J6" ca="1">SUM(SUMIFS(Assumptions!AT$3:AT$102,Assumptions!$B$3:$B$102,Cars!$C6,Assumptions!$G$3:$G$102,{"TRL","TRT"}))</f>
        <v>13.499564302871999</v>
      </c>
      <c r="K6" s="2" cm="1">
        <f t="array" aca="1" ref="K6" ca="1">SUM(SUMIFS(Assumptions!AU$3:AU$102,Assumptions!$B$3:$B$102,Cars!$C6,Assumptions!$G$3:$G$102,{"TRL","TRT"}))</f>
        <v>99.514219838029931</v>
      </c>
      <c r="L6" s="2" cm="1">
        <f t="array" aca="1" ref="L6" ca="1">SUM(SUMIFS(Assumptions!AV$3:AV$102,Assumptions!$B$3:$B$102,Cars!$C6,Assumptions!$G$3:$G$102,{"TRL","TRT"}))</f>
        <v>12.896681431392</v>
      </c>
      <c r="M6" s="2" cm="1">
        <f t="array" aca="1" ref="M6" ca="1">SUM(SUMIFS(Assumptions!AW$3:AW$102,Assumptions!$B$3:$B$102,Cars!$C6,Assumptions!$G$3:$G$102,{"TRL","TRT"}))</f>
        <v>158.48250882465601</v>
      </c>
      <c r="N6" s="2" cm="1">
        <f t="array" aca="1" ref="N6" ca="1">SUM(SUMIFS(Assumptions!AX$3:AX$102,Assumptions!$B$3:$B$102,Cars!$C6,Assumptions!$G$3:$G$102,{"TRL","TRT"}))</f>
        <v>146.21282530970103</v>
      </c>
      <c r="O6" s="2" cm="1">
        <f t="array" aca="1" ref="O6" ca="1">SUM(SUMIFS(Assumptions!AY$3:AY$102,Assumptions!$B$3:$B$102,Cars!$C6,Assumptions!$G$3:$G$102,{"TRL","TRT"}))</f>
        <v>431.45267718272567</v>
      </c>
      <c r="P6" s="2" cm="1">
        <f t="array" aca="1" ref="P6" ca="1">SUM(SUMIFS(Assumptions!AZ$3:AZ$102,Assumptions!$B$3:$B$102,Cars!$C6,Assumptions!$G$3:$G$102,{"TRL","TRT"}))</f>
        <v>304.50988107885331</v>
      </c>
      <c r="Q6" s="2" cm="1">
        <f t="array" aca="1" ref="Q6" ca="1">SUM(SUMIFS(Assumptions!BA$3:BA$102,Assumptions!$B$3:$B$102,Cars!$C6,Assumptions!$G$3:$G$102,{"TRL","TRT"}))</f>
        <v>459.04442415283472</v>
      </c>
      <c r="R6" s="2" cm="1">
        <f t="array" aca="1" ref="R6" ca="1">SUM(SUMIFS(Assumptions!BB$3:BB$102,Assumptions!$B$3:$B$102,Cars!$C6,Assumptions!$G$3:$G$102,{"TRL","TRT"}))</f>
        <v>183.43665143027943</v>
      </c>
      <c r="S6" s="2" cm="1">
        <f t="array" aca="1" ref="S6" ca="1">SUM(SUMIFS(Assumptions!BC$3:BC$102,Assumptions!$B$3:$B$102,Cars!$C6,Assumptions!$G$3:$G$102,{"TRL","TRT"}))</f>
        <v>487.06137064417584</v>
      </c>
      <c r="T6" s="2" cm="1">
        <f t="array" aca="1" ref="T6" ca="1">SUM(SUMIFS(Assumptions!BD$3:BD$102,Assumptions!$B$3:$B$102,Cars!$C6,Assumptions!$G$3:$G$102,{"TRL","TRT"}))</f>
        <v>139.05105873264</v>
      </c>
      <c r="U6" s="2" cm="1">
        <f t="array" aca="1" ref="U6" ca="1">SUM(SUMIFS(Assumptions!BE$3:BE$102,Assumptions!$B$3:$B$102,Cars!$C6,Assumptions!$G$3:$G$102,{"TRL","TRT"}))</f>
        <v>583.28628809096176</v>
      </c>
      <c r="V6" s="2" cm="1">
        <f t="array" aca="1" ref="V6" ca="1">SUM(SUMIFS(Assumptions!BF$3:BF$102,Assumptions!$B$3:$B$102,Cars!$C6,Assumptions!$G$3:$G$102,{"TRL","TRT"}))</f>
        <v>629.93062994201341</v>
      </c>
      <c r="W6" s="2" cm="1">
        <f t="array" aca="1" ref="W6" ca="1">SUM(SUMIFS(Assumptions!BG$3:BG$102,Assumptions!$B$3:$B$102,Cars!$C6,Assumptions!$G$3:$G$102,{"TRL","TRT"}))</f>
        <v>456.31104763117503</v>
      </c>
      <c r="X6" s="2" cm="1">
        <f t="array" aca="1" ref="X6" ca="1">SUM(SUMIFS(Assumptions!BH$3:BH$102,Assumptions!$B$3:$B$102,Cars!$C6,Assumptions!$G$3:$G$102,{"TRL","TRT"}))</f>
        <v>69.3241932886272</v>
      </c>
      <c r="Y6" s="2" cm="1">
        <f t="array" aca="1" ref="Y6" ca="1">SUM(SUMIFS(Assumptions!BI$3:BI$102,Assumptions!$B$3:$B$102,Cars!$C6,Assumptions!$G$3:$G$102,{"TRL","TRT"}))</f>
        <v>77.57785861776</v>
      </c>
      <c r="Z6" s="2" cm="1">
        <f t="array" aca="1" ref="Z6" ca="1">SUM(SUMIFS(Assumptions!BJ$3:BJ$102,Assumptions!$B$3:$B$102,Cars!$C6,Assumptions!$G$3:$G$102,{"TRL","TRT"}))</f>
        <v>149.77659279528001</v>
      </c>
      <c r="AA6" s="2" cm="1">
        <f t="array" aca="1" ref="AA6" ca="1">SUM(SUMIFS(Assumptions!BK$3:BK$102,Assumptions!$B$3:$B$102,Cars!$C6,Assumptions!$G$3:$G$102,{"TRL","TRT"}))</f>
        <v>43.667007728935388</v>
      </c>
      <c r="AB6" s="2" cm="1">
        <f t="array" aca="1" ref="AB6" ca="1">SUM(SUMIFS(Assumptions!BL$3:BL$102,Assumptions!$B$3:$B$102,Cars!$C6,Assumptions!$G$3:$G$102,{"TRL","TRT"}))</f>
        <v>30.824976497220003</v>
      </c>
      <c r="AC6" s="2" cm="1">
        <f t="array" aca="1" ref="AC6" ca="1">SUM(SUMIFS(Assumptions!BM$3:BM$102,Assumptions!$B$3:$B$102,Cars!$C6,Assumptions!$G$3:$G$102,{"TRL","TRT"}))</f>
        <v>85.179872408400001</v>
      </c>
      <c r="AD6" s="2" cm="1">
        <f t="array" aca="1" ref="AD6" ca="1">SUM(SUMIFS(Assumptions!BN$3:BN$102,Assumptions!$B$3:$B$102,Cars!$C6,Assumptions!$G$3:$G$102,{"TRL","TRT"}))</f>
        <v>34.712819089919996</v>
      </c>
      <c r="AE6" s="2" cm="1">
        <f t="array" aca="1" ref="AE6" ca="1">SUM(SUMIFS(Assumptions!BO$3:BO$102,Assumptions!$B$3:$B$102,Cars!$C6,Assumptions!$G$3:$G$102,{"TRL","TRT"}))</f>
        <v>462.46118110934401</v>
      </c>
      <c r="AF6" s="2" cm="1">
        <f t="array" aca="1" ref="AF6" ca="1">SUM(SUMIFS(Assumptions!BP$3:BP$102,Assumptions!$B$3:$B$102,Cars!$C6,Assumptions!$G$3:$G$102,{"TRL","TRT"}))</f>
        <v>125.40327845766905</v>
      </c>
      <c r="AG6" s="2" cm="1">
        <f t="array" aca="1" ref="AG6" ca="1">SUM(SUMIFS(Assumptions!BQ$3:BQ$102,Assumptions!$B$3:$B$102,Cars!$C6,Assumptions!$G$3:$G$102,{"TRL","TRT"}))</f>
        <v>0</v>
      </c>
      <c r="AI6" s="2" t="s">
        <v>169</v>
      </c>
      <c r="AK6" t="str">
        <f t="shared" si="0"/>
        <v/>
      </c>
      <c r="AL6" t="str">
        <f t="shared" si="1"/>
        <v/>
      </c>
      <c r="AN6" t="str">
        <f t="shared" si="2"/>
        <v>*</v>
      </c>
      <c r="AO6">
        <f t="shared" si="3"/>
        <v>0</v>
      </c>
      <c r="AQ6" t="s">
        <v>156</v>
      </c>
      <c r="AR6" t="s">
        <v>354</v>
      </c>
      <c r="AS6" t="s">
        <v>361</v>
      </c>
    </row>
    <row r="7" spans="1:45" x14ac:dyDescent="0.45">
      <c r="A7" t="s">
        <v>25</v>
      </c>
      <c r="C7" s="35" t="s">
        <v>37</v>
      </c>
      <c r="D7" s="2" cm="1">
        <f t="array" aca="1" ref="D7" ca="1">SUM(SUMIFS(Assumptions!AN$3:AN$102,Assumptions!$B$3:$B$102,Cars!$C7,Assumptions!$G$3:$G$102,{"TRL","TRT"}))</f>
        <v>0</v>
      </c>
      <c r="E7" s="2" cm="1">
        <f t="array" aca="1" ref="E7" ca="1">SUM(SUMIFS(Assumptions!AO$3:AO$102,Assumptions!$B$3:$B$102,Cars!$C7,Assumptions!$G$3:$G$102,{"TRL","TRT"}))</f>
        <v>0</v>
      </c>
      <c r="F7" s="2" cm="1">
        <f t="array" aca="1" ref="F7" ca="1">SUM(SUMIFS(Assumptions!AP$3:AP$102,Assumptions!$B$3:$B$102,Cars!$C7,Assumptions!$G$3:$G$102,{"TRL","TRT"}))</f>
        <v>1.4508350567999999</v>
      </c>
      <c r="G7" s="2" cm="1">
        <f t="array" aca="1" ref="G7" ca="1">SUM(SUMIFS(Assumptions!AQ$3:AQ$102,Assumptions!$B$3:$B$102,Cars!$C7,Assumptions!$G$3:$G$102,{"TRL","TRT"}))</f>
        <v>0</v>
      </c>
      <c r="H7" s="2" cm="1">
        <f t="array" aca="1" ref="H7" ca="1">SUM(SUMIFS(Assumptions!AR$3:AR$102,Assumptions!$B$3:$B$102,Cars!$C7,Assumptions!$G$3:$G$102,{"TRL","TRT"}))</f>
        <v>0.89122318200000006</v>
      </c>
      <c r="I7" s="2" cm="1">
        <f t="array" aca="1" ref="I7" ca="1">SUM(SUMIFS(Assumptions!AS$3:AS$102,Assumptions!$B$3:$B$102,Cars!$C7,Assumptions!$G$3:$G$102,{"TRL","TRT"}))</f>
        <v>0.61552240200000008</v>
      </c>
      <c r="J7" s="2" cm="1">
        <f t="array" aca="1" ref="J7" ca="1">SUM(SUMIFS(Assumptions!AT$3:AT$102,Assumptions!$B$3:$B$102,Cars!$C7,Assumptions!$G$3:$G$102,{"TRL","TRT"}))</f>
        <v>0.21488332319999998</v>
      </c>
      <c r="K7" s="2" cm="1">
        <f t="array" aca="1" ref="K7" ca="1">SUM(SUMIFS(Assumptions!AU$3:AU$102,Assumptions!$B$3:$B$102,Cars!$C7,Assumptions!$G$3:$G$102,{"TRL","TRT"}))</f>
        <v>0</v>
      </c>
      <c r="L7" s="2" cm="1">
        <f t="array" aca="1" ref="L7" ca="1">SUM(SUMIFS(Assumptions!AV$3:AV$102,Assumptions!$B$3:$B$102,Cars!$C7,Assumptions!$G$3:$G$102,{"TRL","TRT"}))</f>
        <v>4.6296001548000003</v>
      </c>
      <c r="M7" s="2" cm="1">
        <f t="array" aca="1" ref="M7" ca="1">SUM(SUMIFS(Assumptions!AW$3:AW$102,Assumptions!$B$3:$B$102,Cars!$C7,Assumptions!$G$3:$G$102,{"TRL","TRT"}))</f>
        <v>196.29041093856</v>
      </c>
      <c r="N7" s="2" cm="1">
        <f t="array" aca="1" ref="N7" ca="1">SUM(SUMIFS(Assumptions!AX$3:AX$102,Assumptions!$B$3:$B$102,Cars!$C7,Assumptions!$G$3:$G$102,{"TRL","TRT"}))</f>
        <v>1.3584365676000001</v>
      </c>
      <c r="O7" s="2" cm="1">
        <f t="array" aca="1" ref="O7" ca="1">SUM(SUMIFS(Assumptions!AY$3:AY$102,Assumptions!$B$3:$B$102,Cars!$C7,Assumptions!$G$3:$G$102,{"TRL","TRT"}))</f>
        <v>0</v>
      </c>
      <c r="P7" s="2" cm="1">
        <f t="array" aca="1" ref="P7" ca="1">SUM(SUMIFS(Assumptions!AZ$3:AZ$102,Assumptions!$B$3:$B$102,Cars!$C7,Assumptions!$G$3:$G$102,{"TRL","TRT"}))</f>
        <v>2.4166167731999999</v>
      </c>
      <c r="Q7" s="2" cm="1">
        <f t="array" aca="1" ref="Q7" ca="1">SUM(SUMIFS(Assumptions!BA$3:BA$102,Assumptions!$B$3:$B$102,Cars!$C7,Assumptions!$G$3:$G$102,{"TRL","TRT"}))</f>
        <v>0.57130560720000001</v>
      </c>
      <c r="R7" s="2" cm="1">
        <f t="array" aca="1" ref="R7" ca="1">SUM(SUMIFS(Assumptions!BB$3:BB$102,Assumptions!$B$3:$B$102,Cars!$C7,Assumptions!$G$3:$G$102,{"TRL","TRT"}))</f>
        <v>0</v>
      </c>
      <c r="S7" s="2" cm="1">
        <f t="array" aca="1" ref="S7" ca="1">SUM(SUMIFS(Assumptions!BC$3:BC$102,Assumptions!$B$3:$B$102,Cars!$C7,Assumptions!$G$3:$G$102,{"TRL","TRT"}))</f>
        <v>0.60042061440000005</v>
      </c>
      <c r="T7" s="2" cm="1">
        <f t="array" aca="1" ref="T7" ca="1">SUM(SUMIFS(Assumptions!BD$3:BD$102,Assumptions!$B$3:$B$102,Cars!$C7,Assumptions!$G$3:$G$102,{"TRL","TRT"}))</f>
        <v>0</v>
      </c>
      <c r="U7" s="2" cm="1">
        <f t="array" aca="1" ref="U7" ca="1">SUM(SUMIFS(Assumptions!BE$3:BE$102,Assumptions!$B$3:$B$102,Cars!$C7,Assumptions!$G$3:$G$102,{"TRL","TRT"}))</f>
        <v>1.1790573084</v>
      </c>
      <c r="V7" s="2" cm="1">
        <f t="array" aca="1" ref="V7" ca="1">SUM(SUMIFS(Assumptions!BF$3:BF$102,Assumptions!$B$3:$B$102,Cars!$C7,Assumptions!$G$3:$G$102,{"TRL","TRT"}))</f>
        <v>1.2096000144000001</v>
      </c>
      <c r="W7" s="2" cm="1">
        <f t="array" aca="1" ref="W7" ca="1">SUM(SUMIFS(Assumptions!BG$3:BG$102,Assumptions!$B$3:$B$102,Cars!$C7,Assumptions!$G$3:$G$102,{"TRL","TRT"}))</f>
        <v>0</v>
      </c>
      <c r="X7" s="2" cm="1">
        <f t="array" aca="1" ref="X7" ca="1">SUM(SUMIFS(Assumptions!BH$3:BH$102,Assumptions!$B$3:$B$102,Cars!$C7,Assumptions!$G$3:$G$102,{"TRL","TRT"}))</f>
        <v>1.9719827999999995E-2</v>
      </c>
      <c r="Y7" s="2" cm="1">
        <f t="array" aca="1" ref="Y7" ca="1">SUM(SUMIFS(Assumptions!BI$3:BI$102,Assumptions!$B$3:$B$102,Cars!$C7,Assumptions!$G$3:$G$102,{"TRL","TRT"}))</f>
        <v>0</v>
      </c>
      <c r="Z7" s="2" cm="1">
        <f t="array" aca="1" ref="Z7" ca="1">SUM(SUMIFS(Assumptions!BJ$3:BJ$102,Assumptions!$B$3:$B$102,Cars!$C7,Assumptions!$G$3:$G$102,{"TRL","TRT"}))</f>
        <v>0</v>
      </c>
      <c r="AA7" s="2" cm="1">
        <f t="array" aca="1" ref="AA7" ca="1">SUM(SUMIFS(Assumptions!BK$3:BK$102,Assumptions!$B$3:$B$102,Cars!$C7,Assumptions!$G$3:$G$102,{"TRL","TRT"}))</f>
        <v>3.1735985867999998</v>
      </c>
      <c r="AB7" s="2" cm="1">
        <f t="array" aca="1" ref="AB7" ca="1">SUM(SUMIFS(Assumptions!BL$3:BL$102,Assumptions!$B$3:$B$102,Cars!$C7,Assumptions!$G$3:$G$102,{"TRL","TRT"}))</f>
        <v>0</v>
      </c>
      <c r="AC7" s="2" cm="1">
        <f t="array" aca="1" ref="AC7" ca="1">SUM(SUMIFS(Assumptions!BM$3:BM$102,Assumptions!$B$3:$B$102,Cars!$C7,Assumptions!$G$3:$G$102,{"TRL","TRT"}))</f>
        <v>0</v>
      </c>
      <c r="AD7" s="2" cm="1">
        <f t="array" aca="1" ref="AD7" ca="1">SUM(SUMIFS(Assumptions!BN$3:BN$102,Assumptions!$B$3:$B$102,Cars!$C7,Assumptions!$G$3:$G$102,{"TRL","TRT"}))</f>
        <v>0</v>
      </c>
      <c r="AE7" s="2" cm="1">
        <f t="array" aca="1" ref="AE7" ca="1">SUM(SUMIFS(Assumptions!BO$3:BO$102,Assumptions!$B$3:$B$102,Cars!$C7,Assumptions!$G$3:$G$102,{"TRL","TRT"}))</f>
        <v>1.31936535</v>
      </c>
      <c r="AF7" s="2" cm="1">
        <f t="array" aca="1" ref="AF7" ca="1">SUM(SUMIFS(Assumptions!BP$3:BP$102,Assumptions!$B$3:$B$102,Cars!$C7,Assumptions!$G$3:$G$102,{"TRL","TRT"}))</f>
        <v>23.414913460800001</v>
      </c>
      <c r="AG7" s="2" cm="1">
        <f t="array" aca="1" ref="AG7" ca="1">SUM(SUMIFS(Assumptions!BQ$3:BQ$102,Assumptions!$B$3:$B$102,Cars!$C7,Assumptions!$G$3:$G$102,{"TRL","TRT"}))</f>
        <v>0</v>
      </c>
      <c r="AI7" s="2" t="s">
        <v>169</v>
      </c>
      <c r="AK7" t="str">
        <f t="shared" si="0"/>
        <v/>
      </c>
      <c r="AL7" t="str">
        <f t="shared" si="1"/>
        <v/>
      </c>
      <c r="AN7" t="str">
        <f t="shared" si="2"/>
        <v>*</v>
      </c>
      <c r="AO7">
        <f t="shared" si="3"/>
        <v>0</v>
      </c>
      <c r="AQ7" t="s">
        <v>156</v>
      </c>
      <c r="AR7" t="s">
        <v>354</v>
      </c>
      <c r="AS7" t="s">
        <v>361</v>
      </c>
    </row>
    <row r="8" spans="1:45" x14ac:dyDescent="0.45">
      <c r="A8" t="s">
        <v>25</v>
      </c>
      <c r="C8" s="35" t="s">
        <v>42</v>
      </c>
      <c r="D8" s="2" cm="1">
        <f t="array" aca="1" ref="D8" ca="1">SUM(SUMIFS(Assumptions!AN$3:AN$102,Assumptions!$B$3:$B$102,Cars!$C8,Assumptions!$G$3:$G$102,{"TRL","TRT"}))</f>
        <v>393.61866156162</v>
      </c>
      <c r="E8" s="2" cm="1">
        <f t="array" aca="1" ref="E8" ca="1">SUM(SUMIFS(Assumptions!AO$3:AO$102,Assumptions!$B$3:$B$102,Cars!$C8,Assumptions!$G$3:$G$102,{"TRL","TRT"}))</f>
        <v>683.51369734692003</v>
      </c>
      <c r="F8" s="2" cm="1">
        <f t="array" aca="1" ref="F8" ca="1">SUM(SUMIFS(Assumptions!AP$3:AP$102,Assumptions!$B$3:$B$102,Cars!$C8,Assumptions!$G$3:$G$102,{"TRL","TRT"}))</f>
        <v>361.80302555824557</v>
      </c>
      <c r="G8" s="2" cm="1">
        <f t="array" aca="1" ref="G8" ca="1">SUM(SUMIFS(Assumptions!AQ$3:AQ$102,Assumptions!$B$3:$B$102,Cars!$C8,Assumptions!$G$3:$G$102,{"TRL","TRT"}))</f>
        <v>281.41992212171039</v>
      </c>
      <c r="H8" s="2" cm="1">
        <f t="array" aca="1" ref="H8" ca="1">SUM(SUMIFS(Assumptions!AR$3:AR$102,Assumptions!$B$3:$B$102,Cars!$C8,Assumptions!$G$3:$G$102,{"TRL","TRT"}))</f>
        <v>1788.2519693236811</v>
      </c>
      <c r="I8" s="2" cm="1">
        <f t="array" aca="1" ref="I8" ca="1">SUM(SUMIFS(Assumptions!AS$3:AS$102,Assumptions!$B$3:$B$102,Cars!$C8,Assumptions!$G$3:$G$102,{"TRL","TRT"}))</f>
        <v>1954.53801234054</v>
      </c>
      <c r="J8" s="2" cm="1">
        <f t="array" aca="1" ref="J8" ca="1">SUM(SUMIFS(Assumptions!AT$3:AT$102,Assumptions!$B$3:$B$102,Cars!$C8,Assumptions!$G$3:$G$102,{"TRL","TRT"}))</f>
        <v>595.18509169830486</v>
      </c>
      <c r="K8" s="2" cm="1">
        <f t="array" aca="1" ref="K8" ca="1">SUM(SUMIFS(Assumptions!AU$3:AU$102,Assumptions!$B$3:$B$102,Cars!$C8,Assumptions!$G$3:$G$102,{"TRL","TRT"}))</f>
        <v>792.19638321480716</v>
      </c>
      <c r="L8" s="2" cm="1">
        <f t="array" aca="1" ref="L8" ca="1">SUM(SUMIFS(Assumptions!AV$3:AV$102,Assumptions!$B$3:$B$102,Cars!$C8,Assumptions!$G$3:$G$102,{"TRL","TRT"}))</f>
        <v>1303.7685133633217</v>
      </c>
      <c r="M8" s="2" cm="1">
        <f t="array" aca="1" ref="M8" ca="1">SUM(SUMIFS(Assumptions!AW$3:AW$102,Assumptions!$B$3:$B$102,Cars!$C8,Assumptions!$G$3:$G$102,{"TRL","TRT"}))</f>
        <v>3794.1151392411125</v>
      </c>
      <c r="N8" s="2" cm="1">
        <f t="array" aca="1" ref="N8" ca="1">SUM(SUMIFS(Assumptions!AX$3:AX$102,Assumptions!$B$3:$B$102,Cars!$C8,Assumptions!$G$3:$G$102,{"TRL","TRT"}))</f>
        <v>180.76901848281361</v>
      </c>
      <c r="O8" s="2" cm="1">
        <f t="array" aca="1" ref="O8" ca="1">SUM(SUMIFS(Assumptions!AY$3:AY$102,Assumptions!$B$3:$B$102,Cars!$C8,Assumptions!$G$3:$G$102,{"TRL","TRT"}))</f>
        <v>366.42837823417182</v>
      </c>
      <c r="P8" s="2" cm="1">
        <f t="array" aca="1" ref="P8" ca="1">SUM(SUMIFS(Assumptions!AZ$3:AZ$102,Assumptions!$B$3:$B$102,Cars!$C8,Assumptions!$G$3:$G$102,{"TRL","TRT"}))</f>
        <v>285.31757176168679</v>
      </c>
      <c r="Q8" s="2" cm="1">
        <f t="array" aca="1" ref="Q8" ca="1">SUM(SUMIFS(Assumptions!BA$3:BA$102,Assumptions!$B$3:$B$102,Cars!$C8,Assumptions!$G$3:$G$102,{"TRL","TRT"}))</f>
        <v>417.78399739320719</v>
      </c>
      <c r="R8" s="2" cm="1">
        <f t="array" aca="1" ref="R8" ca="1">SUM(SUMIFS(Assumptions!BB$3:BB$102,Assumptions!$B$3:$B$102,Cars!$C8,Assumptions!$G$3:$G$102,{"TRL","TRT"}))</f>
        <v>169.44779982726683</v>
      </c>
      <c r="S8" s="2" cm="1">
        <f t="array" aca="1" ref="S8" ca="1">SUM(SUMIFS(Assumptions!BC$3:BC$102,Assumptions!$B$3:$B$102,Cars!$C8,Assumptions!$G$3:$G$102,{"TRL","TRT"}))</f>
        <v>257.74444061063713</v>
      </c>
      <c r="T8" s="2" cm="1">
        <f t="array" aca="1" ref="T8" ca="1">SUM(SUMIFS(Assumptions!BD$3:BD$102,Assumptions!$B$3:$B$102,Cars!$C8,Assumptions!$G$3:$G$102,{"TRL","TRT"}))</f>
        <v>250.7893325101584</v>
      </c>
      <c r="U8" s="2" cm="1">
        <f t="array" aca="1" ref="U8" ca="1">SUM(SUMIFS(Assumptions!BE$3:BE$102,Assumptions!$B$3:$B$102,Cars!$C8,Assumptions!$G$3:$G$102,{"TRL","TRT"}))</f>
        <v>312.84553420960049</v>
      </c>
      <c r="V8" s="2" cm="1">
        <f t="array" aca="1" ref="V8" ca="1">SUM(SUMIFS(Assumptions!BF$3:BF$102,Assumptions!$B$3:$B$102,Cars!$C8,Assumptions!$G$3:$G$102,{"TRL","TRT"}))</f>
        <v>686.91496698592482</v>
      </c>
      <c r="W8" s="2" cm="1">
        <f t="array" aca="1" ref="W8" ca="1">SUM(SUMIFS(Assumptions!BG$3:BG$102,Assumptions!$B$3:$B$102,Cars!$C8,Assumptions!$G$3:$G$102,{"TRL","TRT"}))</f>
        <v>671.44000070519996</v>
      </c>
      <c r="X8" s="2" cm="1">
        <f t="array" aca="1" ref="X8" ca="1">SUM(SUMIFS(Assumptions!BH$3:BH$102,Assumptions!$B$3:$B$102,Cars!$C8,Assumptions!$G$3:$G$102,{"TRL","TRT"}))</f>
        <v>1144.4682980102402</v>
      </c>
      <c r="Y8" s="2" cm="1">
        <f t="array" aca="1" ref="Y8" ca="1">SUM(SUMIFS(Assumptions!BI$3:BI$102,Assumptions!$B$3:$B$102,Cars!$C8,Assumptions!$G$3:$G$102,{"TRL","TRT"}))</f>
        <v>1322.7116501972628</v>
      </c>
      <c r="Z8" s="2" cm="1">
        <f t="array" aca="1" ref="Z8" ca="1">SUM(SUMIFS(Assumptions!BJ$3:BJ$102,Assumptions!$B$3:$B$102,Cars!$C8,Assumptions!$G$3:$G$102,{"TRL","TRT"}))</f>
        <v>1602.1846249752421</v>
      </c>
      <c r="AA8" s="2" cm="1">
        <f t="array" aca="1" ref="AA8" ca="1">SUM(SUMIFS(Assumptions!BK$3:BK$102,Assumptions!$B$3:$B$102,Cars!$C8,Assumptions!$G$3:$G$102,{"TRL","TRT"}))</f>
        <v>31.484448712669682</v>
      </c>
      <c r="AB8" s="2" cm="1">
        <f t="array" aca="1" ref="AB8" ca="1">SUM(SUMIFS(Assumptions!BL$3:BL$102,Assumptions!$B$3:$B$102,Cars!$C8,Assumptions!$G$3:$G$102,{"TRL","TRT"}))</f>
        <v>1024.2439351743817</v>
      </c>
      <c r="AC8" s="2" cm="1">
        <f t="array" aca="1" ref="AC8" ca="1">SUM(SUMIFS(Assumptions!BM$3:BM$102,Assumptions!$B$3:$B$102,Cars!$C8,Assumptions!$G$3:$G$102,{"TRL","TRT"}))</f>
        <v>692.15269723402321</v>
      </c>
      <c r="AD8" s="2" cm="1">
        <f t="array" aca="1" ref="AD8" ca="1">SUM(SUMIFS(Assumptions!BN$3:BN$102,Assumptions!$B$3:$B$102,Cars!$C8,Assumptions!$G$3:$G$102,{"TRL","TRT"}))</f>
        <v>174.11594667192</v>
      </c>
      <c r="AE8" s="2" cm="1">
        <f t="array" aca="1" ref="AE8" ca="1">SUM(SUMIFS(Assumptions!BO$3:BO$102,Assumptions!$B$3:$B$102,Cars!$C8,Assumptions!$G$3:$G$102,{"TRL","TRT"}))</f>
        <v>491.88724480969421</v>
      </c>
      <c r="AF8" s="2" cm="1">
        <f t="array" aca="1" ref="AF8" ca="1">SUM(SUMIFS(Assumptions!BP$3:BP$102,Assumptions!$B$3:$B$102,Cars!$C8,Assumptions!$G$3:$G$102,{"TRL","TRT"}))</f>
        <v>12367.751501244493</v>
      </c>
      <c r="AG8" s="2" cm="1">
        <f t="array" aca="1" ref="AG8" ca="1">SUM(SUMIFS(Assumptions!BQ$3:BQ$102,Assumptions!$B$3:$B$102,Cars!$C8,Assumptions!$G$3:$G$102,{"TRL","TRT"}))</f>
        <v>0</v>
      </c>
      <c r="AI8" s="2" t="s">
        <v>169</v>
      </c>
      <c r="AK8" t="str">
        <f t="shared" si="0"/>
        <v/>
      </c>
      <c r="AL8" t="str">
        <f t="shared" si="1"/>
        <v/>
      </c>
      <c r="AN8" t="str">
        <f t="shared" si="2"/>
        <v>*</v>
      </c>
      <c r="AO8">
        <f t="shared" si="3"/>
        <v>0</v>
      </c>
      <c r="AQ8" t="s">
        <v>156</v>
      </c>
      <c r="AR8" t="s">
        <v>354</v>
      </c>
      <c r="AS8" t="s">
        <v>361</v>
      </c>
    </row>
    <row r="9" spans="1:45" x14ac:dyDescent="0.45">
      <c r="A9" t="s">
        <v>25</v>
      </c>
      <c r="C9" s="35" t="s">
        <v>39</v>
      </c>
      <c r="D9" s="2" cm="1">
        <f t="array" aca="1" ref="D9" ca="1">SUM(SUMIFS(Assumptions!AN$3:AN$102,Assumptions!$B$3:$B$102,Cars!$C9,Assumptions!$G$3:$G$102,{"TRL","TRT"}))</f>
        <v>25.763995475279994</v>
      </c>
      <c r="E9" s="2" cm="1">
        <f t="array" aca="1" ref="E9" ca="1">SUM(SUMIFS(Assumptions!AO$3:AO$102,Assumptions!$B$3:$B$102,Cars!$C9,Assumptions!$G$3:$G$102,{"TRL","TRT"}))</f>
        <v>1.4786102879999999E-2</v>
      </c>
      <c r="F9" s="2" cm="1">
        <f t="array" aca="1" ref="F9" ca="1">SUM(SUMIFS(Assumptions!AP$3:AP$102,Assumptions!$B$3:$B$102,Cars!$C9,Assumptions!$G$3:$G$102,{"TRL","TRT"}))</f>
        <v>0.26031638340000007</v>
      </c>
      <c r="G9" s="2" cm="1">
        <f t="array" aca="1" ref="G9" ca="1">SUM(SUMIFS(Assumptions!AQ$3:AQ$102,Assumptions!$B$3:$B$102,Cars!$C9,Assumptions!$G$3:$G$102,{"TRL","TRT"}))</f>
        <v>10.786010002163998</v>
      </c>
      <c r="H9" s="2" cm="1">
        <f t="array" aca="1" ref="H9" ca="1">SUM(SUMIFS(Assumptions!AR$3:AR$102,Assumptions!$B$3:$B$102,Cars!$C9,Assumptions!$G$3:$G$102,{"TRL","TRT"}))</f>
        <v>99.98243581820401</v>
      </c>
      <c r="I9" s="2" cm="1">
        <f t="array" aca="1" ref="I9" ca="1">SUM(SUMIFS(Assumptions!AS$3:AS$102,Assumptions!$B$3:$B$102,Cars!$C9,Assumptions!$G$3:$G$102,{"TRL","TRT"}))</f>
        <v>38.720787882839993</v>
      </c>
      <c r="J9" s="2" cm="1">
        <f t="array" aca="1" ref="J9" ca="1">SUM(SUMIFS(Assumptions!AT$3:AT$102,Assumptions!$B$3:$B$102,Cars!$C9,Assumptions!$G$3:$G$102,{"TRL","TRT"}))</f>
        <v>3.8350554183000001</v>
      </c>
      <c r="K9" s="2" cm="1">
        <f t="array" aca="1" ref="K9" ca="1">SUM(SUMIFS(Assumptions!AU$3:AU$102,Assumptions!$B$3:$B$102,Cars!$C9,Assumptions!$G$3:$G$102,{"TRL","TRT"}))</f>
        <v>0</v>
      </c>
      <c r="L9" s="2" cm="1">
        <f t="array" aca="1" ref="L9" ca="1">SUM(SUMIFS(Assumptions!AV$3:AV$102,Assumptions!$B$3:$B$102,Cars!$C9,Assumptions!$G$3:$G$102,{"TRL","TRT"}))</f>
        <v>9.8336703002400014</v>
      </c>
      <c r="M9" s="2" cm="1">
        <f t="array" aca="1" ref="M9" ca="1">SUM(SUMIFS(Assumptions!AW$3:AW$102,Assumptions!$B$3:$B$102,Cars!$C9,Assumptions!$G$3:$G$102,{"TRL","TRT"}))</f>
        <v>36.241481734560011</v>
      </c>
      <c r="N9" s="2" cm="1">
        <f t="array" aca="1" ref="N9" ca="1">SUM(SUMIFS(Assumptions!AX$3:AX$102,Assumptions!$B$3:$B$102,Cars!$C9,Assumptions!$G$3:$G$102,{"TRL","TRT"}))</f>
        <v>0</v>
      </c>
      <c r="O9" s="2" cm="1">
        <f t="array" aca="1" ref="O9" ca="1">SUM(SUMIFS(Assumptions!AY$3:AY$102,Assumptions!$B$3:$B$102,Cars!$C9,Assumptions!$G$3:$G$102,{"TRL","TRT"}))</f>
        <v>57.111511282416004</v>
      </c>
      <c r="P9" s="2" cm="1">
        <f t="array" aca="1" ref="P9" ca="1">SUM(SUMIFS(Assumptions!AZ$3:AZ$102,Assumptions!$B$3:$B$102,Cars!$C9,Assumptions!$G$3:$G$102,{"TRL","TRT"}))</f>
        <v>6.1916114988000004</v>
      </c>
      <c r="Q9" s="2" cm="1">
        <f t="array" aca="1" ref="Q9" ca="1">SUM(SUMIFS(Assumptions!BA$3:BA$102,Assumptions!$B$3:$B$102,Cars!$C9,Assumptions!$G$3:$G$102,{"TRL","TRT"}))</f>
        <v>64.617276109500011</v>
      </c>
      <c r="R9" s="2" cm="1">
        <f t="array" aca="1" ref="R9" ca="1">SUM(SUMIFS(Assumptions!BB$3:BB$102,Assumptions!$B$3:$B$102,Cars!$C9,Assumptions!$G$3:$G$102,{"TRL","TRT"}))</f>
        <v>15.393827408867999</v>
      </c>
      <c r="S9" s="2" cm="1">
        <f t="array" aca="1" ref="S9" ca="1">SUM(SUMIFS(Assumptions!BC$3:BC$102,Assumptions!$B$3:$B$102,Cars!$C9,Assumptions!$G$3:$G$102,{"TRL","TRT"}))</f>
        <v>4.2493968467999998</v>
      </c>
      <c r="T9" s="2" cm="1">
        <f t="array" aca="1" ref="T9" ca="1">SUM(SUMIFS(Assumptions!BD$3:BD$102,Assumptions!$B$3:$B$102,Cars!$C9,Assumptions!$G$3:$G$102,{"TRL","TRT"}))</f>
        <v>151.22065695911999</v>
      </c>
      <c r="U9" s="2" cm="1">
        <f t="array" aca="1" ref="U9" ca="1">SUM(SUMIFS(Assumptions!BE$3:BE$102,Assumptions!$B$3:$B$102,Cars!$C9,Assumptions!$G$3:$G$102,{"TRL","TRT"}))</f>
        <v>1.8154236941999997</v>
      </c>
      <c r="V9" s="2" cm="1">
        <f t="array" aca="1" ref="V9" ca="1">SUM(SUMIFS(Assumptions!BF$3:BF$102,Assumptions!$B$3:$B$102,Cars!$C9,Assumptions!$G$3:$G$102,{"TRL","TRT"}))</f>
        <v>11.695500276299999</v>
      </c>
      <c r="W9" s="2" cm="1">
        <f t="array" aca="1" ref="W9" ca="1">SUM(SUMIFS(Assumptions!BG$3:BG$102,Assumptions!$B$3:$B$102,Cars!$C9,Assumptions!$G$3:$G$102,{"TRL","TRT"}))</f>
        <v>2.0327175675000002</v>
      </c>
      <c r="X9" s="2" cm="1">
        <f t="array" aca="1" ref="X9" ca="1">SUM(SUMIFS(Assumptions!BH$3:BH$102,Assumptions!$B$3:$B$102,Cars!$C9,Assumptions!$G$3:$G$102,{"TRL","TRT"}))</f>
        <v>17.038253775600005</v>
      </c>
      <c r="Y9" s="2" cm="1">
        <f t="array" aca="1" ref="Y9" ca="1">SUM(SUMIFS(Assumptions!BI$3:BI$102,Assumptions!$B$3:$B$102,Cars!$C9,Assumptions!$G$3:$G$102,{"TRL","TRT"}))</f>
        <v>38.825217351180001</v>
      </c>
      <c r="Z9" s="2" cm="1">
        <f t="array" aca="1" ref="Z9" ca="1">SUM(SUMIFS(Assumptions!BJ$3:BJ$102,Assumptions!$B$3:$B$102,Cars!$C9,Assumptions!$G$3:$G$102,{"TRL","TRT"}))</f>
        <v>1.68512084856</v>
      </c>
      <c r="AA9" s="2" cm="1">
        <f t="array" aca="1" ref="AA9" ca="1">SUM(SUMIFS(Assumptions!BK$3:BK$102,Assumptions!$B$3:$B$102,Cars!$C9,Assumptions!$G$3:$G$102,{"TRL","TRT"}))</f>
        <v>0.1610463087</v>
      </c>
      <c r="AB9" s="2" cm="1">
        <f t="array" aca="1" ref="AB9" ca="1">SUM(SUMIFS(Assumptions!BL$3:BL$102,Assumptions!$B$3:$B$102,Cars!$C9,Assumptions!$G$3:$G$102,{"TRL","TRT"}))</f>
        <v>31.725675914867999</v>
      </c>
      <c r="AC9" s="2" cm="1">
        <f t="array" aca="1" ref="AC9" ca="1">SUM(SUMIFS(Assumptions!BM$3:BM$102,Assumptions!$B$3:$B$102,Cars!$C9,Assumptions!$G$3:$G$102,{"TRL","TRT"}))</f>
        <v>0</v>
      </c>
      <c r="AD9" s="2" cm="1">
        <f t="array" aca="1" ref="AD9" ca="1">SUM(SUMIFS(Assumptions!BN$3:BN$102,Assumptions!$B$3:$B$102,Cars!$C9,Assumptions!$G$3:$G$102,{"TRL","TRT"}))</f>
        <v>0.39244969799999996</v>
      </c>
      <c r="AE9" s="2" cm="1">
        <f t="array" aca="1" ref="AE9" ca="1">SUM(SUMIFS(Assumptions!BO$3:BO$102,Assumptions!$B$3:$B$102,Cars!$C9,Assumptions!$G$3:$G$102,{"TRL","TRT"}))</f>
        <v>2.1734987174999998</v>
      </c>
      <c r="AF9" s="2" cm="1">
        <f t="array" aca="1" ref="AF9" ca="1">SUM(SUMIFS(Assumptions!BP$3:BP$102,Assumptions!$B$3:$B$102,Cars!$C9,Assumptions!$G$3:$G$102,{"TRL","TRT"}))</f>
        <v>2.2792647723879047</v>
      </c>
      <c r="AG9" s="2" cm="1">
        <f t="array" aca="1" ref="AG9" ca="1">SUM(SUMIFS(Assumptions!BQ$3:BQ$102,Assumptions!$B$3:$B$102,Cars!$C9,Assumptions!$G$3:$G$102,{"TRL","TRT"}))</f>
        <v>0</v>
      </c>
      <c r="AI9" s="2" t="s">
        <v>169</v>
      </c>
      <c r="AK9" t="str">
        <f t="shared" si="0"/>
        <v/>
      </c>
      <c r="AL9" t="str">
        <f t="shared" si="1"/>
        <v/>
      </c>
      <c r="AN9" t="str">
        <f t="shared" si="2"/>
        <v>*</v>
      </c>
      <c r="AO9">
        <f t="shared" si="3"/>
        <v>0</v>
      </c>
      <c r="AQ9" t="s">
        <v>156</v>
      </c>
      <c r="AR9" t="s">
        <v>354</v>
      </c>
      <c r="AS9" t="s">
        <v>361</v>
      </c>
    </row>
    <row r="10" spans="1:45" x14ac:dyDescent="0.45">
      <c r="A10" t="s">
        <v>25</v>
      </c>
      <c r="C10" s="35" t="s">
        <v>38</v>
      </c>
      <c r="D10" s="2" cm="1">
        <f t="array" aca="1" ref="D10" ca="1">SUM(SUMIFS(Assumptions!AN$3:AN$102,Assumptions!$B$3:$B$102,Cars!$C10,Assumptions!$G$3:$G$102,{"TRL","TRT"}))</f>
        <v>5.0870132882999997</v>
      </c>
      <c r="E10" s="2" cm="1">
        <f t="array" aca="1" ref="E10" ca="1">SUM(SUMIFS(Assumptions!AO$3:AO$102,Assumptions!$B$3:$B$102,Cars!$C10,Assumptions!$G$3:$G$102,{"TRL","TRT"}))</f>
        <v>1.8672081300000001E-2</v>
      </c>
      <c r="F10" s="2" cm="1">
        <f t="array" aca="1" ref="F10" ca="1">SUM(SUMIFS(Assumptions!AP$3:AP$102,Assumptions!$B$3:$B$102,Cars!$C10,Assumptions!$G$3:$G$102,{"TRL","TRT"}))</f>
        <v>43.0689186846</v>
      </c>
      <c r="G10" s="2" cm="1">
        <f t="array" aca="1" ref="G10" ca="1">SUM(SUMIFS(Assumptions!AQ$3:AQ$102,Assumptions!$B$3:$B$102,Cars!$C10,Assumptions!$G$3:$G$102,{"TRL","TRT"}))</f>
        <v>103.58340105204</v>
      </c>
      <c r="H10" s="2" cm="1">
        <f t="array" aca="1" ref="H10" ca="1">SUM(SUMIFS(Assumptions!AR$3:AR$102,Assumptions!$B$3:$B$102,Cars!$C10,Assumptions!$G$3:$G$102,{"TRL","TRT"}))</f>
        <v>48.666327176340005</v>
      </c>
      <c r="I10" s="2" cm="1">
        <f t="array" aca="1" ref="I10" ca="1">SUM(SUMIFS(Assumptions!AS$3:AS$102,Assumptions!$B$3:$B$102,Cars!$C10,Assumptions!$G$3:$G$102,{"TRL","TRT"}))</f>
        <v>150.38103818052002</v>
      </c>
      <c r="J10" s="2" cm="1">
        <f t="array" aca="1" ref="J10" ca="1">SUM(SUMIFS(Assumptions!AT$3:AT$102,Assumptions!$B$3:$B$102,Cars!$C10,Assumptions!$G$3:$G$102,{"TRL","TRT"}))</f>
        <v>0.78086332079999998</v>
      </c>
      <c r="K10" s="2" cm="1">
        <f t="array" aca="1" ref="K10" ca="1">SUM(SUMIFS(Assumptions!AU$3:AU$102,Assumptions!$B$3:$B$102,Cars!$C10,Assumptions!$G$3:$G$102,{"TRL","TRT"}))</f>
        <v>42.086534212799997</v>
      </c>
      <c r="L10" s="2" cm="1">
        <f t="array" aca="1" ref="L10" ca="1">SUM(SUMIFS(Assumptions!AV$3:AV$102,Assumptions!$B$3:$B$102,Cars!$C10,Assumptions!$G$3:$G$102,{"TRL","TRT"}))</f>
        <v>1.4006924494992001</v>
      </c>
      <c r="M10" s="2" cm="1">
        <f t="array" aca="1" ref="M10" ca="1">SUM(SUMIFS(Assumptions!AW$3:AW$102,Assumptions!$B$3:$B$102,Cars!$C10,Assumptions!$G$3:$G$102,{"TRL","TRT"}))</f>
        <v>411.33613173696006</v>
      </c>
      <c r="N10" s="2" cm="1">
        <f t="array" aca="1" ref="N10" ca="1">SUM(SUMIFS(Assumptions!AX$3:AX$102,Assumptions!$B$3:$B$102,Cars!$C10,Assumptions!$G$3:$G$102,{"TRL","TRT"}))</f>
        <v>3.5982749720016001</v>
      </c>
      <c r="O10" s="2" cm="1">
        <f t="array" aca="1" ref="O10" ca="1">SUM(SUMIFS(Assumptions!AY$3:AY$102,Assumptions!$B$3:$B$102,Cars!$C10,Assumptions!$G$3:$G$102,{"TRL","TRT"}))</f>
        <v>0</v>
      </c>
      <c r="P10" s="2" cm="1">
        <f t="array" aca="1" ref="P10" ca="1">SUM(SUMIFS(Assumptions!AZ$3:AZ$102,Assumptions!$B$3:$B$102,Cars!$C10,Assumptions!$G$3:$G$102,{"TRL","TRT"}))</f>
        <v>2.6167577455800002</v>
      </c>
      <c r="Q10" s="2" cm="1">
        <f t="array" aca="1" ref="Q10" ca="1">SUM(SUMIFS(Assumptions!BA$3:BA$102,Assumptions!$B$3:$B$102,Cars!$C10,Assumptions!$G$3:$G$102,{"TRL","TRT"}))</f>
        <v>27.919675121738404</v>
      </c>
      <c r="R10" s="2" cm="1">
        <f t="array" aca="1" ref="R10" ca="1">SUM(SUMIFS(Assumptions!BB$3:BB$102,Assumptions!$B$3:$B$102,Cars!$C10,Assumptions!$G$3:$G$102,{"TRL","TRT"}))</f>
        <v>0</v>
      </c>
      <c r="S10" s="2" cm="1">
        <f t="array" aca="1" ref="S10" ca="1">SUM(SUMIFS(Assumptions!BC$3:BC$102,Assumptions!$B$3:$B$102,Cars!$C10,Assumptions!$G$3:$G$102,{"TRL","TRT"}))</f>
        <v>6.0480890415000008</v>
      </c>
      <c r="T10" s="2" cm="1">
        <f t="array" aca="1" ref="T10" ca="1">SUM(SUMIFS(Assumptions!BD$3:BD$102,Assumptions!$B$3:$B$102,Cars!$C10,Assumptions!$G$3:$G$102,{"TRL","TRT"}))</f>
        <v>4.1099336679456009</v>
      </c>
      <c r="U10" s="2" cm="1">
        <f t="array" aca="1" ref="U10" ca="1">SUM(SUMIFS(Assumptions!BE$3:BE$102,Assumptions!$B$3:$B$102,Cars!$C10,Assumptions!$G$3:$G$102,{"TRL","TRT"}))</f>
        <v>4.6458318341160005</v>
      </c>
      <c r="V10" s="2" cm="1">
        <f t="array" aca="1" ref="V10" ca="1">SUM(SUMIFS(Assumptions!BF$3:BF$102,Assumptions!$B$3:$B$102,Cars!$C10,Assumptions!$G$3:$G$102,{"TRL","TRT"}))</f>
        <v>5.6855277866376008</v>
      </c>
      <c r="W10" s="2" cm="1">
        <f t="array" aca="1" ref="W10" ca="1">SUM(SUMIFS(Assumptions!BG$3:BG$102,Assumptions!$B$3:$B$102,Cars!$C10,Assumptions!$G$3:$G$102,{"TRL","TRT"}))</f>
        <v>30.8451855528</v>
      </c>
      <c r="X10" s="2" cm="1">
        <f t="array" aca="1" ref="X10" ca="1">SUM(SUMIFS(Assumptions!BH$3:BH$102,Assumptions!$B$3:$B$102,Cars!$C10,Assumptions!$G$3:$G$102,{"TRL","TRT"}))</f>
        <v>37.872061558200002</v>
      </c>
      <c r="Y10" s="2" cm="1">
        <f t="array" aca="1" ref="Y10" ca="1">SUM(SUMIFS(Assumptions!BI$3:BI$102,Assumptions!$B$3:$B$102,Cars!$C10,Assumptions!$G$3:$G$102,{"TRL","TRT"}))</f>
        <v>1.0325693406600001</v>
      </c>
      <c r="Z10" s="2" cm="1">
        <f t="array" aca="1" ref="Z10" ca="1">SUM(SUMIFS(Assumptions!BJ$3:BJ$102,Assumptions!$B$3:$B$102,Cars!$C10,Assumptions!$G$3:$G$102,{"TRL","TRT"}))</f>
        <v>190.58020340618165</v>
      </c>
      <c r="AA10" s="2" cm="1">
        <f t="array" aca="1" ref="AA10" ca="1">SUM(SUMIFS(Assumptions!BK$3:BK$102,Assumptions!$B$3:$B$102,Cars!$C10,Assumptions!$G$3:$G$102,{"TRL","TRT"}))</f>
        <v>1.6669896850728001</v>
      </c>
      <c r="AB10" s="2" cm="1">
        <f t="array" aca="1" ref="AB10" ca="1">SUM(SUMIFS(Assumptions!BL$3:BL$102,Assumptions!$B$3:$B$102,Cars!$C10,Assumptions!$G$3:$G$102,{"TRL","TRT"}))</f>
        <v>6.0915524216400012</v>
      </c>
      <c r="AC10" s="2" cm="1">
        <f t="array" aca="1" ref="AC10" ca="1">SUM(SUMIFS(Assumptions!BM$3:BM$102,Assumptions!$B$3:$B$102,Cars!$C10,Assumptions!$G$3:$G$102,{"TRL","TRT"}))</f>
        <v>0</v>
      </c>
      <c r="AD10" s="2" cm="1">
        <f t="array" aca="1" ref="AD10" ca="1">SUM(SUMIFS(Assumptions!BN$3:BN$102,Assumptions!$B$3:$B$102,Cars!$C10,Assumptions!$G$3:$G$102,{"TRL","TRT"}))</f>
        <v>1.8327717E-3</v>
      </c>
      <c r="AE10" s="2" cm="1">
        <f t="array" aca="1" ref="AE10" ca="1">SUM(SUMIFS(Assumptions!BO$3:BO$102,Assumptions!$B$3:$B$102,Cars!$C10,Assumptions!$G$3:$G$102,{"TRL","TRT"}))</f>
        <v>0.38853680682960007</v>
      </c>
      <c r="AF10" s="2" cm="1">
        <f t="array" aca="1" ref="AF10" ca="1">SUM(SUMIFS(Assumptions!BP$3:BP$102,Assumptions!$B$3:$B$102,Cars!$C10,Assumptions!$G$3:$G$102,{"TRL","TRT"}))</f>
        <v>49.367043070152796</v>
      </c>
      <c r="AG10" s="2" cm="1">
        <f t="array" aca="1" ref="AG10" ca="1">SUM(SUMIFS(Assumptions!BQ$3:BQ$102,Assumptions!$B$3:$B$102,Cars!$C10,Assumptions!$G$3:$G$102,{"TRL","TRT"}))</f>
        <v>0</v>
      </c>
      <c r="AI10" s="2" t="s">
        <v>169</v>
      </c>
      <c r="AK10" t="str">
        <f t="shared" si="0"/>
        <v/>
      </c>
      <c r="AL10" t="str">
        <f t="shared" si="1"/>
        <v/>
      </c>
      <c r="AN10" t="str">
        <f t="shared" si="2"/>
        <v>*</v>
      </c>
      <c r="AO10">
        <f t="shared" si="3"/>
        <v>0</v>
      </c>
      <c r="AQ10" t="s">
        <v>156</v>
      </c>
      <c r="AR10" t="s">
        <v>354</v>
      </c>
      <c r="AS10" t="s">
        <v>361</v>
      </c>
    </row>
    <row r="11" spans="1:45" x14ac:dyDescent="0.45">
      <c r="A11" s="3" t="s">
        <v>327</v>
      </c>
      <c r="B11" s="3"/>
      <c r="D11" s="42">
        <f ca="1">SUM(D$4:D$10)/SUM($D$4:$T$10)</f>
        <v>2.7989404548589225E-2</v>
      </c>
      <c r="E11" s="42">
        <f t="shared" ref="E11:AG11" ca="1" si="4">SUM(E$4:E$10)/SUM($D$4:$T$10)</f>
        <v>4.0934880385128873E-2</v>
      </c>
      <c r="F11" s="42">
        <f t="shared" ca="1" si="4"/>
        <v>2.4153581590927127E-2</v>
      </c>
      <c r="G11" s="42">
        <f t="shared" ca="1" si="4"/>
        <v>2.1194635678174586E-2</v>
      </c>
      <c r="H11" s="42">
        <f t="shared" ca="1" si="4"/>
        <v>0.1065298423525135</v>
      </c>
      <c r="I11" s="42">
        <f t="shared" ca="1" si="4"/>
        <v>0.12650541358463374</v>
      </c>
      <c r="J11" s="42">
        <f t="shared" ca="1" si="4"/>
        <v>3.2308642400495149E-2</v>
      </c>
      <c r="K11" s="42">
        <f t="shared" ca="1" si="4"/>
        <v>6.202326636715496E-2</v>
      </c>
      <c r="L11" s="42">
        <f t="shared" ca="1" si="4"/>
        <v>7.2996572101309123E-2</v>
      </c>
      <c r="M11" s="42">
        <f t="shared" ca="1" si="4"/>
        <v>0.2430729596706506</v>
      </c>
      <c r="N11" s="42">
        <f t="shared" ca="1" si="4"/>
        <v>1.9507913139953082E-2</v>
      </c>
      <c r="O11" s="42">
        <f t="shared" ca="1" si="4"/>
        <v>4.6793104681613372E-2</v>
      </c>
      <c r="P11" s="42">
        <f t="shared" ca="1" si="4"/>
        <v>3.3218843504322935E-2</v>
      </c>
      <c r="Q11" s="42">
        <f t="shared" ca="1" si="4"/>
        <v>5.2211990214284403E-2</v>
      </c>
      <c r="R11" s="42">
        <f t="shared" ca="1" si="4"/>
        <v>2.0213735489770891E-2</v>
      </c>
      <c r="S11" s="42">
        <f t="shared" ca="1" si="4"/>
        <v>4.1517637348646913E-2</v>
      </c>
      <c r="T11" s="42">
        <f t="shared" ca="1" si="4"/>
        <v>2.8827576941831082E-2</v>
      </c>
      <c r="U11" s="42">
        <f t="shared" ca="1" si="4"/>
        <v>5.108591499582342E-2</v>
      </c>
      <c r="V11" s="42">
        <f t="shared" ca="1" si="4"/>
        <v>7.3146756520425044E-2</v>
      </c>
      <c r="W11" s="42">
        <f t="shared" ca="1" si="4"/>
        <v>6.1622069531947779E-2</v>
      </c>
      <c r="X11" s="42">
        <f t="shared" ca="1" si="4"/>
        <v>6.7814860923419665E-2</v>
      </c>
      <c r="Y11" s="42">
        <f t="shared" ca="1" si="4"/>
        <v>7.5249193430019026E-2</v>
      </c>
      <c r="Z11" s="42">
        <f t="shared" ca="1" si="4"/>
        <v>0.10158785812332131</v>
      </c>
      <c r="AA11" s="42">
        <f t="shared" ca="1" si="4"/>
        <v>4.7160482970107307E-3</v>
      </c>
      <c r="AB11" s="42">
        <f t="shared" ca="1" si="4"/>
        <v>5.710443702740349E-2</v>
      </c>
      <c r="AC11" s="42">
        <f t="shared" ca="1" si="4"/>
        <v>4.0616434912575716E-2</v>
      </c>
      <c r="AD11" s="42">
        <f t="shared" ca="1" si="4"/>
        <v>1.0932121787481654E-2</v>
      </c>
      <c r="AE11" s="42">
        <f t="shared" ca="1" si="4"/>
        <v>5.211693567470272E-2</v>
      </c>
      <c r="AF11" s="42">
        <f t="shared" ca="1" si="4"/>
        <v>0.7140208261368709</v>
      </c>
      <c r="AG11" s="42">
        <f t="shared" ca="1" si="4"/>
        <v>0</v>
      </c>
      <c r="AI11" s="2" t="s">
        <v>169</v>
      </c>
      <c r="AK11" t="str">
        <f t="shared" si="0"/>
        <v/>
      </c>
      <c r="AL11" t="str">
        <f t="shared" si="1"/>
        <v/>
      </c>
      <c r="AN11" t="str">
        <f t="shared" si="2"/>
        <v>*</v>
      </c>
      <c r="AO11">
        <f t="shared" si="3"/>
        <v>0</v>
      </c>
      <c r="AQ11" t="s">
        <v>156</v>
      </c>
      <c r="AR11" t="s">
        <v>354</v>
      </c>
      <c r="AS11" t="s">
        <v>361</v>
      </c>
    </row>
    <row r="12" spans="1:45" x14ac:dyDescent="0.45">
      <c r="C12" s="97">
        <f>SUM(D12:AG12)</f>
        <v>1083.0102162150008</v>
      </c>
      <c r="D12" s="98">
        <f>IFERROR('vehicle population data'!G45,"")</f>
        <v>16.480099200000041</v>
      </c>
      <c r="E12" s="98">
        <f>IFERROR('vehicle population data'!H45,"")</f>
        <v>12.648213599999849</v>
      </c>
      <c r="F12" s="98">
        <f>IFERROR('vehicle population data'!I45,"")</f>
        <v>16.773889000000054</v>
      </c>
      <c r="G12" s="98">
        <f>IFERROR('vehicle population data'!J45,"")</f>
        <v>8.0993343999999752</v>
      </c>
      <c r="H12" s="98">
        <f>IFERROR('vehicle population data'!K45,"")</f>
        <v>82.319122399999742</v>
      </c>
      <c r="I12" s="98">
        <f>IFERROR('vehicle population data'!L45,"")</f>
        <v>63.491525399999773</v>
      </c>
      <c r="J12" s="98">
        <f>IFERROR('vehicle population data'!M45,"")</f>
        <v>18.589885999999979</v>
      </c>
      <c r="K12" s="98">
        <f>IFERROR('vehicle population data'!N45,"")</f>
        <v>42.624361414999839</v>
      </c>
      <c r="L12" s="98">
        <f>IFERROR('vehicle population data'!O45,"")</f>
        <v>23.662098000000015</v>
      </c>
      <c r="M12" s="98">
        <f>IFERROR('vehicle population data'!P45,"")</f>
        <v>195.20706480000081</v>
      </c>
      <c r="N12" s="98">
        <f>IFERROR('vehicle population data'!Q45,"")</f>
        <v>10.180607199999997</v>
      </c>
      <c r="O12" s="98">
        <f>IFERROR('vehicle population data'!R45,"")</f>
        <v>38.592796599999929</v>
      </c>
      <c r="P12" s="98">
        <f>IFERROR('vehicle population data'!S45,"")</f>
        <v>17.124513200000024</v>
      </c>
      <c r="Q12" s="98">
        <f>IFERROR('vehicle population data'!T45,"")</f>
        <v>43.197717799999999</v>
      </c>
      <c r="R12" s="98">
        <f>IFERROR('vehicle population data'!U45,"")</f>
        <v>15.526743399999987</v>
      </c>
      <c r="S12" s="98">
        <f>IFERROR('vehicle population data'!V45,"")</f>
        <v>26.752504199999997</v>
      </c>
      <c r="T12" s="98">
        <f>IFERROR('vehicle population data'!W45,"")</f>
        <v>33.618471199999931</v>
      </c>
      <c r="U12" s="98">
        <f>IFERROR('vehicle population data'!X45,"")</f>
        <v>32.379999999999995</v>
      </c>
      <c r="V12" s="98">
        <f>IFERROR('vehicle population data'!Y45,"")</f>
        <v>47.092037800000185</v>
      </c>
      <c r="W12" s="98">
        <f>IFERROR('vehicle population data'!Z45,"")</f>
        <v>29.806999999999789</v>
      </c>
      <c r="X12" s="98">
        <f>IFERROR('vehicle population data'!AA45,"")</f>
        <v>20.11031580000008</v>
      </c>
      <c r="Y12" s="98">
        <f>IFERROR('vehicle population data'!AB45,"")</f>
        <v>31.309424800000215</v>
      </c>
      <c r="Z12" s="98">
        <f>IFERROR('vehicle population data'!AC45,"")</f>
        <v>36.99071640000011</v>
      </c>
      <c r="AA12" s="98">
        <f>IFERROR('vehicle population data'!AD45,"")</f>
        <v>3.0585533999999939</v>
      </c>
      <c r="AB12" s="98">
        <f>IFERROR('vehicle population data'!AE45,"")</f>
        <v>53.09848300000067</v>
      </c>
      <c r="AC12" s="98">
        <f>IFERROR('vehicle population data'!AF45,"")</f>
        <v>5.3359000000000378</v>
      </c>
      <c r="AD12" s="98">
        <f>IFERROR('vehicle population data'!AG45,"")</f>
        <v>7.2811207999999965</v>
      </c>
      <c r="AE12" s="98">
        <f>IFERROR('vehicle population data'!AH45,"")</f>
        <v>35.514736800000037</v>
      </c>
      <c r="AF12" s="98">
        <f>IFERROR('vehicle population data'!AI45,"")</f>
        <v>116.14297959999976</v>
      </c>
      <c r="AG12" s="98">
        <f>IFERROR('vehicle population data'!AJ45,"")</f>
        <v>0</v>
      </c>
      <c r="AI12" s="2" t="s">
        <v>169</v>
      </c>
      <c r="AK12" t="str">
        <f t="shared" si="0"/>
        <v/>
      </c>
      <c r="AL12" t="str">
        <f t="shared" si="1"/>
        <v/>
      </c>
      <c r="AN12" t="str">
        <f t="shared" si="2"/>
        <v>*</v>
      </c>
      <c r="AO12">
        <f t="shared" si="3"/>
        <v>0</v>
      </c>
      <c r="AQ12" t="s">
        <v>156</v>
      </c>
      <c r="AR12" t="s">
        <v>354</v>
      </c>
      <c r="AS12" t="s">
        <v>361</v>
      </c>
    </row>
    <row r="13" spans="1:45" x14ac:dyDescent="0.45">
      <c r="A13" s="3" t="s">
        <v>328</v>
      </c>
      <c r="B13" s="3"/>
      <c r="C13" s="52">
        <f ca="1">SUM(D13:AG13)</f>
        <v>1709.8399999999997</v>
      </c>
      <c r="D13" s="1">
        <f ca="1">SUM(D19:D25)</f>
        <v>21.38</v>
      </c>
      <c r="E13" s="1">
        <f t="shared" ref="E13:AG13" ca="1" si="5">SUM(E19:E25)</f>
        <v>30.94</v>
      </c>
      <c r="F13" s="1">
        <f t="shared" ca="1" si="5"/>
        <v>18.080000000000002</v>
      </c>
      <c r="G13" s="1">
        <f t="shared" ca="1" si="5"/>
        <v>15.5</v>
      </c>
      <c r="H13" s="1">
        <f t="shared" ca="1" si="5"/>
        <v>79.599999999999994</v>
      </c>
      <c r="I13" s="1">
        <f t="shared" ca="1" si="5"/>
        <v>94.91</v>
      </c>
      <c r="J13" s="1">
        <f t="shared" ca="1" si="5"/>
        <v>24.1</v>
      </c>
      <c r="K13" s="1">
        <f t="shared" ca="1" si="5"/>
        <v>46.72</v>
      </c>
      <c r="L13" s="1">
        <f t="shared" ca="1" si="5"/>
        <v>29.130000000000003</v>
      </c>
      <c r="M13" s="1">
        <f t="shared" ca="1" si="5"/>
        <v>431.32000000000005</v>
      </c>
      <c r="N13" s="1">
        <f t="shared" ca="1" si="5"/>
        <v>15.49</v>
      </c>
      <c r="O13" s="1">
        <f t="shared" ca="1" si="5"/>
        <v>37.159999999999997</v>
      </c>
      <c r="P13" s="40">
        <f t="shared" ca="1" si="5"/>
        <v>26.49</v>
      </c>
      <c r="Q13" s="1">
        <f t="shared" ca="1" si="5"/>
        <v>41.320000000000007</v>
      </c>
      <c r="R13" s="1">
        <f t="shared" ca="1" si="5"/>
        <v>16.04</v>
      </c>
      <c r="S13" s="1">
        <f t="shared" ca="1" si="5"/>
        <v>33.56</v>
      </c>
      <c r="T13" s="1">
        <f t="shared" ca="1" si="5"/>
        <v>22.259999999999998</v>
      </c>
      <c r="U13" s="1">
        <f t="shared" ca="1" si="5"/>
        <v>41.27</v>
      </c>
      <c r="V13" s="1">
        <f t="shared" ca="1" si="5"/>
        <v>52.07</v>
      </c>
      <c r="W13" s="1">
        <f t="shared" ca="1" si="5"/>
        <v>48.059999999999995</v>
      </c>
      <c r="X13" s="1">
        <f t="shared" ca="1" si="5"/>
        <v>50.690000000000005</v>
      </c>
      <c r="Y13" s="1">
        <f t="shared" ca="1" si="5"/>
        <v>56.36</v>
      </c>
      <c r="Z13" s="1">
        <f t="shared" ca="1" si="5"/>
        <v>75.70999999999998</v>
      </c>
      <c r="AA13" s="1">
        <f t="shared" ca="1" si="5"/>
        <v>3.9499999999999997</v>
      </c>
      <c r="AB13" s="1">
        <f t="shared" ca="1" si="5"/>
        <v>42.62</v>
      </c>
      <c r="AC13" s="1">
        <f t="shared" ca="1" si="5"/>
        <v>21.44</v>
      </c>
      <c r="AD13" s="1">
        <f t="shared" ca="1" si="5"/>
        <v>8.3099999999999987</v>
      </c>
      <c r="AE13" s="1">
        <f t="shared" ca="1" si="5"/>
        <v>41.31</v>
      </c>
      <c r="AF13" s="1">
        <f t="shared" ca="1" si="5"/>
        <v>284.05</v>
      </c>
      <c r="AG13" s="1">
        <f t="shared" ca="1" si="5"/>
        <v>0</v>
      </c>
      <c r="AI13" s="2" t="s">
        <v>169</v>
      </c>
      <c r="AK13" t="str">
        <f t="shared" si="0"/>
        <v/>
      </c>
      <c r="AL13" t="str">
        <f t="shared" si="1"/>
        <v/>
      </c>
      <c r="AN13" t="str">
        <f t="shared" si="2"/>
        <v>*</v>
      </c>
      <c r="AO13">
        <f t="shared" si="3"/>
        <v>0</v>
      </c>
      <c r="AQ13" t="s">
        <v>156</v>
      </c>
      <c r="AR13" t="s">
        <v>354</v>
      </c>
      <c r="AS13" t="s">
        <v>361</v>
      </c>
    </row>
    <row r="14" spans="1:45" x14ac:dyDescent="0.45">
      <c r="A14" s="3" t="s">
        <v>329</v>
      </c>
      <c r="B14" s="3"/>
      <c r="D14" s="42">
        <f ca="1">D13/SUM($D$13:$T$13)</f>
        <v>2.1727642276422762E-2</v>
      </c>
      <c r="E14" s="42">
        <f t="shared" ref="E14:T14" ca="1" si="6">E13/SUM($D$13:$T$13)</f>
        <v>3.1443089430894307E-2</v>
      </c>
      <c r="F14" s="42">
        <f t="shared" ca="1" si="6"/>
        <v>1.83739837398374E-2</v>
      </c>
      <c r="G14" s="42">
        <f t="shared" ca="1" si="6"/>
        <v>1.5752032520325202E-2</v>
      </c>
      <c r="H14" s="42">
        <f t="shared" ca="1" si="6"/>
        <v>8.0894308943089424E-2</v>
      </c>
      <c r="I14" s="42">
        <f t="shared" ca="1" si="6"/>
        <v>9.6453252032520323E-2</v>
      </c>
      <c r="J14" s="42">
        <f t="shared" ca="1" si="6"/>
        <v>2.4491869918699189E-2</v>
      </c>
      <c r="K14" s="42">
        <f t="shared" ca="1" si="6"/>
        <v>4.7479674796747966E-2</v>
      </c>
      <c r="L14" s="42">
        <f t="shared" ca="1" si="6"/>
        <v>2.9603658536585368E-2</v>
      </c>
      <c r="M14" s="42">
        <f t="shared" ca="1" si="6"/>
        <v>0.43833333333333341</v>
      </c>
      <c r="N14" s="42">
        <f t="shared" ca="1" si="6"/>
        <v>1.5741869918699188E-2</v>
      </c>
      <c r="O14" s="42">
        <f t="shared" ca="1" si="6"/>
        <v>3.7764227642276417E-2</v>
      </c>
      <c r="P14" s="42">
        <f t="shared" ca="1" si="6"/>
        <v>2.6920731707317073E-2</v>
      </c>
      <c r="Q14" s="42">
        <f t="shared" ref="Q14" ca="1" si="7">Q13/SUM($D$13:$T$13)</f>
        <v>4.1991869918699194E-2</v>
      </c>
      <c r="R14" s="42">
        <f t="shared" ca="1" si="6"/>
        <v>1.6300813008130081E-2</v>
      </c>
      <c r="S14" s="42">
        <f t="shared" ca="1" si="6"/>
        <v>3.4105691056910574E-2</v>
      </c>
      <c r="T14" s="42">
        <f t="shared" ca="1" si="6"/>
        <v>2.2621951219512194E-2</v>
      </c>
      <c r="U14" s="42">
        <f t="shared" ref="U14:AG14" ca="1" si="8">U13/SUM($D$13:$T$13)</f>
        <v>4.1941056910569111E-2</v>
      </c>
      <c r="V14" s="42">
        <f t="shared" ref="V14" ca="1" si="9">V13/SUM($D$13:$T$13)</f>
        <v>5.2916666666666667E-2</v>
      </c>
      <c r="W14" s="42">
        <f t="shared" ca="1" si="8"/>
        <v>4.8841463414634141E-2</v>
      </c>
      <c r="X14" s="42">
        <f t="shared" ca="1" si="8"/>
        <v>5.1514227642276429E-2</v>
      </c>
      <c r="Y14" s="42">
        <f t="shared" ca="1" si="8"/>
        <v>5.727642276422764E-2</v>
      </c>
      <c r="Z14" s="42">
        <f t="shared" ca="1" si="8"/>
        <v>7.6941056910569086E-2</v>
      </c>
      <c r="AA14" s="42">
        <f t="shared" ca="1" si="8"/>
        <v>4.0142276422764226E-3</v>
      </c>
      <c r="AB14" s="42">
        <f t="shared" ca="1" si="8"/>
        <v>4.33130081300813E-2</v>
      </c>
      <c r="AC14" s="42">
        <f t="shared" ca="1" si="8"/>
        <v>2.1788617886178863E-2</v>
      </c>
      <c r="AD14" s="42">
        <f t="shared" ca="1" si="8"/>
        <v>8.445121951219511E-3</v>
      </c>
      <c r="AE14" s="42">
        <f t="shared" ca="1" si="8"/>
        <v>4.1981707317073173E-2</v>
      </c>
      <c r="AF14" s="42">
        <f t="shared" ca="1" si="8"/>
        <v>0.2886686991869919</v>
      </c>
      <c r="AG14" s="42">
        <f t="shared" ca="1" si="8"/>
        <v>0</v>
      </c>
      <c r="AI14" s="2" t="s">
        <v>169</v>
      </c>
      <c r="AK14" t="str">
        <f t="shared" si="0"/>
        <v/>
      </c>
      <c r="AL14" t="str">
        <f t="shared" si="1"/>
        <v/>
      </c>
      <c r="AN14" t="str">
        <f t="shared" si="2"/>
        <v>*</v>
      </c>
      <c r="AO14">
        <f t="shared" si="3"/>
        <v>0</v>
      </c>
      <c r="AQ14" t="s">
        <v>156</v>
      </c>
      <c r="AR14" t="s">
        <v>354</v>
      </c>
      <c r="AS14" t="s">
        <v>361</v>
      </c>
    </row>
    <row r="15" spans="1:45" x14ac:dyDescent="0.45">
      <c r="A15" s="3"/>
      <c r="B15" s="3"/>
      <c r="D15" s="42">
        <f ca="1">D13/'non-road'!BV21</f>
        <v>0.10777021756427714</v>
      </c>
      <c r="E15" s="42">
        <f ca="1">E13/'non-road'!BW21</f>
        <v>2.9764721373612069E-2</v>
      </c>
      <c r="F15" s="42">
        <f ca="1">F13/'non-road'!BX21</f>
        <v>0.28298328238695147</v>
      </c>
      <c r="G15" s="42">
        <f ca="1">G13/'non-road'!BY21</f>
        <v>0.17124120041186269</v>
      </c>
      <c r="H15" s="42">
        <f ca="1">H13/'non-road'!BZ21</f>
        <v>0.44725608950965334</v>
      </c>
      <c r="I15" s="42">
        <f ca="1">I13/'non-road'!CA21</f>
        <v>7.9311239765883029E-2</v>
      </c>
      <c r="J15" s="42">
        <f ca="1">J13/'non-road'!CB21</f>
        <v>0.79420003295435826</v>
      </c>
      <c r="K15" s="42">
        <f ca="1">K13/'non-road'!CC21</f>
        <v>0.22136934375740344</v>
      </c>
      <c r="L15" s="42">
        <f ca="1">L13/'non-road'!CD21</f>
        <v>0.77487005697808664</v>
      </c>
      <c r="M15" s="42">
        <f ca="1">M13/'non-road'!CE21</f>
        <v>0.30693964549794578</v>
      </c>
      <c r="N15" s="42">
        <f ca="1">N13/'non-road'!CF21</f>
        <v>0.71663428935462659</v>
      </c>
      <c r="O15" s="42">
        <f ca="1">O13/'non-road'!CG21</f>
        <v>0.53850132299457154</v>
      </c>
      <c r="P15" s="42">
        <f ca="1">P13/'non-road'!CH21</f>
        <v>0.77032145959428389</v>
      </c>
      <c r="Q15" s="42">
        <f ca="1">Q13/'non-road'!CI21</f>
        <v>0.57241700045963906</v>
      </c>
      <c r="R15" s="42">
        <f ca="1">R13/'non-road'!CJ21</f>
        <v>0.37944613166023766</v>
      </c>
      <c r="S15" s="42">
        <f ca="1">S13/'non-road'!CK21</f>
        <v>0.58446737884841116</v>
      </c>
      <c r="T15" s="42">
        <f ca="1">T13/'non-road'!CL21</f>
        <v>0.13505843241492149</v>
      </c>
      <c r="U15" s="42">
        <f ca="1">U13/'non-road'!CM21</f>
        <v>0.60300450567392105</v>
      </c>
      <c r="V15" s="42">
        <f ca="1">V13/'non-road'!CN21</f>
        <v>0.62664725067093496</v>
      </c>
      <c r="W15" s="42">
        <f ca="1">W13/'non-road'!CO21</f>
        <v>3.5172201812034364E-2</v>
      </c>
      <c r="X15" s="42">
        <f ca="1">X13/'non-road'!CP21</f>
        <v>0.20677550963860228</v>
      </c>
      <c r="Y15" s="42">
        <f ca="1">Y13/'non-road'!CQ21</f>
        <v>0.44177588261114947</v>
      </c>
      <c r="Z15" s="42">
        <f ca="1">Z13/'non-road'!CR21</f>
        <v>0.34015003712177616</v>
      </c>
      <c r="AA15" s="42">
        <f ca="1">AA13/'non-road'!CS21</f>
        <v>0.69195508493266922</v>
      </c>
      <c r="AB15" s="42">
        <f ca="1">AB13/'non-road'!CT21</f>
        <v>0.29514009113194739</v>
      </c>
      <c r="AC15" s="42">
        <f ca="1">AC13/'non-road'!CU21</f>
        <v>0.62564746049579056</v>
      </c>
      <c r="AD15" s="42">
        <f ca="1">AD13/'non-road'!CV21</f>
        <v>0.14190985735583167</v>
      </c>
      <c r="AE15" s="42">
        <f ca="1">AE13/'non-road'!CW21</f>
        <v>0.61768911569722151</v>
      </c>
      <c r="AF15" s="42">
        <f ca="1">AF13/'non-road'!CX21</f>
        <v>0.86513568665671736</v>
      </c>
      <c r="AG15" s="42" t="e">
        <f ca="1">AG13/'non-road'!CY21</f>
        <v>#DIV/0!</v>
      </c>
      <c r="AI15" s="2" t="s">
        <v>169</v>
      </c>
      <c r="AK15" t="str">
        <f t="shared" si="0"/>
        <v/>
      </c>
      <c r="AL15" t="str">
        <f t="shared" si="1"/>
        <v/>
      </c>
      <c r="AN15" t="str">
        <f t="shared" si="2"/>
        <v>*</v>
      </c>
      <c r="AO15">
        <f t="shared" si="3"/>
        <v>0</v>
      </c>
      <c r="AQ15" t="s">
        <v>156</v>
      </c>
      <c r="AR15" t="s">
        <v>354</v>
      </c>
      <c r="AS15" t="s">
        <v>361</v>
      </c>
    </row>
    <row r="16" spans="1:45" x14ac:dyDescent="0.45">
      <c r="AI16" s="2" t="s">
        <v>169</v>
      </c>
      <c r="AK16" t="str">
        <f t="shared" si="0"/>
        <v/>
      </c>
      <c r="AL16" t="str">
        <f t="shared" si="1"/>
        <v/>
      </c>
      <c r="AN16" t="str">
        <f t="shared" si="2"/>
        <v>*</v>
      </c>
      <c r="AO16">
        <f t="shared" si="3"/>
        <v>0</v>
      </c>
      <c r="AQ16" t="s">
        <v>156</v>
      </c>
      <c r="AR16" t="s">
        <v>354</v>
      </c>
      <c r="AS16" t="s">
        <v>361</v>
      </c>
    </row>
    <row r="17" spans="1:45" x14ac:dyDescent="0.45">
      <c r="A17" s="3" t="s">
        <v>330</v>
      </c>
      <c r="B17" s="3"/>
      <c r="D17" s="1">
        <f ca="1">D11/D14</f>
        <v>1.2881933618246866</v>
      </c>
      <c r="E17" s="1">
        <f t="shared" ref="E17:T17" ca="1" si="10">E11/E14</f>
        <v>1.3018720846466327</v>
      </c>
      <c r="F17" s="1">
        <f t="shared" ca="1" si="10"/>
        <v>1.3145533343734674</v>
      </c>
      <c r="G17" s="1">
        <f t="shared" ca="1" si="10"/>
        <v>1.3455175166015352</v>
      </c>
      <c r="H17" s="1">
        <f t="shared" ca="1" si="10"/>
        <v>1.3169015687798153</v>
      </c>
      <c r="I17" s="1">
        <f t="shared" ca="1" si="10"/>
        <v>1.3115722997290022</v>
      </c>
      <c r="J17" s="1">
        <f t="shared" ca="1" si="10"/>
        <v>1.3191578473895114</v>
      </c>
      <c r="K17" s="1">
        <f t="shared" ca="1" si="10"/>
        <v>1.3063119457465857</v>
      </c>
      <c r="L17" s="1">
        <f t="shared" ca="1" si="10"/>
        <v>2.4657956384376303</v>
      </c>
      <c r="M17" s="1">
        <f t="shared" ca="1" si="10"/>
        <v>0.55453907149197845</v>
      </c>
      <c r="N17" s="1">
        <f t="shared" ca="1" si="10"/>
        <v>1.2392373485935333</v>
      </c>
      <c r="O17" s="1">
        <f t="shared" ca="1" si="10"/>
        <v>1.2390854415152734</v>
      </c>
      <c r="P17" s="1">
        <f t="shared" ca="1" si="10"/>
        <v>1.233950245687194</v>
      </c>
      <c r="Q17" s="1">
        <f t="shared" ref="Q17" ca="1" si="11">Q11/Q14</f>
        <v>1.2433833100400737</v>
      </c>
      <c r="R17" s="1">
        <f t="shared" ca="1" si="10"/>
        <v>1.2400446210682392</v>
      </c>
      <c r="S17" s="1">
        <f t="shared" ca="1" si="10"/>
        <v>1.217322859090243</v>
      </c>
      <c r="T17" s="1">
        <f t="shared" ca="1" si="10"/>
        <v>1.2743187650836383</v>
      </c>
      <c r="U17" s="1">
        <f t="shared" ref="U17:AG17" ca="1" si="12">U11/U14</f>
        <v>1.2180407161592013</v>
      </c>
      <c r="V17" s="1">
        <f t="shared" ca="1" si="12"/>
        <v>1.3823009106222055</v>
      </c>
      <c r="W17" s="1">
        <f t="shared" ca="1" si="12"/>
        <v>1.2616753312408786</v>
      </c>
      <c r="X17" s="1">
        <f t="shared" ca="1" si="12"/>
        <v>1.316429732662161</v>
      </c>
      <c r="Y17" s="1">
        <f t="shared" ca="1" si="12"/>
        <v>1.3137900343353215</v>
      </c>
      <c r="Z17" s="1">
        <f t="shared" ca="1" si="12"/>
        <v>1.3203335410559793</v>
      </c>
      <c r="AA17" s="1">
        <f t="shared" ca="1" si="12"/>
        <v>1.1748332972806479</v>
      </c>
      <c r="AB17" s="1">
        <f t="shared" ca="1" si="12"/>
        <v>1.3184130932652518</v>
      </c>
      <c r="AC17" s="1">
        <f t="shared" ca="1" si="12"/>
        <v>1.8641124978532884</v>
      </c>
      <c r="AD17" s="1">
        <f t="shared" ca="1" si="12"/>
        <v>1.2944895112974668</v>
      </c>
      <c r="AE17" s="1">
        <f t="shared" ca="1" si="12"/>
        <v>1.2414201090270509</v>
      </c>
      <c r="AF17" s="1">
        <f t="shared" ca="1" si="12"/>
        <v>2.4734958384744972</v>
      </c>
      <c r="AG17" s="1" t="e">
        <f t="shared" ca="1" si="12"/>
        <v>#DIV/0!</v>
      </c>
      <c r="AI17" s="2" t="s">
        <v>169</v>
      </c>
      <c r="AK17" t="str">
        <f t="shared" si="0"/>
        <v/>
      </c>
      <c r="AL17" t="str">
        <f t="shared" si="1"/>
        <v/>
      </c>
      <c r="AN17" t="str">
        <f t="shared" si="2"/>
        <v>*</v>
      </c>
      <c r="AO17">
        <f t="shared" si="3"/>
        <v>0</v>
      </c>
      <c r="AQ17" t="s">
        <v>156</v>
      </c>
      <c r="AR17" t="s">
        <v>354</v>
      </c>
      <c r="AS17" t="s">
        <v>361</v>
      </c>
    </row>
    <row r="18" spans="1:45" x14ac:dyDescent="0.45">
      <c r="AI18" s="2" t="s">
        <v>169</v>
      </c>
      <c r="AK18" t="str">
        <f t="shared" si="0"/>
        <v/>
      </c>
      <c r="AL18" t="str">
        <f t="shared" si="1"/>
        <v/>
      </c>
      <c r="AN18" t="str">
        <f t="shared" si="2"/>
        <v>*</v>
      </c>
      <c r="AO18">
        <f t="shared" si="3"/>
        <v>0</v>
      </c>
      <c r="AQ18" t="s">
        <v>156</v>
      </c>
      <c r="AR18" t="s">
        <v>354</v>
      </c>
      <c r="AS18" t="s">
        <v>361</v>
      </c>
    </row>
    <row r="19" spans="1:45" x14ac:dyDescent="0.45">
      <c r="A19" t="s">
        <v>320</v>
      </c>
      <c r="C19" t="str">
        <f t="shared" ref="C19:C25" si="13">C4</f>
        <v>TRABDS</v>
      </c>
      <c r="D19" s="40">
        <f t="shared" ref="D19:AG25" ca="1" si="14">ROUND(D4*D28/D36,2)</f>
        <v>0</v>
      </c>
      <c r="E19" s="40">
        <f t="shared" ca="1" si="14"/>
        <v>0</v>
      </c>
      <c r="F19" s="40">
        <f t="shared" ca="1" si="14"/>
        <v>0.13</v>
      </c>
      <c r="G19" s="40">
        <f t="shared" ca="1" si="14"/>
        <v>0</v>
      </c>
      <c r="H19" s="40">
        <f t="shared" ca="1" si="14"/>
        <v>0.06</v>
      </c>
      <c r="I19" s="40">
        <f t="shared" ca="1" si="14"/>
        <v>0.91</v>
      </c>
      <c r="J19" s="40">
        <f t="shared" ca="1" si="14"/>
        <v>0</v>
      </c>
      <c r="K19" s="40">
        <f t="shared" ca="1" si="14"/>
        <v>1.98</v>
      </c>
      <c r="L19" s="40">
        <f t="shared" ca="1" si="14"/>
        <v>0.01</v>
      </c>
      <c r="M19" s="40">
        <f t="shared" ca="1" si="14"/>
        <v>0.15</v>
      </c>
      <c r="N19" s="40">
        <f t="shared" ca="1" si="14"/>
        <v>1.43</v>
      </c>
      <c r="O19" s="40">
        <f t="shared" ca="1" si="14"/>
        <v>1.1399999999999999</v>
      </c>
      <c r="P19" s="40">
        <f t="shared" ca="1" si="14"/>
        <v>0.87</v>
      </c>
      <c r="Q19" s="40">
        <f t="shared" ca="1" si="14"/>
        <v>1.19</v>
      </c>
      <c r="R19" s="40">
        <f t="shared" ca="1" si="14"/>
        <v>0.5</v>
      </c>
      <c r="S19" s="40">
        <f t="shared" ca="1" si="14"/>
        <v>1.47</v>
      </c>
      <c r="T19" s="40">
        <f t="shared" ca="1" si="14"/>
        <v>7.0000000000000007E-2</v>
      </c>
      <c r="U19" s="40">
        <f t="shared" ca="1" si="14"/>
        <v>2.11</v>
      </c>
      <c r="V19" s="40">
        <f t="shared" ca="1" si="14"/>
        <v>1.42</v>
      </c>
      <c r="W19" s="40">
        <f t="shared" ca="1" si="14"/>
        <v>0.01</v>
      </c>
      <c r="X19" s="40">
        <f t="shared" ca="1" si="14"/>
        <v>0.1</v>
      </c>
      <c r="Y19" s="40">
        <f t="shared" ca="1" si="14"/>
        <v>0</v>
      </c>
      <c r="Z19" s="40">
        <f t="shared" ca="1" si="14"/>
        <v>0</v>
      </c>
      <c r="AA19" s="40">
        <f t="shared" ca="1" si="14"/>
        <v>0.36</v>
      </c>
      <c r="AB19" s="40">
        <f t="shared" ca="1" si="14"/>
        <v>0</v>
      </c>
      <c r="AC19" s="40">
        <f t="shared" ca="1" si="14"/>
        <v>0</v>
      </c>
      <c r="AD19" s="40">
        <f t="shared" ca="1" si="14"/>
        <v>0</v>
      </c>
      <c r="AE19" s="40">
        <f t="shared" ca="1" si="14"/>
        <v>1.05</v>
      </c>
      <c r="AF19" s="40">
        <f t="shared" ca="1" si="14"/>
        <v>0.1</v>
      </c>
      <c r="AG19" s="40">
        <f t="shared" ca="1" si="14"/>
        <v>0</v>
      </c>
      <c r="AI19" s="2" t="s">
        <v>360</v>
      </c>
      <c r="AJ19" t="str">
        <f>IF(AH4="zero","\I:",$AK$45&amp;"_"&amp;VLOOKUP(C19,'TRA balance'!$AL$5:$AM$15,2,FALSE))</f>
        <v>Trd_car_bdl</v>
      </c>
      <c r="AK19" t="str">
        <f t="shared" si="0"/>
        <v>Trd_car</v>
      </c>
      <c r="AL19">
        <f t="shared" si="1"/>
        <v>25</v>
      </c>
      <c r="AN19" t="str">
        <f t="shared" si="2"/>
        <v>DMD</v>
      </c>
      <c r="AO19" t="str">
        <f t="shared" si="3"/>
        <v>Trd_car_bdl</v>
      </c>
      <c r="AQ19" t="s">
        <v>156</v>
      </c>
      <c r="AR19" t="s">
        <v>354</v>
      </c>
      <c r="AS19" t="s">
        <v>361</v>
      </c>
    </row>
    <row r="20" spans="1:45" x14ac:dyDescent="0.45">
      <c r="C20" t="str">
        <f t="shared" si="13"/>
        <v>TRABGS</v>
      </c>
      <c r="D20" s="40">
        <f t="shared" ca="1" si="14"/>
        <v>0</v>
      </c>
      <c r="E20" s="40">
        <f t="shared" ca="1" si="14"/>
        <v>0.04</v>
      </c>
      <c r="F20" s="40">
        <f t="shared" ca="1" si="14"/>
        <v>0.77</v>
      </c>
      <c r="G20" s="40">
        <f t="shared" ca="1" si="14"/>
        <v>0</v>
      </c>
      <c r="H20" s="40">
        <f t="shared" ca="1" si="14"/>
        <v>0.56999999999999995</v>
      </c>
      <c r="I20" s="40">
        <f t="shared" ca="1" si="14"/>
        <v>1.1399999999999999</v>
      </c>
      <c r="J20" s="40">
        <f t="shared" ca="1" si="14"/>
        <v>0.19</v>
      </c>
      <c r="K20" s="40">
        <f t="shared" ca="1" si="14"/>
        <v>8.08</v>
      </c>
      <c r="L20" s="40">
        <f t="shared" ca="1" si="14"/>
        <v>1.33</v>
      </c>
      <c r="M20" s="40">
        <f t="shared" ca="1" si="14"/>
        <v>4.72</v>
      </c>
      <c r="N20" s="40">
        <f t="shared" ca="1" si="14"/>
        <v>0.35</v>
      </c>
      <c r="O20" s="40">
        <f t="shared" ca="1" si="14"/>
        <v>0.56000000000000005</v>
      </c>
      <c r="P20" s="40">
        <f t="shared" ca="1" si="14"/>
        <v>0.57999999999999996</v>
      </c>
      <c r="Q20" s="40">
        <f t="shared" ca="1" si="14"/>
        <v>0.09</v>
      </c>
      <c r="R20" s="40">
        <f t="shared" ca="1" si="14"/>
        <v>0.28000000000000003</v>
      </c>
      <c r="S20" s="40">
        <f t="shared" ca="1" si="14"/>
        <v>0.21</v>
      </c>
      <c r="T20" s="40">
        <f t="shared" ca="1" si="14"/>
        <v>0.19</v>
      </c>
      <c r="U20" s="40">
        <f t="shared" ca="1" si="14"/>
        <v>1.01</v>
      </c>
      <c r="V20" s="40">
        <f t="shared" ca="1" si="14"/>
        <v>1</v>
      </c>
      <c r="W20" s="40">
        <f t="shared" ca="1" si="14"/>
        <v>0.72</v>
      </c>
      <c r="X20" s="40">
        <f t="shared" ca="1" si="14"/>
        <v>1.05</v>
      </c>
      <c r="Y20" s="40">
        <f t="shared" ca="1" si="14"/>
        <v>0</v>
      </c>
      <c r="Z20" s="40">
        <f t="shared" ca="1" si="14"/>
        <v>0</v>
      </c>
      <c r="AA20" s="40">
        <f t="shared" ca="1" si="14"/>
        <v>7.0000000000000007E-2</v>
      </c>
      <c r="AB20" s="40">
        <f t="shared" ca="1" si="14"/>
        <v>0</v>
      </c>
      <c r="AC20" s="40">
        <f t="shared" ca="1" si="14"/>
        <v>0</v>
      </c>
      <c r="AD20" s="40">
        <f t="shared" ca="1" si="14"/>
        <v>0</v>
      </c>
      <c r="AE20" s="40">
        <f t="shared" ca="1" si="14"/>
        <v>0.59</v>
      </c>
      <c r="AF20" s="40">
        <f t="shared" ca="1" si="14"/>
        <v>22.63</v>
      </c>
      <c r="AG20" s="40">
        <f t="shared" ca="1" si="14"/>
        <v>0</v>
      </c>
      <c r="AI20" s="2" t="s">
        <v>360</v>
      </c>
      <c r="AJ20" t="str">
        <f>IF(AH5="zero","\I:",$AK$45&amp;"_"&amp;VLOOKUP(C20,'TRA balance'!$AL$5:$AM$15,2,FALSE))</f>
        <v>Trd_car_eth</v>
      </c>
      <c r="AK20" t="str">
        <f t="shared" si="0"/>
        <v>Trd_car</v>
      </c>
      <c r="AL20">
        <f t="shared" si="1"/>
        <v>25</v>
      </c>
      <c r="AN20" t="str">
        <f t="shared" si="2"/>
        <v>DMD</v>
      </c>
      <c r="AO20" t="str">
        <f t="shared" si="3"/>
        <v>Trd_car_eth</v>
      </c>
      <c r="AQ20" t="s">
        <v>156</v>
      </c>
      <c r="AR20" t="s">
        <v>354</v>
      </c>
      <c r="AS20" t="s">
        <v>361</v>
      </c>
    </row>
    <row r="21" spans="1:45" x14ac:dyDescent="0.45">
      <c r="C21" t="str">
        <f t="shared" si="13"/>
        <v>TRADST</v>
      </c>
      <c r="D21" s="40">
        <f t="shared" ca="1" si="14"/>
        <v>4.8899999999999997</v>
      </c>
      <c r="E21" s="40">
        <f t="shared" ca="1" si="14"/>
        <v>4.3499999999999996</v>
      </c>
      <c r="F21" s="40">
        <f t="shared" ca="1" si="14"/>
        <v>1.44</v>
      </c>
      <c r="G21" s="40">
        <f t="shared" ca="1" si="14"/>
        <v>0.43</v>
      </c>
      <c r="H21" s="40">
        <f t="shared" ca="1" si="14"/>
        <v>3.73</v>
      </c>
      <c r="I21" s="40">
        <f t="shared" ca="1" si="14"/>
        <v>9.98</v>
      </c>
      <c r="J21" s="40">
        <f t="shared" ca="1" si="14"/>
        <v>0.59</v>
      </c>
      <c r="K21" s="40">
        <f t="shared" ca="1" si="14"/>
        <v>4.38</v>
      </c>
      <c r="L21" s="40">
        <f t="shared" ca="1" si="14"/>
        <v>0.3</v>
      </c>
      <c r="M21" s="40">
        <f t="shared" ca="1" si="14"/>
        <v>15.68</v>
      </c>
      <c r="N21" s="40">
        <f t="shared" ca="1" si="14"/>
        <v>6.43</v>
      </c>
      <c r="O21" s="40">
        <f t="shared" ca="1" si="14"/>
        <v>18.97</v>
      </c>
      <c r="P21" s="40">
        <f t="shared" ca="1" si="14"/>
        <v>13.39</v>
      </c>
      <c r="Q21" s="40">
        <f t="shared" ca="1" si="14"/>
        <v>20.190000000000001</v>
      </c>
      <c r="R21" s="40">
        <f t="shared" ca="1" si="14"/>
        <v>8.07</v>
      </c>
      <c r="S21" s="40">
        <f t="shared" ca="1" si="14"/>
        <v>21.42</v>
      </c>
      <c r="T21" s="40">
        <f t="shared" ca="1" si="14"/>
        <v>6.12</v>
      </c>
      <c r="U21" s="40">
        <f t="shared" ca="1" si="14"/>
        <v>25.65</v>
      </c>
      <c r="V21" s="40">
        <f t="shared" ca="1" si="14"/>
        <v>24.93</v>
      </c>
      <c r="W21" s="40">
        <f t="shared" ca="1" si="14"/>
        <v>20.07</v>
      </c>
      <c r="X21" s="40">
        <f t="shared" ca="1" si="14"/>
        <v>3.05</v>
      </c>
      <c r="Y21" s="40">
        <f t="shared" ca="1" si="14"/>
        <v>3.41</v>
      </c>
      <c r="Z21" s="40">
        <f t="shared" ca="1" si="14"/>
        <v>6.59</v>
      </c>
      <c r="AA21" s="40">
        <f t="shared" ca="1" si="14"/>
        <v>1.92</v>
      </c>
      <c r="AB21" s="40">
        <f t="shared" ca="1" si="14"/>
        <v>1.36</v>
      </c>
      <c r="AC21" s="40">
        <f t="shared" ca="1" si="14"/>
        <v>2.62</v>
      </c>
      <c r="AD21" s="40">
        <f t="shared" ca="1" si="14"/>
        <v>1.53</v>
      </c>
      <c r="AE21" s="40">
        <f t="shared" ca="1" si="14"/>
        <v>20.34</v>
      </c>
      <c r="AF21" s="40">
        <f t="shared" ca="1" si="14"/>
        <v>2.94</v>
      </c>
      <c r="AG21" s="40">
        <f t="shared" ca="1" si="14"/>
        <v>0</v>
      </c>
      <c r="AI21" s="2" t="s">
        <v>360</v>
      </c>
      <c r="AJ21" t="str">
        <f>IF(AH6="zero","\I:",$AK$45&amp;"_"&amp;VLOOKUP(C21,'TRA balance'!$AL$5:$AM$15,2,FALSE))</f>
        <v>Trd_car_dsl</v>
      </c>
      <c r="AK21" t="str">
        <f t="shared" si="0"/>
        <v>Trd_car</v>
      </c>
      <c r="AL21">
        <f t="shared" si="1"/>
        <v>25</v>
      </c>
      <c r="AN21" t="str">
        <f t="shared" si="2"/>
        <v>DMD</v>
      </c>
      <c r="AO21" t="str">
        <f t="shared" si="3"/>
        <v>Trd_car_dsl</v>
      </c>
      <c r="AQ21" t="s">
        <v>156</v>
      </c>
      <c r="AR21" t="s">
        <v>354</v>
      </c>
      <c r="AS21" t="s">
        <v>361</v>
      </c>
    </row>
    <row r="22" spans="1:45" x14ac:dyDescent="0.45">
      <c r="C22" t="str">
        <f t="shared" si="13"/>
        <v>TRAELC</v>
      </c>
      <c r="D22" s="40">
        <f t="shared" ca="1" si="14"/>
        <v>0</v>
      </c>
      <c r="E22" s="40">
        <f t="shared" ca="1" si="14"/>
        <v>0</v>
      </c>
      <c r="F22" s="40">
        <f t="shared" ca="1" si="14"/>
        <v>0.14000000000000001</v>
      </c>
      <c r="G22" s="40">
        <f t="shared" ca="1" si="14"/>
        <v>0</v>
      </c>
      <c r="H22" s="40">
        <f t="shared" ca="1" si="14"/>
        <v>0.09</v>
      </c>
      <c r="I22" s="40">
        <f t="shared" ca="1" si="14"/>
        <v>0.06</v>
      </c>
      <c r="J22" s="40">
        <f t="shared" ca="1" si="14"/>
        <v>0.02</v>
      </c>
      <c r="K22" s="40">
        <f t="shared" ca="1" si="14"/>
        <v>0</v>
      </c>
      <c r="L22" s="40">
        <f t="shared" ca="1" si="14"/>
        <v>0.24</v>
      </c>
      <c r="M22" s="40">
        <f t="shared" ca="1" si="14"/>
        <v>42.88</v>
      </c>
      <c r="N22" s="40">
        <f t="shared" ca="1" si="14"/>
        <v>0.13</v>
      </c>
      <c r="O22" s="40">
        <f t="shared" ca="1" si="14"/>
        <v>0</v>
      </c>
      <c r="P22" s="40">
        <f t="shared" ca="1" si="14"/>
        <v>0.23</v>
      </c>
      <c r="Q22" s="40">
        <f t="shared" ca="1" si="14"/>
        <v>0.06</v>
      </c>
      <c r="R22" s="40">
        <f t="shared" ca="1" si="14"/>
        <v>0</v>
      </c>
      <c r="S22" s="40">
        <f t="shared" ca="1" si="14"/>
        <v>0.06</v>
      </c>
      <c r="T22" s="40">
        <f t="shared" ca="1" si="14"/>
        <v>0</v>
      </c>
      <c r="U22" s="40">
        <f t="shared" ca="1" si="14"/>
        <v>0.11</v>
      </c>
      <c r="V22" s="40">
        <f t="shared" ca="1" si="14"/>
        <v>0.11</v>
      </c>
      <c r="W22" s="40">
        <f t="shared" ca="1" si="14"/>
        <v>0</v>
      </c>
      <c r="X22" s="40">
        <f t="shared" ca="1" si="14"/>
        <v>0</v>
      </c>
      <c r="Y22" s="40">
        <f t="shared" ca="1" si="14"/>
        <v>0</v>
      </c>
      <c r="Z22" s="40">
        <f t="shared" ca="1" si="14"/>
        <v>0</v>
      </c>
      <c r="AA22" s="40">
        <f t="shared" ca="1" si="14"/>
        <v>0.31</v>
      </c>
      <c r="AB22" s="40">
        <f t="shared" ca="1" si="14"/>
        <v>0</v>
      </c>
      <c r="AC22" s="40">
        <f t="shared" ca="1" si="14"/>
        <v>0</v>
      </c>
      <c r="AD22" s="40">
        <f t="shared" ca="1" si="14"/>
        <v>0</v>
      </c>
      <c r="AE22" s="40">
        <f t="shared" ca="1" si="14"/>
        <v>0.13</v>
      </c>
      <c r="AF22" s="40">
        <f t="shared" ca="1" si="14"/>
        <v>1.21</v>
      </c>
      <c r="AG22" s="40">
        <f t="shared" ca="1" si="14"/>
        <v>0</v>
      </c>
      <c r="AI22" s="2" t="s">
        <v>360</v>
      </c>
      <c r="AJ22" t="str">
        <f>IF(AH7="zero","\I:",$AK$45&amp;"_"&amp;VLOOKUP(C22,'TRA balance'!$AL$5:$AM$15,2,FALSE))</f>
        <v>Trd_car_elc</v>
      </c>
      <c r="AK22" t="str">
        <f t="shared" si="0"/>
        <v>Trd_car</v>
      </c>
      <c r="AL22">
        <f t="shared" si="1"/>
        <v>25</v>
      </c>
      <c r="AN22" t="str">
        <f t="shared" si="2"/>
        <v>DMD</v>
      </c>
      <c r="AO22" t="str">
        <f t="shared" si="3"/>
        <v>Trd_car_elc</v>
      </c>
      <c r="AQ22" t="s">
        <v>156</v>
      </c>
      <c r="AR22" t="s">
        <v>354</v>
      </c>
      <c r="AS22" t="s">
        <v>361</v>
      </c>
    </row>
    <row r="23" spans="1:45" x14ac:dyDescent="0.45">
      <c r="C23" t="str">
        <f t="shared" si="13"/>
        <v>TRAGSL</v>
      </c>
      <c r="D23" s="40">
        <f t="shared" ca="1" si="14"/>
        <v>15.29</v>
      </c>
      <c r="E23" s="40">
        <f t="shared" ca="1" si="14"/>
        <v>26.55</v>
      </c>
      <c r="F23" s="40">
        <f t="shared" ca="1" si="14"/>
        <v>14.05</v>
      </c>
      <c r="G23" s="40">
        <f t="shared" ca="1" si="14"/>
        <v>10.93</v>
      </c>
      <c r="H23" s="40">
        <f t="shared" ca="1" si="14"/>
        <v>69.45</v>
      </c>
      <c r="I23" s="40">
        <f t="shared" ca="1" si="14"/>
        <v>75.91</v>
      </c>
      <c r="J23" s="40">
        <f t="shared" ca="1" si="14"/>
        <v>23.12</v>
      </c>
      <c r="K23" s="40">
        <f t="shared" ca="1" si="14"/>
        <v>30.77</v>
      </c>
      <c r="L23" s="40">
        <f t="shared" ca="1" si="14"/>
        <v>27.01</v>
      </c>
      <c r="M23" s="40">
        <f t="shared" ca="1" si="14"/>
        <v>331.55</v>
      </c>
      <c r="N23" s="40">
        <f t="shared" ca="1" si="14"/>
        <v>7.02</v>
      </c>
      <c r="O23" s="40">
        <f t="shared" ca="1" si="14"/>
        <v>14.23</v>
      </c>
      <c r="P23" s="40">
        <f t="shared" ca="1" si="14"/>
        <v>11.08</v>
      </c>
      <c r="Q23" s="40">
        <f t="shared" ca="1" si="14"/>
        <v>16.23</v>
      </c>
      <c r="R23" s="40">
        <f t="shared" ca="1" si="14"/>
        <v>6.58</v>
      </c>
      <c r="S23" s="40">
        <f t="shared" ca="1" si="14"/>
        <v>10.01</v>
      </c>
      <c r="T23" s="40">
        <f t="shared" ca="1" si="14"/>
        <v>9.74</v>
      </c>
      <c r="U23" s="40">
        <f t="shared" ca="1" si="14"/>
        <v>12.15</v>
      </c>
      <c r="V23" s="40">
        <f t="shared" ca="1" si="14"/>
        <v>24.01</v>
      </c>
      <c r="W23" s="40">
        <f t="shared" ca="1" si="14"/>
        <v>26.08</v>
      </c>
      <c r="X23" s="40">
        <f t="shared" ca="1" si="14"/>
        <v>44.45</v>
      </c>
      <c r="Y23" s="40">
        <f t="shared" ca="1" si="14"/>
        <v>51.37</v>
      </c>
      <c r="Z23" s="40">
        <f t="shared" ca="1" si="14"/>
        <v>62.23</v>
      </c>
      <c r="AA23" s="40">
        <f t="shared" ca="1" si="14"/>
        <v>1.22</v>
      </c>
      <c r="AB23" s="40">
        <f t="shared" ca="1" si="14"/>
        <v>39.78</v>
      </c>
      <c r="AC23" s="40">
        <f t="shared" ca="1" si="14"/>
        <v>18.82</v>
      </c>
      <c r="AD23" s="40">
        <f t="shared" ca="1" si="14"/>
        <v>6.76</v>
      </c>
      <c r="AE23" s="40">
        <f t="shared" ca="1" si="14"/>
        <v>19.100000000000001</v>
      </c>
      <c r="AF23" s="40">
        <f t="shared" ca="1" si="14"/>
        <v>256.18</v>
      </c>
      <c r="AG23" s="40">
        <f t="shared" ca="1" si="14"/>
        <v>0</v>
      </c>
      <c r="AI23" s="2" t="s">
        <v>360</v>
      </c>
      <c r="AJ23" t="str">
        <f>IF(AH8="zero","\I:",$AK$45&amp;"_"&amp;VLOOKUP(C23,'TRA balance'!$AL$5:$AM$15,2,FALSE))</f>
        <v>Trd_car_gsl</v>
      </c>
      <c r="AK23" t="str">
        <f t="shared" si="0"/>
        <v>Trd_car</v>
      </c>
      <c r="AL23">
        <f t="shared" si="1"/>
        <v>25</v>
      </c>
      <c r="AN23" t="str">
        <f t="shared" si="2"/>
        <v>DMD</v>
      </c>
      <c r="AO23" t="str">
        <f t="shared" si="3"/>
        <v>Trd_car_gsl</v>
      </c>
      <c r="AQ23" t="s">
        <v>156</v>
      </c>
      <c r="AR23" t="s">
        <v>354</v>
      </c>
      <c r="AS23" t="s">
        <v>361</v>
      </c>
    </row>
    <row r="24" spans="1:45" x14ac:dyDescent="0.45">
      <c r="C24" t="str">
        <f t="shared" si="13"/>
        <v>TRALPG</v>
      </c>
      <c r="D24" s="40">
        <f t="shared" ca="1" si="14"/>
        <v>1.02</v>
      </c>
      <c r="E24" s="40">
        <f t="shared" ca="1" si="14"/>
        <v>0</v>
      </c>
      <c r="F24" s="40">
        <f t="shared" ca="1" si="14"/>
        <v>0.01</v>
      </c>
      <c r="G24" s="40">
        <f t="shared" ca="1" si="14"/>
        <v>0.43</v>
      </c>
      <c r="H24" s="40">
        <f t="shared" ca="1" si="14"/>
        <v>3.96</v>
      </c>
      <c r="I24" s="40">
        <f t="shared" ca="1" si="14"/>
        <v>1.53</v>
      </c>
      <c r="J24" s="40">
        <f t="shared" ca="1" si="14"/>
        <v>0.15</v>
      </c>
      <c r="K24" s="40">
        <f t="shared" ca="1" si="14"/>
        <v>0</v>
      </c>
      <c r="L24" s="40">
        <f t="shared" ca="1" si="14"/>
        <v>0.21</v>
      </c>
      <c r="M24" s="40">
        <f t="shared" ca="1" si="14"/>
        <v>3.23</v>
      </c>
      <c r="N24" s="40">
        <f t="shared" ca="1" si="14"/>
        <v>0</v>
      </c>
      <c r="O24" s="40">
        <f t="shared" ca="1" si="14"/>
        <v>2.2599999999999998</v>
      </c>
      <c r="P24" s="40">
        <f t="shared" ca="1" si="14"/>
        <v>0.25</v>
      </c>
      <c r="Q24" s="40">
        <f t="shared" ca="1" si="14"/>
        <v>2.56</v>
      </c>
      <c r="R24" s="40">
        <f t="shared" ca="1" si="14"/>
        <v>0.61</v>
      </c>
      <c r="S24" s="40">
        <f t="shared" ca="1" si="14"/>
        <v>0.17</v>
      </c>
      <c r="T24" s="40">
        <f t="shared" ca="1" si="14"/>
        <v>5.99</v>
      </c>
      <c r="U24" s="40">
        <f t="shared" ca="1" si="14"/>
        <v>7.0000000000000007E-2</v>
      </c>
      <c r="V24" s="40">
        <f t="shared" ca="1" si="14"/>
        <v>0.42</v>
      </c>
      <c r="W24" s="40">
        <f t="shared" ca="1" si="14"/>
        <v>0.08</v>
      </c>
      <c r="X24" s="40">
        <f t="shared" ca="1" si="14"/>
        <v>0.68</v>
      </c>
      <c r="Y24" s="40">
        <f t="shared" ca="1" si="14"/>
        <v>1.54</v>
      </c>
      <c r="Z24" s="40">
        <f t="shared" ca="1" si="14"/>
        <v>7.0000000000000007E-2</v>
      </c>
      <c r="AA24" s="40">
        <f t="shared" ca="1" si="14"/>
        <v>0.01</v>
      </c>
      <c r="AB24" s="40">
        <f t="shared" ca="1" si="14"/>
        <v>1.26</v>
      </c>
      <c r="AC24" s="40">
        <f t="shared" ca="1" si="14"/>
        <v>0</v>
      </c>
      <c r="AD24" s="40">
        <f t="shared" ca="1" si="14"/>
        <v>0.02</v>
      </c>
      <c r="AE24" s="40">
        <f t="shared" ca="1" si="14"/>
        <v>0.09</v>
      </c>
      <c r="AF24" s="40">
        <f t="shared" ca="1" si="14"/>
        <v>0.05</v>
      </c>
      <c r="AG24" s="40">
        <f t="shared" ca="1" si="14"/>
        <v>0</v>
      </c>
      <c r="AI24" s="2" t="s">
        <v>360</v>
      </c>
      <c r="AJ24" t="str">
        <f>IF(AH9="zero","\I:",$AK$45&amp;"_"&amp;VLOOKUP(C24,'TRA balance'!$AL$5:$AM$15,2,FALSE))</f>
        <v>Trd_car_lpg</v>
      </c>
      <c r="AK24" t="str">
        <f t="shared" si="0"/>
        <v>Trd_car</v>
      </c>
      <c r="AL24">
        <f t="shared" si="1"/>
        <v>25</v>
      </c>
      <c r="AN24" t="str">
        <f t="shared" si="2"/>
        <v>DMD</v>
      </c>
      <c r="AO24" t="str">
        <f t="shared" si="3"/>
        <v>Trd_car_lpg</v>
      </c>
      <c r="AQ24" t="s">
        <v>156</v>
      </c>
      <c r="AR24" t="s">
        <v>354</v>
      </c>
      <c r="AS24" t="s">
        <v>361</v>
      </c>
    </row>
    <row r="25" spans="1:45" x14ac:dyDescent="0.45">
      <c r="C25" t="str">
        <f t="shared" si="13"/>
        <v>TRANGA</v>
      </c>
      <c r="D25" s="40">
        <f t="shared" ca="1" si="14"/>
        <v>0.18</v>
      </c>
      <c r="E25" s="40">
        <f t="shared" ca="1" si="14"/>
        <v>0</v>
      </c>
      <c r="F25" s="40">
        <f t="shared" ca="1" si="14"/>
        <v>1.54</v>
      </c>
      <c r="G25" s="40">
        <f t="shared" ca="1" si="14"/>
        <v>3.71</v>
      </c>
      <c r="H25" s="40">
        <f t="shared" ca="1" si="14"/>
        <v>1.74</v>
      </c>
      <c r="I25" s="40">
        <f t="shared" ca="1" si="14"/>
        <v>5.38</v>
      </c>
      <c r="J25" s="40">
        <f t="shared" ca="1" si="14"/>
        <v>0.03</v>
      </c>
      <c r="K25" s="40">
        <f t="shared" ca="1" si="14"/>
        <v>1.51</v>
      </c>
      <c r="L25" s="40">
        <f t="shared" ca="1" si="14"/>
        <v>0.03</v>
      </c>
      <c r="M25" s="40">
        <f t="shared" ca="1" si="14"/>
        <v>33.11</v>
      </c>
      <c r="N25" s="40">
        <f t="shared" ca="1" si="14"/>
        <v>0.13</v>
      </c>
      <c r="O25" s="40">
        <f t="shared" ca="1" si="14"/>
        <v>0</v>
      </c>
      <c r="P25" s="40">
        <f t="shared" ca="1" si="14"/>
        <v>0.09</v>
      </c>
      <c r="Q25" s="40">
        <f t="shared" ca="1" si="14"/>
        <v>1</v>
      </c>
      <c r="R25" s="40">
        <f t="shared" ca="1" si="14"/>
        <v>0</v>
      </c>
      <c r="S25" s="40">
        <f t="shared" ca="1" si="14"/>
        <v>0.22</v>
      </c>
      <c r="T25" s="40">
        <f t="shared" ca="1" si="14"/>
        <v>0.15</v>
      </c>
      <c r="U25" s="40">
        <f t="shared" ca="1" si="14"/>
        <v>0.17</v>
      </c>
      <c r="V25" s="40">
        <f t="shared" ca="1" si="14"/>
        <v>0.18</v>
      </c>
      <c r="W25" s="40">
        <f t="shared" ca="1" si="14"/>
        <v>1.1000000000000001</v>
      </c>
      <c r="X25" s="40">
        <f t="shared" ca="1" si="14"/>
        <v>1.36</v>
      </c>
      <c r="Y25" s="40">
        <f t="shared" ca="1" si="14"/>
        <v>0.04</v>
      </c>
      <c r="Z25" s="40">
        <f t="shared" ca="1" si="14"/>
        <v>6.82</v>
      </c>
      <c r="AA25" s="40">
        <f t="shared" ca="1" si="14"/>
        <v>0.06</v>
      </c>
      <c r="AB25" s="40">
        <f t="shared" ca="1" si="14"/>
        <v>0.22</v>
      </c>
      <c r="AC25" s="40">
        <f t="shared" ca="1" si="14"/>
        <v>0</v>
      </c>
      <c r="AD25" s="40">
        <f t="shared" ca="1" si="14"/>
        <v>0</v>
      </c>
      <c r="AE25" s="40">
        <f t="shared" ca="1" si="14"/>
        <v>0.01</v>
      </c>
      <c r="AF25" s="40">
        <f t="shared" ca="1" si="14"/>
        <v>0.94</v>
      </c>
      <c r="AG25" s="40">
        <f t="shared" ca="1" si="14"/>
        <v>0</v>
      </c>
      <c r="AI25" s="2" t="s">
        <v>360</v>
      </c>
      <c r="AJ25" t="str">
        <f>IF(AH10="zero","\I:",$AK$45&amp;"_"&amp;VLOOKUP(C25,'TRA balance'!$AL$5:$AM$15,2,FALSE))</f>
        <v>Trd_car_nga</v>
      </c>
      <c r="AK25" t="str">
        <f t="shared" si="0"/>
        <v>Trd_car</v>
      </c>
      <c r="AL25">
        <f t="shared" si="1"/>
        <v>25</v>
      </c>
      <c r="AN25" t="str">
        <f t="shared" si="2"/>
        <v>DMD</v>
      </c>
      <c r="AO25" t="str">
        <f t="shared" si="3"/>
        <v>Trd_car_nga</v>
      </c>
      <c r="AQ25" t="s">
        <v>156</v>
      </c>
      <c r="AR25" t="s">
        <v>354</v>
      </c>
      <c r="AS25" t="s">
        <v>361</v>
      </c>
    </row>
    <row r="26" spans="1:45" x14ac:dyDescent="0.4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I26" s="2" t="s">
        <v>169</v>
      </c>
      <c r="AK26" t="str">
        <f t="shared" si="0"/>
        <v/>
      </c>
      <c r="AL26" t="str">
        <f t="shared" si="1"/>
        <v/>
      </c>
      <c r="AN26" t="str">
        <f t="shared" si="2"/>
        <v>*</v>
      </c>
      <c r="AO26">
        <f t="shared" si="3"/>
        <v>0</v>
      </c>
      <c r="AQ26" t="s">
        <v>156</v>
      </c>
      <c r="AR26" t="s">
        <v>354</v>
      </c>
      <c r="AS26" t="s">
        <v>361</v>
      </c>
    </row>
    <row r="27" spans="1:45" x14ac:dyDescent="0.45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0.8</v>
      </c>
      <c r="M27">
        <v>1.5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0.9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0.7</v>
      </c>
      <c r="AD27">
        <v>1</v>
      </c>
      <c r="AE27">
        <v>1</v>
      </c>
      <c r="AF27">
        <v>0.8</v>
      </c>
      <c r="AG27">
        <v>1</v>
      </c>
      <c r="AI27" s="2" t="s">
        <v>169</v>
      </c>
      <c r="AK27" t="str">
        <f t="shared" si="0"/>
        <v/>
      </c>
      <c r="AL27" t="str">
        <f t="shared" si="1"/>
        <v/>
      </c>
      <c r="AN27" t="str">
        <f t="shared" si="2"/>
        <v>*</v>
      </c>
      <c r="AO27">
        <f t="shared" si="3"/>
        <v>0</v>
      </c>
      <c r="AQ27" t="s">
        <v>156</v>
      </c>
      <c r="AR27" t="s">
        <v>354</v>
      </c>
      <c r="AS27" t="s">
        <v>361</v>
      </c>
    </row>
    <row r="28" spans="1:45" x14ac:dyDescent="0.45">
      <c r="A28" t="s">
        <v>331</v>
      </c>
      <c r="C28" t="str">
        <f>C19</f>
        <v>TRABDS</v>
      </c>
      <c r="D28" s="1">
        <f t="shared" ref="D28:M34" si="15">$AH28*D$27</f>
        <v>0.52772280688712847</v>
      </c>
      <c r="E28" s="1">
        <f t="shared" si="15"/>
        <v>0.52772280688712847</v>
      </c>
      <c r="F28" s="1">
        <f t="shared" si="15"/>
        <v>0.52772280688712847</v>
      </c>
      <c r="G28" s="1">
        <f t="shared" si="15"/>
        <v>0.52772280688712847</v>
      </c>
      <c r="H28" s="1">
        <f t="shared" si="15"/>
        <v>0.52772280688712847</v>
      </c>
      <c r="I28" s="1">
        <f t="shared" si="15"/>
        <v>0.52772280688712847</v>
      </c>
      <c r="J28" s="1">
        <f t="shared" si="15"/>
        <v>0.52772280688712847</v>
      </c>
      <c r="K28" s="1">
        <f t="shared" si="15"/>
        <v>0.52772280688712847</v>
      </c>
      <c r="L28" s="1">
        <f t="shared" si="15"/>
        <v>0.42217824550970279</v>
      </c>
      <c r="M28" s="1">
        <f t="shared" si="15"/>
        <v>0.79158421033069271</v>
      </c>
      <c r="N28" s="1">
        <f t="shared" ref="N28:AC34" si="16">$AH28*N$27</f>
        <v>0.52772280688712847</v>
      </c>
      <c r="O28" s="1">
        <f t="shared" si="16"/>
        <v>0.52772280688712847</v>
      </c>
      <c r="P28" s="1">
        <f t="shared" si="16"/>
        <v>0.52772280688712847</v>
      </c>
      <c r="Q28" s="1">
        <f t="shared" si="16"/>
        <v>0.52772280688712847</v>
      </c>
      <c r="R28" s="1">
        <f t="shared" si="16"/>
        <v>0.52772280688712847</v>
      </c>
      <c r="S28" s="1">
        <f t="shared" si="16"/>
        <v>0.52772280688712847</v>
      </c>
      <c r="T28" s="1">
        <f t="shared" si="16"/>
        <v>0.52772280688712847</v>
      </c>
      <c r="U28" s="1">
        <f t="shared" si="16"/>
        <v>0.52772280688712847</v>
      </c>
      <c r="V28" s="1">
        <f t="shared" si="16"/>
        <v>0.47495052619841566</v>
      </c>
      <c r="W28" s="1">
        <f t="shared" si="16"/>
        <v>0.52772280688712847</v>
      </c>
      <c r="X28" s="1">
        <f t="shared" si="16"/>
        <v>0.52772280688712847</v>
      </c>
      <c r="Y28" s="1">
        <f t="shared" si="16"/>
        <v>0.52772280688712847</v>
      </c>
      <c r="Z28" s="1">
        <f t="shared" si="16"/>
        <v>0.52772280688712847</v>
      </c>
      <c r="AA28" s="1">
        <f t="shared" si="16"/>
        <v>0.52772280688712847</v>
      </c>
      <c r="AB28" s="1">
        <f t="shared" si="16"/>
        <v>0.52772280688712847</v>
      </c>
      <c r="AC28" s="1">
        <f t="shared" si="16"/>
        <v>0.36940596482098992</v>
      </c>
      <c r="AD28" s="1">
        <f t="shared" ref="U28:AG34" si="17">$AH28*AD$27</f>
        <v>0.52772280688712847</v>
      </c>
      <c r="AE28" s="1">
        <f t="shared" si="17"/>
        <v>0.52772280688712847</v>
      </c>
      <c r="AF28" s="1">
        <f t="shared" si="17"/>
        <v>0.42217824550970279</v>
      </c>
      <c r="AG28" s="1">
        <f t="shared" si="17"/>
        <v>0.52772280688712847</v>
      </c>
      <c r="AH28" s="52">
        <f>AH30</f>
        <v>0.52772280688712847</v>
      </c>
      <c r="AI28" s="2" t="s">
        <v>350</v>
      </c>
      <c r="AJ28" s="1" t="str">
        <f>AJ19</f>
        <v>Trd_car_bdl</v>
      </c>
      <c r="AK28" t="str">
        <f t="shared" si="0"/>
        <v>Trd_car</v>
      </c>
      <c r="AL28">
        <f t="shared" si="1"/>
        <v>25</v>
      </c>
      <c r="AN28" t="str">
        <f t="shared" si="2"/>
        <v>DMD</v>
      </c>
      <c r="AO28" t="str">
        <f t="shared" si="3"/>
        <v>Trd_car_bdl</v>
      </c>
      <c r="AQ28" t="s">
        <v>156</v>
      </c>
      <c r="AR28" t="s">
        <v>354</v>
      </c>
      <c r="AS28" t="s">
        <v>361</v>
      </c>
    </row>
    <row r="29" spans="1:45" x14ac:dyDescent="0.45">
      <c r="C29" t="str">
        <f t="shared" ref="C29:C34" si="18">C20</f>
        <v>TRABGS</v>
      </c>
      <c r="D29" s="1">
        <f t="shared" si="15"/>
        <v>0.46605286801155565</v>
      </c>
      <c r="E29" s="1">
        <f t="shared" si="15"/>
        <v>0.46605286801155565</v>
      </c>
      <c r="F29" s="1">
        <f t="shared" si="15"/>
        <v>0.46605286801155565</v>
      </c>
      <c r="G29" s="1">
        <f t="shared" si="15"/>
        <v>0.46605286801155565</v>
      </c>
      <c r="H29" s="1">
        <f t="shared" si="15"/>
        <v>0.46605286801155565</v>
      </c>
      <c r="I29" s="1">
        <f t="shared" si="15"/>
        <v>0.46605286801155565</v>
      </c>
      <c r="J29" s="1">
        <f t="shared" si="15"/>
        <v>0.46605286801155565</v>
      </c>
      <c r="K29" s="1">
        <f t="shared" si="15"/>
        <v>0.46605286801155565</v>
      </c>
      <c r="L29" s="1">
        <f t="shared" si="15"/>
        <v>0.37284229440924455</v>
      </c>
      <c r="M29" s="1">
        <f t="shared" si="15"/>
        <v>0.69907930201733348</v>
      </c>
      <c r="N29" s="1">
        <f t="shared" si="16"/>
        <v>0.46605286801155565</v>
      </c>
      <c r="O29" s="1">
        <f t="shared" si="16"/>
        <v>0.46605286801155565</v>
      </c>
      <c r="P29" s="1">
        <f t="shared" si="16"/>
        <v>0.46605286801155565</v>
      </c>
      <c r="Q29" s="1">
        <f t="shared" si="16"/>
        <v>0.46605286801155565</v>
      </c>
      <c r="R29" s="1">
        <f t="shared" si="16"/>
        <v>0.46605286801155565</v>
      </c>
      <c r="S29" s="1">
        <f t="shared" si="16"/>
        <v>0.46605286801155565</v>
      </c>
      <c r="T29" s="1">
        <f t="shared" si="16"/>
        <v>0.46605286801155565</v>
      </c>
      <c r="U29" s="1">
        <f t="shared" si="17"/>
        <v>0.46605286801155565</v>
      </c>
      <c r="V29" s="1">
        <f t="shared" si="16"/>
        <v>0.4194475812104001</v>
      </c>
      <c r="W29" s="1">
        <f t="shared" si="17"/>
        <v>0.46605286801155565</v>
      </c>
      <c r="X29" s="1">
        <f t="shared" si="17"/>
        <v>0.46605286801155565</v>
      </c>
      <c r="Y29" s="1">
        <f t="shared" si="17"/>
        <v>0.46605286801155565</v>
      </c>
      <c r="Z29" s="1">
        <f t="shared" si="17"/>
        <v>0.46605286801155565</v>
      </c>
      <c r="AA29" s="1">
        <f t="shared" si="17"/>
        <v>0.46605286801155565</v>
      </c>
      <c r="AB29" s="1">
        <f t="shared" si="17"/>
        <v>0.46605286801155565</v>
      </c>
      <c r="AC29" s="1">
        <f t="shared" si="17"/>
        <v>0.32623700760808894</v>
      </c>
      <c r="AD29" s="1">
        <f t="shared" si="17"/>
        <v>0.46605286801155565</v>
      </c>
      <c r="AE29" s="1">
        <f t="shared" si="17"/>
        <v>0.46605286801155565</v>
      </c>
      <c r="AF29" s="1">
        <f t="shared" si="17"/>
        <v>0.37284229440924455</v>
      </c>
      <c r="AG29" s="1">
        <f t="shared" si="17"/>
        <v>0.46605286801155565</v>
      </c>
      <c r="AH29" s="52">
        <f>AH32</f>
        <v>0.46605286801155565</v>
      </c>
      <c r="AI29" s="2" t="s">
        <v>350</v>
      </c>
      <c r="AJ29" s="1" t="str">
        <f t="shared" ref="AJ29:AJ34" si="19">AJ20</f>
        <v>Trd_car_eth</v>
      </c>
      <c r="AK29" t="str">
        <f t="shared" si="0"/>
        <v>Trd_car</v>
      </c>
      <c r="AL29">
        <f t="shared" si="1"/>
        <v>25</v>
      </c>
      <c r="AN29" t="str">
        <f t="shared" si="2"/>
        <v>DMD</v>
      </c>
      <c r="AO29" t="str">
        <f t="shared" si="3"/>
        <v>Trd_car_eth</v>
      </c>
      <c r="AQ29" t="s">
        <v>156</v>
      </c>
      <c r="AR29" t="s">
        <v>354</v>
      </c>
      <c r="AS29" t="s">
        <v>361</v>
      </c>
    </row>
    <row r="30" spans="1:45" x14ac:dyDescent="0.45">
      <c r="C30" t="str">
        <f t="shared" si="18"/>
        <v>TRADST</v>
      </c>
      <c r="D30" s="1">
        <f t="shared" si="15"/>
        <v>0.52772280688712847</v>
      </c>
      <c r="E30" s="1">
        <f t="shared" si="15"/>
        <v>0.52772280688712847</v>
      </c>
      <c r="F30" s="1">
        <f t="shared" si="15"/>
        <v>0.52772280688712847</v>
      </c>
      <c r="G30" s="1">
        <f t="shared" si="15"/>
        <v>0.52772280688712847</v>
      </c>
      <c r="H30" s="1">
        <f t="shared" si="15"/>
        <v>0.52772280688712847</v>
      </c>
      <c r="I30" s="1">
        <f t="shared" si="15"/>
        <v>0.52772280688712847</v>
      </c>
      <c r="J30" s="1">
        <f t="shared" si="15"/>
        <v>0.52772280688712847</v>
      </c>
      <c r="K30" s="1">
        <f t="shared" si="15"/>
        <v>0.52772280688712847</v>
      </c>
      <c r="L30" s="1">
        <f t="shared" si="15"/>
        <v>0.42217824550970279</v>
      </c>
      <c r="M30" s="1">
        <f t="shared" si="15"/>
        <v>0.79158421033069271</v>
      </c>
      <c r="N30" s="1">
        <f t="shared" si="16"/>
        <v>0.52772280688712847</v>
      </c>
      <c r="O30" s="1">
        <f t="shared" si="16"/>
        <v>0.52772280688712847</v>
      </c>
      <c r="P30" s="1">
        <f t="shared" si="16"/>
        <v>0.52772280688712847</v>
      </c>
      <c r="Q30" s="1">
        <f t="shared" si="16"/>
        <v>0.52772280688712847</v>
      </c>
      <c r="R30" s="1">
        <f t="shared" si="16"/>
        <v>0.52772280688712847</v>
      </c>
      <c r="S30" s="1">
        <f t="shared" si="16"/>
        <v>0.52772280688712847</v>
      </c>
      <c r="T30" s="1">
        <f t="shared" si="16"/>
        <v>0.52772280688712847</v>
      </c>
      <c r="U30" s="1">
        <f t="shared" si="17"/>
        <v>0.52772280688712847</v>
      </c>
      <c r="V30" s="1">
        <f t="shared" si="16"/>
        <v>0.47495052619841566</v>
      </c>
      <c r="W30" s="1">
        <f t="shared" si="17"/>
        <v>0.52772280688712847</v>
      </c>
      <c r="X30" s="1">
        <f t="shared" si="17"/>
        <v>0.52772280688712847</v>
      </c>
      <c r="Y30" s="1">
        <f t="shared" si="17"/>
        <v>0.52772280688712847</v>
      </c>
      <c r="Z30" s="1">
        <f t="shared" si="17"/>
        <v>0.52772280688712847</v>
      </c>
      <c r="AA30" s="1">
        <f t="shared" si="17"/>
        <v>0.52772280688712847</v>
      </c>
      <c r="AB30" s="1">
        <f t="shared" si="17"/>
        <v>0.52772280688712847</v>
      </c>
      <c r="AC30" s="1">
        <f t="shared" si="17"/>
        <v>0.36940596482098992</v>
      </c>
      <c r="AD30" s="1">
        <f t="shared" si="17"/>
        <v>0.52772280688712847</v>
      </c>
      <c r="AE30" s="1">
        <f t="shared" si="17"/>
        <v>0.52772280688712847</v>
      </c>
      <c r="AF30" s="1">
        <f t="shared" si="17"/>
        <v>0.42217824550970279</v>
      </c>
      <c r="AG30" s="1">
        <f t="shared" si="17"/>
        <v>0.52772280688712847</v>
      </c>
      <c r="AH30" s="52">
        <v>0.52772280688712847</v>
      </c>
      <c r="AI30" s="2" t="s">
        <v>350</v>
      </c>
      <c r="AJ30" s="1" t="str">
        <f t="shared" si="19"/>
        <v>Trd_car_dsl</v>
      </c>
      <c r="AK30" t="str">
        <f t="shared" si="0"/>
        <v>Trd_car</v>
      </c>
      <c r="AL30">
        <f t="shared" si="1"/>
        <v>25</v>
      </c>
      <c r="AN30" t="str">
        <f t="shared" si="2"/>
        <v>DMD</v>
      </c>
      <c r="AO30" t="str">
        <f t="shared" si="3"/>
        <v>Trd_car_dsl</v>
      </c>
      <c r="AQ30" t="s">
        <v>156</v>
      </c>
      <c r="AR30" t="s">
        <v>354</v>
      </c>
      <c r="AS30" t="s">
        <v>361</v>
      </c>
    </row>
    <row r="31" spans="1:45" x14ac:dyDescent="0.45">
      <c r="C31" t="str">
        <f t="shared" si="18"/>
        <v>TRAELC</v>
      </c>
      <c r="D31" s="1">
        <f t="shared" si="15"/>
        <v>1.165132170028889</v>
      </c>
      <c r="E31" s="1">
        <f t="shared" si="15"/>
        <v>1.165132170028889</v>
      </c>
      <c r="F31" s="1">
        <f t="shared" si="15"/>
        <v>1.165132170028889</v>
      </c>
      <c r="G31" s="1">
        <f t="shared" si="15"/>
        <v>1.165132170028889</v>
      </c>
      <c r="H31" s="1">
        <f t="shared" si="15"/>
        <v>1.165132170028889</v>
      </c>
      <c r="I31" s="1">
        <f t="shared" si="15"/>
        <v>1.165132170028889</v>
      </c>
      <c r="J31" s="1">
        <f t="shared" si="15"/>
        <v>1.165132170028889</v>
      </c>
      <c r="K31" s="1">
        <f t="shared" si="15"/>
        <v>1.165132170028889</v>
      </c>
      <c r="L31" s="1">
        <f t="shared" si="15"/>
        <v>0.93210573602311131</v>
      </c>
      <c r="M31" s="1">
        <f t="shared" si="15"/>
        <v>1.7476982550433335</v>
      </c>
      <c r="N31" s="1">
        <f t="shared" si="16"/>
        <v>1.165132170028889</v>
      </c>
      <c r="O31" s="1">
        <f t="shared" si="16"/>
        <v>1.165132170028889</v>
      </c>
      <c r="P31" s="1">
        <f t="shared" si="16"/>
        <v>1.165132170028889</v>
      </c>
      <c r="Q31" s="1">
        <f t="shared" si="16"/>
        <v>1.165132170028889</v>
      </c>
      <c r="R31" s="1">
        <f t="shared" si="16"/>
        <v>1.165132170028889</v>
      </c>
      <c r="S31" s="1">
        <f t="shared" si="16"/>
        <v>1.165132170028889</v>
      </c>
      <c r="T31" s="1">
        <f t="shared" si="16"/>
        <v>1.165132170028889</v>
      </c>
      <c r="U31" s="1">
        <f t="shared" si="17"/>
        <v>1.165132170028889</v>
      </c>
      <c r="V31" s="1">
        <f t="shared" si="16"/>
        <v>1.0486189530260002</v>
      </c>
      <c r="W31" s="1">
        <f t="shared" si="17"/>
        <v>1.165132170028889</v>
      </c>
      <c r="X31" s="1">
        <f t="shared" si="17"/>
        <v>1.165132170028889</v>
      </c>
      <c r="Y31" s="1">
        <f t="shared" si="17"/>
        <v>1.165132170028889</v>
      </c>
      <c r="Z31" s="1">
        <f t="shared" si="17"/>
        <v>1.165132170028889</v>
      </c>
      <c r="AA31" s="1">
        <f t="shared" si="17"/>
        <v>1.165132170028889</v>
      </c>
      <c r="AB31" s="1">
        <f t="shared" si="17"/>
        <v>1.165132170028889</v>
      </c>
      <c r="AC31" s="1">
        <f t="shared" si="17"/>
        <v>0.81559251902022223</v>
      </c>
      <c r="AD31" s="1">
        <f t="shared" si="17"/>
        <v>1.165132170028889</v>
      </c>
      <c r="AE31" s="1">
        <f t="shared" si="17"/>
        <v>1.165132170028889</v>
      </c>
      <c r="AF31" s="1">
        <f t="shared" si="17"/>
        <v>0.93210573602311131</v>
      </c>
      <c r="AG31" s="1">
        <f t="shared" si="17"/>
        <v>1.165132170028889</v>
      </c>
      <c r="AH31" s="52">
        <f>AH32*2.5</f>
        <v>1.165132170028889</v>
      </c>
      <c r="AI31" s="2" t="s">
        <v>350</v>
      </c>
      <c r="AJ31" s="1" t="str">
        <f t="shared" si="19"/>
        <v>Trd_car_elc</v>
      </c>
      <c r="AK31" t="str">
        <f t="shared" si="0"/>
        <v>Trd_car</v>
      </c>
      <c r="AL31">
        <f t="shared" si="1"/>
        <v>25</v>
      </c>
      <c r="AN31" t="str">
        <f t="shared" si="2"/>
        <v>DMD</v>
      </c>
      <c r="AO31" t="str">
        <f t="shared" si="3"/>
        <v>Trd_car_elc</v>
      </c>
      <c r="AQ31" t="s">
        <v>156</v>
      </c>
      <c r="AR31" t="s">
        <v>354</v>
      </c>
      <c r="AS31" t="s">
        <v>361</v>
      </c>
    </row>
    <row r="32" spans="1:45" x14ac:dyDescent="0.45">
      <c r="C32" t="str">
        <f t="shared" si="18"/>
        <v>TRAGSL</v>
      </c>
      <c r="D32" s="1">
        <f t="shared" si="15"/>
        <v>0.46605286801155565</v>
      </c>
      <c r="E32" s="1">
        <f t="shared" si="15"/>
        <v>0.46605286801155565</v>
      </c>
      <c r="F32" s="1">
        <f t="shared" si="15"/>
        <v>0.46605286801155565</v>
      </c>
      <c r="G32" s="1">
        <f t="shared" si="15"/>
        <v>0.46605286801155565</v>
      </c>
      <c r="H32" s="1">
        <f t="shared" si="15"/>
        <v>0.46605286801155565</v>
      </c>
      <c r="I32" s="1">
        <f t="shared" si="15"/>
        <v>0.46605286801155565</v>
      </c>
      <c r="J32" s="1">
        <f t="shared" si="15"/>
        <v>0.46605286801155565</v>
      </c>
      <c r="K32" s="1">
        <f t="shared" si="15"/>
        <v>0.46605286801155565</v>
      </c>
      <c r="L32" s="1">
        <f t="shared" si="15"/>
        <v>0.37284229440924455</v>
      </c>
      <c r="M32" s="1">
        <f t="shared" si="15"/>
        <v>0.69907930201733348</v>
      </c>
      <c r="N32" s="1">
        <f t="shared" si="16"/>
        <v>0.46605286801155565</v>
      </c>
      <c r="O32" s="1">
        <f t="shared" si="16"/>
        <v>0.46605286801155565</v>
      </c>
      <c r="P32" s="1">
        <f t="shared" si="16"/>
        <v>0.46605286801155565</v>
      </c>
      <c r="Q32" s="1">
        <f t="shared" si="16"/>
        <v>0.46605286801155565</v>
      </c>
      <c r="R32" s="1">
        <f t="shared" si="16"/>
        <v>0.46605286801155565</v>
      </c>
      <c r="S32" s="1">
        <f t="shared" si="16"/>
        <v>0.46605286801155565</v>
      </c>
      <c r="T32" s="1">
        <f t="shared" si="16"/>
        <v>0.46605286801155565</v>
      </c>
      <c r="U32" s="1">
        <f t="shared" si="17"/>
        <v>0.46605286801155565</v>
      </c>
      <c r="V32" s="1">
        <f t="shared" si="16"/>
        <v>0.4194475812104001</v>
      </c>
      <c r="W32" s="1">
        <f t="shared" si="17"/>
        <v>0.46605286801155565</v>
      </c>
      <c r="X32" s="1">
        <f t="shared" si="17"/>
        <v>0.46605286801155565</v>
      </c>
      <c r="Y32" s="1">
        <f t="shared" si="17"/>
        <v>0.46605286801155565</v>
      </c>
      <c r="Z32" s="1">
        <f t="shared" si="17"/>
        <v>0.46605286801155565</v>
      </c>
      <c r="AA32" s="1">
        <f t="shared" si="17"/>
        <v>0.46605286801155565</v>
      </c>
      <c r="AB32" s="1">
        <f t="shared" si="17"/>
        <v>0.46605286801155565</v>
      </c>
      <c r="AC32" s="1">
        <f t="shared" si="17"/>
        <v>0.32623700760808894</v>
      </c>
      <c r="AD32" s="1">
        <f t="shared" si="17"/>
        <v>0.46605286801155565</v>
      </c>
      <c r="AE32" s="1">
        <f t="shared" si="17"/>
        <v>0.46605286801155565</v>
      </c>
      <c r="AF32" s="1">
        <f t="shared" si="17"/>
        <v>0.37284229440924455</v>
      </c>
      <c r="AG32" s="1">
        <f t="shared" si="17"/>
        <v>0.46605286801155565</v>
      </c>
      <c r="AH32" s="52">
        <v>0.46605286801155565</v>
      </c>
      <c r="AI32" s="2" t="s">
        <v>350</v>
      </c>
      <c r="AJ32" s="95" t="str">
        <f t="shared" si="19"/>
        <v>Trd_car_gsl</v>
      </c>
      <c r="AK32" t="str">
        <f t="shared" si="0"/>
        <v>Trd_car</v>
      </c>
      <c r="AL32">
        <f t="shared" si="1"/>
        <v>25</v>
      </c>
      <c r="AN32" t="str">
        <f t="shared" si="2"/>
        <v>DMD</v>
      </c>
      <c r="AO32" t="str">
        <f t="shared" si="3"/>
        <v>Trd_car_gsl</v>
      </c>
      <c r="AQ32" t="s">
        <v>156</v>
      </c>
      <c r="AR32" t="s">
        <v>354</v>
      </c>
      <c r="AS32" t="s">
        <v>361</v>
      </c>
    </row>
    <row r="33" spans="1:45" x14ac:dyDescent="0.45">
      <c r="C33" t="str">
        <f t="shared" si="18"/>
        <v>TRALPG</v>
      </c>
      <c r="D33" s="1">
        <f t="shared" si="15"/>
        <v>0.47553149117899546</v>
      </c>
      <c r="E33" s="1">
        <f t="shared" si="15"/>
        <v>0.47553149117899546</v>
      </c>
      <c r="F33" s="1">
        <f t="shared" si="15"/>
        <v>0.47553149117899546</v>
      </c>
      <c r="G33" s="1">
        <f t="shared" si="15"/>
        <v>0.47553149117899546</v>
      </c>
      <c r="H33" s="1">
        <f t="shared" si="15"/>
        <v>0.47553149117899546</v>
      </c>
      <c r="I33" s="1">
        <f t="shared" si="15"/>
        <v>0.47553149117899546</v>
      </c>
      <c r="J33" s="1">
        <f t="shared" si="15"/>
        <v>0.47553149117899546</v>
      </c>
      <c r="K33" s="1">
        <f t="shared" si="15"/>
        <v>0.47553149117899546</v>
      </c>
      <c r="L33" s="1">
        <f t="shared" si="15"/>
        <v>0.38042519294319638</v>
      </c>
      <c r="M33" s="1">
        <f t="shared" si="15"/>
        <v>0.71329723676849321</v>
      </c>
      <c r="N33" s="1">
        <f t="shared" si="16"/>
        <v>0.47553149117899546</v>
      </c>
      <c r="O33" s="1">
        <f t="shared" si="16"/>
        <v>0.47553149117899546</v>
      </c>
      <c r="P33" s="1">
        <f t="shared" si="16"/>
        <v>0.47553149117899546</v>
      </c>
      <c r="Q33" s="1">
        <f t="shared" si="16"/>
        <v>0.47553149117899546</v>
      </c>
      <c r="R33" s="1">
        <f t="shared" si="16"/>
        <v>0.47553149117899546</v>
      </c>
      <c r="S33" s="1">
        <f t="shared" si="16"/>
        <v>0.47553149117899546</v>
      </c>
      <c r="T33" s="1">
        <f t="shared" si="16"/>
        <v>0.47553149117899546</v>
      </c>
      <c r="U33" s="1">
        <f t="shared" si="17"/>
        <v>0.47553149117899546</v>
      </c>
      <c r="V33" s="1">
        <f t="shared" si="16"/>
        <v>0.42797834206109592</v>
      </c>
      <c r="W33" s="1">
        <f t="shared" si="17"/>
        <v>0.47553149117899546</v>
      </c>
      <c r="X33" s="1">
        <f t="shared" si="17"/>
        <v>0.47553149117899546</v>
      </c>
      <c r="Y33" s="1">
        <f t="shared" si="17"/>
        <v>0.47553149117899546</v>
      </c>
      <c r="Z33" s="1">
        <f t="shared" si="17"/>
        <v>0.47553149117899546</v>
      </c>
      <c r="AA33" s="1">
        <f t="shared" si="17"/>
        <v>0.47553149117899546</v>
      </c>
      <c r="AB33" s="1">
        <f t="shared" si="17"/>
        <v>0.47553149117899546</v>
      </c>
      <c r="AC33" s="1">
        <f t="shared" si="17"/>
        <v>0.33287204382529678</v>
      </c>
      <c r="AD33" s="1">
        <f t="shared" si="17"/>
        <v>0.47553149117899546</v>
      </c>
      <c r="AE33" s="1">
        <f t="shared" si="17"/>
        <v>0.47553149117899546</v>
      </c>
      <c r="AF33" s="1">
        <f t="shared" si="17"/>
        <v>0.38042519294319638</v>
      </c>
      <c r="AG33" s="1">
        <f t="shared" si="17"/>
        <v>0.47553149117899546</v>
      </c>
      <c r="AH33" s="52">
        <v>0.47553149117899546</v>
      </c>
      <c r="AI33" s="2" t="s">
        <v>350</v>
      </c>
      <c r="AJ33" s="1" t="str">
        <f t="shared" si="19"/>
        <v>Trd_car_lpg</v>
      </c>
      <c r="AK33" t="str">
        <f t="shared" si="0"/>
        <v>Trd_car</v>
      </c>
      <c r="AL33">
        <f t="shared" si="1"/>
        <v>25</v>
      </c>
      <c r="AN33" t="str">
        <f t="shared" si="2"/>
        <v>DMD</v>
      </c>
      <c r="AO33" t="str">
        <f t="shared" si="3"/>
        <v>Trd_car_lpg</v>
      </c>
      <c r="AQ33" t="s">
        <v>156</v>
      </c>
      <c r="AR33" t="s">
        <v>354</v>
      </c>
      <c r="AS33" t="s">
        <v>361</v>
      </c>
    </row>
    <row r="34" spans="1:45" x14ac:dyDescent="0.45">
      <c r="C34" t="str">
        <f t="shared" si="18"/>
        <v>TRANGA</v>
      </c>
      <c r="D34" s="1">
        <f t="shared" si="15"/>
        <v>0.42934543946517889</v>
      </c>
      <c r="E34" s="1">
        <f t="shared" si="15"/>
        <v>0.42934543946517889</v>
      </c>
      <c r="F34" s="1">
        <f t="shared" si="15"/>
        <v>0.42934543946517889</v>
      </c>
      <c r="G34" s="1">
        <f t="shared" si="15"/>
        <v>0.42934543946517889</v>
      </c>
      <c r="H34" s="1">
        <f t="shared" si="15"/>
        <v>0.42934543946517889</v>
      </c>
      <c r="I34" s="1">
        <f t="shared" si="15"/>
        <v>0.42934543946517889</v>
      </c>
      <c r="J34" s="1">
        <f t="shared" si="15"/>
        <v>0.42934543946517889</v>
      </c>
      <c r="K34" s="1">
        <f t="shared" si="15"/>
        <v>0.42934543946517889</v>
      </c>
      <c r="L34" s="1">
        <f t="shared" si="15"/>
        <v>0.34347635157214312</v>
      </c>
      <c r="M34" s="1">
        <f t="shared" si="15"/>
        <v>0.64401815919776828</v>
      </c>
      <c r="N34" s="1">
        <f t="shared" si="16"/>
        <v>0.42934543946517889</v>
      </c>
      <c r="O34" s="1">
        <f t="shared" si="16"/>
        <v>0.42934543946517889</v>
      </c>
      <c r="P34" s="1">
        <f t="shared" si="16"/>
        <v>0.42934543946517889</v>
      </c>
      <c r="Q34" s="1">
        <f t="shared" si="16"/>
        <v>0.42934543946517889</v>
      </c>
      <c r="R34" s="1">
        <f t="shared" si="16"/>
        <v>0.42934543946517889</v>
      </c>
      <c r="S34" s="1">
        <f t="shared" si="16"/>
        <v>0.42934543946517889</v>
      </c>
      <c r="T34" s="1">
        <f t="shared" si="16"/>
        <v>0.42934543946517889</v>
      </c>
      <c r="U34" s="1">
        <f t="shared" si="17"/>
        <v>0.42934543946517889</v>
      </c>
      <c r="V34" s="1">
        <f t="shared" si="16"/>
        <v>0.38641089551866104</v>
      </c>
      <c r="W34" s="1">
        <f t="shared" si="17"/>
        <v>0.42934543946517889</v>
      </c>
      <c r="X34" s="1">
        <f t="shared" si="17"/>
        <v>0.42934543946517889</v>
      </c>
      <c r="Y34" s="1">
        <f t="shared" si="17"/>
        <v>0.42934543946517889</v>
      </c>
      <c r="Z34" s="1">
        <f t="shared" si="17"/>
        <v>0.42934543946517889</v>
      </c>
      <c r="AA34" s="1">
        <f t="shared" si="17"/>
        <v>0.42934543946517889</v>
      </c>
      <c r="AB34" s="1">
        <f t="shared" si="17"/>
        <v>0.42934543946517889</v>
      </c>
      <c r="AC34" s="1">
        <f t="shared" si="17"/>
        <v>0.30054180762562521</v>
      </c>
      <c r="AD34" s="1">
        <f t="shared" si="17"/>
        <v>0.42934543946517889</v>
      </c>
      <c r="AE34" s="1">
        <f t="shared" si="17"/>
        <v>0.42934543946517889</v>
      </c>
      <c r="AF34" s="1">
        <f t="shared" si="17"/>
        <v>0.34347635157214312</v>
      </c>
      <c r="AG34" s="1">
        <f t="shared" si="17"/>
        <v>0.42934543946517889</v>
      </c>
      <c r="AH34" s="52">
        <v>0.42934543946517889</v>
      </c>
      <c r="AI34" s="2" t="s">
        <v>350</v>
      </c>
      <c r="AJ34" s="1" t="str">
        <f t="shared" si="19"/>
        <v>Trd_car_nga</v>
      </c>
      <c r="AK34" t="str">
        <f t="shared" si="0"/>
        <v>Trd_car</v>
      </c>
      <c r="AL34">
        <f t="shared" si="1"/>
        <v>25</v>
      </c>
      <c r="AN34" t="str">
        <f t="shared" si="2"/>
        <v>DMD</v>
      </c>
      <c r="AO34" t="str">
        <f t="shared" si="3"/>
        <v>Trd_car_nga</v>
      </c>
      <c r="AQ34" t="s">
        <v>156</v>
      </c>
      <c r="AR34" t="s">
        <v>354</v>
      </c>
      <c r="AS34" t="s">
        <v>361</v>
      </c>
    </row>
    <row r="35" spans="1:45" x14ac:dyDescent="0.45">
      <c r="AI35" s="2" t="s">
        <v>169</v>
      </c>
      <c r="AK35" t="str">
        <f t="shared" si="0"/>
        <v/>
      </c>
      <c r="AL35" t="str">
        <f t="shared" si="1"/>
        <v/>
      </c>
      <c r="AN35" t="str">
        <f t="shared" si="2"/>
        <v>*</v>
      </c>
      <c r="AO35">
        <f t="shared" si="3"/>
        <v>0</v>
      </c>
      <c r="AQ35" t="s">
        <v>156</v>
      </c>
      <c r="AR35" t="s">
        <v>354</v>
      </c>
      <c r="AS35" t="s">
        <v>361</v>
      </c>
    </row>
    <row r="36" spans="1:45" x14ac:dyDescent="0.45">
      <c r="A36" t="s">
        <v>332</v>
      </c>
      <c r="C36" t="str">
        <f>C28</f>
        <v>TRABDS</v>
      </c>
      <c r="D36" s="40">
        <v>12</v>
      </c>
      <c r="E36" s="40">
        <v>12</v>
      </c>
      <c r="F36" s="40">
        <v>12</v>
      </c>
      <c r="G36" s="40">
        <v>12</v>
      </c>
      <c r="H36" s="40">
        <v>12</v>
      </c>
      <c r="I36" s="40">
        <v>12</v>
      </c>
      <c r="J36" s="40">
        <v>12</v>
      </c>
      <c r="K36" s="40">
        <v>12</v>
      </c>
      <c r="L36" s="40">
        <v>18</v>
      </c>
      <c r="M36" s="40">
        <v>8</v>
      </c>
      <c r="N36" s="40">
        <v>12</v>
      </c>
      <c r="O36" s="40">
        <v>12</v>
      </c>
      <c r="P36" s="40">
        <v>12</v>
      </c>
      <c r="Q36" s="40">
        <v>12</v>
      </c>
      <c r="R36" s="40">
        <v>12</v>
      </c>
      <c r="S36" s="40">
        <v>12</v>
      </c>
      <c r="T36" s="40">
        <v>12</v>
      </c>
      <c r="U36" s="40">
        <v>12</v>
      </c>
      <c r="V36" s="40">
        <v>12</v>
      </c>
      <c r="W36" s="40">
        <v>12</v>
      </c>
      <c r="X36" s="40">
        <v>12</v>
      </c>
      <c r="Y36" s="40">
        <v>12</v>
      </c>
      <c r="Z36" s="40">
        <v>12</v>
      </c>
      <c r="AA36" s="40">
        <v>12</v>
      </c>
      <c r="AB36" s="40">
        <v>12</v>
      </c>
      <c r="AC36" s="40">
        <v>12</v>
      </c>
      <c r="AD36" s="40">
        <v>12</v>
      </c>
      <c r="AE36" s="40">
        <v>12</v>
      </c>
      <c r="AF36" s="40">
        <v>18</v>
      </c>
      <c r="AG36" s="40">
        <v>12</v>
      </c>
      <c r="AI36" s="2" t="s">
        <v>351</v>
      </c>
      <c r="AJ36" s="1" t="str">
        <f>AJ28</f>
        <v>Trd_car_bdl</v>
      </c>
      <c r="AK36" t="str">
        <f t="shared" si="0"/>
        <v>Trd_car</v>
      </c>
      <c r="AL36">
        <f t="shared" si="1"/>
        <v>25</v>
      </c>
      <c r="AN36" t="str">
        <f t="shared" si="2"/>
        <v>DMD</v>
      </c>
      <c r="AO36" t="str">
        <f t="shared" si="3"/>
        <v>Trd_car_bdl</v>
      </c>
      <c r="AQ36" t="s">
        <v>156</v>
      </c>
      <c r="AR36" t="s">
        <v>354</v>
      </c>
      <c r="AS36" t="s">
        <v>361</v>
      </c>
    </row>
    <row r="37" spans="1:45" x14ac:dyDescent="0.45">
      <c r="C37" t="str">
        <f t="shared" ref="C37:C42" si="20">C29</f>
        <v>TRABGS</v>
      </c>
      <c r="D37" s="40">
        <f>D$36</f>
        <v>12</v>
      </c>
      <c r="E37" s="40">
        <f t="shared" ref="E37:T42" si="21">E$36</f>
        <v>12</v>
      </c>
      <c r="F37" s="40">
        <f t="shared" si="21"/>
        <v>12</v>
      </c>
      <c r="G37" s="40">
        <f t="shared" si="21"/>
        <v>12</v>
      </c>
      <c r="H37" s="40">
        <f t="shared" si="21"/>
        <v>12</v>
      </c>
      <c r="I37" s="40">
        <f t="shared" si="21"/>
        <v>12</v>
      </c>
      <c r="J37" s="40">
        <f t="shared" si="21"/>
        <v>12</v>
      </c>
      <c r="K37" s="40">
        <f t="shared" si="21"/>
        <v>12</v>
      </c>
      <c r="L37" s="40">
        <f t="shared" si="21"/>
        <v>18</v>
      </c>
      <c r="M37" s="40">
        <f t="shared" si="21"/>
        <v>8</v>
      </c>
      <c r="N37" s="40">
        <f t="shared" si="21"/>
        <v>12</v>
      </c>
      <c r="O37" s="40">
        <f t="shared" si="21"/>
        <v>12</v>
      </c>
      <c r="P37" s="40">
        <f t="shared" si="21"/>
        <v>12</v>
      </c>
      <c r="Q37" s="40">
        <f t="shared" si="21"/>
        <v>12</v>
      </c>
      <c r="R37" s="40">
        <f t="shared" si="21"/>
        <v>12</v>
      </c>
      <c r="S37" s="40">
        <f t="shared" si="21"/>
        <v>12</v>
      </c>
      <c r="T37" s="40">
        <f t="shared" si="21"/>
        <v>12</v>
      </c>
      <c r="U37" s="40">
        <f t="shared" ref="U37:AG42" si="22">U$36</f>
        <v>12</v>
      </c>
      <c r="V37" s="40">
        <f t="shared" si="22"/>
        <v>12</v>
      </c>
      <c r="W37" s="40">
        <f t="shared" si="22"/>
        <v>12</v>
      </c>
      <c r="X37" s="40">
        <f t="shared" si="22"/>
        <v>12</v>
      </c>
      <c r="Y37" s="40">
        <f t="shared" si="22"/>
        <v>12</v>
      </c>
      <c r="Z37" s="40">
        <f t="shared" si="22"/>
        <v>12</v>
      </c>
      <c r="AA37" s="40">
        <f t="shared" si="22"/>
        <v>12</v>
      </c>
      <c r="AB37" s="40">
        <f t="shared" si="22"/>
        <v>12</v>
      </c>
      <c r="AC37" s="40">
        <f t="shared" si="22"/>
        <v>12</v>
      </c>
      <c r="AD37" s="40">
        <f t="shared" si="22"/>
        <v>12</v>
      </c>
      <c r="AE37" s="40">
        <f t="shared" si="22"/>
        <v>12</v>
      </c>
      <c r="AF37" s="40">
        <f t="shared" si="22"/>
        <v>18</v>
      </c>
      <c r="AG37" s="40">
        <f t="shared" si="22"/>
        <v>12</v>
      </c>
      <c r="AI37" s="2" t="s">
        <v>351</v>
      </c>
      <c r="AJ37" s="1" t="str">
        <f t="shared" ref="AJ37:AJ42" si="23">AJ29</f>
        <v>Trd_car_eth</v>
      </c>
      <c r="AK37" t="str">
        <f t="shared" si="0"/>
        <v>Trd_car</v>
      </c>
      <c r="AL37">
        <f t="shared" si="1"/>
        <v>25</v>
      </c>
      <c r="AN37" t="str">
        <f t="shared" si="2"/>
        <v>DMD</v>
      </c>
      <c r="AO37" t="str">
        <f t="shared" si="3"/>
        <v>Trd_car_eth</v>
      </c>
      <c r="AQ37" t="s">
        <v>156</v>
      </c>
      <c r="AR37" t="s">
        <v>354</v>
      </c>
      <c r="AS37" t="s">
        <v>361</v>
      </c>
    </row>
    <row r="38" spans="1:45" x14ac:dyDescent="0.45">
      <c r="C38" t="str">
        <f t="shared" si="20"/>
        <v>TRADST</v>
      </c>
      <c r="D38" s="40">
        <f t="shared" ref="D38:D42" si="24">D$36</f>
        <v>12</v>
      </c>
      <c r="E38" s="40">
        <f t="shared" si="21"/>
        <v>12</v>
      </c>
      <c r="F38" s="40">
        <f t="shared" si="21"/>
        <v>12</v>
      </c>
      <c r="G38" s="40">
        <f t="shared" si="21"/>
        <v>12</v>
      </c>
      <c r="H38" s="40">
        <f t="shared" si="21"/>
        <v>12</v>
      </c>
      <c r="I38" s="40">
        <f t="shared" si="21"/>
        <v>12</v>
      </c>
      <c r="J38" s="40">
        <f t="shared" si="21"/>
        <v>12</v>
      </c>
      <c r="K38" s="40">
        <f t="shared" si="21"/>
        <v>12</v>
      </c>
      <c r="L38" s="40">
        <f t="shared" si="21"/>
        <v>18</v>
      </c>
      <c r="M38" s="40">
        <f t="shared" si="21"/>
        <v>8</v>
      </c>
      <c r="N38" s="40">
        <f t="shared" si="21"/>
        <v>12</v>
      </c>
      <c r="O38" s="40">
        <f t="shared" si="21"/>
        <v>12</v>
      </c>
      <c r="P38" s="40">
        <f t="shared" si="21"/>
        <v>12</v>
      </c>
      <c r="Q38" s="40">
        <f t="shared" si="21"/>
        <v>12</v>
      </c>
      <c r="R38" s="40">
        <f t="shared" si="21"/>
        <v>12</v>
      </c>
      <c r="S38" s="40">
        <f t="shared" si="21"/>
        <v>12</v>
      </c>
      <c r="T38" s="40">
        <f t="shared" si="21"/>
        <v>12</v>
      </c>
      <c r="U38" s="40">
        <f t="shared" si="22"/>
        <v>12</v>
      </c>
      <c r="V38" s="40">
        <f t="shared" si="22"/>
        <v>12</v>
      </c>
      <c r="W38" s="40">
        <f t="shared" si="22"/>
        <v>12</v>
      </c>
      <c r="X38" s="40">
        <f t="shared" si="22"/>
        <v>12</v>
      </c>
      <c r="Y38" s="40">
        <f t="shared" si="22"/>
        <v>12</v>
      </c>
      <c r="Z38" s="40">
        <f t="shared" si="22"/>
        <v>12</v>
      </c>
      <c r="AA38" s="40">
        <f t="shared" si="22"/>
        <v>12</v>
      </c>
      <c r="AB38" s="40">
        <f t="shared" si="22"/>
        <v>12</v>
      </c>
      <c r="AC38" s="40">
        <f t="shared" si="22"/>
        <v>12</v>
      </c>
      <c r="AD38" s="40">
        <f t="shared" si="22"/>
        <v>12</v>
      </c>
      <c r="AE38" s="40">
        <f t="shared" si="22"/>
        <v>12</v>
      </c>
      <c r="AF38" s="40">
        <f t="shared" si="22"/>
        <v>18</v>
      </c>
      <c r="AG38" s="40">
        <f t="shared" si="22"/>
        <v>12</v>
      </c>
      <c r="AI38" s="2" t="s">
        <v>351</v>
      </c>
      <c r="AJ38" s="1" t="str">
        <f t="shared" si="23"/>
        <v>Trd_car_dsl</v>
      </c>
      <c r="AK38" t="str">
        <f t="shared" si="0"/>
        <v>Trd_car</v>
      </c>
      <c r="AL38">
        <f t="shared" si="1"/>
        <v>25</v>
      </c>
      <c r="AN38" t="str">
        <f t="shared" si="2"/>
        <v>DMD</v>
      </c>
      <c r="AO38" t="str">
        <f t="shared" si="3"/>
        <v>Trd_car_dsl</v>
      </c>
      <c r="AQ38" t="s">
        <v>156</v>
      </c>
      <c r="AR38" t="s">
        <v>354</v>
      </c>
      <c r="AS38" t="s">
        <v>361</v>
      </c>
    </row>
    <row r="39" spans="1:45" x14ac:dyDescent="0.45">
      <c r="C39" t="str">
        <f t="shared" si="20"/>
        <v>TRAELC</v>
      </c>
      <c r="D39" s="40">
        <f t="shared" si="24"/>
        <v>12</v>
      </c>
      <c r="E39" s="40">
        <f t="shared" si="21"/>
        <v>12</v>
      </c>
      <c r="F39" s="40">
        <f t="shared" si="21"/>
        <v>12</v>
      </c>
      <c r="G39" s="40">
        <f t="shared" si="21"/>
        <v>12</v>
      </c>
      <c r="H39" s="40">
        <f t="shared" si="21"/>
        <v>12</v>
      </c>
      <c r="I39" s="40">
        <f t="shared" si="21"/>
        <v>12</v>
      </c>
      <c r="J39" s="40">
        <f t="shared" si="21"/>
        <v>12</v>
      </c>
      <c r="K39" s="40">
        <f t="shared" si="21"/>
        <v>12</v>
      </c>
      <c r="L39" s="40">
        <f t="shared" si="21"/>
        <v>18</v>
      </c>
      <c r="M39" s="40">
        <f t="shared" si="21"/>
        <v>8</v>
      </c>
      <c r="N39" s="40">
        <f t="shared" si="21"/>
        <v>12</v>
      </c>
      <c r="O39" s="40">
        <f t="shared" si="21"/>
        <v>12</v>
      </c>
      <c r="P39" s="40">
        <f t="shared" si="21"/>
        <v>12</v>
      </c>
      <c r="Q39" s="40">
        <f t="shared" si="21"/>
        <v>12</v>
      </c>
      <c r="R39" s="40">
        <f t="shared" si="21"/>
        <v>12</v>
      </c>
      <c r="S39" s="40">
        <f t="shared" si="21"/>
        <v>12</v>
      </c>
      <c r="T39" s="40">
        <f t="shared" si="21"/>
        <v>12</v>
      </c>
      <c r="U39" s="40">
        <f t="shared" si="22"/>
        <v>12</v>
      </c>
      <c r="V39" s="40">
        <f t="shared" si="22"/>
        <v>12</v>
      </c>
      <c r="W39" s="40">
        <f t="shared" si="22"/>
        <v>12</v>
      </c>
      <c r="X39" s="40">
        <f t="shared" si="22"/>
        <v>12</v>
      </c>
      <c r="Y39" s="40">
        <f t="shared" si="22"/>
        <v>12</v>
      </c>
      <c r="Z39" s="40">
        <f t="shared" si="22"/>
        <v>12</v>
      </c>
      <c r="AA39" s="40">
        <f t="shared" si="22"/>
        <v>12</v>
      </c>
      <c r="AB39" s="40">
        <f t="shared" si="22"/>
        <v>12</v>
      </c>
      <c r="AC39" s="40">
        <f t="shared" si="22"/>
        <v>12</v>
      </c>
      <c r="AD39" s="40">
        <f t="shared" si="22"/>
        <v>12</v>
      </c>
      <c r="AE39" s="40">
        <f t="shared" si="22"/>
        <v>12</v>
      </c>
      <c r="AF39" s="40">
        <f t="shared" si="22"/>
        <v>18</v>
      </c>
      <c r="AG39" s="40">
        <f t="shared" si="22"/>
        <v>12</v>
      </c>
      <c r="AI39" s="2" t="s">
        <v>351</v>
      </c>
      <c r="AJ39" s="1" t="str">
        <f t="shared" si="23"/>
        <v>Trd_car_elc</v>
      </c>
      <c r="AK39" t="str">
        <f t="shared" si="0"/>
        <v>Trd_car</v>
      </c>
      <c r="AL39">
        <f t="shared" si="1"/>
        <v>25</v>
      </c>
      <c r="AN39" t="str">
        <f t="shared" si="2"/>
        <v>DMD</v>
      </c>
      <c r="AO39" t="str">
        <f t="shared" si="3"/>
        <v>Trd_car_elc</v>
      </c>
      <c r="AQ39" t="s">
        <v>156</v>
      </c>
      <c r="AR39" t="s">
        <v>354</v>
      </c>
      <c r="AS39" t="s">
        <v>361</v>
      </c>
    </row>
    <row r="40" spans="1:45" x14ac:dyDescent="0.45">
      <c r="C40" t="str">
        <f t="shared" si="20"/>
        <v>TRAGSL</v>
      </c>
      <c r="D40" s="40">
        <f t="shared" si="24"/>
        <v>12</v>
      </c>
      <c r="E40" s="40">
        <f t="shared" si="21"/>
        <v>12</v>
      </c>
      <c r="F40" s="40">
        <f t="shared" si="21"/>
        <v>12</v>
      </c>
      <c r="G40" s="40">
        <f t="shared" si="21"/>
        <v>12</v>
      </c>
      <c r="H40" s="40">
        <f t="shared" si="21"/>
        <v>12</v>
      </c>
      <c r="I40" s="40">
        <f t="shared" si="21"/>
        <v>12</v>
      </c>
      <c r="J40" s="40">
        <f t="shared" si="21"/>
        <v>12</v>
      </c>
      <c r="K40" s="40">
        <f t="shared" si="21"/>
        <v>12</v>
      </c>
      <c r="L40" s="40">
        <f t="shared" si="21"/>
        <v>18</v>
      </c>
      <c r="M40" s="40">
        <f t="shared" si="21"/>
        <v>8</v>
      </c>
      <c r="N40" s="40">
        <f t="shared" si="21"/>
        <v>12</v>
      </c>
      <c r="O40" s="40">
        <f t="shared" si="21"/>
        <v>12</v>
      </c>
      <c r="P40" s="40">
        <f t="shared" si="21"/>
        <v>12</v>
      </c>
      <c r="Q40" s="40">
        <f t="shared" si="21"/>
        <v>12</v>
      </c>
      <c r="R40" s="40">
        <f t="shared" si="21"/>
        <v>12</v>
      </c>
      <c r="S40" s="40">
        <f t="shared" si="21"/>
        <v>12</v>
      </c>
      <c r="T40" s="40">
        <f t="shared" si="21"/>
        <v>12</v>
      </c>
      <c r="U40" s="40">
        <f t="shared" si="22"/>
        <v>12</v>
      </c>
      <c r="V40" s="40">
        <f t="shared" si="22"/>
        <v>12</v>
      </c>
      <c r="W40" s="40">
        <f t="shared" si="22"/>
        <v>12</v>
      </c>
      <c r="X40" s="40">
        <f t="shared" si="22"/>
        <v>12</v>
      </c>
      <c r="Y40" s="40">
        <f t="shared" si="22"/>
        <v>12</v>
      </c>
      <c r="Z40" s="40">
        <f t="shared" si="22"/>
        <v>12</v>
      </c>
      <c r="AA40" s="40">
        <f t="shared" si="22"/>
        <v>12</v>
      </c>
      <c r="AB40" s="40">
        <f t="shared" si="22"/>
        <v>12</v>
      </c>
      <c r="AC40" s="40">
        <f t="shared" si="22"/>
        <v>12</v>
      </c>
      <c r="AD40" s="40">
        <f t="shared" si="22"/>
        <v>12</v>
      </c>
      <c r="AE40" s="40">
        <f t="shared" si="22"/>
        <v>12</v>
      </c>
      <c r="AF40" s="40">
        <f t="shared" si="22"/>
        <v>18</v>
      </c>
      <c r="AG40" s="40">
        <f t="shared" si="22"/>
        <v>12</v>
      </c>
      <c r="AI40" s="2" t="s">
        <v>351</v>
      </c>
      <c r="AJ40" s="1" t="str">
        <f t="shared" si="23"/>
        <v>Trd_car_gsl</v>
      </c>
      <c r="AK40" t="str">
        <f t="shared" si="0"/>
        <v>Trd_car</v>
      </c>
      <c r="AL40">
        <f t="shared" si="1"/>
        <v>25</v>
      </c>
      <c r="AN40" t="str">
        <f t="shared" si="2"/>
        <v>DMD</v>
      </c>
      <c r="AO40" t="str">
        <f t="shared" si="3"/>
        <v>Trd_car_gsl</v>
      </c>
      <c r="AQ40" t="s">
        <v>156</v>
      </c>
      <c r="AR40" t="s">
        <v>354</v>
      </c>
      <c r="AS40" t="s">
        <v>361</v>
      </c>
    </row>
    <row r="41" spans="1:45" x14ac:dyDescent="0.45">
      <c r="C41" t="str">
        <f t="shared" si="20"/>
        <v>TRALPG</v>
      </c>
      <c r="D41" s="40">
        <f t="shared" si="24"/>
        <v>12</v>
      </c>
      <c r="E41" s="40">
        <f t="shared" si="21"/>
        <v>12</v>
      </c>
      <c r="F41" s="40">
        <f t="shared" si="21"/>
        <v>12</v>
      </c>
      <c r="G41" s="40">
        <f t="shared" si="21"/>
        <v>12</v>
      </c>
      <c r="H41" s="40">
        <f t="shared" si="21"/>
        <v>12</v>
      </c>
      <c r="I41" s="40">
        <f t="shared" si="21"/>
        <v>12</v>
      </c>
      <c r="J41" s="40">
        <f t="shared" si="21"/>
        <v>12</v>
      </c>
      <c r="K41" s="40">
        <f t="shared" si="21"/>
        <v>12</v>
      </c>
      <c r="L41" s="40">
        <f t="shared" si="21"/>
        <v>18</v>
      </c>
      <c r="M41" s="40">
        <f t="shared" si="21"/>
        <v>8</v>
      </c>
      <c r="N41" s="40">
        <f t="shared" si="21"/>
        <v>12</v>
      </c>
      <c r="O41" s="40">
        <f t="shared" si="21"/>
        <v>12</v>
      </c>
      <c r="P41" s="40">
        <f t="shared" si="21"/>
        <v>12</v>
      </c>
      <c r="Q41" s="40">
        <f t="shared" si="21"/>
        <v>12</v>
      </c>
      <c r="R41" s="40">
        <f t="shared" si="21"/>
        <v>12</v>
      </c>
      <c r="S41" s="40">
        <f t="shared" si="21"/>
        <v>12</v>
      </c>
      <c r="T41" s="40">
        <f t="shared" si="21"/>
        <v>12</v>
      </c>
      <c r="U41" s="40">
        <f t="shared" si="22"/>
        <v>12</v>
      </c>
      <c r="V41" s="40">
        <f t="shared" si="22"/>
        <v>12</v>
      </c>
      <c r="W41" s="40">
        <f t="shared" si="22"/>
        <v>12</v>
      </c>
      <c r="X41" s="40">
        <f t="shared" si="22"/>
        <v>12</v>
      </c>
      <c r="Y41" s="40">
        <f t="shared" si="22"/>
        <v>12</v>
      </c>
      <c r="Z41" s="40">
        <f t="shared" si="22"/>
        <v>12</v>
      </c>
      <c r="AA41" s="40">
        <f t="shared" si="22"/>
        <v>12</v>
      </c>
      <c r="AB41" s="40">
        <f t="shared" si="22"/>
        <v>12</v>
      </c>
      <c r="AC41" s="40">
        <f t="shared" si="22"/>
        <v>12</v>
      </c>
      <c r="AD41" s="40">
        <f t="shared" si="22"/>
        <v>12</v>
      </c>
      <c r="AE41" s="40">
        <f t="shared" si="22"/>
        <v>12</v>
      </c>
      <c r="AF41" s="40">
        <f t="shared" si="22"/>
        <v>18</v>
      </c>
      <c r="AG41" s="40">
        <f t="shared" si="22"/>
        <v>12</v>
      </c>
      <c r="AI41" s="2" t="s">
        <v>351</v>
      </c>
      <c r="AJ41" s="1" t="str">
        <f t="shared" si="23"/>
        <v>Trd_car_lpg</v>
      </c>
      <c r="AK41" t="str">
        <f t="shared" si="0"/>
        <v>Trd_car</v>
      </c>
      <c r="AL41">
        <f t="shared" si="1"/>
        <v>25</v>
      </c>
      <c r="AN41" t="str">
        <f t="shared" si="2"/>
        <v>DMD</v>
      </c>
      <c r="AO41" t="str">
        <f t="shared" si="3"/>
        <v>Trd_car_lpg</v>
      </c>
      <c r="AQ41" t="s">
        <v>156</v>
      </c>
      <c r="AR41" t="s">
        <v>354</v>
      </c>
      <c r="AS41" t="s">
        <v>361</v>
      </c>
    </row>
    <row r="42" spans="1:45" x14ac:dyDescent="0.45">
      <c r="C42" t="str">
        <f t="shared" si="20"/>
        <v>TRANGA</v>
      </c>
      <c r="D42" s="40">
        <f t="shared" si="24"/>
        <v>12</v>
      </c>
      <c r="E42" s="40">
        <f t="shared" si="21"/>
        <v>12</v>
      </c>
      <c r="F42" s="40">
        <f t="shared" si="21"/>
        <v>12</v>
      </c>
      <c r="G42" s="40">
        <f t="shared" si="21"/>
        <v>12</v>
      </c>
      <c r="H42" s="40">
        <f t="shared" si="21"/>
        <v>12</v>
      </c>
      <c r="I42" s="40">
        <f t="shared" si="21"/>
        <v>12</v>
      </c>
      <c r="J42" s="40">
        <f t="shared" si="21"/>
        <v>12</v>
      </c>
      <c r="K42" s="40">
        <f t="shared" si="21"/>
        <v>12</v>
      </c>
      <c r="L42" s="40">
        <f t="shared" si="21"/>
        <v>18</v>
      </c>
      <c r="M42" s="40">
        <f t="shared" si="21"/>
        <v>8</v>
      </c>
      <c r="N42" s="40">
        <f t="shared" si="21"/>
        <v>12</v>
      </c>
      <c r="O42" s="40">
        <f t="shared" si="21"/>
        <v>12</v>
      </c>
      <c r="P42" s="40">
        <f t="shared" si="21"/>
        <v>12</v>
      </c>
      <c r="Q42" s="40">
        <f t="shared" si="21"/>
        <v>12</v>
      </c>
      <c r="R42" s="40">
        <f t="shared" si="21"/>
        <v>12</v>
      </c>
      <c r="S42" s="40">
        <f t="shared" si="21"/>
        <v>12</v>
      </c>
      <c r="T42" s="40">
        <f t="shared" si="21"/>
        <v>12</v>
      </c>
      <c r="U42" s="40">
        <f t="shared" si="22"/>
        <v>12</v>
      </c>
      <c r="V42" s="40">
        <f t="shared" si="22"/>
        <v>12</v>
      </c>
      <c r="W42" s="40">
        <f t="shared" si="22"/>
        <v>12</v>
      </c>
      <c r="X42" s="40">
        <f t="shared" si="22"/>
        <v>12</v>
      </c>
      <c r="Y42" s="40">
        <f t="shared" si="22"/>
        <v>12</v>
      </c>
      <c r="Z42" s="40">
        <f t="shared" si="22"/>
        <v>12</v>
      </c>
      <c r="AA42" s="40">
        <f t="shared" si="22"/>
        <v>12</v>
      </c>
      <c r="AB42" s="40">
        <f t="shared" si="22"/>
        <v>12</v>
      </c>
      <c r="AC42" s="40">
        <f t="shared" si="22"/>
        <v>12</v>
      </c>
      <c r="AD42" s="40">
        <f t="shared" si="22"/>
        <v>12</v>
      </c>
      <c r="AE42" s="40">
        <f t="shared" si="22"/>
        <v>12</v>
      </c>
      <c r="AF42" s="40">
        <f t="shared" si="22"/>
        <v>18</v>
      </c>
      <c r="AG42" s="40">
        <f t="shared" si="22"/>
        <v>12</v>
      </c>
      <c r="AI42" s="2" t="s">
        <v>351</v>
      </c>
      <c r="AJ42" s="1" t="str">
        <f t="shared" si="23"/>
        <v>Trd_car_nga</v>
      </c>
      <c r="AK42" t="str">
        <f t="shared" si="0"/>
        <v>Trd_car</v>
      </c>
      <c r="AL42">
        <f t="shared" si="1"/>
        <v>25</v>
      </c>
      <c r="AN42" t="str">
        <f t="shared" si="2"/>
        <v>DMD</v>
      </c>
      <c r="AO42" t="str">
        <f t="shared" si="3"/>
        <v>Trd_car_nga</v>
      </c>
      <c r="AQ42" t="s">
        <v>156</v>
      </c>
      <c r="AR42" t="s">
        <v>354</v>
      </c>
      <c r="AS42" t="s">
        <v>361</v>
      </c>
    </row>
    <row r="43" spans="1:45" x14ac:dyDescent="0.45">
      <c r="AI43" s="2" t="s">
        <v>169</v>
      </c>
      <c r="AL43" t="str">
        <f t="shared" si="1"/>
        <v/>
      </c>
    </row>
    <row r="44" spans="1:45" x14ac:dyDescent="0.45">
      <c r="D44" s="40" t="str">
        <f>D3</f>
        <v>Africa_north</v>
      </c>
      <c r="E44" s="40" t="str">
        <f t="shared" ref="E44:T44" si="25">E3</f>
        <v>Africa_other</v>
      </c>
      <c r="F44" s="40" t="str">
        <f t="shared" si="25"/>
        <v>Arg-Chi</v>
      </c>
      <c r="G44" s="40" t="str">
        <f t="shared" si="25"/>
        <v>Asia_central</v>
      </c>
      <c r="H44" s="40" t="str">
        <f t="shared" si="25"/>
        <v>Asia_east</v>
      </c>
      <c r="I44" s="40" t="str">
        <f t="shared" si="25"/>
        <v>Asia_other</v>
      </c>
      <c r="J44" s="40" t="str">
        <f t="shared" si="25"/>
        <v>Australia_NZ</v>
      </c>
      <c r="K44" s="40" t="str">
        <f t="shared" si="25"/>
        <v>Brazil</v>
      </c>
      <c r="L44" s="40" t="str">
        <f t="shared" si="25"/>
        <v>Canada</v>
      </c>
      <c r="M44" s="40" t="str">
        <f t="shared" si="25"/>
        <v>China</v>
      </c>
      <c r="N44" s="40" t="str">
        <f t="shared" si="25"/>
        <v>EU_north</v>
      </c>
      <c r="O44" s="40" t="str">
        <f t="shared" si="25"/>
        <v>EU_northeast</v>
      </c>
      <c r="P44" s="40" t="str">
        <f t="shared" si="25"/>
        <v>EU_northwest</v>
      </c>
      <c r="Q44" s="40" t="str">
        <f t="shared" ref="Q44" si="26">Q3</f>
        <v>EU_south</v>
      </c>
      <c r="R44" s="40" t="str">
        <f t="shared" si="25"/>
        <v>EU_southeast</v>
      </c>
      <c r="S44" s="40" t="str">
        <f t="shared" si="25"/>
        <v>EU_southwest</v>
      </c>
      <c r="T44" s="40" t="str">
        <f t="shared" si="25"/>
        <v>Europe_other</v>
      </c>
      <c r="U44" s="40" t="str">
        <f t="shared" ref="U44:AG44" si="27">U3</f>
        <v>France</v>
      </c>
      <c r="V44" s="40" t="str">
        <f t="shared" si="27"/>
        <v>Germany</v>
      </c>
      <c r="W44" s="40" t="str">
        <f t="shared" si="27"/>
        <v>India</v>
      </c>
      <c r="X44" s="40" t="str">
        <f t="shared" si="27"/>
        <v>LatAm_other</v>
      </c>
      <c r="Y44" s="40" t="str">
        <f t="shared" si="27"/>
        <v>Mexico</v>
      </c>
      <c r="Z44" s="40" t="str">
        <f t="shared" si="27"/>
        <v>MidEast_other</v>
      </c>
      <c r="AA44" s="40" t="str">
        <f t="shared" si="27"/>
        <v>Nor-Ice</v>
      </c>
      <c r="AB44" s="40" t="str">
        <f t="shared" si="27"/>
        <v>Russia</v>
      </c>
      <c r="AC44" s="40" t="str">
        <f t="shared" si="27"/>
        <v>SaudiArabia</v>
      </c>
      <c r="AD44" s="40" t="str">
        <f t="shared" si="27"/>
        <v>SouthAfrica</v>
      </c>
      <c r="AE44" s="40" t="str">
        <f t="shared" si="27"/>
        <v>UK</v>
      </c>
      <c r="AF44" s="40" t="str">
        <f t="shared" si="27"/>
        <v>USA</v>
      </c>
      <c r="AG44" s="40" t="str">
        <f t="shared" si="27"/>
        <v>\I:</v>
      </c>
      <c r="AI44" s="2" t="s">
        <v>169</v>
      </c>
      <c r="AL44" t="str">
        <f t="shared" si="1"/>
        <v/>
      </c>
    </row>
    <row r="45" spans="1:45" x14ac:dyDescent="0.45">
      <c r="A45" t="s">
        <v>333</v>
      </c>
      <c r="D45" s="2">
        <f ca="1">SUMPRODUCT(D36:D42,D19:D25)</f>
        <v>256.56</v>
      </c>
      <c r="E45" s="2">
        <f t="shared" ref="E45:T45" ca="1" si="28">SUMPRODUCT(E36:E42,E19:E25)</f>
        <v>371.28000000000003</v>
      </c>
      <c r="F45" s="2">
        <f t="shared" ca="1" si="28"/>
        <v>216.96</v>
      </c>
      <c r="G45" s="2">
        <f t="shared" ca="1" si="28"/>
        <v>186</v>
      </c>
      <c r="H45" s="2">
        <f t="shared" ca="1" si="28"/>
        <v>955.2</v>
      </c>
      <c r="I45" s="2">
        <f t="shared" ca="1" si="28"/>
        <v>1138.9199999999998</v>
      </c>
      <c r="J45" s="2">
        <f t="shared" ca="1" si="28"/>
        <v>289.20000000000005</v>
      </c>
      <c r="K45" s="2">
        <f t="shared" ca="1" si="28"/>
        <v>560.64</v>
      </c>
      <c r="L45" s="2">
        <f t="shared" ca="1" si="28"/>
        <v>524.33999999999992</v>
      </c>
      <c r="M45" s="2">
        <f t="shared" ca="1" si="28"/>
        <v>3450.5600000000004</v>
      </c>
      <c r="N45" s="2">
        <f t="shared" ca="1" si="28"/>
        <v>185.88</v>
      </c>
      <c r="O45" s="2">
        <f t="shared" ca="1" si="28"/>
        <v>445.91999999999996</v>
      </c>
      <c r="P45" s="2">
        <f t="shared" ca="1" si="28"/>
        <v>317.88</v>
      </c>
      <c r="Q45" s="2">
        <f t="shared" ref="Q45" ca="1" si="29">SUMPRODUCT(Q36:Q42,Q19:Q25)</f>
        <v>495.84000000000003</v>
      </c>
      <c r="R45" s="2">
        <f t="shared" ca="1" si="28"/>
        <v>192.48000000000002</v>
      </c>
      <c r="S45" s="2">
        <f t="shared" ca="1" si="28"/>
        <v>402.72000000000008</v>
      </c>
      <c r="T45" s="2">
        <f t="shared" ca="1" si="28"/>
        <v>267.12</v>
      </c>
      <c r="U45" s="2">
        <f t="shared" ref="U45:AG45" ca="1" si="30">SUMPRODUCT(U36:U42,U19:U25)</f>
        <v>495.23999999999995</v>
      </c>
      <c r="V45" s="2">
        <f t="shared" ca="1" si="30"/>
        <v>624.83999999999992</v>
      </c>
      <c r="W45" s="2">
        <f t="shared" ca="1" si="30"/>
        <v>576.72</v>
      </c>
      <c r="X45" s="2">
        <f t="shared" ca="1" si="30"/>
        <v>608.28000000000009</v>
      </c>
      <c r="Y45" s="2">
        <f t="shared" ca="1" si="30"/>
        <v>676.31999999999994</v>
      </c>
      <c r="Z45" s="2">
        <f t="shared" ca="1" si="30"/>
        <v>908.5200000000001</v>
      </c>
      <c r="AA45" s="2">
        <f t="shared" ca="1" si="30"/>
        <v>47.4</v>
      </c>
      <c r="AB45" s="2">
        <f t="shared" ca="1" si="30"/>
        <v>511.44</v>
      </c>
      <c r="AC45" s="2">
        <f t="shared" ca="1" si="30"/>
        <v>257.28000000000003</v>
      </c>
      <c r="AD45" s="2">
        <f t="shared" ca="1" si="30"/>
        <v>99.72</v>
      </c>
      <c r="AE45" s="2">
        <f t="shared" ca="1" si="30"/>
        <v>495.71999999999997</v>
      </c>
      <c r="AF45" s="2">
        <f t="shared" ca="1" si="30"/>
        <v>5112.8999999999996</v>
      </c>
      <c r="AG45" s="2">
        <f t="shared" ca="1" si="30"/>
        <v>0</v>
      </c>
      <c r="AI45" s="2" t="s">
        <v>352</v>
      </c>
      <c r="AK45" t="s">
        <v>348</v>
      </c>
      <c r="AL45" t="str">
        <f t="shared" si="1"/>
        <v/>
      </c>
    </row>
    <row r="49" spans="17:17" x14ac:dyDescent="0.45">
      <c r="Q49">
        <f ca="1">Q36*Q23/Q32*1000/41.868</f>
        <v>9981.1909806802669</v>
      </c>
    </row>
  </sheetData>
  <conditionalFormatting sqref="D17:P17 R17:T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:AG17 U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999E-685E-4727-9729-645E6DAADC14}">
  <dimension ref="A2:AS45"/>
  <sheetViews>
    <sheetView zoomScaleNormal="100" workbookViewId="0">
      <selection activeCell="D37" sqref="D37"/>
    </sheetView>
  </sheetViews>
  <sheetFormatPr defaultRowHeight="14.25" x14ac:dyDescent="0.45"/>
  <cols>
    <col min="1" max="1" width="10.86328125" bestFit="1" customWidth="1"/>
    <col min="2" max="2" width="2" bestFit="1" customWidth="1"/>
    <col min="4" max="4" width="7.53125" bestFit="1" customWidth="1"/>
    <col min="5" max="6" width="8.1328125" bestFit="1" customWidth="1"/>
    <col min="7" max="7" width="7.46484375" bestFit="1" customWidth="1"/>
    <col min="8" max="8" width="8.86328125" bestFit="1" customWidth="1"/>
    <col min="9" max="9" width="5.86328125" bestFit="1" customWidth="1"/>
    <col min="10" max="10" width="7.46484375" bestFit="1" customWidth="1"/>
    <col min="11" max="11" width="6.53125" bestFit="1" customWidth="1"/>
    <col min="12" max="12" width="5.53125" bestFit="1" customWidth="1"/>
    <col min="13" max="13" width="6.53125" bestFit="1" customWidth="1"/>
    <col min="14" max="14" width="7.33203125" bestFit="1" customWidth="1"/>
    <col min="15" max="15" width="6.53125" bestFit="1" customWidth="1"/>
    <col min="16" max="16" width="5.53125" bestFit="1" customWidth="1"/>
    <col min="17" max="17" width="7.46484375" bestFit="1" customWidth="1"/>
    <col min="18" max="18" width="8" bestFit="1" customWidth="1"/>
    <col min="19" max="20" width="6.53125" bestFit="1" customWidth="1"/>
    <col min="21" max="33" width="6.53125" customWidth="1"/>
    <col min="34" max="34" width="6" bestFit="1" customWidth="1"/>
    <col min="35" max="35" width="8.86328125" bestFit="1" customWidth="1"/>
    <col min="36" max="36" width="12.1328125" bestFit="1" customWidth="1"/>
  </cols>
  <sheetData>
    <row r="2" spans="1:45" x14ac:dyDescent="0.45">
      <c r="AI2" t="s">
        <v>353</v>
      </c>
      <c r="AN2" t="s">
        <v>148</v>
      </c>
    </row>
    <row r="3" spans="1:45" x14ac:dyDescent="0.45">
      <c r="C3" t="s">
        <v>347</v>
      </c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  <c r="AH3" t="s">
        <v>169</v>
      </c>
      <c r="AI3" t="s">
        <v>174</v>
      </c>
      <c r="AJ3" t="s">
        <v>136</v>
      </c>
      <c r="AK3" t="s">
        <v>349</v>
      </c>
      <c r="AL3" t="s">
        <v>158</v>
      </c>
      <c r="AN3" t="s">
        <v>149</v>
      </c>
      <c r="AO3" t="s">
        <v>139</v>
      </c>
      <c r="AP3" t="s">
        <v>150</v>
      </c>
      <c r="AQ3" t="s">
        <v>151</v>
      </c>
      <c r="AR3" t="s">
        <v>152</v>
      </c>
      <c r="AS3" t="s">
        <v>155</v>
      </c>
    </row>
    <row r="4" spans="1:45" x14ac:dyDescent="0.45">
      <c r="A4" t="s">
        <v>25</v>
      </c>
      <c r="C4" s="35" t="s">
        <v>32</v>
      </c>
      <c r="D4" s="2" cm="1">
        <f t="array" aca="1" ref="D4" ca="1">SUM(SUMIFS(Assumptions!AN$3:AN$102,Assumptions!$B$3:$B$102,Bus!$C4,Assumptions!$G$3:$G$102,{"TRB"}))</f>
        <v>0</v>
      </c>
      <c r="E4" s="2" cm="1">
        <f t="array" aca="1" ref="E4" ca="1">SUM(SUMIFS(Assumptions!AO$3:AO$102,Assumptions!$B$3:$B$102,Bus!$C4,Assumptions!$G$3:$G$102,{"TRB"}))</f>
        <v>0</v>
      </c>
      <c r="F4" s="2" cm="1">
        <f t="array" aca="1" ref="F4" ca="1">SUM(SUMIFS(Assumptions!AP$3:AP$102,Assumptions!$B$3:$B$102,Bus!$C4,Assumptions!$G$3:$G$102,{"TRB"}))</f>
        <v>3.9392373504635998</v>
      </c>
      <c r="G4" s="2" cm="1">
        <f t="array" aca="1" ref="G4" ca="1">SUM(SUMIFS(Assumptions!AQ$3:AQ$102,Assumptions!$B$3:$B$102,Bus!$C4,Assumptions!$G$3:$G$102,{"TRB"}))</f>
        <v>9.1242932399999998E-4</v>
      </c>
      <c r="H4" s="2" cm="1">
        <f t="array" aca="1" ref="H4" ca="1">SUM(SUMIFS(Assumptions!AR$3:AR$102,Assumptions!$B$3:$B$102,Bus!$C4,Assumptions!$G$3:$G$102,{"TRB"}))</f>
        <v>1.300096639233</v>
      </c>
      <c r="I4" s="2" cm="1">
        <f t="array" aca="1" ref="I4" ca="1">SUM(SUMIFS(Assumptions!AS$3:AS$102,Assumptions!$B$3:$B$102,Bus!$C4,Assumptions!$G$3:$G$102,{"TRB"}))</f>
        <v>35.5702147952328</v>
      </c>
      <c r="J4" s="2" cm="1">
        <f t="array" aca="1" ref="J4" ca="1">SUM(SUMIFS(Assumptions!AT$3:AT$102,Assumptions!$B$3:$B$102,Bus!$C4,Assumptions!$G$3:$G$102,{"TRB"}))</f>
        <v>3.1425367175999995E-2</v>
      </c>
      <c r="K4" s="2" cm="1">
        <f t="array" aca="1" ref="K4" ca="1">SUM(SUMIFS(Assumptions!AU$3:AU$102,Assumptions!$B$3:$B$102,Bus!$C4,Assumptions!$G$3:$G$102,{"TRB"}))</f>
        <v>60.545782959602406</v>
      </c>
      <c r="L4" s="2" cm="1">
        <f t="array" aca="1" ref="L4" ca="1">SUM(SUMIFS(Assumptions!AV$3:AV$102,Assumptions!$B$3:$B$102,Bus!$C4,Assumptions!$G$3:$G$102,{"TRB"}))</f>
        <v>1.0495075592232002</v>
      </c>
      <c r="M4" s="2" cm="1">
        <f t="array" aca="1" ref="M4" ca="1">SUM(SUMIFS(Assumptions!AW$3:AW$102,Assumptions!$B$3:$B$102,Bus!$C4,Assumptions!$G$3:$G$102,{"TRB"}))</f>
        <v>12.025321370621999</v>
      </c>
      <c r="N4" s="2" cm="1">
        <f t="array" aca="1" ref="N4" ca="1">SUM(SUMIFS(Assumptions!AX$3:AX$102,Assumptions!$B$3:$B$102,Bus!$C4,Assumptions!$G$3:$G$102,{"TRB"}))</f>
        <v>4.3512820885352141</v>
      </c>
      <c r="O4" s="2" cm="1">
        <f t="array" aca="1" ref="O4" ca="1">SUM(SUMIFS(Assumptions!AY$3:AY$102,Assumptions!$B$3:$B$102,Bus!$C4,Assumptions!$G$3:$G$102,{"TRB"}))</f>
        <v>9.0545091875407433</v>
      </c>
      <c r="P4" s="2" cm="1">
        <f t="array" aca="1" ref="P4" ca="1">SUM(SUMIFS(Assumptions!AZ$3:AZ$102,Assumptions!$B$3:$B$102,Bus!$C4,Assumptions!$G$3:$G$102,{"TRB"}))</f>
        <v>2.6540421433032666</v>
      </c>
      <c r="Q4" s="2" cm="1">
        <f t="array" aca="1" ref="Q4" ca="1">SUM(SUMIFS(Assumptions!BA$3:BA$102,Assumptions!$B$3:$B$102,Bus!$C4,Assumptions!$G$3:$G$102,{"TRB"}))</f>
        <v>3.6293556345918856</v>
      </c>
      <c r="R4" s="2" cm="1">
        <f t="array" aca="1" ref="R4" ca="1">SUM(SUMIFS(Assumptions!BB$3:BB$102,Assumptions!$B$3:$B$102,Bus!$C4,Assumptions!$G$3:$G$102,{"TRB"}))</f>
        <v>3.9401526598351819</v>
      </c>
      <c r="S4" s="2" cm="1">
        <f t="array" aca="1" ref="S4" ca="1">SUM(SUMIFS(Assumptions!BC$3:BC$102,Assumptions!$B$3:$B$102,Bus!$C4,Assumptions!$G$3:$G$102,{"TRB"}))</f>
        <v>4.4678356922975802</v>
      </c>
      <c r="T4" s="2" cm="1">
        <f t="array" aca="1" ref="T4" ca="1">SUM(SUMIFS(Assumptions!BD$3:BD$102,Assumptions!$B$3:$B$102,Bus!$C4,Assumptions!$G$3:$G$102,{"TRB"}))</f>
        <v>1.4544008706240001</v>
      </c>
      <c r="U4" s="2" cm="1">
        <f t="array" aca="1" ref="U4" ca="1">SUM(SUMIFS(Assumptions!BE$3:BE$102,Assumptions!$B$3:$B$102,Bus!$C4,Assumptions!$G$3:$G$102,{"TRB"}))</f>
        <v>6.4179776428439101</v>
      </c>
      <c r="V4" s="2" cm="1">
        <f t="array" aca="1" ref="V4" ca="1">SUM(SUMIFS(Assumptions!BF$3:BF$102,Assumptions!$B$3:$B$102,Bus!$C4,Assumptions!$G$3:$G$102,{"TRB"}))</f>
        <v>4.8023384899898618</v>
      </c>
      <c r="W4" s="2" cm="1">
        <f t="array" aca="1" ref="W4" ca="1">SUM(SUMIFS(Assumptions!BG$3:BG$102,Assumptions!$B$3:$B$102,Bus!$C4,Assumptions!$G$3:$G$102,{"TRB"}))</f>
        <v>0.30692593439999999</v>
      </c>
      <c r="X4" s="2" cm="1">
        <f t="array" aca="1" ref="X4" ca="1">SUM(SUMIFS(Assumptions!BH$3:BH$102,Assumptions!$B$3:$B$102,Bus!$C4,Assumptions!$G$3:$G$102,{"TRB"}))</f>
        <v>2.9672707800599998</v>
      </c>
      <c r="Y4" s="2" cm="1">
        <f t="array" aca="1" ref="Y4" ca="1">SUM(SUMIFS(Assumptions!BI$3:BI$102,Assumptions!$B$3:$B$102,Bus!$C4,Assumptions!$G$3:$G$102,{"TRB"}))</f>
        <v>0</v>
      </c>
      <c r="Z4" s="2" cm="1">
        <f t="array" aca="1" ref="Z4" ca="1">SUM(SUMIFS(Assumptions!BJ$3:BJ$102,Assumptions!$B$3:$B$102,Bus!$C4,Assumptions!$G$3:$G$102,{"TRB"}))</f>
        <v>0</v>
      </c>
      <c r="AA4" s="2" cm="1">
        <f t="array" aca="1" ref="AA4" ca="1">SUM(SUMIFS(Assumptions!BK$3:BK$102,Assumptions!$B$3:$B$102,Bus!$C4,Assumptions!$G$3:$G$102,{"TRB"}))</f>
        <v>1.1045295324155029</v>
      </c>
      <c r="AB4" s="2" cm="1">
        <f t="array" aca="1" ref="AB4" ca="1">SUM(SUMIFS(Assumptions!BL$3:BL$102,Assumptions!$B$3:$B$102,Bus!$C4,Assumptions!$G$3:$G$102,{"TRB"}))</f>
        <v>0</v>
      </c>
      <c r="AC4" s="2" cm="1">
        <f t="array" aca="1" ref="AC4" ca="1">SUM(SUMIFS(Assumptions!BM$3:BM$102,Assumptions!$B$3:$B$102,Bus!$C4,Assumptions!$G$3:$G$102,{"TRB"}))</f>
        <v>0</v>
      </c>
      <c r="AD4" s="2" cm="1">
        <f t="array" aca="1" ref="AD4" ca="1">SUM(SUMIFS(Assumptions!BN$3:BN$102,Assumptions!$B$3:$B$102,Bus!$C4,Assumptions!$G$3:$G$102,{"TRB"}))</f>
        <v>0</v>
      </c>
      <c r="AE4" s="2" cm="1">
        <f t="array" aca="1" ref="AE4" ca="1">SUM(SUMIFS(Assumptions!BO$3:BO$102,Assumptions!$B$3:$B$102,Bus!$C4,Assumptions!$G$3:$G$102,{"TRB"}))</f>
        <v>3.2110516057064382</v>
      </c>
      <c r="AF4" s="2" cm="1">
        <f t="array" aca="1" ref="AF4" ca="1">SUM(SUMIFS(Assumptions!BP$3:BP$102,Assumptions!$B$3:$B$102,Bus!$C4,Assumptions!$G$3:$G$102,{"TRB"}))</f>
        <v>7.1343562021295961</v>
      </c>
      <c r="AG4" s="2" cm="1">
        <f t="array" aca="1" ref="AG4" ca="1">SUM(SUMIFS(Assumptions!BQ$3:BQ$102,Assumptions!$B$3:$B$102,Bus!$C4,Assumptions!$G$3:$G$102,{"TRB"}))</f>
        <v>0</v>
      </c>
      <c r="AH4" s="2"/>
      <c r="AI4" t="s">
        <v>169</v>
      </c>
      <c r="AK4" t="str">
        <f t="shared" ref="AK4:AK42" si="0">IF($AJ4="","",$AK$45)</f>
        <v/>
      </c>
      <c r="AL4" t="str">
        <f t="shared" ref="AL4:AL45" si="1">IF($AJ4="","",25)</f>
        <v/>
      </c>
      <c r="AN4" t="str">
        <f>IF($AJ4="","*","DMD")</f>
        <v>*</v>
      </c>
      <c r="AO4">
        <f>AJ4</f>
        <v>0</v>
      </c>
      <c r="AQ4" t="s">
        <v>156</v>
      </c>
      <c r="AR4" t="s">
        <v>354</v>
      </c>
      <c r="AS4" t="s">
        <v>361</v>
      </c>
    </row>
    <row r="5" spans="1:45" x14ac:dyDescent="0.45">
      <c r="A5" t="s">
        <v>25</v>
      </c>
      <c r="C5" s="35" t="s">
        <v>33</v>
      </c>
      <c r="D5" s="2" cm="1">
        <f t="array" aca="1" ref="D5" ca="1">SUM(SUMIFS(Assumptions!AN$3:AN$102,Assumptions!$B$3:$B$102,Bus!$C5,Assumptions!$G$3:$G$102,{"TRB"}))</f>
        <v>0</v>
      </c>
      <c r="E5" s="2" cm="1">
        <f t="array" aca="1" ref="E5" ca="1">SUM(SUMIFS(Assumptions!AO$3:AO$102,Assumptions!$B$3:$B$102,Bus!$C5,Assumptions!$G$3:$G$102,{"TRB"}))</f>
        <v>0</v>
      </c>
      <c r="F5" s="2" cm="1">
        <f t="array" aca="1" ref="F5" ca="1">SUM(SUMIFS(Assumptions!AP$3:AP$102,Assumptions!$B$3:$B$102,Bus!$C5,Assumptions!$G$3:$G$102,{"TRB"}))</f>
        <v>0.27064406344319991</v>
      </c>
      <c r="G5" s="2" cm="1">
        <f t="array" aca="1" ref="G5" ca="1">SUM(SUMIFS(Assumptions!AQ$3:AQ$102,Assumptions!$B$3:$B$102,Bus!$C5,Assumptions!$G$3:$G$102,{"TRB"}))</f>
        <v>0</v>
      </c>
      <c r="H5" s="2" cm="1">
        <f t="array" aca="1" ref="H5" ca="1">SUM(SUMIFS(Assumptions!AR$3:AR$102,Assumptions!$B$3:$B$102,Bus!$C5,Assumptions!$G$3:$G$102,{"TRB"}))</f>
        <v>0</v>
      </c>
      <c r="I5" s="2" cm="1">
        <f t="array" aca="1" ref="I5" ca="1">SUM(SUMIFS(Assumptions!AS$3:AS$102,Assumptions!$B$3:$B$102,Bus!$C5,Assumptions!$G$3:$G$102,{"TRB"}))</f>
        <v>0</v>
      </c>
      <c r="J5" s="2" cm="1">
        <f t="array" aca="1" ref="J5" ca="1">SUM(SUMIFS(Assumptions!AT$3:AT$102,Assumptions!$B$3:$B$102,Bus!$C5,Assumptions!$G$3:$G$102,{"TRB"}))</f>
        <v>2.7296973035999997E-2</v>
      </c>
      <c r="K5" s="2" cm="1">
        <f t="array" aca="1" ref="K5" ca="1">SUM(SUMIFS(Assumptions!AU$3:AU$102,Assumptions!$B$3:$B$102,Bus!$C5,Assumptions!$G$3:$G$102,{"TRB"}))</f>
        <v>2.8314425893391997</v>
      </c>
      <c r="L5" s="2" cm="1">
        <f t="array" aca="1" ref="L5" ca="1">SUM(SUMIFS(Assumptions!AV$3:AV$102,Assumptions!$B$3:$B$102,Bus!$C5,Assumptions!$G$3:$G$102,{"TRB"}))</f>
        <v>0.13362999511680013</v>
      </c>
      <c r="M5" s="2" cm="1">
        <f t="array" aca="1" ref="M5" ca="1">SUM(SUMIFS(Assumptions!AW$3:AW$102,Assumptions!$B$3:$B$102,Bus!$C5,Assumptions!$G$3:$G$102,{"TRB"}))</f>
        <v>0.85759999603199999</v>
      </c>
      <c r="N5" s="2" cm="1">
        <f t="array" aca="1" ref="N5" ca="1">SUM(SUMIFS(Assumptions!AX$3:AX$102,Assumptions!$B$3:$B$102,Bus!$C5,Assumptions!$G$3:$G$102,{"TRB"}))</f>
        <v>1.4069739306600014E-2</v>
      </c>
      <c r="O5" s="2" cm="1">
        <f t="array" aca="1" ref="O5" ca="1">SUM(SUMIFS(Assumptions!AY$3:AY$102,Assumptions!$B$3:$B$102,Bus!$C5,Assumptions!$G$3:$G$102,{"TRB"}))</f>
        <v>4.5418368718800041E-2</v>
      </c>
      <c r="P5" s="2" cm="1">
        <f t="array" aca="1" ref="P5" ca="1">SUM(SUMIFS(Assumptions!AZ$3:AZ$102,Assumptions!$B$3:$B$102,Bus!$C5,Assumptions!$G$3:$G$102,{"TRB"}))</f>
        <v>2.3483457657000023E-2</v>
      </c>
      <c r="Q5" s="2" cm="1">
        <f t="array" aca="1" ref="Q5" ca="1">SUM(SUMIFS(Assumptions!BA$3:BA$102,Assumptions!$B$3:$B$102,Bus!$C5,Assumptions!$G$3:$G$102,{"TRB"}))</f>
        <v>3.4911820206000028E-3</v>
      </c>
      <c r="R5" s="2" cm="1">
        <f t="array" aca="1" ref="R5" ca="1">SUM(SUMIFS(Assumptions!BB$3:BB$102,Assumptions!$B$3:$B$102,Bus!$C5,Assumptions!$G$3:$G$102,{"TRB"}))</f>
        <v>2.2680339400800022E-2</v>
      </c>
      <c r="S5" s="2" cm="1">
        <f t="array" aca="1" ref="S5" ca="1">SUM(SUMIFS(Assumptions!BC$3:BC$102,Assumptions!$B$3:$B$102,Bus!$C5,Assumptions!$G$3:$G$102,{"TRB"}))</f>
        <v>8.6964881094000086E-3</v>
      </c>
      <c r="T5" s="2" cm="1">
        <f t="array" aca="1" ref="T5" ca="1">SUM(SUMIFS(Assumptions!BD$3:BD$102,Assumptions!$B$3:$B$102,Bus!$C5,Assumptions!$G$3:$G$102,{"TRB"}))</f>
        <v>0.21764359670400002</v>
      </c>
      <c r="U5" s="2" cm="1">
        <f t="array" aca="1" ref="U5" ca="1">SUM(SUMIFS(Assumptions!BE$3:BE$102,Assumptions!$B$3:$B$102,Bus!$C5,Assumptions!$G$3:$G$102,{"TRB"}))</f>
        <v>4.1027899739400041E-2</v>
      </c>
      <c r="V5" s="2" cm="1">
        <f t="array" aca="1" ref="V5" ca="1">SUM(SUMIFS(Assumptions!BF$3:BF$102,Assumptions!$B$3:$B$102,Bus!$C5,Assumptions!$G$3:$G$102,{"TRB"}))</f>
        <v>4.5146241372600045E-2</v>
      </c>
      <c r="W5" s="2" cm="1">
        <f t="array" aca="1" ref="W5" ca="1">SUM(SUMIFS(Assumptions!BG$3:BG$102,Assumptions!$B$3:$B$102,Bus!$C5,Assumptions!$G$3:$G$102,{"TRB"}))</f>
        <v>0</v>
      </c>
      <c r="X5" s="2" cm="1">
        <f t="array" aca="1" ref="X5" ca="1">SUM(SUMIFS(Assumptions!BH$3:BH$102,Assumptions!$B$3:$B$102,Bus!$C5,Assumptions!$G$3:$G$102,{"TRB"}))</f>
        <v>0.36643032698399997</v>
      </c>
      <c r="Y5" s="2" cm="1">
        <f t="array" aca="1" ref="Y5" ca="1">SUM(SUMIFS(Assumptions!BI$3:BI$102,Assumptions!$B$3:$B$102,Bus!$C5,Assumptions!$G$3:$G$102,{"TRB"}))</f>
        <v>0</v>
      </c>
      <c r="Z5" s="2" cm="1">
        <f t="array" aca="1" ref="Z5" ca="1">SUM(SUMIFS(Assumptions!BJ$3:BJ$102,Assumptions!$B$3:$B$102,Bus!$C5,Assumptions!$G$3:$G$102,{"TRB"}))</f>
        <v>0</v>
      </c>
      <c r="AA5" s="2" cm="1">
        <f t="array" aca="1" ref="AA5" ca="1">SUM(SUMIFS(Assumptions!BK$3:BK$102,Assumptions!$B$3:$B$102,Bus!$C5,Assumptions!$G$3:$G$102,{"TRB"}))</f>
        <v>2.9285891442000027E-3</v>
      </c>
      <c r="AB5" s="2" cm="1">
        <f t="array" aca="1" ref="AB5" ca="1">SUM(SUMIFS(Assumptions!BL$3:BL$102,Assumptions!$B$3:$B$102,Bus!$C5,Assumptions!$G$3:$G$102,{"TRB"}))</f>
        <v>0</v>
      </c>
      <c r="AC5" s="2" cm="1">
        <f t="array" aca="1" ref="AC5" ca="1">SUM(SUMIFS(Assumptions!BM$3:BM$102,Assumptions!$B$3:$B$102,Bus!$C5,Assumptions!$G$3:$G$102,{"TRB"}))</f>
        <v>0</v>
      </c>
      <c r="AD5" s="2" cm="1">
        <f t="array" aca="1" ref="AD5" ca="1">SUM(SUMIFS(Assumptions!BN$3:BN$102,Assumptions!$B$3:$B$102,Bus!$C5,Assumptions!$G$3:$G$102,{"TRB"}))</f>
        <v>0</v>
      </c>
      <c r="AE5" s="2" cm="1">
        <f t="array" aca="1" ref="AE5" ca="1">SUM(SUMIFS(Assumptions!BO$3:BO$102,Assumptions!$B$3:$B$102,Bus!$C5,Assumptions!$G$3:$G$102,{"TRB"}))</f>
        <v>2.4022681909200021E-2</v>
      </c>
      <c r="AF5" s="2" cm="1">
        <f t="array" aca="1" ref="AF5" ca="1">SUM(SUMIFS(Assumptions!BP$3:BP$102,Assumptions!$B$3:$B$102,Bus!$C5,Assumptions!$G$3:$G$102,{"TRB"}))</f>
        <v>1.3683873351599996</v>
      </c>
      <c r="AG5" s="2" cm="1">
        <f t="array" aca="1" ref="AG5" ca="1">SUM(SUMIFS(Assumptions!BQ$3:BQ$102,Assumptions!$B$3:$B$102,Bus!$C5,Assumptions!$G$3:$G$102,{"TRB"}))</f>
        <v>0</v>
      </c>
      <c r="AI5" t="s">
        <v>169</v>
      </c>
      <c r="AK5" t="str">
        <f t="shared" si="0"/>
        <v/>
      </c>
      <c r="AL5" t="str">
        <f t="shared" si="1"/>
        <v/>
      </c>
      <c r="AN5" t="str">
        <f t="shared" ref="AN5:AN42" si="2">IF(AJ5="","*","DMD")</f>
        <v>*</v>
      </c>
      <c r="AO5">
        <f t="shared" ref="AO5:AO42" si="3">AJ5</f>
        <v>0</v>
      </c>
      <c r="AQ5" t="s">
        <v>156</v>
      </c>
      <c r="AR5" t="s">
        <v>354</v>
      </c>
      <c r="AS5" t="s">
        <v>361</v>
      </c>
    </row>
    <row r="6" spans="1:45" x14ac:dyDescent="0.45">
      <c r="A6" t="s">
        <v>25</v>
      </c>
      <c r="C6" s="35" t="s">
        <v>41</v>
      </c>
      <c r="D6" s="2" cm="1">
        <f t="array" aca="1" ref="D6" ca="1">SUM(SUMIFS(Assumptions!AN$3:AN$102,Assumptions!$B$3:$B$102,Bus!$C6,Assumptions!$G$3:$G$102,{"TRB"}))</f>
        <v>350.28647281088996</v>
      </c>
      <c r="E6" s="2" cm="1">
        <f t="array" aca="1" ref="E6" ca="1">SUM(SUMIFS(Assumptions!AO$3:AO$102,Assumptions!$B$3:$B$102,Bus!$C6,Assumptions!$G$3:$G$102,{"TRB"}))</f>
        <v>311.291700338304</v>
      </c>
      <c r="F6" s="2" cm="1">
        <f t="array" aca="1" ref="F6" ca="1">SUM(SUMIFS(Assumptions!AP$3:AP$102,Assumptions!$B$3:$B$102,Bus!$C6,Assumptions!$G$3:$G$102,{"TRB"}))</f>
        <v>44.083751007124803</v>
      </c>
      <c r="G6" s="2" cm="1">
        <f t="array" aca="1" ref="G6" ca="1">SUM(SUMIFS(Assumptions!AQ$3:AQ$102,Assumptions!$B$3:$B$102,Bus!$C6,Assumptions!$G$3:$G$102,{"TRB"}))</f>
        <v>18.698044232951997</v>
      </c>
      <c r="H6" s="2" cm="1">
        <f t="array" aca="1" ref="H6" ca="1">SUM(SUMIFS(Assumptions!AR$3:AR$102,Assumptions!$B$3:$B$102,Bus!$C6,Assumptions!$G$3:$G$102,{"TRB"}))</f>
        <v>81.481913640963</v>
      </c>
      <c r="I6" s="2" cm="1">
        <f t="array" aca="1" ref="I6" ca="1">SUM(SUMIFS(Assumptions!AS$3:AS$102,Assumptions!$B$3:$B$102,Bus!$C6,Assumptions!$G$3:$G$102,{"TRB"}))</f>
        <v>391.4205397960248</v>
      </c>
      <c r="J6" s="2" cm="1">
        <f t="array" aca="1" ref="J6" ca="1">SUM(SUMIFS(Assumptions!AT$3:AT$102,Assumptions!$B$3:$B$102,Bus!$C6,Assumptions!$G$3:$G$102,{"TRB"}))</f>
        <v>99.221797626109193</v>
      </c>
      <c r="K6" s="2" cm="1">
        <f t="array" aca="1" ref="K6" ca="1">SUM(SUMIFS(Assumptions!AU$3:AU$102,Assumptions!$B$3:$B$102,Bus!$C6,Assumptions!$G$3:$G$102,{"TRB"}))</f>
        <v>133.5472214276592</v>
      </c>
      <c r="L6" s="2" cm="1">
        <f t="array" aca="1" ref="L6" ca="1">SUM(SUMIFS(Assumptions!AV$3:AV$102,Assumptions!$B$3:$B$102,Bus!$C6,Assumptions!$G$3:$G$102,{"TRB"}))</f>
        <v>31.596869506910402</v>
      </c>
      <c r="M6" s="2" cm="1">
        <f t="array" aca="1" ref="M6" ca="1">SUM(SUMIFS(Assumptions!AW$3:AW$102,Assumptions!$B$3:$B$102,Bus!$C6,Assumptions!$G$3:$G$102,{"TRB"}))</f>
        <v>1248.0497569941658</v>
      </c>
      <c r="N6" s="2" cm="1">
        <f t="array" aca="1" ref="N6" ca="1">SUM(SUMIFS(Assumptions!AX$3:AX$102,Assumptions!$B$3:$B$102,Bus!$C6,Assumptions!$G$3:$G$102,{"TRB"}))</f>
        <v>19.578959552735483</v>
      </c>
      <c r="O6" s="2" cm="1">
        <f t="array" aca="1" ref="O6" ca="1">SUM(SUMIFS(Assumptions!AY$3:AY$102,Assumptions!$B$3:$B$102,Bus!$C6,Assumptions!$G$3:$G$102,{"TRB"}))</f>
        <v>150.17842059076813</v>
      </c>
      <c r="P6" s="2" cm="1">
        <f t="array" aca="1" ref="P6" ca="1">SUM(SUMIFS(Assumptions!AZ$3:AZ$102,Assumptions!$B$3:$B$102,Bus!$C6,Assumptions!$G$3:$G$102,{"TRB"}))</f>
        <v>40.776085356553125</v>
      </c>
      <c r="Q6" s="2" cm="1">
        <f t="array" aca="1" ref="Q6" ca="1">SUM(SUMIFS(Assumptions!BA$3:BA$102,Assumptions!$B$3:$B$102,Bus!$C6,Assumptions!$G$3:$G$102,{"TRB"}))</f>
        <v>61.469383375637335</v>
      </c>
      <c r="R6" s="2" cm="1">
        <f t="array" aca="1" ref="R6" ca="1">SUM(SUMIFS(Assumptions!BB$3:BB$102,Assumptions!$B$3:$B$102,Bus!$C6,Assumptions!$G$3:$G$102,{"TRB"}))</f>
        <v>63.849937773341516</v>
      </c>
      <c r="S6" s="2" cm="1">
        <f t="array" aca="1" ref="S6" ca="1">SUM(SUMIFS(Assumptions!BC$3:BC$102,Assumptions!$B$3:$B$102,Bus!$C6,Assumptions!$G$3:$G$102,{"TRB"}))</f>
        <v>65.221056055398662</v>
      </c>
      <c r="T6" s="2" cm="1">
        <f t="array" aca="1" ref="T6" ca="1">SUM(SUMIFS(Assumptions!BD$3:BD$102,Assumptions!$B$3:$B$102,Bus!$C6,Assumptions!$G$3:$G$102,{"TRB"}))</f>
        <v>125.145952859376</v>
      </c>
      <c r="U6" s="2" cm="1">
        <f t="array" aca="1" ref="U6" ca="1">SUM(SUMIFS(Assumptions!BE$3:BE$102,Assumptions!$B$3:$B$102,Bus!$C6,Assumptions!$G$3:$G$102,{"TRB"}))</f>
        <v>78.106271580544075</v>
      </c>
      <c r="V6" s="2" cm="1">
        <f t="array" aca="1" ref="V6" ca="1">SUM(SUMIFS(Assumptions!BF$3:BF$102,Assumptions!$B$3:$B$102,Bus!$C6,Assumptions!$G$3:$G$102,{"TRB"}))</f>
        <v>84.352287827964986</v>
      </c>
      <c r="W6" s="2" cm="1">
        <f t="array" aca="1" ref="W6" ca="1">SUM(SUMIFS(Assumptions!BG$3:BG$102,Assumptions!$B$3:$B$102,Bus!$C6,Assumptions!$G$3:$G$102,{"TRB"}))</f>
        <v>456.31104763117503</v>
      </c>
      <c r="X6" s="2" cm="1">
        <f t="array" aca="1" ref="X6" ca="1">SUM(SUMIFS(Assumptions!BH$3:BH$102,Assumptions!$B$3:$B$102,Bus!$C6,Assumptions!$G$3:$G$102,{"TRB"}))</f>
        <v>93.032467183872001</v>
      </c>
      <c r="Y6" s="2" cm="1">
        <f t="array" aca="1" ref="Y6" ca="1">SUM(SUMIFS(Assumptions!BI$3:BI$102,Assumptions!$B$3:$B$102,Bus!$C6,Assumptions!$G$3:$G$102,{"TRB"}))</f>
        <v>43.960786550064</v>
      </c>
      <c r="Z6" s="2" cm="1">
        <f t="array" aca="1" ref="Z6" ca="1">SUM(SUMIFS(Assumptions!BJ$3:BJ$102,Assumptions!$B$3:$B$102,Bus!$C6,Assumptions!$G$3:$G$102,{"TRB"}))</f>
        <v>134.798933515752</v>
      </c>
      <c r="AA6" s="2" cm="1">
        <f t="array" aca="1" ref="AA6" ca="1">SUM(SUMIFS(Assumptions!BK$3:BK$102,Assumptions!$B$3:$B$102,Bus!$C6,Assumptions!$G$3:$G$102,{"TRB"}))</f>
        <v>5.8473295779825722</v>
      </c>
      <c r="AB6" s="2" cm="1">
        <f t="array" aca="1" ref="AB6" ca="1">SUM(SUMIFS(Assumptions!BL$3:BL$102,Assumptions!$B$3:$B$102,Bus!$C6,Assumptions!$G$3:$G$102,{"TRB"}))</f>
        <v>58.567455344717999</v>
      </c>
      <c r="AC6" s="2" cm="1">
        <f t="array" aca="1" ref="AC6" ca="1">SUM(SUMIFS(Assumptions!BM$3:BM$102,Assumptions!$B$3:$B$102,Bus!$C6,Assumptions!$G$3:$G$102,{"TRB"}))</f>
        <v>76.661885167560001</v>
      </c>
      <c r="AD6" s="2" cm="1">
        <f t="array" aca="1" ref="AD6" ca="1">SUM(SUMIFS(Assumptions!BN$3:BN$102,Assumptions!$B$3:$B$102,Bus!$C6,Assumptions!$G$3:$G$102,{"TRB"}))</f>
        <v>109.34538013324799</v>
      </c>
      <c r="AE6" s="2" cm="1">
        <f t="array" aca="1" ref="AE6" ca="1">SUM(SUMIFS(Assumptions!BO$3:BO$102,Assumptions!$B$3:$B$102,Bus!$C6,Assumptions!$G$3:$G$102,{"TRB"}))</f>
        <v>61.926911955030597</v>
      </c>
      <c r="AF6" s="2" cm="1">
        <f t="array" aca="1" ref="AF6" ca="1">SUM(SUMIFS(Assumptions!BP$3:BP$102,Assumptions!$B$3:$B$102,Bus!$C6,Assumptions!$G$3:$G$102,{"TRB"}))</f>
        <v>200.50892184830121</v>
      </c>
      <c r="AG6" s="2" cm="1">
        <f t="array" aca="1" ref="AG6" ca="1">SUM(SUMIFS(Assumptions!BQ$3:BQ$102,Assumptions!$B$3:$B$102,Bus!$C6,Assumptions!$G$3:$G$102,{"TRB"}))</f>
        <v>0</v>
      </c>
      <c r="AI6" t="s">
        <v>169</v>
      </c>
      <c r="AK6" t="str">
        <f t="shared" si="0"/>
        <v/>
      </c>
      <c r="AL6" t="str">
        <f t="shared" si="1"/>
        <v/>
      </c>
      <c r="AN6" t="str">
        <f t="shared" si="2"/>
        <v>*</v>
      </c>
      <c r="AO6">
        <f t="shared" si="3"/>
        <v>0</v>
      </c>
      <c r="AQ6" t="s">
        <v>156</v>
      </c>
      <c r="AR6" t="s">
        <v>354</v>
      </c>
      <c r="AS6" t="s">
        <v>361</v>
      </c>
    </row>
    <row r="7" spans="1:45" x14ac:dyDescent="0.45">
      <c r="A7" t="s">
        <v>25</v>
      </c>
      <c r="C7" s="35" t="s">
        <v>37</v>
      </c>
      <c r="D7" s="2" cm="1">
        <f t="array" aca="1" ref="D7" ca="1">SUM(SUMIFS(Assumptions!AN$3:AN$102,Assumptions!$B$3:$B$102,Bus!$C7,Assumptions!$G$3:$G$102,{"TRB"}))</f>
        <v>0</v>
      </c>
      <c r="E7" s="2" cm="1">
        <f t="array" aca="1" ref="E7" ca="1">SUM(SUMIFS(Assumptions!AO$3:AO$102,Assumptions!$B$3:$B$102,Bus!$C7,Assumptions!$G$3:$G$102,{"TRB"}))</f>
        <v>0</v>
      </c>
      <c r="F7" s="2" cm="1">
        <f t="array" aca="1" ref="F7" ca="1">SUM(SUMIFS(Assumptions!AP$3:AP$102,Assumptions!$B$3:$B$102,Bus!$C7,Assumptions!$G$3:$G$102,{"TRB"}))</f>
        <v>1.4508350567999999</v>
      </c>
      <c r="G7" s="2" cm="1">
        <f t="array" aca="1" ref="G7" ca="1">SUM(SUMIFS(Assumptions!AQ$3:AQ$102,Assumptions!$B$3:$B$102,Bus!$C7,Assumptions!$G$3:$G$102,{"TRB"}))</f>
        <v>0.13203492480000001</v>
      </c>
      <c r="H7" s="2" cm="1">
        <f t="array" aca="1" ref="H7" ca="1">SUM(SUMIFS(Assumptions!AR$3:AR$102,Assumptions!$B$3:$B$102,Bus!$C7,Assumptions!$G$3:$G$102,{"TRB"}))</f>
        <v>0</v>
      </c>
      <c r="I7" s="2" cm="1">
        <f t="array" aca="1" ref="I7" ca="1">SUM(SUMIFS(Assumptions!AS$3:AS$102,Assumptions!$B$3:$B$102,Bus!$C7,Assumptions!$G$3:$G$102,{"TRB"}))</f>
        <v>0</v>
      </c>
      <c r="J7" s="2" cm="1">
        <f t="array" aca="1" ref="J7" ca="1">SUM(SUMIFS(Assumptions!AT$3:AT$102,Assumptions!$B$3:$B$102,Bus!$C7,Assumptions!$G$3:$G$102,{"TRB"}))</f>
        <v>0</v>
      </c>
      <c r="K7" s="2" cm="1">
        <f t="array" aca="1" ref="K7" ca="1">SUM(SUMIFS(Assumptions!AU$3:AU$102,Assumptions!$B$3:$B$102,Bus!$C7,Assumptions!$G$3:$G$102,{"TRB"}))</f>
        <v>0</v>
      </c>
      <c r="L7" s="2" cm="1">
        <f t="array" aca="1" ref="L7" ca="1">SUM(SUMIFS(Assumptions!AV$3:AV$102,Assumptions!$B$3:$B$102,Bus!$C7,Assumptions!$G$3:$G$102,{"TRB"}))</f>
        <v>0</v>
      </c>
      <c r="M7" s="2" cm="1">
        <f t="array" aca="1" ref="M7" ca="1">SUM(SUMIFS(Assumptions!AW$3:AW$102,Assumptions!$B$3:$B$102,Bus!$C7,Assumptions!$G$3:$G$102,{"TRB"}))</f>
        <v>24.536301367319993</v>
      </c>
      <c r="N7" s="2" cm="1">
        <f t="array" aca="1" ref="N7" ca="1">SUM(SUMIFS(Assumptions!AX$3:AX$102,Assumptions!$B$3:$B$102,Bus!$C7,Assumptions!$G$3:$G$102,{"TRB"}))</f>
        <v>0</v>
      </c>
      <c r="O7" s="2" cm="1">
        <f t="array" aca="1" ref="O7" ca="1">SUM(SUMIFS(Assumptions!AY$3:AY$102,Assumptions!$B$3:$B$102,Bus!$C7,Assumptions!$G$3:$G$102,{"TRB"}))</f>
        <v>0.79621212959999998</v>
      </c>
      <c r="P7" s="2" cm="1">
        <f t="array" aca="1" ref="P7" ca="1">SUM(SUMIFS(Assumptions!AZ$3:AZ$102,Assumptions!$B$3:$B$102,Bus!$C7,Assumptions!$G$3:$G$102,{"TRB"}))</f>
        <v>0</v>
      </c>
      <c r="Q7" s="2" cm="1">
        <f t="array" aca="1" ref="Q7" ca="1">SUM(SUMIFS(Assumptions!BA$3:BA$102,Assumptions!$B$3:$B$102,Bus!$C7,Assumptions!$G$3:$G$102,{"TRB"}))</f>
        <v>0</v>
      </c>
      <c r="R7" s="2" cm="1">
        <f t="array" aca="1" ref="R7" ca="1">SUM(SUMIFS(Assumptions!BB$3:BB$102,Assumptions!$B$3:$B$102,Bus!$C7,Assumptions!$G$3:$G$102,{"TRB"}))</f>
        <v>0.4362352524</v>
      </c>
      <c r="S7" s="2" cm="1">
        <f t="array" aca="1" ref="S7" ca="1">SUM(SUMIFS(Assumptions!BC$3:BC$102,Assumptions!$B$3:$B$102,Bus!$C7,Assumptions!$G$3:$G$102,{"TRB"}))</f>
        <v>0</v>
      </c>
      <c r="T7" s="2" cm="1">
        <f t="array" aca="1" ref="T7" ca="1">SUM(SUMIFS(Assumptions!BD$3:BD$102,Assumptions!$B$3:$B$102,Bus!$C7,Assumptions!$G$3:$G$102,{"TRB"}))</f>
        <v>0.56393683920000004</v>
      </c>
      <c r="U7" s="2" cm="1">
        <f t="array" aca="1" ref="U7" ca="1">SUM(SUMIFS(Assumptions!BE$3:BE$102,Assumptions!$B$3:$B$102,Bus!$C7,Assumptions!$G$3:$G$102,{"TRB"}))</f>
        <v>0</v>
      </c>
      <c r="V7" s="2" cm="1">
        <f t="array" aca="1" ref="V7" ca="1">SUM(SUMIFS(Assumptions!BF$3:BF$102,Assumptions!$B$3:$B$102,Bus!$C7,Assumptions!$G$3:$G$102,{"TRB"}))</f>
        <v>0</v>
      </c>
      <c r="W7" s="2" cm="1">
        <f t="array" aca="1" ref="W7" ca="1">SUM(SUMIFS(Assumptions!BG$3:BG$102,Assumptions!$B$3:$B$102,Bus!$C7,Assumptions!$G$3:$G$102,{"TRB"}))</f>
        <v>0</v>
      </c>
      <c r="X7" s="2" cm="1">
        <f t="array" aca="1" ref="X7" ca="1">SUM(SUMIFS(Assumptions!BH$3:BH$102,Assumptions!$B$3:$B$102,Bus!$C7,Assumptions!$G$3:$G$102,{"TRB"}))</f>
        <v>1.9719827999999998E-2</v>
      </c>
      <c r="Y7" s="2" cm="1">
        <f t="array" aca="1" ref="Y7" ca="1">SUM(SUMIFS(Assumptions!BI$3:BI$102,Assumptions!$B$3:$B$102,Bus!$C7,Assumptions!$G$3:$G$102,{"TRB"}))</f>
        <v>0</v>
      </c>
      <c r="Z7" s="2" cm="1">
        <f t="array" aca="1" ref="Z7" ca="1">SUM(SUMIFS(Assumptions!BJ$3:BJ$102,Assumptions!$B$3:$B$102,Bus!$C7,Assumptions!$G$3:$G$102,{"TRB"}))</f>
        <v>0</v>
      </c>
      <c r="AA7" s="2" cm="1">
        <f t="array" aca="1" ref="AA7" ca="1">SUM(SUMIFS(Assumptions!BK$3:BK$102,Assumptions!$B$3:$B$102,Bus!$C7,Assumptions!$G$3:$G$102,{"TRB"}))</f>
        <v>0</v>
      </c>
      <c r="AB7" s="2" cm="1">
        <f t="array" aca="1" ref="AB7" ca="1">SUM(SUMIFS(Assumptions!BL$3:BL$102,Assumptions!$B$3:$B$102,Bus!$C7,Assumptions!$G$3:$G$102,{"TRB"}))</f>
        <v>0</v>
      </c>
      <c r="AC7" s="2" cm="1">
        <f t="array" aca="1" ref="AC7" ca="1">SUM(SUMIFS(Assumptions!BM$3:BM$102,Assumptions!$B$3:$B$102,Bus!$C7,Assumptions!$G$3:$G$102,{"TRB"}))</f>
        <v>0</v>
      </c>
      <c r="AD7" s="2" cm="1">
        <f t="array" aca="1" ref="AD7" ca="1">SUM(SUMIFS(Assumptions!BN$3:BN$102,Assumptions!$B$3:$B$102,Bus!$C7,Assumptions!$G$3:$G$102,{"TRB"}))</f>
        <v>0.19335061079999999</v>
      </c>
      <c r="AE7" s="2" cm="1">
        <f t="array" aca="1" ref="AE7" ca="1">SUM(SUMIFS(Assumptions!BO$3:BO$102,Assumptions!$B$3:$B$102,Bus!$C7,Assumptions!$G$3:$G$102,{"TRB"}))</f>
        <v>0</v>
      </c>
      <c r="AF7" s="2" cm="1">
        <f t="array" aca="1" ref="AF7" ca="1">SUM(SUMIFS(Assumptions!BP$3:BP$102,Assumptions!$B$3:$B$102,Bus!$C7,Assumptions!$G$3:$G$102,{"TRB"}))</f>
        <v>0</v>
      </c>
      <c r="AG7" s="2" cm="1">
        <f t="array" aca="1" ref="AG7" ca="1">SUM(SUMIFS(Assumptions!BQ$3:BQ$102,Assumptions!$B$3:$B$102,Bus!$C7,Assumptions!$G$3:$G$102,{"TRB"}))</f>
        <v>0</v>
      </c>
      <c r="AI7" t="s">
        <v>169</v>
      </c>
      <c r="AK7" t="str">
        <f t="shared" si="0"/>
        <v/>
      </c>
      <c r="AL7" t="str">
        <f t="shared" si="1"/>
        <v/>
      </c>
      <c r="AN7" t="str">
        <f t="shared" si="2"/>
        <v>*</v>
      </c>
      <c r="AO7">
        <f t="shared" si="3"/>
        <v>0</v>
      </c>
      <c r="AQ7" t="s">
        <v>156</v>
      </c>
      <c r="AR7" t="s">
        <v>354</v>
      </c>
      <c r="AS7" t="s">
        <v>361</v>
      </c>
    </row>
    <row r="8" spans="1:45" x14ac:dyDescent="0.45">
      <c r="A8" t="s">
        <v>25</v>
      </c>
      <c r="C8" s="35" t="s">
        <v>42</v>
      </c>
      <c r="D8" s="2" cm="1">
        <f t="array" aca="1" ref="D8" ca="1">SUM(SUMIFS(Assumptions!AN$3:AN$102,Assumptions!$B$3:$B$102,Bus!$C8,Assumptions!$G$3:$G$102,{"TRB"}))</f>
        <v>0</v>
      </c>
      <c r="E8" s="2" cm="1">
        <f t="array" aca="1" ref="E8" ca="1">SUM(SUMIFS(Assumptions!AO$3:AO$102,Assumptions!$B$3:$B$102,Bus!$C8,Assumptions!$G$3:$G$102,{"TRB"}))</f>
        <v>0</v>
      </c>
      <c r="F8" s="2" cm="1">
        <f t="array" aca="1" ref="F8" ca="1">SUM(SUMIFS(Assumptions!AP$3:AP$102,Assumptions!$B$3:$B$102,Bus!$C8,Assumptions!$G$3:$G$102,{"TRB"}))</f>
        <v>4.9224901436495987</v>
      </c>
      <c r="G8" s="2" cm="1">
        <f t="array" aca="1" ref="G8" ca="1">SUM(SUMIFS(Assumptions!AQ$3:AQ$102,Assumptions!$B$3:$B$102,Bus!$C8,Assumptions!$G$3:$G$102,{"TRB"}))</f>
        <v>6.1534968393960021</v>
      </c>
      <c r="H8" s="2" cm="1">
        <f t="array" aca="1" ref="H8" ca="1">SUM(SUMIFS(Assumptions!AR$3:AR$102,Assumptions!$B$3:$B$102,Bus!$C8,Assumptions!$G$3:$G$102,{"TRB"}))</f>
        <v>0</v>
      </c>
      <c r="I8" s="2" cm="1">
        <f t="array" aca="1" ref="I8" ca="1">SUM(SUMIFS(Assumptions!AS$3:AS$102,Assumptions!$B$3:$B$102,Bus!$C8,Assumptions!$G$3:$G$102,{"TRB"}))</f>
        <v>0</v>
      </c>
      <c r="J8" s="2" cm="1">
        <f t="array" aca="1" ref="J8" ca="1">SUM(SUMIFS(Assumptions!AT$3:AT$102,Assumptions!$B$3:$B$102,Bus!$C8,Assumptions!$G$3:$G$102,{"TRB"}))</f>
        <v>3.3740651456819997</v>
      </c>
      <c r="K8" s="2" cm="1">
        <f t="array" aca="1" ref="K8" ca="1">SUM(SUMIFS(Assumptions!AU$3:AU$102,Assumptions!$B$3:$B$102,Bus!$C8,Assumptions!$G$3:$G$102,{"TRB"}))</f>
        <v>10.778182084555198</v>
      </c>
      <c r="L8" s="2" cm="1">
        <f t="array" aca="1" ref="L8" ca="1">SUM(SUMIFS(Assumptions!AV$3:AV$102,Assumptions!$B$3:$B$102,Bus!$C8,Assumptions!$G$3:$G$102,{"TRB"}))</f>
        <v>2.718903306146403</v>
      </c>
      <c r="M8" s="2" cm="1">
        <f t="array" aca="1" ref="M8" ca="1">SUM(SUMIFS(Assumptions!AW$3:AW$102,Assumptions!$B$3:$B$102,Bus!$C8,Assumptions!$G$3:$G$102,{"TRB"}))</f>
        <v>60.224049829223986</v>
      </c>
      <c r="N8" s="2" cm="1">
        <f t="array" aca="1" ref="N8" ca="1">SUM(SUMIFS(Assumptions!AX$3:AX$102,Assumptions!$B$3:$B$102,Bus!$C8,Assumptions!$G$3:$G$102,{"TRB"}))</f>
        <v>0.28524461153400027</v>
      </c>
      <c r="O8" s="2" cm="1">
        <f t="array" aca="1" ref="O8" ca="1">SUM(SUMIFS(Assumptions!AY$3:AY$102,Assumptions!$B$3:$B$102,Bus!$C8,Assumptions!$G$3:$G$102,{"TRB"}))</f>
        <v>1.1447309535588011</v>
      </c>
      <c r="P8" s="2" cm="1">
        <f t="array" aca="1" ref="P8" ca="1">SUM(SUMIFS(Assumptions!AZ$3:AZ$102,Assumptions!$B$3:$B$102,Bus!$C8,Assumptions!$G$3:$G$102,{"TRB"}))</f>
        <v>0.4502170814670004</v>
      </c>
      <c r="Q8" s="2" cm="1">
        <f t="array" aca="1" ref="Q8" ca="1">SUM(SUMIFS(Assumptions!BA$3:BA$102,Assumptions!$B$3:$B$102,Bus!$C8,Assumptions!$G$3:$G$102,{"TRB"}))</f>
        <v>0.65924257951800069</v>
      </c>
      <c r="R8" s="2" cm="1">
        <f t="array" aca="1" ref="R8" ca="1">SUM(SUMIFS(Assumptions!BB$3:BB$102,Assumptions!$B$3:$B$102,Bus!$C8,Assumptions!$G$3:$G$102,{"TRB"}))</f>
        <v>0.52935894978840048</v>
      </c>
      <c r="S8" s="2" cm="1">
        <f t="array" aca="1" ref="S8" ca="1">SUM(SUMIFS(Assumptions!BC$3:BC$102,Assumptions!$B$3:$B$102,Bus!$C8,Assumptions!$G$3:$G$102,{"TRB"}))</f>
        <v>0.40670803799280036</v>
      </c>
      <c r="T8" s="2" cm="1">
        <f t="array" aca="1" ref="T8" ca="1">SUM(SUMIFS(Assumptions!BD$3:BD$102,Assumptions!$B$3:$B$102,Bus!$C8,Assumptions!$G$3:$G$102,{"TRB"}))</f>
        <v>11.080530155088002</v>
      </c>
      <c r="U8" s="2" cm="1">
        <f t="array" aca="1" ref="U8" ca="1">SUM(SUMIFS(Assumptions!BE$3:BE$102,Assumptions!$B$3:$B$102,Bus!$C8,Assumptions!$G$3:$G$102,{"TRB"}))</f>
        <v>0.49365485095140038</v>
      </c>
      <c r="V8" s="2" cm="1">
        <f t="array" aca="1" ref="V8" ca="1">SUM(SUMIFS(Assumptions!BF$3:BF$102,Assumptions!$B$3:$B$102,Bus!$C8,Assumptions!$G$3:$G$102,{"TRB"}))</f>
        <v>1.083917999662201</v>
      </c>
      <c r="W8" s="2" cm="1">
        <f t="array" aca="1" ref="W8" ca="1">SUM(SUMIFS(Assumptions!BG$3:BG$102,Assumptions!$B$3:$B$102,Bus!$C8,Assumptions!$G$3:$G$102,{"TRB"}))</f>
        <v>0</v>
      </c>
      <c r="X8" s="2" cm="1">
        <f t="array" aca="1" ref="X8" ca="1">SUM(SUMIFS(Assumptions!BH$3:BH$102,Assumptions!$B$3:$B$102,Bus!$C8,Assumptions!$G$3:$G$102,{"TRB"}))</f>
        <v>15.570997251839996</v>
      </c>
      <c r="Y8" s="2" cm="1">
        <f t="array" aca="1" ref="Y8" ca="1">SUM(SUMIFS(Assumptions!BI$3:BI$102,Assumptions!$B$3:$B$102,Bus!$C8,Assumptions!$G$3:$G$102,{"TRB"}))</f>
        <v>7.4856346926840063</v>
      </c>
      <c r="Z8" s="2" cm="1">
        <f t="array" aca="1" ref="Z8" ca="1">SUM(SUMIFS(Assumptions!BJ$3:BJ$102,Assumptions!$B$3:$B$102,Bus!$C8,Assumptions!$G$3:$G$102,{"TRB"}))</f>
        <v>70.788716861940017</v>
      </c>
      <c r="AA8" s="2" cm="1">
        <f t="array" aca="1" ref="AA8" ca="1">SUM(SUMIFS(Assumptions!BK$3:BK$102,Assumptions!$B$3:$B$102,Bus!$C8,Assumptions!$G$3:$G$102,{"TRB"}))</f>
        <v>4.9680910024200053E-2</v>
      </c>
      <c r="AB8" s="2" cm="1">
        <f t="array" aca="1" ref="AB8" ca="1">SUM(SUMIFS(Assumptions!BL$3:BL$102,Assumptions!$B$3:$B$102,Bus!$C8,Assumptions!$G$3:$G$102,{"TRB"}))</f>
        <v>22.396004413434003</v>
      </c>
      <c r="AC8" s="2" cm="1">
        <f t="array" aca="1" ref="AC8" ca="1">SUM(SUMIFS(Assumptions!BM$3:BM$102,Assumptions!$B$3:$B$102,Bus!$C8,Assumptions!$G$3:$G$102,{"TRB"}))</f>
        <v>30.581120643624004</v>
      </c>
      <c r="AD8" s="2" cm="1">
        <f t="array" aca="1" ref="AD8" ca="1">SUM(SUMIFS(Assumptions!BN$3:BN$102,Assumptions!$B$3:$B$102,Bus!$C8,Assumptions!$G$3:$G$102,{"TRB"}))</f>
        <v>0</v>
      </c>
      <c r="AE8" s="2" cm="1">
        <f t="array" aca="1" ref="AE8" ca="1">SUM(SUMIFS(Assumptions!BO$3:BO$102,Assumptions!$B$3:$B$102,Bus!$C8,Assumptions!$G$3:$G$102,{"TRB"}))</f>
        <v>0.77617385568540076</v>
      </c>
      <c r="AF8" s="2" cm="1">
        <f t="array" aca="1" ref="AF8" ca="1">SUM(SUMIFS(Assumptions!BP$3:BP$102,Assumptions!$B$3:$B$102,Bus!$C8,Assumptions!$G$3:$G$102,{"TRB"}))</f>
        <v>15.490670717991595</v>
      </c>
      <c r="AG8" s="2" cm="1">
        <f t="array" aca="1" ref="AG8" ca="1">SUM(SUMIFS(Assumptions!BQ$3:BQ$102,Assumptions!$B$3:$B$102,Bus!$C8,Assumptions!$G$3:$G$102,{"TRB"}))</f>
        <v>0</v>
      </c>
      <c r="AI8" t="s">
        <v>169</v>
      </c>
      <c r="AK8" t="str">
        <f t="shared" si="0"/>
        <v/>
      </c>
      <c r="AL8" t="str">
        <f t="shared" si="1"/>
        <v/>
      </c>
      <c r="AN8" t="str">
        <f t="shared" si="2"/>
        <v>*</v>
      </c>
      <c r="AO8">
        <f t="shared" si="3"/>
        <v>0</v>
      </c>
      <c r="AQ8" t="s">
        <v>156</v>
      </c>
      <c r="AR8" t="s">
        <v>354</v>
      </c>
      <c r="AS8" t="s">
        <v>361</v>
      </c>
    </row>
    <row r="9" spans="1:45" x14ac:dyDescent="0.45">
      <c r="A9" t="s">
        <v>25</v>
      </c>
      <c r="C9" s="35" t="s">
        <v>39</v>
      </c>
      <c r="D9" s="2" cm="1">
        <f t="array" aca="1" ref="D9" ca="1">SUM(SUMIFS(Assumptions!AN$3:AN$102,Assumptions!$B$3:$B$102,Bus!$C9,Assumptions!$G$3:$G$102,{"TRB"}))</f>
        <v>5.1527990950560003</v>
      </c>
      <c r="E9" s="2" cm="1">
        <f t="array" aca="1" ref="E9" ca="1">SUM(SUMIFS(Assumptions!AO$3:AO$102,Assumptions!$B$3:$B$102,Bus!$C9,Assumptions!$G$3:$G$102,{"TRB"}))</f>
        <v>2.9572205760000003E-3</v>
      </c>
      <c r="F9" s="2" cm="1">
        <f t="array" aca="1" ref="F9" ca="1">SUM(SUMIFS(Assumptions!AP$3:AP$102,Assumptions!$B$3:$B$102,Bus!$C9,Assumptions!$G$3:$G$102,{"TRB"}))</f>
        <v>0.26031638340000002</v>
      </c>
      <c r="G9" s="2" cm="1">
        <f t="array" aca="1" ref="G9" ca="1">SUM(SUMIFS(Assumptions!AQ$3:AQ$102,Assumptions!$B$3:$B$102,Bus!$C9,Assumptions!$G$3:$G$102,{"TRB"}))</f>
        <v>0</v>
      </c>
      <c r="H9" s="2" cm="1">
        <f t="array" aca="1" ref="H9" ca="1">SUM(SUMIFS(Assumptions!AR$3:AR$102,Assumptions!$B$3:$B$102,Bus!$C9,Assumptions!$G$3:$G$102,{"TRB"}))</f>
        <v>0</v>
      </c>
      <c r="I9" s="2" cm="1">
        <f t="array" aca="1" ref="I9" ca="1">SUM(SUMIFS(Assumptions!AS$3:AS$102,Assumptions!$B$3:$B$102,Bus!$C9,Assumptions!$G$3:$G$102,{"TRB"}))</f>
        <v>11.616236364852</v>
      </c>
      <c r="J9" s="2" cm="1">
        <f t="array" aca="1" ref="J9" ca="1">SUM(SUMIFS(Assumptions!AT$3:AT$102,Assumptions!$B$3:$B$102,Bus!$C9,Assumptions!$G$3:$G$102,{"TRB"}))</f>
        <v>9.2041330039200009</v>
      </c>
      <c r="K9" s="2" cm="1">
        <f t="array" aca="1" ref="K9" ca="1">SUM(SUMIFS(Assumptions!AU$3:AU$102,Assumptions!$B$3:$B$102,Bus!$C9,Assumptions!$G$3:$G$102,{"TRB"}))</f>
        <v>0</v>
      </c>
      <c r="L9" s="2" cm="1">
        <f t="array" aca="1" ref="L9" ca="1">SUM(SUMIFS(Assumptions!AV$3:AV$102,Assumptions!$B$3:$B$102,Bus!$C9,Assumptions!$G$3:$G$102,{"TRB"}))</f>
        <v>0</v>
      </c>
      <c r="M9" s="2" cm="1">
        <f t="array" aca="1" ref="M9" ca="1">SUM(SUMIFS(Assumptions!AW$3:AW$102,Assumptions!$B$3:$B$102,Bus!$C9,Assumptions!$G$3:$G$102,{"TRB"}))</f>
        <v>43.489778081471997</v>
      </c>
      <c r="N9" s="2" cm="1">
        <f t="array" aca="1" ref="N9" ca="1">SUM(SUMIFS(Assumptions!AX$3:AX$102,Assumptions!$B$3:$B$102,Bus!$C9,Assumptions!$G$3:$G$102,{"TRB"}))</f>
        <v>0</v>
      </c>
      <c r="O9" s="2" cm="1">
        <f t="array" aca="1" ref="O9" ca="1">SUM(SUMIFS(Assumptions!AY$3:AY$102,Assumptions!$B$3:$B$102,Bus!$C9,Assumptions!$G$3:$G$102,{"TRB"}))</f>
        <v>0</v>
      </c>
      <c r="P9" s="2" cm="1">
        <f t="array" aca="1" ref="P9" ca="1">SUM(SUMIFS(Assumptions!AZ$3:AZ$102,Assumptions!$B$3:$B$102,Bus!$C9,Assumptions!$G$3:$G$102,{"TRB"}))</f>
        <v>0</v>
      </c>
      <c r="Q9" s="2" cm="1">
        <f t="array" aca="1" ref="Q9" ca="1">SUM(SUMIFS(Assumptions!BA$3:BA$102,Assumptions!$B$3:$B$102,Bus!$C9,Assumptions!$G$3:$G$102,{"TRB"}))</f>
        <v>0</v>
      </c>
      <c r="R9" s="2" cm="1">
        <f t="array" aca="1" ref="R9" ca="1">SUM(SUMIFS(Assumptions!BB$3:BB$102,Assumptions!$B$3:$B$102,Bus!$C9,Assumptions!$G$3:$G$102,{"TRB"}))</f>
        <v>0</v>
      </c>
      <c r="S9" s="2" cm="1">
        <f t="array" aca="1" ref="S9" ca="1">SUM(SUMIFS(Assumptions!BC$3:BC$102,Assumptions!$B$3:$B$102,Bus!$C9,Assumptions!$G$3:$G$102,{"TRB"}))</f>
        <v>0</v>
      </c>
      <c r="T9" s="2" cm="1">
        <f t="array" aca="1" ref="T9" ca="1">SUM(SUMIFS(Assumptions!BD$3:BD$102,Assumptions!$B$3:$B$102,Bus!$C9,Assumptions!$G$3:$G$102,{"TRB"}))</f>
        <v>30.244131391824002</v>
      </c>
      <c r="U9" s="2" cm="1">
        <f t="array" aca="1" ref="U9" ca="1">SUM(SUMIFS(Assumptions!BE$3:BE$102,Assumptions!$B$3:$B$102,Bus!$C9,Assumptions!$G$3:$G$102,{"TRB"}))</f>
        <v>0</v>
      </c>
      <c r="V9" s="2" cm="1">
        <f t="array" aca="1" ref="V9" ca="1">SUM(SUMIFS(Assumptions!BF$3:BF$102,Assumptions!$B$3:$B$102,Bus!$C9,Assumptions!$G$3:$G$102,{"TRB"}))</f>
        <v>0</v>
      </c>
      <c r="W9" s="2" cm="1">
        <f t="array" aca="1" ref="W9" ca="1">SUM(SUMIFS(Assumptions!BG$3:BG$102,Assumptions!$B$3:$B$102,Bus!$C9,Assumptions!$G$3:$G$102,{"TRB"}))</f>
        <v>4.8785221620000003</v>
      </c>
      <c r="X9" s="2" cm="1">
        <f t="array" aca="1" ref="X9" ca="1">SUM(SUMIFS(Assumptions!BH$3:BH$102,Assumptions!$B$3:$B$102,Bus!$C9,Assumptions!$G$3:$G$102,{"TRB"}))</f>
        <v>17.038253775600001</v>
      </c>
      <c r="Y9" s="2" cm="1">
        <f t="array" aca="1" ref="Y9" ca="1">SUM(SUMIFS(Assumptions!BI$3:BI$102,Assumptions!$B$3:$B$102,Bus!$C9,Assumptions!$G$3:$G$102,{"TRB"}))</f>
        <v>16.724709012816</v>
      </c>
      <c r="Z9" s="2" cm="1">
        <f t="array" aca="1" ref="Z9" ca="1">SUM(SUMIFS(Assumptions!BJ$3:BJ$102,Assumptions!$B$3:$B$102,Bus!$C9,Assumptions!$G$3:$G$102,{"TRB"}))</f>
        <v>0.337024169712</v>
      </c>
      <c r="AA9" s="2" cm="1">
        <f t="array" aca="1" ref="AA9" ca="1">SUM(SUMIFS(Assumptions!BK$3:BK$102,Assumptions!$B$3:$B$102,Bus!$C9,Assumptions!$G$3:$G$102,{"TRB"}))</f>
        <v>0</v>
      </c>
      <c r="AB9" s="2" cm="1">
        <f t="array" aca="1" ref="AB9" ca="1">SUM(SUMIFS(Assumptions!BL$3:BL$102,Assumptions!$B$3:$B$102,Bus!$C9,Assumptions!$G$3:$G$102,{"TRB"}))</f>
        <v>0</v>
      </c>
      <c r="AC9" s="2" cm="1">
        <f t="array" aca="1" ref="AC9" ca="1">SUM(SUMIFS(Assumptions!BM$3:BM$102,Assumptions!$B$3:$B$102,Bus!$C9,Assumptions!$G$3:$G$102,{"TRB"}))</f>
        <v>0</v>
      </c>
      <c r="AD9" s="2" cm="1">
        <f t="array" aca="1" ref="AD9" ca="1">SUM(SUMIFS(Assumptions!BN$3:BN$102,Assumptions!$B$3:$B$102,Bus!$C9,Assumptions!$G$3:$G$102,{"TRB"}))</f>
        <v>7.8489939599999989E-2</v>
      </c>
      <c r="AE9" s="2" cm="1">
        <f t="array" aca="1" ref="AE9" ca="1">SUM(SUMIFS(Assumptions!BO$3:BO$102,Assumptions!$B$3:$B$102,Bus!$C9,Assumptions!$G$3:$G$102,{"TRB"}))</f>
        <v>0</v>
      </c>
      <c r="AF9" s="2" cm="1">
        <f t="array" aca="1" ref="AF9" ca="1">SUM(SUMIFS(Assumptions!BP$3:BP$102,Assumptions!$B$3:$B$102,Bus!$C9,Assumptions!$G$3:$G$102,{"TRB"}))</f>
        <v>1.7796743824241911E-2</v>
      </c>
      <c r="AG9" s="2" cm="1">
        <f t="array" aca="1" ref="AG9" ca="1">SUM(SUMIFS(Assumptions!BQ$3:BQ$102,Assumptions!$B$3:$B$102,Bus!$C9,Assumptions!$G$3:$G$102,{"TRB"}))</f>
        <v>0</v>
      </c>
      <c r="AI9" t="s">
        <v>169</v>
      </c>
      <c r="AK9" t="str">
        <f t="shared" si="0"/>
        <v/>
      </c>
      <c r="AL9" t="str">
        <f t="shared" si="1"/>
        <v/>
      </c>
      <c r="AN9" t="str">
        <f t="shared" si="2"/>
        <v>*</v>
      </c>
      <c r="AO9">
        <f t="shared" si="3"/>
        <v>0</v>
      </c>
      <c r="AQ9" t="s">
        <v>156</v>
      </c>
      <c r="AR9" t="s">
        <v>354</v>
      </c>
      <c r="AS9" t="s">
        <v>361</v>
      </c>
    </row>
    <row r="10" spans="1:45" x14ac:dyDescent="0.45">
      <c r="A10" t="s">
        <v>25</v>
      </c>
      <c r="C10" s="35" t="s">
        <v>38</v>
      </c>
      <c r="D10" s="2" cm="1">
        <f t="array" aca="1" ref="D10" ca="1">SUM(SUMIFS(Assumptions!AN$3:AN$102,Assumptions!$B$3:$B$102,Bus!$C10,Assumptions!$G$3:$G$102,{"TRB"}))</f>
        <v>12.208831891919999</v>
      </c>
      <c r="E10" s="2" cm="1">
        <f t="array" aca="1" ref="E10" ca="1">SUM(SUMIFS(Assumptions!AO$3:AO$102,Assumptions!$B$3:$B$102,Bus!$C10,Assumptions!$G$3:$G$102,{"TRB"}))</f>
        <v>4.4812995120000004E-2</v>
      </c>
      <c r="F10" s="2" cm="1">
        <f t="array" aca="1" ref="F10" ca="1">SUM(SUMIFS(Assumptions!AP$3:AP$102,Assumptions!$B$3:$B$102,Bus!$C10,Assumptions!$G$3:$G$102,{"TRB"}))</f>
        <v>25.841351210759999</v>
      </c>
      <c r="G10" s="2" cm="1">
        <f t="array" aca="1" ref="G10" ca="1">SUM(SUMIFS(Assumptions!AQ$3:AQ$102,Assumptions!$B$3:$B$102,Bus!$C10,Assumptions!$G$3:$G$102,{"TRB"}))</f>
        <v>0</v>
      </c>
      <c r="H10" s="2" cm="1">
        <f t="array" aca="1" ref="H10" ca="1">SUM(SUMIFS(Assumptions!AR$3:AR$102,Assumptions!$B$3:$B$102,Bus!$C10,Assumptions!$G$3:$G$102,{"TRB"}))</f>
        <v>0</v>
      </c>
      <c r="I10" s="2" cm="1">
        <f t="array" aca="1" ref="I10" ca="1">SUM(SUMIFS(Assumptions!AS$3:AS$102,Assumptions!$B$3:$B$102,Bus!$C10,Assumptions!$G$3:$G$102,{"TRB"}))</f>
        <v>11.696302969595996</v>
      </c>
      <c r="J10" s="2" cm="1">
        <f t="array" aca="1" ref="J10" ca="1">SUM(SUMIFS(Assumptions!AT$3:AT$102,Assumptions!$B$3:$B$102,Bus!$C10,Assumptions!$G$3:$G$102,{"TRB"}))</f>
        <v>1.8740719699200001</v>
      </c>
      <c r="K10" s="2" cm="1">
        <f t="array" aca="1" ref="K10" ca="1">SUM(SUMIFS(Assumptions!AU$3:AU$102,Assumptions!$B$3:$B$102,Bus!$C10,Assumptions!$G$3:$G$102,{"TRB"}))</f>
        <v>25.251920527679996</v>
      </c>
      <c r="L10" s="2" cm="1">
        <f t="array" aca="1" ref="L10" ca="1">SUM(SUMIFS(Assumptions!AV$3:AV$102,Assumptions!$B$3:$B$102,Bus!$C10,Assumptions!$G$3:$G$102,{"TRB"}))</f>
        <v>0.65310879610079986</v>
      </c>
      <c r="M10" s="2" cm="1">
        <f t="array" aca="1" ref="M10" ca="1">SUM(SUMIFS(Assumptions!AW$3:AW$102,Assumptions!$B$3:$B$102,Bus!$C10,Assumptions!$G$3:$G$102,{"TRB"}))</f>
        <v>493.60335808435207</v>
      </c>
      <c r="N10" s="2" cm="1">
        <f t="array" aca="1" ref="N10" ca="1">SUM(SUMIFS(Assumptions!AX$3:AX$102,Assumptions!$B$3:$B$102,Bus!$C10,Assumptions!$G$3:$G$102,{"TRB"}))</f>
        <v>1.6777880367983995</v>
      </c>
      <c r="O10" s="2" cm="1">
        <f t="array" aca="1" ref="O10" ca="1">SUM(SUMIFS(Assumptions!AY$3:AY$102,Assumptions!$B$3:$B$102,Bus!$C10,Assumptions!$G$3:$G$102,{"TRB"}))</f>
        <v>5.4630580571999996</v>
      </c>
      <c r="P10" s="2" cm="1">
        <f t="array" aca="1" ref="P10" ca="1">SUM(SUMIFS(Assumptions!AZ$3:AZ$102,Assumptions!$B$3:$B$102,Bus!$C10,Assumptions!$G$3:$G$102,{"TRB"}))</f>
        <v>1.2201304444199998</v>
      </c>
      <c r="Q10" s="2" cm="1">
        <f t="array" aca="1" ref="Q10" ca="1">SUM(SUMIFS(Assumptions!BA$3:BA$102,Assumptions!$B$3:$B$102,Bus!$C10,Assumptions!$G$3:$G$102,{"TRB"}))</f>
        <v>13.018264939461599</v>
      </c>
      <c r="R10" s="2" cm="1">
        <f t="array" aca="1" ref="R10" ca="1">SUM(SUMIFS(Assumptions!BB$3:BB$102,Assumptions!$B$3:$B$102,Bus!$C10,Assumptions!$G$3:$G$102,{"TRB"}))</f>
        <v>4.39948944</v>
      </c>
      <c r="S10" s="2" cm="1">
        <f t="array" aca="1" ref="S10" ca="1">SUM(SUMIFS(Assumptions!BC$3:BC$102,Assumptions!$B$3:$B$102,Bus!$C10,Assumptions!$G$3:$G$102,{"TRB"}))</f>
        <v>2.8200767084999994</v>
      </c>
      <c r="T10" s="2" cm="1">
        <f t="array" aca="1" ref="T10" ca="1">SUM(SUMIFS(Assumptions!BD$3:BD$102,Assumptions!$B$3:$B$102,Bus!$C10,Assumptions!$G$3:$G$102,{"TRB"}))</f>
        <v>1.9163620328543998</v>
      </c>
      <c r="U10" s="2" cm="1">
        <f t="array" aca="1" ref="U10" ca="1">SUM(SUMIFS(Assumptions!BE$3:BE$102,Assumptions!$B$3:$B$102,Bus!$C10,Assumptions!$G$3:$G$102,{"TRB"}))</f>
        <v>2.1662383038839996</v>
      </c>
      <c r="V10" s="2" cm="1">
        <f t="array" aca="1" ref="V10" ca="1">SUM(SUMIFS(Assumptions!BF$3:BF$102,Assumptions!$B$3:$B$102,Bus!$C10,Assumptions!$G$3:$G$102,{"TRB"}))</f>
        <v>2.6510232201623998</v>
      </c>
      <c r="W10" s="2" cm="1">
        <f t="array" aca="1" ref="W10" ca="1">SUM(SUMIFS(Assumptions!BG$3:BG$102,Assumptions!$B$3:$B$102,Bus!$C10,Assumptions!$G$3:$G$102,{"TRB"}))</f>
        <v>74.028445326720004</v>
      </c>
      <c r="X10" s="2" cm="1">
        <f t="array" aca="1" ref="X10" ca="1">SUM(SUMIFS(Assumptions!BH$3:BH$102,Assumptions!$B$3:$B$102,Bus!$C10,Assumptions!$G$3:$G$102,{"TRB"}))</f>
        <v>22.723236934919999</v>
      </c>
      <c r="Y10" s="2" cm="1">
        <f t="array" aca="1" ref="Y10" ca="1">SUM(SUMIFS(Assumptions!BI$3:BI$102,Assumptions!$B$3:$B$102,Bus!$C10,Assumptions!$G$3:$G$102,{"TRB"}))</f>
        <v>0.67586356843200002</v>
      </c>
      <c r="Z10" s="2" cm="1">
        <f t="array" aca="1" ref="Z10" ca="1">SUM(SUMIFS(Assumptions!BJ$3:BJ$102,Assumptions!$B$3:$B$102,Bus!$C10,Assumptions!$G$3:$G$102,{"TRB"}))</f>
        <v>88.862910092618392</v>
      </c>
      <c r="AA10" s="2" cm="1">
        <f t="array" aca="1" ref="AA10" ca="1">SUM(SUMIFS(Assumptions!BK$3:BK$102,Assumptions!$B$3:$B$102,Bus!$C10,Assumptions!$G$3:$G$102,{"TRB"}))</f>
        <v>0.77727671532719989</v>
      </c>
      <c r="AB10" s="2" cm="1">
        <f t="array" aca="1" ref="AB10" ca="1">SUM(SUMIFS(Assumptions!BL$3:BL$102,Assumptions!$B$3:$B$102,Bus!$C10,Assumptions!$G$3:$G$102,{"TRB"}))</f>
        <v>0</v>
      </c>
      <c r="AC10" s="2" cm="1">
        <f t="array" aca="1" ref="AC10" ca="1">SUM(SUMIFS(Assumptions!BM$3:BM$102,Assumptions!$B$3:$B$102,Bus!$C10,Assumptions!$G$3:$G$102,{"TRB"}))</f>
        <v>0</v>
      </c>
      <c r="AD10" s="2" cm="1">
        <f t="array" aca="1" ref="AD10" ca="1">SUM(SUMIFS(Assumptions!BN$3:BN$102,Assumptions!$B$3:$B$102,Bus!$C10,Assumptions!$G$3:$G$102,{"TRB"}))</f>
        <v>4.39865208E-3</v>
      </c>
      <c r="AE10" s="2" cm="1">
        <f t="array" aca="1" ref="AE10" ca="1">SUM(SUMIFS(Assumptions!BO$3:BO$102,Assumptions!$B$3:$B$102,Bus!$C10,Assumptions!$G$3:$G$102,{"TRB"}))</f>
        <v>0.18116525597039998</v>
      </c>
      <c r="AF10" s="2" cm="1">
        <f t="array" aca="1" ref="AF10" ca="1">SUM(SUMIFS(Assumptions!BP$3:BP$102,Assumptions!$B$3:$B$102,Bus!$C10,Assumptions!$G$3:$G$102,{"TRB"}))</f>
        <v>2.1004031268944009E-2</v>
      </c>
      <c r="AG10" s="2" cm="1">
        <f t="array" aca="1" ref="AG10" ca="1">SUM(SUMIFS(Assumptions!BQ$3:BQ$102,Assumptions!$B$3:$B$102,Bus!$C10,Assumptions!$G$3:$G$102,{"TRB"}))</f>
        <v>0</v>
      </c>
      <c r="AI10" t="s">
        <v>169</v>
      </c>
      <c r="AK10" t="str">
        <f t="shared" si="0"/>
        <v/>
      </c>
      <c r="AL10" t="str">
        <f t="shared" si="1"/>
        <v/>
      </c>
      <c r="AN10" t="str">
        <f t="shared" si="2"/>
        <v>*</v>
      </c>
      <c r="AO10">
        <f t="shared" si="3"/>
        <v>0</v>
      </c>
      <c r="AQ10" t="s">
        <v>156</v>
      </c>
      <c r="AR10" t="s">
        <v>354</v>
      </c>
      <c r="AS10" t="s">
        <v>361</v>
      </c>
    </row>
    <row r="11" spans="1:45" x14ac:dyDescent="0.45">
      <c r="A11" s="3" t="s">
        <v>327</v>
      </c>
      <c r="B11" s="3"/>
      <c r="D11" s="42">
        <f ca="1">SUM(D$4:D$10)/SUM($D$4:$T$10)</f>
        <v>8.7189202813469702E-2</v>
      </c>
      <c r="E11" s="42">
        <f t="shared" ref="E11:AG11" ca="1" si="4">SUM(E$4:E$10)/SUM($D$4:$T$10)</f>
        <v>7.3835387593609428E-2</v>
      </c>
      <c r="F11" s="42">
        <f t="shared" ca="1" si="4"/>
        <v>1.915459911840987E-2</v>
      </c>
      <c r="G11" s="42">
        <f t="shared" ca="1" si="4"/>
        <v>5.9251703085190727E-3</v>
      </c>
      <c r="H11" s="42">
        <f t="shared" ca="1" si="4"/>
        <v>1.9632081354607107E-2</v>
      </c>
      <c r="I11" s="42">
        <f t="shared" ca="1" si="4"/>
        <v>0.10679120826704423</v>
      </c>
      <c r="J11" s="42">
        <f t="shared" ca="1" si="4"/>
        <v>2.6972181275789615E-2</v>
      </c>
      <c r="K11" s="42">
        <f t="shared" ca="1" si="4"/>
        <v>5.5246093371907119E-2</v>
      </c>
      <c r="L11" s="42">
        <f t="shared" ca="1" si="4"/>
        <v>8.5735944192320678E-3</v>
      </c>
      <c r="M11" s="42">
        <f t="shared" ca="1" si="4"/>
        <v>0.44651019048336749</v>
      </c>
      <c r="N11" s="42">
        <f t="shared" ca="1" si="4"/>
        <v>6.1440291669146163E-3</v>
      </c>
      <c r="O11" s="42">
        <f t="shared" ca="1" si="4"/>
        <v>3.9529378792699459E-2</v>
      </c>
      <c r="P11" s="42">
        <f t="shared" ca="1" si="4"/>
        <v>1.0701325336139596E-2</v>
      </c>
      <c r="Q11" s="42">
        <f t="shared" ca="1" si="4"/>
        <v>1.8682926575551671E-2</v>
      </c>
      <c r="R11" s="42">
        <f t="shared" ca="1" si="4"/>
        <v>1.7354417781878458E-2</v>
      </c>
      <c r="S11" s="42">
        <f t="shared" ca="1" si="4"/>
        <v>1.7294303656995049E-2</v>
      </c>
      <c r="T11" s="42">
        <f t="shared" ca="1" si="4"/>
        <v>4.0463909683865693E-2</v>
      </c>
      <c r="U11" s="42">
        <f t="shared" ca="1" si="4"/>
        <v>2.0685794332251008E-2</v>
      </c>
      <c r="V11" s="42">
        <f t="shared" ca="1" si="4"/>
        <v>2.2039835169549101E-2</v>
      </c>
      <c r="W11" s="42">
        <f t="shared" ca="1" si="4"/>
        <v>0.12700185915531265</v>
      </c>
      <c r="X11" s="42">
        <f t="shared" ca="1" si="4"/>
        <v>3.5980613325707643E-2</v>
      </c>
      <c r="Y11" s="42">
        <f t="shared" ca="1" si="4"/>
        <v>1.6327337053038071E-2</v>
      </c>
      <c r="Z11" s="42">
        <f t="shared" ca="1" si="4"/>
        <v>6.9910042343650905E-2</v>
      </c>
      <c r="AA11" s="42">
        <f t="shared" ca="1" si="4"/>
        <v>1.8454717006998545E-3</v>
      </c>
      <c r="AB11" s="42">
        <f t="shared" ca="1" si="4"/>
        <v>1.9200804901240136E-2</v>
      </c>
      <c r="AC11" s="42">
        <f t="shared" ca="1" si="4"/>
        <v>2.5433103251195681E-2</v>
      </c>
      <c r="AD11" s="42">
        <f t="shared" ca="1" si="4"/>
        <v>2.5997200862101215E-2</v>
      </c>
      <c r="AE11" s="42">
        <f t="shared" ca="1" si="4"/>
        <v>1.568045968047637E-2</v>
      </c>
      <c r="AF11" s="42">
        <f t="shared" ca="1" si="4"/>
        <v>5.32508192509153E-2</v>
      </c>
      <c r="AG11" s="42">
        <f t="shared" ca="1" si="4"/>
        <v>0</v>
      </c>
      <c r="AI11" t="s">
        <v>169</v>
      </c>
      <c r="AK11" t="str">
        <f t="shared" si="0"/>
        <v/>
      </c>
      <c r="AL11" t="str">
        <f t="shared" si="1"/>
        <v/>
      </c>
      <c r="AN11" t="str">
        <f t="shared" si="2"/>
        <v>*</v>
      </c>
      <c r="AO11">
        <f t="shared" si="3"/>
        <v>0</v>
      </c>
      <c r="AQ11" t="s">
        <v>156</v>
      </c>
      <c r="AR11" t="s">
        <v>354</v>
      </c>
      <c r="AS11" t="s">
        <v>361</v>
      </c>
    </row>
    <row r="12" spans="1:45" x14ac:dyDescent="0.45">
      <c r="AI12" t="s">
        <v>169</v>
      </c>
      <c r="AK12" t="str">
        <f t="shared" si="0"/>
        <v/>
      </c>
      <c r="AL12" t="str">
        <f t="shared" si="1"/>
        <v/>
      </c>
      <c r="AN12" t="str">
        <f t="shared" si="2"/>
        <v>*</v>
      </c>
      <c r="AO12">
        <f t="shared" si="3"/>
        <v>0</v>
      </c>
      <c r="AQ12" t="s">
        <v>156</v>
      </c>
      <c r="AR12" t="s">
        <v>354</v>
      </c>
      <c r="AS12" t="s">
        <v>361</v>
      </c>
    </row>
    <row r="13" spans="1:45" x14ac:dyDescent="0.45">
      <c r="A13" s="3" t="s">
        <v>328</v>
      </c>
      <c r="B13" s="3"/>
      <c r="C13" s="52">
        <f ca="1">SUM(D13:T13)</f>
        <v>8.69</v>
      </c>
      <c r="D13" s="1">
        <f ca="1">SUM(D19:D25)</f>
        <v>0.75</v>
      </c>
      <c r="E13" s="1">
        <f t="shared" ref="E13:T13" ca="1" si="5">SUM(E19:E25)</f>
        <v>0.64</v>
      </c>
      <c r="F13" s="1">
        <f t="shared" ca="1" si="5"/>
        <v>0.16999999999999998</v>
      </c>
      <c r="G13" s="1">
        <f t="shared" ca="1" si="5"/>
        <v>0.05</v>
      </c>
      <c r="H13" s="1">
        <f t="shared" ca="1" si="5"/>
        <v>0.17</v>
      </c>
      <c r="I13" s="1">
        <f t="shared" ca="1" si="5"/>
        <v>0.93000000000000016</v>
      </c>
      <c r="J13" s="1">
        <f t="shared" ca="1" si="5"/>
        <v>0.23</v>
      </c>
      <c r="K13" s="1">
        <f t="shared" ca="1" si="5"/>
        <v>0.46</v>
      </c>
      <c r="L13" s="1">
        <f t="shared" ca="1" si="5"/>
        <v>0.08</v>
      </c>
      <c r="M13" s="1">
        <f t="shared" ca="1" si="5"/>
        <v>3.9</v>
      </c>
      <c r="N13" s="1">
        <f t="shared" ca="1" si="5"/>
        <v>0.05</v>
      </c>
      <c r="O13" s="1">
        <f t="shared" ca="1" si="5"/>
        <v>0.35000000000000003</v>
      </c>
      <c r="P13" s="1">
        <f t="shared" ca="1" si="5"/>
        <v>0.09</v>
      </c>
      <c r="Q13" s="1">
        <f t="shared" ca="1" si="5"/>
        <v>0.16</v>
      </c>
      <c r="R13" s="1">
        <f t="shared" ca="1" si="5"/>
        <v>0.15000000000000002</v>
      </c>
      <c r="S13" s="1">
        <f t="shared" ca="1" si="5"/>
        <v>0.14000000000000001</v>
      </c>
      <c r="T13" s="1">
        <f t="shared" ca="1" si="5"/>
        <v>0.37000000000000005</v>
      </c>
      <c r="U13" s="1">
        <f t="shared" ref="U13:AG13" ca="1" si="6">SUM(U19:U25)</f>
        <v>0.17</v>
      </c>
      <c r="V13" s="1">
        <f t="shared" ca="1" si="6"/>
        <v>0.18000000000000002</v>
      </c>
      <c r="W13" s="1">
        <f t="shared" ca="1" si="6"/>
        <v>1.08</v>
      </c>
      <c r="X13" s="1">
        <f t="shared" ca="1" si="6"/>
        <v>0.32</v>
      </c>
      <c r="Y13" s="1">
        <f t="shared" ca="1" si="6"/>
        <v>0.15</v>
      </c>
      <c r="Z13" s="1">
        <f t="shared" ca="1" si="6"/>
        <v>0.60000000000000009</v>
      </c>
      <c r="AA13" s="1">
        <f t="shared" ca="1" si="6"/>
        <v>0.01</v>
      </c>
      <c r="AB13" s="1">
        <f t="shared" ca="1" si="6"/>
        <v>0.16999999999999998</v>
      </c>
      <c r="AC13" s="1">
        <f t="shared" ca="1" si="6"/>
        <v>0.23</v>
      </c>
      <c r="AD13" s="1">
        <f t="shared" ca="1" si="6"/>
        <v>0.23</v>
      </c>
      <c r="AE13" s="1">
        <f t="shared" ca="1" si="6"/>
        <v>0.14000000000000001</v>
      </c>
      <c r="AF13" s="1">
        <f t="shared" ca="1" si="6"/>
        <v>0.45999999999999996</v>
      </c>
      <c r="AG13" s="1">
        <f t="shared" ca="1" si="6"/>
        <v>0</v>
      </c>
      <c r="AI13" t="s">
        <v>169</v>
      </c>
      <c r="AK13" t="str">
        <f t="shared" si="0"/>
        <v/>
      </c>
      <c r="AL13" t="str">
        <f t="shared" si="1"/>
        <v/>
      </c>
      <c r="AN13" t="str">
        <f t="shared" si="2"/>
        <v>*</v>
      </c>
      <c r="AO13">
        <f t="shared" si="3"/>
        <v>0</v>
      </c>
      <c r="AQ13" t="s">
        <v>156</v>
      </c>
      <c r="AR13" t="s">
        <v>354</v>
      </c>
      <c r="AS13" t="s">
        <v>361</v>
      </c>
    </row>
    <row r="14" spans="1:45" x14ac:dyDescent="0.45">
      <c r="A14" s="3" t="s">
        <v>329</v>
      </c>
      <c r="B14" s="3"/>
      <c r="D14" s="42">
        <f ca="1">D13/SUM($D$13:$T$13)</f>
        <v>8.6306098964326811E-2</v>
      </c>
      <c r="E14" s="42">
        <f t="shared" ref="E14:T14" ca="1" si="7">E13/SUM($D$13:$T$13)</f>
        <v>7.3647871116225547E-2</v>
      </c>
      <c r="F14" s="42">
        <f t="shared" ca="1" si="7"/>
        <v>1.9562715765247408E-2</v>
      </c>
      <c r="G14" s="42">
        <f t="shared" ca="1" si="7"/>
        <v>5.7537399309551211E-3</v>
      </c>
      <c r="H14" s="42">
        <f t="shared" ca="1" si="7"/>
        <v>1.9562715765247412E-2</v>
      </c>
      <c r="I14" s="42">
        <f t="shared" ca="1" si="7"/>
        <v>0.10701956271576527</v>
      </c>
      <c r="J14" s="42">
        <f t="shared" ca="1" si="7"/>
        <v>2.646720368239356E-2</v>
      </c>
      <c r="K14" s="42">
        <f t="shared" ca="1" si="7"/>
        <v>5.293440736478712E-2</v>
      </c>
      <c r="L14" s="42">
        <f t="shared" ca="1" si="7"/>
        <v>9.2059838895281933E-3</v>
      </c>
      <c r="M14" s="42">
        <f t="shared" ca="1" si="7"/>
        <v>0.44879171461449946</v>
      </c>
      <c r="N14" s="42">
        <f t="shared" ca="1" si="7"/>
        <v>5.7537399309551211E-3</v>
      </c>
      <c r="O14" s="42">
        <f t="shared" ca="1" si="7"/>
        <v>4.0276179516685849E-2</v>
      </c>
      <c r="P14" s="42">
        <f t="shared" ca="1" si="7"/>
        <v>1.0356731875719217E-2</v>
      </c>
      <c r="Q14" s="42">
        <f t="shared" ca="1" si="7"/>
        <v>1.8411967779056387E-2</v>
      </c>
      <c r="R14" s="42">
        <f t="shared" ca="1" si="7"/>
        <v>1.7261219792865365E-2</v>
      </c>
      <c r="S14" s="42">
        <f t="shared" ca="1" si="7"/>
        <v>1.611047180667434E-2</v>
      </c>
      <c r="T14" s="42">
        <f t="shared" ca="1" si="7"/>
        <v>4.25776754890679E-2</v>
      </c>
      <c r="U14" s="42">
        <f t="shared" ref="U14:AG14" ca="1" si="8">U13/SUM($D$13:$T$13)</f>
        <v>1.9562715765247412E-2</v>
      </c>
      <c r="V14" s="42">
        <f t="shared" ca="1" si="8"/>
        <v>2.0713463751438437E-2</v>
      </c>
      <c r="W14" s="42">
        <f t="shared" ca="1" si="8"/>
        <v>0.12428078250863063</v>
      </c>
      <c r="X14" s="42">
        <f t="shared" ca="1" si="8"/>
        <v>3.6823935558112773E-2</v>
      </c>
      <c r="Y14" s="42">
        <f t="shared" ca="1" si="8"/>
        <v>1.7261219792865361E-2</v>
      </c>
      <c r="Z14" s="42">
        <f t="shared" ca="1" si="8"/>
        <v>6.904487917146146E-2</v>
      </c>
      <c r="AA14" s="42">
        <f t="shared" ca="1" si="8"/>
        <v>1.1507479861910242E-3</v>
      </c>
      <c r="AB14" s="42">
        <f t="shared" ca="1" si="8"/>
        <v>1.9562715765247408E-2</v>
      </c>
      <c r="AC14" s="42">
        <f t="shared" ca="1" si="8"/>
        <v>2.646720368239356E-2</v>
      </c>
      <c r="AD14" s="42">
        <f t="shared" ca="1" si="8"/>
        <v>2.646720368239356E-2</v>
      </c>
      <c r="AE14" s="42">
        <f t="shared" ca="1" si="8"/>
        <v>1.611047180667434E-2</v>
      </c>
      <c r="AF14" s="42">
        <f t="shared" ca="1" si="8"/>
        <v>5.2934407364787113E-2</v>
      </c>
      <c r="AG14" s="42">
        <f t="shared" ca="1" si="8"/>
        <v>0</v>
      </c>
      <c r="AI14" t="s">
        <v>169</v>
      </c>
      <c r="AK14" t="str">
        <f t="shared" si="0"/>
        <v/>
      </c>
      <c r="AL14" t="str">
        <f t="shared" si="1"/>
        <v/>
      </c>
      <c r="AN14" t="str">
        <f t="shared" si="2"/>
        <v>*</v>
      </c>
      <c r="AO14">
        <f t="shared" si="3"/>
        <v>0</v>
      </c>
      <c r="AQ14" t="s">
        <v>156</v>
      </c>
      <c r="AR14" t="s">
        <v>354</v>
      </c>
      <c r="AS14" t="s">
        <v>361</v>
      </c>
    </row>
    <row r="15" spans="1:45" x14ac:dyDescent="0.45">
      <c r="A15" s="3"/>
      <c r="B15" s="3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I15" t="s">
        <v>169</v>
      </c>
      <c r="AK15" t="str">
        <f t="shared" si="0"/>
        <v/>
      </c>
      <c r="AL15" t="str">
        <f t="shared" si="1"/>
        <v/>
      </c>
      <c r="AN15" t="str">
        <f t="shared" si="2"/>
        <v>*</v>
      </c>
      <c r="AO15">
        <f t="shared" si="3"/>
        <v>0</v>
      </c>
      <c r="AQ15" t="s">
        <v>156</v>
      </c>
      <c r="AR15" t="s">
        <v>354</v>
      </c>
      <c r="AS15" t="s">
        <v>361</v>
      </c>
    </row>
    <row r="16" spans="1:45" x14ac:dyDescent="0.45">
      <c r="AI16" t="s">
        <v>169</v>
      </c>
      <c r="AK16" t="str">
        <f t="shared" si="0"/>
        <v/>
      </c>
      <c r="AL16" t="str">
        <f t="shared" si="1"/>
        <v/>
      </c>
      <c r="AN16" t="str">
        <f t="shared" si="2"/>
        <v>*</v>
      </c>
      <c r="AO16">
        <f t="shared" si="3"/>
        <v>0</v>
      </c>
      <c r="AQ16" t="s">
        <v>156</v>
      </c>
      <c r="AR16" t="s">
        <v>354</v>
      </c>
      <c r="AS16" t="s">
        <v>361</v>
      </c>
    </row>
    <row r="17" spans="1:45" x14ac:dyDescent="0.45">
      <c r="A17" s="3" t="s">
        <v>330</v>
      </c>
      <c r="B17" s="3"/>
      <c r="D17" s="1">
        <f ca="1">IFERROR(D11/D14,"")</f>
        <v>1.010232229932069</v>
      </c>
      <c r="E17" s="1">
        <f t="shared" ref="E17:AG17" ca="1" si="9">IFERROR(E11/E14,"")</f>
        <v>1.002546122169478</v>
      </c>
      <c r="F17" s="1">
        <f t="shared" ca="1" si="9"/>
        <v>0.9791380372881282</v>
      </c>
      <c r="G17" s="1">
        <f t="shared" ca="1" si="9"/>
        <v>1.0297945996206148</v>
      </c>
      <c r="H17" s="1">
        <f t="shared" ca="1" si="9"/>
        <v>1.0035458057149163</v>
      </c>
      <c r="I17" s="1">
        <f t="shared" ca="1" si="9"/>
        <v>0.99786623638775729</v>
      </c>
      <c r="J17" s="1">
        <f t="shared" ca="1" si="9"/>
        <v>1.0190793708113552</v>
      </c>
      <c r="K17" s="1">
        <f t="shared" ca="1" si="9"/>
        <v>1.0436707639171148</v>
      </c>
      <c r="L17" s="1">
        <f t="shared" ca="1" si="9"/>
        <v>0.93130669378908337</v>
      </c>
      <c r="M17" s="1">
        <f t="shared" ca="1" si="9"/>
        <v>0.99491629623088795</v>
      </c>
      <c r="N17" s="1">
        <f t="shared" ca="1" si="9"/>
        <v>1.0678322692097604</v>
      </c>
      <c r="O17" s="1">
        <f t="shared" ca="1" si="9"/>
        <v>0.98145800488159507</v>
      </c>
      <c r="P17" s="1">
        <f t="shared" ca="1" si="9"/>
        <v>1.033272413011701</v>
      </c>
      <c r="Q17" s="1">
        <f t="shared" ca="1" si="9"/>
        <v>1.0147164496346501</v>
      </c>
      <c r="R17" s="1">
        <f t="shared" ca="1" si="9"/>
        <v>1.005399270163492</v>
      </c>
      <c r="S17" s="1">
        <f t="shared" ca="1" si="9"/>
        <v>1.0734821341377641</v>
      </c>
      <c r="T17" s="1">
        <f t="shared" ca="1" si="9"/>
        <v>0.95035506798052116</v>
      </c>
      <c r="U17" s="1">
        <f t="shared" ca="1" si="9"/>
        <v>1.0574091338074192</v>
      </c>
      <c r="V17" s="1">
        <f t="shared" ca="1" si="9"/>
        <v>1.0640342645743426</v>
      </c>
      <c r="W17" s="1">
        <f t="shared" ca="1" si="9"/>
        <v>1.0218945889441358</v>
      </c>
      <c r="X17" s="1">
        <f t="shared" ca="1" si="9"/>
        <v>0.97709853062624819</v>
      </c>
      <c r="Y17" s="1">
        <f t="shared" ca="1" si="9"/>
        <v>0.94589705993933904</v>
      </c>
      <c r="Z17" s="1">
        <f t="shared" ca="1" si="9"/>
        <v>1.0125304466105438</v>
      </c>
      <c r="AA17" s="1">
        <f t="shared" ca="1" si="9"/>
        <v>1.6037149079081736</v>
      </c>
      <c r="AB17" s="1">
        <f t="shared" ca="1" si="9"/>
        <v>0.98149996818692242</v>
      </c>
      <c r="AC17" s="1">
        <f t="shared" ca="1" si="9"/>
        <v>0.96092898805604532</v>
      </c>
      <c r="AD17" s="1">
        <f t="shared" ca="1" si="9"/>
        <v>0.98224206735504138</v>
      </c>
      <c r="AE17" s="1">
        <f t="shared" ca="1" si="9"/>
        <v>0.97330853302385467</v>
      </c>
      <c r="AF17" s="1">
        <f t="shared" ca="1" si="9"/>
        <v>1.0059774332401172</v>
      </c>
      <c r="AG17" s="1" t="str">
        <f t="shared" ca="1" si="9"/>
        <v/>
      </c>
      <c r="AI17" t="s">
        <v>169</v>
      </c>
      <c r="AK17" t="str">
        <f t="shared" si="0"/>
        <v/>
      </c>
      <c r="AL17" t="str">
        <f t="shared" si="1"/>
        <v/>
      </c>
      <c r="AN17" t="str">
        <f t="shared" si="2"/>
        <v>*</v>
      </c>
      <c r="AO17">
        <f t="shared" si="3"/>
        <v>0</v>
      </c>
      <c r="AQ17" t="s">
        <v>156</v>
      </c>
      <c r="AR17" t="s">
        <v>354</v>
      </c>
      <c r="AS17" t="s">
        <v>361</v>
      </c>
    </row>
    <row r="18" spans="1:45" x14ac:dyDescent="0.45">
      <c r="AI18" t="s">
        <v>169</v>
      </c>
      <c r="AK18" t="str">
        <f t="shared" si="0"/>
        <v/>
      </c>
      <c r="AL18" t="str">
        <f t="shared" si="1"/>
        <v/>
      </c>
      <c r="AN18" t="str">
        <f t="shared" si="2"/>
        <v>*</v>
      </c>
      <c r="AO18">
        <f t="shared" si="3"/>
        <v>0</v>
      </c>
      <c r="AQ18" t="s">
        <v>156</v>
      </c>
      <c r="AR18" t="s">
        <v>354</v>
      </c>
      <c r="AS18" t="s">
        <v>361</v>
      </c>
    </row>
    <row r="19" spans="1:45" x14ac:dyDescent="0.45">
      <c r="A19" t="s">
        <v>320</v>
      </c>
      <c r="C19" t="str">
        <f t="shared" ref="C19:C25" si="10">C4</f>
        <v>TRABDS</v>
      </c>
      <c r="D19" s="40">
        <f ca="1">ROUND(D4*D28/D36,2)</f>
        <v>0</v>
      </c>
      <c r="E19" s="40">
        <f t="shared" ref="E19:AG19" ca="1" si="11">ROUND(E4*E28/E36,2)</f>
        <v>0</v>
      </c>
      <c r="F19" s="40">
        <f t="shared" ca="1" si="11"/>
        <v>0.01</v>
      </c>
      <c r="G19" s="40">
        <f t="shared" ca="1" si="11"/>
        <v>0</v>
      </c>
      <c r="H19" s="40">
        <f t="shared" ca="1" si="11"/>
        <v>0</v>
      </c>
      <c r="I19" s="40">
        <f t="shared" ca="1" si="11"/>
        <v>7.0000000000000007E-2</v>
      </c>
      <c r="J19" s="40">
        <f t="shared" ca="1" si="11"/>
        <v>0</v>
      </c>
      <c r="K19" s="40">
        <f t="shared" ca="1" si="11"/>
        <v>0.12</v>
      </c>
      <c r="L19" s="40">
        <f t="shared" ca="1" si="11"/>
        <v>0</v>
      </c>
      <c r="M19" s="40">
        <f t="shared" ca="1" si="11"/>
        <v>0.02</v>
      </c>
      <c r="N19" s="40">
        <f t="shared" ca="1" si="11"/>
        <v>0.01</v>
      </c>
      <c r="O19" s="40">
        <f t="shared" ca="1" si="11"/>
        <v>0.02</v>
      </c>
      <c r="P19" s="40">
        <f t="shared" ca="1" si="11"/>
        <v>0.01</v>
      </c>
      <c r="Q19" s="40">
        <f t="shared" ca="1" si="11"/>
        <v>0.01</v>
      </c>
      <c r="R19" s="40">
        <f t="shared" ca="1" si="11"/>
        <v>0.01</v>
      </c>
      <c r="S19" s="40">
        <f t="shared" ca="1" si="11"/>
        <v>0.01</v>
      </c>
      <c r="T19" s="40">
        <f t="shared" ca="1" si="11"/>
        <v>0</v>
      </c>
      <c r="U19" s="40">
        <f t="shared" ca="1" si="11"/>
        <v>0.01</v>
      </c>
      <c r="V19" s="40">
        <f t="shared" ca="1" si="11"/>
        <v>0.01</v>
      </c>
      <c r="W19" s="40">
        <f t="shared" ca="1" si="11"/>
        <v>0</v>
      </c>
      <c r="X19" s="40">
        <f t="shared" ca="1" si="11"/>
        <v>0.01</v>
      </c>
      <c r="Y19" s="40">
        <f t="shared" ca="1" si="11"/>
        <v>0</v>
      </c>
      <c r="Z19" s="40">
        <f t="shared" ca="1" si="11"/>
        <v>0</v>
      </c>
      <c r="AA19" s="40">
        <f t="shared" ca="1" si="11"/>
        <v>0</v>
      </c>
      <c r="AB19" s="40">
        <f t="shared" ca="1" si="11"/>
        <v>0</v>
      </c>
      <c r="AC19" s="40">
        <f t="shared" ca="1" si="11"/>
        <v>0</v>
      </c>
      <c r="AD19" s="40">
        <f t="shared" ca="1" si="11"/>
        <v>0</v>
      </c>
      <c r="AE19" s="40">
        <f t="shared" ca="1" si="11"/>
        <v>0.01</v>
      </c>
      <c r="AF19" s="40">
        <f t="shared" ca="1" si="11"/>
        <v>0.01</v>
      </c>
      <c r="AG19" s="40">
        <f t="shared" ca="1" si="11"/>
        <v>0</v>
      </c>
      <c r="AI19" t="s">
        <v>360</v>
      </c>
      <c r="AJ19" t="str">
        <f>IF(AH4="zero","\I:",$AK$45&amp;"_"&amp;VLOOKUP(C19,'TRA balance'!$AL$5:$AM$15,2,FALSE))</f>
        <v>Trd_bus_bdl</v>
      </c>
      <c r="AK19" t="str">
        <f t="shared" si="0"/>
        <v>Trd_bus</v>
      </c>
      <c r="AL19">
        <f t="shared" si="1"/>
        <v>25</v>
      </c>
      <c r="AN19" t="str">
        <f t="shared" si="2"/>
        <v>DMD</v>
      </c>
      <c r="AO19" t="str">
        <f t="shared" si="3"/>
        <v>Trd_bus_bdl</v>
      </c>
      <c r="AQ19" t="s">
        <v>156</v>
      </c>
      <c r="AR19" t="s">
        <v>354</v>
      </c>
      <c r="AS19" t="s">
        <v>361</v>
      </c>
    </row>
    <row r="20" spans="1:45" x14ac:dyDescent="0.45">
      <c r="C20" t="str">
        <f t="shared" si="10"/>
        <v>TRABGS</v>
      </c>
      <c r="D20" s="40">
        <f t="shared" ref="D20:AG20" ca="1" si="12">ROUND(D5*D29/D37,2)</f>
        <v>0</v>
      </c>
      <c r="E20" s="40">
        <f t="shared" ca="1" si="12"/>
        <v>0</v>
      </c>
      <c r="F20" s="40">
        <f t="shared" ca="1" si="12"/>
        <v>0</v>
      </c>
      <c r="G20" s="40">
        <f t="shared" ca="1" si="12"/>
        <v>0</v>
      </c>
      <c r="H20" s="40">
        <f t="shared" ca="1" si="12"/>
        <v>0</v>
      </c>
      <c r="I20" s="40">
        <f t="shared" ca="1" si="12"/>
        <v>0</v>
      </c>
      <c r="J20" s="40">
        <f t="shared" ca="1" si="12"/>
        <v>0</v>
      </c>
      <c r="K20" s="40">
        <f t="shared" ca="1" si="12"/>
        <v>0.01</v>
      </c>
      <c r="L20" s="40">
        <f t="shared" ca="1" si="12"/>
        <v>0</v>
      </c>
      <c r="M20" s="40">
        <f t="shared" ca="1" si="12"/>
        <v>0</v>
      </c>
      <c r="N20" s="40">
        <f t="shared" ca="1" si="12"/>
        <v>0</v>
      </c>
      <c r="O20" s="40">
        <f t="shared" ca="1" si="12"/>
        <v>0</v>
      </c>
      <c r="P20" s="40">
        <f t="shared" ca="1" si="12"/>
        <v>0</v>
      </c>
      <c r="Q20" s="40">
        <f t="shared" ca="1" si="12"/>
        <v>0</v>
      </c>
      <c r="R20" s="40">
        <f t="shared" ca="1" si="12"/>
        <v>0</v>
      </c>
      <c r="S20" s="40">
        <f t="shared" ca="1" si="12"/>
        <v>0</v>
      </c>
      <c r="T20" s="40">
        <f t="shared" ca="1" si="12"/>
        <v>0</v>
      </c>
      <c r="U20" s="40">
        <f t="shared" ca="1" si="12"/>
        <v>0</v>
      </c>
      <c r="V20" s="40">
        <f t="shared" ca="1" si="12"/>
        <v>0</v>
      </c>
      <c r="W20" s="40">
        <f t="shared" ca="1" si="12"/>
        <v>0</v>
      </c>
      <c r="X20" s="40">
        <f t="shared" ca="1" si="12"/>
        <v>0</v>
      </c>
      <c r="Y20" s="40">
        <f t="shared" ca="1" si="12"/>
        <v>0</v>
      </c>
      <c r="Z20" s="40">
        <f t="shared" ca="1" si="12"/>
        <v>0</v>
      </c>
      <c r="AA20" s="40">
        <f t="shared" ca="1" si="12"/>
        <v>0</v>
      </c>
      <c r="AB20" s="40">
        <f t="shared" ca="1" si="12"/>
        <v>0</v>
      </c>
      <c r="AC20" s="40">
        <f t="shared" ca="1" si="12"/>
        <v>0</v>
      </c>
      <c r="AD20" s="40">
        <f t="shared" ca="1" si="12"/>
        <v>0</v>
      </c>
      <c r="AE20" s="40">
        <f t="shared" ca="1" si="12"/>
        <v>0</v>
      </c>
      <c r="AF20" s="40">
        <f t="shared" ca="1" si="12"/>
        <v>0</v>
      </c>
      <c r="AG20" s="40">
        <f t="shared" ca="1" si="12"/>
        <v>0</v>
      </c>
      <c r="AI20" t="s">
        <v>360</v>
      </c>
      <c r="AJ20" t="str">
        <f>IF(AH5="zero","\I:",$AK$45&amp;"_"&amp;VLOOKUP(C20,'TRA balance'!$AL$5:$AM$15,2,FALSE))</f>
        <v>Trd_bus_eth</v>
      </c>
      <c r="AK20" t="str">
        <f t="shared" si="0"/>
        <v>Trd_bus</v>
      </c>
      <c r="AL20">
        <f t="shared" si="1"/>
        <v>25</v>
      </c>
      <c r="AN20" t="str">
        <f t="shared" si="2"/>
        <v>DMD</v>
      </c>
      <c r="AO20" t="str">
        <f t="shared" si="3"/>
        <v>Trd_bus_eth</v>
      </c>
      <c r="AQ20" t="s">
        <v>156</v>
      </c>
      <c r="AR20" t="s">
        <v>354</v>
      </c>
      <c r="AS20" t="s">
        <v>361</v>
      </c>
    </row>
    <row r="21" spans="1:45" x14ac:dyDescent="0.45">
      <c r="C21" t="str">
        <f t="shared" si="10"/>
        <v>TRADST</v>
      </c>
      <c r="D21" s="40">
        <f t="shared" ref="D21:AG21" ca="1" si="13">ROUND(D6*D30/D38,2)</f>
        <v>0.72</v>
      </c>
      <c r="E21" s="40">
        <f t="shared" ca="1" si="13"/>
        <v>0.64</v>
      </c>
      <c r="F21" s="40">
        <f t="shared" ca="1" si="13"/>
        <v>0.09</v>
      </c>
      <c r="G21" s="40">
        <f t="shared" ca="1" si="13"/>
        <v>0.04</v>
      </c>
      <c r="H21" s="40">
        <f t="shared" ca="1" si="13"/>
        <v>0.17</v>
      </c>
      <c r="I21" s="40">
        <f t="shared" ca="1" si="13"/>
        <v>0.81</v>
      </c>
      <c r="J21" s="40">
        <f t="shared" ca="1" si="13"/>
        <v>0.2</v>
      </c>
      <c r="K21" s="40">
        <f t="shared" ca="1" si="13"/>
        <v>0.27</v>
      </c>
      <c r="L21" s="40">
        <f t="shared" ca="1" si="13"/>
        <v>7.0000000000000007E-2</v>
      </c>
      <c r="M21" s="40">
        <f t="shared" ca="1" si="13"/>
        <v>2.57</v>
      </c>
      <c r="N21" s="40">
        <f t="shared" ca="1" si="13"/>
        <v>0.04</v>
      </c>
      <c r="O21" s="40">
        <f t="shared" ca="1" si="13"/>
        <v>0.31</v>
      </c>
      <c r="P21" s="40">
        <f t="shared" ca="1" si="13"/>
        <v>0.08</v>
      </c>
      <c r="Q21" s="40">
        <f t="shared" ca="1" si="13"/>
        <v>0.13</v>
      </c>
      <c r="R21" s="40">
        <f t="shared" ca="1" si="13"/>
        <v>0.13</v>
      </c>
      <c r="S21" s="40">
        <f t="shared" ca="1" si="13"/>
        <v>0.13</v>
      </c>
      <c r="T21" s="40">
        <f t="shared" ca="1" si="13"/>
        <v>0.26</v>
      </c>
      <c r="U21" s="40">
        <f t="shared" ca="1" si="13"/>
        <v>0.16</v>
      </c>
      <c r="V21" s="40">
        <f t="shared" ca="1" si="13"/>
        <v>0.17</v>
      </c>
      <c r="W21" s="40">
        <f t="shared" ca="1" si="13"/>
        <v>0.94</v>
      </c>
      <c r="X21" s="40">
        <f t="shared" ca="1" si="13"/>
        <v>0.19</v>
      </c>
      <c r="Y21" s="40">
        <f t="shared" ca="1" si="13"/>
        <v>0.09</v>
      </c>
      <c r="Z21" s="40">
        <f t="shared" ca="1" si="13"/>
        <v>0.28000000000000003</v>
      </c>
      <c r="AA21" s="40">
        <f t="shared" ca="1" si="13"/>
        <v>0.01</v>
      </c>
      <c r="AB21" s="40">
        <f t="shared" ca="1" si="13"/>
        <v>0.12</v>
      </c>
      <c r="AC21" s="40">
        <f t="shared" ca="1" si="13"/>
        <v>0.16</v>
      </c>
      <c r="AD21" s="40">
        <f t="shared" ca="1" si="13"/>
        <v>0.23</v>
      </c>
      <c r="AE21" s="40">
        <f t="shared" ca="1" si="13"/>
        <v>0.13</v>
      </c>
      <c r="AF21" s="40">
        <f t="shared" ca="1" si="13"/>
        <v>0.41</v>
      </c>
      <c r="AG21" s="40">
        <f t="shared" ca="1" si="13"/>
        <v>0</v>
      </c>
      <c r="AI21" t="s">
        <v>360</v>
      </c>
      <c r="AJ21" t="str">
        <f>IF(AH6="zero","\I:",$AK$45&amp;"_"&amp;VLOOKUP(C21,'TRA balance'!$AL$5:$AM$15,2,FALSE))</f>
        <v>Trd_bus_dsl</v>
      </c>
      <c r="AK21" t="str">
        <f t="shared" si="0"/>
        <v>Trd_bus</v>
      </c>
      <c r="AL21">
        <f t="shared" si="1"/>
        <v>25</v>
      </c>
      <c r="AN21" t="str">
        <f t="shared" si="2"/>
        <v>DMD</v>
      </c>
      <c r="AO21" t="str">
        <f t="shared" si="3"/>
        <v>Trd_bus_dsl</v>
      </c>
      <c r="AQ21" t="s">
        <v>156</v>
      </c>
      <c r="AR21" t="s">
        <v>354</v>
      </c>
      <c r="AS21" t="s">
        <v>361</v>
      </c>
    </row>
    <row r="22" spans="1:45" x14ac:dyDescent="0.45">
      <c r="C22" t="str">
        <f t="shared" si="10"/>
        <v>TRAELC</v>
      </c>
      <c r="D22" s="40">
        <f t="shared" ref="D22:AG22" ca="1" si="14">ROUND(D7*D31/D39,2)</f>
        <v>0</v>
      </c>
      <c r="E22" s="40">
        <f t="shared" ca="1" si="14"/>
        <v>0</v>
      </c>
      <c r="F22" s="40">
        <f t="shared" ca="1" si="14"/>
        <v>0.01</v>
      </c>
      <c r="G22" s="40">
        <f t="shared" ca="1" si="14"/>
        <v>0</v>
      </c>
      <c r="H22" s="40">
        <f t="shared" ca="1" si="14"/>
        <v>0</v>
      </c>
      <c r="I22" s="40">
        <f t="shared" ca="1" si="14"/>
        <v>0</v>
      </c>
      <c r="J22" s="40">
        <f t="shared" ca="1" si="14"/>
        <v>0</v>
      </c>
      <c r="K22" s="40">
        <f t="shared" ca="1" si="14"/>
        <v>0</v>
      </c>
      <c r="L22" s="40">
        <f t="shared" ca="1" si="14"/>
        <v>0</v>
      </c>
      <c r="M22" s="40">
        <f t="shared" ca="1" si="14"/>
        <v>0.22</v>
      </c>
      <c r="N22" s="40">
        <f t="shared" ca="1" si="14"/>
        <v>0</v>
      </c>
      <c r="O22" s="40">
        <f t="shared" ca="1" si="14"/>
        <v>0.01</v>
      </c>
      <c r="P22" s="40">
        <f t="shared" ca="1" si="14"/>
        <v>0</v>
      </c>
      <c r="Q22" s="40">
        <f t="shared" ca="1" si="14"/>
        <v>0</v>
      </c>
      <c r="R22" s="40">
        <f t="shared" ca="1" si="14"/>
        <v>0</v>
      </c>
      <c r="S22" s="40">
        <f t="shared" ca="1" si="14"/>
        <v>0</v>
      </c>
      <c r="T22" s="40">
        <f t="shared" ca="1" si="14"/>
        <v>0.01</v>
      </c>
      <c r="U22" s="40">
        <f t="shared" ca="1" si="14"/>
        <v>0</v>
      </c>
      <c r="V22" s="40">
        <f t="shared" ca="1" si="14"/>
        <v>0</v>
      </c>
      <c r="W22" s="40">
        <f t="shared" ca="1" si="14"/>
        <v>0</v>
      </c>
      <c r="X22" s="40">
        <f t="shared" ca="1" si="14"/>
        <v>0</v>
      </c>
      <c r="Y22" s="40">
        <f t="shared" ca="1" si="14"/>
        <v>0</v>
      </c>
      <c r="Z22" s="40">
        <f t="shared" ca="1" si="14"/>
        <v>0</v>
      </c>
      <c r="AA22" s="40">
        <f t="shared" ca="1" si="14"/>
        <v>0</v>
      </c>
      <c r="AB22" s="40">
        <f t="shared" ca="1" si="14"/>
        <v>0</v>
      </c>
      <c r="AC22" s="40">
        <f t="shared" ca="1" si="14"/>
        <v>0</v>
      </c>
      <c r="AD22" s="40">
        <f t="shared" ca="1" si="14"/>
        <v>0</v>
      </c>
      <c r="AE22" s="40">
        <f t="shared" ca="1" si="14"/>
        <v>0</v>
      </c>
      <c r="AF22" s="40">
        <f t="shared" ca="1" si="14"/>
        <v>0</v>
      </c>
      <c r="AG22" s="40">
        <f t="shared" ca="1" si="14"/>
        <v>0</v>
      </c>
      <c r="AI22" t="s">
        <v>360</v>
      </c>
      <c r="AJ22" t="str">
        <f>IF(AH7="zero","\I:",$AK$45&amp;"_"&amp;VLOOKUP(C22,'TRA balance'!$AL$5:$AM$15,2,FALSE))</f>
        <v>Trd_bus_elc</v>
      </c>
      <c r="AK22" t="str">
        <f t="shared" si="0"/>
        <v>Trd_bus</v>
      </c>
      <c r="AL22">
        <f t="shared" si="1"/>
        <v>25</v>
      </c>
      <c r="AN22" t="str">
        <f t="shared" si="2"/>
        <v>DMD</v>
      </c>
      <c r="AO22" t="str">
        <f t="shared" si="3"/>
        <v>Trd_bus_elc</v>
      </c>
      <c r="AQ22" t="s">
        <v>156</v>
      </c>
      <c r="AR22" t="s">
        <v>354</v>
      </c>
      <c r="AS22" t="s">
        <v>361</v>
      </c>
    </row>
    <row r="23" spans="1:45" x14ac:dyDescent="0.45">
      <c r="C23" t="str">
        <f t="shared" si="10"/>
        <v>TRAGSL</v>
      </c>
      <c r="D23" s="40">
        <f t="shared" ref="D23:AG23" ca="1" si="15">ROUND(D8*D32/D40,2)</f>
        <v>0</v>
      </c>
      <c r="E23" s="40">
        <f t="shared" ca="1" si="15"/>
        <v>0</v>
      </c>
      <c r="F23" s="40">
        <f t="shared" ca="1" si="15"/>
        <v>0.01</v>
      </c>
      <c r="G23" s="40">
        <f t="shared" ca="1" si="15"/>
        <v>0.01</v>
      </c>
      <c r="H23" s="40">
        <f t="shared" ca="1" si="15"/>
        <v>0</v>
      </c>
      <c r="I23" s="40">
        <f t="shared" ca="1" si="15"/>
        <v>0</v>
      </c>
      <c r="J23" s="40">
        <f t="shared" ca="1" si="15"/>
        <v>0.01</v>
      </c>
      <c r="K23" s="40">
        <f t="shared" ca="1" si="15"/>
        <v>0.02</v>
      </c>
      <c r="L23" s="40">
        <f t="shared" ca="1" si="15"/>
        <v>0.01</v>
      </c>
      <c r="M23" s="40">
        <f t="shared" ca="1" si="15"/>
        <v>0.14000000000000001</v>
      </c>
      <c r="N23" s="40">
        <f t="shared" ca="1" si="15"/>
        <v>0</v>
      </c>
      <c r="O23" s="40">
        <f t="shared" ca="1" si="15"/>
        <v>0</v>
      </c>
      <c r="P23" s="40">
        <f t="shared" ca="1" si="15"/>
        <v>0</v>
      </c>
      <c r="Q23" s="40">
        <f t="shared" ca="1" si="15"/>
        <v>0</v>
      </c>
      <c r="R23" s="40">
        <f t="shared" ca="1" si="15"/>
        <v>0</v>
      </c>
      <c r="S23" s="40">
        <f t="shared" ca="1" si="15"/>
        <v>0</v>
      </c>
      <c r="T23" s="40">
        <f t="shared" ca="1" si="15"/>
        <v>0.03</v>
      </c>
      <c r="U23" s="40">
        <f t="shared" ca="1" si="15"/>
        <v>0</v>
      </c>
      <c r="V23" s="40">
        <f t="shared" ca="1" si="15"/>
        <v>0</v>
      </c>
      <c r="W23" s="40">
        <f t="shared" ca="1" si="15"/>
        <v>0</v>
      </c>
      <c r="X23" s="40">
        <f t="shared" ca="1" si="15"/>
        <v>0.04</v>
      </c>
      <c r="Y23" s="40">
        <f t="shared" ca="1" si="15"/>
        <v>0.02</v>
      </c>
      <c r="Z23" s="40">
        <f t="shared" ca="1" si="15"/>
        <v>0.16</v>
      </c>
      <c r="AA23" s="40">
        <f t="shared" ca="1" si="15"/>
        <v>0</v>
      </c>
      <c r="AB23" s="40">
        <f t="shared" ca="1" si="15"/>
        <v>0.05</v>
      </c>
      <c r="AC23" s="40">
        <f t="shared" ca="1" si="15"/>
        <v>7.0000000000000007E-2</v>
      </c>
      <c r="AD23" s="40">
        <f t="shared" ca="1" si="15"/>
        <v>0</v>
      </c>
      <c r="AE23" s="40">
        <f t="shared" ca="1" si="15"/>
        <v>0</v>
      </c>
      <c r="AF23" s="40">
        <f t="shared" ca="1" si="15"/>
        <v>0.04</v>
      </c>
      <c r="AG23" s="40">
        <f t="shared" ca="1" si="15"/>
        <v>0</v>
      </c>
      <c r="AI23" t="s">
        <v>360</v>
      </c>
      <c r="AJ23" t="str">
        <f>IF(AH8="zero","\I:",$AK$45&amp;"_"&amp;VLOOKUP(C23,'TRA balance'!$AL$5:$AM$15,2,FALSE))</f>
        <v>Trd_bus_gsl</v>
      </c>
      <c r="AK23" t="str">
        <f t="shared" si="0"/>
        <v>Trd_bus</v>
      </c>
      <c r="AL23">
        <f t="shared" si="1"/>
        <v>25</v>
      </c>
      <c r="AN23" t="str">
        <f t="shared" si="2"/>
        <v>DMD</v>
      </c>
      <c r="AO23" t="str">
        <f t="shared" si="3"/>
        <v>Trd_bus_gsl</v>
      </c>
      <c r="AQ23" t="s">
        <v>156</v>
      </c>
      <c r="AR23" t="s">
        <v>354</v>
      </c>
      <c r="AS23" t="s">
        <v>361</v>
      </c>
    </row>
    <row r="24" spans="1:45" x14ac:dyDescent="0.45">
      <c r="C24" t="str">
        <f t="shared" si="10"/>
        <v>TRALPG</v>
      </c>
      <c r="D24" s="40">
        <f t="shared" ref="D24:AG24" ca="1" si="16">ROUND(D9*D33/D41,2)</f>
        <v>0.01</v>
      </c>
      <c r="E24" s="40">
        <f t="shared" ca="1" si="16"/>
        <v>0</v>
      </c>
      <c r="F24" s="40">
        <f t="shared" ca="1" si="16"/>
        <v>0</v>
      </c>
      <c r="G24" s="40">
        <f t="shared" ca="1" si="16"/>
        <v>0</v>
      </c>
      <c r="H24" s="40">
        <f t="shared" ca="1" si="16"/>
        <v>0</v>
      </c>
      <c r="I24" s="40">
        <f t="shared" ca="1" si="16"/>
        <v>0.03</v>
      </c>
      <c r="J24" s="40">
        <f t="shared" ca="1" si="16"/>
        <v>0.02</v>
      </c>
      <c r="K24" s="40">
        <f t="shared" ca="1" si="16"/>
        <v>0</v>
      </c>
      <c r="L24" s="40">
        <f t="shared" ca="1" si="16"/>
        <v>0</v>
      </c>
      <c r="M24" s="40">
        <f t="shared" ca="1" si="16"/>
        <v>0.09</v>
      </c>
      <c r="N24" s="40">
        <f t="shared" ca="1" si="16"/>
        <v>0</v>
      </c>
      <c r="O24" s="40">
        <f t="shared" ca="1" si="16"/>
        <v>0</v>
      </c>
      <c r="P24" s="40">
        <f t="shared" ca="1" si="16"/>
        <v>0</v>
      </c>
      <c r="Q24" s="40">
        <f t="shared" ca="1" si="16"/>
        <v>0</v>
      </c>
      <c r="R24" s="40">
        <f t="shared" ca="1" si="16"/>
        <v>0</v>
      </c>
      <c r="S24" s="40">
        <f t="shared" ca="1" si="16"/>
        <v>0</v>
      </c>
      <c r="T24" s="40">
        <f t="shared" ca="1" si="16"/>
        <v>7.0000000000000007E-2</v>
      </c>
      <c r="U24" s="40">
        <f t="shared" ca="1" si="16"/>
        <v>0</v>
      </c>
      <c r="V24" s="40">
        <f t="shared" ca="1" si="16"/>
        <v>0</v>
      </c>
      <c r="W24" s="40">
        <f t="shared" ca="1" si="16"/>
        <v>0.01</v>
      </c>
      <c r="X24" s="40">
        <f t="shared" ca="1" si="16"/>
        <v>0.04</v>
      </c>
      <c r="Y24" s="40">
        <f t="shared" ca="1" si="16"/>
        <v>0.04</v>
      </c>
      <c r="Z24" s="40">
        <f t="shared" ca="1" si="16"/>
        <v>0</v>
      </c>
      <c r="AA24" s="40">
        <f t="shared" ca="1" si="16"/>
        <v>0</v>
      </c>
      <c r="AB24" s="40">
        <f t="shared" ca="1" si="16"/>
        <v>0</v>
      </c>
      <c r="AC24" s="40">
        <f t="shared" ca="1" si="16"/>
        <v>0</v>
      </c>
      <c r="AD24" s="40">
        <f t="shared" ca="1" si="16"/>
        <v>0</v>
      </c>
      <c r="AE24" s="40">
        <f t="shared" ca="1" si="16"/>
        <v>0</v>
      </c>
      <c r="AF24" s="40">
        <f t="shared" ca="1" si="16"/>
        <v>0</v>
      </c>
      <c r="AG24" s="40">
        <f t="shared" ca="1" si="16"/>
        <v>0</v>
      </c>
      <c r="AI24" t="s">
        <v>360</v>
      </c>
      <c r="AJ24" t="str">
        <f>IF(AH9="zero","\I:",$AK$45&amp;"_"&amp;VLOOKUP(C24,'TRA balance'!$AL$5:$AM$15,2,FALSE))</f>
        <v>Trd_bus_lpg</v>
      </c>
      <c r="AK24" t="str">
        <f t="shared" si="0"/>
        <v>Trd_bus</v>
      </c>
      <c r="AL24">
        <f t="shared" si="1"/>
        <v>25</v>
      </c>
      <c r="AN24" t="str">
        <f t="shared" si="2"/>
        <v>DMD</v>
      </c>
      <c r="AO24" t="str">
        <f t="shared" si="3"/>
        <v>Trd_bus_lpg</v>
      </c>
      <c r="AQ24" t="s">
        <v>156</v>
      </c>
      <c r="AR24" t="s">
        <v>354</v>
      </c>
      <c r="AS24" t="s">
        <v>361</v>
      </c>
    </row>
    <row r="25" spans="1:45" x14ac:dyDescent="0.45">
      <c r="C25" t="str">
        <f t="shared" si="10"/>
        <v>TRANGA</v>
      </c>
      <c r="D25" s="40">
        <f t="shared" ref="D25:AG25" ca="1" si="17">ROUND(D10*D34/D42,2)</f>
        <v>0.02</v>
      </c>
      <c r="E25" s="40">
        <f t="shared" ca="1" si="17"/>
        <v>0</v>
      </c>
      <c r="F25" s="40">
        <f t="shared" ca="1" si="17"/>
        <v>0.05</v>
      </c>
      <c r="G25" s="40">
        <f t="shared" ca="1" si="17"/>
        <v>0</v>
      </c>
      <c r="H25" s="40">
        <f t="shared" ca="1" si="17"/>
        <v>0</v>
      </c>
      <c r="I25" s="40">
        <f t="shared" ca="1" si="17"/>
        <v>0.02</v>
      </c>
      <c r="J25" s="40">
        <f t="shared" ca="1" si="17"/>
        <v>0</v>
      </c>
      <c r="K25" s="40">
        <f t="shared" ca="1" si="17"/>
        <v>0.04</v>
      </c>
      <c r="L25" s="40">
        <f t="shared" ca="1" si="17"/>
        <v>0</v>
      </c>
      <c r="M25" s="40">
        <f t="shared" ca="1" si="17"/>
        <v>0.86</v>
      </c>
      <c r="N25" s="40">
        <f t="shared" ca="1" si="17"/>
        <v>0</v>
      </c>
      <c r="O25" s="40">
        <f t="shared" ca="1" si="17"/>
        <v>0.01</v>
      </c>
      <c r="P25" s="40">
        <f t="shared" ca="1" si="17"/>
        <v>0</v>
      </c>
      <c r="Q25" s="40">
        <f t="shared" ca="1" si="17"/>
        <v>0.02</v>
      </c>
      <c r="R25" s="40">
        <f t="shared" ca="1" si="17"/>
        <v>0.01</v>
      </c>
      <c r="S25" s="40">
        <f t="shared" ca="1" si="17"/>
        <v>0</v>
      </c>
      <c r="T25" s="40">
        <f t="shared" ca="1" si="17"/>
        <v>0</v>
      </c>
      <c r="U25" s="40">
        <f t="shared" ca="1" si="17"/>
        <v>0</v>
      </c>
      <c r="V25" s="40">
        <f t="shared" ca="1" si="17"/>
        <v>0</v>
      </c>
      <c r="W25" s="40">
        <f t="shared" ca="1" si="17"/>
        <v>0.13</v>
      </c>
      <c r="X25" s="40">
        <f t="shared" ca="1" si="17"/>
        <v>0.04</v>
      </c>
      <c r="Y25" s="40">
        <f t="shared" ca="1" si="17"/>
        <v>0</v>
      </c>
      <c r="Z25" s="40">
        <f t="shared" ca="1" si="17"/>
        <v>0.16</v>
      </c>
      <c r="AA25" s="40">
        <f t="shared" ca="1" si="17"/>
        <v>0</v>
      </c>
      <c r="AB25" s="40">
        <f t="shared" ca="1" si="17"/>
        <v>0</v>
      </c>
      <c r="AC25" s="40">
        <f t="shared" ca="1" si="17"/>
        <v>0</v>
      </c>
      <c r="AD25" s="40">
        <f t="shared" ca="1" si="17"/>
        <v>0</v>
      </c>
      <c r="AE25" s="40">
        <f t="shared" ca="1" si="17"/>
        <v>0</v>
      </c>
      <c r="AF25" s="40">
        <f t="shared" ca="1" si="17"/>
        <v>0</v>
      </c>
      <c r="AG25" s="40">
        <f t="shared" ca="1" si="17"/>
        <v>0</v>
      </c>
      <c r="AI25" t="s">
        <v>360</v>
      </c>
      <c r="AJ25" t="str">
        <f>IF(AH10="zero","\I:",$AK$45&amp;"_"&amp;VLOOKUP(C25,'TRA balance'!$AL$5:$AM$15,2,FALSE))</f>
        <v>Trd_bus_nga</v>
      </c>
      <c r="AK25" t="str">
        <f t="shared" si="0"/>
        <v>Trd_bus</v>
      </c>
      <c r="AL25">
        <f t="shared" si="1"/>
        <v>25</v>
      </c>
      <c r="AN25" t="str">
        <f t="shared" si="2"/>
        <v>DMD</v>
      </c>
      <c r="AO25" t="str">
        <f t="shared" si="3"/>
        <v>Trd_bus_nga</v>
      </c>
      <c r="AQ25" t="s">
        <v>156</v>
      </c>
      <c r="AR25" t="s">
        <v>354</v>
      </c>
      <c r="AS25" t="s">
        <v>361</v>
      </c>
    </row>
    <row r="26" spans="1:45" x14ac:dyDescent="0.4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I26" t="s">
        <v>169</v>
      </c>
      <c r="AK26" t="str">
        <f t="shared" si="0"/>
        <v/>
      </c>
      <c r="AL26" t="str">
        <f t="shared" si="1"/>
        <v/>
      </c>
      <c r="AN26" t="str">
        <f t="shared" si="2"/>
        <v>*</v>
      </c>
      <c r="AO26">
        <f t="shared" si="3"/>
        <v>0</v>
      </c>
      <c r="AQ26" t="s">
        <v>156</v>
      </c>
      <c r="AR26" t="s">
        <v>354</v>
      </c>
      <c r="AS26" t="s">
        <v>361</v>
      </c>
    </row>
    <row r="27" spans="1:45" x14ac:dyDescent="0.45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I27" t="s">
        <v>169</v>
      </c>
      <c r="AK27" t="str">
        <f t="shared" si="0"/>
        <v/>
      </c>
      <c r="AL27" t="str">
        <f t="shared" si="1"/>
        <v/>
      </c>
      <c r="AN27" t="str">
        <f t="shared" si="2"/>
        <v>*</v>
      </c>
      <c r="AO27">
        <f t="shared" si="3"/>
        <v>0</v>
      </c>
      <c r="AQ27" t="s">
        <v>156</v>
      </c>
      <c r="AR27" t="s">
        <v>354</v>
      </c>
      <c r="AS27" t="s">
        <v>361</v>
      </c>
    </row>
    <row r="28" spans="1:45" x14ac:dyDescent="0.45">
      <c r="A28" t="s">
        <v>331</v>
      </c>
      <c r="C28" t="str">
        <f>C19</f>
        <v>TRABDS</v>
      </c>
      <c r="D28">
        <f t="shared" ref="D28:M34" si="18">$AH28*D$27</f>
        <v>7.2069999999999995E-2</v>
      </c>
      <c r="E28">
        <f t="shared" si="18"/>
        <v>7.2069999999999995E-2</v>
      </c>
      <c r="F28">
        <f t="shared" si="18"/>
        <v>7.2069999999999995E-2</v>
      </c>
      <c r="G28">
        <f t="shared" si="18"/>
        <v>7.2069999999999995E-2</v>
      </c>
      <c r="H28">
        <f t="shared" si="18"/>
        <v>7.2069999999999995E-2</v>
      </c>
      <c r="I28">
        <f t="shared" si="18"/>
        <v>7.2069999999999995E-2</v>
      </c>
      <c r="J28">
        <f t="shared" si="18"/>
        <v>7.2069999999999995E-2</v>
      </c>
      <c r="K28">
        <f t="shared" si="18"/>
        <v>7.2069999999999995E-2</v>
      </c>
      <c r="L28">
        <f t="shared" si="18"/>
        <v>7.2069999999999995E-2</v>
      </c>
      <c r="M28">
        <f t="shared" si="18"/>
        <v>7.2069999999999995E-2</v>
      </c>
      <c r="N28">
        <f t="shared" ref="N28:AC34" si="19">$AH28*N$27</f>
        <v>7.2069999999999995E-2</v>
      </c>
      <c r="O28">
        <f t="shared" si="19"/>
        <v>7.2069999999999995E-2</v>
      </c>
      <c r="P28">
        <f t="shared" si="19"/>
        <v>7.2069999999999995E-2</v>
      </c>
      <c r="Q28">
        <f t="shared" si="19"/>
        <v>7.2069999999999995E-2</v>
      </c>
      <c r="R28">
        <f t="shared" si="19"/>
        <v>7.2069999999999995E-2</v>
      </c>
      <c r="S28">
        <f t="shared" si="19"/>
        <v>7.2069999999999995E-2</v>
      </c>
      <c r="T28">
        <f t="shared" si="19"/>
        <v>7.2069999999999995E-2</v>
      </c>
      <c r="U28">
        <f t="shared" si="19"/>
        <v>7.2069999999999995E-2</v>
      </c>
      <c r="V28">
        <f t="shared" si="19"/>
        <v>7.2069999999999995E-2</v>
      </c>
      <c r="W28">
        <f t="shared" si="19"/>
        <v>7.2069999999999995E-2</v>
      </c>
      <c r="X28">
        <f t="shared" si="19"/>
        <v>7.2069999999999995E-2</v>
      </c>
      <c r="Y28">
        <f t="shared" si="19"/>
        <v>7.2069999999999995E-2</v>
      </c>
      <c r="Z28">
        <f t="shared" si="19"/>
        <v>7.2069999999999995E-2</v>
      </c>
      <c r="AA28">
        <f t="shared" si="19"/>
        <v>7.2069999999999995E-2</v>
      </c>
      <c r="AB28">
        <f t="shared" si="19"/>
        <v>7.2069999999999995E-2</v>
      </c>
      <c r="AC28">
        <f t="shared" si="19"/>
        <v>7.2069999999999995E-2</v>
      </c>
      <c r="AD28">
        <f t="shared" ref="U28:AG34" si="20">$AH28*AD$27</f>
        <v>7.2069999999999995E-2</v>
      </c>
      <c r="AE28">
        <f t="shared" si="20"/>
        <v>7.2069999999999995E-2</v>
      </c>
      <c r="AF28">
        <f t="shared" si="20"/>
        <v>7.2069999999999995E-2</v>
      </c>
      <c r="AG28">
        <f t="shared" si="20"/>
        <v>7.2069999999999995E-2</v>
      </c>
      <c r="AH28" s="56">
        <f>AH30</f>
        <v>7.2069999999999995E-2</v>
      </c>
      <c r="AI28" s="1" t="s">
        <v>350</v>
      </c>
      <c r="AJ28" s="1" t="str">
        <f>AJ19</f>
        <v>Trd_bus_bdl</v>
      </c>
      <c r="AK28" t="str">
        <f t="shared" si="0"/>
        <v>Trd_bus</v>
      </c>
      <c r="AL28">
        <f t="shared" si="1"/>
        <v>25</v>
      </c>
      <c r="AN28" t="str">
        <f t="shared" si="2"/>
        <v>DMD</v>
      </c>
      <c r="AO28" t="str">
        <f t="shared" si="3"/>
        <v>Trd_bus_bdl</v>
      </c>
      <c r="AQ28" t="s">
        <v>156</v>
      </c>
      <c r="AR28" t="s">
        <v>354</v>
      </c>
      <c r="AS28" t="s">
        <v>361</v>
      </c>
    </row>
    <row r="29" spans="1:45" x14ac:dyDescent="0.45">
      <c r="C29" t="str">
        <f t="shared" ref="C29:C34" si="21">C20</f>
        <v>TRABGS</v>
      </c>
      <c r="D29">
        <f t="shared" si="18"/>
        <v>0.08</v>
      </c>
      <c r="E29">
        <f t="shared" si="18"/>
        <v>0.08</v>
      </c>
      <c r="F29">
        <f t="shared" si="18"/>
        <v>0.08</v>
      </c>
      <c r="G29">
        <f t="shared" si="18"/>
        <v>0.08</v>
      </c>
      <c r="H29">
        <f t="shared" si="18"/>
        <v>0.08</v>
      </c>
      <c r="I29">
        <f t="shared" si="18"/>
        <v>0.08</v>
      </c>
      <c r="J29">
        <f t="shared" si="18"/>
        <v>0.08</v>
      </c>
      <c r="K29">
        <f t="shared" si="18"/>
        <v>0.08</v>
      </c>
      <c r="L29">
        <f t="shared" si="18"/>
        <v>0.08</v>
      </c>
      <c r="M29">
        <f t="shared" si="18"/>
        <v>0.08</v>
      </c>
      <c r="N29">
        <f t="shared" si="19"/>
        <v>0.08</v>
      </c>
      <c r="O29">
        <f t="shared" si="19"/>
        <v>0.08</v>
      </c>
      <c r="P29">
        <f t="shared" si="19"/>
        <v>0.08</v>
      </c>
      <c r="Q29">
        <f t="shared" si="19"/>
        <v>0.08</v>
      </c>
      <c r="R29">
        <f t="shared" si="19"/>
        <v>0.08</v>
      </c>
      <c r="S29">
        <f t="shared" si="19"/>
        <v>0.08</v>
      </c>
      <c r="T29">
        <f t="shared" si="19"/>
        <v>0.08</v>
      </c>
      <c r="U29">
        <f t="shared" si="20"/>
        <v>0.08</v>
      </c>
      <c r="V29">
        <f t="shared" si="20"/>
        <v>0.08</v>
      </c>
      <c r="W29">
        <f t="shared" si="20"/>
        <v>0.08</v>
      </c>
      <c r="X29">
        <f t="shared" si="20"/>
        <v>0.08</v>
      </c>
      <c r="Y29">
        <f t="shared" si="20"/>
        <v>0.08</v>
      </c>
      <c r="Z29">
        <f t="shared" si="20"/>
        <v>0.08</v>
      </c>
      <c r="AA29">
        <f t="shared" si="20"/>
        <v>0.08</v>
      </c>
      <c r="AB29">
        <f t="shared" si="20"/>
        <v>0.08</v>
      </c>
      <c r="AC29">
        <f t="shared" si="20"/>
        <v>0.08</v>
      </c>
      <c r="AD29">
        <f t="shared" si="20"/>
        <v>0.08</v>
      </c>
      <c r="AE29">
        <f t="shared" si="20"/>
        <v>0.08</v>
      </c>
      <c r="AF29">
        <f t="shared" si="20"/>
        <v>0.08</v>
      </c>
      <c r="AG29">
        <f t="shared" si="20"/>
        <v>0.08</v>
      </c>
      <c r="AH29" s="56">
        <f>AH32</f>
        <v>0.08</v>
      </c>
      <c r="AI29" s="1" t="s">
        <v>350</v>
      </c>
      <c r="AJ29" s="1" t="str">
        <f t="shared" ref="AJ29:AJ34" si="22">AJ20</f>
        <v>Trd_bus_eth</v>
      </c>
      <c r="AK29" t="str">
        <f t="shared" si="0"/>
        <v>Trd_bus</v>
      </c>
      <c r="AL29">
        <f t="shared" si="1"/>
        <v>25</v>
      </c>
      <c r="AN29" t="str">
        <f t="shared" si="2"/>
        <v>DMD</v>
      </c>
      <c r="AO29" t="str">
        <f t="shared" si="3"/>
        <v>Trd_bus_eth</v>
      </c>
      <c r="AQ29" t="s">
        <v>156</v>
      </c>
      <c r="AR29" t="s">
        <v>354</v>
      </c>
      <c r="AS29" t="s">
        <v>361</v>
      </c>
    </row>
    <row r="30" spans="1:45" x14ac:dyDescent="0.45">
      <c r="C30" t="str">
        <f t="shared" si="21"/>
        <v>TRADST</v>
      </c>
      <c r="D30">
        <f t="shared" si="18"/>
        <v>7.2069999999999995E-2</v>
      </c>
      <c r="E30">
        <f t="shared" si="18"/>
        <v>7.2069999999999995E-2</v>
      </c>
      <c r="F30">
        <f t="shared" si="18"/>
        <v>7.2069999999999995E-2</v>
      </c>
      <c r="G30">
        <f t="shared" si="18"/>
        <v>7.2069999999999995E-2</v>
      </c>
      <c r="H30">
        <f t="shared" si="18"/>
        <v>7.2069999999999995E-2</v>
      </c>
      <c r="I30">
        <f t="shared" si="18"/>
        <v>7.2069999999999995E-2</v>
      </c>
      <c r="J30">
        <f t="shared" si="18"/>
        <v>7.2069999999999995E-2</v>
      </c>
      <c r="K30">
        <f t="shared" si="18"/>
        <v>7.2069999999999995E-2</v>
      </c>
      <c r="L30">
        <f t="shared" si="18"/>
        <v>7.2069999999999995E-2</v>
      </c>
      <c r="M30">
        <f t="shared" si="18"/>
        <v>7.2069999999999995E-2</v>
      </c>
      <c r="N30">
        <f t="shared" si="19"/>
        <v>7.2069999999999995E-2</v>
      </c>
      <c r="O30">
        <f t="shared" si="19"/>
        <v>7.2069999999999995E-2</v>
      </c>
      <c r="P30">
        <f t="shared" si="19"/>
        <v>7.2069999999999995E-2</v>
      </c>
      <c r="Q30">
        <f t="shared" si="19"/>
        <v>7.2069999999999995E-2</v>
      </c>
      <c r="R30">
        <f t="shared" si="19"/>
        <v>7.2069999999999995E-2</v>
      </c>
      <c r="S30">
        <f t="shared" si="19"/>
        <v>7.2069999999999995E-2</v>
      </c>
      <c r="T30">
        <f t="shared" si="19"/>
        <v>7.2069999999999995E-2</v>
      </c>
      <c r="U30">
        <f t="shared" si="20"/>
        <v>7.2069999999999995E-2</v>
      </c>
      <c r="V30">
        <f t="shared" si="20"/>
        <v>7.2069999999999995E-2</v>
      </c>
      <c r="W30">
        <f t="shared" si="20"/>
        <v>7.2069999999999995E-2</v>
      </c>
      <c r="X30">
        <f t="shared" si="20"/>
        <v>7.2069999999999995E-2</v>
      </c>
      <c r="Y30">
        <f t="shared" si="20"/>
        <v>7.2069999999999995E-2</v>
      </c>
      <c r="Z30">
        <f t="shared" si="20"/>
        <v>7.2069999999999995E-2</v>
      </c>
      <c r="AA30">
        <f t="shared" si="20"/>
        <v>7.2069999999999995E-2</v>
      </c>
      <c r="AB30">
        <f t="shared" si="20"/>
        <v>7.2069999999999995E-2</v>
      </c>
      <c r="AC30">
        <f t="shared" si="20"/>
        <v>7.2069999999999995E-2</v>
      </c>
      <c r="AD30">
        <f t="shared" si="20"/>
        <v>7.2069999999999995E-2</v>
      </c>
      <c r="AE30">
        <f t="shared" si="20"/>
        <v>7.2069999999999995E-2</v>
      </c>
      <c r="AF30">
        <f t="shared" si="20"/>
        <v>7.2069999999999995E-2</v>
      </c>
      <c r="AG30">
        <f t="shared" si="20"/>
        <v>7.2069999999999995E-2</v>
      </c>
      <c r="AH30" s="56">
        <v>7.2069999999999995E-2</v>
      </c>
      <c r="AI30" s="1" t="s">
        <v>350</v>
      </c>
      <c r="AJ30" s="1" t="str">
        <f t="shared" si="22"/>
        <v>Trd_bus_dsl</v>
      </c>
      <c r="AK30" t="str">
        <f t="shared" si="0"/>
        <v>Trd_bus</v>
      </c>
      <c r="AL30">
        <f t="shared" si="1"/>
        <v>25</v>
      </c>
      <c r="AN30" t="str">
        <f t="shared" si="2"/>
        <v>DMD</v>
      </c>
      <c r="AO30" t="str">
        <f t="shared" si="3"/>
        <v>Trd_bus_dsl</v>
      </c>
      <c r="AQ30" t="s">
        <v>156</v>
      </c>
      <c r="AR30" t="s">
        <v>354</v>
      </c>
      <c r="AS30" t="s">
        <v>361</v>
      </c>
    </row>
    <row r="31" spans="1:45" x14ac:dyDescent="0.45">
      <c r="C31" t="str">
        <f t="shared" si="21"/>
        <v>TRAELC</v>
      </c>
      <c r="D31">
        <f t="shared" si="18"/>
        <v>0.313</v>
      </c>
      <c r="E31">
        <f t="shared" si="18"/>
        <v>0.313</v>
      </c>
      <c r="F31">
        <f t="shared" si="18"/>
        <v>0.313</v>
      </c>
      <c r="G31">
        <f t="shared" si="18"/>
        <v>0.313</v>
      </c>
      <c r="H31">
        <f t="shared" si="18"/>
        <v>0.313</v>
      </c>
      <c r="I31">
        <f t="shared" si="18"/>
        <v>0.313</v>
      </c>
      <c r="J31">
        <f t="shared" si="18"/>
        <v>0.313</v>
      </c>
      <c r="K31">
        <f t="shared" si="18"/>
        <v>0.313</v>
      </c>
      <c r="L31">
        <f t="shared" si="18"/>
        <v>0.313</v>
      </c>
      <c r="M31">
        <f t="shared" si="18"/>
        <v>0.313</v>
      </c>
      <c r="N31">
        <f t="shared" si="19"/>
        <v>0.313</v>
      </c>
      <c r="O31">
        <f t="shared" si="19"/>
        <v>0.313</v>
      </c>
      <c r="P31">
        <f t="shared" si="19"/>
        <v>0.313</v>
      </c>
      <c r="Q31">
        <f t="shared" si="19"/>
        <v>0.313</v>
      </c>
      <c r="R31">
        <f t="shared" si="19"/>
        <v>0.313</v>
      </c>
      <c r="S31">
        <f t="shared" si="19"/>
        <v>0.313</v>
      </c>
      <c r="T31">
        <f t="shared" si="19"/>
        <v>0.313</v>
      </c>
      <c r="U31">
        <f t="shared" si="20"/>
        <v>0.313</v>
      </c>
      <c r="V31">
        <f t="shared" si="20"/>
        <v>0.313</v>
      </c>
      <c r="W31">
        <f t="shared" si="20"/>
        <v>0.313</v>
      </c>
      <c r="X31">
        <f t="shared" si="20"/>
        <v>0.313</v>
      </c>
      <c r="Y31">
        <f t="shared" si="20"/>
        <v>0.313</v>
      </c>
      <c r="Z31">
        <f t="shared" si="20"/>
        <v>0.313</v>
      </c>
      <c r="AA31">
        <f t="shared" si="20"/>
        <v>0.313</v>
      </c>
      <c r="AB31">
        <f t="shared" si="20"/>
        <v>0.313</v>
      </c>
      <c r="AC31">
        <f t="shared" si="20"/>
        <v>0.313</v>
      </c>
      <c r="AD31">
        <f t="shared" si="20"/>
        <v>0.313</v>
      </c>
      <c r="AE31">
        <f t="shared" si="20"/>
        <v>0.313</v>
      </c>
      <c r="AF31">
        <f t="shared" si="20"/>
        <v>0.313</v>
      </c>
      <c r="AG31">
        <f t="shared" si="20"/>
        <v>0.313</v>
      </c>
      <c r="AH31" s="56">
        <v>0.313</v>
      </c>
      <c r="AI31" s="1" t="s">
        <v>350</v>
      </c>
      <c r="AJ31" s="1" t="str">
        <f t="shared" si="22"/>
        <v>Trd_bus_elc</v>
      </c>
      <c r="AK31" t="str">
        <f t="shared" si="0"/>
        <v>Trd_bus</v>
      </c>
      <c r="AL31">
        <f t="shared" si="1"/>
        <v>25</v>
      </c>
      <c r="AN31" t="str">
        <f t="shared" si="2"/>
        <v>DMD</v>
      </c>
      <c r="AO31" t="str">
        <f t="shared" si="3"/>
        <v>Trd_bus_elc</v>
      </c>
      <c r="AQ31" t="s">
        <v>156</v>
      </c>
      <c r="AR31" t="s">
        <v>354</v>
      </c>
      <c r="AS31" t="s">
        <v>361</v>
      </c>
    </row>
    <row r="32" spans="1:45" x14ac:dyDescent="0.45">
      <c r="C32" t="str">
        <f t="shared" si="21"/>
        <v>TRAGSL</v>
      </c>
      <c r="D32">
        <f t="shared" si="18"/>
        <v>0.08</v>
      </c>
      <c r="E32">
        <f t="shared" si="18"/>
        <v>0.08</v>
      </c>
      <c r="F32">
        <f t="shared" si="18"/>
        <v>0.08</v>
      </c>
      <c r="G32">
        <f t="shared" si="18"/>
        <v>0.08</v>
      </c>
      <c r="H32">
        <f t="shared" si="18"/>
        <v>0.08</v>
      </c>
      <c r="I32">
        <f t="shared" si="18"/>
        <v>0.08</v>
      </c>
      <c r="J32">
        <f t="shared" si="18"/>
        <v>0.08</v>
      </c>
      <c r="K32">
        <f t="shared" si="18"/>
        <v>0.08</v>
      </c>
      <c r="L32">
        <f t="shared" si="18"/>
        <v>0.08</v>
      </c>
      <c r="M32">
        <f t="shared" si="18"/>
        <v>0.08</v>
      </c>
      <c r="N32">
        <f t="shared" si="19"/>
        <v>0.08</v>
      </c>
      <c r="O32">
        <f t="shared" si="19"/>
        <v>0.08</v>
      </c>
      <c r="P32">
        <f t="shared" si="19"/>
        <v>0.08</v>
      </c>
      <c r="Q32">
        <f t="shared" si="19"/>
        <v>0.08</v>
      </c>
      <c r="R32">
        <f t="shared" si="19"/>
        <v>0.08</v>
      </c>
      <c r="S32">
        <f t="shared" si="19"/>
        <v>0.08</v>
      </c>
      <c r="T32">
        <f t="shared" si="19"/>
        <v>0.08</v>
      </c>
      <c r="U32">
        <f t="shared" si="20"/>
        <v>0.08</v>
      </c>
      <c r="V32">
        <f t="shared" si="20"/>
        <v>0.08</v>
      </c>
      <c r="W32">
        <f t="shared" si="20"/>
        <v>0.08</v>
      </c>
      <c r="X32">
        <f t="shared" si="20"/>
        <v>0.08</v>
      </c>
      <c r="Y32">
        <f t="shared" si="20"/>
        <v>0.08</v>
      </c>
      <c r="Z32">
        <f t="shared" si="20"/>
        <v>0.08</v>
      </c>
      <c r="AA32">
        <f t="shared" si="20"/>
        <v>0.08</v>
      </c>
      <c r="AB32">
        <f t="shared" si="20"/>
        <v>0.08</v>
      </c>
      <c r="AC32">
        <f t="shared" si="20"/>
        <v>0.08</v>
      </c>
      <c r="AD32">
        <f t="shared" si="20"/>
        <v>0.08</v>
      </c>
      <c r="AE32">
        <f t="shared" si="20"/>
        <v>0.08</v>
      </c>
      <c r="AF32">
        <f t="shared" si="20"/>
        <v>0.08</v>
      </c>
      <c r="AG32">
        <f t="shared" si="20"/>
        <v>0.08</v>
      </c>
      <c r="AH32" s="56">
        <v>0.08</v>
      </c>
      <c r="AI32" s="1" t="s">
        <v>350</v>
      </c>
      <c r="AJ32" s="1" t="str">
        <f t="shared" si="22"/>
        <v>Trd_bus_gsl</v>
      </c>
      <c r="AK32" t="str">
        <f t="shared" si="0"/>
        <v>Trd_bus</v>
      </c>
      <c r="AL32">
        <f t="shared" si="1"/>
        <v>25</v>
      </c>
      <c r="AN32" t="str">
        <f t="shared" si="2"/>
        <v>DMD</v>
      </c>
      <c r="AO32" t="str">
        <f t="shared" si="3"/>
        <v>Trd_bus_gsl</v>
      </c>
      <c r="AQ32" t="s">
        <v>156</v>
      </c>
      <c r="AR32" t="s">
        <v>354</v>
      </c>
      <c r="AS32" t="s">
        <v>361</v>
      </c>
    </row>
    <row r="33" spans="1:45" x14ac:dyDescent="0.45">
      <c r="C33" t="str">
        <f t="shared" si="21"/>
        <v>TRALPG</v>
      </c>
      <c r="D33">
        <f t="shared" si="18"/>
        <v>7.5999999999999998E-2</v>
      </c>
      <c r="E33">
        <f t="shared" si="18"/>
        <v>7.5999999999999998E-2</v>
      </c>
      <c r="F33">
        <f t="shared" si="18"/>
        <v>7.5999999999999998E-2</v>
      </c>
      <c r="G33">
        <f t="shared" si="18"/>
        <v>7.5999999999999998E-2</v>
      </c>
      <c r="H33">
        <f t="shared" si="18"/>
        <v>7.5999999999999998E-2</v>
      </c>
      <c r="I33">
        <f t="shared" si="18"/>
        <v>7.5999999999999998E-2</v>
      </c>
      <c r="J33">
        <f t="shared" si="18"/>
        <v>7.5999999999999998E-2</v>
      </c>
      <c r="K33">
        <f t="shared" si="18"/>
        <v>7.5999999999999998E-2</v>
      </c>
      <c r="L33">
        <f t="shared" si="18"/>
        <v>7.5999999999999998E-2</v>
      </c>
      <c r="M33">
        <f t="shared" si="18"/>
        <v>7.5999999999999998E-2</v>
      </c>
      <c r="N33">
        <f t="shared" si="19"/>
        <v>7.5999999999999998E-2</v>
      </c>
      <c r="O33">
        <f t="shared" si="19"/>
        <v>7.5999999999999998E-2</v>
      </c>
      <c r="P33">
        <f t="shared" si="19"/>
        <v>7.5999999999999998E-2</v>
      </c>
      <c r="Q33">
        <f t="shared" si="19"/>
        <v>7.5999999999999998E-2</v>
      </c>
      <c r="R33">
        <f t="shared" si="19"/>
        <v>7.5999999999999998E-2</v>
      </c>
      <c r="S33">
        <f t="shared" si="19"/>
        <v>7.5999999999999998E-2</v>
      </c>
      <c r="T33">
        <f t="shared" si="19"/>
        <v>7.5999999999999998E-2</v>
      </c>
      <c r="U33">
        <f t="shared" si="20"/>
        <v>7.5999999999999998E-2</v>
      </c>
      <c r="V33">
        <f t="shared" si="20"/>
        <v>7.5999999999999998E-2</v>
      </c>
      <c r="W33">
        <f t="shared" si="20"/>
        <v>7.5999999999999998E-2</v>
      </c>
      <c r="X33">
        <f t="shared" si="20"/>
        <v>7.5999999999999998E-2</v>
      </c>
      <c r="Y33">
        <f t="shared" si="20"/>
        <v>7.5999999999999998E-2</v>
      </c>
      <c r="Z33">
        <f t="shared" si="20"/>
        <v>7.5999999999999998E-2</v>
      </c>
      <c r="AA33">
        <f t="shared" si="20"/>
        <v>7.5999999999999998E-2</v>
      </c>
      <c r="AB33">
        <f t="shared" si="20"/>
        <v>7.5999999999999998E-2</v>
      </c>
      <c r="AC33">
        <f t="shared" si="20"/>
        <v>7.5999999999999998E-2</v>
      </c>
      <c r="AD33">
        <f t="shared" si="20"/>
        <v>7.5999999999999998E-2</v>
      </c>
      <c r="AE33">
        <f t="shared" si="20"/>
        <v>7.5999999999999998E-2</v>
      </c>
      <c r="AF33">
        <f t="shared" si="20"/>
        <v>7.5999999999999998E-2</v>
      </c>
      <c r="AG33">
        <f t="shared" si="20"/>
        <v>7.5999999999999998E-2</v>
      </c>
      <c r="AH33" s="56">
        <v>7.5999999999999998E-2</v>
      </c>
      <c r="AI33" s="1" t="s">
        <v>350</v>
      </c>
      <c r="AJ33" s="1" t="str">
        <f t="shared" si="22"/>
        <v>Trd_bus_lpg</v>
      </c>
      <c r="AK33" t="str">
        <f t="shared" si="0"/>
        <v>Trd_bus</v>
      </c>
      <c r="AL33">
        <f t="shared" si="1"/>
        <v>25</v>
      </c>
      <c r="AN33" t="str">
        <f t="shared" si="2"/>
        <v>DMD</v>
      </c>
      <c r="AO33" t="str">
        <f t="shared" si="3"/>
        <v>Trd_bus_lpg</v>
      </c>
      <c r="AQ33" t="s">
        <v>156</v>
      </c>
      <c r="AR33" t="s">
        <v>354</v>
      </c>
      <c r="AS33" t="s">
        <v>361</v>
      </c>
    </row>
    <row r="34" spans="1:45" x14ac:dyDescent="0.45">
      <c r="C34" t="str">
        <f t="shared" si="21"/>
        <v>TRANGA</v>
      </c>
      <c r="D34">
        <f t="shared" si="18"/>
        <v>6.1199999999999997E-2</v>
      </c>
      <c r="E34">
        <f t="shared" si="18"/>
        <v>6.1199999999999997E-2</v>
      </c>
      <c r="F34">
        <f t="shared" si="18"/>
        <v>6.1199999999999997E-2</v>
      </c>
      <c r="G34">
        <f t="shared" si="18"/>
        <v>6.1199999999999997E-2</v>
      </c>
      <c r="H34">
        <f t="shared" si="18"/>
        <v>6.1199999999999997E-2</v>
      </c>
      <c r="I34">
        <f t="shared" si="18"/>
        <v>6.1199999999999997E-2</v>
      </c>
      <c r="J34">
        <f t="shared" si="18"/>
        <v>6.1199999999999997E-2</v>
      </c>
      <c r="K34">
        <f t="shared" si="18"/>
        <v>6.1199999999999997E-2</v>
      </c>
      <c r="L34">
        <f t="shared" si="18"/>
        <v>6.1199999999999997E-2</v>
      </c>
      <c r="M34">
        <f t="shared" si="18"/>
        <v>6.1199999999999997E-2</v>
      </c>
      <c r="N34">
        <f t="shared" si="19"/>
        <v>6.1199999999999997E-2</v>
      </c>
      <c r="O34">
        <f t="shared" si="19"/>
        <v>6.1199999999999997E-2</v>
      </c>
      <c r="P34">
        <f t="shared" si="19"/>
        <v>6.1199999999999997E-2</v>
      </c>
      <c r="Q34">
        <f t="shared" si="19"/>
        <v>6.1199999999999997E-2</v>
      </c>
      <c r="R34">
        <f t="shared" si="19"/>
        <v>6.1199999999999997E-2</v>
      </c>
      <c r="S34">
        <f t="shared" si="19"/>
        <v>6.1199999999999997E-2</v>
      </c>
      <c r="T34">
        <f t="shared" si="19"/>
        <v>6.1199999999999997E-2</v>
      </c>
      <c r="U34">
        <f t="shared" si="20"/>
        <v>6.1199999999999997E-2</v>
      </c>
      <c r="V34">
        <f t="shared" si="20"/>
        <v>6.1199999999999997E-2</v>
      </c>
      <c r="W34">
        <f t="shared" si="20"/>
        <v>6.1199999999999997E-2</v>
      </c>
      <c r="X34">
        <f t="shared" si="20"/>
        <v>6.1199999999999997E-2</v>
      </c>
      <c r="Y34">
        <f t="shared" si="20"/>
        <v>6.1199999999999997E-2</v>
      </c>
      <c r="Z34">
        <f t="shared" si="20"/>
        <v>6.1199999999999997E-2</v>
      </c>
      <c r="AA34">
        <f t="shared" si="20"/>
        <v>6.1199999999999997E-2</v>
      </c>
      <c r="AB34">
        <f t="shared" si="20"/>
        <v>6.1199999999999997E-2</v>
      </c>
      <c r="AC34">
        <f t="shared" si="20"/>
        <v>6.1199999999999997E-2</v>
      </c>
      <c r="AD34">
        <f t="shared" si="20"/>
        <v>6.1199999999999997E-2</v>
      </c>
      <c r="AE34">
        <f t="shared" si="20"/>
        <v>6.1199999999999997E-2</v>
      </c>
      <c r="AF34">
        <f t="shared" si="20"/>
        <v>6.1199999999999997E-2</v>
      </c>
      <c r="AG34">
        <f t="shared" si="20"/>
        <v>6.1199999999999997E-2</v>
      </c>
      <c r="AH34" s="56">
        <v>6.1199999999999997E-2</v>
      </c>
      <c r="AI34" s="1" t="s">
        <v>350</v>
      </c>
      <c r="AJ34" s="1" t="str">
        <f t="shared" si="22"/>
        <v>Trd_bus_nga</v>
      </c>
      <c r="AK34" t="str">
        <f t="shared" si="0"/>
        <v>Trd_bus</v>
      </c>
      <c r="AL34">
        <f t="shared" si="1"/>
        <v>25</v>
      </c>
      <c r="AN34" t="str">
        <f t="shared" si="2"/>
        <v>DMD</v>
      </c>
      <c r="AO34" t="str">
        <f t="shared" si="3"/>
        <v>Trd_bus_nga</v>
      </c>
      <c r="AQ34" t="s">
        <v>156</v>
      </c>
      <c r="AR34" t="s">
        <v>354</v>
      </c>
      <c r="AS34" t="s">
        <v>361</v>
      </c>
    </row>
    <row r="35" spans="1:45" x14ac:dyDescent="0.45">
      <c r="AI35" t="s">
        <v>169</v>
      </c>
      <c r="AK35" t="str">
        <f t="shared" si="0"/>
        <v/>
      </c>
      <c r="AL35" t="str">
        <f t="shared" si="1"/>
        <v/>
      </c>
      <c r="AN35" t="str">
        <f t="shared" si="2"/>
        <v>*</v>
      </c>
      <c r="AO35">
        <f t="shared" si="3"/>
        <v>0</v>
      </c>
      <c r="AQ35" t="s">
        <v>156</v>
      </c>
      <c r="AR35" t="s">
        <v>354</v>
      </c>
      <c r="AS35" t="s">
        <v>361</v>
      </c>
    </row>
    <row r="36" spans="1:45" x14ac:dyDescent="0.45">
      <c r="A36" t="s">
        <v>332</v>
      </c>
      <c r="C36" t="str">
        <f>C28</f>
        <v>TRABDS</v>
      </c>
      <c r="D36" s="40">
        <v>35</v>
      </c>
      <c r="E36" s="40">
        <v>35</v>
      </c>
      <c r="F36" s="40">
        <v>35</v>
      </c>
      <c r="G36" s="40">
        <v>35</v>
      </c>
      <c r="H36" s="40">
        <v>35</v>
      </c>
      <c r="I36" s="40">
        <v>35</v>
      </c>
      <c r="J36" s="40">
        <v>35</v>
      </c>
      <c r="K36" s="40">
        <v>35</v>
      </c>
      <c r="L36" s="40">
        <v>35</v>
      </c>
      <c r="M36" s="40">
        <v>35</v>
      </c>
      <c r="N36" s="40">
        <v>35</v>
      </c>
      <c r="O36" s="40">
        <v>35</v>
      </c>
      <c r="P36" s="40">
        <v>35</v>
      </c>
      <c r="Q36" s="40">
        <v>35</v>
      </c>
      <c r="R36" s="40">
        <v>35</v>
      </c>
      <c r="S36" s="40">
        <v>35</v>
      </c>
      <c r="T36" s="40">
        <v>35</v>
      </c>
      <c r="U36" s="40">
        <v>35</v>
      </c>
      <c r="V36" s="40">
        <v>35</v>
      </c>
      <c r="W36" s="40">
        <v>35</v>
      </c>
      <c r="X36" s="40">
        <v>35</v>
      </c>
      <c r="Y36" s="40">
        <v>35</v>
      </c>
      <c r="Z36" s="40">
        <v>35</v>
      </c>
      <c r="AA36" s="40">
        <v>35</v>
      </c>
      <c r="AB36" s="40">
        <v>35</v>
      </c>
      <c r="AC36" s="40">
        <v>35</v>
      </c>
      <c r="AD36" s="40">
        <v>35</v>
      </c>
      <c r="AE36" s="40">
        <v>35</v>
      </c>
      <c r="AF36" s="40">
        <v>35</v>
      </c>
      <c r="AG36" s="40">
        <v>35</v>
      </c>
      <c r="AI36" t="s">
        <v>351</v>
      </c>
      <c r="AJ36" s="1" t="str">
        <f>AJ28</f>
        <v>Trd_bus_bdl</v>
      </c>
      <c r="AK36" t="str">
        <f t="shared" si="0"/>
        <v>Trd_bus</v>
      </c>
      <c r="AL36">
        <f t="shared" si="1"/>
        <v>25</v>
      </c>
      <c r="AN36" t="str">
        <f t="shared" si="2"/>
        <v>DMD</v>
      </c>
      <c r="AO36" t="str">
        <f t="shared" si="3"/>
        <v>Trd_bus_bdl</v>
      </c>
      <c r="AQ36" t="s">
        <v>156</v>
      </c>
      <c r="AR36" t="s">
        <v>354</v>
      </c>
      <c r="AS36" t="s">
        <v>361</v>
      </c>
    </row>
    <row r="37" spans="1:45" x14ac:dyDescent="0.45">
      <c r="C37" t="str">
        <f t="shared" ref="C37:C42" si="23">C29</f>
        <v>TRABGS</v>
      </c>
      <c r="D37" s="40">
        <v>35</v>
      </c>
      <c r="E37" s="40">
        <v>35</v>
      </c>
      <c r="F37" s="40">
        <v>35</v>
      </c>
      <c r="G37" s="40">
        <v>35</v>
      </c>
      <c r="H37" s="40">
        <v>35</v>
      </c>
      <c r="I37" s="40">
        <v>35</v>
      </c>
      <c r="J37" s="40">
        <v>35</v>
      </c>
      <c r="K37" s="40">
        <f>K36</f>
        <v>35</v>
      </c>
      <c r="L37" s="40">
        <f t="shared" ref="L37:P37" si="24">L36</f>
        <v>35</v>
      </c>
      <c r="M37" s="40">
        <f t="shared" si="24"/>
        <v>35</v>
      </c>
      <c r="N37" s="40">
        <f t="shared" si="24"/>
        <v>35</v>
      </c>
      <c r="O37" s="40">
        <f t="shared" si="24"/>
        <v>35</v>
      </c>
      <c r="P37" s="40">
        <f t="shared" si="24"/>
        <v>35</v>
      </c>
      <c r="Q37" s="40">
        <v>35</v>
      </c>
      <c r="R37" s="40">
        <v>35</v>
      </c>
      <c r="S37" s="40">
        <v>35</v>
      </c>
      <c r="T37" s="40">
        <v>35</v>
      </c>
      <c r="U37" s="40">
        <v>35</v>
      </c>
      <c r="V37" s="40">
        <v>35</v>
      </c>
      <c r="W37" s="40">
        <v>35</v>
      </c>
      <c r="X37" s="40">
        <v>35</v>
      </c>
      <c r="Y37" s="40">
        <v>35</v>
      </c>
      <c r="Z37" s="40">
        <v>35</v>
      </c>
      <c r="AA37" s="40">
        <v>35</v>
      </c>
      <c r="AB37" s="40">
        <v>35</v>
      </c>
      <c r="AC37" s="40">
        <v>35</v>
      </c>
      <c r="AD37" s="40">
        <v>35</v>
      </c>
      <c r="AE37" s="40">
        <v>35</v>
      </c>
      <c r="AF37" s="40">
        <v>35</v>
      </c>
      <c r="AG37" s="40">
        <v>35</v>
      </c>
      <c r="AI37" t="s">
        <v>351</v>
      </c>
      <c r="AJ37" s="1" t="str">
        <f t="shared" ref="AJ37:AJ42" si="25">AJ29</f>
        <v>Trd_bus_eth</v>
      </c>
      <c r="AK37" t="str">
        <f t="shared" si="0"/>
        <v>Trd_bus</v>
      </c>
      <c r="AL37">
        <f t="shared" si="1"/>
        <v>25</v>
      </c>
      <c r="AN37" t="str">
        <f t="shared" si="2"/>
        <v>DMD</v>
      </c>
      <c r="AO37" t="str">
        <f t="shared" si="3"/>
        <v>Trd_bus_eth</v>
      </c>
      <c r="AQ37" t="s">
        <v>156</v>
      </c>
      <c r="AR37" t="s">
        <v>354</v>
      </c>
      <c r="AS37" t="s">
        <v>361</v>
      </c>
    </row>
    <row r="38" spans="1:45" x14ac:dyDescent="0.45">
      <c r="C38" t="str">
        <f t="shared" si="23"/>
        <v>TRADST</v>
      </c>
      <c r="D38" s="40">
        <v>35</v>
      </c>
      <c r="E38" s="40">
        <v>35</v>
      </c>
      <c r="F38" s="40">
        <v>35</v>
      </c>
      <c r="G38" s="40">
        <v>35</v>
      </c>
      <c r="H38" s="40">
        <v>35</v>
      </c>
      <c r="I38" s="40">
        <v>35</v>
      </c>
      <c r="J38" s="40">
        <v>35</v>
      </c>
      <c r="K38" s="40">
        <f t="shared" ref="K38:K42" si="26">K37</f>
        <v>35</v>
      </c>
      <c r="L38" s="40">
        <f t="shared" ref="L38:L42" si="27">L37</f>
        <v>35</v>
      </c>
      <c r="M38" s="40">
        <f t="shared" ref="M38:M42" si="28">M37</f>
        <v>35</v>
      </c>
      <c r="N38" s="40">
        <f t="shared" ref="N38:N42" si="29">N37</f>
        <v>35</v>
      </c>
      <c r="O38" s="40">
        <f t="shared" ref="O38:O42" si="30">O37</f>
        <v>35</v>
      </c>
      <c r="P38" s="40">
        <f t="shared" ref="P38:P42" si="31">P37</f>
        <v>35</v>
      </c>
      <c r="Q38" s="40">
        <v>35</v>
      </c>
      <c r="R38" s="40">
        <v>35</v>
      </c>
      <c r="S38" s="40">
        <v>35</v>
      </c>
      <c r="T38" s="40">
        <v>35</v>
      </c>
      <c r="U38" s="40">
        <v>35</v>
      </c>
      <c r="V38" s="40">
        <v>35</v>
      </c>
      <c r="W38" s="40">
        <v>35</v>
      </c>
      <c r="X38" s="40">
        <v>35</v>
      </c>
      <c r="Y38" s="40">
        <v>35</v>
      </c>
      <c r="Z38" s="40">
        <v>35</v>
      </c>
      <c r="AA38" s="40">
        <v>35</v>
      </c>
      <c r="AB38" s="40">
        <v>35</v>
      </c>
      <c r="AC38" s="40">
        <v>35</v>
      </c>
      <c r="AD38" s="40">
        <v>35</v>
      </c>
      <c r="AE38" s="40">
        <v>35</v>
      </c>
      <c r="AF38" s="40">
        <v>35</v>
      </c>
      <c r="AG38" s="40">
        <v>35</v>
      </c>
      <c r="AI38" t="s">
        <v>351</v>
      </c>
      <c r="AJ38" s="1" t="str">
        <f t="shared" si="25"/>
        <v>Trd_bus_dsl</v>
      </c>
      <c r="AK38" t="str">
        <f t="shared" si="0"/>
        <v>Trd_bus</v>
      </c>
      <c r="AL38">
        <f t="shared" si="1"/>
        <v>25</v>
      </c>
      <c r="AN38" t="str">
        <f t="shared" si="2"/>
        <v>DMD</v>
      </c>
      <c r="AO38" t="str">
        <f t="shared" si="3"/>
        <v>Trd_bus_dsl</v>
      </c>
      <c r="AQ38" t="s">
        <v>156</v>
      </c>
      <c r="AR38" t="s">
        <v>354</v>
      </c>
      <c r="AS38" t="s">
        <v>361</v>
      </c>
    </row>
    <row r="39" spans="1:45" x14ac:dyDescent="0.45">
      <c r="C39" t="str">
        <f t="shared" si="23"/>
        <v>TRAELC</v>
      </c>
      <c r="D39" s="40">
        <v>35</v>
      </c>
      <c r="E39" s="40">
        <v>35</v>
      </c>
      <c r="F39" s="40">
        <v>35</v>
      </c>
      <c r="G39" s="40">
        <v>35</v>
      </c>
      <c r="H39" s="40">
        <v>35</v>
      </c>
      <c r="I39" s="40">
        <v>35</v>
      </c>
      <c r="J39" s="40">
        <v>35</v>
      </c>
      <c r="K39" s="40">
        <f t="shared" si="26"/>
        <v>35</v>
      </c>
      <c r="L39" s="40">
        <f t="shared" si="27"/>
        <v>35</v>
      </c>
      <c r="M39" s="40">
        <f t="shared" si="28"/>
        <v>35</v>
      </c>
      <c r="N39" s="40">
        <f t="shared" si="29"/>
        <v>35</v>
      </c>
      <c r="O39" s="40">
        <f t="shared" si="30"/>
        <v>35</v>
      </c>
      <c r="P39" s="40">
        <f t="shared" si="31"/>
        <v>35</v>
      </c>
      <c r="Q39" s="40">
        <v>35</v>
      </c>
      <c r="R39" s="40">
        <v>35</v>
      </c>
      <c r="S39" s="40">
        <v>35</v>
      </c>
      <c r="T39" s="40">
        <v>35</v>
      </c>
      <c r="U39" s="40">
        <v>35</v>
      </c>
      <c r="V39" s="40">
        <v>35</v>
      </c>
      <c r="W39" s="40">
        <v>35</v>
      </c>
      <c r="X39" s="40">
        <v>35</v>
      </c>
      <c r="Y39" s="40">
        <v>35</v>
      </c>
      <c r="Z39" s="40">
        <v>35</v>
      </c>
      <c r="AA39" s="40">
        <v>35</v>
      </c>
      <c r="AB39" s="40">
        <v>35</v>
      </c>
      <c r="AC39" s="40">
        <v>35</v>
      </c>
      <c r="AD39" s="40">
        <v>35</v>
      </c>
      <c r="AE39" s="40">
        <v>35</v>
      </c>
      <c r="AF39" s="40">
        <v>35</v>
      </c>
      <c r="AG39" s="40">
        <v>35</v>
      </c>
      <c r="AI39" t="s">
        <v>351</v>
      </c>
      <c r="AJ39" s="1" t="str">
        <f t="shared" si="25"/>
        <v>Trd_bus_elc</v>
      </c>
      <c r="AK39" t="str">
        <f t="shared" si="0"/>
        <v>Trd_bus</v>
      </c>
      <c r="AL39">
        <f t="shared" si="1"/>
        <v>25</v>
      </c>
      <c r="AN39" t="str">
        <f t="shared" si="2"/>
        <v>DMD</v>
      </c>
      <c r="AO39" t="str">
        <f t="shared" si="3"/>
        <v>Trd_bus_elc</v>
      </c>
      <c r="AQ39" t="s">
        <v>156</v>
      </c>
      <c r="AR39" t="s">
        <v>354</v>
      </c>
      <c r="AS39" t="s">
        <v>361</v>
      </c>
    </row>
    <row r="40" spans="1:45" x14ac:dyDescent="0.45">
      <c r="C40" t="str">
        <f t="shared" si="23"/>
        <v>TRAGSL</v>
      </c>
      <c r="D40" s="40">
        <v>35</v>
      </c>
      <c r="E40" s="40">
        <v>35</v>
      </c>
      <c r="F40" s="40">
        <v>35</v>
      </c>
      <c r="G40" s="40">
        <v>35</v>
      </c>
      <c r="H40" s="40">
        <v>35</v>
      </c>
      <c r="I40" s="40">
        <v>35</v>
      </c>
      <c r="J40" s="40">
        <v>35</v>
      </c>
      <c r="K40" s="40">
        <f t="shared" si="26"/>
        <v>35</v>
      </c>
      <c r="L40" s="40">
        <f t="shared" si="27"/>
        <v>35</v>
      </c>
      <c r="M40" s="40">
        <f t="shared" si="28"/>
        <v>35</v>
      </c>
      <c r="N40" s="40">
        <f t="shared" si="29"/>
        <v>35</v>
      </c>
      <c r="O40" s="40">
        <f t="shared" si="30"/>
        <v>35</v>
      </c>
      <c r="P40" s="40">
        <f t="shared" si="31"/>
        <v>35</v>
      </c>
      <c r="Q40" s="40">
        <v>35</v>
      </c>
      <c r="R40" s="40">
        <v>35</v>
      </c>
      <c r="S40" s="40">
        <v>35</v>
      </c>
      <c r="T40" s="40">
        <v>35</v>
      </c>
      <c r="U40" s="40">
        <v>35</v>
      </c>
      <c r="V40" s="40">
        <v>35</v>
      </c>
      <c r="W40" s="40">
        <v>35</v>
      </c>
      <c r="X40" s="40">
        <v>35</v>
      </c>
      <c r="Y40" s="40">
        <v>35</v>
      </c>
      <c r="Z40" s="40">
        <v>35</v>
      </c>
      <c r="AA40" s="40">
        <v>35</v>
      </c>
      <c r="AB40" s="40">
        <v>35</v>
      </c>
      <c r="AC40" s="40">
        <v>35</v>
      </c>
      <c r="AD40" s="40">
        <v>35</v>
      </c>
      <c r="AE40" s="40">
        <v>35</v>
      </c>
      <c r="AF40" s="40">
        <v>35</v>
      </c>
      <c r="AG40" s="40">
        <v>35</v>
      </c>
      <c r="AI40" t="s">
        <v>351</v>
      </c>
      <c r="AJ40" s="1" t="str">
        <f t="shared" si="25"/>
        <v>Trd_bus_gsl</v>
      </c>
      <c r="AK40" t="str">
        <f t="shared" si="0"/>
        <v>Trd_bus</v>
      </c>
      <c r="AL40">
        <f t="shared" si="1"/>
        <v>25</v>
      </c>
      <c r="AN40" t="str">
        <f t="shared" si="2"/>
        <v>DMD</v>
      </c>
      <c r="AO40" t="str">
        <f t="shared" si="3"/>
        <v>Trd_bus_gsl</v>
      </c>
      <c r="AQ40" t="s">
        <v>156</v>
      </c>
      <c r="AR40" t="s">
        <v>354</v>
      </c>
      <c r="AS40" t="s">
        <v>361</v>
      </c>
    </row>
    <row r="41" spans="1:45" x14ac:dyDescent="0.45">
      <c r="C41" t="str">
        <f t="shared" si="23"/>
        <v>TRALPG</v>
      </c>
      <c r="D41" s="40">
        <v>35</v>
      </c>
      <c r="E41" s="40">
        <v>35</v>
      </c>
      <c r="F41" s="40">
        <v>35</v>
      </c>
      <c r="G41" s="40">
        <v>35</v>
      </c>
      <c r="H41" s="40">
        <v>35</v>
      </c>
      <c r="I41" s="40">
        <v>35</v>
      </c>
      <c r="J41" s="40">
        <v>35</v>
      </c>
      <c r="K41" s="40">
        <f t="shared" si="26"/>
        <v>35</v>
      </c>
      <c r="L41" s="40">
        <f t="shared" si="27"/>
        <v>35</v>
      </c>
      <c r="M41" s="40">
        <f t="shared" si="28"/>
        <v>35</v>
      </c>
      <c r="N41" s="40">
        <f t="shared" si="29"/>
        <v>35</v>
      </c>
      <c r="O41" s="40">
        <f t="shared" si="30"/>
        <v>35</v>
      </c>
      <c r="P41" s="40">
        <f t="shared" si="31"/>
        <v>35</v>
      </c>
      <c r="Q41" s="40">
        <v>35</v>
      </c>
      <c r="R41" s="40">
        <v>35</v>
      </c>
      <c r="S41" s="40">
        <v>35</v>
      </c>
      <c r="T41" s="40">
        <v>35</v>
      </c>
      <c r="U41" s="40">
        <v>35</v>
      </c>
      <c r="V41" s="40">
        <v>35</v>
      </c>
      <c r="W41" s="40">
        <v>35</v>
      </c>
      <c r="X41" s="40">
        <v>35</v>
      </c>
      <c r="Y41" s="40">
        <v>35</v>
      </c>
      <c r="Z41" s="40">
        <v>35</v>
      </c>
      <c r="AA41" s="40">
        <v>35</v>
      </c>
      <c r="AB41" s="40">
        <v>35</v>
      </c>
      <c r="AC41" s="40">
        <v>35</v>
      </c>
      <c r="AD41" s="40">
        <v>35</v>
      </c>
      <c r="AE41" s="40">
        <v>35</v>
      </c>
      <c r="AF41" s="40">
        <v>35</v>
      </c>
      <c r="AG41" s="40">
        <v>35</v>
      </c>
      <c r="AI41" t="s">
        <v>351</v>
      </c>
      <c r="AJ41" s="1" t="str">
        <f t="shared" si="25"/>
        <v>Trd_bus_lpg</v>
      </c>
      <c r="AK41" t="str">
        <f t="shared" si="0"/>
        <v>Trd_bus</v>
      </c>
      <c r="AL41">
        <f t="shared" si="1"/>
        <v>25</v>
      </c>
      <c r="AN41" t="str">
        <f t="shared" si="2"/>
        <v>DMD</v>
      </c>
      <c r="AO41" t="str">
        <f t="shared" si="3"/>
        <v>Trd_bus_lpg</v>
      </c>
      <c r="AQ41" t="s">
        <v>156</v>
      </c>
      <c r="AR41" t="s">
        <v>354</v>
      </c>
      <c r="AS41" t="s">
        <v>361</v>
      </c>
    </row>
    <row r="42" spans="1:45" x14ac:dyDescent="0.45">
      <c r="C42" t="str">
        <f t="shared" si="23"/>
        <v>TRANGA</v>
      </c>
      <c r="D42" s="40">
        <v>35</v>
      </c>
      <c r="E42" s="40">
        <v>35</v>
      </c>
      <c r="F42" s="40">
        <v>35</v>
      </c>
      <c r="G42" s="40">
        <v>35</v>
      </c>
      <c r="H42" s="40">
        <v>35</v>
      </c>
      <c r="I42" s="40">
        <v>35</v>
      </c>
      <c r="J42" s="40">
        <v>35</v>
      </c>
      <c r="K42" s="40">
        <f t="shared" si="26"/>
        <v>35</v>
      </c>
      <c r="L42" s="40">
        <f t="shared" si="27"/>
        <v>35</v>
      </c>
      <c r="M42" s="40">
        <f t="shared" si="28"/>
        <v>35</v>
      </c>
      <c r="N42" s="40">
        <f t="shared" si="29"/>
        <v>35</v>
      </c>
      <c r="O42" s="40">
        <f t="shared" si="30"/>
        <v>35</v>
      </c>
      <c r="P42" s="40">
        <f t="shared" si="31"/>
        <v>35</v>
      </c>
      <c r="Q42" s="40">
        <v>35</v>
      </c>
      <c r="R42" s="40">
        <v>35</v>
      </c>
      <c r="S42" s="40">
        <v>35</v>
      </c>
      <c r="T42" s="40">
        <v>35</v>
      </c>
      <c r="U42" s="40">
        <v>35</v>
      </c>
      <c r="V42" s="40">
        <v>35</v>
      </c>
      <c r="W42" s="40">
        <v>35</v>
      </c>
      <c r="X42" s="40">
        <v>35</v>
      </c>
      <c r="Y42" s="40">
        <v>35</v>
      </c>
      <c r="Z42" s="40">
        <v>35</v>
      </c>
      <c r="AA42" s="40">
        <v>35</v>
      </c>
      <c r="AB42" s="40">
        <v>35</v>
      </c>
      <c r="AC42" s="40">
        <v>35</v>
      </c>
      <c r="AD42" s="40">
        <v>35</v>
      </c>
      <c r="AE42" s="40">
        <v>35</v>
      </c>
      <c r="AF42" s="40">
        <v>35</v>
      </c>
      <c r="AG42" s="40">
        <v>35</v>
      </c>
      <c r="AI42" t="s">
        <v>351</v>
      </c>
      <c r="AJ42" s="1" t="str">
        <f t="shared" si="25"/>
        <v>Trd_bus_nga</v>
      </c>
      <c r="AK42" t="str">
        <f t="shared" si="0"/>
        <v>Trd_bus</v>
      </c>
      <c r="AL42">
        <f t="shared" si="1"/>
        <v>25</v>
      </c>
      <c r="AN42" t="str">
        <f t="shared" si="2"/>
        <v>DMD</v>
      </c>
      <c r="AO42" t="str">
        <f t="shared" si="3"/>
        <v>Trd_bus_nga</v>
      </c>
      <c r="AQ42" t="s">
        <v>156</v>
      </c>
      <c r="AR42" t="s">
        <v>354</v>
      </c>
      <c r="AS42" t="s">
        <v>361</v>
      </c>
    </row>
    <row r="43" spans="1:45" x14ac:dyDescent="0.45">
      <c r="AI43" t="s">
        <v>169</v>
      </c>
      <c r="AL43" t="str">
        <f t="shared" si="1"/>
        <v/>
      </c>
    </row>
    <row r="44" spans="1:45" x14ac:dyDescent="0.45">
      <c r="D44" t="str">
        <f>D3</f>
        <v>Africa_north</v>
      </c>
      <c r="E44" t="str">
        <f t="shared" ref="E44:T44" si="32">E3</f>
        <v>Africa_other</v>
      </c>
      <c r="F44" t="str">
        <f t="shared" si="32"/>
        <v>Arg-Chi</v>
      </c>
      <c r="G44" t="str">
        <f t="shared" si="32"/>
        <v>Asia_central</v>
      </c>
      <c r="H44" t="str">
        <f t="shared" si="32"/>
        <v>Asia_east</v>
      </c>
      <c r="I44" t="str">
        <f t="shared" si="32"/>
        <v>Asia_other</v>
      </c>
      <c r="J44" t="str">
        <f t="shared" si="32"/>
        <v>Australia_NZ</v>
      </c>
      <c r="K44" t="str">
        <f t="shared" si="32"/>
        <v>Brazil</v>
      </c>
      <c r="L44" t="str">
        <f t="shared" si="32"/>
        <v>Canada</v>
      </c>
      <c r="M44" t="str">
        <f t="shared" si="32"/>
        <v>China</v>
      </c>
      <c r="N44" t="str">
        <f t="shared" si="32"/>
        <v>EU_north</v>
      </c>
      <c r="O44" t="str">
        <f t="shared" si="32"/>
        <v>EU_northeast</v>
      </c>
      <c r="P44" t="str">
        <f t="shared" si="32"/>
        <v>EU_northwest</v>
      </c>
      <c r="Q44" t="str">
        <f t="shared" si="32"/>
        <v>EU_south</v>
      </c>
      <c r="R44" t="str">
        <f t="shared" si="32"/>
        <v>EU_southeast</v>
      </c>
      <c r="S44" t="str">
        <f t="shared" si="32"/>
        <v>EU_southwest</v>
      </c>
      <c r="T44" t="str">
        <f t="shared" si="32"/>
        <v>Europe_other</v>
      </c>
      <c r="U44" t="str">
        <f t="shared" ref="U44:AG44" si="33">U3</f>
        <v>France</v>
      </c>
      <c r="V44" t="str">
        <f t="shared" si="33"/>
        <v>Germany</v>
      </c>
      <c r="W44" t="str">
        <f t="shared" si="33"/>
        <v>India</v>
      </c>
      <c r="X44" t="str">
        <f t="shared" si="33"/>
        <v>LatAm_other</v>
      </c>
      <c r="Y44" t="str">
        <f t="shared" si="33"/>
        <v>Mexico</v>
      </c>
      <c r="Z44" t="str">
        <f t="shared" si="33"/>
        <v>MidEast_other</v>
      </c>
      <c r="AA44" t="str">
        <f t="shared" si="33"/>
        <v>Nor-Ice</v>
      </c>
      <c r="AB44" t="str">
        <f t="shared" si="33"/>
        <v>Russia</v>
      </c>
      <c r="AC44" t="str">
        <f t="shared" si="33"/>
        <v>SaudiArabia</v>
      </c>
      <c r="AD44" t="str">
        <f t="shared" si="33"/>
        <v>SouthAfrica</v>
      </c>
      <c r="AE44" t="str">
        <f t="shared" si="33"/>
        <v>UK</v>
      </c>
      <c r="AF44" t="str">
        <f t="shared" si="33"/>
        <v>USA</v>
      </c>
      <c r="AG44" t="str">
        <f t="shared" si="33"/>
        <v>\I:</v>
      </c>
      <c r="AI44" t="s">
        <v>169</v>
      </c>
      <c r="AL44" t="str">
        <f t="shared" si="1"/>
        <v/>
      </c>
    </row>
    <row r="45" spans="1:45" x14ac:dyDescent="0.45">
      <c r="A45" t="s">
        <v>333</v>
      </c>
      <c r="D45" s="2">
        <f ca="1">SUMPRODUCT(D36:D42,D19:D25)</f>
        <v>26.25</v>
      </c>
      <c r="E45" s="2">
        <f t="shared" ref="E45:T45" ca="1" si="34">SUMPRODUCT(E36:E42,E19:E25)</f>
        <v>22.400000000000002</v>
      </c>
      <c r="F45" s="2">
        <f t="shared" ca="1" si="34"/>
        <v>5.95</v>
      </c>
      <c r="G45" s="2">
        <f t="shared" ca="1" si="34"/>
        <v>1.7500000000000002</v>
      </c>
      <c r="H45" s="2">
        <f t="shared" ca="1" si="34"/>
        <v>5.95</v>
      </c>
      <c r="I45" s="2">
        <f t="shared" ca="1" si="34"/>
        <v>32.550000000000004</v>
      </c>
      <c r="J45" s="2">
        <f t="shared" ca="1" si="34"/>
        <v>8.0499999999999989</v>
      </c>
      <c r="K45" s="2">
        <f t="shared" ca="1" si="34"/>
        <v>16.099999999999998</v>
      </c>
      <c r="L45" s="2">
        <f t="shared" ca="1" si="34"/>
        <v>2.8000000000000003</v>
      </c>
      <c r="M45" s="2">
        <f t="shared" ca="1" si="34"/>
        <v>136.5</v>
      </c>
      <c r="N45" s="2">
        <f t="shared" ca="1" si="34"/>
        <v>1.7500000000000002</v>
      </c>
      <c r="O45" s="2">
        <f t="shared" ca="1" si="34"/>
        <v>12.249999999999998</v>
      </c>
      <c r="P45" s="2">
        <f t="shared" ca="1" si="34"/>
        <v>3.1500000000000004</v>
      </c>
      <c r="Q45" s="2">
        <f t="shared" ca="1" si="34"/>
        <v>5.6</v>
      </c>
      <c r="R45" s="2">
        <f t="shared" ca="1" si="34"/>
        <v>5.2499999999999991</v>
      </c>
      <c r="S45" s="2">
        <f t="shared" ca="1" si="34"/>
        <v>4.8999999999999995</v>
      </c>
      <c r="T45" s="2">
        <f t="shared" ca="1" si="34"/>
        <v>12.95</v>
      </c>
      <c r="U45" s="2">
        <f t="shared" ref="U45:AG45" ca="1" si="35">SUMPRODUCT(U36:U42,U19:U25)</f>
        <v>5.95</v>
      </c>
      <c r="V45" s="2">
        <f t="shared" ca="1" si="35"/>
        <v>6.3</v>
      </c>
      <c r="W45" s="2">
        <f t="shared" ca="1" si="35"/>
        <v>37.799999999999997</v>
      </c>
      <c r="X45" s="2">
        <f t="shared" ca="1" si="35"/>
        <v>11.200000000000001</v>
      </c>
      <c r="Y45" s="2">
        <f t="shared" ca="1" si="35"/>
        <v>5.25</v>
      </c>
      <c r="Z45" s="2">
        <f t="shared" ca="1" si="35"/>
        <v>21.000000000000004</v>
      </c>
      <c r="AA45" s="2">
        <f t="shared" ca="1" si="35"/>
        <v>0.35000000000000003</v>
      </c>
      <c r="AB45" s="2">
        <f t="shared" ca="1" si="35"/>
        <v>5.95</v>
      </c>
      <c r="AC45" s="2">
        <f t="shared" ca="1" si="35"/>
        <v>8.0500000000000007</v>
      </c>
      <c r="AD45" s="2">
        <f t="shared" ca="1" si="35"/>
        <v>8.0500000000000007</v>
      </c>
      <c r="AE45" s="2">
        <f t="shared" ca="1" si="35"/>
        <v>4.8999999999999995</v>
      </c>
      <c r="AF45" s="2">
        <f t="shared" ca="1" si="35"/>
        <v>16.099999999999998</v>
      </c>
      <c r="AG45" s="2">
        <f t="shared" ca="1" si="35"/>
        <v>0</v>
      </c>
      <c r="AI45" t="s">
        <v>352</v>
      </c>
      <c r="AK45" t="s">
        <v>355</v>
      </c>
      <c r="AL45" t="str">
        <f t="shared" si="1"/>
        <v/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315F-8D47-4C57-AECC-875EE363FB01}">
  <dimension ref="A1:AS45"/>
  <sheetViews>
    <sheetView zoomScaleNormal="100" workbookViewId="0">
      <selection activeCell="D37" sqref="D37"/>
    </sheetView>
  </sheetViews>
  <sheetFormatPr defaultRowHeight="14.25" x14ac:dyDescent="0.45"/>
  <cols>
    <col min="1" max="1" width="10.86328125" bestFit="1" customWidth="1"/>
    <col min="2" max="2" width="2" bestFit="1" customWidth="1"/>
    <col min="4" max="4" width="6.1328125" bestFit="1" customWidth="1"/>
    <col min="5" max="6" width="8.1328125" bestFit="1" customWidth="1"/>
    <col min="7" max="7" width="7.46484375" bestFit="1" customWidth="1"/>
    <col min="8" max="8" width="8.86328125" bestFit="1" customWidth="1"/>
    <col min="9" max="9" width="5.86328125" bestFit="1" customWidth="1"/>
    <col min="10" max="10" width="7.46484375" bestFit="1" customWidth="1"/>
    <col min="11" max="11" width="6.53125" bestFit="1" customWidth="1"/>
    <col min="12" max="12" width="5.53125" bestFit="1" customWidth="1"/>
    <col min="13" max="13" width="6.53125" bestFit="1" customWidth="1"/>
    <col min="14" max="14" width="7.33203125" bestFit="1" customWidth="1"/>
    <col min="15" max="15" width="6.53125" bestFit="1" customWidth="1"/>
    <col min="16" max="16" width="5.53125" bestFit="1" customWidth="1"/>
    <col min="17" max="17" width="7.46484375" bestFit="1" customWidth="1"/>
    <col min="18" max="18" width="8" bestFit="1" customWidth="1"/>
    <col min="19" max="20" width="6.53125" bestFit="1" customWidth="1"/>
    <col min="21" max="33" width="6.53125" customWidth="1"/>
    <col min="34" max="34" width="5.53125" bestFit="1" customWidth="1"/>
    <col min="36" max="36" width="11.46484375" bestFit="1" customWidth="1"/>
    <col min="41" max="41" width="11.46484375" bestFit="1" customWidth="1"/>
  </cols>
  <sheetData>
    <row r="1" spans="1:45" x14ac:dyDescent="0.45">
      <c r="A1" s="48">
        <v>0.5</v>
      </c>
    </row>
    <row r="2" spans="1:45" x14ac:dyDescent="0.45">
      <c r="AI2" t="s">
        <v>353</v>
      </c>
      <c r="AN2" t="s">
        <v>148</v>
      </c>
    </row>
    <row r="3" spans="1:45" x14ac:dyDescent="0.45">
      <c r="C3" t="s">
        <v>347</v>
      </c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  <c r="AH3" t="s">
        <v>169</v>
      </c>
      <c r="AI3" t="s">
        <v>174</v>
      </c>
      <c r="AJ3" t="s">
        <v>136</v>
      </c>
      <c r="AK3" t="s">
        <v>349</v>
      </c>
      <c r="AL3" t="s">
        <v>158</v>
      </c>
      <c r="AN3" t="s">
        <v>149</v>
      </c>
      <c r="AO3" t="s">
        <v>139</v>
      </c>
      <c r="AP3" t="s">
        <v>150</v>
      </c>
      <c r="AQ3" t="s">
        <v>151</v>
      </c>
      <c r="AR3" t="s">
        <v>152</v>
      </c>
      <c r="AS3" t="s">
        <v>155</v>
      </c>
    </row>
    <row r="4" spans="1:45" x14ac:dyDescent="0.45">
      <c r="A4" t="s">
        <v>25</v>
      </c>
      <c r="C4" s="35" t="s">
        <v>32</v>
      </c>
      <c r="D4" s="2" cm="1">
        <f t="array" aca="1" ref="D4" ca="1">SUM(SUMIFS(Assumptions!AN$3:AN$102,Assumptions!$B$3:$B$102,'Trucks-lcv'!$C4,Assumptions!$G$3:$G$102,{"TRC"}))</f>
        <v>0</v>
      </c>
      <c r="E4" s="2" cm="1">
        <f t="array" aca="1" ref="E4" ca="1">SUM(SUMIFS(Assumptions!AO$3:AO$102,Assumptions!$B$3:$B$102,'Trucks-lcv'!$C4,Assumptions!$G$3:$G$102,{"TRC"}))</f>
        <v>0</v>
      </c>
      <c r="F4" s="2" cm="1">
        <f t="array" aca="1" ref="F4" ca="1">SUM(SUMIFS(Assumptions!AP$3:AP$102,Assumptions!$B$3:$B$102,'Trucks-lcv'!$C4,Assumptions!$G$3:$G$102,{"TRC"}))</f>
        <v>3.9392373504635998</v>
      </c>
      <c r="G4" s="2" cm="1">
        <f t="array" aca="1" ref="G4" ca="1">SUM(SUMIFS(Assumptions!AQ$3:AQ$102,Assumptions!$B$3:$B$102,'Trucks-lcv'!$C4,Assumptions!$G$3:$G$102,{"TRC"}))</f>
        <v>9.1242932399999998E-4</v>
      </c>
      <c r="H4" s="2" cm="1">
        <f t="array" aca="1" ref="H4" ca="1">SUM(SUMIFS(Assumptions!AR$3:AR$102,Assumptions!$B$3:$B$102,'Trucks-lcv'!$C4,Assumptions!$G$3:$G$102,{"TRC"}))</f>
        <v>3.9002899176989998</v>
      </c>
      <c r="I4" s="2" cm="1">
        <f t="array" aca="1" ref="I4" ca="1">SUM(SUMIFS(Assumptions!AS$3:AS$102,Assumptions!$B$3:$B$102,'Trucks-lcv'!$C4,Assumptions!$G$3:$G$102,{"TRC"}))</f>
        <v>23.713476530155205</v>
      </c>
      <c r="J4" s="2" cm="1">
        <f t="array" aca="1" ref="J4" ca="1">SUM(SUMIFS(Assumptions!AT$3:AT$102,Assumptions!$B$3:$B$102,'Trucks-lcv'!$C4,Assumptions!$G$3:$G$102,{"TRC"}))</f>
        <v>4.1900489568E-2</v>
      </c>
      <c r="K4" s="2" cm="1">
        <f t="array" aca="1" ref="K4" ca="1">SUM(SUMIFS(Assumptions!AU$3:AU$102,Assumptions!$B$3:$B$102,'Trucks-lcv'!$C4,Assumptions!$G$3:$G$102,{"TRC"}))</f>
        <v>60.545782959602406</v>
      </c>
      <c r="L4" s="2" cm="1">
        <f t="array" aca="1" ref="L4" ca="1">SUM(SUMIFS(Assumptions!AV$3:AV$102,Assumptions!$B$3:$B$102,'Trucks-lcv'!$C4,Assumptions!$G$3:$G$102,{"TRC"}))</f>
        <v>2.0990151184464003</v>
      </c>
      <c r="M4" s="2" cm="1">
        <f t="array" aca="1" ref="M4" ca="1">SUM(SUMIFS(Assumptions!AW$3:AW$102,Assumptions!$B$3:$B$102,'Trucks-lcv'!$C4,Assumptions!$G$3:$G$102,{"TRC"}))</f>
        <v>3.4358061058920004</v>
      </c>
      <c r="N4" s="2" cm="1">
        <f t="array" aca="1" ref="N4" ca="1">SUM(SUMIFS(Assumptions!AX$3:AX$102,Assumptions!$B$3:$B$102,'Trucks-lcv'!$C4,Assumptions!$G$3:$G$102,{"TRC"}))</f>
        <v>12.318368353181036</v>
      </c>
      <c r="O4" s="2" cm="1">
        <f t="array" aca="1" ref="O4" ca="1">SUM(SUMIFS(Assumptions!AY$3:AY$102,Assumptions!$B$3:$B$102,'Trucks-lcv'!$C4,Assumptions!$G$3:$G$102,{"TRC"}))</f>
        <v>13.170358853154607</v>
      </c>
      <c r="P4" s="2" cm="1">
        <f t="array" aca="1" ref="P4" ca="1">SUM(SUMIFS(Assumptions!AZ$3:AZ$102,Assumptions!$B$3:$B$102,'Trucks-lcv'!$C4,Assumptions!$G$3:$G$102,{"TRC"}))</f>
        <v>7.5135254577534036</v>
      </c>
      <c r="Q4" s="2" cm="1">
        <f t="array" aca="1" ref="Q4" ca="1">SUM(SUMIFS(Assumptions!BA$3:BA$102,Assumptions!$B$3:$B$102,'Trucks-lcv'!$C4,Assumptions!$G$3:$G$102,{"TRC"}))</f>
        <v>10.274613017940666</v>
      </c>
      <c r="R4" s="2" cm="1">
        <f t="array" aca="1" ref="R4" ca="1">SUM(SUMIFS(Assumptions!BB$3:BB$102,Assumptions!$B$3:$B$102,'Trucks-lcv'!$C4,Assumptions!$G$3:$G$102,{"TRC"}))</f>
        <v>5.7312023646347923</v>
      </c>
      <c r="S4" s="2" cm="1">
        <f t="array" aca="1" ref="S4" ca="1">SUM(SUMIFS(Assumptions!BC$3:BC$102,Assumptions!$B$3:$B$102,'Trucks-lcv'!$C4,Assumptions!$G$3:$G$102,{"TRC"}))</f>
        <v>12.648328625767926</v>
      </c>
      <c r="T4" s="2" cm="1">
        <f t="array" aca="1" ref="T4" ca="1">SUM(SUMIFS(Assumptions!BD$3:BD$102,Assumptions!$B$3:$B$102,'Trucks-lcv'!$C4,Assumptions!$G$3:$G$102,{"TRC"}))</f>
        <v>2.1816013059360002</v>
      </c>
      <c r="U4" s="2" cm="1">
        <f t="array" aca="1" ref="U4" ca="1">SUM(SUMIFS(Assumptions!BE$3:BE$102,Assumptions!$B$3:$B$102,'Trucks-lcv'!$C4,Assumptions!$G$3:$G$102,{"TRC"}))</f>
        <v>18.169130632862679</v>
      </c>
      <c r="V4" s="2" cm="1">
        <f t="array" aca="1" ref="V4" ca="1">SUM(SUMIFS(Assumptions!BF$3:BF$102,Assumptions!$B$3:$B$102,'Trucks-lcv'!$C4,Assumptions!$G$3:$G$102,{"TRC"}))</f>
        <v>13.595297494552581</v>
      </c>
      <c r="W4" s="2" cm="1">
        <f t="array" aca="1" ref="W4" ca="1">SUM(SUMIFS(Assumptions!BG$3:BG$102,Assumptions!$B$3:$B$102,'Trucks-lcv'!$C4,Assumptions!$G$3:$G$102,{"TRC"}))</f>
        <v>0.30692593439999999</v>
      </c>
      <c r="X4" s="2" cm="1">
        <f t="array" aca="1" ref="X4" ca="1">SUM(SUMIFS(Assumptions!BH$3:BH$102,Assumptions!$B$3:$B$102,'Trucks-lcv'!$C4,Assumptions!$G$3:$G$102,{"TRC"}))</f>
        <v>2.9672707800599998</v>
      </c>
      <c r="Y4" s="2" cm="1">
        <f t="array" aca="1" ref="Y4" ca="1">SUM(SUMIFS(Assumptions!BI$3:BI$102,Assumptions!$B$3:$B$102,'Trucks-lcv'!$C4,Assumptions!$G$3:$G$102,{"TRC"}))</f>
        <v>0</v>
      </c>
      <c r="Z4" s="2" cm="1">
        <f t="array" aca="1" ref="Z4" ca="1">SUM(SUMIFS(Assumptions!BJ$3:BJ$102,Assumptions!$B$3:$B$102,'Trucks-lcv'!$C4,Assumptions!$G$3:$G$102,{"TRC"}))</f>
        <v>0</v>
      </c>
      <c r="AA4" s="2" cm="1">
        <f t="array" aca="1" ref="AA4" ca="1">SUM(SUMIFS(Assumptions!BK$3:BK$102,Assumptions!$B$3:$B$102,'Trucks-lcv'!$C4,Assumptions!$G$3:$G$102,{"TRC"}))</f>
        <v>3.1268948692409895</v>
      </c>
      <c r="AB4" s="2" cm="1">
        <f t="array" aca="1" ref="AB4" ca="1">SUM(SUMIFS(Assumptions!BL$3:BL$102,Assumptions!$B$3:$B$102,'Trucks-lcv'!$C4,Assumptions!$G$3:$G$102,{"TRC"}))</f>
        <v>0</v>
      </c>
      <c r="AC4" s="2" cm="1">
        <f t="array" aca="1" ref="AC4" ca="1">SUM(SUMIFS(Assumptions!BM$3:BM$102,Assumptions!$B$3:$B$102,'Trucks-lcv'!$C4,Assumptions!$G$3:$G$102,{"TRC"}))</f>
        <v>0</v>
      </c>
      <c r="AD4" s="2" cm="1">
        <f t="array" aca="1" ref="AD4" ca="1">SUM(SUMIFS(Assumptions!BN$3:BN$102,Assumptions!$B$3:$B$102,'Trucks-lcv'!$C4,Assumptions!$G$3:$G$102,{"TRC"}))</f>
        <v>0</v>
      </c>
      <c r="AE4" s="2" cm="1">
        <f t="array" aca="1" ref="AE4" ca="1">SUM(SUMIFS(Assumptions!BO$3:BO$102,Assumptions!$B$3:$B$102,'Trucks-lcv'!$C4,Assumptions!$G$3:$G$102,{"TRC"}))</f>
        <v>9.0904050060061348</v>
      </c>
      <c r="AF4" s="2" cm="1">
        <f t="array" aca="1" ref="AF4" ca="1">SUM(SUMIFS(Assumptions!BP$3:BP$102,Assumptions!$B$3:$B$102,'Trucks-lcv'!$C4,Assumptions!$G$3:$G$102,{"TRC"}))</f>
        <v>8.9179452526619958</v>
      </c>
      <c r="AG4" s="2" cm="1">
        <f t="array" aca="1" ref="AG4" ca="1">SUM(SUMIFS(Assumptions!BQ$3:BQ$102,Assumptions!$B$3:$B$102,'Trucks-lcv'!$C4,Assumptions!$G$3:$G$102,{"TRC"}))</f>
        <v>0</v>
      </c>
      <c r="AH4" s="53" t="str">
        <f ca="1">IF(SUM(D4:AG4)=0,"zero","")</f>
        <v/>
      </c>
      <c r="AI4" s="2" t="s">
        <v>169</v>
      </c>
      <c r="AK4" t="str">
        <f t="shared" ref="AK4:AK42" si="0">IF($AJ4="","",$AK$45)</f>
        <v/>
      </c>
      <c r="AL4" t="str">
        <f t="shared" ref="AL4:AL45" si="1">IF($AJ4="","",25)</f>
        <v/>
      </c>
      <c r="AN4" t="str">
        <f>IF($AJ4="","*","DMD")</f>
        <v>*</v>
      </c>
      <c r="AO4">
        <f>AJ4</f>
        <v>0</v>
      </c>
      <c r="AQ4" t="s">
        <v>156</v>
      </c>
      <c r="AR4" t="s">
        <v>354</v>
      </c>
      <c r="AS4" t="s">
        <v>361</v>
      </c>
    </row>
    <row r="5" spans="1:45" x14ac:dyDescent="0.45">
      <c r="A5" t="s">
        <v>25</v>
      </c>
      <c r="C5" s="35" t="s">
        <v>33</v>
      </c>
      <c r="D5" s="2" cm="1">
        <f t="array" aca="1" ref="D5" ca="1">SUM(SUMIFS(Assumptions!AN$3:AN$102,Assumptions!$B$3:$B$102,'Trucks-lcv'!$C5,Assumptions!$G$3:$G$102,{"TRC"}))</f>
        <v>0</v>
      </c>
      <c r="E5" s="2" cm="1">
        <f t="array" aca="1" ref="E5" ca="1">SUM(SUMIFS(Assumptions!AO$3:AO$102,Assumptions!$B$3:$B$102,'Trucks-lcv'!$C5,Assumptions!$G$3:$G$102,{"TRC"}))</f>
        <v>0</v>
      </c>
      <c r="F5" s="2" cm="1">
        <f t="array" aca="1" ref="F5" ca="1">SUM(SUMIFS(Assumptions!AP$3:AP$102,Assumptions!$B$3:$B$102,'Trucks-lcv'!$C5,Assumptions!$G$3:$G$102,{"TRC"}))</f>
        <v>1.3081129733087997</v>
      </c>
      <c r="G5" s="2" cm="1">
        <f t="array" aca="1" ref="G5" ca="1">SUM(SUMIFS(Assumptions!AQ$3:AQ$102,Assumptions!$B$3:$B$102,'Trucks-lcv'!$C5,Assumptions!$G$3:$G$102,{"TRC"}))</f>
        <v>0</v>
      </c>
      <c r="H5" s="2" cm="1">
        <f t="array" aca="1" ref="H5" ca="1">SUM(SUMIFS(Assumptions!AR$3:AR$102,Assumptions!$B$3:$B$102,'Trucks-lcv'!$C5,Assumptions!$G$3:$G$102,{"TRC"}))</f>
        <v>1.6636848512399998</v>
      </c>
      <c r="I5" s="2" cm="1">
        <f t="array" aca="1" ref="I5" ca="1">SUM(SUMIFS(Assumptions!AS$3:AS$102,Assumptions!$B$3:$B$102,'Trucks-lcv'!$C5,Assumptions!$G$3:$G$102,{"TRC"}))</f>
        <v>0</v>
      </c>
      <c r="J5" s="2" cm="1">
        <f t="array" aca="1" ref="J5" ca="1">SUM(SUMIFS(Assumptions!AT$3:AT$102,Assumptions!$B$3:$B$102,'Trucks-lcv'!$C5,Assumptions!$G$3:$G$102,{"TRC"}))</f>
        <v>0.5186424876839999</v>
      </c>
      <c r="K5" s="2" cm="1">
        <f t="array" aca="1" ref="K5" ca="1">SUM(SUMIFS(Assumptions!AU$3:AU$102,Assumptions!$B$3:$B$102,'Trucks-lcv'!$C5,Assumptions!$G$3:$G$102,{"TRC"}))</f>
        <v>13.685305848472801</v>
      </c>
      <c r="L5" s="2" cm="1">
        <f t="array" aca="1" ref="L5" ca="1">SUM(SUMIFS(Assumptions!AV$3:AV$102,Assumptions!$B$3:$B$102,'Trucks-lcv'!$C5,Assumptions!$G$3:$G$102,{"TRC"}))</f>
        <v>2.4053399121024022</v>
      </c>
      <c r="M5" s="2" cm="1">
        <f t="array" aca="1" ref="M5" ca="1">SUM(SUMIFS(Assumptions!AW$3:AW$102,Assumptions!$B$3:$B$102,'Trucks-lcv'!$C5,Assumptions!$G$3:$G$102,{"TRC"}))</f>
        <v>6.8607999682559999</v>
      </c>
      <c r="N5" s="2" cm="1">
        <f t="array" aca="1" ref="N5" ca="1">SUM(SUMIFS(Assumptions!AX$3:AX$102,Assumptions!$B$3:$B$102,'Trucks-lcv'!$C5,Assumptions!$G$3:$G$102,{"TRC"}))</f>
        <v>0.2673250468254002</v>
      </c>
      <c r="O5" s="2" cm="1">
        <f t="array" aca="1" ref="O5" ca="1">SUM(SUMIFS(Assumptions!AY$3:AY$102,Assumptions!$B$3:$B$102,'Trucks-lcv'!$C5,Assumptions!$G$3:$G$102,{"TRC"}))</f>
        <v>0.2270918435940002</v>
      </c>
      <c r="P5" s="2" cm="1">
        <f t="array" aca="1" ref="P5" ca="1">SUM(SUMIFS(Assumptions!AZ$3:AZ$102,Assumptions!$B$3:$B$102,'Trucks-lcv'!$C5,Assumptions!$G$3:$G$102,{"TRC"}))</f>
        <v>0.44618569548300036</v>
      </c>
      <c r="Q5" s="2" cm="1">
        <f t="array" aca="1" ref="Q5" ca="1">SUM(SUMIFS(Assumptions!BA$3:BA$102,Assumptions!$B$3:$B$102,'Trucks-lcv'!$C5,Assumptions!$G$3:$G$102,{"TRC"}))</f>
        <v>6.6332458391400048E-2</v>
      </c>
      <c r="R5" s="2" cm="1">
        <f t="array" aca="1" ref="R5" ca="1">SUM(SUMIFS(Assumptions!BB$3:BB$102,Assumptions!$B$3:$B$102,'Trucks-lcv'!$C5,Assumptions!$G$3:$G$102,{"TRC"}))</f>
        <v>0.1134016970040001</v>
      </c>
      <c r="S5" s="2" cm="1">
        <f t="array" aca="1" ref="S5" ca="1">SUM(SUMIFS(Assumptions!BC$3:BC$102,Assumptions!$B$3:$B$102,'Trucks-lcv'!$C5,Assumptions!$G$3:$G$102,{"TRC"}))</f>
        <v>0.16523327407860014</v>
      </c>
      <c r="T5" s="2" cm="1">
        <f t="array" aca="1" ref="T5" ca="1">SUM(SUMIFS(Assumptions!BD$3:BD$102,Assumptions!$B$3:$B$102,'Trucks-lcv'!$C5,Assumptions!$G$3:$G$102,{"TRC"}))</f>
        <v>1.1970397818720002</v>
      </c>
      <c r="U5" s="2" cm="1">
        <f t="array" aca="1" ref="U5" ca="1">SUM(SUMIFS(Assumptions!BE$3:BE$102,Assumptions!$B$3:$B$102,'Trucks-lcv'!$C5,Assumptions!$G$3:$G$102,{"TRC"}))</f>
        <v>0.77953009504860071</v>
      </c>
      <c r="V5" s="2" cm="1">
        <f t="array" aca="1" ref="V5" ca="1">SUM(SUMIFS(Assumptions!BF$3:BF$102,Assumptions!$B$3:$B$102,'Trucks-lcv'!$C5,Assumptions!$G$3:$G$102,{"TRC"}))</f>
        <v>0.85777858607940083</v>
      </c>
      <c r="W5" s="2" cm="1">
        <f t="array" aca="1" ref="W5" ca="1">SUM(SUMIFS(Assumptions!BG$3:BG$102,Assumptions!$B$3:$B$102,'Trucks-lcv'!$C5,Assumptions!$G$3:$G$102,{"TRC"}))</f>
        <v>0</v>
      </c>
      <c r="X5" s="2" cm="1">
        <f t="array" aca="1" ref="X5" ca="1">SUM(SUMIFS(Assumptions!BH$3:BH$102,Assumptions!$B$3:$B$102,'Trucks-lcv'!$C5,Assumptions!$G$3:$G$102,{"TRC"}))</f>
        <v>1.771079913756</v>
      </c>
      <c r="Y5" s="2" cm="1">
        <f t="array" aca="1" ref="Y5" ca="1">SUM(SUMIFS(Assumptions!BI$3:BI$102,Assumptions!$B$3:$B$102,'Trucks-lcv'!$C5,Assumptions!$G$3:$G$102,{"TRC"}))</f>
        <v>0</v>
      </c>
      <c r="Z5" s="2" cm="1">
        <f t="array" aca="1" ref="Z5" ca="1">SUM(SUMIFS(Assumptions!BJ$3:BJ$102,Assumptions!$B$3:$B$102,'Trucks-lcv'!$C5,Assumptions!$G$3:$G$102,{"TRC"}))</f>
        <v>0</v>
      </c>
      <c r="AA5" s="2" cm="1">
        <f t="array" aca="1" ref="AA5" ca="1">SUM(SUMIFS(Assumptions!BK$3:BK$102,Assumptions!$B$3:$B$102,'Trucks-lcv'!$C5,Assumptions!$G$3:$G$102,{"TRC"}))</f>
        <v>5.5643193739800041E-2</v>
      </c>
      <c r="AB5" s="2" cm="1">
        <f t="array" aca="1" ref="AB5" ca="1">SUM(SUMIFS(Assumptions!BL$3:BL$102,Assumptions!$B$3:$B$102,'Trucks-lcv'!$C5,Assumptions!$G$3:$G$102,{"TRC"}))</f>
        <v>0</v>
      </c>
      <c r="AC5" s="2" cm="1">
        <f t="array" aca="1" ref="AC5" ca="1">SUM(SUMIFS(Assumptions!BM$3:BM$102,Assumptions!$B$3:$B$102,'Trucks-lcv'!$C5,Assumptions!$G$3:$G$102,{"TRC"}))</f>
        <v>0</v>
      </c>
      <c r="AD5" s="2" cm="1">
        <f t="array" aca="1" ref="AD5" ca="1">SUM(SUMIFS(Assumptions!BN$3:BN$102,Assumptions!$B$3:$B$102,'Trucks-lcv'!$C5,Assumptions!$G$3:$G$102,{"TRC"}))</f>
        <v>0</v>
      </c>
      <c r="AE5" s="2" cm="1">
        <f t="array" aca="1" ref="AE5" ca="1">SUM(SUMIFS(Assumptions!BO$3:BO$102,Assumptions!$B$3:$B$102,'Trucks-lcv'!$C5,Assumptions!$G$3:$G$102,{"TRC"}))</f>
        <v>0.45643095627480035</v>
      </c>
      <c r="AF5" s="2" cm="1">
        <f t="array" aca="1" ref="AF5" ca="1">SUM(SUMIFS(Assumptions!BP$3:BP$102,Assumptions!$B$3:$B$102,'Trucks-lcv'!$C5,Assumptions!$G$3:$G$102,{"TRC"}))</f>
        <v>190.20583958723998</v>
      </c>
      <c r="AG5" s="2" cm="1">
        <f t="array" aca="1" ref="AG5" ca="1">SUM(SUMIFS(Assumptions!BQ$3:BQ$102,Assumptions!$B$3:$B$102,'Trucks-lcv'!$C5,Assumptions!$G$3:$G$102,{"TRC"}))</f>
        <v>0</v>
      </c>
      <c r="AH5" s="53" t="str">
        <f t="shared" ref="AH5:AH11" ca="1" si="2">IF(SUM(D5:AG5)=0,"zero","")</f>
        <v/>
      </c>
      <c r="AI5" t="s">
        <v>169</v>
      </c>
      <c r="AK5" t="str">
        <f t="shared" si="0"/>
        <v/>
      </c>
      <c r="AL5" t="str">
        <f t="shared" si="1"/>
        <v/>
      </c>
      <c r="AN5" t="str">
        <f t="shared" ref="AN5:AN42" si="3">IF(AJ5="","*","DMD")</f>
        <v>*</v>
      </c>
      <c r="AO5">
        <f t="shared" ref="AO5:AO42" si="4">AJ5</f>
        <v>0</v>
      </c>
      <c r="AQ5" t="s">
        <v>156</v>
      </c>
      <c r="AR5" t="s">
        <v>354</v>
      </c>
      <c r="AS5" t="s">
        <v>361</v>
      </c>
    </row>
    <row r="6" spans="1:45" x14ac:dyDescent="0.45">
      <c r="A6" t="s">
        <v>25</v>
      </c>
      <c r="C6" s="35" t="s">
        <v>41</v>
      </c>
      <c r="D6" s="2" cm="1">
        <f t="array" aca="1" ref="D6" ca="1">SUM(SUMIFS(Assumptions!AN$3:AN$102,Assumptions!$B$3:$B$102,'Trucks-lcv'!$C6,Assumptions!$G$3:$G$102,{"TRC"}))</f>
        <v>200.16369874908</v>
      </c>
      <c r="E6" s="2" cm="1">
        <f t="array" aca="1" ref="E6" ca="1">SUM(SUMIFS(Assumptions!AO$3:AO$102,Assumptions!$B$3:$B$102,'Trucks-lcv'!$C6,Assumptions!$G$3:$G$102,{"TRC"}))</f>
        <v>177.88097162188802</v>
      </c>
      <c r="F6" s="2" cm="1">
        <f t="array" aca="1" ref="F6" ca="1">SUM(SUMIFS(Assumptions!AP$3:AP$102,Assumptions!$B$3:$B$102,'Trucks-lcv'!$C6,Assumptions!$G$3:$G$102,{"TRC"}))</f>
        <v>44.083751007124803</v>
      </c>
      <c r="G6" s="2" cm="1">
        <f t="array" aca="1" ref="G6" ca="1">SUM(SUMIFS(Assumptions!AQ$3:AQ$102,Assumptions!$B$3:$B$102,'Trucks-lcv'!$C6,Assumptions!$G$3:$G$102,{"TRC"}))</f>
        <v>18.698044232951997</v>
      </c>
      <c r="H6" s="2" cm="1">
        <f t="array" aca="1" ref="H6" ca="1">SUM(SUMIFS(Assumptions!AR$3:AR$102,Assumptions!$B$3:$B$102,'Trucks-lcv'!$C6,Assumptions!$G$3:$G$102,{"TRC"}))</f>
        <v>244.44574092288894</v>
      </c>
      <c r="I6" s="2" cm="1">
        <f t="array" aca="1" ref="I6" ca="1">SUM(SUMIFS(Assumptions!AS$3:AS$102,Assumptions!$B$3:$B$102,'Trucks-lcv'!$C6,Assumptions!$G$3:$G$102,{"TRC"}))</f>
        <v>260.94702653068322</v>
      </c>
      <c r="J6" s="2" cm="1">
        <f t="array" aca="1" ref="J6" ca="1">SUM(SUMIFS(Assumptions!AT$3:AT$102,Assumptions!$B$3:$B$102,'Trucks-lcv'!$C6,Assumptions!$G$3:$G$102,{"TRC"}))</f>
        <v>132.29573016814558</v>
      </c>
      <c r="K6" s="2" cm="1">
        <f t="array" aca="1" ref="K6" ca="1">SUM(SUMIFS(Assumptions!AU$3:AU$102,Assumptions!$B$3:$B$102,'Trucks-lcv'!$C6,Assumptions!$G$3:$G$102,{"TRC"}))</f>
        <v>133.5472214276592</v>
      </c>
      <c r="L6" s="2" cm="1">
        <f t="array" aca="1" ref="L6" ca="1">SUM(SUMIFS(Assumptions!AV$3:AV$102,Assumptions!$B$3:$B$102,'Trucks-lcv'!$C6,Assumptions!$G$3:$G$102,{"TRC"}))</f>
        <v>63.193739013820803</v>
      </c>
      <c r="M6" s="2" cm="1">
        <f t="array" aca="1" ref="M6" ca="1">SUM(SUMIFS(Assumptions!AW$3:AW$102,Assumptions!$B$3:$B$102,'Trucks-lcv'!$C6,Assumptions!$G$3:$G$102,{"TRC"}))</f>
        <v>356.585644855476</v>
      </c>
      <c r="N6" s="2" cm="1">
        <f t="array" aca="1" ref="N6" ca="1">SUM(SUMIFS(Assumptions!AX$3:AX$102,Assumptions!$B$3:$B$102,'Trucks-lcv'!$C6,Assumptions!$G$3:$G$102,{"TRC"}))</f>
        <v>55.42753396248272</v>
      </c>
      <c r="O6" s="2" cm="1">
        <f t="array" aca="1" ref="O6" ca="1">SUM(SUMIFS(Assumptions!AY$3:AY$102,Assumptions!$B$3:$B$102,'Trucks-lcv'!$C6,Assumptions!$G$3:$G$102,{"TRC"}))</f>
        <v>218.44405369890725</v>
      </c>
      <c r="P6" s="2" cm="1">
        <f t="array" aca="1" ref="P6" ca="1">SUM(SUMIFS(Assumptions!AZ$3:AZ$102,Assumptions!$B$3:$B$102,'Trucks-lcv'!$C6,Assumptions!$G$3:$G$102,{"TRC"}))</f>
        <v>115.43605521375467</v>
      </c>
      <c r="Q6" s="2" cm="1">
        <f t="array" aca="1" ref="Q6" ca="1">SUM(SUMIFS(Assumptions!BA$3:BA$102,Assumptions!$B$3:$B$102,'Trucks-lcv'!$C6,Assumptions!$G$3:$G$102,{"TRC"}))</f>
        <v>174.01825288668033</v>
      </c>
      <c r="R6" s="2" cm="1">
        <f t="array" aca="1" ref="R6" ca="1">SUM(SUMIFS(Assumptions!BB$3:BB$102,Assumptions!$B$3:$B$102,'Trucks-lcv'!$C6,Assumptions!$G$3:$G$102,{"TRC"}))</f>
        <v>92.873790926584689</v>
      </c>
      <c r="S6" s="2" cm="1">
        <f t="array" aca="1" ref="S6" ca="1">SUM(SUMIFS(Assumptions!BC$3:BC$102,Assumptions!$B$3:$B$102,'Trucks-lcv'!$C6,Assumptions!$G$3:$G$102,{"TRC"}))</f>
        <v>184.63914233249034</v>
      </c>
      <c r="T6" s="2" cm="1">
        <f t="array" aca="1" ref="T6" ca="1">SUM(SUMIFS(Assumptions!BD$3:BD$102,Assumptions!$B$3:$B$102,'Trucks-lcv'!$C6,Assumptions!$G$3:$G$102,{"TRC"}))</f>
        <v>187.71892928906396</v>
      </c>
      <c r="U6" s="2" cm="1">
        <f t="array" aca="1" ref="U6" ca="1">SUM(SUMIFS(Assumptions!BE$3:BE$102,Assumptions!$B$3:$B$102,'Trucks-lcv'!$C6,Assumptions!$G$3:$G$102,{"TRC"}))</f>
        <v>221.11685807679416</v>
      </c>
      <c r="V6" s="2" cm="1">
        <f t="array" aca="1" ref="V6" ca="1">SUM(SUMIFS(Assumptions!BF$3:BF$102,Assumptions!$B$3:$B$102,'Trucks-lcv'!$C6,Assumptions!$G$3:$G$102,{"TRC"}))</f>
        <v>238.79917039536534</v>
      </c>
      <c r="W6" s="2" cm="1">
        <f t="array" aca="1" ref="W6" ca="1">SUM(SUMIFS(Assumptions!BG$3:BG$102,Assumptions!$B$3:$B$102,'Trucks-lcv'!$C6,Assumptions!$G$3:$G$102,{"TRC"}))</f>
        <v>456.31104763117503</v>
      </c>
      <c r="X6" s="2" cm="1">
        <f t="array" aca="1" ref="X6" ca="1">SUM(SUMIFS(Assumptions!BH$3:BH$102,Assumptions!$B$3:$B$102,'Trucks-lcv'!$C6,Assumptions!$G$3:$G$102,{"TRC"}))</f>
        <v>93.032467183872001</v>
      </c>
      <c r="Y6" s="2" cm="1">
        <f t="array" aca="1" ref="Y6" ca="1">SUM(SUMIFS(Assumptions!BI$3:BI$102,Assumptions!$B$3:$B$102,'Trucks-lcv'!$C6,Assumptions!$G$3:$G$102,{"TRC"}))</f>
        <v>65.941179825096</v>
      </c>
      <c r="Z6" s="2" cm="1">
        <f t="array" aca="1" ref="Z6" ca="1">SUM(SUMIFS(Assumptions!BJ$3:BJ$102,Assumptions!$B$3:$B$102,'Trucks-lcv'!$C6,Assumptions!$G$3:$G$102,{"TRC"}))</f>
        <v>202.19840027362798</v>
      </c>
      <c r="AA6" s="2" cm="1">
        <f t="array" aca="1" ref="AA6" ca="1">SUM(SUMIFS(Assumptions!BK$3:BK$102,Assumptions!$B$3:$B$102,'Trucks-lcv'!$C6,Assumptions!$G$3:$G$102,{"TRC"}))</f>
        <v>16.553640549718413</v>
      </c>
      <c r="AB6" s="2" cm="1">
        <f t="array" aca="1" ref="AB6" ca="1">SUM(SUMIFS(Assumptions!BL$3:BL$102,Assumptions!$B$3:$B$102,'Trucks-lcv'!$C6,Assumptions!$G$3:$G$102,{"TRC"}))</f>
        <v>58.567455344717999</v>
      </c>
      <c r="AC6" s="2" cm="1">
        <f t="array" aca="1" ref="AC6" ca="1">SUM(SUMIFS(Assumptions!BM$3:BM$102,Assumptions!$B$3:$B$102,'Trucks-lcv'!$C6,Assumptions!$G$3:$G$102,{"TRC"}))</f>
        <v>114.99282775134</v>
      </c>
      <c r="AD6" s="2" cm="1">
        <f t="array" aca="1" ref="AD6" ca="1">SUM(SUMIFS(Assumptions!BN$3:BN$102,Assumptions!$B$3:$B$102,'Trucks-lcv'!$C6,Assumptions!$G$3:$G$102,{"TRC"}))</f>
        <v>62.483074361855998</v>
      </c>
      <c r="AE6" s="2" cm="1">
        <f t="array" aca="1" ref="AE6" ca="1">SUM(SUMIFS(Assumptions!BO$3:BO$102,Assumptions!$B$3:$B$102,'Trucks-lcv'!$C6,Assumptions!$G$3:$G$102,{"TRC"}))</f>
        <v>175.31350459833644</v>
      </c>
      <c r="AF6" s="2" cm="1">
        <f t="array" aca="1" ref="AF6" ca="1">SUM(SUMIFS(Assumptions!BP$3:BP$102,Assumptions!$B$3:$B$102,'Trucks-lcv'!$C6,Assumptions!$G$3:$G$102,{"TRC"}))</f>
        <v>250.63615231037653</v>
      </c>
      <c r="AG6" s="2" cm="1">
        <f t="array" aca="1" ref="AG6" ca="1">SUM(SUMIFS(Assumptions!BQ$3:BQ$102,Assumptions!$B$3:$B$102,'Trucks-lcv'!$C6,Assumptions!$G$3:$G$102,{"TRC"}))</f>
        <v>0</v>
      </c>
      <c r="AH6" s="53" t="str">
        <f t="shared" ca="1" si="2"/>
        <v/>
      </c>
      <c r="AI6" t="s">
        <v>169</v>
      </c>
      <c r="AK6" t="str">
        <f t="shared" si="0"/>
        <v/>
      </c>
      <c r="AL6" t="str">
        <f t="shared" si="1"/>
        <v/>
      </c>
      <c r="AN6" t="str">
        <f t="shared" si="3"/>
        <v>*</v>
      </c>
      <c r="AO6">
        <f t="shared" si="4"/>
        <v>0</v>
      </c>
      <c r="AQ6" t="s">
        <v>156</v>
      </c>
      <c r="AR6" t="s">
        <v>354</v>
      </c>
      <c r="AS6" t="s">
        <v>361</v>
      </c>
    </row>
    <row r="7" spans="1:45" x14ac:dyDescent="0.45">
      <c r="A7" t="s">
        <v>25</v>
      </c>
      <c r="C7" s="35" t="s">
        <v>37</v>
      </c>
      <c r="D7" s="2" cm="1">
        <f t="array" aca="1" ref="D7" ca="1">SUM(SUMIFS(Assumptions!AN$3:AN$102,Assumptions!$B$3:$B$102,'Trucks-lcv'!$C7,Assumptions!$G$3:$G$102,{"TRC"}))</f>
        <v>0</v>
      </c>
      <c r="E7" s="2" cm="1">
        <f t="array" aca="1" ref="E7" ca="1">SUM(SUMIFS(Assumptions!AO$3:AO$102,Assumptions!$B$3:$B$102,'Trucks-lcv'!$C7,Assumptions!$G$3:$G$102,{"TRC"}))</f>
        <v>0</v>
      </c>
      <c r="F7" s="2" cm="1">
        <f t="array" aca="1" ref="F7" ca="1">SUM(SUMIFS(Assumptions!AP$3:AP$102,Assumptions!$B$3:$B$102,'Trucks-lcv'!$C7,Assumptions!$G$3:$G$102,{"TRC"}))</f>
        <v>0</v>
      </c>
      <c r="G7" s="2" cm="1">
        <f t="array" aca="1" ref="G7" ca="1">SUM(SUMIFS(Assumptions!AQ$3:AQ$102,Assumptions!$B$3:$B$102,'Trucks-lcv'!$C7,Assumptions!$G$3:$G$102,{"TRC"}))</f>
        <v>0</v>
      </c>
      <c r="H7" s="2" cm="1">
        <f t="array" aca="1" ref="H7" ca="1">SUM(SUMIFS(Assumptions!AR$3:AR$102,Assumptions!$B$3:$B$102,'Trucks-lcv'!$C7,Assumptions!$G$3:$G$102,{"TRC"}))</f>
        <v>0</v>
      </c>
      <c r="I7" s="2" cm="1">
        <f t="array" aca="1" ref="I7" ca="1">SUM(SUMIFS(Assumptions!AS$3:AS$102,Assumptions!$B$3:$B$102,'Trucks-lcv'!$C7,Assumptions!$G$3:$G$102,{"TRC"}))</f>
        <v>0</v>
      </c>
      <c r="J7" s="2" cm="1">
        <f t="array" aca="1" ref="J7" ca="1">SUM(SUMIFS(Assumptions!AT$3:AT$102,Assumptions!$B$3:$B$102,'Trucks-lcv'!$C7,Assumptions!$G$3:$G$102,{"TRC"}))</f>
        <v>0</v>
      </c>
      <c r="K7" s="2" cm="1">
        <f t="array" aca="1" ref="K7" ca="1">SUM(SUMIFS(Assumptions!AU$3:AU$102,Assumptions!$B$3:$B$102,'Trucks-lcv'!$C7,Assumptions!$G$3:$G$102,{"TRC"}))</f>
        <v>0</v>
      </c>
      <c r="L7" s="2" cm="1">
        <f t="array" aca="1" ref="L7" ca="1">SUM(SUMIFS(Assumptions!AV$3:AV$102,Assumptions!$B$3:$B$102,'Trucks-lcv'!$C7,Assumptions!$G$3:$G$102,{"TRC"}))</f>
        <v>0</v>
      </c>
      <c r="M7" s="2" cm="1">
        <f t="array" aca="1" ref="M7" ca="1">SUM(SUMIFS(Assumptions!AW$3:AW$102,Assumptions!$B$3:$B$102,'Trucks-lcv'!$C7,Assumptions!$G$3:$G$102,{"TRC"}))</f>
        <v>24.536301367319993</v>
      </c>
      <c r="N7" s="2" cm="1">
        <f t="array" aca="1" ref="N7" ca="1">SUM(SUMIFS(Assumptions!AX$3:AX$102,Assumptions!$B$3:$B$102,'Trucks-lcv'!$C7,Assumptions!$G$3:$G$102,{"TRC"}))</f>
        <v>0</v>
      </c>
      <c r="O7" s="2" cm="1">
        <f t="array" aca="1" ref="O7" ca="1">SUM(SUMIFS(Assumptions!AY$3:AY$102,Assumptions!$B$3:$B$102,'Trucks-lcv'!$C7,Assumptions!$G$3:$G$102,{"TRC"}))</f>
        <v>0</v>
      </c>
      <c r="P7" s="2" cm="1">
        <f t="array" aca="1" ref="P7" ca="1">SUM(SUMIFS(Assumptions!AZ$3:AZ$102,Assumptions!$B$3:$B$102,'Trucks-lcv'!$C7,Assumptions!$G$3:$G$102,{"TRC"}))</f>
        <v>0</v>
      </c>
      <c r="Q7" s="2" cm="1">
        <f t="array" aca="1" ref="Q7" ca="1">SUM(SUMIFS(Assumptions!BA$3:BA$102,Assumptions!$B$3:$B$102,'Trucks-lcv'!$C7,Assumptions!$G$3:$G$102,{"TRC"}))</f>
        <v>0</v>
      </c>
      <c r="R7" s="2" cm="1">
        <f t="array" aca="1" ref="R7" ca="1">SUM(SUMIFS(Assumptions!BB$3:BB$102,Assumptions!$B$3:$B$102,'Trucks-lcv'!$C7,Assumptions!$G$3:$G$102,{"TRC"}))</f>
        <v>0</v>
      </c>
      <c r="S7" s="2" cm="1">
        <f t="array" aca="1" ref="S7" ca="1">SUM(SUMIFS(Assumptions!BC$3:BC$102,Assumptions!$B$3:$B$102,'Trucks-lcv'!$C7,Assumptions!$G$3:$G$102,{"TRC"}))</f>
        <v>0</v>
      </c>
      <c r="T7" s="2" cm="1">
        <f t="array" aca="1" ref="T7" ca="1">SUM(SUMIFS(Assumptions!BD$3:BD$102,Assumptions!$B$3:$B$102,'Trucks-lcv'!$C7,Assumptions!$G$3:$G$102,{"TRC"}))</f>
        <v>0</v>
      </c>
      <c r="U7" s="2" cm="1">
        <f t="array" aca="1" ref="U7" ca="1">SUM(SUMIFS(Assumptions!BE$3:BE$102,Assumptions!$B$3:$B$102,'Trucks-lcv'!$C7,Assumptions!$G$3:$G$102,{"TRC"}))</f>
        <v>0</v>
      </c>
      <c r="V7" s="2" cm="1">
        <f t="array" aca="1" ref="V7" ca="1">SUM(SUMIFS(Assumptions!BF$3:BF$102,Assumptions!$B$3:$B$102,'Trucks-lcv'!$C7,Assumptions!$G$3:$G$102,{"TRC"}))</f>
        <v>0</v>
      </c>
      <c r="W7" s="2" cm="1">
        <f t="array" aca="1" ref="W7" ca="1">SUM(SUMIFS(Assumptions!BG$3:BG$102,Assumptions!$B$3:$B$102,'Trucks-lcv'!$C7,Assumptions!$G$3:$G$102,{"TRC"}))</f>
        <v>0</v>
      </c>
      <c r="X7" s="2" cm="1">
        <f t="array" aca="1" ref="X7" ca="1">SUM(SUMIFS(Assumptions!BH$3:BH$102,Assumptions!$B$3:$B$102,'Trucks-lcv'!$C7,Assumptions!$G$3:$G$102,{"TRC"}))</f>
        <v>0</v>
      </c>
      <c r="Y7" s="2" cm="1">
        <f t="array" aca="1" ref="Y7" ca="1">SUM(SUMIFS(Assumptions!BI$3:BI$102,Assumptions!$B$3:$B$102,'Trucks-lcv'!$C7,Assumptions!$G$3:$G$102,{"TRC"}))</f>
        <v>0</v>
      </c>
      <c r="Z7" s="2" cm="1">
        <f t="array" aca="1" ref="Z7" ca="1">SUM(SUMIFS(Assumptions!BJ$3:BJ$102,Assumptions!$B$3:$B$102,'Trucks-lcv'!$C7,Assumptions!$G$3:$G$102,{"TRC"}))</f>
        <v>0</v>
      </c>
      <c r="AA7" s="2" cm="1">
        <f t="array" aca="1" ref="AA7" ca="1">SUM(SUMIFS(Assumptions!BK$3:BK$102,Assumptions!$B$3:$B$102,'Trucks-lcv'!$C7,Assumptions!$G$3:$G$102,{"TRC"}))</f>
        <v>0</v>
      </c>
      <c r="AB7" s="2" cm="1">
        <f t="array" aca="1" ref="AB7" ca="1">SUM(SUMIFS(Assumptions!BL$3:BL$102,Assumptions!$B$3:$B$102,'Trucks-lcv'!$C7,Assumptions!$G$3:$G$102,{"TRC"}))</f>
        <v>0</v>
      </c>
      <c r="AC7" s="2" cm="1">
        <f t="array" aca="1" ref="AC7" ca="1">SUM(SUMIFS(Assumptions!BM$3:BM$102,Assumptions!$B$3:$B$102,'Trucks-lcv'!$C7,Assumptions!$G$3:$G$102,{"TRC"}))</f>
        <v>0</v>
      </c>
      <c r="AD7" s="2" cm="1">
        <f t="array" aca="1" ref="AD7" ca="1">SUM(SUMIFS(Assumptions!BN$3:BN$102,Assumptions!$B$3:$B$102,'Trucks-lcv'!$C7,Assumptions!$G$3:$G$102,{"TRC"}))</f>
        <v>0</v>
      </c>
      <c r="AE7" s="2" cm="1">
        <f t="array" aca="1" ref="AE7" ca="1">SUM(SUMIFS(Assumptions!BO$3:BO$102,Assumptions!$B$3:$B$102,'Trucks-lcv'!$C7,Assumptions!$G$3:$G$102,{"TRC"}))</f>
        <v>0</v>
      </c>
      <c r="AF7" s="2" cm="1">
        <f t="array" aca="1" ref="AF7" ca="1">SUM(SUMIFS(Assumptions!BP$3:BP$102,Assumptions!$B$3:$B$102,'Trucks-lcv'!$C7,Assumptions!$G$3:$G$102,{"TRC"}))</f>
        <v>0</v>
      </c>
      <c r="AG7" s="2" cm="1">
        <f t="array" aca="1" ref="AG7" ca="1">SUM(SUMIFS(Assumptions!BQ$3:BQ$102,Assumptions!$B$3:$B$102,'Trucks-lcv'!$C7,Assumptions!$G$3:$G$102,{"TRC"}))</f>
        <v>0</v>
      </c>
      <c r="AH7" s="53" t="str">
        <f t="shared" ca="1" si="2"/>
        <v/>
      </c>
      <c r="AI7" t="s">
        <v>169</v>
      </c>
      <c r="AK7" t="str">
        <f t="shared" si="0"/>
        <v/>
      </c>
      <c r="AL7" t="str">
        <f t="shared" si="1"/>
        <v/>
      </c>
      <c r="AN7" t="str">
        <f t="shared" si="3"/>
        <v>*</v>
      </c>
      <c r="AO7">
        <f t="shared" si="4"/>
        <v>0</v>
      </c>
      <c r="AQ7" t="s">
        <v>156</v>
      </c>
      <c r="AR7" t="s">
        <v>354</v>
      </c>
      <c r="AS7" t="s">
        <v>361</v>
      </c>
    </row>
    <row r="8" spans="1:45" x14ac:dyDescent="0.45">
      <c r="A8" t="s">
        <v>25</v>
      </c>
      <c r="C8" s="35" t="s">
        <v>42</v>
      </c>
      <c r="D8" s="2" cm="1">
        <f t="array" aca="1" ref="D8" ca="1">SUM(SUMIFS(Assumptions!AN$3:AN$102,Assumptions!$B$3:$B$102,'Trucks-lcv'!$C8,Assumptions!$G$3:$G$102,{"TRC"}))</f>
        <v>0</v>
      </c>
      <c r="E8" s="2" cm="1">
        <f t="array" aca="1" ref="E8" ca="1">SUM(SUMIFS(Assumptions!AO$3:AO$102,Assumptions!$B$3:$B$102,'Trucks-lcv'!$C8,Assumptions!$G$3:$G$102,{"TRC"}))</f>
        <v>0</v>
      </c>
      <c r="F8" s="2" cm="1">
        <f t="array" aca="1" ref="F8" ca="1">SUM(SUMIFS(Assumptions!AP$3:AP$102,Assumptions!$B$3:$B$102,'Trucks-lcv'!$C8,Assumptions!$G$3:$G$102,{"TRC"}))</f>
        <v>23.792035694306396</v>
      </c>
      <c r="G8" s="2" cm="1">
        <f t="array" aca="1" ref="G8" ca="1">SUM(SUMIFS(Assumptions!AQ$3:AQ$102,Assumptions!$B$3:$B$102,'Trucks-lcv'!$C8,Assumptions!$G$3:$G$102,{"TRC"}))</f>
        <v>67.688465233356027</v>
      </c>
      <c r="H8" s="2" cm="1">
        <f t="array" aca="1" ref="H8" ca="1">SUM(SUMIFS(Assumptions!AR$3:AR$102,Assumptions!$B$3:$B$102,'Trucks-lcv'!$C8,Assumptions!$G$3:$G$102,{"TRC"}))</f>
        <v>201.72047031287997</v>
      </c>
      <c r="I8" s="2" cm="1">
        <f t="array" aca="1" ref="I8" ca="1">SUM(SUMIFS(Assumptions!AS$3:AS$102,Assumptions!$B$3:$B$102,'Trucks-lcv'!$C8,Assumptions!$G$3:$G$102,{"TRC"}))</f>
        <v>0</v>
      </c>
      <c r="J8" s="2" cm="1">
        <f t="array" aca="1" ref="J8" ca="1">SUM(SUMIFS(Assumptions!AT$3:AT$102,Assumptions!$B$3:$B$102,'Trucks-lcv'!$C8,Assumptions!$G$3:$G$102,{"TRC"}))</f>
        <v>64.107237767957997</v>
      </c>
      <c r="K8" s="2" cm="1">
        <f t="array" aca="1" ref="K8" ca="1">SUM(SUMIFS(Assumptions!AU$3:AU$102,Assumptions!$B$3:$B$102,'Trucks-lcv'!$C8,Assumptions!$G$3:$G$102,{"TRC"}))</f>
        <v>52.094546742016796</v>
      </c>
      <c r="L8" s="2" cm="1">
        <f t="array" aca="1" ref="L8" ca="1">SUM(SUMIFS(Assumptions!AV$3:AV$102,Assumptions!$B$3:$B$102,'Trucks-lcv'!$C8,Assumptions!$G$3:$G$102,{"TRC"}))</f>
        <v>48.940259510635251</v>
      </c>
      <c r="M8" s="2" cm="1">
        <f t="array" aca="1" ref="M8" ca="1">SUM(SUMIFS(Assumptions!AW$3:AW$102,Assumptions!$B$3:$B$102,'Trucks-lcv'!$C8,Assumptions!$G$3:$G$102,{"TRC"}))</f>
        <v>481.79239863379189</v>
      </c>
      <c r="N8" s="2" cm="1">
        <f t="array" aca="1" ref="N8" ca="1">SUM(SUMIFS(Assumptions!AX$3:AX$102,Assumptions!$B$3:$B$102,'Trucks-lcv'!$C8,Assumptions!$G$3:$G$102,{"TRC"}))</f>
        <v>5.4196476191460041</v>
      </c>
      <c r="O8" s="2" cm="1">
        <f t="array" aca="1" ref="O8" ca="1">SUM(SUMIFS(Assumptions!AY$3:AY$102,Assumptions!$B$3:$B$102,'Trucks-lcv'!$C8,Assumptions!$G$3:$G$102,{"TRC"}))</f>
        <v>5.7236547677940051</v>
      </c>
      <c r="P8" s="2" cm="1">
        <f t="array" aca="1" ref="P8" ca="1">SUM(SUMIFS(Assumptions!AZ$3:AZ$102,Assumptions!$B$3:$B$102,'Trucks-lcv'!$C8,Assumptions!$G$3:$G$102,{"TRC"}))</f>
        <v>8.5541245478730072</v>
      </c>
      <c r="Q8" s="2" cm="1">
        <f t="array" aca="1" ref="Q8" ca="1">SUM(SUMIFS(Assumptions!BA$3:BA$102,Assumptions!$B$3:$B$102,'Trucks-lcv'!$C8,Assumptions!$G$3:$G$102,{"TRC"}))</f>
        <v>12.525609010842013</v>
      </c>
      <c r="R8" s="2" cm="1">
        <f t="array" aca="1" ref="R8" ca="1">SUM(SUMIFS(Assumptions!BB$3:BB$102,Assumptions!$B$3:$B$102,'Trucks-lcv'!$C8,Assumptions!$G$3:$G$102,{"TRC"}))</f>
        <v>2.6467947489420021</v>
      </c>
      <c r="S8" s="2" cm="1">
        <f t="array" aca="1" ref="S8" ca="1">SUM(SUMIFS(Assumptions!BC$3:BC$102,Assumptions!$B$3:$B$102,'Trucks-lcv'!$C8,Assumptions!$G$3:$G$102,{"TRC"}))</f>
        <v>7.7274527218632061</v>
      </c>
      <c r="T8" s="2" cm="1">
        <f t="array" aca="1" ref="T8" ca="1">SUM(SUMIFS(Assumptions!BD$3:BD$102,Assumptions!$B$3:$B$102,'Trucks-lcv'!$C8,Assumptions!$G$3:$G$102,{"TRC"}))</f>
        <v>60.942915852984015</v>
      </c>
      <c r="U8" s="2" cm="1">
        <f t="array" aca="1" ref="U8" ca="1">SUM(SUMIFS(Assumptions!BE$3:BE$102,Assumptions!$B$3:$B$102,'Trucks-lcv'!$C8,Assumptions!$G$3:$G$102,{"TRC"}))</f>
        <v>9.379442168076606</v>
      </c>
      <c r="V8" s="2" cm="1">
        <f t="array" aca="1" ref="V8" ca="1">SUM(SUMIFS(Assumptions!BF$3:BF$102,Assumptions!$B$3:$B$102,'Trucks-lcv'!$C8,Assumptions!$G$3:$G$102,{"TRC"}))</f>
        <v>20.594441993581817</v>
      </c>
      <c r="W8" s="2" cm="1">
        <f t="array" aca="1" ref="W8" ca="1">SUM(SUMIFS(Assumptions!BG$3:BG$102,Assumptions!$B$3:$B$102,'Trucks-lcv'!$C8,Assumptions!$G$3:$G$102,{"TRC"}))</f>
        <v>0</v>
      </c>
      <c r="X8" s="2" cm="1">
        <f t="array" aca="1" ref="X8" ca="1">SUM(SUMIFS(Assumptions!BH$3:BH$102,Assumptions!$B$3:$B$102,'Trucks-lcv'!$C8,Assumptions!$G$3:$G$102,{"TRC"}))</f>
        <v>75.259820050559995</v>
      </c>
      <c r="Y8" s="2" cm="1">
        <f t="array" aca="1" ref="Y8" ca="1">SUM(SUMIFS(Assumptions!BI$3:BI$102,Assumptions!$B$3:$B$102,'Trucks-lcv'!$C8,Assumptions!$G$3:$G$102,{"TRC"}))</f>
        <v>56.142260195130049</v>
      </c>
      <c r="Z8" s="2" cm="1">
        <f t="array" aca="1" ref="Z8" ca="1">SUM(SUMIFS(Assumptions!BJ$3:BJ$102,Assumptions!$B$3:$B$102,'Trucks-lcv'!$C8,Assumptions!$G$3:$G$102,{"TRC"}))</f>
        <v>389.33794274067009</v>
      </c>
      <c r="AA8" s="2" cm="1">
        <f t="array" aca="1" ref="AA8" ca="1">SUM(SUMIFS(Assumptions!BK$3:BK$102,Assumptions!$B$3:$B$102,'Trucks-lcv'!$C8,Assumptions!$G$3:$G$102,{"TRC"}))</f>
        <v>0.9439372904598009</v>
      </c>
      <c r="AB8" s="2" cm="1">
        <f t="array" aca="1" ref="AB8" ca="1">SUM(SUMIFS(Assumptions!BL$3:BL$102,Assumptions!$B$3:$B$102,'Trucks-lcv'!$C8,Assumptions!$G$3:$G$102,{"TRC"}))</f>
        <v>246.35604854777404</v>
      </c>
      <c r="AC8" s="2" cm="1">
        <f t="array" aca="1" ref="AC8" ca="1">SUM(SUMIFS(Assumptions!BM$3:BM$102,Assumptions!$B$3:$B$102,'Trucks-lcv'!$C8,Assumptions!$G$3:$G$102,{"TRC"}))</f>
        <v>168.19616353993203</v>
      </c>
      <c r="AD8" s="2" cm="1">
        <f t="array" aca="1" ref="AD8" ca="1">SUM(SUMIFS(Assumptions!BN$3:BN$102,Assumptions!$B$3:$B$102,'Trucks-lcv'!$C8,Assumptions!$G$3:$G$102,{"TRC"}))</f>
        <v>0</v>
      </c>
      <c r="AE8" s="2" cm="1">
        <f t="array" aca="1" ref="AE8" ca="1">SUM(SUMIFS(Assumptions!BO$3:BO$102,Assumptions!$B$3:$B$102,'Trucks-lcv'!$C8,Assumptions!$G$3:$G$102,{"TRC"}))</f>
        <v>14.747303258022614</v>
      </c>
      <c r="AF8" s="2" cm="1">
        <f t="array" aca="1" ref="AF8" ca="1">SUM(SUMIFS(Assumptions!BP$3:BP$102,Assumptions!$B$3:$B$102,'Trucks-lcv'!$C8,Assumptions!$G$3:$G$102,{"TRC"}))</f>
        <v>2153.2032298008321</v>
      </c>
      <c r="AG8" s="2" cm="1">
        <f t="array" aca="1" ref="AG8" ca="1">SUM(SUMIFS(Assumptions!BQ$3:BQ$102,Assumptions!$B$3:$B$102,'Trucks-lcv'!$C8,Assumptions!$G$3:$G$102,{"TRC"}))</f>
        <v>0</v>
      </c>
      <c r="AH8" s="53" t="str">
        <f t="shared" ca="1" si="2"/>
        <v/>
      </c>
      <c r="AI8" t="s">
        <v>169</v>
      </c>
      <c r="AK8" t="str">
        <f t="shared" si="0"/>
        <v/>
      </c>
      <c r="AL8" t="str">
        <f t="shared" si="1"/>
        <v/>
      </c>
      <c r="AN8" t="str">
        <f t="shared" si="3"/>
        <v>*</v>
      </c>
      <c r="AO8">
        <f t="shared" si="4"/>
        <v>0</v>
      </c>
      <c r="AQ8" t="s">
        <v>156</v>
      </c>
      <c r="AR8" t="s">
        <v>354</v>
      </c>
      <c r="AS8" t="s">
        <v>361</v>
      </c>
    </row>
    <row r="9" spans="1:45" x14ac:dyDescent="0.45">
      <c r="A9" t="s">
        <v>25</v>
      </c>
      <c r="C9" s="35" t="s">
        <v>39</v>
      </c>
      <c r="D9" s="2" cm="1">
        <f t="array" aca="1" ref="D9" ca="1">SUM(SUMIFS(Assumptions!AN$3:AN$102,Assumptions!$B$3:$B$102,'Trucks-lcv'!$C9,Assumptions!$G$3:$G$102,{"TRC"}))</f>
        <v>12.023197888464001</v>
      </c>
      <c r="E9" s="2" cm="1">
        <f t="array" aca="1" ref="E9" ca="1">SUM(SUMIFS(Assumptions!AO$3:AO$102,Assumptions!$B$3:$B$102,'Trucks-lcv'!$C9,Assumptions!$G$3:$G$102,{"TRC"}))</f>
        <v>6.9001813440000004E-3</v>
      </c>
      <c r="F9" s="2" cm="1">
        <f t="array" aca="1" ref="F9" ca="1">SUM(SUMIFS(Assumptions!AP$3:AP$102,Assumptions!$B$3:$B$102,'Trucks-lcv'!$C9,Assumptions!$G$3:$G$102,{"TRC"}))</f>
        <v>0</v>
      </c>
      <c r="G9" s="2" cm="1">
        <f t="array" aca="1" ref="G9" ca="1">SUM(SUMIFS(Assumptions!AQ$3:AQ$102,Assumptions!$B$3:$B$102,'Trucks-lcv'!$C9,Assumptions!$G$3:$G$102,{"TRC"}))</f>
        <v>8.1368145630360011</v>
      </c>
      <c r="H9" s="2" cm="1">
        <f t="array" aca="1" ref="H9" ca="1">SUM(SUMIFS(Assumptions!AR$3:AR$102,Assumptions!$B$3:$B$102,'Trucks-lcv'!$C9,Assumptions!$G$3:$G$102,{"TRC"}))</f>
        <v>75.425346318996006</v>
      </c>
      <c r="I9" s="2" cm="1">
        <f t="array" aca="1" ref="I9" ca="1">SUM(SUMIFS(Assumptions!AS$3:AS$102,Assumptions!$B$3:$B$102,'Trucks-lcv'!$C9,Assumptions!$G$3:$G$102,{"TRC"}))</f>
        <v>4.9783870135080015</v>
      </c>
      <c r="J9" s="2" cm="1">
        <f t="array" aca="1" ref="J9" ca="1">SUM(SUMIFS(Assumptions!AT$3:AT$102,Assumptions!$B$3:$B$102,'Trucks-lcv'!$C9,Assumptions!$G$3:$G$102,{"TRC"}))</f>
        <v>2.3010332509799998</v>
      </c>
      <c r="K9" s="2" cm="1">
        <f t="array" aca="1" ref="K9" ca="1">SUM(SUMIFS(Assumptions!AU$3:AU$102,Assumptions!$B$3:$B$102,'Trucks-lcv'!$C9,Assumptions!$G$3:$G$102,{"TRC"}))</f>
        <v>0</v>
      </c>
      <c r="L9" s="2" cm="1">
        <f t="array" aca="1" ref="L9" ca="1">SUM(SUMIFS(Assumptions!AV$3:AV$102,Assumptions!$B$3:$B$102,'Trucks-lcv'!$C9,Assumptions!$G$3:$G$102,{"TRC"}))</f>
        <v>1.0926300333599999</v>
      </c>
      <c r="M9" s="2" cm="1">
        <f t="array" aca="1" ref="M9" ca="1">SUM(SUMIFS(Assumptions!AW$3:AW$102,Assumptions!$B$3:$B$102,'Trucks-lcv'!$C9,Assumptions!$G$3:$G$102,{"TRC"}))</f>
        <v>10.872444520367997</v>
      </c>
      <c r="N9" s="2" cm="1">
        <f t="array" aca="1" ref="N9" ca="1">SUM(SUMIFS(Assumptions!AX$3:AX$102,Assumptions!$B$3:$B$102,'Trucks-lcv'!$C9,Assumptions!$G$3:$G$102,{"TRC"}))</f>
        <v>0</v>
      </c>
      <c r="O9" s="2" cm="1">
        <f t="array" aca="1" ref="O9" ca="1">SUM(SUMIFS(Assumptions!AY$3:AY$102,Assumptions!$B$3:$B$102,'Trucks-lcv'!$C9,Assumptions!$G$3:$G$102,{"TRC"}))</f>
        <v>43.084122546384002</v>
      </c>
      <c r="P9" s="2" cm="1">
        <f t="array" aca="1" ref="P9" ca="1">SUM(SUMIFS(Assumptions!AZ$3:AZ$102,Assumptions!$B$3:$B$102,'Trucks-lcv'!$C9,Assumptions!$G$3:$G$102,{"TRC"}))</f>
        <v>2.0638704996000001</v>
      </c>
      <c r="Q9" s="2" cm="1">
        <f t="array" aca="1" ref="Q9" ca="1">SUM(SUMIFS(Assumptions!BA$3:BA$102,Assumptions!$B$3:$B$102,'Trucks-lcv'!$C9,Assumptions!$G$3:$G$102,{"TRC"}))</f>
        <v>21.539092036500001</v>
      </c>
      <c r="R9" s="2" cm="1">
        <f t="array" aca="1" ref="R9" ca="1">SUM(SUMIFS(Assumptions!BB$3:BB$102,Assumptions!$B$3:$B$102,'Trucks-lcv'!$C9,Assumptions!$G$3:$G$102,{"TRC"}))</f>
        <v>11.612887343532002</v>
      </c>
      <c r="S9" s="2" cm="1">
        <f t="array" aca="1" ref="S9" ca="1">SUM(SUMIFS(Assumptions!BC$3:BC$102,Assumptions!$B$3:$B$102,'Trucks-lcv'!$C9,Assumptions!$G$3:$G$102,{"TRC"}))</f>
        <v>1.4164656155999999</v>
      </c>
      <c r="T9" s="2" cm="1">
        <f t="array" aca="1" ref="T9" ca="1">SUM(SUMIFS(Assumptions!BD$3:BD$102,Assumptions!$B$3:$B$102,'Trucks-lcv'!$C9,Assumptions!$G$3:$G$102,{"TRC"}))</f>
        <v>70.569639914256001</v>
      </c>
      <c r="U9" s="2" cm="1">
        <f t="array" aca="1" ref="U9" ca="1">SUM(SUMIFS(Assumptions!BE$3:BE$102,Assumptions!$B$3:$B$102,'Trucks-lcv'!$C9,Assumptions!$G$3:$G$102,{"TRC"}))</f>
        <v>0.60514123139999998</v>
      </c>
      <c r="V9" s="2" cm="1">
        <f t="array" aca="1" ref="V9" ca="1">SUM(SUMIFS(Assumptions!BF$3:BF$102,Assumptions!$B$3:$B$102,'Trucks-lcv'!$C9,Assumptions!$G$3:$G$102,{"TRC"}))</f>
        <v>3.8985000920999999</v>
      </c>
      <c r="W9" s="2" cm="1">
        <f t="array" aca="1" ref="W9" ca="1">SUM(SUMIFS(Assumptions!BG$3:BG$102,Assumptions!$B$3:$B$102,'Trucks-lcv'!$C9,Assumptions!$G$3:$G$102,{"TRC"}))</f>
        <v>1.2196305404999999</v>
      </c>
      <c r="X9" s="2" cm="1">
        <f t="array" aca="1" ref="X9" ca="1">SUM(SUMIFS(Assumptions!BH$3:BH$102,Assumptions!$B$3:$B$102,'Trucks-lcv'!$C9,Assumptions!$G$3:$G$102,{"TRC"}))</f>
        <v>0</v>
      </c>
      <c r="Y9" s="2" cm="1">
        <f t="array" aca="1" ref="Y9" ca="1">SUM(SUMIFS(Assumptions!BI$3:BI$102,Assumptions!$B$3:$B$102,'Trucks-lcv'!$C9,Assumptions!$G$3:$G$102,{"TRC"}))</f>
        <v>4.181177253203999</v>
      </c>
      <c r="Z9" s="2" cm="1">
        <f t="array" aca="1" ref="Z9" ca="1">SUM(SUMIFS(Assumptions!BJ$3:BJ$102,Assumptions!$B$3:$B$102,'Trucks-lcv'!$C9,Assumptions!$G$3:$G$102,{"TRC"}))</f>
        <v>0.786389729328</v>
      </c>
      <c r="AA9" s="2" cm="1">
        <f t="array" aca="1" ref="AA9" ca="1">SUM(SUMIFS(Assumptions!BK$3:BK$102,Assumptions!$B$3:$B$102,'Trucks-lcv'!$C9,Assumptions!$G$3:$G$102,{"TRC"}))</f>
        <v>5.3682102900000001E-2</v>
      </c>
      <c r="AB9" s="2" cm="1">
        <f t="array" aca="1" ref="AB9" ca="1">SUM(SUMIFS(Assumptions!BL$3:BL$102,Assumptions!$B$3:$B$102,'Trucks-lcv'!$C9,Assumptions!$G$3:$G$102,{"TRC"}))</f>
        <v>23.933404637532004</v>
      </c>
      <c r="AC9" s="2" cm="1">
        <f t="array" aca="1" ref="AC9" ca="1">SUM(SUMIFS(Assumptions!BM$3:BM$102,Assumptions!$B$3:$B$102,'Trucks-lcv'!$C9,Assumptions!$G$3:$G$102,{"TRC"}))</f>
        <v>0</v>
      </c>
      <c r="AD9" s="2" cm="1">
        <f t="array" aca="1" ref="AD9" ca="1">SUM(SUMIFS(Assumptions!BN$3:BN$102,Assumptions!$B$3:$B$102,'Trucks-lcv'!$C9,Assumptions!$G$3:$G$102,{"TRC"}))</f>
        <v>0.18314319239999999</v>
      </c>
      <c r="AE9" s="2" cm="1">
        <f t="array" aca="1" ref="AE9" ca="1">SUM(SUMIFS(Assumptions!BO$3:BO$102,Assumptions!$B$3:$B$102,'Trucks-lcv'!$C9,Assumptions!$G$3:$G$102,{"TRC"}))</f>
        <v>0.72449957249999997</v>
      </c>
      <c r="AF9" s="2" cm="1">
        <f t="array" aca="1" ref="AF9" ca="1">SUM(SUMIFS(Assumptions!BP$3:BP$102,Assumptions!$B$3:$B$102,'Trucks-lcv'!$C9,Assumptions!$G$3:$G$102,{"TRC"}))</f>
        <v>0.87204044738785358</v>
      </c>
      <c r="AG9" s="2" cm="1">
        <f t="array" aca="1" ref="AG9" ca="1">SUM(SUMIFS(Assumptions!BQ$3:BQ$102,Assumptions!$B$3:$B$102,'Trucks-lcv'!$C9,Assumptions!$G$3:$G$102,{"TRC"}))</f>
        <v>0</v>
      </c>
      <c r="AH9" s="53" t="str">
        <f t="shared" ca="1" si="2"/>
        <v/>
      </c>
      <c r="AI9" t="s">
        <v>169</v>
      </c>
      <c r="AK9" t="str">
        <f t="shared" si="0"/>
        <v/>
      </c>
      <c r="AL9" t="str">
        <f t="shared" si="1"/>
        <v/>
      </c>
      <c r="AN9" t="str">
        <f t="shared" si="3"/>
        <v>*</v>
      </c>
      <c r="AO9">
        <f t="shared" si="4"/>
        <v>0</v>
      </c>
      <c r="AQ9" t="s">
        <v>156</v>
      </c>
      <c r="AR9" t="s">
        <v>354</v>
      </c>
      <c r="AS9" t="s">
        <v>361</v>
      </c>
    </row>
    <row r="10" spans="1:45" x14ac:dyDescent="0.45">
      <c r="A10" t="s">
        <v>25</v>
      </c>
      <c r="C10" s="35" t="s">
        <v>38</v>
      </c>
      <c r="D10" s="2" cm="1">
        <f t="array" aca="1" ref="D10" ca="1">SUM(SUMIFS(Assumptions!AN$3:AN$102,Assumptions!$B$3:$B$102,'Trucks-lcv'!$C10,Assumptions!$G$3:$G$102,{"TRC"}))</f>
        <v>3.0522079729799989</v>
      </c>
      <c r="E10" s="2" cm="1">
        <f t="array" aca="1" ref="E10" ca="1">SUM(SUMIFS(Assumptions!AO$3:AO$102,Assumptions!$B$3:$B$102,'Trucks-lcv'!$C10,Assumptions!$G$3:$G$102,{"TRC"}))</f>
        <v>1.1203248779999998E-2</v>
      </c>
      <c r="F10" s="2" cm="1">
        <f t="array" aca="1" ref="F10" ca="1">SUM(SUMIFS(Assumptions!AP$3:AP$102,Assumptions!$B$3:$B$102,'Trucks-lcv'!$C10,Assumptions!$G$3:$G$102,{"TRC"}))</f>
        <v>17.227567473840001</v>
      </c>
      <c r="G10" s="2" cm="1">
        <f t="array" aca="1" ref="G10" ca="1">SUM(SUMIFS(Assumptions!AQ$3:AQ$102,Assumptions!$B$3:$B$102,'Trucks-lcv'!$C10,Assumptions!$G$3:$G$102,{"TRC"}))</f>
        <v>44.392886165160007</v>
      </c>
      <c r="H10" s="2" cm="1">
        <f t="array" aca="1" ref="H10" ca="1">SUM(SUMIFS(Assumptions!AR$3:AR$102,Assumptions!$B$3:$B$102,'Trucks-lcv'!$C10,Assumptions!$G$3:$G$102,{"TRC"}))</f>
        <v>2.5613856408600024</v>
      </c>
      <c r="I10" s="2" cm="1">
        <f t="array" aca="1" ref="I10" ca="1">SUM(SUMIFS(Assumptions!AS$3:AS$102,Assumptions!$B$3:$B$102,'Trucks-lcv'!$C10,Assumptions!$G$3:$G$102,{"TRC"}))</f>
        <v>5.0127012726839997</v>
      </c>
      <c r="J10" s="2" cm="1">
        <f t="array" aca="1" ref="J10" ca="1">SUM(SUMIFS(Assumptions!AT$3:AT$102,Assumptions!$B$3:$B$102,'Trucks-lcv'!$C10,Assumptions!$G$3:$G$102,{"TRC"}))</f>
        <v>0.46851799247999987</v>
      </c>
      <c r="K10" s="2" cm="1">
        <f t="array" aca="1" ref="K10" ca="1">SUM(SUMIFS(Assumptions!AU$3:AU$102,Assumptions!$B$3:$B$102,'Trucks-lcv'!$C10,Assumptions!$G$3:$G$102,{"TRC"}))</f>
        <v>16.834613685120001</v>
      </c>
      <c r="L10" s="2" cm="1">
        <f t="array" aca="1" ref="L10" ca="1">SUM(SUMIFS(Assumptions!AV$3:AV$102,Assumptions!$B$3:$B$102,'Trucks-lcv'!$C10,Assumptions!$G$3:$G$102,{"TRC"}))</f>
        <v>0</v>
      </c>
      <c r="M10" s="2" cm="1">
        <f t="array" aca="1" ref="M10" ca="1">SUM(SUMIFS(Assumptions!AW$3:AW$102,Assumptions!$B$3:$B$102,'Trucks-lcv'!$C10,Assumptions!$G$3:$G$102,{"TRC"}))</f>
        <v>123.40083952108797</v>
      </c>
      <c r="N10" s="2" cm="1">
        <f t="array" aca="1" ref="N10" ca="1">SUM(SUMIFS(Assumptions!AX$3:AX$102,Assumptions!$B$3:$B$102,'Trucks-lcv'!$C10,Assumptions!$G$3:$G$102,{"TRC"}))</f>
        <v>0</v>
      </c>
      <c r="O10" s="2" cm="1">
        <f t="array" aca="1" ref="O10" ca="1">SUM(SUMIFS(Assumptions!AY$3:AY$102,Assumptions!$B$3:$B$102,'Trucks-lcv'!$C10,Assumptions!$G$3:$G$102,{"TRC"}))</f>
        <v>0</v>
      </c>
      <c r="P10" s="2" cm="1">
        <f t="array" aca="1" ref="P10" ca="1">SUM(SUMIFS(Assumptions!AZ$3:AZ$102,Assumptions!$B$3:$B$102,'Trucks-lcv'!$C10,Assumptions!$G$3:$G$102,{"TRC"}))</f>
        <v>0</v>
      </c>
      <c r="Q10" s="2" cm="1">
        <f t="array" aca="1" ref="Q10" ca="1">SUM(SUMIFS(Assumptions!BA$3:BA$102,Assumptions!$B$3:$B$102,'Trucks-lcv'!$C10,Assumptions!$G$3:$G$102,{"TRC"}))</f>
        <v>0</v>
      </c>
      <c r="R10" s="2" cm="1">
        <f t="array" aca="1" ref="R10" ca="1">SUM(SUMIFS(Assumptions!BB$3:BB$102,Assumptions!$B$3:$B$102,'Trucks-lcv'!$C10,Assumptions!$G$3:$G$102,{"TRC"}))</f>
        <v>0</v>
      </c>
      <c r="S10" s="2" cm="1">
        <f t="array" aca="1" ref="S10" ca="1">SUM(SUMIFS(Assumptions!BC$3:BC$102,Assumptions!$B$3:$B$102,'Trucks-lcv'!$C10,Assumptions!$G$3:$G$102,{"TRC"}))</f>
        <v>0</v>
      </c>
      <c r="T10" s="2" cm="1">
        <f t="array" aca="1" ref="T10" ca="1">SUM(SUMIFS(Assumptions!BD$3:BD$102,Assumptions!$B$3:$B$102,'Trucks-lcv'!$C10,Assumptions!$G$3:$G$102,{"TRC"}))</f>
        <v>0</v>
      </c>
      <c r="U10" s="2" cm="1">
        <f t="array" aca="1" ref="U10" ca="1">SUM(SUMIFS(Assumptions!BE$3:BE$102,Assumptions!$B$3:$B$102,'Trucks-lcv'!$C10,Assumptions!$G$3:$G$102,{"TRC"}))</f>
        <v>0</v>
      </c>
      <c r="V10" s="2" cm="1">
        <f t="array" aca="1" ref="V10" ca="1">SUM(SUMIFS(Assumptions!BF$3:BF$102,Assumptions!$B$3:$B$102,'Trucks-lcv'!$C10,Assumptions!$G$3:$G$102,{"TRC"}))</f>
        <v>0</v>
      </c>
      <c r="W10" s="2" cm="1">
        <f t="array" aca="1" ref="W10" ca="1">SUM(SUMIFS(Assumptions!BG$3:BG$102,Assumptions!$B$3:$B$102,'Trucks-lcv'!$C10,Assumptions!$G$3:$G$102,{"TRC"}))</f>
        <v>18.507111331679994</v>
      </c>
      <c r="X10" s="2" cm="1">
        <f t="array" aca="1" ref="X10" ca="1">SUM(SUMIFS(Assumptions!BH$3:BH$102,Assumptions!$B$3:$B$102,'Trucks-lcv'!$C10,Assumptions!$G$3:$G$102,{"TRC"}))</f>
        <v>15.148824623280001</v>
      </c>
      <c r="Y10" s="2" cm="1">
        <f t="array" aca="1" ref="Y10" ca="1">SUM(SUMIFS(Assumptions!BI$3:BI$102,Assumptions!$B$3:$B$102,'Trucks-lcv'!$C10,Assumptions!$G$3:$G$102,{"TRC"}))</f>
        <v>0.16896589210799995</v>
      </c>
      <c r="Z10" s="2" cm="1">
        <f t="array" aca="1" ref="Z10" ca="1">SUM(SUMIFS(Assumptions!BJ$3:BJ$102,Assumptions!$B$3:$B$102,'Trucks-lcv'!$C10,Assumptions!$G$3:$G$102,{"TRC"}))</f>
        <v>0</v>
      </c>
      <c r="AA10" s="2" cm="1">
        <f t="array" aca="1" ref="AA10" ca="1">SUM(SUMIFS(Assumptions!BK$3:BK$102,Assumptions!$B$3:$B$102,'Trucks-lcv'!$C10,Assumptions!$G$3:$G$102,{"TRC"}))</f>
        <v>0</v>
      </c>
      <c r="AB10" s="2" cm="1">
        <f t="array" aca="1" ref="AB10" ca="1">SUM(SUMIFS(Assumptions!BL$3:BL$102,Assumptions!$B$3:$B$102,'Trucks-lcv'!$C10,Assumptions!$G$3:$G$102,{"TRC"}))</f>
        <v>2.6106653235600006</v>
      </c>
      <c r="AC10" s="2" cm="1">
        <f t="array" aca="1" ref="AC10" ca="1">SUM(SUMIFS(Assumptions!BM$3:BM$102,Assumptions!$B$3:$B$102,'Trucks-lcv'!$C10,Assumptions!$G$3:$G$102,{"TRC"}))</f>
        <v>0</v>
      </c>
      <c r="AD10" s="2" cm="1">
        <f t="array" aca="1" ref="AD10" ca="1">SUM(SUMIFS(Assumptions!BN$3:BN$102,Assumptions!$B$3:$B$102,'Trucks-lcv'!$C10,Assumptions!$G$3:$G$102,{"TRC"}))</f>
        <v>1.0996630199999998E-3</v>
      </c>
      <c r="AE10" s="2" cm="1">
        <f t="array" aca="1" ref="AE10" ca="1">SUM(SUMIFS(Assumptions!BO$3:BO$102,Assumptions!$B$3:$B$102,'Trucks-lcv'!$C10,Assumptions!$G$3:$G$102,{"TRC"}))</f>
        <v>0</v>
      </c>
      <c r="AF10" s="2" cm="1">
        <f t="array" aca="1" ref="AF10" ca="1">SUM(SUMIFS(Assumptions!BP$3:BP$102,Assumptions!$B$3:$B$102,'Trucks-lcv'!$C10,Assumptions!$G$3:$G$102,{"TRC"}))</f>
        <v>1.0291975321782563</v>
      </c>
      <c r="AG10" s="2" cm="1">
        <f t="array" aca="1" ref="AG10" ca="1">SUM(SUMIFS(Assumptions!BQ$3:BQ$102,Assumptions!$B$3:$B$102,'Trucks-lcv'!$C10,Assumptions!$G$3:$G$102,{"TRC"}))</f>
        <v>0</v>
      </c>
      <c r="AH10" s="53" t="str">
        <f t="shared" ca="1" si="2"/>
        <v/>
      </c>
      <c r="AI10" t="s">
        <v>169</v>
      </c>
      <c r="AK10" t="str">
        <f t="shared" si="0"/>
        <v/>
      </c>
      <c r="AL10" t="str">
        <f t="shared" si="1"/>
        <v/>
      </c>
      <c r="AN10" t="str">
        <f t="shared" si="3"/>
        <v>*</v>
      </c>
      <c r="AO10">
        <f t="shared" si="4"/>
        <v>0</v>
      </c>
      <c r="AQ10" t="s">
        <v>156</v>
      </c>
      <c r="AR10" t="s">
        <v>354</v>
      </c>
      <c r="AS10" t="s">
        <v>361</v>
      </c>
    </row>
    <row r="11" spans="1:45" x14ac:dyDescent="0.45">
      <c r="A11" s="3" t="s">
        <v>327</v>
      </c>
      <c r="B11" s="3"/>
      <c r="D11" s="42">
        <f ca="1">SUM(D$4:D$10)/SUM($D$4:$T$10)</f>
        <v>4.8949852341907019E-2</v>
      </c>
      <c r="E11" s="42">
        <f t="shared" ref="E11:AG11" ca="1" si="5">SUM(E$4:E$10)/SUM($D$4:$T$10)</f>
        <v>4.045795243069434E-2</v>
      </c>
      <c r="F11" s="42">
        <f t="shared" ca="1" si="5"/>
        <v>2.0547630748688844E-2</v>
      </c>
      <c r="G11" s="42">
        <f t="shared" ca="1" si="5"/>
        <v>3.1592645084189283E-2</v>
      </c>
      <c r="H11" s="42">
        <f t="shared" ca="1" si="5"/>
        <v>0.12046865259124323</v>
      </c>
      <c r="I11" s="42">
        <f t="shared" ca="1" si="5"/>
        <v>6.7009904705020107E-2</v>
      </c>
      <c r="J11" s="42">
        <f t="shared" ca="1" si="5"/>
        <v>4.5423455547561414E-2</v>
      </c>
      <c r="K11" s="42">
        <f t="shared" ca="1" si="5"/>
        <v>6.2929038175286334E-2</v>
      </c>
      <c r="L11" s="42">
        <f t="shared" ca="1" si="5"/>
        <v>2.677447610249984E-2</v>
      </c>
      <c r="M11" s="42">
        <f t="shared" ca="1" si="5"/>
        <v>0.22912288465390993</v>
      </c>
      <c r="N11" s="42">
        <f t="shared" ca="1" si="5"/>
        <v>1.670016419134001E-2</v>
      </c>
      <c r="O11" s="42">
        <f t="shared" ca="1" si="5"/>
        <v>6.3825488051611853E-2</v>
      </c>
      <c r="P11" s="42">
        <f t="shared" ca="1" si="5"/>
        <v>3.0477518687377161E-2</v>
      </c>
      <c r="Q11" s="42">
        <f t="shared" ca="1" si="5"/>
        <v>4.9674140967215438E-2</v>
      </c>
      <c r="R11" s="42">
        <f t="shared" ca="1" si="5"/>
        <v>2.5693566236394443E-2</v>
      </c>
      <c r="S11" s="42">
        <f t="shared" ca="1" si="5"/>
        <v>4.6984372042560264E-2</v>
      </c>
      <c r="T11" s="42">
        <f t="shared" ca="1" si="5"/>
        <v>7.3368257442500764E-2</v>
      </c>
      <c r="U11" s="42">
        <f t="shared" ca="1" si="5"/>
        <v>5.686659774543127E-2</v>
      </c>
      <c r="V11" s="42">
        <f t="shared" ca="1" si="5"/>
        <v>6.3165036824375298E-2</v>
      </c>
      <c r="W11" s="42">
        <f t="shared" ca="1" si="5"/>
        <v>0.10833070285586828</v>
      </c>
      <c r="X11" s="42">
        <f t="shared" ca="1" si="5"/>
        <v>4.2795926522481598E-2</v>
      </c>
      <c r="Y11" s="42">
        <f t="shared" ca="1" si="5"/>
        <v>2.875362838091227E-2</v>
      </c>
      <c r="Z11" s="42">
        <f t="shared" ca="1" si="5"/>
        <v>0.1347065179397596</v>
      </c>
      <c r="AA11" s="42">
        <f t="shared" ca="1" si="5"/>
        <v>4.7152972166466193E-3</v>
      </c>
      <c r="AB11" s="42">
        <f t="shared" ca="1" si="5"/>
        <v>7.5382625409183057E-2</v>
      </c>
      <c r="AC11" s="42">
        <f t="shared" ca="1" si="5"/>
        <v>6.4403070871553794E-2</v>
      </c>
      <c r="AD11" s="42">
        <f t="shared" ca="1" si="5"/>
        <v>1.425185228306846E-2</v>
      </c>
      <c r="AE11" s="42">
        <f t="shared" ca="1" si="5"/>
        <v>4.5559699089431055E-2</v>
      </c>
      <c r="AF11" s="42">
        <f t="shared" ca="1" si="5"/>
        <v>0.59240038292656827</v>
      </c>
      <c r="AG11" s="42">
        <f t="shared" ca="1" si="5"/>
        <v>0</v>
      </c>
      <c r="AH11" s="53" t="str">
        <f t="shared" ca="1" si="2"/>
        <v/>
      </c>
      <c r="AI11" t="s">
        <v>169</v>
      </c>
      <c r="AK11" t="str">
        <f t="shared" si="0"/>
        <v/>
      </c>
      <c r="AL11" t="str">
        <f t="shared" si="1"/>
        <v/>
      </c>
      <c r="AN11" t="str">
        <f t="shared" si="3"/>
        <v>*</v>
      </c>
      <c r="AO11">
        <f t="shared" si="4"/>
        <v>0</v>
      </c>
      <c r="AQ11" t="s">
        <v>156</v>
      </c>
      <c r="AR11" t="s">
        <v>354</v>
      </c>
      <c r="AS11" t="s">
        <v>361</v>
      </c>
    </row>
    <row r="12" spans="1:45" x14ac:dyDescent="0.45">
      <c r="AI12" t="s">
        <v>169</v>
      </c>
      <c r="AK12" t="str">
        <f t="shared" si="0"/>
        <v/>
      </c>
      <c r="AL12" t="str">
        <f t="shared" si="1"/>
        <v/>
      </c>
      <c r="AN12" t="str">
        <f t="shared" si="3"/>
        <v>*</v>
      </c>
      <c r="AO12">
        <f t="shared" si="4"/>
        <v>0</v>
      </c>
      <c r="AQ12" t="s">
        <v>156</v>
      </c>
      <c r="AR12" t="s">
        <v>354</v>
      </c>
      <c r="AS12" t="s">
        <v>361</v>
      </c>
    </row>
    <row r="13" spans="1:45" x14ac:dyDescent="0.45">
      <c r="A13" s="3" t="s">
        <v>328</v>
      </c>
      <c r="B13" s="3"/>
      <c r="C13" s="52">
        <f ca="1">SUM(D13:AG13)</f>
        <v>148.35000000000002</v>
      </c>
      <c r="D13" s="1">
        <f ca="1">SUM(D19:D25)</f>
        <v>3.29</v>
      </c>
      <c r="E13" s="1">
        <f t="shared" ref="E13:T13" ca="1" si="6">SUM(E19:E25)</f>
        <v>2.7</v>
      </c>
      <c r="F13" s="1">
        <f t="shared" ca="1" si="6"/>
        <v>1.33</v>
      </c>
      <c r="G13" s="1">
        <f t="shared" ca="1" si="6"/>
        <v>2.02</v>
      </c>
      <c r="H13" s="1">
        <f t="shared" ca="1" si="6"/>
        <v>8.1599999999999984</v>
      </c>
      <c r="I13" s="1">
        <f t="shared" ca="1" si="6"/>
        <v>4.4800000000000004</v>
      </c>
      <c r="J13" s="1">
        <f t="shared" ca="1" si="6"/>
        <v>3.0299999999999994</v>
      </c>
      <c r="K13" s="1">
        <f t="shared" ca="1" si="6"/>
        <v>4.1499999999999995</v>
      </c>
      <c r="L13" s="1">
        <f t="shared" ca="1" si="6"/>
        <v>1.78</v>
      </c>
      <c r="M13" s="1">
        <f t="shared" ca="1" si="6"/>
        <v>15.29</v>
      </c>
      <c r="N13" s="1">
        <f t="shared" ca="1" si="6"/>
        <v>1.1100000000000001</v>
      </c>
      <c r="O13" s="1">
        <f t="shared" ca="1" si="6"/>
        <v>4.37</v>
      </c>
      <c r="P13" s="1">
        <f t="shared" ca="1" si="6"/>
        <v>2.04</v>
      </c>
      <c r="Q13" s="1">
        <f t="shared" ref="Q13" ca="1" si="7">SUM(Q19:Q25)</f>
        <v>3.37</v>
      </c>
      <c r="R13" s="1">
        <f t="shared" ca="1" si="6"/>
        <v>1.74</v>
      </c>
      <c r="S13" s="1">
        <f t="shared" ca="1" si="6"/>
        <v>3.13</v>
      </c>
      <c r="T13" s="1">
        <f t="shared" ca="1" si="6"/>
        <v>5.05</v>
      </c>
      <c r="U13" s="1">
        <f t="shared" ref="U13:AG13" ca="1" si="8">SUM(U19:U25)</f>
        <v>3.8</v>
      </c>
      <c r="V13" s="1">
        <f t="shared" ca="1" si="8"/>
        <v>4.2300000000000004</v>
      </c>
      <c r="W13" s="1">
        <f t="shared" ca="1" si="8"/>
        <v>7.1899999999999995</v>
      </c>
      <c r="X13" s="1">
        <f t="shared" ca="1" si="8"/>
        <v>2.8100000000000005</v>
      </c>
      <c r="Y13" s="1">
        <f t="shared" ca="1" si="8"/>
        <v>1.91</v>
      </c>
      <c r="Z13" s="1">
        <f t="shared" ca="1" si="8"/>
        <v>8.879999999999999</v>
      </c>
      <c r="AA13" s="1">
        <f t="shared" ca="1" si="8"/>
        <v>0.31</v>
      </c>
      <c r="AB13" s="1">
        <f t="shared" ca="1" si="8"/>
        <v>5.01</v>
      </c>
      <c r="AC13" s="1">
        <f t="shared" ca="1" si="8"/>
        <v>4.26</v>
      </c>
      <c r="AD13" s="1">
        <f t="shared" ca="1" si="8"/>
        <v>0.95</v>
      </c>
      <c r="AE13" s="1">
        <f t="shared" ca="1" si="8"/>
        <v>3.04</v>
      </c>
      <c r="AF13" s="1">
        <f t="shared" ca="1" si="8"/>
        <v>38.92</v>
      </c>
      <c r="AG13" s="1">
        <f t="shared" ca="1" si="8"/>
        <v>0</v>
      </c>
      <c r="AI13" t="s">
        <v>169</v>
      </c>
      <c r="AK13" t="str">
        <f t="shared" si="0"/>
        <v/>
      </c>
      <c r="AL13" t="str">
        <f t="shared" si="1"/>
        <v/>
      </c>
      <c r="AN13" t="str">
        <f t="shared" si="3"/>
        <v>*</v>
      </c>
      <c r="AO13">
        <f t="shared" si="4"/>
        <v>0</v>
      </c>
      <c r="AQ13" t="s">
        <v>156</v>
      </c>
      <c r="AR13" t="s">
        <v>354</v>
      </c>
      <c r="AS13" t="s">
        <v>361</v>
      </c>
    </row>
    <row r="14" spans="1:45" x14ac:dyDescent="0.45">
      <c r="A14" s="3" t="s">
        <v>329</v>
      </c>
      <c r="B14" s="3"/>
      <c r="D14" s="42">
        <f ca="1">D13/SUM($D$13:$T$13)</f>
        <v>4.9075178997613371E-2</v>
      </c>
      <c r="E14" s="42">
        <f t="shared" ref="E14:T14" ca="1" si="9">E13/SUM($D$13:$T$13)</f>
        <v>4.0274463007159915E-2</v>
      </c>
      <c r="F14" s="42">
        <f t="shared" ca="1" si="9"/>
        <v>1.9838902147971363E-2</v>
      </c>
      <c r="G14" s="42">
        <f t="shared" ca="1" si="9"/>
        <v>3.0131264916467785E-2</v>
      </c>
      <c r="H14" s="42">
        <f t="shared" ca="1" si="9"/>
        <v>0.12171837708830548</v>
      </c>
      <c r="I14" s="42">
        <f t="shared" ca="1" si="9"/>
        <v>6.6825775656324596E-2</v>
      </c>
      <c r="J14" s="42">
        <f t="shared" ca="1" si="9"/>
        <v>4.5196897374701665E-2</v>
      </c>
      <c r="K14" s="42">
        <f t="shared" ca="1" si="9"/>
        <v>6.1903341288782818E-2</v>
      </c>
      <c r="L14" s="42">
        <f t="shared" ca="1" si="9"/>
        <v>2.6551312649164681E-2</v>
      </c>
      <c r="M14" s="42">
        <f t="shared" ca="1" si="9"/>
        <v>0.22807279236276851</v>
      </c>
      <c r="N14" s="42">
        <f t="shared" ca="1" si="9"/>
        <v>1.6557279236276853E-2</v>
      </c>
      <c r="O14" s="42">
        <f t="shared" ca="1" si="9"/>
        <v>6.5184964200477341E-2</v>
      </c>
      <c r="P14" s="42">
        <f t="shared" ca="1" si="9"/>
        <v>3.0429594272076376E-2</v>
      </c>
      <c r="Q14" s="42">
        <f t="shared" ref="Q14" ca="1" si="10">Q13/SUM($D$13:$T$13)</f>
        <v>5.0268496420047742E-2</v>
      </c>
      <c r="R14" s="42">
        <f t="shared" ca="1" si="9"/>
        <v>2.5954653937947499E-2</v>
      </c>
      <c r="S14" s="42">
        <f t="shared" ca="1" si="9"/>
        <v>4.6688544152744635E-2</v>
      </c>
      <c r="T14" s="42">
        <f t="shared" ca="1" si="9"/>
        <v>7.5328162291169454E-2</v>
      </c>
      <c r="U14" s="42">
        <f t="shared" ref="U14:AG14" ca="1" si="11">U13/SUM($D$13:$T$13)</f>
        <v>5.6682577565632462E-2</v>
      </c>
      <c r="V14" s="42">
        <f t="shared" ref="V14" ca="1" si="12">V13/SUM($D$13:$T$13)</f>
        <v>6.3096658711217196E-2</v>
      </c>
      <c r="W14" s="42">
        <f t="shared" ca="1" si="11"/>
        <v>0.10724940334128878</v>
      </c>
      <c r="X14" s="42">
        <f t="shared" ca="1" si="11"/>
        <v>4.191527446300717E-2</v>
      </c>
      <c r="Y14" s="42">
        <f t="shared" ca="1" si="11"/>
        <v>2.8490453460620527E-2</v>
      </c>
      <c r="Z14" s="42">
        <f t="shared" ca="1" si="11"/>
        <v>0.1324582338902148</v>
      </c>
      <c r="AA14" s="42">
        <f t="shared" ca="1" si="11"/>
        <v>4.6241050119331748E-3</v>
      </c>
      <c r="AB14" s="42">
        <f t="shared" ca="1" si="11"/>
        <v>7.4731503579952271E-2</v>
      </c>
      <c r="AC14" s="42">
        <f t="shared" ca="1" si="11"/>
        <v>6.3544152744630072E-2</v>
      </c>
      <c r="AD14" s="42">
        <f t="shared" ca="1" si="11"/>
        <v>1.4170644391408116E-2</v>
      </c>
      <c r="AE14" s="42">
        <f t="shared" ca="1" si="11"/>
        <v>4.5346062052505971E-2</v>
      </c>
      <c r="AF14" s="42">
        <f t="shared" ca="1" si="11"/>
        <v>0.58054892601431995</v>
      </c>
      <c r="AG14" s="42">
        <f t="shared" ca="1" si="11"/>
        <v>0</v>
      </c>
      <c r="AI14" t="s">
        <v>169</v>
      </c>
      <c r="AK14" t="str">
        <f t="shared" si="0"/>
        <v/>
      </c>
      <c r="AL14" t="str">
        <f t="shared" si="1"/>
        <v/>
      </c>
      <c r="AN14" t="str">
        <f t="shared" si="3"/>
        <v>*</v>
      </c>
      <c r="AO14">
        <f t="shared" si="4"/>
        <v>0</v>
      </c>
      <c r="AQ14" t="s">
        <v>156</v>
      </c>
      <c r="AR14" t="s">
        <v>354</v>
      </c>
      <c r="AS14" t="s">
        <v>361</v>
      </c>
    </row>
    <row r="15" spans="1:45" x14ac:dyDescent="0.45">
      <c r="A15" s="3"/>
      <c r="B15" s="3"/>
      <c r="D15" s="42">
        <f ca="1">D13/'non-road'!BV21</f>
        <v>1.6583910934820947E-2</v>
      </c>
      <c r="E15" s="42">
        <f ca="1">E13/'non-road'!BW21</f>
        <v>2.5974385167664058E-3</v>
      </c>
      <c r="F15" s="42">
        <f ca="1">F13/'non-road'!BX21</f>
        <v>2.0816801193287913E-2</v>
      </c>
      <c r="G15" s="42">
        <f ca="1">G13/'non-road'!BY21</f>
        <v>2.2316595150449203E-2</v>
      </c>
      <c r="H15" s="42">
        <f ca="1">H13/'non-road'!BZ21</f>
        <v>4.5849367969833806E-2</v>
      </c>
      <c r="I15" s="42">
        <f ca="1">I13/'non-road'!CA21</f>
        <v>3.7436977573612478E-3</v>
      </c>
      <c r="J15" s="42">
        <f ca="1">J13/'non-road'!CB21</f>
        <v>9.9851705388037545E-2</v>
      </c>
      <c r="K15" s="42">
        <f ca="1">K13/'non-road'!CC21</f>
        <v>1.9663586827765929E-2</v>
      </c>
      <c r="L15" s="42">
        <f ca="1">L13/'non-road'!CD21</f>
        <v>4.7348736746343774E-2</v>
      </c>
      <c r="M15" s="42">
        <f ca="1">M13/'non-road'!CE21</f>
        <v>1.0880801214095312E-2</v>
      </c>
      <c r="N15" s="42">
        <f ca="1">N13/'non-road'!CF21</f>
        <v>5.1353393233288289E-2</v>
      </c>
      <c r="O15" s="42">
        <f ca="1">O13/'non-road'!CG21</f>
        <v>6.332752372137454E-2</v>
      </c>
      <c r="P15" s="42">
        <f ca="1">P13/'non-road'!CH21</f>
        <v>5.9322603909865587E-2</v>
      </c>
      <c r="Q15" s="42">
        <f ca="1">Q13/'non-road'!CI21</f>
        <v>4.6685510444070266E-2</v>
      </c>
      <c r="R15" s="42">
        <f ca="1">R13/'non-road'!CJ21</f>
        <v>4.1161862162644239E-2</v>
      </c>
      <c r="S15" s="42">
        <f ca="1">S13/'non-road'!CK21</f>
        <v>5.4510813343132507E-2</v>
      </c>
      <c r="T15" s="42">
        <f ca="1">T13/'non-road'!CL21</f>
        <v>3.063994086681732E-2</v>
      </c>
      <c r="U15" s="42">
        <f ca="1">U13/'non-road'!CM21</f>
        <v>5.5522585935568199E-2</v>
      </c>
      <c r="V15" s="42">
        <f ca="1">V13/'non-road'!CN21</f>
        <v>5.090681525519599E-2</v>
      </c>
      <c r="W15" s="42">
        <f ca="1">W13/'non-road'!CO21</f>
        <v>5.2619253231070964E-3</v>
      </c>
      <c r="X15" s="42">
        <f ca="1">X13/'non-road'!CP21</f>
        <v>1.1462599764933369E-2</v>
      </c>
      <c r="Y15" s="42">
        <f ca="1">Y13/'non-road'!CQ21</f>
        <v>1.4971467987709286E-2</v>
      </c>
      <c r="Z15" s="42">
        <f ca="1">Z13/'non-road'!CR21</f>
        <v>3.9896081490442124E-2</v>
      </c>
      <c r="AA15" s="42">
        <f ca="1">AA13/'non-road'!CS21</f>
        <v>5.430533577952594E-2</v>
      </c>
      <c r="AB15" s="42">
        <f ca="1">AB13/'non-road'!CT21</f>
        <v>3.4693849286040745E-2</v>
      </c>
      <c r="AC15" s="42">
        <f ca="1">AC13/'non-road'!CU21</f>
        <v>0.1243124151917942</v>
      </c>
      <c r="AD15" s="42">
        <f ca="1">AD13/'non-road'!CV21</f>
        <v>1.6223148554517463E-2</v>
      </c>
      <c r="AE15" s="42">
        <f ca="1">AE13/'non-road'!CW21</f>
        <v>4.5455698661814412E-2</v>
      </c>
      <c r="AF15" s="42">
        <f ca="1">AF13/'non-road'!CX21</f>
        <v>0.11853927451040114</v>
      </c>
      <c r="AG15" s="42" t="e">
        <f ca="1">AG13/'non-road'!CY21</f>
        <v>#DIV/0!</v>
      </c>
      <c r="AI15" t="s">
        <v>169</v>
      </c>
      <c r="AK15" t="str">
        <f t="shared" si="0"/>
        <v/>
      </c>
      <c r="AL15" t="str">
        <f t="shared" si="1"/>
        <v/>
      </c>
      <c r="AN15" t="str">
        <f t="shared" si="3"/>
        <v>*</v>
      </c>
      <c r="AO15">
        <f t="shared" si="4"/>
        <v>0</v>
      </c>
      <c r="AQ15" t="s">
        <v>156</v>
      </c>
      <c r="AR15" t="s">
        <v>354</v>
      </c>
      <c r="AS15" t="s">
        <v>361</v>
      </c>
    </row>
    <row r="16" spans="1:45" x14ac:dyDescent="0.45">
      <c r="AI16" t="s">
        <v>169</v>
      </c>
      <c r="AK16" t="str">
        <f t="shared" si="0"/>
        <v/>
      </c>
      <c r="AL16" t="str">
        <f t="shared" si="1"/>
        <v/>
      </c>
      <c r="AN16" t="str">
        <f t="shared" si="3"/>
        <v>*</v>
      </c>
      <c r="AO16">
        <f t="shared" si="4"/>
        <v>0</v>
      </c>
      <c r="AQ16" t="s">
        <v>156</v>
      </c>
      <c r="AR16" t="s">
        <v>354</v>
      </c>
      <c r="AS16" t="s">
        <v>361</v>
      </c>
    </row>
    <row r="17" spans="1:45" x14ac:dyDescent="0.45">
      <c r="A17" s="3" t="s">
        <v>330</v>
      </c>
      <c r="B17" s="3"/>
      <c r="D17" s="1">
        <f ca="1">D11/D14</f>
        <v>0.99744623130743049</v>
      </c>
      <c r="E17" s="1">
        <f t="shared" ref="E17:T17" ca="1" si="13">E11/E14</f>
        <v>1.004555974427314</v>
      </c>
      <c r="F17" s="1">
        <f t="shared" ca="1" si="13"/>
        <v>1.0357241845053382</v>
      </c>
      <c r="G17" s="1">
        <f t="shared" ca="1" si="13"/>
        <v>1.0485004586356679</v>
      </c>
      <c r="H17" s="1">
        <f t="shared" ca="1" si="13"/>
        <v>0.98973265560256707</v>
      </c>
      <c r="I17" s="1">
        <f t="shared" ca="1" si="13"/>
        <v>1.0027553596929792</v>
      </c>
      <c r="J17" s="1">
        <f t="shared" ca="1" si="13"/>
        <v>1.0050126930391148</v>
      </c>
      <c r="K17" s="1">
        <f t="shared" ca="1" si="13"/>
        <v>1.0165693299448664</v>
      </c>
      <c r="L17" s="1">
        <f t="shared" ca="1" si="13"/>
        <v>1.0084049875907803</v>
      </c>
      <c r="M17" s="1">
        <f t="shared" ca="1" si="13"/>
        <v>1.0046041979854885</v>
      </c>
      <c r="N17" s="1">
        <f t="shared" ca="1" si="13"/>
        <v>1.0086297363850756</v>
      </c>
      <c r="O17" s="1">
        <f t="shared" ca="1" si="13"/>
        <v>0.97914432928605444</v>
      </c>
      <c r="P17" s="1">
        <f t="shared" ca="1" si="13"/>
        <v>1.0015749278440023</v>
      </c>
      <c r="Q17" s="1">
        <f t="shared" ref="Q17" ca="1" si="14">Q11/Q14</f>
        <v>0.98817638292051113</v>
      </c>
      <c r="R17" s="1">
        <f t="shared" ca="1" si="13"/>
        <v>0.98994062097004776</v>
      </c>
      <c r="S17" s="1">
        <f t="shared" ca="1" si="13"/>
        <v>1.0063361986368178</v>
      </c>
      <c r="T17" s="1">
        <f t="shared" ca="1" si="13"/>
        <v>0.97398177800896057</v>
      </c>
      <c r="U17" s="1">
        <f t="shared" ref="U17:AG17" ca="1" si="15">U11/U14</f>
        <v>1.0032465033825557</v>
      </c>
      <c r="V17" s="1">
        <f t="shared" ca="1" si="15"/>
        <v>1.0010837041858438</v>
      </c>
      <c r="W17" s="1">
        <f t="shared" ca="1" si="15"/>
        <v>1.0100821028452587</v>
      </c>
      <c r="X17" s="1">
        <f t="shared" ca="1" si="15"/>
        <v>1.0210102897036177</v>
      </c>
      <c r="Y17" s="1">
        <f t="shared" ca="1" si="15"/>
        <v>1.0092373019143239</v>
      </c>
      <c r="Z17" s="1">
        <f t="shared" ca="1" si="15"/>
        <v>1.0169735318335005</v>
      </c>
      <c r="AA17" s="1">
        <f t="shared" ca="1" si="15"/>
        <v>1.0197210496902882</v>
      </c>
      <c r="AB17" s="1">
        <f t="shared" ca="1" si="15"/>
        <v>1.0087128158546173</v>
      </c>
      <c r="AC17" s="1">
        <f t="shared" ca="1" si="15"/>
        <v>1.0135168711805085</v>
      </c>
      <c r="AD17" s="1">
        <f t="shared" ca="1" si="15"/>
        <v>1.0057307126914836</v>
      </c>
      <c r="AE17" s="1">
        <f t="shared" ca="1" si="15"/>
        <v>1.0047112588669269</v>
      </c>
      <c r="AF17" s="1">
        <f t="shared" ca="1" si="15"/>
        <v>1.0204142258837905</v>
      </c>
      <c r="AG17" s="1" t="e">
        <f t="shared" ca="1" si="15"/>
        <v>#DIV/0!</v>
      </c>
      <c r="AI17" t="s">
        <v>169</v>
      </c>
      <c r="AK17" t="str">
        <f t="shared" si="0"/>
        <v/>
      </c>
      <c r="AL17" t="str">
        <f t="shared" si="1"/>
        <v/>
      </c>
      <c r="AN17" t="str">
        <f t="shared" si="3"/>
        <v>*</v>
      </c>
      <c r="AO17">
        <f t="shared" si="4"/>
        <v>0</v>
      </c>
      <c r="AQ17" t="s">
        <v>156</v>
      </c>
      <c r="AR17" t="s">
        <v>354</v>
      </c>
      <c r="AS17" t="s">
        <v>361</v>
      </c>
    </row>
    <row r="18" spans="1:45" x14ac:dyDescent="0.45">
      <c r="AI18" t="s">
        <v>169</v>
      </c>
      <c r="AK18" t="str">
        <f t="shared" si="0"/>
        <v/>
      </c>
      <c r="AL18" t="str">
        <f t="shared" si="1"/>
        <v/>
      </c>
      <c r="AN18" t="str">
        <f t="shared" si="3"/>
        <v>*</v>
      </c>
      <c r="AO18">
        <f t="shared" si="4"/>
        <v>0</v>
      </c>
      <c r="AQ18" t="s">
        <v>156</v>
      </c>
      <c r="AR18" t="s">
        <v>354</v>
      </c>
      <c r="AS18" t="s">
        <v>361</v>
      </c>
    </row>
    <row r="19" spans="1:45" x14ac:dyDescent="0.45">
      <c r="A19" t="s">
        <v>320</v>
      </c>
      <c r="C19" t="str">
        <f t="shared" ref="C19:C25" si="16">C4</f>
        <v>TRABDS</v>
      </c>
      <c r="D19" s="40">
        <f t="shared" ref="D19:AG25" ca="1" si="17">ROUND(D4*D28/D36,2)</f>
        <v>0</v>
      </c>
      <c r="E19" s="40">
        <f t="shared" ca="1" si="17"/>
        <v>0</v>
      </c>
      <c r="F19" s="40">
        <f t="shared" ca="1" si="17"/>
        <v>0.06</v>
      </c>
      <c r="G19" s="40">
        <f t="shared" ca="1" si="17"/>
        <v>0</v>
      </c>
      <c r="H19" s="40">
        <f t="shared" ca="1" si="17"/>
        <v>0.06</v>
      </c>
      <c r="I19" s="40">
        <f t="shared" ca="1" si="17"/>
        <v>0.36</v>
      </c>
      <c r="J19" s="40">
        <f t="shared" ca="1" si="17"/>
        <v>0</v>
      </c>
      <c r="K19" s="40">
        <f t="shared" ca="1" si="17"/>
        <v>0.92</v>
      </c>
      <c r="L19" s="40">
        <f t="shared" ca="1" si="17"/>
        <v>0.03</v>
      </c>
      <c r="M19" s="40">
        <f t="shared" ca="1" si="17"/>
        <v>0.05</v>
      </c>
      <c r="N19" s="40">
        <f t="shared" ca="1" si="17"/>
        <v>0.19</v>
      </c>
      <c r="O19" s="40">
        <f t="shared" ca="1" si="17"/>
        <v>0.2</v>
      </c>
      <c r="P19" s="40">
        <f t="shared" ca="1" si="17"/>
        <v>0.11</v>
      </c>
      <c r="Q19" s="40">
        <f t="shared" ca="1" si="17"/>
        <v>0.16</v>
      </c>
      <c r="R19" s="40">
        <f t="shared" ca="1" si="17"/>
        <v>0.09</v>
      </c>
      <c r="S19" s="40">
        <f t="shared" ca="1" si="17"/>
        <v>0.19</v>
      </c>
      <c r="T19" s="40">
        <f t="shared" ca="1" si="17"/>
        <v>0.03</v>
      </c>
      <c r="U19" s="40">
        <f t="shared" ca="1" si="17"/>
        <v>0.28000000000000003</v>
      </c>
      <c r="V19" s="40">
        <f t="shared" ca="1" si="17"/>
        <v>0.21</v>
      </c>
      <c r="W19" s="40">
        <f t="shared" ca="1" si="17"/>
        <v>0</v>
      </c>
      <c r="X19" s="40">
        <f t="shared" ca="1" si="17"/>
        <v>0.05</v>
      </c>
      <c r="Y19" s="40">
        <f t="shared" ca="1" si="17"/>
        <v>0</v>
      </c>
      <c r="Z19" s="40">
        <f t="shared" ca="1" si="17"/>
        <v>0</v>
      </c>
      <c r="AA19" s="40">
        <f t="shared" ca="1" si="17"/>
        <v>0.05</v>
      </c>
      <c r="AB19" s="40">
        <f t="shared" ca="1" si="17"/>
        <v>0</v>
      </c>
      <c r="AC19" s="40">
        <f t="shared" ca="1" si="17"/>
        <v>0</v>
      </c>
      <c r="AD19" s="40">
        <f t="shared" ca="1" si="17"/>
        <v>0</v>
      </c>
      <c r="AE19" s="40">
        <f t="shared" ca="1" si="17"/>
        <v>0.14000000000000001</v>
      </c>
      <c r="AF19" s="40">
        <f t="shared" ca="1" si="17"/>
        <v>0.14000000000000001</v>
      </c>
      <c r="AG19" s="40">
        <f t="shared" ca="1" si="17"/>
        <v>0</v>
      </c>
      <c r="AI19" t="s">
        <v>360</v>
      </c>
      <c r="AJ19" t="str">
        <f ca="1">IF(AH4="zero","\I:",$AK$45&amp;"_"&amp;VLOOKUP(C19,'TRA balance'!$AL$5:$AM$15,2,FALSE))</f>
        <v>Trd_lcv_bdl</v>
      </c>
      <c r="AK19" t="str">
        <f t="shared" ca="1" si="0"/>
        <v>Trd_lcv</v>
      </c>
      <c r="AL19">
        <f t="shared" ca="1" si="1"/>
        <v>25</v>
      </c>
      <c r="AN19" t="str">
        <f t="shared" ca="1" si="3"/>
        <v>DMD</v>
      </c>
      <c r="AO19" t="str">
        <f t="shared" ca="1" si="4"/>
        <v>Trd_lcv_bdl</v>
      </c>
      <c r="AQ19" t="s">
        <v>156</v>
      </c>
      <c r="AR19" t="s">
        <v>354</v>
      </c>
      <c r="AS19" t="s">
        <v>361</v>
      </c>
    </row>
    <row r="20" spans="1:45" x14ac:dyDescent="0.45">
      <c r="C20" t="str">
        <f t="shared" si="16"/>
        <v>TRABGS</v>
      </c>
      <c r="D20" s="40">
        <f t="shared" ca="1" si="17"/>
        <v>0</v>
      </c>
      <c r="E20" s="40">
        <f t="shared" ca="1" si="17"/>
        <v>0</v>
      </c>
      <c r="F20" s="40">
        <f t="shared" ca="1" si="17"/>
        <v>0.02</v>
      </c>
      <c r="G20" s="40">
        <f t="shared" ca="1" si="17"/>
        <v>0</v>
      </c>
      <c r="H20" s="40">
        <f t="shared" ca="1" si="17"/>
        <v>0.02</v>
      </c>
      <c r="I20" s="40">
        <f t="shared" ca="1" si="17"/>
        <v>0</v>
      </c>
      <c r="J20" s="40">
        <f t="shared" ca="1" si="17"/>
        <v>0.01</v>
      </c>
      <c r="K20" s="40">
        <f t="shared" ca="1" si="17"/>
        <v>0.2</v>
      </c>
      <c r="L20" s="40">
        <f t="shared" ca="1" si="17"/>
        <v>0.04</v>
      </c>
      <c r="M20" s="40">
        <f t="shared" ca="1" si="17"/>
        <v>0.1</v>
      </c>
      <c r="N20" s="40">
        <f t="shared" ca="1" si="17"/>
        <v>0</v>
      </c>
      <c r="O20" s="40">
        <f t="shared" ca="1" si="17"/>
        <v>0</v>
      </c>
      <c r="P20" s="40">
        <f t="shared" ca="1" si="17"/>
        <v>0.01</v>
      </c>
      <c r="Q20" s="40">
        <f t="shared" ca="1" si="17"/>
        <v>0</v>
      </c>
      <c r="R20" s="40">
        <f t="shared" ca="1" si="17"/>
        <v>0</v>
      </c>
      <c r="S20" s="40">
        <f t="shared" ca="1" si="17"/>
        <v>0</v>
      </c>
      <c r="T20" s="40">
        <f t="shared" ca="1" si="17"/>
        <v>0.02</v>
      </c>
      <c r="U20" s="40">
        <f t="shared" ca="1" si="17"/>
        <v>0.01</v>
      </c>
      <c r="V20" s="40">
        <f t="shared" ca="1" si="17"/>
        <v>0.01</v>
      </c>
      <c r="W20" s="40">
        <f t="shared" ca="1" si="17"/>
        <v>0</v>
      </c>
      <c r="X20" s="40">
        <f t="shared" ca="1" si="17"/>
        <v>0.03</v>
      </c>
      <c r="Y20" s="40">
        <f t="shared" ca="1" si="17"/>
        <v>0</v>
      </c>
      <c r="Z20" s="40">
        <f t="shared" ca="1" si="17"/>
        <v>0</v>
      </c>
      <c r="AA20" s="40">
        <f t="shared" ca="1" si="17"/>
        <v>0</v>
      </c>
      <c r="AB20" s="40">
        <f t="shared" ca="1" si="17"/>
        <v>0</v>
      </c>
      <c r="AC20" s="40">
        <f t="shared" ca="1" si="17"/>
        <v>0</v>
      </c>
      <c r="AD20" s="40">
        <f t="shared" ca="1" si="17"/>
        <v>0</v>
      </c>
      <c r="AE20" s="40">
        <f t="shared" ca="1" si="17"/>
        <v>0.01</v>
      </c>
      <c r="AF20" s="40">
        <f t="shared" ca="1" si="17"/>
        <v>2.84</v>
      </c>
      <c r="AG20" s="40">
        <f t="shared" ca="1" si="17"/>
        <v>0</v>
      </c>
      <c r="AI20" t="s">
        <v>360</v>
      </c>
      <c r="AJ20" t="str">
        <f ca="1">IF(AH5="zero","\I:",$AK$45&amp;"_"&amp;VLOOKUP(C20,'TRA balance'!$AL$5:$AM$15,2,FALSE))</f>
        <v>Trd_lcv_eth</v>
      </c>
      <c r="AK20" t="str">
        <f t="shared" ca="1" si="0"/>
        <v>Trd_lcv</v>
      </c>
      <c r="AL20">
        <f t="shared" ca="1" si="1"/>
        <v>25</v>
      </c>
      <c r="AN20" t="str">
        <f t="shared" ca="1" si="3"/>
        <v>DMD</v>
      </c>
      <c r="AO20" t="str">
        <f t="shared" ca="1" si="4"/>
        <v>Trd_lcv_eth</v>
      </c>
      <c r="AQ20" t="s">
        <v>156</v>
      </c>
      <c r="AR20" t="s">
        <v>354</v>
      </c>
      <c r="AS20" t="s">
        <v>361</v>
      </c>
    </row>
    <row r="21" spans="1:45" x14ac:dyDescent="0.45">
      <c r="C21" t="str">
        <f t="shared" si="16"/>
        <v>TRADST</v>
      </c>
      <c r="D21" s="40">
        <f t="shared" ca="1" si="17"/>
        <v>3.04</v>
      </c>
      <c r="E21" s="40">
        <f t="shared" ca="1" si="17"/>
        <v>2.7</v>
      </c>
      <c r="F21" s="40">
        <f t="shared" ca="1" si="17"/>
        <v>0.67</v>
      </c>
      <c r="G21" s="40">
        <f t="shared" ca="1" si="17"/>
        <v>0.28000000000000003</v>
      </c>
      <c r="H21" s="40">
        <f t="shared" ca="1" si="17"/>
        <v>3.71</v>
      </c>
      <c r="I21" s="40">
        <f t="shared" ca="1" si="17"/>
        <v>3.96</v>
      </c>
      <c r="J21" s="40">
        <f t="shared" ca="1" si="17"/>
        <v>2.0099999999999998</v>
      </c>
      <c r="K21" s="40">
        <f t="shared" ca="1" si="17"/>
        <v>2.0299999999999998</v>
      </c>
      <c r="L21" s="40">
        <f t="shared" ca="1" si="17"/>
        <v>0.96</v>
      </c>
      <c r="M21" s="40">
        <f t="shared" ca="1" si="17"/>
        <v>5.41</v>
      </c>
      <c r="N21" s="40">
        <f t="shared" ca="1" si="17"/>
        <v>0.84</v>
      </c>
      <c r="O21" s="40">
        <f t="shared" ca="1" si="17"/>
        <v>3.32</v>
      </c>
      <c r="P21" s="40">
        <f t="shared" ca="1" si="17"/>
        <v>1.75</v>
      </c>
      <c r="Q21" s="40">
        <f t="shared" ca="1" si="17"/>
        <v>2.64</v>
      </c>
      <c r="R21" s="40">
        <f t="shared" ca="1" si="17"/>
        <v>1.41</v>
      </c>
      <c r="S21" s="40">
        <f t="shared" ca="1" si="17"/>
        <v>2.8</v>
      </c>
      <c r="T21" s="40">
        <f t="shared" ca="1" si="17"/>
        <v>2.85</v>
      </c>
      <c r="U21" s="40">
        <f t="shared" ca="1" si="17"/>
        <v>3.36</v>
      </c>
      <c r="V21" s="40">
        <f t="shared" ca="1" si="17"/>
        <v>3.63</v>
      </c>
      <c r="W21" s="40">
        <f t="shared" ca="1" si="17"/>
        <v>6.93</v>
      </c>
      <c r="X21" s="40">
        <f t="shared" ca="1" si="17"/>
        <v>1.41</v>
      </c>
      <c r="Y21" s="40">
        <f t="shared" ca="1" si="17"/>
        <v>1</v>
      </c>
      <c r="Z21" s="40">
        <f t="shared" ca="1" si="17"/>
        <v>3.07</v>
      </c>
      <c r="AA21" s="40">
        <f t="shared" ca="1" si="17"/>
        <v>0.25</v>
      </c>
      <c r="AB21" s="40">
        <f t="shared" ca="1" si="17"/>
        <v>0.89</v>
      </c>
      <c r="AC21" s="40">
        <f t="shared" ca="1" si="17"/>
        <v>1.75</v>
      </c>
      <c r="AD21" s="40">
        <f t="shared" ca="1" si="17"/>
        <v>0.95</v>
      </c>
      <c r="AE21" s="40">
        <f t="shared" ca="1" si="17"/>
        <v>2.66</v>
      </c>
      <c r="AF21" s="40">
        <f t="shared" ca="1" si="17"/>
        <v>3.81</v>
      </c>
      <c r="AG21" s="40">
        <f t="shared" ca="1" si="17"/>
        <v>0</v>
      </c>
      <c r="AI21" t="s">
        <v>360</v>
      </c>
      <c r="AJ21" t="str">
        <f ca="1">IF(AH6="zero","\I:",$AK$45&amp;"_"&amp;VLOOKUP(C21,'TRA balance'!$AL$5:$AM$15,2,FALSE))</f>
        <v>Trd_lcv_dsl</v>
      </c>
      <c r="AK21" t="str">
        <f t="shared" ca="1" si="0"/>
        <v>Trd_lcv</v>
      </c>
      <c r="AL21">
        <f t="shared" ca="1" si="1"/>
        <v>25</v>
      </c>
      <c r="AN21" t="str">
        <f t="shared" ca="1" si="3"/>
        <v>DMD</v>
      </c>
      <c r="AO21" t="str">
        <f t="shared" ca="1" si="4"/>
        <v>Trd_lcv_dsl</v>
      </c>
      <c r="AQ21" t="s">
        <v>156</v>
      </c>
      <c r="AR21" t="s">
        <v>354</v>
      </c>
      <c r="AS21" t="s">
        <v>361</v>
      </c>
    </row>
    <row r="22" spans="1:45" x14ac:dyDescent="0.45">
      <c r="C22" t="str">
        <f t="shared" si="16"/>
        <v>TRAELC</v>
      </c>
      <c r="D22" s="40">
        <f t="shared" ca="1" si="17"/>
        <v>0</v>
      </c>
      <c r="E22" s="40">
        <f t="shared" ca="1" si="17"/>
        <v>0</v>
      </c>
      <c r="F22" s="40">
        <f t="shared" ca="1" si="17"/>
        <v>0</v>
      </c>
      <c r="G22" s="40">
        <f t="shared" ca="1" si="17"/>
        <v>0</v>
      </c>
      <c r="H22" s="40">
        <f t="shared" ca="1" si="17"/>
        <v>0</v>
      </c>
      <c r="I22" s="40">
        <f t="shared" ca="1" si="17"/>
        <v>0</v>
      </c>
      <c r="J22" s="40">
        <f t="shared" ca="1" si="17"/>
        <v>0</v>
      </c>
      <c r="K22" s="40">
        <f t="shared" ca="1" si="17"/>
        <v>0</v>
      </c>
      <c r="L22" s="40">
        <f t="shared" ca="1" si="17"/>
        <v>0</v>
      </c>
      <c r="M22" s="40">
        <f t="shared" ca="1" si="17"/>
        <v>0.73</v>
      </c>
      <c r="N22" s="40">
        <f t="shared" ca="1" si="17"/>
        <v>0</v>
      </c>
      <c r="O22" s="40">
        <f t="shared" ca="1" si="17"/>
        <v>0</v>
      </c>
      <c r="P22" s="40">
        <f t="shared" ca="1" si="17"/>
        <v>0</v>
      </c>
      <c r="Q22" s="40">
        <f t="shared" ca="1" si="17"/>
        <v>0</v>
      </c>
      <c r="R22" s="40">
        <f t="shared" ca="1" si="17"/>
        <v>0</v>
      </c>
      <c r="S22" s="40">
        <f t="shared" ca="1" si="17"/>
        <v>0</v>
      </c>
      <c r="T22" s="40">
        <f t="shared" ca="1" si="17"/>
        <v>0</v>
      </c>
      <c r="U22" s="40">
        <f t="shared" ca="1" si="17"/>
        <v>0</v>
      </c>
      <c r="V22" s="40">
        <f t="shared" ca="1" si="17"/>
        <v>0</v>
      </c>
      <c r="W22" s="40">
        <f t="shared" ca="1" si="17"/>
        <v>0</v>
      </c>
      <c r="X22" s="40">
        <f t="shared" ca="1" si="17"/>
        <v>0</v>
      </c>
      <c r="Y22" s="40">
        <f t="shared" ca="1" si="17"/>
        <v>0</v>
      </c>
      <c r="Z22" s="40">
        <f t="shared" ca="1" si="17"/>
        <v>0</v>
      </c>
      <c r="AA22" s="40">
        <f t="shared" ca="1" si="17"/>
        <v>0</v>
      </c>
      <c r="AB22" s="40">
        <f t="shared" ca="1" si="17"/>
        <v>0</v>
      </c>
      <c r="AC22" s="40">
        <f t="shared" ca="1" si="17"/>
        <v>0</v>
      </c>
      <c r="AD22" s="40">
        <f t="shared" ca="1" si="17"/>
        <v>0</v>
      </c>
      <c r="AE22" s="40">
        <f t="shared" ca="1" si="17"/>
        <v>0</v>
      </c>
      <c r="AF22" s="40">
        <f t="shared" ca="1" si="17"/>
        <v>0</v>
      </c>
      <c r="AG22" s="40">
        <f t="shared" ca="1" si="17"/>
        <v>0</v>
      </c>
      <c r="AI22" t="s">
        <v>360</v>
      </c>
      <c r="AJ22" t="str">
        <f ca="1">IF(AH7="zero","\I:",$AK$45&amp;"_"&amp;VLOOKUP(C22,'TRA balance'!$AL$5:$AM$15,2,FALSE))</f>
        <v>Trd_lcv_elc</v>
      </c>
      <c r="AK22" t="str">
        <f t="shared" ca="1" si="0"/>
        <v>Trd_lcv</v>
      </c>
      <c r="AL22">
        <f t="shared" ca="1" si="1"/>
        <v>25</v>
      </c>
      <c r="AN22" t="str">
        <f t="shared" ca="1" si="3"/>
        <v>DMD</v>
      </c>
      <c r="AO22" t="str">
        <f t="shared" ca="1" si="4"/>
        <v>Trd_lcv_elc</v>
      </c>
      <c r="AQ22" t="s">
        <v>156</v>
      </c>
      <c r="AR22" t="s">
        <v>354</v>
      </c>
      <c r="AS22" t="s">
        <v>361</v>
      </c>
    </row>
    <row r="23" spans="1:45" x14ac:dyDescent="0.45">
      <c r="C23" t="str">
        <f t="shared" si="16"/>
        <v>TRAGSL</v>
      </c>
      <c r="D23" s="40">
        <f t="shared" ca="1" si="17"/>
        <v>0</v>
      </c>
      <c r="E23" s="40">
        <f t="shared" ca="1" si="17"/>
        <v>0</v>
      </c>
      <c r="F23" s="40">
        <f t="shared" ca="1" si="17"/>
        <v>0.35</v>
      </c>
      <c r="G23" s="40">
        <f t="shared" ca="1" si="17"/>
        <v>1.01</v>
      </c>
      <c r="H23" s="40">
        <f t="shared" ca="1" si="17"/>
        <v>3.01</v>
      </c>
      <c r="I23" s="40">
        <f t="shared" ca="1" si="17"/>
        <v>0</v>
      </c>
      <c r="J23" s="40">
        <f t="shared" ca="1" si="17"/>
        <v>0.96</v>
      </c>
      <c r="K23" s="40">
        <f t="shared" ca="1" si="17"/>
        <v>0.78</v>
      </c>
      <c r="L23" s="40">
        <f t="shared" ca="1" si="17"/>
        <v>0.73</v>
      </c>
      <c r="M23" s="40">
        <f t="shared" ca="1" si="17"/>
        <v>7.18</v>
      </c>
      <c r="N23" s="40">
        <f t="shared" ca="1" si="17"/>
        <v>0.08</v>
      </c>
      <c r="O23" s="40">
        <f t="shared" ca="1" si="17"/>
        <v>0.09</v>
      </c>
      <c r="P23" s="40">
        <f t="shared" ca="1" si="17"/>
        <v>0.13</v>
      </c>
      <c r="Q23" s="40">
        <f t="shared" ca="1" si="17"/>
        <v>0.19</v>
      </c>
      <c r="R23" s="40">
        <f t="shared" ca="1" si="17"/>
        <v>0.04</v>
      </c>
      <c r="S23" s="40">
        <f t="shared" ca="1" si="17"/>
        <v>0.12</v>
      </c>
      <c r="T23" s="40">
        <f t="shared" ca="1" si="17"/>
        <v>0.91</v>
      </c>
      <c r="U23" s="40">
        <f t="shared" ca="1" si="17"/>
        <v>0.14000000000000001</v>
      </c>
      <c r="V23" s="40">
        <f t="shared" ca="1" si="17"/>
        <v>0.31</v>
      </c>
      <c r="W23" s="40">
        <f t="shared" ca="1" si="17"/>
        <v>0</v>
      </c>
      <c r="X23" s="40">
        <f t="shared" ca="1" si="17"/>
        <v>1.1200000000000001</v>
      </c>
      <c r="Y23" s="40">
        <f t="shared" ca="1" si="17"/>
        <v>0.84</v>
      </c>
      <c r="Z23" s="40">
        <f t="shared" ca="1" si="17"/>
        <v>5.8</v>
      </c>
      <c r="AA23" s="40">
        <f t="shared" ca="1" si="17"/>
        <v>0.01</v>
      </c>
      <c r="AB23" s="40">
        <f t="shared" ca="1" si="17"/>
        <v>3.67</v>
      </c>
      <c r="AC23" s="40">
        <f t="shared" ca="1" si="17"/>
        <v>2.5099999999999998</v>
      </c>
      <c r="AD23" s="40">
        <f t="shared" ca="1" si="17"/>
        <v>0</v>
      </c>
      <c r="AE23" s="40">
        <f t="shared" ca="1" si="17"/>
        <v>0.22</v>
      </c>
      <c r="AF23" s="40">
        <f t="shared" ca="1" si="17"/>
        <v>32.1</v>
      </c>
      <c r="AG23" s="40">
        <f t="shared" ca="1" si="17"/>
        <v>0</v>
      </c>
      <c r="AI23" t="s">
        <v>360</v>
      </c>
      <c r="AJ23" t="str">
        <f ca="1">IF(AH8="zero","\I:",$AK$45&amp;"_"&amp;VLOOKUP(C23,'TRA balance'!$AL$5:$AM$15,2,FALSE))</f>
        <v>Trd_lcv_gsl</v>
      </c>
      <c r="AK23" t="str">
        <f t="shared" ca="1" si="0"/>
        <v>Trd_lcv</v>
      </c>
      <c r="AL23">
        <f t="shared" ca="1" si="1"/>
        <v>25</v>
      </c>
      <c r="AN23" t="str">
        <f t="shared" ca="1" si="3"/>
        <v>DMD</v>
      </c>
      <c r="AO23" t="str">
        <f t="shared" ca="1" si="4"/>
        <v>Trd_lcv_gsl</v>
      </c>
      <c r="AQ23" t="s">
        <v>156</v>
      </c>
      <c r="AR23" t="s">
        <v>354</v>
      </c>
      <c r="AS23" t="s">
        <v>361</v>
      </c>
    </row>
    <row r="24" spans="1:45" x14ac:dyDescent="0.45">
      <c r="C24" t="str">
        <f t="shared" si="16"/>
        <v>TRALPG</v>
      </c>
      <c r="D24" s="40">
        <f t="shared" ca="1" si="17"/>
        <v>0.21</v>
      </c>
      <c r="E24" s="40">
        <f t="shared" ca="1" si="17"/>
        <v>0</v>
      </c>
      <c r="F24" s="40">
        <f t="shared" ca="1" si="17"/>
        <v>0</v>
      </c>
      <c r="G24" s="40">
        <f t="shared" ca="1" si="17"/>
        <v>0.14000000000000001</v>
      </c>
      <c r="H24" s="40">
        <f t="shared" ca="1" si="17"/>
        <v>1.33</v>
      </c>
      <c r="I24" s="40">
        <f t="shared" ca="1" si="17"/>
        <v>0.09</v>
      </c>
      <c r="J24" s="40">
        <f t="shared" ca="1" si="17"/>
        <v>0.04</v>
      </c>
      <c r="K24" s="40">
        <f t="shared" ca="1" si="17"/>
        <v>0</v>
      </c>
      <c r="L24" s="40">
        <f t="shared" ca="1" si="17"/>
        <v>0.02</v>
      </c>
      <c r="M24" s="40">
        <f t="shared" ca="1" si="17"/>
        <v>0.19</v>
      </c>
      <c r="N24" s="40">
        <f t="shared" ca="1" si="17"/>
        <v>0</v>
      </c>
      <c r="O24" s="40">
        <f t="shared" ca="1" si="17"/>
        <v>0.76</v>
      </c>
      <c r="P24" s="40">
        <f t="shared" ca="1" si="17"/>
        <v>0.04</v>
      </c>
      <c r="Q24" s="40">
        <f t="shared" ca="1" si="17"/>
        <v>0.38</v>
      </c>
      <c r="R24" s="40">
        <f t="shared" ca="1" si="17"/>
        <v>0.2</v>
      </c>
      <c r="S24" s="40">
        <f t="shared" ca="1" si="17"/>
        <v>0.02</v>
      </c>
      <c r="T24" s="40">
        <f t="shared" ca="1" si="17"/>
        <v>1.24</v>
      </c>
      <c r="U24" s="40">
        <f t="shared" ca="1" si="17"/>
        <v>0.01</v>
      </c>
      <c r="V24" s="40">
        <f t="shared" ca="1" si="17"/>
        <v>7.0000000000000007E-2</v>
      </c>
      <c r="W24" s="40">
        <f t="shared" ca="1" si="17"/>
        <v>0.02</v>
      </c>
      <c r="X24" s="40">
        <f t="shared" ca="1" si="17"/>
        <v>0</v>
      </c>
      <c r="Y24" s="40">
        <f t="shared" ca="1" si="17"/>
        <v>7.0000000000000007E-2</v>
      </c>
      <c r="Z24" s="40">
        <f t="shared" ca="1" si="17"/>
        <v>0.01</v>
      </c>
      <c r="AA24" s="40">
        <f t="shared" ca="1" si="17"/>
        <v>0</v>
      </c>
      <c r="AB24" s="40">
        <f t="shared" ca="1" si="17"/>
        <v>0.42</v>
      </c>
      <c r="AC24" s="40">
        <f t="shared" ca="1" si="17"/>
        <v>0</v>
      </c>
      <c r="AD24" s="40">
        <f t="shared" ca="1" si="17"/>
        <v>0</v>
      </c>
      <c r="AE24" s="40">
        <f t="shared" ca="1" si="17"/>
        <v>0.01</v>
      </c>
      <c r="AF24" s="40">
        <f t="shared" ca="1" si="17"/>
        <v>0.02</v>
      </c>
      <c r="AG24" s="40">
        <f t="shared" ca="1" si="17"/>
        <v>0</v>
      </c>
      <c r="AI24" t="s">
        <v>360</v>
      </c>
      <c r="AJ24" t="str">
        <f ca="1">IF(AH9="zero","\I:",$AK$45&amp;"_"&amp;VLOOKUP(C24,'TRA balance'!$AL$5:$AM$15,2,FALSE))</f>
        <v>Trd_lcv_lpg</v>
      </c>
      <c r="AK24" t="str">
        <f t="shared" ca="1" si="0"/>
        <v>Trd_lcv</v>
      </c>
      <c r="AL24">
        <f t="shared" ca="1" si="1"/>
        <v>25</v>
      </c>
      <c r="AN24" t="str">
        <f t="shared" ca="1" si="3"/>
        <v>DMD</v>
      </c>
      <c r="AO24" t="str">
        <f t="shared" ca="1" si="4"/>
        <v>Trd_lcv_lpg</v>
      </c>
      <c r="AQ24" t="s">
        <v>156</v>
      </c>
      <c r="AR24" t="s">
        <v>354</v>
      </c>
      <c r="AS24" t="s">
        <v>361</v>
      </c>
    </row>
    <row r="25" spans="1:45" x14ac:dyDescent="0.45">
      <c r="C25" t="str">
        <f t="shared" si="16"/>
        <v>TRANGA</v>
      </c>
      <c r="D25" s="40">
        <f t="shared" ca="1" si="17"/>
        <v>0.04</v>
      </c>
      <c r="E25" s="40">
        <f t="shared" ca="1" si="17"/>
        <v>0</v>
      </c>
      <c r="F25" s="40">
        <f t="shared" ca="1" si="17"/>
        <v>0.23</v>
      </c>
      <c r="G25" s="40">
        <f t="shared" ca="1" si="17"/>
        <v>0.59</v>
      </c>
      <c r="H25" s="40">
        <f t="shared" ca="1" si="17"/>
        <v>0.03</v>
      </c>
      <c r="I25" s="40">
        <f t="shared" ca="1" si="17"/>
        <v>7.0000000000000007E-2</v>
      </c>
      <c r="J25" s="40">
        <f t="shared" ca="1" si="17"/>
        <v>0.01</v>
      </c>
      <c r="K25" s="40">
        <f t="shared" ca="1" si="17"/>
        <v>0.22</v>
      </c>
      <c r="L25" s="40">
        <f t="shared" ca="1" si="17"/>
        <v>0</v>
      </c>
      <c r="M25" s="40">
        <f t="shared" ca="1" si="17"/>
        <v>1.63</v>
      </c>
      <c r="N25" s="40">
        <f t="shared" ca="1" si="17"/>
        <v>0</v>
      </c>
      <c r="O25" s="40">
        <f t="shared" ca="1" si="17"/>
        <v>0</v>
      </c>
      <c r="P25" s="40">
        <f t="shared" ca="1" si="17"/>
        <v>0</v>
      </c>
      <c r="Q25" s="40">
        <f t="shared" ca="1" si="17"/>
        <v>0</v>
      </c>
      <c r="R25" s="40">
        <f t="shared" ca="1" si="17"/>
        <v>0</v>
      </c>
      <c r="S25" s="40">
        <f t="shared" ca="1" si="17"/>
        <v>0</v>
      </c>
      <c r="T25" s="40">
        <f t="shared" ca="1" si="17"/>
        <v>0</v>
      </c>
      <c r="U25" s="40">
        <f t="shared" ca="1" si="17"/>
        <v>0</v>
      </c>
      <c r="V25" s="40">
        <f t="shared" ca="1" si="17"/>
        <v>0</v>
      </c>
      <c r="W25" s="40">
        <f t="shared" ca="1" si="17"/>
        <v>0.24</v>
      </c>
      <c r="X25" s="40">
        <f t="shared" ca="1" si="17"/>
        <v>0.2</v>
      </c>
      <c r="Y25" s="40">
        <f t="shared" ca="1" si="17"/>
        <v>0</v>
      </c>
      <c r="Z25" s="40">
        <f t="shared" ca="1" si="17"/>
        <v>0</v>
      </c>
      <c r="AA25" s="40">
        <f t="shared" ca="1" si="17"/>
        <v>0</v>
      </c>
      <c r="AB25" s="40">
        <f t="shared" ca="1" si="17"/>
        <v>0.03</v>
      </c>
      <c r="AC25" s="40">
        <f t="shared" ca="1" si="17"/>
        <v>0</v>
      </c>
      <c r="AD25" s="40">
        <f t="shared" ca="1" si="17"/>
        <v>0</v>
      </c>
      <c r="AE25" s="40">
        <f t="shared" ca="1" si="17"/>
        <v>0</v>
      </c>
      <c r="AF25" s="40">
        <f t="shared" ca="1" si="17"/>
        <v>0.01</v>
      </c>
      <c r="AG25" s="40">
        <f t="shared" ca="1" si="17"/>
        <v>0</v>
      </c>
      <c r="AI25" t="s">
        <v>360</v>
      </c>
      <c r="AJ25" t="str">
        <f ca="1">IF(AH10="zero","\I:",$AK$45&amp;"_"&amp;VLOOKUP(C25,'TRA balance'!$AL$5:$AM$15,2,FALSE))</f>
        <v>Trd_lcv_nga</v>
      </c>
      <c r="AK25" t="str">
        <f t="shared" ca="1" si="0"/>
        <v>Trd_lcv</v>
      </c>
      <c r="AL25">
        <f t="shared" ca="1" si="1"/>
        <v>25</v>
      </c>
      <c r="AN25" t="str">
        <f t="shared" ca="1" si="3"/>
        <v>DMD</v>
      </c>
      <c r="AO25" t="str">
        <f t="shared" ca="1" si="4"/>
        <v>Trd_lcv_nga</v>
      </c>
      <c r="AQ25" t="s">
        <v>156</v>
      </c>
      <c r="AR25" t="s">
        <v>354</v>
      </c>
      <c r="AS25" t="s">
        <v>361</v>
      </c>
    </row>
    <row r="26" spans="1:45" x14ac:dyDescent="0.4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I26" t="s">
        <v>169</v>
      </c>
      <c r="AK26" t="str">
        <f t="shared" si="0"/>
        <v/>
      </c>
      <c r="AL26" t="str">
        <f t="shared" si="1"/>
        <v/>
      </c>
      <c r="AN26" t="str">
        <f t="shared" si="3"/>
        <v>*</v>
      </c>
      <c r="AO26">
        <f t="shared" si="4"/>
        <v>0</v>
      </c>
      <c r="AQ26" t="s">
        <v>156</v>
      </c>
      <c r="AR26" t="s">
        <v>354</v>
      </c>
      <c r="AS26" t="s">
        <v>361</v>
      </c>
    </row>
    <row r="27" spans="1:45" x14ac:dyDescent="0.45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I27" t="s">
        <v>169</v>
      </c>
      <c r="AK27" t="str">
        <f t="shared" si="0"/>
        <v/>
      </c>
      <c r="AL27" t="str">
        <f t="shared" si="1"/>
        <v/>
      </c>
      <c r="AN27" t="str">
        <f t="shared" si="3"/>
        <v>*</v>
      </c>
      <c r="AO27">
        <f t="shared" si="4"/>
        <v>0</v>
      </c>
      <c r="AQ27" t="s">
        <v>156</v>
      </c>
      <c r="AR27" t="s">
        <v>354</v>
      </c>
      <c r="AS27" t="s">
        <v>361</v>
      </c>
    </row>
    <row r="28" spans="1:45" x14ac:dyDescent="0.45">
      <c r="A28" t="s">
        <v>331</v>
      </c>
      <c r="C28" t="str">
        <f>C19</f>
        <v>TRABDS</v>
      </c>
      <c r="D28">
        <f t="shared" ref="D28:M34" si="18">$AH28*D$27</f>
        <v>0.3796260246253445</v>
      </c>
      <c r="E28">
        <f t="shared" si="18"/>
        <v>0.3796260246253445</v>
      </c>
      <c r="F28">
        <f t="shared" si="18"/>
        <v>0.3796260246253445</v>
      </c>
      <c r="G28">
        <f t="shared" si="18"/>
        <v>0.3796260246253445</v>
      </c>
      <c r="H28">
        <f t="shared" si="18"/>
        <v>0.3796260246253445</v>
      </c>
      <c r="I28">
        <f t="shared" si="18"/>
        <v>0.3796260246253445</v>
      </c>
      <c r="J28">
        <f t="shared" si="18"/>
        <v>0.3796260246253445</v>
      </c>
      <c r="K28">
        <f t="shared" si="18"/>
        <v>0.3796260246253445</v>
      </c>
      <c r="L28">
        <f t="shared" si="18"/>
        <v>0.3796260246253445</v>
      </c>
      <c r="M28">
        <f t="shared" si="18"/>
        <v>0.3796260246253445</v>
      </c>
      <c r="N28">
        <f t="shared" ref="N28:AC34" si="19">$AH28*N$27</f>
        <v>0.3796260246253445</v>
      </c>
      <c r="O28">
        <f t="shared" si="19"/>
        <v>0.3796260246253445</v>
      </c>
      <c r="P28">
        <f t="shared" si="19"/>
        <v>0.3796260246253445</v>
      </c>
      <c r="Q28">
        <f t="shared" si="19"/>
        <v>0.3796260246253445</v>
      </c>
      <c r="R28">
        <f t="shared" si="19"/>
        <v>0.3796260246253445</v>
      </c>
      <c r="S28">
        <f t="shared" si="19"/>
        <v>0.3796260246253445</v>
      </c>
      <c r="T28">
        <f t="shared" si="19"/>
        <v>0.3796260246253445</v>
      </c>
      <c r="U28">
        <f t="shared" si="19"/>
        <v>0.3796260246253445</v>
      </c>
      <c r="V28">
        <f t="shared" si="19"/>
        <v>0.3796260246253445</v>
      </c>
      <c r="W28">
        <f t="shared" si="19"/>
        <v>0.3796260246253445</v>
      </c>
      <c r="X28">
        <f t="shared" si="19"/>
        <v>0.3796260246253445</v>
      </c>
      <c r="Y28">
        <f t="shared" si="19"/>
        <v>0.3796260246253445</v>
      </c>
      <c r="Z28">
        <f t="shared" si="19"/>
        <v>0.3796260246253445</v>
      </c>
      <c r="AA28">
        <f t="shared" si="19"/>
        <v>0.3796260246253445</v>
      </c>
      <c r="AB28">
        <f t="shared" si="19"/>
        <v>0.3796260246253445</v>
      </c>
      <c r="AC28">
        <f t="shared" si="19"/>
        <v>0.3796260246253445</v>
      </c>
      <c r="AD28">
        <f t="shared" ref="U28:AG34" si="20">$AH28*AD$27</f>
        <v>0.3796260246253445</v>
      </c>
      <c r="AE28">
        <f t="shared" si="20"/>
        <v>0.3796260246253445</v>
      </c>
      <c r="AF28">
        <f t="shared" si="20"/>
        <v>0.3796260246253445</v>
      </c>
      <c r="AG28">
        <f t="shared" si="20"/>
        <v>0.3796260246253445</v>
      </c>
      <c r="AH28" s="56">
        <f>AH30</f>
        <v>0.3796260246253445</v>
      </c>
      <c r="AI28" t="s">
        <v>350</v>
      </c>
      <c r="AJ28" s="1" t="str">
        <f ca="1">AJ19</f>
        <v>Trd_lcv_bdl</v>
      </c>
      <c r="AK28" t="str">
        <f t="shared" ca="1" si="0"/>
        <v>Trd_lcv</v>
      </c>
      <c r="AL28">
        <f t="shared" ca="1" si="1"/>
        <v>25</v>
      </c>
      <c r="AN28" t="str">
        <f t="shared" ca="1" si="3"/>
        <v>DMD</v>
      </c>
      <c r="AO28" t="str">
        <f t="shared" ca="1" si="4"/>
        <v>Trd_lcv_bdl</v>
      </c>
      <c r="AQ28" t="s">
        <v>156</v>
      </c>
      <c r="AR28" t="s">
        <v>354</v>
      </c>
      <c r="AS28" t="s">
        <v>361</v>
      </c>
    </row>
    <row r="29" spans="1:45" x14ac:dyDescent="0.45">
      <c r="C29" t="str">
        <f t="shared" ref="C29:C34" si="21">C20</f>
        <v>TRABGS</v>
      </c>
      <c r="D29">
        <f t="shared" si="18"/>
        <v>0.37271323693220426</v>
      </c>
      <c r="E29">
        <f t="shared" si="18"/>
        <v>0.37271323693220426</v>
      </c>
      <c r="F29">
        <f t="shared" si="18"/>
        <v>0.37271323693220426</v>
      </c>
      <c r="G29">
        <f t="shared" si="18"/>
        <v>0.37271323693220426</v>
      </c>
      <c r="H29">
        <f t="shared" si="18"/>
        <v>0.37271323693220426</v>
      </c>
      <c r="I29">
        <f t="shared" si="18"/>
        <v>0.37271323693220426</v>
      </c>
      <c r="J29">
        <f t="shared" si="18"/>
        <v>0.37271323693220426</v>
      </c>
      <c r="K29">
        <f t="shared" si="18"/>
        <v>0.37271323693220426</v>
      </c>
      <c r="L29">
        <f t="shared" si="18"/>
        <v>0.37271323693220426</v>
      </c>
      <c r="M29">
        <f t="shared" si="18"/>
        <v>0.37271323693220426</v>
      </c>
      <c r="N29">
        <f t="shared" si="19"/>
        <v>0.37271323693220426</v>
      </c>
      <c r="O29">
        <f t="shared" si="19"/>
        <v>0.37271323693220426</v>
      </c>
      <c r="P29">
        <f t="shared" si="19"/>
        <v>0.37271323693220426</v>
      </c>
      <c r="Q29">
        <f t="shared" si="19"/>
        <v>0.37271323693220426</v>
      </c>
      <c r="R29">
        <f t="shared" si="19"/>
        <v>0.37271323693220426</v>
      </c>
      <c r="S29">
        <f t="shared" si="19"/>
        <v>0.37271323693220426</v>
      </c>
      <c r="T29">
        <f t="shared" si="19"/>
        <v>0.37271323693220426</v>
      </c>
      <c r="U29">
        <f t="shared" si="20"/>
        <v>0.37271323693220426</v>
      </c>
      <c r="V29">
        <f t="shared" si="19"/>
        <v>0.37271323693220426</v>
      </c>
      <c r="W29">
        <f t="shared" si="20"/>
        <v>0.37271323693220426</v>
      </c>
      <c r="X29">
        <f t="shared" si="20"/>
        <v>0.37271323693220426</v>
      </c>
      <c r="Y29">
        <f t="shared" si="20"/>
        <v>0.37271323693220426</v>
      </c>
      <c r="Z29">
        <f t="shared" si="20"/>
        <v>0.37271323693220426</v>
      </c>
      <c r="AA29">
        <f t="shared" si="20"/>
        <v>0.37271323693220426</v>
      </c>
      <c r="AB29">
        <f t="shared" si="20"/>
        <v>0.37271323693220426</v>
      </c>
      <c r="AC29">
        <f t="shared" si="20"/>
        <v>0.37271323693220426</v>
      </c>
      <c r="AD29">
        <f t="shared" si="20"/>
        <v>0.37271323693220426</v>
      </c>
      <c r="AE29">
        <f t="shared" si="20"/>
        <v>0.37271323693220426</v>
      </c>
      <c r="AF29">
        <f t="shared" si="20"/>
        <v>0.37271323693220426</v>
      </c>
      <c r="AG29">
        <f t="shared" si="20"/>
        <v>0.37271323693220426</v>
      </c>
      <c r="AH29" s="56">
        <f>AH32</f>
        <v>0.37271323693220426</v>
      </c>
      <c r="AI29" t="s">
        <v>350</v>
      </c>
      <c r="AJ29" s="1" t="str">
        <f t="shared" ref="AJ29:AJ34" ca="1" si="22">AJ20</f>
        <v>Trd_lcv_eth</v>
      </c>
      <c r="AK29" t="str">
        <f t="shared" ca="1" si="0"/>
        <v>Trd_lcv</v>
      </c>
      <c r="AL29">
        <f t="shared" ca="1" si="1"/>
        <v>25</v>
      </c>
      <c r="AN29" t="str">
        <f t="shared" ca="1" si="3"/>
        <v>DMD</v>
      </c>
      <c r="AO29" t="str">
        <f t="shared" ca="1" si="4"/>
        <v>Trd_lcv_eth</v>
      </c>
      <c r="AQ29" t="s">
        <v>156</v>
      </c>
      <c r="AR29" t="s">
        <v>354</v>
      </c>
      <c r="AS29" t="s">
        <v>361</v>
      </c>
    </row>
    <row r="30" spans="1:45" x14ac:dyDescent="0.45">
      <c r="C30" t="str">
        <f t="shared" si="21"/>
        <v>TRADST</v>
      </c>
      <c r="D30">
        <f t="shared" si="18"/>
        <v>0.3796260246253445</v>
      </c>
      <c r="E30">
        <f t="shared" si="18"/>
        <v>0.3796260246253445</v>
      </c>
      <c r="F30">
        <f t="shared" si="18"/>
        <v>0.3796260246253445</v>
      </c>
      <c r="G30">
        <f t="shared" si="18"/>
        <v>0.3796260246253445</v>
      </c>
      <c r="H30">
        <f t="shared" si="18"/>
        <v>0.3796260246253445</v>
      </c>
      <c r="I30">
        <f t="shared" si="18"/>
        <v>0.3796260246253445</v>
      </c>
      <c r="J30">
        <f t="shared" si="18"/>
        <v>0.3796260246253445</v>
      </c>
      <c r="K30">
        <f t="shared" si="18"/>
        <v>0.3796260246253445</v>
      </c>
      <c r="L30">
        <f t="shared" si="18"/>
        <v>0.3796260246253445</v>
      </c>
      <c r="M30">
        <f t="shared" si="18"/>
        <v>0.3796260246253445</v>
      </c>
      <c r="N30">
        <f t="shared" si="19"/>
        <v>0.3796260246253445</v>
      </c>
      <c r="O30">
        <f t="shared" si="19"/>
        <v>0.3796260246253445</v>
      </c>
      <c r="P30">
        <f t="shared" si="19"/>
        <v>0.3796260246253445</v>
      </c>
      <c r="Q30">
        <f t="shared" si="19"/>
        <v>0.3796260246253445</v>
      </c>
      <c r="R30">
        <f t="shared" si="19"/>
        <v>0.3796260246253445</v>
      </c>
      <c r="S30">
        <f t="shared" si="19"/>
        <v>0.3796260246253445</v>
      </c>
      <c r="T30">
        <f t="shared" si="19"/>
        <v>0.3796260246253445</v>
      </c>
      <c r="U30">
        <f t="shared" si="20"/>
        <v>0.3796260246253445</v>
      </c>
      <c r="V30">
        <f t="shared" si="19"/>
        <v>0.3796260246253445</v>
      </c>
      <c r="W30">
        <f t="shared" si="20"/>
        <v>0.3796260246253445</v>
      </c>
      <c r="X30">
        <f t="shared" si="20"/>
        <v>0.3796260246253445</v>
      </c>
      <c r="Y30">
        <f t="shared" si="20"/>
        <v>0.3796260246253445</v>
      </c>
      <c r="Z30">
        <f t="shared" si="20"/>
        <v>0.3796260246253445</v>
      </c>
      <c r="AA30">
        <f t="shared" si="20"/>
        <v>0.3796260246253445</v>
      </c>
      <c r="AB30">
        <f t="shared" si="20"/>
        <v>0.3796260246253445</v>
      </c>
      <c r="AC30">
        <f t="shared" si="20"/>
        <v>0.3796260246253445</v>
      </c>
      <c r="AD30">
        <f t="shared" si="20"/>
        <v>0.3796260246253445</v>
      </c>
      <c r="AE30">
        <f t="shared" si="20"/>
        <v>0.3796260246253445</v>
      </c>
      <c r="AF30">
        <f t="shared" si="20"/>
        <v>0.3796260246253445</v>
      </c>
      <c r="AG30">
        <f t="shared" si="20"/>
        <v>0.3796260246253445</v>
      </c>
      <c r="AH30" s="56">
        <v>0.3796260246253445</v>
      </c>
      <c r="AI30" t="s">
        <v>350</v>
      </c>
      <c r="AJ30" s="95" t="str">
        <f t="shared" ca="1" si="22"/>
        <v>Trd_lcv_dsl</v>
      </c>
      <c r="AK30" t="str">
        <f t="shared" ca="1" si="0"/>
        <v>Trd_lcv</v>
      </c>
      <c r="AL30">
        <f t="shared" ca="1" si="1"/>
        <v>25</v>
      </c>
      <c r="AN30" t="str">
        <f t="shared" ca="1" si="3"/>
        <v>DMD</v>
      </c>
      <c r="AO30" t="str">
        <f t="shared" ca="1" si="4"/>
        <v>Trd_lcv_dsl</v>
      </c>
      <c r="AQ30" t="s">
        <v>156</v>
      </c>
      <c r="AR30" t="s">
        <v>354</v>
      </c>
      <c r="AS30" t="s">
        <v>361</v>
      </c>
    </row>
    <row r="31" spans="1:45" x14ac:dyDescent="0.45">
      <c r="C31" t="str">
        <f t="shared" si="21"/>
        <v>TRAELC</v>
      </c>
      <c r="D31">
        <f t="shared" si="18"/>
        <v>0.74542647386440852</v>
      </c>
      <c r="E31">
        <f t="shared" si="18"/>
        <v>0.74542647386440852</v>
      </c>
      <c r="F31">
        <f t="shared" si="18"/>
        <v>0.74542647386440852</v>
      </c>
      <c r="G31">
        <f t="shared" si="18"/>
        <v>0.74542647386440852</v>
      </c>
      <c r="H31">
        <f t="shared" si="18"/>
        <v>0.74542647386440852</v>
      </c>
      <c r="I31">
        <f t="shared" si="18"/>
        <v>0.74542647386440852</v>
      </c>
      <c r="J31">
        <f t="shared" si="18"/>
        <v>0.74542647386440852</v>
      </c>
      <c r="K31">
        <f t="shared" si="18"/>
        <v>0.74542647386440852</v>
      </c>
      <c r="L31">
        <f t="shared" si="18"/>
        <v>0.74542647386440852</v>
      </c>
      <c r="M31">
        <f t="shared" si="18"/>
        <v>0.74542647386440852</v>
      </c>
      <c r="N31">
        <f t="shared" si="19"/>
        <v>0.74542647386440852</v>
      </c>
      <c r="O31">
        <f t="shared" si="19"/>
        <v>0.74542647386440852</v>
      </c>
      <c r="P31">
        <f t="shared" si="19"/>
        <v>0.74542647386440852</v>
      </c>
      <c r="Q31">
        <f t="shared" si="19"/>
        <v>0.74542647386440852</v>
      </c>
      <c r="R31">
        <f t="shared" si="19"/>
        <v>0.74542647386440852</v>
      </c>
      <c r="S31">
        <f t="shared" si="19"/>
        <v>0.74542647386440852</v>
      </c>
      <c r="T31">
        <f t="shared" si="19"/>
        <v>0.74542647386440852</v>
      </c>
      <c r="U31">
        <f t="shared" si="20"/>
        <v>0.74542647386440852</v>
      </c>
      <c r="V31">
        <f t="shared" si="19"/>
        <v>0.74542647386440852</v>
      </c>
      <c r="W31">
        <f t="shared" si="20"/>
        <v>0.74542647386440852</v>
      </c>
      <c r="X31">
        <f t="shared" si="20"/>
        <v>0.74542647386440852</v>
      </c>
      <c r="Y31">
        <f t="shared" si="20"/>
        <v>0.74542647386440852</v>
      </c>
      <c r="Z31">
        <f t="shared" si="20"/>
        <v>0.74542647386440852</v>
      </c>
      <c r="AA31">
        <f t="shared" si="20"/>
        <v>0.74542647386440852</v>
      </c>
      <c r="AB31">
        <f t="shared" si="20"/>
        <v>0.74542647386440852</v>
      </c>
      <c r="AC31">
        <f t="shared" si="20"/>
        <v>0.74542647386440852</v>
      </c>
      <c r="AD31">
        <f t="shared" si="20"/>
        <v>0.74542647386440852</v>
      </c>
      <c r="AE31">
        <f t="shared" si="20"/>
        <v>0.74542647386440852</v>
      </c>
      <c r="AF31">
        <f t="shared" si="20"/>
        <v>0.74542647386440852</v>
      </c>
      <c r="AG31">
        <f t="shared" si="20"/>
        <v>0.74542647386440852</v>
      </c>
      <c r="AH31" s="56">
        <f>AH32*2</f>
        <v>0.74542647386440852</v>
      </c>
      <c r="AI31" t="s">
        <v>350</v>
      </c>
      <c r="AJ31" s="1" t="str">
        <f t="shared" ca="1" si="22"/>
        <v>Trd_lcv_elc</v>
      </c>
      <c r="AK31" t="str">
        <f t="shared" ca="1" si="0"/>
        <v>Trd_lcv</v>
      </c>
      <c r="AL31">
        <f t="shared" ca="1" si="1"/>
        <v>25</v>
      </c>
      <c r="AN31" t="str">
        <f t="shared" ca="1" si="3"/>
        <v>DMD</v>
      </c>
      <c r="AO31" t="str">
        <f t="shared" ca="1" si="4"/>
        <v>Trd_lcv_elc</v>
      </c>
      <c r="AQ31" t="s">
        <v>156</v>
      </c>
      <c r="AR31" t="s">
        <v>354</v>
      </c>
      <c r="AS31" t="s">
        <v>361</v>
      </c>
    </row>
    <row r="32" spans="1:45" x14ac:dyDescent="0.45">
      <c r="C32" t="str">
        <f t="shared" si="21"/>
        <v>TRAGSL</v>
      </c>
      <c r="D32">
        <f t="shared" si="18"/>
        <v>0.37271323693220426</v>
      </c>
      <c r="E32">
        <f t="shared" si="18"/>
        <v>0.37271323693220426</v>
      </c>
      <c r="F32">
        <f t="shared" si="18"/>
        <v>0.37271323693220426</v>
      </c>
      <c r="G32">
        <f t="shared" si="18"/>
        <v>0.37271323693220426</v>
      </c>
      <c r="H32">
        <f t="shared" si="18"/>
        <v>0.37271323693220426</v>
      </c>
      <c r="I32">
        <f t="shared" si="18"/>
        <v>0.37271323693220426</v>
      </c>
      <c r="J32">
        <f t="shared" si="18"/>
        <v>0.37271323693220426</v>
      </c>
      <c r="K32">
        <f t="shared" si="18"/>
        <v>0.37271323693220426</v>
      </c>
      <c r="L32">
        <f t="shared" si="18"/>
        <v>0.37271323693220426</v>
      </c>
      <c r="M32">
        <f t="shared" si="18"/>
        <v>0.37271323693220426</v>
      </c>
      <c r="N32">
        <f t="shared" si="19"/>
        <v>0.37271323693220426</v>
      </c>
      <c r="O32">
        <f t="shared" si="19"/>
        <v>0.37271323693220426</v>
      </c>
      <c r="P32">
        <f t="shared" si="19"/>
        <v>0.37271323693220426</v>
      </c>
      <c r="Q32">
        <f t="shared" si="19"/>
        <v>0.37271323693220426</v>
      </c>
      <c r="R32">
        <f t="shared" si="19"/>
        <v>0.37271323693220426</v>
      </c>
      <c r="S32">
        <f t="shared" si="19"/>
        <v>0.37271323693220426</v>
      </c>
      <c r="T32">
        <f t="shared" si="19"/>
        <v>0.37271323693220426</v>
      </c>
      <c r="U32">
        <f t="shared" si="20"/>
        <v>0.37271323693220426</v>
      </c>
      <c r="V32">
        <f t="shared" si="19"/>
        <v>0.37271323693220426</v>
      </c>
      <c r="W32">
        <f t="shared" si="20"/>
        <v>0.37271323693220426</v>
      </c>
      <c r="X32">
        <f t="shared" si="20"/>
        <v>0.37271323693220426</v>
      </c>
      <c r="Y32">
        <f t="shared" si="20"/>
        <v>0.37271323693220426</v>
      </c>
      <c r="Z32">
        <f t="shared" si="20"/>
        <v>0.37271323693220426</v>
      </c>
      <c r="AA32">
        <f t="shared" si="20"/>
        <v>0.37271323693220426</v>
      </c>
      <c r="AB32">
        <f t="shared" si="20"/>
        <v>0.37271323693220426</v>
      </c>
      <c r="AC32">
        <f t="shared" si="20"/>
        <v>0.37271323693220426</v>
      </c>
      <c r="AD32">
        <f t="shared" si="20"/>
        <v>0.37271323693220426</v>
      </c>
      <c r="AE32">
        <f t="shared" si="20"/>
        <v>0.37271323693220426</v>
      </c>
      <c r="AF32">
        <f t="shared" si="20"/>
        <v>0.37271323693220426</v>
      </c>
      <c r="AG32">
        <f t="shared" si="20"/>
        <v>0.37271323693220426</v>
      </c>
      <c r="AH32" s="56">
        <v>0.37271323693220426</v>
      </c>
      <c r="AI32" t="s">
        <v>350</v>
      </c>
      <c r="AJ32" s="1" t="str">
        <f t="shared" ca="1" si="22"/>
        <v>Trd_lcv_gsl</v>
      </c>
      <c r="AK32" t="str">
        <f t="shared" ca="1" si="0"/>
        <v>Trd_lcv</v>
      </c>
      <c r="AL32">
        <f t="shared" ca="1" si="1"/>
        <v>25</v>
      </c>
      <c r="AN32" t="str">
        <f t="shared" ca="1" si="3"/>
        <v>DMD</v>
      </c>
      <c r="AO32" t="str">
        <f t="shared" ca="1" si="4"/>
        <v>Trd_lcv_gsl</v>
      </c>
      <c r="AQ32" t="s">
        <v>156</v>
      </c>
      <c r="AR32" t="s">
        <v>354</v>
      </c>
      <c r="AS32" t="s">
        <v>361</v>
      </c>
    </row>
    <row r="33" spans="1:45" x14ac:dyDescent="0.45">
      <c r="C33" t="str">
        <f t="shared" si="21"/>
        <v>TRALPG</v>
      </c>
      <c r="D33">
        <f t="shared" si="18"/>
        <v>0.44075733528719357</v>
      </c>
      <c r="E33">
        <f t="shared" si="18"/>
        <v>0.44075733528719357</v>
      </c>
      <c r="F33">
        <f t="shared" si="18"/>
        <v>0.44075733528719357</v>
      </c>
      <c r="G33">
        <f t="shared" si="18"/>
        <v>0.44075733528719357</v>
      </c>
      <c r="H33">
        <f t="shared" si="18"/>
        <v>0.44075733528719357</v>
      </c>
      <c r="I33">
        <f t="shared" si="18"/>
        <v>0.44075733528719357</v>
      </c>
      <c r="J33">
        <f t="shared" si="18"/>
        <v>0.44075733528719357</v>
      </c>
      <c r="K33">
        <f t="shared" si="18"/>
        <v>0.44075733528719357</v>
      </c>
      <c r="L33">
        <f t="shared" si="18"/>
        <v>0.44075733528719357</v>
      </c>
      <c r="M33">
        <f t="shared" si="18"/>
        <v>0.44075733528719357</v>
      </c>
      <c r="N33">
        <f t="shared" si="19"/>
        <v>0.44075733528719357</v>
      </c>
      <c r="O33">
        <f t="shared" si="19"/>
        <v>0.44075733528719357</v>
      </c>
      <c r="P33">
        <f t="shared" si="19"/>
        <v>0.44075733528719357</v>
      </c>
      <c r="Q33">
        <f t="shared" si="19"/>
        <v>0.44075733528719357</v>
      </c>
      <c r="R33">
        <f t="shared" si="19"/>
        <v>0.44075733528719357</v>
      </c>
      <c r="S33">
        <f t="shared" si="19"/>
        <v>0.44075733528719357</v>
      </c>
      <c r="T33">
        <f t="shared" si="19"/>
        <v>0.44075733528719357</v>
      </c>
      <c r="U33">
        <f t="shared" si="20"/>
        <v>0.44075733528719357</v>
      </c>
      <c r="V33">
        <f t="shared" si="19"/>
        <v>0.44075733528719357</v>
      </c>
      <c r="W33">
        <f t="shared" si="20"/>
        <v>0.44075733528719357</v>
      </c>
      <c r="X33">
        <f t="shared" si="20"/>
        <v>0.44075733528719357</v>
      </c>
      <c r="Y33">
        <f t="shared" si="20"/>
        <v>0.44075733528719357</v>
      </c>
      <c r="Z33">
        <f t="shared" si="20"/>
        <v>0.44075733528719357</v>
      </c>
      <c r="AA33">
        <f t="shared" si="20"/>
        <v>0.44075733528719357</v>
      </c>
      <c r="AB33">
        <f t="shared" si="20"/>
        <v>0.44075733528719357</v>
      </c>
      <c r="AC33">
        <f t="shared" si="20"/>
        <v>0.44075733528719357</v>
      </c>
      <c r="AD33">
        <f t="shared" si="20"/>
        <v>0.44075733528719357</v>
      </c>
      <c r="AE33">
        <f t="shared" si="20"/>
        <v>0.44075733528719357</v>
      </c>
      <c r="AF33">
        <f t="shared" si="20"/>
        <v>0.44075733528719357</v>
      </c>
      <c r="AG33">
        <f t="shared" si="20"/>
        <v>0.44075733528719357</v>
      </c>
      <c r="AH33" s="56">
        <v>0.44075733528719357</v>
      </c>
      <c r="AI33" t="s">
        <v>350</v>
      </c>
      <c r="AJ33" s="1" t="str">
        <f t="shared" ca="1" si="22"/>
        <v>Trd_lcv_lpg</v>
      </c>
      <c r="AK33" t="str">
        <f t="shared" ca="1" si="0"/>
        <v>Trd_lcv</v>
      </c>
      <c r="AL33">
        <f t="shared" ca="1" si="1"/>
        <v>25</v>
      </c>
      <c r="AN33" t="str">
        <f t="shared" ca="1" si="3"/>
        <v>DMD</v>
      </c>
      <c r="AO33" t="str">
        <f t="shared" ca="1" si="4"/>
        <v>Trd_lcv_lpg</v>
      </c>
      <c r="AQ33" t="s">
        <v>156</v>
      </c>
      <c r="AR33" t="s">
        <v>354</v>
      </c>
      <c r="AS33" t="s">
        <v>361</v>
      </c>
    </row>
    <row r="34" spans="1:45" x14ac:dyDescent="0.45">
      <c r="C34" t="str">
        <f t="shared" si="21"/>
        <v>TRANGA</v>
      </c>
      <c r="D34">
        <f t="shared" si="18"/>
        <v>0.32948443032272562</v>
      </c>
      <c r="E34">
        <f t="shared" si="18"/>
        <v>0.32948443032272562</v>
      </c>
      <c r="F34">
        <f t="shared" si="18"/>
        <v>0.32948443032272562</v>
      </c>
      <c r="G34">
        <f t="shared" si="18"/>
        <v>0.32948443032272562</v>
      </c>
      <c r="H34">
        <f t="shared" si="18"/>
        <v>0.32948443032272562</v>
      </c>
      <c r="I34">
        <f t="shared" si="18"/>
        <v>0.32948443032272562</v>
      </c>
      <c r="J34">
        <f t="shared" si="18"/>
        <v>0.32948443032272562</v>
      </c>
      <c r="K34">
        <f t="shared" si="18"/>
        <v>0.32948443032272562</v>
      </c>
      <c r="L34">
        <f t="shared" si="18"/>
        <v>0.32948443032272562</v>
      </c>
      <c r="M34">
        <f t="shared" si="18"/>
        <v>0.32948443032272562</v>
      </c>
      <c r="N34">
        <f t="shared" si="19"/>
        <v>0.32948443032272562</v>
      </c>
      <c r="O34">
        <f t="shared" si="19"/>
        <v>0.32948443032272562</v>
      </c>
      <c r="P34">
        <f t="shared" si="19"/>
        <v>0.32948443032272562</v>
      </c>
      <c r="Q34">
        <f t="shared" si="19"/>
        <v>0.32948443032272562</v>
      </c>
      <c r="R34">
        <f t="shared" si="19"/>
        <v>0.32948443032272562</v>
      </c>
      <c r="S34">
        <f t="shared" si="19"/>
        <v>0.32948443032272562</v>
      </c>
      <c r="T34">
        <f t="shared" si="19"/>
        <v>0.32948443032272562</v>
      </c>
      <c r="U34">
        <f t="shared" si="20"/>
        <v>0.32948443032272562</v>
      </c>
      <c r="V34">
        <f t="shared" si="19"/>
        <v>0.32948443032272562</v>
      </c>
      <c r="W34">
        <f t="shared" si="20"/>
        <v>0.32948443032272562</v>
      </c>
      <c r="X34">
        <f t="shared" si="20"/>
        <v>0.32948443032272562</v>
      </c>
      <c r="Y34">
        <f t="shared" si="20"/>
        <v>0.32948443032272562</v>
      </c>
      <c r="Z34">
        <f t="shared" si="20"/>
        <v>0.32948443032272562</v>
      </c>
      <c r="AA34">
        <f t="shared" si="20"/>
        <v>0.32948443032272562</v>
      </c>
      <c r="AB34">
        <f t="shared" si="20"/>
        <v>0.32948443032272562</v>
      </c>
      <c r="AC34">
        <f t="shared" si="20"/>
        <v>0.32948443032272562</v>
      </c>
      <c r="AD34">
        <f t="shared" si="20"/>
        <v>0.32948443032272562</v>
      </c>
      <c r="AE34">
        <f t="shared" si="20"/>
        <v>0.32948443032272562</v>
      </c>
      <c r="AF34">
        <f t="shared" si="20"/>
        <v>0.32948443032272562</v>
      </c>
      <c r="AG34">
        <f t="shared" si="20"/>
        <v>0.32948443032272562</v>
      </c>
      <c r="AH34" s="56">
        <v>0.32948443032272562</v>
      </c>
      <c r="AI34" t="s">
        <v>350</v>
      </c>
      <c r="AJ34" s="1" t="str">
        <f t="shared" ca="1" si="22"/>
        <v>Trd_lcv_nga</v>
      </c>
      <c r="AK34" t="str">
        <f t="shared" ca="1" si="0"/>
        <v>Trd_lcv</v>
      </c>
      <c r="AL34">
        <f t="shared" ca="1" si="1"/>
        <v>25</v>
      </c>
      <c r="AN34" t="str">
        <f t="shared" ca="1" si="3"/>
        <v>DMD</v>
      </c>
      <c r="AO34" t="str">
        <f t="shared" ca="1" si="4"/>
        <v>Trd_lcv_nga</v>
      </c>
      <c r="AQ34" t="s">
        <v>156</v>
      </c>
      <c r="AR34" t="s">
        <v>354</v>
      </c>
      <c r="AS34" t="s">
        <v>361</v>
      </c>
    </row>
    <row r="35" spans="1:45" x14ac:dyDescent="0.45">
      <c r="AI35" t="s">
        <v>169</v>
      </c>
      <c r="AK35" t="str">
        <f t="shared" si="0"/>
        <v/>
      </c>
      <c r="AL35" t="str">
        <f t="shared" si="1"/>
        <v/>
      </c>
      <c r="AN35" t="str">
        <f t="shared" si="3"/>
        <v>*</v>
      </c>
      <c r="AO35">
        <f t="shared" si="4"/>
        <v>0</v>
      </c>
      <c r="AQ35" t="s">
        <v>156</v>
      </c>
      <c r="AR35" t="s">
        <v>354</v>
      </c>
      <c r="AS35" t="s">
        <v>361</v>
      </c>
    </row>
    <row r="36" spans="1:45" x14ac:dyDescent="0.45">
      <c r="A36" t="s">
        <v>332</v>
      </c>
      <c r="C36" t="str">
        <f>C28</f>
        <v>TRABDS</v>
      </c>
      <c r="D36" s="40">
        <v>25</v>
      </c>
      <c r="E36" s="40">
        <v>25</v>
      </c>
      <c r="F36" s="40">
        <v>25</v>
      </c>
      <c r="G36" s="40">
        <v>25</v>
      </c>
      <c r="H36" s="40">
        <v>25</v>
      </c>
      <c r="I36" s="40">
        <v>25</v>
      </c>
      <c r="J36" s="40">
        <v>25</v>
      </c>
      <c r="K36" s="40">
        <v>25</v>
      </c>
      <c r="L36" s="40">
        <v>25</v>
      </c>
      <c r="M36" s="40">
        <v>25</v>
      </c>
      <c r="N36" s="40">
        <v>25</v>
      </c>
      <c r="O36" s="40">
        <v>25</v>
      </c>
      <c r="P36" s="40">
        <v>25</v>
      </c>
      <c r="Q36" s="40">
        <v>25</v>
      </c>
      <c r="R36" s="40">
        <v>25</v>
      </c>
      <c r="S36" s="40">
        <v>25</v>
      </c>
      <c r="T36" s="40">
        <v>25</v>
      </c>
      <c r="U36" s="40">
        <v>25</v>
      </c>
      <c r="V36" s="40">
        <v>25</v>
      </c>
      <c r="W36" s="40">
        <v>25</v>
      </c>
      <c r="X36" s="40">
        <v>25</v>
      </c>
      <c r="Y36" s="40">
        <v>25</v>
      </c>
      <c r="Z36" s="40">
        <v>25</v>
      </c>
      <c r="AA36" s="40">
        <v>25</v>
      </c>
      <c r="AB36" s="40">
        <v>25</v>
      </c>
      <c r="AC36" s="40">
        <v>25</v>
      </c>
      <c r="AD36" s="40">
        <v>25</v>
      </c>
      <c r="AE36" s="40">
        <v>25</v>
      </c>
      <c r="AF36" s="40">
        <v>25</v>
      </c>
      <c r="AG36" s="40">
        <v>25</v>
      </c>
      <c r="AI36" t="s">
        <v>351</v>
      </c>
      <c r="AJ36" s="1" t="str">
        <f ca="1">AJ28</f>
        <v>Trd_lcv_bdl</v>
      </c>
      <c r="AK36" t="str">
        <f t="shared" ca="1" si="0"/>
        <v>Trd_lcv</v>
      </c>
      <c r="AL36">
        <f t="shared" ca="1" si="1"/>
        <v>25</v>
      </c>
      <c r="AN36" t="str">
        <f t="shared" ca="1" si="3"/>
        <v>DMD</v>
      </c>
      <c r="AO36" t="str">
        <f t="shared" ca="1" si="4"/>
        <v>Trd_lcv_bdl</v>
      </c>
      <c r="AQ36" t="s">
        <v>156</v>
      </c>
      <c r="AR36" t="s">
        <v>354</v>
      </c>
      <c r="AS36" t="s">
        <v>361</v>
      </c>
    </row>
    <row r="37" spans="1:45" x14ac:dyDescent="0.45">
      <c r="C37" t="str">
        <f t="shared" ref="C37:C42" si="23">C29</f>
        <v>TRABGS</v>
      </c>
      <c r="D37" s="40">
        <f>D$36</f>
        <v>25</v>
      </c>
      <c r="E37" s="40">
        <f t="shared" ref="E37:AG42" si="24">E$36</f>
        <v>25</v>
      </c>
      <c r="F37" s="40">
        <f t="shared" si="24"/>
        <v>25</v>
      </c>
      <c r="G37" s="40">
        <f t="shared" si="24"/>
        <v>25</v>
      </c>
      <c r="H37" s="40">
        <f t="shared" si="24"/>
        <v>25</v>
      </c>
      <c r="I37" s="40">
        <f t="shared" si="24"/>
        <v>25</v>
      </c>
      <c r="J37" s="40">
        <f t="shared" si="24"/>
        <v>25</v>
      </c>
      <c r="K37" s="40">
        <f t="shared" si="24"/>
        <v>25</v>
      </c>
      <c r="L37" s="40">
        <f t="shared" si="24"/>
        <v>25</v>
      </c>
      <c r="M37" s="40">
        <f t="shared" si="24"/>
        <v>25</v>
      </c>
      <c r="N37" s="40">
        <f t="shared" si="24"/>
        <v>25</v>
      </c>
      <c r="O37" s="40">
        <f t="shared" si="24"/>
        <v>25</v>
      </c>
      <c r="P37" s="40">
        <f t="shared" si="24"/>
        <v>25</v>
      </c>
      <c r="Q37" s="40">
        <f t="shared" si="24"/>
        <v>25</v>
      </c>
      <c r="R37" s="40">
        <f t="shared" si="24"/>
        <v>25</v>
      </c>
      <c r="S37" s="40">
        <f t="shared" si="24"/>
        <v>25</v>
      </c>
      <c r="T37" s="40">
        <f t="shared" si="24"/>
        <v>25</v>
      </c>
      <c r="U37" s="40">
        <f t="shared" si="24"/>
        <v>25</v>
      </c>
      <c r="V37" s="40">
        <f t="shared" si="24"/>
        <v>25</v>
      </c>
      <c r="W37" s="40">
        <f t="shared" si="24"/>
        <v>25</v>
      </c>
      <c r="X37" s="40">
        <f t="shared" si="24"/>
        <v>25</v>
      </c>
      <c r="Y37" s="40">
        <f t="shared" si="24"/>
        <v>25</v>
      </c>
      <c r="Z37" s="40">
        <f t="shared" si="24"/>
        <v>25</v>
      </c>
      <c r="AA37" s="40">
        <f t="shared" si="24"/>
        <v>25</v>
      </c>
      <c r="AB37" s="40">
        <f t="shared" si="24"/>
        <v>25</v>
      </c>
      <c r="AC37" s="40">
        <f t="shared" si="24"/>
        <v>25</v>
      </c>
      <c r="AD37" s="40">
        <f t="shared" si="24"/>
        <v>25</v>
      </c>
      <c r="AE37" s="40">
        <f t="shared" si="24"/>
        <v>25</v>
      </c>
      <c r="AF37" s="40">
        <f t="shared" si="24"/>
        <v>25</v>
      </c>
      <c r="AG37" s="40">
        <f t="shared" si="24"/>
        <v>25</v>
      </c>
      <c r="AI37" t="s">
        <v>351</v>
      </c>
      <c r="AJ37" s="1" t="str">
        <f t="shared" ref="AJ37:AJ42" ca="1" si="25">AJ29</f>
        <v>Trd_lcv_eth</v>
      </c>
      <c r="AK37" t="str">
        <f t="shared" ca="1" si="0"/>
        <v>Trd_lcv</v>
      </c>
      <c r="AL37">
        <f t="shared" ca="1" si="1"/>
        <v>25</v>
      </c>
      <c r="AN37" t="str">
        <f t="shared" ca="1" si="3"/>
        <v>DMD</v>
      </c>
      <c r="AO37" t="str">
        <f t="shared" ca="1" si="4"/>
        <v>Trd_lcv_eth</v>
      </c>
      <c r="AQ37" t="s">
        <v>156</v>
      </c>
      <c r="AR37" t="s">
        <v>354</v>
      </c>
      <c r="AS37" t="s">
        <v>361</v>
      </c>
    </row>
    <row r="38" spans="1:45" x14ac:dyDescent="0.45">
      <c r="C38" t="str">
        <f t="shared" si="23"/>
        <v>TRADST</v>
      </c>
      <c r="D38" s="40">
        <f t="shared" ref="D38:S42" si="26">D$36</f>
        <v>25</v>
      </c>
      <c r="E38" s="40">
        <f t="shared" si="26"/>
        <v>25</v>
      </c>
      <c r="F38" s="40">
        <f t="shared" si="26"/>
        <v>25</v>
      </c>
      <c r="G38" s="40">
        <f t="shared" si="26"/>
        <v>25</v>
      </c>
      <c r="H38" s="40">
        <f t="shared" si="26"/>
        <v>25</v>
      </c>
      <c r="I38" s="40">
        <f t="shared" si="26"/>
        <v>25</v>
      </c>
      <c r="J38" s="40">
        <f t="shared" si="26"/>
        <v>25</v>
      </c>
      <c r="K38" s="40">
        <f t="shared" si="26"/>
        <v>25</v>
      </c>
      <c r="L38" s="40">
        <f t="shared" si="26"/>
        <v>25</v>
      </c>
      <c r="M38" s="40">
        <f t="shared" si="26"/>
        <v>25</v>
      </c>
      <c r="N38" s="40">
        <f t="shared" si="26"/>
        <v>25</v>
      </c>
      <c r="O38" s="40">
        <f t="shared" si="26"/>
        <v>25</v>
      </c>
      <c r="P38" s="40">
        <f t="shared" si="26"/>
        <v>25</v>
      </c>
      <c r="Q38" s="40">
        <f t="shared" si="26"/>
        <v>25</v>
      </c>
      <c r="R38" s="40">
        <f t="shared" si="26"/>
        <v>25</v>
      </c>
      <c r="S38" s="40">
        <f t="shared" si="26"/>
        <v>25</v>
      </c>
      <c r="T38" s="40">
        <f t="shared" si="24"/>
        <v>25</v>
      </c>
      <c r="U38" s="40">
        <f t="shared" si="24"/>
        <v>25</v>
      </c>
      <c r="V38" s="40">
        <f t="shared" si="24"/>
        <v>25</v>
      </c>
      <c r="W38" s="40">
        <f t="shared" si="24"/>
        <v>25</v>
      </c>
      <c r="X38" s="40">
        <f t="shared" si="24"/>
        <v>25</v>
      </c>
      <c r="Y38" s="40">
        <f t="shared" si="24"/>
        <v>25</v>
      </c>
      <c r="Z38" s="40">
        <f t="shared" si="24"/>
        <v>25</v>
      </c>
      <c r="AA38" s="40">
        <f t="shared" si="24"/>
        <v>25</v>
      </c>
      <c r="AB38" s="40">
        <f t="shared" si="24"/>
        <v>25</v>
      </c>
      <c r="AC38" s="40">
        <f t="shared" si="24"/>
        <v>25</v>
      </c>
      <c r="AD38" s="40">
        <f t="shared" si="24"/>
        <v>25</v>
      </c>
      <c r="AE38" s="40">
        <f t="shared" si="24"/>
        <v>25</v>
      </c>
      <c r="AF38" s="40">
        <f t="shared" si="24"/>
        <v>25</v>
      </c>
      <c r="AG38" s="40">
        <f t="shared" si="24"/>
        <v>25</v>
      </c>
      <c r="AI38" t="s">
        <v>351</v>
      </c>
      <c r="AJ38" s="1" t="str">
        <f t="shared" ca="1" si="25"/>
        <v>Trd_lcv_dsl</v>
      </c>
      <c r="AK38" t="str">
        <f t="shared" ca="1" si="0"/>
        <v>Trd_lcv</v>
      </c>
      <c r="AL38">
        <f t="shared" ca="1" si="1"/>
        <v>25</v>
      </c>
      <c r="AN38" t="str">
        <f t="shared" ca="1" si="3"/>
        <v>DMD</v>
      </c>
      <c r="AO38" t="str">
        <f t="shared" ca="1" si="4"/>
        <v>Trd_lcv_dsl</v>
      </c>
      <c r="AQ38" t="s">
        <v>156</v>
      </c>
      <c r="AR38" t="s">
        <v>354</v>
      </c>
      <c r="AS38" t="s">
        <v>361</v>
      </c>
    </row>
    <row r="39" spans="1:45" x14ac:dyDescent="0.45">
      <c r="C39" t="str">
        <f t="shared" si="23"/>
        <v>TRAELC</v>
      </c>
      <c r="D39" s="40">
        <f t="shared" si="26"/>
        <v>25</v>
      </c>
      <c r="E39" s="40">
        <f t="shared" si="24"/>
        <v>25</v>
      </c>
      <c r="F39" s="40">
        <f t="shared" si="24"/>
        <v>25</v>
      </c>
      <c r="G39" s="40">
        <f t="shared" si="24"/>
        <v>25</v>
      </c>
      <c r="H39" s="40">
        <f t="shared" si="24"/>
        <v>25</v>
      </c>
      <c r="I39" s="40">
        <f t="shared" si="24"/>
        <v>25</v>
      </c>
      <c r="J39" s="40">
        <f t="shared" si="24"/>
        <v>25</v>
      </c>
      <c r="K39" s="40">
        <f t="shared" si="24"/>
        <v>25</v>
      </c>
      <c r="L39" s="40">
        <f t="shared" si="24"/>
        <v>25</v>
      </c>
      <c r="M39" s="40">
        <f t="shared" si="24"/>
        <v>25</v>
      </c>
      <c r="N39" s="40">
        <f t="shared" si="24"/>
        <v>25</v>
      </c>
      <c r="O39" s="40">
        <f t="shared" si="24"/>
        <v>25</v>
      </c>
      <c r="P39" s="40">
        <f t="shared" si="24"/>
        <v>25</v>
      </c>
      <c r="Q39" s="40">
        <f t="shared" si="24"/>
        <v>25</v>
      </c>
      <c r="R39" s="40">
        <f t="shared" si="24"/>
        <v>25</v>
      </c>
      <c r="S39" s="40">
        <f t="shared" si="24"/>
        <v>25</v>
      </c>
      <c r="T39" s="40">
        <f t="shared" si="24"/>
        <v>25</v>
      </c>
      <c r="U39" s="40">
        <f t="shared" si="24"/>
        <v>25</v>
      </c>
      <c r="V39" s="40">
        <f t="shared" si="24"/>
        <v>25</v>
      </c>
      <c r="W39" s="40">
        <f t="shared" si="24"/>
        <v>25</v>
      </c>
      <c r="X39" s="40">
        <f t="shared" si="24"/>
        <v>25</v>
      </c>
      <c r="Y39" s="40">
        <f t="shared" si="24"/>
        <v>25</v>
      </c>
      <c r="Z39" s="40">
        <f t="shared" si="24"/>
        <v>25</v>
      </c>
      <c r="AA39" s="40">
        <f t="shared" si="24"/>
        <v>25</v>
      </c>
      <c r="AB39" s="40">
        <f t="shared" si="24"/>
        <v>25</v>
      </c>
      <c r="AC39" s="40">
        <f t="shared" si="24"/>
        <v>25</v>
      </c>
      <c r="AD39" s="40">
        <f t="shared" si="24"/>
        <v>25</v>
      </c>
      <c r="AE39" s="40">
        <f t="shared" si="24"/>
        <v>25</v>
      </c>
      <c r="AF39" s="40">
        <f t="shared" si="24"/>
        <v>25</v>
      </c>
      <c r="AG39" s="40">
        <f t="shared" si="24"/>
        <v>25</v>
      </c>
      <c r="AI39" t="s">
        <v>351</v>
      </c>
      <c r="AJ39" s="1" t="str">
        <f t="shared" ca="1" si="25"/>
        <v>Trd_lcv_elc</v>
      </c>
      <c r="AK39" t="str">
        <f t="shared" ca="1" si="0"/>
        <v>Trd_lcv</v>
      </c>
      <c r="AL39">
        <f t="shared" ca="1" si="1"/>
        <v>25</v>
      </c>
      <c r="AN39" t="str">
        <f t="shared" ca="1" si="3"/>
        <v>DMD</v>
      </c>
      <c r="AO39" t="str">
        <f t="shared" ca="1" si="4"/>
        <v>Trd_lcv_elc</v>
      </c>
      <c r="AQ39" t="s">
        <v>156</v>
      </c>
      <c r="AR39" t="s">
        <v>354</v>
      </c>
      <c r="AS39" t="s">
        <v>361</v>
      </c>
    </row>
    <row r="40" spans="1:45" x14ac:dyDescent="0.45">
      <c r="C40" t="str">
        <f t="shared" si="23"/>
        <v>TRAGSL</v>
      </c>
      <c r="D40" s="40">
        <f t="shared" si="26"/>
        <v>25</v>
      </c>
      <c r="E40" s="40">
        <f t="shared" si="24"/>
        <v>25</v>
      </c>
      <c r="F40" s="40">
        <f t="shared" si="24"/>
        <v>25</v>
      </c>
      <c r="G40" s="40">
        <f t="shared" si="24"/>
        <v>25</v>
      </c>
      <c r="H40" s="40">
        <f t="shared" si="24"/>
        <v>25</v>
      </c>
      <c r="I40" s="40">
        <f t="shared" si="24"/>
        <v>25</v>
      </c>
      <c r="J40" s="40">
        <f t="shared" si="24"/>
        <v>25</v>
      </c>
      <c r="K40" s="40">
        <f t="shared" si="24"/>
        <v>25</v>
      </c>
      <c r="L40" s="40">
        <f t="shared" si="24"/>
        <v>25</v>
      </c>
      <c r="M40" s="40">
        <f t="shared" si="24"/>
        <v>25</v>
      </c>
      <c r="N40" s="40">
        <f t="shared" si="24"/>
        <v>25</v>
      </c>
      <c r="O40" s="40">
        <f t="shared" si="24"/>
        <v>25</v>
      </c>
      <c r="P40" s="40">
        <f t="shared" si="24"/>
        <v>25</v>
      </c>
      <c r="Q40" s="40">
        <f t="shared" si="24"/>
        <v>25</v>
      </c>
      <c r="R40" s="40">
        <f t="shared" si="24"/>
        <v>25</v>
      </c>
      <c r="S40" s="40">
        <f t="shared" si="24"/>
        <v>25</v>
      </c>
      <c r="T40" s="40">
        <f t="shared" si="24"/>
        <v>25</v>
      </c>
      <c r="U40" s="40">
        <f t="shared" si="24"/>
        <v>25</v>
      </c>
      <c r="V40" s="40">
        <f t="shared" si="24"/>
        <v>25</v>
      </c>
      <c r="W40" s="40">
        <f t="shared" si="24"/>
        <v>25</v>
      </c>
      <c r="X40" s="40">
        <f t="shared" si="24"/>
        <v>25</v>
      </c>
      <c r="Y40" s="40">
        <f t="shared" si="24"/>
        <v>25</v>
      </c>
      <c r="Z40" s="40">
        <f t="shared" si="24"/>
        <v>25</v>
      </c>
      <c r="AA40" s="40">
        <f t="shared" si="24"/>
        <v>25</v>
      </c>
      <c r="AB40" s="40">
        <f t="shared" si="24"/>
        <v>25</v>
      </c>
      <c r="AC40" s="40">
        <f t="shared" si="24"/>
        <v>25</v>
      </c>
      <c r="AD40" s="40">
        <f t="shared" si="24"/>
        <v>25</v>
      </c>
      <c r="AE40" s="40">
        <f t="shared" si="24"/>
        <v>25</v>
      </c>
      <c r="AF40" s="40">
        <f t="shared" si="24"/>
        <v>25</v>
      </c>
      <c r="AG40" s="40">
        <f t="shared" si="24"/>
        <v>25</v>
      </c>
      <c r="AI40" t="s">
        <v>351</v>
      </c>
      <c r="AJ40" s="1" t="str">
        <f t="shared" ca="1" si="25"/>
        <v>Trd_lcv_gsl</v>
      </c>
      <c r="AK40" t="str">
        <f t="shared" ca="1" si="0"/>
        <v>Trd_lcv</v>
      </c>
      <c r="AL40">
        <f t="shared" ca="1" si="1"/>
        <v>25</v>
      </c>
      <c r="AN40" t="str">
        <f t="shared" ca="1" si="3"/>
        <v>DMD</v>
      </c>
      <c r="AO40" t="str">
        <f t="shared" ca="1" si="4"/>
        <v>Trd_lcv_gsl</v>
      </c>
      <c r="AQ40" t="s">
        <v>156</v>
      </c>
      <c r="AR40" t="s">
        <v>354</v>
      </c>
      <c r="AS40" t="s">
        <v>361</v>
      </c>
    </row>
    <row r="41" spans="1:45" x14ac:dyDescent="0.45">
      <c r="C41" t="str">
        <f t="shared" si="23"/>
        <v>TRALPG</v>
      </c>
      <c r="D41" s="40">
        <f t="shared" si="26"/>
        <v>25</v>
      </c>
      <c r="E41" s="40">
        <f t="shared" si="24"/>
        <v>25</v>
      </c>
      <c r="F41" s="40">
        <f t="shared" si="24"/>
        <v>25</v>
      </c>
      <c r="G41" s="40">
        <f t="shared" si="24"/>
        <v>25</v>
      </c>
      <c r="H41" s="40">
        <f t="shared" si="24"/>
        <v>25</v>
      </c>
      <c r="I41" s="40">
        <f t="shared" si="24"/>
        <v>25</v>
      </c>
      <c r="J41" s="40">
        <f t="shared" si="24"/>
        <v>25</v>
      </c>
      <c r="K41" s="40">
        <f t="shared" si="24"/>
        <v>25</v>
      </c>
      <c r="L41" s="40">
        <f t="shared" si="24"/>
        <v>25</v>
      </c>
      <c r="M41" s="40">
        <f t="shared" si="24"/>
        <v>25</v>
      </c>
      <c r="N41" s="40">
        <f t="shared" si="24"/>
        <v>25</v>
      </c>
      <c r="O41" s="40">
        <f t="shared" si="24"/>
        <v>25</v>
      </c>
      <c r="P41" s="40">
        <f t="shared" si="24"/>
        <v>25</v>
      </c>
      <c r="Q41" s="40">
        <f t="shared" si="24"/>
        <v>25</v>
      </c>
      <c r="R41" s="40">
        <f t="shared" si="24"/>
        <v>25</v>
      </c>
      <c r="S41" s="40">
        <f t="shared" si="24"/>
        <v>25</v>
      </c>
      <c r="T41" s="40">
        <f t="shared" si="24"/>
        <v>25</v>
      </c>
      <c r="U41" s="40">
        <f t="shared" si="24"/>
        <v>25</v>
      </c>
      <c r="V41" s="40">
        <f t="shared" si="24"/>
        <v>25</v>
      </c>
      <c r="W41" s="40">
        <f t="shared" si="24"/>
        <v>25</v>
      </c>
      <c r="X41" s="40">
        <f t="shared" si="24"/>
        <v>25</v>
      </c>
      <c r="Y41" s="40">
        <f t="shared" si="24"/>
        <v>25</v>
      </c>
      <c r="Z41" s="40">
        <f t="shared" si="24"/>
        <v>25</v>
      </c>
      <c r="AA41" s="40">
        <f t="shared" si="24"/>
        <v>25</v>
      </c>
      <c r="AB41" s="40">
        <f t="shared" si="24"/>
        <v>25</v>
      </c>
      <c r="AC41" s="40">
        <f t="shared" si="24"/>
        <v>25</v>
      </c>
      <c r="AD41" s="40">
        <f t="shared" si="24"/>
        <v>25</v>
      </c>
      <c r="AE41" s="40">
        <f t="shared" si="24"/>
        <v>25</v>
      </c>
      <c r="AF41" s="40">
        <f t="shared" si="24"/>
        <v>25</v>
      </c>
      <c r="AG41" s="40">
        <f t="shared" si="24"/>
        <v>25</v>
      </c>
      <c r="AI41" t="s">
        <v>351</v>
      </c>
      <c r="AJ41" s="1" t="str">
        <f t="shared" ca="1" si="25"/>
        <v>Trd_lcv_lpg</v>
      </c>
      <c r="AK41" t="str">
        <f t="shared" ca="1" si="0"/>
        <v>Trd_lcv</v>
      </c>
      <c r="AL41">
        <f t="shared" ca="1" si="1"/>
        <v>25</v>
      </c>
      <c r="AN41" t="str">
        <f t="shared" ca="1" si="3"/>
        <v>DMD</v>
      </c>
      <c r="AO41" t="str">
        <f t="shared" ca="1" si="4"/>
        <v>Trd_lcv_lpg</v>
      </c>
      <c r="AQ41" t="s">
        <v>156</v>
      </c>
      <c r="AR41" t="s">
        <v>354</v>
      </c>
      <c r="AS41" t="s">
        <v>361</v>
      </c>
    </row>
    <row r="42" spans="1:45" x14ac:dyDescent="0.45">
      <c r="C42" t="str">
        <f t="shared" si="23"/>
        <v>TRANGA</v>
      </c>
      <c r="D42" s="40">
        <f t="shared" si="26"/>
        <v>25</v>
      </c>
      <c r="E42" s="40">
        <f t="shared" si="24"/>
        <v>25</v>
      </c>
      <c r="F42" s="40">
        <f t="shared" si="24"/>
        <v>25</v>
      </c>
      <c r="G42" s="40">
        <f t="shared" si="24"/>
        <v>25</v>
      </c>
      <c r="H42" s="40">
        <f t="shared" si="24"/>
        <v>25</v>
      </c>
      <c r="I42" s="40">
        <f t="shared" si="24"/>
        <v>25</v>
      </c>
      <c r="J42" s="40">
        <f t="shared" si="24"/>
        <v>25</v>
      </c>
      <c r="K42" s="40">
        <f t="shared" si="24"/>
        <v>25</v>
      </c>
      <c r="L42" s="40">
        <f t="shared" si="24"/>
        <v>25</v>
      </c>
      <c r="M42" s="40">
        <f t="shared" si="24"/>
        <v>25</v>
      </c>
      <c r="N42" s="40">
        <f t="shared" si="24"/>
        <v>25</v>
      </c>
      <c r="O42" s="40">
        <f t="shared" si="24"/>
        <v>25</v>
      </c>
      <c r="P42" s="40">
        <f t="shared" si="24"/>
        <v>25</v>
      </c>
      <c r="Q42" s="40">
        <f t="shared" si="24"/>
        <v>25</v>
      </c>
      <c r="R42" s="40">
        <f t="shared" si="24"/>
        <v>25</v>
      </c>
      <c r="S42" s="40">
        <f t="shared" si="24"/>
        <v>25</v>
      </c>
      <c r="T42" s="40">
        <f t="shared" si="24"/>
        <v>25</v>
      </c>
      <c r="U42" s="40">
        <f t="shared" si="24"/>
        <v>25</v>
      </c>
      <c r="V42" s="40">
        <f t="shared" si="24"/>
        <v>25</v>
      </c>
      <c r="W42" s="40">
        <f t="shared" si="24"/>
        <v>25</v>
      </c>
      <c r="X42" s="40">
        <f t="shared" si="24"/>
        <v>25</v>
      </c>
      <c r="Y42" s="40">
        <f t="shared" si="24"/>
        <v>25</v>
      </c>
      <c r="Z42" s="40">
        <f t="shared" si="24"/>
        <v>25</v>
      </c>
      <c r="AA42" s="40">
        <f t="shared" si="24"/>
        <v>25</v>
      </c>
      <c r="AB42" s="40">
        <f t="shared" si="24"/>
        <v>25</v>
      </c>
      <c r="AC42" s="40">
        <f t="shared" si="24"/>
        <v>25</v>
      </c>
      <c r="AD42" s="40">
        <f t="shared" si="24"/>
        <v>25</v>
      </c>
      <c r="AE42" s="40">
        <f t="shared" si="24"/>
        <v>25</v>
      </c>
      <c r="AF42" s="40">
        <f t="shared" si="24"/>
        <v>25</v>
      </c>
      <c r="AG42" s="40">
        <f t="shared" si="24"/>
        <v>25</v>
      </c>
      <c r="AI42" t="s">
        <v>351</v>
      </c>
      <c r="AJ42" s="1" t="str">
        <f t="shared" ca="1" si="25"/>
        <v>Trd_lcv_nga</v>
      </c>
      <c r="AK42" t="str">
        <f t="shared" ca="1" si="0"/>
        <v>Trd_lcv</v>
      </c>
      <c r="AL42">
        <f t="shared" ca="1" si="1"/>
        <v>25</v>
      </c>
      <c r="AN42" t="str">
        <f t="shared" ca="1" si="3"/>
        <v>DMD</v>
      </c>
      <c r="AO42" t="str">
        <f t="shared" ca="1" si="4"/>
        <v>Trd_lcv_nga</v>
      </c>
      <c r="AQ42" t="s">
        <v>156</v>
      </c>
      <c r="AR42" t="s">
        <v>354</v>
      </c>
      <c r="AS42" t="s">
        <v>361</v>
      </c>
    </row>
    <row r="43" spans="1:45" x14ac:dyDescent="0.45">
      <c r="AI43" t="s">
        <v>169</v>
      </c>
      <c r="AL43" t="str">
        <f t="shared" si="1"/>
        <v/>
      </c>
    </row>
    <row r="44" spans="1:45" x14ac:dyDescent="0.45">
      <c r="D44" t="str">
        <f>D3</f>
        <v>Africa_north</v>
      </c>
      <c r="E44" t="str">
        <f t="shared" ref="E44:T44" si="27">E3</f>
        <v>Africa_other</v>
      </c>
      <c r="F44" t="str">
        <f t="shared" si="27"/>
        <v>Arg-Chi</v>
      </c>
      <c r="G44" t="str">
        <f t="shared" si="27"/>
        <v>Asia_central</v>
      </c>
      <c r="H44" t="str">
        <f t="shared" si="27"/>
        <v>Asia_east</v>
      </c>
      <c r="I44" t="str">
        <f t="shared" si="27"/>
        <v>Asia_other</v>
      </c>
      <c r="J44" t="str">
        <f t="shared" si="27"/>
        <v>Australia_NZ</v>
      </c>
      <c r="K44" t="str">
        <f t="shared" si="27"/>
        <v>Brazil</v>
      </c>
      <c r="L44" t="str">
        <f t="shared" si="27"/>
        <v>Canada</v>
      </c>
      <c r="M44" t="str">
        <f t="shared" si="27"/>
        <v>China</v>
      </c>
      <c r="N44" t="str">
        <f t="shared" si="27"/>
        <v>EU_north</v>
      </c>
      <c r="O44" t="str">
        <f t="shared" si="27"/>
        <v>EU_northeast</v>
      </c>
      <c r="P44" t="str">
        <f t="shared" si="27"/>
        <v>EU_northwest</v>
      </c>
      <c r="Q44" t="str">
        <f t="shared" ref="Q44" si="28">Q3</f>
        <v>EU_south</v>
      </c>
      <c r="R44" t="str">
        <f t="shared" si="27"/>
        <v>EU_southeast</v>
      </c>
      <c r="S44" t="str">
        <f t="shared" si="27"/>
        <v>EU_southwest</v>
      </c>
      <c r="T44" t="str">
        <f t="shared" si="27"/>
        <v>Europe_other</v>
      </c>
      <c r="U44" t="str">
        <f t="shared" ref="U44:AG44" si="29">U3</f>
        <v>France</v>
      </c>
      <c r="V44" t="str">
        <f t="shared" si="29"/>
        <v>Germany</v>
      </c>
      <c r="W44" t="str">
        <f t="shared" si="29"/>
        <v>India</v>
      </c>
      <c r="X44" t="str">
        <f t="shared" si="29"/>
        <v>LatAm_other</v>
      </c>
      <c r="Y44" t="str">
        <f t="shared" si="29"/>
        <v>Mexico</v>
      </c>
      <c r="Z44" t="str">
        <f t="shared" si="29"/>
        <v>MidEast_other</v>
      </c>
      <c r="AA44" t="str">
        <f t="shared" si="29"/>
        <v>Nor-Ice</v>
      </c>
      <c r="AB44" t="str">
        <f t="shared" si="29"/>
        <v>Russia</v>
      </c>
      <c r="AC44" t="str">
        <f t="shared" si="29"/>
        <v>SaudiArabia</v>
      </c>
      <c r="AD44" t="str">
        <f t="shared" si="29"/>
        <v>SouthAfrica</v>
      </c>
      <c r="AE44" t="str">
        <f t="shared" si="29"/>
        <v>UK</v>
      </c>
      <c r="AF44" t="str">
        <f t="shared" si="29"/>
        <v>USA</v>
      </c>
      <c r="AG44" t="str">
        <f t="shared" si="29"/>
        <v>\I:</v>
      </c>
      <c r="AI44" t="s">
        <v>169</v>
      </c>
      <c r="AL44" t="str">
        <f t="shared" si="1"/>
        <v/>
      </c>
    </row>
    <row r="45" spans="1:45" x14ac:dyDescent="0.45">
      <c r="A45" t="s">
        <v>333</v>
      </c>
      <c r="D45" s="2">
        <f ca="1">SUMPRODUCT(D36:D42,D19:D25)</f>
        <v>82.25</v>
      </c>
      <c r="E45" s="2">
        <f t="shared" ref="E45:T45" ca="1" si="30">SUMPRODUCT(E36:E42,E19:E25)</f>
        <v>67.5</v>
      </c>
      <c r="F45" s="2">
        <f t="shared" ca="1" si="30"/>
        <v>33.25</v>
      </c>
      <c r="G45" s="2">
        <f t="shared" ca="1" si="30"/>
        <v>50.5</v>
      </c>
      <c r="H45" s="2">
        <f t="shared" ca="1" si="30"/>
        <v>204</v>
      </c>
      <c r="I45" s="2">
        <f t="shared" ca="1" si="30"/>
        <v>112</v>
      </c>
      <c r="J45" s="2">
        <f t="shared" ca="1" si="30"/>
        <v>75.75</v>
      </c>
      <c r="K45" s="2">
        <f t="shared" ca="1" si="30"/>
        <v>103.75</v>
      </c>
      <c r="L45" s="2">
        <f t="shared" ca="1" si="30"/>
        <v>44.5</v>
      </c>
      <c r="M45" s="2">
        <f t="shared" ca="1" si="30"/>
        <v>382.25</v>
      </c>
      <c r="N45" s="2">
        <f t="shared" ca="1" si="30"/>
        <v>27.75</v>
      </c>
      <c r="O45" s="2">
        <f t="shared" ca="1" si="30"/>
        <v>109.25</v>
      </c>
      <c r="P45" s="2">
        <f t="shared" ca="1" si="30"/>
        <v>51</v>
      </c>
      <c r="Q45" s="2">
        <f t="shared" ref="Q45" ca="1" si="31">SUMPRODUCT(Q36:Q42,Q19:Q25)</f>
        <v>84.25</v>
      </c>
      <c r="R45" s="2">
        <f t="shared" ca="1" si="30"/>
        <v>43.5</v>
      </c>
      <c r="S45" s="2">
        <f t="shared" ca="1" si="30"/>
        <v>78.25</v>
      </c>
      <c r="T45" s="2">
        <f t="shared" ca="1" si="30"/>
        <v>126.25</v>
      </c>
      <c r="U45" s="2">
        <f t="shared" ref="U45:AG45" ca="1" si="32">SUMPRODUCT(U36:U42,U19:U25)</f>
        <v>95</v>
      </c>
      <c r="V45" s="2">
        <f t="shared" ca="1" si="32"/>
        <v>105.75</v>
      </c>
      <c r="W45" s="2">
        <f t="shared" ca="1" si="32"/>
        <v>179.75</v>
      </c>
      <c r="X45" s="2">
        <f t="shared" ca="1" si="32"/>
        <v>70.25</v>
      </c>
      <c r="Y45" s="2">
        <f t="shared" ca="1" si="32"/>
        <v>47.75</v>
      </c>
      <c r="Z45" s="2">
        <f t="shared" ca="1" si="32"/>
        <v>222</v>
      </c>
      <c r="AA45" s="2">
        <f t="shared" ca="1" si="32"/>
        <v>7.75</v>
      </c>
      <c r="AB45" s="2">
        <f t="shared" ca="1" si="32"/>
        <v>125.25</v>
      </c>
      <c r="AC45" s="2">
        <f t="shared" ca="1" si="32"/>
        <v>106.5</v>
      </c>
      <c r="AD45" s="2">
        <f t="shared" ca="1" si="32"/>
        <v>23.75</v>
      </c>
      <c r="AE45" s="2">
        <f t="shared" ca="1" si="32"/>
        <v>76</v>
      </c>
      <c r="AF45" s="2">
        <f t="shared" ca="1" si="32"/>
        <v>973</v>
      </c>
      <c r="AG45" s="2">
        <f t="shared" ca="1" si="32"/>
        <v>0</v>
      </c>
      <c r="AI45" t="s">
        <v>352</v>
      </c>
      <c r="AK45" t="s">
        <v>357</v>
      </c>
      <c r="AL45" t="str">
        <f t="shared" si="1"/>
        <v/>
      </c>
    </row>
  </sheetData>
  <conditionalFormatting sqref="D17:P17 R17:T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:AG17 U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B434-6277-415C-8599-9D62F92CBB35}">
  <dimension ref="A1:AS45"/>
  <sheetViews>
    <sheetView zoomScaleNormal="100" workbookViewId="0">
      <selection activeCell="D36" sqref="D36:AG36"/>
    </sheetView>
  </sheetViews>
  <sheetFormatPr defaultRowHeight="14.25" x14ac:dyDescent="0.45"/>
  <cols>
    <col min="1" max="1" width="10.86328125" bestFit="1" customWidth="1"/>
    <col min="2" max="2" width="2" bestFit="1" customWidth="1"/>
    <col min="4" max="4" width="6.1328125" bestFit="1" customWidth="1"/>
    <col min="5" max="6" width="8.1328125" bestFit="1" customWidth="1"/>
    <col min="7" max="7" width="7.46484375" bestFit="1" customWidth="1"/>
    <col min="8" max="8" width="8.86328125" bestFit="1" customWidth="1"/>
    <col min="9" max="9" width="5.86328125" bestFit="1" customWidth="1"/>
    <col min="10" max="10" width="7.46484375" bestFit="1" customWidth="1"/>
    <col min="11" max="11" width="6.53125" bestFit="1" customWidth="1"/>
    <col min="12" max="12" width="5.53125" bestFit="1" customWidth="1"/>
    <col min="13" max="13" width="6.53125" bestFit="1" customWidth="1"/>
    <col min="14" max="14" width="7.33203125" bestFit="1" customWidth="1"/>
    <col min="15" max="15" width="6.53125" bestFit="1" customWidth="1"/>
    <col min="16" max="16" width="5.53125" bestFit="1" customWidth="1"/>
    <col min="17" max="17" width="7.46484375" bestFit="1" customWidth="1"/>
    <col min="18" max="18" width="8" bestFit="1" customWidth="1"/>
    <col min="19" max="20" width="6.53125" bestFit="1" customWidth="1"/>
    <col min="21" max="33" width="6.53125" customWidth="1"/>
    <col min="34" max="34" width="6.53125" bestFit="1" customWidth="1"/>
    <col min="36" max="36" width="12" bestFit="1" customWidth="1"/>
    <col min="41" max="41" width="12" bestFit="1" customWidth="1"/>
  </cols>
  <sheetData>
    <row r="1" spans="1:45" ht="14.65" thickBot="1" x14ac:dyDescent="0.5">
      <c r="A1" s="49">
        <f>1-'Trucks-lcv'!$A$1</f>
        <v>0.5</v>
      </c>
      <c r="H1" s="2"/>
    </row>
    <row r="2" spans="1:45" ht="14.65" thickTop="1" x14ac:dyDescent="0.45">
      <c r="AI2" t="s">
        <v>353</v>
      </c>
      <c r="AN2" t="s">
        <v>148</v>
      </c>
    </row>
    <row r="3" spans="1:45" x14ac:dyDescent="0.45">
      <c r="C3" t="s">
        <v>347</v>
      </c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  <c r="AH3" t="s">
        <v>169</v>
      </c>
      <c r="AI3" t="s">
        <v>174</v>
      </c>
      <c r="AJ3" t="s">
        <v>136</v>
      </c>
      <c r="AK3" t="s">
        <v>349</v>
      </c>
      <c r="AL3" t="s">
        <v>158</v>
      </c>
      <c r="AN3" t="s">
        <v>149</v>
      </c>
      <c r="AO3" t="s">
        <v>139</v>
      </c>
      <c r="AP3" t="s">
        <v>150</v>
      </c>
      <c r="AQ3" t="s">
        <v>151</v>
      </c>
      <c r="AR3" t="s">
        <v>152</v>
      </c>
      <c r="AS3" t="s">
        <v>155</v>
      </c>
    </row>
    <row r="4" spans="1:45" x14ac:dyDescent="0.45">
      <c r="A4" t="s">
        <v>25</v>
      </c>
      <c r="C4" s="35" t="s">
        <v>32</v>
      </c>
      <c r="D4" s="2" cm="1">
        <f t="array" aca="1" ref="D4" ca="1">SUM(SUMIFS(Assumptions!AN$3:AN$102,Assumptions!$B$3:$B$102,'Trucks-hdt'!$C4,Assumptions!$G$3:$G$102,{"TRH","TRM"}))</f>
        <v>0</v>
      </c>
      <c r="E4" s="2" cm="1">
        <f t="array" aca="1" ref="E4" ca="1">SUM(SUMIFS(Assumptions!AO$3:AO$102,Assumptions!$B$3:$B$102,'Trucks-hdt'!$C4,Assumptions!$G$3:$G$102,{"TRH","TRM"}))</f>
        <v>0</v>
      </c>
      <c r="F4" s="2" cm="1">
        <f t="array" aca="1" ref="F4" ca="1">SUM(SUMIFS(Assumptions!AP$3:AP$102,Assumptions!$B$3:$B$102,'Trucks-hdt'!$C4,Assumptions!$G$3:$G$102,{"TRH","TRM"}))</f>
        <v>31.513898803708798</v>
      </c>
      <c r="G4" s="2" cm="1">
        <f t="array" aca="1" ref="G4" ca="1">SUM(SUMIFS(Assumptions!AQ$3:AQ$102,Assumptions!$B$3:$B$102,'Trucks-hdt'!$C4,Assumptions!$G$3:$G$102,{"TRH","TRM"}))</f>
        <v>7.2994345919999998E-3</v>
      </c>
      <c r="H4" s="2" cm="1">
        <f t="array" aca="1" ref="H4" ca="1">SUM(SUMIFS(Assumptions!AR$3:AR$102,Assumptions!$B$3:$B$102,'Trucks-hdt'!$C4,Assumptions!$G$3:$G$102,{"TRH","TRM"}))</f>
        <v>20.801546227728</v>
      </c>
      <c r="I4" s="2" cm="1">
        <f t="array" aca="1" ref="I4" ca="1">SUM(SUMIFS(Assumptions!AS$3:AS$102,Assumptions!$B$3:$B$102,'Trucks-hdt'!$C4,Assumptions!$G$3:$G$102,{"TRH","TRM"}))</f>
        <v>177.851073976164</v>
      </c>
      <c r="J4" s="2" cm="1">
        <f t="array" aca="1" ref="J4" ca="1">SUM(SUMIFS(Assumptions!AT$3:AT$102,Assumptions!$B$3:$B$102,'Trucks-hdt'!$C4,Assumptions!$G$3:$G$102,{"TRH","TRM"}))</f>
        <v>0.136176591096</v>
      </c>
      <c r="K4" s="2" cm="1">
        <f t="array" aca="1" ref="K4" ca="1">SUM(SUMIFS(Assumptions!AU$3:AU$102,Assumptions!$B$3:$B$102,'Trucks-hdt'!$C4,Assumptions!$G$3:$G$102,{"TRH","TRM"}))</f>
        <v>484.36626367681919</v>
      </c>
      <c r="L4" s="2" cm="1">
        <f t="array" aca="1" ref="L4" ca="1">SUM(SUMIFS(Assumptions!AV$3:AV$102,Assumptions!$B$3:$B$102,'Trucks-hdt'!$C4,Assumptions!$G$3:$G$102,{"TRH","TRM"}))</f>
        <v>17.8416285067944</v>
      </c>
      <c r="M4" s="2" cm="1">
        <f t="array" aca="1" ref="M4" ca="1">SUM(SUMIFS(Assumptions!AW$3:AW$102,Assumptions!$B$3:$B$102,'Trucks-hdt'!$C4,Assumptions!$G$3:$G$102,{"TRH","TRM"}))</f>
        <v>18.896933582406</v>
      </c>
      <c r="N4" s="2" cm="1">
        <f t="array" aca="1" ref="N4" ca="1">SUM(SUMIFS(Assumptions!AX$3:AX$102,Assumptions!$B$3:$B$102,'Trucks-hdt'!$C4,Assumptions!$G$3:$G$102,{"TRH","TRM"}))</f>
        <v>22.500656599965083</v>
      </c>
      <c r="O4" s="2" cm="1">
        <f t="array" aca="1" ref="O4" ca="1">SUM(SUMIFS(Assumptions!AY$3:AY$102,Assumptions!$B$3:$B$102,'Trucks-hdt'!$C4,Assumptions!$G$3:$G$102,{"TRH","TRM"}))</f>
        <v>25.976203459342159</v>
      </c>
      <c r="P4" s="2" cm="1">
        <f t="array" aca="1" ref="P4" ca="1">SUM(SUMIFS(Assumptions!AZ$3:AZ$102,Assumptions!$B$3:$B$102,'Trucks-hdt'!$C4,Assumptions!$G$3:$G$102,{"TRH","TRM"}))</f>
        <v>13.724159834556964</v>
      </c>
      <c r="Q4" s="2" cm="1">
        <f t="array" aca="1" ref="Q4" ca="1">SUM(SUMIFS(Assumptions!BA$3:BA$102,Assumptions!$B$3:$B$102,'Trucks-hdt'!$C4,Assumptions!$G$3:$G$102,{"TRH","TRM"}))</f>
        <v>18.767545553588967</v>
      </c>
      <c r="R4" s="2" cm="1">
        <f t="array" aca="1" ref="R4" ca="1">SUM(SUMIFS(Assumptions!BB$3:BB$102,Assumptions!$B$3:$B$102,'Trucks-hdt'!$C4,Assumptions!$G$3:$G$102,{"TRH","TRM"}))</f>
        <v>11.303783013836199</v>
      </c>
      <c r="S4" s="2" cm="1">
        <f t="array" aca="1" ref="S4" ca="1">SUM(SUMIFS(Assumptions!BC$3:BC$102,Assumptions!$B$3:$B$102,'Trucks-hdt'!$C4,Assumptions!$G$3:$G$102,{"TRH","TRM"}))</f>
        <v>23.103360024009977</v>
      </c>
      <c r="T4" s="2" cm="1">
        <f t="array" aca="1" ref="T4" ca="1">SUM(SUMIFS(Assumptions!BD$3:BD$102,Assumptions!$B$3:$B$102,'Trucks-hdt'!$C4,Assumptions!$G$3:$G$102,{"TRH","TRM"}))</f>
        <v>10.908006529680002</v>
      </c>
      <c r="U4" s="2" cm="1">
        <f t="array" aca="1" ref="U4" ca="1">SUM(SUMIFS(Assumptions!BE$3:BE$102,Assumptions!$B$3:$B$102,'Trucks-hdt'!$C4,Assumptions!$G$3:$G$102,{"TRH","TRM"}))</f>
        <v>33.187623341721093</v>
      </c>
      <c r="V4" s="2" cm="1">
        <f t="array" aca="1" ref="V4" ca="1">SUM(SUMIFS(Assumptions!BF$3:BF$102,Assumptions!$B$3:$B$102,'Trucks-hdt'!$C4,Assumptions!$G$3:$G$102,{"TRH","TRM"}))</f>
        <v>24.833087591531417</v>
      </c>
      <c r="W4" s="2" cm="1">
        <f t="array" aca="1" ref="W4" ca="1">SUM(SUMIFS(Assumptions!BG$3:BG$102,Assumptions!$B$3:$B$102,'Trucks-hdt'!$C4,Assumptions!$G$3:$G$102,{"TRH","TRM"}))</f>
        <v>0.61385186879999998</v>
      </c>
      <c r="X4" s="2" cm="1">
        <f t="array" aca="1" ref="X4" ca="1">SUM(SUMIFS(Assumptions!BH$3:BH$102,Assumptions!$B$3:$B$102,'Trucks-hdt'!$C4,Assumptions!$G$3:$G$102,{"TRH","TRM"}))</f>
        <v>23.738166240479998</v>
      </c>
      <c r="Y4" s="2" cm="1">
        <f t="array" aca="1" ref="Y4" ca="1">SUM(SUMIFS(Assumptions!BI$3:BI$102,Assumptions!$B$3:$B$102,'Trucks-hdt'!$C4,Assumptions!$G$3:$G$102,{"TRH","TRM"}))</f>
        <v>0</v>
      </c>
      <c r="Z4" s="2" cm="1">
        <f t="array" aca="1" ref="Z4" ca="1">SUM(SUMIFS(Assumptions!BJ$3:BJ$102,Assumptions!$B$3:$B$102,'Trucks-hdt'!$C4,Assumptions!$G$3:$G$102,{"TRH","TRM"}))</f>
        <v>0</v>
      </c>
      <c r="AA4" s="2" cm="1">
        <f t="array" aca="1" ref="AA4" ca="1">SUM(SUMIFS(Assumptions!BK$3:BK$102,Assumptions!$B$3:$B$102,'Trucks-hdt'!$C4,Assumptions!$G$3:$G$102,{"TRH","TRM"}))</f>
        <v>5.711567121534852</v>
      </c>
      <c r="AB4" s="2" cm="1">
        <f t="array" aca="1" ref="AB4" ca="1">SUM(SUMIFS(Assumptions!BL$3:BL$102,Assumptions!$B$3:$B$102,'Trucks-hdt'!$C4,Assumptions!$G$3:$G$102,{"TRH","TRM"}))</f>
        <v>0</v>
      </c>
      <c r="AC4" s="2" cm="1">
        <f t="array" aca="1" ref="AC4" ca="1">SUM(SUMIFS(Assumptions!BM$3:BM$102,Assumptions!$B$3:$B$102,'Trucks-hdt'!$C4,Assumptions!$G$3:$G$102,{"TRH","TRM"}))</f>
        <v>0</v>
      </c>
      <c r="AD4" s="2" cm="1">
        <f t="array" aca="1" ref="AD4" ca="1">SUM(SUMIFS(Assumptions!BN$3:BN$102,Assumptions!$B$3:$B$102,'Trucks-hdt'!$C4,Assumptions!$G$3:$G$102,{"TRH","TRM"}))</f>
        <v>0</v>
      </c>
      <c r="AE4" s="2" cm="1">
        <f t="array" aca="1" ref="AE4" ca="1">SUM(SUMIFS(Assumptions!BO$3:BO$102,Assumptions!$B$3:$B$102,'Trucks-hdt'!$C4,Assumptions!$G$3:$G$102,{"TRH","TRM"}))</f>
        <v>16.604478412267003</v>
      </c>
      <c r="AF4" s="2" cm="1">
        <f t="array" aca="1" ref="AF4" ca="1">SUM(SUMIFS(Assumptions!BP$3:BP$102,Assumptions!$B$3:$B$102,'Trucks-hdt'!$C4,Assumptions!$G$3:$G$102,{"TRH","TRM"}))</f>
        <v>162.30660359844831</v>
      </c>
      <c r="AG4" s="2" cm="1">
        <f t="array" aca="1" ref="AG4" ca="1">SUM(SUMIFS(Assumptions!BQ$3:BQ$102,Assumptions!$B$3:$B$102,'Trucks-hdt'!$C4,Assumptions!$G$3:$G$102,{"TRH","TRM"}))</f>
        <v>0</v>
      </c>
      <c r="AH4" s="53" t="str">
        <f ca="1">IF(SUM(D4:AG4)=0,"zero","")</f>
        <v/>
      </c>
      <c r="AI4" s="2" t="s">
        <v>169</v>
      </c>
      <c r="AK4" t="str">
        <f t="shared" ref="AK4:AK42" si="0">IF($AJ4="","",$AK$45)</f>
        <v/>
      </c>
      <c r="AL4" t="str">
        <f t="shared" ref="AL4:AL45" si="1">IF($AJ4="","",25)</f>
        <v/>
      </c>
      <c r="AN4" t="str">
        <f>IF($AJ4="","*","DMD")</f>
        <v>*</v>
      </c>
      <c r="AO4">
        <f>AJ4</f>
        <v>0</v>
      </c>
      <c r="AQ4" t="s">
        <v>156</v>
      </c>
      <c r="AR4" t="s">
        <v>354</v>
      </c>
      <c r="AS4" t="s">
        <v>361</v>
      </c>
    </row>
    <row r="5" spans="1:45" x14ac:dyDescent="0.45">
      <c r="A5" t="s">
        <v>25</v>
      </c>
      <c r="C5" s="35" t="s">
        <v>33</v>
      </c>
      <c r="D5" s="2" cm="1">
        <f t="array" aca="1" ref="D5" ca="1">SUM(SUMIFS(Assumptions!AN$3:AN$102,Assumptions!$B$3:$B$102,'Trucks-hdt'!$C5,Assumptions!$G$3:$G$102,{"TRH","TRM"}))</f>
        <v>0</v>
      </c>
      <c r="E5" s="2" cm="1">
        <f t="array" aca="1" ref="E5" ca="1">SUM(SUMIFS(Assumptions!AO$3:AO$102,Assumptions!$B$3:$B$102,'Trucks-hdt'!$C5,Assumptions!$G$3:$G$102,{"TRH","TRM"}))</f>
        <v>0</v>
      </c>
      <c r="F5" s="2" cm="1">
        <f t="array" aca="1" ref="F5" ca="1">SUM(SUMIFS(Assumptions!AP$3:AP$102,Assumptions!$B$3:$B$102,'Trucks-hdt'!$C5,Assumptions!$G$3:$G$102,{"TRH","TRM"}))</f>
        <v>0.67661015860799978</v>
      </c>
      <c r="G5" s="2" cm="1">
        <f t="array" aca="1" ref="G5" ca="1">SUM(SUMIFS(Assumptions!AQ$3:AQ$102,Assumptions!$B$3:$B$102,'Trucks-hdt'!$C5,Assumptions!$G$3:$G$102,{"TRH","TRM"}))</f>
        <v>0</v>
      </c>
      <c r="H5" s="2" cm="1">
        <f t="array" aca="1" ref="H5" ca="1">SUM(SUMIFS(Assumptions!AR$3:AR$102,Assumptions!$B$3:$B$102,'Trucks-hdt'!$C5,Assumptions!$G$3:$G$102,{"TRH","TRM"}))</f>
        <v>0</v>
      </c>
      <c r="I5" s="2" cm="1">
        <f t="array" aca="1" ref="I5" ca="1">SUM(SUMIFS(Assumptions!AS$3:AS$102,Assumptions!$B$3:$B$102,'Trucks-hdt'!$C5,Assumptions!$G$3:$G$102,{"TRH","TRM"}))</f>
        <v>0</v>
      </c>
      <c r="J5" s="2" cm="1">
        <f t="array" aca="1" ref="J5" ca="1">SUM(SUMIFS(Assumptions!AT$3:AT$102,Assumptions!$B$3:$B$102,'Trucks-hdt'!$C5,Assumptions!$G$3:$G$102,{"TRH","TRM"}))</f>
        <v>0</v>
      </c>
      <c r="K5" s="2" cm="1">
        <f t="array" aca="1" ref="K5" ca="1">SUM(SUMIFS(Assumptions!AU$3:AU$102,Assumptions!$B$3:$B$102,'Trucks-hdt'!$C5,Assumptions!$G$3:$G$102,{"TRH","TRM"}))</f>
        <v>7.0786064733479988</v>
      </c>
      <c r="L5" s="2" cm="1">
        <f t="array" aca="1" ref="L5" ca="1">SUM(SUMIFS(Assumptions!AV$3:AV$102,Assumptions!$B$3:$B$102,'Trucks-hdt'!$C5,Assumptions!$G$3:$G$102,{"TRH","TRM"}))</f>
        <v>0.13362999511680013</v>
      </c>
      <c r="M5" s="2" cm="1">
        <f t="array" aca="1" ref="M5" ca="1">SUM(SUMIFS(Assumptions!AW$3:AW$102,Assumptions!$B$3:$B$102,'Trucks-hdt'!$C5,Assumptions!$G$3:$G$102,{"TRH","TRM"}))</f>
        <v>0.85759999603199999</v>
      </c>
      <c r="N5" s="2" cm="1">
        <f t="array" aca="1" ref="N5" ca="1">SUM(SUMIFS(Assumptions!AX$3:AX$102,Assumptions!$B$3:$B$102,'Trucks-hdt'!$C5,Assumptions!$G$3:$G$102,{"TRH","TRM"}))</f>
        <v>0</v>
      </c>
      <c r="O5" s="2" cm="1">
        <f t="array" aca="1" ref="O5" ca="1">SUM(SUMIFS(Assumptions!AY$3:AY$102,Assumptions!$B$3:$B$102,'Trucks-hdt'!$C5,Assumptions!$G$3:$G$102,{"TRH","TRM"}))</f>
        <v>0.18167347487520016</v>
      </c>
      <c r="P5" s="2" cm="1">
        <f t="array" aca="1" ref="P5" ca="1">SUM(SUMIFS(Assumptions!AZ$3:AZ$102,Assumptions!$B$3:$B$102,'Trucks-hdt'!$C5,Assumptions!$G$3:$G$102,{"TRH","TRM"}))</f>
        <v>0</v>
      </c>
      <c r="Q5" s="2" cm="1">
        <f t="array" aca="1" ref="Q5" ca="1">SUM(SUMIFS(Assumptions!BA$3:BA$102,Assumptions!$B$3:$B$102,'Trucks-hdt'!$C5,Assumptions!$G$3:$G$102,{"TRH","TRM"}))</f>
        <v>0</v>
      </c>
      <c r="R5" s="2" cm="1">
        <f t="array" aca="1" ref="R5" ca="1">SUM(SUMIFS(Assumptions!BB$3:BB$102,Assumptions!$B$3:$B$102,'Trucks-hdt'!$C5,Assumptions!$G$3:$G$102,{"TRH","TRM"}))</f>
        <v>9.072135760320009E-2</v>
      </c>
      <c r="S5" s="2" cm="1">
        <f t="array" aca="1" ref="S5" ca="1">SUM(SUMIFS(Assumptions!BC$3:BC$102,Assumptions!$B$3:$B$102,'Trucks-hdt'!$C5,Assumptions!$G$3:$G$102,{"TRH","TRM"}))</f>
        <v>0</v>
      </c>
      <c r="T5" s="2" cm="1">
        <f t="array" aca="1" ref="T5" ca="1">SUM(SUMIFS(Assumptions!BD$3:BD$102,Assumptions!$B$3:$B$102,'Trucks-hdt'!$C5,Assumptions!$G$3:$G$102,{"TRH","TRM"}))</f>
        <v>0.76175258846400007</v>
      </c>
      <c r="U5" s="2" cm="1">
        <f t="array" aca="1" ref="U5" ca="1">SUM(SUMIFS(Assumptions!BE$3:BE$102,Assumptions!$B$3:$B$102,'Trucks-hdt'!$C5,Assumptions!$G$3:$G$102,{"TRH","TRM"}))</f>
        <v>0</v>
      </c>
      <c r="V5" s="2" cm="1">
        <f t="array" aca="1" ref="V5" ca="1">SUM(SUMIFS(Assumptions!BF$3:BF$102,Assumptions!$B$3:$B$102,'Trucks-hdt'!$C5,Assumptions!$G$3:$G$102,{"TRH","TRM"}))</f>
        <v>0</v>
      </c>
      <c r="W5" s="2" cm="1">
        <f t="array" aca="1" ref="W5" ca="1">SUM(SUMIFS(Assumptions!BG$3:BG$102,Assumptions!$B$3:$B$102,'Trucks-hdt'!$C5,Assumptions!$G$3:$G$102,{"TRH","TRM"}))</f>
        <v>0</v>
      </c>
      <c r="X5" s="2" cm="1">
        <f t="array" aca="1" ref="X5" ca="1">SUM(SUMIFS(Assumptions!BH$3:BH$102,Assumptions!$B$3:$B$102,'Trucks-hdt'!$C5,Assumptions!$G$3:$G$102,{"TRH","TRM"}))</f>
        <v>0.91607581745999989</v>
      </c>
      <c r="Y5" s="2" cm="1">
        <f t="array" aca="1" ref="Y5" ca="1">SUM(SUMIFS(Assumptions!BI$3:BI$102,Assumptions!$B$3:$B$102,'Trucks-hdt'!$C5,Assumptions!$G$3:$G$102,{"TRH","TRM"}))</f>
        <v>0</v>
      </c>
      <c r="Z5" s="2" cm="1">
        <f t="array" aca="1" ref="Z5" ca="1">SUM(SUMIFS(Assumptions!BJ$3:BJ$102,Assumptions!$B$3:$B$102,'Trucks-hdt'!$C5,Assumptions!$G$3:$G$102,{"TRH","TRM"}))</f>
        <v>0</v>
      </c>
      <c r="AA5" s="2" cm="1">
        <f t="array" aca="1" ref="AA5" ca="1">SUM(SUMIFS(Assumptions!BK$3:BK$102,Assumptions!$B$3:$B$102,'Trucks-hdt'!$C5,Assumptions!$G$3:$G$102,{"TRH","TRM"}))</f>
        <v>0</v>
      </c>
      <c r="AB5" s="2" cm="1">
        <f t="array" aca="1" ref="AB5" ca="1">SUM(SUMIFS(Assumptions!BL$3:BL$102,Assumptions!$B$3:$B$102,'Trucks-hdt'!$C5,Assumptions!$G$3:$G$102,{"TRH","TRM"}))</f>
        <v>0</v>
      </c>
      <c r="AC5" s="2" cm="1">
        <f t="array" aca="1" ref="AC5" ca="1">SUM(SUMIFS(Assumptions!BM$3:BM$102,Assumptions!$B$3:$B$102,'Trucks-hdt'!$C5,Assumptions!$G$3:$G$102,{"TRH","TRM"}))</f>
        <v>0</v>
      </c>
      <c r="AD5" s="2" cm="1">
        <f t="array" aca="1" ref="AD5" ca="1">SUM(SUMIFS(Assumptions!BN$3:BN$102,Assumptions!$B$3:$B$102,'Trucks-hdt'!$C5,Assumptions!$G$3:$G$102,{"TRH","TRM"}))</f>
        <v>0</v>
      </c>
      <c r="AE5" s="2" cm="1">
        <f t="array" aca="1" ref="AE5" ca="1">SUM(SUMIFS(Assumptions!BO$3:BO$102,Assumptions!$B$3:$B$102,'Trucks-hdt'!$C5,Assumptions!$G$3:$G$102,{"TRH","TRM"}))</f>
        <v>0</v>
      </c>
      <c r="AF5" s="2" cm="1">
        <f t="array" aca="1" ref="AF5" ca="1">SUM(SUMIFS(Assumptions!BP$3:BP$102,Assumptions!$B$3:$B$102,'Trucks-hdt'!$C5,Assumptions!$G$3:$G$102,{"TRH","TRM"}))</f>
        <v>82.10324010959998</v>
      </c>
      <c r="AG5" s="2" cm="1">
        <f t="array" aca="1" ref="AG5" ca="1">SUM(SUMIFS(Assumptions!BQ$3:BQ$102,Assumptions!$B$3:$B$102,'Trucks-hdt'!$C5,Assumptions!$G$3:$G$102,{"TRH","TRM"}))</f>
        <v>0</v>
      </c>
      <c r="AH5" s="53" t="str">
        <f t="shared" ref="AH5:AH10" ca="1" si="2">IF(SUM(D5:AG5)=0,"zero","")</f>
        <v/>
      </c>
      <c r="AI5" t="s">
        <v>169</v>
      </c>
      <c r="AK5" t="str">
        <f t="shared" si="0"/>
        <v/>
      </c>
      <c r="AL5" t="str">
        <f t="shared" si="1"/>
        <v/>
      </c>
      <c r="AN5" t="str">
        <f t="shared" ref="AN5:AN42" si="3">IF(AJ5="","*","DMD")</f>
        <v>*</v>
      </c>
      <c r="AO5">
        <f t="shared" ref="AO5:AO42" si="4">AJ5</f>
        <v>0</v>
      </c>
      <c r="AQ5" t="s">
        <v>156</v>
      </c>
      <c r="AR5" t="s">
        <v>354</v>
      </c>
      <c r="AS5" t="s">
        <v>361</v>
      </c>
    </row>
    <row r="6" spans="1:45" x14ac:dyDescent="0.45">
      <c r="A6" t="s">
        <v>25</v>
      </c>
      <c r="C6" s="35" t="s">
        <v>41</v>
      </c>
      <c r="D6" s="2" cm="1">
        <f t="array" aca="1" ref="D6" ca="1">SUM(SUMIFS(Assumptions!AN$3:AN$102,Assumptions!$B$3:$B$102,'Trucks-hdt'!$C6,Assumptions!$G$3:$G$102,{"TRH","TRM"}))</f>
        <v>450.36832218542997</v>
      </c>
      <c r="E6" s="2" cm="1">
        <f t="array" aca="1" ref="E6" ca="1">SUM(SUMIFS(Assumptions!AO$3:AO$102,Assumptions!$B$3:$B$102,'Trucks-hdt'!$C6,Assumptions!$G$3:$G$102,{"TRH","TRM"}))</f>
        <v>400.23218614924804</v>
      </c>
      <c r="F6" s="2" cm="1">
        <f t="array" aca="1" ref="F6" ca="1">SUM(SUMIFS(Assumptions!AP$3:AP$102,Assumptions!$B$3:$B$102,'Trucks-hdt'!$C6,Assumptions!$G$3:$G$102,{"TRH","TRM"}))</f>
        <v>352.67000805699843</v>
      </c>
      <c r="G6" s="2" cm="1">
        <f t="array" aca="1" ref="G6" ca="1">SUM(SUMIFS(Assumptions!AQ$3:AQ$102,Assumptions!$B$3:$B$102,'Trucks-hdt'!$C6,Assumptions!$G$3:$G$102,{"TRH","TRM"}))</f>
        <v>149.58435386361597</v>
      </c>
      <c r="H6" s="2" cm="1">
        <f t="array" aca="1" ref="H6" ca="1">SUM(SUMIFS(Assumptions!AR$3:AR$102,Assumptions!$B$3:$B$102,'Trucks-hdt'!$C6,Assumptions!$G$3:$G$102,{"TRH","TRM"}))</f>
        <v>1303.7106182554078</v>
      </c>
      <c r="I6" s="2" cm="1">
        <f t="array" aca="1" ref="I6" ca="1">SUM(SUMIFS(Assumptions!AS$3:AS$102,Assumptions!$B$3:$B$102,'Trucks-hdt'!$C6,Assumptions!$G$3:$G$102,{"TRH","TRM"}))</f>
        <v>1957.1026989801239</v>
      </c>
      <c r="J6" s="2" cm="1">
        <f t="array" aca="1" ref="J6" ca="1">SUM(SUMIFS(Assumptions!AT$3:AT$102,Assumptions!$B$3:$B$102,'Trucks-hdt'!$C6,Assumptions!$G$3:$G$102,{"TRH","TRM"}))</f>
        <v>429.96112304647318</v>
      </c>
      <c r="K6" s="2" cm="1">
        <f t="array" aca="1" ref="K6" ca="1">SUM(SUMIFS(Assumptions!AU$3:AU$102,Assumptions!$B$3:$B$102,'Trucks-hdt'!$C6,Assumptions!$G$3:$G$102,{"TRH","TRM"}))</f>
        <v>1068.3777714212733</v>
      </c>
      <c r="L6" s="2" cm="1">
        <f t="array" aca="1" ref="L6" ca="1">SUM(SUMIFS(Assumptions!AV$3:AV$102,Assumptions!$B$3:$B$102,'Trucks-hdt'!$C6,Assumptions!$G$3:$G$102,{"TRH","TRM"}))</f>
        <v>537.14678161747679</v>
      </c>
      <c r="M6" s="2" cm="1">
        <f t="array" aca="1" ref="M6" ca="1">SUM(SUMIFS(Assumptions!AW$3:AW$102,Assumptions!$B$3:$B$102,'Trucks-hdt'!$C6,Assumptions!$G$3:$G$102,{"TRH","TRM"}))</f>
        <v>1961.2210467051177</v>
      </c>
      <c r="N6" s="2" cm="1">
        <f t="array" aca="1" ref="N6" ca="1">SUM(SUMIFS(Assumptions!AX$3:AX$102,Assumptions!$B$3:$B$102,'Trucks-hdt'!$C6,Assumptions!$G$3:$G$102,{"TRH","TRM"}))</f>
        <v>101.2435959142808</v>
      </c>
      <c r="O6" s="2" cm="1">
        <f t="array" aca="1" ref="O6" ca="1">SUM(SUMIFS(Assumptions!AY$3:AY$102,Assumptions!$B$3:$B$102,'Trucks-hdt'!$C6,Assumptions!$G$3:$G$102,{"TRH","TRM"}))</f>
        <v>430.84226076399887</v>
      </c>
      <c r="P6" s="2" cm="1">
        <f t="array" aca="1" ref="P6" ca="1">SUM(SUMIFS(Assumptions!AZ$3:AZ$102,Assumptions!$B$3:$B$102,'Trucks-hdt'!$C6,Assumptions!$G$3:$G$102,{"TRH","TRM"}))</f>
        <v>210.85479530643892</v>
      </c>
      <c r="Q6" s="2" cm="1">
        <f t="array" aca="1" ref="Q6" ca="1">SUM(SUMIFS(Assumptions!BA$3:BA$102,Assumptions!$B$3:$B$102,'Trucks-hdt'!$C6,Assumptions!$G$3:$G$102,{"TRH","TRM"}))</f>
        <v>317.8606807384478</v>
      </c>
      <c r="R6" s="2" cm="1">
        <f t="array" aca="1" ref="R6" ca="1">SUM(SUMIFS(Assumptions!BB$3:BB$102,Assumptions!$B$3:$B$102,'Trucks-hdt'!$C6,Assumptions!$G$3:$G$102,{"TRH","TRM"}))</f>
        <v>183.17712645859439</v>
      </c>
      <c r="S6" s="2" cm="1">
        <f t="array" aca="1" ref="S6" ca="1">SUM(SUMIFS(Assumptions!BC$3:BC$102,Assumptions!$B$3:$B$102,'Trucks-hdt'!$C6,Assumptions!$G$3:$G$102,{"TRH","TRM"}))</f>
        <v>337.26073270593525</v>
      </c>
      <c r="T6" s="2" cm="1">
        <f t="array" aca="1" ref="T6" ca="1">SUM(SUMIFS(Assumptions!BD$3:BD$102,Assumptions!$B$3:$B$102,'Trucks-hdt'!$C6,Assumptions!$G$3:$G$102,{"TRH","TRM"}))</f>
        <v>938.59464644531988</v>
      </c>
      <c r="U6" s="2" cm="1">
        <f t="array" aca="1" ref="U6" ca="1">SUM(SUMIFS(Assumptions!BE$3:BE$102,Assumptions!$B$3:$B$102,'Trucks-hdt'!$C6,Assumptions!$G$3:$G$102,{"TRH","TRM"}))</f>
        <v>403.8907060905002</v>
      </c>
      <c r="V6" s="2" cm="1">
        <f t="array" aca="1" ref="V6" ca="1">SUM(SUMIFS(Assumptions!BF$3:BF$102,Assumptions!$B$3:$B$102,'Trucks-hdt'!$C6,Assumptions!$G$3:$G$102,{"TRH","TRM"}))</f>
        <v>436.18911006465646</v>
      </c>
      <c r="W6" s="2" cm="1">
        <f t="array" aca="1" ref="W6" ca="1">SUM(SUMIFS(Assumptions!BG$3:BG$102,Assumptions!$B$3:$B$102,'Trucks-hdt'!$C6,Assumptions!$G$3:$G$102,{"TRH","TRM"}))</f>
        <v>912.62209526235006</v>
      </c>
      <c r="X6" s="2" cm="1">
        <f t="array" aca="1" ref="X6" ca="1">SUM(SUMIFS(Assumptions!BH$3:BH$102,Assumptions!$B$3:$B$102,'Trucks-hdt'!$C6,Assumptions!$G$3:$G$102,{"TRH","TRM"}))</f>
        <v>744.25973747097601</v>
      </c>
      <c r="Y6" s="2" cm="1">
        <f t="array" aca="1" ref="Y6" ca="1">SUM(SUMIFS(Assumptions!BI$3:BI$102,Assumptions!$B$3:$B$102,'Trucks-hdt'!$C6,Assumptions!$G$3:$G$102,{"TRH","TRM"}))</f>
        <v>329.70589912548002</v>
      </c>
      <c r="Z6" s="2" cm="1">
        <f t="array" aca="1" ref="Z6" ca="1">SUM(SUMIFS(Assumptions!BJ$3:BJ$102,Assumptions!$B$3:$B$102,'Trucks-hdt'!$C6,Assumptions!$G$3:$G$102,{"TRH","TRM"}))</f>
        <v>1010.9920013681399</v>
      </c>
      <c r="AA6" s="2" cm="1">
        <f t="array" aca="1" ref="AA6" ca="1">SUM(SUMIFS(Assumptions!BK$3:BK$102,Assumptions!$B$3:$B$102,'Trucks-hdt'!$C6,Assumptions!$G$3:$G$102,{"TRH","TRM"}))</f>
        <v>30.236778996163636</v>
      </c>
      <c r="AB6" s="2" cm="1">
        <f t="array" aca="1" ref="AB6" ca="1">SUM(SUMIFS(Assumptions!BL$3:BL$102,Assumptions!$B$3:$B$102,'Trucks-hdt'!$C6,Assumptions!$G$3:$G$102,{"TRH","TRM"}))</f>
        <v>468.53964275774399</v>
      </c>
      <c r="AC6" s="2" cm="1">
        <f t="array" aca="1" ref="AC6" ca="1">SUM(SUMIFS(Assumptions!BM$3:BM$102,Assumptions!$B$3:$B$102,'Trucks-hdt'!$C6,Assumptions!$G$3:$G$102,{"TRH","TRM"}))</f>
        <v>574.96413875669998</v>
      </c>
      <c r="AD6" s="2" cm="1">
        <f t="array" aca="1" ref="AD6" ca="1">SUM(SUMIFS(Assumptions!BN$3:BN$102,Assumptions!$B$3:$B$102,'Trucks-hdt'!$C6,Assumptions!$G$3:$G$102,{"TRH","TRM"}))</f>
        <v>140.58691731417599</v>
      </c>
      <c r="AE6" s="2" cm="1">
        <f t="array" aca="1" ref="AE6" ca="1">SUM(SUMIFS(Assumptions!BO$3:BO$102,Assumptions!$B$3:$B$102,'Trucks-hdt'!$C6,Assumptions!$G$3:$G$102,{"TRH","TRM"}))</f>
        <v>320.22657962528905</v>
      </c>
      <c r="AF6" s="2" cm="1">
        <f t="array" aca="1" ref="AF6" ca="1">SUM(SUMIFS(Assumptions!BP$3:BP$102,Assumptions!$B$3:$B$102,'Trucks-hdt'!$C6,Assumptions!$G$3:$G$102,{"TRH","TRM"}))</f>
        <v>4561.5779720488526</v>
      </c>
      <c r="AG6" s="2" cm="1">
        <f t="array" aca="1" ref="AG6" ca="1">SUM(SUMIFS(Assumptions!BQ$3:BQ$102,Assumptions!$B$3:$B$102,'Trucks-hdt'!$C6,Assumptions!$G$3:$G$102,{"TRH","TRM"}))</f>
        <v>0</v>
      </c>
      <c r="AH6" s="53" t="str">
        <f t="shared" ca="1" si="2"/>
        <v/>
      </c>
      <c r="AI6" t="s">
        <v>169</v>
      </c>
      <c r="AK6" t="str">
        <f t="shared" si="0"/>
        <v/>
      </c>
      <c r="AL6" t="str">
        <f t="shared" si="1"/>
        <v/>
      </c>
      <c r="AN6" t="str">
        <f t="shared" si="3"/>
        <v>*</v>
      </c>
      <c r="AO6">
        <f t="shared" si="4"/>
        <v>0</v>
      </c>
      <c r="AQ6" t="s">
        <v>156</v>
      </c>
      <c r="AR6" t="s">
        <v>354</v>
      </c>
      <c r="AS6" t="s">
        <v>361</v>
      </c>
    </row>
    <row r="7" spans="1:45" x14ac:dyDescent="0.45">
      <c r="A7" t="s">
        <v>25</v>
      </c>
      <c r="C7" s="35" t="s">
        <v>37</v>
      </c>
      <c r="D7" s="2" cm="1">
        <f t="array" aca="1" ref="D7" ca="1">SUM(SUMIFS(Assumptions!AN$3:AN$102,Assumptions!$B$3:$B$102,'Trucks-hdt'!$C7,Assumptions!$G$3:$G$102,{"TRH","TRM"}))</f>
        <v>0</v>
      </c>
      <c r="E7" s="2" cm="1">
        <f t="array" aca="1" ref="E7" ca="1">SUM(SUMIFS(Assumptions!AO$3:AO$102,Assumptions!$B$3:$B$102,'Trucks-hdt'!$C7,Assumptions!$G$3:$G$102,{"TRH","TRM"}))</f>
        <v>0</v>
      </c>
      <c r="F7" s="2" cm="1">
        <f t="array" aca="1" ref="F7" ca="1">SUM(SUMIFS(Assumptions!AP$3:AP$102,Assumptions!$B$3:$B$102,'Trucks-hdt'!$C7,Assumptions!$G$3:$G$102,{"TRH","TRM"}))</f>
        <v>0</v>
      </c>
      <c r="G7" s="2" cm="1">
        <f t="array" aca="1" ref="G7" ca="1">SUM(SUMIFS(Assumptions!AQ$3:AQ$102,Assumptions!$B$3:$B$102,'Trucks-hdt'!$C7,Assumptions!$G$3:$G$102,{"TRH","TRM"}))</f>
        <v>0</v>
      </c>
      <c r="H7" s="2" cm="1">
        <f t="array" aca="1" ref="H7" ca="1">SUM(SUMIFS(Assumptions!AR$3:AR$102,Assumptions!$B$3:$B$102,'Trucks-hdt'!$C7,Assumptions!$G$3:$G$102,{"TRH","TRM"}))</f>
        <v>0</v>
      </c>
      <c r="I7" s="2" cm="1">
        <f t="array" aca="1" ref="I7" ca="1">SUM(SUMIFS(Assumptions!AS$3:AS$102,Assumptions!$B$3:$B$102,'Trucks-hdt'!$C7,Assumptions!$G$3:$G$102,{"TRH","TRM"}))</f>
        <v>0</v>
      </c>
      <c r="J7" s="2" cm="1">
        <f t="array" aca="1" ref="J7" ca="1">SUM(SUMIFS(Assumptions!AT$3:AT$102,Assumptions!$B$3:$B$102,'Trucks-hdt'!$C7,Assumptions!$G$3:$G$102,{"TRH","TRM"}))</f>
        <v>0</v>
      </c>
      <c r="K7" s="2" cm="1">
        <f t="array" aca="1" ref="K7" ca="1">SUM(SUMIFS(Assumptions!AU$3:AU$102,Assumptions!$B$3:$B$102,'Trucks-hdt'!$C7,Assumptions!$G$3:$G$102,{"TRH","TRM"}))</f>
        <v>0</v>
      </c>
      <c r="L7" s="2" cm="1">
        <f t="array" aca="1" ref="L7" ca="1">SUM(SUMIFS(Assumptions!AV$3:AV$102,Assumptions!$B$3:$B$102,'Trucks-hdt'!$C7,Assumptions!$G$3:$G$102,{"TRH","TRM"}))</f>
        <v>0</v>
      </c>
      <c r="M7" s="2" cm="1">
        <f t="array" aca="1" ref="M7" ca="1">SUM(SUMIFS(Assumptions!AW$3:AW$102,Assumptions!$B$3:$B$102,'Trucks-hdt'!$C7,Assumptions!$G$3:$G$102,{"TRH","TRM"}))</f>
        <v>0</v>
      </c>
      <c r="N7" s="2" cm="1">
        <f t="array" aca="1" ref="N7" ca="1">SUM(SUMIFS(Assumptions!AX$3:AX$102,Assumptions!$B$3:$B$102,'Trucks-hdt'!$C7,Assumptions!$G$3:$G$102,{"TRH","TRM"}))</f>
        <v>0</v>
      </c>
      <c r="O7" s="2" cm="1">
        <f t="array" aca="1" ref="O7" ca="1">SUM(SUMIFS(Assumptions!AY$3:AY$102,Assumptions!$B$3:$B$102,'Trucks-hdt'!$C7,Assumptions!$G$3:$G$102,{"TRH","TRM"}))</f>
        <v>0</v>
      </c>
      <c r="P7" s="2" cm="1">
        <f t="array" aca="1" ref="P7" ca="1">SUM(SUMIFS(Assumptions!AZ$3:AZ$102,Assumptions!$B$3:$B$102,'Trucks-hdt'!$C7,Assumptions!$G$3:$G$102,{"TRH","TRM"}))</f>
        <v>0</v>
      </c>
      <c r="Q7" s="2" cm="1">
        <f t="array" aca="1" ref="Q7" ca="1">SUM(SUMIFS(Assumptions!BA$3:BA$102,Assumptions!$B$3:$B$102,'Trucks-hdt'!$C7,Assumptions!$G$3:$G$102,{"TRH","TRM"}))</f>
        <v>0</v>
      </c>
      <c r="R7" s="2" cm="1">
        <f t="array" aca="1" ref="R7" ca="1">SUM(SUMIFS(Assumptions!BB$3:BB$102,Assumptions!$B$3:$B$102,'Trucks-hdt'!$C7,Assumptions!$G$3:$G$102,{"TRH","TRM"}))</f>
        <v>0</v>
      </c>
      <c r="S7" s="2" cm="1">
        <f t="array" aca="1" ref="S7" ca="1">SUM(SUMIFS(Assumptions!BC$3:BC$102,Assumptions!$B$3:$B$102,'Trucks-hdt'!$C7,Assumptions!$G$3:$G$102,{"TRH","TRM"}))</f>
        <v>0</v>
      </c>
      <c r="T7" s="2" cm="1">
        <f t="array" aca="1" ref="T7" ca="1">SUM(SUMIFS(Assumptions!BD$3:BD$102,Assumptions!$B$3:$B$102,'Trucks-hdt'!$C7,Assumptions!$G$3:$G$102,{"TRH","TRM"}))</f>
        <v>0</v>
      </c>
      <c r="U7" s="2" cm="1">
        <f t="array" aca="1" ref="U7" ca="1">SUM(SUMIFS(Assumptions!BE$3:BE$102,Assumptions!$B$3:$B$102,'Trucks-hdt'!$C7,Assumptions!$G$3:$G$102,{"TRH","TRM"}))</f>
        <v>0</v>
      </c>
      <c r="V7" s="2" cm="1">
        <f t="array" aca="1" ref="V7" ca="1">SUM(SUMIFS(Assumptions!BF$3:BF$102,Assumptions!$B$3:$B$102,'Trucks-hdt'!$C7,Assumptions!$G$3:$G$102,{"TRH","TRM"}))</f>
        <v>0</v>
      </c>
      <c r="W7" s="2" cm="1">
        <f t="array" aca="1" ref="W7" ca="1">SUM(SUMIFS(Assumptions!BG$3:BG$102,Assumptions!$B$3:$B$102,'Trucks-hdt'!$C7,Assumptions!$G$3:$G$102,{"TRH","TRM"}))</f>
        <v>0</v>
      </c>
      <c r="X7" s="2" cm="1">
        <f t="array" aca="1" ref="X7" ca="1">SUM(SUMIFS(Assumptions!BH$3:BH$102,Assumptions!$B$3:$B$102,'Trucks-hdt'!$C7,Assumptions!$G$3:$G$102,{"TRH","TRM"}))</f>
        <v>0</v>
      </c>
      <c r="Y7" s="2" cm="1">
        <f t="array" aca="1" ref="Y7" ca="1">SUM(SUMIFS(Assumptions!BI$3:BI$102,Assumptions!$B$3:$B$102,'Trucks-hdt'!$C7,Assumptions!$G$3:$G$102,{"TRH","TRM"}))</f>
        <v>0</v>
      </c>
      <c r="Z7" s="2" cm="1">
        <f t="array" aca="1" ref="Z7" ca="1">SUM(SUMIFS(Assumptions!BJ$3:BJ$102,Assumptions!$B$3:$B$102,'Trucks-hdt'!$C7,Assumptions!$G$3:$G$102,{"TRH","TRM"}))</f>
        <v>0</v>
      </c>
      <c r="AA7" s="2" cm="1">
        <f t="array" aca="1" ref="AA7" ca="1">SUM(SUMIFS(Assumptions!BK$3:BK$102,Assumptions!$B$3:$B$102,'Trucks-hdt'!$C7,Assumptions!$G$3:$G$102,{"TRH","TRM"}))</f>
        <v>0</v>
      </c>
      <c r="AB7" s="2" cm="1">
        <f t="array" aca="1" ref="AB7" ca="1">SUM(SUMIFS(Assumptions!BL$3:BL$102,Assumptions!$B$3:$B$102,'Trucks-hdt'!$C7,Assumptions!$G$3:$G$102,{"TRH","TRM"}))</f>
        <v>0</v>
      </c>
      <c r="AC7" s="2" cm="1">
        <f t="array" aca="1" ref="AC7" ca="1">SUM(SUMIFS(Assumptions!BM$3:BM$102,Assumptions!$B$3:$B$102,'Trucks-hdt'!$C7,Assumptions!$G$3:$G$102,{"TRH","TRM"}))</f>
        <v>0</v>
      </c>
      <c r="AD7" s="2" cm="1">
        <f t="array" aca="1" ref="AD7" ca="1">SUM(SUMIFS(Assumptions!BN$3:BN$102,Assumptions!$B$3:$B$102,'Trucks-hdt'!$C7,Assumptions!$G$3:$G$102,{"TRH","TRM"}))</f>
        <v>0</v>
      </c>
      <c r="AE7" s="2" cm="1">
        <f t="array" aca="1" ref="AE7" ca="1">SUM(SUMIFS(Assumptions!BO$3:BO$102,Assumptions!$B$3:$B$102,'Trucks-hdt'!$C7,Assumptions!$G$3:$G$102,{"TRH","TRM"}))</f>
        <v>0</v>
      </c>
      <c r="AF7" s="2" cm="1">
        <f t="array" aca="1" ref="AF7" ca="1">SUM(SUMIFS(Assumptions!BP$3:BP$102,Assumptions!$B$3:$B$102,'Trucks-hdt'!$C7,Assumptions!$G$3:$G$102,{"TRH","TRM"}))</f>
        <v>0</v>
      </c>
      <c r="AG7" s="2" cm="1">
        <f t="array" aca="1" ref="AG7" ca="1">SUM(SUMIFS(Assumptions!BQ$3:BQ$102,Assumptions!$B$3:$B$102,'Trucks-hdt'!$C7,Assumptions!$G$3:$G$102,{"TRH","TRM"}))</f>
        <v>0</v>
      </c>
      <c r="AH7" s="53" t="str">
        <f t="shared" ca="1" si="2"/>
        <v>zero</v>
      </c>
      <c r="AI7" t="s">
        <v>169</v>
      </c>
      <c r="AK7" t="str">
        <f t="shared" si="0"/>
        <v/>
      </c>
      <c r="AL7" t="str">
        <f t="shared" si="1"/>
        <v/>
      </c>
      <c r="AN7" t="str">
        <f t="shared" si="3"/>
        <v>*</v>
      </c>
      <c r="AO7">
        <f t="shared" si="4"/>
        <v>0</v>
      </c>
      <c r="AQ7" t="s">
        <v>156</v>
      </c>
      <c r="AR7" t="s">
        <v>354</v>
      </c>
      <c r="AS7" t="s">
        <v>361</v>
      </c>
    </row>
    <row r="8" spans="1:45" x14ac:dyDescent="0.45">
      <c r="A8" t="s">
        <v>25</v>
      </c>
      <c r="C8" s="35" t="s">
        <v>42</v>
      </c>
      <c r="D8" s="2" cm="1">
        <f t="array" aca="1" ref="D8" ca="1">SUM(SUMIFS(Assumptions!AN$3:AN$102,Assumptions!$B$3:$B$102,'Trucks-hdt'!$C8,Assumptions!$G$3:$G$102,{"TRH","TRM"}))</f>
        <v>0</v>
      </c>
      <c r="E8" s="2" cm="1">
        <f t="array" aca="1" ref="E8" ca="1">SUM(SUMIFS(Assumptions!AO$3:AO$102,Assumptions!$B$3:$B$102,'Trucks-hdt'!$C8,Assumptions!$G$3:$G$102,{"TRH","TRM"}))</f>
        <v>0</v>
      </c>
      <c r="F8" s="2" cm="1">
        <f t="array" aca="1" ref="F8" ca="1">SUM(SUMIFS(Assumptions!AP$3:AP$102,Assumptions!$B$3:$B$102,'Trucks-hdt'!$C8,Assumptions!$G$3:$G$102,{"TRH","TRM"}))</f>
        <v>12.306225359123996</v>
      </c>
      <c r="G8" s="2" cm="1">
        <f t="array" aca="1" ref="G8" ca="1">SUM(SUMIFS(Assumptions!AQ$3:AQ$102,Assumptions!$B$3:$B$102,'Trucks-hdt'!$C8,Assumptions!$G$3:$G$102,{"TRH","TRM"}))</f>
        <v>49.227974715168017</v>
      </c>
      <c r="H8" s="2" cm="1">
        <f t="array" aca="1" ref="H8" ca="1">SUM(SUMIFS(Assumptions!AR$3:AR$102,Assumptions!$B$3:$B$102,'Trucks-hdt'!$C8,Assumptions!$G$3:$G$102,{"TRH","TRM"}))</f>
        <v>0</v>
      </c>
      <c r="I8" s="2" cm="1">
        <f t="array" aca="1" ref="I8" ca="1">SUM(SUMIFS(Assumptions!AS$3:AS$102,Assumptions!$B$3:$B$102,'Trucks-hdt'!$C8,Assumptions!$G$3:$G$102,{"TRH","TRM"}))</f>
        <v>0</v>
      </c>
      <c r="J8" s="2" cm="1">
        <f t="array" aca="1" ref="J8" ca="1">SUM(SUMIFS(Assumptions!AT$3:AT$102,Assumptions!$B$3:$B$102,'Trucks-hdt'!$C8,Assumptions!$G$3:$G$102,{"TRH","TRM"}))</f>
        <v>0</v>
      </c>
      <c r="K8" s="2" cm="1">
        <f t="array" aca="1" ref="K8" ca="1">SUM(SUMIFS(Assumptions!AU$3:AU$102,Assumptions!$B$3:$B$102,'Trucks-hdt'!$C8,Assumptions!$G$3:$G$102,{"TRH","TRM"}))</f>
        <v>26.945455211387994</v>
      </c>
      <c r="L8" s="2" cm="1">
        <f t="array" aca="1" ref="L8" ca="1">SUM(SUMIFS(Assumptions!AV$3:AV$102,Assumptions!$B$3:$B$102,'Trucks-hdt'!$C8,Assumptions!$G$3:$G$102,{"TRH","TRM"}))</f>
        <v>2.718903306146403</v>
      </c>
      <c r="M8" s="2" cm="1">
        <f t="array" aca="1" ref="M8" ca="1">SUM(SUMIFS(Assumptions!AW$3:AW$102,Assumptions!$B$3:$B$102,'Trucks-hdt'!$C8,Assumptions!$G$3:$G$102,{"TRH","TRM"}))</f>
        <v>60.224049829223986</v>
      </c>
      <c r="N8" s="2" cm="1">
        <f t="array" aca="1" ref="N8" ca="1">SUM(SUMIFS(Assumptions!AX$3:AX$102,Assumptions!$B$3:$B$102,'Trucks-hdt'!$C8,Assumptions!$G$3:$G$102,{"TRH","TRM"}))</f>
        <v>0</v>
      </c>
      <c r="O8" s="2" cm="1">
        <f t="array" aca="1" ref="O8" ca="1">SUM(SUMIFS(Assumptions!AY$3:AY$102,Assumptions!$B$3:$B$102,'Trucks-hdt'!$C8,Assumptions!$G$3:$G$102,{"TRH","TRM"}))</f>
        <v>4.5789238142352042</v>
      </c>
      <c r="P8" s="2" cm="1">
        <f t="array" aca="1" ref="P8" ca="1">SUM(SUMIFS(Assumptions!AZ$3:AZ$102,Assumptions!$B$3:$B$102,'Trucks-hdt'!$C8,Assumptions!$G$3:$G$102,{"TRH","TRM"}))</f>
        <v>0</v>
      </c>
      <c r="Q8" s="2" cm="1">
        <f t="array" aca="1" ref="Q8" ca="1">SUM(SUMIFS(Assumptions!BA$3:BA$102,Assumptions!$B$3:$B$102,'Trucks-hdt'!$C8,Assumptions!$G$3:$G$102,{"TRH","TRM"}))</f>
        <v>0</v>
      </c>
      <c r="R8" s="2" cm="1">
        <f t="array" aca="1" ref="R8" ca="1">SUM(SUMIFS(Assumptions!BB$3:BB$102,Assumptions!$B$3:$B$102,'Trucks-hdt'!$C8,Assumptions!$G$3:$G$102,{"TRH","TRM"}))</f>
        <v>2.1174357991536019</v>
      </c>
      <c r="S8" s="2" cm="1">
        <f t="array" aca="1" ref="S8" ca="1">SUM(SUMIFS(Assumptions!BC$3:BC$102,Assumptions!$B$3:$B$102,'Trucks-hdt'!$C8,Assumptions!$G$3:$G$102,{"TRH","TRM"}))</f>
        <v>0</v>
      </c>
      <c r="T8" s="2" cm="1">
        <f t="array" aca="1" ref="T8" ca="1">SUM(SUMIFS(Assumptions!BD$3:BD$102,Assumptions!$B$3:$B$102,'Trucks-hdt'!$C8,Assumptions!$G$3:$G$102,{"TRH","TRM"}))</f>
        <v>38.781855542808003</v>
      </c>
      <c r="U8" s="2" cm="1">
        <f t="array" aca="1" ref="U8" ca="1">SUM(SUMIFS(Assumptions!BE$3:BE$102,Assumptions!$B$3:$B$102,'Trucks-hdt'!$C8,Assumptions!$G$3:$G$102,{"TRH","TRM"}))</f>
        <v>0</v>
      </c>
      <c r="V8" s="2" cm="1">
        <f t="array" aca="1" ref="V8" ca="1">SUM(SUMIFS(Assumptions!BF$3:BF$102,Assumptions!$B$3:$B$102,'Trucks-hdt'!$C8,Assumptions!$G$3:$G$102,{"TRH","TRM"}))</f>
        <v>0</v>
      </c>
      <c r="W8" s="2" cm="1">
        <f t="array" aca="1" ref="W8" ca="1">SUM(SUMIFS(Assumptions!BG$3:BG$102,Assumptions!$B$3:$B$102,'Trucks-hdt'!$C8,Assumptions!$G$3:$G$102,{"TRH","TRM"}))</f>
        <v>0</v>
      </c>
      <c r="X8" s="2" cm="1">
        <f t="array" aca="1" ref="X8" ca="1">SUM(SUMIFS(Assumptions!BH$3:BH$102,Assumptions!$B$3:$B$102,'Trucks-hdt'!$C8,Assumptions!$G$3:$G$102,{"TRH","TRM"}))</f>
        <v>38.927493129599988</v>
      </c>
      <c r="Y8" s="2" cm="1">
        <f t="array" aca="1" ref="Y8" ca="1">SUM(SUMIFS(Assumptions!BI$3:BI$102,Assumptions!$B$3:$B$102,'Trucks-hdt'!$C8,Assumptions!$G$3:$G$102,{"TRH","TRM"}))</f>
        <v>11.228452039026008</v>
      </c>
      <c r="Z8" s="2" cm="1">
        <f t="array" aca="1" ref="Z8" ca="1">SUM(SUMIFS(Assumptions!BJ$3:BJ$102,Assumptions!$B$3:$B$102,'Trucks-hdt'!$C8,Assumptions!$G$3:$G$102,{"TRH","TRM"}))</f>
        <v>247.76050901679002</v>
      </c>
      <c r="AA8" s="2" cm="1">
        <f t="array" aca="1" ref="AA8" ca="1">SUM(SUMIFS(Assumptions!BK$3:BK$102,Assumptions!$B$3:$B$102,'Trucks-hdt'!$C8,Assumptions!$G$3:$G$102,{"TRH","TRM"}))</f>
        <v>0</v>
      </c>
      <c r="AB8" s="2" cm="1">
        <f t="array" aca="1" ref="AB8" ca="1">SUM(SUMIFS(Assumptions!BL$3:BL$102,Assumptions!$B$3:$B$102,'Trucks-hdt'!$C8,Assumptions!$G$3:$G$102,{"TRH","TRM"}))</f>
        <v>179.16803530747202</v>
      </c>
      <c r="AC8" s="2" cm="1">
        <f t="array" aca="1" ref="AC8" ca="1">SUM(SUMIFS(Assumptions!BM$3:BM$102,Assumptions!$B$3:$B$102,'Trucks-hdt'!$C8,Assumptions!$G$3:$G$102,{"TRH","TRM"}))</f>
        <v>107.03392225268399</v>
      </c>
      <c r="AD8" s="2" cm="1">
        <f t="array" aca="1" ref="AD8" ca="1">SUM(SUMIFS(Assumptions!BN$3:BN$102,Assumptions!$B$3:$B$102,'Trucks-hdt'!$C8,Assumptions!$G$3:$G$102,{"TRH","TRM"}))</f>
        <v>0</v>
      </c>
      <c r="AE8" s="2" cm="1">
        <f t="array" aca="1" ref="AE8" ca="1">SUM(SUMIFS(Assumptions!BO$3:BO$102,Assumptions!$B$3:$B$102,'Trucks-hdt'!$C8,Assumptions!$G$3:$G$102,{"TRH","TRM"}))</f>
        <v>0</v>
      </c>
      <c r="AF8" s="2" cm="1">
        <f t="array" aca="1" ref="AF8" ca="1">SUM(SUMIFS(Assumptions!BP$3:BP$102,Assumptions!$B$3:$B$102,'Trucks-hdt'!$C8,Assumptions!$G$3:$G$102,{"TRH","TRM"}))</f>
        <v>929.44024307949564</v>
      </c>
      <c r="AG8" s="2" cm="1">
        <f t="array" aca="1" ref="AG8" ca="1">SUM(SUMIFS(Assumptions!BQ$3:BQ$102,Assumptions!$B$3:$B$102,'Trucks-hdt'!$C8,Assumptions!$G$3:$G$102,{"TRH","TRM"}))</f>
        <v>0</v>
      </c>
      <c r="AH8" s="53" t="str">
        <f t="shared" ca="1" si="2"/>
        <v/>
      </c>
      <c r="AI8" t="s">
        <v>169</v>
      </c>
      <c r="AK8" t="str">
        <f t="shared" si="0"/>
        <v/>
      </c>
      <c r="AL8" t="str">
        <f t="shared" si="1"/>
        <v/>
      </c>
      <c r="AN8" t="str">
        <f t="shared" si="3"/>
        <v>*</v>
      </c>
      <c r="AO8">
        <f t="shared" si="4"/>
        <v>0</v>
      </c>
      <c r="AQ8" t="s">
        <v>156</v>
      </c>
      <c r="AR8" t="s">
        <v>354</v>
      </c>
      <c r="AS8" t="s">
        <v>361</v>
      </c>
    </row>
    <row r="9" spans="1:45" x14ac:dyDescent="0.45">
      <c r="A9" t="s">
        <v>25</v>
      </c>
      <c r="C9" s="35" t="s">
        <v>39</v>
      </c>
      <c r="D9" s="2" cm="1">
        <f t="array" aca="1" ref="D9" ca="1">SUM(SUMIFS(Assumptions!AN$3:AN$102,Assumptions!$B$3:$B$102,'Trucks-hdt'!$C9,Assumptions!$G$3:$G$102,{"TRH","TRM"}))</f>
        <v>0</v>
      </c>
      <c r="E9" s="2" cm="1">
        <f t="array" aca="1" ref="E9" ca="1">SUM(SUMIFS(Assumptions!AO$3:AO$102,Assumptions!$B$3:$B$102,'Trucks-hdt'!$C9,Assumptions!$G$3:$G$102,{"TRH","TRM"}))</f>
        <v>0</v>
      </c>
      <c r="F9" s="2" cm="1">
        <f t="array" aca="1" ref="F9" ca="1">SUM(SUMIFS(Assumptions!AP$3:AP$102,Assumptions!$B$3:$B$102,'Trucks-hdt'!$C9,Assumptions!$G$3:$G$102,{"TRH","TRM"}))</f>
        <v>0</v>
      </c>
      <c r="G9" s="2" cm="1">
        <f t="array" aca="1" ref="G9" ca="1">SUM(SUMIFS(Assumptions!AQ$3:AQ$102,Assumptions!$B$3:$B$102,'Trucks-hdt'!$C9,Assumptions!$G$3:$G$102,{"TRH","TRM"}))</f>
        <v>0</v>
      </c>
      <c r="H9" s="2" cm="1">
        <f t="array" aca="1" ref="H9" ca="1">SUM(SUMIFS(Assumptions!AR$3:AR$102,Assumptions!$B$3:$B$102,'Trucks-hdt'!$C9,Assumptions!$G$3:$G$102,{"TRH","TRM"}))</f>
        <v>0</v>
      </c>
      <c r="I9" s="2" cm="1">
        <f t="array" aca="1" ref="I9" ca="1">SUM(SUMIFS(Assumptions!AS$3:AS$102,Assumptions!$B$3:$B$102,'Trucks-hdt'!$C9,Assumptions!$G$3:$G$102,{"TRH","TRM"}))</f>
        <v>0</v>
      </c>
      <c r="J9" s="2" cm="1">
        <f t="array" aca="1" ref="J9" ca="1">SUM(SUMIFS(Assumptions!AT$3:AT$102,Assumptions!$B$3:$B$102,'Trucks-hdt'!$C9,Assumptions!$G$3:$G$102,{"TRH","TRM"}))</f>
        <v>0</v>
      </c>
      <c r="K9" s="2" cm="1">
        <f t="array" aca="1" ref="K9" ca="1">SUM(SUMIFS(Assumptions!AU$3:AU$102,Assumptions!$B$3:$B$102,'Trucks-hdt'!$C9,Assumptions!$G$3:$G$102,{"TRH","TRM"}))</f>
        <v>0</v>
      </c>
      <c r="L9" s="2" cm="1">
        <f t="array" aca="1" ref="L9" ca="1">SUM(SUMIFS(Assumptions!AV$3:AV$102,Assumptions!$B$3:$B$102,'Trucks-hdt'!$C9,Assumptions!$G$3:$G$102,{"TRH","TRM"}))</f>
        <v>0</v>
      </c>
      <c r="M9" s="2" cm="1">
        <f t="array" aca="1" ref="M9" ca="1">SUM(SUMIFS(Assumptions!AW$3:AW$102,Assumptions!$B$3:$B$102,'Trucks-hdt'!$C9,Assumptions!$G$3:$G$102,{"TRH","TRM"}))</f>
        <v>0</v>
      </c>
      <c r="N9" s="2" cm="1">
        <f t="array" aca="1" ref="N9" ca="1">SUM(SUMIFS(Assumptions!AX$3:AX$102,Assumptions!$B$3:$B$102,'Trucks-hdt'!$C9,Assumptions!$G$3:$G$102,{"TRH","TRM"}))</f>
        <v>0</v>
      </c>
      <c r="O9" s="2" cm="1">
        <f t="array" aca="1" ref="O9" ca="1">SUM(SUMIFS(Assumptions!AY$3:AY$102,Assumptions!$B$3:$B$102,'Trucks-hdt'!$C9,Assumptions!$G$3:$G$102,{"TRH","TRM"}))</f>
        <v>0</v>
      </c>
      <c r="P9" s="2" cm="1">
        <f t="array" aca="1" ref="P9" ca="1">SUM(SUMIFS(Assumptions!AZ$3:AZ$102,Assumptions!$B$3:$B$102,'Trucks-hdt'!$C9,Assumptions!$G$3:$G$102,{"TRH","TRM"}))</f>
        <v>0</v>
      </c>
      <c r="Q9" s="2" cm="1">
        <f t="array" aca="1" ref="Q9" ca="1">SUM(SUMIFS(Assumptions!BA$3:BA$102,Assumptions!$B$3:$B$102,'Trucks-hdt'!$C9,Assumptions!$G$3:$G$102,{"TRH","TRM"}))</f>
        <v>0</v>
      </c>
      <c r="R9" s="2" cm="1">
        <f t="array" aca="1" ref="R9" ca="1">SUM(SUMIFS(Assumptions!BB$3:BB$102,Assumptions!$B$3:$B$102,'Trucks-hdt'!$C9,Assumptions!$G$3:$G$102,{"TRH","TRM"}))</f>
        <v>0</v>
      </c>
      <c r="S9" s="2" cm="1">
        <f t="array" aca="1" ref="S9" ca="1">SUM(SUMIFS(Assumptions!BC$3:BC$102,Assumptions!$B$3:$B$102,'Trucks-hdt'!$C9,Assumptions!$G$3:$G$102,{"TRH","TRM"}))</f>
        <v>0</v>
      </c>
      <c r="T9" s="2" cm="1">
        <f t="array" aca="1" ref="T9" ca="1">SUM(SUMIFS(Assumptions!BD$3:BD$102,Assumptions!$B$3:$B$102,'Trucks-hdt'!$C9,Assumptions!$G$3:$G$102,{"TRH","TRM"}))</f>
        <v>0</v>
      </c>
      <c r="U9" s="2" cm="1">
        <f t="array" aca="1" ref="U9" ca="1">SUM(SUMIFS(Assumptions!BE$3:BE$102,Assumptions!$B$3:$B$102,'Trucks-hdt'!$C9,Assumptions!$G$3:$G$102,{"TRH","TRM"}))</f>
        <v>0</v>
      </c>
      <c r="V9" s="2" cm="1">
        <f t="array" aca="1" ref="V9" ca="1">SUM(SUMIFS(Assumptions!BF$3:BF$102,Assumptions!$B$3:$B$102,'Trucks-hdt'!$C9,Assumptions!$G$3:$G$102,{"TRH","TRM"}))</f>
        <v>0</v>
      </c>
      <c r="W9" s="2" cm="1">
        <f t="array" aca="1" ref="W9" ca="1">SUM(SUMIFS(Assumptions!BG$3:BG$102,Assumptions!$B$3:$B$102,'Trucks-hdt'!$C9,Assumptions!$G$3:$G$102,{"TRH","TRM"}))</f>
        <v>0</v>
      </c>
      <c r="X9" s="2" cm="1">
        <f t="array" aca="1" ref="X9" ca="1">SUM(SUMIFS(Assumptions!BH$3:BH$102,Assumptions!$B$3:$B$102,'Trucks-hdt'!$C9,Assumptions!$G$3:$G$102,{"TRH","TRM"}))</f>
        <v>0</v>
      </c>
      <c r="Y9" s="2" cm="1">
        <f t="array" aca="1" ref="Y9" ca="1">SUM(SUMIFS(Assumptions!BI$3:BI$102,Assumptions!$B$3:$B$102,'Trucks-hdt'!$C9,Assumptions!$G$3:$G$102,{"TRH","TRM"}))</f>
        <v>0</v>
      </c>
      <c r="Z9" s="2" cm="1">
        <f t="array" aca="1" ref="Z9" ca="1">SUM(SUMIFS(Assumptions!BJ$3:BJ$102,Assumptions!$B$3:$B$102,'Trucks-hdt'!$C9,Assumptions!$G$3:$G$102,{"TRH","TRM"}))</f>
        <v>0</v>
      </c>
      <c r="AA9" s="2" cm="1">
        <f t="array" aca="1" ref="AA9" ca="1">SUM(SUMIFS(Assumptions!BK$3:BK$102,Assumptions!$B$3:$B$102,'Trucks-hdt'!$C9,Assumptions!$G$3:$G$102,{"TRH","TRM"}))</f>
        <v>0</v>
      </c>
      <c r="AB9" s="2" cm="1">
        <f t="array" aca="1" ref="AB9" ca="1">SUM(SUMIFS(Assumptions!BL$3:BL$102,Assumptions!$B$3:$B$102,'Trucks-hdt'!$C9,Assumptions!$G$3:$G$102,{"TRH","TRM"}))</f>
        <v>0</v>
      </c>
      <c r="AC9" s="2" cm="1">
        <f t="array" aca="1" ref="AC9" ca="1">SUM(SUMIFS(Assumptions!BM$3:BM$102,Assumptions!$B$3:$B$102,'Trucks-hdt'!$C9,Assumptions!$G$3:$G$102,{"TRH","TRM"}))</f>
        <v>0</v>
      </c>
      <c r="AD9" s="2" cm="1">
        <f t="array" aca="1" ref="AD9" ca="1">SUM(SUMIFS(Assumptions!BN$3:BN$102,Assumptions!$B$3:$B$102,'Trucks-hdt'!$C9,Assumptions!$G$3:$G$102,{"TRH","TRM"}))</f>
        <v>0</v>
      </c>
      <c r="AE9" s="2" cm="1">
        <f t="array" aca="1" ref="AE9" ca="1">SUM(SUMIFS(Assumptions!BO$3:BO$102,Assumptions!$B$3:$B$102,'Trucks-hdt'!$C9,Assumptions!$G$3:$G$102,{"TRH","TRM"}))</f>
        <v>0</v>
      </c>
      <c r="AF9" s="2" cm="1">
        <f t="array" aca="1" ref="AF9" ca="1">SUM(SUMIFS(Assumptions!BP$3:BP$102,Assumptions!$B$3:$B$102,'Trucks-hdt'!$C9,Assumptions!$G$3:$G$102,{"TRH","TRM"}))</f>
        <v>0</v>
      </c>
      <c r="AG9" s="2" cm="1">
        <f t="array" aca="1" ref="AG9" ca="1">SUM(SUMIFS(Assumptions!BQ$3:BQ$102,Assumptions!$B$3:$B$102,'Trucks-hdt'!$C9,Assumptions!$G$3:$G$102,{"TRH","TRM"}))</f>
        <v>0</v>
      </c>
      <c r="AH9" s="53" t="str">
        <f t="shared" ca="1" si="2"/>
        <v>zero</v>
      </c>
      <c r="AI9" t="s">
        <v>169</v>
      </c>
      <c r="AK9" t="str">
        <f t="shared" si="0"/>
        <v/>
      </c>
      <c r="AL9" t="str">
        <f t="shared" si="1"/>
        <v/>
      </c>
      <c r="AN9" t="str">
        <f t="shared" si="3"/>
        <v>*</v>
      </c>
      <c r="AO9">
        <f t="shared" si="4"/>
        <v>0</v>
      </c>
      <c r="AQ9" t="s">
        <v>156</v>
      </c>
      <c r="AR9" t="s">
        <v>354</v>
      </c>
      <c r="AS9" t="s">
        <v>361</v>
      </c>
    </row>
    <row r="10" spans="1:45" x14ac:dyDescent="0.45">
      <c r="A10" t="s">
        <v>25</v>
      </c>
      <c r="C10" s="35" t="s">
        <v>38</v>
      </c>
      <c r="D10" s="2" cm="1">
        <f t="array" aca="1" ref="D10" ca="1">SUM(SUMIFS(Assumptions!AN$3:AN$102,Assumptions!$B$3:$B$102,'Trucks-hdt'!$C10,Assumptions!$G$3:$G$102,{"TRH","TRM"}))</f>
        <v>0</v>
      </c>
      <c r="E10" s="2" cm="1">
        <f t="array" aca="1" ref="E10" ca="1">SUM(SUMIFS(Assumptions!AO$3:AO$102,Assumptions!$B$3:$B$102,'Trucks-hdt'!$C10,Assumptions!$G$3:$G$102,{"TRH","TRM"}))</f>
        <v>0</v>
      </c>
      <c r="F10" s="2" cm="1">
        <f t="array" aca="1" ref="F10" ca="1">SUM(SUMIFS(Assumptions!AP$3:AP$102,Assumptions!$B$3:$B$102,'Trucks-hdt'!$C10,Assumptions!$G$3:$G$102,{"TRH","TRM"}))</f>
        <v>0</v>
      </c>
      <c r="G10" s="2" cm="1">
        <f t="array" aca="1" ref="G10" ca="1">SUM(SUMIFS(Assumptions!AQ$3:AQ$102,Assumptions!$B$3:$B$102,'Trucks-hdt'!$C10,Assumptions!$G$3:$G$102,{"TRH","TRM"}))</f>
        <v>0</v>
      </c>
      <c r="H10" s="2" cm="1">
        <f t="array" aca="1" ref="H10" ca="1">SUM(SUMIFS(Assumptions!AR$3:AR$102,Assumptions!$B$3:$B$102,'Trucks-hdt'!$C10,Assumptions!$G$3:$G$102,{"TRH","TRM"}))</f>
        <v>0</v>
      </c>
      <c r="I10" s="2" cm="1">
        <f t="array" aca="1" ref="I10" ca="1">SUM(SUMIFS(Assumptions!AS$3:AS$102,Assumptions!$B$3:$B$102,'Trucks-hdt'!$C10,Assumptions!$G$3:$G$102,{"TRH","TRM"}))</f>
        <v>0</v>
      </c>
      <c r="J10" s="2" cm="1">
        <f t="array" aca="1" ref="J10" ca="1">SUM(SUMIFS(Assumptions!AT$3:AT$102,Assumptions!$B$3:$B$102,'Trucks-hdt'!$C10,Assumptions!$G$3:$G$102,{"TRH","TRM"}))</f>
        <v>0</v>
      </c>
      <c r="K10" s="2" cm="1">
        <f t="array" aca="1" ref="K10" ca="1">SUM(SUMIFS(Assumptions!AU$3:AU$102,Assumptions!$B$3:$B$102,'Trucks-hdt'!$C10,Assumptions!$G$3:$G$102,{"TRH","TRM"}))</f>
        <v>0</v>
      </c>
      <c r="L10" s="2" cm="1">
        <f t="array" aca="1" ref="L10" ca="1">SUM(SUMIFS(Assumptions!AV$3:AV$102,Assumptions!$B$3:$B$102,'Trucks-hdt'!$C10,Assumptions!$G$3:$G$102,{"TRH","TRM"}))</f>
        <v>0</v>
      </c>
      <c r="M10" s="2" cm="1">
        <f t="array" aca="1" ref="M10" ca="1">SUM(SUMIFS(Assumptions!AW$3:AW$102,Assumptions!$B$3:$B$102,'Trucks-hdt'!$C10,Assumptions!$G$3:$G$102,{"TRH","TRM"}))</f>
        <v>0</v>
      </c>
      <c r="N10" s="2" cm="1">
        <f t="array" aca="1" ref="N10" ca="1">SUM(SUMIFS(Assumptions!AX$3:AX$102,Assumptions!$B$3:$B$102,'Trucks-hdt'!$C10,Assumptions!$G$3:$G$102,{"TRH","TRM"}))</f>
        <v>0</v>
      </c>
      <c r="O10" s="2" cm="1">
        <f t="array" aca="1" ref="O10" ca="1">SUM(SUMIFS(Assumptions!AY$3:AY$102,Assumptions!$B$3:$B$102,'Trucks-hdt'!$C10,Assumptions!$G$3:$G$102,{"TRH","TRM"}))</f>
        <v>0</v>
      </c>
      <c r="P10" s="2" cm="1">
        <f t="array" aca="1" ref="P10" ca="1">SUM(SUMIFS(Assumptions!AZ$3:AZ$102,Assumptions!$B$3:$B$102,'Trucks-hdt'!$C10,Assumptions!$G$3:$G$102,{"TRH","TRM"}))</f>
        <v>0</v>
      </c>
      <c r="Q10" s="2" cm="1">
        <f t="array" aca="1" ref="Q10" ca="1">SUM(SUMIFS(Assumptions!BA$3:BA$102,Assumptions!$B$3:$B$102,'Trucks-hdt'!$C10,Assumptions!$G$3:$G$102,{"TRH","TRM"}))</f>
        <v>0</v>
      </c>
      <c r="R10" s="2" cm="1">
        <f t="array" aca="1" ref="R10" ca="1">SUM(SUMIFS(Assumptions!BB$3:BB$102,Assumptions!$B$3:$B$102,'Trucks-hdt'!$C10,Assumptions!$G$3:$G$102,{"TRH","TRM"}))</f>
        <v>0</v>
      </c>
      <c r="S10" s="2" cm="1">
        <f t="array" aca="1" ref="S10" ca="1">SUM(SUMIFS(Assumptions!BC$3:BC$102,Assumptions!$B$3:$B$102,'Trucks-hdt'!$C10,Assumptions!$G$3:$G$102,{"TRH","TRM"}))</f>
        <v>0</v>
      </c>
      <c r="T10" s="2" cm="1">
        <f t="array" aca="1" ref="T10" ca="1">SUM(SUMIFS(Assumptions!BD$3:BD$102,Assumptions!$B$3:$B$102,'Trucks-hdt'!$C10,Assumptions!$G$3:$G$102,{"TRH","TRM"}))</f>
        <v>0</v>
      </c>
      <c r="U10" s="2" cm="1">
        <f t="array" aca="1" ref="U10" ca="1">SUM(SUMIFS(Assumptions!BE$3:BE$102,Assumptions!$B$3:$B$102,'Trucks-hdt'!$C10,Assumptions!$G$3:$G$102,{"TRH","TRM"}))</f>
        <v>0</v>
      </c>
      <c r="V10" s="2" cm="1">
        <f t="array" aca="1" ref="V10" ca="1">SUM(SUMIFS(Assumptions!BF$3:BF$102,Assumptions!$B$3:$B$102,'Trucks-hdt'!$C10,Assumptions!$G$3:$G$102,{"TRH","TRM"}))</f>
        <v>0</v>
      </c>
      <c r="W10" s="2" cm="1">
        <f t="array" aca="1" ref="W10" ca="1">SUM(SUMIFS(Assumptions!BG$3:BG$102,Assumptions!$B$3:$B$102,'Trucks-hdt'!$C10,Assumptions!$G$3:$G$102,{"TRH","TRM"}))</f>
        <v>0</v>
      </c>
      <c r="X10" s="2" cm="1">
        <f t="array" aca="1" ref="X10" ca="1">SUM(SUMIFS(Assumptions!BH$3:BH$102,Assumptions!$B$3:$B$102,'Trucks-hdt'!$C10,Assumptions!$G$3:$G$102,{"TRH","TRM"}))</f>
        <v>0</v>
      </c>
      <c r="Y10" s="2" cm="1">
        <f t="array" aca="1" ref="Y10" ca="1">SUM(SUMIFS(Assumptions!BI$3:BI$102,Assumptions!$B$3:$B$102,'Trucks-hdt'!$C10,Assumptions!$G$3:$G$102,{"TRH","TRM"}))</f>
        <v>0</v>
      </c>
      <c r="Z10" s="2" cm="1">
        <f t="array" aca="1" ref="Z10" ca="1">SUM(SUMIFS(Assumptions!BJ$3:BJ$102,Assumptions!$B$3:$B$102,'Trucks-hdt'!$C10,Assumptions!$G$3:$G$102,{"TRH","TRM"}))</f>
        <v>0</v>
      </c>
      <c r="AA10" s="2" cm="1">
        <f t="array" aca="1" ref="AA10" ca="1">SUM(SUMIFS(Assumptions!BK$3:BK$102,Assumptions!$B$3:$B$102,'Trucks-hdt'!$C10,Assumptions!$G$3:$G$102,{"TRH","TRM"}))</f>
        <v>0</v>
      </c>
      <c r="AB10" s="2" cm="1">
        <f t="array" aca="1" ref="AB10" ca="1">SUM(SUMIFS(Assumptions!BL$3:BL$102,Assumptions!$B$3:$B$102,'Trucks-hdt'!$C10,Assumptions!$G$3:$G$102,{"TRH","TRM"}))</f>
        <v>0</v>
      </c>
      <c r="AC10" s="2" cm="1">
        <f t="array" aca="1" ref="AC10" ca="1">SUM(SUMIFS(Assumptions!BM$3:BM$102,Assumptions!$B$3:$B$102,'Trucks-hdt'!$C10,Assumptions!$G$3:$G$102,{"TRH","TRM"}))</f>
        <v>0</v>
      </c>
      <c r="AD10" s="2" cm="1">
        <f t="array" aca="1" ref="AD10" ca="1">SUM(SUMIFS(Assumptions!BN$3:BN$102,Assumptions!$B$3:$B$102,'Trucks-hdt'!$C10,Assumptions!$G$3:$G$102,{"TRH","TRM"}))</f>
        <v>0</v>
      </c>
      <c r="AE10" s="2" cm="1">
        <f t="array" aca="1" ref="AE10" ca="1">SUM(SUMIFS(Assumptions!BO$3:BO$102,Assumptions!$B$3:$B$102,'Trucks-hdt'!$C10,Assumptions!$G$3:$G$102,{"TRH","TRM"}))</f>
        <v>0</v>
      </c>
      <c r="AF10" s="2" cm="1">
        <f t="array" aca="1" ref="AF10" ca="1">SUM(SUMIFS(Assumptions!BP$3:BP$102,Assumptions!$B$3:$B$102,'Trucks-hdt'!$C10,Assumptions!$G$3:$G$102,{"TRH","TRM"}))</f>
        <v>0</v>
      </c>
      <c r="AG10" s="2" cm="1">
        <f t="array" aca="1" ref="AG10" ca="1">SUM(SUMIFS(Assumptions!BQ$3:BQ$102,Assumptions!$B$3:$B$102,'Trucks-hdt'!$C10,Assumptions!$G$3:$G$102,{"TRH","TRM"}))</f>
        <v>0</v>
      </c>
      <c r="AH10" s="53" t="str">
        <f t="shared" ca="1" si="2"/>
        <v>zero</v>
      </c>
      <c r="AI10" t="s">
        <v>169</v>
      </c>
      <c r="AK10" t="str">
        <f t="shared" si="0"/>
        <v/>
      </c>
      <c r="AL10" t="str">
        <f t="shared" si="1"/>
        <v/>
      </c>
      <c r="AN10" t="str">
        <f t="shared" si="3"/>
        <v>*</v>
      </c>
      <c r="AO10">
        <f t="shared" si="4"/>
        <v>0</v>
      </c>
      <c r="AQ10" t="s">
        <v>156</v>
      </c>
      <c r="AR10" t="s">
        <v>354</v>
      </c>
      <c r="AS10" t="s">
        <v>361</v>
      </c>
    </row>
    <row r="11" spans="1:45" x14ac:dyDescent="0.45">
      <c r="A11" s="3" t="s">
        <v>327</v>
      </c>
      <c r="B11" s="3"/>
      <c r="D11" s="42">
        <f ca="1">SUM(D$4:D$10)/SUM($D$4:$T$10)</f>
        <v>3.6871345664701141E-2</v>
      </c>
      <c r="E11" s="42">
        <f t="shared" ref="E11:AG11" ca="1" si="5">SUM(E$4:E$10)/SUM($D$4:$T$10)</f>
        <v>3.2766734591896989E-2</v>
      </c>
      <c r="F11" s="42">
        <f t="shared" ca="1" si="5"/>
        <v>3.2515768812730439E-2</v>
      </c>
      <c r="G11" s="42">
        <f t="shared" ca="1" si="5"/>
        <v>1.6277226590528715E-2</v>
      </c>
      <c r="H11" s="42">
        <f t="shared" ca="1" si="5"/>
        <v>0.10843690252630987</v>
      </c>
      <c r="I11" s="42">
        <f t="shared" ca="1" si="5"/>
        <v>0.17478720119311231</v>
      </c>
      <c r="J11" s="42">
        <f t="shared" ca="1" si="5"/>
        <v>3.5211770951026247E-2</v>
      </c>
      <c r="K11" s="42">
        <f t="shared" ca="1" si="5"/>
        <v>0.12990761584272983</v>
      </c>
      <c r="L11" s="42">
        <f t="shared" ca="1" si="5"/>
        <v>4.5670055458512632E-2</v>
      </c>
      <c r="M11" s="42">
        <f t="shared" ca="1" si="5"/>
        <v>0.16711161381719228</v>
      </c>
      <c r="N11" s="42">
        <f t="shared" ca="1" si="5"/>
        <v>1.0130857086778538E-2</v>
      </c>
      <c r="O11" s="42">
        <f t="shared" ca="1" si="5"/>
        <v>3.7789161204829821E-2</v>
      </c>
      <c r="P11" s="42">
        <f t="shared" ca="1" si="5"/>
        <v>1.838612503614704E-2</v>
      </c>
      <c r="Q11" s="42">
        <f t="shared" ca="1" si="5"/>
        <v>2.7559522019398517E-2</v>
      </c>
      <c r="R11" s="42">
        <f t="shared" ca="1" si="5"/>
        <v>1.6102798991191616E-2</v>
      </c>
      <c r="S11" s="42">
        <f t="shared" ca="1" si="5"/>
        <v>2.9502761126084551E-2</v>
      </c>
      <c r="T11" s="42">
        <f t="shared" ca="1" si="5"/>
        <v>8.0972539086829637E-2</v>
      </c>
      <c r="U11" s="42">
        <f t="shared" ca="1" si="5"/>
        <v>3.5783303072568794E-2</v>
      </c>
      <c r="V11" s="42">
        <f t="shared" ca="1" si="5"/>
        <v>3.7743571142827149E-2</v>
      </c>
      <c r="W11" s="42">
        <f t="shared" ca="1" si="5"/>
        <v>7.4766000674087174E-2</v>
      </c>
      <c r="X11" s="42">
        <f t="shared" ca="1" si="5"/>
        <v>6.6137427330889176E-2</v>
      </c>
      <c r="Y11" s="42">
        <f t="shared" ca="1" si="5"/>
        <v>2.791206150947129E-2</v>
      </c>
      <c r="Z11" s="42">
        <f t="shared" ca="1" si="5"/>
        <v>0.10305320474472426</v>
      </c>
      <c r="AA11" s="42">
        <f t="shared" ca="1" si="5"/>
        <v>2.9430664424800411E-3</v>
      </c>
      <c r="AB11" s="42">
        <f t="shared" ca="1" si="5"/>
        <v>5.3027383390856421E-2</v>
      </c>
      <c r="AC11" s="42">
        <f t="shared" ca="1" si="5"/>
        <v>5.5834713525387568E-2</v>
      </c>
      <c r="AD11" s="42">
        <f t="shared" ca="1" si="5"/>
        <v>1.1509754502874399E-2</v>
      </c>
      <c r="AE11" s="42">
        <f t="shared" ca="1" si="5"/>
        <v>2.7576127715297657E-2</v>
      </c>
      <c r="AF11" s="42">
        <f t="shared" ca="1" si="5"/>
        <v>0.46955556169270929</v>
      </c>
      <c r="AG11" s="42">
        <f t="shared" ca="1" si="5"/>
        <v>0</v>
      </c>
      <c r="AI11" t="s">
        <v>169</v>
      </c>
      <c r="AK11" t="str">
        <f t="shared" si="0"/>
        <v/>
      </c>
      <c r="AL11" t="str">
        <f t="shared" si="1"/>
        <v/>
      </c>
      <c r="AN11" t="str">
        <f t="shared" si="3"/>
        <v>*</v>
      </c>
      <c r="AO11">
        <f t="shared" si="4"/>
        <v>0</v>
      </c>
      <c r="AQ11" t="s">
        <v>156</v>
      </c>
      <c r="AR11" t="s">
        <v>354</v>
      </c>
      <c r="AS11" t="s">
        <v>361</v>
      </c>
    </row>
    <row r="12" spans="1:45" x14ac:dyDescent="0.45">
      <c r="C12" s="52"/>
      <c r="AI12" t="s">
        <v>169</v>
      </c>
      <c r="AK12" t="str">
        <f t="shared" si="0"/>
        <v/>
      </c>
      <c r="AL12" t="str">
        <f t="shared" si="1"/>
        <v/>
      </c>
      <c r="AN12" t="str">
        <f t="shared" si="3"/>
        <v>*</v>
      </c>
      <c r="AO12">
        <f t="shared" si="4"/>
        <v>0</v>
      </c>
      <c r="AQ12" t="s">
        <v>156</v>
      </c>
      <c r="AR12" t="s">
        <v>354</v>
      </c>
      <c r="AS12" t="s">
        <v>361</v>
      </c>
    </row>
    <row r="13" spans="1:45" x14ac:dyDescent="0.45">
      <c r="A13" s="3" t="s">
        <v>328</v>
      </c>
      <c r="B13" s="3"/>
      <c r="C13" s="52">
        <f ca="1">SUM(D13:AG13)</f>
        <v>66.95</v>
      </c>
      <c r="D13" s="1">
        <f ca="1">SUM(D19:D25)</f>
        <v>1.26</v>
      </c>
      <c r="E13" s="1">
        <f t="shared" ref="E13:AG13" ca="1" si="6">SUM(E19:E25)</f>
        <v>1.1200000000000001</v>
      </c>
      <c r="F13" s="1">
        <f t="shared" ca="1" si="6"/>
        <v>1.1000000000000001</v>
      </c>
      <c r="G13" s="1">
        <f t="shared" ca="1" si="6"/>
        <v>0.56000000000000005</v>
      </c>
      <c r="H13" s="1">
        <f t="shared" ca="1" si="6"/>
        <v>3.69</v>
      </c>
      <c r="I13" s="1">
        <f t="shared" ca="1" si="6"/>
        <v>5.96</v>
      </c>
      <c r="J13" s="1">
        <f t="shared" ca="1" si="6"/>
        <v>1.2</v>
      </c>
      <c r="K13" s="1">
        <f t="shared" ca="1" si="6"/>
        <v>4.43</v>
      </c>
      <c r="L13" s="1">
        <f t="shared" ca="1" si="6"/>
        <v>1.56</v>
      </c>
      <c r="M13" s="1">
        <f t="shared" ca="1" si="6"/>
        <v>5.6899999999999995</v>
      </c>
      <c r="N13" s="1">
        <f t="shared" ca="1" si="6"/>
        <v>0.34</v>
      </c>
      <c r="O13" s="1">
        <f t="shared" ca="1" si="6"/>
        <v>1.28</v>
      </c>
      <c r="P13" s="1">
        <f t="shared" ca="1" si="6"/>
        <v>0.63</v>
      </c>
      <c r="Q13" s="1">
        <f t="shared" ca="1" si="6"/>
        <v>0.94000000000000006</v>
      </c>
      <c r="R13" s="1">
        <f t="shared" ca="1" si="6"/>
        <v>0.55000000000000004</v>
      </c>
      <c r="S13" s="1">
        <f t="shared" ca="1" si="6"/>
        <v>1</v>
      </c>
      <c r="T13" s="1">
        <f t="shared" ca="1" si="6"/>
        <v>2.76</v>
      </c>
      <c r="U13" s="1">
        <f t="shared" ca="1" si="6"/>
        <v>1.22</v>
      </c>
      <c r="V13" s="1">
        <f t="shared" ca="1" si="6"/>
        <v>1.29</v>
      </c>
      <c r="W13" s="1">
        <f t="shared" ca="1" si="6"/>
        <v>2.54</v>
      </c>
      <c r="X13" s="1">
        <f t="shared" ca="1" si="6"/>
        <v>2.2499999999999996</v>
      </c>
      <c r="Y13" s="1">
        <f t="shared" ca="1" si="6"/>
        <v>0.95000000000000007</v>
      </c>
      <c r="Z13" s="1">
        <f t="shared" ca="1" si="6"/>
        <v>3.51</v>
      </c>
      <c r="AA13" s="1">
        <f t="shared" ca="1" si="6"/>
        <v>0.1</v>
      </c>
      <c r="AB13" s="1">
        <f t="shared" ca="1" si="6"/>
        <v>1.81</v>
      </c>
      <c r="AC13" s="1">
        <f t="shared" ca="1" si="6"/>
        <v>1.9000000000000001</v>
      </c>
      <c r="AD13" s="1">
        <f t="shared" ca="1" si="6"/>
        <v>0.39</v>
      </c>
      <c r="AE13" s="1">
        <f t="shared" ca="1" si="6"/>
        <v>0.94000000000000006</v>
      </c>
      <c r="AF13" s="1">
        <f t="shared" ca="1" si="6"/>
        <v>15.98</v>
      </c>
      <c r="AG13" s="1">
        <f t="shared" ca="1" si="6"/>
        <v>0</v>
      </c>
      <c r="AI13" t="s">
        <v>169</v>
      </c>
      <c r="AK13" t="str">
        <f t="shared" si="0"/>
        <v/>
      </c>
      <c r="AL13" t="str">
        <f t="shared" si="1"/>
        <v/>
      </c>
      <c r="AN13" t="str">
        <f t="shared" si="3"/>
        <v>*</v>
      </c>
      <c r="AO13">
        <f t="shared" si="4"/>
        <v>0</v>
      </c>
      <c r="AQ13" t="s">
        <v>156</v>
      </c>
      <c r="AR13" t="s">
        <v>354</v>
      </c>
      <c r="AS13" t="s">
        <v>361</v>
      </c>
    </row>
    <row r="14" spans="1:45" x14ac:dyDescent="0.45">
      <c r="A14" s="3" t="s">
        <v>329</v>
      </c>
      <c r="B14" s="3"/>
      <c r="D14" s="42">
        <f ca="1">D13/SUM($D$13:$T$13)</f>
        <v>3.6982682712063397E-2</v>
      </c>
      <c r="E14" s="42">
        <f t="shared" ref="E14:T14" ca="1" si="7">E13/SUM($D$13:$T$13)</f>
        <v>3.2873495744056361E-2</v>
      </c>
      <c r="F14" s="42">
        <f t="shared" ca="1" si="7"/>
        <v>3.2286469034341063E-2</v>
      </c>
      <c r="G14" s="42">
        <f t="shared" ca="1" si="7"/>
        <v>1.643674787202818E-2</v>
      </c>
      <c r="H14" s="42">
        <f t="shared" ca="1" si="7"/>
        <v>0.10830642794247138</v>
      </c>
      <c r="I14" s="42">
        <f t="shared" ca="1" si="7"/>
        <v>0.17493395949515703</v>
      </c>
      <c r="J14" s="42">
        <f t="shared" ca="1" si="7"/>
        <v>3.5221602582917524E-2</v>
      </c>
      <c r="K14" s="42">
        <f t="shared" ca="1" si="7"/>
        <v>0.13002641620193717</v>
      </c>
      <c r="L14" s="42">
        <f t="shared" ca="1" si="7"/>
        <v>4.5788083357792782E-2</v>
      </c>
      <c r="M14" s="42">
        <f t="shared" ca="1" si="7"/>
        <v>0.16700909891400056</v>
      </c>
      <c r="N14" s="42">
        <f t="shared" ca="1" si="7"/>
        <v>9.9794540651599647E-3</v>
      </c>
      <c r="O14" s="42">
        <f t="shared" ca="1" si="7"/>
        <v>3.7569709421778688E-2</v>
      </c>
      <c r="P14" s="42">
        <f t="shared" ca="1" si="7"/>
        <v>1.8491341356031699E-2</v>
      </c>
      <c r="Q14" s="42">
        <f t="shared" ref="Q14" ca="1" si="8">Q13/SUM($D$13:$T$13)</f>
        <v>2.7590255356618729E-2</v>
      </c>
      <c r="R14" s="42">
        <f t="shared" ca="1" si="7"/>
        <v>1.6143234517170531E-2</v>
      </c>
      <c r="S14" s="42">
        <f t="shared" ca="1" si="7"/>
        <v>2.9351335485764601E-2</v>
      </c>
      <c r="T14" s="42">
        <f t="shared" ca="1" si="7"/>
        <v>8.1009685940710299E-2</v>
      </c>
      <c r="U14" s="42">
        <f t="shared" ref="U14:AG14" ca="1" si="9">U13/SUM($D$13:$T$13)</f>
        <v>3.5808629292632815E-2</v>
      </c>
      <c r="V14" s="42">
        <f t="shared" ref="V14" ca="1" si="10">V13/SUM($D$13:$T$13)</f>
        <v>3.7863222776636341E-2</v>
      </c>
      <c r="W14" s="42">
        <f t="shared" ca="1" si="9"/>
        <v>7.4552392133842085E-2</v>
      </c>
      <c r="X14" s="42">
        <f t="shared" ca="1" si="9"/>
        <v>6.6040504842970346E-2</v>
      </c>
      <c r="Y14" s="42">
        <f t="shared" ca="1" si="9"/>
        <v>2.7883768711476374E-2</v>
      </c>
      <c r="Z14" s="42">
        <f t="shared" ca="1" si="9"/>
        <v>0.10302318755503374</v>
      </c>
      <c r="AA14" s="42">
        <f t="shared" ca="1" si="9"/>
        <v>2.9351335485764602E-3</v>
      </c>
      <c r="AB14" s="42">
        <f t="shared" ca="1" si="9"/>
        <v>5.3125917229233932E-2</v>
      </c>
      <c r="AC14" s="42">
        <f t="shared" ca="1" si="9"/>
        <v>5.5767537422952748E-2</v>
      </c>
      <c r="AD14" s="42">
        <f t="shared" ca="1" si="9"/>
        <v>1.1447020839448195E-2</v>
      </c>
      <c r="AE14" s="42">
        <f t="shared" ca="1" si="9"/>
        <v>2.7590255356618729E-2</v>
      </c>
      <c r="AF14" s="42">
        <f t="shared" ca="1" si="9"/>
        <v>0.46903434106251835</v>
      </c>
      <c r="AG14" s="42">
        <f t="shared" ca="1" si="9"/>
        <v>0</v>
      </c>
      <c r="AI14" t="s">
        <v>169</v>
      </c>
      <c r="AK14" t="str">
        <f t="shared" si="0"/>
        <v/>
      </c>
      <c r="AL14" t="str">
        <f t="shared" si="1"/>
        <v/>
      </c>
      <c r="AN14" t="str">
        <f t="shared" si="3"/>
        <v>*</v>
      </c>
      <c r="AO14">
        <f t="shared" si="4"/>
        <v>0</v>
      </c>
      <c r="AQ14" t="s">
        <v>156</v>
      </c>
      <c r="AR14" t="s">
        <v>354</v>
      </c>
      <c r="AS14" t="s">
        <v>361</v>
      </c>
    </row>
    <row r="15" spans="1:45" x14ac:dyDescent="0.45">
      <c r="A15" s="3"/>
      <c r="B15" s="3"/>
      <c r="D15" s="42">
        <f ca="1">D13/'non-road'!BV21</f>
        <v>6.3512850388675957E-3</v>
      </c>
      <c r="E15" s="42">
        <f ca="1">E13/'non-road'!BW21</f>
        <v>1.0774559773253239E-3</v>
      </c>
      <c r="F15" s="42">
        <f ca="1">F13/'non-road'!BX21</f>
        <v>1.721690324256895E-2</v>
      </c>
      <c r="G15" s="42">
        <f ca="1">G13/'non-road'!BY21</f>
        <v>6.1867788535898789E-3</v>
      </c>
      <c r="H15" s="42">
        <f ca="1">H13/'non-road'!BZ21</f>
        <v>2.0733353898123381E-2</v>
      </c>
      <c r="I15" s="42">
        <f ca="1">I13/'non-road'!CA21</f>
        <v>4.9804550522038029E-3</v>
      </c>
      <c r="J15" s="42">
        <f ca="1">J13/'non-road'!CB21</f>
        <v>3.9545229856648545E-2</v>
      </c>
      <c r="K15" s="42">
        <f ca="1">K13/'non-road'!CC21</f>
        <v>2.099028666192845E-2</v>
      </c>
      <c r="L15" s="42">
        <f ca="1">L13/'non-road'!CD21</f>
        <v>4.14966456878069E-2</v>
      </c>
      <c r="M15" s="42">
        <f ca="1">M13/'non-road'!CE21</f>
        <v>4.0491667042643767E-3</v>
      </c>
      <c r="N15" s="42">
        <f ca="1">N13/'non-road'!CF21</f>
        <v>1.5729868197583801E-2</v>
      </c>
      <c r="O15" s="42">
        <f ca="1">O13/'non-road'!CG21</f>
        <v>1.8549022966443802E-2</v>
      </c>
      <c r="P15" s="42">
        <f ca="1">P13/'non-road'!CH21</f>
        <v>1.8320215913340841E-2</v>
      </c>
      <c r="Q15" s="42">
        <f ca="1">Q13/'non-road'!CI21</f>
        <v>1.3022071162440965E-2</v>
      </c>
      <c r="R15" s="42">
        <f ca="1">R13/'non-road'!CJ21</f>
        <v>1.3010933442215133E-2</v>
      </c>
      <c r="S15" s="42">
        <f ca="1">S13/'non-road'!CK21</f>
        <v>1.7415595317294731E-2</v>
      </c>
      <c r="T15" s="42">
        <f ca="1">T13/'non-road'!CL21</f>
        <v>1.6745789463844713E-2</v>
      </c>
      <c r="U15" s="42">
        <f ca="1">U13/'non-road'!CM21</f>
        <v>1.7825672326682421E-2</v>
      </c>
      <c r="V15" s="42">
        <f ca="1">V13/'non-road'!CN21</f>
        <v>1.5524773446620052E-2</v>
      </c>
      <c r="W15" s="42">
        <f ca="1">W13/'non-road'!CO21</f>
        <v>1.8588720891087659E-3</v>
      </c>
      <c r="X15" s="42">
        <f ca="1">X13/'non-road'!CP21</f>
        <v>9.1782382459430854E-3</v>
      </c>
      <c r="Y15" s="42">
        <f ca="1">Y13/'non-road'!CQ21</f>
        <v>7.4465416692794896E-3</v>
      </c>
      <c r="Z15" s="42">
        <f ca="1">Z13/'non-road'!CR21</f>
        <v>1.5769734913451787E-2</v>
      </c>
      <c r="AA15" s="42">
        <f ca="1">AA13/'non-road'!CS21</f>
        <v>1.7517850251459983E-2</v>
      </c>
      <c r="AB15" s="42">
        <f ca="1">AB13/'non-road'!CT21</f>
        <v>1.2534105231084581E-2</v>
      </c>
      <c r="AC15" s="42">
        <f ca="1">AC13/'non-road'!CU21</f>
        <v>5.5444504428265026E-2</v>
      </c>
      <c r="AD15" s="42">
        <f ca="1">AD13/'non-road'!CV21</f>
        <v>6.66002940659138E-3</v>
      </c>
      <c r="AE15" s="42">
        <f ca="1">AE13/'non-road'!CW21</f>
        <v>1.4055380507271561E-2</v>
      </c>
      <c r="AF15" s="42">
        <f ca="1">AF13/'non-road'!CX21</f>
        <v>4.8670544878628215E-2</v>
      </c>
      <c r="AG15" s="42" t="e">
        <f ca="1">AG13/'non-road'!CY21</f>
        <v>#DIV/0!</v>
      </c>
      <c r="AI15" t="s">
        <v>169</v>
      </c>
      <c r="AK15" t="str">
        <f t="shared" si="0"/>
        <v/>
      </c>
      <c r="AL15" t="str">
        <f t="shared" si="1"/>
        <v/>
      </c>
      <c r="AN15" t="str">
        <f t="shared" si="3"/>
        <v>*</v>
      </c>
      <c r="AO15">
        <f t="shared" si="4"/>
        <v>0</v>
      </c>
      <c r="AQ15" t="s">
        <v>156</v>
      </c>
      <c r="AR15" t="s">
        <v>354</v>
      </c>
      <c r="AS15" t="s">
        <v>361</v>
      </c>
    </row>
    <row r="16" spans="1:45" x14ac:dyDescent="0.45">
      <c r="AI16" t="s">
        <v>169</v>
      </c>
      <c r="AK16" t="str">
        <f t="shared" si="0"/>
        <v/>
      </c>
      <c r="AL16" t="str">
        <f t="shared" si="1"/>
        <v/>
      </c>
      <c r="AN16" t="str">
        <f t="shared" si="3"/>
        <v>*</v>
      </c>
      <c r="AO16">
        <f t="shared" si="4"/>
        <v>0</v>
      </c>
      <c r="AQ16" t="s">
        <v>156</v>
      </c>
      <c r="AR16" t="s">
        <v>354</v>
      </c>
      <c r="AS16" t="s">
        <v>361</v>
      </c>
    </row>
    <row r="17" spans="1:45" x14ac:dyDescent="0.45">
      <c r="A17" s="3" t="s">
        <v>330</v>
      </c>
      <c r="B17" s="3"/>
      <c r="D17" s="1">
        <f ca="1">D11/D14</f>
        <v>0.99698948158441902</v>
      </c>
      <c r="E17" s="1">
        <f t="shared" ref="E17:T17" ca="1" si="11">E11/E14</f>
        <v>0.99675236388029476</v>
      </c>
      <c r="F17" s="1">
        <f t="shared" ca="1" si="11"/>
        <v>1.007102039499751</v>
      </c>
      <c r="G17" s="1">
        <f t="shared" ca="1" si="11"/>
        <v>0.99029483917734507</v>
      </c>
      <c r="H17" s="1">
        <f t="shared" ca="1" si="11"/>
        <v>1.0012046799651431</v>
      </c>
      <c r="I17" s="1">
        <f t="shared" ca="1" si="11"/>
        <v>0.9991610645384793</v>
      </c>
      <c r="J17" s="1">
        <f t="shared" ca="1" si="11"/>
        <v>0.99972086358455348</v>
      </c>
      <c r="K17" s="1">
        <f t="shared" ca="1" si="11"/>
        <v>0.99908633674081404</v>
      </c>
      <c r="L17" s="1">
        <f t="shared" ca="1" si="11"/>
        <v>0.99742230094328543</v>
      </c>
      <c r="M17" s="1">
        <f t="shared" ca="1" si="11"/>
        <v>1.0006138282516241</v>
      </c>
      <c r="N17" s="1">
        <f t="shared" ca="1" si="11"/>
        <v>1.0151714733721906</v>
      </c>
      <c r="O17" s="1">
        <f t="shared" ca="1" si="11"/>
        <v>1.0058411892566814</v>
      </c>
      <c r="P17" s="1">
        <f t="shared" ca="1" si="11"/>
        <v>0.99430996822465023</v>
      </c>
      <c r="Q17" s="1">
        <f t="shared" ref="Q17" ca="1" si="12">Q11/Q14</f>
        <v>0.99888608000096535</v>
      </c>
      <c r="R17" s="1">
        <f t="shared" ca="1" si="11"/>
        <v>0.99749520296345162</v>
      </c>
      <c r="S17" s="1">
        <f t="shared" ca="1" si="11"/>
        <v>1.0051590715657006</v>
      </c>
      <c r="T17" s="1">
        <f t="shared" ca="1" si="11"/>
        <v>0.99954145169865427</v>
      </c>
      <c r="U17" s="1">
        <f t="shared" ref="U17:AG17" ca="1" si="13">U11/U14</f>
        <v>0.99929273416591702</v>
      </c>
      <c r="V17" s="1">
        <f t="shared" ca="1" si="13"/>
        <v>0.99683989832257436</v>
      </c>
      <c r="W17" s="1">
        <f t="shared" ca="1" si="13"/>
        <v>1.0028652137662009</v>
      </c>
      <c r="X17" s="1">
        <f t="shared" ca="1" si="13"/>
        <v>1.0014676218503975</v>
      </c>
      <c r="Y17" s="1">
        <f t="shared" ca="1" si="13"/>
        <v>1.0010146690817756</v>
      </c>
      <c r="Z17" s="1">
        <f t="shared" ca="1" si="13"/>
        <v>1.0002913634338337</v>
      </c>
      <c r="AA17" s="1">
        <f t="shared" ca="1" si="13"/>
        <v>1.00270273695295</v>
      </c>
      <c r="AB17" s="1">
        <f t="shared" ca="1" si="13"/>
        <v>0.99814527741794379</v>
      </c>
      <c r="AC17" s="1">
        <f t="shared" ca="1" si="13"/>
        <v>1.0012045735841866</v>
      </c>
      <c r="AD17" s="1">
        <f t="shared" ca="1" si="13"/>
        <v>1.0054803484946941</v>
      </c>
      <c r="AE17" s="1">
        <f t="shared" ca="1" si="13"/>
        <v>0.99948794814913944</v>
      </c>
      <c r="AF17" s="1">
        <f t="shared" ca="1" si="13"/>
        <v>1.001111263258486</v>
      </c>
      <c r="AG17" s="1" t="e">
        <f t="shared" ca="1" si="13"/>
        <v>#DIV/0!</v>
      </c>
      <c r="AI17" t="s">
        <v>169</v>
      </c>
      <c r="AK17" t="str">
        <f t="shared" si="0"/>
        <v/>
      </c>
      <c r="AL17" t="str">
        <f t="shared" si="1"/>
        <v/>
      </c>
      <c r="AN17" t="str">
        <f t="shared" si="3"/>
        <v>*</v>
      </c>
      <c r="AO17">
        <f t="shared" si="4"/>
        <v>0</v>
      </c>
      <c r="AQ17" t="s">
        <v>156</v>
      </c>
      <c r="AR17" t="s">
        <v>354</v>
      </c>
      <c r="AS17" t="s">
        <v>361</v>
      </c>
    </row>
    <row r="18" spans="1:45" x14ac:dyDescent="0.45">
      <c r="AI18" t="s">
        <v>169</v>
      </c>
      <c r="AK18" t="str">
        <f t="shared" si="0"/>
        <v/>
      </c>
      <c r="AL18" t="str">
        <f t="shared" si="1"/>
        <v/>
      </c>
      <c r="AN18" t="str">
        <f t="shared" si="3"/>
        <v>*</v>
      </c>
      <c r="AO18">
        <f t="shared" si="4"/>
        <v>0</v>
      </c>
      <c r="AQ18" t="s">
        <v>156</v>
      </c>
      <c r="AR18" t="s">
        <v>354</v>
      </c>
      <c r="AS18" t="s">
        <v>361</v>
      </c>
    </row>
    <row r="19" spans="1:45" x14ac:dyDescent="0.45">
      <c r="A19" t="s">
        <v>320</v>
      </c>
      <c r="C19" t="str">
        <f t="shared" ref="C19:C25" si="14">C4</f>
        <v>TRABDS</v>
      </c>
      <c r="D19" s="40">
        <f t="shared" ref="D19:AG25" ca="1" si="15">ROUND(D4*D28/D36,2)</f>
        <v>0</v>
      </c>
      <c r="E19" s="40">
        <f t="shared" ca="1" si="15"/>
        <v>0</v>
      </c>
      <c r="F19" s="40">
        <f t="shared" ca="1" si="15"/>
        <v>0.09</v>
      </c>
      <c r="G19" s="40">
        <f t="shared" ca="1" si="15"/>
        <v>0</v>
      </c>
      <c r="H19" s="40">
        <f t="shared" ca="1" si="15"/>
        <v>0.06</v>
      </c>
      <c r="I19" s="40">
        <f t="shared" ca="1" si="15"/>
        <v>0.5</v>
      </c>
      <c r="J19" s="40">
        <f t="shared" ca="1" si="15"/>
        <v>0</v>
      </c>
      <c r="K19" s="40">
        <f t="shared" ca="1" si="15"/>
        <v>1.35</v>
      </c>
      <c r="L19" s="40">
        <f t="shared" ca="1" si="15"/>
        <v>0.05</v>
      </c>
      <c r="M19" s="40">
        <f t="shared" ca="1" si="15"/>
        <v>0.05</v>
      </c>
      <c r="N19" s="40">
        <f t="shared" ca="1" si="15"/>
        <v>0.06</v>
      </c>
      <c r="O19" s="40">
        <f t="shared" ca="1" si="15"/>
        <v>7.0000000000000007E-2</v>
      </c>
      <c r="P19" s="40">
        <f t="shared" ca="1" si="15"/>
        <v>0.04</v>
      </c>
      <c r="Q19" s="40">
        <f t="shared" ca="1" si="15"/>
        <v>0.05</v>
      </c>
      <c r="R19" s="40">
        <f t="shared" ca="1" si="15"/>
        <v>0.03</v>
      </c>
      <c r="S19" s="40">
        <f t="shared" ca="1" si="15"/>
        <v>0.06</v>
      </c>
      <c r="T19" s="40">
        <f t="shared" ca="1" si="15"/>
        <v>0.03</v>
      </c>
      <c r="U19" s="40">
        <f t="shared" ca="1" si="15"/>
        <v>0.09</v>
      </c>
      <c r="V19" s="40">
        <f t="shared" ca="1" si="15"/>
        <v>7.0000000000000007E-2</v>
      </c>
      <c r="W19" s="40">
        <f t="shared" ca="1" si="15"/>
        <v>0</v>
      </c>
      <c r="X19" s="40">
        <f t="shared" ca="1" si="15"/>
        <v>7.0000000000000007E-2</v>
      </c>
      <c r="Y19" s="40">
        <f t="shared" ca="1" si="15"/>
        <v>0</v>
      </c>
      <c r="Z19" s="40">
        <f t="shared" ca="1" si="15"/>
        <v>0</v>
      </c>
      <c r="AA19" s="40">
        <f t="shared" ca="1" si="15"/>
        <v>0.02</v>
      </c>
      <c r="AB19" s="40">
        <f t="shared" ca="1" si="15"/>
        <v>0</v>
      </c>
      <c r="AC19" s="40">
        <f t="shared" ca="1" si="15"/>
        <v>0</v>
      </c>
      <c r="AD19" s="40">
        <f t="shared" ca="1" si="15"/>
        <v>0</v>
      </c>
      <c r="AE19" s="40">
        <f t="shared" ca="1" si="15"/>
        <v>0.05</v>
      </c>
      <c r="AF19" s="40">
        <f t="shared" ca="1" si="15"/>
        <v>0.45</v>
      </c>
      <c r="AG19" s="40">
        <f t="shared" ca="1" si="15"/>
        <v>0</v>
      </c>
      <c r="AI19" t="s">
        <v>360</v>
      </c>
      <c r="AJ19" t="str">
        <f ca="1">IF(AH4="zero","\I:",$AK$45&amp;"_"&amp;VLOOKUP(C19,'TRA balance'!$AL$5:$AM$15,2,FALSE))</f>
        <v>Trd_hdt_bdl</v>
      </c>
      <c r="AK19" t="str">
        <f t="shared" ca="1" si="0"/>
        <v>Trd_hdt</v>
      </c>
      <c r="AL19">
        <f t="shared" ca="1" si="1"/>
        <v>25</v>
      </c>
      <c r="AN19" t="str">
        <f t="shared" ca="1" si="3"/>
        <v>DMD</v>
      </c>
      <c r="AO19" t="str">
        <f t="shared" ca="1" si="4"/>
        <v>Trd_hdt_bdl</v>
      </c>
      <c r="AQ19" t="s">
        <v>156</v>
      </c>
      <c r="AR19" t="s">
        <v>354</v>
      </c>
      <c r="AS19" t="s">
        <v>361</v>
      </c>
    </row>
    <row r="20" spans="1:45" x14ac:dyDescent="0.45">
      <c r="C20" t="str">
        <f t="shared" si="14"/>
        <v>TRABGS</v>
      </c>
      <c r="D20" s="40">
        <f t="shared" ca="1" si="15"/>
        <v>0</v>
      </c>
      <c r="E20" s="40">
        <f t="shared" ca="1" si="15"/>
        <v>0</v>
      </c>
      <c r="F20" s="40">
        <f t="shared" ca="1" si="15"/>
        <v>0</v>
      </c>
      <c r="G20" s="40">
        <f t="shared" ca="1" si="15"/>
        <v>0</v>
      </c>
      <c r="H20" s="40">
        <f t="shared" ca="1" si="15"/>
        <v>0</v>
      </c>
      <c r="I20" s="40">
        <f t="shared" ca="1" si="15"/>
        <v>0</v>
      </c>
      <c r="J20" s="40">
        <f t="shared" ca="1" si="15"/>
        <v>0</v>
      </c>
      <c r="K20" s="40">
        <f t="shared" ca="1" si="15"/>
        <v>0.02</v>
      </c>
      <c r="L20" s="40">
        <f t="shared" ca="1" si="15"/>
        <v>0</v>
      </c>
      <c r="M20" s="40">
        <f t="shared" ca="1" si="15"/>
        <v>0</v>
      </c>
      <c r="N20" s="40">
        <f t="shared" ca="1" si="15"/>
        <v>0</v>
      </c>
      <c r="O20" s="40">
        <f t="shared" ca="1" si="15"/>
        <v>0</v>
      </c>
      <c r="P20" s="40">
        <f t="shared" ca="1" si="15"/>
        <v>0</v>
      </c>
      <c r="Q20" s="40">
        <f t="shared" ca="1" si="15"/>
        <v>0</v>
      </c>
      <c r="R20" s="40">
        <f t="shared" ca="1" si="15"/>
        <v>0</v>
      </c>
      <c r="S20" s="40">
        <f t="shared" ca="1" si="15"/>
        <v>0</v>
      </c>
      <c r="T20" s="40">
        <f t="shared" ca="1" si="15"/>
        <v>0</v>
      </c>
      <c r="U20" s="40">
        <f t="shared" ca="1" si="15"/>
        <v>0</v>
      </c>
      <c r="V20" s="40">
        <f t="shared" ca="1" si="15"/>
        <v>0</v>
      </c>
      <c r="W20" s="40">
        <f t="shared" ca="1" si="15"/>
        <v>0</v>
      </c>
      <c r="X20" s="40">
        <f t="shared" ca="1" si="15"/>
        <v>0</v>
      </c>
      <c r="Y20" s="40">
        <f t="shared" ca="1" si="15"/>
        <v>0</v>
      </c>
      <c r="Z20" s="40">
        <f t="shared" ca="1" si="15"/>
        <v>0</v>
      </c>
      <c r="AA20" s="40">
        <f t="shared" ca="1" si="15"/>
        <v>0</v>
      </c>
      <c r="AB20" s="40">
        <f t="shared" ca="1" si="15"/>
        <v>0</v>
      </c>
      <c r="AC20" s="40">
        <f t="shared" ca="1" si="15"/>
        <v>0</v>
      </c>
      <c r="AD20" s="40">
        <f t="shared" ca="1" si="15"/>
        <v>0</v>
      </c>
      <c r="AE20" s="40">
        <f t="shared" ca="1" si="15"/>
        <v>0</v>
      </c>
      <c r="AF20" s="40">
        <f t="shared" ca="1" si="15"/>
        <v>0.23</v>
      </c>
      <c r="AG20" s="40">
        <f t="shared" ca="1" si="15"/>
        <v>0</v>
      </c>
      <c r="AI20" t="s">
        <v>360</v>
      </c>
      <c r="AJ20" t="str">
        <f ca="1">IF(AH5="zero","\I:",$AK$45&amp;"_"&amp;VLOOKUP(C20,'TRA balance'!$AL$5:$AM$15,2,FALSE))</f>
        <v>Trd_hdt_eth</v>
      </c>
      <c r="AK20" t="str">
        <f t="shared" ca="1" si="0"/>
        <v>Trd_hdt</v>
      </c>
      <c r="AL20">
        <f t="shared" ca="1" si="1"/>
        <v>25</v>
      </c>
      <c r="AN20" t="str">
        <f t="shared" ca="1" si="3"/>
        <v>DMD</v>
      </c>
      <c r="AO20" t="str">
        <f t="shared" ca="1" si="4"/>
        <v>Trd_hdt_eth</v>
      </c>
      <c r="AQ20" t="s">
        <v>156</v>
      </c>
      <c r="AR20" t="s">
        <v>354</v>
      </c>
      <c r="AS20" t="s">
        <v>361</v>
      </c>
    </row>
    <row r="21" spans="1:45" x14ac:dyDescent="0.45">
      <c r="C21" t="str">
        <f t="shared" si="14"/>
        <v>TRADST</v>
      </c>
      <c r="D21" s="40">
        <f t="shared" ca="1" si="15"/>
        <v>1.26</v>
      </c>
      <c r="E21" s="40">
        <f t="shared" ca="1" si="15"/>
        <v>1.1200000000000001</v>
      </c>
      <c r="F21" s="40">
        <f t="shared" ca="1" si="15"/>
        <v>0.98</v>
      </c>
      <c r="G21" s="40">
        <f t="shared" ca="1" si="15"/>
        <v>0.42</v>
      </c>
      <c r="H21" s="40">
        <f t="shared" ca="1" si="15"/>
        <v>3.63</v>
      </c>
      <c r="I21" s="40">
        <f t="shared" ca="1" si="15"/>
        <v>5.46</v>
      </c>
      <c r="J21" s="40">
        <f t="shared" ca="1" si="15"/>
        <v>1.2</v>
      </c>
      <c r="K21" s="40">
        <f t="shared" ca="1" si="15"/>
        <v>2.98</v>
      </c>
      <c r="L21" s="40">
        <f t="shared" ca="1" si="15"/>
        <v>1.5</v>
      </c>
      <c r="M21" s="40">
        <f t="shared" ca="1" si="15"/>
        <v>5.47</v>
      </c>
      <c r="N21" s="40">
        <f t="shared" ca="1" si="15"/>
        <v>0.28000000000000003</v>
      </c>
      <c r="O21" s="40">
        <f t="shared" ca="1" si="15"/>
        <v>1.2</v>
      </c>
      <c r="P21" s="40">
        <f t="shared" ca="1" si="15"/>
        <v>0.59</v>
      </c>
      <c r="Q21" s="40">
        <f t="shared" ca="1" si="15"/>
        <v>0.89</v>
      </c>
      <c r="R21" s="40">
        <f t="shared" ca="1" si="15"/>
        <v>0.51</v>
      </c>
      <c r="S21" s="40">
        <f t="shared" ca="1" si="15"/>
        <v>0.94</v>
      </c>
      <c r="T21" s="40">
        <f t="shared" ca="1" si="15"/>
        <v>2.62</v>
      </c>
      <c r="U21" s="40">
        <f t="shared" ca="1" si="15"/>
        <v>1.1299999999999999</v>
      </c>
      <c r="V21" s="40">
        <f t="shared" ca="1" si="15"/>
        <v>1.22</v>
      </c>
      <c r="W21" s="40">
        <f t="shared" ca="1" si="15"/>
        <v>2.54</v>
      </c>
      <c r="X21" s="40">
        <f t="shared" ca="1" si="15"/>
        <v>2.0699999999999998</v>
      </c>
      <c r="Y21" s="40">
        <f t="shared" ca="1" si="15"/>
        <v>0.92</v>
      </c>
      <c r="Z21" s="40">
        <f t="shared" ca="1" si="15"/>
        <v>2.82</v>
      </c>
      <c r="AA21" s="40">
        <f t="shared" ca="1" si="15"/>
        <v>0.08</v>
      </c>
      <c r="AB21" s="40">
        <f t="shared" ca="1" si="15"/>
        <v>1.31</v>
      </c>
      <c r="AC21" s="40">
        <f t="shared" ca="1" si="15"/>
        <v>1.6</v>
      </c>
      <c r="AD21" s="40">
        <f t="shared" ca="1" si="15"/>
        <v>0.39</v>
      </c>
      <c r="AE21" s="40">
        <f t="shared" ca="1" si="15"/>
        <v>0.89</v>
      </c>
      <c r="AF21" s="40">
        <f t="shared" ca="1" si="15"/>
        <v>12.71</v>
      </c>
      <c r="AG21" s="40">
        <f t="shared" ca="1" si="15"/>
        <v>0</v>
      </c>
      <c r="AI21" t="s">
        <v>360</v>
      </c>
      <c r="AJ21" t="str">
        <f ca="1">IF(AH6="zero","\I:",$AK$45&amp;"_"&amp;VLOOKUP(C21,'TRA balance'!$AL$5:$AM$15,2,FALSE))</f>
        <v>Trd_hdt_dsl</v>
      </c>
      <c r="AK21" t="str">
        <f t="shared" ca="1" si="0"/>
        <v>Trd_hdt</v>
      </c>
      <c r="AL21">
        <f t="shared" ca="1" si="1"/>
        <v>25</v>
      </c>
      <c r="AN21" t="str">
        <f t="shared" ca="1" si="3"/>
        <v>DMD</v>
      </c>
      <c r="AO21" t="str">
        <f t="shared" ca="1" si="4"/>
        <v>Trd_hdt_dsl</v>
      </c>
      <c r="AQ21" t="s">
        <v>156</v>
      </c>
      <c r="AR21" t="s">
        <v>354</v>
      </c>
      <c r="AS21" t="s">
        <v>361</v>
      </c>
    </row>
    <row r="22" spans="1:45" x14ac:dyDescent="0.45">
      <c r="C22" t="str">
        <f t="shared" si="14"/>
        <v>TRAELC</v>
      </c>
      <c r="D22" s="40">
        <f t="shared" ca="1" si="15"/>
        <v>0</v>
      </c>
      <c r="E22" s="40">
        <f t="shared" ca="1" si="15"/>
        <v>0</v>
      </c>
      <c r="F22" s="40">
        <f t="shared" ca="1" si="15"/>
        <v>0</v>
      </c>
      <c r="G22" s="40">
        <f t="shared" ca="1" si="15"/>
        <v>0</v>
      </c>
      <c r="H22" s="40">
        <f t="shared" ca="1" si="15"/>
        <v>0</v>
      </c>
      <c r="I22" s="40">
        <f t="shared" ca="1" si="15"/>
        <v>0</v>
      </c>
      <c r="J22" s="40">
        <f t="shared" ca="1" si="15"/>
        <v>0</v>
      </c>
      <c r="K22" s="40">
        <f t="shared" ca="1" si="15"/>
        <v>0</v>
      </c>
      <c r="L22" s="40">
        <f t="shared" ca="1" si="15"/>
        <v>0</v>
      </c>
      <c r="M22" s="40">
        <f t="shared" ca="1" si="15"/>
        <v>0</v>
      </c>
      <c r="N22" s="40">
        <f t="shared" ca="1" si="15"/>
        <v>0</v>
      </c>
      <c r="O22" s="40">
        <f t="shared" ca="1" si="15"/>
        <v>0</v>
      </c>
      <c r="P22" s="40">
        <f t="shared" ca="1" si="15"/>
        <v>0</v>
      </c>
      <c r="Q22" s="40">
        <f t="shared" ca="1" si="15"/>
        <v>0</v>
      </c>
      <c r="R22" s="40">
        <f t="shared" ca="1" si="15"/>
        <v>0</v>
      </c>
      <c r="S22" s="40">
        <f t="shared" ca="1" si="15"/>
        <v>0</v>
      </c>
      <c r="T22" s="40">
        <f t="shared" ca="1" si="15"/>
        <v>0</v>
      </c>
      <c r="U22" s="40">
        <f t="shared" ca="1" si="15"/>
        <v>0</v>
      </c>
      <c r="V22" s="40">
        <f t="shared" ca="1" si="15"/>
        <v>0</v>
      </c>
      <c r="W22" s="40">
        <f t="shared" ca="1" si="15"/>
        <v>0</v>
      </c>
      <c r="X22" s="40">
        <f t="shared" ca="1" si="15"/>
        <v>0</v>
      </c>
      <c r="Y22" s="40">
        <f t="shared" ca="1" si="15"/>
        <v>0</v>
      </c>
      <c r="Z22" s="40">
        <f t="shared" ca="1" si="15"/>
        <v>0</v>
      </c>
      <c r="AA22" s="40">
        <f t="shared" ca="1" si="15"/>
        <v>0</v>
      </c>
      <c r="AB22" s="40">
        <f t="shared" ca="1" si="15"/>
        <v>0</v>
      </c>
      <c r="AC22" s="40">
        <f t="shared" ca="1" si="15"/>
        <v>0</v>
      </c>
      <c r="AD22" s="40">
        <f t="shared" ca="1" si="15"/>
        <v>0</v>
      </c>
      <c r="AE22" s="40">
        <f t="shared" ca="1" si="15"/>
        <v>0</v>
      </c>
      <c r="AF22" s="40">
        <f t="shared" ca="1" si="15"/>
        <v>0</v>
      </c>
      <c r="AG22" s="40">
        <f t="shared" ca="1" si="15"/>
        <v>0</v>
      </c>
      <c r="AI22" t="s">
        <v>360</v>
      </c>
      <c r="AJ22" t="str">
        <f ca="1">IF(AH7="zero","\I:",$AK$45&amp;"_"&amp;VLOOKUP(C22,'TRA balance'!$AL$5:$AM$15,2,FALSE))</f>
        <v>\I:</v>
      </c>
      <c r="AK22" t="str">
        <f t="shared" ca="1" si="0"/>
        <v>Trd_hdt</v>
      </c>
      <c r="AL22">
        <f t="shared" ca="1" si="1"/>
        <v>25</v>
      </c>
      <c r="AN22" t="str">
        <f t="shared" ca="1" si="3"/>
        <v>DMD</v>
      </c>
      <c r="AO22" t="str">
        <f t="shared" ca="1" si="4"/>
        <v>\I:</v>
      </c>
      <c r="AQ22" t="s">
        <v>156</v>
      </c>
      <c r="AR22" t="s">
        <v>354</v>
      </c>
      <c r="AS22" t="s">
        <v>361</v>
      </c>
    </row>
    <row r="23" spans="1:45" x14ac:dyDescent="0.45">
      <c r="C23" t="str">
        <f t="shared" si="14"/>
        <v>TRAGSL</v>
      </c>
      <c r="D23" s="40">
        <f t="shared" ca="1" si="15"/>
        <v>0</v>
      </c>
      <c r="E23" s="40">
        <f t="shared" ca="1" si="15"/>
        <v>0</v>
      </c>
      <c r="F23" s="40">
        <f t="shared" ca="1" si="15"/>
        <v>0.03</v>
      </c>
      <c r="G23" s="40">
        <f t="shared" ca="1" si="15"/>
        <v>0.14000000000000001</v>
      </c>
      <c r="H23" s="40">
        <f t="shared" ca="1" si="15"/>
        <v>0</v>
      </c>
      <c r="I23" s="40">
        <f t="shared" ca="1" si="15"/>
        <v>0</v>
      </c>
      <c r="J23" s="40">
        <f t="shared" ca="1" si="15"/>
        <v>0</v>
      </c>
      <c r="K23" s="40">
        <f t="shared" ca="1" si="15"/>
        <v>0.08</v>
      </c>
      <c r="L23" s="40">
        <f t="shared" ca="1" si="15"/>
        <v>0.01</v>
      </c>
      <c r="M23" s="40">
        <f t="shared" ca="1" si="15"/>
        <v>0.17</v>
      </c>
      <c r="N23" s="40">
        <f t="shared" ca="1" si="15"/>
        <v>0</v>
      </c>
      <c r="O23" s="40">
        <f t="shared" ca="1" si="15"/>
        <v>0.01</v>
      </c>
      <c r="P23" s="40">
        <f t="shared" ca="1" si="15"/>
        <v>0</v>
      </c>
      <c r="Q23" s="40">
        <f t="shared" ca="1" si="15"/>
        <v>0</v>
      </c>
      <c r="R23" s="40">
        <f t="shared" ca="1" si="15"/>
        <v>0.01</v>
      </c>
      <c r="S23" s="40">
        <f t="shared" ca="1" si="15"/>
        <v>0</v>
      </c>
      <c r="T23" s="40">
        <f t="shared" ca="1" si="15"/>
        <v>0.11</v>
      </c>
      <c r="U23" s="40">
        <f t="shared" ca="1" si="15"/>
        <v>0</v>
      </c>
      <c r="V23" s="40">
        <f t="shared" ca="1" si="15"/>
        <v>0</v>
      </c>
      <c r="W23" s="40">
        <f t="shared" ca="1" si="15"/>
        <v>0</v>
      </c>
      <c r="X23" s="40">
        <f t="shared" ca="1" si="15"/>
        <v>0.11</v>
      </c>
      <c r="Y23" s="40">
        <f t="shared" ca="1" si="15"/>
        <v>0.03</v>
      </c>
      <c r="Z23" s="40">
        <f t="shared" ca="1" si="15"/>
        <v>0.69</v>
      </c>
      <c r="AA23" s="40">
        <f t="shared" ca="1" si="15"/>
        <v>0</v>
      </c>
      <c r="AB23" s="40">
        <f t="shared" ca="1" si="15"/>
        <v>0.5</v>
      </c>
      <c r="AC23" s="40">
        <f t="shared" ca="1" si="15"/>
        <v>0.3</v>
      </c>
      <c r="AD23" s="40">
        <f t="shared" ca="1" si="15"/>
        <v>0</v>
      </c>
      <c r="AE23" s="40">
        <f t="shared" ca="1" si="15"/>
        <v>0</v>
      </c>
      <c r="AF23" s="40">
        <f t="shared" ca="1" si="15"/>
        <v>2.59</v>
      </c>
      <c r="AG23" s="40">
        <f t="shared" ca="1" si="15"/>
        <v>0</v>
      </c>
      <c r="AI23" t="s">
        <v>360</v>
      </c>
      <c r="AJ23" t="str">
        <f ca="1">IF(AH8="zero","\I:",$AK$45&amp;"_"&amp;VLOOKUP(C23,'TRA balance'!$AL$5:$AM$15,2,FALSE))</f>
        <v>Trd_hdt_gsl</v>
      </c>
      <c r="AK23" t="str">
        <f t="shared" ca="1" si="0"/>
        <v>Trd_hdt</v>
      </c>
      <c r="AL23">
        <f t="shared" ca="1" si="1"/>
        <v>25</v>
      </c>
      <c r="AN23" t="str">
        <f t="shared" ca="1" si="3"/>
        <v>DMD</v>
      </c>
      <c r="AO23" t="str">
        <f t="shared" ca="1" si="4"/>
        <v>Trd_hdt_gsl</v>
      </c>
      <c r="AQ23" t="s">
        <v>156</v>
      </c>
      <c r="AR23" t="s">
        <v>354</v>
      </c>
      <c r="AS23" t="s">
        <v>361</v>
      </c>
    </row>
    <row r="24" spans="1:45" x14ac:dyDescent="0.45">
      <c r="C24" t="str">
        <f t="shared" si="14"/>
        <v>TRALPG</v>
      </c>
      <c r="D24" s="40">
        <f t="shared" ca="1" si="15"/>
        <v>0</v>
      </c>
      <c r="E24" s="40">
        <f t="shared" ca="1" si="15"/>
        <v>0</v>
      </c>
      <c r="F24" s="40">
        <f t="shared" ca="1" si="15"/>
        <v>0</v>
      </c>
      <c r="G24" s="40">
        <f t="shared" ca="1" si="15"/>
        <v>0</v>
      </c>
      <c r="H24" s="40">
        <f t="shared" ca="1" si="15"/>
        <v>0</v>
      </c>
      <c r="I24" s="40">
        <f t="shared" ca="1" si="15"/>
        <v>0</v>
      </c>
      <c r="J24" s="40">
        <f t="shared" ca="1" si="15"/>
        <v>0</v>
      </c>
      <c r="K24" s="40">
        <f t="shared" ca="1" si="15"/>
        <v>0</v>
      </c>
      <c r="L24" s="40">
        <f t="shared" ca="1" si="15"/>
        <v>0</v>
      </c>
      <c r="M24" s="40">
        <f t="shared" ca="1" si="15"/>
        <v>0</v>
      </c>
      <c r="N24" s="40">
        <f t="shared" ca="1" si="15"/>
        <v>0</v>
      </c>
      <c r="O24" s="40">
        <f t="shared" ca="1" si="15"/>
        <v>0</v>
      </c>
      <c r="P24" s="40">
        <f t="shared" ca="1" si="15"/>
        <v>0</v>
      </c>
      <c r="Q24" s="40">
        <f t="shared" ca="1" si="15"/>
        <v>0</v>
      </c>
      <c r="R24" s="40">
        <f t="shared" ca="1" si="15"/>
        <v>0</v>
      </c>
      <c r="S24" s="40">
        <f t="shared" ca="1" si="15"/>
        <v>0</v>
      </c>
      <c r="T24" s="40">
        <f t="shared" ca="1" si="15"/>
        <v>0</v>
      </c>
      <c r="U24" s="40">
        <f t="shared" ca="1" si="15"/>
        <v>0</v>
      </c>
      <c r="V24" s="40">
        <f t="shared" ca="1" si="15"/>
        <v>0</v>
      </c>
      <c r="W24" s="40">
        <f t="shared" ca="1" si="15"/>
        <v>0</v>
      </c>
      <c r="X24" s="40">
        <f t="shared" ca="1" si="15"/>
        <v>0</v>
      </c>
      <c r="Y24" s="40">
        <f t="shared" ca="1" si="15"/>
        <v>0</v>
      </c>
      <c r="Z24" s="40">
        <f t="shared" ca="1" si="15"/>
        <v>0</v>
      </c>
      <c r="AA24" s="40">
        <f t="shared" ca="1" si="15"/>
        <v>0</v>
      </c>
      <c r="AB24" s="40">
        <f t="shared" ca="1" si="15"/>
        <v>0</v>
      </c>
      <c r="AC24" s="40">
        <f t="shared" ca="1" si="15"/>
        <v>0</v>
      </c>
      <c r="AD24" s="40">
        <f t="shared" ca="1" si="15"/>
        <v>0</v>
      </c>
      <c r="AE24" s="40">
        <f t="shared" ca="1" si="15"/>
        <v>0</v>
      </c>
      <c r="AF24" s="40">
        <f t="shared" ca="1" si="15"/>
        <v>0</v>
      </c>
      <c r="AG24" s="40">
        <f t="shared" ca="1" si="15"/>
        <v>0</v>
      </c>
      <c r="AI24" t="s">
        <v>360</v>
      </c>
      <c r="AJ24" t="str">
        <f ca="1">IF(AH9="zero","\I:",$AK$45&amp;"_"&amp;VLOOKUP(C24,'TRA balance'!$AL$5:$AM$15,2,FALSE))</f>
        <v>\I:</v>
      </c>
      <c r="AK24" t="str">
        <f t="shared" ca="1" si="0"/>
        <v>Trd_hdt</v>
      </c>
      <c r="AL24">
        <f t="shared" ca="1" si="1"/>
        <v>25</v>
      </c>
      <c r="AN24" t="str">
        <f t="shared" ca="1" si="3"/>
        <v>DMD</v>
      </c>
      <c r="AO24" t="str">
        <f t="shared" ca="1" si="4"/>
        <v>\I:</v>
      </c>
      <c r="AQ24" t="s">
        <v>156</v>
      </c>
      <c r="AR24" t="s">
        <v>354</v>
      </c>
      <c r="AS24" t="s">
        <v>361</v>
      </c>
    </row>
    <row r="25" spans="1:45" x14ac:dyDescent="0.45">
      <c r="C25" t="str">
        <f t="shared" si="14"/>
        <v>TRANGA</v>
      </c>
      <c r="D25" s="40">
        <f t="shared" ca="1" si="15"/>
        <v>0</v>
      </c>
      <c r="E25" s="40">
        <f t="shared" ca="1" si="15"/>
        <v>0</v>
      </c>
      <c r="F25" s="40">
        <f t="shared" ca="1" si="15"/>
        <v>0</v>
      </c>
      <c r="G25" s="40">
        <f t="shared" ca="1" si="15"/>
        <v>0</v>
      </c>
      <c r="H25" s="40">
        <f t="shared" ca="1" si="15"/>
        <v>0</v>
      </c>
      <c r="I25" s="40">
        <f t="shared" ca="1" si="15"/>
        <v>0</v>
      </c>
      <c r="J25" s="40">
        <f t="shared" ca="1" si="15"/>
        <v>0</v>
      </c>
      <c r="K25" s="40">
        <f t="shared" ca="1" si="15"/>
        <v>0</v>
      </c>
      <c r="L25" s="40">
        <f t="shared" ca="1" si="15"/>
        <v>0</v>
      </c>
      <c r="M25" s="40">
        <f t="shared" ca="1" si="15"/>
        <v>0</v>
      </c>
      <c r="N25" s="40">
        <f t="shared" ca="1" si="15"/>
        <v>0</v>
      </c>
      <c r="O25" s="40">
        <f t="shared" ca="1" si="15"/>
        <v>0</v>
      </c>
      <c r="P25" s="40">
        <f t="shared" ca="1" si="15"/>
        <v>0</v>
      </c>
      <c r="Q25" s="40">
        <f t="shared" ca="1" si="15"/>
        <v>0</v>
      </c>
      <c r="R25" s="40">
        <f t="shared" ca="1" si="15"/>
        <v>0</v>
      </c>
      <c r="S25" s="40">
        <f t="shared" ca="1" si="15"/>
        <v>0</v>
      </c>
      <c r="T25" s="40">
        <f t="shared" ca="1" si="15"/>
        <v>0</v>
      </c>
      <c r="U25" s="40">
        <f t="shared" ca="1" si="15"/>
        <v>0</v>
      </c>
      <c r="V25" s="40">
        <f t="shared" ca="1" si="15"/>
        <v>0</v>
      </c>
      <c r="W25" s="40">
        <f t="shared" ca="1" si="15"/>
        <v>0</v>
      </c>
      <c r="X25" s="40">
        <f t="shared" ca="1" si="15"/>
        <v>0</v>
      </c>
      <c r="Y25" s="40">
        <f t="shared" ca="1" si="15"/>
        <v>0</v>
      </c>
      <c r="Z25" s="40">
        <f t="shared" ca="1" si="15"/>
        <v>0</v>
      </c>
      <c r="AA25" s="40">
        <f t="shared" ca="1" si="15"/>
        <v>0</v>
      </c>
      <c r="AB25" s="40">
        <f t="shared" ca="1" si="15"/>
        <v>0</v>
      </c>
      <c r="AC25" s="40">
        <f t="shared" ca="1" si="15"/>
        <v>0</v>
      </c>
      <c r="AD25" s="40">
        <f t="shared" ca="1" si="15"/>
        <v>0</v>
      </c>
      <c r="AE25" s="40">
        <f t="shared" ca="1" si="15"/>
        <v>0</v>
      </c>
      <c r="AF25" s="40">
        <f t="shared" ca="1" si="15"/>
        <v>0</v>
      </c>
      <c r="AG25" s="40">
        <f t="shared" ca="1" si="15"/>
        <v>0</v>
      </c>
      <c r="AI25" t="s">
        <v>360</v>
      </c>
      <c r="AJ25" t="str">
        <f ca="1">IF(AH10="zero","\I:",$AK$45&amp;"_"&amp;VLOOKUP(C25,'TRA balance'!$AL$5:$AM$15,2,FALSE))</f>
        <v>\I:</v>
      </c>
      <c r="AK25" t="str">
        <f t="shared" ca="1" si="0"/>
        <v>Trd_hdt</v>
      </c>
      <c r="AL25">
        <f t="shared" ca="1" si="1"/>
        <v>25</v>
      </c>
      <c r="AN25" t="str">
        <f t="shared" ca="1" si="3"/>
        <v>DMD</v>
      </c>
      <c r="AO25" t="str">
        <f t="shared" ca="1" si="4"/>
        <v>\I:</v>
      </c>
      <c r="AQ25" t="s">
        <v>156</v>
      </c>
      <c r="AR25" t="s">
        <v>354</v>
      </c>
      <c r="AS25" t="s">
        <v>361</v>
      </c>
    </row>
    <row r="26" spans="1:45" x14ac:dyDescent="0.4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I26" t="s">
        <v>169</v>
      </c>
      <c r="AK26" t="str">
        <f t="shared" si="0"/>
        <v/>
      </c>
      <c r="AL26" t="str">
        <f t="shared" si="1"/>
        <v/>
      </c>
      <c r="AN26" t="str">
        <f t="shared" si="3"/>
        <v>*</v>
      </c>
      <c r="AO26">
        <f t="shared" si="4"/>
        <v>0</v>
      </c>
      <c r="AQ26" t="s">
        <v>156</v>
      </c>
      <c r="AR26" t="s">
        <v>354</v>
      </c>
      <c r="AS26" t="s">
        <v>361</v>
      </c>
    </row>
    <row r="27" spans="1:45" x14ac:dyDescent="0.45"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I27" t="s">
        <v>169</v>
      </c>
      <c r="AK27" t="str">
        <f t="shared" si="0"/>
        <v/>
      </c>
      <c r="AL27" t="str">
        <f t="shared" si="1"/>
        <v/>
      </c>
      <c r="AN27" t="str">
        <f t="shared" si="3"/>
        <v>*</v>
      </c>
      <c r="AO27">
        <f t="shared" si="4"/>
        <v>0</v>
      </c>
      <c r="AQ27" t="s">
        <v>156</v>
      </c>
      <c r="AR27" t="s">
        <v>354</v>
      </c>
      <c r="AS27" t="s">
        <v>361</v>
      </c>
    </row>
    <row r="28" spans="1:45" x14ac:dyDescent="0.45">
      <c r="A28" t="s">
        <v>331</v>
      </c>
      <c r="C28" t="str">
        <f>C19</f>
        <v>TRABDS</v>
      </c>
      <c r="D28">
        <f t="shared" ref="D28:M34" si="16">$AH28*D$27</f>
        <v>0.13936590376769734</v>
      </c>
      <c r="E28">
        <f t="shared" si="16"/>
        <v>0.13936590376769734</v>
      </c>
      <c r="F28">
        <f t="shared" si="16"/>
        <v>0.13936590376769734</v>
      </c>
      <c r="G28">
        <f t="shared" si="16"/>
        <v>0.13936590376769734</v>
      </c>
      <c r="H28">
        <f t="shared" si="16"/>
        <v>0.13936590376769734</v>
      </c>
      <c r="I28">
        <f t="shared" si="16"/>
        <v>0.13936590376769734</v>
      </c>
      <c r="J28">
        <f t="shared" si="16"/>
        <v>0.13936590376769734</v>
      </c>
      <c r="K28">
        <f t="shared" si="16"/>
        <v>0.13936590376769734</v>
      </c>
      <c r="L28">
        <f t="shared" si="16"/>
        <v>0.13936590376769734</v>
      </c>
      <c r="M28">
        <f t="shared" si="16"/>
        <v>0.13936590376769734</v>
      </c>
      <c r="N28">
        <f t="shared" ref="N28:AC34" si="17">$AH28*N$27</f>
        <v>0.13936590376769734</v>
      </c>
      <c r="O28">
        <f t="shared" si="17"/>
        <v>0.13936590376769734</v>
      </c>
      <c r="P28">
        <f t="shared" si="17"/>
        <v>0.13936590376769734</v>
      </c>
      <c r="Q28">
        <f t="shared" si="17"/>
        <v>0.13936590376769734</v>
      </c>
      <c r="R28">
        <f t="shared" si="17"/>
        <v>0.13936590376769734</v>
      </c>
      <c r="S28">
        <f t="shared" si="17"/>
        <v>0.13936590376769734</v>
      </c>
      <c r="T28">
        <f t="shared" si="17"/>
        <v>0.13936590376769734</v>
      </c>
      <c r="U28">
        <f t="shared" si="17"/>
        <v>0.13936590376769734</v>
      </c>
      <c r="V28">
        <f t="shared" si="17"/>
        <v>0.13936590376769734</v>
      </c>
      <c r="W28">
        <f t="shared" si="17"/>
        <v>0.13936590376769734</v>
      </c>
      <c r="X28">
        <f t="shared" si="17"/>
        <v>0.13936590376769734</v>
      </c>
      <c r="Y28">
        <f t="shared" si="17"/>
        <v>0.13936590376769734</v>
      </c>
      <c r="Z28">
        <f t="shared" si="17"/>
        <v>0.13936590376769734</v>
      </c>
      <c r="AA28">
        <f t="shared" si="17"/>
        <v>0.13936590376769734</v>
      </c>
      <c r="AB28">
        <f t="shared" si="17"/>
        <v>0.13936590376769734</v>
      </c>
      <c r="AC28">
        <f t="shared" si="17"/>
        <v>0.13936590376769734</v>
      </c>
      <c r="AD28">
        <f t="shared" ref="U28:AG34" si="18">$AH28*AD$27</f>
        <v>0.13936590376769734</v>
      </c>
      <c r="AE28">
        <f t="shared" si="18"/>
        <v>0.13936590376769734</v>
      </c>
      <c r="AF28">
        <f t="shared" si="18"/>
        <v>0.13936590376769734</v>
      </c>
      <c r="AG28">
        <f t="shared" si="18"/>
        <v>0.13936590376769734</v>
      </c>
      <c r="AH28" s="56">
        <f>AH30</f>
        <v>0.13936590376769734</v>
      </c>
      <c r="AI28" t="s">
        <v>350</v>
      </c>
      <c r="AJ28" s="1" t="str">
        <f ca="1">AJ19</f>
        <v>Trd_hdt_bdl</v>
      </c>
      <c r="AK28" t="str">
        <f t="shared" ca="1" si="0"/>
        <v>Trd_hdt</v>
      </c>
      <c r="AL28">
        <f t="shared" ca="1" si="1"/>
        <v>25</v>
      </c>
      <c r="AN28" t="str">
        <f t="shared" ca="1" si="3"/>
        <v>DMD</v>
      </c>
      <c r="AO28" t="str">
        <f t="shared" ca="1" si="4"/>
        <v>Trd_hdt_bdl</v>
      </c>
      <c r="AQ28" t="s">
        <v>156</v>
      </c>
      <c r="AR28" t="s">
        <v>354</v>
      </c>
      <c r="AS28" t="s">
        <v>361</v>
      </c>
    </row>
    <row r="29" spans="1:45" x14ac:dyDescent="0.45">
      <c r="C29" t="str">
        <f t="shared" ref="C29:C34" si="19">C20</f>
        <v>TRABGS</v>
      </c>
      <c r="D29">
        <f t="shared" si="16"/>
        <v>0.13936590376769734</v>
      </c>
      <c r="E29">
        <f t="shared" si="16"/>
        <v>0.13936590376769734</v>
      </c>
      <c r="F29">
        <f t="shared" si="16"/>
        <v>0.13936590376769734</v>
      </c>
      <c r="G29">
        <f t="shared" si="16"/>
        <v>0.13936590376769734</v>
      </c>
      <c r="H29">
        <f t="shared" si="16"/>
        <v>0.13936590376769734</v>
      </c>
      <c r="I29">
        <f t="shared" si="16"/>
        <v>0.13936590376769734</v>
      </c>
      <c r="J29">
        <f t="shared" si="16"/>
        <v>0.13936590376769734</v>
      </c>
      <c r="K29">
        <f t="shared" si="16"/>
        <v>0.13936590376769734</v>
      </c>
      <c r="L29">
        <f t="shared" si="16"/>
        <v>0.13936590376769734</v>
      </c>
      <c r="M29">
        <f t="shared" si="16"/>
        <v>0.13936590376769734</v>
      </c>
      <c r="N29">
        <f t="shared" si="17"/>
        <v>0.13936590376769734</v>
      </c>
      <c r="O29">
        <f t="shared" si="17"/>
        <v>0.13936590376769734</v>
      </c>
      <c r="P29">
        <f t="shared" si="17"/>
        <v>0.13936590376769734</v>
      </c>
      <c r="Q29">
        <f t="shared" si="17"/>
        <v>0.13936590376769734</v>
      </c>
      <c r="R29">
        <f t="shared" si="17"/>
        <v>0.13936590376769734</v>
      </c>
      <c r="S29">
        <f t="shared" si="17"/>
        <v>0.13936590376769734</v>
      </c>
      <c r="T29">
        <f t="shared" si="17"/>
        <v>0.13936590376769734</v>
      </c>
      <c r="U29">
        <f t="shared" si="18"/>
        <v>0.13936590376769734</v>
      </c>
      <c r="V29">
        <f t="shared" si="17"/>
        <v>0.13936590376769734</v>
      </c>
      <c r="W29">
        <f t="shared" si="18"/>
        <v>0.13936590376769734</v>
      </c>
      <c r="X29">
        <f t="shared" si="18"/>
        <v>0.13936590376769734</v>
      </c>
      <c r="Y29">
        <f t="shared" si="18"/>
        <v>0.13936590376769734</v>
      </c>
      <c r="Z29">
        <f t="shared" si="18"/>
        <v>0.13936590376769734</v>
      </c>
      <c r="AA29">
        <f t="shared" si="18"/>
        <v>0.13936590376769734</v>
      </c>
      <c r="AB29">
        <f t="shared" si="18"/>
        <v>0.13936590376769734</v>
      </c>
      <c r="AC29">
        <f t="shared" si="18"/>
        <v>0.13936590376769734</v>
      </c>
      <c r="AD29">
        <f t="shared" si="18"/>
        <v>0.13936590376769734</v>
      </c>
      <c r="AE29">
        <f t="shared" si="18"/>
        <v>0.13936590376769734</v>
      </c>
      <c r="AF29">
        <f t="shared" si="18"/>
        <v>0.13936590376769734</v>
      </c>
      <c r="AG29">
        <f t="shared" si="18"/>
        <v>0.13936590376769734</v>
      </c>
      <c r="AH29" s="56">
        <f>AH32</f>
        <v>0.13936590376769734</v>
      </c>
      <c r="AI29" t="s">
        <v>350</v>
      </c>
      <c r="AJ29" s="1" t="str">
        <f t="shared" ref="AJ29:AJ34" ca="1" si="20">AJ20</f>
        <v>Trd_hdt_eth</v>
      </c>
      <c r="AK29" t="str">
        <f t="shared" ca="1" si="0"/>
        <v>Trd_hdt</v>
      </c>
      <c r="AL29">
        <f t="shared" ca="1" si="1"/>
        <v>25</v>
      </c>
      <c r="AN29" t="str">
        <f t="shared" ca="1" si="3"/>
        <v>DMD</v>
      </c>
      <c r="AO29" t="str">
        <f t="shared" ca="1" si="4"/>
        <v>Trd_hdt_eth</v>
      </c>
      <c r="AQ29" t="s">
        <v>156</v>
      </c>
      <c r="AR29" t="s">
        <v>354</v>
      </c>
      <c r="AS29" t="s">
        <v>361</v>
      </c>
    </row>
    <row r="30" spans="1:45" x14ac:dyDescent="0.45">
      <c r="C30" t="str">
        <f t="shared" si="19"/>
        <v>TRADST</v>
      </c>
      <c r="D30">
        <f t="shared" si="16"/>
        <v>0.13936590376769734</v>
      </c>
      <c r="E30">
        <f t="shared" si="16"/>
        <v>0.13936590376769734</v>
      </c>
      <c r="F30">
        <f t="shared" si="16"/>
        <v>0.13936590376769734</v>
      </c>
      <c r="G30">
        <f t="shared" si="16"/>
        <v>0.13936590376769734</v>
      </c>
      <c r="H30">
        <f t="shared" si="16"/>
        <v>0.13936590376769734</v>
      </c>
      <c r="I30">
        <f t="shared" si="16"/>
        <v>0.13936590376769734</v>
      </c>
      <c r="J30">
        <f t="shared" si="16"/>
        <v>0.13936590376769734</v>
      </c>
      <c r="K30">
        <f t="shared" si="16"/>
        <v>0.13936590376769734</v>
      </c>
      <c r="L30">
        <f t="shared" si="16"/>
        <v>0.13936590376769734</v>
      </c>
      <c r="M30">
        <f t="shared" si="16"/>
        <v>0.13936590376769734</v>
      </c>
      <c r="N30">
        <f t="shared" si="17"/>
        <v>0.13936590376769734</v>
      </c>
      <c r="O30">
        <f t="shared" si="17"/>
        <v>0.13936590376769734</v>
      </c>
      <c r="P30">
        <f t="shared" si="17"/>
        <v>0.13936590376769734</v>
      </c>
      <c r="Q30">
        <f t="shared" si="17"/>
        <v>0.13936590376769734</v>
      </c>
      <c r="R30">
        <f t="shared" si="17"/>
        <v>0.13936590376769734</v>
      </c>
      <c r="S30">
        <f t="shared" si="17"/>
        <v>0.13936590376769734</v>
      </c>
      <c r="T30">
        <f t="shared" si="17"/>
        <v>0.13936590376769734</v>
      </c>
      <c r="U30">
        <f t="shared" si="18"/>
        <v>0.13936590376769734</v>
      </c>
      <c r="V30">
        <f t="shared" si="17"/>
        <v>0.13936590376769734</v>
      </c>
      <c r="W30">
        <f t="shared" si="18"/>
        <v>0.13936590376769734</v>
      </c>
      <c r="X30">
        <f t="shared" si="18"/>
        <v>0.13936590376769734</v>
      </c>
      <c r="Y30">
        <f t="shared" si="18"/>
        <v>0.13936590376769734</v>
      </c>
      <c r="Z30">
        <f t="shared" si="18"/>
        <v>0.13936590376769734</v>
      </c>
      <c r="AA30">
        <f t="shared" si="18"/>
        <v>0.13936590376769734</v>
      </c>
      <c r="AB30">
        <f t="shared" si="18"/>
        <v>0.13936590376769734</v>
      </c>
      <c r="AC30">
        <f t="shared" si="18"/>
        <v>0.13936590376769734</v>
      </c>
      <c r="AD30">
        <f t="shared" si="18"/>
        <v>0.13936590376769734</v>
      </c>
      <c r="AE30">
        <f t="shared" si="18"/>
        <v>0.13936590376769734</v>
      </c>
      <c r="AF30">
        <f t="shared" si="18"/>
        <v>0.13936590376769734</v>
      </c>
      <c r="AG30">
        <f t="shared" si="18"/>
        <v>0.13936590376769734</v>
      </c>
      <c r="AH30" s="56">
        <v>0.13936590376769734</v>
      </c>
      <c r="AI30" t="s">
        <v>350</v>
      </c>
      <c r="AJ30" s="95" t="str">
        <f t="shared" ca="1" si="20"/>
        <v>Trd_hdt_dsl</v>
      </c>
      <c r="AK30" t="str">
        <f t="shared" ca="1" si="0"/>
        <v>Trd_hdt</v>
      </c>
      <c r="AL30">
        <f t="shared" ca="1" si="1"/>
        <v>25</v>
      </c>
      <c r="AN30" t="str">
        <f t="shared" ca="1" si="3"/>
        <v>DMD</v>
      </c>
      <c r="AO30" t="str">
        <f t="shared" ca="1" si="4"/>
        <v>Trd_hdt_dsl</v>
      </c>
      <c r="AQ30" t="s">
        <v>156</v>
      </c>
      <c r="AR30" t="s">
        <v>354</v>
      </c>
      <c r="AS30" t="s">
        <v>361</v>
      </c>
    </row>
    <row r="31" spans="1:45" x14ac:dyDescent="0.45">
      <c r="C31" t="str">
        <f t="shared" si="19"/>
        <v>TRAELC</v>
      </c>
      <c r="D31">
        <f t="shared" si="16"/>
        <v>0</v>
      </c>
      <c r="E31">
        <f t="shared" si="16"/>
        <v>0</v>
      </c>
      <c r="F31">
        <f t="shared" si="16"/>
        <v>0</v>
      </c>
      <c r="G31">
        <f t="shared" si="16"/>
        <v>0</v>
      </c>
      <c r="H31">
        <f t="shared" si="16"/>
        <v>0</v>
      </c>
      <c r="I31">
        <f t="shared" si="16"/>
        <v>0</v>
      </c>
      <c r="J31">
        <f t="shared" si="16"/>
        <v>0</v>
      </c>
      <c r="K31">
        <f t="shared" si="16"/>
        <v>0</v>
      </c>
      <c r="L31">
        <f t="shared" si="16"/>
        <v>0</v>
      </c>
      <c r="M31">
        <f t="shared" si="16"/>
        <v>0</v>
      </c>
      <c r="N31">
        <f t="shared" si="17"/>
        <v>0</v>
      </c>
      <c r="O31">
        <f t="shared" si="17"/>
        <v>0</v>
      </c>
      <c r="P31">
        <f t="shared" si="17"/>
        <v>0</v>
      </c>
      <c r="Q31">
        <f t="shared" si="17"/>
        <v>0</v>
      </c>
      <c r="R31">
        <f t="shared" si="17"/>
        <v>0</v>
      </c>
      <c r="S31">
        <f t="shared" si="17"/>
        <v>0</v>
      </c>
      <c r="T31">
        <f t="shared" si="17"/>
        <v>0</v>
      </c>
      <c r="U31">
        <f t="shared" si="18"/>
        <v>0</v>
      </c>
      <c r="V31">
        <f t="shared" si="17"/>
        <v>0</v>
      </c>
      <c r="W31">
        <f t="shared" si="18"/>
        <v>0</v>
      </c>
      <c r="X31">
        <f t="shared" si="18"/>
        <v>0</v>
      </c>
      <c r="Y31">
        <f t="shared" si="18"/>
        <v>0</v>
      </c>
      <c r="Z31">
        <f t="shared" si="18"/>
        <v>0</v>
      </c>
      <c r="AA31">
        <f t="shared" si="18"/>
        <v>0</v>
      </c>
      <c r="AB31">
        <f t="shared" si="18"/>
        <v>0</v>
      </c>
      <c r="AC31">
        <f t="shared" si="18"/>
        <v>0</v>
      </c>
      <c r="AD31">
        <f t="shared" si="18"/>
        <v>0</v>
      </c>
      <c r="AE31">
        <f t="shared" si="18"/>
        <v>0</v>
      </c>
      <c r="AF31">
        <f t="shared" si="18"/>
        <v>0</v>
      </c>
      <c r="AG31">
        <f t="shared" si="18"/>
        <v>0</v>
      </c>
      <c r="AH31" s="56"/>
      <c r="AI31" t="s">
        <v>350</v>
      </c>
      <c r="AJ31" s="1" t="str">
        <f t="shared" ca="1" si="20"/>
        <v>\I:</v>
      </c>
      <c r="AK31" t="str">
        <f t="shared" ca="1" si="0"/>
        <v>Trd_hdt</v>
      </c>
      <c r="AL31">
        <f t="shared" ca="1" si="1"/>
        <v>25</v>
      </c>
      <c r="AN31" t="str">
        <f t="shared" ca="1" si="3"/>
        <v>DMD</v>
      </c>
      <c r="AO31" t="str">
        <f t="shared" ca="1" si="4"/>
        <v>\I:</v>
      </c>
      <c r="AQ31" t="s">
        <v>156</v>
      </c>
      <c r="AR31" t="s">
        <v>354</v>
      </c>
      <c r="AS31" t="s">
        <v>361</v>
      </c>
    </row>
    <row r="32" spans="1:45" x14ac:dyDescent="0.45">
      <c r="C32" t="str">
        <f t="shared" si="19"/>
        <v>TRAGSL</v>
      </c>
      <c r="D32">
        <f t="shared" si="16"/>
        <v>0.13936590376769734</v>
      </c>
      <c r="E32">
        <f t="shared" si="16"/>
        <v>0.13936590376769734</v>
      </c>
      <c r="F32">
        <f t="shared" si="16"/>
        <v>0.13936590376769734</v>
      </c>
      <c r="G32">
        <f t="shared" si="16"/>
        <v>0.13936590376769734</v>
      </c>
      <c r="H32">
        <f t="shared" si="16"/>
        <v>0.13936590376769734</v>
      </c>
      <c r="I32">
        <f t="shared" si="16"/>
        <v>0.13936590376769734</v>
      </c>
      <c r="J32">
        <f t="shared" si="16"/>
        <v>0.13936590376769734</v>
      </c>
      <c r="K32">
        <f t="shared" si="16"/>
        <v>0.13936590376769734</v>
      </c>
      <c r="L32">
        <f t="shared" si="16"/>
        <v>0.13936590376769734</v>
      </c>
      <c r="M32">
        <f t="shared" si="16"/>
        <v>0.13936590376769734</v>
      </c>
      <c r="N32">
        <f t="shared" si="17"/>
        <v>0.13936590376769734</v>
      </c>
      <c r="O32">
        <f t="shared" si="17"/>
        <v>0.13936590376769734</v>
      </c>
      <c r="P32">
        <f t="shared" si="17"/>
        <v>0.13936590376769734</v>
      </c>
      <c r="Q32">
        <f t="shared" si="17"/>
        <v>0.13936590376769734</v>
      </c>
      <c r="R32">
        <f t="shared" si="17"/>
        <v>0.13936590376769734</v>
      </c>
      <c r="S32">
        <f t="shared" si="17"/>
        <v>0.13936590376769734</v>
      </c>
      <c r="T32">
        <f t="shared" si="17"/>
        <v>0.13936590376769734</v>
      </c>
      <c r="U32">
        <f t="shared" si="18"/>
        <v>0.13936590376769734</v>
      </c>
      <c r="V32">
        <f t="shared" si="17"/>
        <v>0.13936590376769734</v>
      </c>
      <c r="W32">
        <f t="shared" si="18"/>
        <v>0.13936590376769734</v>
      </c>
      <c r="X32">
        <f t="shared" si="18"/>
        <v>0.13936590376769734</v>
      </c>
      <c r="Y32">
        <f t="shared" si="18"/>
        <v>0.13936590376769734</v>
      </c>
      <c r="Z32">
        <f t="shared" si="18"/>
        <v>0.13936590376769734</v>
      </c>
      <c r="AA32">
        <f t="shared" si="18"/>
        <v>0.13936590376769734</v>
      </c>
      <c r="AB32">
        <f t="shared" si="18"/>
        <v>0.13936590376769734</v>
      </c>
      <c r="AC32">
        <f t="shared" si="18"/>
        <v>0.13936590376769734</v>
      </c>
      <c r="AD32">
        <f t="shared" si="18"/>
        <v>0.13936590376769734</v>
      </c>
      <c r="AE32">
        <f t="shared" si="18"/>
        <v>0.13936590376769734</v>
      </c>
      <c r="AF32">
        <f t="shared" si="18"/>
        <v>0.13936590376769734</v>
      </c>
      <c r="AG32">
        <f t="shared" si="18"/>
        <v>0.13936590376769734</v>
      </c>
      <c r="AH32" s="56">
        <v>0.13936590376769734</v>
      </c>
      <c r="AI32" t="s">
        <v>350</v>
      </c>
      <c r="AJ32" s="1" t="str">
        <f t="shared" ca="1" si="20"/>
        <v>Trd_hdt_gsl</v>
      </c>
      <c r="AK32" t="str">
        <f t="shared" ca="1" si="0"/>
        <v>Trd_hdt</v>
      </c>
      <c r="AL32">
        <f t="shared" ca="1" si="1"/>
        <v>25</v>
      </c>
      <c r="AN32" t="str">
        <f t="shared" ca="1" si="3"/>
        <v>DMD</v>
      </c>
      <c r="AO32" t="str">
        <f t="shared" ca="1" si="4"/>
        <v>Trd_hdt_gsl</v>
      </c>
      <c r="AQ32" t="s">
        <v>156</v>
      </c>
      <c r="AR32" t="s">
        <v>354</v>
      </c>
      <c r="AS32" t="s">
        <v>361</v>
      </c>
    </row>
    <row r="33" spans="1:45" x14ac:dyDescent="0.45">
      <c r="C33" t="str">
        <f t="shared" si="19"/>
        <v>TRALPG</v>
      </c>
      <c r="D33">
        <f t="shared" si="16"/>
        <v>0</v>
      </c>
      <c r="E33">
        <f t="shared" si="16"/>
        <v>0</v>
      </c>
      <c r="F33">
        <f t="shared" si="16"/>
        <v>0</v>
      </c>
      <c r="G33">
        <f t="shared" si="16"/>
        <v>0</v>
      </c>
      <c r="H33">
        <f t="shared" si="16"/>
        <v>0</v>
      </c>
      <c r="I33">
        <f t="shared" si="16"/>
        <v>0</v>
      </c>
      <c r="J33">
        <f t="shared" si="16"/>
        <v>0</v>
      </c>
      <c r="K33">
        <f t="shared" si="16"/>
        <v>0</v>
      </c>
      <c r="L33">
        <f t="shared" si="16"/>
        <v>0</v>
      </c>
      <c r="M33">
        <f t="shared" si="16"/>
        <v>0</v>
      </c>
      <c r="N33">
        <f t="shared" si="17"/>
        <v>0</v>
      </c>
      <c r="O33">
        <f t="shared" si="17"/>
        <v>0</v>
      </c>
      <c r="P33">
        <f t="shared" si="17"/>
        <v>0</v>
      </c>
      <c r="Q33">
        <f t="shared" si="17"/>
        <v>0</v>
      </c>
      <c r="R33">
        <f t="shared" si="17"/>
        <v>0</v>
      </c>
      <c r="S33">
        <f t="shared" si="17"/>
        <v>0</v>
      </c>
      <c r="T33">
        <f t="shared" si="17"/>
        <v>0</v>
      </c>
      <c r="U33">
        <f t="shared" si="18"/>
        <v>0</v>
      </c>
      <c r="V33">
        <f t="shared" si="17"/>
        <v>0</v>
      </c>
      <c r="W33">
        <f t="shared" si="18"/>
        <v>0</v>
      </c>
      <c r="X33">
        <f t="shared" si="18"/>
        <v>0</v>
      </c>
      <c r="Y33">
        <f t="shared" si="18"/>
        <v>0</v>
      </c>
      <c r="Z33">
        <f t="shared" si="18"/>
        <v>0</v>
      </c>
      <c r="AA33">
        <f t="shared" si="18"/>
        <v>0</v>
      </c>
      <c r="AB33">
        <f t="shared" si="18"/>
        <v>0</v>
      </c>
      <c r="AC33">
        <f t="shared" si="18"/>
        <v>0</v>
      </c>
      <c r="AD33">
        <f t="shared" si="18"/>
        <v>0</v>
      </c>
      <c r="AE33">
        <f t="shared" si="18"/>
        <v>0</v>
      </c>
      <c r="AF33">
        <f t="shared" si="18"/>
        <v>0</v>
      </c>
      <c r="AG33">
        <f t="shared" si="18"/>
        <v>0</v>
      </c>
      <c r="AI33" t="s">
        <v>350</v>
      </c>
      <c r="AJ33" s="1" t="str">
        <f t="shared" ca="1" si="20"/>
        <v>\I:</v>
      </c>
      <c r="AK33" t="str">
        <f t="shared" ca="1" si="0"/>
        <v>Trd_hdt</v>
      </c>
      <c r="AL33">
        <f t="shared" ca="1" si="1"/>
        <v>25</v>
      </c>
      <c r="AN33" t="str">
        <f t="shared" ca="1" si="3"/>
        <v>DMD</v>
      </c>
      <c r="AO33" t="str">
        <f t="shared" ca="1" si="4"/>
        <v>\I:</v>
      </c>
      <c r="AQ33" t="s">
        <v>156</v>
      </c>
      <c r="AR33" t="s">
        <v>354</v>
      </c>
      <c r="AS33" t="s">
        <v>361</v>
      </c>
    </row>
    <row r="34" spans="1:45" x14ac:dyDescent="0.45">
      <c r="C34" t="str">
        <f t="shared" si="19"/>
        <v>TRANGA</v>
      </c>
      <c r="D34">
        <f t="shared" si="16"/>
        <v>0</v>
      </c>
      <c r="E34">
        <f t="shared" si="16"/>
        <v>0</v>
      </c>
      <c r="F34">
        <f t="shared" si="16"/>
        <v>0</v>
      </c>
      <c r="G34">
        <f t="shared" si="16"/>
        <v>0</v>
      </c>
      <c r="H34">
        <f t="shared" si="16"/>
        <v>0</v>
      </c>
      <c r="I34">
        <f t="shared" si="16"/>
        <v>0</v>
      </c>
      <c r="J34">
        <f t="shared" si="16"/>
        <v>0</v>
      </c>
      <c r="K34">
        <f t="shared" si="16"/>
        <v>0</v>
      </c>
      <c r="L34">
        <f t="shared" si="16"/>
        <v>0</v>
      </c>
      <c r="M34">
        <f t="shared" si="16"/>
        <v>0</v>
      </c>
      <c r="N34">
        <f t="shared" si="17"/>
        <v>0</v>
      </c>
      <c r="O34">
        <f t="shared" si="17"/>
        <v>0</v>
      </c>
      <c r="P34">
        <f t="shared" si="17"/>
        <v>0</v>
      </c>
      <c r="Q34">
        <f t="shared" si="17"/>
        <v>0</v>
      </c>
      <c r="R34">
        <f t="shared" si="17"/>
        <v>0</v>
      </c>
      <c r="S34">
        <f t="shared" si="17"/>
        <v>0</v>
      </c>
      <c r="T34">
        <f t="shared" si="17"/>
        <v>0</v>
      </c>
      <c r="U34">
        <f t="shared" si="18"/>
        <v>0</v>
      </c>
      <c r="V34">
        <f t="shared" si="17"/>
        <v>0</v>
      </c>
      <c r="W34">
        <f t="shared" si="18"/>
        <v>0</v>
      </c>
      <c r="X34">
        <f t="shared" si="18"/>
        <v>0</v>
      </c>
      <c r="Y34">
        <f t="shared" si="18"/>
        <v>0</v>
      </c>
      <c r="Z34">
        <f t="shared" si="18"/>
        <v>0</v>
      </c>
      <c r="AA34">
        <f t="shared" si="18"/>
        <v>0</v>
      </c>
      <c r="AB34">
        <f t="shared" si="18"/>
        <v>0</v>
      </c>
      <c r="AC34">
        <f t="shared" si="18"/>
        <v>0</v>
      </c>
      <c r="AD34">
        <f t="shared" si="18"/>
        <v>0</v>
      </c>
      <c r="AE34">
        <f t="shared" si="18"/>
        <v>0</v>
      </c>
      <c r="AF34">
        <f t="shared" si="18"/>
        <v>0</v>
      </c>
      <c r="AG34">
        <f t="shared" si="18"/>
        <v>0</v>
      </c>
      <c r="AI34" t="s">
        <v>350</v>
      </c>
      <c r="AJ34" s="1" t="str">
        <f t="shared" ca="1" si="20"/>
        <v>\I:</v>
      </c>
      <c r="AK34" t="str">
        <f t="shared" ca="1" si="0"/>
        <v>Trd_hdt</v>
      </c>
      <c r="AL34">
        <f t="shared" ca="1" si="1"/>
        <v>25</v>
      </c>
      <c r="AN34" t="str">
        <f t="shared" ca="1" si="3"/>
        <v>DMD</v>
      </c>
      <c r="AO34" t="str">
        <f t="shared" ca="1" si="4"/>
        <v>\I:</v>
      </c>
      <c r="AQ34" t="s">
        <v>156</v>
      </c>
      <c r="AR34" t="s">
        <v>354</v>
      </c>
      <c r="AS34" t="s">
        <v>361</v>
      </c>
    </row>
    <row r="35" spans="1:45" x14ac:dyDescent="0.45">
      <c r="AI35" t="s">
        <v>169</v>
      </c>
      <c r="AK35" t="str">
        <f t="shared" si="0"/>
        <v/>
      </c>
      <c r="AL35" t="str">
        <f t="shared" si="1"/>
        <v/>
      </c>
      <c r="AN35" t="str">
        <f t="shared" si="3"/>
        <v>*</v>
      </c>
      <c r="AO35">
        <f t="shared" si="4"/>
        <v>0</v>
      </c>
      <c r="AQ35" t="s">
        <v>156</v>
      </c>
      <c r="AR35" t="s">
        <v>354</v>
      </c>
      <c r="AS35" t="s">
        <v>361</v>
      </c>
    </row>
    <row r="36" spans="1:45" x14ac:dyDescent="0.45">
      <c r="A36" t="s">
        <v>332</v>
      </c>
      <c r="C36" t="str">
        <f>C28</f>
        <v>TRABDS</v>
      </c>
      <c r="D36" s="40">
        <v>50</v>
      </c>
      <c r="E36" s="40">
        <v>50</v>
      </c>
      <c r="F36" s="40">
        <v>50</v>
      </c>
      <c r="G36" s="40">
        <v>50</v>
      </c>
      <c r="H36" s="40">
        <v>50</v>
      </c>
      <c r="I36" s="40">
        <v>50</v>
      </c>
      <c r="J36" s="40">
        <v>50</v>
      </c>
      <c r="K36" s="40">
        <v>50</v>
      </c>
      <c r="L36" s="40">
        <v>50</v>
      </c>
      <c r="M36" s="40">
        <v>50</v>
      </c>
      <c r="N36" s="40">
        <v>50</v>
      </c>
      <c r="O36" s="40">
        <v>50</v>
      </c>
      <c r="P36" s="40">
        <v>50</v>
      </c>
      <c r="Q36" s="40">
        <v>50</v>
      </c>
      <c r="R36" s="40">
        <v>50</v>
      </c>
      <c r="S36" s="40">
        <v>50</v>
      </c>
      <c r="T36" s="40">
        <v>50</v>
      </c>
      <c r="U36" s="40">
        <v>50</v>
      </c>
      <c r="V36" s="40">
        <v>50</v>
      </c>
      <c r="W36" s="40">
        <v>50</v>
      </c>
      <c r="X36" s="40">
        <v>50</v>
      </c>
      <c r="Y36" s="40">
        <v>50</v>
      </c>
      <c r="Z36" s="40">
        <v>50</v>
      </c>
      <c r="AA36" s="40">
        <v>50</v>
      </c>
      <c r="AB36" s="40">
        <v>50</v>
      </c>
      <c r="AC36" s="40">
        <v>50</v>
      </c>
      <c r="AD36" s="40">
        <v>50</v>
      </c>
      <c r="AE36" s="40">
        <v>50</v>
      </c>
      <c r="AF36" s="40">
        <v>50</v>
      </c>
      <c r="AG36" s="40">
        <v>50</v>
      </c>
      <c r="AI36" t="s">
        <v>351</v>
      </c>
      <c r="AJ36" s="1" t="str">
        <f ca="1">AJ28</f>
        <v>Trd_hdt_bdl</v>
      </c>
      <c r="AK36" t="str">
        <f t="shared" ca="1" si="0"/>
        <v>Trd_hdt</v>
      </c>
      <c r="AL36">
        <f t="shared" ca="1" si="1"/>
        <v>25</v>
      </c>
      <c r="AN36" t="str">
        <f t="shared" ca="1" si="3"/>
        <v>DMD</v>
      </c>
      <c r="AO36" t="str">
        <f t="shared" ca="1" si="4"/>
        <v>Trd_hdt_bdl</v>
      </c>
      <c r="AQ36" t="s">
        <v>156</v>
      </c>
      <c r="AR36" t="s">
        <v>354</v>
      </c>
      <c r="AS36" t="s">
        <v>361</v>
      </c>
    </row>
    <row r="37" spans="1:45" x14ac:dyDescent="0.45">
      <c r="C37" t="str">
        <f t="shared" ref="C37:C42" si="21">C29</f>
        <v>TRABGS</v>
      </c>
      <c r="D37" s="40">
        <f>D$36</f>
        <v>50</v>
      </c>
      <c r="E37" s="40">
        <f t="shared" ref="E37:AG42" si="22">E$36</f>
        <v>50</v>
      </c>
      <c r="F37" s="40">
        <f t="shared" si="22"/>
        <v>50</v>
      </c>
      <c r="G37" s="40">
        <f t="shared" si="22"/>
        <v>50</v>
      </c>
      <c r="H37" s="40">
        <f t="shared" si="22"/>
        <v>50</v>
      </c>
      <c r="I37" s="40">
        <f t="shared" si="22"/>
        <v>50</v>
      </c>
      <c r="J37" s="40">
        <f t="shared" si="22"/>
        <v>50</v>
      </c>
      <c r="K37" s="40">
        <f t="shared" si="22"/>
        <v>50</v>
      </c>
      <c r="L37" s="40">
        <f t="shared" si="22"/>
        <v>50</v>
      </c>
      <c r="M37" s="40">
        <f t="shared" si="22"/>
        <v>50</v>
      </c>
      <c r="N37" s="40">
        <f t="shared" si="22"/>
        <v>50</v>
      </c>
      <c r="O37" s="40">
        <f t="shared" si="22"/>
        <v>50</v>
      </c>
      <c r="P37" s="40">
        <f t="shared" si="22"/>
        <v>50</v>
      </c>
      <c r="Q37" s="40">
        <f t="shared" si="22"/>
        <v>50</v>
      </c>
      <c r="R37" s="40">
        <f t="shared" si="22"/>
        <v>50</v>
      </c>
      <c r="S37" s="40">
        <f t="shared" si="22"/>
        <v>50</v>
      </c>
      <c r="T37" s="40">
        <f t="shared" si="22"/>
        <v>50</v>
      </c>
      <c r="U37" s="40">
        <f t="shared" si="22"/>
        <v>50</v>
      </c>
      <c r="V37" s="40">
        <f t="shared" si="22"/>
        <v>50</v>
      </c>
      <c r="W37" s="40">
        <f t="shared" si="22"/>
        <v>50</v>
      </c>
      <c r="X37" s="40">
        <f t="shared" si="22"/>
        <v>50</v>
      </c>
      <c r="Y37" s="40">
        <f t="shared" si="22"/>
        <v>50</v>
      </c>
      <c r="Z37" s="40">
        <f t="shared" si="22"/>
        <v>50</v>
      </c>
      <c r="AA37" s="40">
        <f t="shared" si="22"/>
        <v>50</v>
      </c>
      <c r="AB37" s="40">
        <f t="shared" si="22"/>
        <v>50</v>
      </c>
      <c r="AC37" s="40">
        <f t="shared" si="22"/>
        <v>50</v>
      </c>
      <c r="AD37" s="40">
        <f t="shared" si="22"/>
        <v>50</v>
      </c>
      <c r="AE37" s="40">
        <f t="shared" si="22"/>
        <v>50</v>
      </c>
      <c r="AF37" s="40">
        <f t="shared" si="22"/>
        <v>50</v>
      </c>
      <c r="AG37" s="40">
        <f t="shared" si="22"/>
        <v>50</v>
      </c>
      <c r="AI37" t="s">
        <v>351</v>
      </c>
      <c r="AJ37" s="1" t="str">
        <f t="shared" ref="AJ37:AJ42" ca="1" si="23">AJ29</f>
        <v>Trd_hdt_eth</v>
      </c>
      <c r="AK37" t="str">
        <f t="shared" ca="1" si="0"/>
        <v>Trd_hdt</v>
      </c>
      <c r="AL37">
        <f t="shared" ca="1" si="1"/>
        <v>25</v>
      </c>
      <c r="AN37" t="str">
        <f t="shared" ca="1" si="3"/>
        <v>DMD</v>
      </c>
      <c r="AO37" t="str">
        <f t="shared" ca="1" si="4"/>
        <v>Trd_hdt_eth</v>
      </c>
      <c r="AQ37" t="s">
        <v>156</v>
      </c>
      <c r="AR37" t="s">
        <v>354</v>
      </c>
      <c r="AS37" t="s">
        <v>361</v>
      </c>
    </row>
    <row r="38" spans="1:45" x14ac:dyDescent="0.45">
      <c r="C38" t="str">
        <f t="shared" si="21"/>
        <v>TRADST</v>
      </c>
      <c r="D38" s="40">
        <f t="shared" ref="D38:S42" si="24">D$36</f>
        <v>50</v>
      </c>
      <c r="E38" s="40">
        <f t="shared" si="24"/>
        <v>50</v>
      </c>
      <c r="F38" s="40">
        <f t="shared" si="24"/>
        <v>50</v>
      </c>
      <c r="G38" s="40">
        <f t="shared" si="24"/>
        <v>50</v>
      </c>
      <c r="H38" s="40">
        <f t="shared" si="24"/>
        <v>50</v>
      </c>
      <c r="I38" s="40">
        <f t="shared" si="24"/>
        <v>50</v>
      </c>
      <c r="J38" s="40">
        <f t="shared" si="24"/>
        <v>50</v>
      </c>
      <c r="K38" s="40">
        <f t="shared" si="24"/>
        <v>50</v>
      </c>
      <c r="L38" s="40">
        <f t="shared" si="24"/>
        <v>50</v>
      </c>
      <c r="M38" s="40">
        <f t="shared" si="24"/>
        <v>50</v>
      </c>
      <c r="N38" s="40">
        <f t="shared" si="24"/>
        <v>50</v>
      </c>
      <c r="O38" s="40">
        <f t="shared" si="24"/>
        <v>50</v>
      </c>
      <c r="P38" s="40">
        <f t="shared" si="24"/>
        <v>50</v>
      </c>
      <c r="Q38" s="40">
        <f t="shared" si="24"/>
        <v>50</v>
      </c>
      <c r="R38" s="40">
        <f t="shared" si="24"/>
        <v>50</v>
      </c>
      <c r="S38" s="40">
        <f t="shared" si="24"/>
        <v>50</v>
      </c>
      <c r="T38" s="40">
        <f t="shared" si="22"/>
        <v>50</v>
      </c>
      <c r="U38" s="40">
        <f t="shared" si="22"/>
        <v>50</v>
      </c>
      <c r="V38" s="40">
        <f t="shared" si="22"/>
        <v>50</v>
      </c>
      <c r="W38" s="40">
        <f t="shared" si="22"/>
        <v>50</v>
      </c>
      <c r="X38" s="40">
        <f t="shared" si="22"/>
        <v>50</v>
      </c>
      <c r="Y38" s="40">
        <f t="shared" si="22"/>
        <v>50</v>
      </c>
      <c r="Z38" s="40">
        <f t="shared" si="22"/>
        <v>50</v>
      </c>
      <c r="AA38" s="40">
        <f t="shared" si="22"/>
        <v>50</v>
      </c>
      <c r="AB38" s="40">
        <f t="shared" si="22"/>
        <v>50</v>
      </c>
      <c r="AC38" s="40">
        <f t="shared" si="22"/>
        <v>50</v>
      </c>
      <c r="AD38" s="40">
        <f t="shared" si="22"/>
        <v>50</v>
      </c>
      <c r="AE38" s="40">
        <f t="shared" si="22"/>
        <v>50</v>
      </c>
      <c r="AF38" s="40">
        <f t="shared" si="22"/>
        <v>50</v>
      </c>
      <c r="AG38" s="40">
        <f t="shared" si="22"/>
        <v>50</v>
      </c>
      <c r="AI38" t="s">
        <v>351</v>
      </c>
      <c r="AJ38" s="1" t="str">
        <f t="shared" ca="1" si="23"/>
        <v>Trd_hdt_dsl</v>
      </c>
      <c r="AK38" t="str">
        <f t="shared" ca="1" si="0"/>
        <v>Trd_hdt</v>
      </c>
      <c r="AL38">
        <f t="shared" ca="1" si="1"/>
        <v>25</v>
      </c>
      <c r="AN38" t="str">
        <f t="shared" ca="1" si="3"/>
        <v>DMD</v>
      </c>
      <c r="AO38" t="str">
        <f t="shared" ca="1" si="4"/>
        <v>Trd_hdt_dsl</v>
      </c>
      <c r="AQ38" t="s">
        <v>156</v>
      </c>
      <c r="AR38" t="s">
        <v>354</v>
      </c>
      <c r="AS38" t="s">
        <v>361</v>
      </c>
    </row>
    <row r="39" spans="1:45" x14ac:dyDescent="0.45">
      <c r="C39" t="str">
        <f t="shared" si="21"/>
        <v>TRAELC</v>
      </c>
      <c r="D39" s="40">
        <f t="shared" si="24"/>
        <v>50</v>
      </c>
      <c r="E39" s="40">
        <f t="shared" si="22"/>
        <v>50</v>
      </c>
      <c r="F39" s="40">
        <f t="shared" si="22"/>
        <v>50</v>
      </c>
      <c r="G39" s="40">
        <f t="shared" si="22"/>
        <v>50</v>
      </c>
      <c r="H39" s="40">
        <f t="shared" si="22"/>
        <v>50</v>
      </c>
      <c r="I39" s="40">
        <f t="shared" si="22"/>
        <v>50</v>
      </c>
      <c r="J39" s="40">
        <f t="shared" si="22"/>
        <v>50</v>
      </c>
      <c r="K39" s="40">
        <f t="shared" si="22"/>
        <v>50</v>
      </c>
      <c r="L39" s="40">
        <f t="shared" si="22"/>
        <v>50</v>
      </c>
      <c r="M39" s="40">
        <f t="shared" si="22"/>
        <v>50</v>
      </c>
      <c r="N39" s="40">
        <f t="shared" si="22"/>
        <v>50</v>
      </c>
      <c r="O39" s="40">
        <f t="shared" si="22"/>
        <v>50</v>
      </c>
      <c r="P39" s="40">
        <f t="shared" si="22"/>
        <v>50</v>
      </c>
      <c r="Q39" s="40">
        <f t="shared" si="22"/>
        <v>50</v>
      </c>
      <c r="R39" s="40">
        <f t="shared" si="22"/>
        <v>50</v>
      </c>
      <c r="S39" s="40">
        <f t="shared" si="22"/>
        <v>50</v>
      </c>
      <c r="T39" s="40">
        <f t="shared" si="22"/>
        <v>50</v>
      </c>
      <c r="U39" s="40">
        <f t="shared" si="22"/>
        <v>50</v>
      </c>
      <c r="V39" s="40">
        <f t="shared" si="22"/>
        <v>50</v>
      </c>
      <c r="W39" s="40">
        <f t="shared" si="22"/>
        <v>50</v>
      </c>
      <c r="X39" s="40">
        <f t="shared" si="22"/>
        <v>50</v>
      </c>
      <c r="Y39" s="40">
        <f t="shared" si="22"/>
        <v>50</v>
      </c>
      <c r="Z39" s="40">
        <f t="shared" si="22"/>
        <v>50</v>
      </c>
      <c r="AA39" s="40">
        <f t="shared" si="22"/>
        <v>50</v>
      </c>
      <c r="AB39" s="40">
        <f t="shared" si="22"/>
        <v>50</v>
      </c>
      <c r="AC39" s="40">
        <f t="shared" si="22"/>
        <v>50</v>
      </c>
      <c r="AD39" s="40">
        <f t="shared" si="22"/>
        <v>50</v>
      </c>
      <c r="AE39" s="40">
        <f t="shared" si="22"/>
        <v>50</v>
      </c>
      <c r="AF39" s="40">
        <f t="shared" si="22"/>
        <v>50</v>
      </c>
      <c r="AG39" s="40">
        <f t="shared" si="22"/>
        <v>50</v>
      </c>
      <c r="AI39" t="s">
        <v>351</v>
      </c>
      <c r="AJ39" s="1" t="str">
        <f t="shared" ca="1" si="23"/>
        <v>\I:</v>
      </c>
      <c r="AK39" t="str">
        <f t="shared" ca="1" si="0"/>
        <v>Trd_hdt</v>
      </c>
      <c r="AL39">
        <f t="shared" ca="1" si="1"/>
        <v>25</v>
      </c>
      <c r="AN39" t="str">
        <f t="shared" ca="1" si="3"/>
        <v>DMD</v>
      </c>
      <c r="AO39" t="str">
        <f t="shared" ca="1" si="4"/>
        <v>\I:</v>
      </c>
      <c r="AQ39" t="s">
        <v>156</v>
      </c>
      <c r="AR39" t="s">
        <v>354</v>
      </c>
      <c r="AS39" t="s">
        <v>361</v>
      </c>
    </row>
    <row r="40" spans="1:45" x14ac:dyDescent="0.45">
      <c r="C40" t="str">
        <f t="shared" si="21"/>
        <v>TRAGSL</v>
      </c>
      <c r="D40" s="40">
        <f t="shared" si="24"/>
        <v>50</v>
      </c>
      <c r="E40" s="40">
        <f t="shared" si="22"/>
        <v>50</v>
      </c>
      <c r="F40" s="40">
        <f t="shared" si="22"/>
        <v>50</v>
      </c>
      <c r="G40" s="40">
        <f t="shared" si="22"/>
        <v>50</v>
      </c>
      <c r="H40" s="40">
        <f t="shared" si="22"/>
        <v>50</v>
      </c>
      <c r="I40" s="40">
        <f t="shared" si="22"/>
        <v>50</v>
      </c>
      <c r="J40" s="40">
        <f t="shared" si="22"/>
        <v>50</v>
      </c>
      <c r="K40" s="40">
        <f t="shared" si="22"/>
        <v>50</v>
      </c>
      <c r="L40" s="40">
        <f t="shared" si="22"/>
        <v>50</v>
      </c>
      <c r="M40" s="40">
        <f t="shared" si="22"/>
        <v>50</v>
      </c>
      <c r="N40" s="40">
        <f t="shared" si="22"/>
        <v>50</v>
      </c>
      <c r="O40" s="40">
        <f t="shared" si="22"/>
        <v>50</v>
      </c>
      <c r="P40" s="40">
        <f t="shared" si="22"/>
        <v>50</v>
      </c>
      <c r="Q40" s="40">
        <f t="shared" si="22"/>
        <v>50</v>
      </c>
      <c r="R40" s="40">
        <f t="shared" si="22"/>
        <v>50</v>
      </c>
      <c r="S40" s="40">
        <f t="shared" si="22"/>
        <v>50</v>
      </c>
      <c r="T40" s="40">
        <f t="shared" si="22"/>
        <v>50</v>
      </c>
      <c r="U40" s="40">
        <f t="shared" si="22"/>
        <v>50</v>
      </c>
      <c r="V40" s="40">
        <f t="shared" si="22"/>
        <v>50</v>
      </c>
      <c r="W40" s="40">
        <f t="shared" si="22"/>
        <v>50</v>
      </c>
      <c r="X40" s="40">
        <f t="shared" si="22"/>
        <v>50</v>
      </c>
      <c r="Y40" s="40">
        <f t="shared" si="22"/>
        <v>50</v>
      </c>
      <c r="Z40" s="40">
        <f t="shared" si="22"/>
        <v>50</v>
      </c>
      <c r="AA40" s="40">
        <f t="shared" si="22"/>
        <v>50</v>
      </c>
      <c r="AB40" s="40">
        <f t="shared" si="22"/>
        <v>50</v>
      </c>
      <c r="AC40" s="40">
        <f t="shared" si="22"/>
        <v>50</v>
      </c>
      <c r="AD40" s="40">
        <f t="shared" si="22"/>
        <v>50</v>
      </c>
      <c r="AE40" s="40">
        <f t="shared" si="22"/>
        <v>50</v>
      </c>
      <c r="AF40" s="40">
        <f t="shared" si="22"/>
        <v>50</v>
      </c>
      <c r="AG40" s="40">
        <f t="shared" si="22"/>
        <v>50</v>
      </c>
      <c r="AI40" t="s">
        <v>351</v>
      </c>
      <c r="AJ40" s="1" t="str">
        <f t="shared" ca="1" si="23"/>
        <v>Trd_hdt_gsl</v>
      </c>
      <c r="AK40" t="str">
        <f t="shared" ca="1" si="0"/>
        <v>Trd_hdt</v>
      </c>
      <c r="AL40">
        <f t="shared" ca="1" si="1"/>
        <v>25</v>
      </c>
      <c r="AN40" t="str">
        <f t="shared" ca="1" si="3"/>
        <v>DMD</v>
      </c>
      <c r="AO40" t="str">
        <f t="shared" ca="1" si="4"/>
        <v>Trd_hdt_gsl</v>
      </c>
      <c r="AQ40" t="s">
        <v>156</v>
      </c>
      <c r="AR40" t="s">
        <v>354</v>
      </c>
      <c r="AS40" t="s">
        <v>361</v>
      </c>
    </row>
    <row r="41" spans="1:45" x14ac:dyDescent="0.45">
      <c r="C41" t="str">
        <f t="shared" si="21"/>
        <v>TRALPG</v>
      </c>
      <c r="D41" s="40">
        <f t="shared" si="24"/>
        <v>50</v>
      </c>
      <c r="E41" s="40">
        <f t="shared" si="22"/>
        <v>50</v>
      </c>
      <c r="F41" s="40">
        <f t="shared" si="22"/>
        <v>50</v>
      </c>
      <c r="G41" s="40">
        <f t="shared" si="22"/>
        <v>50</v>
      </c>
      <c r="H41" s="40">
        <f t="shared" si="22"/>
        <v>50</v>
      </c>
      <c r="I41" s="40">
        <f t="shared" si="22"/>
        <v>50</v>
      </c>
      <c r="J41" s="40">
        <f t="shared" si="22"/>
        <v>50</v>
      </c>
      <c r="K41" s="40">
        <f t="shared" si="22"/>
        <v>50</v>
      </c>
      <c r="L41" s="40">
        <f t="shared" si="22"/>
        <v>50</v>
      </c>
      <c r="M41" s="40">
        <f t="shared" si="22"/>
        <v>50</v>
      </c>
      <c r="N41" s="40">
        <f t="shared" si="22"/>
        <v>50</v>
      </c>
      <c r="O41" s="40">
        <f t="shared" si="22"/>
        <v>50</v>
      </c>
      <c r="P41" s="40">
        <f t="shared" si="22"/>
        <v>50</v>
      </c>
      <c r="Q41" s="40">
        <f t="shared" si="22"/>
        <v>50</v>
      </c>
      <c r="R41" s="40">
        <f t="shared" si="22"/>
        <v>50</v>
      </c>
      <c r="S41" s="40">
        <f t="shared" si="22"/>
        <v>50</v>
      </c>
      <c r="T41" s="40">
        <f t="shared" si="22"/>
        <v>50</v>
      </c>
      <c r="U41" s="40">
        <f t="shared" si="22"/>
        <v>50</v>
      </c>
      <c r="V41" s="40">
        <f t="shared" si="22"/>
        <v>50</v>
      </c>
      <c r="W41" s="40">
        <f t="shared" si="22"/>
        <v>50</v>
      </c>
      <c r="X41" s="40">
        <f t="shared" si="22"/>
        <v>50</v>
      </c>
      <c r="Y41" s="40">
        <f t="shared" si="22"/>
        <v>50</v>
      </c>
      <c r="Z41" s="40">
        <f t="shared" si="22"/>
        <v>50</v>
      </c>
      <c r="AA41" s="40">
        <f t="shared" si="22"/>
        <v>50</v>
      </c>
      <c r="AB41" s="40">
        <f t="shared" si="22"/>
        <v>50</v>
      </c>
      <c r="AC41" s="40">
        <f t="shared" si="22"/>
        <v>50</v>
      </c>
      <c r="AD41" s="40">
        <f t="shared" si="22"/>
        <v>50</v>
      </c>
      <c r="AE41" s="40">
        <f t="shared" si="22"/>
        <v>50</v>
      </c>
      <c r="AF41" s="40">
        <f t="shared" si="22"/>
        <v>50</v>
      </c>
      <c r="AG41" s="40">
        <f t="shared" si="22"/>
        <v>50</v>
      </c>
      <c r="AI41" t="s">
        <v>351</v>
      </c>
      <c r="AJ41" s="1" t="str">
        <f t="shared" ca="1" si="23"/>
        <v>\I:</v>
      </c>
      <c r="AK41" t="str">
        <f t="shared" ca="1" si="0"/>
        <v>Trd_hdt</v>
      </c>
      <c r="AL41">
        <f t="shared" ca="1" si="1"/>
        <v>25</v>
      </c>
      <c r="AN41" t="str">
        <f t="shared" ca="1" si="3"/>
        <v>DMD</v>
      </c>
      <c r="AO41" t="str">
        <f t="shared" ca="1" si="4"/>
        <v>\I:</v>
      </c>
      <c r="AQ41" t="s">
        <v>156</v>
      </c>
      <c r="AR41" t="s">
        <v>354</v>
      </c>
      <c r="AS41" t="s">
        <v>361</v>
      </c>
    </row>
    <row r="42" spans="1:45" x14ac:dyDescent="0.45">
      <c r="C42" t="str">
        <f t="shared" si="21"/>
        <v>TRANGA</v>
      </c>
      <c r="D42" s="40">
        <f t="shared" si="24"/>
        <v>50</v>
      </c>
      <c r="E42" s="40">
        <f t="shared" si="22"/>
        <v>50</v>
      </c>
      <c r="F42" s="40">
        <f t="shared" si="22"/>
        <v>50</v>
      </c>
      <c r="G42" s="40">
        <f t="shared" si="22"/>
        <v>50</v>
      </c>
      <c r="H42" s="40">
        <f t="shared" si="22"/>
        <v>50</v>
      </c>
      <c r="I42" s="40">
        <f t="shared" si="22"/>
        <v>50</v>
      </c>
      <c r="J42" s="40">
        <f t="shared" si="22"/>
        <v>50</v>
      </c>
      <c r="K42" s="40">
        <f t="shared" si="22"/>
        <v>50</v>
      </c>
      <c r="L42" s="40">
        <f t="shared" si="22"/>
        <v>50</v>
      </c>
      <c r="M42" s="40">
        <f t="shared" si="22"/>
        <v>50</v>
      </c>
      <c r="N42" s="40">
        <f t="shared" si="22"/>
        <v>50</v>
      </c>
      <c r="O42" s="40">
        <f t="shared" si="22"/>
        <v>50</v>
      </c>
      <c r="P42" s="40">
        <f t="shared" si="22"/>
        <v>50</v>
      </c>
      <c r="Q42" s="40">
        <f t="shared" si="22"/>
        <v>50</v>
      </c>
      <c r="R42" s="40">
        <f t="shared" si="22"/>
        <v>50</v>
      </c>
      <c r="S42" s="40">
        <f t="shared" si="22"/>
        <v>50</v>
      </c>
      <c r="T42" s="40">
        <f t="shared" si="22"/>
        <v>50</v>
      </c>
      <c r="U42" s="40">
        <f t="shared" si="22"/>
        <v>50</v>
      </c>
      <c r="V42" s="40">
        <f t="shared" si="22"/>
        <v>50</v>
      </c>
      <c r="W42" s="40">
        <f t="shared" si="22"/>
        <v>50</v>
      </c>
      <c r="X42" s="40">
        <f t="shared" si="22"/>
        <v>50</v>
      </c>
      <c r="Y42" s="40">
        <f t="shared" si="22"/>
        <v>50</v>
      </c>
      <c r="Z42" s="40">
        <f t="shared" si="22"/>
        <v>50</v>
      </c>
      <c r="AA42" s="40">
        <f t="shared" si="22"/>
        <v>50</v>
      </c>
      <c r="AB42" s="40">
        <f t="shared" si="22"/>
        <v>50</v>
      </c>
      <c r="AC42" s="40">
        <f t="shared" si="22"/>
        <v>50</v>
      </c>
      <c r="AD42" s="40">
        <f t="shared" si="22"/>
        <v>50</v>
      </c>
      <c r="AE42" s="40">
        <f t="shared" si="22"/>
        <v>50</v>
      </c>
      <c r="AF42" s="40">
        <f t="shared" si="22"/>
        <v>50</v>
      </c>
      <c r="AG42" s="40">
        <f t="shared" si="22"/>
        <v>50</v>
      </c>
      <c r="AI42" t="s">
        <v>351</v>
      </c>
      <c r="AJ42" s="1" t="str">
        <f t="shared" ca="1" si="23"/>
        <v>\I:</v>
      </c>
      <c r="AK42" t="str">
        <f t="shared" ca="1" si="0"/>
        <v>Trd_hdt</v>
      </c>
      <c r="AL42">
        <f t="shared" ca="1" si="1"/>
        <v>25</v>
      </c>
      <c r="AN42" t="str">
        <f t="shared" ca="1" si="3"/>
        <v>DMD</v>
      </c>
      <c r="AO42" t="str">
        <f t="shared" ca="1" si="4"/>
        <v>\I:</v>
      </c>
      <c r="AQ42" t="s">
        <v>156</v>
      </c>
      <c r="AR42" t="s">
        <v>354</v>
      </c>
      <c r="AS42" t="s">
        <v>361</v>
      </c>
    </row>
    <row r="43" spans="1:45" x14ac:dyDescent="0.45">
      <c r="AI43" t="s">
        <v>169</v>
      </c>
      <c r="AL43" t="str">
        <f t="shared" si="1"/>
        <v/>
      </c>
    </row>
    <row r="44" spans="1:45" x14ac:dyDescent="0.45">
      <c r="D44" s="40" t="str">
        <f>D3</f>
        <v>Africa_north</v>
      </c>
      <c r="E44" s="40" t="str">
        <f t="shared" ref="E44:T44" si="25">E3</f>
        <v>Africa_other</v>
      </c>
      <c r="F44" s="40" t="str">
        <f t="shared" si="25"/>
        <v>Arg-Chi</v>
      </c>
      <c r="G44" s="40" t="str">
        <f t="shared" si="25"/>
        <v>Asia_central</v>
      </c>
      <c r="H44" s="40" t="str">
        <f t="shared" si="25"/>
        <v>Asia_east</v>
      </c>
      <c r="I44" s="40" t="str">
        <f t="shared" si="25"/>
        <v>Asia_other</v>
      </c>
      <c r="J44" s="40" t="str">
        <f t="shared" si="25"/>
        <v>Australia_NZ</v>
      </c>
      <c r="K44" s="40" t="str">
        <f t="shared" si="25"/>
        <v>Brazil</v>
      </c>
      <c r="L44" s="40" t="str">
        <f t="shared" si="25"/>
        <v>Canada</v>
      </c>
      <c r="M44" s="40" t="str">
        <f t="shared" si="25"/>
        <v>China</v>
      </c>
      <c r="N44" s="40" t="str">
        <f t="shared" si="25"/>
        <v>EU_north</v>
      </c>
      <c r="O44" s="40" t="str">
        <f t="shared" si="25"/>
        <v>EU_northeast</v>
      </c>
      <c r="P44" s="40" t="str">
        <f t="shared" si="25"/>
        <v>EU_northwest</v>
      </c>
      <c r="Q44" s="40" t="str">
        <f t="shared" ref="Q44" si="26">Q3</f>
        <v>EU_south</v>
      </c>
      <c r="R44" s="40" t="str">
        <f t="shared" si="25"/>
        <v>EU_southeast</v>
      </c>
      <c r="S44" s="40" t="str">
        <f t="shared" si="25"/>
        <v>EU_southwest</v>
      </c>
      <c r="T44" s="40" t="str">
        <f t="shared" si="25"/>
        <v>Europe_other</v>
      </c>
      <c r="U44" s="40" t="str">
        <f t="shared" ref="U44:AG44" si="27">U3</f>
        <v>France</v>
      </c>
      <c r="V44" s="40" t="str">
        <f t="shared" si="27"/>
        <v>Germany</v>
      </c>
      <c r="W44" s="40" t="str">
        <f t="shared" si="27"/>
        <v>India</v>
      </c>
      <c r="X44" s="40" t="str">
        <f t="shared" si="27"/>
        <v>LatAm_other</v>
      </c>
      <c r="Y44" s="40" t="str">
        <f t="shared" si="27"/>
        <v>Mexico</v>
      </c>
      <c r="Z44" s="40" t="str">
        <f t="shared" si="27"/>
        <v>MidEast_other</v>
      </c>
      <c r="AA44" s="40" t="str">
        <f t="shared" si="27"/>
        <v>Nor-Ice</v>
      </c>
      <c r="AB44" s="40" t="str">
        <f t="shared" si="27"/>
        <v>Russia</v>
      </c>
      <c r="AC44" s="40" t="str">
        <f t="shared" si="27"/>
        <v>SaudiArabia</v>
      </c>
      <c r="AD44" s="40" t="str">
        <f t="shared" si="27"/>
        <v>SouthAfrica</v>
      </c>
      <c r="AE44" s="40" t="str">
        <f t="shared" si="27"/>
        <v>UK</v>
      </c>
      <c r="AF44" s="40" t="str">
        <f t="shared" si="27"/>
        <v>USA</v>
      </c>
      <c r="AG44" s="40" t="str">
        <f t="shared" si="27"/>
        <v>\I:</v>
      </c>
      <c r="AI44" t="s">
        <v>169</v>
      </c>
      <c r="AL44" t="str">
        <f t="shared" si="1"/>
        <v/>
      </c>
    </row>
    <row r="45" spans="1:45" x14ac:dyDescent="0.45">
      <c r="A45" t="s">
        <v>333</v>
      </c>
      <c r="D45" s="2">
        <f ca="1">SUMPRODUCT(D36:D42,D19:D25)</f>
        <v>63</v>
      </c>
      <c r="E45" s="2">
        <f t="shared" ref="E45:T45" ca="1" si="28">SUMPRODUCT(E36:E42,E19:E25)</f>
        <v>56.000000000000007</v>
      </c>
      <c r="F45" s="2">
        <f t="shared" ca="1" si="28"/>
        <v>55</v>
      </c>
      <c r="G45" s="2">
        <f t="shared" ca="1" si="28"/>
        <v>28</v>
      </c>
      <c r="H45" s="2">
        <f t="shared" ca="1" si="28"/>
        <v>184.5</v>
      </c>
      <c r="I45" s="2">
        <f t="shared" ca="1" si="28"/>
        <v>298</v>
      </c>
      <c r="J45" s="2">
        <f t="shared" ca="1" si="28"/>
        <v>60</v>
      </c>
      <c r="K45" s="2">
        <f t="shared" ca="1" si="28"/>
        <v>221.5</v>
      </c>
      <c r="L45" s="2">
        <f t="shared" ca="1" si="28"/>
        <v>78</v>
      </c>
      <c r="M45" s="2">
        <f t="shared" ca="1" si="28"/>
        <v>284.5</v>
      </c>
      <c r="N45" s="2">
        <f t="shared" ca="1" si="28"/>
        <v>17</v>
      </c>
      <c r="O45" s="2">
        <f t="shared" ca="1" si="28"/>
        <v>64</v>
      </c>
      <c r="P45" s="2">
        <f t="shared" ca="1" si="28"/>
        <v>31.5</v>
      </c>
      <c r="Q45" s="2">
        <f t="shared" ref="Q45" ca="1" si="29">SUMPRODUCT(Q36:Q42,Q19:Q25)</f>
        <v>47</v>
      </c>
      <c r="R45" s="2">
        <f t="shared" ca="1" si="28"/>
        <v>27.5</v>
      </c>
      <c r="S45" s="2">
        <f t="shared" ca="1" si="28"/>
        <v>50</v>
      </c>
      <c r="T45" s="2">
        <f t="shared" ca="1" si="28"/>
        <v>138</v>
      </c>
      <c r="U45" s="2">
        <f t="shared" ref="U45:AG45" ca="1" si="30">SUMPRODUCT(U36:U42,U19:U25)</f>
        <v>60.999999999999993</v>
      </c>
      <c r="V45" s="2">
        <f t="shared" ca="1" si="30"/>
        <v>64.5</v>
      </c>
      <c r="W45" s="2">
        <f t="shared" ca="1" si="30"/>
        <v>127</v>
      </c>
      <c r="X45" s="2">
        <f t="shared" ca="1" si="30"/>
        <v>112.49999999999999</v>
      </c>
      <c r="Y45" s="2">
        <f t="shared" ca="1" si="30"/>
        <v>47.5</v>
      </c>
      <c r="Z45" s="2">
        <f t="shared" ca="1" si="30"/>
        <v>175.5</v>
      </c>
      <c r="AA45" s="2">
        <f t="shared" ca="1" si="30"/>
        <v>5</v>
      </c>
      <c r="AB45" s="2">
        <f t="shared" ca="1" si="30"/>
        <v>90.5</v>
      </c>
      <c r="AC45" s="2">
        <f t="shared" ca="1" si="30"/>
        <v>95</v>
      </c>
      <c r="AD45" s="2">
        <f t="shared" ca="1" si="30"/>
        <v>19.5</v>
      </c>
      <c r="AE45" s="2">
        <f t="shared" ca="1" si="30"/>
        <v>47</v>
      </c>
      <c r="AF45" s="2">
        <f t="shared" ca="1" si="30"/>
        <v>799</v>
      </c>
      <c r="AG45" s="2">
        <f t="shared" ca="1" si="30"/>
        <v>0</v>
      </c>
      <c r="AI45" t="s">
        <v>352</v>
      </c>
      <c r="AK45" t="s">
        <v>356</v>
      </c>
      <c r="AL45" t="str">
        <f t="shared" si="1"/>
        <v/>
      </c>
    </row>
  </sheetData>
  <conditionalFormatting sqref="D17:P17 R17:T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:AG17 U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D9D0-7C3C-4EB3-93BC-BF592ACB9E78}">
  <dimension ref="A3:AH40"/>
  <sheetViews>
    <sheetView zoomScaleNormal="100" workbookViewId="0"/>
  </sheetViews>
  <sheetFormatPr defaultRowHeight="14.25" x14ac:dyDescent="0.45"/>
  <cols>
    <col min="2" max="2" width="2" bestFit="1" customWidth="1"/>
    <col min="4" max="4" width="6.1328125" bestFit="1" customWidth="1"/>
    <col min="5" max="6" width="8.1328125" bestFit="1" customWidth="1"/>
    <col min="7" max="7" width="7.46484375" bestFit="1" customWidth="1"/>
    <col min="8" max="8" width="8.86328125" bestFit="1" customWidth="1"/>
    <col min="9" max="9" width="5.86328125" bestFit="1" customWidth="1"/>
    <col min="10" max="10" width="7.46484375" bestFit="1" customWidth="1"/>
    <col min="11" max="11" width="6" bestFit="1" customWidth="1"/>
    <col min="12" max="13" width="5.53125" bestFit="1" customWidth="1"/>
    <col min="14" max="14" width="7.33203125" bestFit="1" customWidth="1"/>
    <col min="15" max="15" width="6.53125" bestFit="1" customWidth="1"/>
    <col min="16" max="16" width="5.46484375" bestFit="1" customWidth="1"/>
    <col min="17" max="17" width="7.46484375" bestFit="1" customWidth="1"/>
    <col min="18" max="18" width="8" bestFit="1" customWidth="1"/>
    <col min="19" max="20" width="6.53125" bestFit="1" customWidth="1"/>
    <col min="21" max="33" width="6.53125" customWidth="1"/>
  </cols>
  <sheetData>
    <row r="3" spans="1:34" x14ac:dyDescent="0.45">
      <c r="D3" t="str">
        <f>'TRA balance'!E4</f>
        <v>Africa_north</v>
      </c>
      <c r="E3" t="str">
        <f>'TRA balance'!F4</f>
        <v>Africa_other</v>
      </c>
      <c r="F3" t="str">
        <f>'TRA balance'!G4</f>
        <v>Arg-Chi</v>
      </c>
      <c r="G3" t="str">
        <f>'TRA balance'!H4</f>
        <v>Asia_central</v>
      </c>
      <c r="H3" t="str">
        <f>'TRA balance'!I4</f>
        <v>Asia_east</v>
      </c>
      <c r="I3" t="str">
        <f>'TRA balance'!J4</f>
        <v>Asia_other</v>
      </c>
      <c r="J3" t="str">
        <f>'TRA balance'!K4</f>
        <v>Australia_NZ</v>
      </c>
      <c r="K3" t="str">
        <f>'TRA balance'!L4</f>
        <v>Brazil</v>
      </c>
      <c r="L3" t="str">
        <f>'TRA balance'!M4</f>
        <v>Canada</v>
      </c>
      <c r="M3" t="str">
        <f>'TRA balance'!N4</f>
        <v>China</v>
      </c>
      <c r="N3" t="str">
        <f>'TRA balance'!O4</f>
        <v>EU_north</v>
      </c>
      <c r="O3" t="str">
        <f>'TRA balance'!P4</f>
        <v>EU_northeast</v>
      </c>
      <c r="P3" t="str">
        <f>'TRA balance'!Q4</f>
        <v>EU_northwest</v>
      </c>
      <c r="Q3" t="str">
        <f>'TRA balance'!R4</f>
        <v>EU_south</v>
      </c>
      <c r="R3" t="str">
        <f>'TRA balance'!S4</f>
        <v>EU_southeast</v>
      </c>
      <c r="S3" t="str">
        <f>'TRA balance'!T4</f>
        <v>EU_southwest</v>
      </c>
      <c r="T3" t="str">
        <f>'TRA balance'!U4</f>
        <v>Europe_other</v>
      </c>
      <c r="U3" t="str">
        <f>'TRA balance'!V4</f>
        <v>France</v>
      </c>
      <c r="V3" t="str">
        <f>'TRA balance'!W4</f>
        <v>Germany</v>
      </c>
      <c r="W3" t="str">
        <f>'TRA balance'!X4</f>
        <v>India</v>
      </c>
      <c r="X3" t="str">
        <f>'TRA balance'!Y4</f>
        <v>LatAm_other</v>
      </c>
      <c r="Y3" t="str">
        <f>'TRA balance'!Z4</f>
        <v>Mexico</v>
      </c>
      <c r="Z3" t="str">
        <f>'TRA balance'!AA4</f>
        <v>MidEast_other</v>
      </c>
      <c r="AA3" t="str">
        <f>'TRA balance'!AB4</f>
        <v>Nor-Ice</v>
      </c>
      <c r="AB3" t="str">
        <f>'TRA balance'!AC4</f>
        <v>Russia</v>
      </c>
      <c r="AC3" t="str">
        <f>'TRA balance'!AD4</f>
        <v>SaudiArabia</v>
      </c>
      <c r="AD3" t="str">
        <f>'TRA balance'!AE4</f>
        <v>SouthAfrica</v>
      </c>
      <c r="AE3" t="str">
        <f>'TRA balance'!AF4</f>
        <v>UK</v>
      </c>
      <c r="AF3" t="str">
        <f>'TRA balance'!AG4</f>
        <v>USA</v>
      </c>
      <c r="AG3" t="str">
        <f>'TRA balance'!AH4</f>
        <v>\I:</v>
      </c>
    </row>
    <row r="4" spans="1:34" x14ac:dyDescent="0.45">
      <c r="A4" t="s">
        <v>25</v>
      </c>
      <c r="C4" s="35" t="s">
        <v>32</v>
      </c>
      <c r="D4" s="2" cm="1">
        <f t="array" aca="1" ref="D4" ca="1">SUM(SUMIFS(Assumptions!AN$3:AN$102,Assumptions!$B$3:$B$102,Trucks!$C4,Assumptions!$G$3:$G$102,{"TRH","TRM","TRC"}))</f>
        <v>0</v>
      </c>
      <c r="E4" s="2" cm="1">
        <f t="array" aca="1" ref="E4" ca="1">SUM(SUMIFS(Assumptions!AO$3:AO$102,Assumptions!$B$3:$B$102,Trucks!$C4,Assumptions!$G$3:$G$102,{"TRH","TRM","TRC"}))</f>
        <v>0</v>
      </c>
      <c r="F4" s="2" cm="1">
        <f t="array" aca="1" ref="F4" ca="1">SUM(SUMIFS(Assumptions!AP$3:AP$102,Assumptions!$B$3:$B$102,Trucks!$C4,Assumptions!$G$3:$G$102,{"TRH","TRM","TRC"}))</f>
        <v>35.453136154172398</v>
      </c>
      <c r="G4" s="2" cm="1">
        <f t="array" aca="1" ref="G4" ca="1">SUM(SUMIFS(Assumptions!AQ$3:AQ$102,Assumptions!$B$3:$B$102,Trucks!$C4,Assumptions!$G$3:$G$102,{"TRH","TRM","TRC"}))</f>
        <v>8.2118639159999996E-3</v>
      </c>
      <c r="H4" s="2" cm="1">
        <f t="array" aca="1" ref="H4" ca="1">SUM(SUMIFS(Assumptions!AR$3:AR$102,Assumptions!$B$3:$B$102,Trucks!$C4,Assumptions!$G$3:$G$102,{"TRH","TRM","TRC"}))</f>
        <v>24.701836145426999</v>
      </c>
      <c r="I4" s="2" cm="1">
        <f t="array" aca="1" ref="I4" ca="1">SUM(SUMIFS(Assumptions!AS$3:AS$102,Assumptions!$B$3:$B$102,Trucks!$C4,Assumptions!$G$3:$G$102,{"TRH","TRM","TRC"}))</f>
        <v>201.56455050631922</v>
      </c>
      <c r="J4" s="2" cm="1">
        <f t="array" aca="1" ref="J4" ca="1">SUM(SUMIFS(Assumptions!AT$3:AT$102,Assumptions!$B$3:$B$102,Trucks!$C4,Assumptions!$G$3:$G$102,{"TRH","TRM","TRC"}))</f>
        <v>0.17807708066399999</v>
      </c>
      <c r="K4" s="2" cm="1">
        <f t="array" aca="1" ref="K4" ca="1">SUM(SUMIFS(Assumptions!AU$3:AU$102,Assumptions!$B$3:$B$102,Trucks!$C4,Assumptions!$G$3:$G$102,{"TRH","TRM","TRC"}))</f>
        <v>544.91204663642156</v>
      </c>
      <c r="L4" s="2" cm="1">
        <f t="array" aca="1" ref="L4" ca="1">SUM(SUMIFS(Assumptions!AV$3:AV$102,Assumptions!$B$3:$B$102,Trucks!$C4,Assumptions!$G$3:$G$102,{"TRH","TRM","TRC"}))</f>
        <v>19.940643625240799</v>
      </c>
      <c r="M4" s="2" cm="1">
        <f t="array" aca="1" ref="M4" ca="1">SUM(SUMIFS(Assumptions!AW$3:AW$102,Assumptions!$B$3:$B$102,Trucks!$C4,Assumptions!$G$3:$G$102,{"TRH","TRM","TRC"}))</f>
        <v>22.332739688297998</v>
      </c>
      <c r="N4" s="2" cm="1">
        <f t="array" aca="1" ref="N4" ca="1">SUM(SUMIFS(Assumptions!AX$3:AX$102,Assumptions!$B$3:$B$102,Trucks!$C4,Assumptions!$G$3:$G$102,{"TRH","TRM","TRC"}))</f>
        <v>34.819024953146119</v>
      </c>
      <c r="O4" s="2" cm="1">
        <f t="array" aca="1" ref="O4" ca="1">SUM(SUMIFS(Assumptions!AY$3:AY$102,Assumptions!$B$3:$B$102,Trucks!$C4,Assumptions!$G$3:$G$102,{"TRH","TRM","TRC"}))</f>
        <v>39.146562312496769</v>
      </c>
      <c r="P4" s="2" cm="1">
        <f t="array" aca="1" ref="P4" ca="1">SUM(SUMIFS(Assumptions!AZ$3:AZ$102,Assumptions!$B$3:$B$102,Trucks!$C4,Assumptions!$G$3:$G$102,{"TRH","TRM","TRC"}))</f>
        <v>21.237685292310367</v>
      </c>
      <c r="Q4" s="2" cm="1">
        <f t="array" aca="1" ref="Q4" ca="1">SUM(SUMIFS(Assumptions!BA$3:BA$102,Assumptions!$B$3:$B$102,Trucks!$C4,Assumptions!$G$3:$G$102,{"TRH","TRM","TRC"}))</f>
        <v>29.042158571529633</v>
      </c>
      <c r="R4" s="2" cm="1">
        <f t="array" aca="1" ref="R4" ca="1">SUM(SUMIFS(Assumptions!BB$3:BB$102,Assumptions!$B$3:$B$102,Trucks!$C4,Assumptions!$G$3:$G$102,{"TRH","TRM","TRC"}))</f>
        <v>17.034985378470992</v>
      </c>
      <c r="S4" s="2" cm="1">
        <f t="array" aca="1" ref="S4" ca="1">SUM(SUMIFS(Assumptions!BC$3:BC$102,Assumptions!$B$3:$B$102,Trucks!$C4,Assumptions!$G$3:$G$102,{"TRH","TRM","TRC"}))</f>
        <v>35.751688649777904</v>
      </c>
      <c r="T4" s="2" cm="1">
        <f t="array" aca="1" ref="T4" ca="1">SUM(SUMIFS(Assumptions!BD$3:BD$102,Assumptions!$B$3:$B$102,Trucks!$C4,Assumptions!$G$3:$G$102,{"TRH","TRM","TRC"}))</f>
        <v>13.089607835616002</v>
      </c>
      <c r="U4" s="2" cm="1">
        <f t="array" aca="1" ref="U4" ca="1">SUM(SUMIFS(Assumptions!BE$3:BE$102,Assumptions!$B$3:$B$102,Trucks!$C4,Assumptions!$G$3:$G$102,{"TRH","TRM","TRC"}))</f>
        <v>51.356753974583768</v>
      </c>
      <c r="V4" s="2" cm="1">
        <f t="array" aca="1" ref="V4" ca="1">SUM(SUMIFS(Assumptions!BF$3:BF$102,Assumptions!$B$3:$B$102,Trucks!$C4,Assumptions!$G$3:$G$102,{"TRH","TRM","TRC"}))</f>
        <v>38.428385086083999</v>
      </c>
      <c r="W4" s="2" cm="1">
        <f t="array" aca="1" ref="W4" ca="1">SUM(SUMIFS(Assumptions!BG$3:BG$102,Assumptions!$B$3:$B$102,Trucks!$C4,Assumptions!$G$3:$G$102,{"TRH","TRM","TRC"}))</f>
        <v>0.92077780320000002</v>
      </c>
      <c r="X4" s="2" cm="1">
        <f t="array" aca="1" ref="X4" ca="1">SUM(SUMIFS(Assumptions!BH$3:BH$102,Assumptions!$B$3:$B$102,Trucks!$C4,Assumptions!$G$3:$G$102,{"TRH","TRM","TRC"}))</f>
        <v>26.705437020539996</v>
      </c>
      <c r="Y4" s="2" cm="1">
        <f t="array" aca="1" ref="Y4" ca="1">SUM(SUMIFS(Assumptions!BI$3:BI$102,Assumptions!$B$3:$B$102,Trucks!$C4,Assumptions!$G$3:$G$102,{"TRH","TRM","TRC"}))</f>
        <v>0</v>
      </c>
      <c r="Z4" s="2" cm="1">
        <f t="array" aca="1" ref="Z4" ca="1">SUM(SUMIFS(Assumptions!BJ$3:BJ$102,Assumptions!$B$3:$B$102,Trucks!$C4,Assumptions!$G$3:$G$102,{"TRH","TRM","TRC"}))</f>
        <v>0</v>
      </c>
      <c r="AA4" s="2" cm="1">
        <f t="array" aca="1" ref="AA4" ca="1">SUM(SUMIFS(Assumptions!BK$3:BK$102,Assumptions!$B$3:$B$102,Trucks!$C4,Assumptions!$G$3:$G$102,{"TRH","TRM","TRC"}))</f>
        <v>8.8384619907758406</v>
      </c>
      <c r="AB4" s="2" cm="1">
        <f t="array" aca="1" ref="AB4" ca="1">SUM(SUMIFS(Assumptions!BL$3:BL$102,Assumptions!$B$3:$B$102,Trucks!$C4,Assumptions!$G$3:$G$102,{"TRH","TRM","TRC"}))</f>
        <v>0</v>
      </c>
      <c r="AC4" s="2" cm="1">
        <f t="array" aca="1" ref="AC4" ca="1">SUM(SUMIFS(Assumptions!BM$3:BM$102,Assumptions!$B$3:$B$102,Trucks!$C4,Assumptions!$G$3:$G$102,{"TRH","TRM","TRC"}))</f>
        <v>0</v>
      </c>
      <c r="AD4" s="2" cm="1">
        <f t="array" aca="1" ref="AD4" ca="1">SUM(SUMIFS(Assumptions!BN$3:BN$102,Assumptions!$B$3:$B$102,Trucks!$C4,Assumptions!$G$3:$G$102,{"TRH","TRM","TRC"}))</f>
        <v>0</v>
      </c>
      <c r="AE4" s="2" cm="1">
        <f t="array" aca="1" ref="AE4" ca="1">SUM(SUMIFS(Assumptions!BO$3:BO$102,Assumptions!$B$3:$B$102,Trucks!$C4,Assumptions!$G$3:$G$102,{"TRH","TRM","TRC"}))</f>
        <v>25.694883418273136</v>
      </c>
      <c r="AF4" s="2" cm="1">
        <f t="array" aca="1" ref="AF4" ca="1">SUM(SUMIFS(Assumptions!BP$3:BP$102,Assumptions!$B$3:$B$102,Trucks!$C4,Assumptions!$G$3:$G$102,{"TRH","TRM","TRC"}))</f>
        <v>171.22454885111031</v>
      </c>
      <c r="AG4" s="2" cm="1">
        <f t="array" aca="1" ref="AG4" ca="1">SUM(SUMIFS(Assumptions!BQ$3:BQ$102,Assumptions!$B$3:$B$102,Trucks!$C4,Assumptions!$G$3:$G$102,{"TRH","TRM","TRC"}))</f>
        <v>0</v>
      </c>
    </row>
    <row r="5" spans="1:34" x14ac:dyDescent="0.45">
      <c r="A5" t="s">
        <v>25</v>
      </c>
      <c r="C5" s="35" t="s">
        <v>33</v>
      </c>
      <c r="D5" s="2" cm="1">
        <f t="array" aca="1" ref="D5" ca="1">SUM(SUMIFS(Assumptions!AN$3:AN$102,Assumptions!$B$3:$B$102,Trucks!$C5,Assumptions!$G$3:$G$102,{"TRH","TRM","TRC"}))</f>
        <v>0</v>
      </c>
      <c r="E5" s="2" cm="1">
        <f t="array" aca="1" ref="E5" ca="1">SUM(SUMIFS(Assumptions!AO$3:AO$102,Assumptions!$B$3:$B$102,Trucks!$C5,Assumptions!$G$3:$G$102,{"TRH","TRM","TRC"}))</f>
        <v>0</v>
      </c>
      <c r="F5" s="2" cm="1">
        <f t="array" aca="1" ref="F5" ca="1">SUM(SUMIFS(Assumptions!AP$3:AP$102,Assumptions!$B$3:$B$102,Trucks!$C5,Assumptions!$G$3:$G$102,{"TRH","TRM","TRC"}))</f>
        <v>1.9847231319167995</v>
      </c>
      <c r="G5" s="2" cm="1">
        <f t="array" aca="1" ref="G5" ca="1">SUM(SUMIFS(Assumptions!AQ$3:AQ$102,Assumptions!$B$3:$B$102,Trucks!$C5,Assumptions!$G$3:$G$102,{"TRH","TRM","TRC"}))</f>
        <v>0</v>
      </c>
      <c r="H5" s="2" cm="1">
        <f t="array" aca="1" ref="H5" ca="1">SUM(SUMIFS(Assumptions!AR$3:AR$102,Assumptions!$B$3:$B$102,Trucks!$C5,Assumptions!$G$3:$G$102,{"TRH","TRM","TRC"}))</f>
        <v>1.6636848512399998</v>
      </c>
      <c r="I5" s="2" cm="1">
        <f t="array" aca="1" ref="I5" ca="1">SUM(SUMIFS(Assumptions!AS$3:AS$102,Assumptions!$B$3:$B$102,Trucks!$C5,Assumptions!$G$3:$G$102,{"TRH","TRM","TRC"}))</f>
        <v>0</v>
      </c>
      <c r="J5" s="2" cm="1">
        <f t="array" aca="1" ref="J5" ca="1">SUM(SUMIFS(Assumptions!AT$3:AT$102,Assumptions!$B$3:$B$102,Trucks!$C5,Assumptions!$G$3:$G$102,{"TRH","TRM","TRC"}))</f>
        <v>0.5186424876839999</v>
      </c>
      <c r="K5" s="2" cm="1">
        <f t="array" aca="1" ref="K5" ca="1">SUM(SUMIFS(Assumptions!AU$3:AU$102,Assumptions!$B$3:$B$102,Trucks!$C5,Assumptions!$G$3:$G$102,{"TRH","TRM","TRC"}))</f>
        <v>20.763912321820801</v>
      </c>
      <c r="L5" s="2" cm="1">
        <f t="array" aca="1" ref="L5" ca="1">SUM(SUMIFS(Assumptions!AV$3:AV$102,Assumptions!$B$3:$B$102,Trucks!$C5,Assumptions!$G$3:$G$102,{"TRH","TRM","TRC"}))</f>
        <v>2.5389699072192022</v>
      </c>
      <c r="M5" s="2" cm="1">
        <f t="array" aca="1" ref="M5" ca="1">SUM(SUMIFS(Assumptions!AW$3:AW$102,Assumptions!$B$3:$B$102,Trucks!$C5,Assumptions!$G$3:$G$102,{"TRH","TRM","TRC"}))</f>
        <v>7.7183999642880003</v>
      </c>
      <c r="N5" s="2" cm="1">
        <f t="array" aca="1" ref="N5" ca="1">SUM(SUMIFS(Assumptions!AX$3:AX$102,Assumptions!$B$3:$B$102,Trucks!$C5,Assumptions!$G$3:$G$102,{"TRH","TRM","TRC"}))</f>
        <v>0.2673250468254002</v>
      </c>
      <c r="O5" s="2" cm="1">
        <f t="array" aca="1" ref="O5" ca="1">SUM(SUMIFS(Assumptions!AY$3:AY$102,Assumptions!$B$3:$B$102,Trucks!$C5,Assumptions!$G$3:$G$102,{"TRH","TRM","TRC"}))</f>
        <v>0.40876531846920039</v>
      </c>
      <c r="P5" s="2" cm="1">
        <f t="array" aca="1" ref="P5" ca="1">SUM(SUMIFS(Assumptions!AZ$3:AZ$102,Assumptions!$B$3:$B$102,Trucks!$C5,Assumptions!$G$3:$G$102,{"TRH","TRM","TRC"}))</f>
        <v>0.44618569548300036</v>
      </c>
      <c r="Q5" s="2" cm="1">
        <f t="array" aca="1" ref="Q5" ca="1">SUM(SUMIFS(Assumptions!BA$3:BA$102,Assumptions!$B$3:$B$102,Trucks!$C5,Assumptions!$G$3:$G$102,{"TRH","TRM","TRC"}))</f>
        <v>6.6332458391400048E-2</v>
      </c>
      <c r="R5" s="2" cm="1">
        <f t="array" aca="1" ref="R5" ca="1">SUM(SUMIFS(Assumptions!BB$3:BB$102,Assumptions!$B$3:$B$102,Trucks!$C5,Assumptions!$G$3:$G$102,{"TRH","TRM","TRC"}))</f>
        <v>0.20412305460720021</v>
      </c>
      <c r="S5" s="2" cm="1">
        <f t="array" aca="1" ref="S5" ca="1">SUM(SUMIFS(Assumptions!BC$3:BC$102,Assumptions!$B$3:$B$102,Trucks!$C5,Assumptions!$G$3:$G$102,{"TRH","TRM","TRC"}))</f>
        <v>0.16523327407860014</v>
      </c>
      <c r="T5" s="2" cm="1">
        <f t="array" aca="1" ref="T5" ca="1">SUM(SUMIFS(Assumptions!BD$3:BD$102,Assumptions!$B$3:$B$102,Trucks!$C5,Assumptions!$G$3:$G$102,{"TRH","TRM","TRC"}))</f>
        <v>1.9587923703360004</v>
      </c>
      <c r="U5" s="2" cm="1">
        <f t="array" aca="1" ref="U5" ca="1">SUM(SUMIFS(Assumptions!BE$3:BE$102,Assumptions!$B$3:$B$102,Trucks!$C5,Assumptions!$G$3:$G$102,{"TRH","TRM","TRC"}))</f>
        <v>0.77953009504860071</v>
      </c>
      <c r="V5" s="2" cm="1">
        <f t="array" aca="1" ref="V5" ca="1">SUM(SUMIFS(Assumptions!BF$3:BF$102,Assumptions!$B$3:$B$102,Trucks!$C5,Assumptions!$G$3:$G$102,{"TRH","TRM","TRC"}))</f>
        <v>0.85777858607940083</v>
      </c>
      <c r="W5" s="2" cm="1">
        <f t="array" aca="1" ref="W5" ca="1">SUM(SUMIFS(Assumptions!BG$3:BG$102,Assumptions!$B$3:$B$102,Trucks!$C5,Assumptions!$G$3:$G$102,{"TRH","TRM","TRC"}))</f>
        <v>0</v>
      </c>
      <c r="X5" s="2" cm="1">
        <f t="array" aca="1" ref="X5" ca="1">SUM(SUMIFS(Assumptions!BH$3:BH$102,Assumptions!$B$3:$B$102,Trucks!$C5,Assumptions!$G$3:$G$102,{"TRH","TRM","TRC"}))</f>
        <v>2.6871557312159999</v>
      </c>
      <c r="Y5" s="2" cm="1">
        <f t="array" aca="1" ref="Y5" ca="1">SUM(SUMIFS(Assumptions!BI$3:BI$102,Assumptions!$B$3:$B$102,Trucks!$C5,Assumptions!$G$3:$G$102,{"TRH","TRM","TRC"}))</f>
        <v>0</v>
      </c>
      <c r="Z5" s="2" cm="1">
        <f t="array" aca="1" ref="Z5" ca="1">SUM(SUMIFS(Assumptions!BJ$3:BJ$102,Assumptions!$B$3:$B$102,Trucks!$C5,Assumptions!$G$3:$G$102,{"TRH","TRM","TRC"}))</f>
        <v>0</v>
      </c>
      <c r="AA5" s="2" cm="1">
        <f t="array" aca="1" ref="AA5" ca="1">SUM(SUMIFS(Assumptions!BK$3:BK$102,Assumptions!$B$3:$B$102,Trucks!$C5,Assumptions!$G$3:$G$102,{"TRH","TRM","TRC"}))</f>
        <v>5.5643193739800041E-2</v>
      </c>
      <c r="AB5" s="2" cm="1">
        <f t="array" aca="1" ref="AB5" ca="1">SUM(SUMIFS(Assumptions!BL$3:BL$102,Assumptions!$B$3:$B$102,Trucks!$C5,Assumptions!$G$3:$G$102,{"TRH","TRM","TRC"}))</f>
        <v>0</v>
      </c>
      <c r="AC5" s="2" cm="1">
        <f t="array" aca="1" ref="AC5" ca="1">SUM(SUMIFS(Assumptions!BM$3:BM$102,Assumptions!$B$3:$B$102,Trucks!$C5,Assumptions!$G$3:$G$102,{"TRH","TRM","TRC"}))</f>
        <v>0</v>
      </c>
      <c r="AD5" s="2" cm="1">
        <f t="array" aca="1" ref="AD5" ca="1">SUM(SUMIFS(Assumptions!BN$3:BN$102,Assumptions!$B$3:$B$102,Trucks!$C5,Assumptions!$G$3:$G$102,{"TRH","TRM","TRC"}))</f>
        <v>0</v>
      </c>
      <c r="AE5" s="2" cm="1">
        <f t="array" aca="1" ref="AE5" ca="1">SUM(SUMIFS(Assumptions!BO$3:BO$102,Assumptions!$B$3:$B$102,Trucks!$C5,Assumptions!$G$3:$G$102,{"TRH","TRM","TRC"}))</f>
        <v>0.45643095627480035</v>
      </c>
      <c r="AF5" s="2" cm="1">
        <f t="array" aca="1" ref="AF5" ca="1">SUM(SUMIFS(Assumptions!BP$3:BP$102,Assumptions!$B$3:$B$102,Trucks!$C5,Assumptions!$G$3:$G$102,{"TRH","TRM","TRC"}))</f>
        <v>272.30907969683994</v>
      </c>
      <c r="AG5" s="2" cm="1">
        <f t="array" aca="1" ref="AG5" ca="1">SUM(SUMIFS(Assumptions!BQ$3:BQ$102,Assumptions!$B$3:$B$102,Trucks!$C5,Assumptions!$G$3:$G$102,{"TRH","TRM","TRC"}))</f>
        <v>0</v>
      </c>
    </row>
    <row r="6" spans="1:34" x14ac:dyDescent="0.45">
      <c r="A6" t="s">
        <v>25</v>
      </c>
      <c r="C6" s="35" t="s">
        <v>41</v>
      </c>
      <c r="D6" s="2" cm="1">
        <f t="array" aca="1" ref="D6" ca="1">SUM(SUMIFS(Assumptions!AN$3:AN$102,Assumptions!$B$3:$B$102,Trucks!$C6,Assumptions!$G$3:$G$102,{"TRH","TRM","TRC"}))</f>
        <v>650.53202093451</v>
      </c>
      <c r="E6" s="2" cm="1">
        <f t="array" aca="1" ref="E6" ca="1">SUM(SUMIFS(Assumptions!AO$3:AO$102,Assumptions!$B$3:$B$102,Trucks!$C6,Assumptions!$G$3:$G$102,{"TRH","TRM","TRC"}))</f>
        <v>578.113157771136</v>
      </c>
      <c r="F6" s="2" cm="1">
        <f t="array" aca="1" ref="F6" ca="1">SUM(SUMIFS(Assumptions!AP$3:AP$102,Assumptions!$B$3:$B$102,Trucks!$C6,Assumptions!$G$3:$G$102,{"TRH","TRM","TRC"}))</f>
        <v>396.75375906412324</v>
      </c>
      <c r="G6" s="2" cm="1">
        <f t="array" aca="1" ref="G6" ca="1">SUM(SUMIFS(Assumptions!AQ$3:AQ$102,Assumptions!$B$3:$B$102,Trucks!$C6,Assumptions!$G$3:$G$102,{"TRH","TRM","TRC"}))</f>
        <v>168.28239809656796</v>
      </c>
      <c r="H6" s="2" cm="1">
        <f t="array" aca="1" ref="H6" ca="1">SUM(SUMIFS(Assumptions!AR$3:AR$102,Assumptions!$B$3:$B$102,Trucks!$C6,Assumptions!$G$3:$G$102,{"TRH","TRM","TRC"}))</f>
        <v>1548.1563591782967</v>
      </c>
      <c r="I6" s="2" cm="1">
        <f t="array" aca="1" ref="I6" ca="1">SUM(SUMIFS(Assumptions!AS$3:AS$102,Assumptions!$B$3:$B$102,Trucks!$C6,Assumptions!$G$3:$G$102,{"TRH","TRM","TRC"}))</f>
        <v>2218.0497255108071</v>
      </c>
      <c r="J6" s="2" cm="1">
        <f t="array" aca="1" ref="J6" ca="1">SUM(SUMIFS(Assumptions!AT$3:AT$102,Assumptions!$B$3:$B$102,Trucks!$C6,Assumptions!$G$3:$G$102,{"TRH","TRM","TRC"}))</f>
        <v>562.25685321461879</v>
      </c>
      <c r="K6" s="2" cm="1">
        <f t="array" aca="1" ref="K6" ca="1">SUM(SUMIFS(Assumptions!AU$3:AU$102,Assumptions!$B$3:$B$102,Trucks!$C6,Assumptions!$G$3:$G$102,{"TRH","TRM","TRC"}))</f>
        <v>1201.9249928489326</v>
      </c>
      <c r="L6" s="2" cm="1">
        <f t="array" aca="1" ref="L6" ca="1">SUM(SUMIFS(Assumptions!AV$3:AV$102,Assumptions!$B$3:$B$102,Trucks!$C6,Assumptions!$G$3:$G$102,{"TRH","TRM","TRC"}))</f>
        <v>600.34052063129764</v>
      </c>
      <c r="M6" s="2" cm="1">
        <f t="array" aca="1" ref="M6" ca="1">SUM(SUMIFS(Assumptions!AW$3:AW$102,Assumptions!$B$3:$B$102,Trucks!$C6,Assumptions!$G$3:$G$102,{"TRH","TRM","TRC"}))</f>
        <v>2317.8066915605937</v>
      </c>
      <c r="N6" s="2" cm="1">
        <f t="array" aca="1" ref="N6" ca="1">SUM(SUMIFS(Assumptions!AX$3:AX$102,Assumptions!$B$3:$B$102,Trucks!$C6,Assumptions!$G$3:$G$102,{"TRH","TRM","TRC"}))</f>
        <v>156.67112987676353</v>
      </c>
      <c r="O6" s="2" cm="1">
        <f t="array" aca="1" ref="O6" ca="1">SUM(SUMIFS(Assumptions!AY$3:AY$102,Assumptions!$B$3:$B$102,Trucks!$C6,Assumptions!$G$3:$G$102,{"TRH","TRM","TRC"}))</f>
        <v>649.28631446290615</v>
      </c>
      <c r="P6" s="2" cm="1">
        <f t="array" aca="1" ref="P6" ca="1">SUM(SUMIFS(Assumptions!AZ$3:AZ$102,Assumptions!$B$3:$B$102,Trucks!$C6,Assumptions!$G$3:$G$102,{"TRH","TRM","TRC"}))</f>
        <v>326.2908505201936</v>
      </c>
      <c r="Q6" s="2" cm="1">
        <f t="array" aca="1" ref="Q6" ca="1">SUM(SUMIFS(Assumptions!BA$3:BA$102,Assumptions!$B$3:$B$102,Trucks!$C6,Assumptions!$G$3:$G$102,{"TRH","TRM","TRC"}))</f>
        <v>491.87893362512813</v>
      </c>
      <c r="R6" s="2" cm="1">
        <f t="array" aca="1" ref="R6" ca="1">SUM(SUMIFS(Assumptions!BB$3:BB$102,Assumptions!$B$3:$B$102,Trucks!$C6,Assumptions!$G$3:$G$102,{"TRH","TRM","TRC"}))</f>
        <v>276.0509173851791</v>
      </c>
      <c r="S6" s="2" cm="1">
        <f t="array" aca="1" ref="S6" ca="1">SUM(SUMIFS(Assumptions!BC$3:BC$102,Assumptions!$B$3:$B$102,Trucks!$C6,Assumptions!$G$3:$G$102,{"TRH","TRM","TRC"}))</f>
        <v>521.89987503842553</v>
      </c>
      <c r="T6" s="2" cm="1">
        <f t="array" aca="1" ref="T6" ca="1">SUM(SUMIFS(Assumptions!BD$3:BD$102,Assumptions!$B$3:$B$102,Trucks!$C6,Assumptions!$G$3:$G$102,{"TRH","TRM","TRC"}))</f>
        <v>1126.3135757343839</v>
      </c>
      <c r="U6" s="2" cm="1">
        <f t="array" aca="1" ref="U6" ca="1">SUM(SUMIFS(Assumptions!BE$3:BE$102,Assumptions!$B$3:$B$102,Trucks!$C6,Assumptions!$G$3:$G$102,{"TRH","TRM","TRC"}))</f>
        <v>625.00756416729439</v>
      </c>
      <c r="V6" s="2" cm="1">
        <f t="array" aca="1" ref="V6" ca="1">SUM(SUMIFS(Assumptions!BF$3:BF$102,Assumptions!$B$3:$B$102,Trucks!$C6,Assumptions!$G$3:$G$102,{"TRH","TRM","TRC"}))</f>
        <v>674.98828046002177</v>
      </c>
      <c r="W6" s="2" cm="1">
        <f t="array" aca="1" ref="W6" ca="1">SUM(SUMIFS(Assumptions!BG$3:BG$102,Assumptions!$B$3:$B$102,Trucks!$C6,Assumptions!$G$3:$G$102,{"TRH","TRM","TRC"}))</f>
        <v>1368.9331428935252</v>
      </c>
      <c r="X6" s="2" cm="1">
        <f t="array" aca="1" ref="X6" ca="1">SUM(SUMIFS(Assumptions!BH$3:BH$102,Assumptions!$B$3:$B$102,Trucks!$C6,Assumptions!$G$3:$G$102,{"TRH","TRM","TRC"}))</f>
        <v>837.29220465484798</v>
      </c>
      <c r="Y6" s="2" cm="1">
        <f t="array" aca="1" ref="Y6" ca="1">SUM(SUMIFS(Assumptions!BI$3:BI$102,Assumptions!$B$3:$B$102,Trucks!$C6,Assumptions!$G$3:$G$102,{"TRH","TRM","TRC"}))</f>
        <v>395.64707895057603</v>
      </c>
      <c r="Z6" s="2" cm="1">
        <f t="array" aca="1" ref="Z6" ca="1">SUM(SUMIFS(Assumptions!BJ$3:BJ$102,Assumptions!$B$3:$B$102,Trucks!$C6,Assumptions!$G$3:$G$102,{"TRH","TRM","TRC"}))</f>
        <v>1213.1904016417679</v>
      </c>
      <c r="AA6" s="2" cm="1">
        <f t="array" aca="1" ref="AA6" ca="1">SUM(SUMIFS(Assumptions!BK$3:BK$102,Assumptions!$B$3:$B$102,Trucks!$C6,Assumptions!$G$3:$G$102,{"TRH","TRM","TRC"}))</f>
        <v>46.790419545882045</v>
      </c>
      <c r="AB6" s="2" cm="1">
        <f t="array" aca="1" ref="AB6" ca="1">SUM(SUMIFS(Assumptions!BL$3:BL$102,Assumptions!$B$3:$B$102,Trucks!$C6,Assumptions!$G$3:$G$102,{"TRH","TRM","TRC"}))</f>
        <v>527.10709810246203</v>
      </c>
      <c r="AC6" s="2" cm="1">
        <f t="array" aca="1" ref="AC6" ca="1">SUM(SUMIFS(Assumptions!BM$3:BM$102,Assumptions!$B$3:$B$102,Trucks!$C6,Assumptions!$G$3:$G$102,{"TRH","TRM","TRC"}))</f>
        <v>689.95696650803995</v>
      </c>
      <c r="AD6" s="2" cm="1">
        <f t="array" aca="1" ref="AD6" ca="1">SUM(SUMIFS(Assumptions!BN$3:BN$102,Assumptions!$B$3:$B$102,Trucks!$C6,Assumptions!$G$3:$G$102,{"TRH","TRM","TRC"}))</f>
        <v>203.06999167603198</v>
      </c>
      <c r="AE6" s="2" cm="1">
        <f t="array" aca="1" ref="AE6" ca="1">SUM(SUMIFS(Assumptions!BO$3:BO$102,Assumptions!$B$3:$B$102,Trucks!$C6,Assumptions!$G$3:$G$102,{"TRH","TRM","TRC"}))</f>
        <v>495.54008422362551</v>
      </c>
      <c r="AF6" s="2" cm="1">
        <f t="array" aca="1" ref="AF6" ca="1">SUM(SUMIFS(Assumptions!BP$3:BP$102,Assumptions!$B$3:$B$102,Trucks!$C6,Assumptions!$G$3:$G$102,{"TRH","TRM","TRC"}))</f>
        <v>4812.2141243592296</v>
      </c>
      <c r="AG6" s="2" cm="1">
        <f t="array" aca="1" ref="AG6" ca="1">SUM(SUMIFS(Assumptions!BQ$3:BQ$102,Assumptions!$B$3:$B$102,Trucks!$C6,Assumptions!$G$3:$G$102,{"TRH","TRM","TRC"}))</f>
        <v>0</v>
      </c>
    </row>
    <row r="7" spans="1:34" x14ac:dyDescent="0.45">
      <c r="A7" t="s">
        <v>25</v>
      </c>
      <c r="C7" s="35" t="s">
        <v>37</v>
      </c>
      <c r="D7" s="2" cm="1">
        <f t="array" aca="1" ref="D7" ca="1">SUM(SUMIFS(Assumptions!AN$3:AN$102,Assumptions!$B$3:$B$102,Trucks!$C7,Assumptions!$G$3:$G$102,{"TRH","TRM","TRC"}))</f>
        <v>0</v>
      </c>
      <c r="E7" s="2" cm="1">
        <f t="array" aca="1" ref="E7" ca="1">SUM(SUMIFS(Assumptions!AO$3:AO$102,Assumptions!$B$3:$B$102,Trucks!$C7,Assumptions!$G$3:$G$102,{"TRH","TRM","TRC"}))</f>
        <v>0</v>
      </c>
      <c r="F7" s="2" cm="1">
        <f t="array" aca="1" ref="F7" ca="1">SUM(SUMIFS(Assumptions!AP$3:AP$102,Assumptions!$B$3:$B$102,Trucks!$C7,Assumptions!$G$3:$G$102,{"TRH","TRM","TRC"}))</f>
        <v>0</v>
      </c>
      <c r="G7" s="2" cm="1">
        <f t="array" aca="1" ref="G7" ca="1">SUM(SUMIFS(Assumptions!AQ$3:AQ$102,Assumptions!$B$3:$B$102,Trucks!$C7,Assumptions!$G$3:$G$102,{"TRH","TRM","TRC"}))</f>
        <v>0</v>
      </c>
      <c r="H7" s="2" cm="1">
        <f t="array" aca="1" ref="H7" ca="1">SUM(SUMIFS(Assumptions!AR$3:AR$102,Assumptions!$B$3:$B$102,Trucks!$C7,Assumptions!$G$3:$G$102,{"TRH","TRM","TRC"}))</f>
        <v>0</v>
      </c>
      <c r="I7" s="2" cm="1">
        <f t="array" aca="1" ref="I7" ca="1">SUM(SUMIFS(Assumptions!AS$3:AS$102,Assumptions!$B$3:$B$102,Trucks!$C7,Assumptions!$G$3:$G$102,{"TRH","TRM","TRC"}))</f>
        <v>0</v>
      </c>
      <c r="J7" s="2" cm="1">
        <f t="array" aca="1" ref="J7" ca="1">SUM(SUMIFS(Assumptions!AT$3:AT$102,Assumptions!$B$3:$B$102,Trucks!$C7,Assumptions!$G$3:$G$102,{"TRH","TRM","TRC"}))</f>
        <v>0</v>
      </c>
      <c r="K7" s="2" cm="1">
        <f t="array" aca="1" ref="K7" ca="1">SUM(SUMIFS(Assumptions!AU$3:AU$102,Assumptions!$B$3:$B$102,Trucks!$C7,Assumptions!$G$3:$G$102,{"TRH","TRM","TRC"}))</f>
        <v>0</v>
      </c>
      <c r="L7" s="2" cm="1">
        <f t="array" aca="1" ref="L7" ca="1">SUM(SUMIFS(Assumptions!AV$3:AV$102,Assumptions!$B$3:$B$102,Trucks!$C7,Assumptions!$G$3:$G$102,{"TRH","TRM","TRC"}))</f>
        <v>0</v>
      </c>
      <c r="M7" s="2" cm="1">
        <f t="array" aca="1" ref="M7" ca="1">SUM(SUMIFS(Assumptions!AW$3:AW$102,Assumptions!$B$3:$B$102,Trucks!$C7,Assumptions!$G$3:$G$102,{"TRH","TRM","TRC"}))</f>
        <v>24.536301367319993</v>
      </c>
      <c r="N7" s="2" cm="1">
        <f t="array" aca="1" ref="N7" ca="1">SUM(SUMIFS(Assumptions!AX$3:AX$102,Assumptions!$B$3:$B$102,Trucks!$C7,Assumptions!$G$3:$G$102,{"TRH","TRM","TRC"}))</f>
        <v>0</v>
      </c>
      <c r="O7" s="2" cm="1">
        <f t="array" aca="1" ref="O7" ca="1">SUM(SUMIFS(Assumptions!AY$3:AY$102,Assumptions!$B$3:$B$102,Trucks!$C7,Assumptions!$G$3:$G$102,{"TRH","TRM","TRC"}))</f>
        <v>0</v>
      </c>
      <c r="P7" s="2" cm="1">
        <f t="array" aca="1" ref="P7" ca="1">SUM(SUMIFS(Assumptions!AZ$3:AZ$102,Assumptions!$B$3:$B$102,Trucks!$C7,Assumptions!$G$3:$G$102,{"TRH","TRM","TRC"}))</f>
        <v>0</v>
      </c>
      <c r="Q7" s="2" cm="1">
        <f t="array" aca="1" ref="Q7" ca="1">SUM(SUMIFS(Assumptions!BA$3:BA$102,Assumptions!$B$3:$B$102,Trucks!$C7,Assumptions!$G$3:$G$102,{"TRH","TRM","TRC"}))</f>
        <v>0</v>
      </c>
      <c r="R7" s="2" cm="1">
        <f t="array" aca="1" ref="R7" ca="1">SUM(SUMIFS(Assumptions!BB$3:BB$102,Assumptions!$B$3:$B$102,Trucks!$C7,Assumptions!$G$3:$G$102,{"TRH","TRM","TRC"}))</f>
        <v>0</v>
      </c>
      <c r="S7" s="2" cm="1">
        <f t="array" aca="1" ref="S7" ca="1">SUM(SUMIFS(Assumptions!BC$3:BC$102,Assumptions!$B$3:$B$102,Trucks!$C7,Assumptions!$G$3:$G$102,{"TRH","TRM","TRC"}))</f>
        <v>0</v>
      </c>
      <c r="T7" s="2" cm="1">
        <f t="array" aca="1" ref="T7" ca="1">SUM(SUMIFS(Assumptions!BD$3:BD$102,Assumptions!$B$3:$B$102,Trucks!$C7,Assumptions!$G$3:$G$102,{"TRH","TRM","TRC"}))</f>
        <v>0</v>
      </c>
      <c r="U7" s="2" cm="1">
        <f t="array" aca="1" ref="U7" ca="1">SUM(SUMIFS(Assumptions!BE$3:BE$102,Assumptions!$B$3:$B$102,Trucks!$C7,Assumptions!$G$3:$G$102,{"TRH","TRM","TRC"}))</f>
        <v>0</v>
      </c>
      <c r="V7" s="2" cm="1">
        <f t="array" aca="1" ref="V7" ca="1">SUM(SUMIFS(Assumptions!BF$3:BF$102,Assumptions!$B$3:$B$102,Trucks!$C7,Assumptions!$G$3:$G$102,{"TRH","TRM","TRC"}))</f>
        <v>0</v>
      </c>
      <c r="W7" s="2" cm="1">
        <f t="array" aca="1" ref="W7" ca="1">SUM(SUMIFS(Assumptions!BG$3:BG$102,Assumptions!$B$3:$B$102,Trucks!$C7,Assumptions!$G$3:$G$102,{"TRH","TRM","TRC"}))</f>
        <v>0</v>
      </c>
      <c r="X7" s="2" cm="1">
        <f t="array" aca="1" ref="X7" ca="1">SUM(SUMIFS(Assumptions!BH$3:BH$102,Assumptions!$B$3:$B$102,Trucks!$C7,Assumptions!$G$3:$G$102,{"TRH","TRM","TRC"}))</f>
        <v>0</v>
      </c>
      <c r="Y7" s="2" cm="1">
        <f t="array" aca="1" ref="Y7" ca="1">SUM(SUMIFS(Assumptions!BI$3:BI$102,Assumptions!$B$3:$B$102,Trucks!$C7,Assumptions!$G$3:$G$102,{"TRH","TRM","TRC"}))</f>
        <v>0</v>
      </c>
      <c r="Z7" s="2" cm="1">
        <f t="array" aca="1" ref="Z7" ca="1">SUM(SUMIFS(Assumptions!BJ$3:BJ$102,Assumptions!$B$3:$B$102,Trucks!$C7,Assumptions!$G$3:$G$102,{"TRH","TRM","TRC"}))</f>
        <v>0</v>
      </c>
      <c r="AA7" s="2" cm="1">
        <f t="array" aca="1" ref="AA7" ca="1">SUM(SUMIFS(Assumptions!BK$3:BK$102,Assumptions!$B$3:$B$102,Trucks!$C7,Assumptions!$G$3:$G$102,{"TRH","TRM","TRC"}))</f>
        <v>0</v>
      </c>
      <c r="AB7" s="2" cm="1">
        <f t="array" aca="1" ref="AB7" ca="1">SUM(SUMIFS(Assumptions!BL$3:BL$102,Assumptions!$B$3:$B$102,Trucks!$C7,Assumptions!$G$3:$G$102,{"TRH","TRM","TRC"}))</f>
        <v>0</v>
      </c>
      <c r="AC7" s="2" cm="1">
        <f t="array" aca="1" ref="AC7" ca="1">SUM(SUMIFS(Assumptions!BM$3:BM$102,Assumptions!$B$3:$B$102,Trucks!$C7,Assumptions!$G$3:$G$102,{"TRH","TRM","TRC"}))</f>
        <v>0</v>
      </c>
      <c r="AD7" s="2" cm="1">
        <f t="array" aca="1" ref="AD7" ca="1">SUM(SUMIFS(Assumptions!BN$3:BN$102,Assumptions!$B$3:$B$102,Trucks!$C7,Assumptions!$G$3:$G$102,{"TRH","TRM","TRC"}))</f>
        <v>0</v>
      </c>
      <c r="AE7" s="2" cm="1">
        <f t="array" aca="1" ref="AE7" ca="1">SUM(SUMIFS(Assumptions!BO$3:BO$102,Assumptions!$B$3:$B$102,Trucks!$C7,Assumptions!$G$3:$G$102,{"TRH","TRM","TRC"}))</f>
        <v>0</v>
      </c>
      <c r="AF7" s="2" cm="1">
        <f t="array" aca="1" ref="AF7" ca="1">SUM(SUMIFS(Assumptions!BP$3:BP$102,Assumptions!$B$3:$B$102,Trucks!$C7,Assumptions!$G$3:$G$102,{"TRH","TRM","TRC"}))</f>
        <v>0</v>
      </c>
      <c r="AG7" s="2" cm="1">
        <f t="array" aca="1" ref="AG7" ca="1">SUM(SUMIFS(Assumptions!BQ$3:BQ$102,Assumptions!$B$3:$B$102,Trucks!$C7,Assumptions!$G$3:$G$102,{"TRH","TRM","TRC"}))</f>
        <v>0</v>
      </c>
    </row>
    <row r="8" spans="1:34" x14ac:dyDescent="0.45">
      <c r="A8" t="s">
        <v>25</v>
      </c>
      <c r="C8" s="35" t="s">
        <v>42</v>
      </c>
      <c r="D8" s="2" cm="1">
        <f t="array" aca="1" ref="D8" ca="1">SUM(SUMIFS(Assumptions!AN$3:AN$102,Assumptions!$B$3:$B$102,Trucks!$C8,Assumptions!$G$3:$G$102,{"TRH","TRM","TRC"}))</f>
        <v>0</v>
      </c>
      <c r="E8" s="2" cm="1">
        <f t="array" aca="1" ref="E8" ca="1">SUM(SUMIFS(Assumptions!AO$3:AO$102,Assumptions!$B$3:$B$102,Trucks!$C8,Assumptions!$G$3:$G$102,{"TRH","TRM","TRC"}))</f>
        <v>0</v>
      </c>
      <c r="F8" s="2" cm="1">
        <f t="array" aca="1" ref="F8" ca="1">SUM(SUMIFS(Assumptions!AP$3:AP$102,Assumptions!$B$3:$B$102,Trucks!$C8,Assumptions!$G$3:$G$102,{"TRH","TRM","TRC"}))</f>
        <v>36.098261053430392</v>
      </c>
      <c r="G8" s="2" cm="1">
        <f t="array" aca="1" ref="G8" ca="1">SUM(SUMIFS(Assumptions!AQ$3:AQ$102,Assumptions!$B$3:$B$102,Trucks!$C8,Assumptions!$G$3:$G$102,{"TRH","TRM","TRC"}))</f>
        <v>116.91643994852404</v>
      </c>
      <c r="H8" s="2" cm="1">
        <f t="array" aca="1" ref="H8" ca="1">SUM(SUMIFS(Assumptions!AR$3:AR$102,Assumptions!$B$3:$B$102,Trucks!$C8,Assumptions!$G$3:$G$102,{"TRH","TRM","TRC"}))</f>
        <v>201.72047031287997</v>
      </c>
      <c r="I8" s="2" cm="1">
        <f t="array" aca="1" ref="I8" ca="1">SUM(SUMIFS(Assumptions!AS$3:AS$102,Assumptions!$B$3:$B$102,Trucks!$C8,Assumptions!$G$3:$G$102,{"TRH","TRM","TRC"}))</f>
        <v>0</v>
      </c>
      <c r="J8" s="2" cm="1">
        <f t="array" aca="1" ref="J8" ca="1">SUM(SUMIFS(Assumptions!AT$3:AT$102,Assumptions!$B$3:$B$102,Trucks!$C8,Assumptions!$G$3:$G$102,{"TRH","TRM","TRC"}))</f>
        <v>64.107237767957997</v>
      </c>
      <c r="K8" s="2" cm="1">
        <f t="array" aca="1" ref="K8" ca="1">SUM(SUMIFS(Assumptions!AU$3:AU$102,Assumptions!$B$3:$B$102,Trucks!$C8,Assumptions!$G$3:$G$102,{"TRH","TRM","TRC"}))</f>
        <v>79.040001953404783</v>
      </c>
      <c r="L8" s="2" cm="1">
        <f t="array" aca="1" ref="L8" ca="1">SUM(SUMIFS(Assumptions!AV$3:AV$102,Assumptions!$B$3:$B$102,Trucks!$C8,Assumptions!$G$3:$G$102,{"TRH","TRM","TRC"}))</f>
        <v>51.659162816781652</v>
      </c>
      <c r="M8" s="2" cm="1">
        <f t="array" aca="1" ref="M8" ca="1">SUM(SUMIFS(Assumptions!AW$3:AW$102,Assumptions!$B$3:$B$102,Trucks!$C8,Assumptions!$G$3:$G$102,{"TRH","TRM","TRC"}))</f>
        <v>542.01644846301588</v>
      </c>
      <c r="N8" s="2" cm="1">
        <f t="array" aca="1" ref="N8" ca="1">SUM(SUMIFS(Assumptions!AX$3:AX$102,Assumptions!$B$3:$B$102,Trucks!$C8,Assumptions!$G$3:$G$102,{"TRH","TRM","TRC"}))</f>
        <v>5.4196476191460041</v>
      </c>
      <c r="O8" s="2" cm="1">
        <f t="array" aca="1" ref="O8" ca="1">SUM(SUMIFS(Assumptions!AY$3:AY$102,Assumptions!$B$3:$B$102,Trucks!$C8,Assumptions!$G$3:$G$102,{"TRH","TRM","TRC"}))</f>
        <v>10.302578582029209</v>
      </c>
      <c r="P8" s="2" cm="1">
        <f t="array" aca="1" ref="P8" ca="1">SUM(SUMIFS(Assumptions!AZ$3:AZ$102,Assumptions!$B$3:$B$102,Trucks!$C8,Assumptions!$G$3:$G$102,{"TRH","TRM","TRC"}))</f>
        <v>8.5541245478730072</v>
      </c>
      <c r="Q8" s="2" cm="1">
        <f t="array" aca="1" ref="Q8" ca="1">SUM(SUMIFS(Assumptions!BA$3:BA$102,Assumptions!$B$3:$B$102,Trucks!$C8,Assumptions!$G$3:$G$102,{"TRH","TRM","TRC"}))</f>
        <v>12.525609010842013</v>
      </c>
      <c r="R8" s="2" cm="1">
        <f t="array" aca="1" ref="R8" ca="1">SUM(SUMIFS(Assumptions!BB$3:BB$102,Assumptions!$B$3:$B$102,Trucks!$C8,Assumptions!$G$3:$G$102,{"TRH","TRM","TRC"}))</f>
        <v>4.764230548095604</v>
      </c>
      <c r="S8" s="2" cm="1">
        <f t="array" aca="1" ref="S8" ca="1">SUM(SUMIFS(Assumptions!BC$3:BC$102,Assumptions!$B$3:$B$102,Trucks!$C8,Assumptions!$G$3:$G$102,{"TRH","TRM","TRC"}))</f>
        <v>7.7274527218632061</v>
      </c>
      <c r="T8" s="2" cm="1">
        <f t="array" aca="1" ref="T8" ca="1">SUM(SUMIFS(Assumptions!BD$3:BD$102,Assumptions!$B$3:$B$102,Trucks!$C8,Assumptions!$G$3:$G$102,{"TRH","TRM","TRC"}))</f>
        <v>99.724771395792018</v>
      </c>
      <c r="U8" s="2" cm="1">
        <f t="array" aca="1" ref="U8" ca="1">SUM(SUMIFS(Assumptions!BE$3:BE$102,Assumptions!$B$3:$B$102,Trucks!$C8,Assumptions!$G$3:$G$102,{"TRH","TRM","TRC"}))</f>
        <v>9.379442168076606</v>
      </c>
      <c r="V8" s="2" cm="1">
        <f t="array" aca="1" ref="V8" ca="1">SUM(SUMIFS(Assumptions!BF$3:BF$102,Assumptions!$B$3:$B$102,Trucks!$C8,Assumptions!$G$3:$G$102,{"TRH","TRM","TRC"}))</f>
        <v>20.594441993581817</v>
      </c>
      <c r="W8" s="2" cm="1">
        <f t="array" aca="1" ref="W8" ca="1">SUM(SUMIFS(Assumptions!BG$3:BG$102,Assumptions!$B$3:$B$102,Trucks!$C8,Assumptions!$G$3:$G$102,{"TRH","TRM","TRC"}))</f>
        <v>0</v>
      </c>
      <c r="X8" s="2" cm="1">
        <f t="array" aca="1" ref="X8" ca="1">SUM(SUMIFS(Assumptions!BH$3:BH$102,Assumptions!$B$3:$B$102,Trucks!$C8,Assumptions!$G$3:$G$102,{"TRH","TRM","TRC"}))</f>
        <v>114.18731318015998</v>
      </c>
      <c r="Y8" s="2" cm="1">
        <f t="array" aca="1" ref="Y8" ca="1">SUM(SUMIFS(Assumptions!BI$3:BI$102,Assumptions!$B$3:$B$102,Trucks!$C8,Assumptions!$G$3:$G$102,{"TRH","TRM","TRC"}))</f>
        <v>67.370712234156059</v>
      </c>
      <c r="Z8" s="2" cm="1">
        <f t="array" aca="1" ref="Z8" ca="1">SUM(SUMIFS(Assumptions!BJ$3:BJ$102,Assumptions!$B$3:$B$102,Trucks!$C8,Assumptions!$G$3:$G$102,{"TRH","TRM","TRC"}))</f>
        <v>637.09845175746011</v>
      </c>
      <c r="AA8" s="2" cm="1">
        <f t="array" aca="1" ref="AA8" ca="1">SUM(SUMIFS(Assumptions!BK$3:BK$102,Assumptions!$B$3:$B$102,Trucks!$C8,Assumptions!$G$3:$G$102,{"TRH","TRM","TRC"}))</f>
        <v>0.9439372904598009</v>
      </c>
      <c r="AB8" s="2" cm="1">
        <f t="array" aca="1" ref="AB8" ca="1">SUM(SUMIFS(Assumptions!BL$3:BL$102,Assumptions!$B$3:$B$102,Trucks!$C8,Assumptions!$G$3:$G$102,{"TRH","TRM","TRC"}))</f>
        <v>425.52408385524609</v>
      </c>
      <c r="AC8" s="2" cm="1">
        <f t="array" aca="1" ref="AC8" ca="1">SUM(SUMIFS(Assumptions!BM$3:BM$102,Assumptions!$B$3:$B$102,Trucks!$C8,Assumptions!$G$3:$G$102,{"TRH","TRM","TRC"}))</f>
        <v>275.23008579261602</v>
      </c>
      <c r="AD8" s="2" cm="1">
        <f t="array" aca="1" ref="AD8" ca="1">SUM(SUMIFS(Assumptions!BN$3:BN$102,Assumptions!$B$3:$B$102,Trucks!$C8,Assumptions!$G$3:$G$102,{"TRH","TRM","TRC"}))</f>
        <v>0</v>
      </c>
      <c r="AE8" s="2" cm="1">
        <f t="array" aca="1" ref="AE8" ca="1">SUM(SUMIFS(Assumptions!BO$3:BO$102,Assumptions!$B$3:$B$102,Trucks!$C8,Assumptions!$G$3:$G$102,{"TRH","TRM","TRC"}))</f>
        <v>14.747303258022614</v>
      </c>
      <c r="AF8" s="2" cm="1">
        <f t="array" aca="1" ref="AF8" ca="1">SUM(SUMIFS(Assumptions!BP$3:BP$102,Assumptions!$B$3:$B$102,Trucks!$C8,Assumptions!$G$3:$G$102,{"TRH","TRM","TRC"}))</f>
        <v>3082.6434728803279</v>
      </c>
      <c r="AG8" s="2" cm="1">
        <f t="array" aca="1" ref="AG8" ca="1">SUM(SUMIFS(Assumptions!BQ$3:BQ$102,Assumptions!$B$3:$B$102,Trucks!$C8,Assumptions!$G$3:$G$102,{"TRH","TRM","TRC"}))</f>
        <v>0</v>
      </c>
    </row>
    <row r="9" spans="1:34" x14ac:dyDescent="0.45">
      <c r="A9" t="s">
        <v>25</v>
      </c>
      <c r="C9" s="35" t="s">
        <v>39</v>
      </c>
      <c r="D9" s="2" cm="1">
        <f t="array" aca="1" ref="D9" ca="1">SUM(SUMIFS(Assumptions!AN$3:AN$102,Assumptions!$B$3:$B$102,Trucks!$C9,Assumptions!$G$3:$G$102,{"TRH","TRM","TRC"}))</f>
        <v>12.023197888464001</v>
      </c>
      <c r="E9" s="2" cm="1">
        <f t="array" aca="1" ref="E9" ca="1">SUM(SUMIFS(Assumptions!AO$3:AO$102,Assumptions!$B$3:$B$102,Trucks!$C9,Assumptions!$G$3:$G$102,{"TRH","TRM","TRC"}))</f>
        <v>6.9001813440000004E-3</v>
      </c>
      <c r="F9" s="2" cm="1">
        <f t="array" aca="1" ref="F9" ca="1">SUM(SUMIFS(Assumptions!AP$3:AP$102,Assumptions!$B$3:$B$102,Trucks!$C9,Assumptions!$G$3:$G$102,{"TRH","TRM","TRC"}))</f>
        <v>0</v>
      </c>
      <c r="G9" s="2" cm="1">
        <f t="array" aca="1" ref="G9" ca="1">SUM(SUMIFS(Assumptions!AQ$3:AQ$102,Assumptions!$B$3:$B$102,Trucks!$C9,Assumptions!$G$3:$G$102,{"TRH","TRM","TRC"}))</f>
        <v>8.1368145630360011</v>
      </c>
      <c r="H9" s="2" cm="1">
        <f t="array" aca="1" ref="H9" ca="1">SUM(SUMIFS(Assumptions!AR$3:AR$102,Assumptions!$B$3:$B$102,Trucks!$C9,Assumptions!$G$3:$G$102,{"TRH","TRM","TRC"}))</f>
        <v>75.425346318996006</v>
      </c>
      <c r="I9" s="2" cm="1">
        <f t="array" aca="1" ref="I9" ca="1">SUM(SUMIFS(Assumptions!AS$3:AS$102,Assumptions!$B$3:$B$102,Trucks!$C9,Assumptions!$G$3:$G$102,{"TRH","TRM","TRC"}))</f>
        <v>4.9783870135080015</v>
      </c>
      <c r="J9" s="2" cm="1">
        <f t="array" aca="1" ref="J9" ca="1">SUM(SUMIFS(Assumptions!AT$3:AT$102,Assumptions!$B$3:$B$102,Trucks!$C9,Assumptions!$G$3:$G$102,{"TRH","TRM","TRC"}))</f>
        <v>2.3010332509799998</v>
      </c>
      <c r="K9" s="2" cm="1">
        <f t="array" aca="1" ref="K9" ca="1">SUM(SUMIFS(Assumptions!AU$3:AU$102,Assumptions!$B$3:$B$102,Trucks!$C9,Assumptions!$G$3:$G$102,{"TRH","TRM","TRC"}))</f>
        <v>0</v>
      </c>
      <c r="L9" s="2" cm="1">
        <f t="array" aca="1" ref="L9" ca="1">SUM(SUMIFS(Assumptions!AV$3:AV$102,Assumptions!$B$3:$B$102,Trucks!$C9,Assumptions!$G$3:$G$102,{"TRH","TRM","TRC"}))</f>
        <v>1.0926300333599999</v>
      </c>
      <c r="M9" s="2" cm="1">
        <f t="array" aca="1" ref="M9" ca="1">SUM(SUMIFS(Assumptions!AW$3:AW$102,Assumptions!$B$3:$B$102,Trucks!$C9,Assumptions!$G$3:$G$102,{"TRH","TRM","TRC"}))</f>
        <v>10.872444520367997</v>
      </c>
      <c r="N9" s="2" cm="1">
        <f t="array" aca="1" ref="N9" ca="1">SUM(SUMIFS(Assumptions!AX$3:AX$102,Assumptions!$B$3:$B$102,Trucks!$C9,Assumptions!$G$3:$G$102,{"TRH","TRM","TRC"}))</f>
        <v>0</v>
      </c>
      <c r="O9" s="2" cm="1">
        <f t="array" aca="1" ref="O9" ca="1">SUM(SUMIFS(Assumptions!AY$3:AY$102,Assumptions!$B$3:$B$102,Trucks!$C9,Assumptions!$G$3:$G$102,{"TRH","TRM","TRC"}))</f>
        <v>43.084122546384002</v>
      </c>
      <c r="P9" s="2" cm="1">
        <f t="array" aca="1" ref="P9" ca="1">SUM(SUMIFS(Assumptions!AZ$3:AZ$102,Assumptions!$B$3:$B$102,Trucks!$C9,Assumptions!$G$3:$G$102,{"TRH","TRM","TRC"}))</f>
        <v>2.0638704996000001</v>
      </c>
      <c r="Q9" s="2" cm="1">
        <f t="array" aca="1" ref="Q9" ca="1">SUM(SUMIFS(Assumptions!BA$3:BA$102,Assumptions!$B$3:$B$102,Trucks!$C9,Assumptions!$G$3:$G$102,{"TRH","TRM","TRC"}))</f>
        <v>21.539092036500001</v>
      </c>
      <c r="R9" s="2" cm="1">
        <f t="array" aca="1" ref="R9" ca="1">SUM(SUMIFS(Assumptions!BB$3:BB$102,Assumptions!$B$3:$B$102,Trucks!$C9,Assumptions!$G$3:$G$102,{"TRH","TRM","TRC"}))</f>
        <v>11.612887343532002</v>
      </c>
      <c r="S9" s="2" cm="1">
        <f t="array" aca="1" ref="S9" ca="1">SUM(SUMIFS(Assumptions!BC$3:BC$102,Assumptions!$B$3:$B$102,Trucks!$C9,Assumptions!$G$3:$G$102,{"TRH","TRM","TRC"}))</f>
        <v>1.4164656155999999</v>
      </c>
      <c r="T9" s="2" cm="1">
        <f t="array" aca="1" ref="T9" ca="1">SUM(SUMIFS(Assumptions!BD$3:BD$102,Assumptions!$B$3:$B$102,Trucks!$C9,Assumptions!$G$3:$G$102,{"TRH","TRM","TRC"}))</f>
        <v>70.569639914256001</v>
      </c>
      <c r="U9" s="2" cm="1">
        <f t="array" aca="1" ref="U9" ca="1">SUM(SUMIFS(Assumptions!BE$3:BE$102,Assumptions!$B$3:$B$102,Trucks!$C9,Assumptions!$G$3:$G$102,{"TRH","TRM","TRC"}))</f>
        <v>0.60514123139999998</v>
      </c>
      <c r="V9" s="2" cm="1">
        <f t="array" aca="1" ref="V9" ca="1">SUM(SUMIFS(Assumptions!BF$3:BF$102,Assumptions!$B$3:$B$102,Trucks!$C9,Assumptions!$G$3:$G$102,{"TRH","TRM","TRC"}))</f>
        <v>3.8985000920999999</v>
      </c>
      <c r="W9" s="2" cm="1">
        <f t="array" aca="1" ref="W9" ca="1">SUM(SUMIFS(Assumptions!BG$3:BG$102,Assumptions!$B$3:$B$102,Trucks!$C9,Assumptions!$G$3:$G$102,{"TRH","TRM","TRC"}))</f>
        <v>1.2196305404999999</v>
      </c>
      <c r="X9" s="2" cm="1">
        <f t="array" aca="1" ref="X9" ca="1">SUM(SUMIFS(Assumptions!BH$3:BH$102,Assumptions!$B$3:$B$102,Trucks!$C9,Assumptions!$G$3:$G$102,{"TRH","TRM","TRC"}))</f>
        <v>0</v>
      </c>
      <c r="Y9" s="2" cm="1">
        <f t="array" aca="1" ref="Y9" ca="1">SUM(SUMIFS(Assumptions!BI$3:BI$102,Assumptions!$B$3:$B$102,Trucks!$C9,Assumptions!$G$3:$G$102,{"TRH","TRM","TRC"}))</f>
        <v>4.181177253203999</v>
      </c>
      <c r="Z9" s="2" cm="1">
        <f t="array" aca="1" ref="Z9" ca="1">SUM(SUMIFS(Assumptions!BJ$3:BJ$102,Assumptions!$B$3:$B$102,Trucks!$C9,Assumptions!$G$3:$G$102,{"TRH","TRM","TRC"}))</f>
        <v>0.786389729328</v>
      </c>
      <c r="AA9" s="2" cm="1">
        <f t="array" aca="1" ref="AA9" ca="1">SUM(SUMIFS(Assumptions!BK$3:BK$102,Assumptions!$B$3:$B$102,Trucks!$C9,Assumptions!$G$3:$G$102,{"TRH","TRM","TRC"}))</f>
        <v>5.3682102900000001E-2</v>
      </c>
      <c r="AB9" s="2" cm="1">
        <f t="array" aca="1" ref="AB9" ca="1">SUM(SUMIFS(Assumptions!BL$3:BL$102,Assumptions!$B$3:$B$102,Trucks!$C9,Assumptions!$G$3:$G$102,{"TRH","TRM","TRC"}))</f>
        <v>23.933404637532004</v>
      </c>
      <c r="AC9" s="2" cm="1">
        <f t="array" aca="1" ref="AC9" ca="1">SUM(SUMIFS(Assumptions!BM$3:BM$102,Assumptions!$B$3:$B$102,Trucks!$C9,Assumptions!$G$3:$G$102,{"TRH","TRM","TRC"}))</f>
        <v>0</v>
      </c>
      <c r="AD9" s="2" cm="1">
        <f t="array" aca="1" ref="AD9" ca="1">SUM(SUMIFS(Assumptions!BN$3:BN$102,Assumptions!$B$3:$B$102,Trucks!$C9,Assumptions!$G$3:$G$102,{"TRH","TRM","TRC"}))</f>
        <v>0.18314319239999999</v>
      </c>
      <c r="AE9" s="2" cm="1">
        <f t="array" aca="1" ref="AE9" ca="1">SUM(SUMIFS(Assumptions!BO$3:BO$102,Assumptions!$B$3:$B$102,Trucks!$C9,Assumptions!$G$3:$G$102,{"TRH","TRM","TRC"}))</f>
        <v>0.72449957249999997</v>
      </c>
      <c r="AF9" s="2" cm="1">
        <f t="array" aca="1" ref="AF9" ca="1">SUM(SUMIFS(Assumptions!BP$3:BP$102,Assumptions!$B$3:$B$102,Trucks!$C9,Assumptions!$G$3:$G$102,{"TRH","TRM","TRC"}))</f>
        <v>0.87204044738785358</v>
      </c>
      <c r="AG9" s="2" cm="1">
        <f t="array" aca="1" ref="AG9" ca="1">SUM(SUMIFS(Assumptions!BQ$3:BQ$102,Assumptions!$B$3:$B$102,Trucks!$C9,Assumptions!$G$3:$G$102,{"TRH","TRM","TRC"}))</f>
        <v>0</v>
      </c>
    </row>
    <row r="10" spans="1:34" x14ac:dyDescent="0.45">
      <c r="A10" t="s">
        <v>25</v>
      </c>
      <c r="C10" s="35" t="s">
        <v>38</v>
      </c>
      <c r="D10" s="2" cm="1">
        <f t="array" aca="1" ref="D10" ca="1">SUM(SUMIFS(Assumptions!AN$3:AN$102,Assumptions!$B$3:$B$102,Trucks!$C10,Assumptions!$G$3:$G$102,{"TRH","TRM","TRC"}))</f>
        <v>3.0522079729799989</v>
      </c>
      <c r="E10" s="2" cm="1">
        <f t="array" aca="1" ref="E10" ca="1">SUM(SUMIFS(Assumptions!AO$3:AO$102,Assumptions!$B$3:$B$102,Trucks!$C10,Assumptions!$G$3:$G$102,{"TRH","TRM","TRC"}))</f>
        <v>1.1203248779999998E-2</v>
      </c>
      <c r="F10" s="2" cm="1">
        <f t="array" aca="1" ref="F10" ca="1">SUM(SUMIFS(Assumptions!AP$3:AP$102,Assumptions!$B$3:$B$102,Trucks!$C10,Assumptions!$G$3:$G$102,{"TRH","TRM","TRC"}))</f>
        <v>17.227567473840001</v>
      </c>
      <c r="G10" s="2" cm="1">
        <f t="array" aca="1" ref="G10" ca="1">SUM(SUMIFS(Assumptions!AQ$3:AQ$102,Assumptions!$B$3:$B$102,Trucks!$C10,Assumptions!$G$3:$G$102,{"TRH","TRM","TRC"}))</f>
        <v>44.392886165160007</v>
      </c>
      <c r="H10" s="2" cm="1">
        <f t="array" aca="1" ref="H10" ca="1">SUM(SUMIFS(Assumptions!AR$3:AR$102,Assumptions!$B$3:$B$102,Trucks!$C10,Assumptions!$G$3:$G$102,{"TRH","TRM","TRC"}))</f>
        <v>2.5613856408600024</v>
      </c>
      <c r="I10" s="2" cm="1">
        <f t="array" aca="1" ref="I10" ca="1">SUM(SUMIFS(Assumptions!AS$3:AS$102,Assumptions!$B$3:$B$102,Trucks!$C10,Assumptions!$G$3:$G$102,{"TRH","TRM","TRC"}))</f>
        <v>5.0127012726839997</v>
      </c>
      <c r="J10" s="2" cm="1">
        <f t="array" aca="1" ref="J10" ca="1">SUM(SUMIFS(Assumptions!AT$3:AT$102,Assumptions!$B$3:$B$102,Trucks!$C10,Assumptions!$G$3:$G$102,{"TRH","TRM","TRC"}))</f>
        <v>0.46851799247999987</v>
      </c>
      <c r="K10" s="2" cm="1">
        <f t="array" aca="1" ref="K10" ca="1">SUM(SUMIFS(Assumptions!AU$3:AU$102,Assumptions!$B$3:$B$102,Trucks!$C10,Assumptions!$G$3:$G$102,{"TRH","TRM","TRC"}))</f>
        <v>16.834613685120001</v>
      </c>
      <c r="L10" s="2" cm="1">
        <f t="array" aca="1" ref="L10" ca="1">SUM(SUMIFS(Assumptions!AV$3:AV$102,Assumptions!$B$3:$B$102,Trucks!$C10,Assumptions!$G$3:$G$102,{"TRH","TRM","TRC"}))</f>
        <v>0</v>
      </c>
      <c r="M10" s="2" cm="1">
        <f t="array" aca="1" ref="M10" ca="1">SUM(SUMIFS(Assumptions!AW$3:AW$102,Assumptions!$B$3:$B$102,Trucks!$C10,Assumptions!$G$3:$G$102,{"TRH","TRM","TRC"}))</f>
        <v>123.40083952108797</v>
      </c>
      <c r="N10" s="2" cm="1">
        <f t="array" aca="1" ref="N10" ca="1">SUM(SUMIFS(Assumptions!AX$3:AX$102,Assumptions!$B$3:$B$102,Trucks!$C10,Assumptions!$G$3:$G$102,{"TRH","TRM","TRC"}))</f>
        <v>0</v>
      </c>
      <c r="O10" s="2" cm="1">
        <f t="array" aca="1" ref="O10" ca="1">SUM(SUMIFS(Assumptions!AY$3:AY$102,Assumptions!$B$3:$B$102,Trucks!$C10,Assumptions!$G$3:$G$102,{"TRH","TRM","TRC"}))</f>
        <v>0</v>
      </c>
      <c r="P10" s="2" cm="1">
        <f t="array" aca="1" ref="P10" ca="1">SUM(SUMIFS(Assumptions!AZ$3:AZ$102,Assumptions!$B$3:$B$102,Trucks!$C10,Assumptions!$G$3:$G$102,{"TRH","TRM","TRC"}))</f>
        <v>0</v>
      </c>
      <c r="Q10" s="2" cm="1">
        <f t="array" aca="1" ref="Q10" ca="1">SUM(SUMIFS(Assumptions!BA$3:BA$102,Assumptions!$B$3:$B$102,Trucks!$C10,Assumptions!$G$3:$G$102,{"TRH","TRM","TRC"}))</f>
        <v>0</v>
      </c>
      <c r="R10" s="2" cm="1">
        <f t="array" aca="1" ref="R10" ca="1">SUM(SUMIFS(Assumptions!BB$3:BB$102,Assumptions!$B$3:$B$102,Trucks!$C10,Assumptions!$G$3:$G$102,{"TRH","TRM","TRC"}))</f>
        <v>0</v>
      </c>
      <c r="S10" s="2" cm="1">
        <f t="array" aca="1" ref="S10" ca="1">SUM(SUMIFS(Assumptions!BC$3:BC$102,Assumptions!$B$3:$B$102,Trucks!$C10,Assumptions!$G$3:$G$102,{"TRH","TRM","TRC"}))</f>
        <v>0</v>
      </c>
      <c r="T10" s="2" cm="1">
        <f t="array" aca="1" ref="T10" ca="1">SUM(SUMIFS(Assumptions!BD$3:BD$102,Assumptions!$B$3:$B$102,Trucks!$C10,Assumptions!$G$3:$G$102,{"TRH","TRM","TRC"}))</f>
        <v>0</v>
      </c>
      <c r="U10" s="2" cm="1">
        <f t="array" aca="1" ref="U10" ca="1">SUM(SUMIFS(Assumptions!BE$3:BE$102,Assumptions!$B$3:$B$102,Trucks!$C10,Assumptions!$G$3:$G$102,{"TRH","TRM","TRC"}))</f>
        <v>0</v>
      </c>
      <c r="V10" s="2" cm="1">
        <f t="array" aca="1" ref="V10" ca="1">SUM(SUMIFS(Assumptions!BF$3:BF$102,Assumptions!$B$3:$B$102,Trucks!$C10,Assumptions!$G$3:$G$102,{"TRH","TRM","TRC"}))</f>
        <v>0</v>
      </c>
      <c r="W10" s="2" cm="1">
        <f t="array" aca="1" ref="W10" ca="1">SUM(SUMIFS(Assumptions!BG$3:BG$102,Assumptions!$B$3:$B$102,Trucks!$C10,Assumptions!$G$3:$G$102,{"TRH","TRM","TRC"}))</f>
        <v>18.507111331679994</v>
      </c>
      <c r="X10" s="2" cm="1">
        <f t="array" aca="1" ref="X10" ca="1">SUM(SUMIFS(Assumptions!BH$3:BH$102,Assumptions!$B$3:$B$102,Trucks!$C10,Assumptions!$G$3:$G$102,{"TRH","TRM","TRC"}))</f>
        <v>15.148824623280001</v>
      </c>
      <c r="Y10" s="2" cm="1">
        <f t="array" aca="1" ref="Y10" ca="1">SUM(SUMIFS(Assumptions!BI$3:BI$102,Assumptions!$B$3:$B$102,Trucks!$C10,Assumptions!$G$3:$G$102,{"TRH","TRM","TRC"}))</f>
        <v>0.16896589210799995</v>
      </c>
      <c r="Z10" s="2" cm="1">
        <f t="array" aca="1" ref="Z10" ca="1">SUM(SUMIFS(Assumptions!BJ$3:BJ$102,Assumptions!$B$3:$B$102,Trucks!$C10,Assumptions!$G$3:$G$102,{"TRH","TRM","TRC"}))</f>
        <v>0</v>
      </c>
      <c r="AA10" s="2" cm="1">
        <f t="array" aca="1" ref="AA10" ca="1">SUM(SUMIFS(Assumptions!BK$3:BK$102,Assumptions!$B$3:$B$102,Trucks!$C10,Assumptions!$G$3:$G$102,{"TRH","TRM","TRC"}))</f>
        <v>0</v>
      </c>
      <c r="AB10" s="2" cm="1">
        <f t="array" aca="1" ref="AB10" ca="1">SUM(SUMIFS(Assumptions!BL$3:BL$102,Assumptions!$B$3:$B$102,Trucks!$C10,Assumptions!$G$3:$G$102,{"TRH","TRM","TRC"}))</f>
        <v>2.6106653235600006</v>
      </c>
      <c r="AC10" s="2" cm="1">
        <f t="array" aca="1" ref="AC10" ca="1">SUM(SUMIFS(Assumptions!BM$3:BM$102,Assumptions!$B$3:$B$102,Trucks!$C10,Assumptions!$G$3:$G$102,{"TRH","TRM","TRC"}))</f>
        <v>0</v>
      </c>
      <c r="AD10" s="2" cm="1">
        <f t="array" aca="1" ref="AD10" ca="1">SUM(SUMIFS(Assumptions!BN$3:BN$102,Assumptions!$B$3:$B$102,Trucks!$C10,Assumptions!$G$3:$G$102,{"TRH","TRM","TRC"}))</f>
        <v>1.0996630199999998E-3</v>
      </c>
      <c r="AE10" s="2" cm="1">
        <f t="array" aca="1" ref="AE10" ca="1">SUM(SUMIFS(Assumptions!BO$3:BO$102,Assumptions!$B$3:$B$102,Trucks!$C10,Assumptions!$G$3:$G$102,{"TRH","TRM","TRC"}))</f>
        <v>0</v>
      </c>
      <c r="AF10" s="2" cm="1">
        <f t="array" aca="1" ref="AF10" ca="1">SUM(SUMIFS(Assumptions!BP$3:BP$102,Assumptions!$B$3:$B$102,Trucks!$C10,Assumptions!$G$3:$G$102,{"TRH","TRM","TRC"}))</f>
        <v>1.0291975321782563</v>
      </c>
      <c r="AG10" s="2" cm="1">
        <f t="array" aca="1" ref="AG10" ca="1">SUM(SUMIFS(Assumptions!BQ$3:BQ$102,Assumptions!$B$3:$B$102,Trucks!$C10,Assumptions!$G$3:$G$102,{"TRH","TRM","TRC"}))</f>
        <v>0</v>
      </c>
    </row>
    <row r="11" spans="1:34" x14ac:dyDescent="0.45">
      <c r="A11" s="3" t="s">
        <v>327</v>
      </c>
      <c r="B11" s="3"/>
      <c r="D11" s="42">
        <f ca="1">SUM(D$4:D$10)/SUM($D$4:$T$10)</f>
        <v>4.0068534867842225E-2</v>
      </c>
      <c r="E11" s="42">
        <f t="shared" ref="E11:AG11" ca="1" si="0">SUM(E$4:E$10)/SUM($D$4:$T$10)</f>
        <v>3.4802605357247045E-2</v>
      </c>
      <c r="F11" s="42">
        <f t="shared" ca="1" si="0"/>
        <v>2.9347794259032719E-2</v>
      </c>
      <c r="G11" s="42">
        <f t="shared" ca="1" si="0"/>
        <v>2.0331228625558966E-2</v>
      </c>
      <c r="H11" s="42">
        <f t="shared" ca="1" si="0"/>
        <v>0.11162171522133378</v>
      </c>
      <c r="I11" s="42">
        <f t="shared" ca="1" si="0"/>
        <v>0.14625847509440046</v>
      </c>
      <c r="J11" s="42">
        <f t="shared" ca="1" si="0"/>
        <v>3.7914811037888789E-2</v>
      </c>
      <c r="K11" s="42">
        <f t="shared" ca="1" si="0"/>
        <v>0.11217833927874672</v>
      </c>
      <c r="L11" s="42">
        <f t="shared" ca="1" si="0"/>
        <v>4.066838232799648E-2</v>
      </c>
      <c r="M11" s="42">
        <f t="shared" ca="1" si="0"/>
        <v>0.18352604077332949</v>
      </c>
      <c r="N11" s="42">
        <f t="shared" ca="1" si="0"/>
        <v>1.1869757292584502E-2</v>
      </c>
      <c r="O11" s="42">
        <f t="shared" ca="1" si="0"/>
        <v>4.4680995212843209E-2</v>
      </c>
      <c r="P11" s="42">
        <f t="shared" ca="1" si="0"/>
        <v>2.1586725430366022E-2</v>
      </c>
      <c r="Q11" s="42">
        <f t="shared" ca="1" si="0"/>
        <v>3.3413277191382741E-2</v>
      </c>
      <c r="R11" s="42">
        <f t="shared" ca="1" si="0"/>
        <v>1.8641481818934619E-2</v>
      </c>
      <c r="S11" s="42">
        <f t="shared" ca="1" si="0"/>
        <v>3.4130155817279864E-2</v>
      </c>
      <c r="T11" s="42">
        <f t="shared" ca="1" si="0"/>
        <v>7.8959680393231813E-2</v>
      </c>
      <c r="U11" s="42">
        <f t="shared" ca="1" si="0"/>
        <v>4.1364065984421688E-2</v>
      </c>
      <c r="V11" s="42">
        <f t="shared" ca="1" si="0"/>
        <v>4.447265096843598E-2</v>
      </c>
      <c r="W11" s="42">
        <f t="shared" ca="1" si="0"/>
        <v>8.3650600922291166E-2</v>
      </c>
      <c r="X11" s="42">
        <f t="shared" ca="1" si="0"/>
        <v>5.995891566846781E-2</v>
      </c>
      <c r="Y11" s="42">
        <f t="shared" ca="1" si="0"/>
        <v>2.8134824851579619E-2</v>
      </c>
      <c r="Z11" s="42">
        <f t="shared" ca="1" si="0"/>
        <v>0.1114318589853014</v>
      </c>
      <c r="AA11" s="42">
        <f t="shared" ca="1" si="0"/>
        <v>3.4121771734723686E-3</v>
      </c>
      <c r="AB11" s="42">
        <f t="shared" ca="1" si="0"/>
        <v>5.8944831658652892E-2</v>
      </c>
      <c r="AC11" s="42">
        <f t="shared" ca="1" si="0"/>
        <v>5.8102763734567409E-2</v>
      </c>
      <c r="AD11" s="42">
        <f t="shared" ca="1" si="0"/>
        <v>1.2235589711736626E-2</v>
      </c>
      <c r="AE11" s="42">
        <f t="shared" ca="1" si="0"/>
        <v>3.2336391692284368E-2</v>
      </c>
      <c r="AF11" s="42">
        <f t="shared" ca="1" si="0"/>
        <v>0.50207267217722718</v>
      </c>
      <c r="AG11" s="42">
        <f t="shared" ca="1" si="0"/>
        <v>0</v>
      </c>
    </row>
    <row r="12" spans="1:34" x14ac:dyDescent="0.45">
      <c r="C12" s="99">
        <f ca="1">SUM(D12:AG12)</f>
        <v>215.29999999999998</v>
      </c>
      <c r="D12" s="99">
        <f ca="1">'Trucks-hdt'!D13+'Trucks-lcv'!D13</f>
        <v>4.55</v>
      </c>
      <c r="E12" s="99">
        <f ca="1">'Trucks-hdt'!E13+'Trucks-lcv'!E13</f>
        <v>3.8200000000000003</v>
      </c>
      <c r="F12" s="99">
        <f ca="1">'Trucks-hdt'!F13+'Trucks-lcv'!F13</f>
        <v>2.4300000000000002</v>
      </c>
      <c r="G12" s="99">
        <f ca="1">'Trucks-hdt'!G13+'Trucks-lcv'!G13</f>
        <v>2.58</v>
      </c>
      <c r="H12" s="99">
        <f ca="1">'Trucks-hdt'!H13+'Trucks-lcv'!H13</f>
        <v>11.849999999999998</v>
      </c>
      <c r="I12" s="99">
        <f ca="1">'Trucks-hdt'!I13+'Trucks-lcv'!I13</f>
        <v>10.440000000000001</v>
      </c>
      <c r="J12" s="99">
        <f ca="1">'Trucks-hdt'!J13+'Trucks-lcv'!J13</f>
        <v>4.2299999999999995</v>
      </c>
      <c r="K12" s="99">
        <f ca="1">'Trucks-hdt'!K13+'Trucks-lcv'!K13</f>
        <v>8.5799999999999983</v>
      </c>
      <c r="L12" s="99">
        <f ca="1">'Trucks-hdt'!L13+'Trucks-lcv'!L13</f>
        <v>3.34</v>
      </c>
      <c r="M12" s="99">
        <f ca="1">'Trucks-hdt'!M13+'Trucks-lcv'!M13</f>
        <v>20.979999999999997</v>
      </c>
      <c r="N12" s="99">
        <f ca="1">'Trucks-hdt'!N13+'Trucks-lcv'!N13</f>
        <v>1.4500000000000002</v>
      </c>
      <c r="O12" s="99">
        <f ca="1">'Trucks-hdt'!O13+'Trucks-lcv'!O13</f>
        <v>5.65</v>
      </c>
      <c r="P12" s="99">
        <f ca="1">'Trucks-hdt'!P13+'Trucks-lcv'!P13</f>
        <v>2.67</v>
      </c>
      <c r="Q12" s="99">
        <f ca="1">'Trucks-hdt'!Q13+'Trucks-lcv'!Q13</f>
        <v>4.3100000000000005</v>
      </c>
      <c r="R12" s="99">
        <f ca="1">'Trucks-hdt'!R13+'Trucks-lcv'!R13</f>
        <v>2.29</v>
      </c>
      <c r="S12" s="99">
        <f ca="1">'Trucks-hdt'!S13+'Trucks-lcv'!S13</f>
        <v>4.13</v>
      </c>
      <c r="T12" s="99">
        <f ca="1">'Trucks-hdt'!T13+'Trucks-lcv'!T13</f>
        <v>7.81</v>
      </c>
      <c r="U12" s="99">
        <f ca="1">'Trucks-hdt'!U13+'Trucks-lcv'!U13</f>
        <v>5.0199999999999996</v>
      </c>
      <c r="V12" s="99">
        <f ca="1">'Trucks-hdt'!V13+'Trucks-lcv'!V13</f>
        <v>5.5200000000000005</v>
      </c>
      <c r="W12" s="99">
        <f ca="1">'Trucks-hdt'!W13+'Trucks-lcv'!W13</f>
        <v>9.73</v>
      </c>
      <c r="X12" s="99">
        <f ca="1">'Trucks-hdt'!X13+'Trucks-lcv'!X13</f>
        <v>5.0600000000000005</v>
      </c>
      <c r="Y12" s="99">
        <f ca="1">'Trucks-hdt'!Y13+'Trucks-lcv'!Y13</f>
        <v>2.86</v>
      </c>
      <c r="Z12" s="99">
        <f ca="1">'Trucks-hdt'!Z13+'Trucks-lcv'!Z13</f>
        <v>12.389999999999999</v>
      </c>
      <c r="AA12" s="99">
        <f ca="1">'Trucks-hdt'!AA13+'Trucks-lcv'!AA13</f>
        <v>0.41000000000000003</v>
      </c>
      <c r="AB12" s="99">
        <f ca="1">'Trucks-hdt'!AB13+'Trucks-lcv'!AB13</f>
        <v>6.82</v>
      </c>
      <c r="AC12" s="99">
        <f ca="1">'Trucks-hdt'!AC13+'Trucks-lcv'!AC13</f>
        <v>6.16</v>
      </c>
      <c r="AD12" s="99">
        <f ca="1">'Trucks-hdt'!AD13+'Trucks-lcv'!AD13</f>
        <v>1.3399999999999999</v>
      </c>
      <c r="AE12" s="99">
        <f ca="1">'Trucks-hdt'!AE13+'Trucks-lcv'!AE13</f>
        <v>3.98</v>
      </c>
      <c r="AF12" s="99">
        <f ca="1">'Trucks-hdt'!AF13+'Trucks-lcv'!AF13</f>
        <v>54.900000000000006</v>
      </c>
      <c r="AG12" s="99">
        <f ca="1">'Trucks-hdt'!AG13+'Trucks-lcv'!AG13</f>
        <v>0</v>
      </c>
    </row>
    <row r="13" spans="1:34" x14ac:dyDescent="0.45">
      <c r="A13" s="3" t="s">
        <v>328</v>
      </c>
      <c r="B13" s="3"/>
      <c r="C13" s="97">
        <f ca="1">SUM(D13:AG13)</f>
        <v>383.38828320000027</v>
      </c>
      <c r="D13" s="97">
        <f ca="1">IFERROR(OFFSET('vehicle population data'!$F$59,0,MATCH(Trucks!D$3,'vehicle population data'!$G$32:$AM$32,0)),0)</f>
        <v>6.2421408000000156</v>
      </c>
      <c r="E13" s="97">
        <f ca="1">IFERROR(OFFSET('vehicle population data'!$F$59,0,MATCH(Trucks!E$3,'vehicle population data'!$G$32:$AM$32,0)),0)</f>
        <v>6.1953489999999647</v>
      </c>
      <c r="F13" s="97">
        <f ca="1">IFERROR(OFFSET('vehicle population data'!$F$59,0,MATCH(Trucks!F$3,'vehicle population data'!$G$32:$AM$32,0)),0)</f>
        <v>5.5949556000000484</v>
      </c>
      <c r="G13" s="97">
        <f ca="1">IFERROR(OFFSET('vehicle population data'!$F$59,0,MATCH(Trucks!G$3,'vehicle population data'!$G$32:$AM$32,0)),0)</f>
        <v>1.4661190000000062</v>
      </c>
      <c r="H13" s="97">
        <f ca="1">IFERROR(OFFSET('vehicle population data'!$F$59,0,MATCH(Trucks!H$3,'vehicle population data'!$G$32:$AM$32,0)),0)</f>
        <v>20.533433999999971</v>
      </c>
      <c r="I13" s="97">
        <f ca="1">IFERROR(OFFSET('vehicle population data'!$F$59,0,MATCH(Trucks!I$3,'vehicle population data'!$G$32:$AM$32,0)),0)</f>
        <v>25.50213100000019</v>
      </c>
      <c r="J13" s="97">
        <f ca="1">IFERROR(OFFSET('vehicle population data'!$F$59,0,MATCH(Trucks!J$3,'vehicle population data'!$G$32:$AM$32,0)),0)</f>
        <v>5.4343982000000324</v>
      </c>
      <c r="K13" s="97">
        <f ca="1">IFERROR(OFFSET('vehicle population data'!$F$59,0,MATCH(Trucks!K$3,'vehicle population data'!$G$32:$AM$32,0)),0)</f>
        <v>8.9585404000000608</v>
      </c>
      <c r="L13" s="97">
        <f ca="1">IFERROR(OFFSET('vehicle population data'!$F$59,0,MATCH(Trucks!L$3,'vehicle population data'!$G$32:$AM$32,0)),0)</f>
        <v>1.2868679999999983</v>
      </c>
      <c r="M13" s="97">
        <f ca="1">IFERROR(OFFSET('vehicle population data'!$F$59,0,MATCH(Trucks!M$3,'vehicle population data'!$G$32:$AM$32,0)),0)</f>
        <v>38.412071400000059</v>
      </c>
      <c r="N13" s="97">
        <f ca="1">IFERROR(OFFSET('vehicle population data'!$F$59,0,MATCH(Trucks!N$3,'vehicle population data'!$G$32:$AM$32,0)),0)</f>
        <v>1.1573003999999996</v>
      </c>
      <c r="O13" s="97">
        <f ca="1">IFERROR(OFFSET('vehicle population data'!$F$59,0,MATCH(Trucks!O$3,'vehicle population data'!$G$32:$AM$32,0)),0)</f>
        <v>5.6109541999999948</v>
      </c>
      <c r="P13" s="97">
        <f ca="1">IFERROR(OFFSET('vehicle population data'!$F$59,0,MATCH(Trucks!P$3,'vehicle population data'!$G$32:$AM$32,0)),0)</f>
        <v>2.318423800000005</v>
      </c>
      <c r="Q13" s="97">
        <f ca="1">IFERROR(OFFSET('vehicle population data'!$F$59,0,MATCH(Trucks!Q$3,'vehicle population data'!$G$32:$AM$32,0)),0)</f>
        <v>5.9121973999999966</v>
      </c>
      <c r="R13" s="97">
        <f ca="1">IFERROR(OFFSET('vehicle population data'!$F$59,0,MATCH(Trucks!R$3,'vehicle population data'!$G$32:$AM$32,0)),0)</f>
        <v>2.3203023999999886</v>
      </c>
      <c r="S13" s="97">
        <f ca="1">IFERROR(OFFSET('vehicle population data'!$F$59,0,MATCH(Trucks!S$3,'vehicle population data'!$G$32:$AM$32,0)),0)</f>
        <v>6.0032870000000003</v>
      </c>
      <c r="T13" s="97">
        <f ca="1">IFERROR(OFFSET('vehicle population data'!$F$59,0,MATCH(Trucks!T$3,'vehicle population data'!$G$32:$AM$32,0)),0)</f>
        <v>9.328227800000036</v>
      </c>
      <c r="U13" s="97">
        <f ca="1">IFERROR(OFFSET('vehicle population data'!$F$59,0,MATCH(Trucks!U$3,'vehicle population data'!$G$32:$AM$32,0)),0)</f>
        <v>6.7770000000000081</v>
      </c>
      <c r="V13" s="97">
        <f ca="1">IFERROR(OFFSET('vehicle population data'!$F$59,0,MATCH(Trucks!V$3,'vehicle population data'!$G$32:$AM$32,0)),0)</f>
        <v>3.6276983999999857</v>
      </c>
      <c r="W13" s="97">
        <f ca="1">IFERROR(OFFSET('vehicle population data'!$F$59,0,MATCH(Trucks!W$3,'vehicle population data'!$G$32:$AM$32,0)),0)</f>
        <v>7.6083999999999605</v>
      </c>
      <c r="X13" s="97">
        <f ca="1">IFERROR(OFFSET('vehicle population data'!$F$59,0,MATCH(Trucks!X$3,'vehicle population data'!$G$32:$AM$32,0)),0)</f>
        <v>11.623011399999996</v>
      </c>
      <c r="Y13" s="97">
        <f ca="1">IFERROR(OFFSET('vehicle population data'!$F$59,0,MATCH(Trucks!Y$3,'vehicle population data'!$G$32:$AM$32,0)),0)</f>
        <v>11.281014000000027</v>
      </c>
      <c r="Z13" s="97">
        <f ca="1">IFERROR(OFFSET('vehicle population data'!$F$59,0,MATCH(Trucks!Z$3,'vehicle population data'!$G$32:$AM$32,0)),0)</f>
        <v>9.4784841999999117</v>
      </c>
      <c r="AA13" s="97">
        <f ca="1">IFERROR(OFFSET('vehicle population data'!$F$59,0,MATCH(Trucks!AA$3,'vehicle population data'!$G$32:$AM$32,0)),0)</f>
        <v>0.66034240000000111</v>
      </c>
      <c r="AB13" s="97">
        <f ca="1">IFERROR(OFFSET('vehicle population data'!$F$59,0,MATCH(Trucks!AB$3,'vehicle population data'!$G$32:$AM$32,0)),0)</f>
        <v>7.7947288000000299</v>
      </c>
      <c r="AC13" s="97">
        <f ca="1">IFERROR(OFFSET('vehicle population data'!$F$59,0,MATCH(Trucks!AC$3,'vehicle population data'!$G$32:$AM$32,0)),0)</f>
        <v>2.5249443999999812</v>
      </c>
      <c r="AD13" s="97">
        <f ca="1">IFERROR(OFFSET('vehicle population data'!$F$59,0,MATCH(Trucks!AD$3,'vehicle population data'!$G$32:$AM$32,0)),0)</f>
        <v>3.5329886000000101</v>
      </c>
      <c r="AE13" s="97">
        <f ca="1">IFERROR(OFFSET('vehicle population data'!$F$59,0,MATCH(Trucks!AE$3,'vehicle population data'!$G$32:$AM$32,0)),0)</f>
        <v>5.0401902000000121</v>
      </c>
      <c r="AF13" s="97">
        <f ca="1">IFERROR(OFFSET('vehicle population data'!$F$59,0,MATCH(Trucks!AF$3,'vehicle population data'!$G$32:$AM$32,0)),0)</f>
        <v>161.16278039999997</v>
      </c>
      <c r="AG13" s="97">
        <f ca="1">IFERROR(OFFSET('vehicle population data'!$F$59,0,MATCH(Trucks!AG$3,'vehicle population data'!$G$32:$AM$32,0)),0)</f>
        <v>0</v>
      </c>
      <c r="AH13" s="1"/>
    </row>
    <row r="14" spans="1:34" x14ac:dyDescent="0.45">
      <c r="A14" s="3" t="s">
        <v>329</v>
      </c>
      <c r="B14" s="3"/>
      <c r="D14" s="42">
        <f ca="1">D13/SUM($D$13:$T$13)</f>
        <v>4.0992093889630932E-2</v>
      </c>
      <c r="E14" s="42">
        <f t="shared" ref="E14:T14" ca="1" si="1">E13/SUM($D$13:$T$13)</f>
        <v>4.0684812474436498E-2</v>
      </c>
      <c r="F14" s="42">
        <f t="shared" ca="1" si="1"/>
        <v>3.6742033320286173E-2</v>
      </c>
      <c r="G14" s="42">
        <f t="shared" ca="1" si="1"/>
        <v>9.6279929637876661E-3</v>
      </c>
      <c r="H14" s="42">
        <f t="shared" ca="1" si="1"/>
        <v>0.13484291389334518</v>
      </c>
      <c r="I14" s="42">
        <f t="shared" ca="1" si="1"/>
        <v>0.16747231147648459</v>
      </c>
      <c r="J14" s="42">
        <f t="shared" ca="1" si="1"/>
        <v>3.5687654025369324E-2</v>
      </c>
      <c r="K14" s="42">
        <f t="shared" ca="1" si="1"/>
        <v>5.883067059154664E-2</v>
      </c>
      <c r="L14" s="42">
        <f t="shared" ca="1" si="1"/>
        <v>8.4508529316675105E-3</v>
      </c>
      <c r="M14" s="42">
        <f t="shared" ca="1" si="1"/>
        <v>0.25225179754420241</v>
      </c>
      <c r="N14" s="42">
        <f t="shared" ca="1" si="1"/>
        <v>7.599983431214383E-3</v>
      </c>
      <c r="O14" s="42">
        <f t="shared" ca="1" si="1"/>
        <v>3.6847096011807072E-2</v>
      </c>
      <c r="P14" s="42">
        <f t="shared" ca="1" si="1"/>
        <v>1.5225072476025356E-2</v>
      </c>
      <c r="Q14" s="42">
        <f t="shared" ref="Q14" ca="1" si="2">Q13/SUM($D$13:$T$13)</f>
        <v>3.8825357946881162E-2</v>
      </c>
      <c r="R14" s="42">
        <f t="shared" ca="1" si="1"/>
        <v>1.523740922875935E-2</v>
      </c>
      <c r="S14" s="42">
        <f t="shared" ca="1" si="1"/>
        <v>3.9423542697146499E-2</v>
      </c>
      <c r="T14" s="42">
        <f t="shared" ca="1" si="1"/>
        <v>6.1258405097409194E-2</v>
      </c>
      <c r="U14" s="42">
        <f t="shared" ref="U14:AG14" ca="1" si="3">U13/SUM($D$13:$T$13)</f>
        <v>4.4504510422134096E-2</v>
      </c>
      <c r="V14" s="42">
        <f t="shared" ref="V14" ca="1" si="4">V13/SUM($D$13:$T$13)</f>
        <v>2.3823069389281151E-2</v>
      </c>
      <c r="W14" s="42">
        <f t="shared" ca="1" si="3"/>
        <v>4.9964308262618107E-2</v>
      </c>
      <c r="X14" s="42">
        <f t="shared" ca="1" si="3"/>
        <v>7.6328232549488353E-2</v>
      </c>
      <c r="Y14" s="42">
        <f t="shared" ca="1" si="3"/>
        <v>7.4082338075142584E-2</v>
      </c>
      <c r="Z14" s="42">
        <f t="shared" ca="1" si="3"/>
        <v>6.2245137799163186E-2</v>
      </c>
      <c r="AA14" s="42">
        <f t="shared" ca="1" si="3"/>
        <v>4.3364638074335337E-3</v>
      </c>
      <c r="AB14" s="42">
        <f t="shared" ca="1" si="3"/>
        <v>5.1187928156604647E-2</v>
      </c>
      <c r="AC14" s="42">
        <f t="shared" ca="1" si="3"/>
        <v>1.6581291775875483E-2</v>
      </c>
      <c r="AD14" s="42">
        <f t="shared" ca="1" si="3"/>
        <v>2.3201110811565766E-2</v>
      </c>
      <c r="AE14" s="42">
        <f t="shared" ca="1" si="3"/>
        <v>3.3098892915071329E-2</v>
      </c>
      <c r="AF14" s="42">
        <f t="shared" ca="1" si="3"/>
        <v>1.0583548236641434</v>
      </c>
      <c r="AG14" s="42">
        <f t="shared" ca="1" si="3"/>
        <v>0</v>
      </c>
    </row>
    <row r="16" spans="1:34" x14ac:dyDescent="0.45">
      <c r="A16" s="3" t="s">
        <v>330</v>
      </c>
      <c r="B16" s="3"/>
      <c r="D16" s="1">
        <f ca="1">D11/D14</f>
        <v>0.97746982566259388</v>
      </c>
      <c r="E16" s="1">
        <f t="shared" ref="E16:T16" ca="1" si="5">E11/E14</f>
        <v>0.8554200754670942</v>
      </c>
      <c r="F16" s="1">
        <f t="shared" ca="1" si="5"/>
        <v>0.79875258952609696</v>
      </c>
      <c r="G16" s="1">
        <f t="shared" ca="1" si="5"/>
        <v>2.1116787997278128</v>
      </c>
      <c r="H16" s="1">
        <f t="shared" ca="1" si="5"/>
        <v>0.82779073811488268</v>
      </c>
      <c r="I16" s="1">
        <f t="shared" ca="1" si="5"/>
        <v>0.87332929130160808</v>
      </c>
      <c r="J16" s="1">
        <f t="shared" ca="1" si="5"/>
        <v>1.0624069324068275</v>
      </c>
      <c r="K16" s="1">
        <f t="shared" ca="1" si="5"/>
        <v>1.9068002820771108</v>
      </c>
      <c r="L16" s="1">
        <f t="shared" ca="1" si="5"/>
        <v>4.8123405598033351</v>
      </c>
      <c r="M16" s="1">
        <f t="shared" ca="1" si="5"/>
        <v>0.72755097311514694</v>
      </c>
      <c r="N16" s="1">
        <f t="shared" ca="1" si="5"/>
        <v>1.5618135749919473</v>
      </c>
      <c r="O16" s="1">
        <f t="shared" ca="1" si="5"/>
        <v>1.2126056066542092</v>
      </c>
      <c r="P16" s="1">
        <f t="shared" ca="1" si="5"/>
        <v>1.4178405695183549</v>
      </c>
      <c r="Q16" s="1">
        <f t="shared" ref="Q16" ca="1" si="6">Q11/Q14</f>
        <v>0.86060448527215261</v>
      </c>
      <c r="R16" s="1">
        <f t="shared" ca="1" si="5"/>
        <v>1.2234023211603691</v>
      </c>
      <c r="S16" s="1">
        <f t="shared" ca="1" si="5"/>
        <v>0.8657303094110369</v>
      </c>
      <c r="T16" s="1">
        <f t="shared" ca="1" si="5"/>
        <v>1.2889607600406048</v>
      </c>
      <c r="U16" s="1">
        <f t="shared" ref="U16:AG16" ca="1" si="7">U11/U14</f>
        <v>0.92943536715886388</v>
      </c>
      <c r="V16" s="1">
        <f t="shared" ca="1" si="7"/>
        <v>1.8667892974549203</v>
      </c>
      <c r="W16" s="1">
        <f t="shared" ca="1" si="7"/>
        <v>1.6742071256668671</v>
      </c>
      <c r="X16" s="1">
        <f t="shared" ca="1" si="7"/>
        <v>0.7855404699642784</v>
      </c>
      <c r="Y16" s="1">
        <f t="shared" ca="1" si="7"/>
        <v>0.37977776596416457</v>
      </c>
      <c r="Z16" s="1">
        <f t="shared" ca="1" si="7"/>
        <v>1.7902098529340789</v>
      </c>
      <c r="AA16" s="1">
        <f t="shared" ca="1" si="7"/>
        <v>0.7868570625732515</v>
      </c>
      <c r="AB16" s="1">
        <f t="shared" ca="1" si="7"/>
        <v>1.1515377508211844</v>
      </c>
      <c r="AC16" s="1">
        <f t="shared" ca="1" si="7"/>
        <v>3.5041156334455499</v>
      </c>
      <c r="AD16" s="1">
        <f t="shared" ca="1" si="7"/>
        <v>0.52737085784863269</v>
      </c>
      <c r="AE16" s="1">
        <f t="shared" ca="1" si="7"/>
        <v>0.97696293876827034</v>
      </c>
      <c r="AF16" s="1">
        <f t="shared" ca="1" si="7"/>
        <v>0.47438974241076842</v>
      </c>
      <c r="AG16" s="1" t="e">
        <f t="shared" ca="1" si="7"/>
        <v>#DIV/0!</v>
      </c>
    </row>
    <row r="18" spans="1:33" x14ac:dyDescent="0.45">
      <c r="A18" t="s">
        <v>320</v>
      </c>
      <c r="C18" t="str">
        <f>C4</f>
        <v>TRABDS</v>
      </c>
      <c r="D18" s="40">
        <f ca="1">D4/SUM(D$4:D$10)*D$13</f>
        <v>0</v>
      </c>
      <c r="E18" s="40">
        <f t="shared" ref="E18:T18" ca="1" si="8">E4/SUM(E$4:E$10)*E$13</f>
        <v>0</v>
      </c>
      <c r="F18" s="40">
        <f t="shared" ca="1" si="8"/>
        <v>0.40687512607769349</v>
      </c>
      <c r="G18" s="40">
        <f t="shared" ca="1" si="8"/>
        <v>3.5647792814809577E-5</v>
      </c>
      <c r="H18" s="40">
        <f t="shared" ca="1" si="8"/>
        <v>0.27354415210734645</v>
      </c>
      <c r="I18" s="40">
        <f t="shared" ca="1" si="8"/>
        <v>2.1157039112161655</v>
      </c>
      <c r="J18" s="40">
        <f t="shared" ca="1" si="8"/>
        <v>1.5365117741618693E-3</v>
      </c>
      <c r="K18" s="40">
        <f t="shared" ca="1" si="8"/>
        <v>2.6196300448040866</v>
      </c>
      <c r="L18" s="40">
        <f t="shared" ca="1" si="8"/>
        <v>3.798407712728772E-2</v>
      </c>
      <c r="M18" s="40">
        <f t="shared" ca="1" si="8"/>
        <v>0.2813826652507338</v>
      </c>
      <c r="N18" s="40">
        <f t="shared" ca="1" si="8"/>
        <v>0.20436483692424082</v>
      </c>
      <c r="O18" s="40">
        <f t="shared" ca="1" si="8"/>
        <v>0.29593260649315267</v>
      </c>
      <c r="P18" s="40">
        <f t="shared" ca="1" si="8"/>
        <v>0.13730885421089492</v>
      </c>
      <c r="Q18" s="40">
        <f t="shared" ref="Q18" ca="1" si="9">Q4/SUM(Q$4:Q$10)*Q$13</f>
        <v>0.30934567484036468</v>
      </c>
      <c r="R18" s="40">
        <f t="shared" ca="1" si="8"/>
        <v>0.12764130215461808</v>
      </c>
      <c r="S18" s="40">
        <f t="shared" ca="1" si="8"/>
        <v>0.37855823500185226</v>
      </c>
      <c r="T18" s="40">
        <f t="shared" ca="1" si="8"/>
        <v>9.3090572264322088E-2</v>
      </c>
      <c r="U18" s="40">
        <f t="shared" ref="U18:AG18" ca="1" si="10">U4/SUM(U$4:U$10)*U$13</f>
        <v>0.50652062359999073</v>
      </c>
      <c r="V18" s="40">
        <f t="shared" ca="1" si="10"/>
        <v>0.18870160444556819</v>
      </c>
      <c r="W18" s="40">
        <f t="shared" ca="1" si="10"/>
        <v>5.0415539209617164E-3</v>
      </c>
      <c r="X18" s="40">
        <f t="shared" ca="1" si="10"/>
        <v>0.31163762523351046</v>
      </c>
      <c r="Y18" s="40">
        <f t="shared" ca="1" si="10"/>
        <v>0</v>
      </c>
      <c r="Z18" s="40">
        <f t="shared" ca="1" si="10"/>
        <v>0</v>
      </c>
      <c r="AA18" s="40">
        <f t="shared" ca="1" si="10"/>
        <v>0.10296736818132221</v>
      </c>
      <c r="AB18" s="40">
        <f t="shared" ca="1" si="10"/>
        <v>0</v>
      </c>
      <c r="AC18" s="40">
        <f t="shared" ca="1" si="10"/>
        <v>0</v>
      </c>
      <c r="AD18" s="40">
        <f t="shared" ca="1" si="10"/>
        <v>0</v>
      </c>
      <c r="AE18" s="40">
        <f t="shared" ca="1" si="10"/>
        <v>0.24109451140821317</v>
      </c>
      <c r="AF18" s="40">
        <f t="shared" ca="1" si="10"/>
        <v>3.3086398930807595</v>
      </c>
      <c r="AG18" s="40" t="e">
        <f t="shared" ca="1" si="10"/>
        <v>#DIV/0!</v>
      </c>
    </row>
    <row r="19" spans="1:33" x14ac:dyDescent="0.45">
      <c r="C19" t="str">
        <f t="shared" ref="C19:C24" si="11">C5</f>
        <v>TRABGS</v>
      </c>
      <c r="D19" s="40">
        <f t="shared" ref="D19:T24" ca="1" si="12">D5/SUM(D$4:D$10)*D$13</f>
        <v>0</v>
      </c>
      <c r="E19" s="40">
        <f t="shared" ca="1" si="12"/>
        <v>0</v>
      </c>
      <c r="F19" s="40">
        <f t="shared" ca="1" si="12"/>
        <v>2.2777518779052371E-2</v>
      </c>
      <c r="G19" s="40">
        <f t="shared" ca="1" si="12"/>
        <v>0</v>
      </c>
      <c r="H19" s="40">
        <f t="shared" ca="1" si="12"/>
        <v>1.8423377894947808E-2</v>
      </c>
      <c r="I19" s="40">
        <f t="shared" ca="1" si="12"/>
        <v>0</v>
      </c>
      <c r="J19" s="40">
        <f t="shared" ca="1" si="12"/>
        <v>4.4750300596553367E-3</v>
      </c>
      <c r="K19" s="40">
        <f t="shared" ca="1" si="12"/>
        <v>9.9821189312433001E-2</v>
      </c>
      <c r="L19" s="40">
        <f t="shared" ca="1" si="12"/>
        <v>4.8363749231044263E-3</v>
      </c>
      <c r="M19" s="40">
        <f t="shared" ca="1" si="12"/>
        <v>9.7248433633090145E-2</v>
      </c>
      <c r="N19" s="40">
        <f t="shared" ca="1" si="12"/>
        <v>1.5690226729138095E-3</v>
      </c>
      <c r="O19" s="40">
        <f t="shared" ca="1" si="12"/>
        <v>3.0901049541195037E-3</v>
      </c>
      <c r="P19" s="40">
        <f t="shared" ca="1" si="12"/>
        <v>2.8847421820608981E-3</v>
      </c>
      <c r="Q19" s="40">
        <f t="shared" ref="Q19" ca="1" si="13">Q5/SUM(Q$4:Q$10)*Q$13</f>
        <v>7.0654731308518221E-4</v>
      </c>
      <c r="R19" s="40">
        <f t="shared" ca="1" si="12"/>
        <v>1.5294719608488342E-3</v>
      </c>
      <c r="S19" s="40">
        <f t="shared" ca="1" si="12"/>
        <v>1.7495793614537632E-3</v>
      </c>
      <c r="T19" s="40">
        <f t="shared" ca="1" si="12"/>
        <v>1.3930524503982206E-2</v>
      </c>
      <c r="U19" s="40">
        <f t="shared" ref="U19:AG19" ca="1" si="14">U5/SUM(U$4:U$10)*U$13</f>
        <v>7.6883377414076028E-3</v>
      </c>
      <c r="V19" s="40">
        <f t="shared" ca="1" si="14"/>
        <v>4.2120998602891962E-3</v>
      </c>
      <c r="W19" s="40">
        <f t="shared" ca="1" si="14"/>
        <v>0</v>
      </c>
      <c r="X19" s="40">
        <f t="shared" ca="1" si="14"/>
        <v>3.1357615681955942E-2</v>
      </c>
      <c r="Y19" s="40">
        <f t="shared" ca="1" si="14"/>
        <v>0</v>
      </c>
      <c r="Z19" s="40">
        <f t="shared" ca="1" si="14"/>
        <v>0</v>
      </c>
      <c r="AA19" s="40">
        <f t="shared" ca="1" si="14"/>
        <v>6.4823871195804112E-4</v>
      </c>
      <c r="AB19" s="40">
        <f t="shared" ca="1" si="14"/>
        <v>0</v>
      </c>
      <c r="AC19" s="40">
        <f t="shared" ca="1" si="14"/>
        <v>0</v>
      </c>
      <c r="AD19" s="40">
        <f t="shared" ca="1" si="14"/>
        <v>0</v>
      </c>
      <c r="AE19" s="40">
        <f t="shared" ca="1" si="14"/>
        <v>4.2826813651311796E-3</v>
      </c>
      <c r="AF19" s="40">
        <f t="shared" ca="1" si="14"/>
        <v>5.2619363892529254</v>
      </c>
      <c r="AG19" s="40" t="e">
        <f t="shared" ca="1" si="14"/>
        <v>#DIV/0!</v>
      </c>
    </row>
    <row r="20" spans="1:33" x14ac:dyDescent="0.45">
      <c r="C20" t="str">
        <f t="shared" si="11"/>
        <v>TRADST</v>
      </c>
      <c r="D20" s="40">
        <f t="shared" ca="1" si="12"/>
        <v>6.1007619598370342</v>
      </c>
      <c r="E20" s="40">
        <f t="shared" ca="1" si="12"/>
        <v>6.1951550006865865</v>
      </c>
      <c r="F20" s="40">
        <f t="shared" ca="1" si="12"/>
        <v>4.5533132820470019</v>
      </c>
      <c r="G20" s="40">
        <f t="shared" ca="1" si="12"/>
        <v>0.73051576634599458</v>
      </c>
      <c r="H20" s="40">
        <f t="shared" ca="1" si="12"/>
        <v>17.144033994388849</v>
      </c>
      <c r="I20" s="40">
        <f t="shared" ca="1" si="12"/>
        <v>23.28155654229505</v>
      </c>
      <c r="J20" s="40">
        <f t="shared" ca="1" si="12"/>
        <v>4.8513501672768173</v>
      </c>
      <c r="K20" s="40">
        <f t="shared" ca="1" si="12"/>
        <v>5.7781780423159219</v>
      </c>
      <c r="L20" s="40">
        <f t="shared" ca="1" si="12"/>
        <v>1.143562919374921</v>
      </c>
      <c r="M20" s="40">
        <f t="shared" ca="1" si="12"/>
        <v>29.203341529523264</v>
      </c>
      <c r="N20" s="40">
        <f t="shared" ca="1" si="12"/>
        <v>0.91955676389807406</v>
      </c>
      <c r="O20" s="40">
        <f t="shared" ca="1" si="12"/>
        <v>4.9083490362575741</v>
      </c>
      <c r="P20" s="40">
        <f t="shared" ca="1" si="12"/>
        <v>2.109581256515185</v>
      </c>
      <c r="Q20" s="40">
        <f t="shared" ref="Q20" ca="1" si="15">Q6/SUM(Q$4:Q$10)*Q$13</f>
        <v>5.2393013517662226</v>
      </c>
      <c r="R20" s="40">
        <f t="shared" ca="1" si="12"/>
        <v>2.0684196536236645</v>
      </c>
      <c r="S20" s="40">
        <f t="shared" ca="1" si="12"/>
        <v>5.5261584278610281</v>
      </c>
      <c r="T20" s="40">
        <f t="shared" ca="1" si="12"/>
        <v>8.0101082195068241</v>
      </c>
      <c r="U20" s="40">
        <f t="shared" ref="U20:AG20" ca="1" si="16">U6/SUM(U$4:U$10)*U$13</f>
        <v>6.164315239109599</v>
      </c>
      <c r="V20" s="40">
        <f t="shared" ca="1" si="16"/>
        <v>3.3145127285321712</v>
      </c>
      <c r="W20" s="40">
        <f t="shared" ca="1" si="16"/>
        <v>7.4953482046419699</v>
      </c>
      <c r="X20" s="40">
        <f t="shared" ca="1" si="16"/>
        <v>9.7707352283535513</v>
      </c>
      <c r="Y20" s="40">
        <f t="shared" ca="1" si="16"/>
        <v>9.5498640553904313</v>
      </c>
      <c r="Z20" s="40">
        <f t="shared" ca="1" si="16"/>
        <v>6.2121764613511337</v>
      </c>
      <c r="AA20" s="40">
        <f t="shared" ca="1" si="16"/>
        <v>0.54510460776631764</v>
      </c>
      <c r="AB20" s="40">
        <f t="shared" ca="1" si="16"/>
        <v>4.1960383192001052</v>
      </c>
      <c r="AC20" s="40">
        <f t="shared" ca="1" si="16"/>
        <v>1.8049381979098333</v>
      </c>
      <c r="AD20" s="40">
        <f t="shared" ca="1" si="16"/>
        <v>3.5297860693893646</v>
      </c>
      <c r="AE20" s="40">
        <f t="shared" ca="1" si="16"/>
        <v>4.6496414303291314</v>
      </c>
      <c r="AF20" s="40">
        <f t="shared" ca="1" si="16"/>
        <v>92.98832283533504</v>
      </c>
      <c r="AG20" s="40" t="e">
        <f t="shared" ca="1" si="16"/>
        <v>#DIV/0!</v>
      </c>
    </row>
    <row r="21" spans="1:33" x14ac:dyDescent="0.45">
      <c r="C21" t="str">
        <f t="shared" si="11"/>
        <v>TRAELC</v>
      </c>
      <c r="D21" s="40">
        <f t="shared" ca="1" si="12"/>
        <v>0</v>
      </c>
      <c r="E21" s="40">
        <f t="shared" ca="1" si="12"/>
        <v>0</v>
      </c>
      <c r="F21" s="40">
        <f t="shared" ca="1" si="12"/>
        <v>0</v>
      </c>
      <c r="G21" s="40">
        <f t="shared" ca="1" si="12"/>
        <v>0</v>
      </c>
      <c r="H21" s="40">
        <f t="shared" ca="1" si="12"/>
        <v>0</v>
      </c>
      <c r="I21" s="40">
        <f t="shared" ca="1" si="12"/>
        <v>0</v>
      </c>
      <c r="J21" s="40">
        <f t="shared" ca="1" si="12"/>
        <v>0</v>
      </c>
      <c r="K21" s="40">
        <f t="shared" ca="1" si="12"/>
        <v>0</v>
      </c>
      <c r="L21" s="40">
        <f t="shared" ca="1" si="12"/>
        <v>0</v>
      </c>
      <c r="M21" s="40">
        <f t="shared" ca="1" si="12"/>
        <v>0.30914657003544255</v>
      </c>
      <c r="N21" s="40">
        <f t="shared" ca="1" si="12"/>
        <v>0</v>
      </c>
      <c r="O21" s="40">
        <f t="shared" ca="1" si="12"/>
        <v>0</v>
      </c>
      <c r="P21" s="40">
        <f t="shared" ca="1" si="12"/>
        <v>0</v>
      </c>
      <c r="Q21" s="40">
        <f t="shared" ref="Q21" ca="1" si="17">Q7/SUM(Q$4:Q$10)*Q$13</f>
        <v>0</v>
      </c>
      <c r="R21" s="40">
        <f t="shared" ca="1" si="12"/>
        <v>0</v>
      </c>
      <c r="S21" s="40">
        <f t="shared" ca="1" si="12"/>
        <v>0</v>
      </c>
      <c r="T21" s="40">
        <f t="shared" ca="1" si="12"/>
        <v>0</v>
      </c>
      <c r="U21" s="40">
        <f t="shared" ref="U21:AG21" ca="1" si="18">U7/SUM(U$4:U$10)*U$13</f>
        <v>0</v>
      </c>
      <c r="V21" s="40">
        <f t="shared" ca="1" si="18"/>
        <v>0</v>
      </c>
      <c r="W21" s="40">
        <f t="shared" ca="1" si="18"/>
        <v>0</v>
      </c>
      <c r="X21" s="40">
        <f t="shared" ca="1" si="18"/>
        <v>0</v>
      </c>
      <c r="Y21" s="40">
        <f t="shared" ca="1" si="18"/>
        <v>0</v>
      </c>
      <c r="Z21" s="40">
        <f t="shared" ca="1" si="18"/>
        <v>0</v>
      </c>
      <c r="AA21" s="40">
        <f t="shared" ca="1" si="18"/>
        <v>0</v>
      </c>
      <c r="AB21" s="40">
        <f t="shared" ca="1" si="18"/>
        <v>0</v>
      </c>
      <c r="AC21" s="40">
        <f t="shared" ca="1" si="18"/>
        <v>0</v>
      </c>
      <c r="AD21" s="40">
        <f t="shared" ca="1" si="18"/>
        <v>0</v>
      </c>
      <c r="AE21" s="40">
        <f t="shared" ca="1" si="18"/>
        <v>0</v>
      </c>
      <c r="AF21" s="40">
        <f t="shared" ca="1" si="18"/>
        <v>0</v>
      </c>
      <c r="AG21" s="40" t="e">
        <f t="shared" ca="1" si="18"/>
        <v>#DIV/0!</v>
      </c>
    </row>
    <row r="22" spans="1:33" x14ac:dyDescent="0.45">
      <c r="C22" t="str">
        <f t="shared" si="11"/>
        <v>TRAGSL</v>
      </c>
      <c r="D22" s="40">
        <f t="shared" ca="1" si="12"/>
        <v>0</v>
      </c>
      <c r="E22" s="40">
        <f t="shared" ca="1" si="12"/>
        <v>0</v>
      </c>
      <c r="F22" s="40">
        <f t="shared" ca="1" si="12"/>
        <v>0.414278851197525</v>
      </c>
      <c r="G22" s="40">
        <f t="shared" ca="1" si="12"/>
        <v>0.50753556933761912</v>
      </c>
      <c r="H22" s="40">
        <f t="shared" ca="1" si="12"/>
        <v>2.2338199755505688</v>
      </c>
      <c r="I22" s="40">
        <f t="shared" ca="1" si="12"/>
        <v>0</v>
      </c>
      <c r="J22" s="40">
        <f t="shared" ca="1" si="12"/>
        <v>0.55313982727129785</v>
      </c>
      <c r="K22" s="40">
        <f t="shared" ca="1" si="12"/>
        <v>0.37997978781457431</v>
      </c>
      <c r="L22" s="40">
        <f t="shared" ca="1" si="12"/>
        <v>9.8403324468422371E-2</v>
      </c>
      <c r="M22" s="40">
        <f t="shared" ca="1" si="12"/>
        <v>6.8291680737305747</v>
      </c>
      <c r="N22" s="40">
        <f t="shared" ca="1" si="12"/>
        <v>3.1809776504771022E-2</v>
      </c>
      <c r="O22" s="40">
        <f t="shared" ca="1" si="12"/>
        <v>7.7883439905708951E-2</v>
      </c>
      <c r="P22" s="40">
        <f t="shared" ca="1" si="12"/>
        <v>5.5305322791980999E-2</v>
      </c>
      <c r="Q22" s="40">
        <f t="shared" ref="Q22" ca="1" si="19">Q8/SUM(Q$4:Q$10)*Q$13</f>
        <v>0.13341787121994197</v>
      </c>
      <c r="R22" s="40">
        <f t="shared" ca="1" si="12"/>
        <v>3.5697863978930808E-2</v>
      </c>
      <c r="S22" s="40">
        <f t="shared" ca="1" si="12"/>
        <v>8.1822452978510346E-2</v>
      </c>
      <c r="T22" s="40">
        <f t="shared" ca="1" si="12"/>
        <v>0.70922186170492674</v>
      </c>
      <c r="U22" s="40">
        <f t="shared" ref="U22:AG22" ca="1" si="20">U8/SUM(U$4:U$10)*U$13</f>
        <v>9.2507421679053195E-2</v>
      </c>
      <c r="V22" s="40">
        <f t="shared" ca="1" si="20"/>
        <v>0.10112848193189829</v>
      </c>
      <c r="W22" s="40">
        <f t="shared" ca="1" si="20"/>
        <v>0</v>
      </c>
      <c r="X22" s="40">
        <f t="shared" ca="1" si="20"/>
        <v>1.332502556834797</v>
      </c>
      <c r="Y22" s="40">
        <f t="shared" ca="1" si="20"/>
        <v>1.6261491045442298</v>
      </c>
      <c r="Z22" s="40">
        <f t="shared" ca="1" si="20"/>
        <v>3.262281007346445</v>
      </c>
      <c r="AA22" s="40">
        <f t="shared" ca="1" si="20"/>
        <v>1.0996793178302988E-2</v>
      </c>
      <c r="AB22" s="40">
        <f t="shared" ca="1" si="20"/>
        <v>3.3873862978260498</v>
      </c>
      <c r="AC22" s="40">
        <f t="shared" ca="1" si="20"/>
        <v>0.72000620209014787</v>
      </c>
      <c r="AD22" s="40">
        <f t="shared" ca="1" si="20"/>
        <v>0</v>
      </c>
      <c r="AE22" s="40">
        <f t="shared" ca="1" si="20"/>
        <v>0.13837361375429291</v>
      </c>
      <c r="AF22" s="40">
        <f t="shared" ca="1" si="20"/>
        <v>59.567142906510462</v>
      </c>
      <c r="AG22" s="40" t="e">
        <f t="shared" ca="1" si="20"/>
        <v>#DIV/0!</v>
      </c>
    </row>
    <row r="23" spans="1:33" x14ac:dyDescent="0.45">
      <c r="C23" t="str">
        <f t="shared" si="11"/>
        <v>TRALPG</v>
      </c>
      <c r="D23" s="40">
        <f t="shared" ca="1" si="12"/>
        <v>0.11275489284626382</v>
      </c>
      <c r="E23" s="40">
        <f t="shared" ca="1" si="12"/>
        <v>7.3943470035755347E-5</v>
      </c>
      <c r="F23" s="40">
        <f t="shared" ca="1" si="12"/>
        <v>0</v>
      </c>
      <c r="G23" s="40">
        <f t="shared" ca="1" si="12"/>
        <v>3.5322002736854985E-2</v>
      </c>
      <c r="H23" s="40">
        <f t="shared" ca="1" si="12"/>
        <v>0.83524812830775397</v>
      </c>
      <c r="I23" s="40">
        <f t="shared" ca="1" si="12"/>
        <v>5.225518499939022E-2</v>
      </c>
      <c r="J23" s="40">
        <f t="shared" ca="1" si="12"/>
        <v>1.9854125357882071E-2</v>
      </c>
      <c r="K23" s="40">
        <f t="shared" ca="1" si="12"/>
        <v>0</v>
      </c>
      <c r="L23" s="40">
        <f t="shared" ca="1" si="12"/>
        <v>2.0813041062628197E-3</v>
      </c>
      <c r="M23" s="40">
        <f t="shared" ca="1" si="12"/>
        <v>0.13698800324686169</v>
      </c>
      <c r="N23" s="40">
        <f t="shared" ca="1" si="12"/>
        <v>0</v>
      </c>
      <c r="O23" s="40">
        <f t="shared" ca="1" si="12"/>
        <v>0.32569901238943882</v>
      </c>
      <c r="P23" s="40">
        <f t="shared" ca="1" si="12"/>
        <v>1.3343624299883136E-2</v>
      </c>
      <c r="Q23" s="40">
        <f t="shared" ref="Q23" ca="1" si="21">Q9/SUM(Q$4:Q$10)*Q$13</f>
        <v>0.22942595486038211</v>
      </c>
      <c r="R23" s="40">
        <f t="shared" ca="1" si="12"/>
        <v>8.7014108281926419E-2</v>
      </c>
      <c r="S23" s="40">
        <f t="shared" ca="1" si="12"/>
        <v>1.4998304797154782E-2</v>
      </c>
      <c r="T23" s="40">
        <f t="shared" ca="1" si="12"/>
        <v>0.50187662201998118</v>
      </c>
      <c r="U23" s="40">
        <f t="shared" ref="U23:AG23" ca="1" si="22">U9/SUM(U$4:U$10)*U$13</f>
        <v>5.9683778699582135E-3</v>
      </c>
      <c r="V23" s="40">
        <f t="shared" ca="1" si="22"/>
        <v>1.9143485230058915E-2</v>
      </c>
      <c r="W23" s="40">
        <f t="shared" ca="1" si="22"/>
        <v>6.6778685500597998E-3</v>
      </c>
      <c r="X23" s="40">
        <f t="shared" ca="1" si="22"/>
        <v>0</v>
      </c>
      <c r="Y23" s="40">
        <f t="shared" ca="1" si="22"/>
        <v>0.10092245459134795</v>
      </c>
      <c r="Z23" s="40">
        <f t="shared" ca="1" si="22"/>
        <v>4.0267313023320435E-3</v>
      </c>
      <c r="AA23" s="40">
        <f t="shared" ca="1" si="22"/>
        <v>6.2539216210022084E-4</v>
      </c>
      <c r="AB23" s="40">
        <f t="shared" ca="1" si="22"/>
        <v>0.19052197044875407</v>
      </c>
      <c r="AC23" s="40">
        <f t="shared" ca="1" si="22"/>
        <v>0</v>
      </c>
      <c r="AD23" s="40">
        <f t="shared" ca="1" si="22"/>
        <v>3.1834161409153017E-3</v>
      </c>
      <c r="AE23" s="40">
        <f t="shared" ca="1" si="22"/>
        <v>6.7979631432430127E-3</v>
      </c>
      <c r="AF23" s="40">
        <f t="shared" ca="1" si="22"/>
        <v>1.685078355859097E-2</v>
      </c>
      <c r="AG23" s="40" t="e">
        <f t="shared" ca="1" si="22"/>
        <v>#DIV/0!</v>
      </c>
    </row>
    <row r="24" spans="1:33" x14ac:dyDescent="0.45">
      <c r="C24" t="str">
        <f t="shared" si="11"/>
        <v>TRANGA</v>
      </c>
      <c r="D24" s="40">
        <f t="shared" ca="1" si="12"/>
        <v>2.8623947316718263E-2</v>
      </c>
      <c r="E24" s="40">
        <f t="shared" ca="1" si="12"/>
        <v>1.2005584334205613E-4</v>
      </c>
      <c r="F24" s="40">
        <f t="shared" ca="1" si="12"/>
        <v>0.19771082189877559</v>
      </c>
      <c r="G24" s="40">
        <f t="shared" ca="1" si="12"/>
        <v>0.19271001378672267</v>
      </c>
      <c r="H24" s="40">
        <f t="shared" ca="1" si="12"/>
        <v>2.8364371750506157E-2</v>
      </c>
      <c r="I24" s="40">
        <f t="shared" ca="1" si="12"/>
        <v>5.2615361489585448E-2</v>
      </c>
      <c r="J24" s="40">
        <f t="shared" ca="1" si="12"/>
        <v>4.0425382602183087E-3</v>
      </c>
      <c r="K24" s="40">
        <f t="shared" ca="1" si="12"/>
        <v>8.0931335753043621E-2</v>
      </c>
      <c r="L24" s="40">
        <f t="shared" ca="1" si="12"/>
        <v>0</v>
      </c>
      <c r="M24" s="40">
        <f t="shared" ca="1" si="12"/>
        <v>1.5547961245800956</v>
      </c>
      <c r="N24" s="40">
        <f t="shared" ca="1" si="12"/>
        <v>0</v>
      </c>
      <c r="O24" s="40">
        <f t="shared" ca="1" si="12"/>
        <v>0</v>
      </c>
      <c r="P24" s="40">
        <f t="shared" ca="1" si="12"/>
        <v>0</v>
      </c>
      <c r="Q24" s="40">
        <f t="shared" ref="Q24" ca="1" si="23">Q10/SUM(Q$4:Q$10)*Q$13</f>
        <v>0</v>
      </c>
      <c r="R24" s="40">
        <f t="shared" ca="1" si="12"/>
        <v>0</v>
      </c>
      <c r="S24" s="40">
        <f t="shared" ca="1" si="12"/>
        <v>0</v>
      </c>
      <c r="T24" s="40">
        <f t="shared" ca="1" si="12"/>
        <v>0</v>
      </c>
      <c r="U24" s="40">
        <f t="shared" ref="U24:AG24" ca="1" si="24">U10/SUM(U$4:U$10)*U$13</f>
        <v>0</v>
      </c>
      <c r="V24" s="40">
        <f t="shared" ca="1" si="24"/>
        <v>0</v>
      </c>
      <c r="W24" s="40">
        <f t="shared" ca="1" si="24"/>
        <v>0.1013323728869687</v>
      </c>
      <c r="X24" s="40">
        <f t="shared" ca="1" si="24"/>
        <v>0.17677837389618006</v>
      </c>
      <c r="Y24" s="40">
        <f t="shared" ca="1" si="24"/>
        <v>4.0783854740166969E-3</v>
      </c>
      <c r="Z24" s="40">
        <f t="shared" ca="1" si="24"/>
        <v>0</v>
      </c>
      <c r="AA24" s="40">
        <f t="shared" ca="1" si="24"/>
        <v>0</v>
      </c>
      <c r="AB24" s="40">
        <f t="shared" ca="1" si="24"/>
        <v>2.0782212525120115E-2</v>
      </c>
      <c r="AC24" s="40">
        <f t="shared" ca="1" si="24"/>
        <v>0</v>
      </c>
      <c r="AD24" s="40">
        <f t="shared" ca="1" si="24"/>
        <v>1.9114469730274646E-5</v>
      </c>
      <c r="AE24" s="40">
        <f t="shared" ca="1" si="24"/>
        <v>0</v>
      </c>
      <c r="AF24" s="40">
        <f t="shared" ca="1" si="24"/>
        <v>1.9887592262172085E-2</v>
      </c>
      <c r="AG24" s="40" t="e">
        <f t="shared" ca="1" si="24"/>
        <v>#DIV/0!</v>
      </c>
    </row>
    <row r="26" spans="1:33" x14ac:dyDescent="0.45">
      <c r="A26" t="s">
        <v>331</v>
      </c>
      <c r="C26" t="str">
        <f>C18</f>
        <v>TRABDS</v>
      </c>
      <c r="D26">
        <v>0.3</v>
      </c>
      <c r="E26">
        <v>0.3</v>
      </c>
      <c r="F26">
        <v>0.3</v>
      </c>
      <c r="G26">
        <v>0.3</v>
      </c>
      <c r="H26">
        <v>0.3</v>
      </c>
      <c r="I26">
        <v>0.3</v>
      </c>
      <c r="J26">
        <v>0.3</v>
      </c>
      <c r="K26">
        <v>0.4</v>
      </c>
      <c r="L26">
        <v>0.3</v>
      </c>
      <c r="M26">
        <v>0.3</v>
      </c>
      <c r="N26">
        <v>0.3</v>
      </c>
      <c r="O26">
        <v>0.3</v>
      </c>
      <c r="P26">
        <v>0.3</v>
      </c>
      <c r="Q26">
        <v>0.3</v>
      </c>
      <c r="R26">
        <v>0.2</v>
      </c>
      <c r="S26">
        <v>0.45</v>
      </c>
      <c r="T26">
        <v>0.2</v>
      </c>
      <c r="U26">
        <v>0.2</v>
      </c>
      <c r="V26">
        <v>0.3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</row>
    <row r="27" spans="1:33" x14ac:dyDescent="0.45">
      <c r="C27" t="str">
        <f t="shared" ref="C27:C32" si="25">C19</f>
        <v>TRABGS</v>
      </c>
      <c r="D27">
        <v>0.3</v>
      </c>
      <c r="E27">
        <v>0.3</v>
      </c>
      <c r="F27">
        <v>0.3</v>
      </c>
      <c r="G27">
        <v>0.3</v>
      </c>
      <c r="H27">
        <v>0.3</v>
      </c>
      <c r="I27">
        <v>0.3</v>
      </c>
      <c r="J27">
        <v>0.3</v>
      </c>
      <c r="K27">
        <v>0.4</v>
      </c>
      <c r="L27">
        <v>0.3</v>
      </c>
      <c r="M27">
        <v>0.3</v>
      </c>
      <c r="N27">
        <v>0.3</v>
      </c>
      <c r="O27">
        <v>0.3</v>
      </c>
      <c r="P27">
        <v>0.3</v>
      </c>
      <c r="Q27">
        <v>0.3</v>
      </c>
      <c r="R27">
        <v>0.2</v>
      </c>
      <c r="S27">
        <v>0.45</v>
      </c>
      <c r="T27">
        <v>0.2</v>
      </c>
      <c r="U27">
        <v>0.2</v>
      </c>
      <c r="V27">
        <v>0.3</v>
      </c>
      <c r="W27">
        <v>0.2</v>
      </c>
      <c r="X27">
        <v>0.2</v>
      </c>
      <c r="Y27">
        <v>0.2</v>
      </c>
      <c r="Z27">
        <v>0.2</v>
      </c>
      <c r="AA27">
        <v>0.2</v>
      </c>
      <c r="AB27">
        <v>0.2</v>
      </c>
      <c r="AC27">
        <v>0.2</v>
      </c>
      <c r="AD27">
        <v>0.2</v>
      </c>
      <c r="AE27">
        <v>0.2</v>
      </c>
      <c r="AF27">
        <v>0.2</v>
      </c>
      <c r="AG27">
        <v>0.2</v>
      </c>
    </row>
    <row r="28" spans="1:33" x14ac:dyDescent="0.45">
      <c r="C28" t="str">
        <f t="shared" si="25"/>
        <v>TRADST</v>
      </c>
      <c r="D28">
        <v>0.3</v>
      </c>
      <c r="E28">
        <v>0.3</v>
      </c>
      <c r="F28">
        <v>0.3</v>
      </c>
      <c r="G28">
        <v>0.3</v>
      </c>
      <c r="H28">
        <v>0.3</v>
      </c>
      <c r="I28">
        <v>0.3</v>
      </c>
      <c r="J28">
        <v>0.3</v>
      </c>
      <c r="K28">
        <v>0.4</v>
      </c>
      <c r="L28">
        <v>0.3</v>
      </c>
      <c r="M28">
        <v>0.3</v>
      </c>
      <c r="N28">
        <v>0.3</v>
      </c>
      <c r="O28">
        <v>0.3</v>
      </c>
      <c r="P28">
        <v>0.3</v>
      </c>
      <c r="Q28">
        <v>0.3</v>
      </c>
      <c r="R28">
        <v>0.2</v>
      </c>
      <c r="S28">
        <v>0.45</v>
      </c>
      <c r="T28">
        <v>0.2</v>
      </c>
      <c r="U28">
        <v>0.2</v>
      </c>
      <c r="V28">
        <v>0.3</v>
      </c>
      <c r="W28">
        <v>0.2</v>
      </c>
      <c r="X28">
        <v>0.2</v>
      </c>
      <c r="Y28">
        <v>0.2</v>
      </c>
      <c r="Z28">
        <v>0.2</v>
      </c>
      <c r="AA28">
        <v>0.2</v>
      </c>
      <c r="AB28">
        <v>0.2</v>
      </c>
      <c r="AC28">
        <v>0.2</v>
      </c>
      <c r="AD28">
        <v>0.2</v>
      </c>
      <c r="AE28">
        <v>0.2</v>
      </c>
      <c r="AF28">
        <v>0.2</v>
      </c>
      <c r="AG28">
        <v>0.2</v>
      </c>
    </row>
    <row r="29" spans="1:33" x14ac:dyDescent="0.45">
      <c r="C29" t="str">
        <f t="shared" si="25"/>
        <v>TRAELC</v>
      </c>
      <c r="D29">
        <v>0.3</v>
      </c>
      <c r="E29">
        <v>0.3</v>
      </c>
      <c r="F29">
        <v>0.3</v>
      </c>
      <c r="G29">
        <v>0.3</v>
      </c>
      <c r="H29">
        <v>0.3</v>
      </c>
      <c r="I29">
        <v>0.3</v>
      </c>
      <c r="J29">
        <v>0.3</v>
      </c>
      <c r="K29">
        <v>0.4</v>
      </c>
      <c r="L29">
        <v>0.3</v>
      </c>
      <c r="M29">
        <v>0.3</v>
      </c>
      <c r="N29">
        <v>0.3</v>
      </c>
      <c r="O29">
        <v>0.3</v>
      </c>
      <c r="P29">
        <v>0.3</v>
      </c>
      <c r="Q29">
        <v>0.3</v>
      </c>
      <c r="R29">
        <v>0.2</v>
      </c>
      <c r="S29">
        <v>0.45</v>
      </c>
      <c r="T29">
        <v>0.2</v>
      </c>
      <c r="U29">
        <v>0.2</v>
      </c>
      <c r="V29">
        <v>0.3</v>
      </c>
      <c r="W29">
        <v>0.2</v>
      </c>
      <c r="X29">
        <v>0.2</v>
      </c>
      <c r="Y29">
        <v>0.2</v>
      </c>
      <c r="Z29">
        <v>0.2</v>
      </c>
      <c r="AA29">
        <v>0.2</v>
      </c>
      <c r="AB29">
        <v>0.2</v>
      </c>
      <c r="AC29">
        <v>0.2</v>
      </c>
      <c r="AD29">
        <v>0.2</v>
      </c>
      <c r="AE29">
        <v>0.2</v>
      </c>
      <c r="AF29">
        <v>0.2</v>
      </c>
      <c r="AG29">
        <v>0.2</v>
      </c>
    </row>
    <row r="30" spans="1:33" x14ac:dyDescent="0.45">
      <c r="C30" t="str">
        <f t="shared" si="25"/>
        <v>TRAGSL</v>
      </c>
      <c r="D30">
        <v>0.3</v>
      </c>
      <c r="E30">
        <v>0.3</v>
      </c>
      <c r="F30">
        <v>0.3</v>
      </c>
      <c r="G30">
        <v>0.3</v>
      </c>
      <c r="H30">
        <v>0.3</v>
      </c>
      <c r="I30">
        <v>0.3</v>
      </c>
      <c r="J30">
        <v>0.3</v>
      </c>
      <c r="K30">
        <v>0.4</v>
      </c>
      <c r="L30">
        <v>0.3</v>
      </c>
      <c r="M30">
        <v>0.3</v>
      </c>
      <c r="N30">
        <v>0.3</v>
      </c>
      <c r="O30">
        <v>0.3</v>
      </c>
      <c r="P30">
        <v>0.3</v>
      </c>
      <c r="Q30">
        <v>0.3</v>
      </c>
      <c r="R30">
        <v>0.2</v>
      </c>
      <c r="S30">
        <v>0.45</v>
      </c>
      <c r="T30">
        <v>0.2</v>
      </c>
      <c r="U30">
        <v>0.2</v>
      </c>
      <c r="V30">
        <v>0.3</v>
      </c>
      <c r="W30">
        <v>0.2</v>
      </c>
      <c r="X30">
        <v>0.2</v>
      </c>
      <c r="Y30">
        <v>0.2</v>
      </c>
      <c r="Z30">
        <v>0.2</v>
      </c>
      <c r="AA30">
        <v>0.2</v>
      </c>
      <c r="AB30">
        <v>0.2</v>
      </c>
      <c r="AC30">
        <v>0.2</v>
      </c>
      <c r="AD30">
        <v>0.2</v>
      </c>
      <c r="AE30">
        <v>0.2</v>
      </c>
      <c r="AF30">
        <v>0.2</v>
      </c>
      <c r="AG30">
        <v>0.2</v>
      </c>
    </row>
    <row r="31" spans="1:33" x14ac:dyDescent="0.45">
      <c r="C31" t="str">
        <f t="shared" si="25"/>
        <v>TRALPG</v>
      </c>
      <c r="D31">
        <v>0.3</v>
      </c>
      <c r="E31">
        <v>0.3</v>
      </c>
      <c r="F31">
        <v>0.3</v>
      </c>
      <c r="G31">
        <v>0.3</v>
      </c>
      <c r="H31">
        <v>0.3</v>
      </c>
      <c r="I31">
        <v>0.3</v>
      </c>
      <c r="J31">
        <v>0.3</v>
      </c>
      <c r="K31">
        <v>0.4</v>
      </c>
      <c r="L31">
        <v>0.3</v>
      </c>
      <c r="M31">
        <v>0.3</v>
      </c>
      <c r="N31">
        <v>0.3</v>
      </c>
      <c r="O31">
        <v>0.3</v>
      </c>
      <c r="P31">
        <v>0.3</v>
      </c>
      <c r="Q31">
        <v>0.3</v>
      </c>
      <c r="R31">
        <v>0.2</v>
      </c>
      <c r="S31">
        <v>0.45</v>
      </c>
      <c r="T31">
        <v>0.2</v>
      </c>
      <c r="U31">
        <v>0.2</v>
      </c>
      <c r="V31">
        <v>0.3</v>
      </c>
      <c r="W31">
        <v>0.2</v>
      </c>
      <c r="X31">
        <v>0.2</v>
      </c>
      <c r="Y31">
        <v>0.2</v>
      </c>
      <c r="Z31">
        <v>0.2</v>
      </c>
      <c r="AA31">
        <v>0.2</v>
      </c>
      <c r="AB31">
        <v>0.2</v>
      </c>
      <c r="AC31">
        <v>0.2</v>
      </c>
      <c r="AD31">
        <v>0.2</v>
      </c>
      <c r="AE31">
        <v>0.2</v>
      </c>
      <c r="AF31">
        <v>0.2</v>
      </c>
      <c r="AG31">
        <v>0.2</v>
      </c>
    </row>
    <row r="32" spans="1:33" x14ac:dyDescent="0.45">
      <c r="C32" t="str">
        <f t="shared" si="25"/>
        <v>TRANGA</v>
      </c>
      <c r="D32">
        <v>0.3</v>
      </c>
      <c r="E32">
        <v>0.3</v>
      </c>
      <c r="F32">
        <v>0.3</v>
      </c>
      <c r="G32">
        <v>0.3</v>
      </c>
      <c r="H32">
        <v>0.3</v>
      </c>
      <c r="I32">
        <v>0.3</v>
      </c>
      <c r="J32">
        <v>0.3</v>
      </c>
      <c r="K32">
        <v>0.4</v>
      </c>
      <c r="L32">
        <v>0.3</v>
      </c>
      <c r="M32">
        <v>0.3</v>
      </c>
      <c r="N32">
        <v>0.3</v>
      </c>
      <c r="O32">
        <v>0.3</v>
      </c>
      <c r="P32">
        <v>0.3</v>
      </c>
      <c r="Q32">
        <v>0.3</v>
      </c>
      <c r="R32">
        <v>0.2</v>
      </c>
      <c r="S32">
        <v>0.45</v>
      </c>
      <c r="T32">
        <v>0.2</v>
      </c>
      <c r="U32">
        <v>0.2</v>
      </c>
      <c r="V32">
        <v>0.3</v>
      </c>
      <c r="W32">
        <v>0.2</v>
      </c>
      <c r="X32">
        <v>0.2</v>
      </c>
      <c r="Y32">
        <v>0.2</v>
      </c>
      <c r="Z32">
        <v>0.2</v>
      </c>
      <c r="AA32">
        <v>0.2</v>
      </c>
      <c r="AB32">
        <v>0.2</v>
      </c>
      <c r="AC32">
        <v>0.2</v>
      </c>
      <c r="AD32">
        <v>0.2</v>
      </c>
      <c r="AE32">
        <v>0.2</v>
      </c>
      <c r="AF32">
        <v>0.2</v>
      </c>
      <c r="AG32">
        <v>0.2</v>
      </c>
    </row>
    <row r="34" spans="1:33" x14ac:dyDescent="0.45">
      <c r="A34" t="s">
        <v>332</v>
      </c>
      <c r="C34" t="str">
        <f>C26</f>
        <v>TRABDS</v>
      </c>
      <c r="D34" s="40" t="str">
        <f ca="1">IFERROR(D4*D26/D18,"")</f>
        <v/>
      </c>
      <c r="E34" s="40" t="str">
        <f t="shared" ref="E34:T34" ca="1" si="26">IFERROR(E4*E26/E18,"")</f>
        <v/>
      </c>
      <c r="F34" s="40">
        <f t="shared" ca="1" si="26"/>
        <v>26.140553119535667</v>
      </c>
      <c r="G34" s="40">
        <f t="shared" ca="1" si="26"/>
        <v>69.108322851801773</v>
      </c>
      <c r="H34" s="40">
        <f t="shared" ca="1" si="26"/>
        <v>27.090876505815377</v>
      </c>
      <c r="I34" s="40">
        <f t="shared" ca="1" si="26"/>
        <v>28.581204029223677</v>
      </c>
      <c r="J34" s="40">
        <f t="shared" ca="1" si="26"/>
        <v>34.769095230878428</v>
      </c>
      <c r="K34" s="40">
        <f t="shared" ca="1" si="26"/>
        <v>83.204427696533571</v>
      </c>
      <c r="L34" s="40">
        <f t="shared" ca="1" si="26"/>
        <v>157.49212670154986</v>
      </c>
      <c r="M34" s="40">
        <f t="shared" ca="1" si="26"/>
        <v>23.810357686815347</v>
      </c>
      <c r="N34" s="40">
        <f t="shared" ca="1" si="26"/>
        <v>51.113037072107062</v>
      </c>
      <c r="O34" s="40">
        <f t="shared" ca="1" si="26"/>
        <v>39.684605332669769</v>
      </c>
      <c r="P34" s="40">
        <f t="shared" ca="1" si="26"/>
        <v>46.401272695111977</v>
      </c>
      <c r="Q34" s="40">
        <f t="shared" ref="Q34" ca="1" si="27">IFERROR(Q4*Q26/Q18,"")</f>
        <v>28.164762852931371</v>
      </c>
      <c r="R34" s="40">
        <f t="shared" ca="1" si="26"/>
        <v>26.691964263786172</v>
      </c>
      <c r="S34" s="40">
        <f t="shared" ca="1" si="26"/>
        <v>42.498771403880141</v>
      </c>
      <c r="T34" s="40">
        <f t="shared" ca="1" si="26"/>
        <v>28.122306087987667</v>
      </c>
      <c r="U34" s="40">
        <f t="shared" ref="U34:AG34" ca="1" si="28">IFERROR(U4*U26/U18,"")</f>
        <v>20.278247945592522</v>
      </c>
      <c r="V34" s="40">
        <f t="shared" ca="1" si="28"/>
        <v>61.093892443032459</v>
      </c>
      <c r="W34" s="40">
        <f t="shared" ca="1" si="28"/>
        <v>36.527539629065572</v>
      </c>
      <c r="X34" s="40">
        <f t="shared" ca="1" si="28"/>
        <v>17.138775846164005</v>
      </c>
      <c r="Y34" s="40" t="str">
        <f t="shared" ca="1" si="28"/>
        <v/>
      </c>
      <c r="Z34" s="40" t="str">
        <f t="shared" ca="1" si="28"/>
        <v/>
      </c>
      <c r="AA34" s="40">
        <f t="shared" ca="1" si="28"/>
        <v>17.167501018791885</v>
      </c>
      <c r="AB34" s="40" t="str">
        <f t="shared" ca="1" si="28"/>
        <v/>
      </c>
      <c r="AC34" s="40" t="str">
        <f t="shared" ca="1" si="28"/>
        <v/>
      </c>
      <c r="AD34" s="40" t="str">
        <f t="shared" ca="1" si="28"/>
        <v/>
      </c>
      <c r="AE34" s="40">
        <f t="shared" ca="1" si="28"/>
        <v>21.315195661810336</v>
      </c>
      <c r="AF34" s="40">
        <f t="shared" ca="1" si="28"/>
        <v>10.350147153166237</v>
      </c>
      <c r="AG34" s="40" t="str">
        <f t="shared" ca="1" si="28"/>
        <v/>
      </c>
    </row>
    <row r="35" spans="1:33" x14ac:dyDescent="0.45">
      <c r="C35" t="str">
        <f t="shared" ref="C35:C40" si="29">C27</f>
        <v>TRABGS</v>
      </c>
      <c r="D35" s="40" t="str">
        <f t="shared" ref="D35:T40" ca="1" si="30">IFERROR(D5*D27/D19,"")</f>
        <v/>
      </c>
      <c r="E35" s="40" t="str">
        <f t="shared" ca="1" si="30"/>
        <v/>
      </c>
      <c r="F35" s="40">
        <f t="shared" ca="1" si="30"/>
        <v>26.140553119535671</v>
      </c>
      <c r="G35" s="40" t="str">
        <f t="shared" ca="1" si="30"/>
        <v/>
      </c>
      <c r="H35" s="40">
        <f t="shared" ca="1" si="30"/>
        <v>27.090876505815377</v>
      </c>
      <c r="I35" s="40" t="str">
        <f t="shared" ca="1" si="30"/>
        <v/>
      </c>
      <c r="J35" s="40">
        <f t="shared" ca="1" si="30"/>
        <v>34.76909523087842</v>
      </c>
      <c r="K35" s="40">
        <f t="shared" ca="1" si="30"/>
        <v>83.204427696533571</v>
      </c>
      <c r="L35" s="40">
        <f t="shared" ca="1" si="30"/>
        <v>157.49212670154984</v>
      </c>
      <c r="M35" s="40">
        <f t="shared" ca="1" si="30"/>
        <v>23.810357686815347</v>
      </c>
      <c r="N35" s="40">
        <f t="shared" ca="1" si="30"/>
        <v>51.113037072107062</v>
      </c>
      <c r="O35" s="40">
        <f t="shared" ca="1" si="30"/>
        <v>39.684605332669761</v>
      </c>
      <c r="P35" s="40">
        <f t="shared" ca="1" si="30"/>
        <v>46.401272695111977</v>
      </c>
      <c r="Q35" s="40">
        <f t="shared" ref="Q35" ca="1" si="31">IFERROR(Q5*Q27/Q19,"")</f>
        <v>28.164762852931375</v>
      </c>
      <c r="R35" s="40">
        <f t="shared" ca="1" si="30"/>
        <v>26.691964263786172</v>
      </c>
      <c r="S35" s="40">
        <f t="shared" ca="1" si="30"/>
        <v>42.498771403880141</v>
      </c>
      <c r="T35" s="40">
        <f t="shared" ca="1" si="30"/>
        <v>28.122306087987663</v>
      </c>
      <c r="U35" s="40">
        <f t="shared" ref="U35:AG35" ca="1" si="32">IFERROR(U5*U27/U19,"")</f>
        <v>20.278247945592518</v>
      </c>
      <c r="V35" s="40">
        <f t="shared" ca="1" si="32"/>
        <v>61.093892443032466</v>
      </c>
      <c r="W35" s="40" t="str">
        <f t="shared" ca="1" si="32"/>
        <v/>
      </c>
      <c r="X35" s="40">
        <f t="shared" ca="1" si="32"/>
        <v>17.138775846164002</v>
      </c>
      <c r="Y35" s="40" t="str">
        <f t="shared" ca="1" si="32"/>
        <v/>
      </c>
      <c r="Z35" s="40" t="str">
        <f t="shared" ca="1" si="32"/>
        <v/>
      </c>
      <c r="AA35" s="40">
        <f t="shared" ca="1" si="32"/>
        <v>17.167501018791885</v>
      </c>
      <c r="AB35" s="40" t="str">
        <f t="shared" ca="1" si="32"/>
        <v/>
      </c>
      <c r="AC35" s="40" t="str">
        <f t="shared" ca="1" si="32"/>
        <v/>
      </c>
      <c r="AD35" s="40" t="str">
        <f t="shared" ca="1" si="32"/>
        <v/>
      </c>
      <c r="AE35" s="40">
        <f t="shared" ca="1" si="32"/>
        <v>21.315195661810332</v>
      </c>
      <c r="AF35" s="40">
        <f t="shared" ca="1" si="32"/>
        <v>10.350147153166237</v>
      </c>
      <c r="AG35" s="40" t="str">
        <f t="shared" ca="1" si="32"/>
        <v/>
      </c>
    </row>
    <row r="36" spans="1:33" x14ac:dyDescent="0.45">
      <c r="C36" t="str">
        <f t="shared" si="29"/>
        <v>TRADST</v>
      </c>
      <c r="D36" s="40">
        <f t="shared" ca="1" si="30"/>
        <v>31.989382238668128</v>
      </c>
      <c r="E36" s="40">
        <f t="shared" ca="1" si="30"/>
        <v>27.99509411985975</v>
      </c>
      <c r="F36" s="40">
        <f t="shared" ca="1" si="30"/>
        <v>26.140553119535671</v>
      </c>
      <c r="G36" s="40">
        <f t="shared" ca="1" si="30"/>
        <v>69.108322851801773</v>
      </c>
      <c r="H36" s="40">
        <f t="shared" ca="1" si="30"/>
        <v>27.090876505815373</v>
      </c>
      <c r="I36" s="40">
        <f t="shared" ca="1" si="30"/>
        <v>28.581204029223677</v>
      </c>
      <c r="J36" s="40">
        <f t="shared" ca="1" si="30"/>
        <v>34.76909523087842</v>
      </c>
      <c r="K36" s="40">
        <f t="shared" ca="1" si="30"/>
        <v>83.204427696533571</v>
      </c>
      <c r="L36" s="40">
        <f t="shared" ca="1" si="30"/>
        <v>157.49212670154984</v>
      </c>
      <c r="M36" s="40">
        <f t="shared" ca="1" si="30"/>
        <v>23.810357686815344</v>
      </c>
      <c r="N36" s="40">
        <f t="shared" ca="1" si="30"/>
        <v>51.113037072107055</v>
      </c>
      <c r="O36" s="40">
        <f t="shared" ca="1" si="30"/>
        <v>39.684605332669761</v>
      </c>
      <c r="P36" s="40">
        <f t="shared" ca="1" si="30"/>
        <v>46.401272695111977</v>
      </c>
      <c r="Q36" s="40">
        <f t="shared" ref="Q36" ca="1" si="33">IFERROR(Q6*Q28/Q20,"")</f>
        <v>28.164762852931375</v>
      </c>
      <c r="R36" s="40">
        <f t="shared" ca="1" si="30"/>
        <v>26.691964263786172</v>
      </c>
      <c r="S36" s="40">
        <f t="shared" ca="1" si="30"/>
        <v>42.498771403880141</v>
      </c>
      <c r="T36" s="40">
        <f t="shared" ca="1" si="30"/>
        <v>28.122306087987663</v>
      </c>
      <c r="U36" s="40">
        <f t="shared" ref="U36:AG36" ca="1" si="34">IFERROR(U6*U28/U20,"")</f>
        <v>20.278247945592518</v>
      </c>
      <c r="V36" s="40">
        <f t="shared" ca="1" si="34"/>
        <v>61.093892443032466</v>
      </c>
      <c r="W36" s="40">
        <f t="shared" ca="1" si="34"/>
        <v>36.527539629065572</v>
      </c>
      <c r="X36" s="40">
        <f t="shared" ca="1" si="34"/>
        <v>17.138775846164005</v>
      </c>
      <c r="Y36" s="40">
        <f t="shared" ca="1" si="34"/>
        <v>8.2859206509280661</v>
      </c>
      <c r="Z36" s="40">
        <f t="shared" ca="1" si="34"/>
        <v>39.05846555356549</v>
      </c>
      <c r="AA36" s="40">
        <f t="shared" ca="1" si="34"/>
        <v>17.167501018791885</v>
      </c>
      <c r="AB36" s="40">
        <f t="shared" ca="1" si="34"/>
        <v>25.124036436490172</v>
      </c>
      <c r="AC36" s="40">
        <f t="shared" ca="1" si="34"/>
        <v>76.452143049222244</v>
      </c>
      <c r="AD36" s="40">
        <f t="shared" ca="1" si="34"/>
        <v>11.506079274156242</v>
      </c>
      <c r="AE36" s="40">
        <f t="shared" ca="1" si="34"/>
        <v>21.315195661810339</v>
      </c>
      <c r="AF36" s="40">
        <f t="shared" ca="1" si="34"/>
        <v>10.350147153166237</v>
      </c>
      <c r="AG36" s="40" t="str">
        <f t="shared" ca="1" si="34"/>
        <v/>
      </c>
    </row>
    <row r="37" spans="1:33" x14ac:dyDescent="0.45">
      <c r="C37" t="str">
        <f t="shared" si="29"/>
        <v>TRAELC</v>
      </c>
      <c r="D37" s="40" t="str">
        <f t="shared" ca="1" si="30"/>
        <v/>
      </c>
      <c r="E37" s="40" t="str">
        <f t="shared" ca="1" si="30"/>
        <v/>
      </c>
      <c r="F37" s="40" t="str">
        <f t="shared" ca="1" si="30"/>
        <v/>
      </c>
      <c r="G37" s="40" t="str">
        <f t="shared" ca="1" si="30"/>
        <v/>
      </c>
      <c r="H37" s="40" t="str">
        <f t="shared" ca="1" si="30"/>
        <v/>
      </c>
      <c r="I37" s="40" t="str">
        <f t="shared" ca="1" si="30"/>
        <v/>
      </c>
      <c r="J37" s="40" t="str">
        <f t="shared" ca="1" si="30"/>
        <v/>
      </c>
      <c r="K37" s="40" t="str">
        <f t="shared" ca="1" si="30"/>
        <v/>
      </c>
      <c r="L37" s="40" t="str">
        <f t="shared" ca="1" si="30"/>
        <v/>
      </c>
      <c r="M37" s="40">
        <f t="shared" ca="1" si="30"/>
        <v>23.810357686815344</v>
      </c>
      <c r="N37" s="40" t="str">
        <f t="shared" ca="1" si="30"/>
        <v/>
      </c>
      <c r="O37" s="40" t="str">
        <f t="shared" ca="1" si="30"/>
        <v/>
      </c>
      <c r="P37" s="40" t="str">
        <f t="shared" ca="1" si="30"/>
        <v/>
      </c>
      <c r="Q37" s="40" t="str">
        <f t="shared" ref="Q37" ca="1" si="35">IFERROR(Q7*Q29/Q21,"")</f>
        <v/>
      </c>
      <c r="R37" s="40" t="str">
        <f t="shared" ca="1" si="30"/>
        <v/>
      </c>
      <c r="S37" s="40" t="str">
        <f t="shared" ca="1" si="30"/>
        <v/>
      </c>
      <c r="T37" s="40" t="str">
        <f t="shared" ca="1" si="30"/>
        <v/>
      </c>
      <c r="U37" s="40" t="str">
        <f t="shared" ref="U37:AG37" ca="1" si="36">IFERROR(U7*U29/U21,"")</f>
        <v/>
      </c>
      <c r="V37" s="40" t="str">
        <f t="shared" ca="1" si="36"/>
        <v/>
      </c>
      <c r="W37" s="40" t="str">
        <f t="shared" ca="1" si="36"/>
        <v/>
      </c>
      <c r="X37" s="40" t="str">
        <f t="shared" ca="1" si="36"/>
        <v/>
      </c>
      <c r="Y37" s="40" t="str">
        <f t="shared" ca="1" si="36"/>
        <v/>
      </c>
      <c r="Z37" s="40" t="str">
        <f t="shared" ca="1" si="36"/>
        <v/>
      </c>
      <c r="AA37" s="40" t="str">
        <f t="shared" ca="1" si="36"/>
        <v/>
      </c>
      <c r="AB37" s="40" t="str">
        <f t="shared" ca="1" si="36"/>
        <v/>
      </c>
      <c r="AC37" s="40" t="str">
        <f t="shared" ca="1" si="36"/>
        <v/>
      </c>
      <c r="AD37" s="40" t="str">
        <f t="shared" ca="1" si="36"/>
        <v/>
      </c>
      <c r="AE37" s="40" t="str">
        <f t="shared" ca="1" si="36"/>
        <v/>
      </c>
      <c r="AF37" s="40" t="str">
        <f t="shared" ca="1" si="36"/>
        <v/>
      </c>
      <c r="AG37" s="40" t="str">
        <f t="shared" ca="1" si="36"/>
        <v/>
      </c>
    </row>
    <row r="38" spans="1:33" x14ac:dyDescent="0.45">
      <c r="C38" t="str">
        <f t="shared" si="29"/>
        <v>TRAGSL</v>
      </c>
      <c r="D38" s="40" t="str">
        <f t="shared" ca="1" si="30"/>
        <v/>
      </c>
      <c r="E38" s="40" t="str">
        <f t="shared" ca="1" si="30"/>
        <v/>
      </c>
      <c r="F38" s="40">
        <f t="shared" ca="1" si="30"/>
        <v>26.140553119535674</v>
      </c>
      <c r="G38" s="40">
        <f t="shared" ca="1" si="30"/>
        <v>69.108322851801773</v>
      </c>
      <c r="H38" s="40">
        <f t="shared" ca="1" si="30"/>
        <v>27.090876505815377</v>
      </c>
      <c r="I38" s="40" t="str">
        <f t="shared" ca="1" si="30"/>
        <v/>
      </c>
      <c r="J38" s="40">
        <f t="shared" ca="1" si="30"/>
        <v>34.769095230878428</v>
      </c>
      <c r="K38" s="40">
        <f t="shared" ca="1" si="30"/>
        <v>83.204427696533571</v>
      </c>
      <c r="L38" s="40">
        <f t="shared" ca="1" si="30"/>
        <v>157.49212670154984</v>
      </c>
      <c r="M38" s="40">
        <f t="shared" ca="1" si="30"/>
        <v>23.810357686815347</v>
      </c>
      <c r="N38" s="40">
        <f t="shared" ca="1" si="30"/>
        <v>51.113037072107055</v>
      </c>
      <c r="O38" s="40">
        <f t="shared" ca="1" si="30"/>
        <v>39.684605332669769</v>
      </c>
      <c r="P38" s="40">
        <f t="shared" ca="1" si="30"/>
        <v>46.401272695111977</v>
      </c>
      <c r="Q38" s="40">
        <f t="shared" ref="Q38" ca="1" si="37">IFERROR(Q8*Q30/Q22,"")</f>
        <v>28.164762852931375</v>
      </c>
      <c r="R38" s="40">
        <f t="shared" ca="1" si="30"/>
        <v>26.691964263786176</v>
      </c>
      <c r="S38" s="40">
        <f t="shared" ca="1" si="30"/>
        <v>42.498771403880141</v>
      </c>
      <c r="T38" s="40">
        <f t="shared" ca="1" si="30"/>
        <v>28.122306087987663</v>
      </c>
      <c r="U38" s="40">
        <f t="shared" ref="U38:AG38" ca="1" si="38">IFERROR(U8*U30/U22,"")</f>
        <v>20.278247945592518</v>
      </c>
      <c r="V38" s="40">
        <f t="shared" ca="1" si="38"/>
        <v>61.093892443032452</v>
      </c>
      <c r="W38" s="40" t="str">
        <f t="shared" ca="1" si="38"/>
        <v/>
      </c>
      <c r="X38" s="40">
        <f t="shared" ca="1" si="38"/>
        <v>17.138775846164005</v>
      </c>
      <c r="Y38" s="40">
        <f t="shared" ca="1" si="38"/>
        <v>8.2859206509280643</v>
      </c>
      <c r="Z38" s="40">
        <f t="shared" ca="1" si="38"/>
        <v>39.058465553565483</v>
      </c>
      <c r="AA38" s="40">
        <f t="shared" ca="1" si="38"/>
        <v>17.167501018791882</v>
      </c>
      <c r="AB38" s="40">
        <f t="shared" ca="1" si="38"/>
        <v>25.124036436490172</v>
      </c>
      <c r="AC38" s="40">
        <f t="shared" ca="1" si="38"/>
        <v>76.452143049222244</v>
      </c>
      <c r="AD38" s="40" t="str">
        <f t="shared" ca="1" si="38"/>
        <v/>
      </c>
      <c r="AE38" s="40">
        <f t="shared" ca="1" si="38"/>
        <v>21.315195661810332</v>
      </c>
      <c r="AF38" s="40">
        <f t="shared" ca="1" si="38"/>
        <v>10.350147153166237</v>
      </c>
      <c r="AG38" s="40" t="str">
        <f t="shared" ca="1" si="38"/>
        <v/>
      </c>
    </row>
    <row r="39" spans="1:33" x14ac:dyDescent="0.45">
      <c r="C39" t="str">
        <f t="shared" si="29"/>
        <v>TRALPG</v>
      </c>
      <c r="D39" s="40">
        <f t="shared" ca="1" si="30"/>
        <v>31.989382238668131</v>
      </c>
      <c r="E39" s="40">
        <f t="shared" ca="1" si="30"/>
        <v>27.995094119859747</v>
      </c>
      <c r="F39" s="40" t="str">
        <f t="shared" ca="1" si="30"/>
        <v/>
      </c>
      <c r="G39" s="40">
        <f t="shared" ca="1" si="30"/>
        <v>69.108322851801773</v>
      </c>
      <c r="H39" s="40">
        <f t="shared" ca="1" si="30"/>
        <v>27.09087650581538</v>
      </c>
      <c r="I39" s="40">
        <f t="shared" ca="1" si="30"/>
        <v>28.581204029223677</v>
      </c>
      <c r="J39" s="40">
        <f t="shared" ca="1" si="30"/>
        <v>34.769095230878428</v>
      </c>
      <c r="K39" s="40" t="str">
        <f t="shared" ca="1" si="30"/>
        <v/>
      </c>
      <c r="L39" s="40">
        <f t="shared" ca="1" si="30"/>
        <v>157.49212670154984</v>
      </c>
      <c r="M39" s="40">
        <f t="shared" ca="1" si="30"/>
        <v>23.810357686815347</v>
      </c>
      <c r="N39" s="40" t="str">
        <f t="shared" ca="1" si="30"/>
        <v/>
      </c>
      <c r="O39" s="40">
        <f t="shared" ca="1" si="30"/>
        <v>39.684605332669761</v>
      </c>
      <c r="P39" s="40">
        <f t="shared" ca="1" si="30"/>
        <v>46.401272695111977</v>
      </c>
      <c r="Q39" s="40">
        <f t="shared" ref="Q39" ca="1" si="39">IFERROR(Q9*Q31/Q23,"")</f>
        <v>28.164762852931375</v>
      </c>
      <c r="R39" s="40">
        <f t="shared" ca="1" si="30"/>
        <v>26.691964263786172</v>
      </c>
      <c r="S39" s="40">
        <f t="shared" ca="1" si="30"/>
        <v>42.498771403880141</v>
      </c>
      <c r="T39" s="40">
        <f t="shared" ca="1" si="30"/>
        <v>28.122306087987667</v>
      </c>
      <c r="U39" s="40">
        <f t="shared" ref="U39:AG39" ca="1" si="40">IFERROR(U9*U31/U23,"")</f>
        <v>20.278247945592518</v>
      </c>
      <c r="V39" s="40">
        <f t="shared" ca="1" si="40"/>
        <v>61.093892443032466</v>
      </c>
      <c r="W39" s="40">
        <f t="shared" ca="1" si="40"/>
        <v>36.527539629065572</v>
      </c>
      <c r="X39" s="40" t="str">
        <f t="shared" ca="1" si="40"/>
        <v/>
      </c>
      <c r="Y39" s="40">
        <f t="shared" ca="1" si="40"/>
        <v>8.2859206509280643</v>
      </c>
      <c r="Z39" s="40">
        <f t="shared" ca="1" si="40"/>
        <v>39.058465553565483</v>
      </c>
      <c r="AA39" s="40">
        <f t="shared" ca="1" si="40"/>
        <v>17.167501018791885</v>
      </c>
      <c r="AB39" s="40">
        <f t="shared" ca="1" si="40"/>
        <v>25.124036436490172</v>
      </c>
      <c r="AC39" s="40" t="str">
        <f t="shared" ca="1" si="40"/>
        <v/>
      </c>
      <c r="AD39" s="40">
        <f t="shared" ca="1" si="40"/>
        <v>11.506079274156241</v>
      </c>
      <c r="AE39" s="40">
        <f t="shared" ca="1" si="40"/>
        <v>21.315195661810332</v>
      </c>
      <c r="AF39" s="40">
        <f t="shared" ca="1" si="40"/>
        <v>10.350147153166235</v>
      </c>
      <c r="AG39" s="40" t="str">
        <f t="shared" ca="1" si="40"/>
        <v/>
      </c>
    </row>
    <row r="40" spans="1:33" x14ac:dyDescent="0.45">
      <c r="C40" t="str">
        <f t="shared" si="29"/>
        <v>TRANGA</v>
      </c>
      <c r="D40" s="40">
        <f t="shared" ca="1" si="30"/>
        <v>31.989382238668135</v>
      </c>
      <c r="E40" s="40">
        <f t="shared" ca="1" si="30"/>
        <v>27.995094119859754</v>
      </c>
      <c r="F40" s="40">
        <f t="shared" ca="1" si="30"/>
        <v>26.140553119535674</v>
      </c>
      <c r="G40" s="40">
        <f t="shared" ca="1" si="30"/>
        <v>69.108322851801773</v>
      </c>
      <c r="H40" s="40">
        <f t="shared" ca="1" si="30"/>
        <v>27.090876505815377</v>
      </c>
      <c r="I40" s="40">
        <f t="shared" ca="1" si="30"/>
        <v>28.581204029223674</v>
      </c>
      <c r="J40" s="40">
        <f t="shared" ca="1" si="30"/>
        <v>34.76909523087842</v>
      </c>
      <c r="K40" s="40">
        <f t="shared" ca="1" si="30"/>
        <v>83.204427696533571</v>
      </c>
      <c r="L40" s="40" t="str">
        <f t="shared" ca="1" si="30"/>
        <v/>
      </c>
      <c r="M40" s="40">
        <f t="shared" ca="1" si="30"/>
        <v>23.810357686815344</v>
      </c>
      <c r="N40" s="40" t="str">
        <f t="shared" ca="1" si="30"/>
        <v/>
      </c>
      <c r="O40" s="40" t="str">
        <f t="shared" ca="1" si="30"/>
        <v/>
      </c>
      <c r="P40" s="40" t="str">
        <f t="shared" ca="1" si="30"/>
        <v/>
      </c>
      <c r="Q40" s="40" t="str">
        <f t="shared" ref="Q40" ca="1" si="41">IFERROR(Q10*Q32/Q24,"")</f>
        <v/>
      </c>
      <c r="R40" s="40" t="str">
        <f t="shared" ca="1" si="30"/>
        <v/>
      </c>
      <c r="S40" s="40" t="str">
        <f t="shared" ca="1" si="30"/>
        <v/>
      </c>
      <c r="T40" s="40" t="str">
        <f t="shared" ca="1" si="30"/>
        <v/>
      </c>
      <c r="U40" s="40" t="str">
        <f t="shared" ref="U40:AG40" ca="1" si="42">IFERROR(U10*U32/U24,"")</f>
        <v/>
      </c>
      <c r="V40" s="40" t="str">
        <f t="shared" ca="1" si="42"/>
        <v/>
      </c>
      <c r="W40" s="40">
        <f t="shared" ca="1" si="42"/>
        <v>36.527539629065572</v>
      </c>
      <c r="X40" s="40">
        <f t="shared" ca="1" si="42"/>
        <v>17.138775846164005</v>
      </c>
      <c r="Y40" s="40">
        <f t="shared" ca="1" si="42"/>
        <v>8.2859206509280643</v>
      </c>
      <c r="Z40" s="40" t="str">
        <f t="shared" ca="1" si="42"/>
        <v/>
      </c>
      <c r="AA40" s="40" t="str">
        <f t="shared" ca="1" si="42"/>
        <v/>
      </c>
      <c r="AB40" s="40">
        <f t="shared" ca="1" si="42"/>
        <v>25.124036436490169</v>
      </c>
      <c r="AC40" s="40" t="str">
        <f t="shared" ca="1" si="42"/>
        <v/>
      </c>
      <c r="AD40" s="40">
        <f t="shared" ca="1" si="42"/>
        <v>11.506079274156242</v>
      </c>
      <c r="AE40" s="40" t="str">
        <f t="shared" ca="1" si="42"/>
        <v/>
      </c>
      <c r="AF40" s="40">
        <f t="shared" ca="1" si="42"/>
        <v>10.350147153166237</v>
      </c>
      <c r="AG40" s="40" t="str">
        <f t="shared" ca="1" si="42"/>
        <v/>
      </c>
    </row>
  </sheetData>
  <conditionalFormatting sqref="D16:P16 R16:T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6:AG16 U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A7E6-128F-4B61-ABA1-5A730B4686FC}">
  <dimension ref="A1:CZ233"/>
  <sheetViews>
    <sheetView zoomScale="85" zoomScaleNormal="85" workbookViewId="0">
      <selection activeCell="K14" sqref="K14"/>
    </sheetView>
  </sheetViews>
  <sheetFormatPr defaultRowHeight="14.25" x14ac:dyDescent="0.45"/>
  <cols>
    <col min="1" max="1" width="3.86328125" bestFit="1" customWidth="1"/>
    <col min="3" max="3" width="8.86328125" bestFit="1" customWidth="1"/>
    <col min="4" max="4" width="5.53125" bestFit="1" customWidth="1"/>
    <col min="5" max="5" width="26.33203125" bestFit="1" customWidth="1"/>
    <col min="6" max="6" width="21.86328125" bestFit="1" customWidth="1"/>
    <col min="7" max="7" width="12.1328125" bestFit="1" customWidth="1"/>
    <col min="8" max="9" width="4.53125" bestFit="1" customWidth="1"/>
    <col min="10" max="10" width="4.86328125" bestFit="1" customWidth="1"/>
    <col min="11" max="11" width="9.9296875" bestFit="1" customWidth="1"/>
    <col min="12" max="16" width="4.53125" bestFit="1" customWidth="1"/>
    <col min="17" max="17" width="5" bestFit="1" customWidth="1"/>
    <col min="18" max="18" width="4.86328125" bestFit="1" customWidth="1"/>
    <col min="19" max="19" width="5" bestFit="1" customWidth="1"/>
    <col min="20" max="21" width="4.53125" bestFit="1" customWidth="1"/>
    <col min="22" max="22" width="5.1328125" bestFit="1" customWidth="1"/>
    <col min="23" max="25" width="5.1328125" customWidth="1"/>
    <col min="26" max="26" width="6.33203125" bestFit="1" customWidth="1"/>
    <col min="27" max="37" width="5.1328125" customWidth="1"/>
    <col min="38" max="38" width="4.6640625" bestFit="1" customWidth="1"/>
    <col min="39" max="39" width="9.6640625" bestFit="1" customWidth="1"/>
    <col min="40" max="40" width="12.33203125" bestFit="1" customWidth="1"/>
    <col min="41" max="41" width="4" bestFit="1" customWidth="1"/>
    <col min="42" max="42" width="4.1328125" bestFit="1" customWidth="1"/>
    <col min="43" max="44" width="5" bestFit="1" customWidth="1"/>
    <col min="45" max="47" width="4" bestFit="1" customWidth="1"/>
    <col min="48" max="49" width="5" bestFit="1" customWidth="1"/>
    <col min="50" max="50" width="4.46484375" bestFit="1" customWidth="1"/>
    <col min="51" max="51" width="5" bestFit="1" customWidth="1"/>
    <col min="52" max="52" width="4.1328125" bestFit="1" customWidth="1"/>
    <col min="53" max="54" width="5" bestFit="1" customWidth="1"/>
    <col min="55" max="69" width="5" customWidth="1"/>
    <col min="71" max="72" width="4.53125" bestFit="1" customWidth="1"/>
    <col min="73" max="73" width="4.86328125" bestFit="1" customWidth="1"/>
    <col min="74" max="79" width="4.53125" bestFit="1" customWidth="1"/>
    <col min="80" max="80" width="5" bestFit="1" customWidth="1"/>
    <col min="81" max="81" width="4.86328125" bestFit="1" customWidth="1"/>
    <col min="82" max="82" width="5" bestFit="1" customWidth="1"/>
    <col min="83" max="84" width="4.53125" bestFit="1" customWidth="1"/>
    <col min="85" max="85" width="5.1328125" bestFit="1" customWidth="1"/>
    <col min="86" max="100" width="5.1328125" customWidth="1"/>
    <col min="102" max="102" width="12.46484375" bestFit="1" customWidth="1"/>
    <col min="103" max="103" width="5" bestFit="1" customWidth="1"/>
    <col min="104" max="104" width="11.46484375" bestFit="1" customWidth="1"/>
  </cols>
  <sheetData>
    <row r="1" spans="1:104" x14ac:dyDescent="0.45">
      <c r="BS1" s="38" t="s">
        <v>159</v>
      </c>
    </row>
    <row r="2" spans="1:104" x14ac:dyDescent="0.45">
      <c r="A2" s="30" t="s">
        <v>135</v>
      </c>
      <c r="B2" t="s">
        <v>48</v>
      </c>
      <c r="C2" s="5" t="s">
        <v>49</v>
      </c>
      <c r="D2" s="5" t="s">
        <v>50</v>
      </c>
      <c r="E2" s="5" t="s">
        <v>51</v>
      </c>
      <c r="F2" s="5" t="s">
        <v>48</v>
      </c>
      <c r="G2" s="5" t="s">
        <v>52</v>
      </c>
      <c r="H2" s="5" t="str">
        <f>'TRA balance'!E4</f>
        <v>Africa_north</v>
      </c>
      <c r="I2" s="5" t="str">
        <f>'TRA balance'!F4</f>
        <v>Africa_other</v>
      </c>
      <c r="J2" s="5" t="str">
        <f>'TRA balance'!G4</f>
        <v>Arg-Chi</v>
      </c>
      <c r="K2" s="5" t="str">
        <f>'TRA balance'!H4</f>
        <v>Asia_central</v>
      </c>
      <c r="L2" s="5" t="str">
        <f>'TRA balance'!I4</f>
        <v>Asia_east</v>
      </c>
      <c r="M2" s="5" t="str">
        <f>'TRA balance'!J4</f>
        <v>Asia_other</v>
      </c>
      <c r="N2" s="5" t="str">
        <f>'TRA balance'!K4</f>
        <v>Australia_NZ</v>
      </c>
      <c r="O2" s="5" t="str">
        <f>'TRA balance'!L4</f>
        <v>Brazil</v>
      </c>
      <c r="P2" s="5" t="str">
        <f>'TRA balance'!M4</f>
        <v>Canada</v>
      </c>
      <c r="Q2" s="5" t="str">
        <f>'TRA balance'!N4</f>
        <v>China</v>
      </c>
      <c r="R2" s="5" t="str">
        <f>'TRA balance'!O4</f>
        <v>EU_north</v>
      </c>
      <c r="S2" s="5" t="str">
        <f>'TRA balance'!P4</f>
        <v>EU_northeast</v>
      </c>
      <c r="T2" s="5" t="str">
        <f>'TRA balance'!Q4</f>
        <v>EU_northwest</v>
      </c>
      <c r="U2" s="5" t="str">
        <f>'TRA balance'!R4</f>
        <v>EU_south</v>
      </c>
      <c r="V2" s="5" t="str">
        <f>'TRA balance'!S4</f>
        <v>EU_southeast</v>
      </c>
      <c r="W2" s="5" t="str">
        <f>'TRA balance'!T4</f>
        <v>EU_southwest</v>
      </c>
      <c r="X2" s="5" t="str">
        <f>'TRA balance'!U4</f>
        <v>Europe_other</v>
      </c>
      <c r="Y2" s="5" t="str">
        <f>'TRA balance'!V4</f>
        <v>France</v>
      </c>
      <c r="Z2" s="5" t="str">
        <f>'TRA balance'!W4</f>
        <v>Germany</v>
      </c>
      <c r="AA2" s="5" t="str">
        <f>'TRA balance'!X4</f>
        <v>India</v>
      </c>
      <c r="AB2" s="5" t="str">
        <f>'TRA balance'!Y4</f>
        <v>LatAm_other</v>
      </c>
      <c r="AC2" s="5" t="str">
        <f>'TRA balance'!Z4</f>
        <v>Mexico</v>
      </c>
      <c r="AD2" s="5" t="str">
        <f>'TRA balance'!AA4</f>
        <v>MidEast_other</v>
      </c>
      <c r="AE2" s="5" t="str">
        <f>'TRA balance'!AB4</f>
        <v>Nor-Ice</v>
      </c>
      <c r="AF2" s="5" t="str">
        <f>'TRA balance'!AC4</f>
        <v>Russia</v>
      </c>
      <c r="AG2" s="5" t="str">
        <f>'TRA balance'!AD4</f>
        <v>SaudiArabia</v>
      </c>
      <c r="AH2" s="5" t="str">
        <f>'TRA balance'!AE4</f>
        <v>SouthAfrica</v>
      </c>
      <c r="AI2" s="5" t="str">
        <f>'TRA balance'!AF4</f>
        <v>UK</v>
      </c>
      <c r="AJ2" s="5" t="str">
        <f>'TRA balance'!AG4</f>
        <v>USA</v>
      </c>
      <c r="AK2" s="5" t="str">
        <f>'TRA balance'!AH4</f>
        <v>\I:</v>
      </c>
      <c r="AN2" s="37" t="str">
        <f t="shared" ref="AN2:BD2" si="0">H2</f>
        <v>Africa_north</v>
      </c>
      <c r="AO2" s="37" t="str">
        <f t="shared" si="0"/>
        <v>Africa_other</v>
      </c>
      <c r="AP2" s="37" t="str">
        <f t="shared" si="0"/>
        <v>Arg-Chi</v>
      </c>
      <c r="AQ2" s="37" t="str">
        <f t="shared" si="0"/>
        <v>Asia_central</v>
      </c>
      <c r="AR2" s="37" t="str">
        <f t="shared" si="0"/>
        <v>Asia_east</v>
      </c>
      <c r="AS2" s="37" t="str">
        <f t="shared" si="0"/>
        <v>Asia_other</v>
      </c>
      <c r="AT2" s="37" t="str">
        <f t="shared" si="0"/>
        <v>Australia_NZ</v>
      </c>
      <c r="AU2" s="37" t="str">
        <f t="shared" si="0"/>
        <v>Brazil</v>
      </c>
      <c r="AV2" s="37" t="str">
        <f t="shared" si="0"/>
        <v>Canada</v>
      </c>
      <c r="AW2" s="37" t="str">
        <f t="shared" si="0"/>
        <v>China</v>
      </c>
      <c r="AX2" s="37" t="str">
        <f t="shared" si="0"/>
        <v>EU_north</v>
      </c>
      <c r="AY2" s="37" t="str">
        <f t="shared" si="0"/>
        <v>EU_northeast</v>
      </c>
      <c r="AZ2" s="37" t="str">
        <f t="shared" si="0"/>
        <v>EU_northwest</v>
      </c>
      <c r="BA2" s="37" t="str">
        <f t="shared" si="0"/>
        <v>EU_south</v>
      </c>
      <c r="BB2" s="37" t="str">
        <f t="shared" si="0"/>
        <v>EU_southeast</v>
      </c>
      <c r="BC2" s="37" t="str">
        <f t="shared" si="0"/>
        <v>EU_southwest</v>
      </c>
      <c r="BD2" s="37" t="str">
        <f t="shared" si="0"/>
        <v>Europe_other</v>
      </c>
      <c r="BE2" s="37" t="str">
        <f t="shared" ref="BE2:BQ2" si="1">Y2</f>
        <v>France</v>
      </c>
      <c r="BF2" s="37" t="str">
        <f t="shared" si="1"/>
        <v>Germany</v>
      </c>
      <c r="BG2" s="37" t="str">
        <f t="shared" si="1"/>
        <v>India</v>
      </c>
      <c r="BH2" s="37" t="str">
        <f t="shared" si="1"/>
        <v>LatAm_other</v>
      </c>
      <c r="BI2" s="37" t="str">
        <f t="shared" si="1"/>
        <v>Mexico</v>
      </c>
      <c r="BJ2" s="37" t="str">
        <f t="shared" si="1"/>
        <v>MidEast_other</v>
      </c>
      <c r="BK2" s="37" t="str">
        <f t="shared" si="1"/>
        <v>Nor-Ice</v>
      </c>
      <c r="BL2" s="37" t="str">
        <f t="shared" si="1"/>
        <v>Russia</v>
      </c>
      <c r="BM2" s="37" t="str">
        <f t="shared" si="1"/>
        <v>SaudiArabia</v>
      </c>
      <c r="BN2" s="37" t="str">
        <f t="shared" si="1"/>
        <v>SouthAfrica</v>
      </c>
      <c r="BO2" s="37" t="str">
        <f t="shared" si="1"/>
        <v>UK</v>
      </c>
      <c r="BP2" s="37" t="str">
        <f t="shared" si="1"/>
        <v>USA</v>
      </c>
      <c r="BQ2" s="37" t="str">
        <f t="shared" si="1"/>
        <v>\I:</v>
      </c>
      <c r="BS2" s="27" t="str">
        <f>AN2</f>
        <v>Africa_north</v>
      </c>
      <c r="BT2" s="27" t="str">
        <f t="shared" ref="BT2:CI2" si="2">AO2</f>
        <v>Africa_other</v>
      </c>
      <c r="BU2" s="27" t="str">
        <f t="shared" si="2"/>
        <v>Arg-Chi</v>
      </c>
      <c r="BV2" s="27" t="str">
        <f t="shared" si="2"/>
        <v>Asia_central</v>
      </c>
      <c r="BW2" s="27" t="str">
        <f t="shared" si="2"/>
        <v>Asia_east</v>
      </c>
      <c r="BX2" s="27" t="str">
        <f t="shared" si="2"/>
        <v>Asia_other</v>
      </c>
      <c r="BY2" s="27" t="str">
        <f t="shared" si="2"/>
        <v>Australia_NZ</v>
      </c>
      <c r="BZ2" s="27" t="str">
        <f t="shared" si="2"/>
        <v>Brazil</v>
      </c>
      <c r="CA2" s="27" t="str">
        <f t="shared" si="2"/>
        <v>Canada</v>
      </c>
      <c r="CB2" s="27" t="str">
        <f t="shared" si="2"/>
        <v>China</v>
      </c>
      <c r="CC2" s="27" t="str">
        <f t="shared" si="2"/>
        <v>EU_north</v>
      </c>
      <c r="CD2" s="27" t="str">
        <f t="shared" si="2"/>
        <v>EU_northeast</v>
      </c>
      <c r="CE2" s="27" t="str">
        <f t="shared" si="2"/>
        <v>EU_northwest</v>
      </c>
      <c r="CF2" s="27" t="str">
        <f t="shared" si="2"/>
        <v>EU_south</v>
      </c>
      <c r="CG2" s="27" t="str">
        <f t="shared" si="2"/>
        <v>EU_southeast</v>
      </c>
      <c r="CH2" s="27" t="str">
        <f t="shared" si="2"/>
        <v>EU_southwest</v>
      </c>
      <c r="CI2" s="27" t="str">
        <f t="shared" si="2"/>
        <v>Europe_other</v>
      </c>
      <c r="CJ2" s="27" t="str">
        <f t="shared" ref="CJ2" si="3">BE2</f>
        <v>France</v>
      </c>
      <c r="CK2" s="27" t="str">
        <f t="shared" ref="CK2" si="4">BF2</f>
        <v>Germany</v>
      </c>
      <c r="CL2" s="27" t="str">
        <f t="shared" ref="CL2" si="5">BG2</f>
        <v>India</v>
      </c>
      <c r="CM2" s="27" t="str">
        <f t="shared" ref="CM2" si="6">BH2</f>
        <v>LatAm_other</v>
      </c>
      <c r="CN2" s="27" t="str">
        <f t="shared" ref="CN2" si="7">BI2</f>
        <v>Mexico</v>
      </c>
      <c r="CO2" s="27" t="str">
        <f t="shared" ref="CO2" si="8">BJ2</f>
        <v>MidEast_other</v>
      </c>
      <c r="CP2" s="27" t="str">
        <f t="shared" ref="CP2" si="9">BK2</f>
        <v>Nor-Ice</v>
      </c>
      <c r="CQ2" s="27" t="str">
        <f t="shared" ref="CQ2" si="10">BL2</f>
        <v>Russia</v>
      </c>
      <c r="CR2" s="27" t="str">
        <f t="shared" ref="CR2" si="11">BM2</f>
        <v>SaudiArabia</v>
      </c>
      <c r="CS2" s="27" t="str">
        <f t="shared" ref="CS2" si="12">BN2</f>
        <v>SouthAfrica</v>
      </c>
      <c r="CT2" s="27" t="str">
        <f t="shared" ref="CT2" si="13">BO2</f>
        <v>UK</v>
      </c>
      <c r="CU2" s="27" t="str">
        <f t="shared" ref="CU2" si="14">BP2</f>
        <v>USA</v>
      </c>
      <c r="CV2" s="27" t="str">
        <f t="shared" ref="CV2" si="15">BQ2</f>
        <v>\I:</v>
      </c>
      <c r="CZ2" t="s">
        <v>157</v>
      </c>
    </row>
    <row r="3" spans="1:104" x14ac:dyDescent="0.45">
      <c r="A3">
        <v>1</v>
      </c>
      <c r="B3" t="str">
        <f>VLOOKUP(F3,'TRA balance'!$AK$5:$AL$14,2,FALSE)</f>
        <v>TRACOA</v>
      </c>
      <c r="C3" s="6" t="str">
        <f>LEFT(G3,2)</f>
        <v>TT</v>
      </c>
      <c r="D3" s="7" t="s">
        <v>17</v>
      </c>
      <c r="E3" s="7" t="s">
        <v>53</v>
      </c>
      <c r="F3" s="8" t="s">
        <v>54</v>
      </c>
      <c r="G3" s="6" t="s">
        <v>55</v>
      </c>
      <c r="H3" s="9">
        <f ca="1">OFFSET(TIAM15_assumptions!$G3,0,MATCH(VLOOKUP(Assumptions!H$2,TIAM15_assumptions!$Y$3:$Z$36,2,FALSE),TIAM15_assumptions!$H$2:$V$2,0))</f>
        <v>0.8</v>
      </c>
      <c r="I3" s="9">
        <f ca="1">OFFSET(TIAM15_assumptions!$G3,0,MATCH(VLOOKUP(Assumptions!I$2,TIAM15_assumptions!$Y$3:$Z$36,2,FALSE),TIAM15_assumptions!$H$2:$V$2,0))</f>
        <v>0.8</v>
      </c>
      <c r="J3" s="9">
        <f ca="1">OFFSET(TIAM15_assumptions!$G3,0,MATCH(VLOOKUP(Assumptions!J$2,TIAM15_assumptions!$Y$3:$Z$36,2,FALSE),TIAM15_assumptions!$H$2:$V$2,0))</f>
        <v>1</v>
      </c>
      <c r="K3" s="9">
        <f ca="1">OFFSET(TIAM15_assumptions!$G3,0,MATCH(VLOOKUP(Assumptions!K$2,TIAM15_assumptions!$Y$3:$Z$36,2,FALSE),TIAM15_assumptions!$H$2:$V$2,0))</f>
        <v>0.8</v>
      </c>
      <c r="L3" s="9">
        <f ca="1">OFFSET(TIAM15_assumptions!$G3,0,MATCH(VLOOKUP(Assumptions!L$2,TIAM15_assumptions!$Y$3:$Z$36,2,FALSE),TIAM15_assumptions!$H$2:$V$2,0))</f>
        <v>7.0000000000000007E-2</v>
      </c>
      <c r="M3" s="9">
        <f ca="1">OFFSET(TIAM15_assumptions!$G3,0,MATCH(VLOOKUP(Assumptions!M$2,TIAM15_assumptions!$Y$3:$Z$36,2,FALSE),TIAM15_assumptions!$H$2:$V$2,0))</f>
        <v>0.8</v>
      </c>
      <c r="N3" s="9">
        <f ca="1">OFFSET(TIAM15_assumptions!$G3,0,MATCH(VLOOKUP(Assumptions!N$2,TIAM15_assumptions!$Y$3:$Z$36,2,FALSE),TIAM15_assumptions!$H$2:$V$2,0))</f>
        <v>0.9</v>
      </c>
      <c r="O3" s="9">
        <f ca="1">OFFSET(TIAM15_assumptions!$G3,0,MATCH(VLOOKUP(Assumptions!O$2,TIAM15_assumptions!$Y$3:$Z$36,2,FALSE),TIAM15_assumptions!$H$2:$V$2,0))</f>
        <v>1</v>
      </c>
      <c r="P3" s="9">
        <f ca="1">OFFSET(TIAM15_assumptions!$G3,0,MATCH(VLOOKUP(Assumptions!P$2,TIAM15_assumptions!$Y$3:$Z$36,2,FALSE),TIAM15_assumptions!$H$2:$V$2,0))</f>
        <v>1</v>
      </c>
      <c r="Q3" s="9">
        <f ca="1">OFFSET(TIAM15_assumptions!$G3,0,MATCH(VLOOKUP(Assumptions!Q$2,TIAM15_assumptions!$Y$3:$Z$36,2,FALSE),TIAM15_assumptions!$H$2:$V$2,0))</f>
        <v>0.75</v>
      </c>
      <c r="R3" s="9">
        <f ca="1">OFFSET(TIAM15_assumptions!$G3,0,MATCH(VLOOKUP(Assumptions!R$2,TIAM15_assumptions!$Y$3:$Z$36,2,FALSE),TIAM15_assumptions!$H$2:$V$2,0))</f>
        <v>1</v>
      </c>
      <c r="S3" s="9">
        <f ca="1">OFFSET(TIAM15_assumptions!$G3,0,MATCH(VLOOKUP(Assumptions!S$2,TIAM15_assumptions!$Y$3:$Z$36,2,FALSE),TIAM15_assumptions!$H$2:$V$2,0))</f>
        <v>0.8</v>
      </c>
      <c r="T3" s="9">
        <f ca="1">OFFSET(TIAM15_assumptions!$G3,0,MATCH(VLOOKUP(Assumptions!T$2,TIAM15_assumptions!$Y$3:$Z$36,2,FALSE),TIAM15_assumptions!$H$2:$V$2,0))</f>
        <v>1</v>
      </c>
      <c r="U3" s="9">
        <f ca="1">OFFSET(TIAM15_assumptions!$G3,0,MATCH(VLOOKUP(Assumptions!U$2,TIAM15_assumptions!$Y$3:$Z$36,2,FALSE),TIAM15_assumptions!$H$2:$V$2,0))</f>
        <v>1</v>
      </c>
      <c r="V3" s="9">
        <f ca="1">OFFSET(TIAM15_assumptions!$G3,0,MATCH(VLOOKUP(Assumptions!V$2,TIAM15_assumptions!$Y$3:$Z$36,2,FALSE),TIAM15_assumptions!$H$2:$V$2,0))</f>
        <v>0.8</v>
      </c>
      <c r="W3" s="9">
        <f ca="1">OFFSET(TIAM15_assumptions!$G3,0,MATCH(VLOOKUP(Assumptions!W$2,TIAM15_assumptions!$Y$3:$Z$36,2,FALSE),TIAM15_assumptions!$H$2:$V$2,0))</f>
        <v>1</v>
      </c>
      <c r="X3" s="9">
        <f ca="1">OFFSET(TIAM15_assumptions!$G3,0,MATCH(VLOOKUP(Assumptions!X$2,TIAM15_assumptions!$Y$3:$Z$36,2,FALSE),TIAM15_assumptions!$H$2:$V$2,0))</f>
        <v>0.8</v>
      </c>
      <c r="Y3" s="9">
        <f ca="1">OFFSET(TIAM15_assumptions!$G3,0,MATCH(VLOOKUP(Assumptions!Y$2,TIAM15_assumptions!$Y$3:$Z$36,2,FALSE),TIAM15_assumptions!$H$2:$V$2,0))</f>
        <v>1</v>
      </c>
      <c r="Z3" s="9">
        <f ca="1">OFFSET(TIAM15_assumptions!$G3,0,MATCH(VLOOKUP(Assumptions!Z$2,TIAM15_assumptions!$Y$3:$Z$36,2,FALSE),TIAM15_assumptions!$H$2:$V$2,0))</f>
        <v>1</v>
      </c>
      <c r="AA3" s="9">
        <f ca="1">OFFSET(TIAM15_assumptions!$G3,0,MATCH(VLOOKUP(Assumptions!AA$2,TIAM15_assumptions!$Y$3:$Z$36,2,FALSE),TIAM15_assumptions!$H$2:$V$2,0))</f>
        <v>0.8</v>
      </c>
      <c r="AB3" s="9">
        <f ca="1">OFFSET(TIAM15_assumptions!$G3,0,MATCH(VLOOKUP(Assumptions!AB$2,TIAM15_assumptions!$Y$3:$Z$36,2,FALSE),TIAM15_assumptions!$H$2:$V$2,0))</f>
        <v>1</v>
      </c>
      <c r="AC3" s="9">
        <f ca="1">OFFSET(TIAM15_assumptions!$G3,0,MATCH(VLOOKUP(Assumptions!AC$2,TIAM15_assumptions!$Y$3:$Z$36,2,FALSE),TIAM15_assumptions!$H$2:$V$2,0))</f>
        <v>1</v>
      </c>
      <c r="AD3" s="9">
        <f ca="1">OFFSET(TIAM15_assumptions!$G3,0,MATCH(VLOOKUP(Assumptions!AD$2,TIAM15_assumptions!$Y$3:$Z$36,2,FALSE),TIAM15_assumptions!$H$2:$V$2,0))</f>
        <v>0.8</v>
      </c>
      <c r="AE3" s="9">
        <f ca="1">OFFSET(TIAM15_assumptions!$G3,0,MATCH(VLOOKUP(Assumptions!AE$2,TIAM15_assumptions!$Y$3:$Z$36,2,FALSE),TIAM15_assumptions!$H$2:$V$2,0))</f>
        <v>1</v>
      </c>
      <c r="AF3" s="9">
        <f ca="1">OFFSET(TIAM15_assumptions!$G3,0,MATCH(VLOOKUP(Assumptions!AF$2,TIAM15_assumptions!$Y$3:$Z$36,2,FALSE),TIAM15_assumptions!$H$2:$V$2,0))</f>
        <v>0.8</v>
      </c>
      <c r="AG3" s="9">
        <f ca="1">OFFSET(TIAM15_assumptions!$G3,0,MATCH(VLOOKUP(Assumptions!AG$2,TIAM15_assumptions!$Y$3:$Z$36,2,FALSE),TIAM15_assumptions!$H$2:$V$2,0))</f>
        <v>0.8</v>
      </c>
      <c r="AH3" s="9">
        <f ca="1">OFFSET(TIAM15_assumptions!$G3,0,MATCH(VLOOKUP(Assumptions!AH$2,TIAM15_assumptions!$Y$3:$Z$36,2,FALSE),TIAM15_assumptions!$H$2:$V$2,0))</f>
        <v>0.8</v>
      </c>
      <c r="AI3" s="9">
        <f ca="1">OFFSET(TIAM15_assumptions!$G3,0,MATCH(VLOOKUP(Assumptions!AI$2,TIAM15_assumptions!$Y$3:$Z$36,2,FALSE),TIAM15_assumptions!$H$2:$V$2,0))</f>
        <v>1</v>
      </c>
      <c r="AJ3" s="9">
        <f ca="1">OFFSET(TIAM15_assumptions!$G3,0,MATCH(VLOOKUP(Assumptions!AJ$2,TIAM15_assumptions!$Y$3:$Z$36,2,FALSE),TIAM15_assumptions!$H$2:$V$2,0))</f>
        <v>0.8</v>
      </c>
      <c r="AK3" s="9">
        <f ca="1">OFFSET(TIAM15_assumptions!$G3,0,MATCH(VLOOKUP(Assumptions!AK$2,TIAM15_assumptions!$Y$3:$Z$36,2,FALSE),TIAM15_assumptions!$H$2:$V$2,0))</f>
        <v>0.8</v>
      </c>
      <c r="AN3" s="34">
        <f ca="1">IFERROR(SUMIFS('TRA balance'!E$5:E$40,'TRA balance'!$C$5:$C$40,Assumptions!$C3,'TRA balance'!$D$5:$D$40,Assumptions!$B3)*BS3*H3,"")</f>
        <v>0</v>
      </c>
      <c r="AO3" s="34">
        <f ca="1">IFERROR(SUMIFS('TRA balance'!F$5:F$40,'TRA balance'!$C$5:$C$40,Assumptions!$C3,'TRA balance'!$D$5:$D$40,Assumptions!$B3)*BT3*I3,"")</f>
        <v>0.11692560096</v>
      </c>
      <c r="AP3" s="34">
        <f ca="1">IFERROR(SUMIFS('TRA balance'!G$5:G$40,'TRA balance'!$C$5:$C$40,Assumptions!$C3,'TRA balance'!$D$5:$D$40,Assumptions!$B3)*BU3*J3,"")</f>
        <v>0</v>
      </c>
      <c r="AQ3" s="34">
        <f ca="1">IFERROR(SUMIFS('TRA balance'!H$5:H$40,'TRA balance'!$C$5:$C$40,Assumptions!$C3,'TRA balance'!$D$5:$D$40,Assumptions!$B3)*BV3*K3,"")</f>
        <v>0.56811191616000001</v>
      </c>
      <c r="AR3" s="34">
        <f ca="1">IFERROR(SUMIFS('TRA balance'!I$5:I$40,'TRA balance'!$C$5:$C$40,Assumptions!$C3,'TRA balance'!$D$5:$D$40,Assumptions!$B3)*BW3*L3,"")</f>
        <v>2.5192812960000001E-3</v>
      </c>
      <c r="AS3" s="34">
        <f ca="1">IFERROR(SUMIFS('TRA balance'!J$5:J$40,'TRA balance'!$C$5:$C$40,Assumptions!$C3,'TRA balance'!$D$5:$D$40,Assumptions!$B3)*BX3*M3,"")</f>
        <v>0.60128476992000002</v>
      </c>
      <c r="AT3" s="34">
        <f ca="1">IFERROR(SUMIFS('TRA balance'!K$5:K$40,'TRA balance'!$C$5:$C$40,Assumptions!$C3,'TRA balance'!$D$5:$D$40,Assumptions!$B3)*BY3*N3,"")</f>
        <v>0</v>
      </c>
      <c r="AU3" s="34">
        <f ca="1">IFERROR(SUMIFS('TRA balance'!L$5:L$40,'TRA balance'!$C$5:$C$40,Assumptions!$C3,'TRA balance'!$D$5:$D$40,Assumptions!$B3)*BZ3*O3,"")</f>
        <v>0</v>
      </c>
      <c r="AV3" s="34">
        <f ca="1">IFERROR(SUMIFS('TRA balance'!M$5:M$40,'TRA balance'!$C$5:$C$40,Assumptions!$C3,'TRA balance'!$D$5:$D$40,Assumptions!$B3)*CA3*P3,"")</f>
        <v>0</v>
      </c>
      <c r="AW3" s="34">
        <f ca="1">IFERROR(SUMIFS('TRA balance'!N$5:N$40,'TRA balance'!$C$5:$C$40,Assumptions!$C3,'TRA balance'!$D$5:$D$40,Assumptions!$B3)*CB3*Q3,"")</f>
        <v>0</v>
      </c>
      <c r="AX3" s="34">
        <f ca="1">IFERROR(SUMIFS('TRA balance'!O$5:O$40,'TRA balance'!$C$5:$C$40,Assumptions!$C3,'TRA balance'!$D$5:$D$40,Assumptions!$B3)*CC3*R3,"")</f>
        <v>0</v>
      </c>
      <c r="AY3" s="34">
        <f ca="1">IFERROR(SUMIFS('TRA balance'!P$5:P$40,'TRA balance'!$C$5:$C$40,Assumptions!$C3,'TRA balance'!$D$5:$D$40,Assumptions!$B3)*CD3*S3,"")</f>
        <v>1.3970514240000002E-2</v>
      </c>
      <c r="AZ3" s="34">
        <f ca="1">IFERROR(SUMIFS('TRA balance'!Q$5:Q$40,'TRA balance'!$C$5:$C$40,Assumptions!$C3,'TRA balance'!$D$5:$D$40,Assumptions!$B3)*CE3*T3,"")</f>
        <v>2.6293103999999999E-3</v>
      </c>
      <c r="BA3" s="34">
        <f ca="1">IFERROR(SUMIFS('TRA balance'!R$5:R$40,'TRA balance'!$C$5:$C$40,Assumptions!$C3,'TRA balance'!$D$5:$D$40,Assumptions!$B3)*CF3*U3,"")</f>
        <v>0</v>
      </c>
      <c r="BB3" s="34">
        <f ca="1">IFERROR(SUMIFS('TRA balance'!S$5:S$40,'TRA balance'!$C$5:$C$40,Assumptions!$C3,'TRA balance'!$D$5:$D$40,Assumptions!$B3)*CG3*V3,"")</f>
        <v>3.4398748799999998E-3</v>
      </c>
      <c r="BC3" s="34">
        <f ca="1">IFERROR(SUMIFS('TRA balance'!T$5:T$40,'TRA balance'!$C$5:$C$40,Assumptions!$C3,'TRA balance'!$D$5:$D$40,Assumptions!$B3)*CH3*W3,"")</f>
        <v>0</v>
      </c>
      <c r="BD3" s="34">
        <f ca="1">IFERROR(SUMIFS('TRA balance'!U$5:U$40,'TRA balance'!$C$5:$C$40,Assumptions!$C3,'TRA balance'!$D$5:$D$40,Assumptions!$B3)*CI3*X3,"")</f>
        <v>0.35229744864000001</v>
      </c>
      <c r="BE3" s="34">
        <f ca="1">IFERROR(SUMIFS('TRA balance'!V$5:V$40,'TRA balance'!$C$5:$C$40,Assumptions!$C3,'TRA balance'!$D$5:$D$40,Assumptions!$B3)*CJ3*Y3,"")</f>
        <v>0</v>
      </c>
      <c r="BF3" s="34">
        <f ca="1">IFERROR(SUMIFS('TRA balance'!W$5:W$40,'TRA balance'!$C$5:$C$40,Assumptions!$C3,'TRA balance'!$D$5:$D$40,Assumptions!$B3)*CK3*Z3,"")</f>
        <v>0</v>
      </c>
      <c r="BG3" s="34">
        <f ca="1">IFERROR(SUMIFS('TRA balance'!X$5:X$40,'TRA balance'!$C$5:$C$40,Assumptions!$C3,'TRA balance'!$D$5:$D$40,Assumptions!$B3)*CL3*AA3,"")</f>
        <v>0</v>
      </c>
      <c r="BH3" s="34">
        <f ca="1">IFERROR(SUMIFS('TRA balance'!Y$5:Y$40,'TRA balance'!$C$5:$C$40,Assumptions!$C3,'TRA balance'!$D$5:$D$40,Assumptions!$B3)*CM3*AB3,"")</f>
        <v>0</v>
      </c>
      <c r="BI3" s="34">
        <f ca="1">IFERROR(SUMIFS('TRA balance'!Z$5:Z$40,'TRA balance'!$C$5:$C$40,Assumptions!$C3,'TRA balance'!$D$5:$D$40,Assumptions!$B3)*CN3*AC3,"")</f>
        <v>0</v>
      </c>
      <c r="BJ3" s="34">
        <f ca="1">IFERROR(SUMIFS('TRA balance'!AA$5:AA$40,'TRA balance'!$C$5:$C$40,Assumptions!$C3,'TRA balance'!$D$5:$D$40,Assumptions!$B3)*CO3*AD3,"")</f>
        <v>0</v>
      </c>
      <c r="BK3" s="34">
        <f ca="1">IFERROR(SUMIFS('TRA balance'!AB$5:AB$40,'TRA balance'!$C$5:$C$40,Assumptions!$C3,'TRA balance'!$D$5:$D$40,Assumptions!$B3)*CP3*AE3,"")</f>
        <v>0</v>
      </c>
      <c r="BL3" s="34">
        <f ca="1">IFERROR(SUMIFS('TRA balance'!AC$5:AC$40,'TRA balance'!$C$5:$C$40,Assumptions!$C3,'TRA balance'!$D$5:$D$40,Assumptions!$B3)*CQ3*AF3,"")</f>
        <v>0</v>
      </c>
      <c r="BM3" s="34">
        <f ca="1">IFERROR(SUMIFS('TRA balance'!AD$5:AD$40,'TRA balance'!$C$5:$C$40,Assumptions!$C3,'TRA balance'!$D$5:$D$40,Assumptions!$B3)*CR3*AG3,"")</f>
        <v>0</v>
      </c>
      <c r="BN3" s="34">
        <f ca="1">IFERROR(SUMIFS('TRA balance'!AE$5:AE$40,'TRA balance'!$C$5:$C$40,Assumptions!$C3,'TRA balance'!$D$5:$D$40,Assumptions!$B3)*CS3*AH3,"")</f>
        <v>0</v>
      </c>
      <c r="BO3" s="34">
        <f ca="1">IFERROR(SUMIFS('TRA balance'!AF$5:AF$40,'TRA balance'!$C$5:$C$40,Assumptions!$C3,'TRA balance'!$D$5:$D$40,Assumptions!$B3)*CT3*AI3,"")</f>
        <v>0.41068321200000002</v>
      </c>
      <c r="BP3" s="34">
        <f ca="1">IFERROR(SUMIFS('TRA balance'!AG$5:AG$40,'TRA balance'!$C$5:$C$40,Assumptions!$C3,'TRA balance'!$D$5:$D$40,Assumptions!$B3)*CU3*AJ3,"")</f>
        <v>0</v>
      </c>
      <c r="BQ3" s="34">
        <f ca="1">IFERROR(SUMIFS('TRA balance'!AH$5:AH$40,'TRA balance'!$C$5:$C$40,Assumptions!$C3,'TRA balance'!$D$5:$D$40,Assumptions!$B3)*CV3*AK3,"")</f>
        <v>0</v>
      </c>
      <c r="BS3" s="33">
        <f t="shared" ref="BS3:BS34" si="16">IF($C3="TR",SUMIFS(H$3:H$103,$B$3:$B$103,$B3,$C$3:$C$103,$A3),1)</f>
        <v>1</v>
      </c>
      <c r="BT3" s="33">
        <f t="shared" ref="BT3:BT34" si="17">IF($C3="TR",SUMIFS(I$3:I$103,$B$3:$B$103,$B3,$C$3:$C$103,$A3),1)</f>
        <v>1</v>
      </c>
      <c r="BU3" s="33">
        <f t="shared" ref="BU3:BU34" si="18">IF($C3="TR",SUMIFS(J$3:J$103,$B$3:$B$103,$B3,$C$3:$C$103,$A3),1)</f>
        <v>1</v>
      </c>
      <c r="BV3" s="33">
        <f t="shared" ref="BV3:BV34" si="19">IF($C3="TR",SUMIFS(K$3:K$103,$B$3:$B$103,$B3,$C$3:$C$103,$A3),1)</f>
        <v>1</v>
      </c>
      <c r="BW3" s="33">
        <f t="shared" ref="BW3:BW34" si="20">IF($C3="TR",SUMIFS(L$3:L$103,$B$3:$B$103,$B3,$C$3:$C$103,$A3),1)</f>
        <v>1</v>
      </c>
      <c r="BX3" s="33">
        <f t="shared" ref="BX3:BX34" si="21">IF($C3="TR",SUMIFS(M$3:M$103,$B$3:$B$103,$B3,$C$3:$C$103,$A3),1)</f>
        <v>1</v>
      </c>
      <c r="BY3" s="33">
        <f t="shared" ref="BY3:BY34" si="22">IF($C3="TR",SUMIFS(N$3:N$103,$B$3:$B$103,$B3,$C$3:$C$103,$A3),1)</f>
        <v>1</v>
      </c>
      <c r="BZ3" s="33">
        <f t="shared" ref="BZ3:BZ34" si="23">IF($C3="TR",SUMIFS(O$3:O$103,$B$3:$B$103,$B3,$C$3:$C$103,$A3),1)</f>
        <v>1</v>
      </c>
      <c r="CA3" s="33">
        <f t="shared" ref="CA3:CA34" si="24">IF($C3="TR",SUMIFS(P$3:P$103,$B$3:$B$103,$B3,$C$3:$C$103,$A3),1)</f>
        <v>1</v>
      </c>
      <c r="CB3" s="33">
        <f t="shared" ref="CB3:CB34" si="25">IF($C3="TR",SUMIFS(Q$3:Q$103,$B$3:$B$103,$B3,$C$3:$C$103,$A3),1)</f>
        <v>1</v>
      </c>
      <c r="CC3" s="33">
        <f t="shared" ref="CC3:CC34" si="26">IF($C3="TR",SUMIFS(R$3:R$103,$B$3:$B$103,$B3,$C$3:$C$103,$A3),1)</f>
        <v>1</v>
      </c>
      <c r="CD3" s="33">
        <f t="shared" ref="CD3:CD34" si="27">IF($C3="TR",SUMIFS(S$3:S$103,$B$3:$B$103,$B3,$C$3:$C$103,$A3),1)</f>
        <v>1</v>
      </c>
      <c r="CE3" s="33">
        <f t="shared" ref="CE3:CE34" si="28">IF($C3="TR",SUMIFS(T$3:T$103,$B$3:$B$103,$B3,$C$3:$C$103,$A3),1)</f>
        <v>1</v>
      </c>
      <c r="CF3" s="33">
        <f t="shared" ref="CF3:CF34" si="29">IF($C3="TR",SUMIFS(U$3:U$103,$B$3:$B$103,$B3,$C$3:$C$103,$A3),1)</f>
        <v>1</v>
      </c>
      <c r="CG3" s="33">
        <f t="shared" ref="CG3:CG34" si="30">IF($C3="TR",SUMIFS(V$3:V$103,$B$3:$B$103,$B3,$C$3:$C$103,$A3),1)</f>
        <v>1</v>
      </c>
      <c r="CH3" s="33">
        <f t="shared" ref="CH3:CH66" si="31">IF($C3="TR",SUMIFS(W$3:W$103,$B$3:$B$103,$B3,$C$3:$C$103,$A3),1)</f>
        <v>1</v>
      </c>
      <c r="CI3" s="33">
        <f t="shared" ref="CI3:CI66" si="32">IF($C3="TR",SUMIFS(X$3:X$103,$B$3:$B$103,$B3,$C$3:$C$103,$A3),1)</f>
        <v>1</v>
      </c>
      <c r="CJ3" s="33">
        <f t="shared" ref="CJ3:CJ66" si="33">IF($C3="TR",SUMIFS(Y$3:Y$103,$B$3:$B$103,$B3,$C$3:$C$103,$A3),1)</f>
        <v>1</v>
      </c>
      <c r="CK3" s="33">
        <f t="shared" ref="CK3:CK66" si="34">IF($C3="TR",SUMIFS(Z$3:Z$103,$B$3:$B$103,$B3,$C$3:$C$103,$A3),1)</f>
        <v>1</v>
      </c>
      <c r="CL3" s="33">
        <f t="shared" ref="CL3:CL66" si="35">IF($C3="TR",SUMIFS(AA$3:AA$103,$B$3:$B$103,$B3,$C$3:$C$103,$A3),1)</f>
        <v>1</v>
      </c>
      <c r="CM3" s="33">
        <f t="shared" ref="CM3:CM66" si="36">IF($C3="TR",SUMIFS(AB$3:AB$103,$B$3:$B$103,$B3,$C$3:$C$103,$A3),1)</f>
        <v>1</v>
      </c>
      <c r="CN3" s="33">
        <f t="shared" ref="CN3:CN66" si="37">IF($C3="TR",SUMIFS(AC$3:AC$103,$B$3:$B$103,$B3,$C$3:$C$103,$A3),1)</f>
        <v>1</v>
      </c>
      <c r="CO3" s="33">
        <f t="shared" ref="CO3:CO66" si="38">IF($C3="TR",SUMIFS(AD$3:AD$103,$B$3:$B$103,$B3,$C$3:$C$103,$A3),1)</f>
        <v>1</v>
      </c>
      <c r="CP3" s="33">
        <f t="shared" ref="CP3:CP66" si="39">IF($C3="TR",SUMIFS(AE$3:AE$103,$B$3:$B$103,$B3,$C$3:$C$103,$A3),1)</f>
        <v>1</v>
      </c>
      <c r="CQ3" s="33">
        <f t="shared" ref="CQ3:CQ66" si="40">IF($C3="TR",SUMIFS(AF$3:AF$103,$B$3:$B$103,$B3,$C$3:$C$103,$A3),1)</f>
        <v>1</v>
      </c>
      <c r="CR3" s="33">
        <f t="shared" ref="CR3:CR66" si="41">IF($C3="TR",SUMIFS(AG$3:AG$103,$B$3:$B$103,$B3,$C$3:$C$103,$A3),1)</f>
        <v>1</v>
      </c>
      <c r="CS3" s="33">
        <f t="shared" ref="CS3:CS66" si="42">IF($C3="TR",SUMIFS(AH$3:AH$103,$B$3:$B$103,$B3,$C$3:$C$103,$A3),1)</f>
        <v>1</v>
      </c>
      <c r="CT3" s="33">
        <f t="shared" ref="CT3:CT66" si="43">IF($C3="TR",SUMIFS(AI$3:AI$103,$B$3:$B$103,$B3,$C$3:$C$103,$A3),1)</f>
        <v>1</v>
      </c>
      <c r="CU3" s="33">
        <f t="shared" ref="CU3:CU66" si="44">IF($C3="TR",SUMIFS(AJ$3:AJ$103,$B$3:$B$103,$B3,$C$3:$C$103,$A3),1)</f>
        <v>1</v>
      </c>
      <c r="CV3" s="33">
        <f t="shared" ref="CV3:CV66" si="45">IF($C3="TR",SUMIFS(AK$3:AK$103,$B$3:$B$103,$B3,$C$3:$C$103,$A3),1)</f>
        <v>1</v>
      </c>
      <c r="CY3" t="s">
        <v>72</v>
      </c>
      <c r="CZ3">
        <v>15</v>
      </c>
    </row>
    <row r="4" spans="1:104" x14ac:dyDescent="0.45">
      <c r="A4">
        <v>1</v>
      </c>
      <c r="B4" t="str">
        <f>VLOOKUP(F4,'TRA balance'!$AK$5:$AL$14,2,FALSE)</f>
        <v>TRACOA</v>
      </c>
      <c r="C4" s="6" t="str">
        <f t="shared" ref="C4:C67" si="46">LEFT(G4,2)</f>
        <v>TT</v>
      </c>
      <c r="D4" s="7" t="s">
        <v>17</v>
      </c>
      <c r="E4" s="7" t="s">
        <v>56</v>
      </c>
      <c r="F4" s="8" t="str">
        <f t="shared" ref="F4:F5" si="47">F3</f>
        <v>Coal</v>
      </c>
      <c r="G4" s="6" t="s">
        <v>57</v>
      </c>
      <c r="H4" s="9">
        <f ca="1">OFFSET(TIAM15_assumptions!$G4,0,MATCH(VLOOKUP(Assumptions!H$2,TIAM15_assumptions!$Y$3:$Z$36,2,FALSE),TIAM15_assumptions!$H$2:$V$2,0))</f>
        <v>0.2</v>
      </c>
      <c r="I4" s="9">
        <f ca="1">OFFSET(TIAM15_assumptions!$G4,0,MATCH(VLOOKUP(Assumptions!I$2,TIAM15_assumptions!$Y$3:$Z$36,2,FALSE),TIAM15_assumptions!$H$2:$V$2,0))</f>
        <v>0.2</v>
      </c>
      <c r="J4" s="9">
        <f ca="1">OFFSET(TIAM15_assumptions!$G4,0,MATCH(VLOOKUP(Assumptions!J$2,TIAM15_assumptions!$Y$3:$Z$36,2,FALSE),TIAM15_assumptions!$H$2:$V$2,0))</f>
        <v>0</v>
      </c>
      <c r="K4" s="9">
        <f ca="1">OFFSET(TIAM15_assumptions!$G4,0,MATCH(VLOOKUP(Assumptions!K$2,TIAM15_assumptions!$Y$3:$Z$36,2,FALSE),TIAM15_assumptions!$H$2:$V$2,0))</f>
        <v>0.2</v>
      </c>
      <c r="L4" s="9">
        <f ca="1">OFFSET(TIAM15_assumptions!$G4,0,MATCH(VLOOKUP(Assumptions!L$2,TIAM15_assumptions!$Y$3:$Z$36,2,FALSE),TIAM15_assumptions!$H$2:$V$2,0))</f>
        <v>0.93</v>
      </c>
      <c r="M4" s="9">
        <f ca="1">OFFSET(TIAM15_assumptions!$G4,0,MATCH(VLOOKUP(Assumptions!M$2,TIAM15_assumptions!$Y$3:$Z$36,2,FALSE),TIAM15_assumptions!$H$2:$V$2,0))</f>
        <v>0.2</v>
      </c>
      <c r="N4" s="9">
        <f ca="1">OFFSET(TIAM15_assumptions!$G4,0,MATCH(VLOOKUP(Assumptions!N$2,TIAM15_assumptions!$Y$3:$Z$36,2,FALSE),TIAM15_assumptions!$H$2:$V$2,0))</f>
        <v>0.1</v>
      </c>
      <c r="O4" s="9">
        <f ca="1">OFFSET(TIAM15_assumptions!$G4,0,MATCH(VLOOKUP(Assumptions!O$2,TIAM15_assumptions!$Y$3:$Z$36,2,FALSE),TIAM15_assumptions!$H$2:$V$2,0))</f>
        <v>0</v>
      </c>
      <c r="P4" s="9">
        <f ca="1">OFFSET(TIAM15_assumptions!$G4,0,MATCH(VLOOKUP(Assumptions!P$2,TIAM15_assumptions!$Y$3:$Z$36,2,FALSE),TIAM15_assumptions!$H$2:$V$2,0))</f>
        <v>0</v>
      </c>
      <c r="Q4" s="9">
        <f ca="1">OFFSET(TIAM15_assumptions!$G4,0,MATCH(VLOOKUP(Assumptions!Q$2,TIAM15_assumptions!$Y$3:$Z$36,2,FALSE),TIAM15_assumptions!$H$2:$V$2,0))</f>
        <v>0.25</v>
      </c>
      <c r="R4" s="9">
        <f ca="1">OFFSET(TIAM15_assumptions!$G4,0,MATCH(VLOOKUP(Assumptions!R$2,TIAM15_assumptions!$Y$3:$Z$36,2,FALSE),TIAM15_assumptions!$H$2:$V$2,0))</f>
        <v>0</v>
      </c>
      <c r="S4" s="9">
        <f ca="1">OFFSET(TIAM15_assumptions!$G4,0,MATCH(VLOOKUP(Assumptions!S$2,TIAM15_assumptions!$Y$3:$Z$36,2,FALSE),TIAM15_assumptions!$H$2:$V$2,0))</f>
        <v>0.2</v>
      </c>
      <c r="T4" s="9">
        <f ca="1">OFFSET(TIAM15_assumptions!$G4,0,MATCH(VLOOKUP(Assumptions!T$2,TIAM15_assumptions!$Y$3:$Z$36,2,FALSE),TIAM15_assumptions!$H$2:$V$2,0))</f>
        <v>0</v>
      </c>
      <c r="U4" s="9">
        <f ca="1">OFFSET(TIAM15_assumptions!$G4,0,MATCH(VLOOKUP(Assumptions!U$2,TIAM15_assumptions!$Y$3:$Z$36,2,FALSE),TIAM15_assumptions!$H$2:$V$2,0))</f>
        <v>0</v>
      </c>
      <c r="V4" s="9">
        <f ca="1">OFFSET(TIAM15_assumptions!$G4,0,MATCH(VLOOKUP(Assumptions!V$2,TIAM15_assumptions!$Y$3:$Z$36,2,FALSE),TIAM15_assumptions!$H$2:$V$2,0))</f>
        <v>0.2</v>
      </c>
      <c r="W4" s="9">
        <f ca="1">OFFSET(TIAM15_assumptions!$G4,0,MATCH(VLOOKUP(Assumptions!W$2,TIAM15_assumptions!$Y$3:$Z$36,2,FALSE),TIAM15_assumptions!$H$2:$V$2,0))</f>
        <v>0</v>
      </c>
      <c r="X4" s="9">
        <f ca="1">OFFSET(TIAM15_assumptions!$G4,0,MATCH(VLOOKUP(Assumptions!X$2,TIAM15_assumptions!$Y$3:$Z$36,2,FALSE),TIAM15_assumptions!$H$2:$V$2,0))</f>
        <v>0.2</v>
      </c>
      <c r="Y4" s="9">
        <f ca="1">OFFSET(TIAM15_assumptions!$G4,0,MATCH(VLOOKUP(Assumptions!Y$2,TIAM15_assumptions!$Y$3:$Z$36,2,FALSE),TIAM15_assumptions!$H$2:$V$2,0))</f>
        <v>0</v>
      </c>
      <c r="Z4" s="9">
        <f ca="1">OFFSET(TIAM15_assumptions!$G4,0,MATCH(VLOOKUP(Assumptions!Z$2,TIAM15_assumptions!$Y$3:$Z$36,2,FALSE),TIAM15_assumptions!$H$2:$V$2,0))</f>
        <v>0</v>
      </c>
      <c r="AA4" s="9">
        <f ca="1">OFFSET(TIAM15_assumptions!$G4,0,MATCH(VLOOKUP(Assumptions!AA$2,TIAM15_assumptions!$Y$3:$Z$36,2,FALSE),TIAM15_assumptions!$H$2:$V$2,0))</f>
        <v>0.2</v>
      </c>
      <c r="AB4" s="9">
        <f ca="1">OFFSET(TIAM15_assumptions!$G4,0,MATCH(VLOOKUP(Assumptions!AB$2,TIAM15_assumptions!$Y$3:$Z$36,2,FALSE),TIAM15_assumptions!$H$2:$V$2,0))</f>
        <v>0</v>
      </c>
      <c r="AC4" s="9">
        <f ca="1">OFFSET(TIAM15_assumptions!$G4,0,MATCH(VLOOKUP(Assumptions!AC$2,TIAM15_assumptions!$Y$3:$Z$36,2,FALSE),TIAM15_assumptions!$H$2:$V$2,0))</f>
        <v>0</v>
      </c>
      <c r="AD4" s="9">
        <f ca="1">OFFSET(TIAM15_assumptions!$G4,0,MATCH(VLOOKUP(Assumptions!AD$2,TIAM15_assumptions!$Y$3:$Z$36,2,FALSE),TIAM15_assumptions!$H$2:$V$2,0))</f>
        <v>0.2</v>
      </c>
      <c r="AE4" s="9">
        <f ca="1">OFFSET(TIAM15_assumptions!$G4,0,MATCH(VLOOKUP(Assumptions!AE$2,TIAM15_assumptions!$Y$3:$Z$36,2,FALSE),TIAM15_assumptions!$H$2:$V$2,0))</f>
        <v>0</v>
      </c>
      <c r="AF4" s="9">
        <f ca="1">OFFSET(TIAM15_assumptions!$G4,0,MATCH(VLOOKUP(Assumptions!AF$2,TIAM15_assumptions!$Y$3:$Z$36,2,FALSE),TIAM15_assumptions!$H$2:$V$2,0))</f>
        <v>0.2</v>
      </c>
      <c r="AG4" s="9">
        <f ca="1">OFFSET(TIAM15_assumptions!$G4,0,MATCH(VLOOKUP(Assumptions!AG$2,TIAM15_assumptions!$Y$3:$Z$36,2,FALSE),TIAM15_assumptions!$H$2:$V$2,0))</f>
        <v>0.2</v>
      </c>
      <c r="AH4" s="9">
        <f ca="1">OFFSET(TIAM15_assumptions!$G4,0,MATCH(VLOOKUP(Assumptions!AH$2,TIAM15_assumptions!$Y$3:$Z$36,2,FALSE),TIAM15_assumptions!$H$2:$V$2,0))</f>
        <v>0.2</v>
      </c>
      <c r="AI4" s="9">
        <f ca="1">OFFSET(TIAM15_assumptions!$G4,0,MATCH(VLOOKUP(Assumptions!AI$2,TIAM15_assumptions!$Y$3:$Z$36,2,FALSE),TIAM15_assumptions!$H$2:$V$2,0))</f>
        <v>0</v>
      </c>
      <c r="AJ4" s="9">
        <f ca="1">OFFSET(TIAM15_assumptions!$G4,0,MATCH(VLOOKUP(Assumptions!AJ$2,TIAM15_assumptions!$Y$3:$Z$36,2,FALSE),TIAM15_assumptions!$H$2:$V$2,0))</f>
        <v>0.2</v>
      </c>
      <c r="AK4" s="9">
        <f ca="1">OFFSET(TIAM15_assumptions!$G4,0,MATCH(VLOOKUP(Assumptions!AK$2,TIAM15_assumptions!$Y$3:$Z$36,2,FALSE),TIAM15_assumptions!$H$2:$V$2,0))</f>
        <v>0.2</v>
      </c>
      <c r="AN4" s="34">
        <f ca="1">IFERROR(SUMIFS('TRA balance'!E$5:E$40,'TRA balance'!$C$5:$C$40,Assumptions!$C4,'TRA balance'!$D$5:$D$40,Assumptions!$B4)*BS4*H4,"")</f>
        <v>0</v>
      </c>
      <c r="AO4" s="34">
        <f ca="1">IFERROR(SUMIFS('TRA balance'!F$5:F$40,'TRA balance'!$C$5:$C$40,Assumptions!$C4,'TRA balance'!$D$5:$D$40,Assumptions!$B4)*BT4*I4,"")</f>
        <v>2.923140024E-2</v>
      </c>
      <c r="AP4" s="34">
        <f ca="1">IFERROR(SUMIFS('TRA balance'!G$5:G$40,'TRA balance'!$C$5:$C$40,Assumptions!$C4,'TRA balance'!$D$5:$D$40,Assumptions!$B4)*BU4*J4,"")</f>
        <v>0</v>
      </c>
      <c r="AQ4" s="34">
        <f ca="1">IFERROR(SUMIFS('TRA balance'!H$5:H$40,'TRA balance'!$C$5:$C$40,Assumptions!$C4,'TRA balance'!$D$5:$D$40,Assumptions!$B4)*BV4*K4,"")</f>
        <v>0.14202797904</v>
      </c>
      <c r="AR4" s="34">
        <f ca="1">IFERROR(SUMIFS('TRA balance'!I$5:I$40,'TRA balance'!$C$5:$C$40,Assumptions!$C4,'TRA balance'!$D$5:$D$40,Assumptions!$B4)*BW4*L4,"")</f>
        <v>3.3470451504E-2</v>
      </c>
      <c r="AS4" s="34">
        <f ca="1">IFERROR(SUMIFS('TRA balance'!J$5:J$40,'TRA balance'!$C$5:$C$40,Assumptions!$C4,'TRA balance'!$D$5:$D$40,Assumptions!$B4)*BX4*M4,"")</f>
        <v>0.15032119248</v>
      </c>
      <c r="AT4" s="34">
        <f ca="1">IFERROR(SUMIFS('TRA balance'!K$5:K$40,'TRA balance'!$C$5:$C$40,Assumptions!$C4,'TRA balance'!$D$5:$D$40,Assumptions!$B4)*BY4*N4,"")</f>
        <v>0</v>
      </c>
      <c r="AU4" s="34">
        <f ca="1">IFERROR(SUMIFS('TRA balance'!L$5:L$40,'TRA balance'!$C$5:$C$40,Assumptions!$C4,'TRA balance'!$D$5:$D$40,Assumptions!$B4)*BZ4*O4,"")</f>
        <v>0</v>
      </c>
      <c r="AV4" s="34">
        <f ca="1">IFERROR(SUMIFS('TRA balance'!M$5:M$40,'TRA balance'!$C$5:$C$40,Assumptions!$C4,'TRA balance'!$D$5:$D$40,Assumptions!$B4)*CA4*P4,"")</f>
        <v>0</v>
      </c>
      <c r="AW4" s="34">
        <f ca="1">IFERROR(SUMIFS('TRA balance'!N$5:N$40,'TRA balance'!$C$5:$C$40,Assumptions!$C4,'TRA balance'!$D$5:$D$40,Assumptions!$B4)*CB4*Q4,"")</f>
        <v>0</v>
      </c>
      <c r="AX4" s="34">
        <f ca="1">IFERROR(SUMIFS('TRA balance'!O$5:O$40,'TRA balance'!$C$5:$C$40,Assumptions!$C4,'TRA balance'!$D$5:$D$40,Assumptions!$B4)*CC4*R4,"")</f>
        <v>0</v>
      </c>
      <c r="AY4" s="34">
        <f ca="1">IFERROR(SUMIFS('TRA balance'!P$5:P$40,'TRA balance'!$C$5:$C$40,Assumptions!$C4,'TRA balance'!$D$5:$D$40,Assumptions!$B4)*CD4*S4,"")</f>
        <v>3.4926285600000006E-3</v>
      </c>
      <c r="AZ4" s="34">
        <f ca="1">IFERROR(SUMIFS('TRA balance'!Q$5:Q$40,'TRA balance'!$C$5:$C$40,Assumptions!$C4,'TRA balance'!$D$5:$D$40,Assumptions!$B4)*CE4*T4,"")</f>
        <v>0</v>
      </c>
      <c r="BA4" s="34">
        <f ca="1">IFERROR(SUMIFS('TRA balance'!R$5:R$40,'TRA balance'!$C$5:$C$40,Assumptions!$C4,'TRA balance'!$D$5:$D$40,Assumptions!$B4)*CF4*U4,"")</f>
        <v>0</v>
      </c>
      <c r="BB4" s="34">
        <f ca="1">IFERROR(SUMIFS('TRA balance'!S$5:S$40,'TRA balance'!$C$5:$C$40,Assumptions!$C4,'TRA balance'!$D$5:$D$40,Assumptions!$B4)*CG4*V4,"")</f>
        <v>8.5996871999999996E-4</v>
      </c>
      <c r="BC4" s="34">
        <f ca="1">IFERROR(SUMIFS('TRA balance'!T$5:T$40,'TRA balance'!$C$5:$C$40,Assumptions!$C4,'TRA balance'!$D$5:$D$40,Assumptions!$B4)*CH4*W4,"")</f>
        <v>0</v>
      </c>
      <c r="BD4" s="34">
        <f ca="1">IFERROR(SUMIFS('TRA balance'!U$5:U$40,'TRA balance'!$C$5:$C$40,Assumptions!$C4,'TRA balance'!$D$5:$D$40,Assumptions!$B4)*CI4*X4,"")</f>
        <v>8.8074362160000003E-2</v>
      </c>
      <c r="BE4" s="34">
        <f ca="1">IFERROR(SUMIFS('TRA balance'!V$5:V$40,'TRA balance'!$C$5:$C$40,Assumptions!$C4,'TRA balance'!$D$5:$D$40,Assumptions!$B4)*CJ4*Y4,"")</f>
        <v>0</v>
      </c>
      <c r="BF4" s="34">
        <f ca="1">IFERROR(SUMIFS('TRA balance'!W$5:W$40,'TRA balance'!$C$5:$C$40,Assumptions!$C4,'TRA balance'!$D$5:$D$40,Assumptions!$B4)*CK4*Z4,"")</f>
        <v>0</v>
      </c>
      <c r="BG4" s="34">
        <f ca="1">IFERROR(SUMIFS('TRA balance'!X$5:X$40,'TRA balance'!$C$5:$C$40,Assumptions!$C4,'TRA balance'!$D$5:$D$40,Assumptions!$B4)*CL4*AA4,"")</f>
        <v>0</v>
      </c>
      <c r="BH4" s="34">
        <f ca="1">IFERROR(SUMIFS('TRA balance'!Y$5:Y$40,'TRA balance'!$C$5:$C$40,Assumptions!$C4,'TRA balance'!$D$5:$D$40,Assumptions!$B4)*CM4*AB4,"")</f>
        <v>0</v>
      </c>
      <c r="BI4" s="34">
        <f ca="1">IFERROR(SUMIFS('TRA balance'!Z$5:Z$40,'TRA balance'!$C$5:$C$40,Assumptions!$C4,'TRA balance'!$D$5:$D$40,Assumptions!$B4)*CN4*AC4,"")</f>
        <v>0</v>
      </c>
      <c r="BJ4" s="34">
        <f ca="1">IFERROR(SUMIFS('TRA balance'!AA$5:AA$40,'TRA balance'!$C$5:$C$40,Assumptions!$C4,'TRA balance'!$D$5:$D$40,Assumptions!$B4)*CO4*AD4,"")</f>
        <v>0</v>
      </c>
      <c r="BK4" s="34">
        <f ca="1">IFERROR(SUMIFS('TRA balance'!AB$5:AB$40,'TRA balance'!$C$5:$C$40,Assumptions!$C4,'TRA balance'!$D$5:$D$40,Assumptions!$B4)*CP4*AE4,"")</f>
        <v>0</v>
      </c>
      <c r="BL4" s="34">
        <f ca="1">IFERROR(SUMIFS('TRA balance'!AC$5:AC$40,'TRA balance'!$C$5:$C$40,Assumptions!$C4,'TRA balance'!$D$5:$D$40,Assumptions!$B4)*CQ4*AF4,"")</f>
        <v>0</v>
      </c>
      <c r="BM4" s="34">
        <f ca="1">IFERROR(SUMIFS('TRA balance'!AD$5:AD$40,'TRA balance'!$C$5:$C$40,Assumptions!$C4,'TRA balance'!$D$5:$D$40,Assumptions!$B4)*CR4*AG4,"")</f>
        <v>0</v>
      </c>
      <c r="BN4" s="34">
        <f ca="1">IFERROR(SUMIFS('TRA balance'!AE$5:AE$40,'TRA balance'!$C$5:$C$40,Assumptions!$C4,'TRA balance'!$D$5:$D$40,Assumptions!$B4)*CS4*AH4,"")</f>
        <v>0</v>
      </c>
      <c r="BO4" s="34">
        <f ca="1">IFERROR(SUMIFS('TRA balance'!AF$5:AF$40,'TRA balance'!$C$5:$C$40,Assumptions!$C4,'TRA balance'!$D$5:$D$40,Assumptions!$B4)*CT4*AI4,"")</f>
        <v>0</v>
      </c>
      <c r="BP4" s="34">
        <f ca="1">IFERROR(SUMIFS('TRA balance'!AG$5:AG$40,'TRA balance'!$C$5:$C$40,Assumptions!$C4,'TRA balance'!$D$5:$D$40,Assumptions!$B4)*CU4*AJ4,"")</f>
        <v>0</v>
      </c>
      <c r="BQ4" s="34">
        <f ca="1">IFERROR(SUMIFS('TRA balance'!AH$5:AH$40,'TRA balance'!$C$5:$C$40,Assumptions!$C4,'TRA balance'!$D$5:$D$40,Assumptions!$B4)*CV4*AK4,"")</f>
        <v>0</v>
      </c>
      <c r="BS4" s="33">
        <f t="shared" si="16"/>
        <v>1</v>
      </c>
      <c r="BT4" s="33">
        <f t="shared" si="17"/>
        <v>1</v>
      </c>
      <c r="BU4" s="33">
        <f t="shared" si="18"/>
        <v>1</v>
      </c>
      <c r="BV4" s="33">
        <f t="shared" si="19"/>
        <v>1</v>
      </c>
      <c r="BW4" s="33">
        <f t="shared" si="20"/>
        <v>1</v>
      </c>
      <c r="BX4" s="33">
        <f t="shared" si="21"/>
        <v>1</v>
      </c>
      <c r="BY4" s="33">
        <f t="shared" si="22"/>
        <v>1</v>
      </c>
      <c r="BZ4" s="33">
        <f t="shared" si="23"/>
        <v>1</v>
      </c>
      <c r="CA4" s="33">
        <f t="shared" si="24"/>
        <v>1</v>
      </c>
      <c r="CB4" s="33">
        <f t="shared" si="25"/>
        <v>1</v>
      </c>
      <c r="CC4" s="33">
        <f t="shared" si="26"/>
        <v>1</v>
      </c>
      <c r="CD4" s="33">
        <f t="shared" si="27"/>
        <v>1</v>
      </c>
      <c r="CE4" s="33">
        <f t="shared" si="28"/>
        <v>1</v>
      </c>
      <c r="CF4" s="33">
        <f t="shared" si="29"/>
        <v>1</v>
      </c>
      <c r="CG4" s="33">
        <f t="shared" si="30"/>
        <v>1</v>
      </c>
      <c r="CH4" s="33">
        <f t="shared" si="31"/>
        <v>1</v>
      </c>
      <c r="CI4" s="33">
        <f t="shared" si="32"/>
        <v>1</v>
      </c>
      <c r="CJ4" s="33">
        <f t="shared" si="33"/>
        <v>1</v>
      </c>
      <c r="CK4" s="33">
        <f t="shared" si="34"/>
        <v>1</v>
      </c>
      <c r="CL4" s="33">
        <f t="shared" si="35"/>
        <v>1</v>
      </c>
      <c r="CM4" s="33">
        <f t="shared" si="36"/>
        <v>1</v>
      </c>
      <c r="CN4" s="33">
        <f t="shared" si="37"/>
        <v>1</v>
      </c>
      <c r="CO4" s="33">
        <f t="shared" si="38"/>
        <v>1</v>
      </c>
      <c r="CP4" s="33">
        <f t="shared" si="39"/>
        <v>1</v>
      </c>
      <c r="CQ4" s="33">
        <f t="shared" si="40"/>
        <v>1</v>
      </c>
      <c r="CR4" s="33">
        <f t="shared" si="41"/>
        <v>1</v>
      </c>
      <c r="CS4" s="33">
        <f t="shared" si="42"/>
        <v>1</v>
      </c>
      <c r="CT4" s="33">
        <f t="shared" si="43"/>
        <v>1</v>
      </c>
      <c r="CU4" s="33">
        <f t="shared" si="44"/>
        <v>1</v>
      </c>
      <c r="CV4" s="33">
        <f t="shared" si="45"/>
        <v>1</v>
      </c>
      <c r="CY4" t="s">
        <v>78</v>
      </c>
      <c r="CZ4">
        <v>15</v>
      </c>
    </row>
    <row r="5" spans="1:104" x14ac:dyDescent="0.45">
      <c r="A5">
        <v>1</v>
      </c>
      <c r="B5" t="str">
        <f>VLOOKUP(F5,'TRA balance'!$AK$5:$AL$14,2,FALSE)</f>
        <v>TRACOA</v>
      </c>
      <c r="C5" s="11"/>
      <c r="D5" s="11"/>
      <c r="E5" s="12" t="s">
        <v>58</v>
      </c>
      <c r="F5" s="13" t="str">
        <f t="shared" si="47"/>
        <v>Coal</v>
      </c>
      <c r="G5" s="11"/>
      <c r="H5" s="32" t="str">
        <f t="shared" ref="H5:M5" ca="1" si="48">IF(SUM(H3:H4)=1,"-","&lt;&gt;1!!")</f>
        <v>-</v>
      </c>
      <c r="I5" s="12" t="str">
        <f t="shared" ca="1" si="48"/>
        <v>-</v>
      </c>
      <c r="J5" s="12" t="str">
        <f t="shared" ca="1" si="48"/>
        <v>-</v>
      </c>
      <c r="K5" s="12" t="str">
        <f t="shared" ca="1" si="48"/>
        <v>-</v>
      </c>
      <c r="L5" s="12" t="str">
        <f t="shared" ca="1" si="48"/>
        <v>-</v>
      </c>
      <c r="M5" s="12" t="str">
        <f t="shared" ca="1" si="48"/>
        <v>-</v>
      </c>
      <c r="N5" s="12" t="str">
        <f t="shared" ref="N5:X5" ca="1" si="49">IF(SUM(N3:N4)=1,"-","&lt;&gt;1!!")</f>
        <v>-</v>
      </c>
      <c r="O5" s="12" t="str">
        <f t="shared" ca="1" si="49"/>
        <v>-</v>
      </c>
      <c r="P5" s="12" t="str">
        <f t="shared" ca="1" si="49"/>
        <v>-</v>
      </c>
      <c r="Q5" s="12" t="str">
        <f t="shared" ca="1" si="49"/>
        <v>-</v>
      </c>
      <c r="R5" s="12" t="str">
        <f t="shared" ca="1" si="49"/>
        <v>-</v>
      </c>
      <c r="S5" s="12" t="str">
        <f t="shared" ca="1" si="49"/>
        <v>-</v>
      </c>
      <c r="T5" s="12" t="str">
        <f t="shared" ca="1" si="49"/>
        <v>-</v>
      </c>
      <c r="U5" s="12" t="str">
        <f t="shared" ca="1" si="49"/>
        <v>-</v>
      </c>
      <c r="V5" s="12" t="str">
        <f t="shared" ca="1" si="49"/>
        <v>-</v>
      </c>
      <c r="W5" s="12" t="str">
        <f t="shared" ca="1" si="49"/>
        <v>-</v>
      </c>
      <c r="X5" s="12" t="str">
        <f t="shared" ca="1" si="49"/>
        <v>-</v>
      </c>
      <c r="Y5" s="12" t="str">
        <f t="shared" ref="Y5:Z5" ca="1" si="50">IF(SUM(Y3:Y4)=1,"-","&lt;&gt;1!!")</f>
        <v>-</v>
      </c>
      <c r="Z5" s="12" t="str">
        <f t="shared" ca="1" si="50"/>
        <v>-</v>
      </c>
      <c r="AA5" s="12" t="str">
        <f t="shared" ref="AA5:AK5" ca="1" si="51">IF(SUM(AA3:AA4)=1,"-","&lt;&gt;1!!")</f>
        <v>-</v>
      </c>
      <c r="AB5" s="12" t="str">
        <f t="shared" ca="1" si="51"/>
        <v>-</v>
      </c>
      <c r="AC5" s="12" t="str">
        <f t="shared" ca="1" si="51"/>
        <v>-</v>
      </c>
      <c r="AD5" s="12" t="str">
        <f t="shared" ca="1" si="51"/>
        <v>-</v>
      </c>
      <c r="AE5" s="12" t="str">
        <f t="shared" ca="1" si="51"/>
        <v>-</v>
      </c>
      <c r="AF5" s="12" t="str">
        <f t="shared" ca="1" si="51"/>
        <v>-</v>
      </c>
      <c r="AG5" s="12" t="str">
        <f t="shared" ca="1" si="51"/>
        <v>-</v>
      </c>
      <c r="AH5" s="12" t="str">
        <f t="shared" ca="1" si="51"/>
        <v>-</v>
      </c>
      <c r="AI5" s="12" t="str">
        <f t="shared" ca="1" si="51"/>
        <v>-</v>
      </c>
      <c r="AJ5" s="12" t="str">
        <f t="shared" ca="1" si="51"/>
        <v>-</v>
      </c>
      <c r="AK5" s="12" t="str">
        <f t="shared" ca="1" si="51"/>
        <v>-</v>
      </c>
      <c r="AN5" s="34" t="str">
        <f ca="1">IFERROR(SUMIFS('TRA balance'!E$5:E$40,'TRA balance'!$C$5:$C$40,Assumptions!$C5,'TRA balance'!$D$5:$D$40,Assumptions!$B5)*BS5*H5,"")</f>
        <v/>
      </c>
      <c r="AO5" s="34" t="str">
        <f ca="1">IFERROR(SUMIFS('TRA balance'!F$5:F$40,'TRA balance'!$C$5:$C$40,Assumptions!$C5,'TRA balance'!$D$5:$D$40,Assumptions!$B5)*BT5*I5,"")</f>
        <v/>
      </c>
      <c r="AP5" s="34" t="str">
        <f ca="1">IFERROR(SUMIFS('TRA balance'!G$5:G$40,'TRA balance'!$C$5:$C$40,Assumptions!$C5,'TRA balance'!$D$5:$D$40,Assumptions!$B5)*BU5*J5,"")</f>
        <v/>
      </c>
      <c r="AQ5" s="34" t="str">
        <f ca="1">IFERROR(SUMIFS('TRA balance'!H$5:H$40,'TRA balance'!$C$5:$C$40,Assumptions!$C5,'TRA balance'!$D$5:$D$40,Assumptions!$B5)*BV5*K5,"")</f>
        <v/>
      </c>
      <c r="AR5" s="34" t="str">
        <f ca="1">IFERROR(SUMIFS('TRA balance'!I$5:I$40,'TRA balance'!$C$5:$C$40,Assumptions!$C5,'TRA balance'!$D$5:$D$40,Assumptions!$B5)*BW5*L5,"")</f>
        <v/>
      </c>
      <c r="AS5" s="34" t="str">
        <f ca="1">IFERROR(SUMIFS('TRA balance'!J$5:J$40,'TRA balance'!$C$5:$C$40,Assumptions!$C5,'TRA balance'!$D$5:$D$40,Assumptions!$B5)*BX5*M5,"")</f>
        <v/>
      </c>
      <c r="AT5" s="34" t="str">
        <f ca="1">IFERROR(SUMIFS('TRA balance'!K$5:K$40,'TRA balance'!$C$5:$C$40,Assumptions!$C5,'TRA balance'!$D$5:$D$40,Assumptions!$B5)*BY5*N5,"")</f>
        <v/>
      </c>
      <c r="AU5" s="34" t="str">
        <f ca="1">IFERROR(SUMIFS('TRA balance'!L$5:L$40,'TRA balance'!$C$5:$C$40,Assumptions!$C5,'TRA balance'!$D$5:$D$40,Assumptions!$B5)*BZ5*O5,"")</f>
        <v/>
      </c>
      <c r="AV5" s="34" t="str">
        <f ca="1">IFERROR(SUMIFS('TRA balance'!M$5:M$40,'TRA balance'!$C$5:$C$40,Assumptions!$C5,'TRA balance'!$D$5:$D$40,Assumptions!$B5)*CA5*P5,"")</f>
        <v/>
      </c>
      <c r="AW5" s="34" t="str">
        <f ca="1">IFERROR(SUMIFS('TRA balance'!N$5:N$40,'TRA balance'!$C$5:$C$40,Assumptions!$C5,'TRA balance'!$D$5:$D$40,Assumptions!$B5)*CB5*Q5,"")</f>
        <v/>
      </c>
      <c r="AX5" s="34" t="str">
        <f ca="1">IFERROR(SUMIFS('TRA balance'!O$5:O$40,'TRA balance'!$C$5:$C$40,Assumptions!$C5,'TRA balance'!$D$5:$D$40,Assumptions!$B5)*CC5*R5,"")</f>
        <v/>
      </c>
      <c r="AY5" s="34" t="str">
        <f ca="1">IFERROR(SUMIFS('TRA balance'!P$5:P$40,'TRA balance'!$C$5:$C$40,Assumptions!$C5,'TRA balance'!$D$5:$D$40,Assumptions!$B5)*CD5*S5,"")</f>
        <v/>
      </c>
      <c r="AZ5" s="34" t="str">
        <f ca="1">IFERROR(SUMIFS('TRA balance'!Q$5:Q$40,'TRA balance'!$C$5:$C$40,Assumptions!$C5,'TRA balance'!$D$5:$D$40,Assumptions!$B5)*CE5*T5,"")</f>
        <v/>
      </c>
      <c r="BA5" s="34" t="str">
        <f ca="1">IFERROR(SUMIFS('TRA balance'!R$5:R$40,'TRA balance'!$C$5:$C$40,Assumptions!$C5,'TRA balance'!$D$5:$D$40,Assumptions!$B5)*CF5*U5,"")</f>
        <v/>
      </c>
      <c r="BB5" s="34" t="str">
        <f ca="1">IFERROR(SUMIFS('TRA balance'!S$5:S$40,'TRA balance'!$C$5:$C$40,Assumptions!$C5,'TRA balance'!$D$5:$D$40,Assumptions!$B5)*CG5*V5,"")</f>
        <v/>
      </c>
      <c r="BC5" s="34" t="str">
        <f ca="1">IFERROR(SUMIFS('TRA balance'!T$5:T$40,'TRA balance'!$C$5:$C$40,Assumptions!$C5,'TRA balance'!$D$5:$D$40,Assumptions!$B5)*CH5*W5,"")</f>
        <v/>
      </c>
      <c r="BD5" s="34" t="str">
        <f ca="1">IFERROR(SUMIFS('TRA balance'!U$5:U$40,'TRA balance'!$C$5:$C$40,Assumptions!$C5,'TRA balance'!$D$5:$D$40,Assumptions!$B5)*CI5*X5,"")</f>
        <v/>
      </c>
      <c r="BE5" s="34" t="str">
        <f ca="1">IFERROR(SUMIFS('TRA balance'!V$5:V$40,'TRA balance'!$C$5:$C$40,Assumptions!$C5,'TRA balance'!$D$5:$D$40,Assumptions!$B5)*CJ5*Y5,"")</f>
        <v/>
      </c>
      <c r="BF5" s="34" t="str">
        <f ca="1">IFERROR(SUMIFS('TRA balance'!W$5:W$40,'TRA balance'!$C$5:$C$40,Assumptions!$C5,'TRA balance'!$D$5:$D$40,Assumptions!$B5)*CK5*Z5,"")</f>
        <v/>
      </c>
      <c r="BG5" s="34" t="str">
        <f ca="1">IFERROR(SUMIFS('TRA balance'!X$5:X$40,'TRA balance'!$C$5:$C$40,Assumptions!$C5,'TRA balance'!$D$5:$D$40,Assumptions!$B5)*CL5*AA5,"")</f>
        <v/>
      </c>
      <c r="BH5" s="34" t="str">
        <f ca="1">IFERROR(SUMIFS('TRA balance'!Y$5:Y$40,'TRA balance'!$C$5:$C$40,Assumptions!$C5,'TRA balance'!$D$5:$D$40,Assumptions!$B5)*CM5*AB5,"")</f>
        <v/>
      </c>
      <c r="BI5" s="34" t="str">
        <f ca="1">IFERROR(SUMIFS('TRA balance'!Z$5:Z$40,'TRA balance'!$C$5:$C$40,Assumptions!$C5,'TRA balance'!$D$5:$D$40,Assumptions!$B5)*CN5*AC5,"")</f>
        <v/>
      </c>
      <c r="BJ5" s="34" t="str">
        <f ca="1">IFERROR(SUMIFS('TRA balance'!AA$5:AA$40,'TRA balance'!$C$5:$C$40,Assumptions!$C5,'TRA balance'!$D$5:$D$40,Assumptions!$B5)*CO5*AD5,"")</f>
        <v/>
      </c>
      <c r="BK5" s="34" t="str">
        <f ca="1">IFERROR(SUMIFS('TRA balance'!AB$5:AB$40,'TRA balance'!$C$5:$C$40,Assumptions!$C5,'TRA balance'!$D$5:$D$40,Assumptions!$B5)*CP5*AE5,"")</f>
        <v/>
      </c>
      <c r="BL5" s="34" t="str">
        <f ca="1">IFERROR(SUMIFS('TRA balance'!AC$5:AC$40,'TRA balance'!$C$5:$C$40,Assumptions!$C5,'TRA balance'!$D$5:$D$40,Assumptions!$B5)*CQ5*AF5,"")</f>
        <v/>
      </c>
      <c r="BM5" s="34" t="str">
        <f ca="1">IFERROR(SUMIFS('TRA balance'!AD$5:AD$40,'TRA balance'!$C$5:$C$40,Assumptions!$C5,'TRA balance'!$D$5:$D$40,Assumptions!$B5)*CR5*AG5,"")</f>
        <v/>
      </c>
      <c r="BN5" s="34" t="str">
        <f ca="1">IFERROR(SUMIFS('TRA balance'!AE$5:AE$40,'TRA balance'!$C$5:$C$40,Assumptions!$C5,'TRA balance'!$D$5:$D$40,Assumptions!$B5)*CS5*AH5,"")</f>
        <v/>
      </c>
      <c r="BO5" s="34" t="str">
        <f ca="1">IFERROR(SUMIFS('TRA balance'!AF$5:AF$40,'TRA balance'!$C$5:$C$40,Assumptions!$C5,'TRA balance'!$D$5:$D$40,Assumptions!$B5)*CT5*AI5,"")</f>
        <v/>
      </c>
      <c r="BP5" s="34" t="str">
        <f ca="1">IFERROR(SUMIFS('TRA balance'!AG$5:AG$40,'TRA balance'!$C$5:$C$40,Assumptions!$C5,'TRA balance'!$D$5:$D$40,Assumptions!$B5)*CU5*AJ5,"")</f>
        <v/>
      </c>
      <c r="BQ5" s="34" t="str">
        <f ca="1">IFERROR(SUMIFS('TRA balance'!AH$5:AH$40,'TRA balance'!$C$5:$C$40,Assumptions!$C5,'TRA balance'!$D$5:$D$40,Assumptions!$B5)*CV5*AK5,"")</f>
        <v/>
      </c>
      <c r="BS5" s="33">
        <f t="shared" si="16"/>
        <v>1</v>
      </c>
      <c r="BT5" s="33">
        <f t="shared" si="17"/>
        <v>1</v>
      </c>
      <c r="BU5" s="33">
        <f t="shared" si="18"/>
        <v>1</v>
      </c>
      <c r="BV5" s="33">
        <f t="shared" si="19"/>
        <v>1</v>
      </c>
      <c r="BW5" s="33">
        <f t="shared" si="20"/>
        <v>1</v>
      </c>
      <c r="BX5" s="33">
        <f t="shared" si="21"/>
        <v>1</v>
      </c>
      <c r="BY5" s="33">
        <f t="shared" si="22"/>
        <v>1</v>
      </c>
      <c r="BZ5" s="33">
        <f t="shared" si="23"/>
        <v>1</v>
      </c>
      <c r="CA5" s="33">
        <f t="shared" si="24"/>
        <v>1</v>
      </c>
      <c r="CB5" s="33">
        <f t="shared" si="25"/>
        <v>1</v>
      </c>
      <c r="CC5" s="33">
        <f t="shared" si="26"/>
        <v>1</v>
      </c>
      <c r="CD5" s="33">
        <f t="shared" si="27"/>
        <v>1</v>
      </c>
      <c r="CE5" s="33">
        <f t="shared" si="28"/>
        <v>1</v>
      </c>
      <c r="CF5" s="33">
        <f t="shared" si="29"/>
        <v>1</v>
      </c>
      <c r="CG5" s="33">
        <f t="shared" si="30"/>
        <v>1</v>
      </c>
      <c r="CH5" s="33">
        <f t="shared" si="31"/>
        <v>1</v>
      </c>
      <c r="CI5" s="33">
        <f t="shared" si="32"/>
        <v>1</v>
      </c>
      <c r="CJ5" s="33">
        <f t="shared" si="33"/>
        <v>1</v>
      </c>
      <c r="CK5" s="33">
        <f t="shared" si="34"/>
        <v>1</v>
      </c>
      <c r="CL5" s="33">
        <f t="shared" si="35"/>
        <v>1</v>
      </c>
      <c r="CM5" s="33">
        <f t="shared" si="36"/>
        <v>1</v>
      </c>
      <c r="CN5" s="33">
        <f t="shared" si="37"/>
        <v>1</v>
      </c>
      <c r="CO5" s="33">
        <f t="shared" si="38"/>
        <v>1</v>
      </c>
      <c r="CP5" s="33">
        <f t="shared" si="39"/>
        <v>1</v>
      </c>
      <c r="CQ5" s="33">
        <f t="shared" si="40"/>
        <v>1</v>
      </c>
      <c r="CR5" s="33">
        <f t="shared" si="41"/>
        <v>1</v>
      </c>
      <c r="CS5" s="33">
        <f t="shared" si="42"/>
        <v>1</v>
      </c>
      <c r="CT5" s="33">
        <f t="shared" si="43"/>
        <v>1</v>
      </c>
      <c r="CU5" s="33">
        <f t="shared" si="44"/>
        <v>1</v>
      </c>
      <c r="CV5" s="33">
        <f t="shared" si="45"/>
        <v>1</v>
      </c>
      <c r="CY5" t="s">
        <v>66</v>
      </c>
      <c r="CZ5">
        <v>15</v>
      </c>
    </row>
    <row r="6" spans="1:104" x14ac:dyDescent="0.45">
      <c r="A6">
        <v>1</v>
      </c>
      <c r="B6" t="str">
        <f>VLOOKUP(F6,'TRA balance'!$AK$5:$AL$14,2,FALSE)</f>
        <v>TRADST</v>
      </c>
      <c r="C6" s="14">
        <v>1</v>
      </c>
      <c r="D6" s="15" t="s">
        <v>16</v>
      </c>
      <c r="E6" s="15" t="s">
        <v>59</v>
      </c>
      <c r="F6" s="16" t="s">
        <v>60</v>
      </c>
      <c r="G6" s="14"/>
      <c r="H6" s="39">
        <f ca="1">OFFSET(TIAM15_assumptions!$G6,0,MATCH(VLOOKUP(Assumptions!H$2,TIAM15_assumptions!$Y$3:$Z$36,2,FALSE),TIAM15_assumptions!$H$2:$V$2,0))</f>
        <v>0.1</v>
      </c>
      <c r="I6" s="39">
        <f ca="1">OFFSET(TIAM15_assumptions!$G6,0,MATCH(VLOOKUP(Assumptions!I$2,TIAM15_assumptions!$Y$3:$Z$36,2,FALSE),TIAM15_assumptions!$H$2:$V$2,0))</f>
        <v>0.1</v>
      </c>
      <c r="J6" s="39">
        <f ca="1">OFFSET(TIAM15_assumptions!$G6,0,MATCH(VLOOKUP(Assumptions!J$2,TIAM15_assumptions!$Y$3:$Z$36,2,FALSE),TIAM15_assumptions!$H$2:$V$2,0))</f>
        <v>7.0000000000000007E-2</v>
      </c>
      <c r="K6" s="39">
        <f ca="1">OFFSET(TIAM15_assumptions!$G6,0,MATCH(VLOOKUP(Assumptions!K$2,TIAM15_assumptions!$Y$3:$Z$36,2,FALSE),TIAM15_assumptions!$H$2:$V$2,0))</f>
        <v>0.05</v>
      </c>
      <c r="L6" s="39">
        <f ca="1">OFFSET(TIAM15_assumptions!$G6,0,MATCH(VLOOKUP(Assumptions!L$2,TIAM15_assumptions!$Y$3:$Z$36,2,FALSE),TIAM15_assumptions!$H$2:$V$2,0))</f>
        <v>0.05</v>
      </c>
      <c r="M6" s="39">
        <f ca="1">OFFSET(TIAM15_assumptions!$G6,0,MATCH(VLOOKUP(Assumptions!M$2,TIAM15_assumptions!$Y$3:$Z$36,2,FALSE),TIAM15_assumptions!$H$2:$V$2,0))</f>
        <v>0.08</v>
      </c>
      <c r="N6" s="39">
        <f ca="1">OFFSET(TIAM15_assumptions!$G6,0,MATCH(VLOOKUP(Assumptions!N$2,TIAM15_assumptions!$Y$3:$Z$36,2,FALSE),TIAM15_assumptions!$H$2:$V$2,0))</f>
        <v>0.02</v>
      </c>
      <c r="O6" s="39">
        <f ca="1">OFFSET(TIAM15_assumptions!$G6,0,MATCH(VLOOKUP(Assumptions!O$2,TIAM15_assumptions!$Y$3:$Z$36,2,FALSE),TIAM15_assumptions!$H$2:$V$2,0))</f>
        <v>7.0000000000000007E-2</v>
      </c>
      <c r="P6" s="39">
        <f ca="1">OFFSET(TIAM15_assumptions!$G6,0,MATCH(VLOOKUP(Assumptions!P$2,TIAM15_assumptions!$Y$3:$Z$36,2,FALSE),TIAM15_assumptions!$H$2:$V$2,0))</f>
        <v>0.02</v>
      </c>
      <c r="Q6" s="39">
        <f ca="1">OFFSET(TIAM15_assumptions!$G6,0,MATCH(VLOOKUP(Assumptions!Q$2,TIAM15_assumptions!$Y$3:$Z$36,2,FALSE),TIAM15_assumptions!$H$2:$V$2,0))</f>
        <v>0.1</v>
      </c>
      <c r="R6" s="39">
        <f ca="1">OFFSET(TIAM15_assumptions!$G6,0,MATCH(VLOOKUP(Assumptions!R$2,TIAM15_assumptions!$Y$3:$Z$36,2,FALSE),TIAM15_assumptions!$H$2:$V$2,0))</f>
        <v>0.45342524249014599</v>
      </c>
      <c r="S6" s="39">
        <f ca="1">OFFSET(TIAM15_assumptions!$G6,0,MATCH(VLOOKUP(Assumptions!S$2,TIAM15_assumptions!$Y$3:$Z$36,2,FALSE),TIAM15_assumptions!$H$2:$V$2,0))</f>
        <v>0.35051309933039143</v>
      </c>
      <c r="T6" s="39">
        <f ca="1">OFFSET(TIAM15_assumptions!$G6,0,MATCH(VLOOKUP(Assumptions!T$2,TIAM15_assumptions!$Y$3:$Z$36,2,FALSE),TIAM15_assumptions!$H$2:$V$2,0))</f>
        <v>0.45342524249014599</v>
      </c>
      <c r="U6" s="39">
        <f ca="1">OFFSET(TIAM15_assumptions!$G6,0,MATCH(VLOOKUP(Assumptions!U$2,TIAM15_assumptions!$Y$3:$Z$36,2,FALSE),TIAM15_assumptions!$H$2:$V$2,0))</f>
        <v>0.45342524249014599</v>
      </c>
      <c r="V6" s="39">
        <f ca="1">OFFSET(TIAM15_assumptions!$G6,0,MATCH(VLOOKUP(Assumptions!V$2,TIAM15_assumptions!$Y$3:$Z$36,2,FALSE),TIAM15_assumptions!$H$2:$V$2,0))</f>
        <v>0.35051309933039143</v>
      </c>
      <c r="W6" s="39">
        <f ca="1">OFFSET(TIAM15_assumptions!$G6,0,MATCH(VLOOKUP(Assumptions!W$2,TIAM15_assumptions!$Y$3:$Z$36,2,FALSE),TIAM15_assumptions!$H$2:$V$2,0))</f>
        <v>0.45342524249014599</v>
      </c>
      <c r="X6" s="39">
        <f ca="1">OFFSET(TIAM15_assumptions!$G6,0,MATCH(VLOOKUP(Assumptions!X$2,TIAM15_assumptions!$Y$3:$Z$36,2,FALSE),TIAM15_assumptions!$H$2:$V$2,0))</f>
        <v>0.1</v>
      </c>
      <c r="Y6" s="39">
        <f ca="1">OFFSET(TIAM15_assumptions!$G6,0,MATCH(VLOOKUP(Assumptions!Y$2,TIAM15_assumptions!$Y$3:$Z$36,2,FALSE),TIAM15_assumptions!$H$2:$V$2,0))</f>
        <v>0.45342524249014599</v>
      </c>
      <c r="Z6" s="39">
        <f ca="1">OFFSET(TIAM15_assumptions!$G6,0,MATCH(VLOOKUP(Assumptions!Z$2,TIAM15_assumptions!$Y$3:$Z$36,2,FALSE),TIAM15_assumptions!$H$2:$V$2,0))</f>
        <v>0.45342524249014599</v>
      </c>
      <c r="AA6" s="39">
        <f ca="1">OFFSET(TIAM15_assumptions!$G6,0,MATCH(VLOOKUP(Assumptions!AA$2,TIAM15_assumptions!$Y$3:$Z$36,2,FALSE),TIAM15_assumptions!$H$2:$V$2,0))</f>
        <v>0.25</v>
      </c>
      <c r="AB6" s="39">
        <f ca="1">OFFSET(TIAM15_assumptions!$G6,0,MATCH(VLOOKUP(Assumptions!AB$2,TIAM15_assumptions!$Y$3:$Z$36,2,FALSE),TIAM15_assumptions!$H$2:$V$2,0))</f>
        <v>7.0000000000000007E-2</v>
      </c>
      <c r="AC6" s="39">
        <f ca="1">OFFSET(TIAM15_assumptions!$G6,0,MATCH(VLOOKUP(Assumptions!AC$2,TIAM15_assumptions!$Y$3:$Z$36,2,FALSE),TIAM15_assumptions!$H$2:$V$2,0))</f>
        <v>0.15</v>
      </c>
      <c r="AD6" s="39">
        <f ca="1">OFFSET(TIAM15_assumptions!$G6,0,MATCH(VLOOKUP(Assumptions!AD$2,TIAM15_assumptions!$Y$3:$Z$36,2,FALSE),TIAM15_assumptions!$H$2:$V$2,0))</f>
        <v>0.1</v>
      </c>
      <c r="AE6" s="39">
        <f ca="1">OFFSET(TIAM15_assumptions!$G6,0,MATCH(VLOOKUP(Assumptions!AE$2,TIAM15_assumptions!$Y$3:$Z$36,2,FALSE),TIAM15_assumptions!$H$2:$V$2,0))</f>
        <v>0.45342524249014599</v>
      </c>
      <c r="AF6" s="39">
        <f ca="1">OFFSET(TIAM15_assumptions!$G6,0,MATCH(VLOOKUP(Assumptions!AF$2,TIAM15_assumptions!$Y$3:$Z$36,2,FALSE),TIAM15_assumptions!$H$2:$V$2,0))</f>
        <v>0.05</v>
      </c>
      <c r="AG6" s="39">
        <f ca="1">OFFSET(TIAM15_assumptions!$G6,0,MATCH(VLOOKUP(Assumptions!AG$2,TIAM15_assumptions!$Y$3:$Z$36,2,FALSE),TIAM15_assumptions!$H$2:$V$2,0))</f>
        <v>0.1</v>
      </c>
      <c r="AH6" s="39">
        <f ca="1">OFFSET(TIAM15_assumptions!$G6,0,MATCH(VLOOKUP(Assumptions!AH$2,TIAM15_assumptions!$Y$3:$Z$36,2,FALSE),TIAM15_assumptions!$H$2:$V$2,0))</f>
        <v>0.1</v>
      </c>
      <c r="AI6" s="39">
        <f ca="1">OFFSET(TIAM15_assumptions!$G6,0,MATCH(VLOOKUP(Assumptions!AI$2,TIAM15_assumptions!$Y$3:$Z$36,2,FALSE),TIAM15_assumptions!$H$2:$V$2,0))</f>
        <v>0.45342524249014599</v>
      </c>
      <c r="AJ6" s="39">
        <f ca="1">OFFSET(TIAM15_assumptions!$G6,0,MATCH(VLOOKUP(Assumptions!AJ$2,TIAM15_assumptions!$Y$3:$Z$36,2,FALSE),TIAM15_assumptions!$H$2:$V$2,0))</f>
        <v>2.4406421822616497E-2</v>
      </c>
      <c r="AK6" s="39">
        <f ca="1">OFFSET(TIAM15_assumptions!$G6,0,MATCH(VLOOKUP(Assumptions!AK$2,TIAM15_assumptions!$Y$3:$Z$36,2,FALSE),TIAM15_assumptions!$H$2:$V$2,0))</f>
        <v>2.4406421822616497E-2</v>
      </c>
      <c r="AN6" s="34">
        <f ca="1">IFERROR(SUMIFS('TRA balance'!E$5:E$40,'TRA balance'!$C$5:$C$40,Assumptions!$C6,'TRA balance'!$D$5:$D$40,Assumptions!$B6)*BS6*H6,"")</f>
        <v>0</v>
      </c>
      <c r="AO6" s="34">
        <f ca="1">IFERROR(SUMIFS('TRA balance'!F$5:F$40,'TRA balance'!$C$5:$C$40,Assumptions!$C6,'TRA balance'!$D$5:$D$40,Assumptions!$B6)*BT6*I6,"")</f>
        <v>0</v>
      </c>
      <c r="AP6" s="34">
        <f ca="1">IFERROR(SUMIFS('TRA balance'!G$5:G$40,'TRA balance'!$C$5:$C$40,Assumptions!$C6,'TRA balance'!$D$5:$D$40,Assumptions!$B6)*BU6*J6,"")</f>
        <v>0</v>
      </c>
      <c r="AQ6" s="34">
        <f ca="1">IFERROR(SUMIFS('TRA balance'!H$5:H$40,'TRA balance'!$C$5:$C$40,Assumptions!$C6,'TRA balance'!$D$5:$D$40,Assumptions!$B6)*BV6*K6,"")</f>
        <v>0</v>
      </c>
      <c r="AR6" s="34">
        <f ca="1">IFERROR(SUMIFS('TRA balance'!I$5:I$40,'TRA balance'!$C$5:$C$40,Assumptions!$C6,'TRA balance'!$D$5:$D$40,Assumptions!$B6)*BW6*L6,"")</f>
        <v>0</v>
      </c>
      <c r="AS6" s="34">
        <f ca="1">IFERROR(SUMIFS('TRA balance'!J$5:J$40,'TRA balance'!$C$5:$C$40,Assumptions!$C6,'TRA balance'!$D$5:$D$40,Assumptions!$B6)*BX6*M6,"")</f>
        <v>0</v>
      </c>
      <c r="AT6" s="34">
        <f ca="1">IFERROR(SUMIFS('TRA balance'!K$5:K$40,'TRA balance'!$C$5:$C$40,Assumptions!$C6,'TRA balance'!$D$5:$D$40,Assumptions!$B6)*BY6*N6,"")</f>
        <v>0</v>
      </c>
      <c r="AU6" s="34">
        <f ca="1">IFERROR(SUMIFS('TRA balance'!L$5:L$40,'TRA balance'!$C$5:$C$40,Assumptions!$C6,'TRA balance'!$D$5:$D$40,Assumptions!$B6)*BZ6*O6,"")</f>
        <v>0</v>
      </c>
      <c r="AV6" s="34">
        <f ca="1">IFERROR(SUMIFS('TRA balance'!M$5:M$40,'TRA balance'!$C$5:$C$40,Assumptions!$C6,'TRA balance'!$D$5:$D$40,Assumptions!$B6)*CA6*P6,"")</f>
        <v>0</v>
      </c>
      <c r="AW6" s="34">
        <f ca="1">IFERROR(SUMIFS('TRA balance'!N$5:N$40,'TRA balance'!$C$5:$C$40,Assumptions!$C6,'TRA balance'!$D$5:$D$40,Assumptions!$B6)*CB6*Q6,"")</f>
        <v>0</v>
      </c>
      <c r="AX6" s="34">
        <f ca="1">IFERROR(SUMIFS('TRA balance'!O$5:O$40,'TRA balance'!$C$5:$C$40,Assumptions!$C6,'TRA balance'!$D$5:$D$40,Assumptions!$B6)*CC6*R6,"")</f>
        <v>0</v>
      </c>
      <c r="AY6" s="34">
        <f ca="1">IFERROR(SUMIFS('TRA balance'!P$5:P$40,'TRA balance'!$C$5:$C$40,Assumptions!$C6,'TRA balance'!$D$5:$D$40,Assumptions!$B6)*CD6*S6,"")</f>
        <v>0</v>
      </c>
      <c r="AZ6" s="34">
        <f ca="1">IFERROR(SUMIFS('TRA balance'!Q$5:Q$40,'TRA balance'!$C$5:$C$40,Assumptions!$C6,'TRA balance'!$D$5:$D$40,Assumptions!$B6)*CE6*T6,"")</f>
        <v>0</v>
      </c>
      <c r="BA6" s="34">
        <f ca="1">IFERROR(SUMIFS('TRA balance'!R$5:R$40,'TRA balance'!$C$5:$C$40,Assumptions!$C6,'TRA balance'!$D$5:$D$40,Assumptions!$B6)*CF6*U6,"")</f>
        <v>0</v>
      </c>
      <c r="BB6" s="34">
        <f ca="1">IFERROR(SUMIFS('TRA balance'!S$5:S$40,'TRA balance'!$C$5:$C$40,Assumptions!$C6,'TRA balance'!$D$5:$D$40,Assumptions!$B6)*CG6*V6,"")</f>
        <v>0</v>
      </c>
      <c r="BC6" s="34">
        <f ca="1">IFERROR(SUMIFS('TRA balance'!T$5:T$40,'TRA balance'!$C$5:$C$40,Assumptions!$C6,'TRA balance'!$D$5:$D$40,Assumptions!$B6)*CH6*W6,"")</f>
        <v>0</v>
      </c>
      <c r="BD6" s="34">
        <f ca="1">IFERROR(SUMIFS('TRA balance'!U$5:U$40,'TRA balance'!$C$5:$C$40,Assumptions!$C6,'TRA balance'!$D$5:$D$40,Assumptions!$B6)*CI6*X6,"")</f>
        <v>0</v>
      </c>
      <c r="BE6" s="34">
        <f ca="1">IFERROR(SUMIFS('TRA balance'!V$5:V$40,'TRA balance'!$C$5:$C$40,Assumptions!$C6,'TRA balance'!$D$5:$D$40,Assumptions!$B6)*CJ6*Y6,"")</f>
        <v>0</v>
      </c>
      <c r="BF6" s="34">
        <f ca="1">IFERROR(SUMIFS('TRA balance'!W$5:W$40,'TRA balance'!$C$5:$C$40,Assumptions!$C6,'TRA balance'!$D$5:$D$40,Assumptions!$B6)*CK6*Z6,"")</f>
        <v>0</v>
      </c>
      <c r="BG6" s="34">
        <f ca="1">IFERROR(SUMIFS('TRA balance'!X$5:X$40,'TRA balance'!$C$5:$C$40,Assumptions!$C6,'TRA balance'!$D$5:$D$40,Assumptions!$B6)*CL6*AA6,"")</f>
        <v>0</v>
      </c>
      <c r="BH6" s="34">
        <f ca="1">IFERROR(SUMIFS('TRA balance'!Y$5:Y$40,'TRA balance'!$C$5:$C$40,Assumptions!$C6,'TRA balance'!$D$5:$D$40,Assumptions!$B6)*CM6*AB6,"")</f>
        <v>0</v>
      </c>
      <c r="BI6" s="34">
        <f ca="1">IFERROR(SUMIFS('TRA balance'!Z$5:Z$40,'TRA balance'!$C$5:$C$40,Assumptions!$C6,'TRA balance'!$D$5:$D$40,Assumptions!$B6)*CN6*AC6,"")</f>
        <v>0</v>
      </c>
      <c r="BJ6" s="34">
        <f ca="1">IFERROR(SUMIFS('TRA balance'!AA$5:AA$40,'TRA balance'!$C$5:$C$40,Assumptions!$C6,'TRA balance'!$D$5:$D$40,Assumptions!$B6)*CO6*AD6,"")</f>
        <v>0</v>
      </c>
      <c r="BK6" s="34">
        <f ca="1">IFERROR(SUMIFS('TRA balance'!AB$5:AB$40,'TRA balance'!$C$5:$C$40,Assumptions!$C6,'TRA balance'!$D$5:$D$40,Assumptions!$B6)*CP6*AE6,"")</f>
        <v>0</v>
      </c>
      <c r="BL6" s="34">
        <f ca="1">IFERROR(SUMIFS('TRA balance'!AC$5:AC$40,'TRA balance'!$C$5:$C$40,Assumptions!$C6,'TRA balance'!$D$5:$D$40,Assumptions!$B6)*CQ6*AF6,"")</f>
        <v>0</v>
      </c>
      <c r="BM6" s="34">
        <f ca="1">IFERROR(SUMIFS('TRA balance'!AD$5:AD$40,'TRA balance'!$C$5:$C$40,Assumptions!$C6,'TRA balance'!$D$5:$D$40,Assumptions!$B6)*CR6*AG6,"")</f>
        <v>0</v>
      </c>
      <c r="BN6" s="34">
        <f ca="1">IFERROR(SUMIFS('TRA balance'!AE$5:AE$40,'TRA balance'!$C$5:$C$40,Assumptions!$C6,'TRA balance'!$D$5:$D$40,Assumptions!$B6)*CS6*AH6,"")</f>
        <v>0</v>
      </c>
      <c r="BO6" s="34">
        <f ca="1">IFERROR(SUMIFS('TRA balance'!AF$5:AF$40,'TRA balance'!$C$5:$C$40,Assumptions!$C6,'TRA balance'!$D$5:$D$40,Assumptions!$B6)*CT6*AI6,"")</f>
        <v>0</v>
      </c>
      <c r="BP6" s="34">
        <f ca="1">IFERROR(SUMIFS('TRA balance'!AG$5:AG$40,'TRA balance'!$C$5:$C$40,Assumptions!$C6,'TRA balance'!$D$5:$D$40,Assumptions!$B6)*CU6*AJ6,"")</f>
        <v>0</v>
      </c>
      <c r="BQ6" s="34">
        <f ca="1">IFERROR(SUMIFS('TRA balance'!AH$5:AH$40,'TRA balance'!$C$5:$C$40,Assumptions!$C6,'TRA balance'!$D$5:$D$40,Assumptions!$B6)*CV6*AK6,"")</f>
        <v>0</v>
      </c>
      <c r="BS6" s="33">
        <f t="shared" si="16"/>
        <v>1</v>
      </c>
      <c r="BT6" s="33">
        <f t="shared" si="17"/>
        <v>1</v>
      </c>
      <c r="BU6" s="33">
        <f t="shared" si="18"/>
        <v>1</v>
      </c>
      <c r="BV6" s="33">
        <f t="shared" si="19"/>
        <v>1</v>
      </c>
      <c r="BW6" s="33">
        <f t="shared" si="20"/>
        <v>1</v>
      </c>
      <c r="BX6" s="33">
        <f t="shared" si="21"/>
        <v>1</v>
      </c>
      <c r="BY6" s="33">
        <f t="shared" si="22"/>
        <v>1</v>
      </c>
      <c r="BZ6" s="33">
        <f t="shared" si="23"/>
        <v>1</v>
      </c>
      <c r="CA6" s="33">
        <f t="shared" si="24"/>
        <v>1</v>
      </c>
      <c r="CB6" s="33">
        <f t="shared" si="25"/>
        <v>1</v>
      </c>
      <c r="CC6" s="33">
        <f t="shared" si="26"/>
        <v>1</v>
      </c>
      <c r="CD6" s="33">
        <f t="shared" si="27"/>
        <v>1</v>
      </c>
      <c r="CE6" s="33">
        <f t="shared" si="28"/>
        <v>1</v>
      </c>
      <c r="CF6" s="33">
        <f t="shared" si="29"/>
        <v>1</v>
      </c>
      <c r="CG6" s="33">
        <f t="shared" si="30"/>
        <v>1</v>
      </c>
      <c r="CH6" s="33">
        <f t="shared" si="31"/>
        <v>1</v>
      </c>
      <c r="CI6" s="33">
        <f t="shared" si="32"/>
        <v>1</v>
      </c>
      <c r="CJ6" s="33">
        <f t="shared" si="33"/>
        <v>1</v>
      </c>
      <c r="CK6" s="33">
        <f t="shared" si="34"/>
        <v>1</v>
      </c>
      <c r="CL6" s="33">
        <f t="shared" si="35"/>
        <v>1</v>
      </c>
      <c r="CM6" s="33">
        <f t="shared" si="36"/>
        <v>1</v>
      </c>
      <c r="CN6" s="33">
        <f t="shared" si="37"/>
        <v>1</v>
      </c>
      <c r="CO6" s="33">
        <f t="shared" si="38"/>
        <v>1</v>
      </c>
      <c r="CP6" s="33">
        <f t="shared" si="39"/>
        <v>1</v>
      </c>
      <c r="CQ6" s="33">
        <f t="shared" si="40"/>
        <v>1</v>
      </c>
      <c r="CR6" s="33">
        <f t="shared" si="41"/>
        <v>1</v>
      </c>
      <c r="CS6" s="33">
        <f t="shared" si="42"/>
        <v>1</v>
      </c>
      <c r="CT6" s="33">
        <f t="shared" si="43"/>
        <v>1</v>
      </c>
      <c r="CU6" s="33">
        <f t="shared" si="44"/>
        <v>1</v>
      </c>
      <c r="CV6" s="33">
        <f t="shared" si="45"/>
        <v>1</v>
      </c>
      <c r="CY6" t="s">
        <v>74</v>
      </c>
      <c r="CZ6">
        <v>15</v>
      </c>
    </row>
    <row r="7" spans="1:104" x14ac:dyDescent="0.45">
      <c r="A7">
        <v>1</v>
      </c>
      <c r="B7" t="str">
        <f>VLOOKUP(F7,'TRA balance'!$AK$5:$AL$14,2,FALSE)</f>
        <v>TRADST</v>
      </c>
      <c r="C7" s="6" t="str">
        <f t="shared" si="46"/>
        <v>TR</v>
      </c>
      <c r="D7" s="7" t="s">
        <v>16</v>
      </c>
      <c r="E7" s="18" t="s">
        <v>61</v>
      </c>
      <c r="F7" s="8" t="str">
        <f>F6</f>
        <v>Diesel</v>
      </c>
      <c r="G7" s="6" t="s">
        <v>62</v>
      </c>
      <c r="H7" s="9">
        <f ca="1">OFFSET(TIAM15_assumptions!$G7,0,MATCH(VLOOKUP(Assumptions!H$2,TIAM15_assumptions!$Y$3:$Z$36,2,FALSE),TIAM15_assumptions!$H$2:$V$2,0))</f>
        <v>0.5</v>
      </c>
      <c r="I7" s="9">
        <f ca="1">OFFSET(TIAM15_assumptions!$G7,0,MATCH(VLOOKUP(Assumptions!I$2,TIAM15_assumptions!$Y$3:$Z$36,2,FALSE),TIAM15_assumptions!$H$2:$V$2,0))</f>
        <v>0.5</v>
      </c>
      <c r="J7" s="9">
        <f ca="1">OFFSET(TIAM15_assumptions!$G7,0,MATCH(VLOOKUP(Assumptions!J$2,TIAM15_assumptions!$Y$3:$Z$36,2,FALSE),TIAM15_assumptions!$H$2:$V$2,0))</f>
        <v>0.3</v>
      </c>
      <c r="K7" s="9">
        <f ca="1">OFFSET(TIAM15_assumptions!$G7,0,MATCH(VLOOKUP(Assumptions!K$2,TIAM15_assumptions!$Y$3:$Z$36,2,FALSE),TIAM15_assumptions!$H$2:$V$2,0))</f>
        <v>0.51</v>
      </c>
      <c r="L7" s="9">
        <f ca="1">OFFSET(TIAM15_assumptions!$G7,0,MATCH(VLOOKUP(Assumptions!L$2,TIAM15_assumptions!$Y$3:$Z$36,2,FALSE),TIAM15_assumptions!$H$2:$V$2,0))</f>
        <v>0.46</v>
      </c>
      <c r="M7" s="9">
        <f ca="1">OFFSET(TIAM15_assumptions!$G7,0,MATCH(VLOOKUP(Assumptions!M$2,TIAM15_assumptions!$Y$3:$Z$36,2,FALSE),TIAM15_assumptions!$H$2:$V$2,0))</f>
        <v>0.34</v>
      </c>
      <c r="N7" s="9">
        <f ca="1">OFFSET(TIAM15_assumptions!$G7,0,MATCH(VLOOKUP(Assumptions!N$2,TIAM15_assumptions!$Y$3:$Z$36,2,FALSE),TIAM15_assumptions!$H$2:$V$2,0))</f>
        <v>0.3</v>
      </c>
      <c r="O7" s="9">
        <f ca="1">OFFSET(TIAM15_assumptions!$G7,0,MATCH(VLOOKUP(Assumptions!O$2,TIAM15_assumptions!$Y$3:$Z$36,2,FALSE),TIAM15_assumptions!$H$2:$V$2,0))</f>
        <v>0.3</v>
      </c>
      <c r="P7" s="9">
        <f ca="1">OFFSET(TIAM15_assumptions!$G7,0,MATCH(VLOOKUP(Assumptions!P$2,TIAM15_assumptions!$Y$3:$Z$36,2,FALSE),TIAM15_assumptions!$H$2:$V$2,0))</f>
        <v>0.4</v>
      </c>
      <c r="Q7" s="9">
        <f ca="1">OFFSET(TIAM15_assumptions!$G7,0,MATCH(VLOOKUP(Assumptions!Q$2,TIAM15_assumptions!$Y$3:$Z$36,2,FALSE),TIAM15_assumptions!$H$2:$V$2,0))</f>
        <v>0.2</v>
      </c>
      <c r="R7" s="9">
        <f ca="1">OFFSET(TIAM15_assumptions!$G7,0,MATCH(VLOOKUP(Assumptions!R$2,TIAM15_assumptions!$Y$3:$Z$36,2,FALSE),TIAM15_assumptions!$H$2:$V$2,0))</f>
        <v>0.8</v>
      </c>
      <c r="S7" s="9">
        <f ca="1">OFFSET(TIAM15_assumptions!$G7,0,MATCH(VLOOKUP(Assumptions!S$2,TIAM15_assumptions!$Y$3:$Z$36,2,FALSE),TIAM15_assumptions!$H$2:$V$2,0))</f>
        <v>0.51</v>
      </c>
      <c r="T7" s="9">
        <f ca="1">OFFSET(TIAM15_assumptions!$G7,0,MATCH(VLOOKUP(Assumptions!T$2,TIAM15_assumptions!$Y$3:$Z$36,2,FALSE),TIAM15_assumptions!$H$2:$V$2,0))</f>
        <v>0.8</v>
      </c>
      <c r="U7" s="9">
        <f ca="1">OFFSET(TIAM15_assumptions!$G7,0,MATCH(VLOOKUP(Assumptions!U$2,TIAM15_assumptions!$Y$3:$Z$36,2,FALSE),TIAM15_assumptions!$H$2:$V$2,0))</f>
        <v>0.8</v>
      </c>
      <c r="V7" s="9">
        <f ca="1">OFFSET(TIAM15_assumptions!$G7,0,MATCH(VLOOKUP(Assumptions!V$2,TIAM15_assumptions!$Y$3:$Z$36,2,FALSE),TIAM15_assumptions!$H$2:$V$2,0))</f>
        <v>0.51</v>
      </c>
      <c r="W7" s="9">
        <f ca="1">OFFSET(TIAM15_assumptions!$G7,0,MATCH(VLOOKUP(Assumptions!W$2,TIAM15_assumptions!$Y$3:$Z$36,2,FALSE),TIAM15_assumptions!$H$2:$V$2,0))</f>
        <v>0.8</v>
      </c>
      <c r="X7" s="9">
        <f ca="1">OFFSET(TIAM15_assumptions!$G7,0,MATCH(VLOOKUP(Assumptions!X$2,TIAM15_assumptions!$Y$3:$Z$36,2,FALSE),TIAM15_assumptions!$H$2:$V$2,0))</f>
        <v>0.2</v>
      </c>
      <c r="Y7" s="9">
        <f ca="1">OFFSET(TIAM15_assumptions!$G7,0,MATCH(VLOOKUP(Assumptions!Y$2,TIAM15_assumptions!$Y$3:$Z$36,2,FALSE),TIAM15_assumptions!$H$2:$V$2,0))</f>
        <v>0.8</v>
      </c>
      <c r="Z7" s="9">
        <f ca="1">OFFSET(TIAM15_assumptions!$G7,0,MATCH(VLOOKUP(Assumptions!Z$2,TIAM15_assumptions!$Y$3:$Z$36,2,FALSE),TIAM15_assumptions!$H$2:$V$2,0))</f>
        <v>0.8</v>
      </c>
      <c r="AA7" s="9">
        <f ca="1">OFFSET(TIAM15_assumptions!$G7,0,MATCH(VLOOKUP(Assumptions!AA$2,TIAM15_assumptions!$Y$3:$Z$36,2,FALSE),TIAM15_assumptions!$H$2:$V$2,0))</f>
        <v>0.4</v>
      </c>
      <c r="AB7" s="9">
        <f ca="1">OFFSET(TIAM15_assumptions!$G7,0,MATCH(VLOOKUP(Assumptions!AB$2,TIAM15_assumptions!$Y$3:$Z$36,2,FALSE),TIAM15_assumptions!$H$2:$V$2,0))</f>
        <v>0.3</v>
      </c>
      <c r="AC7" s="9">
        <f ca="1">OFFSET(TIAM15_assumptions!$G7,0,MATCH(VLOOKUP(Assumptions!AC$2,TIAM15_assumptions!$Y$3:$Z$36,2,FALSE),TIAM15_assumptions!$H$2:$V$2,0))</f>
        <v>0.7</v>
      </c>
      <c r="AD7" s="9">
        <f ca="1">OFFSET(TIAM15_assumptions!$G7,0,MATCH(VLOOKUP(Assumptions!AD$2,TIAM15_assumptions!$Y$3:$Z$36,2,FALSE),TIAM15_assumptions!$H$2:$V$2,0))</f>
        <v>0.2</v>
      </c>
      <c r="AE7" s="9">
        <f ca="1">OFFSET(TIAM15_assumptions!$G7,0,MATCH(VLOOKUP(Assumptions!AE$2,TIAM15_assumptions!$Y$3:$Z$36,2,FALSE),TIAM15_assumptions!$H$2:$V$2,0))</f>
        <v>0.8</v>
      </c>
      <c r="AF7" s="9">
        <f ca="1">OFFSET(TIAM15_assumptions!$G7,0,MATCH(VLOOKUP(Assumptions!AF$2,TIAM15_assumptions!$Y$3:$Z$36,2,FALSE),TIAM15_assumptions!$H$2:$V$2,0))</f>
        <v>0.51</v>
      </c>
      <c r="AG7" s="9">
        <f ca="1">OFFSET(TIAM15_assumptions!$G7,0,MATCH(VLOOKUP(Assumptions!AG$2,TIAM15_assumptions!$Y$3:$Z$36,2,FALSE),TIAM15_assumptions!$H$2:$V$2,0))</f>
        <v>0.2</v>
      </c>
      <c r="AH7" s="9">
        <f ca="1">OFFSET(TIAM15_assumptions!$G7,0,MATCH(VLOOKUP(Assumptions!AH$2,TIAM15_assumptions!$Y$3:$Z$36,2,FALSE),TIAM15_assumptions!$H$2:$V$2,0))</f>
        <v>0.5</v>
      </c>
      <c r="AI7" s="9">
        <f ca="1">OFFSET(TIAM15_assumptions!$G7,0,MATCH(VLOOKUP(Assumptions!AI$2,TIAM15_assumptions!$Y$3:$Z$36,2,FALSE),TIAM15_assumptions!$H$2:$V$2,0))</f>
        <v>0.8</v>
      </c>
      <c r="AJ7" s="9">
        <f ca="1">OFFSET(TIAM15_assumptions!$G7,0,MATCH(VLOOKUP(Assumptions!AJ$2,TIAM15_assumptions!$Y$3:$Z$36,2,FALSE),TIAM15_assumptions!$H$2:$V$2,0))</f>
        <v>0.39173710207873419</v>
      </c>
      <c r="AK7" s="9">
        <f ca="1">OFFSET(TIAM15_assumptions!$G7,0,MATCH(VLOOKUP(Assumptions!AK$2,TIAM15_assumptions!$Y$3:$Z$36,2,FALSE),TIAM15_assumptions!$H$2:$V$2,0))</f>
        <v>0.39173710207873419</v>
      </c>
      <c r="AN7" s="34">
        <f ca="1">IFERROR(SUMIFS('TRA balance'!E$5:E$40,'TRA balance'!$C$5:$C$40,Assumptions!$C7,'TRA balance'!$D$5:$D$40,Assumptions!$B7)*BS7*H7,"")</f>
        <v>55.6010274303</v>
      </c>
      <c r="AO7" s="34">
        <f ca="1">IFERROR(SUMIFS('TRA balance'!F$5:F$40,'TRA balance'!$C$5:$C$40,Assumptions!$C7,'TRA balance'!$D$5:$D$40,Assumptions!$B7)*BT7*I7,"")</f>
        <v>49.411381006080006</v>
      </c>
      <c r="AP7" s="34">
        <f ca="1">IFERROR(SUMIFS('TRA balance'!G$5:G$40,'TRA balance'!$C$5:$C$40,Assumptions!$C7,'TRA balance'!$D$5:$D$40,Assumptions!$B7)*BU7*J7,"")</f>
        <v>9.9543953887056009</v>
      </c>
      <c r="AQ7" s="34">
        <f ca="1">IFERROR(SUMIFS('TRA balance'!H$5:H$40,'TRA balance'!$C$5:$C$40,Assumptions!$C7,'TRA balance'!$D$5:$D$40,Assumptions!$B7)*BV7*K7,"")</f>
        <v>5.0189487151608008</v>
      </c>
      <c r="AR7" s="34">
        <f ca="1">IFERROR(SUMIFS('TRA balance'!I$5:I$40,'TRA balance'!$C$5:$C$40,Assumptions!$C7,'TRA balance'!$D$5:$D$40,Assumptions!$B7)*BW7*L7,"")</f>
        <v>39.454400289308403</v>
      </c>
      <c r="AS7" s="34">
        <f ca="1">IFERROR(SUMIFS('TRA balance'!J$5:J$40,'TRA balance'!$C$5:$C$40,Assumptions!$C7,'TRA balance'!$D$5:$D$40,Assumptions!$B7)*BX7*M7,"")</f>
        <v>77.149555669941137</v>
      </c>
      <c r="AT7" s="34">
        <f ca="1">IFERROR(SUMIFS('TRA balance'!K$5:K$40,'TRA balance'!$C$5:$C$40,Assumptions!$C7,'TRA balance'!$D$5:$D$40,Assumptions!$B7)*BY7*N7,"")</f>
        <v>4.0498692908615999</v>
      </c>
      <c r="AU7" s="34">
        <f ca="1">IFERROR(SUMIFS('TRA balance'!L$5:L$40,'TRA balance'!$C$5:$C$40,Assumptions!$C7,'TRA balance'!$D$5:$D$40,Assumptions!$B7)*BZ7*O7,"")</f>
        <v>30.155824193342404</v>
      </c>
      <c r="AV7" s="34">
        <f ca="1">IFERROR(SUMIFS('TRA balance'!M$5:M$40,'TRA balance'!$C$5:$C$40,Assumptions!$C7,'TRA balance'!$D$5:$D$40,Assumptions!$B7)*CA7*P7,"")</f>
        <v>5.1586725725568003</v>
      </c>
      <c r="AW7" s="34">
        <f ca="1">IFERROR(SUMIFS('TRA balance'!N$5:N$40,'TRA balance'!$C$5:$C$40,Assumptions!$C7,'TRA balance'!$D$5:$D$40,Assumptions!$B7)*CB7*Q7,"")</f>
        <v>79.241254412328004</v>
      </c>
      <c r="AX7" s="34">
        <f ca="1">IFERROR(SUMIFS('TRA balance'!O$5:O$40,'TRA balance'!$C$5:$C$40,Assumptions!$C7,'TRA balance'!$D$5:$D$40,Assumptions!$B7)*CC7*R7,"")</f>
        <v>116.97026024776083</v>
      </c>
      <c r="AY7" s="34">
        <f ca="1">IFERROR(SUMIFS('TRA balance'!P$5:P$40,'TRA balance'!$C$5:$C$40,Assumptions!$C7,'TRA balance'!$D$5:$D$40,Assumptions!$B7)*CD7*S7,"")</f>
        <v>220.04086536319008</v>
      </c>
      <c r="AZ7" s="34">
        <f ca="1">IFERROR(SUMIFS('TRA balance'!Q$5:Q$40,'TRA balance'!$C$5:$C$40,Assumptions!$C7,'TRA balance'!$D$5:$D$40,Assumptions!$B7)*CE7*T7,"")</f>
        <v>243.60790486308267</v>
      </c>
      <c r="BA7" s="34">
        <f ca="1">IFERROR(SUMIFS('TRA balance'!R$5:R$40,'TRA balance'!$C$5:$C$40,Assumptions!$C7,'TRA balance'!$D$5:$D$40,Assumptions!$B7)*CF7*U7,"")</f>
        <v>367.23553932226775</v>
      </c>
      <c r="BB7" s="34">
        <f ca="1">IFERROR(SUMIFS('TRA balance'!S$5:S$40,'TRA balance'!$C$5:$C$40,Assumptions!$C7,'TRA balance'!$D$5:$D$40,Assumptions!$B7)*CG7*V7,"")</f>
        <v>93.552692229442513</v>
      </c>
      <c r="BC7" s="34">
        <f ca="1">IFERROR(SUMIFS('TRA balance'!T$5:T$40,'TRA balance'!$C$5:$C$40,Assumptions!$C7,'TRA balance'!$D$5:$D$40,Assumptions!$B7)*CH7*W7,"")</f>
        <v>389.64909651534066</v>
      </c>
      <c r="BD7" s="34">
        <f ca="1">IFERROR(SUMIFS('TRA balance'!U$5:U$40,'TRA balance'!$C$5:$C$40,Assumptions!$C7,'TRA balance'!$D$5:$D$40,Assumptions!$B7)*CI7*X7,"")</f>
        <v>27.810211746528001</v>
      </c>
      <c r="BE7" s="34">
        <f ca="1">IFERROR(SUMIFS('TRA balance'!V$5:V$40,'TRA balance'!$C$5:$C$40,Assumptions!$C7,'TRA balance'!$D$5:$D$40,Assumptions!$B7)*CJ7*Y7,"")</f>
        <v>466.62903047276944</v>
      </c>
      <c r="BF7" s="34">
        <f ca="1">IFERROR(SUMIFS('TRA balance'!W$5:W$40,'TRA balance'!$C$5:$C$40,Assumptions!$C7,'TRA balance'!$D$5:$D$40,Assumptions!$B7)*CK7*Z7,"")</f>
        <v>503.94450395361076</v>
      </c>
      <c r="BG7" s="34">
        <f ca="1">IFERROR(SUMIFS('TRA balance'!X$5:X$40,'TRA balance'!$C$5:$C$40,Assumptions!$C7,'TRA balance'!$D$5:$D$40,Assumptions!$B7)*CL7*AA7,"")</f>
        <v>243.36589206996001</v>
      </c>
      <c r="BH7" s="34">
        <f ca="1">IFERROR(SUMIFS('TRA balance'!Y$5:Y$40,'TRA balance'!$C$5:$C$40,Assumptions!$C7,'TRA balance'!$D$5:$D$40,Assumptions!$B7)*CM7*AB7,"")</f>
        <v>21.007331299583999</v>
      </c>
      <c r="BI7" s="34">
        <f ca="1">IFERROR(SUMIFS('TRA balance'!Z$5:Z$40,'TRA balance'!$C$5:$C$40,Assumptions!$C7,'TRA balance'!$D$5:$D$40,Assumptions!$B7)*CN7*AC7,"")</f>
        <v>54.304501032432</v>
      </c>
      <c r="BJ7" s="34">
        <f ca="1">IFERROR(SUMIFS('TRA balance'!AA$5:AA$40,'TRA balance'!$C$5:$C$40,Assumptions!$C7,'TRA balance'!$D$5:$D$40,Assumptions!$B7)*CO7*AD7,"")</f>
        <v>29.955318559056003</v>
      </c>
      <c r="BK7" s="34">
        <f ca="1">IFERROR(SUMIFS('TRA balance'!AB$5:AB$40,'TRA balance'!$C$5:$C$40,Assumptions!$C7,'TRA balance'!$D$5:$D$40,Assumptions!$B7)*CP7*AE7,"")</f>
        <v>34.933606183148314</v>
      </c>
      <c r="BL7" s="34">
        <f ca="1">IFERROR(SUMIFS('TRA balance'!AC$5:AC$40,'TRA balance'!$C$5:$C$40,Assumptions!$C7,'TRA balance'!$D$5:$D$40,Assumptions!$B7)*CQ7*AF7,"")</f>
        <v>15.720738013582203</v>
      </c>
      <c r="BM7" s="34">
        <f ca="1">IFERROR(SUMIFS('TRA balance'!AD$5:AD$40,'TRA balance'!$C$5:$C$40,Assumptions!$C7,'TRA balance'!$D$5:$D$40,Assumptions!$B7)*CR7*AG7,"")</f>
        <v>17.03597448168</v>
      </c>
      <c r="BN7" s="34">
        <f ca="1">IFERROR(SUMIFS('TRA balance'!AE$5:AE$40,'TRA balance'!$C$5:$C$40,Assumptions!$C7,'TRA balance'!$D$5:$D$40,Assumptions!$B7)*CS7*AH7,"")</f>
        <v>17.356409544959998</v>
      </c>
      <c r="BO7" s="34">
        <f ca="1">IFERROR(SUMIFS('TRA balance'!AF$5:AF$40,'TRA balance'!$C$5:$C$40,Assumptions!$C7,'TRA balance'!$D$5:$D$40,Assumptions!$B7)*CT7*AI7,"")</f>
        <v>369.96894488747523</v>
      </c>
      <c r="BP7" s="34">
        <f ca="1">IFERROR(SUMIFS('TRA balance'!AG$5:AG$40,'TRA balance'!$C$5:$C$40,Assumptions!$C7,'TRA balance'!$D$5:$D$40,Assumptions!$B7)*CU7*AJ7,"")</f>
        <v>49.125116894179818</v>
      </c>
      <c r="BQ7" s="34">
        <f ca="1">IFERROR(SUMIFS('TRA balance'!AH$5:AH$40,'TRA balance'!$C$5:$C$40,Assumptions!$C7,'TRA balance'!$D$5:$D$40,Assumptions!$B7)*CV7*AK7,"")</f>
        <v>0</v>
      </c>
      <c r="BS7" s="33">
        <f t="shared" ca="1" si="16"/>
        <v>0.1</v>
      </c>
      <c r="BT7" s="33">
        <f t="shared" ca="1" si="17"/>
        <v>0.1</v>
      </c>
      <c r="BU7" s="33">
        <f t="shared" ca="1" si="18"/>
        <v>7.0000000000000007E-2</v>
      </c>
      <c r="BV7" s="33">
        <f t="shared" ca="1" si="19"/>
        <v>0.05</v>
      </c>
      <c r="BW7" s="33">
        <f t="shared" ca="1" si="20"/>
        <v>0.05</v>
      </c>
      <c r="BX7" s="33">
        <f t="shared" ca="1" si="21"/>
        <v>0.08</v>
      </c>
      <c r="BY7" s="33">
        <f t="shared" ca="1" si="22"/>
        <v>0.02</v>
      </c>
      <c r="BZ7" s="33">
        <f t="shared" ca="1" si="23"/>
        <v>7.0000000000000007E-2</v>
      </c>
      <c r="CA7" s="33">
        <f t="shared" ca="1" si="24"/>
        <v>0.02</v>
      </c>
      <c r="CB7" s="33">
        <f t="shared" ca="1" si="25"/>
        <v>0.1</v>
      </c>
      <c r="CC7" s="33">
        <f t="shared" ca="1" si="26"/>
        <v>0.45342524249014599</v>
      </c>
      <c r="CD7" s="33">
        <f t="shared" ca="1" si="27"/>
        <v>0.35051309933039143</v>
      </c>
      <c r="CE7" s="33">
        <f t="shared" ca="1" si="28"/>
        <v>0.45342524249014599</v>
      </c>
      <c r="CF7" s="33">
        <f t="shared" ca="1" si="29"/>
        <v>0.45342524249014599</v>
      </c>
      <c r="CG7" s="33">
        <f t="shared" ca="1" si="30"/>
        <v>0.35051309933039143</v>
      </c>
      <c r="CH7" s="33">
        <f t="shared" ca="1" si="31"/>
        <v>0.45342524249014599</v>
      </c>
      <c r="CI7" s="33">
        <f t="shared" ca="1" si="32"/>
        <v>0.1</v>
      </c>
      <c r="CJ7" s="33">
        <f t="shared" ca="1" si="33"/>
        <v>0.45342524249014599</v>
      </c>
      <c r="CK7" s="33">
        <f t="shared" ca="1" si="34"/>
        <v>0.45342524249014599</v>
      </c>
      <c r="CL7" s="33">
        <f t="shared" ca="1" si="35"/>
        <v>0.25</v>
      </c>
      <c r="CM7" s="33">
        <f t="shared" ca="1" si="36"/>
        <v>7.0000000000000007E-2</v>
      </c>
      <c r="CN7" s="33">
        <f t="shared" ca="1" si="37"/>
        <v>0.15</v>
      </c>
      <c r="CO7" s="33">
        <f t="shared" ca="1" si="38"/>
        <v>0.1</v>
      </c>
      <c r="CP7" s="33">
        <f t="shared" ca="1" si="39"/>
        <v>0.45342524249014599</v>
      </c>
      <c r="CQ7" s="33">
        <f t="shared" ca="1" si="40"/>
        <v>0.05</v>
      </c>
      <c r="CR7" s="33">
        <f t="shared" ca="1" si="41"/>
        <v>0.1</v>
      </c>
      <c r="CS7" s="33">
        <f t="shared" ca="1" si="42"/>
        <v>0.1</v>
      </c>
      <c r="CT7" s="33">
        <f t="shared" ca="1" si="43"/>
        <v>0.45342524249014599</v>
      </c>
      <c r="CU7" s="33">
        <f t="shared" ca="1" si="44"/>
        <v>2.4406421822616497E-2</v>
      </c>
      <c r="CV7" s="33">
        <f t="shared" ca="1" si="45"/>
        <v>2.4406421822616497E-2</v>
      </c>
      <c r="CY7" t="s">
        <v>64</v>
      </c>
      <c r="CZ7">
        <v>12</v>
      </c>
    </row>
    <row r="8" spans="1:104" x14ac:dyDescent="0.45">
      <c r="A8">
        <v>1</v>
      </c>
      <c r="B8" t="str">
        <f>VLOOKUP(F8,'TRA balance'!$AK$5:$AL$14,2,FALSE)</f>
        <v>TRADST</v>
      </c>
      <c r="C8" s="6" t="str">
        <f t="shared" si="46"/>
        <v>TR</v>
      </c>
      <c r="D8" s="7" t="s">
        <v>16</v>
      </c>
      <c r="E8" s="18" t="s">
        <v>63</v>
      </c>
      <c r="F8" s="8" t="str">
        <f t="shared" ref="F8:F11" si="52">F7</f>
        <v>Diesel</v>
      </c>
      <c r="G8" s="6" t="s">
        <v>64</v>
      </c>
      <c r="H8" s="9">
        <f ca="1">OFFSET(TIAM15_assumptions!$G8,0,MATCH(VLOOKUP(Assumptions!H$2,TIAM15_assumptions!$Y$3:$Z$36,2,FALSE),TIAM15_assumptions!$H$2:$V$2,0))</f>
        <v>0.5</v>
      </c>
      <c r="I8" s="9">
        <f ca="1">OFFSET(TIAM15_assumptions!$G8,0,MATCH(VLOOKUP(Assumptions!I$2,TIAM15_assumptions!$Y$3:$Z$36,2,FALSE),TIAM15_assumptions!$H$2:$V$2,0))</f>
        <v>0.5</v>
      </c>
      <c r="J8" s="9">
        <f ca="1">OFFSET(TIAM15_assumptions!$G8,0,MATCH(VLOOKUP(Assumptions!J$2,TIAM15_assumptions!$Y$3:$Z$36,2,FALSE),TIAM15_assumptions!$H$2:$V$2,0))</f>
        <v>0.69</v>
      </c>
      <c r="K8" s="9">
        <f ca="1">OFFSET(TIAM15_assumptions!$G8,0,MATCH(VLOOKUP(Assumptions!K$2,TIAM15_assumptions!$Y$3:$Z$36,2,FALSE),TIAM15_assumptions!$H$2:$V$2,0))</f>
        <v>0.49</v>
      </c>
      <c r="L8" s="9">
        <f ca="1">OFFSET(TIAM15_assumptions!$G8,0,MATCH(VLOOKUP(Assumptions!L$2,TIAM15_assumptions!$Y$3:$Z$36,2,FALSE),TIAM15_assumptions!$H$2:$V$2,0))</f>
        <v>0.53</v>
      </c>
      <c r="M8" s="9">
        <f ca="1">OFFSET(TIAM15_assumptions!$G8,0,MATCH(VLOOKUP(Assumptions!M$2,TIAM15_assumptions!$Y$3:$Z$36,2,FALSE),TIAM15_assumptions!$H$2:$V$2,0))</f>
        <v>0.66</v>
      </c>
      <c r="N8" s="9">
        <f ca="1">OFFSET(TIAM15_assumptions!$G8,0,MATCH(VLOOKUP(Assumptions!N$2,TIAM15_assumptions!$Y$3:$Z$36,2,FALSE),TIAM15_assumptions!$H$2:$V$2,0))</f>
        <v>0.7</v>
      </c>
      <c r="O8" s="9">
        <f ca="1">OFFSET(TIAM15_assumptions!$G8,0,MATCH(VLOOKUP(Assumptions!O$2,TIAM15_assumptions!$Y$3:$Z$36,2,FALSE),TIAM15_assumptions!$H$2:$V$2,0))</f>
        <v>0.69</v>
      </c>
      <c r="P8" s="9">
        <f ca="1">OFFSET(TIAM15_assumptions!$G8,0,MATCH(VLOOKUP(Assumptions!P$2,TIAM15_assumptions!$Y$3:$Z$36,2,FALSE),TIAM15_assumptions!$H$2:$V$2,0))</f>
        <v>0.6</v>
      </c>
      <c r="Q8" s="9">
        <f ca="1">OFFSET(TIAM15_assumptions!$G8,0,MATCH(VLOOKUP(Assumptions!Q$2,TIAM15_assumptions!$Y$3:$Z$36,2,FALSE),TIAM15_assumptions!$H$2:$V$2,0))</f>
        <v>0.2</v>
      </c>
      <c r="R8" s="9">
        <f ca="1">OFFSET(TIAM15_assumptions!$G8,0,MATCH(VLOOKUP(Assumptions!R$2,TIAM15_assumptions!$Y$3:$Z$36,2,FALSE),TIAM15_assumptions!$H$2:$V$2,0))</f>
        <v>0.2</v>
      </c>
      <c r="S8" s="9">
        <f ca="1">OFFSET(TIAM15_assumptions!$G8,0,MATCH(VLOOKUP(Assumptions!S$2,TIAM15_assumptions!$Y$3:$Z$36,2,FALSE),TIAM15_assumptions!$H$2:$V$2,0))</f>
        <v>0.49</v>
      </c>
      <c r="T8" s="9">
        <f ca="1">OFFSET(TIAM15_assumptions!$G8,0,MATCH(VLOOKUP(Assumptions!T$2,TIAM15_assumptions!$Y$3:$Z$36,2,FALSE),TIAM15_assumptions!$H$2:$V$2,0))</f>
        <v>0.2</v>
      </c>
      <c r="U8" s="9">
        <f ca="1">OFFSET(TIAM15_assumptions!$G8,0,MATCH(VLOOKUP(Assumptions!U$2,TIAM15_assumptions!$Y$3:$Z$36,2,FALSE),TIAM15_assumptions!$H$2:$V$2,0))</f>
        <v>0.2</v>
      </c>
      <c r="V8" s="9">
        <f ca="1">OFFSET(TIAM15_assumptions!$G8,0,MATCH(VLOOKUP(Assumptions!V$2,TIAM15_assumptions!$Y$3:$Z$36,2,FALSE),TIAM15_assumptions!$H$2:$V$2,0))</f>
        <v>0.49</v>
      </c>
      <c r="W8" s="9">
        <f ca="1">OFFSET(TIAM15_assumptions!$G8,0,MATCH(VLOOKUP(Assumptions!W$2,TIAM15_assumptions!$Y$3:$Z$36,2,FALSE),TIAM15_assumptions!$H$2:$V$2,0))</f>
        <v>0.2</v>
      </c>
      <c r="X8" s="9">
        <f ca="1">OFFSET(TIAM15_assumptions!$G8,0,MATCH(VLOOKUP(Assumptions!X$2,TIAM15_assumptions!$Y$3:$Z$36,2,FALSE),TIAM15_assumptions!$H$2:$V$2,0))</f>
        <v>0.8</v>
      </c>
      <c r="Y8" s="9">
        <f ca="1">OFFSET(TIAM15_assumptions!$G8,0,MATCH(VLOOKUP(Assumptions!Y$2,TIAM15_assumptions!$Y$3:$Z$36,2,FALSE),TIAM15_assumptions!$H$2:$V$2,0))</f>
        <v>0.2</v>
      </c>
      <c r="Z8" s="9">
        <f ca="1">OFFSET(TIAM15_assumptions!$G8,0,MATCH(VLOOKUP(Assumptions!Z$2,TIAM15_assumptions!$Y$3:$Z$36,2,FALSE),TIAM15_assumptions!$H$2:$V$2,0))</f>
        <v>0.2</v>
      </c>
      <c r="AA8" s="9">
        <f ca="1">OFFSET(TIAM15_assumptions!$G8,0,MATCH(VLOOKUP(Assumptions!AA$2,TIAM15_assumptions!$Y$3:$Z$36,2,FALSE),TIAM15_assumptions!$H$2:$V$2,0))</f>
        <v>0.35</v>
      </c>
      <c r="AB8" s="9">
        <f ca="1">OFFSET(TIAM15_assumptions!$G8,0,MATCH(VLOOKUP(Assumptions!AB$2,TIAM15_assumptions!$Y$3:$Z$36,2,FALSE),TIAM15_assumptions!$H$2:$V$2,0))</f>
        <v>0.69</v>
      </c>
      <c r="AC8" s="9">
        <f ca="1">OFFSET(TIAM15_assumptions!$G8,0,MATCH(VLOOKUP(Assumptions!AC$2,TIAM15_assumptions!$Y$3:$Z$36,2,FALSE),TIAM15_assumptions!$H$2:$V$2,0))</f>
        <v>0.30000000000000004</v>
      </c>
      <c r="AD8" s="9">
        <f ca="1">OFFSET(TIAM15_assumptions!$G8,0,MATCH(VLOOKUP(Assumptions!AD$2,TIAM15_assumptions!$Y$3:$Z$36,2,FALSE),TIAM15_assumptions!$H$2:$V$2,0))</f>
        <v>0.8</v>
      </c>
      <c r="AE8" s="9">
        <f ca="1">OFFSET(TIAM15_assumptions!$G8,0,MATCH(VLOOKUP(Assumptions!AE$2,TIAM15_assumptions!$Y$3:$Z$36,2,FALSE),TIAM15_assumptions!$H$2:$V$2,0))</f>
        <v>0.2</v>
      </c>
      <c r="AF8" s="9">
        <f ca="1">OFFSET(TIAM15_assumptions!$G8,0,MATCH(VLOOKUP(Assumptions!AF$2,TIAM15_assumptions!$Y$3:$Z$36,2,FALSE),TIAM15_assumptions!$H$2:$V$2,0))</f>
        <v>0.49</v>
      </c>
      <c r="AG8" s="9">
        <f ca="1">OFFSET(TIAM15_assumptions!$G8,0,MATCH(VLOOKUP(Assumptions!AG$2,TIAM15_assumptions!$Y$3:$Z$36,2,FALSE),TIAM15_assumptions!$H$2:$V$2,0))</f>
        <v>0.8</v>
      </c>
      <c r="AH8" s="9">
        <f ca="1">OFFSET(TIAM15_assumptions!$G8,0,MATCH(VLOOKUP(Assumptions!AH$2,TIAM15_assumptions!$Y$3:$Z$36,2,FALSE),TIAM15_assumptions!$H$2:$V$2,0))</f>
        <v>0.5</v>
      </c>
      <c r="AI8" s="9">
        <f ca="1">OFFSET(TIAM15_assumptions!$G8,0,MATCH(VLOOKUP(Assumptions!AI$2,TIAM15_assumptions!$Y$3:$Z$36,2,FALSE),TIAM15_assumptions!$H$2:$V$2,0))</f>
        <v>0.2</v>
      </c>
      <c r="AJ8" s="9">
        <f ca="1">OFFSET(TIAM15_assumptions!$G8,0,MATCH(VLOOKUP(Assumptions!AJ$2,TIAM15_assumptions!$Y$3:$Z$36,2,FALSE),TIAM15_assumptions!$H$2:$V$2,0))</f>
        <v>0.60826289792126587</v>
      </c>
      <c r="AK8" s="9">
        <f ca="1">OFFSET(TIAM15_assumptions!$G8,0,MATCH(VLOOKUP(Assumptions!AK$2,TIAM15_assumptions!$Y$3:$Z$36,2,FALSE),TIAM15_assumptions!$H$2:$V$2,0))</f>
        <v>0.60826289792126587</v>
      </c>
      <c r="AN8" s="34">
        <f ca="1">IFERROR(SUMIFS('TRA balance'!E$5:E$40,'TRA balance'!$C$5:$C$40,Assumptions!$C8,'TRA balance'!$D$5:$D$40,Assumptions!$B8)*BS8*H8,"")</f>
        <v>55.6010274303</v>
      </c>
      <c r="AO8" s="34">
        <f ca="1">IFERROR(SUMIFS('TRA balance'!F$5:F$40,'TRA balance'!$C$5:$C$40,Assumptions!$C8,'TRA balance'!$D$5:$D$40,Assumptions!$B8)*BT8*I8,"")</f>
        <v>49.411381006080006</v>
      </c>
      <c r="AP8" s="34">
        <f ca="1">IFERROR(SUMIFS('TRA balance'!G$5:G$40,'TRA balance'!$C$5:$C$40,Assumptions!$C8,'TRA balance'!$D$5:$D$40,Assumptions!$B8)*BU8*J8,"")</f>
        <v>22.895109394022882</v>
      </c>
      <c r="AQ8" s="34">
        <f ca="1">IFERROR(SUMIFS('TRA balance'!H$5:H$40,'TRA balance'!$C$5:$C$40,Assumptions!$C8,'TRA balance'!$D$5:$D$40,Assumptions!$B8)*BV8*K8,"")</f>
        <v>4.8221271969192001</v>
      </c>
      <c r="AR8" s="34">
        <f ca="1">IFERROR(SUMIFS('TRA balance'!I$5:I$40,'TRA balance'!$C$5:$C$40,Assumptions!$C8,'TRA balance'!$D$5:$D$40,Assumptions!$B8)*BW8*L8,"")</f>
        <v>45.458330768116205</v>
      </c>
      <c r="AS8" s="34">
        <f ca="1">IFERROR(SUMIFS('TRA balance'!J$5:J$40,'TRA balance'!$C$5:$C$40,Assumptions!$C8,'TRA balance'!$D$5:$D$40,Assumptions!$B8)*BX8*M8,"")</f>
        <v>149.7609021828269</v>
      </c>
      <c r="AT8" s="34">
        <f ca="1">IFERROR(SUMIFS('TRA balance'!K$5:K$40,'TRA balance'!$C$5:$C$40,Assumptions!$C8,'TRA balance'!$D$5:$D$40,Assumptions!$B8)*BY8*N8,"")</f>
        <v>9.4496950120104</v>
      </c>
      <c r="AU8" s="34">
        <f ca="1">IFERROR(SUMIFS('TRA balance'!L$5:L$40,'TRA balance'!$C$5:$C$40,Assumptions!$C8,'TRA balance'!$D$5:$D$40,Assumptions!$B8)*BZ8*O8,"")</f>
        <v>69.358395644687519</v>
      </c>
      <c r="AV8" s="34">
        <f ca="1">IFERROR(SUMIFS('TRA balance'!M$5:M$40,'TRA balance'!$C$5:$C$40,Assumptions!$C8,'TRA balance'!$D$5:$D$40,Assumptions!$B8)*CA8*P8,"")</f>
        <v>7.7380088588352001</v>
      </c>
      <c r="AW8" s="34">
        <f ca="1">IFERROR(SUMIFS('TRA balance'!N$5:N$40,'TRA balance'!$C$5:$C$40,Assumptions!$C8,'TRA balance'!$D$5:$D$40,Assumptions!$B8)*CB8*Q8,"")</f>
        <v>79.241254412328004</v>
      </c>
      <c r="AX8" s="34">
        <f ca="1">IFERROR(SUMIFS('TRA balance'!O$5:O$40,'TRA balance'!$C$5:$C$40,Assumptions!$C8,'TRA balance'!$D$5:$D$40,Assumptions!$B8)*CC8*R8,"")</f>
        <v>29.242565061940208</v>
      </c>
      <c r="AY8" s="34">
        <f ca="1">IFERROR(SUMIFS('TRA balance'!P$5:P$40,'TRA balance'!$C$5:$C$40,Assumptions!$C8,'TRA balance'!$D$5:$D$40,Assumptions!$B8)*CD8*S8,"")</f>
        <v>211.41181181953559</v>
      </c>
      <c r="AZ8" s="34">
        <f ca="1">IFERROR(SUMIFS('TRA balance'!Q$5:Q$40,'TRA balance'!$C$5:$C$40,Assumptions!$C8,'TRA balance'!$D$5:$D$40,Assumptions!$B8)*CE8*T8,"")</f>
        <v>60.901976215770667</v>
      </c>
      <c r="BA8" s="34">
        <f ca="1">IFERROR(SUMIFS('TRA balance'!R$5:R$40,'TRA balance'!$C$5:$C$40,Assumptions!$C8,'TRA balance'!$D$5:$D$40,Assumptions!$B8)*CF8*U8,"")</f>
        <v>91.808884830566939</v>
      </c>
      <c r="BB8" s="34">
        <f ca="1">IFERROR(SUMIFS('TRA balance'!S$5:S$40,'TRA balance'!$C$5:$C$40,Assumptions!$C8,'TRA balance'!$D$5:$D$40,Assumptions!$B8)*CG8*V8,"")</f>
        <v>89.883959200836912</v>
      </c>
      <c r="BC8" s="34">
        <f ca="1">IFERROR(SUMIFS('TRA balance'!T$5:T$40,'TRA balance'!$C$5:$C$40,Assumptions!$C8,'TRA balance'!$D$5:$D$40,Assumptions!$B8)*CH8*W8,"")</f>
        <v>97.412274128835165</v>
      </c>
      <c r="BD8" s="34">
        <f ca="1">IFERROR(SUMIFS('TRA balance'!U$5:U$40,'TRA balance'!$C$5:$C$40,Assumptions!$C8,'TRA balance'!$D$5:$D$40,Assumptions!$B8)*CI8*X8,"")</f>
        <v>111.240846986112</v>
      </c>
      <c r="BE8" s="34">
        <f ca="1">IFERROR(SUMIFS('TRA balance'!V$5:V$40,'TRA balance'!$C$5:$C$40,Assumptions!$C8,'TRA balance'!$D$5:$D$40,Assumptions!$B8)*CJ8*Y8,"")</f>
        <v>116.65725761819236</v>
      </c>
      <c r="BF8" s="34">
        <f ca="1">IFERROR(SUMIFS('TRA balance'!W$5:W$40,'TRA balance'!$C$5:$C$40,Assumptions!$C8,'TRA balance'!$D$5:$D$40,Assumptions!$B8)*CK8*Z8,"")</f>
        <v>125.98612598840269</v>
      </c>
      <c r="BG8" s="34">
        <f ca="1">IFERROR(SUMIFS('TRA balance'!X$5:X$40,'TRA balance'!$C$5:$C$40,Assumptions!$C8,'TRA balance'!$D$5:$D$40,Assumptions!$B8)*CL8*AA8,"")</f>
        <v>212.94515556121499</v>
      </c>
      <c r="BH8" s="34">
        <f ca="1">IFERROR(SUMIFS('TRA balance'!Y$5:Y$40,'TRA balance'!$C$5:$C$40,Assumptions!$C8,'TRA balance'!$D$5:$D$40,Assumptions!$B8)*CM8*AB8,"")</f>
        <v>48.316861989043197</v>
      </c>
      <c r="BI8" s="34">
        <f ca="1">IFERROR(SUMIFS('TRA balance'!Z$5:Z$40,'TRA balance'!$C$5:$C$40,Assumptions!$C8,'TRA balance'!$D$5:$D$40,Assumptions!$B8)*CN8*AC8,"")</f>
        <v>23.273357585328004</v>
      </c>
      <c r="BJ8" s="34">
        <f ca="1">IFERROR(SUMIFS('TRA balance'!AA$5:AA$40,'TRA balance'!$C$5:$C$40,Assumptions!$C8,'TRA balance'!$D$5:$D$40,Assumptions!$B8)*CO8*AD8,"")</f>
        <v>119.82127423622401</v>
      </c>
      <c r="BK8" s="34">
        <f ca="1">IFERROR(SUMIFS('TRA balance'!AB$5:AB$40,'TRA balance'!$C$5:$C$40,Assumptions!$C8,'TRA balance'!$D$5:$D$40,Assumptions!$B8)*CP8*AE8,"")</f>
        <v>8.7334015457870784</v>
      </c>
      <c r="BL8" s="34">
        <f ca="1">IFERROR(SUMIFS('TRA balance'!AC$5:AC$40,'TRA balance'!$C$5:$C$40,Assumptions!$C8,'TRA balance'!$D$5:$D$40,Assumptions!$B8)*CQ8*AF8,"")</f>
        <v>15.104238483637801</v>
      </c>
      <c r="BM8" s="34">
        <f ca="1">IFERROR(SUMIFS('TRA balance'!AD$5:AD$40,'TRA balance'!$C$5:$C$40,Assumptions!$C8,'TRA balance'!$D$5:$D$40,Assumptions!$B8)*CR8*AG8,"")</f>
        <v>68.143897926720001</v>
      </c>
      <c r="BN8" s="34">
        <f ca="1">IFERROR(SUMIFS('TRA balance'!AE$5:AE$40,'TRA balance'!$C$5:$C$40,Assumptions!$C8,'TRA balance'!$D$5:$D$40,Assumptions!$B8)*CS8*AH8,"")</f>
        <v>17.356409544959998</v>
      </c>
      <c r="BO8" s="34">
        <f ca="1">IFERROR(SUMIFS('TRA balance'!AF$5:AF$40,'TRA balance'!$C$5:$C$40,Assumptions!$C8,'TRA balance'!$D$5:$D$40,Assumptions!$B8)*CT8*AI8,"")</f>
        <v>92.492236221868808</v>
      </c>
      <c r="BP8" s="34">
        <f ca="1">IFERROR(SUMIFS('TRA balance'!AG$5:AG$40,'TRA balance'!$C$5:$C$40,Assumptions!$C8,'TRA balance'!$D$5:$D$40,Assumptions!$B8)*CU8*AJ8,"")</f>
        <v>76.27816156348922</v>
      </c>
      <c r="BQ8" s="34">
        <f ca="1">IFERROR(SUMIFS('TRA balance'!AH$5:AH$40,'TRA balance'!$C$5:$C$40,Assumptions!$C8,'TRA balance'!$D$5:$D$40,Assumptions!$B8)*CV8*AK8,"")</f>
        <v>0</v>
      </c>
      <c r="BS8" s="33">
        <f t="shared" ca="1" si="16"/>
        <v>0.1</v>
      </c>
      <c r="BT8" s="33">
        <f t="shared" ca="1" si="17"/>
        <v>0.1</v>
      </c>
      <c r="BU8" s="33">
        <f t="shared" ca="1" si="18"/>
        <v>7.0000000000000007E-2</v>
      </c>
      <c r="BV8" s="33">
        <f t="shared" ca="1" si="19"/>
        <v>0.05</v>
      </c>
      <c r="BW8" s="33">
        <f t="shared" ca="1" si="20"/>
        <v>0.05</v>
      </c>
      <c r="BX8" s="33">
        <f t="shared" ca="1" si="21"/>
        <v>0.08</v>
      </c>
      <c r="BY8" s="33">
        <f t="shared" ca="1" si="22"/>
        <v>0.02</v>
      </c>
      <c r="BZ8" s="33">
        <f t="shared" ca="1" si="23"/>
        <v>7.0000000000000007E-2</v>
      </c>
      <c r="CA8" s="33">
        <f t="shared" ca="1" si="24"/>
        <v>0.02</v>
      </c>
      <c r="CB8" s="33">
        <f t="shared" ca="1" si="25"/>
        <v>0.1</v>
      </c>
      <c r="CC8" s="33">
        <f t="shared" ca="1" si="26"/>
        <v>0.45342524249014599</v>
      </c>
      <c r="CD8" s="33">
        <f t="shared" ca="1" si="27"/>
        <v>0.35051309933039143</v>
      </c>
      <c r="CE8" s="33">
        <f t="shared" ca="1" si="28"/>
        <v>0.45342524249014599</v>
      </c>
      <c r="CF8" s="33">
        <f t="shared" ca="1" si="29"/>
        <v>0.45342524249014599</v>
      </c>
      <c r="CG8" s="33">
        <f t="shared" ca="1" si="30"/>
        <v>0.35051309933039143</v>
      </c>
      <c r="CH8" s="33">
        <f t="shared" ca="1" si="31"/>
        <v>0.45342524249014599</v>
      </c>
      <c r="CI8" s="33">
        <f t="shared" ca="1" si="32"/>
        <v>0.1</v>
      </c>
      <c r="CJ8" s="33">
        <f t="shared" ca="1" si="33"/>
        <v>0.45342524249014599</v>
      </c>
      <c r="CK8" s="33">
        <f t="shared" ca="1" si="34"/>
        <v>0.45342524249014599</v>
      </c>
      <c r="CL8" s="33">
        <f t="shared" ca="1" si="35"/>
        <v>0.25</v>
      </c>
      <c r="CM8" s="33">
        <f t="shared" ca="1" si="36"/>
        <v>7.0000000000000007E-2</v>
      </c>
      <c r="CN8" s="33">
        <f t="shared" ca="1" si="37"/>
        <v>0.15</v>
      </c>
      <c r="CO8" s="33">
        <f t="shared" ca="1" si="38"/>
        <v>0.1</v>
      </c>
      <c r="CP8" s="33">
        <f t="shared" ca="1" si="39"/>
        <v>0.45342524249014599</v>
      </c>
      <c r="CQ8" s="33">
        <f t="shared" ca="1" si="40"/>
        <v>0.05</v>
      </c>
      <c r="CR8" s="33">
        <f t="shared" ca="1" si="41"/>
        <v>0.1</v>
      </c>
      <c r="CS8" s="33">
        <f t="shared" ca="1" si="42"/>
        <v>0.1</v>
      </c>
      <c r="CT8" s="33">
        <f t="shared" ca="1" si="43"/>
        <v>0.45342524249014599</v>
      </c>
      <c r="CU8" s="33">
        <f t="shared" ca="1" si="44"/>
        <v>2.4406421822616497E-2</v>
      </c>
      <c r="CV8" s="33">
        <f t="shared" ca="1" si="45"/>
        <v>2.4406421822616497E-2</v>
      </c>
      <c r="CY8" t="s">
        <v>76</v>
      </c>
      <c r="CZ8">
        <v>15</v>
      </c>
    </row>
    <row r="9" spans="1:104" x14ac:dyDescent="0.45">
      <c r="A9">
        <v>1</v>
      </c>
      <c r="B9" t="str">
        <f>VLOOKUP(F9,'TRA balance'!$AK$5:$AL$14,2,FALSE)</f>
        <v>TRADST</v>
      </c>
      <c r="C9" s="6" t="str">
        <f t="shared" si="46"/>
        <v>TR</v>
      </c>
      <c r="D9" s="7" t="s">
        <v>16</v>
      </c>
      <c r="E9" s="18" t="s">
        <v>65</v>
      </c>
      <c r="F9" s="8" t="str">
        <f t="shared" si="52"/>
        <v>Diesel</v>
      </c>
      <c r="G9" s="6" t="s">
        <v>66</v>
      </c>
      <c r="H9" s="9">
        <f ca="1">OFFSET(TIAM15_assumptions!$G9,0,MATCH(VLOOKUP(Assumptions!H$2,TIAM15_assumptions!$Y$3:$Z$36,2,FALSE),TIAM15_assumptions!$H$2:$V$2,0))</f>
        <v>0</v>
      </c>
      <c r="I9" s="9">
        <f ca="1">OFFSET(TIAM15_assumptions!$G9,0,MATCH(VLOOKUP(Assumptions!I$2,TIAM15_assumptions!$Y$3:$Z$36,2,FALSE),TIAM15_assumptions!$H$2:$V$2,0))</f>
        <v>0</v>
      </c>
      <c r="J9" s="9">
        <f ca="1">OFFSET(TIAM15_assumptions!$G9,0,MATCH(VLOOKUP(Assumptions!J$2,TIAM15_assumptions!$Y$3:$Z$36,2,FALSE),TIAM15_assumptions!$H$2:$V$2,0))</f>
        <v>0.01</v>
      </c>
      <c r="K9" s="9">
        <f ca="1">OFFSET(TIAM15_assumptions!$G9,0,MATCH(VLOOKUP(Assumptions!K$2,TIAM15_assumptions!$Y$3:$Z$36,2,FALSE),TIAM15_assumptions!$H$2:$V$2,0))</f>
        <v>0</v>
      </c>
      <c r="L9" s="9">
        <f ca="1">OFFSET(TIAM15_assumptions!$G9,0,MATCH(VLOOKUP(Assumptions!L$2,TIAM15_assumptions!$Y$3:$Z$36,2,FALSE),TIAM15_assumptions!$H$2:$V$2,0))</f>
        <v>0.01</v>
      </c>
      <c r="M9" s="9">
        <f ca="1">OFFSET(TIAM15_assumptions!$G9,0,MATCH(VLOOKUP(Assumptions!M$2,TIAM15_assumptions!$Y$3:$Z$36,2,FALSE),TIAM15_assumptions!$H$2:$V$2,0))</f>
        <v>0</v>
      </c>
      <c r="N9" s="9">
        <f ca="1">OFFSET(TIAM15_assumptions!$G9,0,MATCH(VLOOKUP(Assumptions!N$2,TIAM15_assumptions!$Y$3:$Z$36,2,FALSE),TIAM15_assumptions!$H$2:$V$2,0))</f>
        <v>0</v>
      </c>
      <c r="O9" s="9">
        <f ca="1">OFFSET(TIAM15_assumptions!$G9,0,MATCH(VLOOKUP(Assumptions!O$2,TIAM15_assumptions!$Y$3:$Z$36,2,FALSE),TIAM15_assumptions!$H$2:$V$2,0))</f>
        <v>0.01</v>
      </c>
      <c r="P9" s="9">
        <f ca="1">OFFSET(TIAM15_assumptions!$G9,0,MATCH(VLOOKUP(Assumptions!P$2,TIAM15_assumptions!$Y$3:$Z$36,2,FALSE),TIAM15_assumptions!$H$2:$V$2,0))</f>
        <v>0</v>
      </c>
      <c r="Q9" s="9">
        <f ca="1">OFFSET(TIAM15_assumptions!$G9,0,MATCH(VLOOKUP(Assumptions!Q$2,TIAM15_assumptions!$Y$3:$Z$36,2,FALSE),TIAM15_assumptions!$H$2:$V$2,0))</f>
        <v>0.6</v>
      </c>
      <c r="R9" s="9">
        <f ca="1">OFFSET(TIAM15_assumptions!$G9,0,MATCH(VLOOKUP(Assumptions!R$2,TIAM15_assumptions!$Y$3:$Z$36,2,FALSE),TIAM15_assumptions!$H$2:$V$2,0))</f>
        <v>0</v>
      </c>
      <c r="S9" s="9">
        <f ca="1">OFFSET(TIAM15_assumptions!$G9,0,MATCH(VLOOKUP(Assumptions!S$2,TIAM15_assumptions!$Y$3:$Z$36,2,FALSE),TIAM15_assumptions!$H$2:$V$2,0))</f>
        <v>0</v>
      </c>
      <c r="T9" s="9">
        <f ca="1">OFFSET(TIAM15_assumptions!$G9,0,MATCH(VLOOKUP(Assumptions!T$2,TIAM15_assumptions!$Y$3:$Z$36,2,FALSE),TIAM15_assumptions!$H$2:$V$2,0))</f>
        <v>0</v>
      </c>
      <c r="U9" s="9">
        <f ca="1">OFFSET(TIAM15_assumptions!$G9,0,MATCH(VLOOKUP(Assumptions!U$2,TIAM15_assumptions!$Y$3:$Z$36,2,FALSE),TIAM15_assumptions!$H$2:$V$2,0))</f>
        <v>0</v>
      </c>
      <c r="V9" s="9">
        <f ca="1">OFFSET(TIAM15_assumptions!$G9,0,MATCH(VLOOKUP(Assumptions!V$2,TIAM15_assumptions!$Y$3:$Z$36,2,FALSE),TIAM15_assumptions!$H$2:$V$2,0))</f>
        <v>0</v>
      </c>
      <c r="W9" s="9">
        <f ca="1">OFFSET(TIAM15_assumptions!$G9,0,MATCH(VLOOKUP(Assumptions!W$2,TIAM15_assumptions!$Y$3:$Z$36,2,FALSE),TIAM15_assumptions!$H$2:$V$2,0))</f>
        <v>0</v>
      </c>
      <c r="X9" s="9">
        <f ca="1">OFFSET(TIAM15_assumptions!$G9,0,MATCH(VLOOKUP(Assumptions!X$2,TIAM15_assumptions!$Y$3:$Z$36,2,FALSE),TIAM15_assumptions!$H$2:$V$2,0))</f>
        <v>0</v>
      </c>
      <c r="Y9" s="9">
        <f ca="1">OFFSET(TIAM15_assumptions!$G9,0,MATCH(VLOOKUP(Assumptions!Y$2,TIAM15_assumptions!$Y$3:$Z$36,2,FALSE),TIAM15_assumptions!$H$2:$V$2,0))</f>
        <v>0</v>
      </c>
      <c r="Z9" s="9">
        <f ca="1">OFFSET(TIAM15_assumptions!$G9,0,MATCH(VLOOKUP(Assumptions!Z$2,TIAM15_assumptions!$Y$3:$Z$36,2,FALSE),TIAM15_assumptions!$H$2:$V$2,0))</f>
        <v>0</v>
      </c>
      <c r="AA9" s="9">
        <f ca="1">OFFSET(TIAM15_assumptions!$G9,0,MATCH(VLOOKUP(Assumptions!AA$2,TIAM15_assumptions!$Y$3:$Z$36,2,FALSE),TIAM15_assumptions!$H$2:$V$2,0))</f>
        <v>0.25</v>
      </c>
      <c r="AB9" s="9">
        <f ca="1">OFFSET(TIAM15_assumptions!$G9,0,MATCH(VLOOKUP(Assumptions!AB$2,TIAM15_assumptions!$Y$3:$Z$36,2,FALSE),TIAM15_assumptions!$H$2:$V$2,0))</f>
        <v>0.01</v>
      </c>
      <c r="AC9" s="9">
        <f ca="1">OFFSET(TIAM15_assumptions!$G9,0,MATCH(VLOOKUP(Assumptions!AC$2,TIAM15_assumptions!$Y$3:$Z$36,2,FALSE),TIAM15_assumptions!$H$2:$V$2,0))</f>
        <v>0</v>
      </c>
      <c r="AD9" s="9">
        <f ca="1">OFFSET(TIAM15_assumptions!$G9,0,MATCH(VLOOKUP(Assumptions!AD$2,TIAM15_assumptions!$Y$3:$Z$36,2,FALSE),TIAM15_assumptions!$H$2:$V$2,0))</f>
        <v>0</v>
      </c>
      <c r="AE9" s="9">
        <f ca="1">OFFSET(TIAM15_assumptions!$G9,0,MATCH(VLOOKUP(Assumptions!AE$2,TIAM15_assumptions!$Y$3:$Z$36,2,FALSE),TIAM15_assumptions!$H$2:$V$2,0))</f>
        <v>0</v>
      </c>
      <c r="AF9" s="9">
        <f ca="1">OFFSET(TIAM15_assumptions!$G9,0,MATCH(VLOOKUP(Assumptions!AF$2,TIAM15_assumptions!$Y$3:$Z$36,2,FALSE),TIAM15_assumptions!$H$2:$V$2,0))</f>
        <v>0</v>
      </c>
      <c r="AG9" s="9">
        <f ca="1">OFFSET(TIAM15_assumptions!$G9,0,MATCH(VLOOKUP(Assumptions!AG$2,TIAM15_assumptions!$Y$3:$Z$36,2,FALSE),TIAM15_assumptions!$H$2:$V$2,0))</f>
        <v>0</v>
      </c>
      <c r="AH9" s="9">
        <f ca="1">OFFSET(TIAM15_assumptions!$G9,0,MATCH(VLOOKUP(Assumptions!AH$2,TIAM15_assumptions!$Y$3:$Z$36,2,FALSE),TIAM15_assumptions!$H$2:$V$2,0))</f>
        <v>0</v>
      </c>
      <c r="AI9" s="9">
        <f ca="1">OFFSET(TIAM15_assumptions!$G9,0,MATCH(VLOOKUP(Assumptions!AI$2,TIAM15_assumptions!$Y$3:$Z$36,2,FALSE),TIAM15_assumptions!$H$2:$V$2,0))</f>
        <v>0</v>
      </c>
      <c r="AJ9" s="9">
        <f ca="1">OFFSET(TIAM15_assumptions!$G9,0,MATCH(VLOOKUP(Assumptions!AJ$2,TIAM15_assumptions!$Y$3:$Z$36,2,FALSE),TIAM15_assumptions!$H$2:$V$2,0))</f>
        <v>0</v>
      </c>
      <c r="AK9" s="9">
        <f ca="1">OFFSET(TIAM15_assumptions!$G9,0,MATCH(VLOOKUP(Assumptions!AK$2,TIAM15_assumptions!$Y$3:$Z$36,2,FALSE),TIAM15_assumptions!$H$2:$V$2,0))</f>
        <v>0</v>
      </c>
      <c r="AN9" s="34">
        <f ca="1">IFERROR(SUMIFS('TRA balance'!E$5:E$40,'TRA balance'!$C$5:$C$40,Assumptions!$C9,'TRA balance'!$D$5:$D$40,Assumptions!$B9)*BS9*H9,"")</f>
        <v>0</v>
      </c>
      <c r="AO9" s="34">
        <f ca="1">IFERROR(SUMIFS('TRA balance'!F$5:F$40,'TRA balance'!$C$5:$C$40,Assumptions!$C9,'TRA balance'!$D$5:$D$40,Assumptions!$B9)*BT9*I9,"")</f>
        <v>0</v>
      </c>
      <c r="AP9" s="34">
        <f ca="1">IFERROR(SUMIFS('TRA balance'!G$5:G$40,'TRA balance'!$C$5:$C$40,Assumptions!$C9,'TRA balance'!$D$5:$D$40,Assumptions!$B9)*BU9*J9,"")</f>
        <v>0.33181317962352003</v>
      </c>
      <c r="AQ9" s="34">
        <f ca="1">IFERROR(SUMIFS('TRA balance'!H$5:H$40,'TRA balance'!$C$5:$C$40,Assumptions!$C9,'TRA balance'!$D$5:$D$40,Assumptions!$B9)*BV9*K9,"")</f>
        <v>0</v>
      </c>
      <c r="AR9" s="34">
        <f ca="1">IFERROR(SUMIFS('TRA balance'!I$5:I$40,'TRA balance'!$C$5:$C$40,Assumptions!$C9,'TRA balance'!$D$5:$D$40,Assumptions!$B9)*BW9*L9,"")</f>
        <v>0.85770435411540014</v>
      </c>
      <c r="AS9" s="34">
        <f ca="1">IFERROR(SUMIFS('TRA balance'!J$5:J$40,'TRA balance'!$C$5:$C$40,Assumptions!$C9,'TRA balance'!$D$5:$D$40,Assumptions!$B9)*BX9*M9,"")</f>
        <v>0</v>
      </c>
      <c r="AT9" s="34">
        <f ca="1">IFERROR(SUMIFS('TRA balance'!K$5:K$40,'TRA balance'!$C$5:$C$40,Assumptions!$C9,'TRA balance'!$D$5:$D$40,Assumptions!$B9)*BY9*N9,"")</f>
        <v>0</v>
      </c>
      <c r="AU9" s="34">
        <f ca="1">IFERROR(SUMIFS('TRA balance'!L$5:L$40,'TRA balance'!$C$5:$C$40,Assumptions!$C9,'TRA balance'!$D$5:$D$40,Assumptions!$B9)*BZ9*O9,"")</f>
        <v>1.0051941397780801</v>
      </c>
      <c r="AV9" s="34">
        <f ca="1">IFERROR(SUMIFS('TRA balance'!M$5:M$40,'TRA balance'!$C$5:$C$40,Assumptions!$C9,'TRA balance'!$D$5:$D$40,Assumptions!$B9)*CA9*P9,"")</f>
        <v>0</v>
      </c>
      <c r="AW9" s="34">
        <f ca="1">IFERROR(SUMIFS('TRA balance'!N$5:N$40,'TRA balance'!$C$5:$C$40,Assumptions!$C9,'TRA balance'!$D$5:$D$40,Assumptions!$B9)*CB9*Q9,"")</f>
        <v>237.72376323698398</v>
      </c>
      <c r="AX9" s="34">
        <f ca="1">IFERROR(SUMIFS('TRA balance'!O$5:O$40,'TRA balance'!$C$5:$C$40,Assumptions!$C9,'TRA balance'!$D$5:$D$40,Assumptions!$B9)*CC9*R9,"")</f>
        <v>0</v>
      </c>
      <c r="AY9" s="34">
        <f ca="1">IFERROR(SUMIFS('TRA balance'!P$5:P$40,'TRA balance'!$C$5:$C$40,Assumptions!$C9,'TRA balance'!$D$5:$D$40,Assumptions!$B9)*CD9*S9,"")</f>
        <v>0</v>
      </c>
      <c r="AZ9" s="34">
        <f ca="1">IFERROR(SUMIFS('TRA balance'!Q$5:Q$40,'TRA balance'!$C$5:$C$40,Assumptions!$C9,'TRA balance'!$D$5:$D$40,Assumptions!$B9)*CE9*T9,"")</f>
        <v>0</v>
      </c>
      <c r="BA9" s="34">
        <f ca="1">IFERROR(SUMIFS('TRA balance'!R$5:R$40,'TRA balance'!$C$5:$C$40,Assumptions!$C9,'TRA balance'!$D$5:$D$40,Assumptions!$B9)*CF9*U9,"")</f>
        <v>0</v>
      </c>
      <c r="BB9" s="34">
        <f ca="1">IFERROR(SUMIFS('TRA balance'!S$5:S$40,'TRA balance'!$C$5:$C$40,Assumptions!$C9,'TRA balance'!$D$5:$D$40,Assumptions!$B9)*CG9*V9,"")</f>
        <v>0</v>
      </c>
      <c r="BC9" s="34">
        <f ca="1">IFERROR(SUMIFS('TRA balance'!T$5:T$40,'TRA balance'!$C$5:$C$40,Assumptions!$C9,'TRA balance'!$D$5:$D$40,Assumptions!$B9)*CH9*W9,"")</f>
        <v>0</v>
      </c>
      <c r="BD9" s="34">
        <f ca="1">IFERROR(SUMIFS('TRA balance'!U$5:U$40,'TRA balance'!$C$5:$C$40,Assumptions!$C9,'TRA balance'!$D$5:$D$40,Assumptions!$B9)*CI9*X9,"")</f>
        <v>0</v>
      </c>
      <c r="BE9" s="34">
        <f ca="1">IFERROR(SUMIFS('TRA balance'!V$5:V$40,'TRA balance'!$C$5:$C$40,Assumptions!$C9,'TRA balance'!$D$5:$D$40,Assumptions!$B9)*CJ9*Y9,"")</f>
        <v>0</v>
      </c>
      <c r="BF9" s="34">
        <f ca="1">IFERROR(SUMIFS('TRA balance'!W$5:W$40,'TRA balance'!$C$5:$C$40,Assumptions!$C9,'TRA balance'!$D$5:$D$40,Assumptions!$B9)*CK9*Z9,"")</f>
        <v>0</v>
      </c>
      <c r="BG9" s="34">
        <f ca="1">IFERROR(SUMIFS('TRA balance'!X$5:X$40,'TRA balance'!$C$5:$C$40,Assumptions!$C9,'TRA balance'!$D$5:$D$40,Assumptions!$B9)*CL9*AA9,"")</f>
        <v>152.103682543725</v>
      </c>
      <c r="BH9" s="34">
        <f ca="1">IFERROR(SUMIFS('TRA balance'!Y$5:Y$40,'TRA balance'!$C$5:$C$40,Assumptions!$C9,'TRA balance'!$D$5:$D$40,Assumptions!$B9)*CM9*AB9,"")</f>
        <v>0.70024437665280004</v>
      </c>
      <c r="BI9" s="34">
        <f ca="1">IFERROR(SUMIFS('TRA balance'!Z$5:Z$40,'TRA balance'!$C$5:$C$40,Assumptions!$C9,'TRA balance'!$D$5:$D$40,Assumptions!$B9)*CN9*AC9,"")</f>
        <v>0</v>
      </c>
      <c r="BJ9" s="34">
        <f ca="1">IFERROR(SUMIFS('TRA balance'!AA$5:AA$40,'TRA balance'!$C$5:$C$40,Assumptions!$C9,'TRA balance'!$D$5:$D$40,Assumptions!$B9)*CO9*AD9,"")</f>
        <v>0</v>
      </c>
      <c r="BK9" s="34">
        <f ca="1">IFERROR(SUMIFS('TRA balance'!AB$5:AB$40,'TRA balance'!$C$5:$C$40,Assumptions!$C9,'TRA balance'!$D$5:$D$40,Assumptions!$B9)*CP9*AE9,"")</f>
        <v>0</v>
      </c>
      <c r="BL9" s="34">
        <f ca="1">IFERROR(SUMIFS('TRA balance'!AC$5:AC$40,'TRA balance'!$C$5:$C$40,Assumptions!$C9,'TRA balance'!$D$5:$D$40,Assumptions!$B9)*CQ9*AF9,"")</f>
        <v>0</v>
      </c>
      <c r="BM9" s="34">
        <f ca="1">IFERROR(SUMIFS('TRA balance'!AD$5:AD$40,'TRA balance'!$C$5:$C$40,Assumptions!$C9,'TRA balance'!$D$5:$D$40,Assumptions!$B9)*CR9*AG9,"")</f>
        <v>0</v>
      </c>
      <c r="BN9" s="34">
        <f ca="1">IFERROR(SUMIFS('TRA balance'!AE$5:AE$40,'TRA balance'!$C$5:$C$40,Assumptions!$C9,'TRA balance'!$D$5:$D$40,Assumptions!$B9)*CS9*AH9,"")</f>
        <v>0</v>
      </c>
      <c r="BO9" s="34">
        <f ca="1">IFERROR(SUMIFS('TRA balance'!AF$5:AF$40,'TRA balance'!$C$5:$C$40,Assumptions!$C9,'TRA balance'!$D$5:$D$40,Assumptions!$B9)*CT9*AI9,"")</f>
        <v>0</v>
      </c>
      <c r="BP9" s="34">
        <f ca="1">IFERROR(SUMIFS('TRA balance'!AG$5:AG$40,'TRA balance'!$C$5:$C$40,Assumptions!$C9,'TRA balance'!$D$5:$D$40,Assumptions!$B9)*CU9*AJ9,"")</f>
        <v>0</v>
      </c>
      <c r="BQ9" s="34">
        <f ca="1">IFERROR(SUMIFS('TRA balance'!AH$5:AH$40,'TRA balance'!$C$5:$C$40,Assumptions!$C9,'TRA balance'!$D$5:$D$40,Assumptions!$B9)*CV9*AK9,"")</f>
        <v>0</v>
      </c>
      <c r="BS9" s="33">
        <f t="shared" ca="1" si="16"/>
        <v>0.1</v>
      </c>
      <c r="BT9" s="33">
        <f t="shared" ca="1" si="17"/>
        <v>0.1</v>
      </c>
      <c r="BU9" s="33">
        <f t="shared" ca="1" si="18"/>
        <v>7.0000000000000007E-2</v>
      </c>
      <c r="BV9" s="33">
        <f t="shared" ca="1" si="19"/>
        <v>0.05</v>
      </c>
      <c r="BW9" s="33">
        <f t="shared" ca="1" si="20"/>
        <v>0.05</v>
      </c>
      <c r="BX9" s="33">
        <f t="shared" ca="1" si="21"/>
        <v>0.08</v>
      </c>
      <c r="BY9" s="33">
        <f t="shared" ca="1" si="22"/>
        <v>0.02</v>
      </c>
      <c r="BZ9" s="33">
        <f t="shared" ca="1" si="23"/>
        <v>7.0000000000000007E-2</v>
      </c>
      <c r="CA9" s="33">
        <f t="shared" ca="1" si="24"/>
        <v>0.02</v>
      </c>
      <c r="CB9" s="33">
        <f t="shared" ca="1" si="25"/>
        <v>0.1</v>
      </c>
      <c r="CC9" s="33">
        <f t="shared" ca="1" si="26"/>
        <v>0.45342524249014599</v>
      </c>
      <c r="CD9" s="33">
        <f t="shared" ca="1" si="27"/>
        <v>0.35051309933039143</v>
      </c>
      <c r="CE9" s="33">
        <f t="shared" ca="1" si="28"/>
        <v>0.45342524249014599</v>
      </c>
      <c r="CF9" s="33">
        <f t="shared" ca="1" si="29"/>
        <v>0.45342524249014599</v>
      </c>
      <c r="CG9" s="33">
        <f t="shared" ca="1" si="30"/>
        <v>0.35051309933039143</v>
      </c>
      <c r="CH9" s="33">
        <f t="shared" ca="1" si="31"/>
        <v>0.45342524249014599</v>
      </c>
      <c r="CI9" s="33">
        <f t="shared" ca="1" si="32"/>
        <v>0.1</v>
      </c>
      <c r="CJ9" s="33">
        <f t="shared" ca="1" si="33"/>
        <v>0.45342524249014599</v>
      </c>
      <c r="CK9" s="33">
        <f t="shared" ca="1" si="34"/>
        <v>0.45342524249014599</v>
      </c>
      <c r="CL9" s="33">
        <f t="shared" ca="1" si="35"/>
        <v>0.25</v>
      </c>
      <c r="CM9" s="33">
        <f t="shared" ca="1" si="36"/>
        <v>7.0000000000000007E-2</v>
      </c>
      <c r="CN9" s="33">
        <f t="shared" ca="1" si="37"/>
        <v>0.15</v>
      </c>
      <c r="CO9" s="33">
        <f t="shared" ca="1" si="38"/>
        <v>0.1</v>
      </c>
      <c r="CP9" s="33">
        <f t="shared" ca="1" si="39"/>
        <v>0.45342524249014599</v>
      </c>
      <c r="CQ9" s="33">
        <f t="shared" ca="1" si="40"/>
        <v>0.05</v>
      </c>
      <c r="CR9" s="33">
        <f t="shared" ca="1" si="41"/>
        <v>0.1</v>
      </c>
      <c r="CS9" s="33">
        <f t="shared" ca="1" si="42"/>
        <v>0.1</v>
      </c>
      <c r="CT9" s="33">
        <f t="shared" ca="1" si="43"/>
        <v>0.45342524249014599</v>
      </c>
      <c r="CU9" s="33">
        <f t="shared" ca="1" si="44"/>
        <v>2.4406421822616497E-2</v>
      </c>
      <c r="CV9" s="33">
        <f t="shared" ca="1" si="45"/>
        <v>2.4406421822616497E-2</v>
      </c>
      <c r="CY9" t="s">
        <v>62</v>
      </c>
      <c r="CZ9">
        <v>12</v>
      </c>
    </row>
    <row r="10" spans="1:104" x14ac:dyDescent="0.45">
      <c r="A10">
        <v>1</v>
      </c>
      <c r="B10" t="str">
        <f>VLOOKUP(F10,'TRA balance'!$AK$5:$AL$14,2,FALSE)</f>
        <v>TRADST</v>
      </c>
      <c r="C10" s="6" t="str">
        <f t="shared" si="46"/>
        <v>TR</v>
      </c>
      <c r="D10" s="7" t="s">
        <v>16</v>
      </c>
      <c r="E10" s="18" t="s">
        <v>67</v>
      </c>
      <c r="F10" s="8" t="str">
        <f t="shared" si="52"/>
        <v>Diesel</v>
      </c>
      <c r="G10" s="6" t="s">
        <v>68</v>
      </c>
      <c r="H10" s="9">
        <f ca="1">OFFSET(TIAM15_assumptions!$G10,0,MATCH(VLOOKUP(Assumptions!H$2,TIAM15_assumptions!$Y$3:$Z$36,2,FALSE),TIAM15_assumptions!$H$2:$V$2,0))</f>
        <v>0</v>
      </c>
      <c r="I10" s="9">
        <f ca="1">OFFSET(TIAM15_assumptions!$G10,0,MATCH(VLOOKUP(Assumptions!I$2,TIAM15_assumptions!$Y$3:$Z$36,2,FALSE),TIAM15_assumptions!$H$2:$V$2,0))</f>
        <v>0</v>
      </c>
      <c r="J10" s="9">
        <f ca="1">OFFSET(TIAM15_assumptions!$G10,0,MATCH(VLOOKUP(Assumptions!J$2,TIAM15_assumptions!$Y$3:$Z$36,2,FALSE),TIAM15_assumptions!$H$2:$V$2,0))</f>
        <v>0</v>
      </c>
      <c r="K10" s="9">
        <f ca="1">OFFSET(TIAM15_assumptions!$G10,0,MATCH(VLOOKUP(Assumptions!K$2,TIAM15_assumptions!$Y$3:$Z$36,2,FALSE),TIAM15_assumptions!$H$2:$V$2,0))</f>
        <v>0</v>
      </c>
      <c r="L10" s="9">
        <f ca="1">OFFSET(TIAM15_assumptions!$G10,0,MATCH(VLOOKUP(Assumptions!L$2,TIAM15_assumptions!$Y$3:$Z$36,2,FALSE),TIAM15_assumptions!$H$2:$V$2,0))</f>
        <v>0</v>
      </c>
      <c r="M10" s="9">
        <f ca="1">OFFSET(TIAM15_assumptions!$G10,0,MATCH(VLOOKUP(Assumptions!M$2,TIAM15_assumptions!$Y$3:$Z$36,2,FALSE),TIAM15_assumptions!$H$2:$V$2,0))</f>
        <v>0</v>
      </c>
      <c r="N10" s="9">
        <f ca="1">OFFSET(TIAM15_assumptions!$G10,0,MATCH(VLOOKUP(Assumptions!N$2,TIAM15_assumptions!$Y$3:$Z$36,2,FALSE),TIAM15_assumptions!$H$2:$V$2,0))</f>
        <v>0</v>
      </c>
      <c r="O10" s="9">
        <f ca="1">OFFSET(TIAM15_assumptions!$G10,0,MATCH(VLOOKUP(Assumptions!O$2,TIAM15_assumptions!$Y$3:$Z$36,2,FALSE),TIAM15_assumptions!$H$2:$V$2,0))</f>
        <v>0</v>
      </c>
      <c r="P10" s="9">
        <f ca="1">OFFSET(TIAM15_assumptions!$G10,0,MATCH(VLOOKUP(Assumptions!P$2,TIAM15_assumptions!$Y$3:$Z$36,2,FALSE),TIAM15_assumptions!$H$2:$V$2,0))</f>
        <v>0</v>
      </c>
      <c r="Q10" s="9">
        <f ca="1">OFFSET(TIAM15_assumptions!$G10,0,MATCH(VLOOKUP(Assumptions!Q$2,TIAM15_assumptions!$Y$3:$Z$36,2,FALSE),TIAM15_assumptions!$H$2:$V$2,0))</f>
        <v>0</v>
      </c>
      <c r="R10" s="9">
        <f ca="1">OFFSET(TIAM15_assumptions!$G10,0,MATCH(VLOOKUP(Assumptions!R$2,TIAM15_assumptions!$Y$3:$Z$36,2,FALSE),TIAM15_assumptions!$H$2:$V$2,0))</f>
        <v>0</v>
      </c>
      <c r="S10" s="9">
        <f ca="1">OFFSET(TIAM15_assumptions!$G10,0,MATCH(VLOOKUP(Assumptions!S$2,TIAM15_assumptions!$Y$3:$Z$36,2,FALSE),TIAM15_assumptions!$H$2:$V$2,0))</f>
        <v>0</v>
      </c>
      <c r="T10" s="9">
        <f ca="1">OFFSET(TIAM15_assumptions!$G10,0,MATCH(VLOOKUP(Assumptions!T$2,TIAM15_assumptions!$Y$3:$Z$36,2,FALSE),TIAM15_assumptions!$H$2:$V$2,0))</f>
        <v>0</v>
      </c>
      <c r="U10" s="9">
        <f ca="1">OFFSET(TIAM15_assumptions!$G10,0,MATCH(VLOOKUP(Assumptions!U$2,TIAM15_assumptions!$Y$3:$Z$36,2,FALSE),TIAM15_assumptions!$H$2:$V$2,0))</f>
        <v>0</v>
      </c>
      <c r="V10" s="9">
        <f ca="1">OFFSET(TIAM15_assumptions!$G10,0,MATCH(VLOOKUP(Assumptions!V$2,TIAM15_assumptions!$Y$3:$Z$36,2,FALSE),TIAM15_assumptions!$H$2:$V$2,0))</f>
        <v>0</v>
      </c>
      <c r="W10" s="9">
        <f ca="1">OFFSET(TIAM15_assumptions!$G10,0,MATCH(VLOOKUP(Assumptions!W$2,TIAM15_assumptions!$Y$3:$Z$36,2,FALSE),TIAM15_assumptions!$H$2:$V$2,0))</f>
        <v>0</v>
      </c>
      <c r="X10" s="9">
        <f ca="1">OFFSET(TIAM15_assumptions!$G10,0,MATCH(VLOOKUP(Assumptions!X$2,TIAM15_assumptions!$Y$3:$Z$36,2,FALSE),TIAM15_assumptions!$H$2:$V$2,0))</f>
        <v>0</v>
      </c>
      <c r="Y10" s="9">
        <f ca="1">OFFSET(TIAM15_assumptions!$G10,0,MATCH(VLOOKUP(Assumptions!Y$2,TIAM15_assumptions!$Y$3:$Z$36,2,FALSE),TIAM15_assumptions!$H$2:$V$2,0))</f>
        <v>0</v>
      </c>
      <c r="Z10" s="9">
        <f ca="1">OFFSET(TIAM15_assumptions!$G10,0,MATCH(VLOOKUP(Assumptions!Z$2,TIAM15_assumptions!$Y$3:$Z$36,2,FALSE),TIAM15_assumptions!$H$2:$V$2,0))</f>
        <v>0</v>
      </c>
      <c r="AA10" s="9">
        <f ca="1">OFFSET(TIAM15_assumptions!$G10,0,MATCH(VLOOKUP(Assumptions!AA$2,TIAM15_assumptions!$Y$3:$Z$36,2,FALSE),TIAM15_assumptions!$H$2:$V$2,0))</f>
        <v>0</v>
      </c>
      <c r="AB10" s="9">
        <f ca="1">OFFSET(TIAM15_assumptions!$G10,0,MATCH(VLOOKUP(Assumptions!AB$2,TIAM15_assumptions!$Y$3:$Z$36,2,FALSE),TIAM15_assumptions!$H$2:$V$2,0))</f>
        <v>0</v>
      </c>
      <c r="AC10" s="9">
        <f ca="1">OFFSET(TIAM15_assumptions!$G10,0,MATCH(VLOOKUP(Assumptions!AC$2,TIAM15_assumptions!$Y$3:$Z$36,2,FALSE),TIAM15_assumptions!$H$2:$V$2,0))</f>
        <v>0</v>
      </c>
      <c r="AD10" s="9">
        <f ca="1">OFFSET(TIAM15_assumptions!$G10,0,MATCH(VLOOKUP(Assumptions!AD$2,TIAM15_assumptions!$Y$3:$Z$36,2,FALSE),TIAM15_assumptions!$H$2:$V$2,0))</f>
        <v>0</v>
      </c>
      <c r="AE10" s="9">
        <f ca="1">OFFSET(TIAM15_assumptions!$G10,0,MATCH(VLOOKUP(Assumptions!AE$2,TIAM15_assumptions!$Y$3:$Z$36,2,FALSE),TIAM15_assumptions!$H$2:$V$2,0))</f>
        <v>0</v>
      </c>
      <c r="AF10" s="9">
        <f ca="1">OFFSET(TIAM15_assumptions!$G10,0,MATCH(VLOOKUP(Assumptions!AF$2,TIAM15_assumptions!$Y$3:$Z$36,2,FALSE),TIAM15_assumptions!$H$2:$V$2,0))</f>
        <v>0</v>
      </c>
      <c r="AG10" s="9">
        <f ca="1">OFFSET(TIAM15_assumptions!$G10,0,MATCH(VLOOKUP(Assumptions!AG$2,TIAM15_assumptions!$Y$3:$Z$36,2,FALSE),TIAM15_assumptions!$H$2:$V$2,0))</f>
        <v>0</v>
      </c>
      <c r="AH10" s="9">
        <f ca="1">OFFSET(TIAM15_assumptions!$G10,0,MATCH(VLOOKUP(Assumptions!AH$2,TIAM15_assumptions!$Y$3:$Z$36,2,FALSE),TIAM15_assumptions!$H$2:$V$2,0))</f>
        <v>0</v>
      </c>
      <c r="AI10" s="9">
        <f ca="1">OFFSET(TIAM15_assumptions!$G10,0,MATCH(VLOOKUP(Assumptions!AI$2,TIAM15_assumptions!$Y$3:$Z$36,2,FALSE),TIAM15_assumptions!$H$2:$V$2,0))</f>
        <v>0</v>
      </c>
      <c r="AJ10" s="9">
        <f ca="1">OFFSET(TIAM15_assumptions!$G10,0,MATCH(VLOOKUP(Assumptions!AJ$2,TIAM15_assumptions!$Y$3:$Z$36,2,FALSE),TIAM15_assumptions!$H$2:$V$2,0))</f>
        <v>0</v>
      </c>
      <c r="AK10" s="9">
        <f ca="1">OFFSET(TIAM15_assumptions!$G10,0,MATCH(VLOOKUP(Assumptions!AK$2,TIAM15_assumptions!$Y$3:$Z$36,2,FALSE),TIAM15_assumptions!$H$2:$V$2,0))</f>
        <v>0</v>
      </c>
      <c r="AN10" s="34">
        <f ca="1">IFERROR(SUMIFS('TRA balance'!E$5:E$40,'TRA balance'!$C$5:$C$40,Assumptions!$C10,'TRA balance'!$D$5:$D$40,Assumptions!$B10)*BS10*H10,"")</f>
        <v>0</v>
      </c>
      <c r="AO10" s="34">
        <f ca="1">IFERROR(SUMIFS('TRA balance'!F$5:F$40,'TRA balance'!$C$5:$C$40,Assumptions!$C10,'TRA balance'!$D$5:$D$40,Assumptions!$B10)*BT10*I10,"")</f>
        <v>0</v>
      </c>
      <c r="AP10" s="34">
        <f ca="1">IFERROR(SUMIFS('TRA balance'!G$5:G$40,'TRA balance'!$C$5:$C$40,Assumptions!$C10,'TRA balance'!$D$5:$D$40,Assumptions!$B10)*BU10*J10,"")</f>
        <v>0</v>
      </c>
      <c r="AQ10" s="34">
        <f ca="1">IFERROR(SUMIFS('TRA balance'!H$5:H$40,'TRA balance'!$C$5:$C$40,Assumptions!$C10,'TRA balance'!$D$5:$D$40,Assumptions!$B10)*BV10*K10,"")</f>
        <v>0</v>
      </c>
      <c r="AR10" s="34">
        <f ca="1">IFERROR(SUMIFS('TRA balance'!I$5:I$40,'TRA balance'!$C$5:$C$40,Assumptions!$C10,'TRA balance'!$D$5:$D$40,Assumptions!$B10)*BW10*L10,"")</f>
        <v>0</v>
      </c>
      <c r="AS10" s="34">
        <f ca="1">IFERROR(SUMIFS('TRA balance'!J$5:J$40,'TRA balance'!$C$5:$C$40,Assumptions!$C10,'TRA balance'!$D$5:$D$40,Assumptions!$B10)*BX10*M10,"")</f>
        <v>0</v>
      </c>
      <c r="AT10" s="34">
        <f ca="1">IFERROR(SUMIFS('TRA balance'!K$5:K$40,'TRA balance'!$C$5:$C$40,Assumptions!$C10,'TRA balance'!$D$5:$D$40,Assumptions!$B10)*BY10*N10,"")</f>
        <v>0</v>
      </c>
      <c r="AU10" s="34">
        <f ca="1">IFERROR(SUMIFS('TRA balance'!L$5:L$40,'TRA balance'!$C$5:$C$40,Assumptions!$C10,'TRA balance'!$D$5:$D$40,Assumptions!$B10)*BZ10*O10,"")</f>
        <v>0</v>
      </c>
      <c r="AV10" s="34">
        <f ca="1">IFERROR(SUMIFS('TRA balance'!M$5:M$40,'TRA balance'!$C$5:$C$40,Assumptions!$C10,'TRA balance'!$D$5:$D$40,Assumptions!$B10)*CA10*P10,"")</f>
        <v>0</v>
      </c>
      <c r="AW10" s="34">
        <f ca="1">IFERROR(SUMIFS('TRA balance'!N$5:N$40,'TRA balance'!$C$5:$C$40,Assumptions!$C10,'TRA balance'!$D$5:$D$40,Assumptions!$B10)*CB10*Q10,"")</f>
        <v>0</v>
      </c>
      <c r="AX10" s="34">
        <f ca="1">IFERROR(SUMIFS('TRA balance'!O$5:O$40,'TRA balance'!$C$5:$C$40,Assumptions!$C10,'TRA balance'!$D$5:$D$40,Assumptions!$B10)*CC10*R10,"")</f>
        <v>0</v>
      </c>
      <c r="AY10" s="34">
        <f ca="1">IFERROR(SUMIFS('TRA balance'!P$5:P$40,'TRA balance'!$C$5:$C$40,Assumptions!$C10,'TRA balance'!$D$5:$D$40,Assumptions!$B10)*CD10*S10,"")</f>
        <v>0</v>
      </c>
      <c r="AZ10" s="34">
        <f ca="1">IFERROR(SUMIFS('TRA balance'!Q$5:Q$40,'TRA balance'!$C$5:$C$40,Assumptions!$C10,'TRA balance'!$D$5:$D$40,Assumptions!$B10)*CE10*T10,"")</f>
        <v>0</v>
      </c>
      <c r="BA10" s="34">
        <f ca="1">IFERROR(SUMIFS('TRA balance'!R$5:R$40,'TRA balance'!$C$5:$C$40,Assumptions!$C10,'TRA balance'!$D$5:$D$40,Assumptions!$B10)*CF10*U10,"")</f>
        <v>0</v>
      </c>
      <c r="BB10" s="34">
        <f ca="1">IFERROR(SUMIFS('TRA balance'!S$5:S$40,'TRA balance'!$C$5:$C$40,Assumptions!$C10,'TRA balance'!$D$5:$D$40,Assumptions!$B10)*CG10*V10,"")</f>
        <v>0</v>
      </c>
      <c r="BC10" s="34">
        <f ca="1">IFERROR(SUMIFS('TRA balance'!T$5:T$40,'TRA balance'!$C$5:$C$40,Assumptions!$C10,'TRA balance'!$D$5:$D$40,Assumptions!$B10)*CH10*W10,"")</f>
        <v>0</v>
      </c>
      <c r="BD10" s="34">
        <f ca="1">IFERROR(SUMIFS('TRA balance'!U$5:U$40,'TRA balance'!$C$5:$C$40,Assumptions!$C10,'TRA balance'!$D$5:$D$40,Assumptions!$B10)*CI10*X10,"")</f>
        <v>0</v>
      </c>
      <c r="BE10" s="34">
        <f ca="1">IFERROR(SUMIFS('TRA balance'!V$5:V$40,'TRA balance'!$C$5:$C$40,Assumptions!$C10,'TRA balance'!$D$5:$D$40,Assumptions!$B10)*CJ10*Y10,"")</f>
        <v>0</v>
      </c>
      <c r="BF10" s="34">
        <f ca="1">IFERROR(SUMIFS('TRA balance'!W$5:W$40,'TRA balance'!$C$5:$C$40,Assumptions!$C10,'TRA balance'!$D$5:$D$40,Assumptions!$B10)*CK10*Z10,"")</f>
        <v>0</v>
      </c>
      <c r="BG10" s="34">
        <f ca="1">IFERROR(SUMIFS('TRA balance'!X$5:X$40,'TRA balance'!$C$5:$C$40,Assumptions!$C10,'TRA balance'!$D$5:$D$40,Assumptions!$B10)*CL10*AA10,"")</f>
        <v>0</v>
      </c>
      <c r="BH10" s="34">
        <f ca="1">IFERROR(SUMIFS('TRA balance'!Y$5:Y$40,'TRA balance'!$C$5:$C$40,Assumptions!$C10,'TRA balance'!$D$5:$D$40,Assumptions!$B10)*CM10*AB10,"")</f>
        <v>0</v>
      </c>
      <c r="BI10" s="34">
        <f ca="1">IFERROR(SUMIFS('TRA balance'!Z$5:Z$40,'TRA balance'!$C$5:$C$40,Assumptions!$C10,'TRA balance'!$D$5:$D$40,Assumptions!$B10)*CN10*AC10,"")</f>
        <v>0</v>
      </c>
      <c r="BJ10" s="34">
        <f ca="1">IFERROR(SUMIFS('TRA balance'!AA$5:AA$40,'TRA balance'!$C$5:$C$40,Assumptions!$C10,'TRA balance'!$D$5:$D$40,Assumptions!$B10)*CO10*AD10,"")</f>
        <v>0</v>
      </c>
      <c r="BK10" s="34">
        <f ca="1">IFERROR(SUMIFS('TRA balance'!AB$5:AB$40,'TRA balance'!$C$5:$C$40,Assumptions!$C10,'TRA balance'!$D$5:$D$40,Assumptions!$B10)*CP10*AE10,"")</f>
        <v>0</v>
      </c>
      <c r="BL10" s="34">
        <f ca="1">IFERROR(SUMIFS('TRA balance'!AC$5:AC$40,'TRA balance'!$C$5:$C$40,Assumptions!$C10,'TRA balance'!$D$5:$D$40,Assumptions!$B10)*CQ10*AF10,"")</f>
        <v>0</v>
      </c>
      <c r="BM10" s="34">
        <f ca="1">IFERROR(SUMIFS('TRA balance'!AD$5:AD$40,'TRA balance'!$C$5:$C$40,Assumptions!$C10,'TRA balance'!$D$5:$D$40,Assumptions!$B10)*CR10*AG10,"")</f>
        <v>0</v>
      </c>
      <c r="BN10" s="34">
        <f ca="1">IFERROR(SUMIFS('TRA balance'!AE$5:AE$40,'TRA balance'!$C$5:$C$40,Assumptions!$C10,'TRA balance'!$D$5:$D$40,Assumptions!$B10)*CS10*AH10,"")</f>
        <v>0</v>
      </c>
      <c r="BO10" s="34">
        <f ca="1">IFERROR(SUMIFS('TRA balance'!AF$5:AF$40,'TRA balance'!$C$5:$C$40,Assumptions!$C10,'TRA balance'!$D$5:$D$40,Assumptions!$B10)*CT10*AI10,"")</f>
        <v>0</v>
      </c>
      <c r="BP10" s="34">
        <f ca="1">IFERROR(SUMIFS('TRA balance'!AG$5:AG$40,'TRA balance'!$C$5:$C$40,Assumptions!$C10,'TRA balance'!$D$5:$D$40,Assumptions!$B10)*CU10*AJ10,"")</f>
        <v>0</v>
      </c>
      <c r="BQ10" s="34">
        <f ca="1">IFERROR(SUMIFS('TRA balance'!AH$5:AH$40,'TRA balance'!$C$5:$C$40,Assumptions!$C10,'TRA balance'!$D$5:$D$40,Assumptions!$B10)*CV10*AK10,"")</f>
        <v>0</v>
      </c>
      <c r="BS10" s="33">
        <f t="shared" ca="1" si="16"/>
        <v>0.1</v>
      </c>
      <c r="BT10" s="33">
        <f t="shared" ca="1" si="17"/>
        <v>0.1</v>
      </c>
      <c r="BU10" s="33">
        <f t="shared" ca="1" si="18"/>
        <v>7.0000000000000007E-2</v>
      </c>
      <c r="BV10" s="33">
        <f t="shared" ca="1" si="19"/>
        <v>0.05</v>
      </c>
      <c r="BW10" s="33">
        <f t="shared" ca="1" si="20"/>
        <v>0.05</v>
      </c>
      <c r="BX10" s="33">
        <f t="shared" ca="1" si="21"/>
        <v>0.08</v>
      </c>
      <c r="BY10" s="33">
        <f t="shared" ca="1" si="22"/>
        <v>0.02</v>
      </c>
      <c r="BZ10" s="33">
        <f t="shared" ca="1" si="23"/>
        <v>7.0000000000000007E-2</v>
      </c>
      <c r="CA10" s="33">
        <f t="shared" ca="1" si="24"/>
        <v>0.02</v>
      </c>
      <c r="CB10" s="33">
        <f t="shared" ca="1" si="25"/>
        <v>0.1</v>
      </c>
      <c r="CC10" s="33">
        <f t="shared" ca="1" si="26"/>
        <v>0.45342524249014599</v>
      </c>
      <c r="CD10" s="33">
        <f t="shared" ca="1" si="27"/>
        <v>0.35051309933039143</v>
      </c>
      <c r="CE10" s="33">
        <f t="shared" ca="1" si="28"/>
        <v>0.45342524249014599</v>
      </c>
      <c r="CF10" s="33">
        <f t="shared" ca="1" si="29"/>
        <v>0.45342524249014599</v>
      </c>
      <c r="CG10" s="33">
        <f t="shared" ca="1" si="30"/>
        <v>0.35051309933039143</v>
      </c>
      <c r="CH10" s="33">
        <f t="shared" ca="1" si="31"/>
        <v>0.45342524249014599</v>
      </c>
      <c r="CI10" s="33">
        <f t="shared" ca="1" si="32"/>
        <v>0.1</v>
      </c>
      <c r="CJ10" s="33">
        <f t="shared" ca="1" si="33"/>
        <v>0.45342524249014599</v>
      </c>
      <c r="CK10" s="33">
        <f t="shared" ca="1" si="34"/>
        <v>0.45342524249014599</v>
      </c>
      <c r="CL10" s="33">
        <f t="shared" ca="1" si="35"/>
        <v>0.25</v>
      </c>
      <c r="CM10" s="33">
        <f t="shared" ca="1" si="36"/>
        <v>7.0000000000000007E-2</v>
      </c>
      <c r="CN10" s="33">
        <f t="shared" ca="1" si="37"/>
        <v>0.15</v>
      </c>
      <c r="CO10" s="33">
        <f t="shared" ca="1" si="38"/>
        <v>0.1</v>
      </c>
      <c r="CP10" s="33">
        <f t="shared" ca="1" si="39"/>
        <v>0.45342524249014599</v>
      </c>
      <c r="CQ10" s="33">
        <f t="shared" ca="1" si="40"/>
        <v>0.05</v>
      </c>
      <c r="CR10" s="33">
        <f t="shared" ca="1" si="41"/>
        <v>0.1</v>
      </c>
      <c r="CS10" s="33">
        <f t="shared" ca="1" si="42"/>
        <v>0.1</v>
      </c>
      <c r="CT10" s="33">
        <f t="shared" ca="1" si="43"/>
        <v>0.45342524249014599</v>
      </c>
      <c r="CU10" s="33">
        <f t="shared" ca="1" si="44"/>
        <v>2.4406421822616497E-2</v>
      </c>
      <c r="CV10" s="33">
        <f t="shared" ca="1" si="45"/>
        <v>2.4406421822616497E-2</v>
      </c>
      <c r="CY10" t="s">
        <v>68</v>
      </c>
      <c r="CZ10">
        <v>15</v>
      </c>
    </row>
    <row r="11" spans="1:104" x14ac:dyDescent="0.45">
      <c r="A11">
        <v>1</v>
      </c>
      <c r="B11" t="str">
        <f>VLOOKUP(F11,'TRA balance'!$AK$5:$AL$14,2,FALSE)</f>
        <v>TRADST</v>
      </c>
      <c r="C11" s="6" t="str">
        <f t="shared" si="46"/>
        <v/>
      </c>
      <c r="D11" s="7"/>
      <c r="E11" s="19" t="s">
        <v>69</v>
      </c>
      <c r="F11" s="8" t="str">
        <f t="shared" si="52"/>
        <v>Diesel</v>
      </c>
      <c r="G11" s="6"/>
      <c r="H11" s="32" t="str">
        <f ca="1">IF(SUM(H7:H10)=1,"-","&lt;&gt;1!!")</f>
        <v>-</v>
      </c>
      <c r="I11" s="32" t="str">
        <f t="shared" ref="I11:X11" ca="1" si="53">IF(SUM(I7:I10)=1,"-","&lt;&gt;1!!")</f>
        <v>-</v>
      </c>
      <c r="J11" s="32" t="str">
        <f t="shared" ca="1" si="53"/>
        <v>-</v>
      </c>
      <c r="K11" s="32" t="str">
        <f t="shared" ca="1" si="53"/>
        <v>-</v>
      </c>
      <c r="L11" s="32" t="str">
        <f t="shared" ca="1" si="53"/>
        <v>-</v>
      </c>
      <c r="M11" s="32" t="str">
        <f t="shared" ca="1" si="53"/>
        <v>-</v>
      </c>
      <c r="N11" s="32" t="str">
        <f t="shared" ca="1" si="53"/>
        <v>-</v>
      </c>
      <c r="O11" s="32" t="str">
        <f t="shared" ca="1" si="53"/>
        <v>-</v>
      </c>
      <c r="P11" s="32" t="str">
        <f t="shared" ca="1" si="53"/>
        <v>-</v>
      </c>
      <c r="Q11" s="32" t="str">
        <f t="shared" ca="1" si="53"/>
        <v>-</v>
      </c>
      <c r="R11" s="32" t="str">
        <f t="shared" ca="1" si="53"/>
        <v>-</v>
      </c>
      <c r="S11" s="32" t="str">
        <f t="shared" ca="1" si="53"/>
        <v>-</v>
      </c>
      <c r="T11" s="32" t="str">
        <f t="shared" ca="1" si="53"/>
        <v>-</v>
      </c>
      <c r="U11" s="32" t="str">
        <f t="shared" ca="1" si="53"/>
        <v>-</v>
      </c>
      <c r="V11" s="32" t="str">
        <f t="shared" ca="1" si="53"/>
        <v>-</v>
      </c>
      <c r="W11" s="32" t="str">
        <f t="shared" ca="1" si="53"/>
        <v>-</v>
      </c>
      <c r="X11" s="32" t="str">
        <f t="shared" ca="1" si="53"/>
        <v>-</v>
      </c>
      <c r="Y11" s="32" t="str">
        <f t="shared" ref="Y11:Z11" ca="1" si="54">IF(SUM(Y7:Y10)=1,"-","&lt;&gt;1!!")</f>
        <v>-</v>
      </c>
      <c r="Z11" s="32" t="str">
        <f t="shared" ca="1" si="54"/>
        <v>-</v>
      </c>
      <c r="AA11" s="32" t="str">
        <f t="shared" ref="AA11:AK11" ca="1" si="55">IF(SUM(AA7:AA10)=1,"-","&lt;&gt;1!!")</f>
        <v>-</v>
      </c>
      <c r="AB11" s="32" t="str">
        <f t="shared" ca="1" si="55"/>
        <v>-</v>
      </c>
      <c r="AC11" s="32" t="str">
        <f t="shared" ca="1" si="55"/>
        <v>-</v>
      </c>
      <c r="AD11" s="32" t="str">
        <f t="shared" ca="1" si="55"/>
        <v>-</v>
      </c>
      <c r="AE11" s="32" t="str">
        <f t="shared" ca="1" si="55"/>
        <v>-</v>
      </c>
      <c r="AF11" s="32" t="str">
        <f t="shared" ca="1" si="55"/>
        <v>-</v>
      </c>
      <c r="AG11" s="32" t="str">
        <f t="shared" ca="1" si="55"/>
        <v>-</v>
      </c>
      <c r="AH11" s="32" t="str">
        <f t="shared" ca="1" si="55"/>
        <v>-</v>
      </c>
      <c r="AI11" s="32" t="str">
        <f t="shared" ca="1" si="55"/>
        <v>-</v>
      </c>
      <c r="AJ11" s="32" t="str">
        <f t="shared" ca="1" si="55"/>
        <v>-</v>
      </c>
      <c r="AK11" s="32" t="str">
        <f t="shared" ca="1" si="55"/>
        <v>-</v>
      </c>
      <c r="AN11" s="34" t="str">
        <f ca="1">IFERROR(SUMIFS('TRA balance'!E$5:E$40,'TRA balance'!$C$5:$C$40,Assumptions!$C11,'TRA balance'!$D$5:$D$40,Assumptions!$B11)*BS11*H11,"")</f>
        <v/>
      </c>
      <c r="AO11" s="34" t="str">
        <f ca="1">IFERROR(SUMIFS('TRA balance'!F$5:F$40,'TRA balance'!$C$5:$C$40,Assumptions!$C11,'TRA balance'!$D$5:$D$40,Assumptions!$B11)*BT11*I11,"")</f>
        <v/>
      </c>
      <c r="AP11" s="34" t="str">
        <f ca="1">IFERROR(SUMIFS('TRA balance'!G$5:G$40,'TRA balance'!$C$5:$C$40,Assumptions!$C11,'TRA balance'!$D$5:$D$40,Assumptions!$B11)*BU11*J11,"")</f>
        <v/>
      </c>
      <c r="AQ11" s="34" t="str">
        <f ca="1">IFERROR(SUMIFS('TRA balance'!H$5:H$40,'TRA balance'!$C$5:$C$40,Assumptions!$C11,'TRA balance'!$D$5:$D$40,Assumptions!$B11)*BV11*K11,"")</f>
        <v/>
      </c>
      <c r="AR11" s="34" t="str">
        <f ca="1">IFERROR(SUMIFS('TRA balance'!I$5:I$40,'TRA balance'!$C$5:$C$40,Assumptions!$C11,'TRA balance'!$D$5:$D$40,Assumptions!$B11)*BW11*L11,"")</f>
        <v/>
      </c>
      <c r="AS11" s="34" t="str">
        <f ca="1">IFERROR(SUMIFS('TRA balance'!J$5:J$40,'TRA balance'!$C$5:$C$40,Assumptions!$C11,'TRA balance'!$D$5:$D$40,Assumptions!$B11)*BX11*M11,"")</f>
        <v/>
      </c>
      <c r="AT11" s="34" t="str">
        <f ca="1">IFERROR(SUMIFS('TRA balance'!K$5:K$40,'TRA balance'!$C$5:$C$40,Assumptions!$C11,'TRA balance'!$D$5:$D$40,Assumptions!$B11)*BY11*N11,"")</f>
        <v/>
      </c>
      <c r="AU11" s="34" t="str">
        <f ca="1">IFERROR(SUMIFS('TRA balance'!L$5:L$40,'TRA balance'!$C$5:$C$40,Assumptions!$C11,'TRA balance'!$D$5:$D$40,Assumptions!$B11)*BZ11*O11,"")</f>
        <v/>
      </c>
      <c r="AV11" s="34" t="str">
        <f ca="1">IFERROR(SUMIFS('TRA balance'!M$5:M$40,'TRA balance'!$C$5:$C$40,Assumptions!$C11,'TRA balance'!$D$5:$D$40,Assumptions!$B11)*CA11*P11,"")</f>
        <v/>
      </c>
      <c r="AW11" s="34" t="str">
        <f ca="1">IFERROR(SUMIFS('TRA balance'!N$5:N$40,'TRA balance'!$C$5:$C$40,Assumptions!$C11,'TRA balance'!$D$5:$D$40,Assumptions!$B11)*CB11*Q11,"")</f>
        <v/>
      </c>
      <c r="AX11" s="34" t="str">
        <f ca="1">IFERROR(SUMIFS('TRA balance'!O$5:O$40,'TRA balance'!$C$5:$C$40,Assumptions!$C11,'TRA balance'!$D$5:$D$40,Assumptions!$B11)*CC11*R11,"")</f>
        <v/>
      </c>
      <c r="AY11" s="34" t="str">
        <f ca="1">IFERROR(SUMIFS('TRA balance'!P$5:P$40,'TRA balance'!$C$5:$C$40,Assumptions!$C11,'TRA balance'!$D$5:$D$40,Assumptions!$B11)*CD11*S11,"")</f>
        <v/>
      </c>
      <c r="AZ11" s="34" t="str">
        <f ca="1">IFERROR(SUMIFS('TRA balance'!Q$5:Q$40,'TRA balance'!$C$5:$C$40,Assumptions!$C11,'TRA balance'!$D$5:$D$40,Assumptions!$B11)*CE11*T11,"")</f>
        <v/>
      </c>
      <c r="BA11" s="34" t="str">
        <f ca="1">IFERROR(SUMIFS('TRA balance'!R$5:R$40,'TRA balance'!$C$5:$C$40,Assumptions!$C11,'TRA balance'!$D$5:$D$40,Assumptions!$B11)*CF11*U11,"")</f>
        <v/>
      </c>
      <c r="BB11" s="34" t="str">
        <f ca="1">IFERROR(SUMIFS('TRA balance'!S$5:S$40,'TRA balance'!$C$5:$C$40,Assumptions!$C11,'TRA balance'!$D$5:$D$40,Assumptions!$B11)*CG11*V11,"")</f>
        <v/>
      </c>
      <c r="BC11" s="34" t="str">
        <f ca="1">IFERROR(SUMIFS('TRA balance'!T$5:T$40,'TRA balance'!$C$5:$C$40,Assumptions!$C11,'TRA balance'!$D$5:$D$40,Assumptions!$B11)*CH11*W11,"")</f>
        <v/>
      </c>
      <c r="BD11" s="34" t="str">
        <f ca="1">IFERROR(SUMIFS('TRA balance'!U$5:U$40,'TRA balance'!$C$5:$C$40,Assumptions!$C11,'TRA balance'!$D$5:$D$40,Assumptions!$B11)*CI11*X11,"")</f>
        <v/>
      </c>
      <c r="BE11" s="34" t="str">
        <f ca="1">IFERROR(SUMIFS('TRA balance'!V$5:V$40,'TRA balance'!$C$5:$C$40,Assumptions!$C11,'TRA balance'!$D$5:$D$40,Assumptions!$B11)*CJ11*Y11,"")</f>
        <v/>
      </c>
      <c r="BF11" s="34" t="str">
        <f ca="1">IFERROR(SUMIFS('TRA balance'!W$5:W$40,'TRA balance'!$C$5:$C$40,Assumptions!$C11,'TRA balance'!$D$5:$D$40,Assumptions!$B11)*CK11*Z11,"")</f>
        <v/>
      </c>
      <c r="BG11" s="34" t="str">
        <f ca="1">IFERROR(SUMIFS('TRA balance'!X$5:X$40,'TRA balance'!$C$5:$C$40,Assumptions!$C11,'TRA balance'!$D$5:$D$40,Assumptions!$B11)*CL11*AA11,"")</f>
        <v/>
      </c>
      <c r="BH11" s="34" t="str">
        <f ca="1">IFERROR(SUMIFS('TRA balance'!Y$5:Y$40,'TRA balance'!$C$5:$C$40,Assumptions!$C11,'TRA balance'!$D$5:$D$40,Assumptions!$B11)*CM11*AB11,"")</f>
        <v/>
      </c>
      <c r="BI11" s="34" t="str">
        <f ca="1">IFERROR(SUMIFS('TRA balance'!Z$5:Z$40,'TRA balance'!$C$5:$C$40,Assumptions!$C11,'TRA balance'!$D$5:$D$40,Assumptions!$B11)*CN11*AC11,"")</f>
        <v/>
      </c>
      <c r="BJ11" s="34" t="str">
        <f ca="1">IFERROR(SUMIFS('TRA balance'!AA$5:AA$40,'TRA balance'!$C$5:$C$40,Assumptions!$C11,'TRA balance'!$D$5:$D$40,Assumptions!$B11)*CO11*AD11,"")</f>
        <v/>
      </c>
      <c r="BK11" s="34" t="str">
        <f ca="1">IFERROR(SUMIFS('TRA balance'!AB$5:AB$40,'TRA balance'!$C$5:$C$40,Assumptions!$C11,'TRA balance'!$D$5:$D$40,Assumptions!$B11)*CP11*AE11,"")</f>
        <v/>
      </c>
      <c r="BL11" s="34" t="str">
        <f ca="1">IFERROR(SUMIFS('TRA balance'!AC$5:AC$40,'TRA balance'!$C$5:$C$40,Assumptions!$C11,'TRA balance'!$D$5:$D$40,Assumptions!$B11)*CQ11*AF11,"")</f>
        <v/>
      </c>
      <c r="BM11" s="34" t="str">
        <f ca="1">IFERROR(SUMIFS('TRA balance'!AD$5:AD$40,'TRA balance'!$C$5:$C$40,Assumptions!$C11,'TRA balance'!$D$5:$D$40,Assumptions!$B11)*CR11*AG11,"")</f>
        <v/>
      </c>
      <c r="BN11" s="34" t="str">
        <f ca="1">IFERROR(SUMIFS('TRA balance'!AE$5:AE$40,'TRA balance'!$C$5:$C$40,Assumptions!$C11,'TRA balance'!$D$5:$D$40,Assumptions!$B11)*CS11*AH11,"")</f>
        <v/>
      </c>
      <c r="BO11" s="34" t="str">
        <f ca="1">IFERROR(SUMIFS('TRA balance'!AF$5:AF$40,'TRA balance'!$C$5:$C$40,Assumptions!$C11,'TRA balance'!$D$5:$D$40,Assumptions!$B11)*CT11*AI11,"")</f>
        <v/>
      </c>
      <c r="BP11" s="34" t="str">
        <f ca="1">IFERROR(SUMIFS('TRA balance'!AG$5:AG$40,'TRA balance'!$C$5:$C$40,Assumptions!$C11,'TRA balance'!$D$5:$D$40,Assumptions!$B11)*CU11*AJ11,"")</f>
        <v/>
      </c>
      <c r="BQ11" s="34" t="str">
        <f ca="1">IFERROR(SUMIFS('TRA balance'!AH$5:AH$40,'TRA balance'!$C$5:$C$40,Assumptions!$C11,'TRA balance'!$D$5:$D$40,Assumptions!$B11)*CV11*AK11,"")</f>
        <v/>
      </c>
      <c r="BS11" s="33">
        <f t="shared" si="16"/>
        <v>1</v>
      </c>
      <c r="BT11" s="33">
        <f t="shared" si="17"/>
        <v>1</v>
      </c>
      <c r="BU11" s="33">
        <f t="shared" si="18"/>
        <v>1</v>
      </c>
      <c r="BV11" s="33">
        <f t="shared" si="19"/>
        <v>1</v>
      </c>
      <c r="BW11" s="33">
        <f t="shared" si="20"/>
        <v>1</v>
      </c>
      <c r="BX11" s="33">
        <f t="shared" si="21"/>
        <v>1</v>
      </c>
      <c r="BY11" s="33">
        <f t="shared" si="22"/>
        <v>1</v>
      </c>
      <c r="BZ11" s="33">
        <f t="shared" si="23"/>
        <v>1</v>
      </c>
      <c r="CA11" s="33">
        <f t="shared" si="24"/>
        <v>1</v>
      </c>
      <c r="CB11" s="33">
        <f t="shared" si="25"/>
        <v>1</v>
      </c>
      <c r="CC11" s="33">
        <f t="shared" si="26"/>
        <v>1</v>
      </c>
      <c r="CD11" s="33">
        <f t="shared" si="27"/>
        <v>1</v>
      </c>
      <c r="CE11" s="33">
        <f t="shared" si="28"/>
        <v>1</v>
      </c>
      <c r="CF11" s="33">
        <f t="shared" si="29"/>
        <v>1</v>
      </c>
      <c r="CG11" s="33">
        <f t="shared" si="30"/>
        <v>1</v>
      </c>
      <c r="CH11" s="33">
        <f t="shared" si="31"/>
        <v>1</v>
      </c>
      <c r="CI11" s="33">
        <f t="shared" si="32"/>
        <v>1</v>
      </c>
      <c r="CJ11" s="33">
        <f t="shared" si="33"/>
        <v>1</v>
      </c>
      <c r="CK11" s="33">
        <f t="shared" si="34"/>
        <v>1</v>
      </c>
      <c r="CL11" s="33">
        <f t="shared" si="35"/>
        <v>1</v>
      </c>
      <c r="CM11" s="33">
        <f t="shared" si="36"/>
        <v>1</v>
      </c>
      <c r="CN11" s="33">
        <f t="shared" si="37"/>
        <v>1</v>
      </c>
      <c r="CO11" s="33">
        <f t="shared" si="38"/>
        <v>1</v>
      </c>
      <c r="CP11" s="33">
        <f t="shared" si="39"/>
        <v>1</v>
      </c>
      <c r="CQ11" s="33">
        <f t="shared" si="40"/>
        <v>1</v>
      </c>
      <c r="CR11" s="33">
        <f t="shared" si="41"/>
        <v>1</v>
      </c>
      <c r="CS11" s="33">
        <f t="shared" si="42"/>
        <v>1</v>
      </c>
      <c r="CT11" s="33">
        <f t="shared" si="43"/>
        <v>1</v>
      </c>
      <c r="CU11" s="33">
        <f t="shared" si="44"/>
        <v>1</v>
      </c>
      <c r="CV11" s="33">
        <f t="shared" si="45"/>
        <v>1</v>
      </c>
    </row>
    <row r="12" spans="1:104" x14ac:dyDescent="0.45">
      <c r="A12">
        <v>1</v>
      </c>
      <c r="B12" t="str">
        <f>VLOOKUP(F12,'TRA balance'!$AK$5:$AL$14,2,FALSE)</f>
        <v>TRADST</v>
      </c>
      <c r="C12" s="14">
        <v>2</v>
      </c>
      <c r="D12" s="15" t="s">
        <v>16</v>
      </c>
      <c r="E12" s="15" t="s">
        <v>70</v>
      </c>
      <c r="F12" s="16" t="str">
        <f>F11</f>
        <v>Diesel</v>
      </c>
      <c r="G12" s="14"/>
      <c r="H12" s="21">
        <f ca="1">1-H6</f>
        <v>0.9</v>
      </c>
      <c r="I12" s="21">
        <f t="shared" ref="I12:X12" ca="1" si="56">1-I6</f>
        <v>0.9</v>
      </c>
      <c r="J12" s="21">
        <f t="shared" ca="1" si="56"/>
        <v>0.92999999999999994</v>
      </c>
      <c r="K12" s="21">
        <f t="shared" ca="1" si="56"/>
        <v>0.95</v>
      </c>
      <c r="L12" s="21">
        <f t="shared" ca="1" si="56"/>
        <v>0.95</v>
      </c>
      <c r="M12" s="21">
        <f t="shared" ca="1" si="56"/>
        <v>0.92</v>
      </c>
      <c r="N12" s="21">
        <f t="shared" ca="1" si="56"/>
        <v>0.98</v>
      </c>
      <c r="O12" s="21">
        <f t="shared" ca="1" si="56"/>
        <v>0.92999999999999994</v>
      </c>
      <c r="P12" s="21">
        <f t="shared" ca="1" si="56"/>
        <v>0.98</v>
      </c>
      <c r="Q12" s="21">
        <f t="shared" ca="1" si="56"/>
        <v>0.9</v>
      </c>
      <c r="R12" s="21">
        <f t="shared" ca="1" si="56"/>
        <v>0.54657475750985407</v>
      </c>
      <c r="S12" s="21">
        <f t="shared" ca="1" si="56"/>
        <v>0.64948690066960857</v>
      </c>
      <c r="T12" s="21">
        <f t="shared" ca="1" si="56"/>
        <v>0.54657475750985407</v>
      </c>
      <c r="U12" s="21">
        <f t="shared" ca="1" si="56"/>
        <v>0.54657475750985407</v>
      </c>
      <c r="V12" s="21">
        <f t="shared" ca="1" si="56"/>
        <v>0.64948690066960857</v>
      </c>
      <c r="W12" s="21">
        <f t="shared" ca="1" si="56"/>
        <v>0.54657475750985407</v>
      </c>
      <c r="X12" s="21">
        <f t="shared" ca="1" si="56"/>
        <v>0.9</v>
      </c>
      <c r="Y12" s="21">
        <f t="shared" ref="Y12:Z12" ca="1" si="57">1-Y6</f>
        <v>0.54657475750985407</v>
      </c>
      <c r="Z12" s="21">
        <f t="shared" ca="1" si="57"/>
        <v>0.54657475750985407</v>
      </c>
      <c r="AA12" s="21">
        <f t="shared" ref="AA12:AK12" ca="1" si="58">1-AA6</f>
        <v>0.75</v>
      </c>
      <c r="AB12" s="21">
        <f t="shared" ca="1" si="58"/>
        <v>0.92999999999999994</v>
      </c>
      <c r="AC12" s="21">
        <f t="shared" ca="1" si="58"/>
        <v>0.85</v>
      </c>
      <c r="AD12" s="21">
        <f t="shared" ca="1" si="58"/>
        <v>0.9</v>
      </c>
      <c r="AE12" s="21">
        <f t="shared" ca="1" si="58"/>
        <v>0.54657475750985407</v>
      </c>
      <c r="AF12" s="21">
        <f t="shared" ca="1" si="58"/>
        <v>0.95</v>
      </c>
      <c r="AG12" s="21">
        <f t="shared" ca="1" si="58"/>
        <v>0.9</v>
      </c>
      <c r="AH12" s="21">
        <f t="shared" ca="1" si="58"/>
        <v>0.9</v>
      </c>
      <c r="AI12" s="21">
        <f t="shared" ca="1" si="58"/>
        <v>0.54657475750985407</v>
      </c>
      <c r="AJ12" s="21">
        <f t="shared" ca="1" si="58"/>
        <v>0.97559357817738346</v>
      </c>
      <c r="AK12" s="21">
        <f t="shared" ca="1" si="58"/>
        <v>0.97559357817738346</v>
      </c>
      <c r="AN12" s="34">
        <f ca="1">IFERROR(SUMIFS('TRA balance'!E$5:E$40,'TRA balance'!$C$5:$C$40,Assumptions!$C12,'TRA balance'!$D$5:$D$40,Assumptions!$B12)*BS12*H12,"")</f>
        <v>0</v>
      </c>
      <c r="AO12" s="34">
        <f ca="1">IFERROR(SUMIFS('TRA balance'!F$5:F$40,'TRA balance'!$C$5:$C$40,Assumptions!$C12,'TRA balance'!$D$5:$D$40,Assumptions!$B12)*BT12*I12,"")</f>
        <v>0</v>
      </c>
      <c r="AP12" s="34">
        <f ca="1">IFERROR(SUMIFS('TRA balance'!G$5:G$40,'TRA balance'!$C$5:$C$40,Assumptions!$C12,'TRA balance'!$D$5:$D$40,Assumptions!$B12)*BU12*J12,"")</f>
        <v>0</v>
      </c>
      <c r="AQ12" s="34">
        <f ca="1">IFERROR(SUMIFS('TRA balance'!H$5:H$40,'TRA balance'!$C$5:$C$40,Assumptions!$C12,'TRA balance'!$D$5:$D$40,Assumptions!$B12)*BV12*K12,"")</f>
        <v>0</v>
      </c>
      <c r="AR12" s="34">
        <f ca="1">IFERROR(SUMIFS('TRA balance'!I$5:I$40,'TRA balance'!$C$5:$C$40,Assumptions!$C12,'TRA balance'!$D$5:$D$40,Assumptions!$B12)*BW12*L12,"")</f>
        <v>0</v>
      </c>
      <c r="AS12" s="34">
        <f ca="1">IFERROR(SUMIFS('TRA balance'!J$5:J$40,'TRA balance'!$C$5:$C$40,Assumptions!$C12,'TRA balance'!$D$5:$D$40,Assumptions!$B12)*BX12*M12,"")</f>
        <v>0</v>
      </c>
      <c r="AT12" s="34">
        <f ca="1">IFERROR(SUMIFS('TRA balance'!K$5:K$40,'TRA balance'!$C$5:$C$40,Assumptions!$C12,'TRA balance'!$D$5:$D$40,Assumptions!$B12)*BY12*N12,"")</f>
        <v>0</v>
      </c>
      <c r="AU12" s="34">
        <f ca="1">IFERROR(SUMIFS('TRA balance'!L$5:L$40,'TRA balance'!$C$5:$C$40,Assumptions!$C12,'TRA balance'!$D$5:$D$40,Assumptions!$B12)*BZ12*O12,"")</f>
        <v>0</v>
      </c>
      <c r="AV12" s="34">
        <f ca="1">IFERROR(SUMIFS('TRA balance'!M$5:M$40,'TRA balance'!$C$5:$C$40,Assumptions!$C12,'TRA balance'!$D$5:$D$40,Assumptions!$B12)*CA12*P12,"")</f>
        <v>0</v>
      </c>
      <c r="AW12" s="34">
        <f ca="1">IFERROR(SUMIFS('TRA balance'!N$5:N$40,'TRA balance'!$C$5:$C$40,Assumptions!$C12,'TRA balance'!$D$5:$D$40,Assumptions!$B12)*CB12*Q12,"")</f>
        <v>0</v>
      </c>
      <c r="AX12" s="34">
        <f ca="1">IFERROR(SUMIFS('TRA balance'!O$5:O$40,'TRA balance'!$C$5:$C$40,Assumptions!$C12,'TRA balance'!$D$5:$D$40,Assumptions!$B12)*CC12*R12,"")</f>
        <v>0</v>
      </c>
      <c r="AY12" s="34">
        <f ca="1">IFERROR(SUMIFS('TRA balance'!P$5:P$40,'TRA balance'!$C$5:$C$40,Assumptions!$C12,'TRA balance'!$D$5:$D$40,Assumptions!$B12)*CD12*S12,"")</f>
        <v>0</v>
      </c>
      <c r="AZ12" s="34">
        <f ca="1">IFERROR(SUMIFS('TRA balance'!Q$5:Q$40,'TRA balance'!$C$5:$C$40,Assumptions!$C12,'TRA balance'!$D$5:$D$40,Assumptions!$B12)*CE12*T12,"")</f>
        <v>0</v>
      </c>
      <c r="BA12" s="34">
        <f ca="1">IFERROR(SUMIFS('TRA balance'!R$5:R$40,'TRA balance'!$C$5:$C$40,Assumptions!$C12,'TRA balance'!$D$5:$D$40,Assumptions!$B12)*CF12*U12,"")</f>
        <v>0</v>
      </c>
      <c r="BB12" s="34">
        <f ca="1">IFERROR(SUMIFS('TRA balance'!S$5:S$40,'TRA balance'!$C$5:$C$40,Assumptions!$C12,'TRA balance'!$D$5:$D$40,Assumptions!$B12)*CG12*V12,"")</f>
        <v>0</v>
      </c>
      <c r="BC12" s="34">
        <f ca="1">IFERROR(SUMIFS('TRA balance'!T$5:T$40,'TRA balance'!$C$5:$C$40,Assumptions!$C12,'TRA balance'!$D$5:$D$40,Assumptions!$B12)*CH12*W12,"")</f>
        <v>0</v>
      </c>
      <c r="BD12" s="34">
        <f ca="1">IFERROR(SUMIFS('TRA balance'!U$5:U$40,'TRA balance'!$C$5:$C$40,Assumptions!$C12,'TRA balance'!$D$5:$D$40,Assumptions!$B12)*CI12*X12,"")</f>
        <v>0</v>
      </c>
      <c r="BE12" s="34">
        <f ca="1">IFERROR(SUMIFS('TRA balance'!V$5:V$40,'TRA balance'!$C$5:$C$40,Assumptions!$C12,'TRA balance'!$D$5:$D$40,Assumptions!$B12)*CJ12*Y12,"")</f>
        <v>0</v>
      </c>
      <c r="BF12" s="34">
        <f ca="1">IFERROR(SUMIFS('TRA balance'!W$5:W$40,'TRA balance'!$C$5:$C$40,Assumptions!$C12,'TRA balance'!$D$5:$D$40,Assumptions!$B12)*CK12*Z12,"")</f>
        <v>0</v>
      </c>
      <c r="BG12" s="34">
        <f ca="1">IFERROR(SUMIFS('TRA balance'!X$5:X$40,'TRA balance'!$C$5:$C$40,Assumptions!$C12,'TRA balance'!$D$5:$D$40,Assumptions!$B12)*CL12*AA12,"")</f>
        <v>0</v>
      </c>
      <c r="BH12" s="34">
        <f ca="1">IFERROR(SUMIFS('TRA balance'!Y$5:Y$40,'TRA balance'!$C$5:$C$40,Assumptions!$C12,'TRA balance'!$D$5:$D$40,Assumptions!$B12)*CM12*AB12,"")</f>
        <v>0</v>
      </c>
      <c r="BI12" s="34">
        <f ca="1">IFERROR(SUMIFS('TRA balance'!Z$5:Z$40,'TRA balance'!$C$5:$C$40,Assumptions!$C12,'TRA balance'!$D$5:$D$40,Assumptions!$B12)*CN12*AC12,"")</f>
        <v>0</v>
      </c>
      <c r="BJ12" s="34">
        <f ca="1">IFERROR(SUMIFS('TRA balance'!AA$5:AA$40,'TRA balance'!$C$5:$C$40,Assumptions!$C12,'TRA balance'!$D$5:$D$40,Assumptions!$B12)*CO12*AD12,"")</f>
        <v>0</v>
      </c>
      <c r="BK12" s="34">
        <f ca="1">IFERROR(SUMIFS('TRA balance'!AB$5:AB$40,'TRA balance'!$C$5:$C$40,Assumptions!$C12,'TRA balance'!$D$5:$D$40,Assumptions!$B12)*CP12*AE12,"")</f>
        <v>0</v>
      </c>
      <c r="BL12" s="34">
        <f ca="1">IFERROR(SUMIFS('TRA balance'!AC$5:AC$40,'TRA balance'!$C$5:$C$40,Assumptions!$C12,'TRA balance'!$D$5:$D$40,Assumptions!$B12)*CQ12*AF12,"")</f>
        <v>0</v>
      </c>
      <c r="BM12" s="34">
        <f ca="1">IFERROR(SUMIFS('TRA balance'!AD$5:AD$40,'TRA balance'!$C$5:$C$40,Assumptions!$C12,'TRA balance'!$D$5:$D$40,Assumptions!$B12)*CR12*AG12,"")</f>
        <v>0</v>
      </c>
      <c r="BN12" s="34">
        <f ca="1">IFERROR(SUMIFS('TRA balance'!AE$5:AE$40,'TRA balance'!$C$5:$C$40,Assumptions!$C12,'TRA balance'!$D$5:$D$40,Assumptions!$B12)*CS12*AH12,"")</f>
        <v>0</v>
      </c>
      <c r="BO12" s="34">
        <f ca="1">IFERROR(SUMIFS('TRA balance'!AF$5:AF$40,'TRA balance'!$C$5:$C$40,Assumptions!$C12,'TRA balance'!$D$5:$D$40,Assumptions!$B12)*CT12*AI12,"")</f>
        <v>0</v>
      </c>
      <c r="BP12" s="34">
        <f ca="1">IFERROR(SUMIFS('TRA balance'!AG$5:AG$40,'TRA balance'!$C$5:$C$40,Assumptions!$C12,'TRA balance'!$D$5:$D$40,Assumptions!$B12)*CU12*AJ12,"")</f>
        <v>0</v>
      </c>
      <c r="BQ12" s="34">
        <f ca="1">IFERROR(SUMIFS('TRA balance'!AH$5:AH$40,'TRA balance'!$C$5:$C$40,Assumptions!$C12,'TRA balance'!$D$5:$D$40,Assumptions!$B12)*CV12*AK12,"")</f>
        <v>0</v>
      </c>
      <c r="BS12" s="33">
        <f t="shared" si="16"/>
        <v>1</v>
      </c>
      <c r="BT12" s="33">
        <f t="shared" si="17"/>
        <v>1</v>
      </c>
      <c r="BU12" s="33">
        <f t="shared" si="18"/>
        <v>1</v>
      </c>
      <c r="BV12" s="33">
        <f t="shared" si="19"/>
        <v>1</v>
      </c>
      <c r="BW12" s="33">
        <f t="shared" si="20"/>
        <v>1</v>
      </c>
      <c r="BX12" s="33">
        <f t="shared" si="21"/>
        <v>1</v>
      </c>
      <c r="BY12" s="33">
        <f t="shared" si="22"/>
        <v>1</v>
      </c>
      <c r="BZ12" s="33">
        <f t="shared" si="23"/>
        <v>1</v>
      </c>
      <c r="CA12" s="33">
        <f t="shared" si="24"/>
        <v>1</v>
      </c>
      <c r="CB12" s="33">
        <f t="shared" si="25"/>
        <v>1</v>
      </c>
      <c r="CC12" s="33">
        <f t="shared" si="26"/>
        <v>1</v>
      </c>
      <c r="CD12" s="33">
        <f t="shared" si="27"/>
        <v>1</v>
      </c>
      <c r="CE12" s="33">
        <f t="shared" si="28"/>
        <v>1</v>
      </c>
      <c r="CF12" s="33">
        <f t="shared" si="29"/>
        <v>1</v>
      </c>
      <c r="CG12" s="33">
        <f t="shared" si="30"/>
        <v>1</v>
      </c>
      <c r="CH12" s="33">
        <f t="shared" si="31"/>
        <v>1</v>
      </c>
      <c r="CI12" s="33">
        <f t="shared" si="32"/>
        <v>1</v>
      </c>
      <c r="CJ12" s="33">
        <f t="shared" si="33"/>
        <v>1</v>
      </c>
      <c r="CK12" s="33">
        <f t="shared" si="34"/>
        <v>1</v>
      </c>
      <c r="CL12" s="33">
        <f t="shared" si="35"/>
        <v>1</v>
      </c>
      <c r="CM12" s="33">
        <f t="shared" si="36"/>
        <v>1</v>
      </c>
      <c r="CN12" s="33">
        <f t="shared" si="37"/>
        <v>1</v>
      </c>
      <c r="CO12" s="33">
        <f t="shared" si="38"/>
        <v>1</v>
      </c>
      <c r="CP12" s="33">
        <f t="shared" si="39"/>
        <v>1</v>
      </c>
      <c r="CQ12" s="33">
        <f t="shared" si="40"/>
        <v>1</v>
      </c>
      <c r="CR12" s="33">
        <f t="shared" si="41"/>
        <v>1</v>
      </c>
      <c r="CS12" s="33">
        <f t="shared" si="42"/>
        <v>1</v>
      </c>
      <c r="CT12" s="33">
        <f t="shared" si="43"/>
        <v>1</v>
      </c>
      <c r="CU12" s="33">
        <f t="shared" si="44"/>
        <v>1</v>
      </c>
      <c r="CV12" s="33">
        <f t="shared" si="45"/>
        <v>1</v>
      </c>
    </row>
    <row r="13" spans="1:104" x14ac:dyDescent="0.45">
      <c r="A13">
        <v>2</v>
      </c>
      <c r="B13" t="str">
        <f>VLOOKUP(F13,'TRA balance'!$AK$5:$AL$14,2,FALSE)</f>
        <v>TRADST</v>
      </c>
      <c r="C13" s="6" t="str">
        <f t="shared" si="46"/>
        <v>TR</v>
      </c>
      <c r="D13" s="7" t="s">
        <v>16</v>
      </c>
      <c r="E13" s="18" t="s">
        <v>71</v>
      </c>
      <c r="F13" s="8" t="str">
        <f>F12</f>
        <v>Diesel</v>
      </c>
      <c r="G13" s="6" t="s">
        <v>72</v>
      </c>
      <c r="H13" s="9">
        <f ca="1">OFFSET(TIAM15_assumptions!$G13,0,MATCH(VLOOKUP(Assumptions!H$2,TIAM15_assumptions!$Y$3:$Z$36,2,FALSE),TIAM15_assumptions!$H$2:$V$2,0))</f>
        <v>0.35</v>
      </c>
      <c r="I13" s="9">
        <f ca="1">OFFSET(TIAM15_assumptions!$G13,0,MATCH(VLOOKUP(Assumptions!I$2,TIAM15_assumptions!$Y$3:$Z$36,2,FALSE),TIAM15_assumptions!$H$2:$V$2,0))</f>
        <v>0.35</v>
      </c>
      <c r="J13" s="9">
        <f ca="1">OFFSET(TIAM15_assumptions!$G13,0,MATCH(VLOOKUP(Assumptions!J$2,TIAM15_assumptions!$Y$3:$Z$36,2,FALSE),TIAM15_assumptions!$H$2:$V$2,0))</f>
        <v>0.1</v>
      </c>
      <c r="K13" s="9">
        <f ca="1">OFFSET(TIAM15_assumptions!$G13,0,MATCH(VLOOKUP(Assumptions!K$2,TIAM15_assumptions!$Y$3:$Z$36,2,FALSE),TIAM15_assumptions!$H$2:$V$2,0))</f>
        <v>0.1</v>
      </c>
      <c r="L13" s="9">
        <f ca="1">OFFSET(TIAM15_assumptions!$G13,0,MATCH(VLOOKUP(Assumptions!L$2,TIAM15_assumptions!$Y$3:$Z$36,2,FALSE),TIAM15_assumptions!$H$2:$V$2,0))</f>
        <v>0.05</v>
      </c>
      <c r="M13" s="9">
        <f ca="1">OFFSET(TIAM15_assumptions!$G13,0,MATCH(VLOOKUP(Assumptions!M$2,TIAM15_assumptions!$Y$3:$Z$36,2,FALSE),TIAM15_assumptions!$H$2:$V$2,0))</f>
        <v>0.15</v>
      </c>
      <c r="N13" s="9">
        <f ca="1">OFFSET(TIAM15_assumptions!$G13,0,MATCH(VLOOKUP(Assumptions!N$2,TIAM15_assumptions!$Y$3:$Z$36,2,FALSE),TIAM15_assumptions!$H$2:$V$2,0))</f>
        <v>0.15</v>
      </c>
      <c r="O13" s="9">
        <f ca="1">OFFSET(TIAM15_assumptions!$G13,0,MATCH(VLOOKUP(Assumptions!O$2,TIAM15_assumptions!$Y$3:$Z$36,2,FALSE),TIAM15_assumptions!$H$2:$V$2,0))</f>
        <v>0.1</v>
      </c>
      <c r="P13" s="9">
        <f ca="1">OFFSET(TIAM15_assumptions!$G13,0,MATCH(VLOOKUP(Assumptions!P$2,TIAM15_assumptions!$Y$3:$Z$36,2,FALSE),TIAM15_assumptions!$H$2:$V$2,0))</f>
        <v>0.05</v>
      </c>
      <c r="Q13" s="9">
        <f ca="1">OFFSET(TIAM15_assumptions!$G13,0,MATCH(VLOOKUP(Assumptions!Q$2,TIAM15_assumptions!$Y$3:$Z$36,2,FALSE),TIAM15_assumptions!$H$2:$V$2,0))</f>
        <v>0.35</v>
      </c>
      <c r="R13" s="9">
        <f ca="1">OFFSET(TIAM15_assumptions!$G13,0,MATCH(VLOOKUP(Assumptions!R$2,TIAM15_assumptions!$Y$3:$Z$36,2,FALSE),TIAM15_assumptions!$H$2:$V$2,0))</f>
        <v>0.11108623896935482</v>
      </c>
      <c r="S13" s="9">
        <f ca="1">OFFSET(TIAM15_assumptions!$G13,0,MATCH(VLOOKUP(Assumptions!S$2,TIAM15_assumptions!$Y$3:$Z$36,2,FALSE),TIAM15_assumptions!$H$2:$V$2,0))</f>
        <v>0.18784871177674334</v>
      </c>
      <c r="T13" s="9">
        <f ca="1">OFFSET(TIAM15_assumptions!$G13,0,MATCH(VLOOKUP(Assumptions!T$2,TIAM15_assumptions!$Y$3:$Z$36,2,FALSE),TIAM15_assumptions!$H$2:$V$2,0))</f>
        <v>0.11108623896935482</v>
      </c>
      <c r="U13" s="9">
        <f ca="1">OFFSET(TIAM15_assumptions!$G13,0,MATCH(VLOOKUP(Assumptions!U$2,TIAM15_assumptions!$Y$3:$Z$36,2,FALSE),TIAM15_assumptions!$H$2:$V$2,0))</f>
        <v>0.11108623896935482</v>
      </c>
      <c r="V13" s="9">
        <f ca="1">OFFSET(TIAM15_assumptions!$G13,0,MATCH(VLOOKUP(Assumptions!V$2,TIAM15_assumptions!$Y$3:$Z$36,2,FALSE),TIAM15_assumptions!$H$2:$V$2,0))</f>
        <v>0.18784871177674334</v>
      </c>
      <c r="W13" s="9">
        <f ca="1">OFFSET(TIAM15_assumptions!$G13,0,MATCH(VLOOKUP(Assumptions!W$2,TIAM15_assumptions!$Y$3:$Z$36,2,FALSE),TIAM15_assumptions!$H$2:$V$2,0))</f>
        <v>0.11108623896935482</v>
      </c>
      <c r="X13" s="9">
        <f ca="1">OFFSET(TIAM15_assumptions!$G13,0,MATCH(VLOOKUP(Assumptions!X$2,TIAM15_assumptions!$Y$3:$Z$36,2,FALSE),TIAM15_assumptions!$H$2:$V$2,0))</f>
        <v>0.1</v>
      </c>
      <c r="Y13" s="9">
        <f ca="1">OFFSET(TIAM15_assumptions!$G13,0,MATCH(VLOOKUP(Assumptions!Y$2,TIAM15_assumptions!$Y$3:$Z$36,2,FALSE),TIAM15_assumptions!$H$2:$V$2,0))</f>
        <v>0.11108623896935482</v>
      </c>
      <c r="Z13" s="9">
        <f ca="1">OFFSET(TIAM15_assumptions!$G13,0,MATCH(VLOOKUP(Assumptions!Z$2,TIAM15_assumptions!$Y$3:$Z$36,2,FALSE),TIAM15_assumptions!$H$2:$V$2,0))</f>
        <v>0.11108623896935482</v>
      </c>
      <c r="AA13" s="9">
        <f ca="1">OFFSET(TIAM15_assumptions!$G13,0,MATCH(VLOOKUP(Assumptions!AA$2,TIAM15_assumptions!$Y$3:$Z$36,2,FALSE),TIAM15_assumptions!$H$2:$V$2,0))</f>
        <v>0.25</v>
      </c>
      <c r="AB13" s="9">
        <f ca="1">OFFSET(TIAM15_assumptions!$G13,0,MATCH(VLOOKUP(Assumptions!AB$2,TIAM15_assumptions!$Y$3:$Z$36,2,FALSE),TIAM15_assumptions!$H$2:$V$2,0))</f>
        <v>0.1</v>
      </c>
      <c r="AC13" s="9">
        <f ca="1">OFFSET(TIAM15_assumptions!$G13,0,MATCH(VLOOKUP(Assumptions!AC$2,TIAM15_assumptions!$Y$3:$Z$36,2,FALSE),TIAM15_assumptions!$H$2:$V$2,0))</f>
        <v>0.1</v>
      </c>
      <c r="AD13" s="9">
        <f ca="1">OFFSET(TIAM15_assumptions!$G13,0,MATCH(VLOOKUP(Assumptions!AD$2,TIAM15_assumptions!$Y$3:$Z$36,2,FALSE),TIAM15_assumptions!$H$2:$V$2,0))</f>
        <v>0.1</v>
      </c>
      <c r="AE13" s="9">
        <f ca="1">OFFSET(TIAM15_assumptions!$G13,0,MATCH(VLOOKUP(Assumptions!AE$2,TIAM15_assumptions!$Y$3:$Z$36,2,FALSE),TIAM15_assumptions!$H$2:$V$2,0))</f>
        <v>0.11108623896935482</v>
      </c>
      <c r="AF13" s="9">
        <f ca="1">OFFSET(TIAM15_assumptions!$G13,0,MATCH(VLOOKUP(Assumptions!AF$2,TIAM15_assumptions!$Y$3:$Z$36,2,FALSE),TIAM15_assumptions!$H$2:$V$2,0))</f>
        <v>0.1</v>
      </c>
      <c r="AG13" s="9">
        <f ca="1">OFFSET(TIAM15_assumptions!$G13,0,MATCH(VLOOKUP(Assumptions!AG$2,TIAM15_assumptions!$Y$3:$Z$36,2,FALSE),TIAM15_assumptions!$H$2:$V$2,0))</f>
        <v>0.1</v>
      </c>
      <c r="AH13" s="9">
        <f ca="1">OFFSET(TIAM15_assumptions!$G13,0,MATCH(VLOOKUP(Assumptions!AH$2,TIAM15_assumptions!$Y$3:$Z$36,2,FALSE),TIAM15_assumptions!$H$2:$V$2,0))</f>
        <v>0.35</v>
      </c>
      <c r="AI13" s="9">
        <f ca="1">OFFSET(TIAM15_assumptions!$G13,0,MATCH(VLOOKUP(Assumptions!AI$2,TIAM15_assumptions!$Y$3:$Z$36,2,FALSE),TIAM15_assumptions!$H$2:$V$2,0))</f>
        <v>0.11108623896935482</v>
      </c>
      <c r="AJ13" s="9">
        <f ca="1">OFFSET(TIAM15_assumptions!$G13,0,MATCH(VLOOKUP(Assumptions!AJ$2,TIAM15_assumptions!$Y$3:$Z$36,2,FALSE),TIAM15_assumptions!$H$2:$V$2,0))</f>
        <v>0.04</v>
      </c>
      <c r="AK13" s="9">
        <f ca="1">OFFSET(TIAM15_assumptions!$G13,0,MATCH(VLOOKUP(Assumptions!AK$2,TIAM15_assumptions!$Y$3:$Z$36,2,FALSE),TIAM15_assumptions!$H$2:$V$2,0))</f>
        <v>0.04</v>
      </c>
      <c r="AN13" s="34">
        <f ca="1">IFERROR(SUMIFS('TRA balance'!E$5:E$40,'TRA balance'!$C$5:$C$40,Assumptions!$C13,'TRA balance'!$D$5:$D$40,Assumptions!$B13)*BS13*H13,"")</f>
        <v>350.28647281088996</v>
      </c>
      <c r="AO13" s="34">
        <f ca="1">IFERROR(SUMIFS('TRA balance'!F$5:F$40,'TRA balance'!$C$5:$C$40,Assumptions!$C13,'TRA balance'!$D$5:$D$40,Assumptions!$B13)*BT13*I13,"")</f>
        <v>311.291700338304</v>
      </c>
      <c r="AP13" s="34">
        <f ca="1">IFERROR(SUMIFS('TRA balance'!G$5:G$40,'TRA balance'!$C$5:$C$40,Assumptions!$C13,'TRA balance'!$D$5:$D$40,Assumptions!$B13)*BU13*J13,"")</f>
        <v>44.083751007124803</v>
      </c>
      <c r="AQ13" s="34">
        <f ca="1">IFERROR(SUMIFS('TRA balance'!H$5:H$40,'TRA balance'!$C$5:$C$40,Assumptions!$C13,'TRA balance'!$D$5:$D$40,Assumptions!$B13)*BV13*K13,"")</f>
        <v>18.698044232951997</v>
      </c>
      <c r="AR13" s="34">
        <f ca="1">IFERROR(SUMIFS('TRA balance'!I$5:I$40,'TRA balance'!$C$5:$C$40,Assumptions!$C13,'TRA balance'!$D$5:$D$40,Assumptions!$B13)*BW13*L13,"")</f>
        <v>81.481913640963</v>
      </c>
      <c r="AS13" s="34">
        <f ca="1">IFERROR(SUMIFS('TRA balance'!J$5:J$40,'TRA balance'!$C$5:$C$40,Assumptions!$C13,'TRA balance'!$D$5:$D$40,Assumptions!$B13)*BX13*M13,"")</f>
        <v>391.4205397960248</v>
      </c>
      <c r="AT13" s="34">
        <f ca="1">IFERROR(SUMIFS('TRA balance'!K$5:K$40,'TRA balance'!$C$5:$C$40,Assumptions!$C13,'TRA balance'!$D$5:$D$40,Assumptions!$B13)*BY13*N13,"")</f>
        <v>99.221797626109193</v>
      </c>
      <c r="AU13" s="34">
        <f ca="1">IFERROR(SUMIFS('TRA balance'!L$5:L$40,'TRA balance'!$C$5:$C$40,Assumptions!$C13,'TRA balance'!$D$5:$D$40,Assumptions!$B13)*BZ13*O13,"")</f>
        <v>133.5472214276592</v>
      </c>
      <c r="AV13" s="34">
        <f ca="1">IFERROR(SUMIFS('TRA balance'!M$5:M$40,'TRA balance'!$C$5:$C$40,Assumptions!$C13,'TRA balance'!$D$5:$D$40,Assumptions!$B13)*CA13*P13,"")</f>
        <v>31.596869506910402</v>
      </c>
      <c r="AW13" s="34">
        <f ca="1">IFERROR(SUMIFS('TRA balance'!N$5:N$40,'TRA balance'!$C$5:$C$40,Assumptions!$C13,'TRA balance'!$D$5:$D$40,Assumptions!$B13)*CB13*Q13,"")</f>
        <v>1248.0497569941658</v>
      </c>
      <c r="AX13" s="34">
        <f ca="1">IFERROR(SUMIFS('TRA balance'!O$5:O$40,'TRA balance'!$C$5:$C$40,Assumptions!$C13,'TRA balance'!$D$5:$D$40,Assumptions!$B13)*CC13*R13,"")</f>
        <v>19.578959552735483</v>
      </c>
      <c r="AY13" s="34">
        <f ca="1">IFERROR(SUMIFS('TRA balance'!P$5:P$40,'TRA balance'!$C$5:$C$40,Assumptions!$C13,'TRA balance'!$D$5:$D$40,Assumptions!$B13)*CD13*S13,"")</f>
        <v>150.17842059076813</v>
      </c>
      <c r="AZ13" s="34">
        <f ca="1">IFERROR(SUMIFS('TRA balance'!Q$5:Q$40,'TRA balance'!$C$5:$C$40,Assumptions!$C13,'TRA balance'!$D$5:$D$40,Assumptions!$B13)*CE13*T13,"")</f>
        <v>40.776085356553125</v>
      </c>
      <c r="BA13" s="34">
        <f ca="1">IFERROR(SUMIFS('TRA balance'!R$5:R$40,'TRA balance'!$C$5:$C$40,Assumptions!$C13,'TRA balance'!$D$5:$D$40,Assumptions!$B13)*CF13*U13,"")</f>
        <v>61.469383375637335</v>
      </c>
      <c r="BB13" s="34">
        <f ca="1">IFERROR(SUMIFS('TRA balance'!S$5:S$40,'TRA balance'!$C$5:$C$40,Assumptions!$C13,'TRA balance'!$D$5:$D$40,Assumptions!$B13)*CG13*V13,"")</f>
        <v>63.849937773341516</v>
      </c>
      <c r="BC13" s="34">
        <f ca="1">IFERROR(SUMIFS('TRA balance'!T$5:T$40,'TRA balance'!$C$5:$C$40,Assumptions!$C13,'TRA balance'!$D$5:$D$40,Assumptions!$B13)*CH13*W13,"")</f>
        <v>65.221056055398662</v>
      </c>
      <c r="BD13" s="34">
        <f ca="1">IFERROR(SUMIFS('TRA balance'!U$5:U$40,'TRA balance'!$C$5:$C$40,Assumptions!$C13,'TRA balance'!$D$5:$D$40,Assumptions!$B13)*CI13*X13,"")</f>
        <v>125.145952859376</v>
      </c>
      <c r="BE13" s="34">
        <f ca="1">IFERROR(SUMIFS('TRA balance'!V$5:V$40,'TRA balance'!$C$5:$C$40,Assumptions!$C13,'TRA balance'!$D$5:$D$40,Assumptions!$B13)*CJ13*Y13,"")</f>
        <v>78.106271580544075</v>
      </c>
      <c r="BF13" s="34">
        <f ca="1">IFERROR(SUMIFS('TRA balance'!W$5:W$40,'TRA balance'!$C$5:$C$40,Assumptions!$C13,'TRA balance'!$D$5:$D$40,Assumptions!$B13)*CK13*Z13,"")</f>
        <v>84.352287827964986</v>
      </c>
      <c r="BG13" s="34">
        <f ca="1">IFERROR(SUMIFS('TRA balance'!X$5:X$40,'TRA balance'!$C$5:$C$40,Assumptions!$C13,'TRA balance'!$D$5:$D$40,Assumptions!$B13)*CL13*AA13,"")</f>
        <v>456.31104763117503</v>
      </c>
      <c r="BH13" s="34">
        <f ca="1">IFERROR(SUMIFS('TRA balance'!Y$5:Y$40,'TRA balance'!$C$5:$C$40,Assumptions!$C13,'TRA balance'!$D$5:$D$40,Assumptions!$B13)*CM13*AB13,"")</f>
        <v>93.032467183872001</v>
      </c>
      <c r="BI13" s="34">
        <f ca="1">IFERROR(SUMIFS('TRA balance'!Z$5:Z$40,'TRA balance'!$C$5:$C$40,Assumptions!$C13,'TRA balance'!$D$5:$D$40,Assumptions!$B13)*CN13*AC13,"")</f>
        <v>43.960786550064</v>
      </c>
      <c r="BJ13" s="34">
        <f ca="1">IFERROR(SUMIFS('TRA balance'!AA$5:AA$40,'TRA balance'!$C$5:$C$40,Assumptions!$C13,'TRA balance'!$D$5:$D$40,Assumptions!$B13)*CO13*AD13,"")</f>
        <v>134.798933515752</v>
      </c>
      <c r="BK13" s="34">
        <f ca="1">IFERROR(SUMIFS('TRA balance'!AB$5:AB$40,'TRA balance'!$C$5:$C$40,Assumptions!$C13,'TRA balance'!$D$5:$D$40,Assumptions!$B13)*CP13*AE13,"")</f>
        <v>5.8473295779825722</v>
      </c>
      <c r="BL13" s="34">
        <f ca="1">IFERROR(SUMIFS('TRA balance'!AC$5:AC$40,'TRA balance'!$C$5:$C$40,Assumptions!$C13,'TRA balance'!$D$5:$D$40,Assumptions!$B13)*CQ13*AF13,"")</f>
        <v>58.567455344717999</v>
      </c>
      <c r="BM13" s="34">
        <f ca="1">IFERROR(SUMIFS('TRA balance'!AD$5:AD$40,'TRA balance'!$C$5:$C$40,Assumptions!$C13,'TRA balance'!$D$5:$D$40,Assumptions!$B13)*CR13*AG13,"")</f>
        <v>76.661885167560001</v>
      </c>
      <c r="BN13" s="34">
        <f ca="1">IFERROR(SUMIFS('TRA balance'!AE$5:AE$40,'TRA balance'!$C$5:$C$40,Assumptions!$C13,'TRA balance'!$D$5:$D$40,Assumptions!$B13)*CS13*AH13,"")</f>
        <v>109.34538013324799</v>
      </c>
      <c r="BO13" s="34">
        <f ca="1">IFERROR(SUMIFS('TRA balance'!AF$5:AF$40,'TRA balance'!$C$5:$C$40,Assumptions!$C13,'TRA balance'!$D$5:$D$40,Assumptions!$B13)*CT13*AI13,"")</f>
        <v>61.926911955030597</v>
      </c>
      <c r="BP13" s="34">
        <f ca="1">IFERROR(SUMIFS('TRA balance'!AG$5:AG$40,'TRA balance'!$C$5:$C$40,Assumptions!$C13,'TRA balance'!$D$5:$D$40,Assumptions!$B13)*CU13*AJ13,"")</f>
        <v>200.50892184830121</v>
      </c>
      <c r="BQ13" s="34">
        <f ca="1">IFERROR(SUMIFS('TRA balance'!AH$5:AH$40,'TRA balance'!$C$5:$C$40,Assumptions!$C13,'TRA balance'!$D$5:$D$40,Assumptions!$B13)*CV13*AK13,"")</f>
        <v>0</v>
      </c>
      <c r="BS13" s="33">
        <f t="shared" ca="1" si="16"/>
        <v>0.9</v>
      </c>
      <c r="BT13" s="33">
        <f t="shared" ca="1" si="17"/>
        <v>0.9</v>
      </c>
      <c r="BU13" s="33">
        <f t="shared" ca="1" si="18"/>
        <v>0.92999999999999994</v>
      </c>
      <c r="BV13" s="33">
        <f t="shared" ca="1" si="19"/>
        <v>0.95</v>
      </c>
      <c r="BW13" s="33">
        <f t="shared" ca="1" si="20"/>
        <v>0.95</v>
      </c>
      <c r="BX13" s="33">
        <f t="shared" ca="1" si="21"/>
        <v>0.92</v>
      </c>
      <c r="BY13" s="33">
        <f t="shared" ca="1" si="22"/>
        <v>0.98</v>
      </c>
      <c r="BZ13" s="33">
        <f t="shared" ca="1" si="23"/>
        <v>0.92999999999999994</v>
      </c>
      <c r="CA13" s="33">
        <f t="shared" ca="1" si="24"/>
        <v>0.98</v>
      </c>
      <c r="CB13" s="33">
        <f t="shared" ca="1" si="25"/>
        <v>0.9</v>
      </c>
      <c r="CC13" s="33">
        <f t="shared" ca="1" si="26"/>
        <v>0.54657475750985407</v>
      </c>
      <c r="CD13" s="33">
        <f t="shared" ca="1" si="27"/>
        <v>0.64948690066960857</v>
      </c>
      <c r="CE13" s="33">
        <f t="shared" ca="1" si="28"/>
        <v>0.54657475750985407</v>
      </c>
      <c r="CF13" s="33">
        <f t="shared" ca="1" si="29"/>
        <v>0.54657475750985407</v>
      </c>
      <c r="CG13" s="33">
        <f t="shared" ca="1" si="30"/>
        <v>0.64948690066960857</v>
      </c>
      <c r="CH13" s="33">
        <f t="shared" ca="1" si="31"/>
        <v>0.54657475750985407</v>
      </c>
      <c r="CI13" s="33">
        <f t="shared" ca="1" si="32"/>
        <v>0.9</v>
      </c>
      <c r="CJ13" s="33">
        <f t="shared" ca="1" si="33"/>
        <v>0.54657475750985407</v>
      </c>
      <c r="CK13" s="33">
        <f t="shared" ca="1" si="34"/>
        <v>0.54657475750985407</v>
      </c>
      <c r="CL13" s="33">
        <f t="shared" ca="1" si="35"/>
        <v>0.75</v>
      </c>
      <c r="CM13" s="33">
        <f t="shared" ca="1" si="36"/>
        <v>0.92999999999999994</v>
      </c>
      <c r="CN13" s="33">
        <f t="shared" ca="1" si="37"/>
        <v>0.85</v>
      </c>
      <c r="CO13" s="33">
        <f t="shared" ca="1" si="38"/>
        <v>0.9</v>
      </c>
      <c r="CP13" s="33">
        <f t="shared" ca="1" si="39"/>
        <v>0.54657475750985407</v>
      </c>
      <c r="CQ13" s="33">
        <f t="shared" ca="1" si="40"/>
        <v>0.95</v>
      </c>
      <c r="CR13" s="33">
        <f t="shared" ca="1" si="41"/>
        <v>0.9</v>
      </c>
      <c r="CS13" s="33">
        <f t="shared" ca="1" si="42"/>
        <v>0.9</v>
      </c>
      <c r="CT13" s="33">
        <f t="shared" ca="1" si="43"/>
        <v>0.54657475750985407</v>
      </c>
      <c r="CU13" s="33">
        <f t="shared" ca="1" si="44"/>
        <v>0.97559357817738346</v>
      </c>
      <c r="CV13" s="33">
        <f t="shared" ca="1" si="45"/>
        <v>0.97559357817738346</v>
      </c>
    </row>
    <row r="14" spans="1:104" x14ac:dyDescent="0.45">
      <c r="A14">
        <v>2</v>
      </c>
      <c r="B14" t="str">
        <f>VLOOKUP(F14,'TRA balance'!$AK$5:$AL$14,2,FALSE)</f>
        <v>TRADST</v>
      </c>
      <c r="C14" s="6" t="str">
        <f t="shared" si="46"/>
        <v>TR</v>
      </c>
      <c r="D14" s="7" t="s">
        <v>16</v>
      </c>
      <c r="E14" s="18" t="s">
        <v>73</v>
      </c>
      <c r="F14" s="8" t="str">
        <f t="shared" ref="F14:F20" si="59">F13</f>
        <v>Diesel</v>
      </c>
      <c r="G14" s="6" t="s">
        <v>74</v>
      </c>
      <c r="H14" s="9">
        <f ca="1">OFFSET(TIAM15_assumptions!$G14,0,MATCH(VLOOKUP(Assumptions!H$2,TIAM15_assumptions!$Y$3:$Z$36,2,FALSE),TIAM15_assumptions!$H$2:$V$2,0))</f>
        <v>0.35</v>
      </c>
      <c r="I14" s="9">
        <f ca="1">OFFSET(TIAM15_assumptions!$G14,0,MATCH(VLOOKUP(Assumptions!I$2,TIAM15_assumptions!$Y$3:$Z$36,2,FALSE),TIAM15_assumptions!$H$2:$V$2,0))</f>
        <v>0.35</v>
      </c>
      <c r="J14" s="9">
        <f ca="1">OFFSET(TIAM15_assumptions!$G14,0,MATCH(VLOOKUP(Assumptions!J$2,TIAM15_assumptions!$Y$3:$Z$36,2,FALSE),TIAM15_assumptions!$H$2:$V$2,0))</f>
        <v>0.5</v>
      </c>
      <c r="K14" s="9">
        <f ca="1">OFFSET(TIAM15_assumptions!$G14,0,MATCH(VLOOKUP(Assumptions!K$2,TIAM15_assumptions!$Y$3:$Z$36,2,FALSE),TIAM15_assumptions!$H$2:$V$2,0))</f>
        <v>0.6</v>
      </c>
      <c r="L14" s="9">
        <f ca="1">OFFSET(TIAM15_assumptions!$G14,0,MATCH(VLOOKUP(Assumptions!L$2,TIAM15_assumptions!$Y$3:$Z$36,2,FALSE),TIAM15_assumptions!$H$2:$V$2,0))</f>
        <v>0.5</v>
      </c>
      <c r="M14" s="9">
        <f ca="1">OFFSET(TIAM15_assumptions!$G14,0,MATCH(VLOOKUP(Assumptions!M$2,TIAM15_assumptions!$Y$3:$Z$36,2,FALSE),TIAM15_assumptions!$H$2:$V$2,0))</f>
        <v>0.5</v>
      </c>
      <c r="N14" s="9">
        <f ca="1">OFFSET(TIAM15_assumptions!$G14,0,MATCH(VLOOKUP(Assumptions!N$2,TIAM15_assumptions!$Y$3:$Z$36,2,FALSE),TIAM15_assumptions!$H$2:$V$2,0))</f>
        <v>0.35</v>
      </c>
      <c r="O14" s="9">
        <f ca="1">OFFSET(TIAM15_assumptions!$G14,0,MATCH(VLOOKUP(Assumptions!O$2,TIAM15_assumptions!$Y$3:$Z$36,2,FALSE),TIAM15_assumptions!$H$2:$V$2,0))</f>
        <v>0.5</v>
      </c>
      <c r="P14" s="9">
        <f ca="1">OFFSET(TIAM15_assumptions!$G14,0,MATCH(VLOOKUP(Assumptions!P$2,TIAM15_assumptions!$Y$3:$Z$36,2,FALSE),TIAM15_assumptions!$H$2:$V$2,0))</f>
        <v>0.6</v>
      </c>
      <c r="Q14" s="9">
        <f ca="1">OFFSET(TIAM15_assumptions!$G14,0,MATCH(VLOOKUP(Assumptions!Q$2,TIAM15_assumptions!$Y$3:$Z$36,2,FALSE),TIAM15_assumptions!$H$2:$V$2,0))</f>
        <v>0.35</v>
      </c>
      <c r="R14" s="9">
        <f ca="1">OFFSET(TIAM15_assumptions!$G14,0,MATCH(VLOOKUP(Assumptions!R$2,TIAM15_assumptions!$Y$3:$Z$36,2,FALSE),TIAM15_assumptions!$H$2:$V$2,0))</f>
        <v>0.38295430560061755</v>
      </c>
      <c r="S14" s="9">
        <f ca="1">OFFSET(TIAM15_assumptions!$G14,0,MATCH(VLOOKUP(Assumptions!S$2,TIAM15_assumptions!$Y$3:$Z$36,2,FALSE),TIAM15_assumptions!$H$2:$V$2,0))</f>
        <v>0.35927560184800655</v>
      </c>
      <c r="T14" s="9">
        <f ca="1">OFFSET(TIAM15_assumptions!$G14,0,MATCH(VLOOKUP(Assumptions!T$2,TIAM15_assumptions!$Y$3:$Z$36,2,FALSE),TIAM15_assumptions!$H$2:$V$2,0))</f>
        <v>0.38295430560061755</v>
      </c>
      <c r="U14" s="9">
        <f ca="1">OFFSET(TIAM15_assumptions!$G14,0,MATCH(VLOOKUP(Assumptions!U$2,TIAM15_assumptions!$Y$3:$Z$36,2,FALSE),TIAM15_assumptions!$H$2:$V$2,0))</f>
        <v>0.38295430560061755</v>
      </c>
      <c r="V14" s="9">
        <f ca="1">OFFSET(TIAM15_assumptions!$G14,0,MATCH(VLOOKUP(Assumptions!V$2,TIAM15_assumptions!$Y$3:$Z$36,2,FALSE),TIAM15_assumptions!$H$2:$V$2,0))</f>
        <v>0.35927560184800655</v>
      </c>
      <c r="W14" s="9">
        <f ca="1">OFFSET(TIAM15_assumptions!$G14,0,MATCH(VLOOKUP(Assumptions!W$2,TIAM15_assumptions!$Y$3:$Z$36,2,FALSE),TIAM15_assumptions!$H$2:$V$2,0))</f>
        <v>0.38295430560061755</v>
      </c>
      <c r="X14" s="9">
        <f ca="1">OFFSET(TIAM15_assumptions!$G14,0,MATCH(VLOOKUP(Assumptions!X$2,TIAM15_assumptions!$Y$3:$Z$36,2,FALSE),TIAM15_assumptions!$H$2:$V$2,0))</f>
        <v>0.5</v>
      </c>
      <c r="Y14" s="9">
        <f ca="1">OFFSET(TIAM15_assumptions!$G14,0,MATCH(VLOOKUP(Assumptions!Y$2,TIAM15_assumptions!$Y$3:$Z$36,2,FALSE),TIAM15_assumptions!$H$2:$V$2,0))</f>
        <v>0.38295430560061755</v>
      </c>
      <c r="Z14" s="9">
        <f ca="1">OFFSET(TIAM15_assumptions!$G14,0,MATCH(VLOOKUP(Assumptions!Z$2,TIAM15_assumptions!$Y$3:$Z$36,2,FALSE),TIAM15_assumptions!$H$2:$V$2,0))</f>
        <v>0.38295430560061755</v>
      </c>
      <c r="AA14" s="9">
        <f ca="1">OFFSET(TIAM15_assumptions!$G14,0,MATCH(VLOOKUP(Assumptions!AA$2,TIAM15_assumptions!$Y$3:$Z$36,2,FALSE),TIAM15_assumptions!$H$2:$V$2,0))</f>
        <v>0.3</v>
      </c>
      <c r="AB14" s="9">
        <f ca="1">OFFSET(TIAM15_assumptions!$G14,0,MATCH(VLOOKUP(Assumptions!AB$2,TIAM15_assumptions!$Y$3:$Z$36,2,FALSE),TIAM15_assumptions!$H$2:$V$2,0))</f>
        <v>0.5</v>
      </c>
      <c r="AC14" s="9">
        <f ca="1">OFFSET(TIAM15_assumptions!$G14,0,MATCH(VLOOKUP(Assumptions!AC$2,TIAM15_assumptions!$Y$3:$Z$36,2,FALSE),TIAM15_assumptions!$H$2:$V$2,0))</f>
        <v>0.45</v>
      </c>
      <c r="AD14" s="9">
        <f ca="1">OFFSET(TIAM15_assumptions!$G14,0,MATCH(VLOOKUP(Assumptions!AD$2,TIAM15_assumptions!$Y$3:$Z$36,2,FALSE),TIAM15_assumptions!$H$2:$V$2,0))</f>
        <v>0.5</v>
      </c>
      <c r="AE14" s="9">
        <f ca="1">OFFSET(TIAM15_assumptions!$G14,0,MATCH(VLOOKUP(Assumptions!AE$2,TIAM15_assumptions!$Y$3:$Z$36,2,FALSE),TIAM15_assumptions!$H$2:$V$2,0))</f>
        <v>0.38295430560061755</v>
      </c>
      <c r="AF14" s="9">
        <f ca="1">OFFSET(TIAM15_assumptions!$G14,0,MATCH(VLOOKUP(Assumptions!AF$2,TIAM15_assumptions!$Y$3:$Z$36,2,FALSE),TIAM15_assumptions!$H$2:$V$2,0))</f>
        <v>0.6</v>
      </c>
      <c r="AG14" s="9">
        <f ca="1">OFFSET(TIAM15_assumptions!$G14,0,MATCH(VLOOKUP(Assumptions!AG$2,TIAM15_assumptions!$Y$3:$Z$36,2,FALSE),TIAM15_assumptions!$H$2:$V$2,0))</f>
        <v>0.5</v>
      </c>
      <c r="AH14" s="9">
        <f ca="1">OFFSET(TIAM15_assumptions!$G14,0,MATCH(VLOOKUP(Assumptions!AH$2,TIAM15_assumptions!$Y$3:$Z$36,2,FALSE),TIAM15_assumptions!$H$2:$V$2,0))</f>
        <v>0.35</v>
      </c>
      <c r="AI14" s="9">
        <f ca="1">OFFSET(TIAM15_assumptions!$G14,0,MATCH(VLOOKUP(Assumptions!AI$2,TIAM15_assumptions!$Y$3:$Z$36,2,FALSE),TIAM15_assumptions!$H$2:$V$2,0))</f>
        <v>0.38295430560061755</v>
      </c>
      <c r="AJ14" s="9">
        <f ca="1">OFFSET(TIAM15_assumptions!$G14,0,MATCH(VLOOKUP(Assumptions!AJ$2,TIAM15_assumptions!$Y$3:$Z$36,2,FALSE),TIAM15_assumptions!$H$2:$V$2,0))</f>
        <v>0.79999999999999993</v>
      </c>
      <c r="AK14" s="9">
        <f ca="1">OFFSET(TIAM15_assumptions!$G14,0,MATCH(VLOOKUP(Assumptions!AK$2,TIAM15_assumptions!$Y$3:$Z$36,2,FALSE),TIAM15_assumptions!$H$2:$V$2,0))</f>
        <v>0.79999999999999993</v>
      </c>
      <c r="AN14" s="34">
        <f ca="1">IFERROR(SUMIFS('TRA balance'!E$5:E$40,'TRA balance'!$C$5:$C$40,Assumptions!$C14,'TRA balance'!$D$5:$D$40,Assumptions!$B14)*BS14*H14,"")</f>
        <v>350.28647281088996</v>
      </c>
      <c r="AO14" s="34">
        <f ca="1">IFERROR(SUMIFS('TRA balance'!F$5:F$40,'TRA balance'!$C$5:$C$40,Assumptions!$C14,'TRA balance'!$D$5:$D$40,Assumptions!$B14)*BT14*I14,"")</f>
        <v>311.291700338304</v>
      </c>
      <c r="AP14" s="34">
        <f ca="1">IFERROR(SUMIFS('TRA balance'!G$5:G$40,'TRA balance'!$C$5:$C$40,Assumptions!$C14,'TRA balance'!$D$5:$D$40,Assumptions!$B14)*BU14*J14,"")</f>
        <v>220.418755035624</v>
      </c>
      <c r="AQ14" s="34">
        <f ca="1">IFERROR(SUMIFS('TRA balance'!H$5:H$40,'TRA balance'!$C$5:$C$40,Assumptions!$C14,'TRA balance'!$D$5:$D$40,Assumptions!$B14)*BV14*K14,"")</f>
        <v>112.18826539771199</v>
      </c>
      <c r="AR14" s="34">
        <f ca="1">IFERROR(SUMIFS('TRA balance'!I$5:I$40,'TRA balance'!$C$5:$C$40,Assumptions!$C14,'TRA balance'!$D$5:$D$40,Assumptions!$B14)*BW14*L14,"")</f>
        <v>814.81913640962989</v>
      </c>
      <c r="AS14" s="34">
        <f ca="1">IFERROR(SUMIFS('TRA balance'!J$5:J$40,'TRA balance'!$C$5:$C$40,Assumptions!$C14,'TRA balance'!$D$5:$D$40,Assumptions!$B14)*BX14*M14,"")</f>
        <v>1304.735132653416</v>
      </c>
      <c r="AT14" s="34">
        <f ca="1">IFERROR(SUMIFS('TRA balance'!K$5:K$40,'TRA balance'!$C$5:$C$40,Assumptions!$C14,'TRA balance'!$D$5:$D$40,Assumptions!$B14)*BY14*N14,"")</f>
        <v>231.51752779425476</v>
      </c>
      <c r="AU14" s="34">
        <f ca="1">IFERROR(SUMIFS('TRA balance'!L$5:L$40,'TRA balance'!$C$5:$C$40,Assumptions!$C14,'TRA balance'!$D$5:$D$40,Assumptions!$B14)*BZ14*O14,"")</f>
        <v>667.73610713829589</v>
      </c>
      <c r="AV14" s="34">
        <f ca="1">IFERROR(SUMIFS('TRA balance'!M$5:M$40,'TRA balance'!$C$5:$C$40,Assumptions!$C14,'TRA balance'!$D$5:$D$40,Assumptions!$B14)*CA14*P14,"")</f>
        <v>379.16243408292479</v>
      </c>
      <c r="AW14" s="34">
        <f ca="1">IFERROR(SUMIFS('TRA balance'!N$5:N$40,'TRA balance'!$C$5:$C$40,Assumptions!$C14,'TRA balance'!$D$5:$D$40,Assumptions!$B14)*CB14*Q14,"")</f>
        <v>1248.0497569941658</v>
      </c>
      <c r="AX14" s="34">
        <f ca="1">IFERROR(SUMIFS('TRA balance'!O$5:O$40,'TRA balance'!$C$5:$C$40,Assumptions!$C14,'TRA balance'!$D$5:$D$40,Assumptions!$B14)*CC14*R14,"")</f>
        <v>67.495730609520521</v>
      </c>
      <c r="AY14" s="34">
        <f ca="1">IFERROR(SUMIFS('TRA balance'!P$5:P$40,'TRA balance'!$C$5:$C$40,Assumptions!$C14,'TRA balance'!$D$5:$D$40,Assumptions!$B14)*CD14*S14,"")</f>
        <v>287.22817384266591</v>
      </c>
      <c r="AZ14" s="34">
        <f ca="1">IFERROR(SUMIFS('TRA balance'!Q$5:Q$40,'TRA balance'!$C$5:$C$40,Assumptions!$C14,'TRA balance'!$D$5:$D$40,Assumptions!$B14)*CE14*T14,"")</f>
        <v>140.56986353762593</v>
      </c>
      <c r="BA14" s="34">
        <f ca="1">IFERROR(SUMIFS('TRA balance'!R$5:R$40,'TRA balance'!$C$5:$C$40,Assumptions!$C14,'TRA balance'!$D$5:$D$40,Assumptions!$B14)*CF14*U14,"")</f>
        <v>211.9071204922985</v>
      </c>
      <c r="BB14" s="34">
        <f ca="1">IFERROR(SUMIFS('TRA balance'!S$5:S$40,'TRA balance'!$C$5:$C$40,Assumptions!$C14,'TRA balance'!$D$5:$D$40,Assumptions!$B14)*CG14*V14,"")</f>
        <v>122.11808430572958</v>
      </c>
      <c r="BC14" s="34">
        <f ca="1">IFERROR(SUMIFS('TRA balance'!T$5:T$40,'TRA balance'!$C$5:$C$40,Assumptions!$C14,'TRA balance'!$D$5:$D$40,Assumptions!$B14)*CH14*W14,"")</f>
        <v>224.84048847062348</v>
      </c>
      <c r="BD14" s="34">
        <f ca="1">IFERROR(SUMIFS('TRA balance'!U$5:U$40,'TRA balance'!$C$5:$C$40,Assumptions!$C14,'TRA balance'!$D$5:$D$40,Assumptions!$B14)*CI14*X14,"")</f>
        <v>625.72976429687992</v>
      </c>
      <c r="BE14" s="34">
        <f ca="1">IFERROR(SUMIFS('TRA balance'!V$5:V$40,'TRA balance'!$C$5:$C$40,Assumptions!$C14,'TRA balance'!$D$5:$D$40,Assumptions!$B14)*CJ14*Y14,"")</f>
        <v>269.2604707270001</v>
      </c>
      <c r="BF14" s="34">
        <f ca="1">IFERROR(SUMIFS('TRA balance'!W$5:W$40,'TRA balance'!$C$5:$C$40,Assumptions!$C14,'TRA balance'!$D$5:$D$40,Assumptions!$B14)*CK14*Z14,"")</f>
        <v>290.79274004310423</v>
      </c>
      <c r="BG14" s="34">
        <f ca="1">IFERROR(SUMIFS('TRA balance'!X$5:X$40,'TRA balance'!$C$5:$C$40,Assumptions!$C14,'TRA balance'!$D$5:$D$40,Assumptions!$B14)*CL14*AA14,"")</f>
        <v>547.57325715741001</v>
      </c>
      <c r="BH14" s="34">
        <f ca="1">IFERROR(SUMIFS('TRA balance'!Y$5:Y$40,'TRA balance'!$C$5:$C$40,Assumptions!$C14,'TRA balance'!$D$5:$D$40,Assumptions!$B14)*CM14*AB14,"")</f>
        <v>465.16233591935998</v>
      </c>
      <c r="BI14" s="34">
        <f ca="1">IFERROR(SUMIFS('TRA balance'!Z$5:Z$40,'TRA balance'!$C$5:$C$40,Assumptions!$C14,'TRA balance'!$D$5:$D$40,Assumptions!$B14)*CN14*AC14,"")</f>
        <v>197.82353947528802</v>
      </c>
      <c r="BJ14" s="34">
        <f ca="1">IFERROR(SUMIFS('TRA balance'!AA$5:AA$40,'TRA balance'!$C$5:$C$40,Assumptions!$C14,'TRA balance'!$D$5:$D$40,Assumptions!$B14)*CO14*AD14,"")</f>
        <v>673.99466757875996</v>
      </c>
      <c r="BK14" s="34">
        <f ca="1">IFERROR(SUMIFS('TRA balance'!AB$5:AB$40,'TRA balance'!$C$5:$C$40,Assumptions!$C14,'TRA balance'!$D$5:$D$40,Assumptions!$B14)*CP14*AE14,"")</f>
        <v>20.15785266410909</v>
      </c>
      <c r="BL14" s="34">
        <f ca="1">IFERROR(SUMIFS('TRA balance'!AC$5:AC$40,'TRA balance'!$C$5:$C$40,Assumptions!$C14,'TRA balance'!$D$5:$D$40,Assumptions!$B14)*CQ14*AF14,"")</f>
        <v>351.40473206830796</v>
      </c>
      <c r="BM14" s="34">
        <f ca="1">IFERROR(SUMIFS('TRA balance'!AD$5:AD$40,'TRA balance'!$C$5:$C$40,Assumptions!$C14,'TRA balance'!$D$5:$D$40,Assumptions!$B14)*CR14*AG14,"")</f>
        <v>383.30942583780001</v>
      </c>
      <c r="BN14" s="34">
        <f ca="1">IFERROR(SUMIFS('TRA balance'!AE$5:AE$40,'TRA balance'!$C$5:$C$40,Assumptions!$C14,'TRA balance'!$D$5:$D$40,Assumptions!$B14)*CS14*AH14,"")</f>
        <v>109.34538013324799</v>
      </c>
      <c r="BO14" s="34">
        <f ca="1">IFERROR(SUMIFS('TRA balance'!AF$5:AF$40,'TRA balance'!$C$5:$C$40,Assumptions!$C14,'TRA balance'!$D$5:$D$40,Assumptions!$B14)*CT14*AI14,"")</f>
        <v>213.48438641685934</v>
      </c>
      <c r="BP14" s="34">
        <f ca="1">IFERROR(SUMIFS('TRA balance'!AG$5:AG$40,'TRA balance'!$C$5:$C$40,Assumptions!$C14,'TRA balance'!$D$5:$D$40,Assumptions!$B14)*CU14*AJ14,"")</f>
        <v>4010.178436966024</v>
      </c>
      <c r="BQ14" s="34">
        <f ca="1">IFERROR(SUMIFS('TRA balance'!AH$5:AH$40,'TRA balance'!$C$5:$C$40,Assumptions!$C14,'TRA balance'!$D$5:$D$40,Assumptions!$B14)*CV14*AK14,"")</f>
        <v>0</v>
      </c>
      <c r="BS14" s="33">
        <f t="shared" ca="1" si="16"/>
        <v>0.9</v>
      </c>
      <c r="BT14" s="33">
        <f t="shared" ca="1" si="17"/>
        <v>0.9</v>
      </c>
      <c r="BU14" s="33">
        <f t="shared" ca="1" si="18"/>
        <v>0.92999999999999994</v>
      </c>
      <c r="BV14" s="33">
        <f t="shared" ca="1" si="19"/>
        <v>0.95</v>
      </c>
      <c r="BW14" s="33">
        <f t="shared" ca="1" si="20"/>
        <v>0.95</v>
      </c>
      <c r="BX14" s="33">
        <f t="shared" ca="1" si="21"/>
        <v>0.92</v>
      </c>
      <c r="BY14" s="33">
        <f t="shared" ca="1" si="22"/>
        <v>0.98</v>
      </c>
      <c r="BZ14" s="33">
        <f t="shared" ca="1" si="23"/>
        <v>0.92999999999999994</v>
      </c>
      <c r="CA14" s="33">
        <f t="shared" ca="1" si="24"/>
        <v>0.98</v>
      </c>
      <c r="CB14" s="33">
        <f t="shared" ca="1" si="25"/>
        <v>0.9</v>
      </c>
      <c r="CC14" s="33">
        <f t="shared" ca="1" si="26"/>
        <v>0.54657475750985407</v>
      </c>
      <c r="CD14" s="33">
        <f t="shared" ca="1" si="27"/>
        <v>0.64948690066960857</v>
      </c>
      <c r="CE14" s="33">
        <f t="shared" ca="1" si="28"/>
        <v>0.54657475750985407</v>
      </c>
      <c r="CF14" s="33">
        <f t="shared" ca="1" si="29"/>
        <v>0.54657475750985407</v>
      </c>
      <c r="CG14" s="33">
        <f t="shared" ca="1" si="30"/>
        <v>0.64948690066960857</v>
      </c>
      <c r="CH14" s="33">
        <f t="shared" ca="1" si="31"/>
        <v>0.54657475750985407</v>
      </c>
      <c r="CI14" s="33">
        <f t="shared" ca="1" si="32"/>
        <v>0.9</v>
      </c>
      <c r="CJ14" s="33">
        <f t="shared" ca="1" si="33"/>
        <v>0.54657475750985407</v>
      </c>
      <c r="CK14" s="33">
        <f t="shared" ca="1" si="34"/>
        <v>0.54657475750985407</v>
      </c>
      <c r="CL14" s="33">
        <f t="shared" ca="1" si="35"/>
        <v>0.75</v>
      </c>
      <c r="CM14" s="33">
        <f t="shared" ca="1" si="36"/>
        <v>0.92999999999999994</v>
      </c>
      <c r="CN14" s="33">
        <f t="shared" ca="1" si="37"/>
        <v>0.85</v>
      </c>
      <c r="CO14" s="33">
        <f t="shared" ca="1" si="38"/>
        <v>0.9</v>
      </c>
      <c r="CP14" s="33">
        <f t="shared" ca="1" si="39"/>
        <v>0.54657475750985407</v>
      </c>
      <c r="CQ14" s="33">
        <f t="shared" ca="1" si="40"/>
        <v>0.95</v>
      </c>
      <c r="CR14" s="33">
        <f t="shared" ca="1" si="41"/>
        <v>0.9</v>
      </c>
      <c r="CS14" s="33">
        <f t="shared" ca="1" si="42"/>
        <v>0.9</v>
      </c>
      <c r="CT14" s="33">
        <f t="shared" ca="1" si="43"/>
        <v>0.54657475750985407</v>
      </c>
      <c r="CU14" s="33">
        <f t="shared" ca="1" si="44"/>
        <v>0.97559357817738346</v>
      </c>
      <c r="CV14" s="33">
        <f t="shared" ca="1" si="45"/>
        <v>0.97559357817738346</v>
      </c>
    </row>
    <row r="15" spans="1:104" x14ac:dyDescent="0.45">
      <c r="A15">
        <v>2</v>
      </c>
      <c r="B15" t="str">
        <f>VLOOKUP(F15,'TRA balance'!$AK$5:$AL$14,2,FALSE)</f>
        <v>TRADST</v>
      </c>
      <c r="C15" s="6" t="str">
        <f t="shared" si="46"/>
        <v>TR</v>
      </c>
      <c r="D15" s="7" t="s">
        <v>16</v>
      </c>
      <c r="E15" s="18" t="s">
        <v>75</v>
      </c>
      <c r="F15" s="8" t="str">
        <f t="shared" si="59"/>
        <v>Diesel</v>
      </c>
      <c r="G15" s="6" t="s">
        <v>76</v>
      </c>
      <c r="H15" s="9">
        <f ca="1">OFFSET(TIAM15_assumptions!$G15,0,MATCH(VLOOKUP(Assumptions!H$2,TIAM15_assumptions!$Y$3:$Z$36,2,FALSE),TIAM15_assumptions!$H$2:$V$2,0))</f>
        <v>0.1</v>
      </c>
      <c r="I15" s="9">
        <f ca="1">OFFSET(TIAM15_assumptions!$G15,0,MATCH(VLOOKUP(Assumptions!I$2,TIAM15_assumptions!$Y$3:$Z$36,2,FALSE),TIAM15_assumptions!$H$2:$V$2,0))</f>
        <v>0.1</v>
      </c>
      <c r="J15" s="9">
        <f ca="1">OFFSET(TIAM15_assumptions!$G15,0,MATCH(VLOOKUP(Assumptions!J$2,TIAM15_assumptions!$Y$3:$Z$36,2,FALSE),TIAM15_assumptions!$H$2:$V$2,0))</f>
        <v>0.3</v>
      </c>
      <c r="K15" s="9">
        <f ca="1">OFFSET(TIAM15_assumptions!$G15,0,MATCH(VLOOKUP(Assumptions!K$2,TIAM15_assumptions!$Y$3:$Z$36,2,FALSE),TIAM15_assumptions!$H$2:$V$2,0))</f>
        <v>0.2</v>
      </c>
      <c r="L15" s="9">
        <f ca="1">OFFSET(TIAM15_assumptions!$G15,0,MATCH(VLOOKUP(Assumptions!L$2,TIAM15_assumptions!$Y$3:$Z$36,2,FALSE),TIAM15_assumptions!$H$2:$V$2,0))</f>
        <v>0.3</v>
      </c>
      <c r="M15" s="9">
        <f ca="1">OFFSET(TIAM15_assumptions!$G15,0,MATCH(VLOOKUP(Assumptions!M$2,TIAM15_assumptions!$Y$3:$Z$36,2,FALSE),TIAM15_assumptions!$H$2:$V$2,0))</f>
        <v>0.25</v>
      </c>
      <c r="N15" s="9">
        <f ca="1">OFFSET(TIAM15_assumptions!$G15,0,MATCH(VLOOKUP(Assumptions!N$2,TIAM15_assumptions!$Y$3:$Z$36,2,FALSE),TIAM15_assumptions!$H$2:$V$2,0))</f>
        <v>0.3</v>
      </c>
      <c r="O15" s="9">
        <f ca="1">OFFSET(TIAM15_assumptions!$G15,0,MATCH(VLOOKUP(Assumptions!O$2,TIAM15_assumptions!$Y$3:$Z$36,2,FALSE),TIAM15_assumptions!$H$2:$V$2,0))</f>
        <v>0.3</v>
      </c>
      <c r="P15" s="9">
        <f ca="1">OFFSET(TIAM15_assumptions!$G15,0,MATCH(VLOOKUP(Assumptions!P$2,TIAM15_assumptions!$Y$3:$Z$36,2,FALSE),TIAM15_assumptions!$H$2:$V$2,0))</f>
        <v>0.25</v>
      </c>
      <c r="Q15" s="9">
        <f ca="1">OFFSET(TIAM15_assumptions!$G15,0,MATCH(VLOOKUP(Assumptions!Q$2,TIAM15_assumptions!$Y$3:$Z$36,2,FALSE),TIAM15_assumptions!$H$2:$V$2,0))</f>
        <v>0.2</v>
      </c>
      <c r="R15" s="9">
        <f ca="1">OFFSET(TIAM15_assumptions!$G15,0,MATCH(VLOOKUP(Assumptions!R$2,TIAM15_assumptions!$Y$3:$Z$36,2,FALSE),TIAM15_assumptions!$H$2:$V$2,0))</f>
        <v>0.19147715280030886</v>
      </c>
      <c r="S15" s="9">
        <f ca="1">OFFSET(TIAM15_assumptions!$G15,0,MATCH(VLOOKUP(Assumptions!S$2,TIAM15_assumptions!$Y$3:$Z$36,2,FALSE),TIAM15_assumptions!$H$2:$V$2,0))</f>
        <v>0.17963780092400328</v>
      </c>
      <c r="T15" s="9">
        <f ca="1">OFFSET(TIAM15_assumptions!$G15,0,MATCH(VLOOKUP(Assumptions!T$2,TIAM15_assumptions!$Y$3:$Z$36,2,FALSE),TIAM15_assumptions!$H$2:$V$2,0))</f>
        <v>0.19147715280030886</v>
      </c>
      <c r="U15" s="9">
        <f ca="1">OFFSET(TIAM15_assumptions!$G15,0,MATCH(VLOOKUP(Assumptions!U$2,TIAM15_assumptions!$Y$3:$Z$36,2,FALSE),TIAM15_assumptions!$H$2:$V$2,0))</f>
        <v>0.19147715280030886</v>
      </c>
      <c r="V15" s="9">
        <f ca="1">OFFSET(TIAM15_assumptions!$G15,0,MATCH(VLOOKUP(Assumptions!V$2,TIAM15_assumptions!$Y$3:$Z$36,2,FALSE),TIAM15_assumptions!$H$2:$V$2,0))</f>
        <v>0.17963780092400328</v>
      </c>
      <c r="W15" s="9">
        <f ca="1">OFFSET(TIAM15_assumptions!$G15,0,MATCH(VLOOKUP(Assumptions!W$2,TIAM15_assumptions!$Y$3:$Z$36,2,FALSE),TIAM15_assumptions!$H$2:$V$2,0))</f>
        <v>0.19147715280030886</v>
      </c>
      <c r="X15" s="9">
        <f ca="1">OFFSET(TIAM15_assumptions!$G15,0,MATCH(VLOOKUP(Assumptions!X$2,TIAM15_assumptions!$Y$3:$Z$36,2,FALSE),TIAM15_assumptions!$H$2:$V$2,0))</f>
        <v>0.25</v>
      </c>
      <c r="Y15" s="9">
        <f ca="1">OFFSET(TIAM15_assumptions!$G15,0,MATCH(VLOOKUP(Assumptions!Y$2,TIAM15_assumptions!$Y$3:$Z$36,2,FALSE),TIAM15_assumptions!$H$2:$V$2,0))</f>
        <v>0.19147715280030886</v>
      </c>
      <c r="Z15" s="9">
        <f ca="1">OFFSET(TIAM15_assumptions!$G15,0,MATCH(VLOOKUP(Assumptions!Z$2,TIAM15_assumptions!$Y$3:$Z$36,2,FALSE),TIAM15_assumptions!$H$2:$V$2,0))</f>
        <v>0.19147715280030886</v>
      </c>
      <c r="AA15" s="9">
        <f ca="1">OFFSET(TIAM15_assumptions!$G15,0,MATCH(VLOOKUP(Assumptions!AA$2,TIAM15_assumptions!$Y$3:$Z$36,2,FALSE),TIAM15_assumptions!$H$2:$V$2,0))</f>
        <v>0.2</v>
      </c>
      <c r="AB15" s="9">
        <f ca="1">OFFSET(TIAM15_assumptions!$G15,0,MATCH(VLOOKUP(Assumptions!AB$2,TIAM15_assumptions!$Y$3:$Z$36,2,FALSE),TIAM15_assumptions!$H$2:$V$2,0))</f>
        <v>0.3</v>
      </c>
      <c r="AC15" s="9">
        <f ca="1">OFFSET(TIAM15_assumptions!$G15,0,MATCH(VLOOKUP(Assumptions!AC$2,TIAM15_assumptions!$Y$3:$Z$36,2,FALSE),TIAM15_assumptions!$H$2:$V$2,0))</f>
        <v>0.3</v>
      </c>
      <c r="AD15" s="9">
        <f ca="1">OFFSET(TIAM15_assumptions!$G15,0,MATCH(VLOOKUP(Assumptions!AD$2,TIAM15_assumptions!$Y$3:$Z$36,2,FALSE),TIAM15_assumptions!$H$2:$V$2,0))</f>
        <v>0.25</v>
      </c>
      <c r="AE15" s="9">
        <f ca="1">OFFSET(TIAM15_assumptions!$G15,0,MATCH(VLOOKUP(Assumptions!AE$2,TIAM15_assumptions!$Y$3:$Z$36,2,FALSE),TIAM15_assumptions!$H$2:$V$2,0))</f>
        <v>0.19147715280030886</v>
      </c>
      <c r="AF15" s="9">
        <f ca="1">OFFSET(TIAM15_assumptions!$G15,0,MATCH(VLOOKUP(Assumptions!AF$2,TIAM15_assumptions!$Y$3:$Z$36,2,FALSE),TIAM15_assumptions!$H$2:$V$2,0))</f>
        <v>0.2</v>
      </c>
      <c r="AG15" s="9">
        <f ca="1">OFFSET(TIAM15_assumptions!$G15,0,MATCH(VLOOKUP(Assumptions!AG$2,TIAM15_assumptions!$Y$3:$Z$36,2,FALSE),TIAM15_assumptions!$H$2:$V$2,0))</f>
        <v>0.25</v>
      </c>
      <c r="AH15" s="9">
        <f ca="1">OFFSET(TIAM15_assumptions!$G15,0,MATCH(VLOOKUP(Assumptions!AH$2,TIAM15_assumptions!$Y$3:$Z$36,2,FALSE),TIAM15_assumptions!$H$2:$V$2,0))</f>
        <v>0.1</v>
      </c>
      <c r="AI15" s="9">
        <f ca="1">OFFSET(TIAM15_assumptions!$G15,0,MATCH(VLOOKUP(Assumptions!AI$2,TIAM15_assumptions!$Y$3:$Z$36,2,FALSE),TIAM15_assumptions!$H$2:$V$2,0))</f>
        <v>0.19147715280030886</v>
      </c>
      <c r="AJ15" s="9">
        <f ca="1">OFFSET(TIAM15_assumptions!$G15,0,MATCH(VLOOKUP(Assumptions!AJ$2,TIAM15_assumptions!$Y$3:$Z$36,2,FALSE),TIAM15_assumptions!$H$2:$V$2,0))</f>
        <v>0.11</v>
      </c>
      <c r="AK15" s="9">
        <f ca="1">OFFSET(TIAM15_assumptions!$G15,0,MATCH(VLOOKUP(Assumptions!AK$2,TIAM15_assumptions!$Y$3:$Z$36,2,FALSE),TIAM15_assumptions!$H$2:$V$2,0))</f>
        <v>0.11</v>
      </c>
      <c r="AN15" s="34">
        <f ca="1">IFERROR(SUMIFS('TRA balance'!E$5:E$40,'TRA balance'!$C$5:$C$40,Assumptions!$C15,'TRA balance'!$D$5:$D$40,Assumptions!$B15)*BS15*H15,"")</f>
        <v>100.08184937454</v>
      </c>
      <c r="AO15" s="34">
        <f ca="1">IFERROR(SUMIFS('TRA balance'!F$5:F$40,'TRA balance'!$C$5:$C$40,Assumptions!$C15,'TRA balance'!$D$5:$D$40,Assumptions!$B15)*BT15*I15,"")</f>
        <v>88.940485810944011</v>
      </c>
      <c r="AP15" s="34">
        <f ca="1">IFERROR(SUMIFS('TRA balance'!G$5:G$40,'TRA balance'!$C$5:$C$40,Assumptions!$C15,'TRA balance'!$D$5:$D$40,Assumptions!$B15)*BU15*J15,"")</f>
        <v>132.2512530213744</v>
      </c>
      <c r="AQ15" s="34">
        <f ca="1">IFERROR(SUMIFS('TRA balance'!H$5:H$40,'TRA balance'!$C$5:$C$40,Assumptions!$C15,'TRA balance'!$D$5:$D$40,Assumptions!$B15)*BV15*K15,"")</f>
        <v>37.396088465903993</v>
      </c>
      <c r="AR15" s="34">
        <f ca="1">IFERROR(SUMIFS('TRA balance'!I$5:I$40,'TRA balance'!$C$5:$C$40,Assumptions!$C15,'TRA balance'!$D$5:$D$40,Assumptions!$B15)*BW15*L15,"")</f>
        <v>488.89148184577789</v>
      </c>
      <c r="AS15" s="34">
        <f ca="1">IFERROR(SUMIFS('TRA balance'!J$5:J$40,'TRA balance'!$C$5:$C$40,Assumptions!$C15,'TRA balance'!$D$5:$D$40,Assumptions!$B15)*BX15*M15,"")</f>
        <v>652.36756632670802</v>
      </c>
      <c r="AT15" s="34">
        <f ca="1">IFERROR(SUMIFS('TRA balance'!K$5:K$40,'TRA balance'!$C$5:$C$40,Assumptions!$C15,'TRA balance'!$D$5:$D$40,Assumptions!$B15)*BY15*N15,"")</f>
        <v>198.44359525221839</v>
      </c>
      <c r="AU15" s="34">
        <f ca="1">IFERROR(SUMIFS('TRA balance'!L$5:L$40,'TRA balance'!$C$5:$C$40,Assumptions!$C15,'TRA balance'!$D$5:$D$40,Assumptions!$B15)*BZ15*O15,"")</f>
        <v>400.6416642829775</v>
      </c>
      <c r="AV15" s="34">
        <f ca="1">IFERROR(SUMIFS('TRA balance'!M$5:M$40,'TRA balance'!$C$5:$C$40,Assumptions!$C15,'TRA balance'!$D$5:$D$40,Assumptions!$B15)*CA15*P15,"")</f>
        <v>157.984347534552</v>
      </c>
      <c r="AW15" s="34">
        <f ca="1">IFERROR(SUMIFS('TRA balance'!N$5:N$40,'TRA balance'!$C$5:$C$40,Assumptions!$C15,'TRA balance'!$D$5:$D$40,Assumptions!$B15)*CB15*Q15,"")</f>
        <v>713.17128971095201</v>
      </c>
      <c r="AX15" s="34">
        <f ca="1">IFERROR(SUMIFS('TRA balance'!O$5:O$40,'TRA balance'!$C$5:$C$40,Assumptions!$C15,'TRA balance'!$D$5:$D$40,Assumptions!$B15)*CC15*R15,"")</f>
        <v>33.747865304760275</v>
      </c>
      <c r="AY15" s="34">
        <f ca="1">IFERROR(SUMIFS('TRA balance'!P$5:P$40,'TRA balance'!$C$5:$C$40,Assumptions!$C15,'TRA balance'!$D$5:$D$40,Assumptions!$B15)*CD15*S15,"")</f>
        <v>143.61408692133296</v>
      </c>
      <c r="AZ15" s="34">
        <f ca="1">IFERROR(SUMIFS('TRA balance'!Q$5:Q$40,'TRA balance'!$C$5:$C$40,Assumptions!$C15,'TRA balance'!$D$5:$D$40,Assumptions!$B15)*CE15*T15,"")</f>
        <v>70.284931768812996</v>
      </c>
      <c r="BA15" s="34">
        <f ca="1">IFERROR(SUMIFS('TRA balance'!R$5:R$40,'TRA balance'!$C$5:$C$40,Assumptions!$C15,'TRA balance'!$D$5:$D$40,Assumptions!$B15)*CF15*U15,"")</f>
        <v>105.95356024614931</v>
      </c>
      <c r="BB15" s="34">
        <f ca="1">IFERROR(SUMIFS('TRA balance'!S$5:S$40,'TRA balance'!$C$5:$C$40,Assumptions!$C15,'TRA balance'!$D$5:$D$40,Assumptions!$B15)*CG15*V15,"")</f>
        <v>61.059042152864791</v>
      </c>
      <c r="BC15" s="34">
        <f ca="1">IFERROR(SUMIFS('TRA balance'!T$5:T$40,'TRA balance'!$C$5:$C$40,Assumptions!$C15,'TRA balance'!$D$5:$D$40,Assumptions!$B15)*CH15*W15,"")</f>
        <v>112.42024423531178</v>
      </c>
      <c r="BD15" s="34">
        <f ca="1">IFERROR(SUMIFS('TRA balance'!U$5:U$40,'TRA balance'!$C$5:$C$40,Assumptions!$C15,'TRA balance'!$D$5:$D$40,Assumptions!$B15)*CI15*X15,"")</f>
        <v>312.86488214843996</v>
      </c>
      <c r="BE15" s="34">
        <f ca="1">IFERROR(SUMIFS('TRA balance'!V$5:V$40,'TRA balance'!$C$5:$C$40,Assumptions!$C15,'TRA balance'!$D$5:$D$40,Assumptions!$B15)*CJ15*Y15,"")</f>
        <v>134.63023536350011</v>
      </c>
      <c r="BF15" s="34">
        <f ca="1">IFERROR(SUMIFS('TRA balance'!W$5:W$40,'TRA balance'!$C$5:$C$40,Assumptions!$C15,'TRA balance'!$D$5:$D$40,Assumptions!$B15)*CK15*Z15,"")</f>
        <v>145.3963700215522</v>
      </c>
      <c r="BG15" s="34">
        <f ca="1">IFERROR(SUMIFS('TRA balance'!X$5:X$40,'TRA balance'!$C$5:$C$40,Assumptions!$C15,'TRA balance'!$D$5:$D$40,Assumptions!$B15)*CL15*AA15,"")</f>
        <v>365.04883810494005</v>
      </c>
      <c r="BH15" s="34">
        <f ca="1">IFERROR(SUMIFS('TRA balance'!Y$5:Y$40,'TRA balance'!$C$5:$C$40,Assumptions!$C15,'TRA balance'!$D$5:$D$40,Assumptions!$B15)*CM15*AB15,"")</f>
        <v>279.09740155161597</v>
      </c>
      <c r="BI15" s="34">
        <f ca="1">IFERROR(SUMIFS('TRA balance'!Z$5:Z$40,'TRA balance'!$C$5:$C$40,Assumptions!$C15,'TRA balance'!$D$5:$D$40,Assumptions!$B15)*CN15*AC15,"")</f>
        <v>131.882359650192</v>
      </c>
      <c r="BJ15" s="34">
        <f ca="1">IFERROR(SUMIFS('TRA balance'!AA$5:AA$40,'TRA balance'!$C$5:$C$40,Assumptions!$C15,'TRA balance'!$D$5:$D$40,Assumptions!$B15)*CO15*AD15,"")</f>
        <v>336.99733378937998</v>
      </c>
      <c r="BK15" s="34">
        <f ca="1">IFERROR(SUMIFS('TRA balance'!AB$5:AB$40,'TRA balance'!$C$5:$C$40,Assumptions!$C15,'TRA balance'!$D$5:$D$40,Assumptions!$B15)*CP15*AE15,"")</f>
        <v>10.078926332054548</v>
      </c>
      <c r="BL15" s="34">
        <f ca="1">IFERROR(SUMIFS('TRA balance'!AC$5:AC$40,'TRA balance'!$C$5:$C$40,Assumptions!$C15,'TRA balance'!$D$5:$D$40,Assumptions!$B15)*CQ15*AF15,"")</f>
        <v>117.134910689436</v>
      </c>
      <c r="BM15" s="34">
        <f ca="1">IFERROR(SUMIFS('TRA balance'!AD$5:AD$40,'TRA balance'!$C$5:$C$40,Assumptions!$C15,'TRA balance'!$D$5:$D$40,Assumptions!$B15)*CR15*AG15,"")</f>
        <v>191.6547129189</v>
      </c>
      <c r="BN15" s="34">
        <f ca="1">IFERROR(SUMIFS('TRA balance'!AE$5:AE$40,'TRA balance'!$C$5:$C$40,Assumptions!$C15,'TRA balance'!$D$5:$D$40,Assumptions!$B15)*CS15*AH15,"")</f>
        <v>31.241537180927999</v>
      </c>
      <c r="BO15" s="34">
        <f ca="1">IFERROR(SUMIFS('TRA balance'!AF$5:AF$40,'TRA balance'!$C$5:$C$40,Assumptions!$C15,'TRA balance'!$D$5:$D$40,Assumptions!$B15)*CT15*AI15,"")</f>
        <v>106.74219320842971</v>
      </c>
      <c r="BP15" s="34">
        <f ca="1">IFERROR(SUMIFS('TRA balance'!AG$5:AG$40,'TRA balance'!$C$5:$C$40,Assumptions!$C15,'TRA balance'!$D$5:$D$40,Assumptions!$B15)*CU15*AJ15,"")</f>
        <v>551.39953508282838</v>
      </c>
      <c r="BQ15" s="34">
        <f ca="1">IFERROR(SUMIFS('TRA balance'!AH$5:AH$40,'TRA balance'!$C$5:$C$40,Assumptions!$C15,'TRA balance'!$D$5:$D$40,Assumptions!$B15)*CV15*AK15,"")</f>
        <v>0</v>
      </c>
      <c r="BS15" s="33">
        <f t="shared" ca="1" si="16"/>
        <v>0.9</v>
      </c>
      <c r="BT15" s="33">
        <f t="shared" ca="1" si="17"/>
        <v>0.9</v>
      </c>
      <c r="BU15" s="33">
        <f t="shared" ca="1" si="18"/>
        <v>0.92999999999999994</v>
      </c>
      <c r="BV15" s="33">
        <f t="shared" ca="1" si="19"/>
        <v>0.95</v>
      </c>
      <c r="BW15" s="33">
        <f t="shared" ca="1" si="20"/>
        <v>0.95</v>
      </c>
      <c r="BX15" s="33">
        <f t="shared" ca="1" si="21"/>
        <v>0.92</v>
      </c>
      <c r="BY15" s="33">
        <f t="shared" ca="1" si="22"/>
        <v>0.98</v>
      </c>
      <c r="BZ15" s="33">
        <f t="shared" ca="1" si="23"/>
        <v>0.92999999999999994</v>
      </c>
      <c r="CA15" s="33">
        <f t="shared" ca="1" si="24"/>
        <v>0.98</v>
      </c>
      <c r="CB15" s="33">
        <f t="shared" ca="1" si="25"/>
        <v>0.9</v>
      </c>
      <c r="CC15" s="33">
        <f t="shared" ca="1" si="26"/>
        <v>0.54657475750985407</v>
      </c>
      <c r="CD15" s="33">
        <f t="shared" ca="1" si="27"/>
        <v>0.64948690066960857</v>
      </c>
      <c r="CE15" s="33">
        <f t="shared" ca="1" si="28"/>
        <v>0.54657475750985407</v>
      </c>
      <c r="CF15" s="33">
        <f t="shared" ca="1" si="29"/>
        <v>0.54657475750985407</v>
      </c>
      <c r="CG15" s="33">
        <f t="shared" ca="1" si="30"/>
        <v>0.64948690066960857</v>
      </c>
      <c r="CH15" s="33">
        <f t="shared" ca="1" si="31"/>
        <v>0.54657475750985407</v>
      </c>
      <c r="CI15" s="33">
        <f t="shared" ca="1" si="32"/>
        <v>0.9</v>
      </c>
      <c r="CJ15" s="33">
        <f t="shared" ca="1" si="33"/>
        <v>0.54657475750985407</v>
      </c>
      <c r="CK15" s="33">
        <f t="shared" ca="1" si="34"/>
        <v>0.54657475750985407</v>
      </c>
      <c r="CL15" s="33">
        <f t="shared" ca="1" si="35"/>
        <v>0.75</v>
      </c>
      <c r="CM15" s="33">
        <f t="shared" ca="1" si="36"/>
        <v>0.92999999999999994</v>
      </c>
      <c r="CN15" s="33">
        <f t="shared" ca="1" si="37"/>
        <v>0.85</v>
      </c>
      <c r="CO15" s="33">
        <f t="shared" ca="1" si="38"/>
        <v>0.9</v>
      </c>
      <c r="CP15" s="33">
        <f t="shared" ca="1" si="39"/>
        <v>0.54657475750985407</v>
      </c>
      <c r="CQ15" s="33">
        <f t="shared" ca="1" si="40"/>
        <v>0.95</v>
      </c>
      <c r="CR15" s="33">
        <f t="shared" ca="1" si="41"/>
        <v>0.9</v>
      </c>
      <c r="CS15" s="33">
        <f t="shared" ca="1" si="42"/>
        <v>0.9</v>
      </c>
      <c r="CT15" s="33">
        <f t="shared" ca="1" si="43"/>
        <v>0.54657475750985407</v>
      </c>
      <c r="CU15" s="33">
        <f t="shared" ca="1" si="44"/>
        <v>0.97559357817738346</v>
      </c>
      <c r="CV15" s="33">
        <f t="shared" ca="1" si="45"/>
        <v>0.97559357817738346</v>
      </c>
    </row>
    <row r="16" spans="1:104" x14ac:dyDescent="0.45">
      <c r="A16">
        <v>2</v>
      </c>
      <c r="B16" t="str">
        <f>VLOOKUP(F16,'TRA balance'!$AK$5:$AL$14,2,FALSE)</f>
        <v>TRADST</v>
      </c>
      <c r="C16" s="6" t="str">
        <f t="shared" si="46"/>
        <v>TR</v>
      </c>
      <c r="D16" s="7" t="s">
        <v>16</v>
      </c>
      <c r="E16" s="18" t="s">
        <v>77</v>
      </c>
      <c r="F16" s="8" t="str">
        <f t="shared" si="59"/>
        <v>Diesel</v>
      </c>
      <c r="G16" s="6" t="s">
        <v>78</v>
      </c>
      <c r="H16" s="9">
        <f ca="1">OFFSET(TIAM15_assumptions!$G16,0,MATCH(VLOOKUP(Assumptions!H$2,TIAM15_assumptions!$Y$3:$Z$36,2,FALSE),TIAM15_assumptions!$H$2:$V$2,0))</f>
        <v>0.2</v>
      </c>
      <c r="I16" s="9">
        <f ca="1">OFFSET(TIAM15_assumptions!$G16,0,MATCH(VLOOKUP(Assumptions!I$2,TIAM15_assumptions!$Y$3:$Z$36,2,FALSE),TIAM15_assumptions!$H$2:$V$2,0))</f>
        <v>0.2</v>
      </c>
      <c r="J16" s="9">
        <f ca="1">OFFSET(TIAM15_assumptions!$G16,0,MATCH(VLOOKUP(Assumptions!J$2,TIAM15_assumptions!$Y$3:$Z$36,2,FALSE),TIAM15_assumptions!$H$2:$V$2,0))</f>
        <v>0.1</v>
      </c>
      <c r="K16" s="9">
        <f ca="1">OFFSET(TIAM15_assumptions!$G16,0,MATCH(VLOOKUP(Assumptions!K$2,TIAM15_assumptions!$Y$3:$Z$36,2,FALSE),TIAM15_assumptions!$H$2:$V$2,0))</f>
        <v>0.1</v>
      </c>
      <c r="L16" s="9">
        <f ca="1">OFFSET(TIAM15_assumptions!$G16,0,MATCH(VLOOKUP(Assumptions!L$2,TIAM15_assumptions!$Y$3:$Z$36,2,FALSE),TIAM15_assumptions!$H$2:$V$2,0))</f>
        <v>0.15</v>
      </c>
      <c r="M16" s="9">
        <f ca="1">OFFSET(TIAM15_assumptions!$G16,0,MATCH(VLOOKUP(Assumptions!M$2,TIAM15_assumptions!$Y$3:$Z$36,2,FALSE),TIAM15_assumptions!$H$2:$V$2,0))</f>
        <v>0.1</v>
      </c>
      <c r="N16" s="9">
        <f ca="1">OFFSET(TIAM15_assumptions!$G16,0,MATCH(VLOOKUP(Assumptions!N$2,TIAM15_assumptions!$Y$3:$Z$36,2,FALSE),TIAM15_assumptions!$H$2:$V$2,0))</f>
        <v>0.2</v>
      </c>
      <c r="O16" s="9">
        <f ca="1">OFFSET(TIAM15_assumptions!$G16,0,MATCH(VLOOKUP(Assumptions!O$2,TIAM15_assumptions!$Y$3:$Z$36,2,FALSE),TIAM15_assumptions!$H$2:$V$2,0))</f>
        <v>0.1</v>
      </c>
      <c r="P16" s="9">
        <f ca="1">OFFSET(TIAM15_assumptions!$G16,0,MATCH(VLOOKUP(Assumptions!P$2,TIAM15_assumptions!$Y$3:$Z$36,2,FALSE),TIAM15_assumptions!$H$2:$V$2,0))</f>
        <v>0.1</v>
      </c>
      <c r="Q16" s="9">
        <f ca="1">OFFSET(TIAM15_assumptions!$G16,0,MATCH(VLOOKUP(Assumptions!Q$2,TIAM15_assumptions!$Y$3:$Z$36,2,FALSE),TIAM15_assumptions!$H$2:$V$2,0))</f>
        <v>0.1</v>
      </c>
      <c r="R16" s="9">
        <f ca="1">OFFSET(TIAM15_assumptions!$G16,0,MATCH(VLOOKUP(Assumptions!R$2,TIAM15_assumptions!$Y$3:$Z$36,2,FALSE),TIAM15_assumptions!$H$2:$V$2,0))</f>
        <v>0.31448230262971888</v>
      </c>
      <c r="S16" s="9">
        <f ca="1">OFFSET(TIAM15_assumptions!$G16,0,MATCH(VLOOKUP(Assumptions!S$2,TIAM15_assumptions!$Y$3:$Z$36,2,FALSE),TIAM15_assumptions!$H$2:$V$2,0))</f>
        <v>0.27323788545124683</v>
      </c>
      <c r="T16" s="9">
        <f ca="1">OFFSET(TIAM15_assumptions!$G16,0,MATCH(VLOOKUP(Assumptions!T$2,TIAM15_assumptions!$Y$3:$Z$36,2,FALSE),TIAM15_assumptions!$H$2:$V$2,0))</f>
        <v>0.31448230262971888</v>
      </c>
      <c r="U16" s="9">
        <f ca="1">OFFSET(TIAM15_assumptions!$G16,0,MATCH(VLOOKUP(Assumptions!U$2,TIAM15_assumptions!$Y$3:$Z$36,2,FALSE),TIAM15_assumptions!$H$2:$V$2,0))</f>
        <v>0.31448230262971888</v>
      </c>
      <c r="V16" s="9">
        <f ca="1">OFFSET(TIAM15_assumptions!$G16,0,MATCH(VLOOKUP(Assumptions!V$2,TIAM15_assumptions!$Y$3:$Z$36,2,FALSE),TIAM15_assumptions!$H$2:$V$2,0))</f>
        <v>0.27323788545124683</v>
      </c>
      <c r="W16" s="9">
        <f ca="1">OFFSET(TIAM15_assumptions!$G16,0,MATCH(VLOOKUP(Assumptions!W$2,TIAM15_assumptions!$Y$3:$Z$36,2,FALSE),TIAM15_assumptions!$H$2:$V$2,0))</f>
        <v>0.31448230262971888</v>
      </c>
      <c r="X16" s="9">
        <f ca="1">OFFSET(TIAM15_assumptions!$G16,0,MATCH(VLOOKUP(Assumptions!X$2,TIAM15_assumptions!$Y$3:$Z$36,2,FALSE),TIAM15_assumptions!$H$2:$V$2,0))</f>
        <v>0.15</v>
      </c>
      <c r="Y16" s="9">
        <f ca="1">OFFSET(TIAM15_assumptions!$G16,0,MATCH(VLOOKUP(Assumptions!Y$2,TIAM15_assumptions!$Y$3:$Z$36,2,FALSE),TIAM15_assumptions!$H$2:$V$2,0))</f>
        <v>0.31448230262971888</v>
      </c>
      <c r="Z16" s="9">
        <f ca="1">OFFSET(TIAM15_assumptions!$G16,0,MATCH(VLOOKUP(Assumptions!Z$2,TIAM15_assumptions!$Y$3:$Z$36,2,FALSE),TIAM15_assumptions!$H$2:$V$2,0))</f>
        <v>0.31448230262971888</v>
      </c>
      <c r="AA16" s="9">
        <f ca="1">OFFSET(TIAM15_assumptions!$G16,0,MATCH(VLOOKUP(Assumptions!AA$2,TIAM15_assumptions!$Y$3:$Z$36,2,FALSE),TIAM15_assumptions!$H$2:$V$2,0))</f>
        <v>0.25</v>
      </c>
      <c r="AB16" s="9">
        <f ca="1">OFFSET(TIAM15_assumptions!$G16,0,MATCH(VLOOKUP(Assumptions!AB$2,TIAM15_assumptions!$Y$3:$Z$36,2,FALSE),TIAM15_assumptions!$H$2:$V$2,0))</f>
        <v>0.1</v>
      </c>
      <c r="AC16" s="9">
        <f ca="1">OFFSET(TIAM15_assumptions!$G16,0,MATCH(VLOOKUP(Assumptions!AC$2,TIAM15_assumptions!$Y$3:$Z$36,2,FALSE),TIAM15_assumptions!$H$2:$V$2,0))</f>
        <v>0.15</v>
      </c>
      <c r="AD16" s="9">
        <f ca="1">OFFSET(TIAM15_assumptions!$G16,0,MATCH(VLOOKUP(Assumptions!AD$2,TIAM15_assumptions!$Y$3:$Z$36,2,FALSE),TIAM15_assumptions!$H$2:$V$2,0))</f>
        <v>0.15</v>
      </c>
      <c r="AE16" s="9">
        <f ca="1">OFFSET(TIAM15_assumptions!$G16,0,MATCH(VLOOKUP(Assumptions!AE$2,TIAM15_assumptions!$Y$3:$Z$36,2,FALSE),TIAM15_assumptions!$H$2:$V$2,0))</f>
        <v>0.31448230262971888</v>
      </c>
      <c r="AF16" s="9">
        <f ca="1">OFFSET(TIAM15_assumptions!$G16,0,MATCH(VLOOKUP(Assumptions!AF$2,TIAM15_assumptions!$Y$3:$Z$36,2,FALSE),TIAM15_assumptions!$H$2:$V$2,0))</f>
        <v>0.1</v>
      </c>
      <c r="AG16" s="9">
        <f ca="1">OFFSET(TIAM15_assumptions!$G16,0,MATCH(VLOOKUP(Assumptions!AG$2,TIAM15_assumptions!$Y$3:$Z$36,2,FALSE),TIAM15_assumptions!$H$2:$V$2,0))</f>
        <v>0.15</v>
      </c>
      <c r="AH16" s="9">
        <f ca="1">OFFSET(TIAM15_assumptions!$G16,0,MATCH(VLOOKUP(Assumptions!AH$2,TIAM15_assumptions!$Y$3:$Z$36,2,FALSE),TIAM15_assumptions!$H$2:$V$2,0))</f>
        <v>0.2</v>
      </c>
      <c r="AI16" s="9">
        <f ca="1">OFFSET(TIAM15_assumptions!$G16,0,MATCH(VLOOKUP(Assumptions!AI$2,TIAM15_assumptions!$Y$3:$Z$36,2,FALSE),TIAM15_assumptions!$H$2:$V$2,0))</f>
        <v>0.31448230262971888</v>
      </c>
      <c r="AJ16" s="9">
        <f ca="1">OFFSET(TIAM15_assumptions!$G16,0,MATCH(VLOOKUP(Assumptions!AJ$2,TIAM15_assumptions!$Y$3:$Z$36,2,FALSE),TIAM15_assumptions!$H$2:$V$2,0))</f>
        <v>0.05</v>
      </c>
      <c r="AK16" s="9">
        <f ca="1">OFFSET(TIAM15_assumptions!$G16,0,MATCH(VLOOKUP(Assumptions!AK$2,TIAM15_assumptions!$Y$3:$Z$36,2,FALSE),TIAM15_assumptions!$H$2:$V$2,0))</f>
        <v>0.05</v>
      </c>
      <c r="AN16" s="34">
        <f ca="1">IFERROR(SUMIFS('TRA balance'!E$5:E$40,'TRA balance'!$C$5:$C$40,Assumptions!$C16,'TRA balance'!$D$5:$D$40,Assumptions!$B16)*BS16*H16,"")</f>
        <v>200.16369874908</v>
      </c>
      <c r="AO16" s="34">
        <f ca="1">IFERROR(SUMIFS('TRA balance'!F$5:F$40,'TRA balance'!$C$5:$C$40,Assumptions!$C16,'TRA balance'!$D$5:$D$40,Assumptions!$B16)*BT16*I16,"")</f>
        <v>177.88097162188802</v>
      </c>
      <c r="AP16" s="34">
        <f ca="1">IFERROR(SUMIFS('TRA balance'!G$5:G$40,'TRA balance'!$C$5:$C$40,Assumptions!$C16,'TRA balance'!$D$5:$D$40,Assumptions!$B16)*BU16*J16,"")</f>
        <v>44.083751007124803</v>
      </c>
      <c r="AQ16" s="34">
        <f ca="1">IFERROR(SUMIFS('TRA balance'!H$5:H$40,'TRA balance'!$C$5:$C$40,Assumptions!$C16,'TRA balance'!$D$5:$D$40,Assumptions!$B16)*BV16*K16,"")</f>
        <v>18.698044232951997</v>
      </c>
      <c r="AR16" s="34">
        <f ca="1">IFERROR(SUMIFS('TRA balance'!I$5:I$40,'TRA balance'!$C$5:$C$40,Assumptions!$C16,'TRA balance'!$D$5:$D$40,Assumptions!$B16)*BW16*L16,"")</f>
        <v>244.44574092288894</v>
      </c>
      <c r="AS16" s="34">
        <f ca="1">IFERROR(SUMIFS('TRA balance'!J$5:J$40,'TRA balance'!$C$5:$C$40,Assumptions!$C16,'TRA balance'!$D$5:$D$40,Assumptions!$B16)*BX16*M16,"")</f>
        <v>260.94702653068322</v>
      </c>
      <c r="AT16" s="34">
        <f ca="1">IFERROR(SUMIFS('TRA balance'!K$5:K$40,'TRA balance'!$C$5:$C$40,Assumptions!$C16,'TRA balance'!$D$5:$D$40,Assumptions!$B16)*BY16*N16,"")</f>
        <v>132.29573016814558</v>
      </c>
      <c r="AU16" s="34">
        <f ca="1">IFERROR(SUMIFS('TRA balance'!L$5:L$40,'TRA balance'!$C$5:$C$40,Assumptions!$C16,'TRA balance'!$D$5:$D$40,Assumptions!$B16)*BZ16*O16,"")</f>
        <v>133.5472214276592</v>
      </c>
      <c r="AV16" s="34">
        <f ca="1">IFERROR(SUMIFS('TRA balance'!M$5:M$40,'TRA balance'!$C$5:$C$40,Assumptions!$C16,'TRA balance'!$D$5:$D$40,Assumptions!$B16)*CA16*P16,"")</f>
        <v>63.193739013820803</v>
      </c>
      <c r="AW16" s="34">
        <f ca="1">IFERROR(SUMIFS('TRA balance'!N$5:N$40,'TRA balance'!$C$5:$C$40,Assumptions!$C16,'TRA balance'!$D$5:$D$40,Assumptions!$B16)*CB16*Q16,"")</f>
        <v>356.585644855476</v>
      </c>
      <c r="AX16" s="34">
        <f ca="1">IFERROR(SUMIFS('TRA balance'!O$5:O$40,'TRA balance'!$C$5:$C$40,Assumptions!$C16,'TRA balance'!$D$5:$D$40,Assumptions!$B16)*CC16*R16,"")</f>
        <v>55.42753396248272</v>
      </c>
      <c r="AY16" s="34">
        <f ca="1">IFERROR(SUMIFS('TRA balance'!P$5:P$40,'TRA balance'!$C$5:$C$40,Assumptions!$C16,'TRA balance'!$D$5:$D$40,Assumptions!$B16)*CD16*S16,"")</f>
        <v>218.44405369890725</v>
      </c>
      <c r="AZ16" s="34">
        <f ca="1">IFERROR(SUMIFS('TRA balance'!Q$5:Q$40,'TRA balance'!$C$5:$C$40,Assumptions!$C16,'TRA balance'!$D$5:$D$40,Assumptions!$B16)*CE16*T16,"")</f>
        <v>115.43605521375467</v>
      </c>
      <c r="BA16" s="34">
        <f ca="1">IFERROR(SUMIFS('TRA balance'!R$5:R$40,'TRA balance'!$C$5:$C$40,Assumptions!$C16,'TRA balance'!$D$5:$D$40,Assumptions!$B16)*CF16*U16,"")</f>
        <v>174.01825288668033</v>
      </c>
      <c r="BB16" s="34">
        <f ca="1">IFERROR(SUMIFS('TRA balance'!S$5:S$40,'TRA balance'!$C$5:$C$40,Assumptions!$C16,'TRA balance'!$D$5:$D$40,Assumptions!$B16)*CG16*V16,"")</f>
        <v>92.873790926584689</v>
      </c>
      <c r="BC16" s="34">
        <f ca="1">IFERROR(SUMIFS('TRA balance'!T$5:T$40,'TRA balance'!$C$5:$C$40,Assumptions!$C16,'TRA balance'!$D$5:$D$40,Assumptions!$B16)*CH16*W16,"")</f>
        <v>184.63914233249034</v>
      </c>
      <c r="BD16" s="34">
        <f ca="1">IFERROR(SUMIFS('TRA balance'!U$5:U$40,'TRA balance'!$C$5:$C$40,Assumptions!$C16,'TRA balance'!$D$5:$D$40,Assumptions!$B16)*CI16*X16,"")</f>
        <v>187.71892928906396</v>
      </c>
      <c r="BE16" s="34">
        <f ca="1">IFERROR(SUMIFS('TRA balance'!V$5:V$40,'TRA balance'!$C$5:$C$40,Assumptions!$C16,'TRA balance'!$D$5:$D$40,Assumptions!$B16)*CJ16*Y16,"")</f>
        <v>221.11685807679416</v>
      </c>
      <c r="BF16" s="34">
        <f ca="1">IFERROR(SUMIFS('TRA balance'!W$5:W$40,'TRA balance'!$C$5:$C$40,Assumptions!$C16,'TRA balance'!$D$5:$D$40,Assumptions!$B16)*CK16*Z16,"")</f>
        <v>238.79917039536534</v>
      </c>
      <c r="BG16" s="34">
        <f ca="1">IFERROR(SUMIFS('TRA balance'!X$5:X$40,'TRA balance'!$C$5:$C$40,Assumptions!$C16,'TRA balance'!$D$5:$D$40,Assumptions!$B16)*CL16*AA16,"")</f>
        <v>456.31104763117503</v>
      </c>
      <c r="BH16" s="34">
        <f ca="1">IFERROR(SUMIFS('TRA balance'!Y$5:Y$40,'TRA balance'!$C$5:$C$40,Assumptions!$C16,'TRA balance'!$D$5:$D$40,Assumptions!$B16)*CM16*AB16,"")</f>
        <v>93.032467183872001</v>
      </c>
      <c r="BI16" s="34">
        <f ca="1">IFERROR(SUMIFS('TRA balance'!Z$5:Z$40,'TRA balance'!$C$5:$C$40,Assumptions!$C16,'TRA balance'!$D$5:$D$40,Assumptions!$B16)*CN16*AC16,"")</f>
        <v>65.941179825096</v>
      </c>
      <c r="BJ16" s="34">
        <f ca="1">IFERROR(SUMIFS('TRA balance'!AA$5:AA$40,'TRA balance'!$C$5:$C$40,Assumptions!$C16,'TRA balance'!$D$5:$D$40,Assumptions!$B16)*CO16*AD16,"")</f>
        <v>202.19840027362798</v>
      </c>
      <c r="BK16" s="34">
        <f ca="1">IFERROR(SUMIFS('TRA balance'!AB$5:AB$40,'TRA balance'!$C$5:$C$40,Assumptions!$C16,'TRA balance'!$D$5:$D$40,Assumptions!$B16)*CP16*AE16,"")</f>
        <v>16.553640549718413</v>
      </c>
      <c r="BL16" s="34">
        <f ca="1">IFERROR(SUMIFS('TRA balance'!AC$5:AC$40,'TRA balance'!$C$5:$C$40,Assumptions!$C16,'TRA balance'!$D$5:$D$40,Assumptions!$B16)*CQ16*AF16,"")</f>
        <v>58.567455344717999</v>
      </c>
      <c r="BM16" s="34">
        <f ca="1">IFERROR(SUMIFS('TRA balance'!AD$5:AD$40,'TRA balance'!$C$5:$C$40,Assumptions!$C16,'TRA balance'!$D$5:$D$40,Assumptions!$B16)*CR16*AG16,"")</f>
        <v>114.99282775134</v>
      </c>
      <c r="BN16" s="34">
        <f ca="1">IFERROR(SUMIFS('TRA balance'!AE$5:AE$40,'TRA balance'!$C$5:$C$40,Assumptions!$C16,'TRA balance'!$D$5:$D$40,Assumptions!$B16)*CS16*AH16,"")</f>
        <v>62.483074361855998</v>
      </c>
      <c r="BO16" s="34">
        <f ca="1">IFERROR(SUMIFS('TRA balance'!AF$5:AF$40,'TRA balance'!$C$5:$C$40,Assumptions!$C16,'TRA balance'!$D$5:$D$40,Assumptions!$B16)*CT16*AI16,"")</f>
        <v>175.31350459833644</v>
      </c>
      <c r="BP16" s="34">
        <f ca="1">IFERROR(SUMIFS('TRA balance'!AG$5:AG$40,'TRA balance'!$C$5:$C$40,Assumptions!$C16,'TRA balance'!$D$5:$D$40,Assumptions!$B16)*CU16*AJ16,"")</f>
        <v>250.63615231037653</v>
      </c>
      <c r="BQ16" s="34">
        <f ca="1">IFERROR(SUMIFS('TRA balance'!AH$5:AH$40,'TRA balance'!$C$5:$C$40,Assumptions!$C16,'TRA balance'!$D$5:$D$40,Assumptions!$B16)*CV16*AK16,"")</f>
        <v>0</v>
      </c>
      <c r="BS16" s="33">
        <f t="shared" ca="1" si="16"/>
        <v>0.9</v>
      </c>
      <c r="BT16" s="33">
        <f t="shared" ca="1" si="17"/>
        <v>0.9</v>
      </c>
      <c r="BU16" s="33">
        <f t="shared" ca="1" si="18"/>
        <v>0.92999999999999994</v>
      </c>
      <c r="BV16" s="33">
        <f t="shared" ca="1" si="19"/>
        <v>0.95</v>
      </c>
      <c r="BW16" s="33">
        <f t="shared" ca="1" si="20"/>
        <v>0.95</v>
      </c>
      <c r="BX16" s="33">
        <f t="shared" ca="1" si="21"/>
        <v>0.92</v>
      </c>
      <c r="BY16" s="33">
        <f t="shared" ca="1" si="22"/>
        <v>0.98</v>
      </c>
      <c r="BZ16" s="33">
        <f t="shared" ca="1" si="23"/>
        <v>0.92999999999999994</v>
      </c>
      <c r="CA16" s="33">
        <f t="shared" ca="1" si="24"/>
        <v>0.98</v>
      </c>
      <c r="CB16" s="33">
        <f t="shared" ca="1" si="25"/>
        <v>0.9</v>
      </c>
      <c r="CC16" s="33">
        <f t="shared" ca="1" si="26"/>
        <v>0.54657475750985407</v>
      </c>
      <c r="CD16" s="33">
        <f t="shared" ca="1" si="27"/>
        <v>0.64948690066960857</v>
      </c>
      <c r="CE16" s="33">
        <f t="shared" ca="1" si="28"/>
        <v>0.54657475750985407</v>
      </c>
      <c r="CF16" s="33">
        <f t="shared" ca="1" si="29"/>
        <v>0.54657475750985407</v>
      </c>
      <c r="CG16" s="33">
        <f t="shared" ca="1" si="30"/>
        <v>0.64948690066960857</v>
      </c>
      <c r="CH16" s="33">
        <f t="shared" ca="1" si="31"/>
        <v>0.54657475750985407</v>
      </c>
      <c r="CI16" s="33">
        <f t="shared" ca="1" si="32"/>
        <v>0.9</v>
      </c>
      <c r="CJ16" s="33">
        <f t="shared" ca="1" si="33"/>
        <v>0.54657475750985407</v>
      </c>
      <c r="CK16" s="33">
        <f t="shared" ca="1" si="34"/>
        <v>0.54657475750985407</v>
      </c>
      <c r="CL16" s="33">
        <f t="shared" ca="1" si="35"/>
        <v>0.75</v>
      </c>
      <c r="CM16" s="33">
        <f t="shared" ca="1" si="36"/>
        <v>0.92999999999999994</v>
      </c>
      <c r="CN16" s="33">
        <f t="shared" ca="1" si="37"/>
        <v>0.85</v>
      </c>
      <c r="CO16" s="33">
        <f t="shared" ca="1" si="38"/>
        <v>0.9</v>
      </c>
      <c r="CP16" s="33">
        <f t="shared" ca="1" si="39"/>
        <v>0.54657475750985407</v>
      </c>
      <c r="CQ16" s="33">
        <f t="shared" ca="1" si="40"/>
        <v>0.95</v>
      </c>
      <c r="CR16" s="33">
        <f t="shared" ca="1" si="41"/>
        <v>0.9</v>
      </c>
      <c r="CS16" s="33">
        <f t="shared" ca="1" si="42"/>
        <v>0.9</v>
      </c>
      <c r="CT16" s="33">
        <f t="shared" ca="1" si="43"/>
        <v>0.54657475750985407</v>
      </c>
      <c r="CU16" s="33">
        <f t="shared" ca="1" si="44"/>
        <v>0.97559357817738346</v>
      </c>
      <c r="CV16" s="33">
        <f t="shared" ca="1" si="45"/>
        <v>0.97559357817738346</v>
      </c>
    </row>
    <row r="17" spans="1:100" x14ac:dyDescent="0.45">
      <c r="A17">
        <v>1</v>
      </c>
      <c r="B17" t="str">
        <f>VLOOKUP(F17,'TRA balance'!$AK$5:$AL$14,2,FALSE)</f>
        <v>TRADST</v>
      </c>
      <c r="C17" s="6" t="str">
        <f t="shared" si="46"/>
        <v/>
      </c>
      <c r="D17" s="7"/>
      <c r="E17" s="19" t="s">
        <v>79</v>
      </c>
      <c r="F17" s="8" t="str">
        <f t="shared" si="59"/>
        <v>Diesel</v>
      </c>
      <c r="G17" s="6"/>
      <c r="H17" s="32" t="str">
        <f ca="1">IF(SUM(H13:H16)=1,"-","&lt;&gt;1!!")</f>
        <v>-</v>
      </c>
      <c r="I17" s="32" t="str">
        <f t="shared" ref="I17:X17" ca="1" si="60">IF(SUM(I13:I16)=1,"-","&lt;&gt;1!!")</f>
        <v>-</v>
      </c>
      <c r="J17" s="32" t="str">
        <f t="shared" ca="1" si="60"/>
        <v>-</v>
      </c>
      <c r="K17" s="32" t="str">
        <f t="shared" ca="1" si="60"/>
        <v>-</v>
      </c>
      <c r="L17" s="32" t="str">
        <f t="shared" ca="1" si="60"/>
        <v>-</v>
      </c>
      <c r="M17" s="32" t="str">
        <f t="shared" ca="1" si="60"/>
        <v>-</v>
      </c>
      <c r="N17" s="32" t="str">
        <f t="shared" ca="1" si="60"/>
        <v>-</v>
      </c>
      <c r="O17" s="32" t="str">
        <f t="shared" ca="1" si="60"/>
        <v>-</v>
      </c>
      <c r="P17" s="32" t="str">
        <f t="shared" ca="1" si="60"/>
        <v>-</v>
      </c>
      <c r="Q17" s="32" t="str">
        <f t="shared" ca="1" si="60"/>
        <v>-</v>
      </c>
      <c r="R17" s="32" t="str">
        <f t="shared" ca="1" si="60"/>
        <v>-</v>
      </c>
      <c r="S17" s="32" t="str">
        <f t="shared" ca="1" si="60"/>
        <v>-</v>
      </c>
      <c r="T17" s="32" t="str">
        <f t="shared" ca="1" si="60"/>
        <v>-</v>
      </c>
      <c r="U17" s="32" t="str">
        <f t="shared" ca="1" si="60"/>
        <v>-</v>
      </c>
      <c r="V17" s="32" t="str">
        <f t="shared" ca="1" si="60"/>
        <v>-</v>
      </c>
      <c r="W17" s="32" t="str">
        <f t="shared" ca="1" si="60"/>
        <v>-</v>
      </c>
      <c r="X17" s="32" t="str">
        <f t="shared" ca="1" si="60"/>
        <v>-</v>
      </c>
      <c r="Y17" s="32" t="str">
        <f t="shared" ref="Y17:Z17" ca="1" si="61">IF(SUM(Y13:Y16)=1,"-","&lt;&gt;1!!")</f>
        <v>-</v>
      </c>
      <c r="Z17" s="32" t="str">
        <f t="shared" ca="1" si="61"/>
        <v>-</v>
      </c>
      <c r="AA17" s="32" t="str">
        <f t="shared" ref="AA17:AK17" ca="1" si="62">IF(SUM(AA13:AA16)=1,"-","&lt;&gt;1!!")</f>
        <v>-</v>
      </c>
      <c r="AB17" s="32" t="str">
        <f t="shared" ca="1" si="62"/>
        <v>-</v>
      </c>
      <c r="AC17" s="32" t="str">
        <f t="shared" ca="1" si="62"/>
        <v>-</v>
      </c>
      <c r="AD17" s="32" t="str">
        <f t="shared" ca="1" si="62"/>
        <v>-</v>
      </c>
      <c r="AE17" s="32" t="str">
        <f t="shared" ca="1" si="62"/>
        <v>-</v>
      </c>
      <c r="AF17" s="32" t="str">
        <f t="shared" ca="1" si="62"/>
        <v>-</v>
      </c>
      <c r="AG17" s="32" t="str">
        <f t="shared" ca="1" si="62"/>
        <v>-</v>
      </c>
      <c r="AH17" s="32" t="str">
        <f t="shared" ca="1" si="62"/>
        <v>-</v>
      </c>
      <c r="AI17" s="32" t="str">
        <f t="shared" ca="1" si="62"/>
        <v>-</v>
      </c>
      <c r="AJ17" s="32" t="str">
        <f t="shared" ca="1" si="62"/>
        <v>-</v>
      </c>
      <c r="AK17" s="32" t="str">
        <f t="shared" ca="1" si="62"/>
        <v>-</v>
      </c>
      <c r="AN17" s="34" t="str">
        <f ca="1">IFERROR(SUMIFS('TRA balance'!E$5:E$40,'TRA balance'!$C$5:$C$40,Assumptions!$C17,'TRA balance'!$D$5:$D$40,Assumptions!$B17)*BS17*H17,"")</f>
        <v/>
      </c>
      <c r="AO17" s="34" t="str">
        <f ca="1">IFERROR(SUMIFS('TRA balance'!F$5:F$40,'TRA balance'!$C$5:$C$40,Assumptions!$C17,'TRA balance'!$D$5:$D$40,Assumptions!$B17)*BT17*I17,"")</f>
        <v/>
      </c>
      <c r="AP17" s="34" t="str">
        <f ca="1">IFERROR(SUMIFS('TRA balance'!G$5:G$40,'TRA balance'!$C$5:$C$40,Assumptions!$C17,'TRA balance'!$D$5:$D$40,Assumptions!$B17)*BU17*J17,"")</f>
        <v/>
      </c>
      <c r="AQ17" s="34" t="str">
        <f ca="1">IFERROR(SUMIFS('TRA balance'!H$5:H$40,'TRA balance'!$C$5:$C$40,Assumptions!$C17,'TRA balance'!$D$5:$D$40,Assumptions!$B17)*BV17*K17,"")</f>
        <v/>
      </c>
      <c r="AR17" s="34" t="str">
        <f ca="1">IFERROR(SUMIFS('TRA balance'!I$5:I$40,'TRA balance'!$C$5:$C$40,Assumptions!$C17,'TRA balance'!$D$5:$D$40,Assumptions!$B17)*BW17*L17,"")</f>
        <v/>
      </c>
      <c r="AS17" s="34" t="str">
        <f ca="1">IFERROR(SUMIFS('TRA balance'!J$5:J$40,'TRA balance'!$C$5:$C$40,Assumptions!$C17,'TRA balance'!$D$5:$D$40,Assumptions!$B17)*BX17*M17,"")</f>
        <v/>
      </c>
      <c r="AT17" s="34" t="str">
        <f ca="1">IFERROR(SUMIFS('TRA balance'!K$5:K$40,'TRA balance'!$C$5:$C$40,Assumptions!$C17,'TRA balance'!$D$5:$D$40,Assumptions!$B17)*BY17*N17,"")</f>
        <v/>
      </c>
      <c r="AU17" s="34" t="str">
        <f ca="1">IFERROR(SUMIFS('TRA balance'!L$5:L$40,'TRA balance'!$C$5:$C$40,Assumptions!$C17,'TRA balance'!$D$5:$D$40,Assumptions!$B17)*BZ17*O17,"")</f>
        <v/>
      </c>
      <c r="AV17" s="34" t="str">
        <f ca="1">IFERROR(SUMIFS('TRA balance'!M$5:M$40,'TRA balance'!$C$5:$C$40,Assumptions!$C17,'TRA balance'!$D$5:$D$40,Assumptions!$B17)*CA17*P17,"")</f>
        <v/>
      </c>
      <c r="AW17" s="34" t="str">
        <f ca="1">IFERROR(SUMIFS('TRA balance'!N$5:N$40,'TRA balance'!$C$5:$C$40,Assumptions!$C17,'TRA balance'!$D$5:$D$40,Assumptions!$B17)*CB17*Q17,"")</f>
        <v/>
      </c>
      <c r="AX17" s="34" t="str">
        <f ca="1">IFERROR(SUMIFS('TRA balance'!O$5:O$40,'TRA balance'!$C$5:$C$40,Assumptions!$C17,'TRA balance'!$D$5:$D$40,Assumptions!$B17)*CC17*R17,"")</f>
        <v/>
      </c>
      <c r="AY17" s="34" t="str">
        <f ca="1">IFERROR(SUMIFS('TRA balance'!P$5:P$40,'TRA balance'!$C$5:$C$40,Assumptions!$C17,'TRA balance'!$D$5:$D$40,Assumptions!$B17)*CD17*S17,"")</f>
        <v/>
      </c>
      <c r="AZ17" s="34" t="str">
        <f ca="1">IFERROR(SUMIFS('TRA balance'!Q$5:Q$40,'TRA balance'!$C$5:$C$40,Assumptions!$C17,'TRA balance'!$D$5:$D$40,Assumptions!$B17)*CE17*T17,"")</f>
        <v/>
      </c>
      <c r="BA17" s="34" t="str">
        <f ca="1">IFERROR(SUMIFS('TRA balance'!R$5:R$40,'TRA balance'!$C$5:$C$40,Assumptions!$C17,'TRA balance'!$D$5:$D$40,Assumptions!$B17)*CF17*U17,"")</f>
        <v/>
      </c>
      <c r="BB17" s="34" t="str">
        <f ca="1">IFERROR(SUMIFS('TRA balance'!S$5:S$40,'TRA balance'!$C$5:$C$40,Assumptions!$C17,'TRA balance'!$D$5:$D$40,Assumptions!$B17)*CG17*V17,"")</f>
        <v/>
      </c>
      <c r="BC17" s="34" t="str">
        <f ca="1">IFERROR(SUMIFS('TRA balance'!T$5:T$40,'TRA balance'!$C$5:$C$40,Assumptions!$C17,'TRA balance'!$D$5:$D$40,Assumptions!$B17)*CH17*W17,"")</f>
        <v/>
      </c>
      <c r="BD17" s="34" t="str">
        <f ca="1">IFERROR(SUMIFS('TRA balance'!U$5:U$40,'TRA balance'!$C$5:$C$40,Assumptions!$C17,'TRA balance'!$D$5:$D$40,Assumptions!$B17)*CI17*X17,"")</f>
        <v/>
      </c>
      <c r="BE17" s="34" t="str">
        <f ca="1">IFERROR(SUMIFS('TRA balance'!V$5:V$40,'TRA balance'!$C$5:$C$40,Assumptions!$C17,'TRA balance'!$D$5:$D$40,Assumptions!$B17)*CJ17*Y17,"")</f>
        <v/>
      </c>
      <c r="BF17" s="34" t="str">
        <f ca="1">IFERROR(SUMIFS('TRA balance'!W$5:W$40,'TRA balance'!$C$5:$C$40,Assumptions!$C17,'TRA balance'!$D$5:$D$40,Assumptions!$B17)*CK17*Z17,"")</f>
        <v/>
      </c>
      <c r="BG17" s="34" t="str">
        <f ca="1">IFERROR(SUMIFS('TRA balance'!X$5:X$40,'TRA balance'!$C$5:$C$40,Assumptions!$C17,'TRA balance'!$D$5:$D$40,Assumptions!$B17)*CL17*AA17,"")</f>
        <v/>
      </c>
      <c r="BH17" s="34" t="str">
        <f ca="1">IFERROR(SUMIFS('TRA balance'!Y$5:Y$40,'TRA balance'!$C$5:$C$40,Assumptions!$C17,'TRA balance'!$D$5:$D$40,Assumptions!$B17)*CM17*AB17,"")</f>
        <v/>
      </c>
      <c r="BI17" s="34" t="str">
        <f ca="1">IFERROR(SUMIFS('TRA balance'!Z$5:Z$40,'TRA balance'!$C$5:$C$40,Assumptions!$C17,'TRA balance'!$D$5:$D$40,Assumptions!$B17)*CN17*AC17,"")</f>
        <v/>
      </c>
      <c r="BJ17" s="34" t="str">
        <f ca="1">IFERROR(SUMIFS('TRA balance'!AA$5:AA$40,'TRA balance'!$C$5:$C$40,Assumptions!$C17,'TRA balance'!$D$5:$D$40,Assumptions!$B17)*CO17*AD17,"")</f>
        <v/>
      </c>
      <c r="BK17" s="34" t="str">
        <f ca="1">IFERROR(SUMIFS('TRA balance'!AB$5:AB$40,'TRA balance'!$C$5:$C$40,Assumptions!$C17,'TRA balance'!$D$5:$D$40,Assumptions!$B17)*CP17*AE17,"")</f>
        <v/>
      </c>
      <c r="BL17" s="34" t="str">
        <f ca="1">IFERROR(SUMIFS('TRA balance'!AC$5:AC$40,'TRA balance'!$C$5:$C$40,Assumptions!$C17,'TRA balance'!$D$5:$D$40,Assumptions!$B17)*CQ17*AF17,"")</f>
        <v/>
      </c>
      <c r="BM17" s="34" t="str">
        <f ca="1">IFERROR(SUMIFS('TRA balance'!AD$5:AD$40,'TRA balance'!$C$5:$C$40,Assumptions!$C17,'TRA balance'!$D$5:$D$40,Assumptions!$B17)*CR17*AG17,"")</f>
        <v/>
      </c>
      <c r="BN17" s="34" t="str">
        <f ca="1">IFERROR(SUMIFS('TRA balance'!AE$5:AE$40,'TRA balance'!$C$5:$C$40,Assumptions!$C17,'TRA balance'!$D$5:$D$40,Assumptions!$B17)*CS17*AH17,"")</f>
        <v/>
      </c>
      <c r="BO17" s="34" t="str">
        <f ca="1">IFERROR(SUMIFS('TRA balance'!AF$5:AF$40,'TRA balance'!$C$5:$C$40,Assumptions!$C17,'TRA balance'!$D$5:$D$40,Assumptions!$B17)*CT17*AI17,"")</f>
        <v/>
      </c>
      <c r="BP17" s="34" t="str">
        <f ca="1">IFERROR(SUMIFS('TRA balance'!AG$5:AG$40,'TRA balance'!$C$5:$C$40,Assumptions!$C17,'TRA balance'!$D$5:$D$40,Assumptions!$B17)*CU17*AJ17,"")</f>
        <v/>
      </c>
      <c r="BQ17" s="34" t="str">
        <f ca="1">IFERROR(SUMIFS('TRA balance'!AH$5:AH$40,'TRA balance'!$C$5:$C$40,Assumptions!$C17,'TRA balance'!$D$5:$D$40,Assumptions!$B17)*CV17*AK17,"")</f>
        <v/>
      </c>
      <c r="BS17" s="33">
        <f t="shared" si="16"/>
        <v>1</v>
      </c>
      <c r="BT17" s="33">
        <f t="shared" si="17"/>
        <v>1</v>
      </c>
      <c r="BU17" s="33">
        <f t="shared" si="18"/>
        <v>1</v>
      </c>
      <c r="BV17" s="33">
        <f t="shared" si="19"/>
        <v>1</v>
      </c>
      <c r="BW17" s="33">
        <f t="shared" si="20"/>
        <v>1</v>
      </c>
      <c r="BX17" s="33">
        <f t="shared" si="21"/>
        <v>1</v>
      </c>
      <c r="BY17" s="33">
        <f t="shared" si="22"/>
        <v>1</v>
      </c>
      <c r="BZ17" s="33">
        <f t="shared" si="23"/>
        <v>1</v>
      </c>
      <c r="CA17" s="33">
        <f t="shared" si="24"/>
        <v>1</v>
      </c>
      <c r="CB17" s="33">
        <f t="shared" si="25"/>
        <v>1</v>
      </c>
      <c r="CC17" s="33">
        <f t="shared" si="26"/>
        <v>1</v>
      </c>
      <c r="CD17" s="33">
        <f t="shared" si="27"/>
        <v>1</v>
      </c>
      <c r="CE17" s="33">
        <f t="shared" si="28"/>
        <v>1</v>
      </c>
      <c r="CF17" s="33">
        <f t="shared" si="29"/>
        <v>1</v>
      </c>
      <c r="CG17" s="33">
        <f t="shared" si="30"/>
        <v>1</v>
      </c>
      <c r="CH17" s="33">
        <f t="shared" si="31"/>
        <v>1</v>
      </c>
      <c r="CI17" s="33">
        <f t="shared" si="32"/>
        <v>1</v>
      </c>
      <c r="CJ17" s="33">
        <f t="shared" si="33"/>
        <v>1</v>
      </c>
      <c r="CK17" s="33">
        <f t="shared" si="34"/>
        <v>1</v>
      </c>
      <c r="CL17" s="33">
        <f t="shared" si="35"/>
        <v>1</v>
      </c>
      <c r="CM17" s="33">
        <f t="shared" si="36"/>
        <v>1</v>
      </c>
      <c r="CN17" s="33">
        <f t="shared" si="37"/>
        <v>1</v>
      </c>
      <c r="CO17" s="33">
        <f t="shared" si="38"/>
        <v>1</v>
      </c>
      <c r="CP17" s="33">
        <f t="shared" si="39"/>
        <v>1</v>
      </c>
      <c r="CQ17" s="33">
        <f t="shared" si="40"/>
        <v>1</v>
      </c>
      <c r="CR17" s="33">
        <f t="shared" si="41"/>
        <v>1</v>
      </c>
      <c r="CS17" s="33">
        <f t="shared" si="42"/>
        <v>1</v>
      </c>
      <c r="CT17" s="33">
        <f t="shared" si="43"/>
        <v>1</v>
      </c>
      <c r="CU17" s="33">
        <f t="shared" si="44"/>
        <v>1</v>
      </c>
      <c r="CV17" s="33">
        <f t="shared" si="45"/>
        <v>1</v>
      </c>
    </row>
    <row r="18" spans="1:100" x14ac:dyDescent="0.45">
      <c r="A18">
        <v>1</v>
      </c>
      <c r="B18" t="str">
        <f>VLOOKUP(F18,'TRA balance'!$AK$5:$AL$14,2,FALSE)</f>
        <v>TRADST</v>
      </c>
      <c r="C18" s="6" t="str">
        <f t="shared" si="46"/>
        <v>TT</v>
      </c>
      <c r="D18" s="7" t="s">
        <v>17</v>
      </c>
      <c r="E18" s="7" t="s">
        <v>53</v>
      </c>
      <c r="F18" s="8" t="str">
        <f t="shared" si="59"/>
        <v>Diesel</v>
      </c>
      <c r="G18" s="6" t="s">
        <v>55</v>
      </c>
      <c r="H18" s="9">
        <f ca="1">OFFSET(TIAM15_assumptions!$G18,0,MATCH(VLOOKUP(Assumptions!H$2,TIAM15_assumptions!$Y$3:$Z$36,2,FALSE),TIAM15_assumptions!$H$2:$V$2,0))</f>
        <v>0.7</v>
      </c>
      <c r="I18" s="9">
        <f ca="1">OFFSET(TIAM15_assumptions!$G18,0,MATCH(VLOOKUP(Assumptions!I$2,TIAM15_assumptions!$Y$3:$Z$36,2,FALSE),TIAM15_assumptions!$H$2:$V$2,0))</f>
        <v>0.7</v>
      </c>
      <c r="J18" s="9">
        <f ca="1">OFFSET(TIAM15_assumptions!$G18,0,MATCH(VLOOKUP(Assumptions!J$2,TIAM15_assumptions!$Y$3:$Z$36,2,FALSE),TIAM15_assumptions!$H$2:$V$2,0))</f>
        <v>0.8</v>
      </c>
      <c r="K18" s="9">
        <f ca="1">OFFSET(TIAM15_assumptions!$G18,0,MATCH(VLOOKUP(Assumptions!K$2,TIAM15_assumptions!$Y$3:$Z$36,2,FALSE),TIAM15_assumptions!$H$2:$V$2,0))</f>
        <v>0.9</v>
      </c>
      <c r="L18" s="9">
        <f ca="1">OFFSET(TIAM15_assumptions!$G18,0,MATCH(VLOOKUP(Assumptions!L$2,TIAM15_assumptions!$Y$3:$Z$36,2,FALSE),TIAM15_assumptions!$H$2:$V$2,0))</f>
        <v>0.3</v>
      </c>
      <c r="M18" s="9">
        <f ca="1">OFFSET(TIAM15_assumptions!$G18,0,MATCH(VLOOKUP(Assumptions!M$2,TIAM15_assumptions!$Y$3:$Z$36,2,FALSE),TIAM15_assumptions!$H$2:$V$2,0))</f>
        <v>0.8</v>
      </c>
      <c r="N18" s="9">
        <f ca="1">OFFSET(TIAM15_assumptions!$G18,0,MATCH(VLOOKUP(Assumptions!N$2,TIAM15_assumptions!$Y$3:$Z$36,2,FALSE),TIAM15_assumptions!$H$2:$V$2,0))</f>
        <v>0.7</v>
      </c>
      <c r="O18" s="9">
        <f ca="1">OFFSET(TIAM15_assumptions!$G18,0,MATCH(VLOOKUP(Assumptions!O$2,TIAM15_assumptions!$Y$3:$Z$36,2,FALSE),TIAM15_assumptions!$H$2:$V$2,0))</f>
        <v>0.8</v>
      </c>
      <c r="P18" s="9">
        <f ca="1">OFFSET(TIAM15_assumptions!$G18,0,MATCH(VLOOKUP(Assumptions!P$2,TIAM15_assumptions!$Y$3:$Z$36,2,FALSE),TIAM15_assumptions!$H$2:$V$2,0))</f>
        <v>0.95</v>
      </c>
      <c r="Q18" s="9">
        <f ca="1">OFFSET(TIAM15_assumptions!$G18,0,MATCH(VLOOKUP(Assumptions!Q$2,TIAM15_assumptions!$Y$3:$Z$36,2,FALSE),TIAM15_assumptions!$H$2:$V$2,0))</f>
        <v>0.6</v>
      </c>
      <c r="R18" s="9">
        <f ca="1">OFFSET(TIAM15_assumptions!$G18,0,MATCH(VLOOKUP(Assumptions!R$2,TIAM15_assumptions!$Y$3:$Z$36,2,FALSE),TIAM15_assumptions!$H$2:$V$2,0))</f>
        <v>0.9</v>
      </c>
      <c r="S18" s="9">
        <f ca="1">OFFSET(TIAM15_assumptions!$G18,0,MATCH(VLOOKUP(Assumptions!S$2,TIAM15_assumptions!$Y$3:$Z$36,2,FALSE),TIAM15_assumptions!$H$2:$V$2,0))</f>
        <v>0.9</v>
      </c>
      <c r="T18" s="9">
        <f ca="1">OFFSET(TIAM15_assumptions!$G18,0,MATCH(VLOOKUP(Assumptions!T$2,TIAM15_assumptions!$Y$3:$Z$36,2,FALSE),TIAM15_assumptions!$H$2:$V$2,0))</f>
        <v>0.9</v>
      </c>
      <c r="U18" s="9">
        <f ca="1">OFFSET(TIAM15_assumptions!$G18,0,MATCH(VLOOKUP(Assumptions!U$2,TIAM15_assumptions!$Y$3:$Z$36,2,FALSE),TIAM15_assumptions!$H$2:$V$2,0))</f>
        <v>0.9</v>
      </c>
      <c r="V18" s="9">
        <f ca="1">OFFSET(TIAM15_assumptions!$G18,0,MATCH(VLOOKUP(Assumptions!V$2,TIAM15_assumptions!$Y$3:$Z$36,2,FALSE),TIAM15_assumptions!$H$2:$V$2,0))</f>
        <v>0.9</v>
      </c>
      <c r="W18" s="9">
        <f ca="1">OFFSET(TIAM15_assumptions!$G18,0,MATCH(VLOOKUP(Assumptions!W$2,TIAM15_assumptions!$Y$3:$Z$36,2,FALSE),TIAM15_assumptions!$H$2:$V$2,0))</f>
        <v>0.9</v>
      </c>
      <c r="X18" s="9">
        <f ca="1">OFFSET(TIAM15_assumptions!$G18,0,MATCH(VLOOKUP(Assumptions!X$2,TIAM15_assumptions!$Y$3:$Z$36,2,FALSE),TIAM15_assumptions!$H$2:$V$2,0))</f>
        <v>0.7</v>
      </c>
      <c r="Y18" s="9">
        <f ca="1">OFFSET(TIAM15_assumptions!$G18,0,MATCH(VLOOKUP(Assumptions!Y$2,TIAM15_assumptions!$Y$3:$Z$36,2,FALSE),TIAM15_assumptions!$H$2:$V$2,0))</f>
        <v>0.9</v>
      </c>
      <c r="Z18" s="9">
        <f ca="1">OFFSET(TIAM15_assumptions!$G18,0,MATCH(VLOOKUP(Assumptions!Z$2,TIAM15_assumptions!$Y$3:$Z$36,2,FALSE),TIAM15_assumptions!$H$2:$V$2,0))</f>
        <v>0.9</v>
      </c>
      <c r="AA18" s="9">
        <f ca="1">OFFSET(TIAM15_assumptions!$G18,0,MATCH(VLOOKUP(Assumptions!AA$2,TIAM15_assumptions!$Y$3:$Z$36,2,FALSE),TIAM15_assumptions!$H$2:$V$2,0))</f>
        <v>0.5</v>
      </c>
      <c r="AB18" s="9">
        <f ca="1">OFFSET(TIAM15_assumptions!$G18,0,MATCH(VLOOKUP(Assumptions!AB$2,TIAM15_assumptions!$Y$3:$Z$36,2,FALSE),TIAM15_assumptions!$H$2:$V$2,0))</f>
        <v>0.8</v>
      </c>
      <c r="AC18" s="9">
        <f ca="1">OFFSET(TIAM15_assumptions!$G18,0,MATCH(VLOOKUP(Assumptions!AC$2,TIAM15_assumptions!$Y$3:$Z$36,2,FALSE),TIAM15_assumptions!$H$2:$V$2,0))</f>
        <v>0.75</v>
      </c>
      <c r="AD18" s="9">
        <f ca="1">OFFSET(TIAM15_assumptions!$G18,0,MATCH(VLOOKUP(Assumptions!AD$2,TIAM15_assumptions!$Y$3:$Z$36,2,FALSE),TIAM15_assumptions!$H$2:$V$2,0))</f>
        <v>0.7</v>
      </c>
      <c r="AE18" s="9">
        <f ca="1">OFFSET(TIAM15_assumptions!$G18,0,MATCH(VLOOKUP(Assumptions!AE$2,TIAM15_assumptions!$Y$3:$Z$36,2,FALSE),TIAM15_assumptions!$H$2:$V$2,0))</f>
        <v>0.9</v>
      </c>
      <c r="AF18" s="9">
        <f ca="1">OFFSET(TIAM15_assumptions!$G18,0,MATCH(VLOOKUP(Assumptions!AF$2,TIAM15_assumptions!$Y$3:$Z$36,2,FALSE),TIAM15_assumptions!$H$2:$V$2,0))</f>
        <v>0.9</v>
      </c>
      <c r="AG18" s="9">
        <f ca="1">OFFSET(TIAM15_assumptions!$G18,0,MATCH(VLOOKUP(Assumptions!AG$2,TIAM15_assumptions!$Y$3:$Z$36,2,FALSE),TIAM15_assumptions!$H$2:$V$2,0))</f>
        <v>0.7</v>
      </c>
      <c r="AH18" s="9">
        <f ca="1">OFFSET(TIAM15_assumptions!$G18,0,MATCH(VLOOKUP(Assumptions!AH$2,TIAM15_assumptions!$Y$3:$Z$36,2,FALSE),TIAM15_assumptions!$H$2:$V$2,0))</f>
        <v>0.7</v>
      </c>
      <c r="AI18" s="9">
        <f ca="1">OFFSET(TIAM15_assumptions!$G18,0,MATCH(VLOOKUP(Assumptions!AI$2,TIAM15_assumptions!$Y$3:$Z$36,2,FALSE),TIAM15_assumptions!$H$2:$V$2,0))</f>
        <v>0.9</v>
      </c>
      <c r="AJ18" s="9">
        <f ca="1">OFFSET(TIAM15_assumptions!$G18,0,MATCH(VLOOKUP(Assumptions!AJ$2,TIAM15_assumptions!$Y$3:$Z$36,2,FALSE),TIAM15_assumptions!$H$2:$V$2,0))</f>
        <v>0.96032123091737276</v>
      </c>
      <c r="AK18" s="9">
        <f ca="1">OFFSET(TIAM15_assumptions!$G18,0,MATCH(VLOOKUP(Assumptions!AK$2,TIAM15_assumptions!$Y$3:$Z$36,2,FALSE),TIAM15_assumptions!$H$2:$V$2,0))</f>
        <v>0.96032123091737276</v>
      </c>
      <c r="AN18" s="34">
        <f ca="1">IFERROR(SUMIFS('TRA balance'!E$5:E$40,'TRA balance'!$C$5:$C$40,Assumptions!$C18,'TRA balance'!$D$5:$D$40,Assumptions!$B18)*BS18*H18,"")</f>
        <v>1.8674744104799998</v>
      </c>
      <c r="AO18" s="34">
        <f ca="1">IFERROR(SUMIFS('TRA balance'!F$5:F$40,'TRA balance'!$C$5:$C$40,Assumptions!$C18,'TRA balance'!$D$5:$D$40,Assumptions!$B18)*BT18*I18,"")</f>
        <v>10.55918831184</v>
      </c>
      <c r="AP18" s="34">
        <f ca="1">IFERROR(SUMIFS('TRA balance'!G$5:G$40,'TRA balance'!$C$5:$C$40,Assumptions!$C18,'TRA balance'!$D$5:$D$40,Assumptions!$B18)*BU18*J18,"")</f>
        <v>1.50060606048</v>
      </c>
      <c r="AQ18" s="34">
        <f ca="1">IFERROR(SUMIFS('TRA balance'!H$5:H$40,'TRA balance'!$C$5:$C$40,Assumptions!$C18,'TRA balance'!$D$5:$D$40,Assumptions!$B18)*BV18*K18,"")</f>
        <v>3.7928878527599998</v>
      </c>
      <c r="AR18" s="34">
        <f ca="1">IFERROR(SUMIFS('TRA balance'!I$5:I$40,'TRA balance'!$C$5:$C$40,Assumptions!$C18,'TRA balance'!$D$5:$D$40,Assumptions!$B18)*BW18*L18,"")</f>
        <v>3.1450173965999997</v>
      </c>
      <c r="AS18" s="34">
        <f ca="1">IFERROR(SUMIFS('TRA balance'!J$5:J$40,'TRA balance'!$C$5:$C$40,Assumptions!$C18,'TRA balance'!$D$5:$D$40,Assumptions!$B18)*BX18*M18,"")</f>
        <v>54.545298805439998</v>
      </c>
      <c r="AT18" s="34">
        <f ca="1">IFERROR(SUMIFS('TRA balance'!K$5:K$40,'TRA balance'!$C$5:$C$40,Assumptions!$C18,'TRA balance'!$D$5:$D$40,Assumptions!$B18)*BY18*N18,"")</f>
        <v>34.501739055839998</v>
      </c>
      <c r="AU18" s="34">
        <f ca="1">IFERROR(SUMIFS('TRA balance'!L$5:L$40,'TRA balance'!$C$5:$C$40,Assumptions!$C18,'TRA balance'!$D$5:$D$40,Assumptions!$B18)*BZ18*O18,"")</f>
        <v>32.628616652160005</v>
      </c>
      <c r="AV18" s="34">
        <f ca="1">IFERROR(SUMIFS('TRA balance'!M$5:M$40,'TRA balance'!$C$5:$C$40,Assumptions!$C18,'TRA balance'!$D$5:$D$40,Assumptions!$B18)*CA18*P18,"")</f>
        <v>89.317288893059995</v>
      </c>
      <c r="AW18" s="34">
        <f ca="1">IFERROR(SUMIFS('TRA balance'!N$5:N$40,'TRA balance'!$C$5:$C$40,Assumptions!$C18,'TRA balance'!$D$5:$D$40,Assumptions!$B18)*CB18*Q18,"")</f>
        <v>68.470907940719997</v>
      </c>
      <c r="AX18" s="34">
        <f ca="1">IFERROR(SUMIFS('TRA balance'!O$5:O$40,'TRA balance'!$C$5:$C$40,Assumptions!$C18,'TRA balance'!$D$5:$D$40,Assumptions!$B18)*CC18*R18,"")</f>
        <v>4.0979322392399995</v>
      </c>
      <c r="AY18" s="34">
        <f ca="1">IFERROR(SUMIFS('TRA balance'!P$5:P$40,'TRA balance'!$C$5:$C$40,Assumptions!$C18,'TRA balance'!$D$5:$D$40,Assumptions!$B18)*CD18*S18,"")</f>
        <v>11.51998313076</v>
      </c>
      <c r="AZ18" s="34">
        <f ca="1">IFERROR(SUMIFS('TRA balance'!Q$5:Q$40,'TRA balance'!$C$5:$C$40,Assumptions!$C18,'TRA balance'!$D$5:$D$40,Assumptions!$B18)*CE18*T18,"")</f>
        <v>3.1826408187599999</v>
      </c>
      <c r="BA18" s="34">
        <f ca="1">IFERROR(SUMIFS('TRA balance'!R$5:R$40,'TRA balance'!$C$5:$C$40,Assumptions!$C18,'TRA balance'!$D$5:$D$40,Assumptions!$B18)*CF18*U18,"")</f>
        <v>2.0483538001200001</v>
      </c>
      <c r="BB18" s="34">
        <f ca="1">IFERROR(SUMIFS('TRA balance'!S$5:S$40,'TRA balance'!$C$5:$C$40,Assumptions!$C18,'TRA balance'!$D$5:$D$40,Assumptions!$B18)*CG18*V18,"")</f>
        <v>7.537558842000001</v>
      </c>
      <c r="BC18" s="34">
        <f ca="1">IFERROR(SUMIFS('TRA balance'!T$5:T$40,'TRA balance'!$C$5:$C$40,Assumptions!$C18,'TRA balance'!$D$5:$D$40,Assumptions!$B18)*CH18*W18,"")</f>
        <v>3.4793162107200004</v>
      </c>
      <c r="BD18" s="34">
        <f ca="1">IFERROR(SUMIFS('TRA balance'!U$5:U$40,'TRA balance'!$C$5:$C$40,Assumptions!$C18,'TRA balance'!$D$5:$D$40,Assumptions!$B18)*CI18*X18,"")</f>
        <v>10.443490699319998</v>
      </c>
      <c r="BE18" s="34">
        <f ca="1">IFERROR(SUMIFS('TRA balance'!V$5:V$40,'TRA balance'!$C$5:$C$40,Assumptions!$C18,'TRA balance'!$D$5:$D$40,Assumptions!$B18)*CJ18*Y18,"")</f>
        <v>4.4217154864800001</v>
      </c>
      <c r="BF18" s="34">
        <f ca="1">IFERROR(SUMIFS('TRA balance'!W$5:W$40,'TRA balance'!$C$5:$C$40,Assumptions!$C18,'TRA balance'!$D$5:$D$40,Assumptions!$B18)*CK18*Z18,"")</f>
        <v>9.6616782309599998</v>
      </c>
      <c r="BG18" s="34">
        <f ca="1">IFERROR(SUMIFS('TRA balance'!X$5:X$40,'TRA balance'!$C$5:$C$40,Assumptions!$C18,'TRA balance'!$D$5:$D$40,Assumptions!$B18)*CL18*AA18,"")</f>
        <v>54.978009609600001</v>
      </c>
      <c r="BH18" s="34">
        <f ca="1">IFERROR(SUMIFS('TRA balance'!Y$5:Y$40,'TRA balance'!$C$5:$C$40,Assumptions!$C18,'TRA balance'!$D$5:$D$40,Assumptions!$B18)*CM18*AB18,"")</f>
        <v>6.1964640000000008E-2</v>
      </c>
      <c r="BI18" s="34">
        <f ca="1">IFERROR(SUMIFS('TRA balance'!Z$5:Z$40,'TRA balance'!$C$5:$C$40,Assumptions!$C18,'TRA balance'!$D$5:$D$40,Assumptions!$B18)*CN18*AC18,"")</f>
        <v>20.300294325599999</v>
      </c>
      <c r="BJ18" s="34">
        <f ca="1">IFERROR(SUMIFS('TRA balance'!AA$5:AA$40,'TRA balance'!$C$5:$C$40,Assumptions!$C18,'TRA balance'!$D$5:$D$40,Assumptions!$B18)*CO18*AD18,"")</f>
        <v>2.40085514592</v>
      </c>
      <c r="BK18" s="34">
        <f ca="1">IFERROR(SUMIFS('TRA balance'!AB$5:AB$40,'TRA balance'!$C$5:$C$40,Assumptions!$C18,'TRA balance'!$D$5:$D$40,Assumptions!$B18)*CP18*AE18,"")</f>
        <v>0.51252837803999995</v>
      </c>
      <c r="BL18" s="34">
        <f ca="1">IFERROR(SUMIFS('TRA balance'!AC$5:AC$40,'TRA balance'!$C$5:$C$40,Assumptions!$C18,'TRA balance'!$D$5:$D$40,Assumptions!$B18)*CQ18*AF18,"")</f>
        <v>148.08058207992002</v>
      </c>
      <c r="BM18" s="34">
        <f ca="1">IFERROR(SUMIFS('TRA balance'!AD$5:AD$40,'TRA balance'!$C$5:$C$40,Assumptions!$C18,'TRA balance'!$D$5:$D$40,Assumptions!$B18)*CR18*AG18,"")</f>
        <v>0</v>
      </c>
      <c r="BN18" s="34">
        <f ca="1">IFERROR(SUMIFS('TRA balance'!AE$5:AE$40,'TRA balance'!$C$5:$C$40,Assumptions!$C18,'TRA balance'!$D$5:$D$40,Assumptions!$B18)*CS18*AH18,"")</f>
        <v>3.5336349165599996</v>
      </c>
      <c r="BO18" s="34">
        <f ca="1">IFERROR(SUMIFS('TRA balance'!AF$5:AF$40,'TRA balance'!$C$5:$C$40,Assumptions!$C18,'TRA balance'!$D$5:$D$40,Assumptions!$B18)*CT18*AI18,"")</f>
        <v>24.327879532560001</v>
      </c>
      <c r="BP18" s="34">
        <f ca="1">IFERROR(SUMIFS('TRA balance'!AG$5:AG$40,'TRA balance'!$C$5:$C$40,Assumptions!$C18,'TRA balance'!$D$5:$D$40,Assumptions!$B18)*CU18*AJ18,"")</f>
        <v>540.47093329896529</v>
      </c>
      <c r="BQ18" s="34">
        <f ca="1">IFERROR(SUMIFS('TRA balance'!AH$5:AH$40,'TRA balance'!$C$5:$C$40,Assumptions!$C18,'TRA balance'!$D$5:$D$40,Assumptions!$B18)*CV18*AK18,"")</f>
        <v>0</v>
      </c>
      <c r="BS18" s="33">
        <f t="shared" si="16"/>
        <v>1</v>
      </c>
      <c r="BT18" s="33">
        <f t="shared" si="17"/>
        <v>1</v>
      </c>
      <c r="BU18" s="33">
        <f t="shared" si="18"/>
        <v>1</v>
      </c>
      <c r="BV18" s="33">
        <f t="shared" si="19"/>
        <v>1</v>
      </c>
      <c r="BW18" s="33">
        <f t="shared" si="20"/>
        <v>1</v>
      </c>
      <c r="BX18" s="33">
        <f t="shared" si="21"/>
        <v>1</v>
      </c>
      <c r="BY18" s="33">
        <f t="shared" si="22"/>
        <v>1</v>
      </c>
      <c r="BZ18" s="33">
        <f t="shared" si="23"/>
        <v>1</v>
      </c>
      <c r="CA18" s="33">
        <f t="shared" si="24"/>
        <v>1</v>
      </c>
      <c r="CB18" s="33">
        <f t="shared" si="25"/>
        <v>1</v>
      </c>
      <c r="CC18" s="33">
        <f t="shared" si="26"/>
        <v>1</v>
      </c>
      <c r="CD18" s="33">
        <f t="shared" si="27"/>
        <v>1</v>
      </c>
      <c r="CE18" s="33">
        <f t="shared" si="28"/>
        <v>1</v>
      </c>
      <c r="CF18" s="33">
        <f t="shared" si="29"/>
        <v>1</v>
      </c>
      <c r="CG18" s="33">
        <f t="shared" si="30"/>
        <v>1</v>
      </c>
      <c r="CH18" s="33">
        <f t="shared" si="31"/>
        <v>1</v>
      </c>
      <c r="CI18" s="33">
        <f t="shared" si="32"/>
        <v>1</v>
      </c>
      <c r="CJ18" s="33">
        <f t="shared" si="33"/>
        <v>1</v>
      </c>
      <c r="CK18" s="33">
        <f t="shared" si="34"/>
        <v>1</v>
      </c>
      <c r="CL18" s="33">
        <f t="shared" si="35"/>
        <v>1</v>
      </c>
      <c r="CM18" s="33">
        <f t="shared" si="36"/>
        <v>1</v>
      </c>
      <c r="CN18" s="33">
        <f t="shared" si="37"/>
        <v>1</v>
      </c>
      <c r="CO18" s="33">
        <f t="shared" si="38"/>
        <v>1</v>
      </c>
      <c r="CP18" s="33">
        <f t="shared" si="39"/>
        <v>1</v>
      </c>
      <c r="CQ18" s="33">
        <f t="shared" si="40"/>
        <v>1</v>
      </c>
      <c r="CR18" s="33">
        <f t="shared" si="41"/>
        <v>1</v>
      </c>
      <c r="CS18" s="33">
        <f t="shared" si="42"/>
        <v>1</v>
      </c>
      <c r="CT18" s="33">
        <f t="shared" si="43"/>
        <v>1</v>
      </c>
      <c r="CU18" s="33">
        <f t="shared" si="44"/>
        <v>1</v>
      </c>
      <c r="CV18" s="33">
        <f t="shared" si="45"/>
        <v>1</v>
      </c>
    </row>
    <row r="19" spans="1:100" x14ac:dyDescent="0.45">
      <c r="A19">
        <v>1</v>
      </c>
      <c r="B19" t="str">
        <f>VLOOKUP(F19,'TRA balance'!$AK$5:$AL$14,2,FALSE)</f>
        <v>TRADST</v>
      </c>
      <c r="C19" s="6" t="str">
        <f t="shared" si="46"/>
        <v>TT</v>
      </c>
      <c r="D19" s="7" t="s">
        <v>17</v>
      </c>
      <c r="E19" s="7" t="s">
        <v>56</v>
      </c>
      <c r="F19" s="8" t="str">
        <f t="shared" si="59"/>
        <v>Diesel</v>
      </c>
      <c r="G19" s="6" t="s">
        <v>57</v>
      </c>
      <c r="H19" s="9">
        <f ca="1">OFFSET(TIAM15_assumptions!$G19,0,MATCH(VLOOKUP(Assumptions!H$2,TIAM15_assumptions!$Y$3:$Z$36,2,FALSE),TIAM15_assumptions!$H$2:$V$2,0))</f>
        <v>0.3</v>
      </c>
      <c r="I19" s="9">
        <f ca="1">OFFSET(TIAM15_assumptions!$G19,0,MATCH(VLOOKUP(Assumptions!I$2,TIAM15_assumptions!$Y$3:$Z$36,2,FALSE),TIAM15_assumptions!$H$2:$V$2,0))</f>
        <v>0.3</v>
      </c>
      <c r="J19" s="9">
        <f ca="1">OFFSET(TIAM15_assumptions!$G19,0,MATCH(VLOOKUP(Assumptions!J$2,TIAM15_assumptions!$Y$3:$Z$36,2,FALSE),TIAM15_assumptions!$H$2:$V$2,0))</f>
        <v>0.2</v>
      </c>
      <c r="K19" s="9">
        <f ca="1">OFFSET(TIAM15_assumptions!$G19,0,MATCH(VLOOKUP(Assumptions!K$2,TIAM15_assumptions!$Y$3:$Z$36,2,FALSE),TIAM15_assumptions!$H$2:$V$2,0))</f>
        <v>0.1</v>
      </c>
      <c r="L19" s="9">
        <f ca="1">OFFSET(TIAM15_assumptions!$G19,0,MATCH(VLOOKUP(Assumptions!L$2,TIAM15_assumptions!$Y$3:$Z$36,2,FALSE),TIAM15_assumptions!$H$2:$V$2,0))</f>
        <v>0.7</v>
      </c>
      <c r="M19" s="9">
        <f ca="1">OFFSET(TIAM15_assumptions!$G19,0,MATCH(VLOOKUP(Assumptions!M$2,TIAM15_assumptions!$Y$3:$Z$36,2,FALSE),TIAM15_assumptions!$H$2:$V$2,0))</f>
        <v>0.2</v>
      </c>
      <c r="N19" s="9">
        <f ca="1">OFFSET(TIAM15_assumptions!$G19,0,MATCH(VLOOKUP(Assumptions!N$2,TIAM15_assumptions!$Y$3:$Z$36,2,FALSE),TIAM15_assumptions!$H$2:$V$2,0))</f>
        <v>0.3</v>
      </c>
      <c r="O19" s="9">
        <f ca="1">OFFSET(TIAM15_assumptions!$G19,0,MATCH(VLOOKUP(Assumptions!O$2,TIAM15_assumptions!$Y$3:$Z$36,2,FALSE),TIAM15_assumptions!$H$2:$V$2,0))</f>
        <v>0.2</v>
      </c>
      <c r="P19" s="9">
        <f ca="1">OFFSET(TIAM15_assumptions!$G19,0,MATCH(VLOOKUP(Assumptions!P$2,TIAM15_assumptions!$Y$3:$Z$36,2,FALSE),TIAM15_assumptions!$H$2:$V$2,0))</f>
        <v>0.05</v>
      </c>
      <c r="Q19" s="9">
        <f ca="1">OFFSET(TIAM15_assumptions!$G19,0,MATCH(VLOOKUP(Assumptions!Q$2,TIAM15_assumptions!$Y$3:$Z$36,2,FALSE),TIAM15_assumptions!$H$2:$V$2,0))</f>
        <v>0.4</v>
      </c>
      <c r="R19" s="9">
        <f ca="1">OFFSET(TIAM15_assumptions!$G19,0,MATCH(VLOOKUP(Assumptions!R$2,TIAM15_assumptions!$Y$3:$Z$36,2,FALSE),TIAM15_assumptions!$H$2:$V$2,0))</f>
        <v>0.1</v>
      </c>
      <c r="S19" s="9">
        <f ca="1">OFFSET(TIAM15_assumptions!$G19,0,MATCH(VLOOKUP(Assumptions!S$2,TIAM15_assumptions!$Y$3:$Z$36,2,FALSE),TIAM15_assumptions!$H$2:$V$2,0))</f>
        <v>0.1</v>
      </c>
      <c r="T19" s="9">
        <f ca="1">OFFSET(TIAM15_assumptions!$G19,0,MATCH(VLOOKUP(Assumptions!T$2,TIAM15_assumptions!$Y$3:$Z$36,2,FALSE),TIAM15_assumptions!$H$2:$V$2,0))</f>
        <v>0.1</v>
      </c>
      <c r="U19" s="9">
        <f ca="1">OFFSET(TIAM15_assumptions!$G19,0,MATCH(VLOOKUP(Assumptions!U$2,TIAM15_assumptions!$Y$3:$Z$36,2,FALSE),TIAM15_assumptions!$H$2:$V$2,0))</f>
        <v>0.1</v>
      </c>
      <c r="V19" s="9">
        <f ca="1">OFFSET(TIAM15_assumptions!$G19,0,MATCH(VLOOKUP(Assumptions!V$2,TIAM15_assumptions!$Y$3:$Z$36,2,FALSE),TIAM15_assumptions!$H$2:$V$2,0))</f>
        <v>0.1</v>
      </c>
      <c r="W19" s="9">
        <f ca="1">OFFSET(TIAM15_assumptions!$G19,0,MATCH(VLOOKUP(Assumptions!W$2,TIAM15_assumptions!$Y$3:$Z$36,2,FALSE),TIAM15_assumptions!$H$2:$V$2,0))</f>
        <v>0.1</v>
      </c>
      <c r="X19" s="9">
        <f ca="1">OFFSET(TIAM15_assumptions!$G19,0,MATCH(VLOOKUP(Assumptions!X$2,TIAM15_assumptions!$Y$3:$Z$36,2,FALSE),TIAM15_assumptions!$H$2:$V$2,0))</f>
        <v>0.3</v>
      </c>
      <c r="Y19" s="9">
        <f ca="1">OFFSET(TIAM15_assumptions!$G19,0,MATCH(VLOOKUP(Assumptions!Y$2,TIAM15_assumptions!$Y$3:$Z$36,2,FALSE),TIAM15_assumptions!$H$2:$V$2,0))</f>
        <v>0.1</v>
      </c>
      <c r="Z19" s="9">
        <f ca="1">OFFSET(TIAM15_assumptions!$G19,0,MATCH(VLOOKUP(Assumptions!Z$2,TIAM15_assumptions!$Y$3:$Z$36,2,FALSE),TIAM15_assumptions!$H$2:$V$2,0))</f>
        <v>0.1</v>
      </c>
      <c r="AA19" s="9">
        <f ca="1">OFFSET(TIAM15_assumptions!$G19,0,MATCH(VLOOKUP(Assumptions!AA$2,TIAM15_assumptions!$Y$3:$Z$36,2,FALSE),TIAM15_assumptions!$H$2:$V$2,0))</f>
        <v>0.5</v>
      </c>
      <c r="AB19" s="9">
        <f ca="1">OFFSET(TIAM15_assumptions!$G19,0,MATCH(VLOOKUP(Assumptions!AB$2,TIAM15_assumptions!$Y$3:$Z$36,2,FALSE),TIAM15_assumptions!$H$2:$V$2,0))</f>
        <v>0.2</v>
      </c>
      <c r="AC19" s="9">
        <f ca="1">OFFSET(TIAM15_assumptions!$G19,0,MATCH(VLOOKUP(Assumptions!AC$2,TIAM15_assumptions!$Y$3:$Z$36,2,FALSE),TIAM15_assumptions!$H$2:$V$2,0))</f>
        <v>0.25</v>
      </c>
      <c r="AD19" s="9">
        <f ca="1">OFFSET(TIAM15_assumptions!$G19,0,MATCH(VLOOKUP(Assumptions!AD$2,TIAM15_assumptions!$Y$3:$Z$36,2,FALSE),TIAM15_assumptions!$H$2:$V$2,0))</f>
        <v>0.3</v>
      </c>
      <c r="AE19" s="9">
        <f ca="1">OFFSET(TIAM15_assumptions!$G19,0,MATCH(VLOOKUP(Assumptions!AE$2,TIAM15_assumptions!$Y$3:$Z$36,2,FALSE),TIAM15_assumptions!$H$2:$V$2,0))</f>
        <v>0.1</v>
      </c>
      <c r="AF19" s="9">
        <f ca="1">OFFSET(TIAM15_assumptions!$G19,0,MATCH(VLOOKUP(Assumptions!AF$2,TIAM15_assumptions!$Y$3:$Z$36,2,FALSE),TIAM15_assumptions!$H$2:$V$2,0))</f>
        <v>0.1</v>
      </c>
      <c r="AG19" s="9">
        <f ca="1">OFFSET(TIAM15_assumptions!$G19,0,MATCH(VLOOKUP(Assumptions!AG$2,TIAM15_assumptions!$Y$3:$Z$36,2,FALSE),TIAM15_assumptions!$H$2:$V$2,0))</f>
        <v>0.3</v>
      </c>
      <c r="AH19" s="9">
        <f ca="1">OFFSET(TIAM15_assumptions!$G19,0,MATCH(VLOOKUP(Assumptions!AH$2,TIAM15_assumptions!$Y$3:$Z$36,2,FALSE),TIAM15_assumptions!$H$2:$V$2,0))</f>
        <v>0.3</v>
      </c>
      <c r="AI19" s="9">
        <f ca="1">OFFSET(TIAM15_assumptions!$G19,0,MATCH(VLOOKUP(Assumptions!AI$2,TIAM15_assumptions!$Y$3:$Z$36,2,FALSE),TIAM15_assumptions!$H$2:$V$2,0))</f>
        <v>0.1</v>
      </c>
      <c r="AJ19" s="9">
        <f ca="1">OFFSET(TIAM15_assumptions!$G19,0,MATCH(VLOOKUP(Assumptions!AJ$2,TIAM15_assumptions!$Y$3:$Z$36,2,FALSE),TIAM15_assumptions!$H$2:$V$2,0))</f>
        <v>3.9678769082627241E-2</v>
      </c>
      <c r="AK19" s="9">
        <f ca="1">OFFSET(TIAM15_assumptions!$G19,0,MATCH(VLOOKUP(Assumptions!AK$2,TIAM15_assumptions!$Y$3:$Z$36,2,FALSE),TIAM15_assumptions!$H$2:$V$2,0))</f>
        <v>3.9678769082627241E-2</v>
      </c>
      <c r="AN19" s="34">
        <f ca="1">IFERROR(SUMIFS('TRA balance'!E$5:E$40,'TRA balance'!$C$5:$C$40,Assumptions!$C19,'TRA balance'!$D$5:$D$40,Assumptions!$B19)*BS19*H19,"")</f>
        <v>0.80034617592000001</v>
      </c>
      <c r="AO19" s="34">
        <f ca="1">IFERROR(SUMIFS('TRA balance'!F$5:F$40,'TRA balance'!$C$5:$C$40,Assumptions!$C19,'TRA balance'!$D$5:$D$40,Assumptions!$B19)*BT19*I19,"")</f>
        <v>4.5253664193600001</v>
      </c>
      <c r="AP19" s="34">
        <f ca="1">IFERROR(SUMIFS('TRA balance'!G$5:G$40,'TRA balance'!$C$5:$C$40,Assumptions!$C19,'TRA balance'!$D$5:$D$40,Assumptions!$B19)*BU19*J19,"")</f>
        <v>0.37515151512</v>
      </c>
      <c r="AQ19" s="34">
        <f ca="1">IFERROR(SUMIFS('TRA balance'!H$5:H$40,'TRA balance'!$C$5:$C$40,Assumptions!$C19,'TRA balance'!$D$5:$D$40,Assumptions!$B19)*BV19*K19,"")</f>
        <v>0.42143198364000001</v>
      </c>
      <c r="AR19" s="34">
        <f ca="1">IFERROR(SUMIFS('TRA balance'!I$5:I$40,'TRA balance'!$C$5:$C$40,Assumptions!$C19,'TRA balance'!$D$5:$D$40,Assumptions!$B19)*BW19*L19,"")</f>
        <v>7.3383739253999991</v>
      </c>
      <c r="AS19" s="34">
        <f ca="1">IFERROR(SUMIFS('TRA balance'!J$5:J$40,'TRA balance'!$C$5:$C$40,Assumptions!$C19,'TRA balance'!$D$5:$D$40,Assumptions!$B19)*BX19*M19,"")</f>
        <v>13.63632470136</v>
      </c>
      <c r="AT19" s="34">
        <f ca="1">IFERROR(SUMIFS('TRA balance'!K$5:K$40,'TRA balance'!$C$5:$C$40,Assumptions!$C19,'TRA balance'!$D$5:$D$40,Assumptions!$B19)*BY19*N19,"")</f>
        <v>14.786459595359998</v>
      </c>
      <c r="AU19" s="34">
        <f ca="1">IFERROR(SUMIFS('TRA balance'!L$5:L$40,'TRA balance'!$C$5:$C$40,Assumptions!$C19,'TRA balance'!$D$5:$D$40,Assumptions!$B19)*BZ19*O19,"")</f>
        <v>8.1571541630400013</v>
      </c>
      <c r="AV19" s="34">
        <f ca="1">IFERROR(SUMIFS('TRA balance'!M$5:M$40,'TRA balance'!$C$5:$C$40,Assumptions!$C19,'TRA balance'!$D$5:$D$40,Assumptions!$B19)*CA19*P19,"")</f>
        <v>4.70090994174</v>
      </c>
      <c r="AW19" s="34">
        <f ca="1">IFERROR(SUMIFS('TRA balance'!N$5:N$40,'TRA balance'!$C$5:$C$40,Assumptions!$C19,'TRA balance'!$D$5:$D$40,Assumptions!$B19)*CB19*Q19,"")</f>
        <v>45.647271960479998</v>
      </c>
      <c r="AX19" s="34">
        <f ca="1">IFERROR(SUMIFS('TRA balance'!O$5:O$40,'TRA balance'!$C$5:$C$40,Assumptions!$C19,'TRA balance'!$D$5:$D$40,Assumptions!$B19)*CC19*R19,"")</f>
        <v>0.45532580435999997</v>
      </c>
      <c r="AY19" s="34">
        <f ca="1">IFERROR(SUMIFS('TRA balance'!P$5:P$40,'TRA balance'!$C$5:$C$40,Assumptions!$C19,'TRA balance'!$D$5:$D$40,Assumptions!$B19)*CD19*S19,"")</f>
        <v>1.2799981256400002</v>
      </c>
      <c r="AZ19" s="34">
        <f ca="1">IFERROR(SUMIFS('TRA balance'!Q$5:Q$40,'TRA balance'!$C$5:$C$40,Assumptions!$C19,'TRA balance'!$D$5:$D$40,Assumptions!$B19)*CE19*T19,"")</f>
        <v>0.35362675764000001</v>
      </c>
      <c r="BA19" s="34">
        <f ca="1">IFERROR(SUMIFS('TRA balance'!R$5:R$40,'TRA balance'!$C$5:$C$40,Assumptions!$C19,'TRA balance'!$D$5:$D$40,Assumptions!$B19)*CF19*U19,"")</f>
        <v>0.22759486668000004</v>
      </c>
      <c r="BB19" s="34">
        <f ca="1">IFERROR(SUMIFS('TRA balance'!S$5:S$40,'TRA balance'!$C$5:$C$40,Assumptions!$C19,'TRA balance'!$D$5:$D$40,Assumptions!$B19)*CG19*V19,"")</f>
        <v>0.83750653800000008</v>
      </c>
      <c r="BC19" s="34">
        <f ca="1">IFERROR(SUMIFS('TRA balance'!T$5:T$40,'TRA balance'!$C$5:$C$40,Assumptions!$C19,'TRA balance'!$D$5:$D$40,Assumptions!$B19)*CH19*W19,"")</f>
        <v>0.38659069008000002</v>
      </c>
      <c r="BD19" s="34">
        <f ca="1">IFERROR(SUMIFS('TRA balance'!U$5:U$40,'TRA balance'!$C$5:$C$40,Assumptions!$C19,'TRA balance'!$D$5:$D$40,Assumptions!$B19)*CI19*X19,"")</f>
        <v>4.4757817282799994</v>
      </c>
      <c r="BE19" s="34">
        <f ca="1">IFERROR(SUMIFS('TRA balance'!V$5:V$40,'TRA balance'!$C$5:$C$40,Assumptions!$C19,'TRA balance'!$D$5:$D$40,Assumptions!$B19)*CJ19*Y19,"")</f>
        <v>0.49130172072000006</v>
      </c>
      <c r="BF19" s="34">
        <f ca="1">IFERROR(SUMIFS('TRA balance'!W$5:W$40,'TRA balance'!$C$5:$C$40,Assumptions!$C19,'TRA balance'!$D$5:$D$40,Assumptions!$B19)*CK19*Z19,"")</f>
        <v>1.07351980344</v>
      </c>
      <c r="BG19" s="34">
        <f ca="1">IFERROR(SUMIFS('TRA balance'!X$5:X$40,'TRA balance'!$C$5:$C$40,Assumptions!$C19,'TRA balance'!$D$5:$D$40,Assumptions!$B19)*CL19*AA19,"")</f>
        <v>54.978009609600001</v>
      </c>
      <c r="BH19" s="34">
        <f ca="1">IFERROR(SUMIFS('TRA balance'!Y$5:Y$40,'TRA balance'!$C$5:$C$40,Assumptions!$C19,'TRA balance'!$D$5:$D$40,Assumptions!$B19)*CM19*AB19,"")</f>
        <v>1.5491160000000002E-2</v>
      </c>
      <c r="BI19" s="34">
        <f ca="1">IFERROR(SUMIFS('TRA balance'!Z$5:Z$40,'TRA balance'!$C$5:$C$40,Assumptions!$C19,'TRA balance'!$D$5:$D$40,Assumptions!$B19)*CN19*AC19,"")</f>
        <v>6.7667647752000004</v>
      </c>
      <c r="BJ19" s="34">
        <f ca="1">IFERROR(SUMIFS('TRA balance'!AA$5:AA$40,'TRA balance'!$C$5:$C$40,Assumptions!$C19,'TRA balance'!$D$5:$D$40,Assumptions!$B19)*CO19*AD19,"")</f>
        <v>1.0289379196799999</v>
      </c>
      <c r="BK19" s="34">
        <f ca="1">IFERROR(SUMIFS('TRA balance'!AB$5:AB$40,'TRA balance'!$C$5:$C$40,Assumptions!$C19,'TRA balance'!$D$5:$D$40,Assumptions!$B19)*CP19*AE19,"")</f>
        <v>5.694759756E-2</v>
      </c>
      <c r="BL19" s="34">
        <f ca="1">IFERROR(SUMIFS('TRA balance'!AC$5:AC$40,'TRA balance'!$C$5:$C$40,Assumptions!$C19,'TRA balance'!$D$5:$D$40,Assumptions!$B19)*CQ19*AF19,"")</f>
        <v>16.453398008880001</v>
      </c>
      <c r="BM19" s="34">
        <f ca="1">IFERROR(SUMIFS('TRA balance'!AD$5:AD$40,'TRA balance'!$C$5:$C$40,Assumptions!$C19,'TRA balance'!$D$5:$D$40,Assumptions!$B19)*CR19*AG19,"")</f>
        <v>0</v>
      </c>
      <c r="BN19" s="34">
        <f ca="1">IFERROR(SUMIFS('TRA balance'!AE$5:AE$40,'TRA balance'!$C$5:$C$40,Assumptions!$C19,'TRA balance'!$D$5:$D$40,Assumptions!$B19)*CS19*AH19,"")</f>
        <v>1.51441496424</v>
      </c>
      <c r="BO19" s="34">
        <f ca="1">IFERROR(SUMIFS('TRA balance'!AF$5:AF$40,'TRA balance'!$C$5:$C$40,Assumptions!$C19,'TRA balance'!$D$5:$D$40,Assumptions!$B19)*CT19*AI19,"")</f>
        <v>2.7030977258400002</v>
      </c>
      <c r="BP19" s="34">
        <f ca="1">IFERROR(SUMIFS('TRA balance'!AG$5:AG$40,'TRA balance'!$C$5:$C$40,Assumptions!$C19,'TRA balance'!$D$5:$D$40,Assumptions!$B19)*CU19*AJ19,"")</f>
        <v>22.331299848234689</v>
      </c>
      <c r="BQ19" s="34">
        <f ca="1">IFERROR(SUMIFS('TRA balance'!AH$5:AH$40,'TRA balance'!$C$5:$C$40,Assumptions!$C19,'TRA balance'!$D$5:$D$40,Assumptions!$B19)*CV19*AK19,"")</f>
        <v>0</v>
      </c>
      <c r="BS19" s="33">
        <f t="shared" si="16"/>
        <v>1</v>
      </c>
      <c r="BT19" s="33">
        <f t="shared" si="17"/>
        <v>1</v>
      </c>
      <c r="BU19" s="33">
        <f t="shared" si="18"/>
        <v>1</v>
      </c>
      <c r="BV19" s="33">
        <f t="shared" si="19"/>
        <v>1</v>
      </c>
      <c r="BW19" s="33">
        <f t="shared" si="20"/>
        <v>1</v>
      </c>
      <c r="BX19" s="33">
        <f t="shared" si="21"/>
        <v>1</v>
      </c>
      <c r="BY19" s="33">
        <f t="shared" si="22"/>
        <v>1</v>
      </c>
      <c r="BZ19" s="33">
        <f t="shared" si="23"/>
        <v>1</v>
      </c>
      <c r="CA19" s="33">
        <f t="shared" si="24"/>
        <v>1</v>
      </c>
      <c r="CB19" s="33">
        <f t="shared" si="25"/>
        <v>1</v>
      </c>
      <c r="CC19" s="33">
        <f t="shared" si="26"/>
        <v>1</v>
      </c>
      <c r="CD19" s="33">
        <f t="shared" si="27"/>
        <v>1</v>
      </c>
      <c r="CE19" s="33">
        <f t="shared" si="28"/>
        <v>1</v>
      </c>
      <c r="CF19" s="33">
        <f t="shared" si="29"/>
        <v>1</v>
      </c>
      <c r="CG19" s="33">
        <f t="shared" si="30"/>
        <v>1</v>
      </c>
      <c r="CH19" s="33">
        <f t="shared" si="31"/>
        <v>1</v>
      </c>
      <c r="CI19" s="33">
        <f t="shared" si="32"/>
        <v>1</v>
      </c>
      <c r="CJ19" s="33">
        <f t="shared" si="33"/>
        <v>1</v>
      </c>
      <c r="CK19" s="33">
        <f t="shared" si="34"/>
        <v>1</v>
      </c>
      <c r="CL19" s="33">
        <f t="shared" si="35"/>
        <v>1</v>
      </c>
      <c r="CM19" s="33">
        <f t="shared" si="36"/>
        <v>1</v>
      </c>
      <c r="CN19" s="33">
        <f t="shared" si="37"/>
        <v>1</v>
      </c>
      <c r="CO19" s="33">
        <f t="shared" si="38"/>
        <v>1</v>
      </c>
      <c r="CP19" s="33">
        <f t="shared" si="39"/>
        <v>1</v>
      </c>
      <c r="CQ19" s="33">
        <f t="shared" si="40"/>
        <v>1</v>
      </c>
      <c r="CR19" s="33">
        <f t="shared" si="41"/>
        <v>1</v>
      </c>
      <c r="CS19" s="33">
        <f t="shared" si="42"/>
        <v>1</v>
      </c>
      <c r="CT19" s="33">
        <f t="shared" si="43"/>
        <v>1</v>
      </c>
      <c r="CU19" s="33">
        <f t="shared" si="44"/>
        <v>1</v>
      </c>
      <c r="CV19" s="33">
        <f t="shared" si="45"/>
        <v>1</v>
      </c>
    </row>
    <row r="20" spans="1:100" x14ac:dyDescent="0.45">
      <c r="A20">
        <v>1</v>
      </c>
      <c r="B20" t="str">
        <f>VLOOKUP(F20,'TRA balance'!$AK$5:$AL$14,2,FALSE)</f>
        <v>TRADST</v>
      </c>
      <c r="C20" s="11"/>
      <c r="D20" s="11"/>
      <c r="E20" s="12" t="s">
        <v>58</v>
      </c>
      <c r="F20" s="13" t="str">
        <f t="shared" si="59"/>
        <v>Diesel</v>
      </c>
      <c r="G20" s="11"/>
      <c r="H20" s="12" t="str">
        <f t="shared" ref="H20:M20" ca="1" si="63">IF(SUM(H18:H19)=1,"-","&lt;&gt;1!!")</f>
        <v>-</v>
      </c>
      <c r="I20" s="12" t="str">
        <f t="shared" ca="1" si="63"/>
        <v>-</v>
      </c>
      <c r="J20" s="12" t="str">
        <f t="shared" ca="1" si="63"/>
        <v>-</v>
      </c>
      <c r="K20" s="12" t="str">
        <f t="shared" ca="1" si="63"/>
        <v>-</v>
      </c>
      <c r="L20" s="12" t="str">
        <f t="shared" ca="1" si="63"/>
        <v>-</v>
      </c>
      <c r="M20" s="12" t="str">
        <f t="shared" ca="1" si="63"/>
        <v>-</v>
      </c>
      <c r="N20" s="12" t="str">
        <f t="shared" ref="N20:X20" ca="1" si="64">IF(SUM(N18:N19)=1,"-","&lt;&gt;1!!")</f>
        <v>-</v>
      </c>
      <c r="O20" s="12" t="str">
        <f t="shared" ca="1" si="64"/>
        <v>-</v>
      </c>
      <c r="P20" s="12" t="str">
        <f t="shared" ca="1" si="64"/>
        <v>-</v>
      </c>
      <c r="Q20" s="12" t="str">
        <f t="shared" ca="1" si="64"/>
        <v>-</v>
      </c>
      <c r="R20" s="12" t="str">
        <f t="shared" ca="1" si="64"/>
        <v>-</v>
      </c>
      <c r="S20" s="12" t="str">
        <f t="shared" ca="1" si="64"/>
        <v>-</v>
      </c>
      <c r="T20" s="12" t="str">
        <f t="shared" ca="1" si="64"/>
        <v>-</v>
      </c>
      <c r="U20" s="12" t="str">
        <f t="shared" ca="1" si="64"/>
        <v>-</v>
      </c>
      <c r="V20" s="12" t="str">
        <f t="shared" ca="1" si="64"/>
        <v>-</v>
      </c>
      <c r="W20" s="12" t="str">
        <f t="shared" ca="1" si="64"/>
        <v>-</v>
      </c>
      <c r="X20" s="12" t="str">
        <f t="shared" ca="1" si="64"/>
        <v>-</v>
      </c>
      <c r="Y20" s="12" t="str">
        <f t="shared" ref="Y20:Z20" ca="1" si="65">IF(SUM(Y18:Y19)=1,"-","&lt;&gt;1!!")</f>
        <v>-</v>
      </c>
      <c r="Z20" s="12" t="str">
        <f t="shared" ca="1" si="65"/>
        <v>-</v>
      </c>
      <c r="AA20" s="12" t="str">
        <f t="shared" ref="AA20:AK20" ca="1" si="66">IF(SUM(AA18:AA19)=1,"-","&lt;&gt;1!!")</f>
        <v>-</v>
      </c>
      <c r="AB20" s="12" t="str">
        <f t="shared" ca="1" si="66"/>
        <v>-</v>
      </c>
      <c r="AC20" s="12" t="str">
        <f t="shared" ca="1" si="66"/>
        <v>-</v>
      </c>
      <c r="AD20" s="12" t="str">
        <f t="shared" ca="1" si="66"/>
        <v>-</v>
      </c>
      <c r="AE20" s="12" t="str">
        <f t="shared" ca="1" si="66"/>
        <v>-</v>
      </c>
      <c r="AF20" s="12" t="str">
        <f t="shared" ca="1" si="66"/>
        <v>-</v>
      </c>
      <c r="AG20" s="12" t="str">
        <f t="shared" ca="1" si="66"/>
        <v>-</v>
      </c>
      <c r="AH20" s="12" t="str">
        <f t="shared" ca="1" si="66"/>
        <v>-</v>
      </c>
      <c r="AI20" s="12" t="str">
        <f t="shared" ca="1" si="66"/>
        <v>-</v>
      </c>
      <c r="AJ20" s="12" t="str">
        <f t="shared" ca="1" si="66"/>
        <v>-</v>
      </c>
      <c r="AK20" s="12" t="str">
        <f t="shared" ca="1" si="66"/>
        <v>-</v>
      </c>
      <c r="AN20" s="34" t="str">
        <f ca="1">IFERROR(SUMIFS('TRA balance'!E$5:E$40,'TRA balance'!$C$5:$C$40,Assumptions!$C20,'TRA balance'!$D$5:$D$40,Assumptions!$B20)*BS20*H20,"")</f>
        <v/>
      </c>
      <c r="AO20" s="34" t="str">
        <f ca="1">IFERROR(SUMIFS('TRA balance'!F$5:F$40,'TRA balance'!$C$5:$C$40,Assumptions!$C20,'TRA balance'!$D$5:$D$40,Assumptions!$B20)*BT20*I20,"")</f>
        <v/>
      </c>
      <c r="AP20" s="34" t="str">
        <f ca="1">IFERROR(SUMIFS('TRA balance'!G$5:G$40,'TRA balance'!$C$5:$C$40,Assumptions!$C20,'TRA balance'!$D$5:$D$40,Assumptions!$B20)*BU20*J20,"")</f>
        <v/>
      </c>
      <c r="AQ20" s="34" t="str">
        <f ca="1">IFERROR(SUMIFS('TRA balance'!H$5:H$40,'TRA balance'!$C$5:$C$40,Assumptions!$C20,'TRA balance'!$D$5:$D$40,Assumptions!$B20)*BV20*K20,"")</f>
        <v/>
      </c>
      <c r="AR20" s="34" t="str">
        <f ca="1">IFERROR(SUMIFS('TRA balance'!I$5:I$40,'TRA balance'!$C$5:$C$40,Assumptions!$C20,'TRA balance'!$D$5:$D$40,Assumptions!$B20)*BW20*L20,"")</f>
        <v/>
      </c>
      <c r="AS20" s="34" t="str">
        <f ca="1">IFERROR(SUMIFS('TRA balance'!J$5:J$40,'TRA balance'!$C$5:$C$40,Assumptions!$C20,'TRA balance'!$D$5:$D$40,Assumptions!$B20)*BX20*M20,"")</f>
        <v/>
      </c>
      <c r="AT20" s="34" t="str">
        <f ca="1">IFERROR(SUMIFS('TRA balance'!K$5:K$40,'TRA balance'!$C$5:$C$40,Assumptions!$C20,'TRA balance'!$D$5:$D$40,Assumptions!$B20)*BY20*N20,"")</f>
        <v/>
      </c>
      <c r="AU20" s="34" t="str">
        <f ca="1">IFERROR(SUMIFS('TRA balance'!L$5:L$40,'TRA balance'!$C$5:$C$40,Assumptions!$C20,'TRA balance'!$D$5:$D$40,Assumptions!$B20)*BZ20*O20,"")</f>
        <v/>
      </c>
      <c r="AV20" s="34" t="str">
        <f ca="1">IFERROR(SUMIFS('TRA balance'!M$5:M$40,'TRA balance'!$C$5:$C$40,Assumptions!$C20,'TRA balance'!$D$5:$D$40,Assumptions!$B20)*CA20*P20,"")</f>
        <v/>
      </c>
      <c r="AW20" s="34" t="str">
        <f ca="1">IFERROR(SUMIFS('TRA balance'!N$5:N$40,'TRA balance'!$C$5:$C$40,Assumptions!$C20,'TRA balance'!$D$5:$D$40,Assumptions!$B20)*CB20*Q20,"")</f>
        <v/>
      </c>
      <c r="AX20" s="34" t="str">
        <f ca="1">IFERROR(SUMIFS('TRA balance'!O$5:O$40,'TRA balance'!$C$5:$C$40,Assumptions!$C20,'TRA balance'!$D$5:$D$40,Assumptions!$B20)*CC20*R20,"")</f>
        <v/>
      </c>
      <c r="AY20" s="34" t="str">
        <f ca="1">IFERROR(SUMIFS('TRA balance'!P$5:P$40,'TRA balance'!$C$5:$C$40,Assumptions!$C20,'TRA balance'!$D$5:$D$40,Assumptions!$B20)*CD20*S20,"")</f>
        <v/>
      </c>
      <c r="AZ20" s="34" t="str">
        <f ca="1">IFERROR(SUMIFS('TRA balance'!Q$5:Q$40,'TRA balance'!$C$5:$C$40,Assumptions!$C20,'TRA balance'!$D$5:$D$40,Assumptions!$B20)*CE20*T20,"")</f>
        <v/>
      </c>
      <c r="BA20" s="34" t="str">
        <f ca="1">IFERROR(SUMIFS('TRA balance'!R$5:R$40,'TRA balance'!$C$5:$C$40,Assumptions!$C20,'TRA balance'!$D$5:$D$40,Assumptions!$B20)*CF20*U20,"")</f>
        <v/>
      </c>
      <c r="BB20" s="34" t="str">
        <f ca="1">IFERROR(SUMIFS('TRA balance'!S$5:S$40,'TRA balance'!$C$5:$C$40,Assumptions!$C20,'TRA balance'!$D$5:$D$40,Assumptions!$B20)*CG20*V20,"")</f>
        <v/>
      </c>
      <c r="BC20" s="34" t="str">
        <f ca="1">IFERROR(SUMIFS('TRA balance'!T$5:T$40,'TRA balance'!$C$5:$C$40,Assumptions!$C20,'TRA balance'!$D$5:$D$40,Assumptions!$B20)*CH20*W20,"")</f>
        <v/>
      </c>
      <c r="BD20" s="34" t="str">
        <f ca="1">IFERROR(SUMIFS('TRA balance'!U$5:U$40,'TRA balance'!$C$5:$C$40,Assumptions!$C20,'TRA balance'!$D$5:$D$40,Assumptions!$B20)*CI20*X20,"")</f>
        <v/>
      </c>
      <c r="BE20" s="34" t="str">
        <f ca="1">IFERROR(SUMIFS('TRA balance'!V$5:V$40,'TRA balance'!$C$5:$C$40,Assumptions!$C20,'TRA balance'!$D$5:$D$40,Assumptions!$B20)*CJ20*Y20,"")</f>
        <v/>
      </c>
      <c r="BF20" s="34" t="str">
        <f ca="1">IFERROR(SUMIFS('TRA balance'!W$5:W$40,'TRA balance'!$C$5:$C$40,Assumptions!$C20,'TRA balance'!$D$5:$D$40,Assumptions!$B20)*CK20*Z20,"")</f>
        <v/>
      </c>
      <c r="BG20" s="34" t="str">
        <f ca="1">IFERROR(SUMIFS('TRA balance'!X$5:X$40,'TRA balance'!$C$5:$C$40,Assumptions!$C20,'TRA balance'!$D$5:$D$40,Assumptions!$B20)*CL20*AA20,"")</f>
        <v/>
      </c>
      <c r="BH20" s="34" t="str">
        <f ca="1">IFERROR(SUMIFS('TRA balance'!Y$5:Y$40,'TRA balance'!$C$5:$C$40,Assumptions!$C20,'TRA balance'!$D$5:$D$40,Assumptions!$B20)*CM20*AB20,"")</f>
        <v/>
      </c>
      <c r="BI20" s="34" t="str">
        <f ca="1">IFERROR(SUMIFS('TRA balance'!Z$5:Z$40,'TRA balance'!$C$5:$C$40,Assumptions!$C20,'TRA balance'!$D$5:$D$40,Assumptions!$B20)*CN20*AC20,"")</f>
        <v/>
      </c>
      <c r="BJ20" s="34" t="str">
        <f ca="1">IFERROR(SUMIFS('TRA balance'!AA$5:AA$40,'TRA balance'!$C$5:$C$40,Assumptions!$C20,'TRA balance'!$D$5:$D$40,Assumptions!$B20)*CO20*AD20,"")</f>
        <v/>
      </c>
      <c r="BK20" s="34" t="str">
        <f ca="1">IFERROR(SUMIFS('TRA balance'!AB$5:AB$40,'TRA balance'!$C$5:$C$40,Assumptions!$C20,'TRA balance'!$D$5:$D$40,Assumptions!$B20)*CP20*AE20,"")</f>
        <v/>
      </c>
      <c r="BL20" s="34" t="str">
        <f ca="1">IFERROR(SUMIFS('TRA balance'!AC$5:AC$40,'TRA balance'!$C$5:$C$40,Assumptions!$C20,'TRA balance'!$D$5:$D$40,Assumptions!$B20)*CQ20*AF20,"")</f>
        <v/>
      </c>
      <c r="BM20" s="34" t="str">
        <f ca="1">IFERROR(SUMIFS('TRA balance'!AD$5:AD$40,'TRA balance'!$C$5:$C$40,Assumptions!$C20,'TRA balance'!$D$5:$D$40,Assumptions!$B20)*CR20*AG20,"")</f>
        <v/>
      </c>
      <c r="BN20" s="34" t="str">
        <f ca="1">IFERROR(SUMIFS('TRA balance'!AE$5:AE$40,'TRA balance'!$C$5:$C$40,Assumptions!$C20,'TRA balance'!$D$5:$D$40,Assumptions!$B20)*CS20*AH20,"")</f>
        <v/>
      </c>
      <c r="BO20" s="34" t="str">
        <f ca="1">IFERROR(SUMIFS('TRA balance'!AF$5:AF$40,'TRA balance'!$C$5:$C$40,Assumptions!$C20,'TRA balance'!$D$5:$D$40,Assumptions!$B20)*CT20*AI20,"")</f>
        <v/>
      </c>
      <c r="BP20" s="34" t="str">
        <f ca="1">IFERROR(SUMIFS('TRA balance'!AG$5:AG$40,'TRA balance'!$C$5:$C$40,Assumptions!$C20,'TRA balance'!$D$5:$D$40,Assumptions!$B20)*CU20*AJ20,"")</f>
        <v/>
      </c>
      <c r="BQ20" s="34" t="str">
        <f ca="1">IFERROR(SUMIFS('TRA balance'!AH$5:AH$40,'TRA balance'!$C$5:$C$40,Assumptions!$C20,'TRA balance'!$D$5:$D$40,Assumptions!$B20)*CV20*AK20,"")</f>
        <v/>
      </c>
      <c r="BS20" s="33">
        <f t="shared" si="16"/>
        <v>1</v>
      </c>
      <c r="BT20" s="33">
        <f t="shared" si="17"/>
        <v>1</v>
      </c>
      <c r="BU20" s="33">
        <f t="shared" si="18"/>
        <v>1</v>
      </c>
      <c r="BV20" s="33">
        <f t="shared" si="19"/>
        <v>1</v>
      </c>
      <c r="BW20" s="33">
        <f t="shared" si="20"/>
        <v>1</v>
      </c>
      <c r="BX20" s="33">
        <f t="shared" si="21"/>
        <v>1</v>
      </c>
      <c r="BY20" s="33">
        <f t="shared" si="22"/>
        <v>1</v>
      </c>
      <c r="BZ20" s="33">
        <f t="shared" si="23"/>
        <v>1</v>
      </c>
      <c r="CA20" s="33">
        <f t="shared" si="24"/>
        <v>1</v>
      </c>
      <c r="CB20" s="33">
        <f t="shared" si="25"/>
        <v>1</v>
      </c>
      <c r="CC20" s="33">
        <f t="shared" si="26"/>
        <v>1</v>
      </c>
      <c r="CD20" s="33">
        <f t="shared" si="27"/>
        <v>1</v>
      </c>
      <c r="CE20" s="33">
        <f t="shared" si="28"/>
        <v>1</v>
      </c>
      <c r="CF20" s="33">
        <f t="shared" si="29"/>
        <v>1</v>
      </c>
      <c r="CG20" s="33">
        <f t="shared" si="30"/>
        <v>1</v>
      </c>
      <c r="CH20" s="33">
        <f t="shared" si="31"/>
        <v>1</v>
      </c>
      <c r="CI20" s="33">
        <f t="shared" si="32"/>
        <v>1</v>
      </c>
      <c r="CJ20" s="33">
        <f t="shared" si="33"/>
        <v>1</v>
      </c>
      <c r="CK20" s="33">
        <f t="shared" si="34"/>
        <v>1</v>
      </c>
      <c r="CL20" s="33">
        <f t="shared" si="35"/>
        <v>1</v>
      </c>
      <c r="CM20" s="33">
        <f t="shared" si="36"/>
        <v>1</v>
      </c>
      <c r="CN20" s="33">
        <f t="shared" si="37"/>
        <v>1</v>
      </c>
      <c r="CO20" s="33">
        <f t="shared" si="38"/>
        <v>1</v>
      </c>
      <c r="CP20" s="33">
        <f t="shared" si="39"/>
        <v>1</v>
      </c>
      <c r="CQ20" s="33">
        <f t="shared" si="40"/>
        <v>1</v>
      </c>
      <c r="CR20" s="33">
        <f t="shared" si="41"/>
        <v>1</v>
      </c>
      <c r="CS20" s="33">
        <f t="shared" si="42"/>
        <v>1</v>
      </c>
      <c r="CT20" s="33">
        <f t="shared" si="43"/>
        <v>1</v>
      </c>
      <c r="CU20" s="33">
        <f t="shared" si="44"/>
        <v>1</v>
      </c>
      <c r="CV20" s="33">
        <f t="shared" si="45"/>
        <v>1</v>
      </c>
    </row>
    <row r="21" spans="1:100" x14ac:dyDescent="0.45">
      <c r="A21">
        <v>1</v>
      </c>
      <c r="B21" t="str">
        <f>VLOOKUP(F21,'TRA balance'!$AK$5:$AL$14,2,FALSE)</f>
        <v>TRAGSL</v>
      </c>
      <c r="C21" s="14">
        <v>1</v>
      </c>
      <c r="D21" s="15" t="s">
        <v>16</v>
      </c>
      <c r="E21" s="15" t="s">
        <v>59</v>
      </c>
      <c r="F21" s="16" t="s">
        <v>80</v>
      </c>
      <c r="G21" s="14"/>
      <c r="H21" s="14">
        <f ca="1">OFFSET(TIAM15_assumptions!$G21,0,MATCH(VLOOKUP(Assumptions!H$2,TIAM15_assumptions!$Y$3:$Z$36,2,FALSE),TIAM15_assumptions!$H$2:$V$2,0))</f>
        <v>1</v>
      </c>
      <c r="I21" s="14">
        <f ca="1">OFFSET(TIAM15_assumptions!$G21,0,MATCH(VLOOKUP(Assumptions!I$2,TIAM15_assumptions!$Y$3:$Z$36,2,FALSE),TIAM15_assumptions!$H$2:$V$2,0))</f>
        <v>1</v>
      </c>
      <c r="J21" s="14">
        <f ca="1">OFFSET(TIAM15_assumptions!$G21,0,MATCH(VLOOKUP(Assumptions!J$2,TIAM15_assumptions!$Y$3:$Z$36,2,FALSE),TIAM15_assumptions!$H$2:$V$2,0))</f>
        <v>0.9</v>
      </c>
      <c r="K21" s="14">
        <f ca="1">OFFSET(TIAM15_assumptions!$G21,0,MATCH(VLOOKUP(Assumptions!K$2,TIAM15_assumptions!$Y$3:$Z$36,2,FALSE),TIAM15_assumptions!$H$2:$V$2,0))</f>
        <v>0.7</v>
      </c>
      <c r="L21" s="14">
        <f ca="1">OFFSET(TIAM15_assumptions!$G21,0,MATCH(VLOOKUP(Assumptions!L$2,TIAM15_assumptions!$Y$3:$Z$36,2,FALSE),TIAM15_assumptions!$H$2:$V$2,0))</f>
        <v>0.9</v>
      </c>
      <c r="M21" s="14">
        <f ca="1">OFFSET(TIAM15_assumptions!$G21,0,MATCH(VLOOKUP(Assumptions!M$2,TIAM15_assumptions!$Y$3:$Z$36,2,FALSE),TIAM15_assumptions!$H$2:$V$2,0))</f>
        <v>1</v>
      </c>
      <c r="N21" s="14">
        <f ca="1">OFFSET(TIAM15_assumptions!$G21,0,MATCH(VLOOKUP(Assumptions!N$2,TIAM15_assumptions!$Y$3:$Z$36,2,FALSE),TIAM15_assumptions!$H$2:$V$2,0))</f>
        <v>0.9</v>
      </c>
      <c r="O21" s="14">
        <f ca="1">OFFSET(TIAM15_assumptions!$G21,0,MATCH(VLOOKUP(Assumptions!O$2,TIAM15_assumptions!$Y$3:$Z$36,2,FALSE),TIAM15_assumptions!$H$2:$V$2,0))</f>
        <v>0.9</v>
      </c>
      <c r="P21" s="14">
        <f ca="1">OFFSET(TIAM15_assumptions!$G21,0,MATCH(VLOOKUP(Assumptions!P$2,TIAM15_assumptions!$Y$3:$Z$36,2,FALSE),TIAM15_assumptions!$H$2:$V$2,0))</f>
        <v>0.96</v>
      </c>
      <c r="Q21" s="14">
        <f ca="1">OFFSET(TIAM15_assumptions!$G21,0,MATCH(VLOOKUP(Assumptions!Q$2,TIAM15_assumptions!$Y$3:$Z$36,2,FALSE),TIAM15_assumptions!$H$2:$V$2,0))</f>
        <v>0.9</v>
      </c>
      <c r="R21" s="14">
        <f ca="1">OFFSET(TIAM15_assumptions!$G21,0,MATCH(VLOOKUP(Assumptions!R$2,TIAM15_assumptions!$Y$3:$Z$36,2,FALSE),TIAM15_assumptions!$H$2:$V$2,0))</f>
        <v>0.97</v>
      </c>
      <c r="S21" s="14">
        <f ca="1">OFFSET(TIAM15_assumptions!$G21,0,MATCH(VLOOKUP(Assumptions!S$2,TIAM15_assumptions!$Y$3:$Z$36,2,FALSE),TIAM15_assumptions!$H$2:$V$2,0))</f>
        <v>0.97</v>
      </c>
      <c r="T21" s="14">
        <f ca="1">OFFSET(TIAM15_assumptions!$G21,0,MATCH(VLOOKUP(Assumptions!T$2,TIAM15_assumptions!$Y$3:$Z$36,2,FALSE),TIAM15_assumptions!$H$2:$V$2,0))</f>
        <v>0.97</v>
      </c>
      <c r="U21" s="14">
        <f ca="1">OFFSET(TIAM15_assumptions!$G21,0,MATCH(VLOOKUP(Assumptions!U$2,TIAM15_assumptions!$Y$3:$Z$36,2,FALSE),TIAM15_assumptions!$H$2:$V$2,0))</f>
        <v>0.97</v>
      </c>
      <c r="V21" s="14">
        <f ca="1">OFFSET(TIAM15_assumptions!$G21,0,MATCH(VLOOKUP(Assumptions!V$2,TIAM15_assumptions!$Y$3:$Z$36,2,FALSE),TIAM15_assumptions!$H$2:$V$2,0))</f>
        <v>0.97</v>
      </c>
      <c r="W21" s="14">
        <f ca="1">OFFSET(TIAM15_assumptions!$G21,0,MATCH(VLOOKUP(Assumptions!W$2,TIAM15_assumptions!$Y$3:$Z$36,2,FALSE),TIAM15_assumptions!$H$2:$V$2,0))</f>
        <v>0.97</v>
      </c>
      <c r="X21" s="14">
        <f ca="1">OFFSET(TIAM15_assumptions!$G21,0,MATCH(VLOOKUP(Assumptions!X$2,TIAM15_assumptions!$Y$3:$Z$36,2,FALSE),TIAM15_assumptions!$H$2:$V$2,0))</f>
        <v>0.7</v>
      </c>
      <c r="Y21" s="14">
        <f ca="1">OFFSET(TIAM15_assumptions!$G21,0,MATCH(VLOOKUP(Assumptions!Y$2,TIAM15_assumptions!$Y$3:$Z$36,2,FALSE),TIAM15_assumptions!$H$2:$V$2,0))</f>
        <v>0.97</v>
      </c>
      <c r="Z21" s="14">
        <f ca="1">OFFSET(TIAM15_assumptions!$G21,0,MATCH(VLOOKUP(Assumptions!Z$2,TIAM15_assumptions!$Y$3:$Z$36,2,FALSE),TIAM15_assumptions!$H$2:$V$2,0))</f>
        <v>0.97</v>
      </c>
      <c r="AA21" s="14">
        <f ca="1">OFFSET(TIAM15_assumptions!$G21,0,MATCH(VLOOKUP(Assumptions!AA$2,TIAM15_assumptions!$Y$3:$Z$36,2,FALSE),TIAM15_assumptions!$H$2:$V$2,0))</f>
        <v>1</v>
      </c>
      <c r="AB21" s="14">
        <f ca="1">OFFSET(TIAM15_assumptions!$G21,0,MATCH(VLOOKUP(Assumptions!AB$2,TIAM15_assumptions!$Y$3:$Z$36,2,FALSE),TIAM15_assumptions!$H$2:$V$2,0))</f>
        <v>0.9</v>
      </c>
      <c r="AC21" s="14">
        <f ca="1">OFFSET(TIAM15_assumptions!$G21,0,MATCH(VLOOKUP(Assumptions!AC$2,TIAM15_assumptions!$Y$3:$Z$36,2,FALSE),TIAM15_assumptions!$H$2:$V$2,0))</f>
        <v>0.95</v>
      </c>
      <c r="AD21" s="14">
        <f ca="1">OFFSET(TIAM15_assumptions!$G21,0,MATCH(VLOOKUP(Assumptions!AD$2,TIAM15_assumptions!$Y$3:$Z$36,2,FALSE),TIAM15_assumptions!$H$2:$V$2,0))</f>
        <v>0.7</v>
      </c>
      <c r="AE21" s="14">
        <f ca="1">OFFSET(TIAM15_assumptions!$G21,0,MATCH(VLOOKUP(Assumptions!AE$2,TIAM15_assumptions!$Y$3:$Z$36,2,FALSE),TIAM15_assumptions!$H$2:$V$2,0))</f>
        <v>0.97</v>
      </c>
      <c r="AF21" s="14">
        <f ca="1">OFFSET(TIAM15_assumptions!$G21,0,MATCH(VLOOKUP(Assumptions!AF$2,TIAM15_assumptions!$Y$3:$Z$36,2,FALSE),TIAM15_assumptions!$H$2:$V$2,0))</f>
        <v>0.7</v>
      </c>
      <c r="AG21" s="14">
        <f ca="1">OFFSET(TIAM15_assumptions!$G21,0,MATCH(VLOOKUP(Assumptions!AG$2,TIAM15_assumptions!$Y$3:$Z$36,2,FALSE),TIAM15_assumptions!$H$2:$V$2,0))</f>
        <v>0.7</v>
      </c>
      <c r="AH21" s="14">
        <f ca="1">OFFSET(TIAM15_assumptions!$G21,0,MATCH(VLOOKUP(Assumptions!AH$2,TIAM15_assumptions!$Y$3:$Z$36,2,FALSE),TIAM15_assumptions!$H$2:$V$2,0))</f>
        <v>1</v>
      </c>
      <c r="AI21" s="14">
        <f ca="1">OFFSET(TIAM15_assumptions!$G21,0,MATCH(VLOOKUP(Assumptions!AI$2,TIAM15_assumptions!$Y$3:$Z$36,2,FALSE),TIAM15_assumptions!$H$2:$V$2,0))</f>
        <v>0.97</v>
      </c>
      <c r="AJ21" s="14">
        <f ca="1">OFFSET(TIAM15_assumptions!$G21,0,MATCH(VLOOKUP(Assumptions!AJ$2,TIAM15_assumptions!$Y$3:$Z$36,2,FALSE),TIAM15_assumptions!$H$2:$V$2,0))</f>
        <v>0.8</v>
      </c>
      <c r="AK21" s="14">
        <f ca="1">OFFSET(TIAM15_assumptions!$G21,0,MATCH(VLOOKUP(Assumptions!AK$2,TIAM15_assumptions!$Y$3:$Z$36,2,FALSE),TIAM15_assumptions!$H$2:$V$2,0))</f>
        <v>0.8</v>
      </c>
      <c r="AN21" s="34">
        <f ca="1">IFERROR(SUMIFS('TRA balance'!E$5:E$40,'TRA balance'!$C$5:$C$40,Assumptions!$C21,'TRA balance'!$D$5:$D$40,Assumptions!$B21)*BS21*H21,"")</f>
        <v>0</v>
      </c>
      <c r="AO21" s="34">
        <f ca="1">IFERROR(SUMIFS('TRA balance'!F$5:F$40,'TRA balance'!$C$5:$C$40,Assumptions!$C21,'TRA balance'!$D$5:$D$40,Assumptions!$B21)*BT21*I21,"")</f>
        <v>0</v>
      </c>
      <c r="AP21" s="34">
        <f ca="1">IFERROR(SUMIFS('TRA balance'!G$5:G$40,'TRA balance'!$C$5:$C$40,Assumptions!$C21,'TRA balance'!$D$5:$D$40,Assumptions!$B21)*BU21*J21,"")</f>
        <v>0</v>
      </c>
      <c r="AQ21" s="34">
        <f ca="1">IFERROR(SUMIFS('TRA balance'!H$5:H$40,'TRA balance'!$C$5:$C$40,Assumptions!$C21,'TRA balance'!$D$5:$D$40,Assumptions!$B21)*BV21*K21,"")</f>
        <v>0</v>
      </c>
      <c r="AR21" s="34">
        <f ca="1">IFERROR(SUMIFS('TRA balance'!I$5:I$40,'TRA balance'!$C$5:$C$40,Assumptions!$C21,'TRA balance'!$D$5:$D$40,Assumptions!$B21)*BW21*L21,"")</f>
        <v>0</v>
      </c>
      <c r="AS21" s="34">
        <f ca="1">IFERROR(SUMIFS('TRA balance'!J$5:J$40,'TRA balance'!$C$5:$C$40,Assumptions!$C21,'TRA balance'!$D$5:$D$40,Assumptions!$B21)*BX21*M21,"")</f>
        <v>0</v>
      </c>
      <c r="AT21" s="34">
        <f ca="1">IFERROR(SUMIFS('TRA balance'!K$5:K$40,'TRA balance'!$C$5:$C$40,Assumptions!$C21,'TRA balance'!$D$5:$D$40,Assumptions!$B21)*BY21*N21,"")</f>
        <v>0</v>
      </c>
      <c r="AU21" s="34">
        <f ca="1">IFERROR(SUMIFS('TRA balance'!L$5:L$40,'TRA balance'!$C$5:$C$40,Assumptions!$C21,'TRA balance'!$D$5:$D$40,Assumptions!$B21)*BZ21*O21,"")</f>
        <v>0</v>
      </c>
      <c r="AV21" s="34">
        <f ca="1">IFERROR(SUMIFS('TRA balance'!M$5:M$40,'TRA balance'!$C$5:$C$40,Assumptions!$C21,'TRA balance'!$D$5:$D$40,Assumptions!$B21)*CA21*P21,"")</f>
        <v>0</v>
      </c>
      <c r="AW21" s="34">
        <f ca="1">IFERROR(SUMIFS('TRA balance'!N$5:N$40,'TRA balance'!$C$5:$C$40,Assumptions!$C21,'TRA balance'!$D$5:$D$40,Assumptions!$B21)*CB21*Q21,"")</f>
        <v>0</v>
      </c>
      <c r="AX21" s="34">
        <f ca="1">IFERROR(SUMIFS('TRA balance'!O$5:O$40,'TRA balance'!$C$5:$C$40,Assumptions!$C21,'TRA balance'!$D$5:$D$40,Assumptions!$B21)*CC21*R21,"")</f>
        <v>0</v>
      </c>
      <c r="AY21" s="34">
        <f ca="1">IFERROR(SUMIFS('TRA balance'!P$5:P$40,'TRA balance'!$C$5:$C$40,Assumptions!$C21,'TRA balance'!$D$5:$D$40,Assumptions!$B21)*CD21*S21,"")</f>
        <v>0</v>
      </c>
      <c r="AZ21" s="34">
        <f ca="1">IFERROR(SUMIFS('TRA balance'!Q$5:Q$40,'TRA balance'!$C$5:$C$40,Assumptions!$C21,'TRA balance'!$D$5:$D$40,Assumptions!$B21)*CE21*T21,"")</f>
        <v>0</v>
      </c>
      <c r="BA21" s="34">
        <f ca="1">IFERROR(SUMIFS('TRA balance'!R$5:R$40,'TRA balance'!$C$5:$C$40,Assumptions!$C21,'TRA balance'!$D$5:$D$40,Assumptions!$B21)*CF21*U21,"")</f>
        <v>0</v>
      </c>
      <c r="BB21" s="34">
        <f ca="1">IFERROR(SUMIFS('TRA balance'!S$5:S$40,'TRA balance'!$C$5:$C$40,Assumptions!$C21,'TRA balance'!$D$5:$D$40,Assumptions!$B21)*CG21*V21,"")</f>
        <v>0</v>
      </c>
      <c r="BC21" s="34">
        <f ca="1">IFERROR(SUMIFS('TRA balance'!T$5:T$40,'TRA balance'!$C$5:$C$40,Assumptions!$C21,'TRA balance'!$D$5:$D$40,Assumptions!$B21)*CH21*W21,"")</f>
        <v>0</v>
      </c>
      <c r="BD21" s="34">
        <f ca="1">IFERROR(SUMIFS('TRA balance'!U$5:U$40,'TRA balance'!$C$5:$C$40,Assumptions!$C21,'TRA balance'!$D$5:$D$40,Assumptions!$B21)*CI21*X21,"")</f>
        <v>0</v>
      </c>
      <c r="BE21" s="34">
        <f ca="1">IFERROR(SUMIFS('TRA balance'!V$5:V$40,'TRA balance'!$C$5:$C$40,Assumptions!$C21,'TRA balance'!$D$5:$D$40,Assumptions!$B21)*CJ21*Y21,"")</f>
        <v>0</v>
      </c>
      <c r="BF21" s="34">
        <f ca="1">IFERROR(SUMIFS('TRA balance'!W$5:W$40,'TRA balance'!$C$5:$C$40,Assumptions!$C21,'TRA balance'!$D$5:$D$40,Assumptions!$B21)*CK21*Z21,"")</f>
        <v>0</v>
      </c>
      <c r="BG21" s="34">
        <f ca="1">IFERROR(SUMIFS('TRA balance'!X$5:X$40,'TRA balance'!$C$5:$C$40,Assumptions!$C21,'TRA balance'!$D$5:$D$40,Assumptions!$B21)*CL21*AA21,"")</f>
        <v>0</v>
      </c>
      <c r="BH21" s="34">
        <f ca="1">IFERROR(SUMIFS('TRA balance'!Y$5:Y$40,'TRA balance'!$C$5:$C$40,Assumptions!$C21,'TRA balance'!$D$5:$D$40,Assumptions!$B21)*CM21*AB21,"")</f>
        <v>0</v>
      </c>
      <c r="BI21" s="34">
        <f ca="1">IFERROR(SUMIFS('TRA balance'!Z$5:Z$40,'TRA balance'!$C$5:$C$40,Assumptions!$C21,'TRA balance'!$D$5:$D$40,Assumptions!$B21)*CN21*AC21,"")</f>
        <v>0</v>
      </c>
      <c r="BJ21" s="34">
        <f ca="1">IFERROR(SUMIFS('TRA balance'!AA$5:AA$40,'TRA balance'!$C$5:$C$40,Assumptions!$C21,'TRA balance'!$D$5:$D$40,Assumptions!$B21)*CO21*AD21,"")</f>
        <v>0</v>
      </c>
      <c r="BK21" s="34">
        <f ca="1">IFERROR(SUMIFS('TRA balance'!AB$5:AB$40,'TRA balance'!$C$5:$C$40,Assumptions!$C21,'TRA balance'!$D$5:$D$40,Assumptions!$B21)*CP21*AE21,"")</f>
        <v>0</v>
      </c>
      <c r="BL21" s="34">
        <f ca="1">IFERROR(SUMIFS('TRA balance'!AC$5:AC$40,'TRA balance'!$C$5:$C$40,Assumptions!$C21,'TRA balance'!$D$5:$D$40,Assumptions!$B21)*CQ21*AF21,"")</f>
        <v>0</v>
      </c>
      <c r="BM21" s="34">
        <f ca="1">IFERROR(SUMIFS('TRA balance'!AD$5:AD$40,'TRA balance'!$C$5:$C$40,Assumptions!$C21,'TRA balance'!$D$5:$D$40,Assumptions!$B21)*CR21*AG21,"")</f>
        <v>0</v>
      </c>
      <c r="BN21" s="34">
        <f ca="1">IFERROR(SUMIFS('TRA balance'!AE$5:AE$40,'TRA balance'!$C$5:$C$40,Assumptions!$C21,'TRA balance'!$D$5:$D$40,Assumptions!$B21)*CS21*AH21,"")</f>
        <v>0</v>
      </c>
      <c r="BO21" s="34">
        <f ca="1">IFERROR(SUMIFS('TRA balance'!AF$5:AF$40,'TRA balance'!$C$5:$C$40,Assumptions!$C21,'TRA balance'!$D$5:$D$40,Assumptions!$B21)*CT21*AI21,"")</f>
        <v>0</v>
      </c>
      <c r="BP21" s="34">
        <f ca="1">IFERROR(SUMIFS('TRA balance'!AG$5:AG$40,'TRA balance'!$C$5:$C$40,Assumptions!$C21,'TRA balance'!$D$5:$D$40,Assumptions!$B21)*CU21*AJ21,"")</f>
        <v>0</v>
      </c>
      <c r="BQ21" s="34">
        <f ca="1">IFERROR(SUMIFS('TRA balance'!AH$5:AH$40,'TRA balance'!$C$5:$C$40,Assumptions!$C21,'TRA balance'!$D$5:$D$40,Assumptions!$B21)*CV21*AK21,"")</f>
        <v>0</v>
      </c>
      <c r="BS21" s="33">
        <f t="shared" si="16"/>
        <v>1</v>
      </c>
      <c r="BT21" s="33">
        <f t="shared" si="17"/>
        <v>1</v>
      </c>
      <c r="BU21" s="33">
        <f t="shared" si="18"/>
        <v>1</v>
      </c>
      <c r="BV21" s="33">
        <f t="shared" si="19"/>
        <v>1</v>
      </c>
      <c r="BW21" s="33">
        <f t="shared" si="20"/>
        <v>1</v>
      </c>
      <c r="BX21" s="33">
        <f t="shared" si="21"/>
        <v>1</v>
      </c>
      <c r="BY21" s="33">
        <f t="shared" si="22"/>
        <v>1</v>
      </c>
      <c r="BZ21" s="33">
        <f t="shared" si="23"/>
        <v>1</v>
      </c>
      <c r="CA21" s="33">
        <f t="shared" si="24"/>
        <v>1</v>
      </c>
      <c r="CB21" s="33">
        <f t="shared" si="25"/>
        <v>1</v>
      </c>
      <c r="CC21" s="33">
        <f t="shared" si="26"/>
        <v>1</v>
      </c>
      <c r="CD21" s="33">
        <f t="shared" si="27"/>
        <v>1</v>
      </c>
      <c r="CE21" s="33">
        <f t="shared" si="28"/>
        <v>1</v>
      </c>
      <c r="CF21" s="33">
        <f t="shared" si="29"/>
        <v>1</v>
      </c>
      <c r="CG21" s="33">
        <f t="shared" si="30"/>
        <v>1</v>
      </c>
      <c r="CH21" s="33">
        <f t="shared" si="31"/>
        <v>1</v>
      </c>
      <c r="CI21" s="33">
        <f t="shared" si="32"/>
        <v>1</v>
      </c>
      <c r="CJ21" s="33">
        <f t="shared" si="33"/>
        <v>1</v>
      </c>
      <c r="CK21" s="33">
        <f t="shared" si="34"/>
        <v>1</v>
      </c>
      <c r="CL21" s="33">
        <f t="shared" si="35"/>
        <v>1</v>
      </c>
      <c r="CM21" s="33">
        <f t="shared" si="36"/>
        <v>1</v>
      </c>
      <c r="CN21" s="33">
        <f t="shared" si="37"/>
        <v>1</v>
      </c>
      <c r="CO21" s="33">
        <f t="shared" si="38"/>
        <v>1</v>
      </c>
      <c r="CP21" s="33">
        <f t="shared" si="39"/>
        <v>1</v>
      </c>
      <c r="CQ21" s="33">
        <f t="shared" si="40"/>
        <v>1</v>
      </c>
      <c r="CR21" s="33">
        <f t="shared" si="41"/>
        <v>1</v>
      </c>
      <c r="CS21" s="33">
        <f t="shared" si="42"/>
        <v>1</v>
      </c>
      <c r="CT21" s="33">
        <f t="shared" si="43"/>
        <v>1</v>
      </c>
      <c r="CU21" s="33">
        <f t="shared" si="44"/>
        <v>1</v>
      </c>
      <c r="CV21" s="33">
        <f t="shared" si="45"/>
        <v>1</v>
      </c>
    </row>
    <row r="22" spans="1:100" x14ac:dyDescent="0.45">
      <c r="A22">
        <v>1</v>
      </c>
      <c r="B22" t="str">
        <f>VLOOKUP(F22,'TRA balance'!$AK$5:$AL$14,2,FALSE)</f>
        <v>TRAGSL</v>
      </c>
      <c r="C22" s="6" t="str">
        <f t="shared" si="46"/>
        <v>TR</v>
      </c>
      <c r="D22" s="7" t="s">
        <v>16</v>
      </c>
      <c r="E22" s="18" t="s">
        <v>61</v>
      </c>
      <c r="F22" s="8" t="str">
        <f>F21</f>
        <v>Gasoline</v>
      </c>
      <c r="G22" s="6" t="s">
        <v>62</v>
      </c>
      <c r="H22" s="9">
        <f ca="1">OFFSET(TIAM15_assumptions!$G22,0,MATCH(VLOOKUP(Assumptions!H$2,TIAM15_assumptions!$Y$3:$Z$36,2,FALSE),TIAM15_assumptions!$H$2:$V$2,0))</f>
        <v>0.45</v>
      </c>
      <c r="I22" s="9">
        <f ca="1">OFFSET(TIAM15_assumptions!$G22,0,MATCH(VLOOKUP(Assumptions!I$2,TIAM15_assumptions!$Y$3:$Z$36,2,FALSE),TIAM15_assumptions!$H$2:$V$2,0))</f>
        <v>0.45</v>
      </c>
      <c r="J22" s="9">
        <f ca="1">OFFSET(TIAM15_assumptions!$G22,0,MATCH(VLOOKUP(Assumptions!J$2,TIAM15_assumptions!$Y$3:$Z$36,2,FALSE),TIAM15_assumptions!$H$2:$V$2,0))</f>
        <v>0.67</v>
      </c>
      <c r="K22" s="9">
        <f ca="1">OFFSET(TIAM15_assumptions!$G22,0,MATCH(VLOOKUP(Assumptions!K$2,TIAM15_assumptions!$Y$3:$Z$36,2,FALSE),TIAM15_assumptions!$H$2:$V$2,0))</f>
        <v>0.65</v>
      </c>
      <c r="L22" s="9">
        <f ca="1">OFFSET(TIAM15_assumptions!$G22,0,MATCH(VLOOKUP(Assumptions!L$2,TIAM15_assumptions!$Y$3:$Z$36,2,FALSE),TIAM15_assumptions!$H$2:$V$2,0))</f>
        <v>0.7</v>
      </c>
      <c r="M22" s="9">
        <f ca="1">OFFSET(TIAM15_assumptions!$G22,0,MATCH(VLOOKUP(Assumptions!M$2,TIAM15_assumptions!$Y$3:$Z$36,2,FALSE),TIAM15_assumptions!$H$2:$V$2,0))</f>
        <v>0.45</v>
      </c>
      <c r="N22" s="9">
        <f ca="1">OFFSET(TIAM15_assumptions!$G22,0,MATCH(VLOOKUP(Assumptions!N$2,TIAM15_assumptions!$Y$3:$Z$36,2,FALSE),TIAM15_assumptions!$H$2:$V$2,0))</f>
        <v>0.69</v>
      </c>
      <c r="O22" s="9">
        <f ca="1">OFFSET(TIAM15_assumptions!$G22,0,MATCH(VLOOKUP(Assumptions!O$2,TIAM15_assumptions!$Y$3:$Z$36,2,FALSE),TIAM15_assumptions!$H$2:$V$2,0))</f>
        <v>0.67</v>
      </c>
      <c r="P22" s="9">
        <f ca="1">OFFSET(TIAM15_assumptions!$G22,0,MATCH(VLOOKUP(Assumptions!P$2,TIAM15_assumptions!$Y$3:$Z$36,2,FALSE),TIAM15_assumptions!$H$2:$V$2,0))</f>
        <v>0.6</v>
      </c>
      <c r="Q22" s="9">
        <f ca="1">OFFSET(TIAM15_assumptions!$G22,0,MATCH(VLOOKUP(Assumptions!Q$2,TIAM15_assumptions!$Y$3:$Z$36,2,FALSE),TIAM15_assumptions!$H$2:$V$2,0))</f>
        <v>0.45</v>
      </c>
      <c r="R22" s="9">
        <f ca="1">OFFSET(TIAM15_assumptions!$G22,0,MATCH(VLOOKUP(Assumptions!R$2,TIAM15_assumptions!$Y$3:$Z$36,2,FALSE),TIAM15_assumptions!$H$2:$V$2,0))</f>
        <v>0.98</v>
      </c>
      <c r="S22" s="9">
        <f ca="1">OFFSET(TIAM15_assumptions!$G22,0,MATCH(VLOOKUP(Assumptions!S$2,TIAM15_assumptions!$Y$3:$Z$36,2,FALSE),TIAM15_assumptions!$H$2:$V$2,0))</f>
        <v>0.99</v>
      </c>
      <c r="T22" s="9">
        <f ca="1">OFFSET(TIAM15_assumptions!$G22,0,MATCH(VLOOKUP(Assumptions!T$2,TIAM15_assumptions!$Y$3:$Z$36,2,FALSE),TIAM15_assumptions!$H$2:$V$2,0))</f>
        <v>0.98</v>
      </c>
      <c r="U22" s="9">
        <f ca="1">OFFSET(TIAM15_assumptions!$G22,0,MATCH(VLOOKUP(Assumptions!U$2,TIAM15_assumptions!$Y$3:$Z$36,2,FALSE),TIAM15_assumptions!$H$2:$V$2,0))</f>
        <v>0.98</v>
      </c>
      <c r="V22" s="9">
        <f ca="1">OFFSET(TIAM15_assumptions!$G22,0,MATCH(VLOOKUP(Assumptions!V$2,TIAM15_assumptions!$Y$3:$Z$36,2,FALSE),TIAM15_assumptions!$H$2:$V$2,0))</f>
        <v>0.99</v>
      </c>
      <c r="W22" s="9">
        <f ca="1">OFFSET(TIAM15_assumptions!$G22,0,MATCH(VLOOKUP(Assumptions!W$2,TIAM15_assumptions!$Y$3:$Z$36,2,FALSE),TIAM15_assumptions!$H$2:$V$2,0))</f>
        <v>0.98</v>
      </c>
      <c r="X22" s="9">
        <f ca="1">OFFSET(TIAM15_assumptions!$G22,0,MATCH(VLOOKUP(Assumptions!X$2,TIAM15_assumptions!$Y$3:$Z$36,2,FALSE),TIAM15_assumptions!$H$2:$V$2,0))</f>
        <v>0.55000000000000004</v>
      </c>
      <c r="Y22" s="9">
        <f ca="1">OFFSET(TIAM15_assumptions!$G22,0,MATCH(VLOOKUP(Assumptions!Y$2,TIAM15_assumptions!$Y$3:$Z$36,2,FALSE),TIAM15_assumptions!$H$2:$V$2,0))</f>
        <v>0.98</v>
      </c>
      <c r="Z22" s="9">
        <f ca="1">OFFSET(TIAM15_assumptions!$G22,0,MATCH(VLOOKUP(Assumptions!Z$2,TIAM15_assumptions!$Y$3:$Z$36,2,FALSE),TIAM15_assumptions!$H$2:$V$2,0))</f>
        <v>0.98</v>
      </c>
      <c r="AA22" s="9">
        <f ca="1">OFFSET(TIAM15_assumptions!$G22,0,MATCH(VLOOKUP(Assumptions!AA$2,TIAM15_assumptions!$Y$3:$Z$36,2,FALSE),TIAM15_assumptions!$H$2:$V$2,0))</f>
        <v>0.45</v>
      </c>
      <c r="AB22" s="9">
        <f ca="1">OFFSET(TIAM15_assumptions!$G22,0,MATCH(VLOOKUP(Assumptions!AB$2,TIAM15_assumptions!$Y$3:$Z$36,2,FALSE),TIAM15_assumptions!$H$2:$V$2,0))</f>
        <v>0.67</v>
      </c>
      <c r="AC22" s="9">
        <f ca="1">OFFSET(TIAM15_assumptions!$G22,0,MATCH(VLOOKUP(Assumptions!AC$2,TIAM15_assumptions!$Y$3:$Z$36,2,FALSE),TIAM15_assumptions!$H$2:$V$2,0))</f>
        <v>0.6</v>
      </c>
      <c r="AD22" s="9">
        <f ca="1">OFFSET(TIAM15_assumptions!$G22,0,MATCH(VLOOKUP(Assumptions!AD$2,TIAM15_assumptions!$Y$3:$Z$36,2,FALSE),TIAM15_assumptions!$H$2:$V$2,0))</f>
        <v>0.55000000000000004</v>
      </c>
      <c r="AE22" s="9">
        <f ca="1">OFFSET(TIAM15_assumptions!$G22,0,MATCH(VLOOKUP(Assumptions!AE$2,TIAM15_assumptions!$Y$3:$Z$36,2,FALSE),TIAM15_assumptions!$H$2:$V$2,0))</f>
        <v>0.98</v>
      </c>
      <c r="AF22" s="9">
        <f ca="1">OFFSET(TIAM15_assumptions!$G22,0,MATCH(VLOOKUP(Assumptions!AF$2,TIAM15_assumptions!$Y$3:$Z$36,2,FALSE),TIAM15_assumptions!$H$2:$V$2,0))</f>
        <v>0.65</v>
      </c>
      <c r="AG22" s="9">
        <f ca="1">OFFSET(TIAM15_assumptions!$G22,0,MATCH(VLOOKUP(Assumptions!AG$2,TIAM15_assumptions!$Y$3:$Z$36,2,FALSE),TIAM15_assumptions!$H$2:$V$2,0))</f>
        <v>0.55000000000000004</v>
      </c>
      <c r="AH22" s="9">
        <f ca="1">OFFSET(TIAM15_assumptions!$G22,0,MATCH(VLOOKUP(Assumptions!AH$2,TIAM15_assumptions!$Y$3:$Z$36,2,FALSE),TIAM15_assumptions!$H$2:$V$2,0))</f>
        <v>0.45</v>
      </c>
      <c r="AI22" s="9">
        <f ca="1">OFFSET(TIAM15_assumptions!$G22,0,MATCH(VLOOKUP(Assumptions!AI$2,TIAM15_assumptions!$Y$3:$Z$36,2,FALSE),TIAM15_assumptions!$H$2:$V$2,0))</f>
        <v>0.98</v>
      </c>
      <c r="AJ22" s="9">
        <f ca="1">OFFSET(TIAM15_assumptions!$G22,0,MATCH(VLOOKUP(Assumptions!AJ$2,TIAM15_assumptions!$Y$3:$Z$36,2,FALSE),TIAM15_assumptions!$H$2:$V$2,0))</f>
        <v>0.58299999999999996</v>
      </c>
      <c r="AK22" s="9">
        <f ca="1">OFFSET(TIAM15_assumptions!$G22,0,MATCH(VLOOKUP(Assumptions!AK$2,TIAM15_assumptions!$Y$3:$Z$36,2,FALSE),TIAM15_assumptions!$H$2:$V$2,0))</f>
        <v>0.58299999999999996</v>
      </c>
      <c r="AN22" s="34">
        <f ca="1">IFERROR(SUMIFS('TRA balance'!E$5:E$40,'TRA balance'!$C$5:$C$40,Assumptions!$C22,'TRA balance'!$D$5:$D$40,Assumptions!$B22)*BS22*H22,"")</f>
        <v>322.05163218678001</v>
      </c>
      <c r="AO22" s="34">
        <f ca="1">IFERROR(SUMIFS('TRA balance'!F$5:F$40,'TRA balance'!$C$5:$C$40,Assumptions!$C22,'TRA balance'!$D$5:$D$40,Assumptions!$B22)*BT22*I22,"")</f>
        <v>559.23847964748006</v>
      </c>
      <c r="AP22" s="34">
        <f ca="1">IFERROR(SUMIFS('TRA balance'!G$5:G$40,'TRA balance'!$C$5:$C$40,Assumptions!$C22,'TRA balance'!$D$5:$D$40,Assumptions!$B22)*BU22*J22,"")</f>
        <v>247.35512971839239</v>
      </c>
      <c r="AQ22" s="34">
        <f ca="1">IFERROR(SUMIFS('TRA balance'!H$5:H$40,'TRA balance'!$C$5:$C$40,Assumptions!$C22,'TRA balance'!$D$5:$D$40,Assumptions!$B22)*BV22*K22,"")</f>
        <v>186.656070795012</v>
      </c>
      <c r="AR22" s="34">
        <f ca="1">IFERROR(SUMIFS('TRA balance'!I$5:I$40,'TRA balance'!$C$5:$C$40,Assumptions!$C22,'TRA balance'!$D$5:$D$40,Assumptions!$B22)*BW22*L22,"")</f>
        <v>1270.8389629711439</v>
      </c>
      <c r="AS22" s="34">
        <f ca="1">IFERROR(SUMIFS('TRA balance'!J$5:J$40,'TRA balance'!$C$5:$C$40,Assumptions!$C22,'TRA balance'!$D$5:$D$40,Assumptions!$B22)*BX22*M22,"")</f>
        <v>1599.16746464226</v>
      </c>
      <c r="AT22" s="34">
        <f ca="1">IFERROR(SUMIFS('TRA balance'!K$5:K$40,'TRA balance'!$C$5:$C$40,Assumptions!$C22,'TRA balance'!$D$5:$D$40,Assumptions!$B22)*BY22*N22,"")</f>
        <v>419.0588910937044</v>
      </c>
      <c r="AU22" s="34">
        <f ca="1">IFERROR(SUMIFS('TRA balance'!L$5:L$40,'TRA balance'!$C$5:$C$40,Assumptions!$C22,'TRA balance'!$D$5:$D$40,Assumptions!$B22)*BZ22*O22,"")</f>
        <v>541.60364974889876</v>
      </c>
      <c r="AV22" s="34">
        <f ca="1">IFERROR(SUMIFS('TRA balance'!M$5:M$40,'TRA balance'!$C$5:$C$40,Assumptions!$C22,'TRA balance'!$D$5:$D$40,Assumptions!$B22)*CA22*P22,"")</f>
        <v>783.04415217016322</v>
      </c>
      <c r="AW22" s="34">
        <f ca="1">IFERROR(SUMIFS('TRA balance'!N$5:N$40,'TRA balance'!$C$5:$C$40,Assumptions!$C22,'TRA balance'!$D$5:$D$40,Assumptions!$B22)*CB22*Q22,"")</f>
        <v>2439.0740180835724</v>
      </c>
      <c r="AX22" s="34">
        <f ca="1">IFERROR(SUMIFS('TRA balance'!O$5:O$40,'TRA balance'!$C$5:$C$40,Assumptions!$C22,'TRA balance'!$D$5:$D$40,Assumptions!$B22)*CC22*R22,"")</f>
        <v>180.76901848281361</v>
      </c>
      <c r="AY22" s="34">
        <f ca="1">IFERROR(SUMIFS('TRA balance'!P$5:P$40,'TRA balance'!$C$5:$C$40,Assumptions!$C22,'TRA balance'!$D$5:$D$40,Assumptions!$B22)*CD22*S22,"")</f>
        <v>366.42837823417182</v>
      </c>
      <c r="AZ22" s="34">
        <f ca="1">IFERROR(SUMIFS('TRA balance'!Q$5:Q$40,'TRA balance'!$C$5:$C$40,Assumptions!$C22,'TRA balance'!$D$5:$D$40,Assumptions!$B22)*CE22*T22,"")</f>
        <v>285.31757176168679</v>
      </c>
      <c r="BA22" s="34">
        <f ca="1">IFERROR(SUMIFS('TRA balance'!R$5:R$40,'TRA balance'!$C$5:$C$40,Assumptions!$C22,'TRA balance'!$D$5:$D$40,Assumptions!$B22)*CF22*U22,"")</f>
        <v>417.78399739320719</v>
      </c>
      <c r="BB22" s="34">
        <f ca="1">IFERROR(SUMIFS('TRA balance'!S$5:S$40,'TRA balance'!$C$5:$C$40,Assumptions!$C22,'TRA balance'!$D$5:$D$40,Assumptions!$B22)*CG22*V22,"")</f>
        <v>169.44779982726683</v>
      </c>
      <c r="BC22" s="34">
        <f ca="1">IFERROR(SUMIFS('TRA balance'!T$5:T$40,'TRA balance'!$C$5:$C$40,Assumptions!$C22,'TRA balance'!$D$5:$D$40,Assumptions!$B22)*CH22*W22,"")</f>
        <v>257.74444061063713</v>
      </c>
      <c r="BD22" s="34">
        <f ca="1">IFERROR(SUMIFS('TRA balance'!U$5:U$40,'TRA balance'!$C$5:$C$40,Assumptions!$C22,'TRA balance'!$D$5:$D$40,Assumptions!$B22)*CI22*X22,"")</f>
        <v>142.20013699029602</v>
      </c>
      <c r="BE22" s="34">
        <f ca="1">IFERROR(SUMIFS('TRA balance'!V$5:V$40,'TRA balance'!$C$5:$C$40,Assumptions!$C22,'TRA balance'!$D$5:$D$40,Assumptions!$B22)*CJ22*Y22,"")</f>
        <v>312.84553420960049</v>
      </c>
      <c r="BF22" s="34">
        <f ca="1">IFERROR(SUMIFS('TRA balance'!W$5:W$40,'TRA balance'!$C$5:$C$40,Assumptions!$C22,'TRA balance'!$D$5:$D$40,Assumptions!$B22)*CK22*Z22,"")</f>
        <v>686.91496698592482</v>
      </c>
      <c r="BG22" s="34">
        <f ca="1">IFERROR(SUMIFS('TRA balance'!X$5:X$40,'TRA balance'!$C$5:$C$40,Assumptions!$C22,'TRA balance'!$D$5:$D$40,Assumptions!$B22)*CL22*AA22,"")</f>
        <v>604.29600063468001</v>
      </c>
      <c r="BH22" s="34">
        <f ca="1">IFERROR(SUMIFS('TRA balance'!Y$5:Y$40,'TRA balance'!$C$5:$C$40,Assumptions!$C22,'TRA balance'!$D$5:$D$40,Assumptions!$B22)*CM22*AB22,"")</f>
        <v>782.44261190496013</v>
      </c>
      <c r="BI22" s="34">
        <f ca="1">IFERROR(SUMIFS('TRA balance'!Z$5:Z$40,'TRA balance'!$C$5:$C$40,Assumptions!$C22,'TRA balance'!$D$5:$D$40,Assumptions!$B22)*CN22*AC22,"")</f>
        <v>853.3623549659759</v>
      </c>
      <c r="BJ22" s="34">
        <f ca="1">IFERROR(SUMIFS('TRA balance'!AA$5:AA$40,'TRA balance'!$C$5:$C$40,Assumptions!$C22,'TRA balance'!$D$5:$D$40,Assumptions!$B22)*CO22*AD22,"")</f>
        <v>908.45519972823001</v>
      </c>
      <c r="BK22" s="34">
        <f ca="1">IFERROR(SUMIFS('TRA balance'!AB$5:AB$40,'TRA balance'!$C$5:$C$40,Assumptions!$C22,'TRA balance'!$D$5:$D$40,Assumptions!$B22)*CP22*AE22,"")</f>
        <v>31.484448712669682</v>
      </c>
      <c r="BL22" s="34">
        <f ca="1">IFERROR(SUMIFS('TRA balance'!AC$5:AC$40,'TRA balance'!$C$5:$C$40,Assumptions!$C22,'TRA balance'!$D$5:$D$40,Assumptions!$B22)*CQ22*AF22,"")</f>
        <v>679.34546720749802</v>
      </c>
      <c r="BM22" s="34">
        <f ca="1">IFERROR(SUMIFS('TRA balance'!AD$5:AD$40,'TRA balance'!$C$5:$C$40,Assumptions!$C22,'TRA balance'!$D$5:$D$40,Assumptions!$B22)*CR22*AG22,"")</f>
        <v>392.457714926508</v>
      </c>
      <c r="BN22" s="34">
        <f ca="1">IFERROR(SUMIFS('TRA balance'!AE$5:AE$40,'TRA balance'!$C$5:$C$40,Assumptions!$C22,'TRA balance'!$D$5:$D$40,Assumptions!$B22)*CS22*AH22,"")</f>
        <v>142.45850182248</v>
      </c>
      <c r="BO22" s="34">
        <f ca="1">IFERROR(SUMIFS('TRA balance'!AF$5:AF$40,'TRA balance'!$C$5:$C$40,Assumptions!$C22,'TRA balance'!$D$5:$D$40,Assumptions!$B22)*CT22*AI22,"")</f>
        <v>491.88724480969421</v>
      </c>
      <c r="BP22" s="34">
        <f ca="1">IFERROR(SUMIFS('TRA balance'!AG$5:AG$40,'TRA balance'!$C$5:$C$40,Assumptions!$C22,'TRA balance'!$D$5:$D$40,Assumptions!$B22)*CU22*AJ22,"")</f>
        <v>7224.8488228712813</v>
      </c>
      <c r="BQ22" s="34">
        <f ca="1">IFERROR(SUMIFS('TRA balance'!AH$5:AH$40,'TRA balance'!$C$5:$C$40,Assumptions!$C22,'TRA balance'!$D$5:$D$40,Assumptions!$B22)*CV22*AK22,"")</f>
        <v>0</v>
      </c>
      <c r="BS22" s="33">
        <f t="shared" ca="1" si="16"/>
        <v>1</v>
      </c>
      <c r="BT22" s="33">
        <f t="shared" ca="1" si="17"/>
        <v>1</v>
      </c>
      <c r="BU22" s="33">
        <f t="shared" ca="1" si="18"/>
        <v>0.9</v>
      </c>
      <c r="BV22" s="33">
        <f t="shared" ca="1" si="19"/>
        <v>0.7</v>
      </c>
      <c r="BW22" s="33">
        <f t="shared" ca="1" si="20"/>
        <v>0.9</v>
      </c>
      <c r="BX22" s="33">
        <f t="shared" ca="1" si="21"/>
        <v>1</v>
      </c>
      <c r="BY22" s="33">
        <f t="shared" ca="1" si="22"/>
        <v>0.9</v>
      </c>
      <c r="BZ22" s="33">
        <f t="shared" ca="1" si="23"/>
        <v>0.9</v>
      </c>
      <c r="CA22" s="33">
        <f t="shared" ca="1" si="24"/>
        <v>0.96</v>
      </c>
      <c r="CB22" s="33">
        <f t="shared" ca="1" si="25"/>
        <v>0.9</v>
      </c>
      <c r="CC22" s="33">
        <f t="shared" ca="1" si="26"/>
        <v>0.97</v>
      </c>
      <c r="CD22" s="33">
        <f t="shared" ca="1" si="27"/>
        <v>0.97</v>
      </c>
      <c r="CE22" s="33">
        <f t="shared" ca="1" si="28"/>
        <v>0.97</v>
      </c>
      <c r="CF22" s="33">
        <f t="shared" ca="1" si="29"/>
        <v>0.97</v>
      </c>
      <c r="CG22" s="33">
        <f t="shared" ca="1" si="30"/>
        <v>0.97</v>
      </c>
      <c r="CH22" s="33">
        <f t="shared" ca="1" si="31"/>
        <v>0.97</v>
      </c>
      <c r="CI22" s="33">
        <f t="shared" ca="1" si="32"/>
        <v>0.7</v>
      </c>
      <c r="CJ22" s="33">
        <f t="shared" ca="1" si="33"/>
        <v>0.97</v>
      </c>
      <c r="CK22" s="33">
        <f t="shared" ca="1" si="34"/>
        <v>0.97</v>
      </c>
      <c r="CL22" s="33">
        <f t="shared" ca="1" si="35"/>
        <v>1</v>
      </c>
      <c r="CM22" s="33">
        <f t="shared" ca="1" si="36"/>
        <v>0.9</v>
      </c>
      <c r="CN22" s="33">
        <f t="shared" ca="1" si="37"/>
        <v>0.95</v>
      </c>
      <c r="CO22" s="33">
        <f t="shared" ca="1" si="38"/>
        <v>0.7</v>
      </c>
      <c r="CP22" s="33">
        <f t="shared" ca="1" si="39"/>
        <v>0.97</v>
      </c>
      <c r="CQ22" s="33">
        <f t="shared" ca="1" si="40"/>
        <v>0.7</v>
      </c>
      <c r="CR22" s="33">
        <f t="shared" ca="1" si="41"/>
        <v>0.7</v>
      </c>
      <c r="CS22" s="33">
        <f t="shared" ca="1" si="42"/>
        <v>1</v>
      </c>
      <c r="CT22" s="33">
        <f t="shared" ca="1" si="43"/>
        <v>0.97</v>
      </c>
      <c r="CU22" s="33">
        <f t="shared" ca="1" si="44"/>
        <v>0.8</v>
      </c>
      <c r="CV22" s="33">
        <f t="shared" ca="1" si="45"/>
        <v>0.8</v>
      </c>
    </row>
    <row r="23" spans="1:100" x14ac:dyDescent="0.45">
      <c r="A23">
        <v>1</v>
      </c>
      <c r="B23" t="str">
        <f>VLOOKUP(F23,'TRA balance'!$AK$5:$AL$14,2,FALSE)</f>
        <v>TRAGSL</v>
      </c>
      <c r="C23" s="6" t="str">
        <f t="shared" si="46"/>
        <v>TR</v>
      </c>
      <c r="D23" s="7" t="s">
        <v>16</v>
      </c>
      <c r="E23" s="18" t="s">
        <v>63</v>
      </c>
      <c r="F23" s="8" t="str">
        <f t="shared" ref="F23:F26" si="67">F22</f>
        <v>Gasoline</v>
      </c>
      <c r="G23" s="6" t="s">
        <v>64</v>
      </c>
      <c r="H23" s="9">
        <f ca="1">OFFSET(TIAM15_assumptions!$G23,0,MATCH(VLOOKUP(Assumptions!H$2,TIAM15_assumptions!$Y$3:$Z$36,2,FALSE),TIAM15_assumptions!$H$2:$V$2,0))</f>
        <v>0.1</v>
      </c>
      <c r="I23" s="9">
        <f ca="1">OFFSET(TIAM15_assumptions!$G23,0,MATCH(VLOOKUP(Assumptions!I$2,TIAM15_assumptions!$Y$3:$Z$36,2,FALSE),TIAM15_assumptions!$H$2:$V$2,0))</f>
        <v>0.1</v>
      </c>
      <c r="J23" s="9">
        <f ca="1">OFFSET(TIAM15_assumptions!$G23,0,MATCH(VLOOKUP(Assumptions!J$2,TIAM15_assumptions!$Y$3:$Z$36,2,FALSE),TIAM15_assumptions!$H$2:$V$2,0))</f>
        <v>0.31</v>
      </c>
      <c r="K23" s="9">
        <f ca="1">OFFSET(TIAM15_assumptions!$G23,0,MATCH(VLOOKUP(Assumptions!K$2,TIAM15_assumptions!$Y$3:$Z$36,2,FALSE),TIAM15_assumptions!$H$2:$V$2,0))</f>
        <v>0.33</v>
      </c>
      <c r="L23" s="9">
        <f ca="1">OFFSET(TIAM15_assumptions!$G23,0,MATCH(VLOOKUP(Assumptions!L$2,TIAM15_assumptions!$Y$3:$Z$36,2,FALSE),TIAM15_assumptions!$H$2:$V$2,0))</f>
        <v>0.28499999999999998</v>
      </c>
      <c r="M23" s="9">
        <f ca="1">OFFSET(TIAM15_assumptions!$G23,0,MATCH(VLOOKUP(Assumptions!M$2,TIAM15_assumptions!$Y$3:$Z$36,2,FALSE),TIAM15_assumptions!$H$2:$V$2,0))</f>
        <v>0.1</v>
      </c>
      <c r="N23" s="9">
        <f ca="1">OFFSET(TIAM15_assumptions!$G23,0,MATCH(VLOOKUP(Assumptions!N$2,TIAM15_assumptions!$Y$3:$Z$36,2,FALSE),TIAM15_assumptions!$H$2:$V$2,0))</f>
        <v>0.28999999999999998</v>
      </c>
      <c r="O23" s="9">
        <f ca="1">OFFSET(TIAM15_assumptions!$G23,0,MATCH(VLOOKUP(Assumptions!O$2,TIAM15_assumptions!$Y$3:$Z$36,2,FALSE),TIAM15_assumptions!$H$2:$V$2,0))</f>
        <v>0.31</v>
      </c>
      <c r="P23" s="9">
        <f ca="1">OFFSET(TIAM15_assumptions!$G23,0,MATCH(VLOOKUP(Assumptions!P$2,TIAM15_assumptions!$Y$3:$Z$36,2,FALSE),TIAM15_assumptions!$H$2:$V$2,0))</f>
        <v>0.39900000000000002</v>
      </c>
      <c r="Q23" s="9">
        <f ca="1">OFFSET(TIAM15_assumptions!$G23,0,MATCH(VLOOKUP(Assumptions!Q$2,TIAM15_assumptions!$Y$3:$Z$36,2,FALSE),TIAM15_assumptions!$H$2:$V$2,0))</f>
        <v>0.25</v>
      </c>
      <c r="R23" s="9">
        <f ca="1">OFFSET(TIAM15_assumptions!$G23,0,MATCH(VLOOKUP(Assumptions!R$2,TIAM15_assumptions!$Y$3:$Z$36,2,FALSE),TIAM15_assumptions!$H$2:$V$2,0))</f>
        <v>0</v>
      </c>
      <c r="S23" s="9">
        <f ca="1">OFFSET(TIAM15_assumptions!$G23,0,MATCH(VLOOKUP(Assumptions!S$2,TIAM15_assumptions!$Y$3:$Z$36,2,FALSE),TIAM15_assumptions!$H$2:$V$2,0))</f>
        <v>0</v>
      </c>
      <c r="T23" s="9">
        <f ca="1">OFFSET(TIAM15_assumptions!$G23,0,MATCH(VLOOKUP(Assumptions!T$2,TIAM15_assumptions!$Y$3:$Z$36,2,FALSE),TIAM15_assumptions!$H$2:$V$2,0))</f>
        <v>0</v>
      </c>
      <c r="U23" s="9">
        <f ca="1">OFFSET(TIAM15_assumptions!$G23,0,MATCH(VLOOKUP(Assumptions!U$2,TIAM15_assumptions!$Y$3:$Z$36,2,FALSE),TIAM15_assumptions!$H$2:$V$2,0))</f>
        <v>0</v>
      </c>
      <c r="V23" s="9">
        <f ca="1">OFFSET(TIAM15_assumptions!$G23,0,MATCH(VLOOKUP(Assumptions!V$2,TIAM15_assumptions!$Y$3:$Z$36,2,FALSE),TIAM15_assumptions!$H$2:$V$2,0))</f>
        <v>0</v>
      </c>
      <c r="W23" s="9">
        <f ca="1">OFFSET(TIAM15_assumptions!$G23,0,MATCH(VLOOKUP(Assumptions!W$2,TIAM15_assumptions!$Y$3:$Z$36,2,FALSE),TIAM15_assumptions!$H$2:$V$2,0))</f>
        <v>0</v>
      </c>
      <c r="X23" s="9">
        <f ca="1">OFFSET(TIAM15_assumptions!$G23,0,MATCH(VLOOKUP(Assumptions!X$2,TIAM15_assumptions!$Y$3:$Z$36,2,FALSE),TIAM15_assumptions!$H$2:$V$2,0))</f>
        <v>0.42</v>
      </c>
      <c r="Y23" s="9">
        <f ca="1">OFFSET(TIAM15_assumptions!$G23,0,MATCH(VLOOKUP(Assumptions!Y$2,TIAM15_assumptions!$Y$3:$Z$36,2,FALSE),TIAM15_assumptions!$H$2:$V$2,0))</f>
        <v>0</v>
      </c>
      <c r="Z23" s="9">
        <f ca="1">OFFSET(TIAM15_assumptions!$G23,0,MATCH(VLOOKUP(Assumptions!Z$2,TIAM15_assumptions!$Y$3:$Z$36,2,FALSE),TIAM15_assumptions!$H$2:$V$2,0))</f>
        <v>0</v>
      </c>
      <c r="AA23" s="9">
        <f ca="1">OFFSET(TIAM15_assumptions!$G23,0,MATCH(VLOOKUP(Assumptions!AA$2,TIAM15_assumptions!$Y$3:$Z$36,2,FALSE),TIAM15_assumptions!$H$2:$V$2,0))</f>
        <v>0.05</v>
      </c>
      <c r="AB23" s="9">
        <f ca="1">OFFSET(TIAM15_assumptions!$G23,0,MATCH(VLOOKUP(Assumptions!AB$2,TIAM15_assumptions!$Y$3:$Z$36,2,FALSE),TIAM15_assumptions!$H$2:$V$2,0))</f>
        <v>0.31</v>
      </c>
      <c r="AC23" s="9">
        <f ca="1">OFFSET(TIAM15_assumptions!$G23,0,MATCH(VLOOKUP(Assumptions!AC$2,TIAM15_assumptions!$Y$3:$Z$36,2,FALSE),TIAM15_assumptions!$H$2:$V$2,0))</f>
        <v>0.33</v>
      </c>
      <c r="AD23" s="9">
        <f ca="1">OFFSET(TIAM15_assumptions!$G23,0,MATCH(VLOOKUP(Assumptions!AD$2,TIAM15_assumptions!$Y$3:$Z$36,2,FALSE),TIAM15_assumptions!$H$2:$V$2,0))</f>
        <v>0.42</v>
      </c>
      <c r="AE23" s="9">
        <f ca="1">OFFSET(TIAM15_assumptions!$G23,0,MATCH(VLOOKUP(Assumptions!AE$2,TIAM15_assumptions!$Y$3:$Z$36,2,FALSE),TIAM15_assumptions!$H$2:$V$2,0))</f>
        <v>0</v>
      </c>
      <c r="AF23" s="9">
        <f ca="1">OFFSET(TIAM15_assumptions!$G23,0,MATCH(VLOOKUP(Assumptions!AF$2,TIAM15_assumptions!$Y$3:$Z$36,2,FALSE),TIAM15_assumptions!$H$2:$V$2,0))</f>
        <v>0.33</v>
      </c>
      <c r="AG23" s="9">
        <f ca="1">OFFSET(TIAM15_assumptions!$G23,0,MATCH(VLOOKUP(Assumptions!AG$2,TIAM15_assumptions!$Y$3:$Z$36,2,FALSE),TIAM15_assumptions!$H$2:$V$2,0))</f>
        <v>0.42</v>
      </c>
      <c r="AH23" s="9">
        <f ca="1">OFFSET(TIAM15_assumptions!$G23,0,MATCH(VLOOKUP(Assumptions!AH$2,TIAM15_assumptions!$Y$3:$Z$36,2,FALSE),TIAM15_assumptions!$H$2:$V$2,0))</f>
        <v>0.1</v>
      </c>
      <c r="AI23" s="9">
        <f ca="1">OFFSET(TIAM15_assumptions!$G23,0,MATCH(VLOOKUP(Assumptions!AI$2,TIAM15_assumptions!$Y$3:$Z$36,2,FALSE),TIAM15_assumptions!$H$2:$V$2,0))</f>
        <v>0</v>
      </c>
      <c r="AJ23" s="9">
        <f ca="1">OFFSET(TIAM15_assumptions!$G23,0,MATCH(VLOOKUP(Assumptions!AJ$2,TIAM15_assumptions!$Y$3:$Z$36,2,FALSE),TIAM15_assumptions!$H$2:$V$2,0))</f>
        <v>0.41499999999999998</v>
      </c>
      <c r="AK23" s="9">
        <f ca="1">OFFSET(TIAM15_assumptions!$G23,0,MATCH(VLOOKUP(Assumptions!AK$2,TIAM15_assumptions!$Y$3:$Z$36,2,FALSE),TIAM15_assumptions!$H$2:$V$2,0))</f>
        <v>0.41499999999999998</v>
      </c>
      <c r="AN23" s="34">
        <f ca="1">IFERROR(SUMIFS('TRA balance'!E$5:E$40,'TRA balance'!$C$5:$C$40,Assumptions!$C23,'TRA balance'!$D$5:$D$40,Assumptions!$B23)*BS23*H23,"")</f>
        <v>71.567029374840004</v>
      </c>
      <c r="AO23" s="34">
        <f ca="1">IFERROR(SUMIFS('TRA balance'!F$5:F$40,'TRA balance'!$C$5:$C$40,Assumptions!$C23,'TRA balance'!$D$5:$D$40,Assumptions!$B23)*BT23*I23,"")</f>
        <v>124.27521769944002</v>
      </c>
      <c r="AP23" s="34">
        <f ca="1">IFERROR(SUMIFS('TRA balance'!G$5:G$40,'TRA balance'!$C$5:$C$40,Assumptions!$C23,'TRA balance'!$D$5:$D$40,Assumptions!$B23)*BU23*J23,"")</f>
        <v>114.44789583985319</v>
      </c>
      <c r="AQ23" s="34">
        <f ca="1">IFERROR(SUMIFS('TRA balance'!H$5:H$40,'TRA balance'!$C$5:$C$40,Assumptions!$C23,'TRA balance'!$D$5:$D$40,Assumptions!$B23)*BV23*K23,"")</f>
        <v>94.763851326698401</v>
      </c>
      <c r="AR23" s="34">
        <f ca="1">IFERROR(SUMIFS('TRA balance'!I$5:I$40,'TRA balance'!$C$5:$C$40,Assumptions!$C23,'TRA balance'!$D$5:$D$40,Assumptions!$B23)*BW23*L23,"")</f>
        <v>517.4130063525372</v>
      </c>
      <c r="AS23" s="34">
        <f ca="1">IFERROR(SUMIFS('TRA balance'!J$5:J$40,'TRA balance'!$C$5:$C$40,Assumptions!$C23,'TRA balance'!$D$5:$D$40,Assumptions!$B23)*BX23*M23,"")</f>
        <v>355.37054769828001</v>
      </c>
      <c r="AT23" s="34">
        <f ca="1">IFERROR(SUMIFS('TRA balance'!K$5:K$40,'TRA balance'!$C$5:$C$40,Assumptions!$C23,'TRA balance'!$D$5:$D$40,Assumptions!$B23)*BY23*N23,"")</f>
        <v>176.1262006046004</v>
      </c>
      <c r="AU23" s="34">
        <f ca="1">IFERROR(SUMIFS('TRA balance'!L$5:L$40,'TRA balance'!$C$5:$C$40,Assumptions!$C23,'TRA balance'!$D$5:$D$40,Assumptions!$B23)*BZ23*O23,"")</f>
        <v>250.5927334659084</v>
      </c>
      <c r="AV23" s="34">
        <f ca="1">IFERROR(SUMIFS('TRA balance'!M$5:M$40,'TRA balance'!$C$5:$C$40,Assumptions!$C23,'TRA balance'!$D$5:$D$40,Assumptions!$B23)*CA23*P23,"")</f>
        <v>520.72436119315864</v>
      </c>
      <c r="AW23" s="34">
        <f ca="1">IFERROR(SUMIFS('TRA balance'!N$5:N$40,'TRA balance'!$C$5:$C$40,Assumptions!$C23,'TRA balance'!$D$5:$D$40,Assumptions!$B23)*CB23*Q23,"")</f>
        <v>1355.0411211575401</v>
      </c>
      <c r="AX23" s="34">
        <f ca="1">IFERROR(SUMIFS('TRA balance'!O$5:O$40,'TRA balance'!$C$5:$C$40,Assumptions!$C23,'TRA balance'!$D$5:$D$40,Assumptions!$B23)*CC23*R23,"")</f>
        <v>0</v>
      </c>
      <c r="AY23" s="34">
        <f ca="1">IFERROR(SUMIFS('TRA balance'!P$5:P$40,'TRA balance'!$C$5:$C$40,Assumptions!$C23,'TRA balance'!$D$5:$D$40,Assumptions!$B23)*CD23*S23,"")</f>
        <v>0</v>
      </c>
      <c r="AZ23" s="34">
        <f ca="1">IFERROR(SUMIFS('TRA balance'!Q$5:Q$40,'TRA balance'!$C$5:$C$40,Assumptions!$C23,'TRA balance'!$D$5:$D$40,Assumptions!$B23)*CE23*T23,"")</f>
        <v>0</v>
      </c>
      <c r="BA23" s="34">
        <f ca="1">IFERROR(SUMIFS('TRA balance'!R$5:R$40,'TRA balance'!$C$5:$C$40,Assumptions!$C23,'TRA balance'!$D$5:$D$40,Assumptions!$B23)*CF23*U23,"")</f>
        <v>0</v>
      </c>
      <c r="BB23" s="34">
        <f ca="1">IFERROR(SUMIFS('TRA balance'!S$5:S$40,'TRA balance'!$C$5:$C$40,Assumptions!$C23,'TRA balance'!$D$5:$D$40,Assumptions!$B23)*CG23*V23,"")</f>
        <v>0</v>
      </c>
      <c r="BC23" s="34">
        <f ca="1">IFERROR(SUMIFS('TRA balance'!T$5:T$40,'TRA balance'!$C$5:$C$40,Assumptions!$C23,'TRA balance'!$D$5:$D$40,Assumptions!$B23)*CH23*W23,"")</f>
        <v>0</v>
      </c>
      <c r="BD23" s="34">
        <f ca="1">IFERROR(SUMIFS('TRA balance'!U$5:U$40,'TRA balance'!$C$5:$C$40,Assumptions!$C23,'TRA balance'!$D$5:$D$40,Assumptions!$B23)*CI23*X23,"")</f>
        <v>108.58919551986239</v>
      </c>
      <c r="BE23" s="34">
        <f ca="1">IFERROR(SUMIFS('TRA balance'!V$5:V$40,'TRA balance'!$C$5:$C$40,Assumptions!$C23,'TRA balance'!$D$5:$D$40,Assumptions!$B23)*CJ23*Y23,"")</f>
        <v>0</v>
      </c>
      <c r="BF23" s="34">
        <f ca="1">IFERROR(SUMIFS('TRA balance'!W$5:W$40,'TRA balance'!$C$5:$C$40,Assumptions!$C23,'TRA balance'!$D$5:$D$40,Assumptions!$B23)*CK23*Z23,"")</f>
        <v>0</v>
      </c>
      <c r="BG23" s="34">
        <f ca="1">IFERROR(SUMIFS('TRA balance'!X$5:X$40,'TRA balance'!$C$5:$C$40,Assumptions!$C23,'TRA balance'!$D$5:$D$40,Assumptions!$B23)*CL23*AA23,"")</f>
        <v>67.144000070519994</v>
      </c>
      <c r="BH23" s="34">
        <f ca="1">IFERROR(SUMIFS('TRA balance'!Y$5:Y$40,'TRA balance'!$C$5:$C$40,Assumptions!$C23,'TRA balance'!$D$5:$D$40,Assumptions!$B23)*CM23*AB23,"")</f>
        <v>362.02568610528004</v>
      </c>
      <c r="BI23" s="34">
        <f ca="1">IFERROR(SUMIFS('TRA balance'!Z$5:Z$40,'TRA balance'!$C$5:$C$40,Assumptions!$C23,'TRA balance'!$D$5:$D$40,Assumptions!$B23)*CN23*AC23,"")</f>
        <v>469.34929523128676</v>
      </c>
      <c r="BJ23" s="34">
        <f ca="1">IFERROR(SUMIFS('TRA balance'!AA$5:AA$40,'TRA balance'!$C$5:$C$40,Assumptions!$C23,'TRA balance'!$D$5:$D$40,Assumptions!$B23)*CO23*AD23,"")</f>
        <v>693.72942524701193</v>
      </c>
      <c r="BK23" s="34">
        <f ca="1">IFERROR(SUMIFS('TRA balance'!AB$5:AB$40,'TRA balance'!$C$5:$C$40,Assumptions!$C23,'TRA balance'!$D$5:$D$40,Assumptions!$B23)*CP23*AE23,"")</f>
        <v>0</v>
      </c>
      <c r="BL23" s="34">
        <f ca="1">IFERROR(SUMIFS('TRA balance'!AC$5:AC$40,'TRA balance'!$C$5:$C$40,Assumptions!$C23,'TRA balance'!$D$5:$D$40,Assumptions!$B23)*CQ23*AF23,"")</f>
        <v>344.89846796688363</v>
      </c>
      <c r="BM23" s="34">
        <f ca="1">IFERROR(SUMIFS('TRA balance'!AD$5:AD$40,'TRA balance'!$C$5:$C$40,Assumptions!$C23,'TRA balance'!$D$5:$D$40,Assumptions!$B23)*CR23*AG23,"")</f>
        <v>299.69498230751515</v>
      </c>
      <c r="BN23" s="34">
        <f ca="1">IFERROR(SUMIFS('TRA balance'!AE$5:AE$40,'TRA balance'!$C$5:$C$40,Assumptions!$C23,'TRA balance'!$D$5:$D$40,Assumptions!$B23)*CS23*AH23,"")</f>
        <v>31.657444849439997</v>
      </c>
      <c r="BO23" s="34">
        <f ca="1">IFERROR(SUMIFS('TRA balance'!AF$5:AF$40,'TRA balance'!$C$5:$C$40,Assumptions!$C23,'TRA balance'!$D$5:$D$40,Assumptions!$B23)*CT23*AI23,"")</f>
        <v>0</v>
      </c>
      <c r="BP23" s="34">
        <f ca="1">IFERROR(SUMIFS('TRA balance'!AG$5:AG$40,'TRA balance'!$C$5:$C$40,Assumptions!$C23,'TRA balance'!$D$5:$D$40,Assumptions!$B23)*CU23*AJ23,"")</f>
        <v>5142.9026783732106</v>
      </c>
      <c r="BQ23" s="34">
        <f ca="1">IFERROR(SUMIFS('TRA balance'!AH$5:AH$40,'TRA balance'!$C$5:$C$40,Assumptions!$C23,'TRA balance'!$D$5:$D$40,Assumptions!$B23)*CV23*AK23,"")</f>
        <v>0</v>
      </c>
      <c r="BS23" s="33">
        <f t="shared" ca="1" si="16"/>
        <v>1</v>
      </c>
      <c r="BT23" s="33">
        <f t="shared" ca="1" si="17"/>
        <v>1</v>
      </c>
      <c r="BU23" s="33">
        <f t="shared" ca="1" si="18"/>
        <v>0.9</v>
      </c>
      <c r="BV23" s="33">
        <f t="shared" ca="1" si="19"/>
        <v>0.7</v>
      </c>
      <c r="BW23" s="33">
        <f t="shared" ca="1" si="20"/>
        <v>0.9</v>
      </c>
      <c r="BX23" s="33">
        <f t="shared" ca="1" si="21"/>
        <v>1</v>
      </c>
      <c r="BY23" s="33">
        <f t="shared" ca="1" si="22"/>
        <v>0.9</v>
      </c>
      <c r="BZ23" s="33">
        <f t="shared" ca="1" si="23"/>
        <v>0.9</v>
      </c>
      <c r="CA23" s="33">
        <f t="shared" ca="1" si="24"/>
        <v>0.96</v>
      </c>
      <c r="CB23" s="33">
        <f t="shared" ca="1" si="25"/>
        <v>0.9</v>
      </c>
      <c r="CC23" s="33">
        <f t="shared" ca="1" si="26"/>
        <v>0.97</v>
      </c>
      <c r="CD23" s="33">
        <f t="shared" ca="1" si="27"/>
        <v>0.97</v>
      </c>
      <c r="CE23" s="33">
        <f t="shared" ca="1" si="28"/>
        <v>0.97</v>
      </c>
      <c r="CF23" s="33">
        <f t="shared" ca="1" si="29"/>
        <v>0.97</v>
      </c>
      <c r="CG23" s="33">
        <f t="shared" ca="1" si="30"/>
        <v>0.97</v>
      </c>
      <c r="CH23" s="33">
        <f t="shared" ca="1" si="31"/>
        <v>0.97</v>
      </c>
      <c r="CI23" s="33">
        <f t="shared" ca="1" si="32"/>
        <v>0.7</v>
      </c>
      <c r="CJ23" s="33">
        <f t="shared" ca="1" si="33"/>
        <v>0.97</v>
      </c>
      <c r="CK23" s="33">
        <f t="shared" ca="1" si="34"/>
        <v>0.97</v>
      </c>
      <c r="CL23" s="33">
        <f t="shared" ca="1" si="35"/>
        <v>1</v>
      </c>
      <c r="CM23" s="33">
        <f t="shared" ca="1" si="36"/>
        <v>0.9</v>
      </c>
      <c r="CN23" s="33">
        <f t="shared" ca="1" si="37"/>
        <v>0.95</v>
      </c>
      <c r="CO23" s="33">
        <f t="shared" ca="1" si="38"/>
        <v>0.7</v>
      </c>
      <c r="CP23" s="33">
        <f t="shared" ca="1" si="39"/>
        <v>0.97</v>
      </c>
      <c r="CQ23" s="33">
        <f t="shared" ca="1" si="40"/>
        <v>0.7</v>
      </c>
      <c r="CR23" s="33">
        <f t="shared" ca="1" si="41"/>
        <v>0.7</v>
      </c>
      <c r="CS23" s="33">
        <f t="shared" ca="1" si="42"/>
        <v>1</v>
      </c>
      <c r="CT23" s="33">
        <f t="shared" ca="1" si="43"/>
        <v>0.97</v>
      </c>
      <c r="CU23" s="33">
        <f t="shared" ca="1" si="44"/>
        <v>0.8</v>
      </c>
      <c r="CV23" s="33">
        <f t="shared" ca="1" si="45"/>
        <v>0.8</v>
      </c>
    </row>
    <row r="24" spans="1:100" x14ac:dyDescent="0.45">
      <c r="A24">
        <v>1</v>
      </c>
      <c r="B24" t="str">
        <f>VLOOKUP(F24,'TRA balance'!$AK$5:$AL$14,2,FALSE)</f>
        <v>TRAGSL</v>
      </c>
      <c r="C24" s="6" t="str">
        <f t="shared" si="46"/>
        <v>TR</v>
      </c>
      <c r="D24" s="7" t="s">
        <v>16</v>
      </c>
      <c r="E24" s="18" t="s">
        <v>65</v>
      </c>
      <c r="F24" s="8" t="str">
        <f t="shared" si="67"/>
        <v>Gasoline</v>
      </c>
      <c r="G24" s="6" t="s">
        <v>66</v>
      </c>
      <c r="H24" s="9">
        <f ca="1">OFFSET(TIAM15_assumptions!$G24,0,MATCH(VLOOKUP(Assumptions!H$2,TIAM15_assumptions!$Y$3:$Z$36,2,FALSE),TIAM15_assumptions!$H$2:$V$2,0))</f>
        <v>0.1</v>
      </c>
      <c r="I24" s="9">
        <f ca="1">OFFSET(TIAM15_assumptions!$G24,0,MATCH(VLOOKUP(Assumptions!I$2,TIAM15_assumptions!$Y$3:$Z$36,2,FALSE),TIAM15_assumptions!$H$2:$V$2,0))</f>
        <v>0.1</v>
      </c>
      <c r="J24" s="9">
        <f ca="1">OFFSET(TIAM15_assumptions!$G24,0,MATCH(VLOOKUP(Assumptions!J$2,TIAM15_assumptions!$Y$3:$Z$36,2,FALSE),TIAM15_assumptions!$H$2:$V$2,0))</f>
        <v>5.0000000000000001E-3</v>
      </c>
      <c r="K24" s="9">
        <f ca="1">OFFSET(TIAM15_assumptions!$G24,0,MATCH(VLOOKUP(Assumptions!K$2,TIAM15_assumptions!$Y$3:$Z$36,2,FALSE),TIAM15_assumptions!$H$2:$V$2,0))</f>
        <v>5.0000000000000001E-3</v>
      </c>
      <c r="L24" s="9">
        <f ca="1">OFFSET(TIAM15_assumptions!$G24,0,MATCH(VLOOKUP(Assumptions!L$2,TIAM15_assumptions!$Y$3:$Z$36,2,FALSE),TIAM15_assumptions!$H$2:$V$2,0))</f>
        <v>5.0000000000000001E-3</v>
      </c>
      <c r="M24" s="9">
        <f ca="1">OFFSET(TIAM15_assumptions!$G24,0,MATCH(VLOOKUP(Assumptions!M$2,TIAM15_assumptions!$Y$3:$Z$36,2,FALSE),TIAM15_assumptions!$H$2:$V$2,0))</f>
        <v>0.1</v>
      </c>
      <c r="N24" s="9">
        <f ca="1">OFFSET(TIAM15_assumptions!$G24,0,MATCH(VLOOKUP(Assumptions!N$2,TIAM15_assumptions!$Y$3:$Z$36,2,FALSE),TIAM15_assumptions!$H$2:$V$2,0))</f>
        <v>0</v>
      </c>
      <c r="O24" s="9">
        <f ca="1">OFFSET(TIAM15_assumptions!$G24,0,MATCH(VLOOKUP(Assumptions!O$2,TIAM15_assumptions!$Y$3:$Z$36,2,FALSE),TIAM15_assumptions!$H$2:$V$2,0))</f>
        <v>5.0000000000000001E-3</v>
      </c>
      <c r="P24" s="9">
        <f ca="1">OFFSET(TIAM15_assumptions!$G24,0,MATCH(VLOOKUP(Assumptions!P$2,TIAM15_assumptions!$Y$3:$Z$36,2,FALSE),TIAM15_assumptions!$H$2:$V$2,0))</f>
        <v>0</v>
      </c>
      <c r="Q24" s="9">
        <f ca="1">OFFSET(TIAM15_assumptions!$G24,0,MATCH(VLOOKUP(Assumptions!Q$2,TIAM15_assumptions!$Y$3:$Z$36,2,FALSE),TIAM15_assumptions!$H$2:$V$2,0))</f>
        <v>0</v>
      </c>
      <c r="R24" s="9">
        <f ca="1">OFFSET(TIAM15_assumptions!$G24,0,MATCH(VLOOKUP(Assumptions!R$2,TIAM15_assumptions!$Y$3:$Z$36,2,FALSE),TIAM15_assumptions!$H$2:$V$2,0))</f>
        <v>5.0000000000000044E-3</v>
      </c>
      <c r="S24" s="9">
        <f ca="1">OFFSET(TIAM15_assumptions!$G24,0,MATCH(VLOOKUP(Assumptions!S$2,TIAM15_assumptions!$Y$3:$Z$36,2,FALSE),TIAM15_assumptions!$H$2:$V$2,0))</f>
        <v>2.5000000000000022E-3</v>
      </c>
      <c r="T24" s="9">
        <f ca="1">OFFSET(TIAM15_assumptions!$G24,0,MATCH(VLOOKUP(Assumptions!T$2,TIAM15_assumptions!$Y$3:$Z$36,2,FALSE),TIAM15_assumptions!$H$2:$V$2,0))</f>
        <v>5.0000000000000044E-3</v>
      </c>
      <c r="U24" s="9">
        <f ca="1">OFFSET(TIAM15_assumptions!$G24,0,MATCH(VLOOKUP(Assumptions!U$2,TIAM15_assumptions!$Y$3:$Z$36,2,FALSE),TIAM15_assumptions!$H$2:$V$2,0))</f>
        <v>5.0000000000000044E-3</v>
      </c>
      <c r="V24" s="9">
        <f ca="1">OFFSET(TIAM15_assumptions!$G24,0,MATCH(VLOOKUP(Assumptions!V$2,TIAM15_assumptions!$Y$3:$Z$36,2,FALSE),TIAM15_assumptions!$H$2:$V$2,0))</f>
        <v>2.5000000000000022E-3</v>
      </c>
      <c r="W24" s="9">
        <f ca="1">OFFSET(TIAM15_assumptions!$G24,0,MATCH(VLOOKUP(Assumptions!W$2,TIAM15_assumptions!$Y$3:$Z$36,2,FALSE),TIAM15_assumptions!$H$2:$V$2,0))</f>
        <v>5.0000000000000044E-3</v>
      </c>
      <c r="X24" s="9">
        <f ca="1">OFFSET(TIAM15_assumptions!$G24,0,MATCH(VLOOKUP(Assumptions!X$2,TIAM15_assumptions!$Y$3:$Z$36,2,FALSE),TIAM15_assumptions!$H$2:$V$2,0))</f>
        <v>0.01</v>
      </c>
      <c r="Y24" s="9">
        <f ca="1">OFFSET(TIAM15_assumptions!$G24,0,MATCH(VLOOKUP(Assumptions!Y$2,TIAM15_assumptions!$Y$3:$Z$36,2,FALSE),TIAM15_assumptions!$H$2:$V$2,0))</f>
        <v>5.0000000000000044E-3</v>
      </c>
      <c r="Z24" s="9">
        <f ca="1">OFFSET(TIAM15_assumptions!$G24,0,MATCH(VLOOKUP(Assumptions!Z$2,TIAM15_assumptions!$Y$3:$Z$36,2,FALSE),TIAM15_assumptions!$H$2:$V$2,0))</f>
        <v>5.0000000000000044E-3</v>
      </c>
      <c r="AA24" s="9">
        <f ca="1">OFFSET(TIAM15_assumptions!$G24,0,MATCH(VLOOKUP(Assumptions!AA$2,TIAM15_assumptions!$Y$3:$Z$36,2,FALSE),TIAM15_assumptions!$H$2:$V$2,0))</f>
        <v>0.1</v>
      </c>
      <c r="AB24" s="9">
        <f ca="1">OFFSET(TIAM15_assumptions!$G24,0,MATCH(VLOOKUP(Assumptions!AB$2,TIAM15_assumptions!$Y$3:$Z$36,2,FALSE),TIAM15_assumptions!$H$2:$V$2,0))</f>
        <v>5.0000000000000001E-3</v>
      </c>
      <c r="AC24" s="9">
        <f ca="1">OFFSET(TIAM15_assumptions!$G24,0,MATCH(VLOOKUP(Assumptions!AC$2,TIAM15_assumptions!$Y$3:$Z$36,2,FALSE),TIAM15_assumptions!$H$2:$V$2,0))</f>
        <v>5.0000000000000001E-3</v>
      </c>
      <c r="AD24" s="9">
        <f ca="1">OFFSET(TIAM15_assumptions!$G24,0,MATCH(VLOOKUP(Assumptions!AD$2,TIAM15_assumptions!$Y$3:$Z$36,2,FALSE),TIAM15_assumptions!$H$2:$V$2,0))</f>
        <v>0.01</v>
      </c>
      <c r="AE24" s="9">
        <f ca="1">OFFSET(TIAM15_assumptions!$G24,0,MATCH(VLOOKUP(Assumptions!AE$2,TIAM15_assumptions!$Y$3:$Z$36,2,FALSE),TIAM15_assumptions!$H$2:$V$2,0))</f>
        <v>5.0000000000000044E-3</v>
      </c>
      <c r="AF24" s="9">
        <f ca="1">OFFSET(TIAM15_assumptions!$G24,0,MATCH(VLOOKUP(Assumptions!AF$2,TIAM15_assumptions!$Y$3:$Z$36,2,FALSE),TIAM15_assumptions!$H$2:$V$2,0))</f>
        <v>5.0000000000000001E-3</v>
      </c>
      <c r="AG24" s="9">
        <f ca="1">OFFSET(TIAM15_assumptions!$G24,0,MATCH(VLOOKUP(Assumptions!AG$2,TIAM15_assumptions!$Y$3:$Z$36,2,FALSE),TIAM15_assumptions!$H$2:$V$2,0))</f>
        <v>0.01</v>
      </c>
      <c r="AH24" s="9">
        <f ca="1">OFFSET(TIAM15_assumptions!$G24,0,MATCH(VLOOKUP(Assumptions!AH$2,TIAM15_assumptions!$Y$3:$Z$36,2,FALSE),TIAM15_assumptions!$H$2:$V$2,0))</f>
        <v>0.1</v>
      </c>
      <c r="AI24" s="9">
        <f ca="1">OFFSET(TIAM15_assumptions!$G24,0,MATCH(VLOOKUP(Assumptions!AI$2,TIAM15_assumptions!$Y$3:$Z$36,2,FALSE),TIAM15_assumptions!$H$2:$V$2,0))</f>
        <v>5.0000000000000044E-3</v>
      </c>
      <c r="AJ24" s="9">
        <f ca="1">OFFSET(TIAM15_assumptions!$G24,0,MATCH(VLOOKUP(Assumptions!AJ$2,TIAM15_assumptions!$Y$3:$Z$36,2,FALSE),TIAM15_assumptions!$H$2:$V$2,0))</f>
        <v>1E-3</v>
      </c>
      <c r="AK24" s="9">
        <f ca="1">OFFSET(TIAM15_assumptions!$G24,0,MATCH(VLOOKUP(Assumptions!AK$2,TIAM15_assumptions!$Y$3:$Z$36,2,FALSE),TIAM15_assumptions!$H$2:$V$2,0))</f>
        <v>1E-3</v>
      </c>
      <c r="AN24" s="34">
        <f ca="1">IFERROR(SUMIFS('TRA balance'!E$5:E$40,'TRA balance'!$C$5:$C$40,Assumptions!$C24,'TRA balance'!$D$5:$D$40,Assumptions!$B24)*BS24*H24,"")</f>
        <v>71.567029374840004</v>
      </c>
      <c r="AO24" s="34">
        <f ca="1">IFERROR(SUMIFS('TRA balance'!F$5:F$40,'TRA balance'!$C$5:$C$40,Assumptions!$C24,'TRA balance'!$D$5:$D$40,Assumptions!$B24)*BT24*I24,"")</f>
        <v>124.27521769944002</v>
      </c>
      <c r="AP24" s="34">
        <f ca="1">IFERROR(SUMIFS('TRA balance'!G$5:G$40,'TRA balance'!$C$5:$C$40,Assumptions!$C24,'TRA balance'!$D$5:$D$40,Assumptions!$B24)*BU24*J24,"")</f>
        <v>1.8459338038686</v>
      </c>
      <c r="AQ24" s="34">
        <f ca="1">IFERROR(SUMIFS('TRA balance'!H$5:H$40,'TRA balance'!$C$5:$C$40,Assumptions!$C24,'TRA balance'!$D$5:$D$40,Assumptions!$B24)*BV24*K24,"")</f>
        <v>1.4358159291924</v>
      </c>
      <c r="AR24" s="34">
        <f ca="1">IFERROR(SUMIFS('TRA balance'!I$5:I$40,'TRA balance'!$C$5:$C$40,Assumptions!$C24,'TRA balance'!$D$5:$D$40,Assumptions!$B24)*BW24*L24,"")</f>
        <v>9.0774211640796008</v>
      </c>
      <c r="AS24" s="34">
        <f ca="1">IFERROR(SUMIFS('TRA balance'!J$5:J$40,'TRA balance'!$C$5:$C$40,Assumptions!$C24,'TRA balance'!$D$5:$D$40,Assumptions!$B24)*BX24*M24,"")</f>
        <v>355.37054769828001</v>
      </c>
      <c r="AT24" s="34">
        <f ca="1">IFERROR(SUMIFS('TRA balance'!K$5:K$40,'TRA balance'!$C$5:$C$40,Assumptions!$C24,'TRA balance'!$D$5:$D$40,Assumptions!$B24)*BY24*N24,"")</f>
        <v>0</v>
      </c>
      <c r="AU24" s="34">
        <f ca="1">IFERROR(SUMIFS('TRA balance'!L$5:L$40,'TRA balance'!$C$5:$C$40,Assumptions!$C24,'TRA balance'!$D$5:$D$40,Assumptions!$B24)*BZ24*O24,"")</f>
        <v>4.0418182817082</v>
      </c>
      <c r="AV24" s="34">
        <f ca="1">IFERROR(SUMIFS('TRA balance'!M$5:M$40,'TRA balance'!$C$5:$C$40,Assumptions!$C24,'TRA balance'!$D$5:$D$40,Assumptions!$B24)*CA24*P24,"")</f>
        <v>0</v>
      </c>
      <c r="AW24" s="34">
        <f ca="1">IFERROR(SUMIFS('TRA balance'!N$5:N$40,'TRA balance'!$C$5:$C$40,Assumptions!$C24,'TRA balance'!$D$5:$D$40,Assumptions!$B24)*CB24*Q24,"")</f>
        <v>0</v>
      </c>
      <c r="AX24" s="34">
        <f ca="1">IFERROR(SUMIFS('TRA balance'!O$5:O$40,'TRA balance'!$C$5:$C$40,Assumptions!$C24,'TRA balance'!$D$5:$D$40,Assumptions!$B24)*CC24*R24,"")</f>
        <v>0.92229091062660085</v>
      </c>
      <c r="AY24" s="34">
        <f ca="1">IFERROR(SUMIFS('TRA balance'!P$5:P$40,'TRA balance'!$C$5:$C$40,Assumptions!$C24,'TRA balance'!$D$5:$D$40,Assumptions!$B24)*CD24*S24,"")</f>
        <v>0.92532418746003076</v>
      </c>
      <c r="AZ24" s="34">
        <f ca="1">IFERROR(SUMIFS('TRA balance'!Q$5:Q$40,'TRA balance'!$C$5:$C$40,Assumptions!$C24,'TRA balance'!$D$5:$D$40,Assumptions!$B24)*CE24*T24,"")</f>
        <v>1.4557018967433013</v>
      </c>
      <c r="BA24" s="34">
        <f ca="1">IFERROR(SUMIFS('TRA balance'!R$5:R$40,'TRA balance'!$C$5:$C$40,Assumptions!$C24,'TRA balance'!$D$5:$D$40,Assumptions!$B24)*CF24*U24,"")</f>
        <v>2.131551007108202</v>
      </c>
      <c r="BB24" s="34">
        <f ca="1">IFERROR(SUMIFS('TRA balance'!S$5:S$40,'TRA balance'!$C$5:$C$40,Assumptions!$C24,'TRA balance'!$D$5:$D$40,Assumptions!$B24)*CG24*V24,"")</f>
        <v>0.42789848441229034</v>
      </c>
      <c r="BC24" s="34">
        <f ca="1">IFERROR(SUMIFS('TRA balance'!T$5:T$40,'TRA balance'!$C$5:$C$40,Assumptions!$C24,'TRA balance'!$D$5:$D$40,Assumptions!$B24)*CH24*W24,"")</f>
        <v>1.3150226561767213</v>
      </c>
      <c r="BD24" s="34">
        <f ca="1">IFERROR(SUMIFS('TRA balance'!U$5:U$40,'TRA balance'!$C$5:$C$40,Assumptions!$C24,'TRA balance'!$D$5:$D$40,Assumptions!$B24)*CI24*X24,"")</f>
        <v>2.5854570361871998</v>
      </c>
      <c r="BE24" s="34">
        <f ca="1">IFERROR(SUMIFS('TRA balance'!V$5:V$40,'TRA balance'!$C$5:$C$40,Assumptions!$C24,'TRA balance'!$D$5:$D$40,Assumptions!$B24)*CJ24*Y24,"")</f>
        <v>1.5961506847428613</v>
      </c>
      <c r="BF24" s="34">
        <f ca="1">IFERROR(SUMIFS('TRA balance'!W$5:W$40,'TRA balance'!$C$5:$C$40,Assumptions!$C24,'TRA balance'!$D$5:$D$40,Assumptions!$B24)*CK24*Z24,"")</f>
        <v>3.5046681989077828</v>
      </c>
      <c r="BG24" s="34">
        <f ca="1">IFERROR(SUMIFS('TRA balance'!X$5:X$40,'TRA balance'!$C$5:$C$40,Assumptions!$C24,'TRA balance'!$D$5:$D$40,Assumptions!$B24)*CL24*AA24,"")</f>
        <v>134.28800014103999</v>
      </c>
      <c r="BH24" s="34">
        <f ca="1">IFERROR(SUMIFS('TRA balance'!Y$5:Y$40,'TRA balance'!$C$5:$C$40,Assumptions!$C24,'TRA balance'!$D$5:$D$40,Assumptions!$B24)*CM24*AB24,"")</f>
        <v>5.839123969440001</v>
      </c>
      <c r="BI24" s="34">
        <f ca="1">IFERROR(SUMIFS('TRA balance'!Z$5:Z$40,'TRA balance'!$C$5:$C$40,Assumptions!$C24,'TRA balance'!$D$5:$D$40,Assumptions!$B24)*CN24*AC24,"")</f>
        <v>7.1113529580497996</v>
      </c>
      <c r="BJ24" s="34">
        <f ca="1">IFERROR(SUMIFS('TRA balance'!AA$5:AA$40,'TRA balance'!$C$5:$C$40,Assumptions!$C24,'TRA balance'!$D$5:$D$40,Assumptions!$B24)*CO24*AD24,"")</f>
        <v>16.517367267786</v>
      </c>
      <c r="BK24" s="34">
        <f ca="1">IFERROR(SUMIFS('TRA balance'!AB$5:AB$40,'TRA balance'!$C$5:$C$40,Assumptions!$C24,'TRA balance'!$D$5:$D$40,Assumptions!$B24)*CP24*AE24,"")</f>
        <v>0.16063494241158016</v>
      </c>
      <c r="BL24" s="34">
        <f ca="1">IFERROR(SUMIFS('TRA balance'!AC$5:AC$40,'TRA balance'!$C$5:$C$40,Assumptions!$C24,'TRA balance'!$D$5:$D$40,Assumptions!$B24)*CQ24*AF24,"")</f>
        <v>5.2257343631345998</v>
      </c>
      <c r="BM24" s="34">
        <f ca="1">IFERROR(SUMIFS('TRA balance'!AD$5:AD$40,'TRA balance'!$C$5:$C$40,Assumptions!$C24,'TRA balance'!$D$5:$D$40,Assumptions!$B24)*CR24*AG24,"")</f>
        <v>7.1355948168455994</v>
      </c>
      <c r="BN24" s="34">
        <f ca="1">IFERROR(SUMIFS('TRA balance'!AE$5:AE$40,'TRA balance'!$C$5:$C$40,Assumptions!$C24,'TRA balance'!$D$5:$D$40,Assumptions!$B24)*CS24*AH24,"")</f>
        <v>31.657444849439997</v>
      </c>
      <c r="BO24" s="34">
        <f ca="1">IFERROR(SUMIFS('TRA balance'!AF$5:AF$40,'TRA balance'!$C$5:$C$40,Assumptions!$C24,'TRA balance'!$D$5:$D$40,Assumptions!$B24)*CT24*AI24,"")</f>
        <v>2.5096288000494624</v>
      </c>
      <c r="BP24" s="34">
        <f ca="1">IFERROR(SUMIFS('TRA balance'!AG$5:AG$40,'TRA balance'!$C$5:$C$40,Assumptions!$C24,'TRA balance'!$D$5:$D$40,Assumptions!$B24)*CU24*AJ24,"")</f>
        <v>12.392536574393279</v>
      </c>
      <c r="BQ24" s="34">
        <f ca="1">IFERROR(SUMIFS('TRA balance'!AH$5:AH$40,'TRA balance'!$C$5:$C$40,Assumptions!$C24,'TRA balance'!$D$5:$D$40,Assumptions!$B24)*CV24*AK24,"")</f>
        <v>0</v>
      </c>
      <c r="BS24" s="33">
        <f t="shared" ca="1" si="16"/>
        <v>1</v>
      </c>
      <c r="BT24" s="33">
        <f t="shared" ca="1" si="17"/>
        <v>1</v>
      </c>
      <c r="BU24" s="33">
        <f t="shared" ca="1" si="18"/>
        <v>0.9</v>
      </c>
      <c r="BV24" s="33">
        <f t="shared" ca="1" si="19"/>
        <v>0.7</v>
      </c>
      <c r="BW24" s="33">
        <f t="shared" ca="1" si="20"/>
        <v>0.9</v>
      </c>
      <c r="BX24" s="33">
        <f t="shared" ca="1" si="21"/>
        <v>1</v>
      </c>
      <c r="BY24" s="33">
        <f t="shared" ca="1" si="22"/>
        <v>0.9</v>
      </c>
      <c r="BZ24" s="33">
        <f t="shared" ca="1" si="23"/>
        <v>0.9</v>
      </c>
      <c r="CA24" s="33">
        <f t="shared" ca="1" si="24"/>
        <v>0.96</v>
      </c>
      <c r="CB24" s="33">
        <f t="shared" ca="1" si="25"/>
        <v>0.9</v>
      </c>
      <c r="CC24" s="33">
        <f t="shared" ca="1" si="26"/>
        <v>0.97</v>
      </c>
      <c r="CD24" s="33">
        <f t="shared" ca="1" si="27"/>
        <v>0.97</v>
      </c>
      <c r="CE24" s="33">
        <f t="shared" ca="1" si="28"/>
        <v>0.97</v>
      </c>
      <c r="CF24" s="33">
        <f t="shared" ca="1" si="29"/>
        <v>0.97</v>
      </c>
      <c r="CG24" s="33">
        <f t="shared" ca="1" si="30"/>
        <v>0.97</v>
      </c>
      <c r="CH24" s="33">
        <f t="shared" ca="1" si="31"/>
        <v>0.97</v>
      </c>
      <c r="CI24" s="33">
        <f t="shared" ca="1" si="32"/>
        <v>0.7</v>
      </c>
      <c r="CJ24" s="33">
        <f t="shared" ca="1" si="33"/>
        <v>0.97</v>
      </c>
      <c r="CK24" s="33">
        <f t="shared" ca="1" si="34"/>
        <v>0.97</v>
      </c>
      <c r="CL24" s="33">
        <f t="shared" ca="1" si="35"/>
        <v>1</v>
      </c>
      <c r="CM24" s="33">
        <f t="shared" ca="1" si="36"/>
        <v>0.9</v>
      </c>
      <c r="CN24" s="33">
        <f t="shared" ca="1" si="37"/>
        <v>0.95</v>
      </c>
      <c r="CO24" s="33">
        <f t="shared" ca="1" si="38"/>
        <v>0.7</v>
      </c>
      <c r="CP24" s="33">
        <f t="shared" ca="1" si="39"/>
        <v>0.97</v>
      </c>
      <c r="CQ24" s="33">
        <f t="shared" ca="1" si="40"/>
        <v>0.7</v>
      </c>
      <c r="CR24" s="33">
        <f t="shared" ca="1" si="41"/>
        <v>0.7</v>
      </c>
      <c r="CS24" s="33">
        <f t="shared" ca="1" si="42"/>
        <v>1</v>
      </c>
      <c r="CT24" s="33">
        <f t="shared" ca="1" si="43"/>
        <v>0.97</v>
      </c>
      <c r="CU24" s="33">
        <f t="shared" ca="1" si="44"/>
        <v>0.8</v>
      </c>
      <c r="CV24" s="33">
        <f t="shared" ca="1" si="45"/>
        <v>0.8</v>
      </c>
    </row>
    <row r="25" spans="1:100" x14ac:dyDescent="0.45">
      <c r="A25">
        <v>1</v>
      </c>
      <c r="B25" t="str">
        <f>VLOOKUP(F25,'TRA balance'!$AK$5:$AL$14,2,FALSE)</f>
        <v>TRAGSL</v>
      </c>
      <c r="C25" s="6" t="str">
        <f t="shared" si="46"/>
        <v>TR</v>
      </c>
      <c r="D25" s="7" t="s">
        <v>16</v>
      </c>
      <c r="E25" s="18" t="s">
        <v>67</v>
      </c>
      <c r="F25" s="8" t="str">
        <f t="shared" si="67"/>
        <v>Gasoline</v>
      </c>
      <c r="G25" s="6" t="s">
        <v>68</v>
      </c>
      <c r="H25" s="9">
        <f ca="1">OFFSET(TIAM15_assumptions!$G25,0,MATCH(VLOOKUP(Assumptions!H$2,TIAM15_assumptions!$Y$3:$Z$36,2,FALSE),TIAM15_assumptions!$H$2:$V$2,0))</f>
        <v>0.35</v>
      </c>
      <c r="I25" s="9">
        <f ca="1">OFFSET(TIAM15_assumptions!$G25,0,MATCH(VLOOKUP(Assumptions!I$2,TIAM15_assumptions!$Y$3:$Z$36,2,FALSE),TIAM15_assumptions!$H$2:$V$2,0))</f>
        <v>0.35</v>
      </c>
      <c r="J25" s="9">
        <f ca="1">OFFSET(TIAM15_assumptions!$G25,0,MATCH(VLOOKUP(Assumptions!J$2,TIAM15_assumptions!$Y$3:$Z$36,2,FALSE),TIAM15_assumptions!$H$2:$V$2,0))</f>
        <v>1.4999999999999999E-2</v>
      </c>
      <c r="K25" s="9">
        <f ca="1">OFFSET(TIAM15_assumptions!$G25,0,MATCH(VLOOKUP(Assumptions!K$2,TIAM15_assumptions!$Y$3:$Z$36,2,FALSE),TIAM15_assumptions!$H$2:$V$2,0))</f>
        <v>1.4999999999999999E-2</v>
      </c>
      <c r="L25" s="9">
        <f ca="1">OFFSET(TIAM15_assumptions!$G25,0,MATCH(VLOOKUP(Assumptions!L$2,TIAM15_assumptions!$Y$3:$Z$36,2,FALSE),TIAM15_assumptions!$H$2:$V$2,0))</f>
        <v>0.01</v>
      </c>
      <c r="M25" s="9">
        <f ca="1">OFFSET(TIAM15_assumptions!$G25,0,MATCH(VLOOKUP(Assumptions!M$2,TIAM15_assumptions!$Y$3:$Z$36,2,FALSE),TIAM15_assumptions!$H$2:$V$2,0))</f>
        <v>0.35</v>
      </c>
      <c r="N25" s="9">
        <f ca="1">OFFSET(TIAM15_assumptions!$G25,0,MATCH(VLOOKUP(Assumptions!N$2,TIAM15_assumptions!$Y$3:$Z$36,2,FALSE),TIAM15_assumptions!$H$2:$V$2,0))</f>
        <v>0.02</v>
      </c>
      <c r="O25" s="9">
        <f ca="1">OFFSET(TIAM15_assumptions!$G25,0,MATCH(VLOOKUP(Assumptions!O$2,TIAM15_assumptions!$Y$3:$Z$36,2,FALSE),TIAM15_assumptions!$H$2:$V$2,0))</f>
        <v>1.4999999999999999E-2</v>
      </c>
      <c r="P25" s="9">
        <f ca="1">OFFSET(TIAM15_assumptions!$G25,0,MATCH(VLOOKUP(Assumptions!P$2,TIAM15_assumptions!$Y$3:$Z$36,2,FALSE),TIAM15_assumptions!$H$2:$V$2,0))</f>
        <v>1E-3</v>
      </c>
      <c r="Q25" s="9">
        <f ca="1">OFFSET(TIAM15_assumptions!$G25,0,MATCH(VLOOKUP(Assumptions!Q$2,TIAM15_assumptions!$Y$3:$Z$36,2,FALSE),TIAM15_assumptions!$H$2:$V$2,0))</f>
        <v>0.3</v>
      </c>
      <c r="R25" s="9">
        <f ca="1">OFFSET(TIAM15_assumptions!$G25,0,MATCH(VLOOKUP(Assumptions!R$2,TIAM15_assumptions!$Y$3:$Z$36,2,FALSE),TIAM15_assumptions!$H$2:$V$2,0))</f>
        <v>1.5000000000000013E-2</v>
      </c>
      <c r="S25" s="9">
        <f ca="1">OFFSET(TIAM15_assumptions!$G25,0,MATCH(VLOOKUP(Assumptions!S$2,TIAM15_assumptions!$Y$3:$Z$36,2,FALSE),TIAM15_assumptions!$H$2:$V$2,0))</f>
        <v>7.5000000000000067E-3</v>
      </c>
      <c r="T25" s="9">
        <f ca="1">OFFSET(TIAM15_assumptions!$G25,0,MATCH(VLOOKUP(Assumptions!T$2,TIAM15_assumptions!$Y$3:$Z$36,2,FALSE),TIAM15_assumptions!$H$2:$V$2,0))</f>
        <v>1.5000000000000013E-2</v>
      </c>
      <c r="U25" s="9">
        <f ca="1">OFFSET(TIAM15_assumptions!$G25,0,MATCH(VLOOKUP(Assumptions!U$2,TIAM15_assumptions!$Y$3:$Z$36,2,FALSE),TIAM15_assumptions!$H$2:$V$2,0))</f>
        <v>1.5000000000000013E-2</v>
      </c>
      <c r="V25" s="9">
        <f ca="1">OFFSET(TIAM15_assumptions!$G25,0,MATCH(VLOOKUP(Assumptions!V$2,TIAM15_assumptions!$Y$3:$Z$36,2,FALSE),TIAM15_assumptions!$H$2:$V$2,0))</f>
        <v>7.5000000000000067E-3</v>
      </c>
      <c r="W25" s="9">
        <f ca="1">OFFSET(TIAM15_assumptions!$G25,0,MATCH(VLOOKUP(Assumptions!W$2,TIAM15_assumptions!$Y$3:$Z$36,2,FALSE),TIAM15_assumptions!$H$2:$V$2,0))</f>
        <v>1.5000000000000013E-2</v>
      </c>
      <c r="X25" s="9">
        <f ca="1">OFFSET(TIAM15_assumptions!$G25,0,MATCH(VLOOKUP(Assumptions!X$2,TIAM15_assumptions!$Y$3:$Z$36,2,FALSE),TIAM15_assumptions!$H$2:$V$2,0))</f>
        <v>0.02</v>
      </c>
      <c r="Y25" s="9">
        <f ca="1">OFFSET(TIAM15_assumptions!$G25,0,MATCH(VLOOKUP(Assumptions!Y$2,TIAM15_assumptions!$Y$3:$Z$36,2,FALSE),TIAM15_assumptions!$H$2:$V$2,0))</f>
        <v>1.5000000000000013E-2</v>
      </c>
      <c r="Z25" s="9">
        <f ca="1">OFFSET(TIAM15_assumptions!$G25,0,MATCH(VLOOKUP(Assumptions!Z$2,TIAM15_assumptions!$Y$3:$Z$36,2,FALSE),TIAM15_assumptions!$H$2:$V$2,0))</f>
        <v>1.5000000000000013E-2</v>
      </c>
      <c r="AA25" s="9">
        <f ca="1">OFFSET(TIAM15_assumptions!$G25,0,MATCH(VLOOKUP(Assumptions!AA$2,TIAM15_assumptions!$Y$3:$Z$36,2,FALSE),TIAM15_assumptions!$H$2:$V$2,0))</f>
        <v>0.4</v>
      </c>
      <c r="AB25" s="9">
        <f ca="1">OFFSET(TIAM15_assumptions!$G25,0,MATCH(VLOOKUP(Assumptions!AB$2,TIAM15_assumptions!$Y$3:$Z$36,2,FALSE),TIAM15_assumptions!$H$2:$V$2,0))</f>
        <v>1.4999999999999999E-2</v>
      </c>
      <c r="AC25" s="9">
        <f ca="1">OFFSET(TIAM15_assumptions!$G25,0,MATCH(VLOOKUP(Assumptions!AC$2,TIAM15_assumptions!$Y$3:$Z$36,2,FALSE),TIAM15_assumptions!$H$2:$V$2,0))</f>
        <v>6.5000000000000002E-2</v>
      </c>
      <c r="AD25" s="9">
        <f ca="1">OFFSET(TIAM15_assumptions!$G25,0,MATCH(VLOOKUP(Assumptions!AD$2,TIAM15_assumptions!$Y$3:$Z$36,2,FALSE),TIAM15_assumptions!$H$2:$V$2,0))</f>
        <v>0.02</v>
      </c>
      <c r="AE25" s="9">
        <f ca="1">OFFSET(TIAM15_assumptions!$G25,0,MATCH(VLOOKUP(Assumptions!AE$2,TIAM15_assumptions!$Y$3:$Z$36,2,FALSE),TIAM15_assumptions!$H$2:$V$2,0))</f>
        <v>1.5000000000000013E-2</v>
      </c>
      <c r="AF25" s="9">
        <f ca="1">OFFSET(TIAM15_assumptions!$G25,0,MATCH(VLOOKUP(Assumptions!AF$2,TIAM15_assumptions!$Y$3:$Z$36,2,FALSE),TIAM15_assumptions!$H$2:$V$2,0))</f>
        <v>1.4999999999999999E-2</v>
      </c>
      <c r="AG25" s="9">
        <f ca="1">OFFSET(TIAM15_assumptions!$G25,0,MATCH(VLOOKUP(Assumptions!AG$2,TIAM15_assumptions!$Y$3:$Z$36,2,FALSE),TIAM15_assumptions!$H$2:$V$2,0))</f>
        <v>0.02</v>
      </c>
      <c r="AH25" s="9">
        <f ca="1">OFFSET(TIAM15_assumptions!$G25,0,MATCH(VLOOKUP(Assumptions!AH$2,TIAM15_assumptions!$Y$3:$Z$36,2,FALSE),TIAM15_assumptions!$H$2:$V$2,0))</f>
        <v>0.35</v>
      </c>
      <c r="AI25" s="9">
        <f ca="1">OFFSET(TIAM15_assumptions!$G25,0,MATCH(VLOOKUP(Assumptions!AI$2,TIAM15_assumptions!$Y$3:$Z$36,2,FALSE),TIAM15_assumptions!$H$2:$V$2,0))</f>
        <v>1.5000000000000013E-2</v>
      </c>
      <c r="AJ25" s="9">
        <f ca="1">OFFSET(TIAM15_assumptions!$G25,0,MATCH(VLOOKUP(Assumptions!AJ$2,TIAM15_assumptions!$Y$3:$Z$36,2,FALSE),TIAM15_assumptions!$H$2:$V$2,0))</f>
        <v>1E-3</v>
      </c>
      <c r="AK25" s="9">
        <f ca="1">OFFSET(TIAM15_assumptions!$G25,0,MATCH(VLOOKUP(Assumptions!AK$2,TIAM15_assumptions!$Y$3:$Z$36,2,FALSE),TIAM15_assumptions!$H$2:$V$2,0))</f>
        <v>1E-3</v>
      </c>
      <c r="AN25" s="34">
        <f ca="1">IFERROR(SUMIFS('TRA balance'!E$5:E$40,'TRA balance'!$C$5:$C$40,Assumptions!$C25,'TRA balance'!$D$5:$D$40,Assumptions!$B25)*BS25*H25,"")</f>
        <v>250.48460281193999</v>
      </c>
      <c r="AO25" s="34">
        <f ca="1">IFERROR(SUMIFS('TRA balance'!F$5:F$40,'TRA balance'!$C$5:$C$40,Assumptions!$C25,'TRA balance'!$D$5:$D$40,Assumptions!$B25)*BT25*I25,"")</f>
        <v>434.96326194803999</v>
      </c>
      <c r="AP25" s="34">
        <f ca="1">IFERROR(SUMIFS('TRA balance'!G$5:G$40,'TRA balance'!$C$5:$C$40,Assumptions!$C25,'TRA balance'!$D$5:$D$40,Assumptions!$B25)*BU25*J25,"")</f>
        <v>5.5378014116057992</v>
      </c>
      <c r="AQ25" s="34">
        <f ca="1">IFERROR(SUMIFS('TRA balance'!H$5:H$40,'TRA balance'!$C$5:$C$40,Assumptions!$C25,'TRA balance'!$D$5:$D$40,Assumptions!$B25)*BV25*K25,"")</f>
        <v>4.3074477875771997</v>
      </c>
      <c r="AR25" s="34">
        <f ca="1">IFERROR(SUMIFS('TRA balance'!I$5:I$40,'TRA balance'!$C$5:$C$40,Assumptions!$C25,'TRA balance'!$D$5:$D$40,Assumptions!$B25)*BW25*L25,"")</f>
        <v>18.154842328159202</v>
      </c>
      <c r="AS25" s="34">
        <f ca="1">IFERROR(SUMIFS('TRA balance'!J$5:J$40,'TRA balance'!$C$5:$C$40,Assumptions!$C25,'TRA balance'!$D$5:$D$40,Assumptions!$B25)*BX25*M25,"")</f>
        <v>1243.79691694398</v>
      </c>
      <c r="AT25" s="34">
        <f ca="1">IFERROR(SUMIFS('TRA balance'!K$5:K$40,'TRA balance'!$C$5:$C$40,Assumptions!$C25,'TRA balance'!$D$5:$D$40,Assumptions!$B25)*BY25*N25,"")</f>
        <v>12.146634524455202</v>
      </c>
      <c r="AU25" s="34">
        <f ca="1">IFERROR(SUMIFS('TRA balance'!L$5:L$40,'TRA balance'!$C$5:$C$40,Assumptions!$C25,'TRA balance'!$D$5:$D$40,Assumptions!$B25)*BZ25*O25,"")</f>
        <v>12.125454845124599</v>
      </c>
      <c r="AV25" s="34">
        <f ca="1">IFERROR(SUMIFS('TRA balance'!M$5:M$40,'TRA balance'!$C$5:$C$40,Assumptions!$C25,'TRA balance'!$D$5:$D$40,Assumptions!$B25)*CA25*P25,"")</f>
        <v>1.3050735869502721</v>
      </c>
      <c r="AW25" s="34">
        <f ca="1">IFERROR(SUMIFS('TRA balance'!N$5:N$40,'TRA balance'!$C$5:$C$40,Assumptions!$C25,'TRA balance'!$D$5:$D$40,Assumptions!$B25)*CB25*Q25,"")</f>
        <v>1626.0493453890481</v>
      </c>
      <c r="AX25" s="34">
        <f ca="1">IFERROR(SUMIFS('TRA balance'!O$5:O$40,'TRA balance'!$C$5:$C$40,Assumptions!$C25,'TRA balance'!$D$5:$D$40,Assumptions!$B25)*CC25*R25,"")</f>
        <v>2.7668727318798028</v>
      </c>
      <c r="AY25" s="34">
        <f ca="1">IFERROR(SUMIFS('TRA balance'!P$5:P$40,'TRA balance'!$C$5:$C$40,Assumptions!$C25,'TRA balance'!$D$5:$D$40,Assumptions!$B25)*CD25*S25,"")</f>
        <v>2.7759725623800922</v>
      </c>
      <c r="AZ25" s="34">
        <f ca="1">IFERROR(SUMIFS('TRA balance'!Q$5:Q$40,'TRA balance'!$C$5:$C$40,Assumptions!$C25,'TRA balance'!$D$5:$D$40,Assumptions!$B25)*CE25*T25,"")</f>
        <v>4.3671056902299039</v>
      </c>
      <c r="BA25" s="34">
        <f ca="1">IFERROR(SUMIFS('TRA balance'!R$5:R$40,'TRA balance'!$C$5:$C$40,Assumptions!$C25,'TRA balance'!$D$5:$D$40,Assumptions!$B25)*CF25*U25,"")</f>
        <v>6.3946530213246051</v>
      </c>
      <c r="BB25" s="34">
        <f ca="1">IFERROR(SUMIFS('TRA balance'!S$5:S$40,'TRA balance'!$C$5:$C$40,Assumptions!$C25,'TRA balance'!$D$5:$D$40,Assumptions!$B25)*CG25*V25,"")</f>
        <v>1.283695453236871</v>
      </c>
      <c r="BC25" s="34">
        <f ca="1">IFERROR(SUMIFS('TRA balance'!T$5:T$40,'TRA balance'!$C$5:$C$40,Assumptions!$C25,'TRA balance'!$D$5:$D$40,Assumptions!$B25)*CH25*W25,"")</f>
        <v>3.9450679685301639</v>
      </c>
      <c r="BD25" s="34">
        <f ca="1">IFERROR(SUMIFS('TRA balance'!U$5:U$40,'TRA balance'!$C$5:$C$40,Assumptions!$C25,'TRA balance'!$D$5:$D$40,Assumptions!$B25)*CI25*X25,"")</f>
        <v>5.1709140723743996</v>
      </c>
      <c r="BE25" s="34">
        <f ca="1">IFERROR(SUMIFS('TRA balance'!V$5:V$40,'TRA balance'!$C$5:$C$40,Assumptions!$C25,'TRA balance'!$D$5:$D$40,Assumptions!$B25)*CJ25*Y25,"")</f>
        <v>4.7884520542285838</v>
      </c>
      <c r="BF25" s="34">
        <f ca="1">IFERROR(SUMIFS('TRA balance'!W$5:W$40,'TRA balance'!$C$5:$C$40,Assumptions!$C25,'TRA balance'!$D$5:$D$40,Assumptions!$B25)*CK25*Z25,"")</f>
        <v>10.514004596723348</v>
      </c>
      <c r="BG25" s="34">
        <f ca="1">IFERROR(SUMIFS('TRA balance'!X$5:X$40,'TRA balance'!$C$5:$C$40,Assumptions!$C25,'TRA balance'!$D$5:$D$40,Assumptions!$B25)*CL25*AA25,"")</f>
        <v>537.15200056415995</v>
      </c>
      <c r="BH25" s="34">
        <f ca="1">IFERROR(SUMIFS('TRA balance'!Y$5:Y$40,'TRA balance'!$C$5:$C$40,Assumptions!$C25,'TRA balance'!$D$5:$D$40,Assumptions!$B25)*CM25*AB25,"")</f>
        <v>17.517371908320001</v>
      </c>
      <c r="BI25" s="34">
        <f ca="1">IFERROR(SUMIFS('TRA balance'!Z$5:Z$40,'TRA balance'!$C$5:$C$40,Assumptions!$C25,'TRA balance'!$D$5:$D$40,Assumptions!$B25)*CN25*AC25,"")</f>
        <v>92.447588454647388</v>
      </c>
      <c r="BJ25" s="34">
        <f ca="1">IFERROR(SUMIFS('TRA balance'!AA$5:AA$40,'TRA balance'!$C$5:$C$40,Assumptions!$C25,'TRA balance'!$D$5:$D$40,Assumptions!$B25)*CO25*AD25,"")</f>
        <v>33.034734535571999</v>
      </c>
      <c r="BK25" s="34">
        <f ca="1">IFERROR(SUMIFS('TRA balance'!AB$5:AB$40,'TRA balance'!$C$5:$C$40,Assumptions!$C25,'TRA balance'!$D$5:$D$40,Assumptions!$B25)*CP25*AE25,"")</f>
        <v>0.48190482723474043</v>
      </c>
      <c r="BL25" s="34">
        <f ca="1">IFERROR(SUMIFS('TRA balance'!AC$5:AC$40,'TRA balance'!$C$5:$C$40,Assumptions!$C25,'TRA balance'!$D$5:$D$40,Assumptions!$B25)*CQ25*AF25,"")</f>
        <v>15.677203089403799</v>
      </c>
      <c r="BM25" s="34">
        <f ca="1">IFERROR(SUMIFS('TRA balance'!AD$5:AD$40,'TRA balance'!$C$5:$C$40,Assumptions!$C25,'TRA balance'!$D$5:$D$40,Assumptions!$B25)*CR25*AG25,"")</f>
        <v>14.271189633691199</v>
      </c>
      <c r="BN25" s="34">
        <f ca="1">IFERROR(SUMIFS('TRA balance'!AE$5:AE$40,'TRA balance'!$C$5:$C$40,Assumptions!$C25,'TRA balance'!$D$5:$D$40,Assumptions!$B25)*CS25*AH25,"")</f>
        <v>110.80105697303999</v>
      </c>
      <c r="BO25" s="34">
        <f ca="1">IFERROR(SUMIFS('TRA balance'!AF$5:AF$40,'TRA balance'!$C$5:$C$40,Assumptions!$C25,'TRA balance'!$D$5:$D$40,Assumptions!$B25)*CT25*AI25,"")</f>
        <v>7.5288864001483873</v>
      </c>
      <c r="BP25" s="34">
        <f ca="1">IFERROR(SUMIFS('TRA balance'!AG$5:AG$40,'TRA balance'!$C$5:$C$40,Assumptions!$C25,'TRA balance'!$D$5:$D$40,Assumptions!$B25)*CU25*AJ25,"")</f>
        <v>12.392536574393279</v>
      </c>
      <c r="BQ25" s="34">
        <f ca="1">IFERROR(SUMIFS('TRA balance'!AH$5:AH$40,'TRA balance'!$C$5:$C$40,Assumptions!$C25,'TRA balance'!$D$5:$D$40,Assumptions!$B25)*CV25*AK25,"")</f>
        <v>0</v>
      </c>
      <c r="BS25" s="33">
        <f t="shared" ca="1" si="16"/>
        <v>1</v>
      </c>
      <c r="BT25" s="33">
        <f t="shared" ca="1" si="17"/>
        <v>1</v>
      </c>
      <c r="BU25" s="33">
        <f t="shared" ca="1" si="18"/>
        <v>0.9</v>
      </c>
      <c r="BV25" s="33">
        <f t="shared" ca="1" si="19"/>
        <v>0.7</v>
      </c>
      <c r="BW25" s="33">
        <f t="shared" ca="1" si="20"/>
        <v>0.9</v>
      </c>
      <c r="BX25" s="33">
        <f t="shared" ca="1" si="21"/>
        <v>1</v>
      </c>
      <c r="BY25" s="33">
        <f t="shared" ca="1" si="22"/>
        <v>0.9</v>
      </c>
      <c r="BZ25" s="33">
        <f t="shared" ca="1" si="23"/>
        <v>0.9</v>
      </c>
      <c r="CA25" s="33">
        <f t="shared" ca="1" si="24"/>
        <v>0.96</v>
      </c>
      <c r="CB25" s="33">
        <f t="shared" ca="1" si="25"/>
        <v>0.9</v>
      </c>
      <c r="CC25" s="33">
        <f t="shared" ca="1" si="26"/>
        <v>0.97</v>
      </c>
      <c r="CD25" s="33">
        <f t="shared" ca="1" si="27"/>
        <v>0.97</v>
      </c>
      <c r="CE25" s="33">
        <f t="shared" ca="1" si="28"/>
        <v>0.97</v>
      </c>
      <c r="CF25" s="33">
        <f t="shared" ca="1" si="29"/>
        <v>0.97</v>
      </c>
      <c r="CG25" s="33">
        <f t="shared" ca="1" si="30"/>
        <v>0.97</v>
      </c>
      <c r="CH25" s="33">
        <f t="shared" ca="1" si="31"/>
        <v>0.97</v>
      </c>
      <c r="CI25" s="33">
        <f t="shared" ca="1" si="32"/>
        <v>0.7</v>
      </c>
      <c r="CJ25" s="33">
        <f t="shared" ca="1" si="33"/>
        <v>0.97</v>
      </c>
      <c r="CK25" s="33">
        <f t="shared" ca="1" si="34"/>
        <v>0.97</v>
      </c>
      <c r="CL25" s="33">
        <f t="shared" ca="1" si="35"/>
        <v>1</v>
      </c>
      <c r="CM25" s="33">
        <f t="shared" ca="1" si="36"/>
        <v>0.9</v>
      </c>
      <c r="CN25" s="33">
        <f t="shared" ca="1" si="37"/>
        <v>0.95</v>
      </c>
      <c r="CO25" s="33">
        <f t="shared" ca="1" si="38"/>
        <v>0.7</v>
      </c>
      <c r="CP25" s="33">
        <f t="shared" ca="1" si="39"/>
        <v>0.97</v>
      </c>
      <c r="CQ25" s="33">
        <f t="shared" ca="1" si="40"/>
        <v>0.7</v>
      </c>
      <c r="CR25" s="33">
        <f t="shared" ca="1" si="41"/>
        <v>0.7</v>
      </c>
      <c r="CS25" s="33">
        <f t="shared" ca="1" si="42"/>
        <v>1</v>
      </c>
      <c r="CT25" s="33">
        <f t="shared" ca="1" si="43"/>
        <v>0.97</v>
      </c>
      <c r="CU25" s="33">
        <f t="shared" ca="1" si="44"/>
        <v>0.8</v>
      </c>
      <c r="CV25" s="33">
        <f t="shared" ca="1" si="45"/>
        <v>0.8</v>
      </c>
    </row>
    <row r="26" spans="1:100" x14ac:dyDescent="0.45">
      <c r="A26">
        <v>1</v>
      </c>
      <c r="B26" t="str">
        <f>VLOOKUP(F26,'TRA balance'!$AK$5:$AL$14,2,FALSE)</f>
        <v>TRAGSL</v>
      </c>
      <c r="C26" s="6" t="str">
        <f t="shared" si="46"/>
        <v/>
      </c>
      <c r="D26" s="7"/>
      <c r="E26" s="19" t="s">
        <v>69</v>
      </c>
      <c r="F26" s="8" t="str">
        <f t="shared" si="67"/>
        <v>Gasoline</v>
      </c>
      <c r="G26" s="6"/>
      <c r="H26" s="20" t="str">
        <f ca="1">IF(SUM(H22:H25)=1,"-","&lt;&gt;1!!")</f>
        <v>-</v>
      </c>
      <c r="I26" s="20" t="str">
        <f t="shared" ref="I26" ca="1" si="68">IF(SUM(I22:I25)=1,"-","&lt;&gt;1!!")</f>
        <v>-</v>
      </c>
      <c r="J26" s="20" t="str">
        <f t="shared" ref="J26" ca="1" si="69">IF(SUM(J22:J25)=1,"-","&lt;&gt;1!!")</f>
        <v>-</v>
      </c>
      <c r="K26" s="20" t="str">
        <f t="shared" ref="K26" ca="1" si="70">IF(SUM(K22:K25)=1,"-","&lt;&gt;1!!")</f>
        <v>-</v>
      </c>
      <c r="L26" s="20" t="str">
        <f t="shared" ref="L26" ca="1" si="71">IF(SUM(L22:L25)=1,"-","&lt;&gt;1!!")</f>
        <v>-</v>
      </c>
      <c r="M26" s="20" t="str">
        <f t="shared" ref="M26:X26" ca="1" si="72">IF(SUM(M22:M25)=1,"-","&lt;&gt;1!!")</f>
        <v>-</v>
      </c>
      <c r="N26" s="20" t="str">
        <f t="shared" ca="1" si="72"/>
        <v>-</v>
      </c>
      <c r="O26" s="20" t="str">
        <f t="shared" ca="1" si="72"/>
        <v>-</v>
      </c>
      <c r="P26" s="20" t="str">
        <f t="shared" ca="1" si="72"/>
        <v>-</v>
      </c>
      <c r="Q26" s="20" t="str">
        <f t="shared" ca="1" si="72"/>
        <v>-</v>
      </c>
      <c r="R26" s="20" t="str">
        <f t="shared" ca="1" si="72"/>
        <v>-</v>
      </c>
      <c r="S26" s="20" t="str">
        <f t="shared" ca="1" si="72"/>
        <v>-</v>
      </c>
      <c r="T26" s="20" t="str">
        <f t="shared" ca="1" si="72"/>
        <v>-</v>
      </c>
      <c r="U26" s="20" t="str">
        <f t="shared" ca="1" si="72"/>
        <v>-</v>
      </c>
      <c r="V26" s="20" t="str">
        <f t="shared" ca="1" si="72"/>
        <v>-</v>
      </c>
      <c r="W26" s="20" t="str">
        <f t="shared" ca="1" si="72"/>
        <v>-</v>
      </c>
      <c r="X26" s="20" t="str">
        <f t="shared" ca="1" si="72"/>
        <v>-</v>
      </c>
      <c r="Y26" s="20" t="str">
        <f t="shared" ref="Y26:Z26" ca="1" si="73">IF(SUM(Y22:Y25)=1,"-","&lt;&gt;1!!")</f>
        <v>-</v>
      </c>
      <c r="Z26" s="20" t="str">
        <f t="shared" ca="1" si="73"/>
        <v>-</v>
      </c>
      <c r="AA26" s="20" t="str">
        <f t="shared" ref="AA26:AK26" ca="1" si="74">IF(SUM(AA22:AA25)=1,"-","&lt;&gt;1!!")</f>
        <v>-</v>
      </c>
      <c r="AB26" s="20" t="str">
        <f t="shared" ca="1" si="74"/>
        <v>-</v>
      </c>
      <c r="AC26" s="20" t="str">
        <f t="shared" ca="1" si="74"/>
        <v>-</v>
      </c>
      <c r="AD26" s="20" t="str">
        <f t="shared" ca="1" si="74"/>
        <v>-</v>
      </c>
      <c r="AE26" s="20" t="str">
        <f t="shared" ca="1" si="74"/>
        <v>-</v>
      </c>
      <c r="AF26" s="20" t="str">
        <f t="shared" ca="1" si="74"/>
        <v>-</v>
      </c>
      <c r="AG26" s="20" t="str">
        <f t="shared" ca="1" si="74"/>
        <v>-</v>
      </c>
      <c r="AH26" s="20" t="str">
        <f t="shared" ca="1" si="74"/>
        <v>-</v>
      </c>
      <c r="AI26" s="20" t="str">
        <f t="shared" ca="1" si="74"/>
        <v>-</v>
      </c>
      <c r="AJ26" s="20" t="str">
        <f t="shared" ca="1" si="74"/>
        <v>-</v>
      </c>
      <c r="AK26" s="20" t="str">
        <f t="shared" ca="1" si="74"/>
        <v>-</v>
      </c>
      <c r="AN26" s="34" t="str">
        <f ca="1">IFERROR(SUMIFS('TRA balance'!E$5:E$40,'TRA balance'!$C$5:$C$40,Assumptions!$C26,'TRA balance'!$D$5:$D$40,Assumptions!$B26)*BS26*H26,"")</f>
        <v/>
      </c>
      <c r="AO26" s="34" t="str">
        <f ca="1">IFERROR(SUMIFS('TRA balance'!F$5:F$40,'TRA balance'!$C$5:$C$40,Assumptions!$C26,'TRA balance'!$D$5:$D$40,Assumptions!$B26)*BT26*I26,"")</f>
        <v/>
      </c>
      <c r="AP26" s="34" t="str">
        <f ca="1">IFERROR(SUMIFS('TRA balance'!G$5:G$40,'TRA balance'!$C$5:$C$40,Assumptions!$C26,'TRA balance'!$D$5:$D$40,Assumptions!$B26)*BU26*J26,"")</f>
        <v/>
      </c>
      <c r="AQ26" s="34" t="str">
        <f ca="1">IFERROR(SUMIFS('TRA balance'!H$5:H$40,'TRA balance'!$C$5:$C$40,Assumptions!$C26,'TRA balance'!$D$5:$D$40,Assumptions!$B26)*BV26*K26,"")</f>
        <v/>
      </c>
      <c r="AR26" s="34" t="str">
        <f ca="1">IFERROR(SUMIFS('TRA balance'!I$5:I$40,'TRA balance'!$C$5:$C$40,Assumptions!$C26,'TRA balance'!$D$5:$D$40,Assumptions!$B26)*BW26*L26,"")</f>
        <v/>
      </c>
      <c r="AS26" s="34" t="str">
        <f ca="1">IFERROR(SUMIFS('TRA balance'!J$5:J$40,'TRA balance'!$C$5:$C$40,Assumptions!$C26,'TRA balance'!$D$5:$D$40,Assumptions!$B26)*BX26*M26,"")</f>
        <v/>
      </c>
      <c r="AT26" s="34" t="str">
        <f ca="1">IFERROR(SUMIFS('TRA balance'!K$5:K$40,'TRA balance'!$C$5:$C$40,Assumptions!$C26,'TRA balance'!$D$5:$D$40,Assumptions!$B26)*BY26*N26,"")</f>
        <v/>
      </c>
      <c r="AU26" s="34" t="str">
        <f ca="1">IFERROR(SUMIFS('TRA balance'!L$5:L$40,'TRA balance'!$C$5:$C$40,Assumptions!$C26,'TRA balance'!$D$5:$D$40,Assumptions!$B26)*BZ26*O26,"")</f>
        <v/>
      </c>
      <c r="AV26" s="34" t="str">
        <f ca="1">IFERROR(SUMIFS('TRA balance'!M$5:M$40,'TRA balance'!$C$5:$C$40,Assumptions!$C26,'TRA balance'!$D$5:$D$40,Assumptions!$B26)*CA26*P26,"")</f>
        <v/>
      </c>
      <c r="AW26" s="34" t="str">
        <f ca="1">IFERROR(SUMIFS('TRA balance'!N$5:N$40,'TRA balance'!$C$5:$C$40,Assumptions!$C26,'TRA balance'!$D$5:$D$40,Assumptions!$B26)*CB26*Q26,"")</f>
        <v/>
      </c>
      <c r="AX26" s="34" t="str">
        <f ca="1">IFERROR(SUMIFS('TRA balance'!O$5:O$40,'TRA balance'!$C$5:$C$40,Assumptions!$C26,'TRA balance'!$D$5:$D$40,Assumptions!$B26)*CC26*R26,"")</f>
        <v/>
      </c>
      <c r="AY26" s="34" t="str">
        <f ca="1">IFERROR(SUMIFS('TRA balance'!P$5:P$40,'TRA balance'!$C$5:$C$40,Assumptions!$C26,'TRA balance'!$D$5:$D$40,Assumptions!$B26)*CD26*S26,"")</f>
        <v/>
      </c>
      <c r="AZ26" s="34" t="str">
        <f ca="1">IFERROR(SUMIFS('TRA balance'!Q$5:Q$40,'TRA balance'!$C$5:$C$40,Assumptions!$C26,'TRA balance'!$D$5:$D$40,Assumptions!$B26)*CE26*T26,"")</f>
        <v/>
      </c>
      <c r="BA26" s="34" t="str">
        <f ca="1">IFERROR(SUMIFS('TRA balance'!R$5:R$40,'TRA balance'!$C$5:$C$40,Assumptions!$C26,'TRA balance'!$D$5:$D$40,Assumptions!$B26)*CF26*U26,"")</f>
        <v/>
      </c>
      <c r="BB26" s="34" t="str">
        <f ca="1">IFERROR(SUMIFS('TRA balance'!S$5:S$40,'TRA balance'!$C$5:$C$40,Assumptions!$C26,'TRA balance'!$D$5:$D$40,Assumptions!$B26)*CG26*V26,"")</f>
        <v/>
      </c>
      <c r="BC26" s="34" t="str">
        <f ca="1">IFERROR(SUMIFS('TRA balance'!T$5:T$40,'TRA balance'!$C$5:$C$40,Assumptions!$C26,'TRA balance'!$D$5:$D$40,Assumptions!$B26)*CH26*W26,"")</f>
        <v/>
      </c>
      <c r="BD26" s="34" t="str">
        <f ca="1">IFERROR(SUMIFS('TRA balance'!U$5:U$40,'TRA balance'!$C$5:$C$40,Assumptions!$C26,'TRA balance'!$D$5:$D$40,Assumptions!$B26)*CI26*X26,"")</f>
        <v/>
      </c>
      <c r="BE26" s="34" t="str">
        <f ca="1">IFERROR(SUMIFS('TRA balance'!V$5:V$40,'TRA balance'!$C$5:$C$40,Assumptions!$C26,'TRA balance'!$D$5:$D$40,Assumptions!$B26)*CJ26*Y26,"")</f>
        <v/>
      </c>
      <c r="BF26" s="34" t="str">
        <f ca="1">IFERROR(SUMIFS('TRA balance'!W$5:W$40,'TRA balance'!$C$5:$C$40,Assumptions!$C26,'TRA balance'!$D$5:$D$40,Assumptions!$B26)*CK26*Z26,"")</f>
        <v/>
      </c>
      <c r="BG26" s="34" t="str">
        <f ca="1">IFERROR(SUMIFS('TRA balance'!X$5:X$40,'TRA balance'!$C$5:$C$40,Assumptions!$C26,'TRA balance'!$D$5:$D$40,Assumptions!$B26)*CL26*AA26,"")</f>
        <v/>
      </c>
      <c r="BH26" s="34" t="str">
        <f ca="1">IFERROR(SUMIFS('TRA balance'!Y$5:Y$40,'TRA balance'!$C$5:$C$40,Assumptions!$C26,'TRA balance'!$D$5:$D$40,Assumptions!$B26)*CM26*AB26,"")</f>
        <v/>
      </c>
      <c r="BI26" s="34" t="str">
        <f ca="1">IFERROR(SUMIFS('TRA balance'!Z$5:Z$40,'TRA balance'!$C$5:$C$40,Assumptions!$C26,'TRA balance'!$D$5:$D$40,Assumptions!$B26)*CN26*AC26,"")</f>
        <v/>
      </c>
      <c r="BJ26" s="34" t="str">
        <f ca="1">IFERROR(SUMIFS('TRA balance'!AA$5:AA$40,'TRA balance'!$C$5:$C$40,Assumptions!$C26,'TRA balance'!$D$5:$D$40,Assumptions!$B26)*CO26*AD26,"")</f>
        <v/>
      </c>
      <c r="BK26" s="34" t="str">
        <f ca="1">IFERROR(SUMIFS('TRA balance'!AB$5:AB$40,'TRA balance'!$C$5:$C$40,Assumptions!$C26,'TRA balance'!$D$5:$D$40,Assumptions!$B26)*CP26*AE26,"")</f>
        <v/>
      </c>
      <c r="BL26" s="34" t="str">
        <f ca="1">IFERROR(SUMIFS('TRA balance'!AC$5:AC$40,'TRA balance'!$C$5:$C$40,Assumptions!$C26,'TRA balance'!$D$5:$D$40,Assumptions!$B26)*CQ26*AF26,"")</f>
        <v/>
      </c>
      <c r="BM26" s="34" t="str">
        <f ca="1">IFERROR(SUMIFS('TRA balance'!AD$5:AD$40,'TRA balance'!$C$5:$C$40,Assumptions!$C26,'TRA balance'!$D$5:$D$40,Assumptions!$B26)*CR26*AG26,"")</f>
        <v/>
      </c>
      <c r="BN26" s="34" t="str">
        <f ca="1">IFERROR(SUMIFS('TRA balance'!AE$5:AE$40,'TRA balance'!$C$5:$C$40,Assumptions!$C26,'TRA balance'!$D$5:$D$40,Assumptions!$B26)*CS26*AH26,"")</f>
        <v/>
      </c>
      <c r="BO26" s="34" t="str">
        <f ca="1">IFERROR(SUMIFS('TRA balance'!AF$5:AF$40,'TRA balance'!$C$5:$C$40,Assumptions!$C26,'TRA balance'!$D$5:$D$40,Assumptions!$B26)*CT26*AI26,"")</f>
        <v/>
      </c>
      <c r="BP26" s="34" t="str">
        <f ca="1">IFERROR(SUMIFS('TRA balance'!AG$5:AG$40,'TRA balance'!$C$5:$C$40,Assumptions!$C26,'TRA balance'!$D$5:$D$40,Assumptions!$B26)*CU26*AJ26,"")</f>
        <v/>
      </c>
      <c r="BQ26" s="34" t="str">
        <f ca="1">IFERROR(SUMIFS('TRA balance'!AH$5:AH$40,'TRA balance'!$C$5:$C$40,Assumptions!$C26,'TRA balance'!$D$5:$D$40,Assumptions!$B26)*CV26*AK26,"")</f>
        <v/>
      </c>
      <c r="BS26" s="33">
        <f t="shared" si="16"/>
        <v>1</v>
      </c>
      <c r="BT26" s="33">
        <f t="shared" si="17"/>
        <v>1</v>
      </c>
      <c r="BU26" s="33">
        <f t="shared" si="18"/>
        <v>1</v>
      </c>
      <c r="BV26" s="33">
        <f t="shared" si="19"/>
        <v>1</v>
      </c>
      <c r="BW26" s="33">
        <f t="shared" si="20"/>
        <v>1</v>
      </c>
      <c r="BX26" s="33">
        <f t="shared" si="21"/>
        <v>1</v>
      </c>
      <c r="BY26" s="33">
        <f t="shared" si="22"/>
        <v>1</v>
      </c>
      <c r="BZ26" s="33">
        <f t="shared" si="23"/>
        <v>1</v>
      </c>
      <c r="CA26" s="33">
        <f t="shared" si="24"/>
        <v>1</v>
      </c>
      <c r="CB26" s="33">
        <f t="shared" si="25"/>
        <v>1</v>
      </c>
      <c r="CC26" s="33">
        <f t="shared" si="26"/>
        <v>1</v>
      </c>
      <c r="CD26" s="33">
        <f t="shared" si="27"/>
        <v>1</v>
      </c>
      <c r="CE26" s="33">
        <f t="shared" si="28"/>
        <v>1</v>
      </c>
      <c r="CF26" s="33">
        <f t="shared" si="29"/>
        <v>1</v>
      </c>
      <c r="CG26" s="33">
        <f t="shared" si="30"/>
        <v>1</v>
      </c>
      <c r="CH26" s="33">
        <f t="shared" si="31"/>
        <v>1</v>
      </c>
      <c r="CI26" s="33">
        <f t="shared" si="32"/>
        <v>1</v>
      </c>
      <c r="CJ26" s="33">
        <f t="shared" si="33"/>
        <v>1</v>
      </c>
      <c r="CK26" s="33">
        <f t="shared" si="34"/>
        <v>1</v>
      </c>
      <c r="CL26" s="33">
        <f t="shared" si="35"/>
        <v>1</v>
      </c>
      <c r="CM26" s="33">
        <f t="shared" si="36"/>
        <v>1</v>
      </c>
      <c r="CN26" s="33">
        <f t="shared" si="37"/>
        <v>1</v>
      </c>
      <c r="CO26" s="33">
        <f t="shared" si="38"/>
        <v>1</v>
      </c>
      <c r="CP26" s="33">
        <f t="shared" si="39"/>
        <v>1</v>
      </c>
      <c r="CQ26" s="33">
        <f t="shared" si="40"/>
        <v>1</v>
      </c>
      <c r="CR26" s="33">
        <f t="shared" si="41"/>
        <v>1</v>
      </c>
      <c r="CS26" s="33">
        <f t="shared" si="42"/>
        <v>1</v>
      </c>
      <c r="CT26" s="33">
        <f t="shared" si="43"/>
        <v>1</v>
      </c>
      <c r="CU26" s="33">
        <f t="shared" si="44"/>
        <v>1</v>
      </c>
      <c r="CV26" s="33">
        <f t="shared" si="45"/>
        <v>1</v>
      </c>
    </row>
    <row r="27" spans="1:100" x14ac:dyDescent="0.45">
      <c r="A27">
        <v>1</v>
      </c>
      <c r="B27" t="str">
        <f>VLOOKUP(F27,'TRA balance'!$AK$5:$AL$14,2,FALSE)</f>
        <v>TRAGSL</v>
      </c>
      <c r="C27" s="14">
        <v>2</v>
      </c>
      <c r="D27" s="15" t="s">
        <v>16</v>
      </c>
      <c r="E27" s="15" t="s">
        <v>70</v>
      </c>
      <c r="F27" s="16" t="str">
        <f>F26</f>
        <v>Gasoline</v>
      </c>
      <c r="G27" s="14"/>
      <c r="H27" s="21">
        <f ca="1">1-H21</f>
        <v>0</v>
      </c>
      <c r="I27" s="21">
        <f t="shared" ref="I27:X27" ca="1" si="75">1-I21</f>
        <v>0</v>
      </c>
      <c r="J27" s="21">
        <f t="shared" ca="1" si="75"/>
        <v>9.9999999999999978E-2</v>
      </c>
      <c r="K27" s="21">
        <f t="shared" ca="1" si="75"/>
        <v>0.30000000000000004</v>
      </c>
      <c r="L27" s="21">
        <f t="shared" ca="1" si="75"/>
        <v>9.9999999999999978E-2</v>
      </c>
      <c r="M27" s="21">
        <f t="shared" ca="1" si="75"/>
        <v>0</v>
      </c>
      <c r="N27" s="21">
        <f t="shared" ca="1" si="75"/>
        <v>9.9999999999999978E-2</v>
      </c>
      <c r="O27" s="21">
        <f t="shared" ca="1" si="75"/>
        <v>9.9999999999999978E-2</v>
      </c>
      <c r="P27" s="21">
        <f t="shared" ca="1" si="75"/>
        <v>4.0000000000000036E-2</v>
      </c>
      <c r="Q27" s="21">
        <f t="shared" ca="1" si="75"/>
        <v>9.9999999999999978E-2</v>
      </c>
      <c r="R27" s="21">
        <f t="shared" ca="1" si="75"/>
        <v>3.0000000000000027E-2</v>
      </c>
      <c r="S27" s="21">
        <f t="shared" ca="1" si="75"/>
        <v>3.0000000000000027E-2</v>
      </c>
      <c r="T27" s="21">
        <f t="shared" ca="1" si="75"/>
        <v>3.0000000000000027E-2</v>
      </c>
      <c r="U27" s="21">
        <f t="shared" ca="1" si="75"/>
        <v>3.0000000000000027E-2</v>
      </c>
      <c r="V27" s="21">
        <f t="shared" ca="1" si="75"/>
        <v>3.0000000000000027E-2</v>
      </c>
      <c r="W27" s="21">
        <f t="shared" ca="1" si="75"/>
        <v>3.0000000000000027E-2</v>
      </c>
      <c r="X27" s="21">
        <f t="shared" ca="1" si="75"/>
        <v>0.30000000000000004</v>
      </c>
      <c r="Y27" s="21">
        <f t="shared" ref="Y27:Z27" ca="1" si="76">1-Y21</f>
        <v>3.0000000000000027E-2</v>
      </c>
      <c r="Z27" s="21">
        <f t="shared" ca="1" si="76"/>
        <v>3.0000000000000027E-2</v>
      </c>
      <c r="AA27" s="21">
        <f t="shared" ref="AA27:AK27" ca="1" si="77">1-AA21</f>
        <v>0</v>
      </c>
      <c r="AB27" s="21">
        <f t="shared" ca="1" si="77"/>
        <v>9.9999999999999978E-2</v>
      </c>
      <c r="AC27" s="21">
        <f t="shared" ca="1" si="77"/>
        <v>5.0000000000000044E-2</v>
      </c>
      <c r="AD27" s="21">
        <f t="shared" ca="1" si="77"/>
        <v>0.30000000000000004</v>
      </c>
      <c r="AE27" s="21">
        <f t="shared" ca="1" si="77"/>
        <v>3.0000000000000027E-2</v>
      </c>
      <c r="AF27" s="21">
        <f t="shared" ca="1" si="77"/>
        <v>0.30000000000000004</v>
      </c>
      <c r="AG27" s="21">
        <f t="shared" ca="1" si="77"/>
        <v>0.30000000000000004</v>
      </c>
      <c r="AH27" s="21">
        <f t="shared" ca="1" si="77"/>
        <v>0</v>
      </c>
      <c r="AI27" s="21">
        <f t="shared" ca="1" si="77"/>
        <v>3.0000000000000027E-2</v>
      </c>
      <c r="AJ27" s="21">
        <f t="shared" ca="1" si="77"/>
        <v>0.19999999999999996</v>
      </c>
      <c r="AK27" s="21">
        <f t="shared" ca="1" si="77"/>
        <v>0.19999999999999996</v>
      </c>
      <c r="AN27" s="34">
        <f ca="1">IFERROR(SUMIFS('TRA balance'!E$5:E$40,'TRA balance'!$C$5:$C$40,Assumptions!$C27,'TRA balance'!$D$5:$D$40,Assumptions!$B27)*BS27*H27,"")</f>
        <v>0</v>
      </c>
      <c r="AO27" s="34">
        <f ca="1">IFERROR(SUMIFS('TRA balance'!F$5:F$40,'TRA balance'!$C$5:$C$40,Assumptions!$C27,'TRA balance'!$D$5:$D$40,Assumptions!$B27)*BT27*I27,"")</f>
        <v>0</v>
      </c>
      <c r="AP27" s="34">
        <f ca="1">IFERROR(SUMIFS('TRA balance'!G$5:G$40,'TRA balance'!$C$5:$C$40,Assumptions!$C27,'TRA balance'!$D$5:$D$40,Assumptions!$B27)*BU27*J27,"")</f>
        <v>0</v>
      </c>
      <c r="AQ27" s="34">
        <f ca="1">IFERROR(SUMIFS('TRA balance'!H$5:H$40,'TRA balance'!$C$5:$C$40,Assumptions!$C27,'TRA balance'!$D$5:$D$40,Assumptions!$B27)*BV27*K27,"")</f>
        <v>0</v>
      </c>
      <c r="AR27" s="34">
        <f ca="1">IFERROR(SUMIFS('TRA balance'!I$5:I$40,'TRA balance'!$C$5:$C$40,Assumptions!$C27,'TRA balance'!$D$5:$D$40,Assumptions!$B27)*BW27*L27,"")</f>
        <v>0</v>
      </c>
      <c r="AS27" s="34">
        <f ca="1">IFERROR(SUMIFS('TRA balance'!J$5:J$40,'TRA balance'!$C$5:$C$40,Assumptions!$C27,'TRA balance'!$D$5:$D$40,Assumptions!$B27)*BX27*M27,"")</f>
        <v>0</v>
      </c>
      <c r="AT27" s="34">
        <f ca="1">IFERROR(SUMIFS('TRA balance'!K$5:K$40,'TRA balance'!$C$5:$C$40,Assumptions!$C27,'TRA balance'!$D$5:$D$40,Assumptions!$B27)*BY27*N27,"")</f>
        <v>0</v>
      </c>
      <c r="AU27" s="34">
        <f ca="1">IFERROR(SUMIFS('TRA balance'!L$5:L$40,'TRA balance'!$C$5:$C$40,Assumptions!$C27,'TRA balance'!$D$5:$D$40,Assumptions!$B27)*BZ27*O27,"")</f>
        <v>0</v>
      </c>
      <c r="AV27" s="34">
        <f ca="1">IFERROR(SUMIFS('TRA balance'!M$5:M$40,'TRA balance'!$C$5:$C$40,Assumptions!$C27,'TRA balance'!$D$5:$D$40,Assumptions!$B27)*CA27*P27,"")</f>
        <v>0</v>
      </c>
      <c r="AW27" s="34">
        <f ca="1">IFERROR(SUMIFS('TRA balance'!N$5:N$40,'TRA balance'!$C$5:$C$40,Assumptions!$C27,'TRA balance'!$D$5:$D$40,Assumptions!$B27)*CB27*Q27,"")</f>
        <v>0</v>
      </c>
      <c r="AX27" s="34">
        <f ca="1">IFERROR(SUMIFS('TRA balance'!O$5:O$40,'TRA balance'!$C$5:$C$40,Assumptions!$C27,'TRA balance'!$D$5:$D$40,Assumptions!$B27)*CC27*R27,"")</f>
        <v>0</v>
      </c>
      <c r="AY27" s="34">
        <f ca="1">IFERROR(SUMIFS('TRA balance'!P$5:P$40,'TRA balance'!$C$5:$C$40,Assumptions!$C27,'TRA balance'!$D$5:$D$40,Assumptions!$B27)*CD27*S27,"")</f>
        <v>0</v>
      </c>
      <c r="AZ27" s="34">
        <f ca="1">IFERROR(SUMIFS('TRA balance'!Q$5:Q$40,'TRA balance'!$C$5:$C$40,Assumptions!$C27,'TRA balance'!$D$5:$D$40,Assumptions!$B27)*CE27*T27,"")</f>
        <v>0</v>
      </c>
      <c r="BA27" s="34">
        <f ca="1">IFERROR(SUMIFS('TRA balance'!R$5:R$40,'TRA balance'!$C$5:$C$40,Assumptions!$C27,'TRA balance'!$D$5:$D$40,Assumptions!$B27)*CF27*U27,"")</f>
        <v>0</v>
      </c>
      <c r="BB27" s="34">
        <f ca="1">IFERROR(SUMIFS('TRA balance'!S$5:S$40,'TRA balance'!$C$5:$C$40,Assumptions!$C27,'TRA balance'!$D$5:$D$40,Assumptions!$B27)*CG27*V27,"")</f>
        <v>0</v>
      </c>
      <c r="BC27" s="34">
        <f ca="1">IFERROR(SUMIFS('TRA balance'!T$5:T$40,'TRA balance'!$C$5:$C$40,Assumptions!$C27,'TRA balance'!$D$5:$D$40,Assumptions!$B27)*CH27*W27,"")</f>
        <v>0</v>
      </c>
      <c r="BD27" s="34">
        <f ca="1">IFERROR(SUMIFS('TRA balance'!U$5:U$40,'TRA balance'!$C$5:$C$40,Assumptions!$C27,'TRA balance'!$D$5:$D$40,Assumptions!$B27)*CI27*X27,"")</f>
        <v>0</v>
      </c>
      <c r="BE27" s="34">
        <f ca="1">IFERROR(SUMIFS('TRA balance'!V$5:V$40,'TRA balance'!$C$5:$C$40,Assumptions!$C27,'TRA balance'!$D$5:$D$40,Assumptions!$B27)*CJ27*Y27,"")</f>
        <v>0</v>
      </c>
      <c r="BF27" s="34">
        <f ca="1">IFERROR(SUMIFS('TRA balance'!W$5:W$40,'TRA balance'!$C$5:$C$40,Assumptions!$C27,'TRA balance'!$D$5:$D$40,Assumptions!$B27)*CK27*Z27,"")</f>
        <v>0</v>
      </c>
      <c r="BG27" s="34">
        <f ca="1">IFERROR(SUMIFS('TRA balance'!X$5:X$40,'TRA balance'!$C$5:$C$40,Assumptions!$C27,'TRA balance'!$D$5:$D$40,Assumptions!$B27)*CL27*AA27,"")</f>
        <v>0</v>
      </c>
      <c r="BH27" s="34">
        <f ca="1">IFERROR(SUMIFS('TRA balance'!Y$5:Y$40,'TRA balance'!$C$5:$C$40,Assumptions!$C27,'TRA balance'!$D$5:$D$40,Assumptions!$B27)*CM27*AB27,"")</f>
        <v>0</v>
      </c>
      <c r="BI27" s="34">
        <f ca="1">IFERROR(SUMIFS('TRA balance'!Z$5:Z$40,'TRA balance'!$C$5:$C$40,Assumptions!$C27,'TRA balance'!$D$5:$D$40,Assumptions!$B27)*CN27*AC27,"")</f>
        <v>0</v>
      </c>
      <c r="BJ27" s="34">
        <f ca="1">IFERROR(SUMIFS('TRA balance'!AA$5:AA$40,'TRA balance'!$C$5:$C$40,Assumptions!$C27,'TRA balance'!$D$5:$D$40,Assumptions!$B27)*CO27*AD27,"")</f>
        <v>0</v>
      </c>
      <c r="BK27" s="34">
        <f ca="1">IFERROR(SUMIFS('TRA balance'!AB$5:AB$40,'TRA balance'!$C$5:$C$40,Assumptions!$C27,'TRA balance'!$D$5:$D$40,Assumptions!$B27)*CP27*AE27,"")</f>
        <v>0</v>
      </c>
      <c r="BL27" s="34">
        <f ca="1">IFERROR(SUMIFS('TRA balance'!AC$5:AC$40,'TRA balance'!$C$5:$C$40,Assumptions!$C27,'TRA balance'!$D$5:$D$40,Assumptions!$B27)*CQ27*AF27,"")</f>
        <v>0</v>
      </c>
      <c r="BM27" s="34">
        <f ca="1">IFERROR(SUMIFS('TRA balance'!AD$5:AD$40,'TRA balance'!$C$5:$C$40,Assumptions!$C27,'TRA balance'!$D$5:$D$40,Assumptions!$B27)*CR27*AG27,"")</f>
        <v>0</v>
      </c>
      <c r="BN27" s="34">
        <f ca="1">IFERROR(SUMIFS('TRA balance'!AE$5:AE$40,'TRA balance'!$C$5:$C$40,Assumptions!$C27,'TRA balance'!$D$5:$D$40,Assumptions!$B27)*CS27*AH27,"")</f>
        <v>0</v>
      </c>
      <c r="BO27" s="34">
        <f ca="1">IFERROR(SUMIFS('TRA balance'!AF$5:AF$40,'TRA balance'!$C$5:$C$40,Assumptions!$C27,'TRA balance'!$D$5:$D$40,Assumptions!$B27)*CT27*AI27,"")</f>
        <v>0</v>
      </c>
      <c r="BP27" s="34">
        <f ca="1">IFERROR(SUMIFS('TRA balance'!AG$5:AG$40,'TRA balance'!$C$5:$C$40,Assumptions!$C27,'TRA balance'!$D$5:$D$40,Assumptions!$B27)*CU27*AJ27,"")</f>
        <v>0</v>
      </c>
      <c r="BQ27" s="34">
        <f ca="1">IFERROR(SUMIFS('TRA balance'!AH$5:AH$40,'TRA balance'!$C$5:$C$40,Assumptions!$C27,'TRA balance'!$D$5:$D$40,Assumptions!$B27)*CV27*AK27,"")</f>
        <v>0</v>
      </c>
      <c r="BS27" s="33">
        <f t="shared" si="16"/>
        <v>1</v>
      </c>
      <c r="BT27" s="33">
        <f t="shared" si="17"/>
        <v>1</v>
      </c>
      <c r="BU27" s="33">
        <f t="shared" si="18"/>
        <v>1</v>
      </c>
      <c r="BV27" s="33">
        <f t="shared" si="19"/>
        <v>1</v>
      </c>
      <c r="BW27" s="33">
        <f t="shared" si="20"/>
        <v>1</v>
      </c>
      <c r="BX27" s="33">
        <f t="shared" si="21"/>
        <v>1</v>
      </c>
      <c r="BY27" s="33">
        <f t="shared" si="22"/>
        <v>1</v>
      </c>
      <c r="BZ27" s="33">
        <f t="shared" si="23"/>
        <v>1</v>
      </c>
      <c r="CA27" s="33">
        <f t="shared" si="24"/>
        <v>1</v>
      </c>
      <c r="CB27" s="33">
        <f t="shared" si="25"/>
        <v>1</v>
      </c>
      <c r="CC27" s="33">
        <f t="shared" si="26"/>
        <v>1</v>
      </c>
      <c r="CD27" s="33">
        <f t="shared" si="27"/>
        <v>1</v>
      </c>
      <c r="CE27" s="33">
        <f t="shared" si="28"/>
        <v>1</v>
      </c>
      <c r="CF27" s="33">
        <f t="shared" si="29"/>
        <v>1</v>
      </c>
      <c r="CG27" s="33">
        <f t="shared" si="30"/>
        <v>1</v>
      </c>
      <c r="CH27" s="33">
        <f t="shared" si="31"/>
        <v>1</v>
      </c>
      <c r="CI27" s="33">
        <f t="shared" si="32"/>
        <v>1</v>
      </c>
      <c r="CJ27" s="33">
        <f t="shared" si="33"/>
        <v>1</v>
      </c>
      <c r="CK27" s="33">
        <f t="shared" si="34"/>
        <v>1</v>
      </c>
      <c r="CL27" s="33">
        <f t="shared" si="35"/>
        <v>1</v>
      </c>
      <c r="CM27" s="33">
        <f t="shared" si="36"/>
        <v>1</v>
      </c>
      <c r="CN27" s="33">
        <f t="shared" si="37"/>
        <v>1</v>
      </c>
      <c r="CO27" s="33">
        <f t="shared" si="38"/>
        <v>1</v>
      </c>
      <c r="CP27" s="33">
        <f t="shared" si="39"/>
        <v>1</v>
      </c>
      <c r="CQ27" s="33">
        <f t="shared" si="40"/>
        <v>1</v>
      </c>
      <c r="CR27" s="33">
        <f t="shared" si="41"/>
        <v>1</v>
      </c>
      <c r="CS27" s="33">
        <f t="shared" si="42"/>
        <v>1</v>
      </c>
      <c r="CT27" s="33">
        <f t="shared" si="43"/>
        <v>1</v>
      </c>
      <c r="CU27" s="33">
        <f t="shared" si="44"/>
        <v>1</v>
      </c>
      <c r="CV27" s="33">
        <f t="shared" si="45"/>
        <v>1</v>
      </c>
    </row>
    <row r="28" spans="1:100" x14ac:dyDescent="0.45">
      <c r="A28">
        <v>2</v>
      </c>
      <c r="B28" t="str">
        <f>VLOOKUP(F28,'TRA balance'!$AK$5:$AL$14,2,FALSE)</f>
        <v>TRAGSL</v>
      </c>
      <c r="C28" s="6" t="str">
        <f t="shared" si="46"/>
        <v>TR</v>
      </c>
      <c r="D28" s="7" t="s">
        <v>16</v>
      </c>
      <c r="E28" s="18" t="s">
        <v>71</v>
      </c>
      <c r="F28" s="8" t="str">
        <f>F27</f>
        <v>Gasoline</v>
      </c>
      <c r="G28" s="6" t="s">
        <v>72</v>
      </c>
      <c r="H28" s="9">
        <f ca="1">OFFSET(TIAM15_assumptions!$G28,0,MATCH(VLOOKUP(Assumptions!H$2,TIAM15_assumptions!$Y$3:$Z$36,2,FALSE),TIAM15_assumptions!$H$2:$V$2,0))</f>
        <v>0.05</v>
      </c>
      <c r="I28" s="9">
        <f ca="1">OFFSET(TIAM15_assumptions!$G28,0,MATCH(VLOOKUP(Assumptions!I$2,TIAM15_assumptions!$Y$3:$Z$36,2,FALSE),TIAM15_assumptions!$H$2:$V$2,0))</f>
        <v>0.05</v>
      </c>
      <c r="J28" s="9">
        <f ca="1">OFFSET(TIAM15_assumptions!$G28,0,MATCH(VLOOKUP(Assumptions!J$2,TIAM15_assumptions!$Y$3:$Z$36,2,FALSE),TIAM15_assumptions!$H$2:$V$2,0))</f>
        <v>0.12</v>
      </c>
      <c r="K28" s="9">
        <f ca="1">OFFSET(TIAM15_assumptions!$G28,0,MATCH(VLOOKUP(Assumptions!K$2,TIAM15_assumptions!$Y$3:$Z$36,2,FALSE),TIAM15_assumptions!$H$2:$V$2,0))</f>
        <v>0.05</v>
      </c>
      <c r="L28" s="9">
        <f ca="1">OFFSET(TIAM15_assumptions!$G28,0,MATCH(VLOOKUP(Assumptions!L$2,TIAM15_assumptions!$Y$3:$Z$36,2,FALSE),TIAM15_assumptions!$H$2:$V$2,0))</f>
        <v>0</v>
      </c>
      <c r="M28" s="9">
        <f ca="1">OFFSET(TIAM15_assumptions!$G28,0,MATCH(VLOOKUP(Assumptions!M$2,TIAM15_assumptions!$Y$3:$Z$36,2,FALSE),TIAM15_assumptions!$H$2:$V$2,0))</f>
        <v>0.15</v>
      </c>
      <c r="N28" s="9">
        <f ca="1">OFFSET(TIAM15_assumptions!$G28,0,MATCH(VLOOKUP(Assumptions!N$2,TIAM15_assumptions!$Y$3:$Z$36,2,FALSE),TIAM15_assumptions!$H$2:$V$2,0))</f>
        <v>0.05</v>
      </c>
      <c r="O28" s="9">
        <f ca="1">OFFSET(TIAM15_assumptions!$G28,0,MATCH(VLOOKUP(Assumptions!O$2,TIAM15_assumptions!$Y$3:$Z$36,2,FALSE),TIAM15_assumptions!$H$2:$V$2,0))</f>
        <v>0.12</v>
      </c>
      <c r="P28" s="9">
        <f ca="1">OFFSET(TIAM15_assumptions!$G28,0,MATCH(VLOOKUP(Assumptions!P$2,TIAM15_assumptions!$Y$3:$Z$36,2,FALSE),TIAM15_assumptions!$H$2:$V$2,0))</f>
        <v>0.05</v>
      </c>
      <c r="Q28" s="9">
        <f ca="1">OFFSET(TIAM15_assumptions!$G28,0,MATCH(VLOOKUP(Assumptions!Q$2,TIAM15_assumptions!$Y$3:$Z$36,2,FALSE),TIAM15_assumptions!$H$2:$V$2,0))</f>
        <v>0.1</v>
      </c>
      <c r="R28" s="9">
        <f ca="1">OFFSET(TIAM15_assumptions!$G28,0,MATCH(VLOOKUP(Assumptions!R$2,TIAM15_assumptions!$Y$3:$Z$36,2,FALSE),TIAM15_assumptions!$H$2:$V$2,0))</f>
        <v>0.05</v>
      </c>
      <c r="S28" s="9">
        <f ca="1">OFFSET(TIAM15_assumptions!$G28,0,MATCH(VLOOKUP(Assumptions!S$2,TIAM15_assumptions!$Y$3:$Z$36,2,FALSE),TIAM15_assumptions!$H$2:$V$2,0))</f>
        <v>0.1</v>
      </c>
      <c r="T28" s="9">
        <f ca="1">OFFSET(TIAM15_assumptions!$G28,0,MATCH(VLOOKUP(Assumptions!T$2,TIAM15_assumptions!$Y$3:$Z$36,2,FALSE),TIAM15_assumptions!$H$2:$V$2,0))</f>
        <v>0.05</v>
      </c>
      <c r="U28" s="9">
        <f ca="1">OFFSET(TIAM15_assumptions!$G28,0,MATCH(VLOOKUP(Assumptions!U$2,TIAM15_assumptions!$Y$3:$Z$36,2,FALSE),TIAM15_assumptions!$H$2:$V$2,0))</f>
        <v>0.05</v>
      </c>
      <c r="V28" s="9">
        <f ca="1">OFFSET(TIAM15_assumptions!$G28,0,MATCH(VLOOKUP(Assumptions!V$2,TIAM15_assumptions!$Y$3:$Z$36,2,FALSE),TIAM15_assumptions!$H$2:$V$2,0))</f>
        <v>0.1</v>
      </c>
      <c r="W28" s="9">
        <f ca="1">OFFSET(TIAM15_assumptions!$G28,0,MATCH(VLOOKUP(Assumptions!W$2,TIAM15_assumptions!$Y$3:$Z$36,2,FALSE),TIAM15_assumptions!$H$2:$V$2,0))</f>
        <v>0.05</v>
      </c>
      <c r="X28" s="9">
        <f ca="1">OFFSET(TIAM15_assumptions!$G28,0,MATCH(VLOOKUP(Assumptions!X$2,TIAM15_assumptions!$Y$3:$Z$36,2,FALSE),TIAM15_assumptions!$H$2:$V$2,0))</f>
        <v>0.1</v>
      </c>
      <c r="Y28" s="9">
        <f ca="1">OFFSET(TIAM15_assumptions!$G28,0,MATCH(VLOOKUP(Assumptions!Y$2,TIAM15_assumptions!$Y$3:$Z$36,2,FALSE),TIAM15_assumptions!$H$2:$V$2,0))</f>
        <v>0.05</v>
      </c>
      <c r="Z28" s="9">
        <f ca="1">OFFSET(TIAM15_assumptions!$G28,0,MATCH(VLOOKUP(Assumptions!Z$2,TIAM15_assumptions!$Y$3:$Z$36,2,FALSE),TIAM15_assumptions!$H$2:$V$2,0))</f>
        <v>0.05</v>
      </c>
      <c r="AA28" s="9">
        <f ca="1">OFFSET(TIAM15_assumptions!$G28,0,MATCH(VLOOKUP(Assumptions!AA$2,TIAM15_assumptions!$Y$3:$Z$36,2,FALSE),TIAM15_assumptions!$H$2:$V$2,0))</f>
        <v>0</v>
      </c>
      <c r="AB28" s="9">
        <f ca="1">OFFSET(TIAM15_assumptions!$G28,0,MATCH(VLOOKUP(Assumptions!AB$2,TIAM15_assumptions!$Y$3:$Z$36,2,FALSE),TIAM15_assumptions!$H$2:$V$2,0))</f>
        <v>0.12</v>
      </c>
      <c r="AC28" s="9">
        <f ca="1">OFFSET(TIAM15_assumptions!$G28,0,MATCH(VLOOKUP(Assumptions!AC$2,TIAM15_assumptions!$Y$3:$Z$36,2,FALSE),TIAM15_assumptions!$H$2:$V$2,0))</f>
        <v>0.1</v>
      </c>
      <c r="AD28" s="9">
        <f ca="1">OFFSET(TIAM15_assumptions!$G28,0,MATCH(VLOOKUP(Assumptions!AD$2,TIAM15_assumptions!$Y$3:$Z$36,2,FALSE),TIAM15_assumptions!$H$2:$V$2,0))</f>
        <v>0.1</v>
      </c>
      <c r="AE28" s="9">
        <f ca="1">OFFSET(TIAM15_assumptions!$G28,0,MATCH(VLOOKUP(Assumptions!AE$2,TIAM15_assumptions!$Y$3:$Z$36,2,FALSE),TIAM15_assumptions!$H$2:$V$2,0))</f>
        <v>0.05</v>
      </c>
      <c r="AF28" s="9">
        <f ca="1">OFFSET(TIAM15_assumptions!$G28,0,MATCH(VLOOKUP(Assumptions!AF$2,TIAM15_assumptions!$Y$3:$Z$36,2,FALSE),TIAM15_assumptions!$H$2:$V$2,0))</f>
        <v>0.05</v>
      </c>
      <c r="AG28" s="9">
        <f ca="1">OFFSET(TIAM15_assumptions!$G28,0,MATCH(VLOOKUP(Assumptions!AG$2,TIAM15_assumptions!$Y$3:$Z$36,2,FALSE),TIAM15_assumptions!$H$2:$V$2,0))</f>
        <v>0.1</v>
      </c>
      <c r="AH28" s="9">
        <f ca="1">OFFSET(TIAM15_assumptions!$G28,0,MATCH(VLOOKUP(Assumptions!AH$2,TIAM15_assumptions!$Y$3:$Z$36,2,FALSE),TIAM15_assumptions!$H$2:$V$2,0))</f>
        <v>0.05</v>
      </c>
      <c r="AI28" s="9">
        <f ca="1">OFFSET(TIAM15_assumptions!$G28,0,MATCH(VLOOKUP(Assumptions!AI$2,TIAM15_assumptions!$Y$3:$Z$36,2,FALSE),TIAM15_assumptions!$H$2:$V$2,0))</f>
        <v>0.05</v>
      </c>
      <c r="AJ28" s="9">
        <f ca="1">OFFSET(TIAM15_assumptions!$G28,0,MATCH(VLOOKUP(Assumptions!AJ$2,TIAM15_assumptions!$Y$3:$Z$36,2,FALSE),TIAM15_assumptions!$H$2:$V$2,0))</f>
        <v>5.0000000000000001E-3</v>
      </c>
      <c r="AK28" s="9">
        <f ca="1">OFFSET(TIAM15_assumptions!$G28,0,MATCH(VLOOKUP(Assumptions!AK$2,TIAM15_assumptions!$Y$3:$Z$36,2,FALSE),TIAM15_assumptions!$H$2:$V$2,0))</f>
        <v>5.0000000000000001E-3</v>
      </c>
      <c r="AN28" s="34">
        <f ca="1">IFERROR(SUMIFS('TRA balance'!E$5:E$40,'TRA balance'!$C$5:$C$40,Assumptions!$C28,'TRA balance'!$D$5:$D$40,Assumptions!$B28)*BS28*H28,"")</f>
        <v>0</v>
      </c>
      <c r="AO28" s="34">
        <f ca="1">IFERROR(SUMIFS('TRA balance'!F$5:F$40,'TRA balance'!$C$5:$C$40,Assumptions!$C28,'TRA balance'!$D$5:$D$40,Assumptions!$B28)*BT28*I28,"")</f>
        <v>0</v>
      </c>
      <c r="AP28" s="34">
        <f ca="1">IFERROR(SUMIFS('TRA balance'!G$5:G$40,'TRA balance'!$C$5:$C$40,Assumptions!$C28,'TRA balance'!$D$5:$D$40,Assumptions!$B28)*BU28*J28,"")</f>
        <v>4.9224901436495987</v>
      </c>
      <c r="AQ28" s="34">
        <f ca="1">IFERROR(SUMIFS('TRA balance'!H$5:H$40,'TRA balance'!$C$5:$C$40,Assumptions!$C28,'TRA balance'!$D$5:$D$40,Assumptions!$B28)*BV28*K28,"")</f>
        <v>6.1534968393960021</v>
      </c>
      <c r="AR28" s="34">
        <f ca="1">IFERROR(SUMIFS('TRA balance'!I$5:I$40,'TRA balance'!$C$5:$C$40,Assumptions!$C28,'TRA balance'!$D$5:$D$40,Assumptions!$B28)*BW28*L28,"")</f>
        <v>0</v>
      </c>
      <c r="AS28" s="34">
        <f ca="1">IFERROR(SUMIFS('TRA balance'!J$5:J$40,'TRA balance'!$C$5:$C$40,Assumptions!$C28,'TRA balance'!$D$5:$D$40,Assumptions!$B28)*BX28*M28,"")</f>
        <v>0</v>
      </c>
      <c r="AT28" s="34">
        <f ca="1">IFERROR(SUMIFS('TRA balance'!K$5:K$40,'TRA balance'!$C$5:$C$40,Assumptions!$C28,'TRA balance'!$D$5:$D$40,Assumptions!$B28)*BY28*N28,"")</f>
        <v>3.3740651456819997</v>
      </c>
      <c r="AU28" s="34">
        <f ca="1">IFERROR(SUMIFS('TRA balance'!L$5:L$40,'TRA balance'!$C$5:$C$40,Assumptions!$C28,'TRA balance'!$D$5:$D$40,Assumptions!$B28)*BZ28*O28,"")</f>
        <v>10.778182084555198</v>
      </c>
      <c r="AV28" s="34">
        <f ca="1">IFERROR(SUMIFS('TRA balance'!M$5:M$40,'TRA balance'!$C$5:$C$40,Assumptions!$C28,'TRA balance'!$D$5:$D$40,Assumptions!$B28)*CA28*P28,"")</f>
        <v>2.718903306146403</v>
      </c>
      <c r="AW28" s="34">
        <f ca="1">IFERROR(SUMIFS('TRA balance'!N$5:N$40,'TRA balance'!$C$5:$C$40,Assumptions!$C28,'TRA balance'!$D$5:$D$40,Assumptions!$B28)*CB28*Q28,"")</f>
        <v>60.224049829223986</v>
      </c>
      <c r="AX28" s="34">
        <f ca="1">IFERROR(SUMIFS('TRA balance'!O$5:O$40,'TRA balance'!$C$5:$C$40,Assumptions!$C28,'TRA balance'!$D$5:$D$40,Assumptions!$B28)*CC28*R28,"")</f>
        <v>0.28524461153400027</v>
      </c>
      <c r="AY28" s="34">
        <f ca="1">IFERROR(SUMIFS('TRA balance'!P$5:P$40,'TRA balance'!$C$5:$C$40,Assumptions!$C28,'TRA balance'!$D$5:$D$40,Assumptions!$B28)*CD28*S28,"")</f>
        <v>1.1447309535588011</v>
      </c>
      <c r="AZ28" s="34">
        <f ca="1">IFERROR(SUMIFS('TRA balance'!Q$5:Q$40,'TRA balance'!$C$5:$C$40,Assumptions!$C28,'TRA balance'!$D$5:$D$40,Assumptions!$B28)*CE28*T28,"")</f>
        <v>0.4502170814670004</v>
      </c>
      <c r="BA28" s="34">
        <f ca="1">IFERROR(SUMIFS('TRA balance'!R$5:R$40,'TRA balance'!$C$5:$C$40,Assumptions!$C28,'TRA balance'!$D$5:$D$40,Assumptions!$B28)*CF28*U28,"")</f>
        <v>0.65924257951800069</v>
      </c>
      <c r="BB28" s="34">
        <f ca="1">IFERROR(SUMIFS('TRA balance'!S$5:S$40,'TRA balance'!$C$5:$C$40,Assumptions!$C28,'TRA balance'!$D$5:$D$40,Assumptions!$B28)*CG28*V28,"")</f>
        <v>0.52935894978840048</v>
      </c>
      <c r="BC28" s="34">
        <f ca="1">IFERROR(SUMIFS('TRA balance'!T$5:T$40,'TRA balance'!$C$5:$C$40,Assumptions!$C28,'TRA balance'!$D$5:$D$40,Assumptions!$B28)*CH28*W28,"")</f>
        <v>0.40670803799280036</v>
      </c>
      <c r="BD28" s="34">
        <f ca="1">IFERROR(SUMIFS('TRA balance'!U$5:U$40,'TRA balance'!$C$5:$C$40,Assumptions!$C28,'TRA balance'!$D$5:$D$40,Assumptions!$B28)*CI28*X28,"")</f>
        <v>11.080530155088002</v>
      </c>
      <c r="BE28" s="34">
        <f ca="1">IFERROR(SUMIFS('TRA balance'!V$5:V$40,'TRA balance'!$C$5:$C$40,Assumptions!$C28,'TRA balance'!$D$5:$D$40,Assumptions!$B28)*CJ28*Y28,"")</f>
        <v>0.49365485095140038</v>
      </c>
      <c r="BF28" s="34">
        <f ca="1">IFERROR(SUMIFS('TRA balance'!W$5:W$40,'TRA balance'!$C$5:$C$40,Assumptions!$C28,'TRA balance'!$D$5:$D$40,Assumptions!$B28)*CK28*Z28,"")</f>
        <v>1.083917999662201</v>
      </c>
      <c r="BG28" s="34">
        <f ca="1">IFERROR(SUMIFS('TRA balance'!X$5:X$40,'TRA balance'!$C$5:$C$40,Assumptions!$C28,'TRA balance'!$D$5:$D$40,Assumptions!$B28)*CL28*AA28,"")</f>
        <v>0</v>
      </c>
      <c r="BH28" s="34">
        <f ca="1">IFERROR(SUMIFS('TRA balance'!Y$5:Y$40,'TRA balance'!$C$5:$C$40,Assumptions!$C28,'TRA balance'!$D$5:$D$40,Assumptions!$B28)*CM28*AB28,"")</f>
        <v>15.570997251839996</v>
      </c>
      <c r="BI28" s="34">
        <f ca="1">IFERROR(SUMIFS('TRA balance'!Z$5:Z$40,'TRA balance'!$C$5:$C$40,Assumptions!$C28,'TRA balance'!$D$5:$D$40,Assumptions!$B28)*CN28*AC28,"")</f>
        <v>7.4856346926840063</v>
      </c>
      <c r="BJ28" s="34">
        <f ca="1">IFERROR(SUMIFS('TRA balance'!AA$5:AA$40,'TRA balance'!$C$5:$C$40,Assumptions!$C28,'TRA balance'!$D$5:$D$40,Assumptions!$B28)*CO28*AD28,"")</f>
        <v>70.788716861940017</v>
      </c>
      <c r="BK28" s="34">
        <f ca="1">IFERROR(SUMIFS('TRA balance'!AB$5:AB$40,'TRA balance'!$C$5:$C$40,Assumptions!$C28,'TRA balance'!$D$5:$D$40,Assumptions!$B28)*CP28*AE28,"")</f>
        <v>4.9680910024200053E-2</v>
      </c>
      <c r="BL28" s="34">
        <f ca="1">IFERROR(SUMIFS('TRA balance'!AC$5:AC$40,'TRA balance'!$C$5:$C$40,Assumptions!$C28,'TRA balance'!$D$5:$D$40,Assumptions!$B28)*CQ28*AF28,"")</f>
        <v>22.396004413434003</v>
      </c>
      <c r="BM28" s="34">
        <f ca="1">IFERROR(SUMIFS('TRA balance'!AD$5:AD$40,'TRA balance'!$C$5:$C$40,Assumptions!$C28,'TRA balance'!$D$5:$D$40,Assumptions!$B28)*CR28*AG28,"")</f>
        <v>30.581120643624004</v>
      </c>
      <c r="BN28" s="34">
        <f ca="1">IFERROR(SUMIFS('TRA balance'!AE$5:AE$40,'TRA balance'!$C$5:$C$40,Assumptions!$C28,'TRA balance'!$D$5:$D$40,Assumptions!$B28)*CS28*AH28,"")</f>
        <v>0</v>
      </c>
      <c r="BO28" s="34">
        <f ca="1">IFERROR(SUMIFS('TRA balance'!AF$5:AF$40,'TRA balance'!$C$5:$C$40,Assumptions!$C28,'TRA balance'!$D$5:$D$40,Assumptions!$B28)*CT28*AI28,"")</f>
        <v>0.77617385568540076</v>
      </c>
      <c r="BP28" s="34">
        <f ca="1">IFERROR(SUMIFS('TRA balance'!AG$5:AG$40,'TRA balance'!$C$5:$C$40,Assumptions!$C28,'TRA balance'!$D$5:$D$40,Assumptions!$B28)*CU28*AJ28,"")</f>
        <v>15.490670717991595</v>
      </c>
      <c r="BQ28" s="34">
        <f ca="1">IFERROR(SUMIFS('TRA balance'!AH$5:AH$40,'TRA balance'!$C$5:$C$40,Assumptions!$C28,'TRA balance'!$D$5:$D$40,Assumptions!$B28)*CV28*AK28,"")</f>
        <v>0</v>
      </c>
      <c r="BS28" s="33">
        <f t="shared" ca="1" si="16"/>
        <v>0</v>
      </c>
      <c r="BT28" s="33">
        <f t="shared" ca="1" si="17"/>
        <v>0</v>
      </c>
      <c r="BU28" s="33">
        <f t="shared" ca="1" si="18"/>
        <v>9.9999999999999978E-2</v>
      </c>
      <c r="BV28" s="33">
        <f t="shared" ca="1" si="19"/>
        <v>0.30000000000000004</v>
      </c>
      <c r="BW28" s="33">
        <f t="shared" ca="1" si="20"/>
        <v>9.9999999999999978E-2</v>
      </c>
      <c r="BX28" s="33">
        <f t="shared" ca="1" si="21"/>
        <v>0</v>
      </c>
      <c r="BY28" s="33">
        <f t="shared" ca="1" si="22"/>
        <v>9.9999999999999978E-2</v>
      </c>
      <c r="BZ28" s="33">
        <f t="shared" ca="1" si="23"/>
        <v>9.9999999999999978E-2</v>
      </c>
      <c r="CA28" s="33">
        <f t="shared" ca="1" si="24"/>
        <v>4.0000000000000036E-2</v>
      </c>
      <c r="CB28" s="33">
        <f t="shared" ca="1" si="25"/>
        <v>9.9999999999999978E-2</v>
      </c>
      <c r="CC28" s="33">
        <f t="shared" ca="1" si="26"/>
        <v>3.0000000000000027E-2</v>
      </c>
      <c r="CD28" s="33">
        <f t="shared" ca="1" si="27"/>
        <v>3.0000000000000027E-2</v>
      </c>
      <c r="CE28" s="33">
        <f t="shared" ca="1" si="28"/>
        <v>3.0000000000000027E-2</v>
      </c>
      <c r="CF28" s="33">
        <f t="shared" ca="1" si="29"/>
        <v>3.0000000000000027E-2</v>
      </c>
      <c r="CG28" s="33">
        <f t="shared" ca="1" si="30"/>
        <v>3.0000000000000027E-2</v>
      </c>
      <c r="CH28" s="33">
        <f t="shared" ca="1" si="31"/>
        <v>3.0000000000000027E-2</v>
      </c>
      <c r="CI28" s="33">
        <f t="shared" ca="1" si="32"/>
        <v>0.30000000000000004</v>
      </c>
      <c r="CJ28" s="33">
        <f t="shared" ca="1" si="33"/>
        <v>3.0000000000000027E-2</v>
      </c>
      <c r="CK28" s="33">
        <f t="shared" ca="1" si="34"/>
        <v>3.0000000000000027E-2</v>
      </c>
      <c r="CL28" s="33">
        <f t="shared" ca="1" si="35"/>
        <v>0</v>
      </c>
      <c r="CM28" s="33">
        <f t="shared" ca="1" si="36"/>
        <v>9.9999999999999978E-2</v>
      </c>
      <c r="CN28" s="33">
        <f t="shared" ca="1" si="37"/>
        <v>5.0000000000000044E-2</v>
      </c>
      <c r="CO28" s="33">
        <f t="shared" ca="1" si="38"/>
        <v>0.30000000000000004</v>
      </c>
      <c r="CP28" s="33">
        <f t="shared" ca="1" si="39"/>
        <v>3.0000000000000027E-2</v>
      </c>
      <c r="CQ28" s="33">
        <f t="shared" ca="1" si="40"/>
        <v>0.30000000000000004</v>
      </c>
      <c r="CR28" s="33">
        <f t="shared" ca="1" si="41"/>
        <v>0.30000000000000004</v>
      </c>
      <c r="CS28" s="33">
        <f t="shared" ca="1" si="42"/>
        <v>0</v>
      </c>
      <c r="CT28" s="33">
        <f t="shared" ca="1" si="43"/>
        <v>3.0000000000000027E-2</v>
      </c>
      <c r="CU28" s="33">
        <f t="shared" ca="1" si="44"/>
        <v>0.19999999999999996</v>
      </c>
      <c r="CV28" s="33">
        <f t="shared" ca="1" si="45"/>
        <v>0.19999999999999996</v>
      </c>
    </row>
    <row r="29" spans="1:100" x14ac:dyDescent="0.45">
      <c r="A29">
        <v>2</v>
      </c>
      <c r="B29" t="str">
        <f>VLOOKUP(F29,'TRA balance'!$AK$5:$AL$14,2,FALSE)</f>
        <v>TRAGSL</v>
      </c>
      <c r="C29" s="6" t="str">
        <f t="shared" si="46"/>
        <v>TR</v>
      </c>
      <c r="D29" s="7" t="s">
        <v>16</v>
      </c>
      <c r="E29" s="18" t="s">
        <v>73</v>
      </c>
      <c r="F29" s="8" t="str">
        <f t="shared" ref="F29:F35" si="78">F28</f>
        <v>Gasoline</v>
      </c>
      <c r="G29" s="6" t="s">
        <v>74</v>
      </c>
      <c r="H29" s="9">
        <f ca="1">OFFSET(TIAM15_assumptions!$G29,0,MATCH(VLOOKUP(Assumptions!H$2,TIAM15_assumptions!$Y$3:$Z$36,2,FALSE),TIAM15_assumptions!$H$2:$V$2,0))</f>
        <v>0</v>
      </c>
      <c r="I29" s="9">
        <f ca="1">OFFSET(TIAM15_assumptions!$G29,0,MATCH(VLOOKUP(Assumptions!I$2,TIAM15_assumptions!$Y$3:$Z$36,2,FALSE),TIAM15_assumptions!$H$2:$V$2,0))</f>
        <v>0</v>
      </c>
      <c r="J29" s="9">
        <f ca="1">OFFSET(TIAM15_assumptions!$G29,0,MATCH(VLOOKUP(Assumptions!J$2,TIAM15_assumptions!$Y$3:$Z$36,2,FALSE),TIAM15_assumptions!$H$2:$V$2,0))</f>
        <v>0</v>
      </c>
      <c r="K29" s="9">
        <f ca="1">OFFSET(TIAM15_assumptions!$G29,0,MATCH(VLOOKUP(Assumptions!K$2,TIAM15_assumptions!$Y$3:$Z$36,2,FALSE),TIAM15_assumptions!$H$2:$V$2,0))</f>
        <v>0</v>
      </c>
      <c r="L29" s="9">
        <f ca="1">OFFSET(TIAM15_assumptions!$G29,0,MATCH(VLOOKUP(Assumptions!L$2,TIAM15_assumptions!$Y$3:$Z$36,2,FALSE),TIAM15_assumptions!$H$2:$V$2,0))</f>
        <v>0</v>
      </c>
      <c r="M29" s="9">
        <f ca="1">OFFSET(TIAM15_assumptions!$G29,0,MATCH(VLOOKUP(Assumptions!M$2,TIAM15_assumptions!$Y$3:$Z$36,2,FALSE),TIAM15_assumptions!$H$2:$V$2,0))</f>
        <v>0</v>
      </c>
      <c r="N29" s="9">
        <f ca="1">OFFSET(TIAM15_assumptions!$G29,0,MATCH(VLOOKUP(Assumptions!N$2,TIAM15_assumptions!$Y$3:$Z$36,2,FALSE),TIAM15_assumptions!$H$2:$V$2,0))</f>
        <v>0</v>
      </c>
      <c r="O29" s="9">
        <f ca="1">OFFSET(TIAM15_assumptions!$G29,0,MATCH(VLOOKUP(Assumptions!O$2,TIAM15_assumptions!$Y$3:$Z$36,2,FALSE),TIAM15_assumptions!$H$2:$V$2,0))</f>
        <v>0</v>
      </c>
      <c r="P29" s="9">
        <f ca="1">OFFSET(TIAM15_assumptions!$G29,0,MATCH(VLOOKUP(Assumptions!P$2,TIAM15_assumptions!$Y$3:$Z$36,2,FALSE),TIAM15_assumptions!$H$2:$V$2,0))</f>
        <v>0</v>
      </c>
      <c r="Q29" s="9">
        <f ca="1">OFFSET(TIAM15_assumptions!$G29,0,MATCH(VLOOKUP(Assumptions!Q$2,TIAM15_assumptions!$Y$3:$Z$36,2,FALSE),TIAM15_assumptions!$H$2:$V$2,0))</f>
        <v>0</v>
      </c>
      <c r="R29" s="9">
        <f ca="1">OFFSET(TIAM15_assumptions!$G29,0,MATCH(VLOOKUP(Assumptions!R$2,TIAM15_assumptions!$Y$3:$Z$36,2,FALSE),TIAM15_assumptions!$H$2:$V$2,0))</f>
        <v>0</v>
      </c>
      <c r="S29" s="9">
        <f ca="1">OFFSET(TIAM15_assumptions!$G29,0,MATCH(VLOOKUP(Assumptions!S$2,TIAM15_assumptions!$Y$3:$Z$36,2,FALSE),TIAM15_assumptions!$H$2:$V$2,0))</f>
        <v>0</v>
      </c>
      <c r="T29" s="9">
        <f ca="1">OFFSET(TIAM15_assumptions!$G29,0,MATCH(VLOOKUP(Assumptions!T$2,TIAM15_assumptions!$Y$3:$Z$36,2,FALSE),TIAM15_assumptions!$H$2:$V$2,0))</f>
        <v>0</v>
      </c>
      <c r="U29" s="9">
        <f ca="1">OFFSET(TIAM15_assumptions!$G29,0,MATCH(VLOOKUP(Assumptions!U$2,TIAM15_assumptions!$Y$3:$Z$36,2,FALSE),TIAM15_assumptions!$H$2:$V$2,0))</f>
        <v>0</v>
      </c>
      <c r="V29" s="9">
        <f ca="1">OFFSET(TIAM15_assumptions!$G29,0,MATCH(VLOOKUP(Assumptions!V$2,TIAM15_assumptions!$Y$3:$Z$36,2,FALSE),TIAM15_assumptions!$H$2:$V$2,0))</f>
        <v>0</v>
      </c>
      <c r="W29" s="9">
        <f ca="1">OFFSET(TIAM15_assumptions!$G29,0,MATCH(VLOOKUP(Assumptions!W$2,TIAM15_assumptions!$Y$3:$Z$36,2,FALSE),TIAM15_assumptions!$H$2:$V$2,0))</f>
        <v>0</v>
      </c>
      <c r="X29" s="9">
        <f ca="1">OFFSET(TIAM15_assumptions!$G29,0,MATCH(VLOOKUP(Assumptions!X$2,TIAM15_assumptions!$Y$3:$Z$36,2,FALSE),TIAM15_assumptions!$H$2:$V$2,0))</f>
        <v>0</v>
      </c>
      <c r="Y29" s="9">
        <f ca="1">OFFSET(TIAM15_assumptions!$G29,0,MATCH(VLOOKUP(Assumptions!Y$2,TIAM15_assumptions!$Y$3:$Z$36,2,FALSE),TIAM15_assumptions!$H$2:$V$2,0))</f>
        <v>0</v>
      </c>
      <c r="Z29" s="9">
        <f ca="1">OFFSET(TIAM15_assumptions!$G29,0,MATCH(VLOOKUP(Assumptions!Z$2,TIAM15_assumptions!$Y$3:$Z$36,2,FALSE),TIAM15_assumptions!$H$2:$V$2,0))</f>
        <v>0</v>
      </c>
      <c r="AA29" s="9">
        <f ca="1">OFFSET(TIAM15_assumptions!$G29,0,MATCH(VLOOKUP(Assumptions!AA$2,TIAM15_assumptions!$Y$3:$Z$36,2,FALSE),TIAM15_assumptions!$H$2:$V$2,0))</f>
        <v>0</v>
      </c>
      <c r="AB29" s="9">
        <f ca="1">OFFSET(TIAM15_assumptions!$G29,0,MATCH(VLOOKUP(Assumptions!AB$2,TIAM15_assumptions!$Y$3:$Z$36,2,FALSE),TIAM15_assumptions!$H$2:$V$2,0))</f>
        <v>0</v>
      </c>
      <c r="AC29" s="9">
        <f ca="1">OFFSET(TIAM15_assumptions!$G29,0,MATCH(VLOOKUP(Assumptions!AC$2,TIAM15_assumptions!$Y$3:$Z$36,2,FALSE),TIAM15_assumptions!$H$2:$V$2,0))</f>
        <v>0</v>
      </c>
      <c r="AD29" s="9">
        <f ca="1">OFFSET(TIAM15_assumptions!$G29,0,MATCH(VLOOKUP(Assumptions!AD$2,TIAM15_assumptions!$Y$3:$Z$36,2,FALSE),TIAM15_assumptions!$H$2:$V$2,0))</f>
        <v>0</v>
      </c>
      <c r="AE29" s="9">
        <f ca="1">OFFSET(TIAM15_assumptions!$G29,0,MATCH(VLOOKUP(Assumptions!AE$2,TIAM15_assumptions!$Y$3:$Z$36,2,FALSE),TIAM15_assumptions!$H$2:$V$2,0))</f>
        <v>0</v>
      </c>
      <c r="AF29" s="9">
        <f ca="1">OFFSET(TIAM15_assumptions!$G29,0,MATCH(VLOOKUP(Assumptions!AF$2,TIAM15_assumptions!$Y$3:$Z$36,2,FALSE),TIAM15_assumptions!$H$2:$V$2,0))</f>
        <v>0</v>
      </c>
      <c r="AG29" s="9">
        <f ca="1">OFFSET(TIAM15_assumptions!$G29,0,MATCH(VLOOKUP(Assumptions!AG$2,TIAM15_assumptions!$Y$3:$Z$36,2,FALSE),TIAM15_assumptions!$H$2:$V$2,0))</f>
        <v>0</v>
      </c>
      <c r="AH29" s="9">
        <f ca="1">OFFSET(TIAM15_assumptions!$G29,0,MATCH(VLOOKUP(Assumptions!AH$2,TIAM15_assumptions!$Y$3:$Z$36,2,FALSE),TIAM15_assumptions!$H$2:$V$2,0))</f>
        <v>0</v>
      </c>
      <c r="AI29" s="9">
        <f ca="1">OFFSET(TIAM15_assumptions!$G29,0,MATCH(VLOOKUP(Assumptions!AI$2,TIAM15_assumptions!$Y$3:$Z$36,2,FALSE),TIAM15_assumptions!$H$2:$V$2,0))</f>
        <v>0</v>
      </c>
      <c r="AJ29" s="9">
        <f ca="1">OFFSET(TIAM15_assumptions!$G29,0,MATCH(VLOOKUP(Assumptions!AJ$2,TIAM15_assumptions!$Y$3:$Z$36,2,FALSE),TIAM15_assumptions!$H$2:$V$2,0))</f>
        <v>0</v>
      </c>
      <c r="AK29" s="9">
        <f ca="1">OFFSET(TIAM15_assumptions!$G29,0,MATCH(VLOOKUP(Assumptions!AK$2,TIAM15_assumptions!$Y$3:$Z$36,2,FALSE),TIAM15_assumptions!$H$2:$V$2,0))</f>
        <v>0</v>
      </c>
      <c r="AN29" s="34">
        <f ca="1">IFERROR(SUMIFS('TRA balance'!E$5:E$40,'TRA balance'!$C$5:$C$40,Assumptions!$C29,'TRA balance'!$D$5:$D$40,Assumptions!$B29)*BS29*H29,"")</f>
        <v>0</v>
      </c>
      <c r="AO29" s="34">
        <f ca="1">IFERROR(SUMIFS('TRA balance'!F$5:F$40,'TRA balance'!$C$5:$C$40,Assumptions!$C29,'TRA balance'!$D$5:$D$40,Assumptions!$B29)*BT29*I29,"")</f>
        <v>0</v>
      </c>
      <c r="AP29" s="34">
        <f ca="1">IFERROR(SUMIFS('TRA balance'!G$5:G$40,'TRA balance'!$C$5:$C$40,Assumptions!$C29,'TRA balance'!$D$5:$D$40,Assumptions!$B29)*BU29*J29,"")</f>
        <v>0</v>
      </c>
      <c r="AQ29" s="34">
        <f ca="1">IFERROR(SUMIFS('TRA balance'!H$5:H$40,'TRA balance'!$C$5:$C$40,Assumptions!$C29,'TRA balance'!$D$5:$D$40,Assumptions!$B29)*BV29*K29,"")</f>
        <v>0</v>
      </c>
      <c r="AR29" s="34">
        <f ca="1">IFERROR(SUMIFS('TRA balance'!I$5:I$40,'TRA balance'!$C$5:$C$40,Assumptions!$C29,'TRA balance'!$D$5:$D$40,Assumptions!$B29)*BW29*L29,"")</f>
        <v>0</v>
      </c>
      <c r="AS29" s="34">
        <f ca="1">IFERROR(SUMIFS('TRA balance'!J$5:J$40,'TRA balance'!$C$5:$C$40,Assumptions!$C29,'TRA balance'!$D$5:$D$40,Assumptions!$B29)*BX29*M29,"")</f>
        <v>0</v>
      </c>
      <c r="AT29" s="34">
        <f ca="1">IFERROR(SUMIFS('TRA balance'!K$5:K$40,'TRA balance'!$C$5:$C$40,Assumptions!$C29,'TRA balance'!$D$5:$D$40,Assumptions!$B29)*BY29*N29,"")</f>
        <v>0</v>
      </c>
      <c r="AU29" s="34">
        <f ca="1">IFERROR(SUMIFS('TRA balance'!L$5:L$40,'TRA balance'!$C$5:$C$40,Assumptions!$C29,'TRA balance'!$D$5:$D$40,Assumptions!$B29)*BZ29*O29,"")</f>
        <v>0</v>
      </c>
      <c r="AV29" s="34">
        <f ca="1">IFERROR(SUMIFS('TRA balance'!M$5:M$40,'TRA balance'!$C$5:$C$40,Assumptions!$C29,'TRA balance'!$D$5:$D$40,Assumptions!$B29)*CA29*P29,"")</f>
        <v>0</v>
      </c>
      <c r="AW29" s="34">
        <f ca="1">IFERROR(SUMIFS('TRA balance'!N$5:N$40,'TRA balance'!$C$5:$C$40,Assumptions!$C29,'TRA balance'!$D$5:$D$40,Assumptions!$B29)*CB29*Q29,"")</f>
        <v>0</v>
      </c>
      <c r="AX29" s="34">
        <f ca="1">IFERROR(SUMIFS('TRA balance'!O$5:O$40,'TRA balance'!$C$5:$C$40,Assumptions!$C29,'TRA balance'!$D$5:$D$40,Assumptions!$B29)*CC29*R29,"")</f>
        <v>0</v>
      </c>
      <c r="AY29" s="34">
        <f ca="1">IFERROR(SUMIFS('TRA balance'!P$5:P$40,'TRA balance'!$C$5:$C$40,Assumptions!$C29,'TRA balance'!$D$5:$D$40,Assumptions!$B29)*CD29*S29,"")</f>
        <v>0</v>
      </c>
      <c r="AZ29" s="34">
        <f ca="1">IFERROR(SUMIFS('TRA balance'!Q$5:Q$40,'TRA balance'!$C$5:$C$40,Assumptions!$C29,'TRA balance'!$D$5:$D$40,Assumptions!$B29)*CE29*T29,"")</f>
        <v>0</v>
      </c>
      <c r="BA29" s="34">
        <f ca="1">IFERROR(SUMIFS('TRA balance'!R$5:R$40,'TRA balance'!$C$5:$C$40,Assumptions!$C29,'TRA balance'!$D$5:$D$40,Assumptions!$B29)*CF29*U29,"")</f>
        <v>0</v>
      </c>
      <c r="BB29" s="34">
        <f ca="1">IFERROR(SUMIFS('TRA balance'!S$5:S$40,'TRA balance'!$C$5:$C$40,Assumptions!$C29,'TRA balance'!$D$5:$D$40,Assumptions!$B29)*CG29*V29,"")</f>
        <v>0</v>
      </c>
      <c r="BC29" s="34">
        <f ca="1">IFERROR(SUMIFS('TRA balance'!T$5:T$40,'TRA balance'!$C$5:$C$40,Assumptions!$C29,'TRA balance'!$D$5:$D$40,Assumptions!$B29)*CH29*W29,"")</f>
        <v>0</v>
      </c>
      <c r="BD29" s="34">
        <f ca="1">IFERROR(SUMIFS('TRA balance'!U$5:U$40,'TRA balance'!$C$5:$C$40,Assumptions!$C29,'TRA balance'!$D$5:$D$40,Assumptions!$B29)*CI29*X29,"")</f>
        <v>0</v>
      </c>
      <c r="BE29" s="34">
        <f ca="1">IFERROR(SUMIFS('TRA balance'!V$5:V$40,'TRA balance'!$C$5:$C$40,Assumptions!$C29,'TRA balance'!$D$5:$D$40,Assumptions!$B29)*CJ29*Y29,"")</f>
        <v>0</v>
      </c>
      <c r="BF29" s="34">
        <f ca="1">IFERROR(SUMIFS('TRA balance'!W$5:W$40,'TRA balance'!$C$5:$C$40,Assumptions!$C29,'TRA balance'!$D$5:$D$40,Assumptions!$B29)*CK29*Z29,"")</f>
        <v>0</v>
      </c>
      <c r="BG29" s="34">
        <f ca="1">IFERROR(SUMIFS('TRA balance'!X$5:X$40,'TRA balance'!$C$5:$C$40,Assumptions!$C29,'TRA balance'!$D$5:$D$40,Assumptions!$B29)*CL29*AA29,"")</f>
        <v>0</v>
      </c>
      <c r="BH29" s="34">
        <f ca="1">IFERROR(SUMIFS('TRA balance'!Y$5:Y$40,'TRA balance'!$C$5:$C$40,Assumptions!$C29,'TRA balance'!$D$5:$D$40,Assumptions!$B29)*CM29*AB29,"")</f>
        <v>0</v>
      </c>
      <c r="BI29" s="34">
        <f ca="1">IFERROR(SUMIFS('TRA balance'!Z$5:Z$40,'TRA balance'!$C$5:$C$40,Assumptions!$C29,'TRA balance'!$D$5:$D$40,Assumptions!$B29)*CN29*AC29,"")</f>
        <v>0</v>
      </c>
      <c r="BJ29" s="34">
        <f ca="1">IFERROR(SUMIFS('TRA balance'!AA$5:AA$40,'TRA balance'!$C$5:$C$40,Assumptions!$C29,'TRA balance'!$D$5:$D$40,Assumptions!$B29)*CO29*AD29,"")</f>
        <v>0</v>
      </c>
      <c r="BK29" s="34">
        <f ca="1">IFERROR(SUMIFS('TRA balance'!AB$5:AB$40,'TRA balance'!$C$5:$C$40,Assumptions!$C29,'TRA balance'!$D$5:$D$40,Assumptions!$B29)*CP29*AE29,"")</f>
        <v>0</v>
      </c>
      <c r="BL29" s="34">
        <f ca="1">IFERROR(SUMIFS('TRA balance'!AC$5:AC$40,'TRA balance'!$C$5:$C$40,Assumptions!$C29,'TRA balance'!$D$5:$D$40,Assumptions!$B29)*CQ29*AF29,"")</f>
        <v>0</v>
      </c>
      <c r="BM29" s="34">
        <f ca="1">IFERROR(SUMIFS('TRA balance'!AD$5:AD$40,'TRA balance'!$C$5:$C$40,Assumptions!$C29,'TRA balance'!$D$5:$D$40,Assumptions!$B29)*CR29*AG29,"")</f>
        <v>0</v>
      </c>
      <c r="BN29" s="34">
        <f ca="1">IFERROR(SUMIFS('TRA balance'!AE$5:AE$40,'TRA balance'!$C$5:$C$40,Assumptions!$C29,'TRA balance'!$D$5:$D$40,Assumptions!$B29)*CS29*AH29,"")</f>
        <v>0</v>
      </c>
      <c r="BO29" s="34">
        <f ca="1">IFERROR(SUMIFS('TRA balance'!AF$5:AF$40,'TRA balance'!$C$5:$C$40,Assumptions!$C29,'TRA balance'!$D$5:$D$40,Assumptions!$B29)*CT29*AI29,"")</f>
        <v>0</v>
      </c>
      <c r="BP29" s="34">
        <f ca="1">IFERROR(SUMIFS('TRA balance'!AG$5:AG$40,'TRA balance'!$C$5:$C$40,Assumptions!$C29,'TRA balance'!$D$5:$D$40,Assumptions!$B29)*CU29*AJ29,"")</f>
        <v>0</v>
      </c>
      <c r="BQ29" s="34">
        <f ca="1">IFERROR(SUMIFS('TRA balance'!AH$5:AH$40,'TRA balance'!$C$5:$C$40,Assumptions!$C29,'TRA balance'!$D$5:$D$40,Assumptions!$B29)*CV29*AK29,"")</f>
        <v>0</v>
      </c>
      <c r="BS29" s="33">
        <f t="shared" ca="1" si="16"/>
        <v>0</v>
      </c>
      <c r="BT29" s="33">
        <f t="shared" ca="1" si="17"/>
        <v>0</v>
      </c>
      <c r="BU29" s="33">
        <f t="shared" ca="1" si="18"/>
        <v>9.9999999999999978E-2</v>
      </c>
      <c r="BV29" s="33">
        <f t="shared" ca="1" si="19"/>
        <v>0.30000000000000004</v>
      </c>
      <c r="BW29" s="33">
        <f t="shared" ca="1" si="20"/>
        <v>9.9999999999999978E-2</v>
      </c>
      <c r="BX29" s="33">
        <f t="shared" ca="1" si="21"/>
        <v>0</v>
      </c>
      <c r="BY29" s="33">
        <f t="shared" ca="1" si="22"/>
        <v>9.9999999999999978E-2</v>
      </c>
      <c r="BZ29" s="33">
        <f t="shared" ca="1" si="23"/>
        <v>9.9999999999999978E-2</v>
      </c>
      <c r="CA29" s="33">
        <f t="shared" ca="1" si="24"/>
        <v>4.0000000000000036E-2</v>
      </c>
      <c r="CB29" s="33">
        <f t="shared" ca="1" si="25"/>
        <v>9.9999999999999978E-2</v>
      </c>
      <c r="CC29" s="33">
        <f t="shared" ca="1" si="26"/>
        <v>3.0000000000000027E-2</v>
      </c>
      <c r="CD29" s="33">
        <f t="shared" ca="1" si="27"/>
        <v>3.0000000000000027E-2</v>
      </c>
      <c r="CE29" s="33">
        <f t="shared" ca="1" si="28"/>
        <v>3.0000000000000027E-2</v>
      </c>
      <c r="CF29" s="33">
        <f t="shared" ca="1" si="29"/>
        <v>3.0000000000000027E-2</v>
      </c>
      <c r="CG29" s="33">
        <f t="shared" ca="1" si="30"/>
        <v>3.0000000000000027E-2</v>
      </c>
      <c r="CH29" s="33">
        <f t="shared" ca="1" si="31"/>
        <v>3.0000000000000027E-2</v>
      </c>
      <c r="CI29" s="33">
        <f t="shared" ca="1" si="32"/>
        <v>0.30000000000000004</v>
      </c>
      <c r="CJ29" s="33">
        <f t="shared" ca="1" si="33"/>
        <v>3.0000000000000027E-2</v>
      </c>
      <c r="CK29" s="33">
        <f t="shared" ca="1" si="34"/>
        <v>3.0000000000000027E-2</v>
      </c>
      <c r="CL29" s="33">
        <f t="shared" ca="1" si="35"/>
        <v>0</v>
      </c>
      <c r="CM29" s="33">
        <f t="shared" ca="1" si="36"/>
        <v>9.9999999999999978E-2</v>
      </c>
      <c r="CN29" s="33">
        <f t="shared" ca="1" si="37"/>
        <v>5.0000000000000044E-2</v>
      </c>
      <c r="CO29" s="33">
        <f t="shared" ca="1" si="38"/>
        <v>0.30000000000000004</v>
      </c>
      <c r="CP29" s="33">
        <f t="shared" ca="1" si="39"/>
        <v>3.0000000000000027E-2</v>
      </c>
      <c r="CQ29" s="33">
        <f t="shared" ca="1" si="40"/>
        <v>0.30000000000000004</v>
      </c>
      <c r="CR29" s="33">
        <f t="shared" ca="1" si="41"/>
        <v>0.30000000000000004</v>
      </c>
      <c r="CS29" s="33">
        <f t="shared" ca="1" si="42"/>
        <v>0</v>
      </c>
      <c r="CT29" s="33">
        <f t="shared" ca="1" si="43"/>
        <v>3.0000000000000027E-2</v>
      </c>
      <c r="CU29" s="33">
        <f t="shared" ca="1" si="44"/>
        <v>0.19999999999999996</v>
      </c>
      <c r="CV29" s="33">
        <f t="shared" ca="1" si="45"/>
        <v>0.19999999999999996</v>
      </c>
    </row>
    <row r="30" spans="1:100" x14ac:dyDescent="0.45">
      <c r="A30">
        <v>2</v>
      </c>
      <c r="B30" t="str">
        <f>VLOOKUP(F30,'TRA balance'!$AK$5:$AL$14,2,FALSE)</f>
        <v>TRAGSL</v>
      </c>
      <c r="C30" s="6" t="str">
        <f t="shared" si="46"/>
        <v>TR</v>
      </c>
      <c r="D30" s="7" t="s">
        <v>16</v>
      </c>
      <c r="E30" s="18" t="s">
        <v>75</v>
      </c>
      <c r="F30" s="8" t="str">
        <f t="shared" si="78"/>
        <v>Gasoline</v>
      </c>
      <c r="G30" s="6" t="s">
        <v>76</v>
      </c>
      <c r="H30" s="9">
        <f ca="1">OFFSET(TIAM15_assumptions!$G30,0,MATCH(VLOOKUP(Assumptions!H$2,TIAM15_assumptions!$Y$3:$Z$36,2,FALSE),TIAM15_assumptions!$H$2:$V$2,0))</f>
        <v>0.4</v>
      </c>
      <c r="I30" s="9">
        <f ca="1">OFFSET(TIAM15_assumptions!$G30,0,MATCH(VLOOKUP(Assumptions!I$2,TIAM15_assumptions!$Y$3:$Z$36,2,FALSE),TIAM15_assumptions!$H$2:$V$2,0))</f>
        <v>0.4</v>
      </c>
      <c r="J30" s="9">
        <f ca="1">OFFSET(TIAM15_assumptions!$G30,0,MATCH(VLOOKUP(Assumptions!J$2,TIAM15_assumptions!$Y$3:$Z$36,2,FALSE),TIAM15_assumptions!$H$2:$V$2,0))</f>
        <v>0.3</v>
      </c>
      <c r="K30" s="9">
        <f ca="1">OFFSET(TIAM15_assumptions!$G30,0,MATCH(VLOOKUP(Assumptions!K$2,TIAM15_assumptions!$Y$3:$Z$36,2,FALSE),TIAM15_assumptions!$H$2:$V$2,0))</f>
        <v>0.4</v>
      </c>
      <c r="L30" s="9">
        <f ca="1">OFFSET(TIAM15_assumptions!$G30,0,MATCH(VLOOKUP(Assumptions!L$2,TIAM15_assumptions!$Y$3:$Z$36,2,FALSE),TIAM15_assumptions!$H$2:$V$2,0))</f>
        <v>0</v>
      </c>
      <c r="M30" s="9">
        <f ca="1">OFFSET(TIAM15_assumptions!$G30,0,MATCH(VLOOKUP(Assumptions!M$2,TIAM15_assumptions!$Y$3:$Z$36,2,FALSE),TIAM15_assumptions!$H$2:$V$2,0))</f>
        <v>0.35</v>
      </c>
      <c r="N30" s="9">
        <f ca="1">OFFSET(TIAM15_assumptions!$G30,0,MATCH(VLOOKUP(Assumptions!N$2,TIAM15_assumptions!$Y$3:$Z$36,2,FALSE),TIAM15_assumptions!$H$2:$V$2,0))</f>
        <v>0</v>
      </c>
      <c r="O30" s="9">
        <f ca="1">OFFSET(TIAM15_assumptions!$G30,0,MATCH(VLOOKUP(Assumptions!O$2,TIAM15_assumptions!$Y$3:$Z$36,2,FALSE),TIAM15_assumptions!$H$2:$V$2,0))</f>
        <v>0.3</v>
      </c>
      <c r="P30" s="9">
        <f ca="1">OFFSET(TIAM15_assumptions!$G30,0,MATCH(VLOOKUP(Assumptions!P$2,TIAM15_assumptions!$Y$3:$Z$36,2,FALSE),TIAM15_assumptions!$H$2:$V$2,0))</f>
        <v>0.05</v>
      </c>
      <c r="Q30" s="9">
        <f ca="1">OFFSET(TIAM15_assumptions!$G30,0,MATCH(VLOOKUP(Assumptions!Q$2,TIAM15_assumptions!$Y$3:$Z$36,2,FALSE),TIAM15_assumptions!$H$2:$V$2,0))</f>
        <v>0.1</v>
      </c>
      <c r="R30" s="9">
        <f ca="1">OFFSET(TIAM15_assumptions!$G30,0,MATCH(VLOOKUP(Assumptions!R$2,TIAM15_assumptions!$Y$3:$Z$36,2,FALSE),TIAM15_assumptions!$H$2:$V$2,0))</f>
        <v>0</v>
      </c>
      <c r="S30" s="9">
        <f ca="1">OFFSET(TIAM15_assumptions!$G30,0,MATCH(VLOOKUP(Assumptions!S$2,TIAM15_assumptions!$Y$3:$Z$36,2,FALSE),TIAM15_assumptions!$H$2:$V$2,0))</f>
        <v>0.4</v>
      </c>
      <c r="T30" s="9">
        <f ca="1">OFFSET(TIAM15_assumptions!$G30,0,MATCH(VLOOKUP(Assumptions!T$2,TIAM15_assumptions!$Y$3:$Z$36,2,FALSE),TIAM15_assumptions!$H$2:$V$2,0))</f>
        <v>0</v>
      </c>
      <c r="U30" s="9">
        <f ca="1">OFFSET(TIAM15_assumptions!$G30,0,MATCH(VLOOKUP(Assumptions!U$2,TIAM15_assumptions!$Y$3:$Z$36,2,FALSE),TIAM15_assumptions!$H$2:$V$2,0))</f>
        <v>0</v>
      </c>
      <c r="V30" s="9">
        <f ca="1">OFFSET(TIAM15_assumptions!$G30,0,MATCH(VLOOKUP(Assumptions!V$2,TIAM15_assumptions!$Y$3:$Z$36,2,FALSE),TIAM15_assumptions!$H$2:$V$2,0))</f>
        <v>0.4</v>
      </c>
      <c r="W30" s="9">
        <f ca="1">OFFSET(TIAM15_assumptions!$G30,0,MATCH(VLOOKUP(Assumptions!W$2,TIAM15_assumptions!$Y$3:$Z$36,2,FALSE),TIAM15_assumptions!$H$2:$V$2,0))</f>
        <v>0</v>
      </c>
      <c r="X30" s="9">
        <f ca="1">OFFSET(TIAM15_assumptions!$G30,0,MATCH(VLOOKUP(Assumptions!X$2,TIAM15_assumptions!$Y$3:$Z$36,2,FALSE),TIAM15_assumptions!$H$2:$V$2,0))</f>
        <v>0.35</v>
      </c>
      <c r="Y30" s="9">
        <f ca="1">OFFSET(TIAM15_assumptions!$G30,0,MATCH(VLOOKUP(Assumptions!Y$2,TIAM15_assumptions!$Y$3:$Z$36,2,FALSE),TIAM15_assumptions!$H$2:$V$2,0))</f>
        <v>0</v>
      </c>
      <c r="Z30" s="9">
        <f ca="1">OFFSET(TIAM15_assumptions!$G30,0,MATCH(VLOOKUP(Assumptions!Z$2,TIAM15_assumptions!$Y$3:$Z$36,2,FALSE),TIAM15_assumptions!$H$2:$V$2,0))</f>
        <v>0</v>
      </c>
      <c r="AA30" s="9">
        <f ca="1">OFFSET(TIAM15_assumptions!$G30,0,MATCH(VLOOKUP(Assumptions!AA$2,TIAM15_assumptions!$Y$3:$Z$36,2,FALSE),TIAM15_assumptions!$H$2:$V$2,0))</f>
        <v>0.3</v>
      </c>
      <c r="AB30" s="9">
        <f ca="1">OFFSET(TIAM15_assumptions!$G30,0,MATCH(VLOOKUP(Assumptions!AB$2,TIAM15_assumptions!$Y$3:$Z$36,2,FALSE),TIAM15_assumptions!$H$2:$V$2,0))</f>
        <v>0.3</v>
      </c>
      <c r="AC30" s="9">
        <f ca="1">OFFSET(TIAM15_assumptions!$G30,0,MATCH(VLOOKUP(Assumptions!AC$2,TIAM15_assumptions!$Y$3:$Z$36,2,FALSE),TIAM15_assumptions!$H$2:$V$2,0))</f>
        <v>0.15</v>
      </c>
      <c r="AD30" s="9">
        <f ca="1">OFFSET(TIAM15_assumptions!$G30,0,MATCH(VLOOKUP(Assumptions!AD$2,TIAM15_assumptions!$Y$3:$Z$36,2,FALSE),TIAM15_assumptions!$H$2:$V$2,0))</f>
        <v>0.35</v>
      </c>
      <c r="AE30" s="9">
        <f ca="1">OFFSET(TIAM15_assumptions!$G30,0,MATCH(VLOOKUP(Assumptions!AE$2,TIAM15_assumptions!$Y$3:$Z$36,2,FALSE),TIAM15_assumptions!$H$2:$V$2,0))</f>
        <v>0</v>
      </c>
      <c r="AF30" s="9">
        <f ca="1">OFFSET(TIAM15_assumptions!$G30,0,MATCH(VLOOKUP(Assumptions!AF$2,TIAM15_assumptions!$Y$3:$Z$36,2,FALSE),TIAM15_assumptions!$H$2:$V$2,0))</f>
        <v>0.4</v>
      </c>
      <c r="AG30" s="9">
        <f ca="1">OFFSET(TIAM15_assumptions!$G30,0,MATCH(VLOOKUP(Assumptions!AG$2,TIAM15_assumptions!$Y$3:$Z$36,2,FALSE),TIAM15_assumptions!$H$2:$V$2,0))</f>
        <v>0.35</v>
      </c>
      <c r="AH30" s="9">
        <f ca="1">OFFSET(TIAM15_assumptions!$G30,0,MATCH(VLOOKUP(Assumptions!AH$2,TIAM15_assumptions!$Y$3:$Z$36,2,FALSE),TIAM15_assumptions!$H$2:$V$2,0))</f>
        <v>0.4</v>
      </c>
      <c r="AI30" s="9">
        <f ca="1">OFFSET(TIAM15_assumptions!$G30,0,MATCH(VLOOKUP(Assumptions!AI$2,TIAM15_assumptions!$Y$3:$Z$36,2,FALSE),TIAM15_assumptions!$H$2:$V$2,0))</f>
        <v>0</v>
      </c>
      <c r="AJ30" s="9">
        <f ca="1">OFFSET(TIAM15_assumptions!$G30,0,MATCH(VLOOKUP(Assumptions!AJ$2,TIAM15_assumptions!$Y$3:$Z$36,2,FALSE),TIAM15_assumptions!$H$2:$V$2,0))</f>
        <v>0.3</v>
      </c>
      <c r="AK30" s="9">
        <f ca="1">OFFSET(TIAM15_assumptions!$G30,0,MATCH(VLOOKUP(Assumptions!AK$2,TIAM15_assumptions!$Y$3:$Z$36,2,FALSE),TIAM15_assumptions!$H$2:$V$2,0))</f>
        <v>0.3</v>
      </c>
      <c r="AN30" s="34">
        <f ca="1">IFERROR(SUMIFS('TRA balance'!E$5:E$40,'TRA balance'!$C$5:$C$40,Assumptions!$C30,'TRA balance'!$D$5:$D$40,Assumptions!$B30)*BS30*H30,"")</f>
        <v>0</v>
      </c>
      <c r="AO30" s="34">
        <f ca="1">IFERROR(SUMIFS('TRA balance'!F$5:F$40,'TRA balance'!$C$5:$C$40,Assumptions!$C30,'TRA balance'!$D$5:$D$40,Assumptions!$B30)*BT30*I30,"")</f>
        <v>0</v>
      </c>
      <c r="AP30" s="34">
        <f ca="1">IFERROR(SUMIFS('TRA balance'!G$5:G$40,'TRA balance'!$C$5:$C$40,Assumptions!$C30,'TRA balance'!$D$5:$D$40,Assumptions!$B30)*BU30*J30,"")</f>
        <v>12.306225359123996</v>
      </c>
      <c r="AQ30" s="34">
        <f ca="1">IFERROR(SUMIFS('TRA balance'!H$5:H$40,'TRA balance'!$C$5:$C$40,Assumptions!$C30,'TRA balance'!$D$5:$D$40,Assumptions!$B30)*BV30*K30,"")</f>
        <v>49.227974715168017</v>
      </c>
      <c r="AR30" s="34">
        <f ca="1">IFERROR(SUMIFS('TRA balance'!I$5:I$40,'TRA balance'!$C$5:$C$40,Assumptions!$C30,'TRA balance'!$D$5:$D$40,Assumptions!$B30)*BW30*L30,"")</f>
        <v>0</v>
      </c>
      <c r="AS30" s="34">
        <f ca="1">IFERROR(SUMIFS('TRA balance'!J$5:J$40,'TRA balance'!$C$5:$C$40,Assumptions!$C30,'TRA balance'!$D$5:$D$40,Assumptions!$B30)*BX30*M30,"")</f>
        <v>0</v>
      </c>
      <c r="AT30" s="34">
        <f ca="1">IFERROR(SUMIFS('TRA balance'!K$5:K$40,'TRA balance'!$C$5:$C$40,Assumptions!$C30,'TRA balance'!$D$5:$D$40,Assumptions!$B30)*BY30*N30,"")</f>
        <v>0</v>
      </c>
      <c r="AU30" s="34">
        <f ca="1">IFERROR(SUMIFS('TRA balance'!L$5:L$40,'TRA balance'!$C$5:$C$40,Assumptions!$C30,'TRA balance'!$D$5:$D$40,Assumptions!$B30)*BZ30*O30,"")</f>
        <v>26.945455211387994</v>
      </c>
      <c r="AV30" s="34">
        <f ca="1">IFERROR(SUMIFS('TRA balance'!M$5:M$40,'TRA balance'!$C$5:$C$40,Assumptions!$C30,'TRA balance'!$D$5:$D$40,Assumptions!$B30)*CA30*P30,"")</f>
        <v>2.718903306146403</v>
      </c>
      <c r="AW30" s="34">
        <f ca="1">IFERROR(SUMIFS('TRA balance'!N$5:N$40,'TRA balance'!$C$5:$C$40,Assumptions!$C30,'TRA balance'!$D$5:$D$40,Assumptions!$B30)*CB30*Q30,"")</f>
        <v>60.224049829223986</v>
      </c>
      <c r="AX30" s="34">
        <f ca="1">IFERROR(SUMIFS('TRA balance'!O$5:O$40,'TRA balance'!$C$5:$C$40,Assumptions!$C30,'TRA balance'!$D$5:$D$40,Assumptions!$B30)*CC30*R30,"")</f>
        <v>0</v>
      </c>
      <c r="AY30" s="34">
        <f ca="1">IFERROR(SUMIFS('TRA balance'!P$5:P$40,'TRA balance'!$C$5:$C$40,Assumptions!$C30,'TRA balance'!$D$5:$D$40,Assumptions!$B30)*CD30*S30,"")</f>
        <v>4.5789238142352042</v>
      </c>
      <c r="AZ30" s="34">
        <f ca="1">IFERROR(SUMIFS('TRA balance'!Q$5:Q$40,'TRA balance'!$C$5:$C$40,Assumptions!$C30,'TRA balance'!$D$5:$D$40,Assumptions!$B30)*CE30*T30,"")</f>
        <v>0</v>
      </c>
      <c r="BA30" s="34">
        <f ca="1">IFERROR(SUMIFS('TRA balance'!R$5:R$40,'TRA balance'!$C$5:$C$40,Assumptions!$C30,'TRA balance'!$D$5:$D$40,Assumptions!$B30)*CF30*U30,"")</f>
        <v>0</v>
      </c>
      <c r="BB30" s="34">
        <f ca="1">IFERROR(SUMIFS('TRA balance'!S$5:S$40,'TRA balance'!$C$5:$C$40,Assumptions!$C30,'TRA balance'!$D$5:$D$40,Assumptions!$B30)*CG30*V30,"")</f>
        <v>2.1174357991536019</v>
      </c>
      <c r="BC30" s="34">
        <f ca="1">IFERROR(SUMIFS('TRA balance'!T$5:T$40,'TRA balance'!$C$5:$C$40,Assumptions!$C30,'TRA balance'!$D$5:$D$40,Assumptions!$B30)*CH30*W30,"")</f>
        <v>0</v>
      </c>
      <c r="BD30" s="34">
        <f ca="1">IFERROR(SUMIFS('TRA balance'!U$5:U$40,'TRA balance'!$C$5:$C$40,Assumptions!$C30,'TRA balance'!$D$5:$D$40,Assumptions!$B30)*CI30*X30,"")</f>
        <v>38.781855542808003</v>
      </c>
      <c r="BE30" s="34">
        <f ca="1">IFERROR(SUMIFS('TRA balance'!V$5:V$40,'TRA balance'!$C$5:$C$40,Assumptions!$C30,'TRA balance'!$D$5:$D$40,Assumptions!$B30)*CJ30*Y30,"")</f>
        <v>0</v>
      </c>
      <c r="BF30" s="34">
        <f ca="1">IFERROR(SUMIFS('TRA balance'!W$5:W$40,'TRA balance'!$C$5:$C$40,Assumptions!$C30,'TRA balance'!$D$5:$D$40,Assumptions!$B30)*CK30*Z30,"")</f>
        <v>0</v>
      </c>
      <c r="BG30" s="34">
        <f ca="1">IFERROR(SUMIFS('TRA balance'!X$5:X$40,'TRA balance'!$C$5:$C$40,Assumptions!$C30,'TRA balance'!$D$5:$D$40,Assumptions!$B30)*CL30*AA30,"")</f>
        <v>0</v>
      </c>
      <c r="BH30" s="34">
        <f ca="1">IFERROR(SUMIFS('TRA balance'!Y$5:Y$40,'TRA balance'!$C$5:$C$40,Assumptions!$C30,'TRA balance'!$D$5:$D$40,Assumptions!$B30)*CM30*AB30,"")</f>
        <v>38.927493129599988</v>
      </c>
      <c r="BI30" s="34">
        <f ca="1">IFERROR(SUMIFS('TRA balance'!Z$5:Z$40,'TRA balance'!$C$5:$C$40,Assumptions!$C30,'TRA balance'!$D$5:$D$40,Assumptions!$B30)*CN30*AC30,"")</f>
        <v>11.228452039026008</v>
      </c>
      <c r="BJ30" s="34">
        <f ca="1">IFERROR(SUMIFS('TRA balance'!AA$5:AA$40,'TRA balance'!$C$5:$C$40,Assumptions!$C30,'TRA balance'!$D$5:$D$40,Assumptions!$B30)*CO30*AD30,"")</f>
        <v>247.76050901679002</v>
      </c>
      <c r="BK30" s="34">
        <f ca="1">IFERROR(SUMIFS('TRA balance'!AB$5:AB$40,'TRA balance'!$C$5:$C$40,Assumptions!$C30,'TRA balance'!$D$5:$D$40,Assumptions!$B30)*CP30*AE30,"")</f>
        <v>0</v>
      </c>
      <c r="BL30" s="34">
        <f ca="1">IFERROR(SUMIFS('TRA balance'!AC$5:AC$40,'TRA balance'!$C$5:$C$40,Assumptions!$C30,'TRA balance'!$D$5:$D$40,Assumptions!$B30)*CQ30*AF30,"")</f>
        <v>179.16803530747202</v>
      </c>
      <c r="BM30" s="34">
        <f ca="1">IFERROR(SUMIFS('TRA balance'!AD$5:AD$40,'TRA balance'!$C$5:$C$40,Assumptions!$C30,'TRA balance'!$D$5:$D$40,Assumptions!$B30)*CR30*AG30,"")</f>
        <v>107.03392225268399</v>
      </c>
      <c r="BN30" s="34">
        <f ca="1">IFERROR(SUMIFS('TRA balance'!AE$5:AE$40,'TRA balance'!$C$5:$C$40,Assumptions!$C30,'TRA balance'!$D$5:$D$40,Assumptions!$B30)*CS30*AH30,"")</f>
        <v>0</v>
      </c>
      <c r="BO30" s="34">
        <f ca="1">IFERROR(SUMIFS('TRA balance'!AF$5:AF$40,'TRA balance'!$C$5:$C$40,Assumptions!$C30,'TRA balance'!$D$5:$D$40,Assumptions!$B30)*CT30*AI30,"")</f>
        <v>0</v>
      </c>
      <c r="BP30" s="34">
        <f ca="1">IFERROR(SUMIFS('TRA balance'!AG$5:AG$40,'TRA balance'!$C$5:$C$40,Assumptions!$C30,'TRA balance'!$D$5:$D$40,Assumptions!$B30)*CU30*AJ30,"")</f>
        <v>929.44024307949564</v>
      </c>
      <c r="BQ30" s="34">
        <f ca="1">IFERROR(SUMIFS('TRA balance'!AH$5:AH$40,'TRA balance'!$C$5:$C$40,Assumptions!$C30,'TRA balance'!$D$5:$D$40,Assumptions!$B30)*CV30*AK30,"")</f>
        <v>0</v>
      </c>
      <c r="BS30" s="33">
        <f t="shared" ca="1" si="16"/>
        <v>0</v>
      </c>
      <c r="BT30" s="33">
        <f t="shared" ca="1" si="17"/>
        <v>0</v>
      </c>
      <c r="BU30" s="33">
        <f t="shared" ca="1" si="18"/>
        <v>9.9999999999999978E-2</v>
      </c>
      <c r="BV30" s="33">
        <f t="shared" ca="1" si="19"/>
        <v>0.30000000000000004</v>
      </c>
      <c r="BW30" s="33">
        <f t="shared" ca="1" si="20"/>
        <v>9.9999999999999978E-2</v>
      </c>
      <c r="BX30" s="33">
        <f t="shared" ca="1" si="21"/>
        <v>0</v>
      </c>
      <c r="BY30" s="33">
        <f t="shared" ca="1" si="22"/>
        <v>9.9999999999999978E-2</v>
      </c>
      <c r="BZ30" s="33">
        <f t="shared" ca="1" si="23"/>
        <v>9.9999999999999978E-2</v>
      </c>
      <c r="CA30" s="33">
        <f t="shared" ca="1" si="24"/>
        <v>4.0000000000000036E-2</v>
      </c>
      <c r="CB30" s="33">
        <f t="shared" ca="1" si="25"/>
        <v>9.9999999999999978E-2</v>
      </c>
      <c r="CC30" s="33">
        <f t="shared" ca="1" si="26"/>
        <v>3.0000000000000027E-2</v>
      </c>
      <c r="CD30" s="33">
        <f t="shared" ca="1" si="27"/>
        <v>3.0000000000000027E-2</v>
      </c>
      <c r="CE30" s="33">
        <f t="shared" ca="1" si="28"/>
        <v>3.0000000000000027E-2</v>
      </c>
      <c r="CF30" s="33">
        <f t="shared" ca="1" si="29"/>
        <v>3.0000000000000027E-2</v>
      </c>
      <c r="CG30" s="33">
        <f t="shared" ca="1" si="30"/>
        <v>3.0000000000000027E-2</v>
      </c>
      <c r="CH30" s="33">
        <f t="shared" ca="1" si="31"/>
        <v>3.0000000000000027E-2</v>
      </c>
      <c r="CI30" s="33">
        <f t="shared" ca="1" si="32"/>
        <v>0.30000000000000004</v>
      </c>
      <c r="CJ30" s="33">
        <f t="shared" ca="1" si="33"/>
        <v>3.0000000000000027E-2</v>
      </c>
      <c r="CK30" s="33">
        <f t="shared" ca="1" si="34"/>
        <v>3.0000000000000027E-2</v>
      </c>
      <c r="CL30" s="33">
        <f t="shared" ca="1" si="35"/>
        <v>0</v>
      </c>
      <c r="CM30" s="33">
        <f t="shared" ca="1" si="36"/>
        <v>9.9999999999999978E-2</v>
      </c>
      <c r="CN30" s="33">
        <f t="shared" ca="1" si="37"/>
        <v>5.0000000000000044E-2</v>
      </c>
      <c r="CO30" s="33">
        <f t="shared" ca="1" si="38"/>
        <v>0.30000000000000004</v>
      </c>
      <c r="CP30" s="33">
        <f t="shared" ca="1" si="39"/>
        <v>3.0000000000000027E-2</v>
      </c>
      <c r="CQ30" s="33">
        <f t="shared" ca="1" si="40"/>
        <v>0.30000000000000004</v>
      </c>
      <c r="CR30" s="33">
        <f t="shared" ca="1" si="41"/>
        <v>0.30000000000000004</v>
      </c>
      <c r="CS30" s="33">
        <f t="shared" ca="1" si="42"/>
        <v>0</v>
      </c>
      <c r="CT30" s="33">
        <f t="shared" ca="1" si="43"/>
        <v>3.0000000000000027E-2</v>
      </c>
      <c r="CU30" s="33">
        <f t="shared" ca="1" si="44"/>
        <v>0.19999999999999996</v>
      </c>
      <c r="CV30" s="33">
        <f t="shared" ca="1" si="45"/>
        <v>0.19999999999999996</v>
      </c>
    </row>
    <row r="31" spans="1:100" x14ac:dyDescent="0.45">
      <c r="A31">
        <v>2</v>
      </c>
      <c r="B31" t="str">
        <f>VLOOKUP(F31,'TRA balance'!$AK$5:$AL$14,2,FALSE)</f>
        <v>TRAGSL</v>
      </c>
      <c r="C31" s="6" t="str">
        <f t="shared" si="46"/>
        <v>TR</v>
      </c>
      <c r="D31" s="7" t="s">
        <v>16</v>
      </c>
      <c r="E31" s="18" t="s">
        <v>77</v>
      </c>
      <c r="F31" s="8" t="str">
        <f t="shared" si="78"/>
        <v>Gasoline</v>
      </c>
      <c r="G31" s="6" t="s">
        <v>78</v>
      </c>
      <c r="H31" s="9">
        <f ca="1">OFFSET(TIAM15_assumptions!$G31,0,MATCH(VLOOKUP(Assumptions!H$2,TIAM15_assumptions!$Y$3:$Z$36,2,FALSE),TIAM15_assumptions!$H$2:$V$2,0))</f>
        <v>0.55000000000000004</v>
      </c>
      <c r="I31" s="9">
        <f ca="1">OFFSET(TIAM15_assumptions!$G31,0,MATCH(VLOOKUP(Assumptions!I$2,TIAM15_assumptions!$Y$3:$Z$36,2,FALSE),TIAM15_assumptions!$H$2:$V$2,0))</f>
        <v>0.55000000000000004</v>
      </c>
      <c r="J31" s="9">
        <f ca="1">OFFSET(TIAM15_assumptions!$G31,0,MATCH(VLOOKUP(Assumptions!J$2,TIAM15_assumptions!$Y$3:$Z$36,2,FALSE),TIAM15_assumptions!$H$2:$V$2,0))</f>
        <v>0.58000000000000007</v>
      </c>
      <c r="K31" s="9">
        <f ca="1">OFFSET(TIAM15_assumptions!$G31,0,MATCH(VLOOKUP(Assumptions!K$2,TIAM15_assumptions!$Y$3:$Z$36,2,FALSE),TIAM15_assumptions!$H$2:$V$2,0))</f>
        <v>0.55000000000000004</v>
      </c>
      <c r="L31" s="9">
        <f ca="1">OFFSET(TIAM15_assumptions!$G31,0,MATCH(VLOOKUP(Assumptions!L$2,TIAM15_assumptions!$Y$3:$Z$36,2,FALSE),TIAM15_assumptions!$H$2:$V$2,0))</f>
        <v>1</v>
      </c>
      <c r="M31" s="9">
        <f ca="1">OFFSET(TIAM15_assumptions!$G31,0,MATCH(VLOOKUP(Assumptions!M$2,TIAM15_assumptions!$Y$3:$Z$36,2,FALSE),TIAM15_assumptions!$H$2:$V$2,0))</f>
        <v>0.5</v>
      </c>
      <c r="N31" s="9">
        <f ca="1">OFFSET(TIAM15_assumptions!$G31,0,MATCH(VLOOKUP(Assumptions!N$2,TIAM15_assumptions!$Y$3:$Z$36,2,FALSE),TIAM15_assumptions!$H$2:$V$2,0))</f>
        <v>0.95</v>
      </c>
      <c r="O31" s="9">
        <f ca="1">OFFSET(TIAM15_assumptions!$G31,0,MATCH(VLOOKUP(Assumptions!O$2,TIAM15_assumptions!$Y$3:$Z$36,2,FALSE),TIAM15_assumptions!$H$2:$V$2,0))</f>
        <v>0.58000000000000007</v>
      </c>
      <c r="P31" s="9">
        <f ca="1">OFFSET(TIAM15_assumptions!$G31,0,MATCH(VLOOKUP(Assumptions!P$2,TIAM15_assumptions!$Y$3:$Z$36,2,FALSE),TIAM15_assumptions!$H$2:$V$2,0))</f>
        <v>0.9</v>
      </c>
      <c r="Q31" s="9">
        <f ca="1">OFFSET(TIAM15_assumptions!$G31,0,MATCH(VLOOKUP(Assumptions!Q$2,TIAM15_assumptions!$Y$3:$Z$36,2,FALSE),TIAM15_assumptions!$H$2:$V$2,0))</f>
        <v>0.8</v>
      </c>
      <c r="R31" s="9">
        <f ca="1">OFFSET(TIAM15_assumptions!$G31,0,MATCH(VLOOKUP(Assumptions!R$2,TIAM15_assumptions!$Y$3:$Z$36,2,FALSE),TIAM15_assumptions!$H$2:$V$2,0))</f>
        <v>0.95</v>
      </c>
      <c r="S31" s="9">
        <f ca="1">OFFSET(TIAM15_assumptions!$G31,0,MATCH(VLOOKUP(Assumptions!S$2,TIAM15_assumptions!$Y$3:$Z$36,2,FALSE),TIAM15_assumptions!$H$2:$V$2,0))</f>
        <v>0.5</v>
      </c>
      <c r="T31" s="9">
        <f ca="1">OFFSET(TIAM15_assumptions!$G31,0,MATCH(VLOOKUP(Assumptions!T$2,TIAM15_assumptions!$Y$3:$Z$36,2,FALSE),TIAM15_assumptions!$H$2:$V$2,0))</f>
        <v>0.95</v>
      </c>
      <c r="U31" s="9">
        <f ca="1">OFFSET(TIAM15_assumptions!$G31,0,MATCH(VLOOKUP(Assumptions!U$2,TIAM15_assumptions!$Y$3:$Z$36,2,FALSE),TIAM15_assumptions!$H$2:$V$2,0))</f>
        <v>0.95</v>
      </c>
      <c r="V31" s="9">
        <f ca="1">OFFSET(TIAM15_assumptions!$G31,0,MATCH(VLOOKUP(Assumptions!V$2,TIAM15_assumptions!$Y$3:$Z$36,2,FALSE),TIAM15_assumptions!$H$2:$V$2,0))</f>
        <v>0.5</v>
      </c>
      <c r="W31" s="9">
        <f ca="1">OFFSET(TIAM15_assumptions!$G31,0,MATCH(VLOOKUP(Assumptions!W$2,TIAM15_assumptions!$Y$3:$Z$36,2,FALSE),TIAM15_assumptions!$H$2:$V$2,0))</f>
        <v>0.95</v>
      </c>
      <c r="X31" s="9">
        <f ca="1">OFFSET(TIAM15_assumptions!$G31,0,MATCH(VLOOKUP(Assumptions!X$2,TIAM15_assumptions!$Y$3:$Z$36,2,FALSE),TIAM15_assumptions!$H$2:$V$2,0))</f>
        <v>0.55000000000000004</v>
      </c>
      <c r="Y31" s="9">
        <f ca="1">OFFSET(TIAM15_assumptions!$G31,0,MATCH(VLOOKUP(Assumptions!Y$2,TIAM15_assumptions!$Y$3:$Z$36,2,FALSE),TIAM15_assumptions!$H$2:$V$2,0))</f>
        <v>0.95</v>
      </c>
      <c r="Z31" s="9">
        <f ca="1">OFFSET(TIAM15_assumptions!$G31,0,MATCH(VLOOKUP(Assumptions!Z$2,TIAM15_assumptions!$Y$3:$Z$36,2,FALSE),TIAM15_assumptions!$H$2:$V$2,0))</f>
        <v>0.95</v>
      </c>
      <c r="AA31" s="9">
        <f ca="1">OFFSET(TIAM15_assumptions!$G31,0,MATCH(VLOOKUP(Assumptions!AA$2,TIAM15_assumptions!$Y$3:$Z$36,2,FALSE),TIAM15_assumptions!$H$2:$V$2,0))</f>
        <v>0.7</v>
      </c>
      <c r="AB31" s="9">
        <f ca="1">OFFSET(TIAM15_assumptions!$G31,0,MATCH(VLOOKUP(Assumptions!AB$2,TIAM15_assumptions!$Y$3:$Z$36,2,FALSE),TIAM15_assumptions!$H$2:$V$2,0))</f>
        <v>0.58000000000000007</v>
      </c>
      <c r="AC31" s="9">
        <f ca="1">OFFSET(TIAM15_assumptions!$G31,0,MATCH(VLOOKUP(Assumptions!AC$2,TIAM15_assumptions!$Y$3:$Z$36,2,FALSE),TIAM15_assumptions!$H$2:$V$2,0))</f>
        <v>0.75</v>
      </c>
      <c r="AD31" s="9">
        <f ca="1">OFFSET(TIAM15_assumptions!$G31,0,MATCH(VLOOKUP(Assumptions!AD$2,TIAM15_assumptions!$Y$3:$Z$36,2,FALSE),TIAM15_assumptions!$H$2:$V$2,0))</f>
        <v>0.55000000000000004</v>
      </c>
      <c r="AE31" s="9">
        <f ca="1">OFFSET(TIAM15_assumptions!$G31,0,MATCH(VLOOKUP(Assumptions!AE$2,TIAM15_assumptions!$Y$3:$Z$36,2,FALSE),TIAM15_assumptions!$H$2:$V$2,0))</f>
        <v>0.95</v>
      </c>
      <c r="AF31" s="9">
        <f ca="1">OFFSET(TIAM15_assumptions!$G31,0,MATCH(VLOOKUP(Assumptions!AF$2,TIAM15_assumptions!$Y$3:$Z$36,2,FALSE),TIAM15_assumptions!$H$2:$V$2,0))</f>
        <v>0.55000000000000004</v>
      </c>
      <c r="AG31" s="9">
        <f ca="1">OFFSET(TIAM15_assumptions!$G31,0,MATCH(VLOOKUP(Assumptions!AG$2,TIAM15_assumptions!$Y$3:$Z$36,2,FALSE),TIAM15_assumptions!$H$2:$V$2,0))</f>
        <v>0.55000000000000004</v>
      </c>
      <c r="AH31" s="9">
        <f ca="1">OFFSET(TIAM15_assumptions!$G31,0,MATCH(VLOOKUP(Assumptions!AH$2,TIAM15_assumptions!$Y$3:$Z$36,2,FALSE),TIAM15_assumptions!$H$2:$V$2,0))</f>
        <v>0.55000000000000004</v>
      </c>
      <c r="AI31" s="9">
        <f ca="1">OFFSET(TIAM15_assumptions!$G31,0,MATCH(VLOOKUP(Assumptions!AI$2,TIAM15_assumptions!$Y$3:$Z$36,2,FALSE),TIAM15_assumptions!$H$2:$V$2,0))</f>
        <v>0.95</v>
      </c>
      <c r="AJ31" s="9">
        <f ca="1">OFFSET(TIAM15_assumptions!$G31,0,MATCH(VLOOKUP(Assumptions!AJ$2,TIAM15_assumptions!$Y$3:$Z$36,2,FALSE),TIAM15_assumptions!$H$2:$V$2,0))</f>
        <v>0.69500000000000006</v>
      </c>
      <c r="AK31" s="9">
        <f ca="1">OFFSET(TIAM15_assumptions!$G31,0,MATCH(VLOOKUP(Assumptions!AK$2,TIAM15_assumptions!$Y$3:$Z$36,2,FALSE),TIAM15_assumptions!$H$2:$V$2,0))</f>
        <v>0.69500000000000006</v>
      </c>
      <c r="AN31" s="34">
        <f ca="1">IFERROR(SUMIFS('TRA balance'!E$5:E$40,'TRA balance'!$C$5:$C$40,Assumptions!$C31,'TRA balance'!$D$5:$D$40,Assumptions!$B31)*BS31*H31,"")</f>
        <v>0</v>
      </c>
      <c r="AO31" s="34">
        <f ca="1">IFERROR(SUMIFS('TRA balance'!F$5:F$40,'TRA balance'!$C$5:$C$40,Assumptions!$C31,'TRA balance'!$D$5:$D$40,Assumptions!$B31)*BT31*I31,"")</f>
        <v>0</v>
      </c>
      <c r="AP31" s="34">
        <f ca="1">IFERROR(SUMIFS('TRA balance'!G$5:G$40,'TRA balance'!$C$5:$C$40,Assumptions!$C31,'TRA balance'!$D$5:$D$40,Assumptions!$B31)*BU31*J31,"")</f>
        <v>23.792035694306396</v>
      </c>
      <c r="AQ31" s="34">
        <f ca="1">IFERROR(SUMIFS('TRA balance'!H$5:H$40,'TRA balance'!$C$5:$C$40,Assumptions!$C31,'TRA balance'!$D$5:$D$40,Assumptions!$B31)*BV31*K31,"")</f>
        <v>67.688465233356027</v>
      </c>
      <c r="AR31" s="34">
        <f ca="1">IFERROR(SUMIFS('TRA balance'!I$5:I$40,'TRA balance'!$C$5:$C$40,Assumptions!$C31,'TRA balance'!$D$5:$D$40,Assumptions!$B31)*BW31*L31,"")</f>
        <v>201.72047031287997</v>
      </c>
      <c r="AS31" s="34">
        <f ca="1">IFERROR(SUMIFS('TRA balance'!J$5:J$40,'TRA balance'!$C$5:$C$40,Assumptions!$C31,'TRA balance'!$D$5:$D$40,Assumptions!$B31)*BX31*M31,"")</f>
        <v>0</v>
      </c>
      <c r="AT31" s="34">
        <f ca="1">IFERROR(SUMIFS('TRA balance'!K$5:K$40,'TRA balance'!$C$5:$C$40,Assumptions!$C31,'TRA balance'!$D$5:$D$40,Assumptions!$B31)*BY31*N31,"")</f>
        <v>64.107237767957997</v>
      </c>
      <c r="AU31" s="34">
        <f ca="1">IFERROR(SUMIFS('TRA balance'!L$5:L$40,'TRA balance'!$C$5:$C$40,Assumptions!$C31,'TRA balance'!$D$5:$D$40,Assumptions!$B31)*BZ31*O31,"")</f>
        <v>52.094546742016796</v>
      </c>
      <c r="AV31" s="34">
        <f ca="1">IFERROR(SUMIFS('TRA balance'!M$5:M$40,'TRA balance'!$C$5:$C$40,Assumptions!$C31,'TRA balance'!$D$5:$D$40,Assumptions!$B31)*CA31*P31,"")</f>
        <v>48.940259510635251</v>
      </c>
      <c r="AW31" s="34">
        <f ca="1">IFERROR(SUMIFS('TRA balance'!N$5:N$40,'TRA balance'!$C$5:$C$40,Assumptions!$C31,'TRA balance'!$D$5:$D$40,Assumptions!$B31)*CB31*Q31,"")</f>
        <v>481.79239863379189</v>
      </c>
      <c r="AX31" s="34">
        <f ca="1">IFERROR(SUMIFS('TRA balance'!O$5:O$40,'TRA balance'!$C$5:$C$40,Assumptions!$C31,'TRA balance'!$D$5:$D$40,Assumptions!$B31)*CC31*R31,"")</f>
        <v>5.4196476191460041</v>
      </c>
      <c r="AY31" s="34">
        <f ca="1">IFERROR(SUMIFS('TRA balance'!P$5:P$40,'TRA balance'!$C$5:$C$40,Assumptions!$C31,'TRA balance'!$D$5:$D$40,Assumptions!$B31)*CD31*S31,"")</f>
        <v>5.7236547677940051</v>
      </c>
      <c r="AZ31" s="34">
        <f ca="1">IFERROR(SUMIFS('TRA balance'!Q$5:Q$40,'TRA balance'!$C$5:$C$40,Assumptions!$C31,'TRA balance'!$D$5:$D$40,Assumptions!$B31)*CE31*T31,"")</f>
        <v>8.5541245478730072</v>
      </c>
      <c r="BA31" s="34">
        <f ca="1">IFERROR(SUMIFS('TRA balance'!R$5:R$40,'TRA balance'!$C$5:$C$40,Assumptions!$C31,'TRA balance'!$D$5:$D$40,Assumptions!$B31)*CF31*U31,"")</f>
        <v>12.525609010842013</v>
      </c>
      <c r="BB31" s="34">
        <f ca="1">IFERROR(SUMIFS('TRA balance'!S$5:S$40,'TRA balance'!$C$5:$C$40,Assumptions!$C31,'TRA balance'!$D$5:$D$40,Assumptions!$B31)*CG31*V31,"")</f>
        <v>2.6467947489420021</v>
      </c>
      <c r="BC31" s="34">
        <f ca="1">IFERROR(SUMIFS('TRA balance'!T$5:T$40,'TRA balance'!$C$5:$C$40,Assumptions!$C31,'TRA balance'!$D$5:$D$40,Assumptions!$B31)*CH31*W31,"")</f>
        <v>7.7274527218632061</v>
      </c>
      <c r="BD31" s="34">
        <f ca="1">IFERROR(SUMIFS('TRA balance'!U$5:U$40,'TRA balance'!$C$5:$C$40,Assumptions!$C31,'TRA balance'!$D$5:$D$40,Assumptions!$B31)*CI31*X31,"")</f>
        <v>60.942915852984015</v>
      </c>
      <c r="BE31" s="34">
        <f ca="1">IFERROR(SUMIFS('TRA balance'!V$5:V$40,'TRA balance'!$C$5:$C$40,Assumptions!$C31,'TRA balance'!$D$5:$D$40,Assumptions!$B31)*CJ31*Y31,"")</f>
        <v>9.379442168076606</v>
      </c>
      <c r="BF31" s="34">
        <f ca="1">IFERROR(SUMIFS('TRA balance'!W$5:W$40,'TRA balance'!$C$5:$C$40,Assumptions!$C31,'TRA balance'!$D$5:$D$40,Assumptions!$B31)*CK31*Z31,"")</f>
        <v>20.594441993581817</v>
      </c>
      <c r="BG31" s="34">
        <f ca="1">IFERROR(SUMIFS('TRA balance'!X$5:X$40,'TRA balance'!$C$5:$C$40,Assumptions!$C31,'TRA balance'!$D$5:$D$40,Assumptions!$B31)*CL31*AA31,"")</f>
        <v>0</v>
      </c>
      <c r="BH31" s="34">
        <f ca="1">IFERROR(SUMIFS('TRA balance'!Y$5:Y$40,'TRA balance'!$C$5:$C$40,Assumptions!$C31,'TRA balance'!$D$5:$D$40,Assumptions!$B31)*CM31*AB31,"")</f>
        <v>75.259820050559995</v>
      </c>
      <c r="BI31" s="34">
        <f ca="1">IFERROR(SUMIFS('TRA balance'!Z$5:Z$40,'TRA balance'!$C$5:$C$40,Assumptions!$C31,'TRA balance'!$D$5:$D$40,Assumptions!$B31)*CN31*AC31,"")</f>
        <v>56.142260195130049</v>
      </c>
      <c r="BJ31" s="34">
        <f ca="1">IFERROR(SUMIFS('TRA balance'!AA$5:AA$40,'TRA balance'!$C$5:$C$40,Assumptions!$C31,'TRA balance'!$D$5:$D$40,Assumptions!$B31)*CO31*AD31,"")</f>
        <v>389.33794274067009</v>
      </c>
      <c r="BK31" s="34">
        <f ca="1">IFERROR(SUMIFS('TRA balance'!AB$5:AB$40,'TRA balance'!$C$5:$C$40,Assumptions!$C31,'TRA balance'!$D$5:$D$40,Assumptions!$B31)*CP31*AE31,"")</f>
        <v>0.9439372904598009</v>
      </c>
      <c r="BL31" s="34">
        <f ca="1">IFERROR(SUMIFS('TRA balance'!AC$5:AC$40,'TRA balance'!$C$5:$C$40,Assumptions!$C31,'TRA balance'!$D$5:$D$40,Assumptions!$B31)*CQ31*AF31,"")</f>
        <v>246.35604854777404</v>
      </c>
      <c r="BM31" s="34">
        <f ca="1">IFERROR(SUMIFS('TRA balance'!AD$5:AD$40,'TRA balance'!$C$5:$C$40,Assumptions!$C31,'TRA balance'!$D$5:$D$40,Assumptions!$B31)*CR31*AG31,"")</f>
        <v>168.19616353993203</v>
      </c>
      <c r="BN31" s="34">
        <f ca="1">IFERROR(SUMIFS('TRA balance'!AE$5:AE$40,'TRA balance'!$C$5:$C$40,Assumptions!$C31,'TRA balance'!$D$5:$D$40,Assumptions!$B31)*CS31*AH31,"")</f>
        <v>0</v>
      </c>
      <c r="BO31" s="34">
        <f ca="1">IFERROR(SUMIFS('TRA balance'!AF$5:AF$40,'TRA balance'!$C$5:$C$40,Assumptions!$C31,'TRA balance'!$D$5:$D$40,Assumptions!$B31)*CT31*AI31,"")</f>
        <v>14.747303258022614</v>
      </c>
      <c r="BP31" s="34">
        <f ca="1">IFERROR(SUMIFS('TRA balance'!AG$5:AG$40,'TRA balance'!$C$5:$C$40,Assumptions!$C31,'TRA balance'!$D$5:$D$40,Assumptions!$B31)*CU31*AJ31,"")</f>
        <v>2153.2032298008321</v>
      </c>
      <c r="BQ31" s="34">
        <f ca="1">IFERROR(SUMIFS('TRA balance'!AH$5:AH$40,'TRA balance'!$C$5:$C$40,Assumptions!$C31,'TRA balance'!$D$5:$D$40,Assumptions!$B31)*CV31*AK31,"")</f>
        <v>0</v>
      </c>
      <c r="BS31" s="33">
        <f t="shared" ca="1" si="16"/>
        <v>0</v>
      </c>
      <c r="BT31" s="33">
        <f t="shared" ca="1" si="17"/>
        <v>0</v>
      </c>
      <c r="BU31" s="33">
        <f t="shared" ca="1" si="18"/>
        <v>9.9999999999999978E-2</v>
      </c>
      <c r="BV31" s="33">
        <f t="shared" ca="1" si="19"/>
        <v>0.30000000000000004</v>
      </c>
      <c r="BW31" s="33">
        <f t="shared" ca="1" si="20"/>
        <v>9.9999999999999978E-2</v>
      </c>
      <c r="BX31" s="33">
        <f t="shared" ca="1" si="21"/>
        <v>0</v>
      </c>
      <c r="BY31" s="33">
        <f t="shared" ca="1" si="22"/>
        <v>9.9999999999999978E-2</v>
      </c>
      <c r="BZ31" s="33">
        <f t="shared" ca="1" si="23"/>
        <v>9.9999999999999978E-2</v>
      </c>
      <c r="CA31" s="33">
        <f t="shared" ca="1" si="24"/>
        <v>4.0000000000000036E-2</v>
      </c>
      <c r="CB31" s="33">
        <f t="shared" ca="1" si="25"/>
        <v>9.9999999999999978E-2</v>
      </c>
      <c r="CC31" s="33">
        <f t="shared" ca="1" si="26"/>
        <v>3.0000000000000027E-2</v>
      </c>
      <c r="CD31" s="33">
        <f t="shared" ca="1" si="27"/>
        <v>3.0000000000000027E-2</v>
      </c>
      <c r="CE31" s="33">
        <f t="shared" ca="1" si="28"/>
        <v>3.0000000000000027E-2</v>
      </c>
      <c r="CF31" s="33">
        <f t="shared" ca="1" si="29"/>
        <v>3.0000000000000027E-2</v>
      </c>
      <c r="CG31" s="33">
        <f t="shared" ca="1" si="30"/>
        <v>3.0000000000000027E-2</v>
      </c>
      <c r="CH31" s="33">
        <f t="shared" ca="1" si="31"/>
        <v>3.0000000000000027E-2</v>
      </c>
      <c r="CI31" s="33">
        <f t="shared" ca="1" si="32"/>
        <v>0.30000000000000004</v>
      </c>
      <c r="CJ31" s="33">
        <f t="shared" ca="1" si="33"/>
        <v>3.0000000000000027E-2</v>
      </c>
      <c r="CK31" s="33">
        <f t="shared" ca="1" si="34"/>
        <v>3.0000000000000027E-2</v>
      </c>
      <c r="CL31" s="33">
        <f t="shared" ca="1" si="35"/>
        <v>0</v>
      </c>
      <c r="CM31" s="33">
        <f t="shared" ca="1" si="36"/>
        <v>9.9999999999999978E-2</v>
      </c>
      <c r="CN31" s="33">
        <f t="shared" ca="1" si="37"/>
        <v>5.0000000000000044E-2</v>
      </c>
      <c r="CO31" s="33">
        <f t="shared" ca="1" si="38"/>
        <v>0.30000000000000004</v>
      </c>
      <c r="CP31" s="33">
        <f t="shared" ca="1" si="39"/>
        <v>3.0000000000000027E-2</v>
      </c>
      <c r="CQ31" s="33">
        <f t="shared" ca="1" si="40"/>
        <v>0.30000000000000004</v>
      </c>
      <c r="CR31" s="33">
        <f t="shared" ca="1" si="41"/>
        <v>0.30000000000000004</v>
      </c>
      <c r="CS31" s="33">
        <f t="shared" ca="1" si="42"/>
        <v>0</v>
      </c>
      <c r="CT31" s="33">
        <f t="shared" ca="1" si="43"/>
        <v>3.0000000000000027E-2</v>
      </c>
      <c r="CU31" s="33">
        <f t="shared" ca="1" si="44"/>
        <v>0.19999999999999996</v>
      </c>
      <c r="CV31" s="33">
        <f t="shared" ca="1" si="45"/>
        <v>0.19999999999999996</v>
      </c>
    </row>
    <row r="32" spans="1:100" x14ac:dyDescent="0.45">
      <c r="A32">
        <v>1</v>
      </c>
      <c r="B32" t="str">
        <f>VLOOKUP(F32,'TRA balance'!$AK$5:$AL$14,2,FALSE)</f>
        <v>TRAGSL</v>
      </c>
      <c r="C32" s="6" t="str">
        <f t="shared" si="46"/>
        <v/>
      </c>
      <c r="D32" s="7"/>
      <c r="E32" s="19" t="s">
        <v>79</v>
      </c>
      <c r="F32" s="8" t="str">
        <f t="shared" si="78"/>
        <v>Gasoline</v>
      </c>
      <c r="G32" s="6"/>
      <c r="H32" s="22" t="str">
        <f ca="1">IF(SUM(H28:H31)=1,"-","&lt;&gt;1!!")</f>
        <v>-</v>
      </c>
      <c r="I32" s="22" t="str">
        <f t="shared" ref="I32" ca="1" si="79">IF(SUM(I28:I31)=1,"-","&lt;&gt;1!!")</f>
        <v>-</v>
      </c>
      <c r="J32" s="22" t="str">
        <f t="shared" ref="J32" ca="1" si="80">IF(SUM(J28:J31)=1,"-","&lt;&gt;1!!")</f>
        <v>-</v>
      </c>
      <c r="K32" s="22" t="str">
        <f t="shared" ref="K32" ca="1" si="81">IF(SUM(K28:K31)=1,"-","&lt;&gt;1!!")</f>
        <v>-</v>
      </c>
      <c r="L32" s="22" t="str">
        <f t="shared" ref="L32" ca="1" si="82">IF(SUM(L28:L31)=1,"-","&lt;&gt;1!!")</f>
        <v>-</v>
      </c>
      <c r="M32" s="22" t="str">
        <f t="shared" ref="M32:X32" ca="1" si="83">IF(SUM(M28:M31)=1,"-","&lt;&gt;1!!")</f>
        <v>-</v>
      </c>
      <c r="N32" s="22" t="str">
        <f t="shared" ca="1" si="83"/>
        <v>-</v>
      </c>
      <c r="O32" s="22" t="str">
        <f t="shared" ca="1" si="83"/>
        <v>-</v>
      </c>
      <c r="P32" s="22" t="str">
        <f t="shared" ca="1" si="83"/>
        <v>-</v>
      </c>
      <c r="Q32" s="22" t="str">
        <f t="shared" ca="1" si="83"/>
        <v>-</v>
      </c>
      <c r="R32" s="22" t="str">
        <f t="shared" ca="1" si="83"/>
        <v>-</v>
      </c>
      <c r="S32" s="22" t="str">
        <f t="shared" ca="1" si="83"/>
        <v>-</v>
      </c>
      <c r="T32" s="22" t="str">
        <f t="shared" ca="1" si="83"/>
        <v>-</v>
      </c>
      <c r="U32" s="22" t="str">
        <f t="shared" ca="1" si="83"/>
        <v>-</v>
      </c>
      <c r="V32" s="22" t="str">
        <f t="shared" ca="1" si="83"/>
        <v>-</v>
      </c>
      <c r="W32" s="22" t="str">
        <f t="shared" ca="1" si="83"/>
        <v>-</v>
      </c>
      <c r="X32" s="22" t="str">
        <f t="shared" ca="1" si="83"/>
        <v>-</v>
      </c>
      <c r="Y32" s="22" t="str">
        <f t="shared" ref="Y32:Z32" ca="1" si="84">IF(SUM(Y28:Y31)=1,"-","&lt;&gt;1!!")</f>
        <v>-</v>
      </c>
      <c r="Z32" s="22" t="str">
        <f t="shared" ca="1" si="84"/>
        <v>-</v>
      </c>
      <c r="AA32" s="22" t="str">
        <f t="shared" ref="AA32:AK32" ca="1" si="85">IF(SUM(AA28:AA31)=1,"-","&lt;&gt;1!!")</f>
        <v>-</v>
      </c>
      <c r="AB32" s="22" t="str">
        <f t="shared" ca="1" si="85"/>
        <v>-</v>
      </c>
      <c r="AC32" s="22" t="str">
        <f t="shared" ca="1" si="85"/>
        <v>-</v>
      </c>
      <c r="AD32" s="22" t="str">
        <f t="shared" ca="1" si="85"/>
        <v>-</v>
      </c>
      <c r="AE32" s="22" t="str">
        <f t="shared" ca="1" si="85"/>
        <v>-</v>
      </c>
      <c r="AF32" s="22" t="str">
        <f t="shared" ca="1" si="85"/>
        <v>-</v>
      </c>
      <c r="AG32" s="22" t="str">
        <f t="shared" ca="1" si="85"/>
        <v>-</v>
      </c>
      <c r="AH32" s="22" t="str">
        <f t="shared" ca="1" si="85"/>
        <v>-</v>
      </c>
      <c r="AI32" s="22" t="str">
        <f t="shared" ca="1" si="85"/>
        <v>-</v>
      </c>
      <c r="AJ32" s="22" t="str">
        <f t="shared" ca="1" si="85"/>
        <v>-</v>
      </c>
      <c r="AK32" s="22" t="str">
        <f t="shared" ca="1" si="85"/>
        <v>-</v>
      </c>
      <c r="AN32" s="34" t="str">
        <f ca="1">IFERROR(SUMIFS('TRA balance'!E$5:E$40,'TRA balance'!$C$5:$C$40,Assumptions!$C32,'TRA balance'!$D$5:$D$40,Assumptions!$B32)*BS32*H32,"")</f>
        <v/>
      </c>
      <c r="AO32" s="34" t="str">
        <f ca="1">IFERROR(SUMIFS('TRA balance'!F$5:F$40,'TRA balance'!$C$5:$C$40,Assumptions!$C32,'TRA balance'!$D$5:$D$40,Assumptions!$B32)*BT32*I32,"")</f>
        <v/>
      </c>
      <c r="AP32" s="34" t="str">
        <f ca="1">IFERROR(SUMIFS('TRA balance'!G$5:G$40,'TRA balance'!$C$5:$C$40,Assumptions!$C32,'TRA balance'!$D$5:$D$40,Assumptions!$B32)*BU32*J32,"")</f>
        <v/>
      </c>
      <c r="AQ32" s="34" t="str">
        <f ca="1">IFERROR(SUMIFS('TRA balance'!H$5:H$40,'TRA balance'!$C$5:$C$40,Assumptions!$C32,'TRA balance'!$D$5:$D$40,Assumptions!$B32)*BV32*K32,"")</f>
        <v/>
      </c>
      <c r="AR32" s="34" t="str">
        <f ca="1">IFERROR(SUMIFS('TRA balance'!I$5:I$40,'TRA balance'!$C$5:$C$40,Assumptions!$C32,'TRA balance'!$D$5:$D$40,Assumptions!$B32)*BW32*L32,"")</f>
        <v/>
      </c>
      <c r="AS32" s="34" t="str">
        <f ca="1">IFERROR(SUMIFS('TRA balance'!J$5:J$40,'TRA balance'!$C$5:$C$40,Assumptions!$C32,'TRA balance'!$D$5:$D$40,Assumptions!$B32)*BX32*M32,"")</f>
        <v/>
      </c>
      <c r="AT32" s="34" t="str">
        <f ca="1">IFERROR(SUMIFS('TRA balance'!K$5:K$40,'TRA balance'!$C$5:$C$40,Assumptions!$C32,'TRA balance'!$D$5:$D$40,Assumptions!$B32)*BY32*N32,"")</f>
        <v/>
      </c>
      <c r="AU32" s="34" t="str">
        <f ca="1">IFERROR(SUMIFS('TRA balance'!L$5:L$40,'TRA balance'!$C$5:$C$40,Assumptions!$C32,'TRA balance'!$D$5:$D$40,Assumptions!$B32)*BZ32*O32,"")</f>
        <v/>
      </c>
      <c r="AV32" s="34" t="str">
        <f ca="1">IFERROR(SUMIFS('TRA balance'!M$5:M$40,'TRA balance'!$C$5:$C$40,Assumptions!$C32,'TRA balance'!$D$5:$D$40,Assumptions!$B32)*CA32*P32,"")</f>
        <v/>
      </c>
      <c r="AW32" s="34" t="str">
        <f ca="1">IFERROR(SUMIFS('TRA balance'!N$5:N$40,'TRA balance'!$C$5:$C$40,Assumptions!$C32,'TRA balance'!$D$5:$D$40,Assumptions!$B32)*CB32*Q32,"")</f>
        <v/>
      </c>
      <c r="AX32" s="34" t="str">
        <f ca="1">IFERROR(SUMIFS('TRA balance'!O$5:O$40,'TRA balance'!$C$5:$C$40,Assumptions!$C32,'TRA balance'!$D$5:$D$40,Assumptions!$B32)*CC32*R32,"")</f>
        <v/>
      </c>
      <c r="AY32" s="34" t="str">
        <f ca="1">IFERROR(SUMIFS('TRA balance'!P$5:P$40,'TRA balance'!$C$5:$C$40,Assumptions!$C32,'TRA balance'!$D$5:$D$40,Assumptions!$B32)*CD32*S32,"")</f>
        <v/>
      </c>
      <c r="AZ32" s="34" t="str">
        <f ca="1">IFERROR(SUMIFS('TRA balance'!Q$5:Q$40,'TRA balance'!$C$5:$C$40,Assumptions!$C32,'TRA balance'!$D$5:$D$40,Assumptions!$B32)*CE32*T32,"")</f>
        <v/>
      </c>
      <c r="BA32" s="34" t="str">
        <f ca="1">IFERROR(SUMIFS('TRA balance'!R$5:R$40,'TRA balance'!$C$5:$C$40,Assumptions!$C32,'TRA balance'!$D$5:$D$40,Assumptions!$B32)*CF32*U32,"")</f>
        <v/>
      </c>
      <c r="BB32" s="34" t="str">
        <f ca="1">IFERROR(SUMIFS('TRA balance'!S$5:S$40,'TRA balance'!$C$5:$C$40,Assumptions!$C32,'TRA balance'!$D$5:$D$40,Assumptions!$B32)*CG32*V32,"")</f>
        <v/>
      </c>
      <c r="BC32" s="34" t="str">
        <f ca="1">IFERROR(SUMIFS('TRA balance'!T$5:T$40,'TRA balance'!$C$5:$C$40,Assumptions!$C32,'TRA balance'!$D$5:$D$40,Assumptions!$B32)*CH32*W32,"")</f>
        <v/>
      </c>
      <c r="BD32" s="34" t="str">
        <f ca="1">IFERROR(SUMIFS('TRA balance'!U$5:U$40,'TRA balance'!$C$5:$C$40,Assumptions!$C32,'TRA balance'!$D$5:$D$40,Assumptions!$B32)*CI32*X32,"")</f>
        <v/>
      </c>
      <c r="BE32" s="34" t="str">
        <f ca="1">IFERROR(SUMIFS('TRA balance'!V$5:V$40,'TRA balance'!$C$5:$C$40,Assumptions!$C32,'TRA balance'!$D$5:$D$40,Assumptions!$B32)*CJ32*Y32,"")</f>
        <v/>
      </c>
      <c r="BF32" s="34" t="str">
        <f ca="1">IFERROR(SUMIFS('TRA balance'!W$5:W$40,'TRA balance'!$C$5:$C$40,Assumptions!$C32,'TRA balance'!$D$5:$D$40,Assumptions!$B32)*CK32*Z32,"")</f>
        <v/>
      </c>
      <c r="BG32" s="34" t="str">
        <f ca="1">IFERROR(SUMIFS('TRA balance'!X$5:X$40,'TRA balance'!$C$5:$C$40,Assumptions!$C32,'TRA balance'!$D$5:$D$40,Assumptions!$B32)*CL32*AA32,"")</f>
        <v/>
      </c>
      <c r="BH32" s="34" t="str">
        <f ca="1">IFERROR(SUMIFS('TRA balance'!Y$5:Y$40,'TRA balance'!$C$5:$C$40,Assumptions!$C32,'TRA balance'!$D$5:$D$40,Assumptions!$B32)*CM32*AB32,"")</f>
        <v/>
      </c>
      <c r="BI32" s="34" t="str">
        <f ca="1">IFERROR(SUMIFS('TRA balance'!Z$5:Z$40,'TRA balance'!$C$5:$C$40,Assumptions!$C32,'TRA balance'!$D$5:$D$40,Assumptions!$B32)*CN32*AC32,"")</f>
        <v/>
      </c>
      <c r="BJ32" s="34" t="str">
        <f ca="1">IFERROR(SUMIFS('TRA balance'!AA$5:AA$40,'TRA balance'!$C$5:$C$40,Assumptions!$C32,'TRA balance'!$D$5:$D$40,Assumptions!$B32)*CO32*AD32,"")</f>
        <v/>
      </c>
      <c r="BK32" s="34" t="str">
        <f ca="1">IFERROR(SUMIFS('TRA balance'!AB$5:AB$40,'TRA balance'!$C$5:$C$40,Assumptions!$C32,'TRA balance'!$D$5:$D$40,Assumptions!$B32)*CP32*AE32,"")</f>
        <v/>
      </c>
      <c r="BL32" s="34" t="str">
        <f ca="1">IFERROR(SUMIFS('TRA balance'!AC$5:AC$40,'TRA balance'!$C$5:$C$40,Assumptions!$C32,'TRA balance'!$D$5:$D$40,Assumptions!$B32)*CQ32*AF32,"")</f>
        <v/>
      </c>
      <c r="BM32" s="34" t="str">
        <f ca="1">IFERROR(SUMIFS('TRA balance'!AD$5:AD$40,'TRA balance'!$C$5:$C$40,Assumptions!$C32,'TRA balance'!$D$5:$D$40,Assumptions!$B32)*CR32*AG32,"")</f>
        <v/>
      </c>
      <c r="BN32" s="34" t="str">
        <f ca="1">IFERROR(SUMIFS('TRA balance'!AE$5:AE$40,'TRA balance'!$C$5:$C$40,Assumptions!$C32,'TRA balance'!$D$5:$D$40,Assumptions!$B32)*CS32*AH32,"")</f>
        <v/>
      </c>
      <c r="BO32" s="34" t="str">
        <f ca="1">IFERROR(SUMIFS('TRA balance'!AF$5:AF$40,'TRA balance'!$C$5:$C$40,Assumptions!$C32,'TRA balance'!$D$5:$D$40,Assumptions!$B32)*CT32*AI32,"")</f>
        <v/>
      </c>
      <c r="BP32" s="34" t="str">
        <f ca="1">IFERROR(SUMIFS('TRA balance'!AG$5:AG$40,'TRA balance'!$C$5:$C$40,Assumptions!$C32,'TRA balance'!$D$5:$D$40,Assumptions!$B32)*CU32*AJ32,"")</f>
        <v/>
      </c>
      <c r="BQ32" s="34" t="str">
        <f ca="1">IFERROR(SUMIFS('TRA balance'!AH$5:AH$40,'TRA balance'!$C$5:$C$40,Assumptions!$C32,'TRA balance'!$D$5:$D$40,Assumptions!$B32)*CV32*AK32,"")</f>
        <v/>
      </c>
      <c r="BS32" s="33">
        <f t="shared" si="16"/>
        <v>1</v>
      </c>
      <c r="BT32" s="33">
        <f t="shared" si="17"/>
        <v>1</v>
      </c>
      <c r="BU32" s="33">
        <f t="shared" si="18"/>
        <v>1</v>
      </c>
      <c r="BV32" s="33">
        <f t="shared" si="19"/>
        <v>1</v>
      </c>
      <c r="BW32" s="33">
        <f t="shared" si="20"/>
        <v>1</v>
      </c>
      <c r="BX32" s="33">
        <f t="shared" si="21"/>
        <v>1</v>
      </c>
      <c r="BY32" s="33">
        <f t="shared" si="22"/>
        <v>1</v>
      </c>
      <c r="BZ32" s="33">
        <f t="shared" si="23"/>
        <v>1</v>
      </c>
      <c r="CA32" s="33">
        <f t="shared" si="24"/>
        <v>1</v>
      </c>
      <c r="CB32" s="33">
        <f t="shared" si="25"/>
        <v>1</v>
      </c>
      <c r="CC32" s="33">
        <f t="shared" si="26"/>
        <v>1</v>
      </c>
      <c r="CD32" s="33">
        <f t="shared" si="27"/>
        <v>1</v>
      </c>
      <c r="CE32" s="33">
        <f t="shared" si="28"/>
        <v>1</v>
      </c>
      <c r="CF32" s="33">
        <f t="shared" si="29"/>
        <v>1</v>
      </c>
      <c r="CG32" s="33">
        <f t="shared" si="30"/>
        <v>1</v>
      </c>
      <c r="CH32" s="33">
        <f t="shared" si="31"/>
        <v>1</v>
      </c>
      <c r="CI32" s="33">
        <f t="shared" si="32"/>
        <v>1</v>
      </c>
      <c r="CJ32" s="33">
        <f t="shared" si="33"/>
        <v>1</v>
      </c>
      <c r="CK32" s="33">
        <f t="shared" si="34"/>
        <v>1</v>
      </c>
      <c r="CL32" s="33">
        <f t="shared" si="35"/>
        <v>1</v>
      </c>
      <c r="CM32" s="33">
        <f t="shared" si="36"/>
        <v>1</v>
      </c>
      <c r="CN32" s="33">
        <f t="shared" si="37"/>
        <v>1</v>
      </c>
      <c r="CO32" s="33">
        <f t="shared" si="38"/>
        <v>1</v>
      </c>
      <c r="CP32" s="33">
        <f t="shared" si="39"/>
        <v>1</v>
      </c>
      <c r="CQ32" s="33">
        <f t="shared" si="40"/>
        <v>1</v>
      </c>
      <c r="CR32" s="33">
        <f t="shared" si="41"/>
        <v>1</v>
      </c>
      <c r="CS32" s="33">
        <f t="shared" si="42"/>
        <v>1</v>
      </c>
      <c r="CT32" s="33">
        <f t="shared" si="43"/>
        <v>1</v>
      </c>
      <c r="CU32" s="33">
        <f t="shared" si="44"/>
        <v>1</v>
      </c>
      <c r="CV32" s="33">
        <f t="shared" si="45"/>
        <v>1</v>
      </c>
    </row>
    <row r="33" spans="1:100" x14ac:dyDescent="0.45">
      <c r="A33">
        <v>1</v>
      </c>
      <c r="B33" t="str">
        <f>VLOOKUP(F33,'TRA balance'!$AK$5:$AL$14,2,FALSE)</f>
        <v>TRAGSL</v>
      </c>
      <c r="C33" s="6" t="str">
        <f t="shared" si="46"/>
        <v>TT</v>
      </c>
      <c r="D33" s="7" t="s">
        <v>17</v>
      </c>
      <c r="E33" s="7" t="s">
        <v>53</v>
      </c>
      <c r="F33" s="8" t="str">
        <f t="shared" si="78"/>
        <v>Gasoline</v>
      </c>
      <c r="G33" s="6" t="s">
        <v>55</v>
      </c>
      <c r="H33" s="9">
        <f ca="1">OFFSET(TIAM15_assumptions!$G33,0,MATCH(VLOOKUP(Assumptions!H$2,TIAM15_assumptions!$Y$3:$Z$36,2,FALSE),TIAM15_assumptions!$H$2:$V$2,0))</f>
        <v>0.5</v>
      </c>
      <c r="I33" s="9">
        <f ca="1">OFFSET(TIAM15_assumptions!$G33,0,MATCH(VLOOKUP(Assumptions!I$2,TIAM15_assumptions!$Y$3:$Z$36,2,FALSE),TIAM15_assumptions!$H$2:$V$2,0))</f>
        <v>0.5</v>
      </c>
      <c r="J33" s="9">
        <f ca="1">OFFSET(TIAM15_assumptions!$G33,0,MATCH(VLOOKUP(Assumptions!J$2,TIAM15_assumptions!$Y$3:$Z$36,2,FALSE),TIAM15_assumptions!$H$2:$V$2,0))</f>
        <v>1</v>
      </c>
      <c r="K33" s="9">
        <f ca="1">OFFSET(TIAM15_assumptions!$G33,0,MATCH(VLOOKUP(Assumptions!K$2,TIAM15_assumptions!$Y$3:$Z$36,2,FALSE),TIAM15_assumptions!$H$2:$V$2,0))</f>
        <v>0.5</v>
      </c>
      <c r="L33" s="9">
        <f ca="1">OFFSET(TIAM15_assumptions!$G33,0,MATCH(VLOOKUP(Assumptions!L$2,TIAM15_assumptions!$Y$3:$Z$36,2,FALSE),TIAM15_assumptions!$H$2:$V$2,0))</f>
        <v>7.0000000000000007E-2</v>
      </c>
      <c r="M33" s="9">
        <f ca="1">OFFSET(TIAM15_assumptions!$G33,0,MATCH(VLOOKUP(Assumptions!M$2,TIAM15_assumptions!$Y$3:$Z$36,2,FALSE),TIAM15_assumptions!$H$2:$V$2,0))</f>
        <v>0.5</v>
      </c>
      <c r="N33" s="9">
        <f ca="1">OFFSET(TIAM15_assumptions!$G33,0,MATCH(VLOOKUP(Assumptions!N$2,TIAM15_assumptions!$Y$3:$Z$36,2,FALSE),TIAM15_assumptions!$H$2:$V$2,0))</f>
        <v>0.5</v>
      </c>
      <c r="O33" s="9">
        <f ca="1">OFFSET(TIAM15_assumptions!$G33,0,MATCH(VLOOKUP(Assumptions!O$2,TIAM15_assumptions!$Y$3:$Z$36,2,FALSE),TIAM15_assumptions!$H$2:$V$2,0))</f>
        <v>1</v>
      </c>
      <c r="P33" s="9">
        <f ca="1">OFFSET(TIAM15_assumptions!$G33,0,MATCH(VLOOKUP(Assumptions!P$2,TIAM15_assumptions!$Y$3:$Z$36,2,FALSE),TIAM15_assumptions!$H$2:$V$2,0))</f>
        <v>1</v>
      </c>
      <c r="Q33" s="9">
        <f ca="1">OFFSET(TIAM15_assumptions!$G33,0,MATCH(VLOOKUP(Assumptions!Q$2,TIAM15_assumptions!$Y$3:$Z$36,2,FALSE),TIAM15_assumptions!$H$2:$V$2,0))</f>
        <v>0.5</v>
      </c>
      <c r="R33" s="9">
        <f ca="1">OFFSET(TIAM15_assumptions!$G33,0,MATCH(VLOOKUP(Assumptions!R$2,TIAM15_assumptions!$Y$3:$Z$36,2,FALSE),TIAM15_assumptions!$H$2:$V$2,0))</f>
        <v>1</v>
      </c>
      <c r="S33" s="9">
        <f ca="1">OFFSET(TIAM15_assumptions!$G33,0,MATCH(VLOOKUP(Assumptions!S$2,TIAM15_assumptions!$Y$3:$Z$36,2,FALSE),TIAM15_assumptions!$H$2:$V$2,0))</f>
        <v>1</v>
      </c>
      <c r="T33" s="9">
        <f ca="1">OFFSET(TIAM15_assumptions!$G33,0,MATCH(VLOOKUP(Assumptions!T$2,TIAM15_assumptions!$Y$3:$Z$36,2,FALSE),TIAM15_assumptions!$H$2:$V$2,0))</f>
        <v>1</v>
      </c>
      <c r="U33" s="9">
        <f ca="1">OFFSET(TIAM15_assumptions!$G33,0,MATCH(VLOOKUP(Assumptions!U$2,TIAM15_assumptions!$Y$3:$Z$36,2,FALSE),TIAM15_assumptions!$H$2:$V$2,0))</f>
        <v>1</v>
      </c>
      <c r="V33" s="9">
        <f ca="1">OFFSET(TIAM15_assumptions!$G33,0,MATCH(VLOOKUP(Assumptions!V$2,TIAM15_assumptions!$Y$3:$Z$36,2,FALSE),TIAM15_assumptions!$H$2:$V$2,0))</f>
        <v>1</v>
      </c>
      <c r="W33" s="9">
        <f ca="1">OFFSET(TIAM15_assumptions!$G33,0,MATCH(VLOOKUP(Assumptions!W$2,TIAM15_assumptions!$Y$3:$Z$36,2,FALSE),TIAM15_assumptions!$H$2:$V$2,0))</f>
        <v>1</v>
      </c>
      <c r="X33" s="9">
        <f ca="1">OFFSET(TIAM15_assumptions!$G33,0,MATCH(VLOOKUP(Assumptions!X$2,TIAM15_assumptions!$Y$3:$Z$36,2,FALSE),TIAM15_assumptions!$H$2:$V$2,0))</f>
        <v>1</v>
      </c>
      <c r="Y33" s="9">
        <f ca="1">OFFSET(TIAM15_assumptions!$G33,0,MATCH(VLOOKUP(Assumptions!Y$2,TIAM15_assumptions!$Y$3:$Z$36,2,FALSE),TIAM15_assumptions!$H$2:$V$2,0))</f>
        <v>1</v>
      </c>
      <c r="Z33" s="9">
        <f ca="1">OFFSET(TIAM15_assumptions!$G33,0,MATCH(VLOOKUP(Assumptions!Z$2,TIAM15_assumptions!$Y$3:$Z$36,2,FALSE),TIAM15_assumptions!$H$2:$V$2,0))</f>
        <v>1</v>
      </c>
      <c r="AA33" s="9">
        <f ca="1">OFFSET(TIAM15_assumptions!$G33,0,MATCH(VLOOKUP(Assumptions!AA$2,TIAM15_assumptions!$Y$3:$Z$36,2,FALSE),TIAM15_assumptions!$H$2:$V$2,0))</f>
        <v>1</v>
      </c>
      <c r="AB33" s="9">
        <f ca="1">OFFSET(TIAM15_assumptions!$G33,0,MATCH(VLOOKUP(Assumptions!AB$2,TIAM15_assumptions!$Y$3:$Z$36,2,FALSE),TIAM15_assumptions!$H$2:$V$2,0))</f>
        <v>1</v>
      </c>
      <c r="AC33" s="9">
        <f ca="1">OFFSET(TIAM15_assumptions!$G33,0,MATCH(VLOOKUP(Assumptions!AC$2,TIAM15_assumptions!$Y$3:$Z$36,2,FALSE),TIAM15_assumptions!$H$2:$V$2,0))</f>
        <v>0.98</v>
      </c>
      <c r="AD33" s="9">
        <f ca="1">OFFSET(TIAM15_assumptions!$G33,0,MATCH(VLOOKUP(Assumptions!AD$2,TIAM15_assumptions!$Y$3:$Z$36,2,FALSE),TIAM15_assumptions!$H$2:$V$2,0))</f>
        <v>1</v>
      </c>
      <c r="AE33" s="9">
        <f ca="1">OFFSET(TIAM15_assumptions!$G33,0,MATCH(VLOOKUP(Assumptions!AE$2,TIAM15_assumptions!$Y$3:$Z$36,2,FALSE),TIAM15_assumptions!$H$2:$V$2,0))</f>
        <v>1</v>
      </c>
      <c r="AF33" s="9">
        <f ca="1">OFFSET(TIAM15_assumptions!$G33,0,MATCH(VLOOKUP(Assumptions!AF$2,TIAM15_assumptions!$Y$3:$Z$36,2,FALSE),TIAM15_assumptions!$H$2:$V$2,0))</f>
        <v>0.5</v>
      </c>
      <c r="AG33" s="9">
        <f ca="1">OFFSET(TIAM15_assumptions!$G33,0,MATCH(VLOOKUP(Assumptions!AG$2,TIAM15_assumptions!$Y$3:$Z$36,2,FALSE),TIAM15_assumptions!$H$2:$V$2,0))</f>
        <v>1</v>
      </c>
      <c r="AH33" s="9">
        <f ca="1">OFFSET(TIAM15_assumptions!$G33,0,MATCH(VLOOKUP(Assumptions!AH$2,TIAM15_assumptions!$Y$3:$Z$36,2,FALSE),TIAM15_assumptions!$H$2:$V$2,0))</f>
        <v>0.5</v>
      </c>
      <c r="AI33" s="9">
        <f ca="1">OFFSET(TIAM15_assumptions!$G33,0,MATCH(VLOOKUP(Assumptions!AI$2,TIAM15_assumptions!$Y$3:$Z$36,2,FALSE),TIAM15_assumptions!$H$2:$V$2,0))</f>
        <v>1</v>
      </c>
      <c r="AJ33" s="9">
        <f ca="1">OFFSET(TIAM15_assumptions!$G33,0,MATCH(VLOOKUP(Assumptions!AJ$2,TIAM15_assumptions!$Y$3:$Z$36,2,FALSE),TIAM15_assumptions!$H$2:$V$2,0))</f>
        <v>0.5</v>
      </c>
      <c r="AK33" s="9">
        <f ca="1">OFFSET(TIAM15_assumptions!$G33,0,MATCH(VLOOKUP(Assumptions!AK$2,TIAM15_assumptions!$Y$3:$Z$36,2,FALSE),TIAM15_assumptions!$H$2:$V$2,0))</f>
        <v>0.5</v>
      </c>
      <c r="AN33" s="34">
        <f ca="1">IFERROR(SUMIFS('TRA balance'!E$5:E$40,'TRA balance'!$C$5:$C$40,Assumptions!$C33,'TRA balance'!$D$5:$D$40,Assumptions!$B33)*BS33*H33,"")</f>
        <v>0</v>
      </c>
      <c r="AO33" s="34">
        <f ca="1">IFERROR(SUMIFS('TRA balance'!F$5:F$40,'TRA balance'!$C$5:$C$40,Assumptions!$C33,'TRA balance'!$D$5:$D$40,Assumptions!$B33)*BT33*I33,"")</f>
        <v>0</v>
      </c>
      <c r="AP33" s="34">
        <f ca="1">IFERROR(SUMIFS('TRA balance'!G$5:G$40,'TRA balance'!$C$5:$C$40,Assumptions!$C33,'TRA balance'!$D$5:$D$40,Assumptions!$B33)*BU33*J33,"")</f>
        <v>0</v>
      </c>
      <c r="AQ33" s="34">
        <f ca="1">IFERROR(SUMIFS('TRA balance'!H$5:H$40,'TRA balance'!$C$5:$C$40,Assumptions!$C33,'TRA balance'!$D$5:$D$40,Assumptions!$B33)*BV33*K33,"")</f>
        <v>4.1338369799999997E-2</v>
      </c>
      <c r="AR33" s="34">
        <f ca="1">IFERROR(SUMIFS('TRA balance'!I$5:I$40,'TRA balance'!$C$5:$C$40,Assumptions!$C33,'TRA balance'!$D$5:$D$40,Assumptions!$B33)*BW33*L33,"")</f>
        <v>0</v>
      </c>
      <c r="AS33" s="34">
        <f ca="1">IFERROR(SUMIFS('TRA balance'!J$5:J$40,'TRA balance'!$C$5:$C$40,Assumptions!$C33,'TRA balance'!$D$5:$D$40,Assumptions!$B33)*BX33*M33,"")</f>
        <v>0</v>
      </c>
      <c r="AT33" s="34">
        <f ca="1">IFERROR(SUMIFS('TRA balance'!K$5:K$40,'TRA balance'!$C$5:$C$40,Assumptions!$C33,'TRA balance'!$D$5:$D$40,Assumptions!$B33)*BY33*N33,"")</f>
        <v>2.2277962799999999E-2</v>
      </c>
      <c r="AU33" s="34">
        <f ca="1">IFERROR(SUMIFS('TRA balance'!L$5:L$40,'TRA balance'!$C$5:$C$40,Assumptions!$C33,'TRA balance'!$D$5:$D$40,Assumptions!$B33)*BZ33*O33,"")</f>
        <v>0</v>
      </c>
      <c r="AV33" s="34">
        <f ca="1">IFERROR(SUMIFS('TRA balance'!M$5:M$40,'TRA balance'!$C$5:$C$40,Assumptions!$C33,'TRA balance'!$D$5:$D$40,Assumptions!$B33)*CA33*P33,"")</f>
        <v>0</v>
      </c>
      <c r="AW33" s="34">
        <f ca="1">IFERROR(SUMIFS('TRA balance'!N$5:N$40,'TRA balance'!$C$5:$C$40,Assumptions!$C33,'TRA balance'!$D$5:$D$40,Assumptions!$B33)*CB33*Q33,"")</f>
        <v>0</v>
      </c>
      <c r="AX33" s="34">
        <f ca="1">IFERROR(SUMIFS('TRA balance'!O$5:O$40,'TRA balance'!$C$5:$C$40,Assumptions!$C33,'TRA balance'!$D$5:$D$40,Assumptions!$B33)*CC33*R33,"")</f>
        <v>8.7922800000000005E-5</v>
      </c>
      <c r="AY33" s="34">
        <f ca="1">IFERROR(SUMIFS('TRA balance'!P$5:P$40,'TRA balance'!$C$5:$C$40,Assumptions!$C33,'TRA balance'!$D$5:$D$40,Assumptions!$B33)*CD33*S33,"")</f>
        <v>0</v>
      </c>
      <c r="AZ33" s="34">
        <f ca="1">IFERROR(SUMIFS('TRA balance'!Q$5:Q$40,'TRA balance'!$C$5:$C$40,Assumptions!$C33,'TRA balance'!$D$5:$D$40,Assumptions!$B33)*CE33*T33,"")</f>
        <v>0</v>
      </c>
      <c r="BA33" s="34">
        <f ca="1">IFERROR(SUMIFS('TRA balance'!R$5:R$40,'TRA balance'!$C$5:$C$40,Assumptions!$C33,'TRA balance'!$D$5:$D$40,Assumptions!$B33)*CF33*U33,"")</f>
        <v>1.0111122E-2</v>
      </c>
      <c r="BB33" s="34">
        <f ca="1">IFERROR(SUMIFS('TRA balance'!S$5:S$40,'TRA balance'!$C$5:$C$40,Assumptions!$C33,'TRA balance'!$D$5:$D$40,Assumptions!$B33)*CG33*V33,"")</f>
        <v>0</v>
      </c>
      <c r="BC33" s="34">
        <f ca="1">IFERROR(SUMIFS('TRA balance'!T$5:T$40,'TRA balance'!$C$5:$C$40,Assumptions!$C33,'TRA balance'!$D$5:$D$40,Assumptions!$B33)*CH33*W33,"")</f>
        <v>0</v>
      </c>
      <c r="BD33" s="34">
        <f ca="1">IFERROR(SUMIFS('TRA balance'!U$5:U$40,'TRA balance'!$C$5:$C$40,Assumptions!$C33,'TRA balance'!$D$5:$D$40,Assumptions!$B33)*CI33*X33,"")</f>
        <v>0</v>
      </c>
      <c r="BE33" s="34">
        <f ca="1">IFERROR(SUMIFS('TRA balance'!V$5:V$40,'TRA balance'!$C$5:$C$40,Assumptions!$C33,'TRA balance'!$D$5:$D$40,Assumptions!$B33)*CJ33*Y33,"")</f>
        <v>0</v>
      </c>
      <c r="BF33" s="34">
        <f ca="1">IFERROR(SUMIFS('TRA balance'!W$5:W$40,'TRA balance'!$C$5:$C$40,Assumptions!$C33,'TRA balance'!$D$5:$D$40,Assumptions!$B33)*CK33*Z33,"")</f>
        <v>0</v>
      </c>
      <c r="BG33" s="34">
        <f ca="1">IFERROR(SUMIFS('TRA balance'!X$5:X$40,'TRA balance'!$C$5:$C$40,Assumptions!$C33,'TRA balance'!$D$5:$D$40,Assumptions!$B33)*CL33*AA33,"")</f>
        <v>0</v>
      </c>
      <c r="BH33" s="34">
        <f ca="1">IFERROR(SUMIFS('TRA balance'!Y$5:Y$40,'TRA balance'!$C$5:$C$40,Assumptions!$C33,'TRA balance'!$D$5:$D$40,Assumptions!$B33)*CM33*AB33,"")</f>
        <v>2.2219347600000001E-2</v>
      </c>
      <c r="BI33" s="34">
        <f ca="1">IFERROR(SUMIFS('TRA balance'!Z$5:Z$40,'TRA balance'!$C$5:$C$40,Assumptions!$C33,'TRA balance'!$D$5:$D$40,Assumptions!$B33)*CN33*AC33,"")</f>
        <v>0</v>
      </c>
      <c r="BJ33" s="34">
        <f ca="1">IFERROR(SUMIFS('TRA balance'!AA$5:AA$40,'TRA balance'!$C$5:$C$40,Assumptions!$C33,'TRA balance'!$D$5:$D$40,Assumptions!$B33)*CO33*AD33,"")</f>
        <v>0</v>
      </c>
      <c r="BK33" s="34">
        <f ca="1">IFERROR(SUMIFS('TRA balance'!AB$5:AB$40,'TRA balance'!$C$5:$C$40,Assumptions!$C33,'TRA balance'!$D$5:$D$40,Assumptions!$B33)*CP33*AE33,"")</f>
        <v>0</v>
      </c>
      <c r="BL33" s="34">
        <f ca="1">IFERROR(SUMIFS('TRA balance'!AC$5:AC$40,'TRA balance'!$C$5:$C$40,Assumptions!$C33,'TRA balance'!$D$5:$D$40,Assumptions!$B33)*CQ33*AF33,"")</f>
        <v>0.59840048339999996</v>
      </c>
      <c r="BM33" s="34">
        <f ca="1">IFERROR(SUMIFS('TRA balance'!AD$5:AD$40,'TRA balance'!$C$5:$C$40,Assumptions!$C33,'TRA balance'!$D$5:$D$40,Assumptions!$B33)*CR33*AG33,"")</f>
        <v>0</v>
      </c>
      <c r="BN33" s="34">
        <f ca="1">IFERROR(SUMIFS('TRA balance'!AE$5:AE$40,'TRA balance'!$C$5:$C$40,Assumptions!$C33,'TRA balance'!$D$5:$D$40,Assumptions!$B33)*CS33*AH33,"")</f>
        <v>0.66860265240000005</v>
      </c>
      <c r="BO33" s="34">
        <f ca="1">IFERROR(SUMIFS('TRA balance'!AF$5:AF$40,'TRA balance'!$C$5:$C$40,Assumptions!$C33,'TRA balance'!$D$5:$D$40,Assumptions!$B33)*CT33*AI33,"")</f>
        <v>0</v>
      </c>
      <c r="BP33" s="34">
        <f ca="1">IFERROR(SUMIFS('TRA balance'!AG$5:AG$40,'TRA balance'!$C$5:$C$40,Assumptions!$C33,'TRA balance'!$D$5:$D$40,Assumptions!$B33)*CU33*AJ33,"")</f>
        <v>0</v>
      </c>
      <c r="BQ33" s="34">
        <f ca="1">IFERROR(SUMIFS('TRA balance'!AH$5:AH$40,'TRA balance'!$C$5:$C$40,Assumptions!$C33,'TRA balance'!$D$5:$D$40,Assumptions!$B33)*CV33*AK33,"")</f>
        <v>0</v>
      </c>
      <c r="BS33" s="33">
        <f t="shared" si="16"/>
        <v>1</v>
      </c>
      <c r="BT33" s="33">
        <f t="shared" si="17"/>
        <v>1</v>
      </c>
      <c r="BU33" s="33">
        <f t="shared" si="18"/>
        <v>1</v>
      </c>
      <c r="BV33" s="33">
        <f t="shared" si="19"/>
        <v>1</v>
      </c>
      <c r="BW33" s="33">
        <f t="shared" si="20"/>
        <v>1</v>
      </c>
      <c r="BX33" s="33">
        <f t="shared" si="21"/>
        <v>1</v>
      </c>
      <c r="BY33" s="33">
        <f t="shared" si="22"/>
        <v>1</v>
      </c>
      <c r="BZ33" s="33">
        <f t="shared" si="23"/>
        <v>1</v>
      </c>
      <c r="CA33" s="33">
        <f t="shared" si="24"/>
        <v>1</v>
      </c>
      <c r="CB33" s="33">
        <f t="shared" si="25"/>
        <v>1</v>
      </c>
      <c r="CC33" s="33">
        <f t="shared" si="26"/>
        <v>1</v>
      </c>
      <c r="CD33" s="33">
        <f t="shared" si="27"/>
        <v>1</v>
      </c>
      <c r="CE33" s="33">
        <f t="shared" si="28"/>
        <v>1</v>
      </c>
      <c r="CF33" s="33">
        <f t="shared" si="29"/>
        <v>1</v>
      </c>
      <c r="CG33" s="33">
        <f t="shared" si="30"/>
        <v>1</v>
      </c>
      <c r="CH33" s="33">
        <f t="shared" si="31"/>
        <v>1</v>
      </c>
      <c r="CI33" s="33">
        <f t="shared" si="32"/>
        <v>1</v>
      </c>
      <c r="CJ33" s="33">
        <f t="shared" si="33"/>
        <v>1</v>
      </c>
      <c r="CK33" s="33">
        <f t="shared" si="34"/>
        <v>1</v>
      </c>
      <c r="CL33" s="33">
        <f t="shared" si="35"/>
        <v>1</v>
      </c>
      <c r="CM33" s="33">
        <f t="shared" si="36"/>
        <v>1</v>
      </c>
      <c r="CN33" s="33">
        <f t="shared" si="37"/>
        <v>1</v>
      </c>
      <c r="CO33" s="33">
        <f t="shared" si="38"/>
        <v>1</v>
      </c>
      <c r="CP33" s="33">
        <f t="shared" si="39"/>
        <v>1</v>
      </c>
      <c r="CQ33" s="33">
        <f t="shared" si="40"/>
        <v>1</v>
      </c>
      <c r="CR33" s="33">
        <f t="shared" si="41"/>
        <v>1</v>
      </c>
      <c r="CS33" s="33">
        <f t="shared" si="42"/>
        <v>1</v>
      </c>
      <c r="CT33" s="33">
        <f t="shared" si="43"/>
        <v>1</v>
      </c>
      <c r="CU33" s="33">
        <f t="shared" si="44"/>
        <v>1</v>
      </c>
      <c r="CV33" s="33">
        <f t="shared" si="45"/>
        <v>1</v>
      </c>
    </row>
    <row r="34" spans="1:100" x14ac:dyDescent="0.45">
      <c r="A34">
        <v>1</v>
      </c>
      <c r="B34" t="str">
        <f>VLOOKUP(F34,'TRA balance'!$AK$5:$AL$14,2,FALSE)</f>
        <v>TRAGSL</v>
      </c>
      <c r="C34" s="6" t="str">
        <f t="shared" si="46"/>
        <v>TT</v>
      </c>
      <c r="D34" s="7" t="s">
        <v>17</v>
      </c>
      <c r="E34" s="7" t="s">
        <v>56</v>
      </c>
      <c r="F34" s="8" t="str">
        <f t="shared" si="78"/>
        <v>Gasoline</v>
      </c>
      <c r="G34" s="6" t="s">
        <v>57</v>
      </c>
      <c r="H34" s="9">
        <f ca="1">OFFSET(TIAM15_assumptions!$G34,0,MATCH(VLOOKUP(Assumptions!H$2,TIAM15_assumptions!$Y$3:$Z$36,2,FALSE),TIAM15_assumptions!$H$2:$V$2,0))</f>
        <v>0.5</v>
      </c>
      <c r="I34" s="9">
        <f ca="1">OFFSET(TIAM15_assumptions!$G34,0,MATCH(VLOOKUP(Assumptions!I$2,TIAM15_assumptions!$Y$3:$Z$36,2,FALSE),TIAM15_assumptions!$H$2:$V$2,0))</f>
        <v>0.5</v>
      </c>
      <c r="J34" s="9">
        <f ca="1">OFFSET(TIAM15_assumptions!$G34,0,MATCH(VLOOKUP(Assumptions!J$2,TIAM15_assumptions!$Y$3:$Z$36,2,FALSE),TIAM15_assumptions!$H$2:$V$2,0))</f>
        <v>0</v>
      </c>
      <c r="K34" s="9">
        <f ca="1">OFFSET(TIAM15_assumptions!$G34,0,MATCH(VLOOKUP(Assumptions!K$2,TIAM15_assumptions!$Y$3:$Z$36,2,FALSE),TIAM15_assumptions!$H$2:$V$2,0))</f>
        <v>0.5</v>
      </c>
      <c r="L34" s="9">
        <f ca="1">OFFSET(TIAM15_assumptions!$G34,0,MATCH(VLOOKUP(Assumptions!L$2,TIAM15_assumptions!$Y$3:$Z$36,2,FALSE),TIAM15_assumptions!$H$2:$V$2,0))</f>
        <v>0.93</v>
      </c>
      <c r="M34" s="9">
        <f ca="1">OFFSET(TIAM15_assumptions!$G34,0,MATCH(VLOOKUP(Assumptions!M$2,TIAM15_assumptions!$Y$3:$Z$36,2,FALSE),TIAM15_assumptions!$H$2:$V$2,0))</f>
        <v>0.5</v>
      </c>
      <c r="N34" s="9">
        <f ca="1">OFFSET(TIAM15_assumptions!$G34,0,MATCH(VLOOKUP(Assumptions!N$2,TIAM15_assumptions!$Y$3:$Z$36,2,FALSE),TIAM15_assumptions!$H$2:$V$2,0))</f>
        <v>0.5</v>
      </c>
      <c r="O34" s="9">
        <f ca="1">OFFSET(TIAM15_assumptions!$G34,0,MATCH(VLOOKUP(Assumptions!O$2,TIAM15_assumptions!$Y$3:$Z$36,2,FALSE),TIAM15_assumptions!$H$2:$V$2,0))</f>
        <v>0</v>
      </c>
      <c r="P34" s="9">
        <f ca="1">OFFSET(TIAM15_assumptions!$G34,0,MATCH(VLOOKUP(Assumptions!P$2,TIAM15_assumptions!$Y$3:$Z$36,2,FALSE),TIAM15_assumptions!$H$2:$V$2,0))</f>
        <v>0</v>
      </c>
      <c r="Q34" s="9">
        <f ca="1">OFFSET(TIAM15_assumptions!$G34,0,MATCH(VLOOKUP(Assumptions!Q$2,TIAM15_assumptions!$Y$3:$Z$36,2,FALSE),TIAM15_assumptions!$H$2:$V$2,0))</f>
        <v>0.5</v>
      </c>
      <c r="R34" s="9">
        <f ca="1">OFFSET(TIAM15_assumptions!$G34,0,MATCH(VLOOKUP(Assumptions!R$2,TIAM15_assumptions!$Y$3:$Z$36,2,FALSE),TIAM15_assumptions!$H$2:$V$2,0))</f>
        <v>0</v>
      </c>
      <c r="S34" s="9">
        <f ca="1">OFFSET(TIAM15_assumptions!$G34,0,MATCH(VLOOKUP(Assumptions!S$2,TIAM15_assumptions!$Y$3:$Z$36,2,FALSE),TIAM15_assumptions!$H$2:$V$2,0))</f>
        <v>0</v>
      </c>
      <c r="T34" s="9">
        <f ca="1">OFFSET(TIAM15_assumptions!$G34,0,MATCH(VLOOKUP(Assumptions!T$2,TIAM15_assumptions!$Y$3:$Z$36,2,FALSE),TIAM15_assumptions!$H$2:$V$2,0))</f>
        <v>0</v>
      </c>
      <c r="U34" s="9">
        <f ca="1">OFFSET(TIAM15_assumptions!$G34,0,MATCH(VLOOKUP(Assumptions!U$2,TIAM15_assumptions!$Y$3:$Z$36,2,FALSE),TIAM15_assumptions!$H$2:$V$2,0))</f>
        <v>0</v>
      </c>
      <c r="V34" s="9">
        <f ca="1">OFFSET(TIAM15_assumptions!$G34,0,MATCH(VLOOKUP(Assumptions!V$2,TIAM15_assumptions!$Y$3:$Z$36,2,FALSE),TIAM15_assumptions!$H$2:$V$2,0))</f>
        <v>0</v>
      </c>
      <c r="W34" s="9">
        <f ca="1">OFFSET(TIAM15_assumptions!$G34,0,MATCH(VLOOKUP(Assumptions!W$2,TIAM15_assumptions!$Y$3:$Z$36,2,FALSE),TIAM15_assumptions!$H$2:$V$2,0))</f>
        <v>0</v>
      </c>
      <c r="X34" s="9">
        <f ca="1">OFFSET(TIAM15_assumptions!$G34,0,MATCH(VLOOKUP(Assumptions!X$2,TIAM15_assumptions!$Y$3:$Z$36,2,FALSE),TIAM15_assumptions!$H$2:$V$2,0))</f>
        <v>0</v>
      </c>
      <c r="Y34" s="9">
        <f ca="1">OFFSET(TIAM15_assumptions!$G34,0,MATCH(VLOOKUP(Assumptions!Y$2,TIAM15_assumptions!$Y$3:$Z$36,2,FALSE),TIAM15_assumptions!$H$2:$V$2,0))</f>
        <v>0</v>
      </c>
      <c r="Z34" s="9">
        <f ca="1">OFFSET(TIAM15_assumptions!$G34,0,MATCH(VLOOKUP(Assumptions!Z$2,TIAM15_assumptions!$Y$3:$Z$36,2,FALSE),TIAM15_assumptions!$H$2:$V$2,0))</f>
        <v>0</v>
      </c>
      <c r="AA34" s="9">
        <f ca="1">OFFSET(TIAM15_assumptions!$G34,0,MATCH(VLOOKUP(Assumptions!AA$2,TIAM15_assumptions!$Y$3:$Z$36,2,FALSE),TIAM15_assumptions!$H$2:$V$2,0))</f>
        <v>0</v>
      </c>
      <c r="AB34" s="9">
        <f ca="1">OFFSET(TIAM15_assumptions!$G34,0,MATCH(VLOOKUP(Assumptions!AB$2,TIAM15_assumptions!$Y$3:$Z$36,2,FALSE),TIAM15_assumptions!$H$2:$V$2,0))</f>
        <v>0</v>
      </c>
      <c r="AC34" s="9">
        <f ca="1">OFFSET(TIAM15_assumptions!$G34,0,MATCH(VLOOKUP(Assumptions!AC$2,TIAM15_assumptions!$Y$3:$Z$36,2,FALSE),TIAM15_assumptions!$H$2:$V$2,0))</f>
        <v>0.02</v>
      </c>
      <c r="AD34" s="9">
        <f ca="1">OFFSET(TIAM15_assumptions!$G34,0,MATCH(VLOOKUP(Assumptions!AD$2,TIAM15_assumptions!$Y$3:$Z$36,2,FALSE),TIAM15_assumptions!$H$2:$V$2,0))</f>
        <v>0</v>
      </c>
      <c r="AE34" s="9">
        <f ca="1">OFFSET(TIAM15_assumptions!$G34,0,MATCH(VLOOKUP(Assumptions!AE$2,TIAM15_assumptions!$Y$3:$Z$36,2,FALSE),TIAM15_assumptions!$H$2:$V$2,0))</f>
        <v>0</v>
      </c>
      <c r="AF34" s="9">
        <f ca="1">OFFSET(TIAM15_assumptions!$G34,0,MATCH(VLOOKUP(Assumptions!AF$2,TIAM15_assumptions!$Y$3:$Z$36,2,FALSE),TIAM15_assumptions!$H$2:$V$2,0))</f>
        <v>0.5</v>
      </c>
      <c r="AG34" s="9">
        <f ca="1">OFFSET(TIAM15_assumptions!$G34,0,MATCH(VLOOKUP(Assumptions!AG$2,TIAM15_assumptions!$Y$3:$Z$36,2,FALSE),TIAM15_assumptions!$H$2:$V$2,0))</f>
        <v>0</v>
      </c>
      <c r="AH34" s="9">
        <f ca="1">OFFSET(TIAM15_assumptions!$G34,0,MATCH(VLOOKUP(Assumptions!AH$2,TIAM15_assumptions!$Y$3:$Z$36,2,FALSE),TIAM15_assumptions!$H$2:$V$2,0))</f>
        <v>0.5</v>
      </c>
      <c r="AI34" s="9">
        <f ca="1">OFFSET(TIAM15_assumptions!$G34,0,MATCH(VLOOKUP(Assumptions!AI$2,TIAM15_assumptions!$Y$3:$Z$36,2,FALSE),TIAM15_assumptions!$H$2:$V$2,0))</f>
        <v>0</v>
      </c>
      <c r="AJ34" s="9">
        <f ca="1">OFFSET(TIAM15_assumptions!$G34,0,MATCH(VLOOKUP(Assumptions!AJ$2,TIAM15_assumptions!$Y$3:$Z$36,2,FALSE),TIAM15_assumptions!$H$2:$V$2,0))</f>
        <v>0.5</v>
      </c>
      <c r="AK34" s="9">
        <f ca="1">OFFSET(TIAM15_assumptions!$G34,0,MATCH(VLOOKUP(Assumptions!AK$2,TIAM15_assumptions!$Y$3:$Z$36,2,FALSE),TIAM15_assumptions!$H$2:$V$2,0))</f>
        <v>0.5</v>
      </c>
      <c r="AN34" s="34">
        <f ca="1">IFERROR(SUMIFS('TRA balance'!E$5:E$40,'TRA balance'!$C$5:$C$40,Assumptions!$C34,'TRA balance'!$D$5:$D$40,Assumptions!$B34)*BS34*H34,"")</f>
        <v>0</v>
      </c>
      <c r="AO34" s="34">
        <f ca="1">IFERROR(SUMIFS('TRA balance'!F$5:F$40,'TRA balance'!$C$5:$C$40,Assumptions!$C34,'TRA balance'!$D$5:$D$40,Assumptions!$B34)*BT34*I34,"")</f>
        <v>0</v>
      </c>
      <c r="AP34" s="34">
        <f ca="1">IFERROR(SUMIFS('TRA balance'!G$5:G$40,'TRA balance'!$C$5:$C$40,Assumptions!$C34,'TRA balance'!$D$5:$D$40,Assumptions!$B34)*BU34*J34,"")</f>
        <v>0</v>
      </c>
      <c r="AQ34" s="34">
        <f ca="1">IFERROR(SUMIFS('TRA balance'!H$5:H$40,'TRA balance'!$C$5:$C$40,Assumptions!$C34,'TRA balance'!$D$5:$D$40,Assumptions!$B34)*BV34*K34,"")</f>
        <v>4.1338369799999997E-2</v>
      </c>
      <c r="AR34" s="34">
        <f ca="1">IFERROR(SUMIFS('TRA balance'!I$5:I$40,'TRA balance'!$C$5:$C$40,Assumptions!$C34,'TRA balance'!$D$5:$D$40,Assumptions!$B34)*BW34*L34,"")</f>
        <v>0</v>
      </c>
      <c r="AS34" s="34">
        <f ca="1">IFERROR(SUMIFS('TRA balance'!J$5:J$40,'TRA balance'!$C$5:$C$40,Assumptions!$C34,'TRA balance'!$D$5:$D$40,Assumptions!$B34)*BX34*M34,"")</f>
        <v>0</v>
      </c>
      <c r="AT34" s="34">
        <f ca="1">IFERROR(SUMIFS('TRA balance'!K$5:K$40,'TRA balance'!$C$5:$C$40,Assumptions!$C34,'TRA balance'!$D$5:$D$40,Assumptions!$B34)*BY34*N34,"")</f>
        <v>2.2277962799999999E-2</v>
      </c>
      <c r="AU34" s="34">
        <f ca="1">IFERROR(SUMIFS('TRA balance'!L$5:L$40,'TRA balance'!$C$5:$C$40,Assumptions!$C34,'TRA balance'!$D$5:$D$40,Assumptions!$B34)*BZ34*O34,"")</f>
        <v>0</v>
      </c>
      <c r="AV34" s="34">
        <f ca="1">IFERROR(SUMIFS('TRA balance'!M$5:M$40,'TRA balance'!$C$5:$C$40,Assumptions!$C34,'TRA balance'!$D$5:$D$40,Assumptions!$B34)*CA34*P34,"")</f>
        <v>0</v>
      </c>
      <c r="AW34" s="34">
        <f ca="1">IFERROR(SUMIFS('TRA balance'!N$5:N$40,'TRA balance'!$C$5:$C$40,Assumptions!$C34,'TRA balance'!$D$5:$D$40,Assumptions!$B34)*CB34*Q34,"")</f>
        <v>0</v>
      </c>
      <c r="AX34" s="34">
        <f ca="1">IFERROR(SUMIFS('TRA balance'!O$5:O$40,'TRA balance'!$C$5:$C$40,Assumptions!$C34,'TRA balance'!$D$5:$D$40,Assumptions!$B34)*CC34*R34,"")</f>
        <v>0</v>
      </c>
      <c r="AY34" s="34">
        <f ca="1">IFERROR(SUMIFS('TRA balance'!P$5:P$40,'TRA balance'!$C$5:$C$40,Assumptions!$C34,'TRA balance'!$D$5:$D$40,Assumptions!$B34)*CD34*S34,"")</f>
        <v>0</v>
      </c>
      <c r="AZ34" s="34">
        <f ca="1">IFERROR(SUMIFS('TRA balance'!Q$5:Q$40,'TRA balance'!$C$5:$C$40,Assumptions!$C34,'TRA balance'!$D$5:$D$40,Assumptions!$B34)*CE34*T34,"")</f>
        <v>0</v>
      </c>
      <c r="BA34" s="34">
        <f ca="1">IFERROR(SUMIFS('TRA balance'!R$5:R$40,'TRA balance'!$C$5:$C$40,Assumptions!$C34,'TRA balance'!$D$5:$D$40,Assumptions!$B34)*CF34*U34,"")</f>
        <v>0</v>
      </c>
      <c r="BB34" s="34">
        <f ca="1">IFERROR(SUMIFS('TRA balance'!S$5:S$40,'TRA balance'!$C$5:$C$40,Assumptions!$C34,'TRA balance'!$D$5:$D$40,Assumptions!$B34)*CG34*V34,"")</f>
        <v>0</v>
      </c>
      <c r="BC34" s="34">
        <f ca="1">IFERROR(SUMIFS('TRA balance'!T$5:T$40,'TRA balance'!$C$5:$C$40,Assumptions!$C34,'TRA balance'!$D$5:$D$40,Assumptions!$B34)*CH34*W34,"")</f>
        <v>0</v>
      </c>
      <c r="BD34" s="34">
        <f ca="1">IFERROR(SUMIFS('TRA balance'!U$5:U$40,'TRA balance'!$C$5:$C$40,Assumptions!$C34,'TRA balance'!$D$5:$D$40,Assumptions!$B34)*CI34*X34,"")</f>
        <v>0</v>
      </c>
      <c r="BE34" s="34">
        <f ca="1">IFERROR(SUMIFS('TRA balance'!V$5:V$40,'TRA balance'!$C$5:$C$40,Assumptions!$C34,'TRA balance'!$D$5:$D$40,Assumptions!$B34)*CJ34*Y34,"")</f>
        <v>0</v>
      </c>
      <c r="BF34" s="34">
        <f ca="1">IFERROR(SUMIFS('TRA balance'!W$5:W$40,'TRA balance'!$C$5:$C$40,Assumptions!$C34,'TRA balance'!$D$5:$D$40,Assumptions!$B34)*CK34*Z34,"")</f>
        <v>0</v>
      </c>
      <c r="BG34" s="34">
        <f ca="1">IFERROR(SUMIFS('TRA balance'!X$5:X$40,'TRA balance'!$C$5:$C$40,Assumptions!$C34,'TRA balance'!$D$5:$D$40,Assumptions!$B34)*CL34*AA34,"")</f>
        <v>0</v>
      </c>
      <c r="BH34" s="34">
        <f ca="1">IFERROR(SUMIFS('TRA balance'!Y$5:Y$40,'TRA balance'!$C$5:$C$40,Assumptions!$C34,'TRA balance'!$D$5:$D$40,Assumptions!$B34)*CM34*AB34,"")</f>
        <v>0</v>
      </c>
      <c r="BI34" s="34">
        <f ca="1">IFERROR(SUMIFS('TRA balance'!Z$5:Z$40,'TRA balance'!$C$5:$C$40,Assumptions!$C34,'TRA balance'!$D$5:$D$40,Assumptions!$B34)*CN34*AC34,"")</f>
        <v>0</v>
      </c>
      <c r="BJ34" s="34">
        <f ca="1">IFERROR(SUMIFS('TRA balance'!AA$5:AA$40,'TRA balance'!$C$5:$C$40,Assumptions!$C34,'TRA balance'!$D$5:$D$40,Assumptions!$B34)*CO34*AD34,"")</f>
        <v>0</v>
      </c>
      <c r="BK34" s="34">
        <f ca="1">IFERROR(SUMIFS('TRA balance'!AB$5:AB$40,'TRA balance'!$C$5:$C$40,Assumptions!$C34,'TRA balance'!$D$5:$D$40,Assumptions!$B34)*CP34*AE34,"")</f>
        <v>0</v>
      </c>
      <c r="BL34" s="34">
        <f ca="1">IFERROR(SUMIFS('TRA balance'!AC$5:AC$40,'TRA balance'!$C$5:$C$40,Assumptions!$C34,'TRA balance'!$D$5:$D$40,Assumptions!$B34)*CQ34*AF34,"")</f>
        <v>0.59840048339999996</v>
      </c>
      <c r="BM34" s="34">
        <f ca="1">IFERROR(SUMIFS('TRA balance'!AD$5:AD$40,'TRA balance'!$C$5:$C$40,Assumptions!$C34,'TRA balance'!$D$5:$D$40,Assumptions!$B34)*CR34*AG34,"")</f>
        <v>0</v>
      </c>
      <c r="BN34" s="34">
        <f ca="1">IFERROR(SUMIFS('TRA balance'!AE$5:AE$40,'TRA balance'!$C$5:$C$40,Assumptions!$C34,'TRA balance'!$D$5:$D$40,Assumptions!$B34)*CS34*AH34,"")</f>
        <v>0.66860265240000005</v>
      </c>
      <c r="BO34" s="34">
        <f ca="1">IFERROR(SUMIFS('TRA balance'!AF$5:AF$40,'TRA balance'!$C$5:$C$40,Assumptions!$C34,'TRA balance'!$D$5:$D$40,Assumptions!$B34)*CT34*AI34,"")</f>
        <v>0</v>
      </c>
      <c r="BP34" s="34">
        <f ca="1">IFERROR(SUMIFS('TRA balance'!AG$5:AG$40,'TRA balance'!$C$5:$C$40,Assumptions!$C34,'TRA balance'!$D$5:$D$40,Assumptions!$B34)*CU34*AJ34,"")</f>
        <v>0</v>
      </c>
      <c r="BQ34" s="34">
        <f ca="1">IFERROR(SUMIFS('TRA balance'!AH$5:AH$40,'TRA balance'!$C$5:$C$40,Assumptions!$C34,'TRA balance'!$D$5:$D$40,Assumptions!$B34)*CV34*AK34,"")</f>
        <v>0</v>
      </c>
      <c r="BS34" s="33">
        <f t="shared" si="16"/>
        <v>1</v>
      </c>
      <c r="BT34" s="33">
        <f t="shared" si="17"/>
        <v>1</v>
      </c>
      <c r="BU34" s="33">
        <f t="shared" si="18"/>
        <v>1</v>
      </c>
      <c r="BV34" s="33">
        <f t="shared" si="19"/>
        <v>1</v>
      </c>
      <c r="BW34" s="33">
        <f t="shared" si="20"/>
        <v>1</v>
      </c>
      <c r="BX34" s="33">
        <f t="shared" si="21"/>
        <v>1</v>
      </c>
      <c r="BY34" s="33">
        <f t="shared" si="22"/>
        <v>1</v>
      </c>
      <c r="BZ34" s="33">
        <f t="shared" si="23"/>
        <v>1</v>
      </c>
      <c r="CA34" s="33">
        <f t="shared" si="24"/>
        <v>1</v>
      </c>
      <c r="CB34" s="33">
        <f t="shared" si="25"/>
        <v>1</v>
      </c>
      <c r="CC34" s="33">
        <f t="shared" si="26"/>
        <v>1</v>
      </c>
      <c r="CD34" s="33">
        <f t="shared" si="27"/>
        <v>1</v>
      </c>
      <c r="CE34" s="33">
        <f t="shared" si="28"/>
        <v>1</v>
      </c>
      <c r="CF34" s="33">
        <f t="shared" si="29"/>
        <v>1</v>
      </c>
      <c r="CG34" s="33">
        <f t="shared" si="30"/>
        <v>1</v>
      </c>
      <c r="CH34" s="33">
        <f t="shared" si="31"/>
        <v>1</v>
      </c>
      <c r="CI34" s="33">
        <f t="shared" si="32"/>
        <v>1</v>
      </c>
      <c r="CJ34" s="33">
        <f t="shared" si="33"/>
        <v>1</v>
      </c>
      <c r="CK34" s="33">
        <f t="shared" si="34"/>
        <v>1</v>
      </c>
      <c r="CL34" s="33">
        <f t="shared" si="35"/>
        <v>1</v>
      </c>
      <c r="CM34" s="33">
        <f t="shared" si="36"/>
        <v>1</v>
      </c>
      <c r="CN34" s="33">
        <f t="shared" si="37"/>
        <v>1</v>
      </c>
      <c r="CO34" s="33">
        <f t="shared" si="38"/>
        <v>1</v>
      </c>
      <c r="CP34" s="33">
        <f t="shared" si="39"/>
        <v>1</v>
      </c>
      <c r="CQ34" s="33">
        <f t="shared" si="40"/>
        <v>1</v>
      </c>
      <c r="CR34" s="33">
        <f t="shared" si="41"/>
        <v>1</v>
      </c>
      <c r="CS34" s="33">
        <f t="shared" si="42"/>
        <v>1</v>
      </c>
      <c r="CT34" s="33">
        <f t="shared" si="43"/>
        <v>1</v>
      </c>
      <c r="CU34" s="33">
        <f t="shared" si="44"/>
        <v>1</v>
      </c>
      <c r="CV34" s="33">
        <f t="shared" si="45"/>
        <v>1</v>
      </c>
    </row>
    <row r="35" spans="1:100" x14ac:dyDescent="0.45">
      <c r="A35">
        <v>1</v>
      </c>
      <c r="B35" t="str">
        <f>VLOOKUP(F35,'TRA balance'!$AK$5:$AL$14,2,FALSE)</f>
        <v>TRAGSL</v>
      </c>
      <c r="C35" s="11"/>
      <c r="D35" s="11"/>
      <c r="E35" s="12" t="s">
        <v>58</v>
      </c>
      <c r="F35" s="13" t="str">
        <f t="shared" si="78"/>
        <v>Gasoline</v>
      </c>
      <c r="G35" s="11"/>
      <c r="H35" s="12" t="str">
        <f t="shared" ref="H35:M35" ca="1" si="86">IF(SUM(H33:H34)=1,"-","&lt;&gt;1!!")</f>
        <v>-</v>
      </c>
      <c r="I35" s="12" t="str">
        <f t="shared" ca="1" si="86"/>
        <v>-</v>
      </c>
      <c r="J35" s="12" t="str">
        <f t="shared" ca="1" si="86"/>
        <v>-</v>
      </c>
      <c r="K35" s="12" t="str">
        <f t="shared" ca="1" si="86"/>
        <v>-</v>
      </c>
      <c r="L35" s="12" t="str">
        <f t="shared" ca="1" si="86"/>
        <v>-</v>
      </c>
      <c r="M35" s="12" t="str">
        <f t="shared" ca="1" si="86"/>
        <v>-</v>
      </c>
      <c r="N35" s="12" t="str">
        <f t="shared" ref="N35:X35" ca="1" si="87">IF(SUM(N33:N34)=1,"-","&lt;&gt;1!!")</f>
        <v>-</v>
      </c>
      <c r="O35" s="12" t="str">
        <f t="shared" ca="1" si="87"/>
        <v>-</v>
      </c>
      <c r="P35" s="12" t="str">
        <f t="shared" ca="1" si="87"/>
        <v>-</v>
      </c>
      <c r="Q35" s="12" t="str">
        <f t="shared" ca="1" si="87"/>
        <v>-</v>
      </c>
      <c r="R35" s="12" t="str">
        <f t="shared" ca="1" si="87"/>
        <v>-</v>
      </c>
      <c r="S35" s="12" t="str">
        <f t="shared" ca="1" si="87"/>
        <v>-</v>
      </c>
      <c r="T35" s="12" t="str">
        <f t="shared" ca="1" si="87"/>
        <v>-</v>
      </c>
      <c r="U35" s="12" t="str">
        <f t="shared" ca="1" si="87"/>
        <v>-</v>
      </c>
      <c r="V35" s="12" t="str">
        <f t="shared" ca="1" si="87"/>
        <v>-</v>
      </c>
      <c r="W35" s="12" t="str">
        <f t="shared" ca="1" si="87"/>
        <v>-</v>
      </c>
      <c r="X35" s="12" t="str">
        <f t="shared" ca="1" si="87"/>
        <v>-</v>
      </c>
      <c r="Y35" s="12" t="str">
        <f t="shared" ref="Y35:Z35" ca="1" si="88">IF(SUM(Y33:Y34)=1,"-","&lt;&gt;1!!")</f>
        <v>-</v>
      </c>
      <c r="Z35" s="12" t="str">
        <f t="shared" ca="1" si="88"/>
        <v>-</v>
      </c>
      <c r="AA35" s="12" t="str">
        <f t="shared" ref="AA35:AK35" ca="1" si="89">IF(SUM(AA33:AA34)=1,"-","&lt;&gt;1!!")</f>
        <v>-</v>
      </c>
      <c r="AB35" s="12" t="str">
        <f t="shared" ca="1" si="89"/>
        <v>-</v>
      </c>
      <c r="AC35" s="12" t="str">
        <f t="shared" ca="1" si="89"/>
        <v>-</v>
      </c>
      <c r="AD35" s="12" t="str">
        <f t="shared" ca="1" si="89"/>
        <v>-</v>
      </c>
      <c r="AE35" s="12" t="str">
        <f t="shared" ca="1" si="89"/>
        <v>-</v>
      </c>
      <c r="AF35" s="12" t="str">
        <f t="shared" ca="1" si="89"/>
        <v>-</v>
      </c>
      <c r="AG35" s="12" t="str">
        <f t="shared" ca="1" si="89"/>
        <v>-</v>
      </c>
      <c r="AH35" s="12" t="str">
        <f t="shared" ca="1" si="89"/>
        <v>-</v>
      </c>
      <c r="AI35" s="12" t="str">
        <f t="shared" ca="1" si="89"/>
        <v>-</v>
      </c>
      <c r="AJ35" s="12" t="str">
        <f t="shared" ca="1" si="89"/>
        <v>-</v>
      </c>
      <c r="AK35" s="12" t="str">
        <f t="shared" ca="1" si="89"/>
        <v>-</v>
      </c>
      <c r="AN35" s="34" t="str">
        <f ca="1">IFERROR(SUMIFS('TRA balance'!E$5:E$40,'TRA balance'!$C$5:$C$40,Assumptions!$C35,'TRA balance'!$D$5:$D$40,Assumptions!$B35)*BS35*H35,"")</f>
        <v/>
      </c>
      <c r="AO35" s="34" t="str">
        <f ca="1">IFERROR(SUMIFS('TRA balance'!F$5:F$40,'TRA balance'!$C$5:$C$40,Assumptions!$C35,'TRA balance'!$D$5:$D$40,Assumptions!$B35)*BT35*I35,"")</f>
        <v/>
      </c>
      <c r="AP35" s="34" t="str">
        <f ca="1">IFERROR(SUMIFS('TRA balance'!G$5:G$40,'TRA balance'!$C$5:$C$40,Assumptions!$C35,'TRA balance'!$D$5:$D$40,Assumptions!$B35)*BU35*J35,"")</f>
        <v/>
      </c>
      <c r="AQ35" s="34" t="str">
        <f ca="1">IFERROR(SUMIFS('TRA balance'!H$5:H$40,'TRA balance'!$C$5:$C$40,Assumptions!$C35,'TRA balance'!$D$5:$D$40,Assumptions!$B35)*BV35*K35,"")</f>
        <v/>
      </c>
      <c r="AR35" s="34" t="str">
        <f ca="1">IFERROR(SUMIFS('TRA balance'!I$5:I$40,'TRA balance'!$C$5:$C$40,Assumptions!$C35,'TRA balance'!$D$5:$D$40,Assumptions!$B35)*BW35*L35,"")</f>
        <v/>
      </c>
      <c r="AS35" s="34" t="str">
        <f ca="1">IFERROR(SUMIFS('TRA balance'!J$5:J$40,'TRA balance'!$C$5:$C$40,Assumptions!$C35,'TRA balance'!$D$5:$D$40,Assumptions!$B35)*BX35*M35,"")</f>
        <v/>
      </c>
      <c r="AT35" s="34" t="str">
        <f ca="1">IFERROR(SUMIFS('TRA balance'!K$5:K$40,'TRA balance'!$C$5:$C$40,Assumptions!$C35,'TRA balance'!$D$5:$D$40,Assumptions!$B35)*BY35*N35,"")</f>
        <v/>
      </c>
      <c r="AU35" s="34" t="str">
        <f ca="1">IFERROR(SUMIFS('TRA balance'!L$5:L$40,'TRA balance'!$C$5:$C$40,Assumptions!$C35,'TRA balance'!$D$5:$D$40,Assumptions!$B35)*BZ35*O35,"")</f>
        <v/>
      </c>
      <c r="AV35" s="34" t="str">
        <f ca="1">IFERROR(SUMIFS('TRA balance'!M$5:M$40,'TRA balance'!$C$5:$C$40,Assumptions!$C35,'TRA balance'!$D$5:$D$40,Assumptions!$B35)*CA35*P35,"")</f>
        <v/>
      </c>
      <c r="AW35" s="34" t="str">
        <f ca="1">IFERROR(SUMIFS('TRA balance'!N$5:N$40,'TRA balance'!$C$5:$C$40,Assumptions!$C35,'TRA balance'!$D$5:$D$40,Assumptions!$B35)*CB35*Q35,"")</f>
        <v/>
      </c>
      <c r="AX35" s="34" t="str">
        <f ca="1">IFERROR(SUMIFS('TRA balance'!O$5:O$40,'TRA balance'!$C$5:$C$40,Assumptions!$C35,'TRA balance'!$D$5:$D$40,Assumptions!$B35)*CC35*R35,"")</f>
        <v/>
      </c>
      <c r="AY35" s="34" t="str">
        <f ca="1">IFERROR(SUMIFS('TRA balance'!P$5:P$40,'TRA balance'!$C$5:$C$40,Assumptions!$C35,'TRA balance'!$D$5:$D$40,Assumptions!$B35)*CD35*S35,"")</f>
        <v/>
      </c>
      <c r="AZ35" s="34" t="str">
        <f ca="1">IFERROR(SUMIFS('TRA balance'!Q$5:Q$40,'TRA balance'!$C$5:$C$40,Assumptions!$C35,'TRA balance'!$D$5:$D$40,Assumptions!$B35)*CE35*T35,"")</f>
        <v/>
      </c>
      <c r="BA35" s="34" t="str">
        <f ca="1">IFERROR(SUMIFS('TRA balance'!R$5:R$40,'TRA balance'!$C$5:$C$40,Assumptions!$C35,'TRA balance'!$D$5:$D$40,Assumptions!$B35)*CF35*U35,"")</f>
        <v/>
      </c>
      <c r="BB35" s="34" t="str">
        <f ca="1">IFERROR(SUMIFS('TRA balance'!S$5:S$40,'TRA balance'!$C$5:$C$40,Assumptions!$C35,'TRA balance'!$D$5:$D$40,Assumptions!$B35)*CG35*V35,"")</f>
        <v/>
      </c>
      <c r="BC35" s="34" t="str">
        <f ca="1">IFERROR(SUMIFS('TRA balance'!T$5:T$40,'TRA balance'!$C$5:$C$40,Assumptions!$C35,'TRA balance'!$D$5:$D$40,Assumptions!$B35)*CH35*W35,"")</f>
        <v/>
      </c>
      <c r="BD35" s="34" t="str">
        <f ca="1">IFERROR(SUMIFS('TRA balance'!U$5:U$40,'TRA balance'!$C$5:$C$40,Assumptions!$C35,'TRA balance'!$D$5:$D$40,Assumptions!$B35)*CI35*X35,"")</f>
        <v/>
      </c>
      <c r="BE35" s="34" t="str">
        <f ca="1">IFERROR(SUMIFS('TRA balance'!V$5:V$40,'TRA balance'!$C$5:$C$40,Assumptions!$C35,'TRA balance'!$D$5:$D$40,Assumptions!$B35)*CJ35*Y35,"")</f>
        <v/>
      </c>
      <c r="BF35" s="34" t="str">
        <f ca="1">IFERROR(SUMIFS('TRA balance'!W$5:W$40,'TRA balance'!$C$5:$C$40,Assumptions!$C35,'TRA balance'!$D$5:$D$40,Assumptions!$B35)*CK35*Z35,"")</f>
        <v/>
      </c>
      <c r="BG35" s="34" t="str">
        <f ca="1">IFERROR(SUMIFS('TRA balance'!X$5:X$40,'TRA balance'!$C$5:$C$40,Assumptions!$C35,'TRA balance'!$D$5:$D$40,Assumptions!$B35)*CL35*AA35,"")</f>
        <v/>
      </c>
      <c r="BH35" s="34" t="str">
        <f ca="1">IFERROR(SUMIFS('TRA balance'!Y$5:Y$40,'TRA balance'!$C$5:$C$40,Assumptions!$C35,'TRA balance'!$D$5:$D$40,Assumptions!$B35)*CM35*AB35,"")</f>
        <v/>
      </c>
      <c r="BI35" s="34" t="str">
        <f ca="1">IFERROR(SUMIFS('TRA balance'!Z$5:Z$40,'TRA balance'!$C$5:$C$40,Assumptions!$C35,'TRA balance'!$D$5:$D$40,Assumptions!$B35)*CN35*AC35,"")</f>
        <v/>
      </c>
      <c r="BJ35" s="34" t="str">
        <f ca="1">IFERROR(SUMIFS('TRA balance'!AA$5:AA$40,'TRA balance'!$C$5:$C$40,Assumptions!$C35,'TRA balance'!$D$5:$D$40,Assumptions!$B35)*CO35*AD35,"")</f>
        <v/>
      </c>
      <c r="BK35" s="34" t="str">
        <f ca="1">IFERROR(SUMIFS('TRA balance'!AB$5:AB$40,'TRA balance'!$C$5:$C$40,Assumptions!$C35,'TRA balance'!$D$5:$D$40,Assumptions!$B35)*CP35*AE35,"")</f>
        <v/>
      </c>
      <c r="BL35" s="34" t="str">
        <f ca="1">IFERROR(SUMIFS('TRA balance'!AC$5:AC$40,'TRA balance'!$C$5:$C$40,Assumptions!$C35,'TRA balance'!$D$5:$D$40,Assumptions!$B35)*CQ35*AF35,"")</f>
        <v/>
      </c>
      <c r="BM35" s="34" t="str">
        <f ca="1">IFERROR(SUMIFS('TRA balance'!AD$5:AD$40,'TRA balance'!$C$5:$C$40,Assumptions!$C35,'TRA balance'!$D$5:$D$40,Assumptions!$B35)*CR35*AG35,"")</f>
        <v/>
      </c>
      <c r="BN35" s="34" t="str">
        <f ca="1">IFERROR(SUMIFS('TRA balance'!AE$5:AE$40,'TRA balance'!$C$5:$C$40,Assumptions!$C35,'TRA balance'!$D$5:$D$40,Assumptions!$B35)*CS35*AH35,"")</f>
        <v/>
      </c>
      <c r="BO35" s="34" t="str">
        <f ca="1">IFERROR(SUMIFS('TRA balance'!AF$5:AF$40,'TRA balance'!$C$5:$C$40,Assumptions!$C35,'TRA balance'!$D$5:$D$40,Assumptions!$B35)*CT35*AI35,"")</f>
        <v/>
      </c>
      <c r="BP35" s="34" t="str">
        <f ca="1">IFERROR(SUMIFS('TRA balance'!AG$5:AG$40,'TRA balance'!$C$5:$C$40,Assumptions!$C35,'TRA balance'!$D$5:$D$40,Assumptions!$B35)*CU35*AJ35,"")</f>
        <v/>
      </c>
      <c r="BQ35" s="34" t="str">
        <f ca="1">IFERROR(SUMIFS('TRA balance'!AH$5:AH$40,'TRA balance'!$C$5:$C$40,Assumptions!$C35,'TRA balance'!$D$5:$D$40,Assumptions!$B35)*CV35*AK35,"")</f>
        <v/>
      </c>
      <c r="BS35" s="33">
        <f t="shared" ref="BS35:BS66" si="90">IF($C35="TR",SUMIFS(H$3:H$103,$B$3:$B$103,$B35,$C$3:$C$103,$A35),1)</f>
        <v>1</v>
      </c>
      <c r="BT35" s="33">
        <f t="shared" ref="BT35:BT66" si="91">IF($C35="TR",SUMIFS(I$3:I$103,$B$3:$B$103,$B35,$C$3:$C$103,$A35),1)</f>
        <v>1</v>
      </c>
      <c r="BU35" s="33">
        <f t="shared" ref="BU35:BU66" si="92">IF($C35="TR",SUMIFS(J$3:J$103,$B$3:$B$103,$B35,$C$3:$C$103,$A35),1)</f>
        <v>1</v>
      </c>
      <c r="BV35" s="33">
        <f t="shared" ref="BV35:BV66" si="93">IF($C35="TR",SUMIFS(K$3:K$103,$B$3:$B$103,$B35,$C$3:$C$103,$A35),1)</f>
        <v>1</v>
      </c>
      <c r="BW35" s="33">
        <f t="shared" ref="BW35:BW66" si="94">IF($C35="TR",SUMIFS(L$3:L$103,$B$3:$B$103,$B35,$C$3:$C$103,$A35),1)</f>
        <v>1</v>
      </c>
      <c r="BX35" s="33">
        <f t="shared" ref="BX35:BX66" si="95">IF($C35="TR",SUMIFS(M$3:M$103,$B$3:$B$103,$B35,$C$3:$C$103,$A35),1)</f>
        <v>1</v>
      </c>
      <c r="BY35" s="33">
        <f t="shared" ref="BY35:BY66" si="96">IF($C35="TR",SUMIFS(N$3:N$103,$B$3:$B$103,$B35,$C$3:$C$103,$A35),1)</f>
        <v>1</v>
      </c>
      <c r="BZ35" s="33">
        <f t="shared" ref="BZ35:BZ66" si="97">IF($C35="TR",SUMIFS(O$3:O$103,$B$3:$B$103,$B35,$C$3:$C$103,$A35),1)</f>
        <v>1</v>
      </c>
      <c r="CA35" s="33">
        <f t="shared" ref="CA35:CA66" si="98">IF($C35="TR",SUMIFS(P$3:P$103,$B$3:$B$103,$B35,$C$3:$C$103,$A35),1)</f>
        <v>1</v>
      </c>
      <c r="CB35" s="33">
        <f t="shared" ref="CB35:CB66" si="99">IF($C35="TR",SUMIFS(Q$3:Q$103,$B$3:$B$103,$B35,$C$3:$C$103,$A35),1)</f>
        <v>1</v>
      </c>
      <c r="CC35" s="33">
        <f t="shared" ref="CC35:CC66" si="100">IF($C35="TR",SUMIFS(R$3:R$103,$B$3:$B$103,$B35,$C$3:$C$103,$A35),1)</f>
        <v>1</v>
      </c>
      <c r="CD35" s="33">
        <f t="shared" ref="CD35:CD66" si="101">IF($C35="TR",SUMIFS(S$3:S$103,$B$3:$B$103,$B35,$C$3:$C$103,$A35),1)</f>
        <v>1</v>
      </c>
      <c r="CE35" s="33">
        <f t="shared" ref="CE35:CE66" si="102">IF($C35="TR",SUMIFS(T$3:T$103,$B$3:$B$103,$B35,$C$3:$C$103,$A35),1)</f>
        <v>1</v>
      </c>
      <c r="CF35" s="33">
        <f t="shared" ref="CF35:CF66" si="103">IF($C35="TR",SUMIFS(U$3:U$103,$B$3:$B$103,$B35,$C$3:$C$103,$A35),1)</f>
        <v>1</v>
      </c>
      <c r="CG35" s="33">
        <f t="shared" ref="CG35:CG66" si="104">IF($C35="TR",SUMIFS(V$3:V$103,$B$3:$B$103,$B35,$C$3:$C$103,$A35),1)</f>
        <v>1</v>
      </c>
      <c r="CH35" s="33">
        <f t="shared" si="31"/>
        <v>1</v>
      </c>
      <c r="CI35" s="33">
        <f t="shared" si="32"/>
        <v>1</v>
      </c>
      <c r="CJ35" s="33">
        <f t="shared" si="33"/>
        <v>1</v>
      </c>
      <c r="CK35" s="33">
        <f t="shared" si="34"/>
        <v>1</v>
      </c>
      <c r="CL35" s="33">
        <f t="shared" si="35"/>
        <v>1</v>
      </c>
      <c r="CM35" s="33">
        <f t="shared" si="36"/>
        <v>1</v>
      </c>
      <c r="CN35" s="33">
        <f t="shared" si="37"/>
        <v>1</v>
      </c>
      <c r="CO35" s="33">
        <f t="shared" si="38"/>
        <v>1</v>
      </c>
      <c r="CP35" s="33">
        <f t="shared" si="39"/>
        <v>1</v>
      </c>
      <c r="CQ35" s="33">
        <f t="shared" si="40"/>
        <v>1</v>
      </c>
      <c r="CR35" s="33">
        <f t="shared" si="41"/>
        <v>1</v>
      </c>
      <c r="CS35" s="33">
        <f t="shared" si="42"/>
        <v>1</v>
      </c>
      <c r="CT35" s="33">
        <f t="shared" si="43"/>
        <v>1</v>
      </c>
      <c r="CU35" s="33">
        <f t="shared" si="44"/>
        <v>1</v>
      </c>
      <c r="CV35" s="33">
        <f t="shared" si="45"/>
        <v>1</v>
      </c>
    </row>
    <row r="36" spans="1:100" x14ac:dyDescent="0.45">
      <c r="A36">
        <v>1</v>
      </c>
      <c r="B36" t="str">
        <f>VLOOKUP(F36,'TRA balance'!$AK$5:$AL$14,2,FALSE)</f>
        <v>TRAHFO</v>
      </c>
      <c r="C36" s="6" t="str">
        <f t="shared" si="46"/>
        <v>TT</v>
      </c>
      <c r="D36" s="7" t="s">
        <v>17</v>
      </c>
      <c r="E36" s="7" t="s">
        <v>53</v>
      </c>
      <c r="F36" s="8" t="s">
        <v>81</v>
      </c>
      <c r="G36" s="6" t="s">
        <v>55</v>
      </c>
      <c r="H36" s="9">
        <f ca="1">OFFSET(TIAM15_assumptions!$G36,0,MATCH(VLOOKUP(Assumptions!H$2,TIAM15_assumptions!$Y$3:$Z$36,2,FALSE),TIAM15_assumptions!$H$2:$V$2,0))</f>
        <v>0.7</v>
      </c>
      <c r="I36" s="9">
        <f ca="1">OFFSET(TIAM15_assumptions!$G36,0,MATCH(VLOOKUP(Assumptions!I$2,TIAM15_assumptions!$Y$3:$Z$36,2,FALSE),TIAM15_assumptions!$H$2:$V$2,0))</f>
        <v>0.7</v>
      </c>
      <c r="J36" s="9">
        <f ca="1">OFFSET(TIAM15_assumptions!$G36,0,MATCH(VLOOKUP(Assumptions!J$2,TIAM15_assumptions!$Y$3:$Z$36,2,FALSE),TIAM15_assumptions!$H$2:$V$2,0))</f>
        <v>1</v>
      </c>
      <c r="K36" s="9">
        <f ca="1">OFFSET(TIAM15_assumptions!$G36,0,MATCH(VLOOKUP(Assumptions!K$2,TIAM15_assumptions!$Y$3:$Z$36,2,FALSE),TIAM15_assumptions!$H$2:$V$2,0))</f>
        <v>0.9</v>
      </c>
      <c r="L36" s="9">
        <f ca="1">OFFSET(TIAM15_assumptions!$G36,0,MATCH(VLOOKUP(Assumptions!L$2,TIAM15_assumptions!$Y$3:$Z$36,2,FALSE),TIAM15_assumptions!$H$2:$V$2,0))</f>
        <v>0.9</v>
      </c>
      <c r="M36" s="9">
        <f ca="1">OFFSET(TIAM15_assumptions!$G36,0,MATCH(VLOOKUP(Assumptions!M$2,TIAM15_assumptions!$Y$3:$Z$36,2,FALSE),TIAM15_assumptions!$H$2:$V$2,0))</f>
        <v>0.9</v>
      </c>
      <c r="N36" s="9">
        <f ca="1">OFFSET(TIAM15_assumptions!$G36,0,MATCH(VLOOKUP(Assumptions!N$2,TIAM15_assumptions!$Y$3:$Z$36,2,FALSE),TIAM15_assumptions!$H$2:$V$2,0))</f>
        <v>1</v>
      </c>
      <c r="O36" s="9">
        <f ca="1">OFFSET(TIAM15_assumptions!$G36,0,MATCH(VLOOKUP(Assumptions!O$2,TIAM15_assumptions!$Y$3:$Z$36,2,FALSE),TIAM15_assumptions!$H$2:$V$2,0))</f>
        <v>1</v>
      </c>
      <c r="P36" s="9">
        <f ca="1">OFFSET(TIAM15_assumptions!$G36,0,MATCH(VLOOKUP(Assumptions!P$2,TIAM15_assumptions!$Y$3:$Z$36,2,FALSE),TIAM15_assumptions!$H$2:$V$2,0))</f>
        <v>0.95</v>
      </c>
      <c r="Q36" s="9">
        <f ca="1">OFFSET(TIAM15_assumptions!$G36,0,MATCH(VLOOKUP(Assumptions!Q$2,TIAM15_assumptions!$Y$3:$Z$36,2,FALSE),TIAM15_assumptions!$H$2:$V$2,0))</f>
        <v>0.6</v>
      </c>
      <c r="R36" s="9">
        <f ca="1">OFFSET(TIAM15_assumptions!$G36,0,MATCH(VLOOKUP(Assumptions!R$2,TIAM15_assumptions!$Y$3:$Z$36,2,FALSE),TIAM15_assumptions!$H$2:$V$2,0))</f>
        <v>0.9</v>
      </c>
      <c r="S36" s="9">
        <f ca="1">OFFSET(TIAM15_assumptions!$G36,0,MATCH(VLOOKUP(Assumptions!S$2,TIAM15_assumptions!$Y$3:$Z$36,2,FALSE),TIAM15_assumptions!$H$2:$V$2,0))</f>
        <v>0.9</v>
      </c>
      <c r="T36" s="9">
        <f ca="1">OFFSET(TIAM15_assumptions!$G36,0,MATCH(VLOOKUP(Assumptions!T$2,TIAM15_assumptions!$Y$3:$Z$36,2,FALSE),TIAM15_assumptions!$H$2:$V$2,0))</f>
        <v>0.9</v>
      </c>
      <c r="U36" s="9">
        <f ca="1">OFFSET(TIAM15_assumptions!$G36,0,MATCH(VLOOKUP(Assumptions!U$2,TIAM15_assumptions!$Y$3:$Z$36,2,FALSE),TIAM15_assumptions!$H$2:$V$2,0))</f>
        <v>0.9</v>
      </c>
      <c r="V36" s="9">
        <f ca="1">OFFSET(TIAM15_assumptions!$G36,0,MATCH(VLOOKUP(Assumptions!V$2,TIAM15_assumptions!$Y$3:$Z$36,2,FALSE),TIAM15_assumptions!$H$2:$V$2,0))</f>
        <v>0.9</v>
      </c>
      <c r="W36" s="9">
        <f ca="1">OFFSET(TIAM15_assumptions!$G36,0,MATCH(VLOOKUP(Assumptions!W$2,TIAM15_assumptions!$Y$3:$Z$36,2,FALSE),TIAM15_assumptions!$H$2:$V$2,0))</f>
        <v>0.9</v>
      </c>
      <c r="X36" s="9">
        <f ca="1">OFFSET(TIAM15_assumptions!$G36,0,MATCH(VLOOKUP(Assumptions!X$2,TIAM15_assumptions!$Y$3:$Z$36,2,FALSE),TIAM15_assumptions!$H$2:$V$2,0))</f>
        <v>0.7</v>
      </c>
      <c r="Y36" s="9">
        <f ca="1">OFFSET(TIAM15_assumptions!$G36,0,MATCH(VLOOKUP(Assumptions!Y$2,TIAM15_assumptions!$Y$3:$Z$36,2,FALSE),TIAM15_assumptions!$H$2:$V$2,0))</f>
        <v>0.9</v>
      </c>
      <c r="Z36" s="9">
        <f ca="1">OFFSET(TIAM15_assumptions!$G36,0,MATCH(VLOOKUP(Assumptions!Z$2,TIAM15_assumptions!$Y$3:$Z$36,2,FALSE),TIAM15_assumptions!$H$2:$V$2,0))</f>
        <v>0.9</v>
      </c>
      <c r="AA36" s="9">
        <f ca="1">OFFSET(TIAM15_assumptions!$G36,0,MATCH(VLOOKUP(Assumptions!AA$2,TIAM15_assumptions!$Y$3:$Z$36,2,FALSE),TIAM15_assumptions!$H$2:$V$2,0))</f>
        <v>0.5</v>
      </c>
      <c r="AB36" s="9">
        <f ca="1">OFFSET(TIAM15_assumptions!$G36,0,MATCH(VLOOKUP(Assumptions!AB$2,TIAM15_assumptions!$Y$3:$Z$36,2,FALSE),TIAM15_assumptions!$H$2:$V$2,0))</f>
        <v>1</v>
      </c>
      <c r="AC36" s="9">
        <f ca="1">OFFSET(TIAM15_assumptions!$G36,0,MATCH(VLOOKUP(Assumptions!AC$2,TIAM15_assumptions!$Y$3:$Z$36,2,FALSE),TIAM15_assumptions!$H$2:$V$2,0))</f>
        <v>1</v>
      </c>
      <c r="AD36" s="9">
        <f ca="1">OFFSET(TIAM15_assumptions!$G36,0,MATCH(VLOOKUP(Assumptions!AD$2,TIAM15_assumptions!$Y$3:$Z$36,2,FALSE),TIAM15_assumptions!$H$2:$V$2,0))</f>
        <v>0.7</v>
      </c>
      <c r="AE36" s="9">
        <f ca="1">OFFSET(TIAM15_assumptions!$G36,0,MATCH(VLOOKUP(Assumptions!AE$2,TIAM15_assumptions!$Y$3:$Z$36,2,FALSE),TIAM15_assumptions!$H$2:$V$2,0))</f>
        <v>0.9</v>
      </c>
      <c r="AF36" s="9">
        <f ca="1">OFFSET(TIAM15_assumptions!$G36,0,MATCH(VLOOKUP(Assumptions!AF$2,TIAM15_assumptions!$Y$3:$Z$36,2,FALSE),TIAM15_assumptions!$H$2:$V$2,0))</f>
        <v>0.9</v>
      </c>
      <c r="AG36" s="9">
        <f ca="1">OFFSET(TIAM15_assumptions!$G36,0,MATCH(VLOOKUP(Assumptions!AG$2,TIAM15_assumptions!$Y$3:$Z$36,2,FALSE),TIAM15_assumptions!$H$2:$V$2,0))</f>
        <v>0.7</v>
      </c>
      <c r="AH36" s="9">
        <f ca="1">OFFSET(TIAM15_assumptions!$G36,0,MATCH(VLOOKUP(Assumptions!AH$2,TIAM15_assumptions!$Y$3:$Z$36,2,FALSE),TIAM15_assumptions!$H$2:$V$2,0))</f>
        <v>0.7</v>
      </c>
      <c r="AI36" s="9">
        <f ca="1">OFFSET(TIAM15_assumptions!$G36,0,MATCH(VLOOKUP(Assumptions!AI$2,TIAM15_assumptions!$Y$3:$Z$36,2,FALSE),TIAM15_assumptions!$H$2:$V$2,0))</f>
        <v>0.9</v>
      </c>
      <c r="AJ36" s="9">
        <f ca="1">OFFSET(TIAM15_assumptions!$G36,0,MATCH(VLOOKUP(Assumptions!AJ$2,TIAM15_assumptions!$Y$3:$Z$36,2,FALSE),TIAM15_assumptions!$H$2:$V$2,0))</f>
        <v>0.9</v>
      </c>
      <c r="AK36" s="9">
        <f ca="1">OFFSET(TIAM15_assumptions!$G36,0,MATCH(VLOOKUP(Assumptions!AK$2,TIAM15_assumptions!$Y$3:$Z$36,2,FALSE),TIAM15_assumptions!$H$2:$V$2,0))</f>
        <v>0.9</v>
      </c>
      <c r="AN36" s="34">
        <f ca="1">IFERROR(SUMIFS('TRA balance'!E$5:E$40,'TRA balance'!$C$5:$C$40,Assumptions!$C36,'TRA balance'!$D$5:$D$40,Assumptions!$B36)*BS36*H36,"")</f>
        <v>2.9680011673199997</v>
      </c>
      <c r="AO36" s="34">
        <f ca="1">IFERROR(SUMIFS('TRA balance'!F$5:F$40,'TRA balance'!$C$5:$C$40,Assumptions!$C36,'TRA balance'!$D$5:$D$40,Assumptions!$B36)*BT36*I36,"")</f>
        <v>0</v>
      </c>
      <c r="AP36" s="34">
        <f ca="1">IFERROR(SUMIFS('TRA balance'!G$5:G$40,'TRA balance'!$C$5:$C$40,Assumptions!$C36,'TRA balance'!$D$5:$D$40,Assumptions!$B36)*BU36*J36,"")</f>
        <v>0</v>
      </c>
      <c r="AQ36" s="34">
        <f ca="1">IFERROR(SUMIFS('TRA balance'!H$5:H$40,'TRA balance'!$C$5:$C$40,Assumptions!$C36,'TRA balance'!$D$5:$D$40,Assumptions!$B36)*BV36*K36,"")</f>
        <v>1.26420426E-2</v>
      </c>
      <c r="AR36" s="34">
        <f ca="1">IFERROR(SUMIFS('TRA balance'!I$5:I$40,'TRA balance'!$C$5:$C$40,Assumptions!$C36,'TRA balance'!$D$5:$D$40,Assumptions!$B36)*BW36*L36,"")</f>
        <v>0</v>
      </c>
      <c r="AS36" s="34">
        <f ca="1">IFERROR(SUMIFS('TRA balance'!J$5:J$40,'TRA balance'!$C$5:$C$40,Assumptions!$C36,'TRA balance'!$D$5:$D$40,Assumptions!$B36)*BX36*M36,"")</f>
        <v>7.4307326400000007E-3</v>
      </c>
      <c r="AT36" s="34">
        <f ca="1">IFERROR(SUMIFS('TRA balance'!K$5:K$40,'TRA balance'!$C$5:$C$40,Assumptions!$C36,'TRA balance'!$D$5:$D$40,Assumptions!$B36)*BY36*N36,"")</f>
        <v>1.7040276000000001E-3</v>
      </c>
      <c r="AU36" s="34">
        <f ca="1">IFERROR(SUMIFS('TRA balance'!L$5:L$40,'TRA balance'!$C$5:$C$40,Assumptions!$C36,'TRA balance'!$D$5:$D$40,Assumptions!$B36)*BZ36*O36,"")</f>
        <v>0</v>
      </c>
      <c r="AV36" s="34">
        <f ca="1">IFERROR(SUMIFS('TRA balance'!M$5:M$40,'TRA balance'!$C$5:$C$40,Assumptions!$C36,'TRA balance'!$D$5:$D$40,Assumptions!$B36)*CA36*P36,"")</f>
        <v>0</v>
      </c>
      <c r="AW36" s="34">
        <f ca="1">IFERROR(SUMIFS('TRA balance'!N$5:N$40,'TRA balance'!$C$5:$C$40,Assumptions!$C36,'TRA balance'!$D$5:$D$40,Assumptions!$B36)*CB36*Q36,"")</f>
        <v>0</v>
      </c>
      <c r="AX36" s="34">
        <f ca="1">IFERROR(SUMIFS('TRA balance'!O$5:O$40,'TRA balance'!$C$5:$C$40,Assumptions!$C36,'TRA balance'!$D$5:$D$40,Assumptions!$B36)*CC36*R36,"")</f>
        <v>0</v>
      </c>
      <c r="AY36" s="34">
        <f ca="1">IFERROR(SUMIFS('TRA balance'!P$5:P$40,'TRA balance'!$C$5:$C$40,Assumptions!$C36,'TRA balance'!$D$5:$D$40,Assumptions!$B36)*CD36*S36,"")</f>
        <v>0</v>
      </c>
      <c r="AZ36" s="34">
        <f ca="1">IFERROR(SUMIFS('TRA balance'!Q$5:Q$40,'TRA balance'!$C$5:$C$40,Assumptions!$C36,'TRA balance'!$D$5:$D$40,Assumptions!$B36)*CE36*T36,"")</f>
        <v>0</v>
      </c>
      <c r="BA36" s="34">
        <f ca="1">IFERROR(SUMIFS('TRA balance'!R$5:R$40,'TRA balance'!$C$5:$C$40,Assumptions!$C36,'TRA balance'!$D$5:$D$40,Assumptions!$B36)*CF36*U36,"")</f>
        <v>0</v>
      </c>
      <c r="BB36" s="34">
        <f ca="1">IFERROR(SUMIFS('TRA balance'!S$5:S$40,'TRA balance'!$C$5:$C$40,Assumptions!$C36,'TRA balance'!$D$5:$D$40,Assumptions!$B36)*CG36*V36,"")</f>
        <v>0</v>
      </c>
      <c r="BC36" s="34">
        <f ca="1">IFERROR(SUMIFS('TRA balance'!T$5:T$40,'TRA balance'!$C$5:$C$40,Assumptions!$C36,'TRA balance'!$D$5:$D$40,Assumptions!$B36)*CH36*W36,"")</f>
        <v>0</v>
      </c>
      <c r="BD36" s="34">
        <f ca="1">IFERROR(SUMIFS('TRA balance'!U$5:U$40,'TRA balance'!$C$5:$C$40,Assumptions!$C36,'TRA balance'!$D$5:$D$40,Assumptions!$B36)*CI36*X36,"")</f>
        <v>0</v>
      </c>
      <c r="BE36" s="34">
        <f ca="1">IFERROR(SUMIFS('TRA balance'!V$5:V$40,'TRA balance'!$C$5:$C$40,Assumptions!$C36,'TRA balance'!$D$5:$D$40,Assumptions!$B36)*CJ36*Y36,"")</f>
        <v>0</v>
      </c>
      <c r="BF36" s="34">
        <f ca="1">IFERROR(SUMIFS('TRA balance'!W$5:W$40,'TRA balance'!$C$5:$C$40,Assumptions!$C36,'TRA balance'!$D$5:$D$40,Assumptions!$B36)*CK36*Z36,"")</f>
        <v>0</v>
      </c>
      <c r="BG36" s="34">
        <f ca="1">IFERROR(SUMIFS('TRA balance'!X$5:X$40,'TRA balance'!$C$5:$C$40,Assumptions!$C36,'TRA balance'!$D$5:$D$40,Assumptions!$B36)*CL36*AA36,"")</f>
        <v>0</v>
      </c>
      <c r="BH36" s="34">
        <f ca="1">IFERROR(SUMIFS('TRA balance'!Y$5:Y$40,'TRA balance'!$C$5:$C$40,Assumptions!$C36,'TRA balance'!$D$5:$D$40,Assumptions!$B36)*CM36*AB36,"")</f>
        <v>0</v>
      </c>
      <c r="BI36" s="34">
        <f ca="1">IFERROR(SUMIFS('TRA balance'!Z$5:Z$40,'TRA balance'!$C$5:$C$40,Assumptions!$C36,'TRA balance'!$D$5:$D$40,Assumptions!$B36)*CN36*AC36,"")</f>
        <v>0</v>
      </c>
      <c r="BJ36" s="34">
        <f ca="1">IFERROR(SUMIFS('TRA balance'!AA$5:AA$40,'TRA balance'!$C$5:$C$40,Assumptions!$C36,'TRA balance'!$D$5:$D$40,Assumptions!$B36)*CO36*AD36,"")</f>
        <v>0</v>
      </c>
      <c r="BK36" s="34">
        <f ca="1">IFERROR(SUMIFS('TRA balance'!AB$5:AB$40,'TRA balance'!$C$5:$C$40,Assumptions!$C36,'TRA balance'!$D$5:$D$40,Assumptions!$B36)*CP36*AE36,"")</f>
        <v>0</v>
      </c>
      <c r="BL36" s="34">
        <f ca="1">IFERROR(SUMIFS('TRA balance'!AC$5:AC$40,'TRA balance'!$C$5:$C$40,Assumptions!$C36,'TRA balance'!$D$5:$D$40,Assumptions!$B36)*CQ36*AF36,"")</f>
        <v>7.8478635239999997E-2</v>
      </c>
      <c r="BM36" s="34">
        <f ca="1">IFERROR(SUMIFS('TRA balance'!AD$5:AD$40,'TRA balance'!$C$5:$C$40,Assumptions!$C36,'TRA balance'!$D$5:$D$40,Assumptions!$B36)*CR36*AG36,"")</f>
        <v>0</v>
      </c>
      <c r="BN36" s="34">
        <f ca="1">IFERROR(SUMIFS('TRA balance'!AE$5:AE$40,'TRA balance'!$C$5:$C$40,Assumptions!$C36,'TRA balance'!$D$5:$D$40,Assumptions!$B36)*CS36*AH36,"")</f>
        <v>2.1631910252399997</v>
      </c>
      <c r="BO36" s="34">
        <f ca="1">IFERROR(SUMIFS('TRA balance'!AF$5:AF$40,'TRA balance'!$C$5:$C$40,Assumptions!$C36,'TRA balance'!$D$5:$D$40,Assumptions!$B36)*CT36*AI36,"")</f>
        <v>0</v>
      </c>
      <c r="BP36" s="34">
        <f ca="1">IFERROR(SUMIFS('TRA balance'!AG$5:AG$40,'TRA balance'!$C$5:$C$40,Assumptions!$C36,'TRA balance'!$D$5:$D$40,Assumptions!$B36)*CU36*AJ36,"")</f>
        <v>0</v>
      </c>
      <c r="BQ36" s="34">
        <f ca="1">IFERROR(SUMIFS('TRA balance'!AH$5:AH$40,'TRA balance'!$C$5:$C$40,Assumptions!$C36,'TRA balance'!$D$5:$D$40,Assumptions!$B36)*CV36*AK36,"")</f>
        <v>0</v>
      </c>
      <c r="BS36" s="33">
        <f t="shared" si="90"/>
        <v>1</v>
      </c>
      <c r="BT36" s="33">
        <f t="shared" si="91"/>
        <v>1</v>
      </c>
      <c r="BU36" s="33">
        <f t="shared" si="92"/>
        <v>1</v>
      </c>
      <c r="BV36" s="33">
        <f t="shared" si="93"/>
        <v>1</v>
      </c>
      <c r="BW36" s="33">
        <f t="shared" si="94"/>
        <v>1</v>
      </c>
      <c r="BX36" s="33">
        <f t="shared" si="95"/>
        <v>1</v>
      </c>
      <c r="BY36" s="33">
        <f t="shared" si="96"/>
        <v>1</v>
      </c>
      <c r="BZ36" s="33">
        <f t="shared" si="97"/>
        <v>1</v>
      </c>
      <c r="CA36" s="33">
        <f t="shared" si="98"/>
        <v>1</v>
      </c>
      <c r="CB36" s="33">
        <f t="shared" si="99"/>
        <v>1</v>
      </c>
      <c r="CC36" s="33">
        <f t="shared" si="100"/>
        <v>1</v>
      </c>
      <c r="CD36" s="33">
        <f t="shared" si="101"/>
        <v>1</v>
      </c>
      <c r="CE36" s="33">
        <f t="shared" si="102"/>
        <v>1</v>
      </c>
      <c r="CF36" s="33">
        <f t="shared" si="103"/>
        <v>1</v>
      </c>
      <c r="CG36" s="33">
        <f t="shared" si="104"/>
        <v>1</v>
      </c>
      <c r="CH36" s="33">
        <f t="shared" si="31"/>
        <v>1</v>
      </c>
      <c r="CI36" s="33">
        <f t="shared" si="32"/>
        <v>1</v>
      </c>
      <c r="CJ36" s="33">
        <f t="shared" si="33"/>
        <v>1</v>
      </c>
      <c r="CK36" s="33">
        <f t="shared" si="34"/>
        <v>1</v>
      </c>
      <c r="CL36" s="33">
        <f t="shared" si="35"/>
        <v>1</v>
      </c>
      <c r="CM36" s="33">
        <f t="shared" si="36"/>
        <v>1</v>
      </c>
      <c r="CN36" s="33">
        <f t="shared" si="37"/>
        <v>1</v>
      </c>
      <c r="CO36" s="33">
        <f t="shared" si="38"/>
        <v>1</v>
      </c>
      <c r="CP36" s="33">
        <f t="shared" si="39"/>
        <v>1</v>
      </c>
      <c r="CQ36" s="33">
        <f t="shared" si="40"/>
        <v>1</v>
      </c>
      <c r="CR36" s="33">
        <f t="shared" si="41"/>
        <v>1</v>
      </c>
      <c r="CS36" s="33">
        <f t="shared" si="42"/>
        <v>1</v>
      </c>
      <c r="CT36" s="33">
        <f t="shared" si="43"/>
        <v>1</v>
      </c>
      <c r="CU36" s="33">
        <f t="shared" si="44"/>
        <v>1</v>
      </c>
      <c r="CV36" s="33">
        <f t="shared" si="45"/>
        <v>1</v>
      </c>
    </row>
    <row r="37" spans="1:100" x14ac:dyDescent="0.45">
      <c r="A37">
        <v>1</v>
      </c>
      <c r="B37" t="str">
        <f>VLOOKUP(F37,'TRA balance'!$AK$5:$AL$14,2,FALSE)</f>
        <v>TRAHFO</v>
      </c>
      <c r="C37" s="6" t="str">
        <f t="shared" si="46"/>
        <v>TT</v>
      </c>
      <c r="D37" s="7" t="s">
        <v>17</v>
      </c>
      <c r="E37" s="7" t="s">
        <v>56</v>
      </c>
      <c r="F37" s="8" t="str">
        <f t="shared" ref="F37:F38" si="105">F36</f>
        <v>Heavy Fuel Oil</v>
      </c>
      <c r="G37" s="6" t="s">
        <v>57</v>
      </c>
      <c r="H37" s="9">
        <f ca="1">OFFSET(TIAM15_assumptions!$G37,0,MATCH(VLOOKUP(Assumptions!H$2,TIAM15_assumptions!$Y$3:$Z$36,2,FALSE),TIAM15_assumptions!$H$2:$V$2,0))</f>
        <v>0.3</v>
      </c>
      <c r="I37" s="9">
        <f ca="1">OFFSET(TIAM15_assumptions!$G37,0,MATCH(VLOOKUP(Assumptions!I$2,TIAM15_assumptions!$Y$3:$Z$36,2,FALSE),TIAM15_assumptions!$H$2:$V$2,0))</f>
        <v>0.3</v>
      </c>
      <c r="J37" s="9">
        <f ca="1">OFFSET(TIAM15_assumptions!$G37,0,MATCH(VLOOKUP(Assumptions!J$2,TIAM15_assumptions!$Y$3:$Z$36,2,FALSE),TIAM15_assumptions!$H$2:$V$2,0))</f>
        <v>0</v>
      </c>
      <c r="K37" s="9">
        <f ca="1">OFFSET(TIAM15_assumptions!$G37,0,MATCH(VLOOKUP(Assumptions!K$2,TIAM15_assumptions!$Y$3:$Z$36,2,FALSE),TIAM15_assumptions!$H$2:$V$2,0))</f>
        <v>0.1</v>
      </c>
      <c r="L37" s="9">
        <f ca="1">OFFSET(TIAM15_assumptions!$G37,0,MATCH(VLOOKUP(Assumptions!L$2,TIAM15_assumptions!$Y$3:$Z$36,2,FALSE),TIAM15_assumptions!$H$2:$V$2,0))</f>
        <v>0.1</v>
      </c>
      <c r="M37" s="9">
        <f ca="1">OFFSET(TIAM15_assumptions!$G37,0,MATCH(VLOOKUP(Assumptions!M$2,TIAM15_assumptions!$Y$3:$Z$36,2,FALSE),TIAM15_assumptions!$H$2:$V$2,0))</f>
        <v>0.1</v>
      </c>
      <c r="N37" s="9">
        <f ca="1">OFFSET(TIAM15_assumptions!$G37,0,MATCH(VLOOKUP(Assumptions!N$2,TIAM15_assumptions!$Y$3:$Z$36,2,FALSE),TIAM15_assumptions!$H$2:$V$2,0))</f>
        <v>0</v>
      </c>
      <c r="O37" s="9">
        <f ca="1">OFFSET(TIAM15_assumptions!$G37,0,MATCH(VLOOKUP(Assumptions!O$2,TIAM15_assumptions!$Y$3:$Z$36,2,FALSE),TIAM15_assumptions!$H$2:$V$2,0))</f>
        <v>0</v>
      </c>
      <c r="P37" s="9">
        <f ca="1">OFFSET(TIAM15_assumptions!$G37,0,MATCH(VLOOKUP(Assumptions!P$2,TIAM15_assumptions!$Y$3:$Z$36,2,FALSE),TIAM15_assumptions!$H$2:$V$2,0))</f>
        <v>0.05</v>
      </c>
      <c r="Q37" s="9">
        <f ca="1">OFFSET(TIAM15_assumptions!$G37,0,MATCH(VLOOKUP(Assumptions!Q$2,TIAM15_assumptions!$Y$3:$Z$36,2,FALSE),TIAM15_assumptions!$H$2:$V$2,0))</f>
        <v>0.4</v>
      </c>
      <c r="R37" s="9">
        <f ca="1">OFFSET(TIAM15_assumptions!$G37,0,MATCH(VLOOKUP(Assumptions!R$2,TIAM15_assumptions!$Y$3:$Z$36,2,FALSE),TIAM15_assumptions!$H$2:$V$2,0))</f>
        <v>0.1</v>
      </c>
      <c r="S37" s="9">
        <f ca="1">OFFSET(TIAM15_assumptions!$G37,0,MATCH(VLOOKUP(Assumptions!S$2,TIAM15_assumptions!$Y$3:$Z$36,2,FALSE),TIAM15_assumptions!$H$2:$V$2,0))</f>
        <v>0.1</v>
      </c>
      <c r="T37" s="9">
        <f ca="1">OFFSET(TIAM15_assumptions!$G37,0,MATCH(VLOOKUP(Assumptions!T$2,TIAM15_assumptions!$Y$3:$Z$36,2,FALSE),TIAM15_assumptions!$H$2:$V$2,0))</f>
        <v>0.1</v>
      </c>
      <c r="U37" s="9">
        <f ca="1">OFFSET(TIAM15_assumptions!$G37,0,MATCH(VLOOKUP(Assumptions!U$2,TIAM15_assumptions!$Y$3:$Z$36,2,FALSE),TIAM15_assumptions!$H$2:$V$2,0))</f>
        <v>0.1</v>
      </c>
      <c r="V37" s="9">
        <f ca="1">OFFSET(TIAM15_assumptions!$G37,0,MATCH(VLOOKUP(Assumptions!V$2,TIAM15_assumptions!$Y$3:$Z$36,2,FALSE),TIAM15_assumptions!$H$2:$V$2,0))</f>
        <v>0.1</v>
      </c>
      <c r="W37" s="9">
        <f ca="1">OFFSET(TIAM15_assumptions!$G37,0,MATCH(VLOOKUP(Assumptions!W$2,TIAM15_assumptions!$Y$3:$Z$36,2,FALSE),TIAM15_assumptions!$H$2:$V$2,0))</f>
        <v>0.1</v>
      </c>
      <c r="X37" s="9">
        <f ca="1">OFFSET(TIAM15_assumptions!$G37,0,MATCH(VLOOKUP(Assumptions!X$2,TIAM15_assumptions!$Y$3:$Z$36,2,FALSE),TIAM15_assumptions!$H$2:$V$2,0))</f>
        <v>0.3</v>
      </c>
      <c r="Y37" s="9">
        <f ca="1">OFFSET(TIAM15_assumptions!$G37,0,MATCH(VLOOKUP(Assumptions!Y$2,TIAM15_assumptions!$Y$3:$Z$36,2,FALSE),TIAM15_assumptions!$H$2:$V$2,0))</f>
        <v>0.1</v>
      </c>
      <c r="Z37" s="9">
        <f ca="1">OFFSET(TIAM15_assumptions!$G37,0,MATCH(VLOOKUP(Assumptions!Z$2,TIAM15_assumptions!$Y$3:$Z$36,2,FALSE),TIAM15_assumptions!$H$2:$V$2,0))</f>
        <v>0.1</v>
      </c>
      <c r="AA37" s="9">
        <f ca="1">OFFSET(TIAM15_assumptions!$G37,0,MATCH(VLOOKUP(Assumptions!AA$2,TIAM15_assumptions!$Y$3:$Z$36,2,FALSE),TIAM15_assumptions!$H$2:$V$2,0))</f>
        <v>0.5</v>
      </c>
      <c r="AB37" s="9">
        <f ca="1">OFFSET(TIAM15_assumptions!$G37,0,MATCH(VLOOKUP(Assumptions!AB$2,TIAM15_assumptions!$Y$3:$Z$36,2,FALSE),TIAM15_assumptions!$H$2:$V$2,0))</f>
        <v>0</v>
      </c>
      <c r="AC37" s="9">
        <f ca="1">OFFSET(TIAM15_assumptions!$G37,0,MATCH(VLOOKUP(Assumptions!AC$2,TIAM15_assumptions!$Y$3:$Z$36,2,FALSE),TIAM15_assumptions!$H$2:$V$2,0))</f>
        <v>0</v>
      </c>
      <c r="AD37" s="9">
        <f ca="1">OFFSET(TIAM15_assumptions!$G37,0,MATCH(VLOOKUP(Assumptions!AD$2,TIAM15_assumptions!$Y$3:$Z$36,2,FALSE),TIAM15_assumptions!$H$2:$V$2,0))</f>
        <v>0.3</v>
      </c>
      <c r="AE37" s="9">
        <f ca="1">OFFSET(TIAM15_assumptions!$G37,0,MATCH(VLOOKUP(Assumptions!AE$2,TIAM15_assumptions!$Y$3:$Z$36,2,FALSE),TIAM15_assumptions!$H$2:$V$2,0))</f>
        <v>0.1</v>
      </c>
      <c r="AF37" s="9">
        <f ca="1">OFFSET(TIAM15_assumptions!$G37,0,MATCH(VLOOKUP(Assumptions!AF$2,TIAM15_assumptions!$Y$3:$Z$36,2,FALSE),TIAM15_assumptions!$H$2:$V$2,0))</f>
        <v>0.1</v>
      </c>
      <c r="AG37" s="9">
        <f ca="1">OFFSET(TIAM15_assumptions!$G37,0,MATCH(VLOOKUP(Assumptions!AG$2,TIAM15_assumptions!$Y$3:$Z$36,2,FALSE),TIAM15_assumptions!$H$2:$V$2,0))</f>
        <v>0.3</v>
      </c>
      <c r="AH37" s="9">
        <f ca="1">OFFSET(TIAM15_assumptions!$G37,0,MATCH(VLOOKUP(Assumptions!AH$2,TIAM15_assumptions!$Y$3:$Z$36,2,FALSE),TIAM15_assumptions!$H$2:$V$2,0))</f>
        <v>0.3</v>
      </c>
      <c r="AI37" s="9">
        <f ca="1">OFFSET(TIAM15_assumptions!$G37,0,MATCH(VLOOKUP(Assumptions!AI$2,TIAM15_assumptions!$Y$3:$Z$36,2,FALSE),TIAM15_assumptions!$H$2:$V$2,0))</f>
        <v>0.1</v>
      </c>
      <c r="AJ37" s="9">
        <f ca="1">OFFSET(TIAM15_assumptions!$G37,0,MATCH(VLOOKUP(Assumptions!AJ$2,TIAM15_assumptions!$Y$3:$Z$36,2,FALSE),TIAM15_assumptions!$H$2:$V$2,0))</f>
        <v>0.1</v>
      </c>
      <c r="AK37" s="9">
        <f ca="1">OFFSET(TIAM15_assumptions!$G37,0,MATCH(VLOOKUP(Assumptions!AK$2,TIAM15_assumptions!$Y$3:$Z$36,2,FALSE),TIAM15_assumptions!$H$2:$V$2,0))</f>
        <v>0.1</v>
      </c>
      <c r="AN37" s="34">
        <f ca="1">IFERROR(SUMIFS('TRA balance'!E$5:E$40,'TRA balance'!$C$5:$C$40,Assumptions!$C37,'TRA balance'!$D$5:$D$40,Assumptions!$B37)*BS37*H37,"")</f>
        <v>1.2720005002799999</v>
      </c>
      <c r="AO37" s="34">
        <f ca="1">IFERROR(SUMIFS('TRA balance'!F$5:F$40,'TRA balance'!$C$5:$C$40,Assumptions!$C37,'TRA balance'!$D$5:$D$40,Assumptions!$B37)*BT37*I37,"")</f>
        <v>0</v>
      </c>
      <c r="AP37" s="34">
        <f ca="1">IFERROR(SUMIFS('TRA balance'!G$5:G$40,'TRA balance'!$C$5:$C$40,Assumptions!$C37,'TRA balance'!$D$5:$D$40,Assumptions!$B37)*BU37*J37,"")</f>
        <v>0</v>
      </c>
      <c r="AQ37" s="34">
        <f ca="1">IFERROR(SUMIFS('TRA balance'!H$5:H$40,'TRA balance'!$C$5:$C$40,Assumptions!$C37,'TRA balance'!$D$5:$D$40,Assumptions!$B37)*BV37*K37,"")</f>
        <v>1.4046714000000001E-3</v>
      </c>
      <c r="AR37" s="34">
        <f ca="1">IFERROR(SUMIFS('TRA balance'!I$5:I$40,'TRA balance'!$C$5:$C$40,Assumptions!$C37,'TRA balance'!$D$5:$D$40,Assumptions!$B37)*BW37*L37,"")</f>
        <v>0</v>
      </c>
      <c r="AS37" s="34">
        <f ca="1">IFERROR(SUMIFS('TRA balance'!J$5:J$40,'TRA balance'!$C$5:$C$40,Assumptions!$C37,'TRA balance'!$D$5:$D$40,Assumptions!$B37)*BX37*M37,"")</f>
        <v>8.256369600000001E-4</v>
      </c>
      <c r="AT37" s="34">
        <f ca="1">IFERROR(SUMIFS('TRA balance'!K$5:K$40,'TRA balance'!$C$5:$C$40,Assumptions!$C37,'TRA balance'!$D$5:$D$40,Assumptions!$B37)*BY37*N37,"")</f>
        <v>0</v>
      </c>
      <c r="AU37" s="34">
        <f ca="1">IFERROR(SUMIFS('TRA balance'!L$5:L$40,'TRA balance'!$C$5:$C$40,Assumptions!$C37,'TRA balance'!$D$5:$D$40,Assumptions!$B37)*BZ37*O37,"")</f>
        <v>0</v>
      </c>
      <c r="AV37" s="34">
        <f ca="1">IFERROR(SUMIFS('TRA balance'!M$5:M$40,'TRA balance'!$C$5:$C$40,Assumptions!$C37,'TRA balance'!$D$5:$D$40,Assumptions!$B37)*CA37*P37,"")</f>
        <v>0</v>
      </c>
      <c r="AW37" s="34">
        <f ca="1">IFERROR(SUMIFS('TRA balance'!N$5:N$40,'TRA balance'!$C$5:$C$40,Assumptions!$C37,'TRA balance'!$D$5:$D$40,Assumptions!$B37)*CB37*Q37,"")</f>
        <v>0</v>
      </c>
      <c r="AX37" s="34">
        <f ca="1">IFERROR(SUMIFS('TRA balance'!O$5:O$40,'TRA balance'!$C$5:$C$40,Assumptions!$C37,'TRA balance'!$D$5:$D$40,Assumptions!$B37)*CC37*R37,"")</f>
        <v>0</v>
      </c>
      <c r="AY37" s="34">
        <f ca="1">IFERROR(SUMIFS('TRA balance'!P$5:P$40,'TRA balance'!$C$5:$C$40,Assumptions!$C37,'TRA balance'!$D$5:$D$40,Assumptions!$B37)*CD37*S37,"")</f>
        <v>0</v>
      </c>
      <c r="AZ37" s="34">
        <f ca="1">IFERROR(SUMIFS('TRA balance'!Q$5:Q$40,'TRA balance'!$C$5:$C$40,Assumptions!$C37,'TRA balance'!$D$5:$D$40,Assumptions!$B37)*CE37*T37,"")</f>
        <v>0</v>
      </c>
      <c r="BA37" s="34">
        <f ca="1">IFERROR(SUMIFS('TRA balance'!R$5:R$40,'TRA balance'!$C$5:$C$40,Assumptions!$C37,'TRA balance'!$D$5:$D$40,Assumptions!$B37)*CF37*U37,"")</f>
        <v>0</v>
      </c>
      <c r="BB37" s="34">
        <f ca="1">IFERROR(SUMIFS('TRA balance'!S$5:S$40,'TRA balance'!$C$5:$C$40,Assumptions!$C37,'TRA balance'!$D$5:$D$40,Assumptions!$B37)*CG37*V37,"")</f>
        <v>0</v>
      </c>
      <c r="BC37" s="34">
        <f ca="1">IFERROR(SUMIFS('TRA balance'!T$5:T$40,'TRA balance'!$C$5:$C$40,Assumptions!$C37,'TRA balance'!$D$5:$D$40,Assumptions!$B37)*CH37*W37,"")</f>
        <v>0</v>
      </c>
      <c r="BD37" s="34">
        <f ca="1">IFERROR(SUMIFS('TRA balance'!U$5:U$40,'TRA balance'!$C$5:$C$40,Assumptions!$C37,'TRA balance'!$D$5:$D$40,Assumptions!$B37)*CI37*X37,"")</f>
        <v>0</v>
      </c>
      <c r="BE37" s="34">
        <f ca="1">IFERROR(SUMIFS('TRA balance'!V$5:V$40,'TRA balance'!$C$5:$C$40,Assumptions!$C37,'TRA balance'!$D$5:$D$40,Assumptions!$B37)*CJ37*Y37,"")</f>
        <v>0</v>
      </c>
      <c r="BF37" s="34">
        <f ca="1">IFERROR(SUMIFS('TRA balance'!W$5:W$40,'TRA balance'!$C$5:$C$40,Assumptions!$C37,'TRA balance'!$D$5:$D$40,Assumptions!$B37)*CK37*Z37,"")</f>
        <v>0</v>
      </c>
      <c r="BG37" s="34">
        <f ca="1">IFERROR(SUMIFS('TRA balance'!X$5:X$40,'TRA balance'!$C$5:$C$40,Assumptions!$C37,'TRA balance'!$D$5:$D$40,Assumptions!$B37)*CL37*AA37,"")</f>
        <v>0</v>
      </c>
      <c r="BH37" s="34">
        <f ca="1">IFERROR(SUMIFS('TRA balance'!Y$5:Y$40,'TRA balance'!$C$5:$C$40,Assumptions!$C37,'TRA balance'!$D$5:$D$40,Assumptions!$B37)*CM37*AB37,"")</f>
        <v>0</v>
      </c>
      <c r="BI37" s="34">
        <f ca="1">IFERROR(SUMIFS('TRA balance'!Z$5:Z$40,'TRA balance'!$C$5:$C$40,Assumptions!$C37,'TRA balance'!$D$5:$D$40,Assumptions!$B37)*CN37*AC37,"")</f>
        <v>0</v>
      </c>
      <c r="BJ37" s="34">
        <f ca="1">IFERROR(SUMIFS('TRA balance'!AA$5:AA$40,'TRA balance'!$C$5:$C$40,Assumptions!$C37,'TRA balance'!$D$5:$D$40,Assumptions!$B37)*CO37*AD37,"")</f>
        <v>0</v>
      </c>
      <c r="BK37" s="34">
        <f ca="1">IFERROR(SUMIFS('TRA balance'!AB$5:AB$40,'TRA balance'!$C$5:$C$40,Assumptions!$C37,'TRA balance'!$D$5:$D$40,Assumptions!$B37)*CP37*AE37,"")</f>
        <v>0</v>
      </c>
      <c r="BL37" s="34">
        <f ca="1">IFERROR(SUMIFS('TRA balance'!AC$5:AC$40,'TRA balance'!$C$5:$C$40,Assumptions!$C37,'TRA balance'!$D$5:$D$40,Assumptions!$B37)*CQ37*AF37,"")</f>
        <v>8.7198483600000008E-3</v>
      </c>
      <c r="BM37" s="34">
        <f ca="1">IFERROR(SUMIFS('TRA balance'!AD$5:AD$40,'TRA balance'!$C$5:$C$40,Assumptions!$C37,'TRA balance'!$D$5:$D$40,Assumptions!$B37)*CR37*AG37,"")</f>
        <v>0</v>
      </c>
      <c r="BN37" s="34">
        <f ca="1">IFERROR(SUMIFS('TRA balance'!AE$5:AE$40,'TRA balance'!$C$5:$C$40,Assumptions!$C37,'TRA balance'!$D$5:$D$40,Assumptions!$B37)*CS37*AH37,"")</f>
        <v>0.92708186795999992</v>
      </c>
      <c r="BO37" s="34">
        <f ca="1">IFERROR(SUMIFS('TRA balance'!AF$5:AF$40,'TRA balance'!$C$5:$C$40,Assumptions!$C37,'TRA balance'!$D$5:$D$40,Assumptions!$B37)*CT37*AI37,"")</f>
        <v>0</v>
      </c>
      <c r="BP37" s="34">
        <f ca="1">IFERROR(SUMIFS('TRA balance'!AG$5:AG$40,'TRA balance'!$C$5:$C$40,Assumptions!$C37,'TRA balance'!$D$5:$D$40,Assumptions!$B37)*CU37*AJ37,"")</f>
        <v>0</v>
      </c>
      <c r="BQ37" s="34">
        <f ca="1">IFERROR(SUMIFS('TRA balance'!AH$5:AH$40,'TRA balance'!$C$5:$C$40,Assumptions!$C37,'TRA balance'!$D$5:$D$40,Assumptions!$B37)*CV37*AK37,"")</f>
        <v>0</v>
      </c>
      <c r="BS37" s="33">
        <f t="shared" si="90"/>
        <v>1</v>
      </c>
      <c r="BT37" s="33">
        <f t="shared" si="91"/>
        <v>1</v>
      </c>
      <c r="BU37" s="33">
        <f t="shared" si="92"/>
        <v>1</v>
      </c>
      <c r="BV37" s="33">
        <f t="shared" si="93"/>
        <v>1</v>
      </c>
      <c r="BW37" s="33">
        <f t="shared" si="94"/>
        <v>1</v>
      </c>
      <c r="BX37" s="33">
        <f t="shared" si="95"/>
        <v>1</v>
      </c>
      <c r="BY37" s="33">
        <f t="shared" si="96"/>
        <v>1</v>
      </c>
      <c r="BZ37" s="33">
        <f t="shared" si="97"/>
        <v>1</v>
      </c>
      <c r="CA37" s="33">
        <f t="shared" si="98"/>
        <v>1</v>
      </c>
      <c r="CB37" s="33">
        <f t="shared" si="99"/>
        <v>1</v>
      </c>
      <c r="CC37" s="33">
        <f t="shared" si="100"/>
        <v>1</v>
      </c>
      <c r="CD37" s="33">
        <f t="shared" si="101"/>
        <v>1</v>
      </c>
      <c r="CE37" s="33">
        <f t="shared" si="102"/>
        <v>1</v>
      </c>
      <c r="CF37" s="33">
        <f t="shared" si="103"/>
        <v>1</v>
      </c>
      <c r="CG37" s="33">
        <f t="shared" si="104"/>
        <v>1</v>
      </c>
      <c r="CH37" s="33">
        <f t="shared" si="31"/>
        <v>1</v>
      </c>
      <c r="CI37" s="33">
        <f t="shared" si="32"/>
        <v>1</v>
      </c>
      <c r="CJ37" s="33">
        <f t="shared" si="33"/>
        <v>1</v>
      </c>
      <c r="CK37" s="33">
        <f t="shared" si="34"/>
        <v>1</v>
      </c>
      <c r="CL37" s="33">
        <f t="shared" si="35"/>
        <v>1</v>
      </c>
      <c r="CM37" s="33">
        <f t="shared" si="36"/>
        <v>1</v>
      </c>
      <c r="CN37" s="33">
        <f t="shared" si="37"/>
        <v>1</v>
      </c>
      <c r="CO37" s="33">
        <f t="shared" si="38"/>
        <v>1</v>
      </c>
      <c r="CP37" s="33">
        <f t="shared" si="39"/>
        <v>1</v>
      </c>
      <c r="CQ37" s="33">
        <f t="shared" si="40"/>
        <v>1</v>
      </c>
      <c r="CR37" s="33">
        <f t="shared" si="41"/>
        <v>1</v>
      </c>
      <c r="CS37" s="33">
        <f t="shared" si="42"/>
        <v>1</v>
      </c>
      <c r="CT37" s="33">
        <f t="shared" si="43"/>
        <v>1</v>
      </c>
      <c r="CU37" s="33">
        <f t="shared" si="44"/>
        <v>1</v>
      </c>
      <c r="CV37" s="33">
        <f t="shared" si="45"/>
        <v>1</v>
      </c>
    </row>
    <row r="38" spans="1:100" x14ac:dyDescent="0.45">
      <c r="A38">
        <v>1</v>
      </c>
      <c r="B38" t="str">
        <f>VLOOKUP(F38,'TRA balance'!$AK$5:$AL$14,2,FALSE)</f>
        <v>TRAHFO</v>
      </c>
      <c r="C38" s="11"/>
      <c r="D38" s="11"/>
      <c r="E38" s="12" t="s">
        <v>58</v>
      </c>
      <c r="F38" s="13" t="str">
        <f t="shared" si="105"/>
        <v>Heavy Fuel Oil</v>
      </c>
      <c r="G38" s="11"/>
      <c r="H38" s="12" t="str">
        <f t="shared" ref="H38:M38" ca="1" si="106">IF(SUM(H36:H37)=1,"-","&lt;&gt;1!!")</f>
        <v>-</v>
      </c>
      <c r="I38" s="12" t="str">
        <f t="shared" ca="1" si="106"/>
        <v>-</v>
      </c>
      <c r="J38" s="12" t="str">
        <f t="shared" ca="1" si="106"/>
        <v>-</v>
      </c>
      <c r="K38" s="12" t="str">
        <f t="shared" ca="1" si="106"/>
        <v>-</v>
      </c>
      <c r="L38" s="12" t="str">
        <f t="shared" ca="1" si="106"/>
        <v>-</v>
      </c>
      <c r="M38" s="12" t="str">
        <f t="shared" ca="1" si="106"/>
        <v>-</v>
      </c>
      <c r="N38" s="12" t="str">
        <f t="shared" ref="N38:X38" ca="1" si="107">IF(SUM(N36:N37)=1,"-","&lt;&gt;1!!")</f>
        <v>-</v>
      </c>
      <c r="O38" s="12" t="str">
        <f t="shared" ca="1" si="107"/>
        <v>-</v>
      </c>
      <c r="P38" s="12" t="str">
        <f t="shared" ca="1" si="107"/>
        <v>-</v>
      </c>
      <c r="Q38" s="12" t="str">
        <f t="shared" ca="1" si="107"/>
        <v>-</v>
      </c>
      <c r="R38" s="12" t="str">
        <f t="shared" ca="1" si="107"/>
        <v>-</v>
      </c>
      <c r="S38" s="12" t="str">
        <f t="shared" ca="1" si="107"/>
        <v>-</v>
      </c>
      <c r="T38" s="12" t="str">
        <f t="shared" ca="1" si="107"/>
        <v>-</v>
      </c>
      <c r="U38" s="12" t="str">
        <f t="shared" ca="1" si="107"/>
        <v>-</v>
      </c>
      <c r="V38" s="12" t="str">
        <f t="shared" ca="1" si="107"/>
        <v>-</v>
      </c>
      <c r="W38" s="12" t="str">
        <f t="shared" ca="1" si="107"/>
        <v>-</v>
      </c>
      <c r="X38" s="12" t="str">
        <f t="shared" ca="1" si="107"/>
        <v>-</v>
      </c>
      <c r="Y38" s="12" t="str">
        <f t="shared" ref="Y38:Z38" ca="1" si="108">IF(SUM(Y36:Y37)=1,"-","&lt;&gt;1!!")</f>
        <v>-</v>
      </c>
      <c r="Z38" s="12" t="str">
        <f t="shared" ca="1" si="108"/>
        <v>-</v>
      </c>
      <c r="AA38" s="12" t="str">
        <f t="shared" ref="AA38:AK38" ca="1" si="109">IF(SUM(AA36:AA37)=1,"-","&lt;&gt;1!!")</f>
        <v>-</v>
      </c>
      <c r="AB38" s="12" t="str">
        <f t="shared" ca="1" si="109"/>
        <v>-</v>
      </c>
      <c r="AC38" s="12" t="str">
        <f t="shared" ca="1" si="109"/>
        <v>-</v>
      </c>
      <c r="AD38" s="12" t="str">
        <f t="shared" ca="1" si="109"/>
        <v>-</v>
      </c>
      <c r="AE38" s="12" t="str">
        <f t="shared" ca="1" si="109"/>
        <v>-</v>
      </c>
      <c r="AF38" s="12" t="str">
        <f t="shared" ca="1" si="109"/>
        <v>-</v>
      </c>
      <c r="AG38" s="12" t="str">
        <f t="shared" ca="1" si="109"/>
        <v>-</v>
      </c>
      <c r="AH38" s="12" t="str">
        <f t="shared" ca="1" si="109"/>
        <v>-</v>
      </c>
      <c r="AI38" s="12" t="str">
        <f t="shared" ca="1" si="109"/>
        <v>-</v>
      </c>
      <c r="AJ38" s="12" t="str">
        <f t="shared" ca="1" si="109"/>
        <v>-</v>
      </c>
      <c r="AK38" s="12" t="str">
        <f t="shared" ca="1" si="109"/>
        <v>-</v>
      </c>
      <c r="AN38" s="34" t="str">
        <f ca="1">IFERROR(SUMIFS('TRA balance'!E$5:E$40,'TRA balance'!$C$5:$C$40,Assumptions!$C38,'TRA balance'!$D$5:$D$40,Assumptions!$B38)*BS38*H38,"")</f>
        <v/>
      </c>
      <c r="AO38" s="34" t="str">
        <f ca="1">IFERROR(SUMIFS('TRA balance'!F$5:F$40,'TRA balance'!$C$5:$C$40,Assumptions!$C38,'TRA balance'!$D$5:$D$40,Assumptions!$B38)*BT38*I38,"")</f>
        <v/>
      </c>
      <c r="AP38" s="34" t="str">
        <f ca="1">IFERROR(SUMIFS('TRA balance'!G$5:G$40,'TRA balance'!$C$5:$C$40,Assumptions!$C38,'TRA balance'!$D$5:$D$40,Assumptions!$B38)*BU38*J38,"")</f>
        <v/>
      </c>
      <c r="AQ38" s="34" t="str">
        <f ca="1">IFERROR(SUMIFS('TRA balance'!H$5:H$40,'TRA balance'!$C$5:$C$40,Assumptions!$C38,'TRA balance'!$D$5:$D$40,Assumptions!$B38)*BV38*K38,"")</f>
        <v/>
      </c>
      <c r="AR38" s="34" t="str">
        <f ca="1">IFERROR(SUMIFS('TRA balance'!I$5:I$40,'TRA balance'!$C$5:$C$40,Assumptions!$C38,'TRA balance'!$D$5:$D$40,Assumptions!$B38)*BW38*L38,"")</f>
        <v/>
      </c>
      <c r="AS38" s="34" t="str">
        <f ca="1">IFERROR(SUMIFS('TRA balance'!J$5:J$40,'TRA balance'!$C$5:$C$40,Assumptions!$C38,'TRA balance'!$D$5:$D$40,Assumptions!$B38)*BX38*M38,"")</f>
        <v/>
      </c>
      <c r="AT38" s="34" t="str">
        <f ca="1">IFERROR(SUMIFS('TRA balance'!K$5:K$40,'TRA balance'!$C$5:$C$40,Assumptions!$C38,'TRA balance'!$D$5:$D$40,Assumptions!$B38)*BY38*N38,"")</f>
        <v/>
      </c>
      <c r="AU38" s="34" t="str">
        <f ca="1">IFERROR(SUMIFS('TRA balance'!L$5:L$40,'TRA balance'!$C$5:$C$40,Assumptions!$C38,'TRA balance'!$D$5:$D$40,Assumptions!$B38)*BZ38*O38,"")</f>
        <v/>
      </c>
      <c r="AV38" s="34" t="str">
        <f ca="1">IFERROR(SUMIFS('TRA balance'!M$5:M$40,'TRA balance'!$C$5:$C$40,Assumptions!$C38,'TRA balance'!$D$5:$D$40,Assumptions!$B38)*CA38*P38,"")</f>
        <v/>
      </c>
      <c r="AW38" s="34" t="str">
        <f ca="1">IFERROR(SUMIFS('TRA balance'!N$5:N$40,'TRA balance'!$C$5:$C$40,Assumptions!$C38,'TRA balance'!$D$5:$D$40,Assumptions!$B38)*CB38*Q38,"")</f>
        <v/>
      </c>
      <c r="AX38" s="34" t="str">
        <f ca="1">IFERROR(SUMIFS('TRA balance'!O$5:O$40,'TRA balance'!$C$5:$C$40,Assumptions!$C38,'TRA balance'!$D$5:$D$40,Assumptions!$B38)*CC38*R38,"")</f>
        <v/>
      </c>
      <c r="AY38" s="34" t="str">
        <f ca="1">IFERROR(SUMIFS('TRA balance'!P$5:P$40,'TRA balance'!$C$5:$C$40,Assumptions!$C38,'TRA balance'!$D$5:$D$40,Assumptions!$B38)*CD38*S38,"")</f>
        <v/>
      </c>
      <c r="AZ38" s="34" t="str">
        <f ca="1">IFERROR(SUMIFS('TRA balance'!Q$5:Q$40,'TRA balance'!$C$5:$C$40,Assumptions!$C38,'TRA balance'!$D$5:$D$40,Assumptions!$B38)*CE38*T38,"")</f>
        <v/>
      </c>
      <c r="BA38" s="34" t="str">
        <f ca="1">IFERROR(SUMIFS('TRA balance'!R$5:R$40,'TRA balance'!$C$5:$C$40,Assumptions!$C38,'TRA balance'!$D$5:$D$40,Assumptions!$B38)*CF38*U38,"")</f>
        <v/>
      </c>
      <c r="BB38" s="34" t="str">
        <f ca="1">IFERROR(SUMIFS('TRA balance'!S$5:S$40,'TRA balance'!$C$5:$C$40,Assumptions!$C38,'TRA balance'!$D$5:$D$40,Assumptions!$B38)*CG38*V38,"")</f>
        <v/>
      </c>
      <c r="BC38" s="34" t="str">
        <f ca="1">IFERROR(SUMIFS('TRA balance'!T$5:T$40,'TRA balance'!$C$5:$C$40,Assumptions!$C38,'TRA balance'!$D$5:$D$40,Assumptions!$B38)*CH38*W38,"")</f>
        <v/>
      </c>
      <c r="BD38" s="34" t="str">
        <f ca="1">IFERROR(SUMIFS('TRA balance'!U$5:U$40,'TRA balance'!$C$5:$C$40,Assumptions!$C38,'TRA balance'!$D$5:$D$40,Assumptions!$B38)*CI38*X38,"")</f>
        <v/>
      </c>
      <c r="BE38" s="34" t="str">
        <f ca="1">IFERROR(SUMIFS('TRA balance'!V$5:V$40,'TRA balance'!$C$5:$C$40,Assumptions!$C38,'TRA balance'!$D$5:$D$40,Assumptions!$B38)*CJ38*Y38,"")</f>
        <v/>
      </c>
      <c r="BF38" s="34" t="str">
        <f ca="1">IFERROR(SUMIFS('TRA balance'!W$5:W$40,'TRA balance'!$C$5:$C$40,Assumptions!$C38,'TRA balance'!$D$5:$D$40,Assumptions!$B38)*CK38*Z38,"")</f>
        <v/>
      </c>
      <c r="BG38" s="34" t="str">
        <f ca="1">IFERROR(SUMIFS('TRA balance'!X$5:X$40,'TRA balance'!$C$5:$C$40,Assumptions!$C38,'TRA balance'!$D$5:$D$40,Assumptions!$B38)*CL38*AA38,"")</f>
        <v/>
      </c>
      <c r="BH38" s="34" t="str">
        <f ca="1">IFERROR(SUMIFS('TRA balance'!Y$5:Y$40,'TRA balance'!$C$5:$C$40,Assumptions!$C38,'TRA balance'!$D$5:$D$40,Assumptions!$B38)*CM38*AB38,"")</f>
        <v/>
      </c>
      <c r="BI38" s="34" t="str">
        <f ca="1">IFERROR(SUMIFS('TRA balance'!Z$5:Z$40,'TRA balance'!$C$5:$C$40,Assumptions!$C38,'TRA balance'!$D$5:$D$40,Assumptions!$B38)*CN38*AC38,"")</f>
        <v/>
      </c>
      <c r="BJ38" s="34" t="str">
        <f ca="1">IFERROR(SUMIFS('TRA balance'!AA$5:AA$40,'TRA balance'!$C$5:$C$40,Assumptions!$C38,'TRA balance'!$D$5:$D$40,Assumptions!$B38)*CO38*AD38,"")</f>
        <v/>
      </c>
      <c r="BK38" s="34" t="str">
        <f ca="1">IFERROR(SUMIFS('TRA balance'!AB$5:AB$40,'TRA balance'!$C$5:$C$40,Assumptions!$C38,'TRA balance'!$D$5:$D$40,Assumptions!$B38)*CP38*AE38,"")</f>
        <v/>
      </c>
      <c r="BL38" s="34" t="str">
        <f ca="1">IFERROR(SUMIFS('TRA balance'!AC$5:AC$40,'TRA balance'!$C$5:$C$40,Assumptions!$C38,'TRA balance'!$D$5:$D$40,Assumptions!$B38)*CQ38*AF38,"")</f>
        <v/>
      </c>
      <c r="BM38" s="34" t="str">
        <f ca="1">IFERROR(SUMIFS('TRA balance'!AD$5:AD$40,'TRA balance'!$C$5:$C$40,Assumptions!$C38,'TRA balance'!$D$5:$D$40,Assumptions!$B38)*CR38*AG38,"")</f>
        <v/>
      </c>
      <c r="BN38" s="34" t="str">
        <f ca="1">IFERROR(SUMIFS('TRA balance'!AE$5:AE$40,'TRA balance'!$C$5:$C$40,Assumptions!$C38,'TRA balance'!$D$5:$D$40,Assumptions!$B38)*CS38*AH38,"")</f>
        <v/>
      </c>
      <c r="BO38" s="34" t="str">
        <f ca="1">IFERROR(SUMIFS('TRA balance'!AF$5:AF$40,'TRA balance'!$C$5:$C$40,Assumptions!$C38,'TRA balance'!$D$5:$D$40,Assumptions!$B38)*CT38*AI38,"")</f>
        <v/>
      </c>
      <c r="BP38" s="34" t="str">
        <f ca="1">IFERROR(SUMIFS('TRA balance'!AG$5:AG$40,'TRA balance'!$C$5:$C$40,Assumptions!$C38,'TRA balance'!$D$5:$D$40,Assumptions!$B38)*CU38*AJ38,"")</f>
        <v/>
      </c>
      <c r="BQ38" s="34" t="str">
        <f ca="1">IFERROR(SUMIFS('TRA balance'!AH$5:AH$40,'TRA balance'!$C$5:$C$40,Assumptions!$C38,'TRA balance'!$D$5:$D$40,Assumptions!$B38)*CV38*AK38,"")</f>
        <v/>
      </c>
      <c r="BS38" s="33">
        <f t="shared" si="90"/>
        <v>1</v>
      </c>
      <c r="BT38" s="33">
        <f t="shared" si="91"/>
        <v>1</v>
      </c>
      <c r="BU38" s="33">
        <f t="shared" si="92"/>
        <v>1</v>
      </c>
      <c r="BV38" s="33">
        <f t="shared" si="93"/>
        <v>1</v>
      </c>
      <c r="BW38" s="33">
        <f t="shared" si="94"/>
        <v>1</v>
      </c>
      <c r="BX38" s="33">
        <f t="shared" si="95"/>
        <v>1</v>
      </c>
      <c r="BY38" s="33">
        <f t="shared" si="96"/>
        <v>1</v>
      </c>
      <c r="BZ38" s="33">
        <f t="shared" si="97"/>
        <v>1</v>
      </c>
      <c r="CA38" s="33">
        <f t="shared" si="98"/>
        <v>1</v>
      </c>
      <c r="CB38" s="33">
        <f t="shared" si="99"/>
        <v>1</v>
      </c>
      <c r="CC38" s="33">
        <f t="shared" si="100"/>
        <v>1</v>
      </c>
      <c r="CD38" s="33">
        <f t="shared" si="101"/>
        <v>1</v>
      </c>
      <c r="CE38" s="33">
        <f t="shared" si="102"/>
        <v>1</v>
      </c>
      <c r="CF38" s="33">
        <f t="shared" si="103"/>
        <v>1</v>
      </c>
      <c r="CG38" s="33">
        <f t="shared" si="104"/>
        <v>1</v>
      </c>
      <c r="CH38" s="33">
        <f t="shared" si="31"/>
        <v>1</v>
      </c>
      <c r="CI38" s="33">
        <f t="shared" si="32"/>
        <v>1</v>
      </c>
      <c r="CJ38" s="33">
        <f t="shared" si="33"/>
        <v>1</v>
      </c>
      <c r="CK38" s="33">
        <f t="shared" si="34"/>
        <v>1</v>
      </c>
      <c r="CL38" s="33">
        <f t="shared" si="35"/>
        <v>1</v>
      </c>
      <c r="CM38" s="33">
        <f t="shared" si="36"/>
        <v>1</v>
      </c>
      <c r="CN38" s="33">
        <f t="shared" si="37"/>
        <v>1</v>
      </c>
      <c r="CO38" s="33">
        <f t="shared" si="38"/>
        <v>1</v>
      </c>
      <c r="CP38" s="33">
        <f t="shared" si="39"/>
        <v>1</v>
      </c>
      <c r="CQ38" s="33">
        <f t="shared" si="40"/>
        <v>1</v>
      </c>
      <c r="CR38" s="33">
        <f t="shared" si="41"/>
        <v>1</v>
      </c>
      <c r="CS38" s="33">
        <f t="shared" si="42"/>
        <v>1</v>
      </c>
      <c r="CT38" s="33">
        <f t="shared" si="43"/>
        <v>1</v>
      </c>
      <c r="CU38" s="33">
        <f t="shared" si="44"/>
        <v>1</v>
      </c>
      <c r="CV38" s="33">
        <f t="shared" si="45"/>
        <v>1</v>
      </c>
    </row>
    <row r="39" spans="1:100" x14ac:dyDescent="0.45">
      <c r="A39">
        <v>1</v>
      </c>
      <c r="B39" t="str">
        <f>VLOOKUP(F39,'TRA balance'!$AK$5:$AL$14,2,FALSE)</f>
        <v>TRALPG</v>
      </c>
      <c r="C39" s="14">
        <v>1</v>
      </c>
      <c r="D39" s="15" t="s">
        <v>16</v>
      </c>
      <c r="E39" s="15" t="s">
        <v>59</v>
      </c>
      <c r="F39" s="16" t="s">
        <v>82</v>
      </c>
      <c r="G39" s="14"/>
      <c r="H39" s="9">
        <f ca="1">OFFSET(TIAM15_assumptions!$G39,0,MATCH(VLOOKUP(Assumptions!H$2,TIAM15_assumptions!$Y$3:$Z$36,2,FALSE),TIAM15_assumptions!$H$2:$V$2,0))</f>
        <v>0.6</v>
      </c>
      <c r="I39" s="9">
        <f ca="1">OFFSET(TIAM15_assumptions!$G39,0,MATCH(VLOOKUP(Assumptions!I$2,TIAM15_assumptions!$Y$3:$Z$36,2,FALSE),TIAM15_assumptions!$H$2:$V$2,0))</f>
        <v>0.6</v>
      </c>
      <c r="J39" s="9">
        <f ca="1">OFFSET(TIAM15_assumptions!$G39,0,MATCH(VLOOKUP(Assumptions!J$2,TIAM15_assumptions!$Y$3:$Z$36,2,FALSE),TIAM15_assumptions!$H$2:$V$2,0))</f>
        <v>0.5</v>
      </c>
      <c r="K39" s="9">
        <f ca="1">OFFSET(TIAM15_assumptions!$G39,0,MATCH(VLOOKUP(Assumptions!K$2,TIAM15_assumptions!$Y$3:$Z$36,2,FALSE),TIAM15_assumptions!$H$2:$V$2,0))</f>
        <v>0.56999999999999995</v>
      </c>
      <c r="L39" s="9">
        <f ca="1">OFFSET(TIAM15_assumptions!$G39,0,MATCH(VLOOKUP(Assumptions!L$2,TIAM15_assumptions!$Y$3:$Z$36,2,FALSE),TIAM15_assumptions!$H$2:$V$2,0))</f>
        <v>0.56999999999999995</v>
      </c>
      <c r="M39" s="9">
        <f ca="1">OFFSET(TIAM15_assumptions!$G39,0,MATCH(VLOOKUP(Assumptions!M$2,TIAM15_assumptions!$Y$3:$Z$36,2,FALSE),TIAM15_assumptions!$H$2:$V$2,0))</f>
        <v>0.7</v>
      </c>
      <c r="N39" s="9">
        <f ca="1">OFFSET(TIAM15_assumptions!$G39,0,MATCH(VLOOKUP(Assumptions!N$2,TIAM15_assumptions!$Y$3:$Z$36,2,FALSE),TIAM15_assumptions!$H$2:$V$2,0))</f>
        <v>0.25</v>
      </c>
      <c r="O39" s="9">
        <f ca="1">OFFSET(TIAM15_assumptions!$G39,0,MATCH(VLOOKUP(Assumptions!O$2,TIAM15_assumptions!$Y$3:$Z$36,2,FALSE),TIAM15_assumptions!$H$2:$V$2,0))</f>
        <v>0.5</v>
      </c>
      <c r="P39" s="9">
        <f ca="1">OFFSET(TIAM15_assumptions!$G39,0,MATCH(VLOOKUP(Assumptions!P$2,TIAM15_assumptions!$Y$3:$Z$36,2,FALSE),TIAM15_assumptions!$H$2:$V$2,0))</f>
        <v>0.9</v>
      </c>
      <c r="Q39" s="9">
        <f ca="1">OFFSET(TIAM15_assumptions!$G39,0,MATCH(VLOOKUP(Assumptions!Q$2,TIAM15_assumptions!$Y$3:$Z$36,2,FALSE),TIAM15_assumptions!$H$2:$V$2,0))</f>
        <v>0.4</v>
      </c>
      <c r="R39" s="9">
        <f ca="1">OFFSET(TIAM15_assumptions!$G39,0,MATCH(VLOOKUP(Assumptions!R$2,TIAM15_assumptions!$Y$3:$Z$36,2,FALSE),TIAM15_assumptions!$H$2:$V$2,0))</f>
        <v>0.75</v>
      </c>
      <c r="S39" s="9">
        <f ca="1">OFFSET(TIAM15_assumptions!$G39,0,MATCH(VLOOKUP(Assumptions!S$2,TIAM15_assumptions!$Y$3:$Z$36,2,FALSE),TIAM15_assumptions!$H$2:$V$2,0))</f>
        <v>0.56999999999999995</v>
      </c>
      <c r="T39" s="9">
        <f ca="1">OFFSET(TIAM15_assumptions!$G39,0,MATCH(VLOOKUP(Assumptions!T$2,TIAM15_assumptions!$Y$3:$Z$36,2,FALSE),TIAM15_assumptions!$H$2:$V$2,0))</f>
        <v>0.75</v>
      </c>
      <c r="U39" s="9">
        <f ca="1">OFFSET(TIAM15_assumptions!$G39,0,MATCH(VLOOKUP(Assumptions!U$2,TIAM15_assumptions!$Y$3:$Z$36,2,FALSE),TIAM15_assumptions!$H$2:$V$2,0))</f>
        <v>0.75</v>
      </c>
      <c r="V39" s="9">
        <f ca="1">OFFSET(TIAM15_assumptions!$G39,0,MATCH(VLOOKUP(Assumptions!V$2,TIAM15_assumptions!$Y$3:$Z$36,2,FALSE),TIAM15_assumptions!$H$2:$V$2,0))</f>
        <v>0.56999999999999995</v>
      </c>
      <c r="W39" s="9">
        <f ca="1">OFFSET(TIAM15_assumptions!$G39,0,MATCH(VLOOKUP(Assumptions!W$2,TIAM15_assumptions!$Y$3:$Z$36,2,FALSE),TIAM15_assumptions!$H$2:$V$2,0))</f>
        <v>0.75</v>
      </c>
      <c r="X39" s="9">
        <f ca="1">OFFSET(TIAM15_assumptions!$G39,0,MATCH(VLOOKUP(Assumptions!X$2,TIAM15_assumptions!$Y$3:$Z$36,2,FALSE),TIAM15_assumptions!$H$2:$V$2,0))</f>
        <v>0.6</v>
      </c>
      <c r="Y39" s="9">
        <f ca="1">OFFSET(TIAM15_assumptions!$G39,0,MATCH(VLOOKUP(Assumptions!Y$2,TIAM15_assumptions!$Y$3:$Z$36,2,FALSE),TIAM15_assumptions!$H$2:$V$2,0))</f>
        <v>0.75</v>
      </c>
      <c r="Z39" s="9">
        <f ca="1">OFFSET(TIAM15_assumptions!$G39,0,MATCH(VLOOKUP(Assumptions!Z$2,TIAM15_assumptions!$Y$3:$Z$36,2,FALSE),TIAM15_assumptions!$H$2:$V$2,0))</f>
        <v>0.75</v>
      </c>
      <c r="AA39" s="9">
        <f ca="1">OFFSET(TIAM15_assumptions!$G39,0,MATCH(VLOOKUP(Assumptions!AA$2,TIAM15_assumptions!$Y$3:$Z$36,2,FALSE),TIAM15_assumptions!$H$2:$V$2,0))</f>
        <v>0.25</v>
      </c>
      <c r="AB39" s="9">
        <f ca="1">OFFSET(TIAM15_assumptions!$G39,0,MATCH(VLOOKUP(Assumptions!AB$2,TIAM15_assumptions!$Y$3:$Z$36,2,FALSE),TIAM15_assumptions!$H$2:$V$2,0))</f>
        <v>0.5</v>
      </c>
      <c r="AC39" s="9">
        <f ca="1">OFFSET(TIAM15_assumptions!$G39,0,MATCH(VLOOKUP(Assumptions!AC$2,TIAM15_assumptions!$Y$3:$Z$36,2,FALSE),TIAM15_assumptions!$H$2:$V$2,0))</f>
        <v>0.65</v>
      </c>
      <c r="AD39" s="9">
        <f ca="1">OFFSET(TIAM15_assumptions!$G39,0,MATCH(VLOOKUP(Assumptions!AD$2,TIAM15_assumptions!$Y$3:$Z$36,2,FALSE),TIAM15_assumptions!$H$2:$V$2,0))</f>
        <v>0.6</v>
      </c>
      <c r="AE39" s="9">
        <f ca="1">OFFSET(TIAM15_assumptions!$G39,0,MATCH(VLOOKUP(Assumptions!AE$2,TIAM15_assumptions!$Y$3:$Z$36,2,FALSE),TIAM15_assumptions!$H$2:$V$2,0))</f>
        <v>0.75</v>
      </c>
      <c r="AF39" s="9">
        <f ca="1">OFFSET(TIAM15_assumptions!$G39,0,MATCH(VLOOKUP(Assumptions!AF$2,TIAM15_assumptions!$Y$3:$Z$36,2,FALSE),TIAM15_assumptions!$H$2:$V$2,0))</f>
        <v>0.56999999999999995</v>
      </c>
      <c r="AG39" s="9">
        <f ca="1">OFFSET(TIAM15_assumptions!$G39,0,MATCH(VLOOKUP(Assumptions!AG$2,TIAM15_assumptions!$Y$3:$Z$36,2,FALSE),TIAM15_assumptions!$H$2:$V$2,0))</f>
        <v>0.6</v>
      </c>
      <c r="AH39" s="9">
        <f ca="1">OFFSET(TIAM15_assumptions!$G39,0,MATCH(VLOOKUP(Assumptions!AH$2,TIAM15_assumptions!$Y$3:$Z$36,2,FALSE),TIAM15_assumptions!$H$2:$V$2,0))</f>
        <v>0.6</v>
      </c>
      <c r="AI39" s="9">
        <f ca="1">OFFSET(TIAM15_assumptions!$G39,0,MATCH(VLOOKUP(Assumptions!AI$2,TIAM15_assumptions!$Y$3:$Z$36,2,FALSE),TIAM15_assumptions!$H$2:$V$2,0))</f>
        <v>0.75</v>
      </c>
      <c r="AJ39" s="9">
        <f ca="1">OFFSET(TIAM15_assumptions!$G39,0,MATCH(VLOOKUP(Assumptions!AJ$2,TIAM15_assumptions!$Y$3:$Z$36,2,FALSE),TIAM15_assumptions!$H$2:$V$2,0))</f>
        <v>0.71921471715562335</v>
      </c>
      <c r="AK39" s="9">
        <f ca="1">OFFSET(TIAM15_assumptions!$G39,0,MATCH(VLOOKUP(Assumptions!AK$2,TIAM15_assumptions!$Y$3:$Z$36,2,FALSE),TIAM15_assumptions!$H$2:$V$2,0))</f>
        <v>0.71921471715562335</v>
      </c>
      <c r="AN39" s="34">
        <f ca="1">IFERROR(SUMIFS('TRA balance'!E$5:E$40,'TRA balance'!$C$5:$C$40,Assumptions!$C39,'TRA balance'!$D$5:$D$40,Assumptions!$B39)*BS39*H39,"")</f>
        <v>0</v>
      </c>
      <c r="AO39" s="34">
        <f ca="1">IFERROR(SUMIFS('TRA balance'!F$5:F$40,'TRA balance'!$C$5:$C$40,Assumptions!$C39,'TRA balance'!$D$5:$D$40,Assumptions!$B39)*BT39*I39,"")</f>
        <v>0</v>
      </c>
      <c r="AP39" s="34">
        <f ca="1">IFERROR(SUMIFS('TRA balance'!G$5:G$40,'TRA balance'!$C$5:$C$40,Assumptions!$C39,'TRA balance'!$D$5:$D$40,Assumptions!$B39)*BU39*J39,"")</f>
        <v>0</v>
      </c>
      <c r="AQ39" s="34">
        <f ca="1">IFERROR(SUMIFS('TRA balance'!H$5:H$40,'TRA balance'!$C$5:$C$40,Assumptions!$C39,'TRA balance'!$D$5:$D$40,Assumptions!$B39)*BV39*K39,"")</f>
        <v>0</v>
      </c>
      <c r="AR39" s="34">
        <f ca="1">IFERROR(SUMIFS('TRA balance'!I$5:I$40,'TRA balance'!$C$5:$C$40,Assumptions!$C39,'TRA balance'!$D$5:$D$40,Assumptions!$B39)*BW39*L39,"")</f>
        <v>0</v>
      </c>
      <c r="AS39" s="34">
        <f ca="1">IFERROR(SUMIFS('TRA balance'!J$5:J$40,'TRA balance'!$C$5:$C$40,Assumptions!$C39,'TRA balance'!$D$5:$D$40,Assumptions!$B39)*BX39*M39,"")</f>
        <v>0</v>
      </c>
      <c r="AT39" s="34">
        <f ca="1">IFERROR(SUMIFS('TRA balance'!K$5:K$40,'TRA balance'!$C$5:$C$40,Assumptions!$C39,'TRA balance'!$D$5:$D$40,Assumptions!$B39)*BY39*N39,"")</f>
        <v>0</v>
      </c>
      <c r="AU39" s="34">
        <f ca="1">IFERROR(SUMIFS('TRA balance'!L$5:L$40,'TRA balance'!$C$5:$C$40,Assumptions!$C39,'TRA balance'!$D$5:$D$40,Assumptions!$B39)*BZ39*O39,"")</f>
        <v>0</v>
      </c>
      <c r="AV39" s="34">
        <f ca="1">IFERROR(SUMIFS('TRA balance'!M$5:M$40,'TRA balance'!$C$5:$C$40,Assumptions!$C39,'TRA balance'!$D$5:$D$40,Assumptions!$B39)*CA39*P39,"")</f>
        <v>0</v>
      </c>
      <c r="AW39" s="34">
        <f ca="1">IFERROR(SUMIFS('TRA balance'!N$5:N$40,'TRA balance'!$C$5:$C$40,Assumptions!$C39,'TRA balance'!$D$5:$D$40,Assumptions!$B39)*CB39*Q39,"")</f>
        <v>0</v>
      </c>
      <c r="AX39" s="34">
        <f ca="1">IFERROR(SUMIFS('TRA balance'!O$5:O$40,'TRA balance'!$C$5:$C$40,Assumptions!$C39,'TRA balance'!$D$5:$D$40,Assumptions!$B39)*CC39*R39,"")</f>
        <v>0</v>
      </c>
      <c r="AY39" s="34">
        <f ca="1">IFERROR(SUMIFS('TRA balance'!P$5:P$40,'TRA balance'!$C$5:$C$40,Assumptions!$C39,'TRA balance'!$D$5:$D$40,Assumptions!$B39)*CD39*S39,"")</f>
        <v>0</v>
      </c>
      <c r="AZ39" s="34">
        <f ca="1">IFERROR(SUMIFS('TRA balance'!Q$5:Q$40,'TRA balance'!$C$5:$C$40,Assumptions!$C39,'TRA balance'!$D$5:$D$40,Assumptions!$B39)*CE39*T39,"")</f>
        <v>0</v>
      </c>
      <c r="BA39" s="34">
        <f ca="1">IFERROR(SUMIFS('TRA balance'!R$5:R$40,'TRA balance'!$C$5:$C$40,Assumptions!$C39,'TRA balance'!$D$5:$D$40,Assumptions!$B39)*CF39*U39,"")</f>
        <v>0</v>
      </c>
      <c r="BB39" s="34">
        <f ca="1">IFERROR(SUMIFS('TRA balance'!S$5:S$40,'TRA balance'!$C$5:$C$40,Assumptions!$C39,'TRA balance'!$D$5:$D$40,Assumptions!$B39)*CG39*V39,"")</f>
        <v>0</v>
      </c>
      <c r="BC39" s="34">
        <f ca="1">IFERROR(SUMIFS('TRA balance'!T$5:T$40,'TRA balance'!$C$5:$C$40,Assumptions!$C39,'TRA balance'!$D$5:$D$40,Assumptions!$B39)*CH39*W39,"")</f>
        <v>0</v>
      </c>
      <c r="BD39" s="34">
        <f ca="1">IFERROR(SUMIFS('TRA balance'!U$5:U$40,'TRA balance'!$C$5:$C$40,Assumptions!$C39,'TRA balance'!$D$5:$D$40,Assumptions!$B39)*CI39*X39,"")</f>
        <v>0</v>
      </c>
      <c r="BE39" s="34">
        <f ca="1">IFERROR(SUMIFS('TRA balance'!V$5:V$40,'TRA balance'!$C$5:$C$40,Assumptions!$C39,'TRA balance'!$D$5:$D$40,Assumptions!$B39)*CJ39*Y39,"")</f>
        <v>0</v>
      </c>
      <c r="BF39" s="34">
        <f ca="1">IFERROR(SUMIFS('TRA balance'!W$5:W$40,'TRA balance'!$C$5:$C$40,Assumptions!$C39,'TRA balance'!$D$5:$D$40,Assumptions!$B39)*CK39*Z39,"")</f>
        <v>0</v>
      </c>
      <c r="BG39" s="34">
        <f ca="1">IFERROR(SUMIFS('TRA balance'!X$5:X$40,'TRA balance'!$C$5:$C$40,Assumptions!$C39,'TRA balance'!$D$5:$D$40,Assumptions!$B39)*CL39*AA39,"")</f>
        <v>0</v>
      </c>
      <c r="BH39" s="34">
        <f ca="1">IFERROR(SUMIFS('TRA balance'!Y$5:Y$40,'TRA balance'!$C$5:$C$40,Assumptions!$C39,'TRA balance'!$D$5:$D$40,Assumptions!$B39)*CM39*AB39,"")</f>
        <v>0</v>
      </c>
      <c r="BI39" s="34">
        <f ca="1">IFERROR(SUMIFS('TRA balance'!Z$5:Z$40,'TRA balance'!$C$5:$C$40,Assumptions!$C39,'TRA balance'!$D$5:$D$40,Assumptions!$B39)*CN39*AC39,"")</f>
        <v>0</v>
      </c>
      <c r="BJ39" s="34">
        <f ca="1">IFERROR(SUMIFS('TRA balance'!AA$5:AA$40,'TRA balance'!$C$5:$C$40,Assumptions!$C39,'TRA balance'!$D$5:$D$40,Assumptions!$B39)*CO39*AD39,"")</f>
        <v>0</v>
      </c>
      <c r="BK39" s="34">
        <f ca="1">IFERROR(SUMIFS('TRA balance'!AB$5:AB$40,'TRA balance'!$C$5:$C$40,Assumptions!$C39,'TRA balance'!$D$5:$D$40,Assumptions!$B39)*CP39*AE39,"")</f>
        <v>0</v>
      </c>
      <c r="BL39" s="34">
        <f ca="1">IFERROR(SUMIFS('TRA balance'!AC$5:AC$40,'TRA balance'!$C$5:$C$40,Assumptions!$C39,'TRA balance'!$D$5:$D$40,Assumptions!$B39)*CQ39*AF39,"")</f>
        <v>0</v>
      </c>
      <c r="BM39" s="34">
        <f ca="1">IFERROR(SUMIFS('TRA balance'!AD$5:AD$40,'TRA balance'!$C$5:$C$40,Assumptions!$C39,'TRA balance'!$D$5:$D$40,Assumptions!$B39)*CR39*AG39,"")</f>
        <v>0</v>
      </c>
      <c r="BN39" s="34">
        <f ca="1">IFERROR(SUMIFS('TRA balance'!AE$5:AE$40,'TRA balance'!$C$5:$C$40,Assumptions!$C39,'TRA balance'!$D$5:$D$40,Assumptions!$B39)*CS39*AH39,"")</f>
        <v>0</v>
      </c>
      <c r="BO39" s="34">
        <f ca="1">IFERROR(SUMIFS('TRA balance'!AF$5:AF$40,'TRA balance'!$C$5:$C$40,Assumptions!$C39,'TRA balance'!$D$5:$D$40,Assumptions!$B39)*CT39*AI39,"")</f>
        <v>0</v>
      </c>
      <c r="BP39" s="34">
        <f ca="1">IFERROR(SUMIFS('TRA balance'!AG$5:AG$40,'TRA balance'!$C$5:$C$40,Assumptions!$C39,'TRA balance'!$D$5:$D$40,Assumptions!$B39)*CU39*AJ39,"")</f>
        <v>0</v>
      </c>
      <c r="BQ39" s="34">
        <f ca="1">IFERROR(SUMIFS('TRA balance'!AH$5:AH$40,'TRA balance'!$C$5:$C$40,Assumptions!$C39,'TRA balance'!$D$5:$D$40,Assumptions!$B39)*CV39*AK39,"")</f>
        <v>0</v>
      </c>
      <c r="BS39" s="33">
        <f t="shared" si="90"/>
        <v>1</v>
      </c>
      <c r="BT39" s="33">
        <f t="shared" si="91"/>
        <v>1</v>
      </c>
      <c r="BU39" s="33">
        <f t="shared" si="92"/>
        <v>1</v>
      </c>
      <c r="BV39" s="33">
        <f t="shared" si="93"/>
        <v>1</v>
      </c>
      <c r="BW39" s="33">
        <f t="shared" si="94"/>
        <v>1</v>
      </c>
      <c r="BX39" s="33">
        <f t="shared" si="95"/>
        <v>1</v>
      </c>
      <c r="BY39" s="33">
        <f t="shared" si="96"/>
        <v>1</v>
      </c>
      <c r="BZ39" s="33">
        <f t="shared" si="97"/>
        <v>1</v>
      </c>
      <c r="CA39" s="33">
        <f t="shared" si="98"/>
        <v>1</v>
      </c>
      <c r="CB39" s="33">
        <f t="shared" si="99"/>
        <v>1</v>
      </c>
      <c r="CC39" s="33">
        <f t="shared" si="100"/>
        <v>1</v>
      </c>
      <c r="CD39" s="33">
        <f t="shared" si="101"/>
        <v>1</v>
      </c>
      <c r="CE39" s="33">
        <f t="shared" si="102"/>
        <v>1</v>
      </c>
      <c r="CF39" s="33">
        <f t="shared" si="103"/>
        <v>1</v>
      </c>
      <c r="CG39" s="33">
        <f t="shared" si="104"/>
        <v>1</v>
      </c>
      <c r="CH39" s="33">
        <f t="shared" si="31"/>
        <v>1</v>
      </c>
      <c r="CI39" s="33">
        <f t="shared" si="32"/>
        <v>1</v>
      </c>
      <c r="CJ39" s="33">
        <f t="shared" si="33"/>
        <v>1</v>
      </c>
      <c r="CK39" s="33">
        <f t="shared" si="34"/>
        <v>1</v>
      </c>
      <c r="CL39" s="33">
        <f t="shared" si="35"/>
        <v>1</v>
      </c>
      <c r="CM39" s="33">
        <f t="shared" si="36"/>
        <v>1</v>
      </c>
      <c r="CN39" s="33">
        <f t="shared" si="37"/>
        <v>1</v>
      </c>
      <c r="CO39" s="33">
        <f t="shared" si="38"/>
        <v>1</v>
      </c>
      <c r="CP39" s="33">
        <f t="shared" si="39"/>
        <v>1</v>
      </c>
      <c r="CQ39" s="33">
        <f t="shared" si="40"/>
        <v>1</v>
      </c>
      <c r="CR39" s="33">
        <f t="shared" si="41"/>
        <v>1</v>
      </c>
      <c r="CS39" s="33">
        <f t="shared" si="42"/>
        <v>1</v>
      </c>
      <c r="CT39" s="33">
        <f t="shared" si="43"/>
        <v>1</v>
      </c>
      <c r="CU39" s="33">
        <f t="shared" si="44"/>
        <v>1</v>
      </c>
      <c r="CV39" s="33">
        <f t="shared" si="45"/>
        <v>1</v>
      </c>
    </row>
    <row r="40" spans="1:100" x14ac:dyDescent="0.45">
      <c r="A40">
        <v>1</v>
      </c>
      <c r="B40" t="str">
        <f>VLOOKUP(F40,'TRA balance'!$AK$5:$AL$14,2,FALSE)</f>
        <v>TRALPG</v>
      </c>
      <c r="C40" s="6" t="str">
        <f t="shared" si="46"/>
        <v>TR</v>
      </c>
      <c r="D40" s="7" t="s">
        <v>16</v>
      </c>
      <c r="E40" s="18" t="s">
        <v>61</v>
      </c>
      <c r="F40" s="8" t="str">
        <f>F39</f>
        <v>Liquified Petroleum Gases</v>
      </c>
      <c r="G40" s="6" t="s">
        <v>62</v>
      </c>
      <c r="H40" s="9">
        <f ca="1">OFFSET(TIAM15_assumptions!$G40,0,MATCH(VLOOKUP(Assumptions!H$2,TIAM15_assumptions!$Y$3:$Z$36,2,FALSE),TIAM15_assumptions!$H$2:$V$2,0))</f>
        <v>0.7</v>
      </c>
      <c r="I40" s="9">
        <f ca="1">OFFSET(TIAM15_assumptions!$G40,0,MATCH(VLOOKUP(Assumptions!I$2,TIAM15_assumptions!$Y$3:$Z$36,2,FALSE),TIAM15_assumptions!$H$2:$V$2,0))</f>
        <v>0.7</v>
      </c>
      <c r="J40" s="9">
        <f ca="1">OFFSET(TIAM15_assumptions!$G40,0,MATCH(VLOOKUP(Assumptions!J$2,TIAM15_assumptions!$Y$3:$Z$36,2,FALSE),TIAM15_assumptions!$H$2:$V$2,0))</f>
        <v>0.67</v>
      </c>
      <c r="K40" s="9">
        <f ca="1">OFFSET(TIAM15_assumptions!$G40,0,MATCH(VLOOKUP(Assumptions!K$2,TIAM15_assumptions!$Y$3:$Z$36,2,FALSE),TIAM15_assumptions!$H$2:$V$2,0))</f>
        <v>0.67</v>
      </c>
      <c r="L40" s="9">
        <f ca="1">OFFSET(TIAM15_assumptions!$G40,0,MATCH(VLOOKUP(Assumptions!L$2,TIAM15_assumptions!$Y$3:$Z$36,2,FALSE),TIAM15_assumptions!$H$2:$V$2,0))</f>
        <v>0.67</v>
      </c>
      <c r="M40" s="9">
        <f ca="1">OFFSET(TIAM15_assumptions!$G40,0,MATCH(VLOOKUP(Assumptions!M$2,TIAM15_assumptions!$Y$3:$Z$36,2,FALSE),TIAM15_assumptions!$H$2:$V$2,0))</f>
        <v>0.67</v>
      </c>
      <c r="N40" s="9">
        <f ca="1">OFFSET(TIAM15_assumptions!$G40,0,MATCH(VLOOKUP(Assumptions!N$2,TIAM15_assumptions!$Y$3:$Z$36,2,FALSE),TIAM15_assumptions!$H$2:$V$2,0))</f>
        <v>0.5</v>
      </c>
      <c r="O40" s="9">
        <f ca="1">OFFSET(TIAM15_assumptions!$G40,0,MATCH(VLOOKUP(Assumptions!O$2,TIAM15_assumptions!$Y$3:$Z$36,2,FALSE),TIAM15_assumptions!$H$2:$V$2,0))</f>
        <v>0.67</v>
      </c>
      <c r="P40" s="9">
        <f ca="1">OFFSET(TIAM15_assumptions!$G40,0,MATCH(VLOOKUP(Assumptions!P$2,TIAM15_assumptions!$Y$3:$Z$36,2,FALSE),TIAM15_assumptions!$H$2:$V$2,0))</f>
        <v>0.626</v>
      </c>
      <c r="Q40" s="9">
        <f ca="1">OFFSET(TIAM15_assumptions!$G40,0,MATCH(VLOOKUP(Assumptions!Q$2,TIAM15_assumptions!$Y$3:$Z$36,2,FALSE),TIAM15_assumptions!$H$2:$V$2,0))</f>
        <v>0.67</v>
      </c>
      <c r="R40" s="9">
        <f ca="1">OFFSET(TIAM15_assumptions!$G40,0,MATCH(VLOOKUP(Assumptions!R$2,TIAM15_assumptions!$Y$3:$Z$36,2,FALSE),TIAM15_assumptions!$H$2:$V$2,0))</f>
        <v>0.626</v>
      </c>
      <c r="S40" s="9">
        <f ca="1">OFFSET(TIAM15_assumptions!$G40,0,MATCH(VLOOKUP(Assumptions!S$2,TIAM15_assumptions!$Y$3:$Z$36,2,FALSE),TIAM15_assumptions!$H$2:$V$2,0))</f>
        <v>0.67</v>
      </c>
      <c r="T40" s="9">
        <f ca="1">OFFSET(TIAM15_assumptions!$G40,0,MATCH(VLOOKUP(Assumptions!T$2,TIAM15_assumptions!$Y$3:$Z$36,2,FALSE),TIAM15_assumptions!$H$2:$V$2,0))</f>
        <v>0.626</v>
      </c>
      <c r="U40" s="9">
        <f ca="1">OFFSET(TIAM15_assumptions!$G40,0,MATCH(VLOOKUP(Assumptions!U$2,TIAM15_assumptions!$Y$3:$Z$36,2,FALSE),TIAM15_assumptions!$H$2:$V$2,0))</f>
        <v>0.626</v>
      </c>
      <c r="V40" s="9">
        <f ca="1">OFFSET(TIAM15_assumptions!$G40,0,MATCH(VLOOKUP(Assumptions!V$2,TIAM15_assumptions!$Y$3:$Z$36,2,FALSE),TIAM15_assumptions!$H$2:$V$2,0))</f>
        <v>0.67</v>
      </c>
      <c r="W40" s="9">
        <f ca="1">OFFSET(TIAM15_assumptions!$G40,0,MATCH(VLOOKUP(Assumptions!W$2,TIAM15_assumptions!$Y$3:$Z$36,2,FALSE),TIAM15_assumptions!$H$2:$V$2,0))</f>
        <v>0.626</v>
      </c>
      <c r="X40" s="9">
        <f ca="1">OFFSET(TIAM15_assumptions!$G40,0,MATCH(VLOOKUP(Assumptions!X$2,TIAM15_assumptions!$Y$3:$Z$36,2,FALSE),TIAM15_assumptions!$H$2:$V$2,0))</f>
        <v>0.7</v>
      </c>
      <c r="Y40" s="9">
        <f ca="1">OFFSET(TIAM15_assumptions!$G40,0,MATCH(VLOOKUP(Assumptions!Y$2,TIAM15_assumptions!$Y$3:$Z$36,2,FALSE),TIAM15_assumptions!$H$2:$V$2,0))</f>
        <v>0.626</v>
      </c>
      <c r="Z40" s="9">
        <f ca="1">OFFSET(TIAM15_assumptions!$G40,0,MATCH(VLOOKUP(Assumptions!Z$2,TIAM15_assumptions!$Y$3:$Z$36,2,FALSE),TIAM15_assumptions!$H$2:$V$2,0))</f>
        <v>0.626</v>
      </c>
      <c r="AA40" s="9">
        <f ca="1">OFFSET(TIAM15_assumptions!$G40,0,MATCH(VLOOKUP(Assumptions!AA$2,TIAM15_assumptions!$Y$3:$Z$36,2,FALSE),TIAM15_assumptions!$H$2:$V$2,0))</f>
        <v>0.5</v>
      </c>
      <c r="AB40" s="9">
        <f ca="1">OFFSET(TIAM15_assumptions!$G40,0,MATCH(VLOOKUP(Assumptions!AB$2,TIAM15_assumptions!$Y$3:$Z$36,2,FALSE),TIAM15_assumptions!$H$2:$V$2,0))</f>
        <v>0.67</v>
      </c>
      <c r="AC40" s="9">
        <f ca="1">OFFSET(TIAM15_assumptions!$G40,0,MATCH(VLOOKUP(Assumptions!AC$2,TIAM15_assumptions!$Y$3:$Z$36,2,FALSE),TIAM15_assumptions!$H$2:$V$2,0))</f>
        <v>0.2</v>
      </c>
      <c r="AD40" s="9">
        <f ca="1">OFFSET(TIAM15_assumptions!$G40,0,MATCH(VLOOKUP(Assumptions!AD$2,TIAM15_assumptions!$Y$3:$Z$36,2,FALSE),TIAM15_assumptions!$H$2:$V$2,0))</f>
        <v>0.7</v>
      </c>
      <c r="AE40" s="9">
        <f ca="1">OFFSET(TIAM15_assumptions!$G40,0,MATCH(VLOOKUP(Assumptions!AE$2,TIAM15_assumptions!$Y$3:$Z$36,2,FALSE),TIAM15_assumptions!$H$2:$V$2,0))</f>
        <v>0.626</v>
      </c>
      <c r="AF40" s="9">
        <f ca="1">OFFSET(TIAM15_assumptions!$G40,0,MATCH(VLOOKUP(Assumptions!AF$2,TIAM15_assumptions!$Y$3:$Z$36,2,FALSE),TIAM15_assumptions!$H$2:$V$2,0))</f>
        <v>0.67</v>
      </c>
      <c r="AG40" s="9">
        <f ca="1">OFFSET(TIAM15_assumptions!$G40,0,MATCH(VLOOKUP(Assumptions!AG$2,TIAM15_assumptions!$Y$3:$Z$36,2,FALSE),TIAM15_assumptions!$H$2:$V$2,0))</f>
        <v>0.7</v>
      </c>
      <c r="AH40" s="9">
        <f ca="1">OFFSET(TIAM15_assumptions!$G40,0,MATCH(VLOOKUP(Assumptions!AH$2,TIAM15_assumptions!$Y$3:$Z$36,2,FALSE),TIAM15_assumptions!$H$2:$V$2,0))</f>
        <v>0.7</v>
      </c>
      <c r="AI40" s="9">
        <f ca="1">OFFSET(TIAM15_assumptions!$G40,0,MATCH(VLOOKUP(Assumptions!AI$2,TIAM15_assumptions!$Y$3:$Z$36,2,FALSE),TIAM15_assumptions!$H$2:$V$2,0))</f>
        <v>0.626</v>
      </c>
      <c r="AJ40" s="9">
        <f ca="1">OFFSET(TIAM15_assumptions!$G40,0,MATCH(VLOOKUP(Assumptions!AJ$2,TIAM15_assumptions!$Y$3:$Z$36,2,FALSE),TIAM15_assumptions!$H$2:$V$2,0))</f>
        <v>0.34971157676928805</v>
      </c>
      <c r="AK40" s="9">
        <f ca="1">OFFSET(TIAM15_assumptions!$G40,0,MATCH(VLOOKUP(Assumptions!AK$2,TIAM15_assumptions!$Y$3:$Z$36,2,FALSE),TIAM15_assumptions!$H$2:$V$2,0))</f>
        <v>0.34971157676928805</v>
      </c>
      <c r="AN40" s="34">
        <f ca="1">IFERROR(SUMIFS('TRA balance'!E$5:E$40,'TRA balance'!$C$5:$C$40,Assumptions!$C40,'TRA balance'!$D$5:$D$40,Assumptions!$B40)*BS40*H40,"")</f>
        <v>18.034796832695996</v>
      </c>
      <c r="AO40" s="34">
        <f ca="1">IFERROR(SUMIFS('TRA balance'!F$5:F$40,'TRA balance'!$C$5:$C$40,Assumptions!$C40,'TRA balance'!$D$5:$D$40,Assumptions!$B40)*BT40*I40,"")</f>
        <v>1.0350272015999999E-2</v>
      </c>
      <c r="AP40" s="34">
        <f ca="1">IFERROR(SUMIFS('TRA balance'!G$5:G$40,'TRA balance'!$C$5:$C$40,Assumptions!$C40,'TRA balance'!$D$5:$D$40,Assumptions!$B40)*BU40*J40,"")</f>
        <v>0.17441197687800003</v>
      </c>
      <c r="AQ40" s="34">
        <f ca="1">IFERROR(SUMIFS('TRA balance'!H$5:H$40,'TRA balance'!$C$5:$C$40,Assumptions!$C40,'TRA balance'!$D$5:$D$40,Assumptions!$B40)*BV40*K40,"")</f>
        <v>7.2266267014498791</v>
      </c>
      <c r="AR40" s="34">
        <f ca="1">IFERROR(SUMIFS('TRA balance'!I$5:I$40,'TRA balance'!$C$5:$C$40,Assumptions!$C40,'TRA balance'!$D$5:$D$40,Assumptions!$B40)*BW40*L40,"")</f>
        <v>66.988231998196682</v>
      </c>
      <c r="AS40" s="34">
        <f ca="1">IFERROR(SUMIFS('TRA balance'!J$5:J$40,'TRA balance'!$C$5:$C$40,Assumptions!$C40,'TRA balance'!$D$5:$D$40,Assumptions!$B40)*BX40*M40,"")</f>
        <v>25.942927881502797</v>
      </c>
      <c r="AT40" s="34">
        <f ca="1">IFERROR(SUMIFS('TRA balance'!K$5:K$40,'TRA balance'!$C$5:$C$40,Assumptions!$C40,'TRA balance'!$D$5:$D$40,Assumptions!$B40)*BY40*N40,"")</f>
        <v>1.91752770915</v>
      </c>
      <c r="AU40" s="34">
        <f ca="1">IFERROR(SUMIFS('TRA balance'!L$5:L$40,'TRA balance'!$C$5:$C$40,Assumptions!$C40,'TRA balance'!$D$5:$D$40,Assumptions!$B40)*BZ40*O40,"")</f>
        <v>0</v>
      </c>
      <c r="AV40" s="34">
        <f ca="1">IFERROR(SUMIFS('TRA balance'!M$5:M$40,'TRA balance'!$C$5:$C$40,Assumptions!$C40,'TRA balance'!$D$5:$D$40,Assumptions!$B40)*CA40*P40,"")</f>
        <v>6.1558776079502406</v>
      </c>
      <c r="AW40" s="34">
        <f ca="1">IFERROR(SUMIFS('TRA balance'!N$5:N$40,'TRA balance'!$C$5:$C$40,Assumptions!$C40,'TRA balance'!$D$5:$D$40,Assumptions!$B40)*CB40*Q40,"")</f>
        <v>24.281792762155206</v>
      </c>
      <c r="AX40" s="34">
        <f ca="1">IFERROR(SUMIFS('TRA balance'!O$5:O$40,'TRA balance'!$C$5:$C$40,Assumptions!$C40,'TRA balance'!$D$5:$D$40,Assumptions!$B40)*CC40*R40,"")</f>
        <v>0</v>
      </c>
      <c r="AY40" s="34">
        <f ca="1">IFERROR(SUMIFS('TRA balance'!P$5:P$40,'TRA balance'!$C$5:$C$40,Assumptions!$C40,'TRA balance'!$D$5:$D$40,Assumptions!$B40)*CD40*S40,"")</f>
        <v>38.264712559218722</v>
      </c>
      <c r="AZ40" s="34">
        <f ca="1">IFERROR(SUMIFS('TRA balance'!Q$5:Q$40,'TRA balance'!$C$5:$C$40,Assumptions!$C40,'TRA balance'!$D$5:$D$40,Assumptions!$B40)*CE40*T40,"")</f>
        <v>3.8759487982488001</v>
      </c>
      <c r="BA40" s="34">
        <f ca="1">IFERROR(SUMIFS('TRA balance'!R$5:R$40,'TRA balance'!$C$5:$C$40,Assumptions!$C40,'TRA balance'!$D$5:$D$40,Assumptions!$B40)*CF40*U40,"")</f>
        <v>40.450414844547005</v>
      </c>
      <c r="BB40" s="34">
        <f ca="1">IFERROR(SUMIFS('TRA balance'!S$5:S$40,'TRA balance'!$C$5:$C$40,Assumptions!$C40,'TRA balance'!$D$5:$D$40,Assumptions!$B40)*CG40*V40,"")</f>
        <v>10.31386436394156</v>
      </c>
      <c r="BC40" s="34">
        <f ca="1">IFERROR(SUMIFS('TRA balance'!T$5:T$40,'TRA balance'!$C$5:$C$40,Assumptions!$C40,'TRA balance'!$D$5:$D$40,Assumptions!$B40)*CH40*W40,"")</f>
        <v>2.6601224260967999</v>
      </c>
      <c r="BD40" s="34">
        <f ca="1">IFERROR(SUMIFS('TRA balance'!U$5:U$40,'TRA balance'!$C$5:$C$40,Assumptions!$C40,'TRA balance'!$D$5:$D$40,Assumptions!$B40)*CI40*X40,"")</f>
        <v>105.85445987138399</v>
      </c>
      <c r="BE40" s="34">
        <f ca="1">IFERROR(SUMIFS('TRA balance'!V$5:V$40,'TRA balance'!$C$5:$C$40,Assumptions!$C40,'TRA balance'!$D$5:$D$40,Assumptions!$B40)*CJ40*Y40,"")</f>
        <v>1.1364552325691999</v>
      </c>
      <c r="BF40" s="34">
        <f ca="1">IFERROR(SUMIFS('TRA balance'!W$5:W$40,'TRA balance'!$C$5:$C$40,Assumptions!$C40,'TRA balance'!$D$5:$D$40,Assumptions!$B40)*CK40*Z40,"")</f>
        <v>7.3213831729637997</v>
      </c>
      <c r="BG40" s="34">
        <f ca="1">IFERROR(SUMIFS('TRA balance'!X$5:X$40,'TRA balance'!$C$5:$C$40,Assumptions!$C40,'TRA balance'!$D$5:$D$40,Assumptions!$B40)*CL40*AA40,"")</f>
        <v>1.0163587837500001</v>
      </c>
      <c r="BH40" s="34">
        <f ca="1">IFERROR(SUMIFS('TRA balance'!Y$5:Y$40,'TRA balance'!$C$5:$C$40,Assumptions!$C40,'TRA balance'!$D$5:$D$40,Assumptions!$B40)*CM40*AB40,"")</f>
        <v>11.415630029652002</v>
      </c>
      <c r="BI40" s="34">
        <f ca="1">IFERROR(SUMIFS('TRA balance'!Z$5:Z$40,'TRA balance'!$C$5:$C$40,Assumptions!$C40,'TRA balance'!$D$5:$D$40,Assumptions!$B40)*CN40*AC40,"")</f>
        <v>7.7650434702360007</v>
      </c>
      <c r="BJ40" s="34">
        <f ca="1">IFERROR(SUMIFS('TRA balance'!AA$5:AA$40,'TRA balance'!$C$5:$C$40,Assumptions!$C40,'TRA balance'!$D$5:$D$40,Assumptions!$B40)*CO40*AD40,"")</f>
        <v>1.179584593992</v>
      </c>
      <c r="BK40" s="34">
        <f ca="1">IFERROR(SUMIFS('TRA balance'!AB$5:AB$40,'TRA balance'!$C$5:$C$40,Assumptions!$C40,'TRA balance'!$D$5:$D$40,Assumptions!$B40)*CP40*AE40,"")</f>
        <v>0.1008149892462</v>
      </c>
      <c r="BL40" s="34">
        <f ca="1">IFERROR(SUMIFS('TRA balance'!AC$5:AC$40,'TRA balance'!$C$5:$C$40,Assumptions!$C40,'TRA balance'!$D$5:$D$40,Assumptions!$B40)*CQ40*AF40,"")</f>
        <v>21.256202862961558</v>
      </c>
      <c r="BM40" s="34">
        <f ca="1">IFERROR(SUMIFS('TRA balance'!AD$5:AD$40,'TRA balance'!$C$5:$C$40,Assumptions!$C40,'TRA balance'!$D$5:$D$40,Assumptions!$B40)*CR40*AG40,"")</f>
        <v>0</v>
      </c>
      <c r="BN40" s="34">
        <f ca="1">IFERROR(SUMIFS('TRA balance'!AE$5:AE$40,'TRA balance'!$C$5:$C$40,Assumptions!$C40,'TRA balance'!$D$5:$D$40,Assumptions!$B40)*CS40*AH40,"")</f>
        <v>0.27471478859999998</v>
      </c>
      <c r="BO40" s="34">
        <f ca="1">IFERROR(SUMIFS('TRA balance'!AF$5:AF$40,'TRA balance'!$C$5:$C$40,Assumptions!$C40,'TRA balance'!$D$5:$D$40,Assumptions!$B40)*CT40*AI40,"")</f>
        <v>1.360610197155</v>
      </c>
      <c r="BP40" s="34">
        <f ca="1">IFERROR(SUMIFS('TRA balance'!AG$5:AG$40,'TRA balance'!$C$5:$C$40,Assumptions!$C40,'TRA balance'!$D$5:$D$40,Assumptions!$B40)*CU40*AJ40,"")</f>
        <v>0.79708527742646662</v>
      </c>
      <c r="BQ40" s="34">
        <f ca="1">IFERROR(SUMIFS('TRA balance'!AH$5:AH$40,'TRA balance'!$C$5:$C$40,Assumptions!$C40,'TRA balance'!$D$5:$D$40,Assumptions!$B40)*CV40*AK40,"")</f>
        <v>0</v>
      </c>
      <c r="BS40" s="33">
        <f t="shared" ca="1" si="90"/>
        <v>0.6</v>
      </c>
      <c r="BT40" s="33">
        <f t="shared" ca="1" si="91"/>
        <v>0.6</v>
      </c>
      <c r="BU40" s="33">
        <f t="shared" ca="1" si="92"/>
        <v>0.5</v>
      </c>
      <c r="BV40" s="33">
        <f t="shared" ca="1" si="93"/>
        <v>0.56999999999999995</v>
      </c>
      <c r="BW40" s="33">
        <f t="shared" ca="1" si="94"/>
        <v>0.56999999999999995</v>
      </c>
      <c r="BX40" s="33">
        <f t="shared" ca="1" si="95"/>
        <v>0.7</v>
      </c>
      <c r="BY40" s="33">
        <f t="shared" ca="1" si="96"/>
        <v>0.25</v>
      </c>
      <c r="BZ40" s="33">
        <f t="shared" ca="1" si="97"/>
        <v>0.5</v>
      </c>
      <c r="CA40" s="33">
        <f t="shared" ca="1" si="98"/>
        <v>0.9</v>
      </c>
      <c r="CB40" s="33">
        <f t="shared" ca="1" si="99"/>
        <v>0.4</v>
      </c>
      <c r="CC40" s="33">
        <f t="shared" ca="1" si="100"/>
        <v>0.75</v>
      </c>
      <c r="CD40" s="33">
        <f t="shared" ca="1" si="101"/>
        <v>0.56999999999999995</v>
      </c>
      <c r="CE40" s="33">
        <f t="shared" ca="1" si="102"/>
        <v>0.75</v>
      </c>
      <c r="CF40" s="33">
        <f t="shared" ca="1" si="103"/>
        <v>0.75</v>
      </c>
      <c r="CG40" s="33">
        <f t="shared" ca="1" si="104"/>
        <v>0.56999999999999995</v>
      </c>
      <c r="CH40" s="33">
        <f t="shared" ca="1" si="31"/>
        <v>0.75</v>
      </c>
      <c r="CI40" s="33">
        <f t="shared" ca="1" si="32"/>
        <v>0.6</v>
      </c>
      <c r="CJ40" s="33">
        <f t="shared" ca="1" si="33"/>
        <v>0.75</v>
      </c>
      <c r="CK40" s="33">
        <f t="shared" ca="1" si="34"/>
        <v>0.75</v>
      </c>
      <c r="CL40" s="33">
        <f t="shared" ca="1" si="35"/>
        <v>0.25</v>
      </c>
      <c r="CM40" s="33">
        <f t="shared" ca="1" si="36"/>
        <v>0.5</v>
      </c>
      <c r="CN40" s="33">
        <f t="shared" ca="1" si="37"/>
        <v>0.65</v>
      </c>
      <c r="CO40" s="33">
        <f t="shared" ca="1" si="38"/>
        <v>0.6</v>
      </c>
      <c r="CP40" s="33">
        <f t="shared" ca="1" si="39"/>
        <v>0.75</v>
      </c>
      <c r="CQ40" s="33">
        <f t="shared" ca="1" si="40"/>
        <v>0.56999999999999995</v>
      </c>
      <c r="CR40" s="33">
        <f t="shared" ca="1" si="41"/>
        <v>0.6</v>
      </c>
      <c r="CS40" s="33">
        <f t="shared" ca="1" si="42"/>
        <v>0.6</v>
      </c>
      <c r="CT40" s="33">
        <f t="shared" ca="1" si="43"/>
        <v>0.75</v>
      </c>
      <c r="CU40" s="33">
        <f t="shared" ca="1" si="44"/>
        <v>0.71921471715562335</v>
      </c>
      <c r="CV40" s="33">
        <f t="shared" ca="1" si="45"/>
        <v>0.71921471715562335</v>
      </c>
    </row>
    <row r="41" spans="1:100" x14ac:dyDescent="0.45">
      <c r="A41">
        <v>1</v>
      </c>
      <c r="B41" t="str">
        <f>VLOOKUP(F41,'TRA balance'!$AK$5:$AL$14,2,FALSE)</f>
        <v>TRALPG</v>
      </c>
      <c r="C41" s="6" t="str">
        <f t="shared" si="46"/>
        <v>TR</v>
      </c>
      <c r="D41" s="7" t="s">
        <v>16</v>
      </c>
      <c r="E41" s="18" t="s">
        <v>63</v>
      </c>
      <c r="F41" s="8" t="str">
        <f t="shared" ref="F41" si="110">F40</f>
        <v>Liquified Petroleum Gases</v>
      </c>
      <c r="G41" s="6" t="s">
        <v>64</v>
      </c>
      <c r="H41" s="9">
        <f ca="1">OFFSET(TIAM15_assumptions!$G41,0,MATCH(VLOOKUP(Assumptions!H$2,TIAM15_assumptions!$Y$3:$Z$36,2,FALSE),TIAM15_assumptions!$H$2:$V$2,0))</f>
        <v>0.3</v>
      </c>
      <c r="I41" s="9">
        <f ca="1">OFFSET(TIAM15_assumptions!$G41,0,MATCH(VLOOKUP(Assumptions!I$2,TIAM15_assumptions!$Y$3:$Z$36,2,FALSE),TIAM15_assumptions!$H$2:$V$2,0))</f>
        <v>0.3</v>
      </c>
      <c r="J41" s="9">
        <f ca="1">OFFSET(TIAM15_assumptions!$G41,0,MATCH(VLOOKUP(Assumptions!J$2,TIAM15_assumptions!$Y$3:$Z$36,2,FALSE),TIAM15_assumptions!$H$2:$V$2,0))</f>
        <v>0.33</v>
      </c>
      <c r="K41" s="9">
        <f ca="1">OFFSET(TIAM15_assumptions!$G41,0,MATCH(VLOOKUP(Assumptions!K$2,TIAM15_assumptions!$Y$3:$Z$36,2,FALSE),TIAM15_assumptions!$H$2:$V$2,0))</f>
        <v>0.33</v>
      </c>
      <c r="L41" s="9">
        <f ca="1">OFFSET(TIAM15_assumptions!$G41,0,MATCH(VLOOKUP(Assumptions!L$2,TIAM15_assumptions!$Y$3:$Z$36,2,FALSE),TIAM15_assumptions!$H$2:$V$2,0))</f>
        <v>0.33</v>
      </c>
      <c r="M41" s="9">
        <f ca="1">OFFSET(TIAM15_assumptions!$G41,0,MATCH(VLOOKUP(Assumptions!M$2,TIAM15_assumptions!$Y$3:$Z$36,2,FALSE),TIAM15_assumptions!$H$2:$V$2,0))</f>
        <v>0.33</v>
      </c>
      <c r="N41" s="9">
        <f ca="1">OFFSET(TIAM15_assumptions!$G41,0,MATCH(VLOOKUP(Assumptions!N$2,TIAM15_assumptions!$Y$3:$Z$36,2,FALSE),TIAM15_assumptions!$H$2:$V$2,0))</f>
        <v>0.5</v>
      </c>
      <c r="O41" s="9">
        <f ca="1">OFFSET(TIAM15_assumptions!$G41,0,MATCH(VLOOKUP(Assumptions!O$2,TIAM15_assumptions!$Y$3:$Z$36,2,FALSE),TIAM15_assumptions!$H$2:$V$2,0))</f>
        <v>0.33</v>
      </c>
      <c r="P41" s="9">
        <f ca="1">OFFSET(TIAM15_assumptions!$G41,0,MATCH(VLOOKUP(Assumptions!P$2,TIAM15_assumptions!$Y$3:$Z$36,2,FALSE),TIAM15_assumptions!$H$2:$V$2,0))</f>
        <v>0.374</v>
      </c>
      <c r="Q41" s="9">
        <f ca="1">OFFSET(TIAM15_assumptions!$G41,0,MATCH(VLOOKUP(Assumptions!Q$2,TIAM15_assumptions!$Y$3:$Z$36,2,FALSE),TIAM15_assumptions!$H$2:$V$2,0))</f>
        <v>0.33</v>
      </c>
      <c r="R41" s="9">
        <f ca="1">OFFSET(TIAM15_assumptions!$G41,0,MATCH(VLOOKUP(Assumptions!R$2,TIAM15_assumptions!$Y$3:$Z$36,2,FALSE),TIAM15_assumptions!$H$2:$V$2,0))</f>
        <v>0.374</v>
      </c>
      <c r="S41" s="9">
        <f ca="1">OFFSET(TIAM15_assumptions!$G41,0,MATCH(VLOOKUP(Assumptions!S$2,TIAM15_assumptions!$Y$3:$Z$36,2,FALSE),TIAM15_assumptions!$H$2:$V$2,0))</f>
        <v>0.33</v>
      </c>
      <c r="T41" s="9">
        <f ca="1">OFFSET(TIAM15_assumptions!$G41,0,MATCH(VLOOKUP(Assumptions!T$2,TIAM15_assumptions!$Y$3:$Z$36,2,FALSE),TIAM15_assumptions!$H$2:$V$2,0))</f>
        <v>0.374</v>
      </c>
      <c r="U41" s="9">
        <f ca="1">OFFSET(TIAM15_assumptions!$G41,0,MATCH(VLOOKUP(Assumptions!U$2,TIAM15_assumptions!$Y$3:$Z$36,2,FALSE),TIAM15_assumptions!$H$2:$V$2,0))</f>
        <v>0.374</v>
      </c>
      <c r="V41" s="9">
        <f ca="1">OFFSET(TIAM15_assumptions!$G41,0,MATCH(VLOOKUP(Assumptions!V$2,TIAM15_assumptions!$Y$3:$Z$36,2,FALSE),TIAM15_assumptions!$H$2:$V$2,0))</f>
        <v>0.33</v>
      </c>
      <c r="W41" s="9">
        <f ca="1">OFFSET(TIAM15_assumptions!$G41,0,MATCH(VLOOKUP(Assumptions!W$2,TIAM15_assumptions!$Y$3:$Z$36,2,FALSE),TIAM15_assumptions!$H$2:$V$2,0))</f>
        <v>0.374</v>
      </c>
      <c r="X41" s="9">
        <f ca="1">OFFSET(TIAM15_assumptions!$G41,0,MATCH(VLOOKUP(Assumptions!X$2,TIAM15_assumptions!$Y$3:$Z$36,2,FALSE),TIAM15_assumptions!$H$2:$V$2,0))</f>
        <v>0.3</v>
      </c>
      <c r="Y41" s="9">
        <f ca="1">OFFSET(TIAM15_assumptions!$G41,0,MATCH(VLOOKUP(Assumptions!Y$2,TIAM15_assumptions!$Y$3:$Z$36,2,FALSE),TIAM15_assumptions!$H$2:$V$2,0))</f>
        <v>0.374</v>
      </c>
      <c r="Z41" s="9">
        <f ca="1">OFFSET(TIAM15_assumptions!$G41,0,MATCH(VLOOKUP(Assumptions!Z$2,TIAM15_assumptions!$Y$3:$Z$36,2,FALSE),TIAM15_assumptions!$H$2:$V$2,0))</f>
        <v>0.374</v>
      </c>
      <c r="AA41" s="9">
        <f ca="1">OFFSET(TIAM15_assumptions!$G41,0,MATCH(VLOOKUP(Assumptions!AA$2,TIAM15_assumptions!$Y$3:$Z$36,2,FALSE),TIAM15_assumptions!$H$2:$V$2,0))</f>
        <v>0.5</v>
      </c>
      <c r="AB41" s="9">
        <f ca="1">OFFSET(TIAM15_assumptions!$G41,0,MATCH(VLOOKUP(Assumptions!AB$2,TIAM15_assumptions!$Y$3:$Z$36,2,FALSE),TIAM15_assumptions!$H$2:$V$2,0))</f>
        <v>0.33</v>
      </c>
      <c r="AC41" s="9">
        <f ca="1">OFFSET(TIAM15_assumptions!$G41,0,MATCH(VLOOKUP(Assumptions!AC$2,TIAM15_assumptions!$Y$3:$Z$36,2,FALSE),TIAM15_assumptions!$H$2:$V$2,0))</f>
        <v>0.8</v>
      </c>
      <c r="AD41" s="9">
        <f ca="1">OFFSET(TIAM15_assumptions!$G41,0,MATCH(VLOOKUP(Assumptions!AD$2,TIAM15_assumptions!$Y$3:$Z$36,2,FALSE),TIAM15_assumptions!$H$2:$V$2,0))</f>
        <v>0.3</v>
      </c>
      <c r="AE41" s="9">
        <f ca="1">OFFSET(TIAM15_assumptions!$G41,0,MATCH(VLOOKUP(Assumptions!AE$2,TIAM15_assumptions!$Y$3:$Z$36,2,FALSE),TIAM15_assumptions!$H$2:$V$2,0))</f>
        <v>0.374</v>
      </c>
      <c r="AF41" s="9">
        <f ca="1">OFFSET(TIAM15_assumptions!$G41,0,MATCH(VLOOKUP(Assumptions!AF$2,TIAM15_assumptions!$Y$3:$Z$36,2,FALSE),TIAM15_assumptions!$H$2:$V$2,0))</f>
        <v>0.33</v>
      </c>
      <c r="AG41" s="9">
        <f ca="1">OFFSET(TIAM15_assumptions!$G41,0,MATCH(VLOOKUP(Assumptions!AG$2,TIAM15_assumptions!$Y$3:$Z$36,2,FALSE),TIAM15_assumptions!$H$2:$V$2,0))</f>
        <v>0.3</v>
      </c>
      <c r="AH41" s="9">
        <f ca="1">OFFSET(TIAM15_assumptions!$G41,0,MATCH(VLOOKUP(Assumptions!AH$2,TIAM15_assumptions!$Y$3:$Z$36,2,FALSE),TIAM15_assumptions!$H$2:$V$2,0))</f>
        <v>0.3</v>
      </c>
      <c r="AI41" s="9">
        <f ca="1">OFFSET(TIAM15_assumptions!$G41,0,MATCH(VLOOKUP(Assumptions!AI$2,TIAM15_assumptions!$Y$3:$Z$36,2,FALSE),TIAM15_assumptions!$H$2:$V$2,0))</f>
        <v>0.374</v>
      </c>
      <c r="AJ41" s="9">
        <f ca="1">OFFSET(TIAM15_assumptions!$G41,0,MATCH(VLOOKUP(Assumptions!AJ$2,TIAM15_assumptions!$Y$3:$Z$36,2,FALSE),TIAM15_assumptions!$H$2:$V$2,0))</f>
        <v>0.65028842323071201</v>
      </c>
      <c r="AK41" s="9">
        <f ca="1">OFFSET(TIAM15_assumptions!$G41,0,MATCH(VLOOKUP(Assumptions!AK$2,TIAM15_assumptions!$Y$3:$Z$36,2,FALSE),TIAM15_assumptions!$H$2:$V$2,0))</f>
        <v>0.65028842323071201</v>
      </c>
      <c r="AN41" s="34">
        <f ca="1">IFERROR(SUMIFS('TRA balance'!E$5:E$40,'TRA balance'!$C$5:$C$40,Assumptions!$C41,'TRA balance'!$D$5:$D$40,Assumptions!$B41)*BS41*H41,"")</f>
        <v>7.7291986425839987</v>
      </c>
      <c r="AO41" s="34">
        <f ca="1">IFERROR(SUMIFS('TRA balance'!F$5:F$40,'TRA balance'!$C$5:$C$40,Assumptions!$C41,'TRA balance'!$D$5:$D$40,Assumptions!$B41)*BT41*I41,"")</f>
        <v>4.4358308639999991E-3</v>
      </c>
      <c r="AP41" s="34">
        <f ca="1">IFERROR(SUMIFS('TRA balance'!G$5:G$40,'TRA balance'!$C$5:$C$40,Assumptions!$C41,'TRA balance'!$D$5:$D$40,Assumptions!$B41)*BU41*J41,"")</f>
        <v>8.5904406522000015E-2</v>
      </c>
      <c r="AQ41" s="34">
        <f ca="1">IFERROR(SUMIFS('TRA balance'!H$5:H$40,'TRA balance'!$C$5:$C$40,Assumptions!$C41,'TRA balance'!$D$5:$D$40,Assumptions!$B41)*BV41*K41,"")</f>
        <v>3.5593833007141193</v>
      </c>
      <c r="AR41" s="34">
        <f ca="1">IFERROR(SUMIFS('TRA balance'!I$5:I$40,'TRA balance'!$C$5:$C$40,Assumptions!$C41,'TRA balance'!$D$5:$D$40,Assumptions!$B41)*BW41*L41,"")</f>
        <v>32.994203820007321</v>
      </c>
      <c r="AS41" s="34">
        <f ca="1">IFERROR(SUMIFS('TRA balance'!J$5:J$40,'TRA balance'!$C$5:$C$40,Assumptions!$C41,'TRA balance'!$D$5:$D$40,Assumptions!$B41)*BX41*M41,"")</f>
        <v>12.777860001337197</v>
      </c>
      <c r="AT41" s="34">
        <f ca="1">IFERROR(SUMIFS('TRA balance'!K$5:K$40,'TRA balance'!$C$5:$C$40,Assumptions!$C41,'TRA balance'!$D$5:$D$40,Assumptions!$B41)*BY41*N41,"")</f>
        <v>1.91752770915</v>
      </c>
      <c r="AU41" s="34">
        <f ca="1">IFERROR(SUMIFS('TRA balance'!L$5:L$40,'TRA balance'!$C$5:$C$40,Assumptions!$C41,'TRA balance'!$D$5:$D$40,Assumptions!$B41)*BZ41*O41,"")</f>
        <v>0</v>
      </c>
      <c r="AV41" s="34">
        <f ca="1">IFERROR(SUMIFS('TRA balance'!M$5:M$40,'TRA balance'!$C$5:$C$40,Assumptions!$C41,'TRA balance'!$D$5:$D$40,Assumptions!$B41)*CA41*P41,"")</f>
        <v>3.6777926922897604</v>
      </c>
      <c r="AW41" s="34">
        <f ca="1">IFERROR(SUMIFS('TRA balance'!N$5:N$40,'TRA balance'!$C$5:$C$40,Assumptions!$C41,'TRA balance'!$D$5:$D$40,Assumptions!$B41)*CB41*Q41,"")</f>
        <v>11.959688972404802</v>
      </c>
      <c r="AX41" s="34">
        <f ca="1">IFERROR(SUMIFS('TRA balance'!O$5:O$40,'TRA balance'!$C$5:$C$40,Assumptions!$C41,'TRA balance'!$D$5:$D$40,Assumptions!$B41)*CC41*R41,"")</f>
        <v>0</v>
      </c>
      <c r="AY41" s="34">
        <f ca="1">IFERROR(SUMIFS('TRA balance'!P$5:P$40,'TRA balance'!$C$5:$C$40,Assumptions!$C41,'TRA balance'!$D$5:$D$40,Assumptions!$B41)*CD41*S41,"")</f>
        <v>18.846798723197281</v>
      </c>
      <c r="AZ41" s="34">
        <f ca="1">IFERROR(SUMIFS('TRA balance'!Q$5:Q$40,'TRA balance'!$C$5:$C$40,Assumptions!$C41,'TRA balance'!$D$5:$D$40,Assumptions!$B41)*CE41*T41,"")</f>
        <v>2.3156627005512003</v>
      </c>
      <c r="BA41" s="34">
        <f ca="1">IFERROR(SUMIFS('TRA balance'!R$5:R$40,'TRA balance'!$C$5:$C$40,Assumptions!$C41,'TRA balance'!$D$5:$D$40,Assumptions!$B41)*CF41*U41,"")</f>
        <v>24.166861264953003</v>
      </c>
      <c r="BB41" s="34">
        <f ca="1">IFERROR(SUMIFS('TRA balance'!S$5:S$40,'TRA balance'!$C$5:$C$40,Assumptions!$C41,'TRA balance'!$D$5:$D$40,Assumptions!$B41)*CG41*V41,"")</f>
        <v>5.0799630449264397</v>
      </c>
      <c r="BC41" s="34">
        <f ca="1">IFERROR(SUMIFS('TRA balance'!T$5:T$40,'TRA balance'!$C$5:$C$40,Assumptions!$C41,'TRA balance'!$D$5:$D$40,Assumptions!$B41)*CH41*W41,"")</f>
        <v>1.5892744207031999</v>
      </c>
      <c r="BD41" s="34">
        <f ca="1">IFERROR(SUMIFS('TRA balance'!U$5:U$40,'TRA balance'!$C$5:$C$40,Assumptions!$C41,'TRA balance'!$D$5:$D$40,Assumptions!$B41)*CI41*X41,"")</f>
        <v>45.366197087735998</v>
      </c>
      <c r="BE41" s="34">
        <f ca="1">IFERROR(SUMIFS('TRA balance'!V$5:V$40,'TRA balance'!$C$5:$C$40,Assumptions!$C41,'TRA balance'!$D$5:$D$40,Assumptions!$B41)*CJ41*Y41,"")</f>
        <v>0.67896846163079994</v>
      </c>
      <c r="BF41" s="34">
        <f ca="1">IFERROR(SUMIFS('TRA balance'!W$5:W$40,'TRA balance'!$C$5:$C$40,Assumptions!$C41,'TRA balance'!$D$5:$D$40,Assumptions!$B41)*CK41*Z41,"")</f>
        <v>4.3741171033361992</v>
      </c>
      <c r="BG41" s="34">
        <f ca="1">IFERROR(SUMIFS('TRA balance'!X$5:X$40,'TRA balance'!$C$5:$C$40,Assumptions!$C41,'TRA balance'!$D$5:$D$40,Assumptions!$B41)*CL41*AA41,"")</f>
        <v>1.0163587837500001</v>
      </c>
      <c r="BH41" s="34">
        <f ca="1">IFERROR(SUMIFS('TRA balance'!Y$5:Y$40,'TRA balance'!$C$5:$C$40,Assumptions!$C41,'TRA balance'!$D$5:$D$40,Assumptions!$B41)*CM41*AB41,"")</f>
        <v>5.6226237459480011</v>
      </c>
      <c r="BI41" s="34">
        <f ca="1">IFERROR(SUMIFS('TRA balance'!Z$5:Z$40,'TRA balance'!$C$5:$C$40,Assumptions!$C41,'TRA balance'!$D$5:$D$40,Assumptions!$B41)*CN41*AC41,"")</f>
        <v>31.060173880944003</v>
      </c>
      <c r="BJ41" s="34">
        <f ca="1">IFERROR(SUMIFS('TRA balance'!AA$5:AA$40,'TRA balance'!$C$5:$C$40,Assumptions!$C41,'TRA balance'!$D$5:$D$40,Assumptions!$B41)*CO41*AD41,"")</f>
        <v>0.505536254568</v>
      </c>
      <c r="BK41" s="34">
        <f ca="1">IFERROR(SUMIFS('TRA balance'!AB$5:AB$40,'TRA balance'!$C$5:$C$40,Assumptions!$C41,'TRA balance'!$D$5:$D$40,Assumptions!$B41)*CP41*AE41,"")</f>
        <v>6.0231319453800003E-2</v>
      </c>
      <c r="BL41" s="34">
        <f ca="1">IFERROR(SUMIFS('TRA balance'!AC$5:AC$40,'TRA balance'!$C$5:$C$40,Assumptions!$C41,'TRA balance'!$D$5:$D$40,Assumptions!$B41)*CQ41*AF41,"")</f>
        <v>10.469473051906439</v>
      </c>
      <c r="BM41" s="34">
        <f ca="1">IFERROR(SUMIFS('TRA balance'!AD$5:AD$40,'TRA balance'!$C$5:$C$40,Assumptions!$C41,'TRA balance'!$D$5:$D$40,Assumptions!$B41)*CR41*AG41,"")</f>
        <v>0</v>
      </c>
      <c r="BN41" s="34">
        <f ca="1">IFERROR(SUMIFS('TRA balance'!AE$5:AE$40,'TRA balance'!$C$5:$C$40,Assumptions!$C41,'TRA balance'!$D$5:$D$40,Assumptions!$B41)*CS41*AH41,"")</f>
        <v>0.1177349094</v>
      </c>
      <c r="BO41" s="34">
        <f ca="1">IFERROR(SUMIFS('TRA balance'!AF$5:AF$40,'TRA balance'!$C$5:$C$40,Assumptions!$C41,'TRA balance'!$D$5:$D$40,Assumptions!$B41)*CT41*AI41,"")</f>
        <v>0.81288852034499992</v>
      </c>
      <c r="BP41" s="34">
        <f ca="1">IFERROR(SUMIFS('TRA balance'!AG$5:AG$40,'TRA balance'!$C$5:$C$40,Assumptions!$C41,'TRA balance'!$D$5:$D$40,Assumptions!$B41)*CU41*AJ41,"")</f>
        <v>1.4821794949614382</v>
      </c>
      <c r="BQ41" s="34">
        <f ca="1">IFERROR(SUMIFS('TRA balance'!AH$5:AH$40,'TRA balance'!$C$5:$C$40,Assumptions!$C41,'TRA balance'!$D$5:$D$40,Assumptions!$B41)*CV41*AK41,"")</f>
        <v>0</v>
      </c>
      <c r="BS41" s="33">
        <f t="shared" ca="1" si="90"/>
        <v>0.6</v>
      </c>
      <c r="BT41" s="33">
        <f t="shared" ca="1" si="91"/>
        <v>0.6</v>
      </c>
      <c r="BU41" s="33">
        <f t="shared" ca="1" si="92"/>
        <v>0.5</v>
      </c>
      <c r="BV41" s="33">
        <f t="shared" ca="1" si="93"/>
        <v>0.56999999999999995</v>
      </c>
      <c r="BW41" s="33">
        <f t="shared" ca="1" si="94"/>
        <v>0.56999999999999995</v>
      </c>
      <c r="BX41" s="33">
        <f t="shared" ca="1" si="95"/>
        <v>0.7</v>
      </c>
      <c r="BY41" s="33">
        <f t="shared" ca="1" si="96"/>
        <v>0.25</v>
      </c>
      <c r="BZ41" s="33">
        <f t="shared" ca="1" si="97"/>
        <v>0.5</v>
      </c>
      <c r="CA41" s="33">
        <f t="shared" ca="1" si="98"/>
        <v>0.9</v>
      </c>
      <c r="CB41" s="33">
        <f t="shared" ca="1" si="99"/>
        <v>0.4</v>
      </c>
      <c r="CC41" s="33">
        <f t="shared" ca="1" si="100"/>
        <v>0.75</v>
      </c>
      <c r="CD41" s="33">
        <f t="shared" ca="1" si="101"/>
        <v>0.56999999999999995</v>
      </c>
      <c r="CE41" s="33">
        <f t="shared" ca="1" si="102"/>
        <v>0.75</v>
      </c>
      <c r="CF41" s="33">
        <f t="shared" ca="1" si="103"/>
        <v>0.75</v>
      </c>
      <c r="CG41" s="33">
        <f t="shared" ca="1" si="104"/>
        <v>0.56999999999999995</v>
      </c>
      <c r="CH41" s="33">
        <f t="shared" ca="1" si="31"/>
        <v>0.75</v>
      </c>
      <c r="CI41" s="33">
        <f t="shared" ca="1" si="32"/>
        <v>0.6</v>
      </c>
      <c r="CJ41" s="33">
        <f t="shared" ca="1" si="33"/>
        <v>0.75</v>
      </c>
      <c r="CK41" s="33">
        <f t="shared" ca="1" si="34"/>
        <v>0.75</v>
      </c>
      <c r="CL41" s="33">
        <f t="shared" ca="1" si="35"/>
        <v>0.25</v>
      </c>
      <c r="CM41" s="33">
        <f t="shared" ca="1" si="36"/>
        <v>0.5</v>
      </c>
      <c r="CN41" s="33">
        <f t="shared" ca="1" si="37"/>
        <v>0.65</v>
      </c>
      <c r="CO41" s="33">
        <f t="shared" ca="1" si="38"/>
        <v>0.6</v>
      </c>
      <c r="CP41" s="33">
        <f t="shared" ca="1" si="39"/>
        <v>0.75</v>
      </c>
      <c r="CQ41" s="33">
        <f t="shared" ca="1" si="40"/>
        <v>0.56999999999999995</v>
      </c>
      <c r="CR41" s="33">
        <f t="shared" ca="1" si="41"/>
        <v>0.6</v>
      </c>
      <c r="CS41" s="33">
        <f t="shared" ca="1" si="42"/>
        <v>0.6</v>
      </c>
      <c r="CT41" s="33">
        <f t="shared" ca="1" si="43"/>
        <v>0.75</v>
      </c>
      <c r="CU41" s="33">
        <f t="shared" ca="1" si="44"/>
        <v>0.71921471715562335</v>
      </c>
      <c r="CV41" s="33">
        <f t="shared" ca="1" si="45"/>
        <v>0.71921471715562335</v>
      </c>
    </row>
    <row r="42" spans="1:100" x14ac:dyDescent="0.45">
      <c r="A42">
        <v>1</v>
      </c>
      <c r="B42" t="str">
        <f>VLOOKUP(F42,'TRA balance'!$AK$5:$AL$14,2,FALSE)</f>
        <v>TRALPG</v>
      </c>
      <c r="C42" s="6" t="str">
        <f t="shared" si="46"/>
        <v/>
      </c>
      <c r="D42" s="7"/>
      <c r="E42" s="19" t="s">
        <v>69</v>
      </c>
      <c r="F42" s="8" t="str">
        <f>F41</f>
        <v>Liquified Petroleum Gases</v>
      </c>
      <c r="G42" s="6"/>
      <c r="H42" s="20" t="str">
        <f ca="1">IF(SUM(H40:H41)=1,"-","&lt;&gt;1!!")</f>
        <v>-</v>
      </c>
      <c r="I42" s="20" t="str">
        <f t="shared" ref="I42:X42" ca="1" si="111">IF(SUM(I40:I41)=1,"-","&lt;&gt;1!!")</f>
        <v>-</v>
      </c>
      <c r="J42" s="20" t="str">
        <f t="shared" ca="1" si="111"/>
        <v>-</v>
      </c>
      <c r="K42" s="20" t="str">
        <f t="shared" ca="1" si="111"/>
        <v>-</v>
      </c>
      <c r="L42" s="20" t="str">
        <f t="shared" ca="1" si="111"/>
        <v>-</v>
      </c>
      <c r="M42" s="20" t="str">
        <f t="shared" ca="1" si="111"/>
        <v>-</v>
      </c>
      <c r="N42" s="20" t="str">
        <f t="shared" ca="1" si="111"/>
        <v>-</v>
      </c>
      <c r="O42" s="20" t="str">
        <f t="shared" ca="1" si="111"/>
        <v>-</v>
      </c>
      <c r="P42" s="20" t="str">
        <f t="shared" ca="1" si="111"/>
        <v>-</v>
      </c>
      <c r="Q42" s="20" t="str">
        <f t="shared" ca="1" si="111"/>
        <v>-</v>
      </c>
      <c r="R42" s="20" t="str">
        <f t="shared" ca="1" si="111"/>
        <v>-</v>
      </c>
      <c r="S42" s="20" t="str">
        <f t="shared" ca="1" si="111"/>
        <v>-</v>
      </c>
      <c r="T42" s="20" t="str">
        <f t="shared" ca="1" si="111"/>
        <v>-</v>
      </c>
      <c r="U42" s="20" t="str">
        <f t="shared" ca="1" si="111"/>
        <v>-</v>
      </c>
      <c r="V42" s="20" t="str">
        <f t="shared" ca="1" si="111"/>
        <v>-</v>
      </c>
      <c r="W42" s="20" t="str">
        <f t="shared" ca="1" si="111"/>
        <v>-</v>
      </c>
      <c r="X42" s="20" t="str">
        <f t="shared" ca="1" si="111"/>
        <v>-</v>
      </c>
      <c r="Y42" s="20" t="str">
        <f t="shared" ref="Y42:Z42" ca="1" si="112">IF(SUM(Y40:Y41)=1,"-","&lt;&gt;1!!")</f>
        <v>-</v>
      </c>
      <c r="Z42" s="20" t="str">
        <f t="shared" ca="1" si="112"/>
        <v>-</v>
      </c>
      <c r="AA42" s="20" t="str">
        <f t="shared" ref="AA42:AK42" ca="1" si="113">IF(SUM(AA40:AA41)=1,"-","&lt;&gt;1!!")</f>
        <v>-</v>
      </c>
      <c r="AB42" s="20" t="str">
        <f t="shared" ca="1" si="113"/>
        <v>-</v>
      </c>
      <c r="AC42" s="20" t="str">
        <f t="shared" ca="1" si="113"/>
        <v>-</v>
      </c>
      <c r="AD42" s="20" t="str">
        <f t="shared" ca="1" si="113"/>
        <v>-</v>
      </c>
      <c r="AE42" s="20" t="str">
        <f t="shared" ca="1" si="113"/>
        <v>-</v>
      </c>
      <c r="AF42" s="20" t="str">
        <f t="shared" ca="1" si="113"/>
        <v>-</v>
      </c>
      <c r="AG42" s="20" t="str">
        <f t="shared" ca="1" si="113"/>
        <v>-</v>
      </c>
      <c r="AH42" s="20" t="str">
        <f t="shared" ca="1" si="113"/>
        <v>-</v>
      </c>
      <c r="AI42" s="20" t="str">
        <f t="shared" ca="1" si="113"/>
        <v>-</v>
      </c>
      <c r="AJ42" s="20" t="str">
        <f t="shared" ca="1" si="113"/>
        <v>-</v>
      </c>
      <c r="AK42" s="20" t="str">
        <f t="shared" ca="1" si="113"/>
        <v>-</v>
      </c>
      <c r="AN42" s="34" t="str">
        <f ca="1">IFERROR(SUMIFS('TRA balance'!E$5:E$40,'TRA balance'!$C$5:$C$40,Assumptions!$C42,'TRA balance'!$D$5:$D$40,Assumptions!$B42)*BS42*H42,"")</f>
        <v/>
      </c>
      <c r="AO42" s="34" t="str">
        <f ca="1">IFERROR(SUMIFS('TRA balance'!F$5:F$40,'TRA balance'!$C$5:$C$40,Assumptions!$C42,'TRA balance'!$D$5:$D$40,Assumptions!$B42)*BT42*I42,"")</f>
        <v/>
      </c>
      <c r="AP42" s="34" t="str">
        <f ca="1">IFERROR(SUMIFS('TRA balance'!G$5:G$40,'TRA balance'!$C$5:$C$40,Assumptions!$C42,'TRA balance'!$D$5:$D$40,Assumptions!$B42)*BU42*J42,"")</f>
        <v/>
      </c>
      <c r="AQ42" s="34" t="str">
        <f ca="1">IFERROR(SUMIFS('TRA balance'!H$5:H$40,'TRA balance'!$C$5:$C$40,Assumptions!$C42,'TRA balance'!$D$5:$D$40,Assumptions!$B42)*BV42*K42,"")</f>
        <v/>
      </c>
      <c r="AR42" s="34" t="str">
        <f ca="1">IFERROR(SUMIFS('TRA balance'!I$5:I$40,'TRA balance'!$C$5:$C$40,Assumptions!$C42,'TRA balance'!$D$5:$D$40,Assumptions!$B42)*BW42*L42,"")</f>
        <v/>
      </c>
      <c r="AS42" s="34" t="str">
        <f ca="1">IFERROR(SUMIFS('TRA balance'!J$5:J$40,'TRA balance'!$C$5:$C$40,Assumptions!$C42,'TRA balance'!$D$5:$D$40,Assumptions!$B42)*BX42*M42,"")</f>
        <v/>
      </c>
      <c r="AT42" s="34" t="str">
        <f ca="1">IFERROR(SUMIFS('TRA balance'!K$5:K$40,'TRA balance'!$C$5:$C$40,Assumptions!$C42,'TRA balance'!$D$5:$D$40,Assumptions!$B42)*BY42*N42,"")</f>
        <v/>
      </c>
      <c r="AU42" s="34" t="str">
        <f ca="1">IFERROR(SUMIFS('TRA balance'!L$5:L$40,'TRA balance'!$C$5:$C$40,Assumptions!$C42,'TRA balance'!$D$5:$D$40,Assumptions!$B42)*BZ42*O42,"")</f>
        <v/>
      </c>
      <c r="AV42" s="34" t="str">
        <f ca="1">IFERROR(SUMIFS('TRA balance'!M$5:M$40,'TRA balance'!$C$5:$C$40,Assumptions!$C42,'TRA balance'!$D$5:$D$40,Assumptions!$B42)*CA42*P42,"")</f>
        <v/>
      </c>
      <c r="AW42" s="34" t="str">
        <f ca="1">IFERROR(SUMIFS('TRA balance'!N$5:N$40,'TRA balance'!$C$5:$C$40,Assumptions!$C42,'TRA balance'!$D$5:$D$40,Assumptions!$B42)*CB42*Q42,"")</f>
        <v/>
      </c>
      <c r="AX42" s="34" t="str">
        <f ca="1">IFERROR(SUMIFS('TRA balance'!O$5:O$40,'TRA balance'!$C$5:$C$40,Assumptions!$C42,'TRA balance'!$D$5:$D$40,Assumptions!$B42)*CC42*R42,"")</f>
        <v/>
      </c>
      <c r="AY42" s="34" t="str">
        <f ca="1">IFERROR(SUMIFS('TRA balance'!P$5:P$40,'TRA balance'!$C$5:$C$40,Assumptions!$C42,'TRA balance'!$D$5:$D$40,Assumptions!$B42)*CD42*S42,"")</f>
        <v/>
      </c>
      <c r="AZ42" s="34" t="str">
        <f ca="1">IFERROR(SUMIFS('TRA balance'!Q$5:Q$40,'TRA balance'!$C$5:$C$40,Assumptions!$C42,'TRA balance'!$D$5:$D$40,Assumptions!$B42)*CE42*T42,"")</f>
        <v/>
      </c>
      <c r="BA42" s="34" t="str">
        <f ca="1">IFERROR(SUMIFS('TRA balance'!R$5:R$40,'TRA balance'!$C$5:$C$40,Assumptions!$C42,'TRA balance'!$D$5:$D$40,Assumptions!$B42)*CF42*U42,"")</f>
        <v/>
      </c>
      <c r="BB42" s="34" t="str">
        <f ca="1">IFERROR(SUMIFS('TRA balance'!S$5:S$40,'TRA balance'!$C$5:$C$40,Assumptions!$C42,'TRA balance'!$D$5:$D$40,Assumptions!$B42)*CG42*V42,"")</f>
        <v/>
      </c>
      <c r="BC42" s="34" t="str">
        <f ca="1">IFERROR(SUMIFS('TRA balance'!T$5:T$40,'TRA balance'!$C$5:$C$40,Assumptions!$C42,'TRA balance'!$D$5:$D$40,Assumptions!$B42)*CH42*W42,"")</f>
        <v/>
      </c>
      <c r="BD42" s="34" t="str">
        <f ca="1">IFERROR(SUMIFS('TRA balance'!U$5:U$40,'TRA balance'!$C$5:$C$40,Assumptions!$C42,'TRA balance'!$D$5:$D$40,Assumptions!$B42)*CI42*X42,"")</f>
        <v/>
      </c>
      <c r="BE42" s="34" t="str">
        <f ca="1">IFERROR(SUMIFS('TRA balance'!V$5:V$40,'TRA balance'!$C$5:$C$40,Assumptions!$C42,'TRA balance'!$D$5:$D$40,Assumptions!$B42)*CJ42*Y42,"")</f>
        <v/>
      </c>
      <c r="BF42" s="34" t="str">
        <f ca="1">IFERROR(SUMIFS('TRA balance'!W$5:W$40,'TRA balance'!$C$5:$C$40,Assumptions!$C42,'TRA balance'!$D$5:$D$40,Assumptions!$B42)*CK42*Z42,"")</f>
        <v/>
      </c>
      <c r="BG42" s="34" t="str">
        <f ca="1">IFERROR(SUMIFS('TRA balance'!X$5:X$40,'TRA balance'!$C$5:$C$40,Assumptions!$C42,'TRA balance'!$D$5:$D$40,Assumptions!$B42)*CL42*AA42,"")</f>
        <v/>
      </c>
      <c r="BH42" s="34" t="str">
        <f ca="1">IFERROR(SUMIFS('TRA balance'!Y$5:Y$40,'TRA balance'!$C$5:$C$40,Assumptions!$C42,'TRA balance'!$D$5:$D$40,Assumptions!$B42)*CM42*AB42,"")</f>
        <v/>
      </c>
      <c r="BI42" s="34" t="str">
        <f ca="1">IFERROR(SUMIFS('TRA balance'!Z$5:Z$40,'TRA balance'!$C$5:$C$40,Assumptions!$C42,'TRA balance'!$D$5:$D$40,Assumptions!$B42)*CN42*AC42,"")</f>
        <v/>
      </c>
      <c r="BJ42" s="34" t="str">
        <f ca="1">IFERROR(SUMIFS('TRA balance'!AA$5:AA$40,'TRA balance'!$C$5:$C$40,Assumptions!$C42,'TRA balance'!$D$5:$D$40,Assumptions!$B42)*CO42*AD42,"")</f>
        <v/>
      </c>
      <c r="BK42" s="34" t="str">
        <f ca="1">IFERROR(SUMIFS('TRA balance'!AB$5:AB$40,'TRA balance'!$C$5:$C$40,Assumptions!$C42,'TRA balance'!$D$5:$D$40,Assumptions!$B42)*CP42*AE42,"")</f>
        <v/>
      </c>
      <c r="BL42" s="34" t="str">
        <f ca="1">IFERROR(SUMIFS('TRA balance'!AC$5:AC$40,'TRA balance'!$C$5:$C$40,Assumptions!$C42,'TRA balance'!$D$5:$D$40,Assumptions!$B42)*CQ42*AF42,"")</f>
        <v/>
      </c>
      <c r="BM42" s="34" t="str">
        <f ca="1">IFERROR(SUMIFS('TRA balance'!AD$5:AD$40,'TRA balance'!$C$5:$C$40,Assumptions!$C42,'TRA balance'!$D$5:$D$40,Assumptions!$B42)*CR42*AG42,"")</f>
        <v/>
      </c>
      <c r="BN42" s="34" t="str">
        <f ca="1">IFERROR(SUMIFS('TRA balance'!AE$5:AE$40,'TRA balance'!$C$5:$C$40,Assumptions!$C42,'TRA balance'!$D$5:$D$40,Assumptions!$B42)*CS42*AH42,"")</f>
        <v/>
      </c>
      <c r="BO42" s="34" t="str">
        <f ca="1">IFERROR(SUMIFS('TRA balance'!AF$5:AF$40,'TRA balance'!$C$5:$C$40,Assumptions!$C42,'TRA balance'!$D$5:$D$40,Assumptions!$B42)*CT42*AI42,"")</f>
        <v/>
      </c>
      <c r="BP42" s="34" t="str">
        <f ca="1">IFERROR(SUMIFS('TRA balance'!AG$5:AG$40,'TRA balance'!$C$5:$C$40,Assumptions!$C42,'TRA balance'!$D$5:$D$40,Assumptions!$B42)*CU42*AJ42,"")</f>
        <v/>
      </c>
      <c r="BQ42" s="34" t="str">
        <f ca="1">IFERROR(SUMIFS('TRA balance'!AH$5:AH$40,'TRA balance'!$C$5:$C$40,Assumptions!$C42,'TRA balance'!$D$5:$D$40,Assumptions!$B42)*CV42*AK42,"")</f>
        <v/>
      </c>
      <c r="BS42" s="33">
        <f t="shared" si="90"/>
        <v>1</v>
      </c>
      <c r="BT42" s="33">
        <f t="shared" si="91"/>
        <v>1</v>
      </c>
      <c r="BU42" s="33">
        <f t="shared" si="92"/>
        <v>1</v>
      </c>
      <c r="BV42" s="33">
        <f t="shared" si="93"/>
        <v>1</v>
      </c>
      <c r="BW42" s="33">
        <f t="shared" si="94"/>
        <v>1</v>
      </c>
      <c r="BX42" s="33">
        <f t="shared" si="95"/>
        <v>1</v>
      </c>
      <c r="BY42" s="33">
        <f t="shared" si="96"/>
        <v>1</v>
      </c>
      <c r="BZ42" s="33">
        <f t="shared" si="97"/>
        <v>1</v>
      </c>
      <c r="CA42" s="33">
        <f t="shared" si="98"/>
        <v>1</v>
      </c>
      <c r="CB42" s="33">
        <f t="shared" si="99"/>
        <v>1</v>
      </c>
      <c r="CC42" s="33">
        <f t="shared" si="100"/>
        <v>1</v>
      </c>
      <c r="CD42" s="33">
        <f t="shared" si="101"/>
        <v>1</v>
      </c>
      <c r="CE42" s="33">
        <f t="shared" si="102"/>
        <v>1</v>
      </c>
      <c r="CF42" s="33">
        <f t="shared" si="103"/>
        <v>1</v>
      </c>
      <c r="CG42" s="33">
        <f t="shared" si="104"/>
        <v>1</v>
      </c>
      <c r="CH42" s="33">
        <f t="shared" si="31"/>
        <v>1</v>
      </c>
      <c r="CI42" s="33">
        <f t="shared" si="32"/>
        <v>1</v>
      </c>
      <c r="CJ42" s="33">
        <f t="shared" si="33"/>
        <v>1</v>
      </c>
      <c r="CK42" s="33">
        <f t="shared" si="34"/>
        <v>1</v>
      </c>
      <c r="CL42" s="33">
        <f t="shared" si="35"/>
        <v>1</v>
      </c>
      <c r="CM42" s="33">
        <f t="shared" si="36"/>
        <v>1</v>
      </c>
      <c r="CN42" s="33">
        <f t="shared" si="37"/>
        <v>1</v>
      </c>
      <c r="CO42" s="33">
        <f t="shared" si="38"/>
        <v>1</v>
      </c>
      <c r="CP42" s="33">
        <f t="shared" si="39"/>
        <v>1</v>
      </c>
      <c r="CQ42" s="33">
        <f t="shared" si="40"/>
        <v>1</v>
      </c>
      <c r="CR42" s="33">
        <f t="shared" si="41"/>
        <v>1</v>
      </c>
      <c r="CS42" s="33">
        <f t="shared" si="42"/>
        <v>1</v>
      </c>
      <c r="CT42" s="33">
        <f t="shared" si="43"/>
        <v>1</v>
      </c>
      <c r="CU42" s="33">
        <f t="shared" si="44"/>
        <v>1</v>
      </c>
      <c r="CV42" s="33">
        <f t="shared" si="45"/>
        <v>1</v>
      </c>
    </row>
    <row r="43" spans="1:100" x14ac:dyDescent="0.45">
      <c r="A43">
        <v>1</v>
      </c>
      <c r="B43" t="str">
        <f>VLOOKUP(F43,'TRA balance'!$AK$5:$AL$14,2,FALSE)</f>
        <v>TRALPG</v>
      </c>
      <c r="C43" s="14">
        <v>2</v>
      </c>
      <c r="D43" s="15" t="s">
        <v>16</v>
      </c>
      <c r="E43" s="15" t="s">
        <v>70</v>
      </c>
      <c r="F43" s="16" t="str">
        <f>F42</f>
        <v>Liquified Petroleum Gases</v>
      </c>
      <c r="G43" s="14"/>
      <c r="H43" s="21">
        <f t="shared" ref="H43:X43" ca="1" si="114">1-H39</f>
        <v>0.4</v>
      </c>
      <c r="I43" s="21">
        <f t="shared" ca="1" si="114"/>
        <v>0.4</v>
      </c>
      <c r="J43" s="21">
        <f t="shared" ca="1" si="114"/>
        <v>0.5</v>
      </c>
      <c r="K43" s="21">
        <f t="shared" ca="1" si="114"/>
        <v>0.43000000000000005</v>
      </c>
      <c r="L43" s="21">
        <f t="shared" ca="1" si="114"/>
        <v>0.43000000000000005</v>
      </c>
      <c r="M43" s="21">
        <f t="shared" ca="1" si="114"/>
        <v>0.30000000000000004</v>
      </c>
      <c r="N43" s="21">
        <f t="shared" ca="1" si="114"/>
        <v>0.75</v>
      </c>
      <c r="O43" s="21">
        <f t="shared" ca="1" si="114"/>
        <v>0.5</v>
      </c>
      <c r="P43" s="21">
        <f t="shared" ca="1" si="114"/>
        <v>9.9999999999999978E-2</v>
      </c>
      <c r="Q43" s="21">
        <f t="shared" ca="1" si="114"/>
        <v>0.6</v>
      </c>
      <c r="R43" s="21">
        <f t="shared" ca="1" si="114"/>
        <v>0.25</v>
      </c>
      <c r="S43" s="21">
        <f t="shared" ca="1" si="114"/>
        <v>0.43000000000000005</v>
      </c>
      <c r="T43" s="21">
        <f t="shared" ca="1" si="114"/>
        <v>0.25</v>
      </c>
      <c r="U43" s="21">
        <f t="shared" ca="1" si="114"/>
        <v>0.25</v>
      </c>
      <c r="V43" s="21">
        <f t="shared" ca="1" si="114"/>
        <v>0.43000000000000005</v>
      </c>
      <c r="W43" s="21">
        <f t="shared" ca="1" si="114"/>
        <v>0.25</v>
      </c>
      <c r="X43" s="21">
        <f t="shared" ca="1" si="114"/>
        <v>0.4</v>
      </c>
      <c r="Y43" s="21">
        <f t="shared" ref="Y43:Z43" ca="1" si="115">1-Y39</f>
        <v>0.25</v>
      </c>
      <c r="Z43" s="21">
        <f t="shared" ca="1" si="115"/>
        <v>0.25</v>
      </c>
      <c r="AA43" s="21">
        <f t="shared" ref="AA43:AK43" ca="1" si="116">1-AA39</f>
        <v>0.75</v>
      </c>
      <c r="AB43" s="21">
        <f t="shared" ca="1" si="116"/>
        <v>0.5</v>
      </c>
      <c r="AC43" s="21">
        <f t="shared" ca="1" si="116"/>
        <v>0.35</v>
      </c>
      <c r="AD43" s="21">
        <f t="shared" ca="1" si="116"/>
        <v>0.4</v>
      </c>
      <c r="AE43" s="21">
        <f t="shared" ca="1" si="116"/>
        <v>0.25</v>
      </c>
      <c r="AF43" s="21">
        <f t="shared" ca="1" si="116"/>
        <v>0.43000000000000005</v>
      </c>
      <c r="AG43" s="21">
        <f t="shared" ca="1" si="116"/>
        <v>0.4</v>
      </c>
      <c r="AH43" s="21">
        <f t="shared" ca="1" si="116"/>
        <v>0.4</v>
      </c>
      <c r="AI43" s="21">
        <f t="shared" ca="1" si="116"/>
        <v>0.25</v>
      </c>
      <c r="AJ43" s="21">
        <f t="shared" ca="1" si="116"/>
        <v>0.28078528284437665</v>
      </c>
      <c r="AK43" s="21">
        <f t="shared" ca="1" si="116"/>
        <v>0.28078528284437665</v>
      </c>
      <c r="AN43" s="34">
        <f ca="1">IFERROR(SUMIFS('TRA balance'!E$5:E$40,'TRA balance'!$C$5:$C$40,Assumptions!$C43,'TRA balance'!$D$5:$D$40,Assumptions!$B43)*BS43*H43,"")</f>
        <v>0</v>
      </c>
      <c r="AO43" s="34">
        <f ca="1">IFERROR(SUMIFS('TRA balance'!F$5:F$40,'TRA balance'!$C$5:$C$40,Assumptions!$C43,'TRA balance'!$D$5:$D$40,Assumptions!$B43)*BT43*I43,"")</f>
        <v>0</v>
      </c>
      <c r="AP43" s="34">
        <f ca="1">IFERROR(SUMIFS('TRA balance'!G$5:G$40,'TRA balance'!$C$5:$C$40,Assumptions!$C43,'TRA balance'!$D$5:$D$40,Assumptions!$B43)*BU43*J43,"")</f>
        <v>0</v>
      </c>
      <c r="AQ43" s="34">
        <f ca="1">IFERROR(SUMIFS('TRA balance'!H$5:H$40,'TRA balance'!$C$5:$C$40,Assumptions!$C43,'TRA balance'!$D$5:$D$40,Assumptions!$B43)*BV43*K43,"")</f>
        <v>0</v>
      </c>
      <c r="AR43" s="34">
        <f ca="1">IFERROR(SUMIFS('TRA balance'!I$5:I$40,'TRA balance'!$C$5:$C$40,Assumptions!$C43,'TRA balance'!$D$5:$D$40,Assumptions!$B43)*BW43*L43,"")</f>
        <v>0</v>
      </c>
      <c r="AS43" s="34">
        <f ca="1">IFERROR(SUMIFS('TRA balance'!J$5:J$40,'TRA balance'!$C$5:$C$40,Assumptions!$C43,'TRA balance'!$D$5:$D$40,Assumptions!$B43)*BX43*M43,"")</f>
        <v>0</v>
      </c>
      <c r="AT43" s="34">
        <f ca="1">IFERROR(SUMIFS('TRA balance'!K$5:K$40,'TRA balance'!$C$5:$C$40,Assumptions!$C43,'TRA balance'!$D$5:$D$40,Assumptions!$B43)*BY43*N43,"")</f>
        <v>0</v>
      </c>
      <c r="AU43" s="34">
        <f ca="1">IFERROR(SUMIFS('TRA balance'!L$5:L$40,'TRA balance'!$C$5:$C$40,Assumptions!$C43,'TRA balance'!$D$5:$D$40,Assumptions!$B43)*BZ43*O43,"")</f>
        <v>0</v>
      </c>
      <c r="AV43" s="34">
        <f ca="1">IFERROR(SUMIFS('TRA balance'!M$5:M$40,'TRA balance'!$C$5:$C$40,Assumptions!$C43,'TRA balance'!$D$5:$D$40,Assumptions!$B43)*CA43*P43,"")</f>
        <v>0</v>
      </c>
      <c r="AW43" s="34">
        <f ca="1">IFERROR(SUMIFS('TRA balance'!N$5:N$40,'TRA balance'!$C$5:$C$40,Assumptions!$C43,'TRA balance'!$D$5:$D$40,Assumptions!$B43)*CB43*Q43,"")</f>
        <v>0</v>
      </c>
      <c r="AX43" s="34">
        <f ca="1">IFERROR(SUMIFS('TRA balance'!O$5:O$40,'TRA balance'!$C$5:$C$40,Assumptions!$C43,'TRA balance'!$D$5:$D$40,Assumptions!$B43)*CC43*R43,"")</f>
        <v>0</v>
      </c>
      <c r="AY43" s="34">
        <f ca="1">IFERROR(SUMIFS('TRA balance'!P$5:P$40,'TRA balance'!$C$5:$C$40,Assumptions!$C43,'TRA balance'!$D$5:$D$40,Assumptions!$B43)*CD43*S43,"")</f>
        <v>0</v>
      </c>
      <c r="AZ43" s="34">
        <f ca="1">IFERROR(SUMIFS('TRA balance'!Q$5:Q$40,'TRA balance'!$C$5:$C$40,Assumptions!$C43,'TRA balance'!$D$5:$D$40,Assumptions!$B43)*CE43*T43,"")</f>
        <v>0</v>
      </c>
      <c r="BA43" s="34">
        <f ca="1">IFERROR(SUMIFS('TRA balance'!R$5:R$40,'TRA balance'!$C$5:$C$40,Assumptions!$C43,'TRA balance'!$D$5:$D$40,Assumptions!$B43)*CF43*U43,"")</f>
        <v>0</v>
      </c>
      <c r="BB43" s="34">
        <f ca="1">IFERROR(SUMIFS('TRA balance'!S$5:S$40,'TRA balance'!$C$5:$C$40,Assumptions!$C43,'TRA balance'!$D$5:$D$40,Assumptions!$B43)*CG43*V43,"")</f>
        <v>0</v>
      </c>
      <c r="BC43" s="34">
        <f ca="1">IFERROR(SUMIFS('TRA balance'!T$5:T$40,'TRA balance'!$C$5:$C$40,Assumptions!$C43,'TRA balance'!$D$5:$D$40,Assumptions!$B43)*CH43*W43,"")</f>
        <v>0</v>
      </c>
      <c r="BD43" s="34">
        <f ca="1">IFERROR(SUMIFS('TRA balance'!U$5:U$40,'TRA balance'!$C$5:$C$40,Assumptions!$C43,'TRA balance'!$D$5:$D$40,Assumptions!$B43)*CI43*X43,"")</f>
        <v>0</v>
      </c>
      <c r="BE43" s="34">
        <f ca="1">IFERROR(SUMIFS('TRA balance'!V$5:V$40,'TRA balance'!$C$5:$C$40,Assumptions!$C43,'TRA balance'!$D$5:$D$40,Assumptions!$B43)*CJ43*Y43,"")</f>
        <v>0</v>
      </c>
      <c r="BF43" s="34">
        <f ca="1">IFERROR(SUMIFS('TRA balance'!W$5:W$40,'TRA balance'!$C$5:$C$40,Assumptions!$C43,'TRA balance'!$D$5:$D$40,Assumptions!$B43)*CK43*Z43,"")</f>
        <v>0</v>
      </c>
      <c r="BG43" s="34">
        <f ca="1">IFERROR(SUMIFS('TRA balance'!X$5:X$40,'TRA balance'!$C$5:$C$40,Assumptions!$C43,'TRA balance'!$D$5:$D$40,Assumptions!$B43)*CL43*AA43,"")</f>
        <v>0</v>
      </c>
      <c r="BH43" s="34">
        <f ca="1">IFERROR(SUMIFS('TRA balance'!Y$5:Y$40,'TRA balance'!$C$5:$C$40,Assumptions!$C43,'TRA balance'!$D$5:$D$40,Assumptions!$B43)*CM43*AB43,"")</f>
        <v>0</v>
      </c>
      <c r="BI43" s="34">
        <f ca="1">IFERROR(SUMIFS('TRA balance'!Z$5:Z$40,'TRA balance'!$C$5:$C$40,Assumptions!$C43,'TRA balance'!$D$5:$D$40,Assumptions!$B43)*CN43*AC43,"")</f>
        <v>0</v>
      </c>
      <c r="BJ43" s="34">
        <f ca="1">IFERROR(SUMIFS('TRA balance'!AA$5:AA$40,'TRA balance'!$C$5:$C$40,Assumptions!$C43,'TRA balance'!$D$5:$D$40,Assumptions!$B43)*CO43*AD43,"")</f>
        <v>0</v>
      </c>
      <c r="BK43" s="34">
        <f ca="1">IFERROR(SUMIFS('TRA balance'!AB$5:AB$40,'TRA balance'!$C$5:$C$40,Assumptions!$C43,'TRA balance'!$D$5:$D$40,Assumptions!$B43)*CP43*AE43,"")</f>
        <v>0</v>
      </c>
      <c r="BL43" s="34">
        <f ca="1">IFERROR(SUMIFS('TRA balance'!AC$5:AC$40,'TRA balance'!$C$5:$C$40,Assumptions!$C43,'TRA balance'!$D$5:$D$40,Assumptions!$B43)*CQ43*AF43,"")</f>
        <v>0</v>
      </c>
      <c r="BM43" s="34">
        <f ca="1">IFERROR(SUMIFS('TRA balance'!AD$5:AD$40,'TRA balance'!$C$5:$C$40,Assumptions!$C43,'TRA balance'!$D$5:$D$40,Assumptions!$B43)*CR43*AG43,"")</f>
        <v>0</v>
      </c>
      <c r="BN43" s="34">
        <f ca="1">IFERROR(SUMIFS('TRA balance'!AE$5:AE$40,'TRA balance'!$C$5:$C$40,Assumptions!$C43,'TRA balance'!$D$5:$D$40,Assumptions!$B43)*CS43*AH43,"")</f>
        <v>0</v>
      </c>
      <c r="BO43" s="34">
        <f ca="1">IFERROR(SUMIFS('TRA balance'!AF$5:AF$40,'TRA balance'!$C$5:$C$40,Assumptions!$C43,'TRA balance'!$D$5:$D$40,Assumptions!$B43)*CT43*AI43,"")</f>
        <v>0</v>
      </c>
      <c r="BP43" s="34">
        <f ca="1">IFERROR(SUMIFS('TRA balance'!AG$5:AG$40,'TRA balance'!$C$5:$C$40,Assumptions!$C43,'TRA balance'!$D$5:$D$40,Assumptions!$B43)*CU43*AJ43,"")</f>
        <v>0</v>
      </c>
      <c r="BQ43" s="34">
        <f ca="1">IFERROR(SUMIFS('TRA balance'!AH$5:AH$40,'TRA balance'!$C$5:$C$40,Assumptions!$C43,'TRA balance'!$D$5:$D$40,Assumptions!$B43)*CV43*AK43,"")</f>
        <v>0</v>
      </c>
      <c r="BS43" s="33">
        <f t="shared" si="90"/>
        <v>1</v>
      </c>
      <c r="BT43" s="33">
        <f t="shared" si="91"/>
        <v>1</v>
      </c>
      <c r="BU43" s="33">
        <f t="shared" si="92"/>
        <v>1</v>
      </c>
      <c r="BV43" s="33">
        <f t="shared" si="93"/>
        <v>1</v>
      </c>
      <c r="BW43" s="33">
        <f t="shared" si="94"/>
        <v>1</v>
      </c>
      <c r="BX43" s="33">
        <f t="shared" si="95"/>
        <v>1</v>
      </c>
      <c r="BY43" s="33">
        <f t="shared" si="96"/>
        <v>1</v>
      </c>
      <c r="BZ43" s="33">
        <f t="shared" si="97"/>
        <v>1</v>
      </c>
      <c r="CA43" s="33">
        <f t="shared" si="98"/>
        <v>1</v>
      </c>
      <c r="CB43" s="33">
        <f t="shared" si="99"/>
        <v>1</v>
      </c>
      <c r="CC43" s="33">
        <f t="shared" si="100"/>
        <v>1</v>
      </c>
      <c r="CD43" s="33">
        <f t="shared" si="101"/>
        <v>1</v>
      </c>
      <c r="CE43" s="33">
        <f t="shared" si="102"/>
        <v>1</v>
      </c>
      <c r="CF43" s="33">
        <f t="shared" si="103"/>
        <v>1</v>
      </c>
      <c r="CG43" s="33">
        <f t="shared" si="104"/>
        <v>1</v>
      </c>
      <c r="CH43" s="33">
        <f t="shared" si="31"/>
        <v>1</v>
      </c>
      <c r="CI43" s="33">
        <f t="shared" si="32"/>
        <v>1</v>
      </c>
      <c r="CJ43" s="33">
        <f t="shared" si="33"/>
        <v>1</v>
      </c>
      <c r="CK43" s="33">
        <f t="shared" si="34"/>
        <v>1</v>
      </c>
      <c r="CL43" s="33">
        <f t="shared" si="35"/>
        <v>1</v>
      </c>
      <c r="CM43" s="33">
        <f t="shared" si="36"/>
        <v>1</v>
      </c>
      <c r="CN43" s="33">
        <f t="shared" si="37"/>
        <v>1</v>
      </c>
      <c r="CO43" s="33">
        <f t="shared" si="38"/>
        <v>1</v>
      </c>
      <c r="CP43" s="33">
        <f t="shared" si="39"/>
        <v>1</v>
      </c>
      <c r="CQ43" s="33">
        <f t="shared" si="40"/>
        <v>1</v>
      </c>
      <c r="CR43" s="33">
        <f t="shared" si="41"/>
        <v>1</v>
      </c>
      <c r="CS43" s="33">
        <f t="shared" si="42"/>
        <v>1</v>
      </c>
      <c r="CT43" s="33">
        <f t="shared" si="43"/>
        <v>1</v>
      </c>
      <c r="CU43" s="33">
        <f t="shared" si="44"/>
        <v>1</v>
      </c>
      <c r="CV43" s="33">
        <f t="shared" si="45"/>
        <v>1</v>
      </c>
    </row>
    <row r="44" spans="1:100" x14ac:dyDescent="0.45">
      <c r="A44">
        <v>2</v>
      </c>
      <c r="B44" t="str">
        <f>VLOOKUP(F44,'TRA balance'!$AK$5:$AL$14,2,FALSE)</f>
        <v>TRALPG</v>
      </c>
      <c r="C44" s="6" t="str">
        <f t="shared" si="46"/>
        <v>TR</v>
      </c>
      <c r="D44" s="7" t="s">
        <v>16</v>
      </c>
      <c r="E44" s="18" t="s">
        <v>71</v>
      </c>
      <c r="F44" s="8" t="str">
        <f>F43</f>
        <v>Liquified Petroleum Gases</v>
      </c>
      <c r="G44" s="6" t="s">
        <v>72</v>
      </c>
      <c r="H44" s="9">
        <f ca="1">OFFSET(TIAM15_assumptions!$G44,0,MATCH(VLOOKUP(Assumptions!H$2,TIAM15_assumptions!$Y$3:$Z$36,2,FALSE),TIAM15_assumptions!$H$2:$V$2,0))</f>
        <v>0.3</v>
      </c>
      <c r="I44" s="9">
        <f ca="1">OFFSET(TIAM15_assumptions!$G44,0,MATCH(VLOOKUP(Assumptions!I$2,TIAM15_assumptions!$Y$3:$Z$36,2,FALSE),TIAM15_assumptions!$H$2:$V$2,0))</f>
        <v>0.3</v>
      </c>
      <c r="J44" s="9">
        <f ca="1">OFFSET(TIAM15_assumptions!$G44,0,MATCH(VLOOKUP(Assumptions!J$2,TIAM15_assumptions!$Y$3:$Z$36,2,FALSE),TIAM15_assumptions!$H$2:$V$2,0))</f>
        <v>1</v>
      </c>
      <c r="K44" s="9">
        <f ca="1">OFFSET(TIAM15_assumptions!$G44,0,MATCH(VLOOKUP(Assumptions!K$2,TIAM15_assumptions!$Y$3:$Z$36,2,FALSE),TIAM15_assumptions!$H$2:$V$2,0))</f>
        <v>0</v>
      </c>
      <c r="L44" s="9">
        <f ca="1">OFFSET(TIAM15_assumptions!$G44,0,MATCH(VLOOKUP(Assumptions!L$2,TIAM15_assumptions!$Y$3:$Z$36,2,FALSE),TIAM15_assumptions!$H$2:$V$2,0))</f>
        <v>0</v>
      </c>
      <c r="M44" s="9">
        <f ca="1">OFFSET(TIAM15_assumptions!$G44,0,MATCH(VLOOKUP(Assumptions!M$2,TIAM15_assumptions!$Y$3:$Z$36,2,FALSE),TIAM15_assumptions!$H$2:$V$2,0))</f>
        <v>0.7</v>
      </c>
      <c r="N44" s="9">
        <f ca="1">OFFSET(TIAM15_assumptions!$G44,0,MATCH(VLOOKUP(Assumptions!N$2,TIAM15_assumptions!$Y$3:$Z$36,2,FALSE),TIAM15_assumptions!$H$2:$V$2,0))</f>
        <v>0.8</v>
      </c>
      <c r="O44" s="9">
        <f ca="1">OFFSET(TIAM15_assumptions!$G44,0,MATCH(VLOOKUP(Assumptions!O$2,TIAM15_assumptions!$Y$3:$Z$36,2,FALSE),TIAM15_assumptions!$H$2:$V$2,0))</f>
        <v>1</v>
      </c>
      <c r="P44" s="9">
        <f ca="1">OFFSET(TIAM15_assumptions!$G44,0,MATCH(VLOOKUP(Assumptions!P$2,TIAM15_assumptions!$Y$3:$Z$36,2,FALSE),TIAM15_assumptions!$H$2:$V$2,0))</f>
        <v>0</v>
      </c>
      <c r="Q44" s="9">
        <f ca="1">OFFSET(TIAM15_assumptions!$G44,0,MATCH(VLOOKUP(Assumptions!Q$2,TIAM15_assumptions!$Y$3:$Z$36,2,FALSE),TIAM15_assumptions!$H$2:$V$2,0))</f>
        <v>0.8</v>
      </c>
      <c r="R44" s="9">
        <f ca="1">OFFSET(TIAM15_assumptions!$G44,0,MATCH(VLOOKUP(Assumptions!R$2,TIAM15_assumptions!$Y$3:$Z$36,2,FALSE),TIAM15_assumptions!$H$2:$V$2,0))</f>
        <v>0</v>
      </c>
      <c r="S44" s="9">
        <f ca="1">OFFSET(TIAM15_assumptions!$G44,0,MATCH(VLOOKUP(Assumptions!S$2,TIAM15_assumptions!$Y$3:$Z$36,2,FALSE),TIAM15_assumptions!$H$2:$V$2,0))</f>
        <v>0</v>
      </c>
      <c r="T44" s="9">
        <f ca="1">OFFSET(TIAM15_assumptions!$G44,0,MATCH(VLOOKUP(Assumptions!T$2,TIAM15_assumptions!$Y$3:$Z$36,2,FALSE),TIAM15_assumptions!$H$2:$V$2,0))</f>
        <v>0</v>
      </c>
      <c r="U44" s="9">
        <f ca="1">OFFSET(TIAM15_assumptions!$G44,0,MATCH(VLOOKUP(Assumptions!U$2,TIAM15_assumptions!$Y$3:$Z$36,2,FALSE),TIAM15_assumptions!$H$2:$V$2,0))</f>
        <v>0</v>
      </c>
      <c r="V44" s="9">
        <f ca="1">OFFSET(TIAM15_assumptions!$G44,0,MATCH(VLOOKUP(Assumptions!V$2,TIAM15_assumptions!$Y$3:$Z$36,2,FALSE),TIAM15_assumptions!$H$2:$V$2,0))</f>
        <v>0</v>
      </c>
      <c r="W44" s="9">
        <f ca="1">OFFSET(TIAM15_assumptions!$G44,0,MATCH(VLOOKUP(Assumptions!W$2,TIAM15_assumptions!$Y$3:$Z$36,2,FALSE),TIAM15_assumptions!$H$2:$V$2,0))</f>
        <v>0</v>
      </c>
      <c r="X44" s="9">
        <f ca="1">OFFSET(TIAM15_assumptions!$G44,0,MATCH(VLOOKUP(Assumptions!X$2,TIAM15_assumptions!$Y$3:$Z$36,2,FALSE),TIAM15_assumptions!$H$2:$V$2,0))</f>
        <v>0.3</v>
      </c>
      <c r="Y44" s="9">
        <f ca="1">OFFSET(TIAM15_assumptions!$G44,0,MATCH(VLOOKUP(Assumptions!Y$2,TIAM15_assumptions!$Y$3:$Z$36,2,FALSE),TIAM15_assumptions!$H$2:$V$2,0))</f>
        <v>0</v>
      </c>
      <c r="Z44" s="9">
        <f ca="1">OFFSET(TIAM15_assumptions!$G44,0,MATCH(VLOOKUP(Assumptions!Z$2,TIAM15_assumptions!$Y$3:$Z$36,2,FALSE),TIAM15_assumptions!$H$2:$V$2,0))</f>
        <v>0</v>
      </c>
      <c r="AA44" s="9">
        <f ca="1">OFFSET(TIAM15_assumptions!$G44,0,MATCH(VLOOKUP(Assumptions!AA$2,TIAM15_assumptions!$Y$3:$Z$36,2,FALSE),TIAM15_assumptions!$H$2:$V$2,0))</f>
        <v>0.8</v>
      </c>
      <c r="AB44" s="9">
        <f ca="1">OFFSET(TIAM15_assumptions!$G44,0,MATCH(VLOOKUP(Assumptions!AB$2,TIAM15_assumptions!$Y$3:$Z$36,2,FALSE),TIAM15_assumptions!$H$2:$V$2,0))</f>
        <v>1</v>
      </c>
      <c r="AC44" s="9">
        <f ca="1">OFFSET(TIAM15_assumptions!$G44,0,MATCH(VLOOKUP(Assumptions!AC$2,TIAM15_assumptions!$Y$3:$Z$36,2,FALSE),TIAM15_assumptions!$H$2:$V$2,0))</f>
        <v>0.8</v>
      </c>
      <c r="AD44" s="9">
        <f ca="1">OFFSET(TIAM15_assumptions!$G44,0,MATCH(VLOOKUP(Assumptions!AD$2,TIAM15_assumptions!$Y$3:$Z$36,2,FALSE),TIAM15_assumptions!$H$2:$V$2,0))</f>
        <v>0.3</v>
      </c>
      <c r="AE44" s="9">
        <f ca="1">OFFSET(TIAM15_assumptions!$G44,0,MATCH(VLOOKUP(Assumptions!AE$2,TIAM15_assumptions!$Y$3:$Z$36,2,FALSE),TIAM15_assumptions!$H$2:$V$2,0))</f>
        <v>0</v>
      </c>
      <c r="AF44" s="9">
        <f ca="1">OFFSET(TIAM15_assumptions!$G44,0,MATCH(VLOOKUP(Assumptions!AF$2,TIAM15_assumptions!$Y$3:$Z$36,2,FALSE),TIAM15_assumptions!$H$2:$V$2,0))</f>
        <v>0</v>
      </c>
      <c r="AG44" s="9">
        <f ca="1">OFFSET(TIAM15_assumptions!$G44,0,MATCH(VLOOKUP(Assumptions!AG$2,TIAM15_assumptions!$Y$3:$Z$36,2,FALSE),TIAM15_assumptions!$H$2:$V$2,0))</f>
        <v>0.3</v>
      </c>
      <c r="AH44" s="9">
        <f ca="1">OFFSET(TIAM15_assumptions!$G44,0,MATCH(VLOOKUP(Assumptions!AH$2,TIAM15_assumptions!$Y$3:$Z$36,2,FALSE),TIAM15_assumptions!$H$2:$V$2,0))</f>
        <v>0.3</v>
      </c>
      <c r="AI44" s="9">
        <f ca="1">OFFSET(TIAM15_assumptions!$G44,0,MATCH(VLOOKUP(Assumptions!AI$2,TIAM15_assumptions!$Y$3:$Z$36,2,FALSE),TIAM15_assumptions!$H$2:$V$2,0))</f>
        <v>0</v>
      </c>
      <c r="AJ44" s="9">
        <f ca="1">OFFSET(TIAM15_assumptions!$G44,0,MATCH(VLOOKUP(Assumptions!AJ$2,TIAM15_assumptions!$Y$3:$Z$36,2,FALSE),TIAM15_assumptions!$H$2:$V$2,0))</f>
        <v>0.02</v>
      </c>
      <c r="AK44" s="9">
        <f ca="1">OFFSET(TIAM15_assumptions!$G44,0,MATCH(VLOOKUP(Assumptions!AK$2,TIAM15_assumptions!$Y$3:$Z$36,2,FALSE),TIAM15_assumptions!$H$2:$V$2,0))</f>
        <v>0.02</v>
      </c>
      <c r="AN44" s="34">
        <f ca="1">IFERROR(SUMIFS('TRA balance'!E$5:E$40,'TRA balance'!$C$5:$C$40,Assumptions!$C44,'TRA balance'!$D$5:$D$40,Assumptions!$B44)*BS44*H44,"")</f>
        <v>5.1527990950560003</v>
      </c>
      <c r="AO44" s="34">
        <f ca="1">IFERROR(SUMIFS('TRA balance'!F$5:F$40,'TRA balance'!$C$5:$C$40,Assumptions!$C44,'TRA balance'!$D$5:$D$40,Assumptions!$B44)*BT44*I44,"")</f>
        <v>2.9572205760000003E-3</v>
      </c>
      <c r="AP44" s="34">
        <f ca="1">IFERROR(SUMIFS('TRA balance'!G$5:G$40,'TRA balance'!$C$5:$C$40,Assumptions!$C44,'TRA balance'!$D$5:$D$40,Assumptions!$B44)*BU44*J44,"")</f>
        <v>0.26031638340000002</v>
      </c>
      <c r="AQ44" s="34">
        <f ca="1">IFERROR(SUMIFS('TRA balance'!H$5:H$40,'TRA balance'!$C$5:$C$40,Assumptions!$C44,'TRA balance'!$D$5:$D$40,Assumptions!$B44)*BV44*K44,"")</f>
        <v>0</v>
      </c>
      <c r="AR44" s="34">
        <f ca="1">IFERROR(SUMIFS('TRA balance'!I$5:I$40,'TRA balance'!$C$5:$C$40,Assumptions!$C44,'TRA balance'!$D$5:$D$40,Assumptions!$B44)*BW44*L44,"")</f>
        <v>0</v>
      </c>
      <c r="AS44" s="34">
        <f ca="1">IFERROR(SUMIFS('TRA balance'!J$5:J$40,'TRA balance'!$C$5:$C$40,Assumptions!$C44,'TRA balance'!$D$5:$D$40,Assumptions!$B44)*BX44*M44,"")</f>
        <v>11.616236364852</v>
      </c>
      <c r="AT44" s="34">
        <f ca="1">IFERROR(SUMIFS('TRA balance'!K$5:K$40,'TRA balance'!$C$5:$C$40,Assumptions!$C44,'TRA balance'!$D$5:$D$40,Assumptions!$B44)*BY44*N44,"")</f>
        <v>9.2041330039200009</v>
      </c>
      <c r="AU44" s="34">
        <f ca="1">IFERROR(SUMIFS('TRA balance'!L$5:L$40,'TRA balance'!$C$5:$C$40,Assumptions!$C44,'TRA balance'!$D$5:$D$40,Assumptions!$B44)*BZ44*O44,"")</f>
        <v>0</v>
      </c>
      <c r="AV44" s="34">
        <f ca="1">IFERROR(SUMIFS('TRA balance'!M$5:M$40,'TRA balance'!$C$5:$C$40,Assumptions!$C44,'TRA balance'!$D$5:$D$40,Assumptions!$B44)*CA44*P44,"")</f>
        <v>0</v>
      </c>
      <c r="AW44" s="34">
        <f ca="1">IFERROR(SUMIFS('TRA balance'!N$5:N$40,'TRA balance'!$C$5:$C$40,Assumptions!$C44,'TRA balance'!$D$5:$D$40,Assumptions!$B44)*CB44*Q44,"")</f>
        <v>43.489778081471997</v>
      </c>
      <c r="AX44" s="34">
        <f ca="1">IFERROR(SUMIFS('TRA balance'!O$5:O$40,'TRA balance'!$C$5:$C$40,Assumptions!$C44,'TRA balance'!$D$5:$D$40,Assumptions!$B44)*CC44*R44,"")</f>
        <v>0</v>
      </c>
      <c r="AY44" s="34">
        <f ca="1">IFERROR(SUMIFS('TRA balance'!P$5:P$40,'TRA balance'!$C$5:$C$40,Assumptions!$C44,'TRA balance'!$D$5:$D$40,Assumptions!$B44)*CD44*S44,"")</f>
        <v>0</v>
      </c>
      <c r="AZ44" s="34">
        <f ca="1">IFERROR(SUMIFS('TRA balance'!Q$5:Q$40,'TRA balance'!$C$5:$C$40,Assumptions!$C44,'TRA balance'!$D$5:$D$40,Assumptions!$B44)*CE44*T44,"")</f>
        <v>0</v>
      </c>
      <c r="BA44" s="34">
        <f ca="1">IFERROR(SUMIFS('TRA balance'!R$5:R$40,'TRA balance'!$C$5:$C$40,Assumptions!$C44,'TRA balance'!$D$5:$D$40,Assumptions!$B44)*CF44*U44,"")</f>
        <v>0</v>
      </c>
      <c r="BB44" s="34">
        <f ca="1">IFERROR(SUMIFS('TRA balance'!S$5:S$40,'TRA balance'!$C$5:$C$40,Assumptions!$C44,'TRA balance'!$D$5:$D$40,Assumptions!$B44)*CG44*V44,"")</f>
        <v>0</v>
      </c>
      <c r="BC44" s="34">
        <f ca="1">IFERROR(SUMIFS('TRA balance'!T$5:T$40,'TRA balance'!$C$5:$C$40,Assumptions!$C44,'TRA balance'!$D$5:$D$40,Assumptions!$B44)*CH44*W44,"")</f>
        <v>0</v>
      </c>
      <c r="BD44" s="34">
        <f ca="1">IFERROR(SUMIFS('TRA balance'!U$5:U$40,'TRA balance'!$C$5:$C$40,Assumptions!$C44,'TRA balance'!$D$5:$D$40,Assumptions!$B44)*CI44*X44,"")</f>
        <v>30.244131391824002</v>
      </c>
      <c r="BE44" s="34">
        <f ca="1">IFERROR(SUMIFS('TRA balance'!V$5:V$40,'TRA balance'!$C$5:$C$40,Assumptions!$C44,'TRA balance'!$D$5:$D$40,Assumptions!$B44)*CJ44*Y44,"")</f>
        <v>0</v>
      </c>
      <c r="BF44" s="34">
        <f ca="1">IFERROR(SUMIFS('TRA balance'!W$5:W$40,'TRA balance'!$C$5:$C$40,Assumptions!$C44,'TRA balance'!$D$5:$D$40,Assumptions!$B44)*CK44*Z44,"")</f>
        <v>0</v>
      </c>
      <c r="BG44" s="34">
        <f ca="1">IFERROR(SUMIFS('TRA balance'!X$5:X$40,'TRA balance'!$C$5:$C$40,Assumptions!$C44,'TRA balance'!$D$5:$D$40,Assumptions!$B44)*CL44*AA44,"")</f>
        <v>4.8785221620000003</v>
      </c>
      <c r="BH44" s="34">
        <f ca="1">IFERROR(SUMIFS('TRA balance'!Y$5:Y$40,'TRA balance'!$C$5:$C$40,Assumptions!$C44,'TRA balance'!$D$5:$D$40,Assumptions!$B44)*CM44*AB44,"")</f>
        <v>17.038253775600001</v>
      </c>
      <c r="BI44" s="34">
        <f ca="1">IFERROR(SUMIFS('TRA balance'!Z$5:Z$40,'TRA balance'!$C$5:$C$40,Assumptions!$C44,'TRA balance'!$D$5:$D$40,Assumptions!$B44)*CN44*AC44,"")</f>
        <v>16.724709012816</v>
      </c>
      <c r="BJ44" s="34">
        <f ca="1">IFERROR(SUMIFS('TRA balance'!AA$5:AA$40,'TRA balance'!$C$5:$C$40,Assumptions!$C44,'TRA balance'!$D$5:$D$40,Assumptions!$B44)*CO44*AD44,"")</f>
        <v>0.337024169712</v>
      </c>
      <c r="BK44" s="34">
        <f ca="1">IFERROR(SUMIFS('TRA balance'!AB$5:AB$40,'TRA balance'!$C$5:$C$40,Assumptions!$C44,'TRA balance'!$D$5:$D$40,Assumptions!$B44)*CP44*AE44,"")</f>
        <v>0</v>
      </c>
      <c r="BL44" s="34">
        <f ca="1">IFERROR(SUMIFS('TRA balance'!AC$5:AC$40,'TRA balance'!$C$5:$C$40,Assumptions!$C44,'TRA balance'!$D$5:$D$40,Assumptions!$B44)*CQ44*AF44,"")</f>
        <v>0</v>
      </c>
      <c r="BM44" s="34">
        <f ca="1">IFERROR(SUMIFS('TRA balance'!AD$5:AD$40,'TRA balance'!$C$5:$C$40,Assumptions!$C44,'TRA balance'!$D$5:$D$40,Assumptions!$B44)*CR44*AG44,"")</f>
        <v>0</v>
      </c>
      <c r="BN44" s="34">
        <f ca="1">IFERROR(SUMIFS('TRA balance'!AE$5:AE$40,'TRA balance'!$C$5:$C$40,Assumptions!$C44,'TRA balance'!$D$5:$D$40,Assumptions!$B44)*CS44*AH44,"")</f>
        <v>7.8489939599999989E-2</v>
      </c>
      <c r="BO44" s="34">
        <f ca="1">IFERROR(SUMIFS('TRA balance'!AF$5:AF$40,'TRA balance'!$C$5:$C$40,Assumptions!$C44,'TRA balance'!$D$5:$D$40,Assumptions!$B44)*CT44*AI44,"")</f>
        <v>0</v>
      </c>
      <c r="BP44" s="34">
        <f ca="1">IFERROR(SUMIFS('TRA balance'!AG$5:AG$40,'TRA balance'!$C$5:$C$40,Assumptions!$C44,'TRA balance'!$D$5:$D$40,Assumptions!$B44)*CU44*AJ44,"")</f>
        <v>1.7796743824241911E-2</v>
      </c>
      <c r="BQ44" s="34">
        <f ca="1">IFERROR(SUMIFS('TRA balance'!AH$5:AH$40,'TRA balance'!$C$5:$C$40,Assumptions!$C44,'TRA balance'!$D$5:$D$40,Assumptions!$B44)*CV44*AK44,"")</f>
        <v>0</v>
      </c>
      <c r="BS44" s="33">
        <f t="shared" ca="1" si="90"/>
        <v>0.4</v>
      </c>
      <c r="BT44" s="33">
        <f t="shared" ca="1" si="91"/>
        <v>0.4</v>
      </c>
      <c r="BU44" s="33">
        <f t="shared" ca="1" si="92"/>
        <v>0.5</v>
      </c>
      <c r="BV44" s="33">
        <f t="shared" ca="1" si="93"/>
        <v>0.43000000000000005</v>
      </c>
      <c r="BW44" s="33">
        <f t="shared" ca="1" si="94"/>
        <v>0.43000000000000005</v>
      </c>
      <c r="BX44" s="33">
        <f t="shared" ca="1" si="95"/>
        <v>0.30000000000000004</v>
      </c>
      <c r="BY44" s="33">
        <f t="shared" ca="1" si="96"/>
        <v>0.75</v>
      </c>
      <c r="BZ44" s="33">
        <f t="shared" ca="1" si="97"/>
        <v>0.5</v>
      </c>
      <c r="CA44" s="33">
        <f t="shared" ca="1" si="98"/>
        <v>9.9999999999999978E-2</v>
      </c>
      <c r="CB44" s="33">
        <f t="shared" ca="1" si="99"/>
        <v>0.6</v>
      </c>
      <c r="CC44" s="33">
        <f t="shared" ca="1" si="100"/>
        <v>0.25</v>
      </c>
      <c r="CD44" s="33">
        <f t="shared" ca="1" si="101"/>
        <v>0.43000000000000005</v>
      </c>
      <c r="CE44" s="33">
        <f t="shared" ca="1" si="102"/>
        <v>0.25</v>
      </c>
      <c r="CF44" s="33">
        <f t="shared" ca="1" si="103"/>
        <v>0.25</v>
      </c>
      <c r="CG44" s="33">
        <f t="shared" ca="1" si="104"/>
        <v>0.43000000000000005</v>
      </c>
      <c r="CH44" s="33">
        <f t="shared" ca="1" si="31"/>
        <v>0.25</v>
      </c>
      <c r="CI44" s="33">
        <f t="shared" ca="1" si="32"/>
        <v>0.4</v>
      </c>
      <c r="CJ44" s="33">
        <f t="shared" ca="1" si="33"/>
        <v>0.25</v>
      </c>
      <c r="CK44" s="33">
        <f t="shared" ca="1" si="34"/>
        <v>0.25</v>
      </c>
      <c r="CL44" s="33">
        <f t="shared" ca="1" si="35"/>
        <v>0.75</v>
      </c>
      <c r="CM44" s="33">
        <f t="shared" ca="1" si="36"/>
        <v>0.5</v>
      </c>
      <c r="CN44" s="33">
        <f t="shared" ca="1" si="37"/>
        <v>0.35</v>
      </c>
      <c r="CO44" s="33">
        <f t="shared" ca="1" si="38"/>
        <v>0.4</v>
      </c>
      <c r="CP44" s="33">
        <f t="shared" ca="1" si="39"/>
        <v>0.25</v>
      </c>
      <c r="CQ44" s="33">
        <f t="shared" ca="1" si="40"/>
        <v>0.43000000000000005</v>
      </c>
      <c r="CR44" s="33">
        <f t="shared" ca="1" si="41"/>
        <v>0.4</v>
      </c>
      <c r="CS44" s="33">
        <f t="shared" ca="1" si="42"/>
        <v>0.4</v>
      </c>
      <c r="CT44" s="33">
        <f t="shared" ca="1" si="43"/>
        <v>0.25</v>
      </c>
      <c r="CU44" s="33">
        <f t="shared" ca="1" si="44"/>
        <v>0.28078528284437665</v>
      </c>
      <c r="CV44" s="33">
        <f t="shared" ca="1" si="45"/>
        <v>0.28078528284437665</v>
      </c>
    </row>
    <row r="45" spans="1:100" x14ac:dyDescent="0.45">
      <c r="A45">
        <v>2</v>
      </c>
      <c r="B45" t="str">
        <f>VLOOKUP(F45,'TRA balance'!$AK$5:$AL$14,2,FALSE)</f>
        <v>TRALPG</v>
      </c>
      <c r="C45" s="6" t="str">
        <f t="shared" si="46"/>
        <v>TR</v>
      </c>
      <c r="D45" s="7" t="s">
        <v>16</v>
      </c>
      <c r="E45" s="18" t="s">
        <v>73</v>
      </c>
      <c r="F45" s="8" t="str">
        <f t="shared" ref="F45:F51" si="117">F44</f>
        <v>Liquified Petroleum Gases</v>
      </c>
      <c r="G45" s="6" t="s">
        <v>74</v>
      </c>
      <c r="H45" s="9">
        <f ca="1">OFFSET(TIAM15_assumptions!$G45,0,MATCH(VLOOKUP(Assumptions!H$2,TIAM15_assumptions!$Y$3:$Z$36,2,FALSE),TIAM15_assumptions!$H$2:$V$2,0))</f>
        <v>0</v>
      </c>
      <c r="I45" s="9">
        <f ca="1">OFFSET(TIAM15_assumptions!$G45,0,MATCH(VLOOKUP(Assumptions!I$2,TIAM15_assumptions!$Y$3:$Z$36,2,FALSE),TIAM15_assumptions!$H$2:$V$2,0))</f>
        <v>0</v>
      </c>
      <c r="J45" s="9">
        <f ca="1">OFFSET(TIAM15_assumptions!$G45,0,MATCH(VLOOKUP(Assumptions!J$2,TIAM15_assumptions!$Y$3:$Z$36,2,FALSE),TIAM15_assumptions!$H$2:$V$2,0))</f>
        <v>0</v>
      </c>
      <c r="K45" s="9">
        <f ca="1">OFFSET(TIAM15_assumptions!$G45,0,MATCH(VLOOKUP(Assumptions!K$2,TIAM15_assumptions!$Y$3:$Z$36,2,FALSE),TIAM15_assumptions!$H$2:$V$2,0))</f>
        <v>0</v>
      </c>
      <c r="L45" s="9">
        <f ca="1">OFFSET(TIAM15_assumptions!$G45,0,MATCH(VLOOKUP(Assumptions!L$2,TIAM15_assumptions!$Y$3:$Z$36,2,FALSE),TIAM15_assumptions!$H$2:$V$2,0))</f>
        <v>0</v>
      </c>
      <c r="M45" s="9">
        <f ca="1">OFFSET(TIAM15_assumptions!$G45,0,MATCH(VLOOKUP(Assumptions!M$2,TIAM15_assumptions!$Y$3:$Z$36,2,FALSE),TIAM15_assumptions!$H$2:$V$2,0))</f>
        <v>0</v>
      </c>
      <c r="N45" s="9">
        <f ca="1">OFFSET(TIAM15_assumptions!$G45,0,MATCH(VLOOKUP(Assumptions!N$2,TIAM15_assumptions!$Y$3:$Z$36,2,FALSE),TIAM15_assumptions!$H$2:$V$2,0))</f>
        <v>0</v>
      </c>
      <c r="O45" s="9">
        <f ca="1">OFFSET(TIAM15_assumptions!$G45,0,MATCH(VLOOKUP(Assumptions!O$2,TIAM15_assumptions!$Y$3:$Z$36,2,FALSE),TIAM15_assumptions!$H$2:$V$2,0))</f>
        <v>0</v>
      </c>
      <c r="P45" s="9">
        <f ca="1">OFFSET(TIAM15_assumptions!$G45,0,MATCH(VLOOKUP(Assumptions!P$2,TIAM15_assumptions!$Y$3:$Z$36,2,FALSE),TIAM15_assumptions!$H$2:$V$2,0))</f>
        <v>0</v>
      </c>
      <c r="Q45" s="9">
        <f ca="1">OFFSET(TIAM15_assumptions!$G45,0,MATCH(VLOOKUP(Assumptions!Q$2,TIAM15_assumptions!$Y$3:$Z$36,2,FALSE),TIAM15_assumptions!$H$2:$V$2,0))</f>
        <v>0</v>
      </c>
      <c r="R45" s="9">
        <f ca="1">OFFSET(TIAM15_assumptions!$G45,0,MATCH(VLOOKUP(Assumptions!R$2,TIAM15_assumptions!$Y$3:$Z$36,2,FALSE),TIAM15_assumptions!$H$2:$V$2,0))</f>
        <v>0</v>
      </c>
      <c r="S45" s="9">
        <f ca="1">OFFSET(TIAM15_assumptions!$G45,0,MATCH(VLOOKUP(Assumptions!S$2,TIAM15_assumptions!$Y$3:$Z$36,2,FALSE),TIAM15_assumptions!$H$2:$V$2,0))</f>
        <v>0</v>
      </c>
      <c r="T45" s="9">
        <f ca="1">OFFSET(TIAM15_assumptions!$G45,0,MATCH(VLOOKUP(Assumptions!T$2,TIAM15_assumptions!$Y$3:$Z$36,2,FALSE),TIAM15_assumptions!$H$2:$V$2,0))</f>
        <v>0</v>
      </c>
      <c r="U45" s="9">
        <f ca="1">OFFSET(TIAM15_assumptions!$G45,0,MATCH(VLOOKUP(Assumptions!U$2,TIAM15_assumptions!$Y$3:$Z$36,2,FALSE),TIAM15_assumptions!$H$2:$V$2,0))</f>
        <v>0</v>
      </c>
      <c r="V45" s="9">
        <f ca="1">OFFSET(TIAM15_assumptions!$G45,0,MATCH(VLOOKUP(Assumptions!V$2,TIAM15_assumptions!$Y$3:$Z$36,2,FALSE),TIAM15_assumptions!$H$2:$V$2,0))</f>
        <v>0</v>
      </c>
      <c r="W45" s="9">
        <f ca="1">OFFSET(TIAM15_assumptions!$G45,0,MATCH(VLOOKUP(Assumptions!W$2,TIAM15_assumptions!$Y$3:$Z$36,2,FALSE),TIAM15_assumptions!$H$2:$V$2,0))</f>
        <v>0</v>
      </c>
      <c r="X45" s="9">
        <f ca="1">OFFSET(TIAM15_assumptions!$G45,0,MATCH(VLOOKUP(Assumptions!X$2,TIAM15_assumptions!$Y$3:$Z$36,2,FALSE),TIAM15_assumptions!$H$2:$V$2,0))</f>
        <v>0</v>
      </c>
      <c r="Y45" s="9">
        <f ca="1">OFFSET(TIAM15_assumptions!$G45,0,MATCH(VLOOKUP(Assumptions!Y$2,TIAM15_assumptions!$Y$3:$Z$36,2,FALSE),TIAM15_assumptions!$H$2:$V$2,0))</f>
        <v>0</v>
      </c>
      <c r="Z45" s="9">
        <f ca="1">OFFSET(TIAM15_assumptions!$G45,0,MATCH(VLOOKUP(Assumptions!Z$2,TIAM15_assumptions!$Y$3:$Z$36,2,FALSE),TIAM15_assumptions!$H$2:$V$2,0))</f>
        <v>0</v>
      </c>
      <c r="AA45" s="9">
        <f ca="1">OFFSET(TIAM15_assumptions!$G45,0,MATCH(VLOOKUP(Assumptions!AA$2,TIAM15_assumptions!$Y$3:$Z$36,2,FALSE),TIAM15_assumptions!$H$2:$V$2,0))</f>
        <v>0</v>
      </c>
      <c r="AB45" s="9">
        <f ca="1">OFFSET(TIAM15_assumptions!$G45,0,MATCH(VLOOKUP(Assumptions!AB$2,TIAM15_assumptions!$Y$3:$Z$36,2,FALSE),TIAM15_assumptions!$H$2:$V$2,0))</f>
        <v>0</v>
      </c>
      <c r="AC45" s="9">
        <f ca="1">OFFSET(TIAM15_assumptions!$G45,0,MATCH(VLOOKUP(Assumptions!AC$2,TIAM15_assumptions!$Y$3:$Z$36,2,FALSE),TIAM15_assumptions!$H$2:$V$2,0))</f>
        <v>0</v>
      </c>
      <c r="AD45" s="9">
        <f ca="1">OFFSET(TIAM15_assumptions!$G45,0,MATCH(VLOOKUP(Assumptions!AD$2,TIAM15_assumptions!$Y$3:$Z$36,2,FALSE),TIAM15_assumptions!$H$2:$V$2,0))</f>
        <v>0</v>
      </c>
      <c r="AE45" s="9">
        <f ca="1">OFFSET(TIAM15_assumptions!$G45,0,MATCH(VLOOKUP(Assumptions!AE$2,TIAM15_assumptions!$Y$3:$Z$36,2,FALSE),TIAM15_assumptions!$H$2:$V$2,0))</f>
        <v>0</v>
      </c>
      <c r="AF45" s="9">
        <f ca="1">OFFSET(TIAM15_assumptions!$G45,0,MATCH(VLOOKUP(Assumptions!AF$2,TIAM15_assumptions!$Y$3:$Z$36,2,FALSE),TIAM15_assumptions!$H$2:$V$2,0))</f>
        <v>0</v>
      </c>
      <c r="AG45" s="9">
        <f ca="1">OFFSET(TIAM15_assumptions!$G45,0,MATCH(VLOOKUP(Assumptions!AG$2,TIAM15_assumptions!$Y$3:$Z$36,2,FALSE),TIAM15_assumptions!$H$2:$V$2,0))</f>
        <v>0</v>
      </c>
      <c r="AH45" s="9">
        <f ca="1">OFFSET(TIAM15_assumptions!$G45,0,MATCH(VLOOKUP(Assumptions!AH$2,TIAM15_assumptions!$Y$3:$Z$36,2,FALSE),TIAM15_assumptions!$H$2:$V$2,0))</f>
        <v>0</v>
      </c>
      <c r="AI45" s="9">
        <f ca="1">OFFSET(TIAM15_assumptions!$G45,0,MATCH(VLOOKUP(Assumptions!AI$2,TIAM15_assumptions!$Y$3:$Z$36,2,FALSE),TIAM15_assumptions!$H$2:$V$2,0))</f>
        <v>0</v>
      </c>
      <c r="AJ45" s="9">
        <f ca="1">OFFSET(TIAM15_assumptions!$G45,0,MATCH(VLOOKUP(Assumptions!AJ$2,TIAM15_assumptions!$Y$3:$Z$36,2,FALSE),TIAM15_assumptions!$H$2:$V$2,0))</f>
        <v>0</v>
      </c>
      <c r="AK45" s="9">
        <f ca="1">OFFSET(TIAM15_assumptions!$G45,0,MATCH(VLOOKUP(Assumptions!AK$2,TIAM15_assumptions!$Y$3:$Z$36,2,FALSE),TIAM15_assumptions!$H$2:$V$2,0))</f>
        <v>0</v>
      </c>
      <c r="AN45" s="34">
        <f ca="1">IFERROR(SUMIFS('TRA balance'!E$5:E$40,'TRA balance'!$C$5:$C$40,Assumptions!$C45,'TRA balance'!$D$5:$D$40,Assumptions!$B45)*BS45*H45,"")</f>
        <v>0</v>
      </c>
      <c r="AO45" s="34">
        <f ca="1">IFERROR(SUMIFS('TRA balance'!F$5:F$40,'TRA balance'!$C$5:$C$40,Assumptions!$C45,'TRA balance'!$D$5:$D$40,Assumptions!$B45)*BT45*I45,"")</f>
        <v>0</v>
      </c>
      <c r="AP45" s="34">
        <f ca="1">IFERROR(SUMIFS('TRA balance'!G$5:G$40,'TRA balance'!$C$5:$C$40,Assumptions!$C45,'TRA balance'!$D$5:$D$40,Assumptions!$B45)*BU45*J45,"")</f>
        <v>0</v>
      </c>
      <c r="AQ45" s="34">
        <f ca="1">IFERROR(SUMIFS('TRA balance'!H$5:H$40,'TRA balance'!$C$5:$C$40,Assumptions!$C45,'TRA balance'!$D$5:$D$40,Assumptions!$B45)*BV45*K45,"")</f>
        <v>0</v>
      </c>
      <c r="AR45" s="34">
        <f ca="1">IFERROR(SUMIFS('TRA balance'!I$5:I$40,'TRA balance'!$C$5:$C$40,Assumptions!$C45,'TRA balance'!$D$5:$D$40,Assumptions!$B45)*BW45*L45,"")</f>
        <v>0</v>
      </c>
      <c r="AS45" s="34">
        <f ca="1">IFERROR(SUMIFS('TRA balance'!J$5:J$40,'TRA balance'!$C$5:$C$40,Assumptions!$C45,'TRA balance'!$D$5:$D$40,Assumptions!$B45)*BX45*M45,"")</f>
        <v>0</v>
      </c>
      <c r="AT45" s="34">
        <f ca="1">IFERROR(SUMIFS('TRA balance'!K$5:K$40,'TRA balance'!$C$5:$C$40,Assumptions!$C45,'TRA balance'!$D$5:$D$40,Assumptions!$B45)*BY45*N45,"")</f>
        <v>0</v>
      </c>
      <c r="AU45" s="34">
        <f ca="1">IFERROR(SUMIFS('TRA balance'!L$5:L$40,'TRA balance'!$C$5:$C$40,Assumptions!$C45,'TRA balance'!$D$5:$D$40,Assumptions!$B45)*BZ45*O45,"")</f>
        <v>0</v>
      </c>
      <c r="AV45" s="34">
        <f ca="1">IFERROR(SUMIFS('TRA balance'!M$5:M$40,'TRA balance'!$C$5:$C$40,Assumptions!$C45,'TRA balance'!$D$5:$D$40,Assumptions!$B45)*CA45*P45,"")</f>
        <v>0</v>
      </c>
      <c r="AW45" s="34">
        <f ca="1">IFERROR(SUMIFS('TRA balance'!N$5:N$40,'TRA balance'!$C$5:$C$40,Assumptions!$C45,'TRA balance'!$D$5:$D$40,Assumptions!$B45)*CB45*Q45,"")</f>
        <v>0</v>
      </c>
      <c r="AX45" s="34">
        <f ca="1">IFERROR(SUMIFS('TRA balance'!O$5:O$40,'TRA balance'!$C$5:$C$40,Assumptions!$C45,'TRA balance'!$D$5:$D$40,Assumptions!$B45)*CC45*R45,"")</f>
        <v>0</v>
      </c>
      <c r="AY45" s="34">
        <f ca="1">IFERROR(SUMIFS('TRA balance'!P$5:P$40,'TRA balance'!$C$5:$C$40,Assumptions!$C45,'TRA balance'!$D$5:$D$40,Assumptions!$B45)*CD45*S45,"")</f>
        <v>0</v>
      </c>
      <c r="AZ45" s="34">
        <f ca="1">IFERROR(SUMIFS('TRA balance'!Q$5:Q$40,'TRA balance'!$C$5:$C$40,Assumptions!$C45,'TRA balance'!$D$5:$D$40,Assumptions!$B45)*CE45*T45,"")</f>
        <v>0</v>
      </c>
      <c r="BA45" s="34">
        <f ca="1">IFERROR(SUMIFS('TRA balance'!R$5:R$40,'TRA balance'!$C$5:$C$40,Assumptions!$C45,'TRA balance'!$D$5:$D$40,Assumptions!$B45)*CF45*U45,"")</f>
        <v>0</v>
      </c>
      <c r="BB45" s="34">
        <f ca="1">IFERROR(SUMIFS('TRA balance'!S$5:S$40,'TRA balance'!$C$5:$C$40,Assumptions!$C45,'TRA balance'!$D$5:$D$40,Assumptions!$B45)*CG45*V45,"")</f>
        <v>0</v>
      </c>
      <c r="BC45" s="34">
        <f ca="1">IFERROR(SUMIFS('TRA balance'!T$5:T$40,'TRA balance'!$C$5:$C$40,Assumptions!$C45,'TRA balance'!$D$5:$D$40,Assumptions!$B45)*CH45*W45,"")</f>
        <v>0</v>
      </c>
      <c r="BD45" s="34">
        <f ca="1">IFERROR(SUMIFS('TRA balance'!U$5:U$40,'TRA balance'!$C$5:$C$40,Assumptions!$C45,'TRA balance'!$D$5:$D$40,Assumptions!$B45)*CI45*X45,"")</f>
        <v>0</v>
      </c>
      <c r="BE45" s="34">
        <f ca="1">IFERROR(SUMIFS('TRA balance'!V$5:V$40,'TRA balance'!$C$5:$C$40,Assumptions!$C45,'TRA balance'!$D$5:$D$40,Assumptions!$B45)*CJ45*Y45,"")</f>
        <v>0</v>
      </c>
      <c r="BF45" s="34">
        <f ca="1">IFERROR(SUMIFS('TRA balance'!W$5:W$40,'TRA balance'!$C$5:$C$40,Assumptions!$C45,'TRA balance'!$D$5:$D$40,Assumptions!$B45)*CK45*Z45,"")</f>
        <v>0</v>
      </c>
      <c r="BG45" s="34">
        <f ca="1">IFERROR(SUMIFS('TRA balance'!X$5:X$40,'TRA balance'!$C$5:$C$40,Assumptions!$C45,'TRA balance'!$D$5:$D$40,Assumptions!$B45)*CL45*AA45,"")</f>
        <v>0</v>
      </c>
      <c r="BH45" s="34">
        <f ca="1">IFERROR(SUMIFS('TRA balance'!Y$5:Y$40,'TRA balance'!$C$5:$C$40,Assumptions!$C45,'TRA balance'!$D$5:$D$40,Assumptions!$B45)*CM45*AB45,"")</f>
        <v>0</v>
      </c>
      <c r="BI45" s="34">
        <f ca="1">IFERROR(SUMIFS('TRA balance'!Z$5:Z$40,'TRA balance'!$C$5:$C$40,Assumptions!$C45,'TRA balance'!$D$5:$D$40,Assumptions!$B45)*CN45*AC45,"")</f>
        <v>0</v>
      </c>
      <c r="BJ45" s="34">
        <f ca="1">IFERROR(SUMIFS('TRA balance'!AA$5:AA$40,'TRA balance'!$C$5:$C$40,Assumptions!$C45,'TRA balance'!$D$5:$D$40,Assumptions!$B45)*CO45*AD45,"")</f>
        <v>0</v>
      </c>
      <c r="BK45" s="34">
        <f ca="1">IFERROR(SUMIFS('TRA balance'!AB$5:AB$40,'TRA balance'!$C$5:$C$40,Assumptions!$C45,'TRA balance'!$D$5:$D$40,Assumptions!$B45)*CP45*AE45,"")</f>
        <v>0</v>
      </c>
      <c r="BL45" s="34">
        <f ca="1">IFERROR(SUMIFS('TRA balance'!AC$5:AC$40,'TRA balance'!$C$5:$C$40,Assumptions!$C45,'TRA balance'!$D$5:$D$40,Assumptions!$B45)*CQ45*AF45,"")</f>
        <v>0</v>
      </c>
      <c r="BM45" s="34">
        <f ca="1">IFERROR(SUMIFS('TRA balance'!AD$5:AD$40,'TRA balance'!$C$5:$C$40,Assumptions!$C45,'TRA balance'!$D$5:$D$40,Assumptions!$B45)*CR45*AG45,"")</f>
        <v>0</v>
      </c>
      <c r="BN45" s="34">
        <f ca="1">IFERROR(SUMIFS('TRA balance'!AE$5:AE$40,'TRA balance'!$C$5:$C$40,Assumptions!$C45,'TRA balance'!$D$5:$D$40,Assumptions!$B45)*CS45*AH45,"")</f>
        <v>0</v>
      </c>
      <c r="BO45" s="34">
        <f ca="1">IFERROR(SUMIFS('TRA balance'!AF$5:AF$40,'TRA balance'!$C$5:$C$40,Assumptions!$C45,'TRA balance'!$D$5:$D$40,Assumptions!$B45)*CT45*AI45,"")</f>
        <v>0</v>
      </c>
      <c r="BP45" s="34">
        <f ca="1">IFERROR(SUMIFS('TRA balance'!AG$5:AG$40,'TRA balance'!$C$5:$C$40,Assumptions!$C45,'TRA balance'!$D$5:$D$40,Assumptions!$B45)*CU45*AJ45,"")</f>
        <v>0</v>
      </c>
      <c r="BQ45" s="34">
        <f ca="1">IFERROR(SUMIFS('TRA balance'!AH$5:AH$40,'TRA balance'!$C$5:$C$40,Assumptions!$C45,'TRA balance'!$D$5:$D$40,Assumptions!$B45)*CV45*AK45,"")</f>
        <v>0</v>
      </c>
      <c r="BS45" s="33">
        <f t="shared" ca="1" si="90"/>
        <v>0.4</v>
      </c>
      <c r="BT45" s="33">
        <f t="shared" ca="1" si="91"/>
        <v>0.4</v>
      </c>
      <c r="BU45" s="33">
        <f t="shared" ca="1" si="92"/>
        <v>0.5</v>
      </c>
      <c r="BV45" s="33">
        <f t="shared" ca="1" si="93"/>
        <v>0.43000000000000005</v>
      </c>
      <c r="BW45" s="33">
        <f t="shared" ca="1" si="94"/>
        <v>0.43000000000000005</v>
      </c>
      <c r="BX45" s="33">
        <f t="shared" ca="1" si="95"/>
        <v>0.30000000000000004</v>
      </c>
      <c r="BY45" s="33">
        <f t="shared" ca="1" si="96"/>
        <v>0.75</v>
      </c>
      <c r="BZ45" s="33">
        <f t="shared" ca="1" si="97"/>
        <v>0.5</v>
      </c>
      <c r="CA45" s="33">
        <f t="shared" ca="1" si="98"/>
        <v>9.9999999999999978E-2</v>
      </c>
      <c r="CB45" s="33">
        <f t="shared" ca="1" si="99"/>
        <v>0.6</v>
      </c>
      <c r="CC45" s="33">
        <f t="shared" ca="1" si="100"/>
        <v>0.25</v>
      </c>
      <c r="CD45" s="33">
        <f t="shared" ca="1" si="101"/>
        <v>0.43000000000000005</v>
      </c>
      <c r="CE45" s="33">
        <f t="shared" ca="1" si="102"/>
        <v>0.25</v>
      </c>
      <c r="CF45" s="33">
        <f t="shared" ca="1" si="103"/>
        <v>0.25</v>
      </c>
      <c r="CG45" s="33">
        <f t="shared" ca="1" si="104"/>
        <v>0.43000000000000005</v>
      </c>
      <c r="CH45" s="33">
        <f t="shared" ca="1" si="31"/>
        <v>0.25</v>
      </c>
      <c r="CI45" s="33">
        <f t="shared" ca="1" si="32"/>
        <v>0.4</v>
      </c>
      <c r="CJ45" s="33">
        <f t="shared" ca="1" si="33"/>
        <v>0.25</v>
      </c>
      <c r="CK45" s="33">
        <f t="shared" ca="1" si="34"/>
        <v>0.25</v>
      </c>
      <c r="CL45" s="33">
        <f t="shared" ca="1" si="35"/>
        <v>0.75</v>
      </c>
      <c r="CM45" s="33">
        <f t="shared" ca="1" si="36"/>
        <v>0.5</v>
      </c>
      <c r="CN45" s="33">
        <f t="shared" ca="1" si="37"/>
        <v>0.35</v>
      </c>
      <c r="CO45" s="33">
        <f t="shared" ca="1" si="38"/>
        <v>0.4</v>
      </c>
      <c r="CP45" s="33">
        <f t="shared" ca="1" si="39"/>
        <v>0.25</v>
      </c>
      <c r="CQ45" s="33">
        <f t="shared" ca="1" si="40"/>
        <v>0.43000000000000005</v>
      </c>
      <c r="CR45" s="33">
        <f t="shared" ca="1" si="41"/>
        <v>0.4</v>
      </c>
      <c r="CS45" s="33">
        <f t="shared" ca="1" si="42"/>
        <v>0.4</v>
      </c>
      <c r="CT45" s="33">
        <f t="shared" ca="1" si="43"/>
        <v>0.25</v>
      </c>
      <c r="CU45" s="33">
        <f t="shared" ca="1" si="44"/>
        <v>0.28078528284437665</v>
      </c>
      <c r="CV45" s="33">
        <f t="shared" ca="1" si="45"/>
        <v>0.28078528284437665</v>
      </c>
    </row>
    <row r="46" spans="1:100" x14ac:dyDescent="0.45">
      <c r="A46">
        <v>2</v>
      </c>
      <c r="B46" t="str">
        <f>VLOOKUP(F46,'TRA balance'!$AK$5:$AL$14,2,FALSE)</f>
        <v>TRALPG</v>
      </c>
      <c r="C46" s="6" t="str">
        <f t="shared" si="46"/>
        <v>TR</v>
      </c>
      <c r="D46" s="7" t="s">
        <v>16</v>
      </c>
      <c r="E46" s="18" t="s">
        <v>75</v>
      </c>
      <c r="F46" s="8" t="str">
        <f t="shared" si="117"/>
        <v>Liquified Petroleum Gases</v>
      </c>
      <c r="G46" s="6" t="s">
        <v>76</v>
      </c>
      <c r="H46" s="9">
        <f ca="1">OFFSET(TIAM15_assumptions!$G46,0,MATCH(VLOOKUP(Assumptions!H$2,TIAM15_assumptions!$Y$3:$Z$36,2,FALSE),TIAM15_assumptions!$H$2:$V$2,0))</f>
        <v>0</v>
      </c>
      <c r="I46" s="9">
        <f ca="1">OFFSET(TIAM15_assumptions!$G46,0,MATCH(VLOOKUP(Assumptions!I$2,TIAM15_assumptions!$Y$3:$Z$36,2,FALSE),TIAM15_assumptions!$H$2:$V$2,0))</f>
        <v>0</v>
      </c>
      <c r="J46" s="9">
        <f ca="1">OFFSET(TIAM15_assumptions!$G46,0,MATCH(VLOOKUP(Assumptions!J$2,TIAM15_assumptions!$Y$3:$Z$36,2,FALSE),TIAM15_assumptions!$H$2:$V$2,0))</f>
        <v>0</v>
      </c>
      <c r="K46" s="9">
        <f ca="1">OFFSET(TIAM15_assumptions!$G46,0,MATCH(VLOOKUP(Assumptions!K$2,TIAM15_assumptions!$Y$3:$Z$36,2,FALSE),TIAM15_assumptions!$H$2:$V$2,0))</f>
        <v>0</v>
      </c>
      <c r="L46" s="9">
        <f ca="1">OFFSET(TIAM15_assumptions!$G46,0,MATCH(VLOOKUP(Assumptions!L$2,TIAM15_assumptions!$Y$3:$Z$36,2,FALSE),TIAM15_assumptions!$H$2:$V$2,0))</f>
        <v>0</v>
      </c>
      <c r="M46" s="9">
        <f ca="1">OFFSET(TIAM15_assumptions!$G46,0,MATCH(VLOOKUP(Assumptions!M$2,TIAM15_assumptions!$Y$3:$Z$36,2,FALSE),TIAM15_assumptions!$H$2:$V$2,0))</f>
        <v>0</v>
      </c>
      <c r="N46" s="9">
        <f ca="1">OFFSET(TIAM15_assumptions!$G46,0,MATCH(VLOOKUP(Assumptions!N$2,TIAM15_assumptions!$Y$3:$Z$36,2,FALSE),TIAM15_assumptions!$H$2:$V$2,0))</f>
        <v>0</v>
      </c>
      <c r="O46" s="9">
        <f ca="1">OFFSET(TIAM15_assumptions!$G46,0,MATCH(VLOOKUP(Assumptions!O$2,TIAM15_assumptions!$Y$3:$Z$36,2,FALSE),TIAM15_assumptions!$H$2:$V$2,0))</f>
        <v>0</v>
      </c>
      <c r="P46" s="9">
        <f ca="1">OFFSET(TIAM15_assumptions!$G46,0,MATCH(VLOOKUP(Assumptions!P$2,TIAM15_assumptions!$Y$3:$Z$36,2,FALSE),TIAM15_assumptions!$H$2:$V$2,0))</f>
        <v>0</v>
      </c>
      <c r="Q46" s="9">
        <f ca="1">OFFSET(TIAM15_assumptions!$G46,0,MATCH(VLOOKUP(Assumptions!Q$2,TIAM15_assumptions!$Y$3:$Z$36,2,FALSE),TIAM15_assumptions!$H$2:$V$2,0))</f>
        <v>0</v>
      </c>
      <c r="R46" s="9">
        <f ca="1">OFFSET(TIAM15_assumptions!$G46,0,MATCH(VLOOKUP(Assumptions!R$2,TIAM15_assumptions!$Y$3:$Z$36,2,FALSE),TIAM15_assumptions!$H$2:$V$2,0))</f>
        <v>0</v>
      </c>
      <c r="S46" s="9">
        <f ca="1">OFFSET(TIAM15_assumptions!$G46,0,MATCH(VLOOKUP(Assumptions!S$2,TIAM15_assumptions!$Y$3:$Z$36,2,FALSE),TIAM15_assumptions!$H$2:$V$2,0))</f>
        <v>0</v>
      </c>
      <c r="T46" s="9">
        <f ca="1">OFFSET(TIAM15_assumptions!$G46,0,MATCH(VLOOKUP(Assumptions!T$2,TIAM15_assumptions!$Y$3:$Z$36,2,FALSE),TIAM15_assumptions!$H$2:$V$2,0))</f>
        <v>0</v>
      </c>
      <c r="U46" s="9">
        <f ca="1">OFFSET(TIAM15_assumptions!$G46,0,MATCH(VLOOKUP(Assumptions!U$2,TIAM15_assumptions!$Y$3:$Z$36,2,FALSE),TIAM15_assumptions!$H$2:$V$2,0))</f>
        <v>0</v>
      </c>
      <c r="V46" s="9">
        <f ca="1">OFFSET(TIAM15_assumptions!$G46,0,MATCH(VLOOKUP(Assumptions!V$2,TIAM15_assumptions!$Y$3:$Z$36,2,FALSE),TIAM15_assumptions!$H$2:$V$2,0))</f>
        <v>0</v>
      </c>
      <c r="W46" s="9">
        <f ca="1">OFFSET(TIAM15_assumptions!$G46,0,MATCH(VLOOKUP(Assumptions!W$2,TIAM15_assumptions!$Y$3:$Z$36,2,FALSE),TIAM15_assumptions!$H$2:$V$2,0))</f>
        <v>0</v>
      </c>
      <c r="X46" s="9">
        <f ca="1">OFFSET(TIAM15_assumptions!$G46,0,MATCH(VLOOKUP(Assumptions!X$2,TIAM15_assumptions!$Y$3:$Z$36,2,FALSE),TIAM15_assumptions!$H$2:$V$2,0))</f>
        <v>0</v>
      </c>
      <c r="Y46" s="9">
        <f ca="1">OFFSET(TIAM15_assumptions!$G46,0,MATCH(VLOOKUP(Assumptions!Y$2,TIAM15_assumptions!$Y$3:$Z$36,2,FALSE),TIAM15_assumptions!$H$2:$V$2,0))</f>
        <v>0</v>
      </c>
      <c r="Z46" s="9">
        <f ca="1">OFFSET(TIAM15_assumptions!$G46,0,MATCH(VLOOKUP(Assumptions!Z$2,TIAM15_assumptions!$Y$3:$Z$36,2,FALSE),TIAM15_assumptions!$H$2:$V$2,0))</f>
        <v>0</v>
      </c>
      <c r="AA46" s="9">
        <f ca="1">OFFSET(TIAM15_assumptions!$G46,0,MATCH(VLOOKUP(Assumptions!AA$2,TIAM15_assumptions!$Y$3:$Z$36,2,FALSE),TIAM15_assumptions!$H$2:$V$2,0))</f>
        <v>0</v>
      </c>
      <c r="AB46" s="9">
        <f ca="1">OFFSET(TIAM15_assumptions!$G46,0,MATCH(VLOOKUP(Assumptions!AB$2,TIAM15_assumptions!$Y$3:$Z$36,2,FALSE),TIAM15_assumptions!$H$2:$V$2,0))</f>
        <v>0</v>
      </c>
      <c r="AC46" s="9">
        <f ca="1">OFFSET(TIAM15_assumptions!$G46,0,MATCH(VLOOKUP(Assumptions!AC$2,TIAM15_assumptions!$Y$3:$Z$36,2,FALSE),TIAM15_assumptions!$H$2:$V$2,0))</f>
        <v>0</v>
      </c>
      <c r="AD46" s="9">
        <f ca="1">OFFSET(TIAM15_assumptions!$G46,0,MATCH(VLOOKUP(Assumptions!AD$2,TIAM15_assumptions!$Y$3:$Z$36,2,FALSE),TIAM15_assumptions!$H$2:$V$2,0))</f>
        <v>0</v>
      </c>
      <c r="AE46" s="9">
        <f ca="1">OFFSET(TIAM15_assumptions!$G46,0,MATCH(VLOOKUP(Assumptions!AE$2,TIAM15_assumptions!$Y$3:$Z$36,2,FALSE),TIAM15_assumptions!$H$2:$V$2,0))</f>
        <v>0</v>
      </c>
      <c r="AF46" s="9">
        <f ca="1">OFFSET(TIAM15_assumptions!$G46,0,MATCH(VLOOKUP(Assumptions!AF$2,TIAM15_assumptions!$Y$3:$Z$36,2,FALSE),TIAM15_assumptions!$H$2:$V$2,0))</f>
        <v>0</v>
      </c>
      <c r="AG46" s="9">
        <f ca="1">OFFSET(TIAM15_assumptions!$G46,0,MATCH(VLOOKUP(Assumptions!AG$2,TIAM15_assumptions!$Y$3:$Z$36,2,FALSE),TIAM15_assumptions!$H$2:$V$2,0))</f>
        <v>0</v>
      </c>
      <c r="AH46" s="9">
        <f ca="1">OFFSET(TIAM15_assumptions!$G46,0,MATCH(VLOOKUP(Assumptions!AH$2,TIAM15_assumptions!$Y$3:$Z$36,2,FALSE),TIAM15_assumptions!$H$2:$V$2,0))</f>
        <v>0</v>
      </c>
      <c r="AI46" s="9">
        <f ca="1">OFFSET(TIAM15_assumptions!$G46,0,MATCH(VLOOKUP(Assumptions!AI$2,TIAM15_assumptions!$Y$3:$Z$36,2,FALSE),TIAM15_assumptions!$H$2:$V$2,0))</f>
        <v>0</v>
      </c>
      <c r="AJ46" s="9">
        <f ca="1">OFFSET(TIAM15_assumptions!$G46,0,MATCH(VLOOKUP(Assumptions!AJ$2,TIAM15_assumptions!$Y$3:$Z$36,2,FALSE),TIAM15_assumptions!$H$2:$V$2,0))</f>
        <v>0</v>
      </c>
      <c r="AK46" s="9">
        <f ca="1">OFFSET(TIAM15_assumptions!$G46,0,MATCH(VLOOKUP(Assumptions!AK$2,TIAM15_assumptions!$Y$3:$Z$36,2,FALSE),TIAM15_assumptions!$H$2:$V$2,0))</f>
        <v>0</v>
      </c>
      <c r="AN46" s="34">
        <f ca="1">IFERROR(SUMIFS('TRA balance'!E$5:E$40,'TRA balance'!$C$5:$C$40,Assumptions!$C46,'TRA balance'!$D$5:$D$40,Assumptions!$B46)*BS46*H46,"")</f>
        <v>0</v>
      </c>
      <c r="AO46" s="34">
        <f ca="1">IFERROR(SUMIFS('TRA balance'!F$5:F$40,'TRA balance'!$C$5:$C$40,Assumptions!$C46,'TRA balance'!$D$5:$D$40,Assumptions!$B46)*BT46*I46,"")</f>
        <v>0</v>
      </c>
      <c r="AP46" s="34">
        <f ca="1">IFERROR(SUMIFS('TRA balance'!G$5:G$40,'TRA balance'!$C$5:$C$40,Assumptions!$C46,'TRA balance'!$D$5:$D$40,Assumptions!$B46)*BU46*J46,"")</f>
        <v>0</v>
      </c>
      <c r="AQ46" s="34">
        <f ca="1">IFERROR(SUMIFS('TRA balance'!H$5:H$40,'TRA balance'!$C$5:$C$40,Assumptions!$C46,'TRA balance'!$D$5:$D$40,Assumptions!$B46)*BV46*K46,"")</f>
        <v>0</v>
      </c>
      <c r="AR46" s="34">
        <f ca="1">IFERROR(SUMIFS('TRA balance'!I$5:I$40,'TRA balance'!$C$5:$C$40,Assumptions!$C46,'TRA balance'!$D$5:$D$40,Assumptions!$B46)*BW46*L46,"")</f>
        <v>0</v>
      </c>
      <c r="AS46" s="34">
        <f ca="1">IFERROR(SUMIFS('TRA balance'!J$5:J$40,'TRA balance'!$C$5:$C$40,Assumptions!$C46,'TRA balance'!$D$5:$D$40,Assumptions!$B46)*BX46*M46,"")</f>
        <v>0</v>
      </c>
      <c r="AT46" s="34">
        <f ca="1">IFERROR(SUMIFS('TRA balance'!K$5:K$40,'TRA balance'!$C$5:$C$40,Assumptions!$C46,'TRA balance'!$D$5:$D$40,Assumptions!$B46)*BY46*N46,"")</f>
        <v>0</v>
      </c>
      <c r="AU46" s="34">
        <f ca="1">IFERROR(SUMIFS('TRA balance'!L$5:L$40,'TRA balance'!$C$5:$C$40,Assumptions!$C46,'TRA balance'!$D$5:$D$40,Assumptions!$B46)*BZ46*O46,"")</f>
        <v>0</v>
      </c>
      <c r="AV46" s="34">
        <f ca="1">IFERROR(SUMIFS('TRA balance'!M$5:M$40,'TRA balance'!$C$5:$C$40,Assumptions!$C46,'TRA balance'!$D$5:$D$40,Assumptions!$B46)*CA46*P46,"")</f>
        <v>0</v>
      </c>
      <c r="AW46" s="34">
        <f ca="1">IFERROR(SUMIFS('TRA balance'!N$5:N$40,'TRA balance'!$C$5:$C$40,Assumptions!$C46,'TRA balance'!$D$5:$D$40,Assumptions!$B46)*CB46*Q46,"")</f>
        <v>0</v>
      </c>
      <c r="AX46" s="34">
        <f ca="1">IFERROR(SUMIFS('TRA balance'!O$5:O$40,'TRA balance'!$C$5:$C$40,Assumptions!$C46,'TRA balance'!$D$5:$D$40,Assumptions!$B46)*CC46*R46,"")</f>
        <v>0</v>
      </c>
      <c r="AY46" s="34">
        <f ca="1">IFERROR(SUMIFS('TRA balance'!P$5:P$40,'TRA balance'!$C$5:$C$40,Assumptions!$C46,'TRA balance'!$D$5:$D$40,Assumptions!$B46)*CD46*S46,"")</f>
        <v>0</v>
      </c>
      <c r="AZ46" s="34">
        <f ca="1">IFERROR(SUMIFS('TRA balance'!Q$5:Q$40,'TRA balance'!$C$5:$C$40,Assumptions!$C46,'TRA balance'!$D$5:$D$40,Assumptions!$B46)*CE46*T46,"")</f>
        <v>0</v>
      </c>
      <c r="BA46" s="34">
        <f ca="1">IFERROR(SUMIFS('TRA balance'!R$5:R$40,'TRA balance'!$C$5:$C$40,Assumptions!$C46,'TRA balance'!$D$5:$D$40,Assumptions!$B46)*CF46*U46,"")</f>
        <v>0</v>
      </c>
      <c r="BB46" s="34">
        <f ca="1">IFERROR(SUMIFS('TRA balance'!S$5:S$40,'TRA balance'!$C$5:$C$40,Assumptions!$C46,'TRA balance'!$D$5:$D$40,Assumptions!$B46)*CG46*V46,"")</f>
        <v>0</v>
      </c>
      <c r="BC46" s="34">
        <f ca="1">IFERROR(SUMIFS('TRA balance'!T$5:T$40,'TRA balance'!$C$5:$C$40,Assumptions!$C46,'TRA balance'!$D$5:$D$40,Assumptions!$B46)*CH46*W46,"")</f>
        <v>0</v>
      </c>
      <c r="BD46" s="34">
        <f ca="1">IFERROR(SUMIFS('TRA balance'!U$5:U$40,'TRA balance'!$C$5:$C$40,Assumptions!$C46,'TRA balance'!$D$5:$D$40,Assumptions!$B46)*CI46*X46,"")</f>
        <v>0</v>
      </c>
      <c r="BE46" s="34">
        <f ca="1">IFERROR(SUMIFS('TRA balance'!V$5:V$40,'TRA balance'!$C$5:$C$40,Assumptions!$C46,'TRA balance'!$D$5:$D$40,Assumptions!$B46)*CJ46*Y46,"")</f>
        <v>0</v>
      </c>
      <c r="BF46" s="34">
        <f ca="1">IFERROR(SUMIFS('TRA balance'!W$5:W$40,'TRA balance'!$C$5:$C$40,Assumptions!$C46,'TRA balance'!$D$5:$D$40,Assumptions!$B46)*CK46*Z46,"")</f>
        <v>0</v>
      </c>
      <c r="BG46" s="34">
        <f ca="1">IFERROR(SUMIFS('TRA balance'!X$5:X$40,'TRA balance'!$C$5:$C$40,Assumptions!$C46,'TRA balance'!$D$5:$D$40,Assumptions!$B46)*CL46*AA46,"")</f>
        <v>0</v>
      </c>
      <c r="BH46" s="34">
        <f ca="1">IFERROR(SUMIFS('TRA balance'!Y$5:Y$40,'TRA balance'!$C$5:$C$40,Assumptions!$C46,'TRA balance'!$D$5:$D$40,Assumptions!$B46)*CM46*AB46,"")</f>
        <v>0</v>
      </c>
      <c r="BI46" s="34">
        <f ca="1">IFERROR(SUMIFS('TRA balance'!Z$5:Z$40,'TRA balance'!$C$5:$C$40,Assumptions!$C46,'TRA balance'!$D$5:$D$40,Assumptions!$B46)*CN46*AC46,"")</f>
        <v>0</v>
      </c>
      <c r="BJ46" s="34">
        <f ca="1">IFERROR(SUMIFS('TRA balance'!AA$5:AA$40,'TRA balance'!$C$5:$C$40,Assumptions!$C46,'TRA balance'!$D$5:$D$40,Assumptions!$B46)*CO46*AD46,"")</f>
        <v>0</v>
      </c>
      <c r="BK46" s="34">
        <f ca="1">IFERROR(SUMIFS('TRA balance'!AB$5:AB$40,'TRA balance'!$C$5:$C$40,Assumptions!$C46,'TRA balance'!$D$5:$D$40,Assumptions!$B46)*CP46*AE46,"")</f>
        <v>0</v>
      </c>
      <c r="BL46" s="34">
        <f ca="1">IFERROR(SUMIFS('TRA balance'!AC$5:AC$40,'TRA balance'!$C$5:$C$40,Assumptions!$C46,'TRA balance'!$D$5:$D$40,Assumptions!$B46)*CQ46*AF46,"")</f>
        <v>0</v>
      </c>
      <c r="BM46" s="34">
        <f ca="1">IFERROR(SUMIFS('TRA balance'!AD$5:AD$40,'TRA balance'!$C$5:$C$40,Assumptions!$C46,'TRA balance'!$D$5:$D$40,Assumptions!$B46)*CR46*AG46,"")</f>
        <v>0</v>
      </c>
      <c r="BN46" s="34">
        <f ca="1">IFERROR(SUMIFS('TRA balance'!AE$5:AE$40,'TRA balance'!$C$5:$C$40,Assumptions!$C46,'TRA balance'!$D$5:$D$40,Assumptions!$B46)*CS46*AH46,"")</f>
        <v>0</v>
      </c>
      <c r="BO46" s="34">
        <f ca="1">IFERROR(SUMIFS('TRA balance'!AF$5:AF$40,'TRA balance'!$C$5:$C$40,Assumptions!$C46,'TRA balance'!$D$5:$D$40,Assumptions!$B46)*CT46*AI46,"")</f>
        <v>0</v>
      </c>
      <c r="BP46" s="34">
        <f ca="1">IFERROR(SUMIFS('TRA balance'!AG$5:AG$40,'TRA balance'!$C$5:$C$40,Assumptions!$C46,'TRA balance'!$D$5:$D$40,Assumptions!$B46)*CU46*AJ46,"")</f>
        <v>0</v>
      </c>
      <c r="BQ46" s="34">
        <f ca="1">IFERROR(SUMIFS('TRA balance'!AH$5:AH$40,'TRA balance'!$C$5:$C$40,Assumptions!$C46,'TRA balance'!$D$5:$D$40,Assumptions!$B46)*CV46*AK46,"")</f>
        <v>0</v>
      </c>
      <c r="BS46" s="33">
        <f t="shared" ca="1" si="90"/>
        <v>0.4</v>
      </c>
      <c r="BT46" s="33">
        <f t="shared" ca="1" si="91"/>
        <v>0.4</v>
      </c>
      <c r="BU46" s="33">
        <f t="shared" ca="1" si="92"/>
        <v>0.5</v>
      </c>
      <c r="BV46" s="33">
        <f t="shared" ca="1" si="93"/>
        <v>0.43000000000000005</v>
      </c>
      <c r="BW46" s="33">
        <f t="shared" ca="1" si="94"/>
        <v>0.43000000000000005</v>
      </c>
      <c r="BX46" s="33">
        <f t="shared" ca="1" si="95"/>
        <v>0.30000000000000004</v>
      </c>
      <c r="BY46" s="33">
        <f t="shared" ca="1" si="96"/>
        <v>0.75</v>
      </c>
      <c r="BZ46" s="33">
        <f t="shared" ca="1" si="97"/>
        <v>0.5</v>
      </c>
      <c r="CA46" s="33">
        <f t="shared" ca="1" si="98"/>
        <v>9.9999999999999978E-2</v>
      </c>
      <c r="CB46" s="33">
        <f t="shared" ca="1" si="99"/>
        <v>0.6</v>
      </c>
      <c r="CC46" s="33">
        <f t="shared" ca="1" si="100"/>
        <v>0.25</v>
      </c>
      <c r="CD46" s="33">
        <f t="shared" ca="1" si="101"/>
        <v>0.43000000000000005</v>
      </c>
      <c r="CE46" s="33">
        <f t="shared" ca="1" si="102"/>
        <v>0.25</v>
      </c>
      <c r="CF46" s="33">
        <f t="shared" ca="1" si="103"/>
        <v>0.25</v>
      </c>
      <c r="CG46" s="33">
        <f t="shared" ca="1" si="104"/>
        <v>0.43000000000000005</v>
      </c>
      <c r="CH46" s="33">
        <f t="shared" ca="1" si="31"/>
        <v>0.25</v>
      </c>
      <c r="CI46" s="33">
        <f t="shared" ca="1" si="32"/>
        <v>0.4</v>
      </c>
      <c r="CJ46" s="33">
        <f t="shared" ca="1" si="33"/>
        <v>0.25</v>
      </c>
      <c r="CK46" s="33">
        <f t="shared" ca="1" si="34"/>
        <v>0.25</v>
      </c>
      <c r="CL46" s="33">
        <f t="shared" ca="1" si="35"/>
        <v>0.75</v>
      </c>
      <c r="CM46" s="33">
        <f t="shared" ca="1" si="36"/>
        <v>0.5</v>
      </c>
      <c r="CN46" s="33">
        <f t="shared" ca="1" si="37"/>
        <v>0.35</v>
      </c>
      <c r="CO46" s="33">
        <f t="shared" ca="1" si="38"/>
        <v>0.4</v>
      </c>
      <c r="CP46" s="33">
        <f t="shared" ca="1" si="39"/>
        <v>0.25</v>
      </c>
      <c r="CQ46" s="33">
        <f t="shared" ca="1" si="40"/>
        <v>0.43000000000000005</v>
      </c>
      <c r="CR46" s="33">
        <f t="shared" ca="1" si="41"/>
        <v>0.4</v>
      </c>
      <c r="CS46" s="33">
        <f t="shared" ca="1" si="42"/>
        <v>0.4</v>
      </c>
      <c r="CT46" s="33">
        <f t="shared" ca="1" si="43"/>
        <v>0.25</v>
      </c>
      <c r="CU46" s="33">
        <f t="shared" ca="1" si="44"/>
        <v>0.28078528284437665</v>
      </c>
      <c r="CV46" s="33">
        <f t="shared" ca="1" si="45"/>
        <v>0.28078528284437665</v>
      </c>
    </row>
    <row r="47" spans="1:100" x14ac:dyDescent="0.45">
      <c r="A47">
        <v>2</v>
      </c>
      <c r="B47" t="str">
        <f>VLOOKUP(F47,'TRA balance'!$AK$5:$AL$14,2,FALSE)</f>
        <v>TRALPG</v>
      </c>
      <c r="C47" s="6" t="str">
        <f t="shared" si="46"/>
        <v>TR</v>
      </c>
      <c r="D47" s="7" t="s">
        <v>16</v>
      </c>
      <c r="E47" s="18" t="s">
        <v>77</v>
      </c>
      <c r="F47" s="8" t="str">
        <f t="shared" si="117"/>
        <v>Liquified Petroleum Gases</v>
      </c>
      <c r="G47" s="6" t="s">
        <v>78</v>
      </c>
      <c r="H47" s="9">
        <f ca="1">OFFSET(TIAM15_assumptions!$G47,0,MATCH(VLOOKUP(Assumptions!H$2,TIAM15_assumptions!$Y$3:$Z$36,2,FALSE),TIAM15_assumptions!$H$2:$V$2,0))</f>
        <v>0.7</v>
      </c>
      <c r="I47" s="9">
        <f ca="1">OFFSET(TIAM15_assumptions!$G47,0,MATCH(VLOOKUP(Assumptions!I$2,TIAM15_assumptions!$Y$3:$Z$36,2,FALSE),TIAM15_assumptions!$H$2:$V$2,0))</f>
        <v>0.7</v>
      </c>
      <c r="J47" s="9">
        <f ca="1">OFFSET(TIAM15_assumptions!$G47,0,MATCH(VLOOKUP(Assumptions!J$2,TIAM15_assumptions!$Y$3:$Z$36,2,FALSE),TIAM15_assumptions!$H$2:$V$2,0))</f>
        <v>0</v>
      </c>
      <c r="K47" s="9">
        <f ca="1">OFFSET(TIAM15_assumptions!$G47,0,MATCH(VLOOKUP(Assumptions!K$2,TIAM15_assumptions!$Y$3:$Z$36,2,FALSE),TIAM15_assumptions!$H$2:$V$2,0))</f>
        <v>1</v>
      </c>
      <c r="L47" s="9">
        <f ca="1">OFFSET(TIAM15_assumptions!$G47,0,MATCH(VLOOKUP(Assumptions!L$2,TIAM15_assumptions!$Y$3:$Z$36,2,FALSE),TIAM15_assumptions!$H$2:$V$2,0))</f>
        <v>1</v>
      </c>
      <c r="M47" s="9">
        <f ca="1">OFFSET(TIAM15_assumptions!$G47,0,MATCH(VLOOKUP(Assumptions!M$2,TIAM15_assumptions!$Y$3:$Z$36,2,FALSE),TIAM15_assumptions!$H$2:$V$2,0))</f>
        <v>0.30000000000000004</v>
      </c>
      <c r="N47" s="9">
        <f ca="1">OFFSET(TIAM15_assumptions!$G47,0,MATCH(VLOOKUP(Assumptions!N$2,TIAM15_assumptions!$Y$3:$Z$36,2,FALSE),TIAM15_assumptions!$H$2:$V$2,0))</f>
        <v>0.19999999999999996</v>
      </c>
      <c r="O47" s="9">
        <f ca="1">OFFSET(TIAM15_assumptions!$G47,0,MATCH(VLOOKUP(Assumptions!O$2,TIAM15_assumptions!$Y$3:$Z$36,2,FALSE),TIAM15_assumptions!$H$2:$V$2,0))</f>
        <v>0</v>
      </c>
      <c r="P47" s="9">
        <f ca="1">OFFSET(TIAM15_assumptions!$G47,0,MATCH(VLOOKUP(Assumptions!P$2,TIAM15_assumptions!$Y$3:$Z$36,2,FALSE),TIAM15_assumptions!$H$2:$V$2,0))</f>
        <v>1</v>
      </c>
      <c r="Q47" s="9">
        <f ca="1">OFFSET(TIAM15_assumptions!$G47,0,MATCH(VLOOKUP(Assumptions!Q$2,TIAM15_assumptions!$Y$3:$Z$36,2,FALSE),TIAM15_assumptions!$H$2:$V$2,0))</f>
        <v>0.19999999999999996</v>
      </c>
      <c r="R47" s="9">
        <f ca="1">OFFSET(TIAM15_assumptions!$G47,0,MATCH(VLOOKUP(Assumptions!R$2,TIAM15_assumptions!$Y$3:$Z$36,2,FALSE),TIAM15_assumptions!$H$2:$V$2,0))</f>
        <v>1</v>
      </c>
      <c r="S47" s="9">
        <f ca="1">OFFSET(TIAM15_assumptions!$G47,0,MATCH(VLOOKUP(Assumptions!S$2,TIAM15_assumptions!$Y$3:$Z$36,2,FALSE),TIAM15_assumptions!$H$2:$V$2,0))</f>
        <v>1</v>
      </c>
      <c r="T47" s="9">
        <f ca="1">OFFSET(TIAM15_assumptions!$G47,0,MATCH(VLOOKUP(Assumptions!T$2,TIAM15_assumptions!$Y$3:$Z$36,2,FALSE),TIAM15_assumptions!$H$2:$V$2,0))</f>
        <v>1</v>
      </c>
      <c r="U47" s="9">
        <f ca="1">OFFSET(TIAM15_assumptions!$G47,0,MATCH(VLOOKUP(Assumptions!U$2,TIAM15_assumptions!$Y$3:$Z$36,2,FALSE),TIAM15_assumptions!$H$2:$V$2,0))</f>
        <v>1</v>
      </c>
      <c r="V47" s="9">
        <f ca="1">OFFSET(TIAM15_assumptions!$G47,0,MATCH(VLOOKUP(Assumptions!V$2,TIAM15_assumptions!$Y$3:$Z$36,2,FALSE),TIAM15_assumptions!$H$2:$V$2,0))</f>
        <v>1</v>
      </c>
      <c r="W47" s="9">
        <f ca="1">OFFSET(TIAM15_assumptions!$G47,0,MATCH(VLOOKUP(Assumptions!W$2,TIAM15_assumptions!$Y$3:$Z$36,2,FALSE),TIAM15_assumptions!$H$2:$V$2,0))</f>
        <v>1</v>
      </c>
      <c r="X47" s="9">
        <f ca="1">OFFSET(TIAM15_assumptions!$G47,0,MATCH(VLOOKUP(Assumptions!X$2,TIAM15_assumptions!$Y$3:$Z$36,2,FALSE),TIAM15_assumptions!$H$2:$V$2,0))</f>
        <v>0.7</v>
      </c>
      <c r="Y47" s="9">
        <f ca="1">OFFSET(TIAM15_assumptions!$G47,0,MATCH(VLOOKUP(Assumptions!Y$2,TIAM15_assumptions!$Y$3:$Z$36,2,FALSE),TIAM15_assumptions!$H$2:$V$2,0))</f>
        <v>1</v>
      </c>
      <c r="Z47" s="9">
        <f ca="1">OFFSET(TIAM15_assumptions!$G47,0,MATCH(VLOOKUP(Assumptions!Z$2,TIAM15_assumptions!$Y$3:$Z$36,2,FALSE),TIAM15_assumptions!$H$2:$V$2,0))</f>
        <v>1</v>
      </c>
      <c r="AA47" s="9">
        <f ca="1">OFFSET(TIAM15_assumptions!$G47,0,MATCH(VLOOKUP(Assumptions!AA$2,TIAM15_assumptions!$Y$3:$Z$36,2,FALSE),TIAM15_assumptions!$H$2:$V$2,0))</f>
        <v>0.19999999999999996</v>
      </c>
      <c r="AB47" s="9">
        <f ca="1">OFFSET(TIAM15_assumptions!$G47,0,MATCH(VLOOKUP(Assumptions!AB$2,TIAM15_assumptions!$Y$3:$Z$36,2,FALSE),TIAM15_assumptions!$H$2:$V$2,0))</f>
        <v>0</v>
      </c>
      <c r="AC47" s="9">
        <f ca="1">OFFSET(TIAM15_assumptions!$G47,0,MATCH(VLOOKUP(Assumptions!AC$2,TIAM15_assumptions!$Y$3:$Z$36,2,FALSE),TIAM15_assumptions!$H$2:$V$2,0))</f>
        <v>0.19999999999999996</v>
      </c>
      <c r="AD47" s="9">
        <f ca="1">OFFSET(TIAM15_assumptions!$G47,0,MATCH(VLOOKUP(Assumptions!AD$2,TIAM15_assumptions!$Y$3:$Z$36,2,FALSE),TIAM15_assumptions!$H$2:$V$2,0))</f>
        <v>0.7</v>
      </c>
      <c r="AE47" s="9">
        <f ca="1">OFFSET(TIAM15_assumptions!$G47,0,MATCH(VLOOKUP(Assumptions!AE$2,TIAM15_assumptions!$Y$3:$Z$36,2,FALSE),TIAM15_assumptions!$H$2:$V$2,0))</f>
        <v>1</v>
      </c>
      <c r="AF47" s="9">
        <f ca="1">OFFSET(TIAM15_assumptions!$G47,0,MATCH(VLOOKUP(Assumptions!AF$2,TIAM15_assumptions!$Y$3:$Z$36,2,FALSE),TIAM15_assumptions!$H$2:$V$2,0))</f>
        <v>1</v>
      </c>
      <c r="AG47" s="9">
        <f ca="1">OFFSET(TIAM15_assumptions!$G47,0,MATCH(VLOOKUP(Assumptions!AG$2,TIAM15_assumptions!$Y$3:$Z$36,2,FALSE),TIAM15_assumptions!$H$2:$V$2,0))</f>
        <v>0.7</v>
      </c>
      <c r="AH47" s="9">
        <f ca="1">OFFSET(TIAM15_assumptions!$G47,0,MATCH(VLOOKUP(Assumptions!AH$2,TIAM15_assumptions!$Y$3:$Z$36,2,FALSE),TIAM15_assumptions!$H$2:$V$2,0))</f>
        <v>0.7</v>
      </c>
      <c r="AI47" s="9">
        <f ca="1">OFFSET(TIAM15_assumptions!$G47,0,MATCH(VLOOKUP(Assumptions!AI$2,TIAM15_assumptions!$Y$3:$Z$36,2,FALSE),TIAM15_assumptions!$H$2:$V$2,0))</f>
        <v>1</v>
      </c>
      <c r="AJ47" s="9">
        <f ca="1">OFFSET(TIAM15_assumptions!$G47,0,MATCH(VLOOKUP(Assumptions!AJ$2,TIAM15_assumptions!$Y$3:$Z$36,2,FALSE),TIAM15_assumptions!$H$2:$V$2,0))</f>
        <v>0.98</v>
      </c>
      <c r="AK47" s="9">
        <f ca="1">OFFSET(TIAM15_assumptions!$G47,0,MATCH(VLOOKUP(Assumptions!AK$2,TIAM15_assumptions!$Y$3:$Z$36,2,FALSE),TIAM15_assumptions!$H$2:$V$2,0))</f>
        <v>0.98</v>
      </c>
      <c r="AN47" s="34">
        <f ca="1">IFERROR(SUMIFS('TRA balance'!E$5:E$40,'TRA balance'!$C$5:$C$40,Assumptions!$C47,'TRA balance'!$D$5:$D$40,Assumptions!$B47)*BS47*H47,"")</f>
        <v>12.023197888464001</v>
      </c>
      <c r="AO47" s="34">
        <f ca="1">IFERROR(SUMIFS('TRA balance'!F$5:F$40,'TRA balance'!$C$5:$C$40,Assumptions!$C47,'TRA balance'!$D$5:$D$40,Assumptions!$B47)*BT47*I47,"")</f>
        <v>6.9001813440000004E-3</v>
      </c>
      <c r="AP47" s="34">
        <f ca="1">IFERROR(SUMIFS('TRA balance'!G$5:G$40,'TRA balance'!$C$5:$C$40,Assumptions!$C47,'TRA balance'!$D$5:$D$40,Assumptions!$B47)*BU47*J47,"")</f>
        <v>0</v>
      </c>
      <c r="AQ47" s="34">
        <f ca="1">IFERROR(SUMIFS('TRA balance'!H$5:H$40,'TRA balance'!$C$5:$C$40,Assumptions!$C47,'TRA balance'!$D$5:$D$40,Assumptions!$B47)*BV47*K47,"")</f>
        <v>8.1368145630360011</v>
      </c>
      <c r="AR47" s="34">
        <f ca="1">IFERROR(SUMIFS('TRA balance'!I$5:I$40,'TRA balance'!$C$5:$C$40,Assumptions!$C47,'TRA balance'!$D$5:$D$40,Assumptions!$B47)*BW47*L47,"")</f>
        <v>75.425346318996006</v>
      </c>
      <c r="AS47" s="34">
        <f ca="1">IFERROR(SUMIFS('TRA balance'!J$5:J$40,'TRA balance'!$C$5:$C$40,Assumptions!$C47,'TRA balance'!$D$5:$D$40,Assumptions!$B47)*BX47*M47,"")</f>
        <v>4.9783870135080015</v>
      </c>
      <c r="AT47" s="34">
        <f ca="1">IFERROR(SUMIFS('TRA balance'!K$5:K$40,'TRA balance'!$C$5:$C$40,Assumptions!$C47,'TRA balance'!$D$5:$D$40,Assumptions!$B47)*BY47*N47,"")</f>
        <v>2.3010332509799998</v>
      </c>
      <c r="AU47" s="34">
        <f ca="1">IFERROR(SUMIFS('TRA balance'!L$5:L$40,'TRA balance'!$C$5:$C$40,Assumptions!$C47,'TRA balance'!$D$5:$D$40,Assumptions!$B47)*BZ47*O47,"")</f>
        <v>0</v>
      </c>
      <c r="AV47" s="34">
        <f ca="1">IFERROR(SUMIFS('TRA balance'!M$5:M$40,'TRA balance'!$C$5:$C$40,Assumptions!$C47,'TRA balance'!$D$5:$D$40,Assumptions!$B47)*CA47*P47,"")</f>
        <v>1.0926300333599999</v>
      </c>
      <c r="AW47" s="34">
        <f ca="1">IFERROR(SUMIFS('TRA balance'!N$5:N$40,'TRA balance'!$C$5:$C$40,Assumptions!$C47,'TRA balance'!$D$5:$D$40,Assumptions!$B47)*CB47*Q47,"")</f>
        <v>10.872444520367997</v>
      </c>
      <c r="AX47" s="34">
        <f ca="1">IFERROR(SUMIFS('TRA balance'!O$5:O$40,'TRA balance'!$C$5:$C$40,Assumptions!$C47,'TRA balance'!$D$5:$D$40,Assumptions!$B47)*CC47*R47,"")</f>
        <v>0</v>
      </c>
      <c r="AY47" s="34">
        <f ca="1">IFERROR(SUMIFS('TRA balance'!P$5:P$40,'TRA balance'!$C$5:$C$40,Assumptions!$C47,'TRA balance'!$D$5:$D$40,Assumptions!$B47)*CD47*S47,"")</f>
        <v>43.084122546384002</v>
      </c>
      <c r="AZ47" s="34">
        <f ca="1">IFERROR(SUMIFS('TRA balance'!Q$5:Q$40,'TRA balance'!$C$5:$C$40,Assumptions!$C47,'TRA balance'!$D$5:$D$40,Assumptions!$B47)*CE47*T47,"")</f>
        <v>2.0638704996000001</v>
      </c>
      <c r="BA47" s="34">
        <f ca="1">IFERROR(SUMIFS('TRA balance'!R$5:R$40,'TRA balance'!$C$5:$C$40,Assumptions!$C47,'TRA balance'!$D$5:$D$40,Assumptions!$B47)*CF47*U47,"")</f>
        <v>21.539092036500001</v>
      </c>
      <c r="BB47" s="34">
        <f ca="1">IFERROR(SUMIFS('TRA balance'!S$5:S$40,'TRA balance'!$C$5:$C$40,Assumptions!$C47,'TRA balance'!$D$5:$D$40,Assumptions!$B47)*CG47*V47,"")</f>
        <v>11.612887343532002</v>
      </c>
      <c r="BC47" s="34">
        <f ca="1">IFERROR(SUMIFS('TRA balance'!T$5:T$40,'TRA balance'!$C$5:$C$40,Assumptions!$C47,'TRA balance'!$D$5:$D$40,Assumptions!$B47)*CH47*W47,"")</f>
        <v>1.4164656155999999</v>
      </c>
      <c r="BD47" s="34">
        <f ca="1">IFERROR(SUMIFS('TRA balance'!U$5:U$40,'TRA balance'!$C$5:$C$40,Assumptions!$C47,'TRA balance'!$D$5:$D$40,Assumptions!$B47)*CI47*X47,"")</f>
        <v>70.569639914256001</v>
      </c>
      <c r="BE47" s="34">
        <f ca="1">IFERROR(SUMIFS('TRA balance'!V$5:V$40,'TRA balance'!$C$5:$C$40,Assumptions!$C47,'TRA balance'!$D$5:$D$40,Assumptions!$B47)*CJ47*Y47,"")</f>
        <v>0.60514123139999998</v>
      </c>
      <c r="BF47" s="34">
        <f ca="1">IFERROR(SUMIFS('TRA balance'!W$5:W$40,'TRA balance'!$C$5:$C$40,Assumptions!$C47,'TRA balance'!$D$5:$D$40,Assumptions!$B47)*CK47*Z47,"")</f>
        <v>3.8985000920999999</v>
      </c>
      <c r="BG47" s="34">
        <f ca="1">IFERROR(SUMIFS('TRA balance'!X$5:X$40,'TRA balance'!$C$5:$C$40,Assumptions!$C47,'TRA balance'!$D$5:$D$40,Assumptions!$B47)*CL47*AA47,"")</f>
        <v>1.2196305404999999</v>
      </c>
      <c r="BH47" s="34">
        <f ca="1">IFERROR(SUMIFS('TRA balance'!Y$5:Y$40,'TRA balance'!$C$5:$C$40,Assumptions!$C47,'TRA balance'!$D$5:$D$40,Assumptions!$B47)*CM47*AB47,"")</f>
        <v>0</v>
      </c>
      <c r="BI47" s="34">
        <f ca="1">IFERROR(SUMIFS('TRA balance'!Z$5:Z$40,'TRA balance'!$C$5:$C$40,Assumptions!$C47,'TRA balance'!$D$5:$D$40,Assumptions!$B47)*CN47*AC47,"")</f>
        <v>4.181177253203999</v>
      </c>
      <c r="BJ47" s="34">
        <f ca="1">IFERROR(SUMIFS('TRA balance'!AA$5:AA$40,'TRA balance'!$C$5:$C$40,Assumptions!$C47,'TRA balance'!$D$5:$D$40,Assumptions!$B47)*CO47*AD47,"")</f>
        <v>0.786389729328</v>
      </c>
      <c r="BK47" s="34">
        <f ca="1">IFERROR(SUMIFS('TRA balance'!AB$5:AB$40,'TRA balance'!$C$5:$C$40,Assumptions!$C47,'TRA balance'!$D$5:$D$40,Assumptions!$B47)*CP47*AE47,"")</f>
        <v>5.3682102900000001E-2</v>
      </c>
      <c r="BL47" s="34">
        <f ca="1">IFERROR(SUMIFS('TRA balance'!AC$5:AC$40,'TRA balance'!$C$5:$C$40,Assumptions!$C47,'TRA balance'!$D$5:$D$40,Assumptions!$B47)*CQ47*AF47,"")</f>
        <v>23.933404637532004</v>
      </c>
      <c r="BM47" s="34">
        <f ca="1">IFERROR(SUMIFS('TRA balance'!AD$5:AD$40,'TRA balance'!$C$5:$C$40,Assumptions!$C47,'TRA balance'!$D$5:$D$40,Assumptions!$B47)*CR47*AG47,"")</f>
        <v>0</v>
      </c>
      <c r="BN47" s="34">
        <f ca="1">IFERROR(SUMIFS('TRA balance'!AE$5:AE$40,'TRA balance'!$C$5:$C$40,Assumptions!$C47,'TRA balance'!$D$5:$D$40,Assumptions!$B47)*CS47*AH47,"")</f>
        <v>0.18314319239999999</v>
      </c>
      <c r="BO47" s="34">
        <f ca="1">IFERROR(SUMIFS('TRA balance'!AF$5:AF$40,'TRA balance'!$C$5:$C$40,Assumptions!$C47,'TRA balance'!$D$5:$D$40,Assumptions!$B47)*CT47*AI47,"")</f>
        <v>0.72449957249999997</v>
      </c>
      <c r="BP47" s="34">
        <f ca="1">IFERROR(SUMIFS('TRA balance'!AG$5:AG$40,'TRA balance'!$C$5:$C$40,Assumptions!$C47,'TRA balance'!$D$5:$D$40,Assumptions!$B47)*CU47*AJ47,"")</f>
        <v>0.87204044738785358</v>
      </c>
      <c r="BQ47" s="34">
        <f ca="1">IFERROR(SUMIFS('TRA balance'!AH$5:AH$40,'TRA balance'!$C$5:$C$40,Assumptions!$C47,'TRA balance'!$D$5:$D$40,Assumptions!$B47)*CV47*AK47,"")</f>
        <v>0</v>
      </c>
      <c r="BS47" s="33">
        <f t="shared" ca="1" si="90"/>
        <v>0.4</v>
      </c>
      <c r="BT47" s="33">
        <f t="shared" ca="1" si="91"/>
        <v>0.4</v>
      </c>
      <c r="BU47" s="33">
        <f t="shared" ca="1" si="92"/>
        <v>0.5</v>
      </c>
      <c r="BV47" s="33">
        <f t="shared" ca="1" si="93"/>
        <v>0.43000000000000005</v>
      </c>
      <c r="BW47" s="33">
        <f t="shared" ca="1" si="94"/>
        <v>0.43000000000000005</v>
      </c>
      <c r="BX47" s="33">
        <f t="shared" ca="1" si="95"/>
        <v>0.30000000000000004</v>
      </c>
      <c r="BY47" s="33">
        <f t="shared" ca="1" si="96"/>
        <v>0.75</v>
      </c>
      <c r="BZ47" s="33">
        <f t="shared" ca="1" si="97"/>
        <v>0.5</v>
      </c>
      <c r="CA47" s="33">
        <f t="shared" ca="1" si="98"/>
        <v>9.9999999999999978E-2</v>
      </c>
      <c r="CB47" s="33">
        <f t="shared" ca="1" si="99"/>
        <v>0.6</v>
      </c>
      <c r="CC47" s="33">
        <f t="shared" ca="1" si="100"/>
        <v>0.25</v>
      </c>
      <c r="CD47" s="33">
        <f t="shared" ca="1" si="101"/>
        <v>0.43000000000000005</v>
      </c>
      <c r="CE47" s="33">
        <f t="shared" ca="1" si="102"/>
        <v>0.25</v>
      </c>
      <c r="CF47" s="33">
        <f t="shared" ca="1" si="103"/>
        <v>0.25</v>
      </c>
      <c r="CG47" s="33">
        <f t="shared" ca="1" si="104"/>
        <v>0.43000000000000005</v>
      </c>
      <c r="CH47" s="33">
        <f t="shared" ca="1" si="31"/>
        <v>0.25</v>
      </c>
      <c r="CI47" s="33">
        <f t="shared" ca="1" si="32"/>
        <v>0.4</v>
      </c>
      <c r="CJ47" s="33">
        <f t="shared" ca="1" si="33"/>
        <v>0.25</v>
      </c>
      <c r="CK47" s="33">
        <f t="shared" ca="1" si="34"/>
        <v>0.25</v>
      </c>
      <c r="CL47" s="33">
        <f t="shared" ca="1" si="35"/>
        <v>0.75</v>
      </c>
      <c r="CM47" s="33">
        <f t="shared" ca="1" si="36"/>
        <v>0.5</v>
      </c>
      <c r="CN47" s="33">
        <f t="shared" ca="1" si="37"/>
        <v>0.35</v>
      </c>
      <c r="CO47" s="33">
        <f t="shared" ca="1" si="38"/>
        <v>0.4</v>
      </c>
      <c r="CP47" s="33">
        <f t="shared" ca="1" si="39"/>
        <v>0.25</v>
      </c>
      <c r="CQ47" s="33">
        <f t="shared" ca="1" si="40"/>
        <v>0.43000000000000005</v>
      </c>
      <c r="CR47" s="33">
        <f t="shared" ca="1" si="41"/>
        <v>0.4</v>
      </c>
      <c r="CS47" s="33">
        <f t="shared" ca="1" si="42"/>
        <v>0.4</v>
      </c>
      <c r="CT47" s="33">
        <f t="shared" ca="1" si="43"/>
        <v>0.25</v>
      </c>
      <c r="CU47" s="33">
        <f t="shared" ca="1" si="44"/>
        <v>0.28078528284437665</v>
      </c>
      <c r="CV47" s="33">
        <f t="shared" ca="1" si="45"/>
        <v>0.28078528284437665</v>
      </c>
    </row>
    <row r="48" spans="1:100" x14ac:dyDescent="0.45">
      <c r="A48">
        <v>1</v>
      </c>
      <c r="B48" t="str">
        <f>VLOOKUP(F48,'TRA balance'!$AK$5:$AL$14,2,FALSE)</f>
        <v>TRALPG</v>
      </c>
      <c r="C48" s="6" t="str">
        <f t="shared" si="46"/>
        <v/>
      </c>
      <c r="D48" s="7"/>
      <c r="E48" s="19" t="s">
        <v>79</v>
      </c>
      <c r="F48" s="8" t="str">
        <f t="shared" si="117"/>
        <v>Liquified Petroleum Gases</v>
      </c>
      <c r="G48" s="6"/>
      <c r="H48" s="22" t="str">
        <f ca="1">IF(SUM(H44:H47)=1,"-","&lt;&gt;1!!")</f>
        <v>-</v>
      </c>
      <c r="I48" s="22" t="str">
        <f t="shared" ref="I48" ca="1" si="118">IF(SUM(I44:I47)=1,"-","&lt;&gt;1!!")</f>
        <v>-</v>
      </c>
      <c r="J48" s="22" t="str">
        <f t="shared" ref="J48" ca="1" si="119">IF(SUM(J44:J47)=1,"-","&lt;&gt;1!!")</f>
        <v>-</v>
      </c>
      <c r="K48" s="22" t="str">
        <f t="shared" ref="K48" ca="1" si="120">IF(SUM(K44:K47)=1,"-","&lt;&gt;1!!")</f>
        <v>-</v>
      </c>
      <c r="L48" s="22" t="str">
        <f t="shared" ref="L48" ca="1" si="121">IF(SUM(L44:L47)=1,"-","&lt;&gt;1!!")</f>
        <v>-</v>
      </c>
      <c r="M48" s="22" t="str">
        <f t="shared" ref="M48:X48" ca="1" si="122">IF(SUM(M44:M47)=1,"-","&lt;&gt;1!!")</f>
        <v>-</v>
      </c>
      <c r="N48" s="22" t="str">
        <f t="shared" ca="1" si="122"/>
        <v>-</v>
      </c>
      <c r="O48" s="22" t="str">
        <f t="shared" ca="1" si="122"/>
        <v>-</v>
      </c>
      <c r="P48" s="22" t="str">
        <f t="shared" ca="1" si="122"/>
        <v>-</v>
      </c>
      <c r="Q48" s="22" t="str">
        <f t="shared" ca="1" si="122"/>
        <v>-</v>
      </c>
      <c r="R48" s="22" t="str">
        <f t="shared" ca="1" si="122"/>
        <v>-</v>
      </c>
      <c r="S48" s="22" t="str">
        <f t="shared" ca="1" si="122"/>
        <v>-</v>
      </c>
      <c r="T48" s="22" t="str">
        <f t="shared" ca="1" si="122"/>
        <v>-</v>
      </c>
      <c r="U48" s="22" t="str">
        <f t="shared" ca="1" si="122"/>
        <v>-</v>
      </c>
      <c r="V48" s="22" t="str">
        <f t="shared" ca="1" si="122"/>
        <v>-</v>
      </c>
      <c r="W48" s="22" t="str">
        <f t="shared" ca="1" si="122"/>
        <v>-</v>
      </c>
      <c r="X48" s="22" t="str">
        <f t="shared" ca="1" si="122"/>
        <v>-</v>
      </c>
      <c r="Y48" s="22" t="str">
        <f t="shared" ref="Y48:Z48" ca="1" si="123">IF(SUM(Y44:Y47)=1,"-","&lt;&gt;1!!")</f>
        <v>-</v>
      </c>
      <c r="Z48" s="22" t="str">
        <f t="shared" ca="1" si="123"/>
        <v>-</v>
      </c>
      <c r="AA48" s="22" t="str">
        <f t="shared" ref="AA48:AK48" ca="1" si="124">IF(SUM(AA44:AA47)=1,"-","&lt;&gt;1!!")</f>
        <v>-</v>
      </c>
      <c r="AB48" s="22" t="str">
        <f t="shared" ca="1" si="124"/>
        <v>-</v>
      </c>
      <c r="AC48" s="22" t="str">
        <f t="shared" ca="1" si="124"/>
        <v>-</v>
      </c>
      <c r="AD48" s="22" t="str">
        <f t="shared" ca="1" si="124"/>
        <v>-</v>
      </c>
      <c r="AE48" s="22" t="str">
        <f t="shared" ca="1" si="124"/>
        <v>-</v>
      </c>
      <c r="AF48" s="22" t="str">
        <f t="shared" ca="1" si="124"/>
        <v>-</v>
      </c>
      <c r="AG48" s="22" t="str">
        <f t="shared" ca="1" si="124"/>
        <v>-</v>
      </c>
      <c r="AH48" s="22" t="str">
        <f t="shared" ca="1" si="124"/>
        <v>-</v>
      </c>
      <c r="AI48" s="22" t="str">
        <f t="shared" ca="1" si="124"/>
        <v>-</v>
      </c>
      <c r="AJ48" s="22" t="str">
        <f t="shared" ca="1" si="124"/>
        <v>-</v>
      </c>
      <c r="AK48" s="22" t="str">
        <f t="shared" ca="1" si="124"/>
        <v>-</v>
      </c>
      <c r="AN48" s="34" t="str">
        <f ca="1">IFERROR(SUMIFS('TRA balance'!E$5:E$40,'TRA balance'!$C$5:$C$40,Assumptions!$C48,'TRA balance'!$D$5:$D$40,Assumptions!$B48)*BS48*H48,"")</f>
        <v/>
      </c>
      <c r="AO48" s="34" t="str">
        <f ca="1">IFERROR(SUMIFS('TRA balance'!F$5:F$40,'TRA balance'!$C$5:$C$40,Assumptions!$C48,'TRA balance'!$D$5:$D$40,Assumptions!$B48)*BT48*I48,"")</f>
        <v/>
      </c>
      <c r="AP48" s="34" t="str">
        <f ca="1">IFERROR(SUMIFS('TRA balance'!G$5:G$40,'TRA balance'!$C$5:$C$40,Assumptions!$C48,'TRA balance'!$D$5:$D$40,Assumptions!$B48)*BU48*J48,"")</f>
        <v/>
      </c>
      <c r="AQ48" s="34" t="str">
        <f ca="1">IFERROR(SUMIFS('TRA balance'!H$5:H$40,'TRA balance'!$C$5:$C$40,Assumptions!$C48,'TRA balance'!$D$5:$D$40,Assumptions!$B48)*BV48*K48,"")</f>
        <v/>
      </c>
      <c r="AR48" s="34" t="str">
        <f ca="1">IFERROR(SUMIFS('TRA balance'!I$5:I$40,'TRA balance'!$C$5:$C$40,Assumptions!$C48,'TRA balance'!$D$5:$D$40,Assumptions!$B48)*BW48*L48,"")</f>
        <v/>
      </c>
      <c r="AS48" s="34" t="str">
        <f ca="1">IFERROR(SUMIFS('TRA balance'!J$5:J$40,'TRA balance'!$C$5:$C$40,Assumptions!$C48,'TRA balance'!$D$5:$D$40,Assumptions!$B48)*BX48*M48,"")</f>
        <v/>
      </c>
      <c r="AT48" s="34" t="str">
        <f ca="1">IFERROR(SUMIFS('TRA balance'!K$5:K$40,'TRA balance'!$C$5:$C$40,Assumptions!$C48,'TRA balance'!$D$5:$D$40,Assumptions!$B48)*BY48*N48,"")</f>
        <v/>
      </c>
      <c r="AU48" s="34" t="str">
        <f ca="1">IFERROR(SUMIFS('TRA balance'!L$5:L$40,'TRA balance'!$C$5:$C$40,Assumptions!$C48,'TRA balance'!$D$5:$D$40,Assumptions!$B48)*BZ48*O48,"")</f>
        <v/>
      </c>
      <c r="AV48" s="34" t="str">
        <f ca="1">IFERROR(SUMIFS('TRA balance'!M$5:M$40,'TRA balance'!$C$5:$C$40,Assumptions!$C48,'TRA balance'!$D$5:$D$40,Assumptions!$B48)*CA48*P48,"")</f>
        <v/>
      </c>
      <c r="AW48" s="34" t="str">
        <f ca="1">IFERROR(SUMIFS('TRA balance'!N$5:N$40,'TRA balance'!$C$5:$C$40,Assumptions!$C48,'TRA balance'!$D$5:$D$40,Assumptions!$B48)*CB48*Q48,"")</f>
        <v/>
      </c>
      <c r="AX48" s="34" t="str">
        <f ca="1">IFERROR(SUMIFS('TRA balance'!O$5:O$40,'TRA balance'!$C$5:$C$40,Assumptions!$C48,'TRA balance'!$D$5:$D$40,Assumptions!$B48)*CC48*R48,"")</f>
        <v/>
      </c>
      <c r="AY48" s="34" t="str">
        <f ca="1">IFERROR(SUMIFS('TRA balance'!P$5:P$40,'TRA balance'!$C$5:$C$40,Assumptions!$C48,'TRA balance'!$D$5:$D$40,Assumptions!$B48)*CD48*S48,"")</f>
        <v/>
      </c>
      <c r="AZ48" s="34" t="str">
        <f ca="1">IFERROR(SUMIFS('TRA balance'!Q$5:Q$40,'TRA balance'!$C$5:$C$40,Assumptions!$C48,'TRA balance'!$D$5:$D$40,Assumptions!$B48)*CE48*T48,"")</f>
        <v/>
      </c>
      <c r="BA48" s="34" t="str">
        <f ca="1">IFERROR(SUMIFS('TRA balance'!R$5:R$40,'TRA balance'!$C$5:$C$40,Assumptions!$C48,'TRA balance'!$D$5:$D$40,Assumptions!$B48)*CF48*U48,"")</f>
        <v/>
      </c>
      <c r="BB48" s="34" t="str">
        <f ca="1">IFERROR(SUMIFS('TRA balance'!S$5:S$40,'TRA balance'!$C$5:$C$40,Assumptions!$C48,'TRA balance'!$D$5:$D$40,Assumptions!$B48)*CG48*V48,"")</f>
        <v/>
      </c>
      <c r="BC48" s="34" t="str">
        <f ca="1">IFERROR(SUMIFS('TRA balance'!T$5:T$40,'TRA balance'!$C$5:$C$40,Assumptions!$C48,'TRA balance'!$D$5:$D$40,Assumptions!$B48)*CH48*W48,"")</f>
        <v/>
      </c>
      <c r="BD48" s="34" t="str">
        <f ca="1">IFERROR(SUMIFS('TRA balance'!U$5:U$40,'TRA balance'!$C$5:$C$40,Assumptions!$C48,'TRA balance'!$D$5:$D$40,Assumptions!$B48)*CI48*X48,"")</f>
        <v/>
      </c>
      <c r="BE48" s="34" t="str">
        <f ca="1">IFERROR(SUMIFS('TRA balance'!V$5:V$40,'TRA balance'!$C$5:$C$40,Assumptions!$C48,'TRA balance'!$D$5:$D$40,Assumptions!$B48)*CJ48*Y48,"")</f>
        <v/>
      </c>
      <c r="BF48" s="34" t="str">
        <f ca="1">IFERROR(SUMIFS('TRA balance'!W$5:W$40,'TRA balance'!$C$5:$C$40,Assumptions!$C48,'TRA balance'!$D$5:$D$40,Assumptions!$B48)*CK48*Z48,"")</f>
        <v/>
      </c>
      <c r="BG48" s="34" t="str">
        <f ca="1">IFERROR(SUMIFS('TRA balance'!X$5:X$40,'TRA balance'!$C$5:$C$40,Assumptions!$C48,'TRA balance'!$D$5:$D$40,Assumptions!$B48)*CL48*AA48,"")</f>
        <v/>
      </c>
      <c r="BH48" s="34" t="str">
        <f ca="1">IFERROR(SUMIFS('TRA balance'!Y$5:Y$40,'TRA balance'!$C$5:$C$40,Assumptions!$C48,'TRA balance'!$D$5:$D$40,Assumptions!$B48)*CM48*AB48,"")</f>
        <v/>
      </c>
      <c r="BI48" s="34" t="str">
        <f ca="1">IFERROR(SUMIFS('TRA balance'!Z$5:Z$40,'TRA balance'!$C$5:$C$40,Assumptions!$C48,'TRA balance'!$D$5:$D$40,Assumptions!$B48)*CN48*AC48,"")</f>
        <v/>
      </c>
      <c r="BJ48" s="34" t="str">
        <f ca="1">IFERROR(SUMIFS('TRA balance'!AA$5:AA$40,'TRA balance'!$C$5:$C$40,Assumptions!$C48,'TRA balance'!$D$5:$D$40,Assumptions!$B48)*CO48*AD48,"")</f>
        <v/>
      </c>
      <c r="BK48" s="34" t="str">
        <f ca="1">IFERROR(SUMIFS('TRA balance'!AB$5:AB$40,'TRA balance'!$C$5:$C$40,Assumptions!$C48,'TRA balance'!$D$5:$D$40,Assumptions!$B48)*CP48*AE48,"")</f>
        <v/>
      </c>
      <c r="BL48" s="34" t="str">
        <f ca="1">IFERROR(SUMIFS('TRA balance'!AC$5:AC$40,'TRA balance'!$C$5:$C$40,Assumptions!$C48,'TRA balance'!$D$5:$D$40,Assumptions!$B48)*CQ48*AF48,"")</f>
        <v/>
      </c>
      <c r="BM48" s="34" t="str">
        <f ca="1">IFERROR(SUMIFS('TRA balance'!AD$5:AD$40,'TRA balance'!$C$5:$C$40,Assumptions!$C48,'TRA balance'!$D$5:$D$40,Assumptions!$B48)*CR48*AG48,"")</f>
        <v/>
      </c>
      <c r="BN48" s="34" t="str">
        <f ca="1">IFERROR(SUMIFS('TRA balance'!AE$5:AE$40,'TRA balance'!$C$5:$C$40,Assumptions!$C48,'TRA balance'!$D$5:$D$40,Assumptions!$B48)*CS48*AH48,"")</f>
        <v/>
      </c>
      <c r="BO48" s="34" t="str">
        <f ca="1">IFERROR(SUMIFS('TRA balance'!AF$5:AF$40,'TRA balance'!$C$5:$C$40,Assumptions!$C48,'TRA balance'!$D$5:$D$40,Assumptions!$B48)*CT48*AI48,"")</f>
        <v/>
      </c>
      <c r="BP48" s="34" t="str">
        <f ca="1">IFERROR(SUMIFS('TRA balance'!AG$5:AG$40,'TRA balance'!$C$5:$C$40,Assumptions!$C48,'TRA balance'!$D$5:$D$40,Assumptions!$B48)*CU48*AJ48,"")</f>
        <v/>
      </c>
      <c r="BQ48" s="34" t="str">
        <f ca="1">IFERROR(SUMIFS('TRA balance'!AH$5:AH$40,'TRA balance'!$C$5:$C$40,Assumptions!$C48,'TRA balance'!$D$5:$D$40,Assumptions!$B48)*CV48*AK48,"")</f>
        <v/>
      </c>
      <c r="BS48" s="33">
        <f t="shared" si="90"/>
        <v>1</v>
      </c>
      <c r="BT48" s="33">
        <f t="shared" si="91"/>
        <v>1</v>
      </c>
      <c r="BU48" s="33">
        <f t="shared" si="92"/>
        <v>1</v>
      </c>
      <c r="BV48" s="33">
        <f t="shared" si="93"/>
        <v>1</v>
      </c>
      <c r="BW48" s="33">
        <f t="shared" si="94"/>
        <v>1</v>
      </c>
      <c r="BX48" s="33">
        <f t="shared" si="95"/>
        <v>1</v>
      </c>
      <c r="BY48" s="33">
        <f t="shared" si="96"/>
        <v>1</v>
      </c>
      <c r="BZ48" s="33">
        <f t="shared" si="97"/>
        <v>1</v>
      </c>
      <c r="CA48" s="33">
        <f t="shared" si="98"/>
        <v>1</v>
      </c>
      <c r="CB48" s="33">
        <f t="shared" si="99"/>
        <v>1</v>
      </c>
      <c r="CC48" s="33">
        <f t="shared" si="100"/>
        <v>1</v>
      </c>
      <c r="CD48" s="33">
        <f t="shared" si="101"/>
        <v>1</v>
      </c>
      <c r="CE48" s="33">
        <f t="shared" si="102"/>
        <v>1</v>
      </c>
      <c r="CF48" s="33">
        <f t="shared" si="103"/>
        <v>1</v>
      </c>
      <c r="CG48" s="33">
        <f t="shared" si="104"/>
        <v>1</v>
      </c>
      <c r="CH48" s="33">
        <f t="shared" si="31"/>
        <v>1</v>
      </c>
      <c r="CI48" s="33">
        <f t="shared" si="32"/>
        <v>1</v>
      </c>
      <c r="CJ48" s="33">
        <f t="shared" si="33"/>
        <v>1</v>
      </c>
      <c r="CK48" s="33">
        <f t="shared" si="34"/>
        <v>1</v>
      </c>
      <c r="CL48" s="33">
        <f t="shared" si="35"/>
        <v>1</v>
      </c>
      <c r="CM48" s="33">
        <f t="shared" si="36"/>
        <v>1</v>
      </c>
      <c r="CN48" s="33">
        <f t="shared" si="37"/>
        <v>1</v>
      </c>
      <c r="CO48" s="33">
        <f t="shared" si="38"/>
        <v>1</v>
      </c>
      <c r="CP48" s="33">
        <f t="shared" si="39"/>
        <v>1</v>
      </c>
      <c r="CQ48" s="33">
        <f t="shared" si="40"/>
        <v>1</v>
      </c>
      <c r="CR48" s="33">
        <f t="shared" si="41"/>
        <v>1</v>
      </c>
      <c r="CS48" s="33">
        <f t="shared" si="42"/>
        <v>1</v>
      </c>
      <c r="CT48" s="33">
        <f t="shared" si="43"/>
        <v>1</v>
      </c>
      <c r="CU48" s="33">
        <f t="shared" si="44"/>
        <v>1</v>
      </c>
      <c r="CV48" s="33">
        <f t="shared" si="45"/>
        <v>1</v>
      </c>
    </row>
    <row r="49" spans="1:100" x14ac:dyDescent="0.45">
      <c r="A49">
        <v>1</v>
      </c>
      <c r="B49" t="str">
        <f>VLOOKUP(F49,'TRA balance'!$AK$5:$AL$14,2,FALSE)</f>
        <v>TRALPG</v>
      </c>
      <c r="C49" s="6" t="str">
        <f t="shared" si="46"/>
        <v>TT</v>
      </c>
      <c r="D49" s="7" t="s">
        <v>17</v>
      </c>
      <c r="E49" s="7" t="s">
        <v>53</v>
      </c>
      <c r="F49" s="8" t="str">
        <f t="shared" si="117"/>
        <v>Liquified Petroleum Gases</v>
      </c>
      <c r="G49" s="6" t="s">
        <v>55</v>
      </c>
      <c r="H49" s="9">
        <f ca="1">OFFSET(TIAM15_assumptions!$G49,0,MATCH(VLOOKUP(Assumptions!H$2,TIAM15_assumptions!$Y$3:$Z$36,2,FALSE),TIAM15_assumptions!$H$2:$V$2,0))</f>
        <v>1</v>
      </c>
      <c r="I49" s="9">
        <f ca="1">OFFSET(TIAM15_assumptions!$G49,0,MATCH(VLOOKUP(Assumptions!I$2,TIAM15_assumptions!$Y$3:$Z$36,2,FALSE),TIAM15_assumptions!$H$2:$V$2,0))</f>
        <v>1</v>
      </c>
      <c r="J49" s="9">
        <f ca="1">OFFSET(TIAM15_assumptions!$G49,0,MATCH(VLOOKUP(Assumptions!J$2,TIAM15_assumptions!$Y$3:$Z$36,2,FALSE),TIAM15_assumptions!$H$2:$V$2,0))</f>
        <v>1</v>
      </c>
      <c r="K49" s="9">
        <f ca="1">OFFSET(TIAM15_assumptions!$G49,0,MATCH(VLOOKUP(Assumptions!K$2,TIAM15_assumptions!$Y$3:$Z$36,2,FALSE),TIAM15_assumptions!$H$2:$V$2,0))</f>
        <v>1</v>
      </c>
      <c r="L49" s="9">
        <f ca="1">OFFSET(TIAM15_assumptions!$G49,0,MATCH(VLOOKUP(Assumptions!L$2,TIAM15_assumptions!$Y$3:$Z$36,2,FALSE),TIAM15_assumptions!$H$2:$V$2,0))</f>
        <v>7.0000000000000007E-2</v>
      </c>
      <c r="M49" s="9">
        <f ca="1">OFFSET(TIAM15_assumptions!$G49,0,MATCH(VLOOKUP(Assumptions!M$2,TIAM15_assumptions!$Y$3:$Z$36,2,FALSE),TIAM15_assumptions!$H$2:$V$2,0))</f>
        <v>0.5</v>
      </c>
      <c r="N49" s="9">
        <f ca="1">OFFSET(TIAM15_assumptions!$G49,0,MATCH(VLOOKUP(Assumptions!N$2,TIAM15_assumptions!$Y$3:$Z$36,2,FALSE),TIAM15_assumptions!$H$2:$V$2,0))</f>
        <v>0.5</v>
      </c>
      <c r="O49" s="9">
        <f ca="1">OFFSET(TIAM15_assumptions!$G49,0,MATCH(VLOOKUP(Assumptions!O$2,TIAM15_assumptions!$Y$3:$Z$36,2,FALSE),TIAM15_assumptions!$H$2:$V$2,0))</f>
        <v>1</v>
      </c>
      <c r="P49" s="9">
        <f ca="1">OFFSET(TIAM15_assumptions!$G49,0,MATCH(VLOOKUP(Assumptions!P$2,TIAM15_assumptions!$Y$3:$Z$36,2,FALSE),TIAM15_assumptions!$H$2:$V$2,0))</f>
        <v>1</v>
      </c>
      <c r="Q49" s="9">
        <f ca="1">OFFSET(TIAM15_assumptions!$G49,0,MATCH(VLOOKUP(Assumptions!Q$2,TIAM15_assumptions!$Y$3:$Z$36,2,FALSE),TIAM15_assumptions!$H$2:$V$2,0))</f>
        <v>0.5</v>
      </c>
      <c r="R49" s="9">
        <f ca="1">OFFSET(TIAM15_assumptions!$G49,0,MATCH(VLOOKUP(Assumptions!R$2,TIAM15_assumptions!$Y$3:$Z$36,2,FALSE),TIAM15_assumptions!$H$2:$V$2,0))</f>
        <v>1</v>
      </c>
      <c r="S49" s="9">
        <f ca="1">OFFSET(TIAM15_assumptions!$G49,0,MATCH(VLOOKUP(Assumptions!S$2,TIAM15_assumptions!$Y$3:$Z$36,2,FALSE),TIAM15_assumptions!$H$2:$V$2,0))</f>
        <v>1</v>
      </c>
      <c r="T49" s="9">
        <f ca="1">OFFSET(TIAM15_assumptions!$G49,0,MATCH(VLOOKUP(Assumptions!T$2,TIAM15_assumptions!$Y$3:$Z$36,2,FALSE),TIAM15_assumptions!$H$2:$V$2,0))</f>
        <v>1</v>
      </c>
      <c r="U49" s="9">
        <f ca="1">OFFSET(TIAM15_assumptions!$G49,0,MATCH(VLOOKUP(Assumptions!U$2,TIAM15_assumptions!$Y$3:$Z$36,2,FALSE),TIAM15_assumptions!$H$2:$V$2,0))</f>
        <v>1</v>
      </c>
      <c r="V49" s="9">
        <f ca="1">OFFSET(TIAM15_assumptions!$G49,0,MATCH(VLOOKUP(Assumptions!V$2,TIAM15_assumptions!$Y$3:$Z$36,2,FALSE),TIAM15_assumptions!$H$2:$V$2,0))</f>
        <v>1</v>
      </c>
      <c r="W49" s="9">
        <f ca="1">OFFSET(TIAM15_assumptions!$G49,0,MATCH(VLOOKUP(Assumptions!W$2,TIAM15_assumptions!$Y$3:$Z$36,2,FALSE),TIAM15_assumptions!$H$2:$V$2,0))</f>
        <v>1</v>
      </c>
      <c r="X49" s="9">
        <f ca="1">OFFSET(TIAM15_assumptions!$G49,0,MATCH(VLOOKUP(Assumptions!X$2,TIAM15_assumptions!$Y$3:$Z$36,2,FALSE),TIAM15_assumptions!$H$2:$V$2,0))</f>
        <v>1</v>
      </c>
      <c r="Y49" s="9">
        <f ca="1">OFFSET(TIAM15_assumptions!$G49,0,MATCH(VLOOKUP(Assumptions!Y$2,TIAM15_assumptions!$Y$3:$Z$36,2,FALSE),TIAM15_assumptions!$H$2:$V$2,0))</f>
        <v>1</v>
      </c>
      <c r="Z49" s="9">
        <f ca="1">OFFSET(TIAM15_assumptions!$G49,0,MATCH(VLOOKUP(Assumptions!Z$2,TIAM15_assumptions!$Y$3:$Z$36,2,FALSE),TIAM15_assumptions!$H$2:$V$2,0))</f>
        <v>1</v>
      </c>
      <c r="AA49" s="9">
        <f ca="1">OFFSET(TIAM15_assumptions!$G49,0,MATCH(VLOOKUP(Assumptions!AA$2,TIAM15_assumptions!$Y$3:$Z$36,2,FALSE),TIAM15_assumptions!$H$2:$V$2,0))</f>
        <v>0.5</v>
      </c>
      <c r="AB49" s="9">
        <f ca="1">OFFSET(TIAM15_assumptions!$G49,0,MATCH(VLOOKUP(Assumptions!AB$2,TIAM15_assumptions!$Y$3:$Z$36,2,FALSE),TIAM15_assumptions!$H$2:$V$2,0))</f>
        <v>1</v>
      </c>
      <c r="AC49" s="9">
        <f ca="1">OFFSET(TIAM15_assumptions!$G49,0,MATCH(VLOOKUP(Assumptions!AC$2,TIAM15_assumptions!$Y$3:$Z$36,2,FALSE),TIAM15_assumptions!$H$2:$V$2,0))</f>
        <v>0.98</v>
      </c>
      <c r="AD49" s="9">
        <f ca="1">OFFSET(TIAM15_assumptions!$G49,0,MATCH(VLOOKUP(Assumptions!AD$2,TIAM15_assumptions!$Y$3:$Z$36,2,FALSE),TIAM15_assumptions!$H$2:$V$2,0))</f>
        <v>1</v>
      </c>
      <c r="AE49" s="9">
        <f ca="1">OFFSET(TIAM15_assumptions!$G49,0,MATCH(VLOOKUP(Assumptions!AE$2,TIAM15_assumptions!$Y$3:$Z$36,2,FALSE),TIAM15_assumptions!$H$2:$V$2,0))</f>
        <v>1</v>
      </c>
      <c r="AF49" s="9">
        <f ca="1">OFFSET(TIAM15_assumptions!$G49,0,MATCH(VLOOKUP(Assumptions!AF$2,TIAM15_assumptions!$Y$3:$Z$36,2,FALSE),TIAM15_assumptions!$H$2:$V$2,0))</f>
        <v>1</v>
      </c>
      <c r="AG49" s="9">
        <f ca="1">OFFSET(TIAM15_assumptions!$G49,0,MATCH(VLOOKUP(Assumptions!AG$2,TIAM15_assumptions!$Y$3:$Z$36,2,FALSE),TIAM15_assumptions!$H$2:$V$2,0))</f>
        <v>1</v>
      </c>
      <c r="AH49" s="9">
        <f ca="1">OFFSET(TIAM15_assumptions!$G49,0,MATCH(VLOOKUP(Assumptions!AH$2,TIAM15_assumptions!$Y$3:$Z$36,2,FALSE),TIAM15_assumptions!$H$2:$V$2,0))</f>
        <v>1</v>
      </c>
      <c r="AI49" s="9">
        <f ca="1">OFFSET(TIAM15_assumptions!$G49,0,MATCH(VLOOKUP(Assumptions!AI$2,TIAM15_assumptions!$Y$3:$Z$36,2,FALSE),TIAM15_assumptions!$H$2:$V$2,0))</f>
        <v>1</v>
      </c>
      <c r="AJ49" s="9">
        <f ca="1">OFFSET(TIAM15_assumptions!$G49,0,MATCH(VLOOKUP(Assumptions!AJ$2,TIAM15_assumptions!$Y$3:$Z$36,2,FALSE),TIAM15_assumptions!$H$2:$V$2,0))</f>
        <v>0.5</v>
      </c>
      <c r="AK49" s="9">
        <f ca="1">OFFSET(TIAM15_assumptions!$G49,0,MATCH(VLOOKUP(Assumptions!AK$2,TIAM15_assumptions!$Y$3:$Z$36,2,FALSE),TIAM15_assumptions!$H$2:$V$2,0))</f>
        <v>0.5</v>
      </c>
      <c r="AN49" s="34">
        <f ca="1">IFERROR(SUMIFS('TRA balance'!E$5:E$40,'TRA balance'!$C$5:$C$40,Assumptions!$C49,'TRA balance'!$D$5:$D$40,Assumptions!$B49)*BS49*H49,"")</f>
        <v>0</v>
      </c>
      <c r="AO49" s="34">
        <f ca="1">IFERROR(SUMIFS('TRA balance'!F$5:F$40,'TRA balance'!$C$5:$C$40,Assumptions!$C49,'TRA balance'!$D$5:$D$40,Assumptions!$B49)*BT49*I49,"")</f>
        <v>0</v>
      </c>
      <c r="AP49" s="34">
        <f ca="1">IFERROR(SUMIFS('TRA balance'!G$5:G$40,'TRA balance'!$C$5:$C$40,Assumptions!$C49,'TRA balance'!$D$5:$D$40,Assumptions!$B49)*BU49*J49,"")</f>
        <v>0</v>
      </c>
      <c r="AQ49" s="34">
        <f ca="1">IFERROR(SUMIFS('TRA balance'!H$5:H$40,'TRA balance'!$C$5:$C$40,Assumptions!$C49,'TRA balance'!$D$5:$D$40,Assumptions!$B49)*BV49*K49,"")</f>
        <v>0</v>
      </c>
      <c r="AR49" s="34">
        <f ca="1">IFERROR(SUMIFS('TRA balance'!I$5:I$40,'TRA balance'!$C$5:$C$40,Assumptions!$C49,'TRA balance'!$D$5:$D$40,Assumptions!$B49)*BW49*L49,"")</f>
        <v>0</v>
      </c>
      <c r="AS49" s="34">
        <f ca="1">IFERROR(SUMIFS('TRA balance'!J$5:J$40,'TRA balance'!$C$5:$C$40,Assumptions!$C49,'TRA balance'!$D$5:$D$40,Assumptions!$B49)*BX49*M49,"")</f>
        <v>0</v>
      </c>
      <c r="AT49" s="34">
        <f ca="1">IFERROR(SUMIFS('TRA balance'!K$5:K$40,'TRA balance'!$C$5:$C$40,Assumptions!$C49,'TRA balance'!$D$5:$D$40,Assumptions!$B49)*BY49*N49,"")</f>
        <v>0</v>
      </c>
      <c r="AU49" s="34">
        <f ca="1">IFERROR(SUMIFS('TRA balance'!L$5:L$40,'TRA balance'!$C$5:$C$40,Assumptions!$C49,'TRA balance'!$D$5:$D$40,Assumptions!$B49)*BZ49*O49,"")</f>
        <v>0</v>
      </c>
      <c r="AV49" s="34">
        <f ca="1">IFERROR(SUMIFS('TRA balance'!M$5:M$40,'TRA balance'!$C$5:$C$40,Assumptions!$C49,'TRA balance'!$D$5:$D$40,Assumptions!$B49)*CA49*P49,"")</f>
        <v>0</v>
      </c>
      <c r="AW49" s="34">
        <f ca="1">IFERROR(SUMIFS('TRA balance'!N$5:N$40,'TRA balance'!$C$5:$C$40,Assumptions!$C49,'TRA balance'!$D$5:$D$40,Assumptions!$B49)*CB49*Q49,"")</f>
        <v>0</v>
      </c>
      <c r="AX49" s="34">
        <f ca="1">IFERROR(SUMIFS('TRA balance'!O$5:O$40,'TRA balance'!$C$5:$C$40,Assumptions!$C49,'TRA balance'!$D$5:$D$40,Assumptions!$B49)*CC49*R49,"")</f>
        <v>0</v>
      </c>
      <c r="AY49" s="34">
        <f ca="1">IFERROR(SUMIFS('TRA balance'!P$5:P$40,'TRA balance'!$C$5:$C$40,Assumptions!$C49,'TRA balance'!$D$5:$D$40,Assumptions!$B49)*CD49*S49,"")</f>
        <v>0</v>
      </c>
      <c r="AZ49" s="34">
        <f ca="1">IFERROR(SUMIFS('TRA balance'!Q$5:Q$40,'TRA balance'!$C$5:$C$40,Assumptions!$C49,'TRA balance'!$D$5:$D$40,Assumptions!$B49)*CE49*T49,"")</f>
        <v>0</v>
      </c>
      <c r="BA49" s="34">
        <f ca="1">IFERROR(SUMIFS('TRA balance'!R$5:R$40,'TRA balance'!$C$5:$C$40,Assumptions!$C49,'TRA balance'!$D$5:$D$40,Assumptions!$B49)*CF49*U49,"")</f>
        <v>0</v>
      </c>
      <c r="BB49" s="34">
        <f ca="1">IFERROR(SUMIFS('TRA balance'!S$5:S$40,'TRA balance'!$C$5:$C$40,Assumptions!$C49,'TRA balance'!$D$5:$D$40,Assumptions!$B49)*CG49*V49,"")</f>
        <v>0</v>
      </c>
      <c r="BC49" s="34">
        <f ca="1">IFERROR(SUMIFS('TRA balance'!T$5:T$40,'TRA balance'!$C$5:$C$40,Assumptions!$C49,'TRA balance'!$D$5:$D$40,Assumptions!$B49)*CH49*W49,"")</f>
        <v>0</v>
      </c>
      <c r="BD49" s="34">
        <f ca="1">IFERROR(SUMIFS('TRA balance'!U$5:U$40,'TRA balance'!$C$5:$C$40,Assumptions!$C49,'TRA balance'!$D$5:$D$40,Assumptions!$B49)*CI49*X49,"")</f>
        <v>0</v>
      </c>
      <c r="BE49" s="34">
        <f ca="1">IFERROR(SUMIFS('TRA balance'!V$5:V$40,'TRA balance'!$C$5:$C$40,Assumptions!$C49,'TRA balance'!$D$5:$D$40,Assumptions!$B49)*CJ49*Y49,"")</f>
        <v>0</v>
      </c>
      <c r="BF49" s="34">
        <f ca="1">IFERROR(SUMIFS('TRA balance'!W$5:W$40,'TRA balance'!$C$5:$C$40,Assumptions!$C49,'TRA balance'!$D$5:$D$40,Assumptions!$B49)*CK49*Z49,"")</f>
        <v>0</v>
      </c>
      <c r="BG49" s="34">
        <f ca="1">IFERROR(SUMIFS('TRA balance'!X$5:X$40,'TRA balance'!$C$5:$C$40,Assumptions!$C49,'TRA balance'!$D$5:$D$40,Assumptions!$B49)*CL49*AA49,"")</f>
        <v>0</v>
      </c>
      <c r="BH49" s="34">
        <f ca="1">IFERROR(SUMIFS('TRA balance'!Y$5:Y$40,'TRA balance'!$C$5:$C$40,Assumptions!$C49,'TRA balance'!$D$5:$D$40,Assumptions!$B49)*CM49*AB49,"")</f>
        <v>0</v>
      </c>
      <c r="BI49" s="34">
        <f ca="1">IFERROR(SUMIFS('TRA balance'!Z$5:Z$40,'TRA balance'!$C$5:$C$40,Assumptions!$C49,'TRA balance'!$D$5:$D$40,Assumptions!$B49)*CN49*AC49,"")</f>
        <v>0</v>
      </c>
      <c r="BJ49" s="34">
        <f ca="1">IFERROR(SUMIFS('TRA balance'!AA$5:AA$40,'TRA balance'!$C$5:$C$40,Assumptions!$C49,'TRA balance'!$D$5:$D$40,Assumptions!$B49)*CO49*AD49,"")</f>
        <v>0</v>
      </c>
      <c r="BK49" s="34">
        <f ca="1">IFERROR(SUMIFS('TRA balance'!AB$5:AB$40,'TRA balance'!$C$5:$C$40,Assumptions!$C49,'TRA balance'!$D$5:$D$40,Assumptions!$B49)*CP49*AE49,"")</f>
        <v>0</v>
      </c>
      <c r="BL49" s="34">
        <f ca="1">IFERROR(SUMIFS('TRA balance'!AC$5:AC$40,'TRA balance'!$C$5:$C$40,Assumptions!$C49,'TRA balance'!$D$5:$D$40,Assumptions!$B49)*CQ49*AF49,"")</f>
        <v>0</v>
      </c>
      <c r="BM49" s="34">
        <f ca="1">IFERROR(SUMIFS('TRA balance'!AD$5:AD$40,'TRA balance'!$C$5:$C$40,Assumptions!$C49,'TRA balance'!$D$5:$D$40,Assumptions!$B49)*CR49*AG49,"")</f>
        <v>0</v>
      </c>
      <c r="BN49" s="34">
        <f ca="1">IFERROR(SUMIFS('TRA balance'!AE$5:AE$40,'TRA balance'!$C$5:$C$40,Assumptions!$C49,'TRA balance'!$D$5:$D$40,Assumptions!$B49)*CS49*AH49,"")</f>
        <v>0</v>
      </c>
      <c r="BO49" s="34">
        <f ca="1">IFERROR(SUMIFS('TRA balance'!AF$5:AF$40,'TRA balance'!$C$5:$C$40,Assumptions!$C49,'TRA balance'!$D$5:$D$40,Assumptions!$B49)*CT49*AI49,"")</f>
        <v>0</v>
      </c>
      <c r="BP49" s="34">
        <f ca="1">IFERROR(SUMIFS('TRA balance'!AG$5:AG$40,'TRA balance'!$C$5:$C$40,Assumptions!$C49,'TRA balance'!$D$5:$D$40,Assumptions!$B49)*CU49*AJ49,"")</f>
        <v>0</v>
      </c>
      <c r="BQ49" s="34">
        <f ca="1">IFERROR(SUMIFS('TRA balance'!AH$5:AH$40,'TRA balance'!$C$5:$C$40,Assumptions!$C49,'TRA balance'!$D$5:$D$40,Assumptions!$B49)*CV49*AK49,"")</f>
        <v>0</v>
      </c>
      <c r="BS49" s="33">
        <f t="shared" si="90"/>
        <v>1</v>
      </c>
      <c r="BT49" s="33">
        <f t="shared" si="91"/>
        <v>1</v>
      </c>
      <c r="BU49" s="33">
        <f t="shared" si="92"/>
        <v>1</v>
      </c>
      <c r="BV49" s="33">
        <f t="shared" si="93"/>
        <v>1</v>
      </c>
      <c r="BW49" s="33">
        <f t="shared" si="94"/>
        <v>1</v>
      </c>
      <c r="BX49" s="33">
        <f t="shared" si="95"/>
        <v>1</v>
      </c>
      <c r="BY49" s="33">
        <f t="shared" si="96"/>
        <v>1</v>
      </c>
      <c r="BZ49" s="33">
        <f t="shared" si="97"/>
        <v>1</v>
      </c>
      <c r="CA49" s="33">
        <f t="shared" si="98"/>
        <v>1</v>
      </c>
      <c r="CB49" s="33">
        <f t="shared" si="99"/>
        <v>1</v>
      </c>
      <c r="CC49" s="33">
        <f t="shared" si="100"/>
        <v>1</v>
      </c>
      <c r="CD49" s="33">
        <f t="shared" si="101"/>
        <v>1</v>
      </c>
      <c r="CE49" s="33">
        <f t="shared" si="102"/>
        <v>1</v>
      </c>
      <c r="CF49" s="33">
        <f t="shared" si="103"/>
        <v>1</v>
      </c>
      <c r="CG49" s="33">
        <f t="shared" si="104"/>
        <v>1</v>
      </c>
      <c r="CH49" s="33">
        <f t="shared" si="31"/>
        <v>1</v>
      </c>
      <c r="CI49" s="33">
        <f t="shared" si="32"/>
        <v>1</v>
      </c>
      <c r="CJ49" s="33">
        <f t="shared" si="33"/>
        <v>1</v>
      </c>
      <c r="CK49" s="33">
        <f t="shared" si="34"/>
        <v>1</v>
      </c>
      <c r="CL49" s="33">
        <f t="shared" si="35"/>
        <v>1</v>
      </c>
      <c r="CM49" s="33">
        <f t="shared" si="36"/>
        <v>1</v>
      </c>
      <c r="CN49" s="33">
        <f t="shared" si="37"/>
        <v>1</v>
      </c>
      <c r="CO49" s="33">
        <f t="shared" si="38"/>
        <v>1</v>
      </c>
      <c r="CP49" s="33">
        <f t="shared" si="39"/>
        <v>1</v>
      </c>
      <c r="CQ49" s="33">
        <f t="shared" si="40"/>
        <v>1</v>
      </c>
      <c r="CR49" s="33">
        <f t="shared" si="41"/>
        <v>1</v>
      </c>
      <c r="CS49" s="33">
        <f t="shared" si="42"/>
        <v>1</v>
      </c>
      <c r="CT49" s="33">
        <f t="shared" si="43"/>
        <v>1</v>
      </c>
      <c r="CU49" s="33">
        <f t="shared" si="44"/>
        <v>1</v>
      </c>
      <c r="CV49" s="33">
        <f t="shared" si="45"/>
        <v>1</v>
      </c>
    </row>
    <row r="50" spans="1:100" x14ac:dyDescent="0.45">
      <c r="A50">
        <v>1</v>
      </c>
      <c r="B50" t="str">
        <f>VLOOKUP(F50,'TRA balance'!$AK$5:$AL$14,2,FALSE)</f>
        <v>TRALPG</v>
      </c>
      <c r="C50" s="6" t="str">
        <f t="shared" si="46"/>
        <v>TT</v>
      </c>
      <c r="D50" s="7" t="s">
        <v>17</v>
      </c>
      <c r="E50" s="7" t="s">
        <v>56</v>
      </c>
      <c r="F50" s="8" t="str">
        <f t="shared" si="117"/>
        <v>Liquified Petroleum Gases</v>
      </c>
      <c r="G50" s="6" t="s">
        <v>57</v>
      </c>
      <c r="H50" s="9">
        <f ca="1">OFFSET(TIAM15_assumptions!$G50,0,MATCH(VLOOKUP(Assumptions!H$2,TIAM15_assumptions!$Y$3:$Z$36,2,FALSE),TIAM15_assumptions!$H$2:$V$2,0))</f>
        <v>0</v>
      </c>
      <c r="I50" s="9">
        <f ca="1">OFFSET(TIAM15_assumptions!$G50,0,MATCH(VLOOKUP(Assumptions!I$2,TIAM15_assumptions!$Y$3:$Z$36,2,FALSE),TIAM15_assumptions!$H$2:$V$2,0))</f>
        <v>0</v>
      </c>
      <c r="J50" s="9">
        <f ca="1">OFFSET(TIAM15_assumptions!$G50,0,MATCH(VLOOKUP(Assumptions!J$2,TIAM15_assumptions!$Y$3:$Z$36,2,FALSE),TIAM15_assumptions!$H$2:$V$2,0))</f>
        <v>0</v>
      </c>
      <c r="K50" s="9">
        <f ca="1">OFFSET(TIAM15_assumptions!$G50,0,MATCH(VLOOKUP(Assumptions!K$2,TIAM15_assumptions!$Y$3:$Z$36,2,FALSE),TIAM15_assumptions!$H$2:$V$2,0))</f>
        <v>0</v>
      </c>
      <c r="L50" s="9">
        <f ca="1">OFFSET(TIAM15_assumptions!$G50,0,MATCH(VLOOKUP(Assumptions!L$2,TIAM15_assumptions!$Y$3:$Z$36,2,FALSE),TIAM15_assumptions!$H$2:$V$2,0))</f>
        <v>0.93</v>
      </c>
      <c r="M50" s="9">
        <f ca="1">OFFSET(TIAM15_assumptions!$G50,0,MATCH(VLOOKUP(Assumptions!M$2,TIAM15_assumptions!$Y$3:$Z$36,2,FALSE),TIAM15_assumptions!$H$2:$V$2,0))</f>
        <v>0.5</v>
      </c>
      <c r="N50" s="9">
        <f ca="1">OFFSET(TIAM15_assumptions!$G50,0,MATCH(VLOOKUP(Assumptions!N$2,TIAM15_assumptions!$Y$3:$Z$36,2,FALSE),TIAM15_assumptions!$H$2:$V$2,0))</f>
        <v>0.5</v>
      </c>
      <c r="O50" s="9">
        <f ca="1">OFFSET(TIAM15_assumptions!$G50,0,MATCH(VLOOKUP(Assumptions!O$2,TIAM15_assumptions!$Y$3:$Z$36,2,FALSE),TIAM15_assumptions!$H$2:$V$2,0))</f>
        <v>0</v>
      </c>
      <c r="P50" s="9">
        <f ca="1">OFFSET(TIAM15_assumptions!$G50,0,MATCH(VLOOKUP(Assumptions!P$2,TIAM15_assumptions!$Y$3:$Z$36,2,FALSE),TIAM15_assumptions!$H$2:$V$2,0))</f>
        <v>0</v>
      </c>
      <c r="Q50" s="9">
        <f ca="1">OFFSET(TIAM15_assumptions!$G50,0,MATCH(VLOOKUP(Assumptions!Q$2,TIAM15_assumptions!$Y$3:$Z$36,2,FALSE),TIAM15_assumptions!$H$2:$V$2,0))</f>
        <v>0.5</v>
      </c>
      <c r="R50" s="9">
        <f ca="1">OFFSET(TIAM15_assumptions!$G50,0,MATCH(VLOOKUP(Assumptions!R$2,TIAM15_assumptions!$Y$3:$Z$36,2,FALSE),TIAM15_assumptions!$H$2:$V$2,0))</f>
        <v>0</v>
      </c>
      <c r="S50" s="9">
        <f ca="1">OFFSET(TIAM15_assumptions!$G50,0,MATCH(VLOOKUP(Assumptions!S$2,TIAM15_assumptions!$Y$3:$Z$36,2,FALSE),TIAM15_assumptions!$H$2:$V$2,0))</f>
        <v>0</v>
      </c>
      <c r="T50" s="9">
        <f ca="1">OFFSET(TIAM15_assumptions!$G50,0,MATCH(VLOOKUP(Assumptions!T$2,TIAM15_assumptions!$Y$3:$Z$36,2,FALSE),TIAM15_assumptions!$H$2:$V$2,0))</f>
        <v>0</v>
      </c>
      <c r="U50" s="9">
        <f ca="1">OFFSET(TIAM15_assumptions!$G50,0,MATCH(VLOOKUP(Assumptions!U$2,TIAM15_assumptions!$Y$3:$Z$36,2,FALSE),TIAM15_assumptions!$H$2:$V$2,0))</f>
        <v>0</v>
      </c>
      <c r="V50" s="9">
        <f ca="1">OFFSET(TIAM15_assumptions!$G50,0,MATCH(VLOOKUP(Assumptions!V$2,TIAM15_assumptions!$Y$3:$Z$36,2,FALSE),TIAM15_assumptions!$H$2:$V$2,0))</f>
        <v>0</v>
      </c>
      <c r="W50" s="9">
        <f ca="1">OFFSET(TIAM15_assumptions!$G50,0,MATCH(VLOOKUP(Assumptions!W$2,TIAM15_assumptions!$Y$3:$Z$36,2,FALSE),TIAM15_assumptions!$H$2:$V$2,0))</f>
        <v>0</v>
      </c>
      <c r="X50" s="9">
        <f ca="1">OFFSET(TIAM15_assumptions!$G50,0,MATCH(VLOOKUP(Assumptions!X$2,TIAM15_assumptions!$Y$3:$Z$36,2,FALSE),TIAM15_assumptions!$H$2:$V$2,0))</f>
        <v>0</v>
      </c>
      <c r="Y50" s="9">
        <f ca="1">OFFSET(TIAM15_assumptions!$G50,0,MATCH(VLOOKUP(Assumptions!Y$2,TIAM15_assumptions!$Y$3:$Z$36,2,FALSE),TIAM15_assumptions!$H$2:$V$2,0))</f>
        <v>0</v>
      </c>
      <c r="Z50" s="9">
        <f ca="1">OFFSET(TIAM15_assumptions!$G50,0,MATCH(VLOOKUP(Assumptions!Z$2,TIAM15_assumptions!$Y$3:$Z$36,2,FALSE),TIAM15_assumptions!$H$2:$V$2,0))</f>
        <v>0</v>
      </c>
      <c r="AA50" s="9">
        <f ca="1">OFFSET(TIAM15_assumptions!$G50,0,MATCH(VLOOKUP(Assumptions!AA$2,TIAM15_assumptions!$Y$3:$Z$36,2,FALSE),TIAM15_assumptions!$H$2:$V$2,0))</f>
        <v>0.5</v>
      </c>
      <c r="AB50" s="9">
        <f ca="1">OFFSET(TIAM15_assumptions!$G50,0,MATCH(VLOOKUP(Assumptions!AB$2,TIAM15_assumptions!$Y$3:$Z$36,2,FALSE),TIAM15_assumptions!$H$2:$V$2,0))</f>
        <v>0</v>
      </c>
      <c r="AC50" s="9">
        <f ca="1">OFFSET(TIAM15_assumptions!$G50,0,MATCH(VLOOKUP(Assumptions!AC$2,TIAM15_assumptions!$Y$3:$Z$36,2,FALSE),TIAM15_assumptions!$H$2:$V$2,0))</f>
        <v>0.02</v>
      </c>
      <c r="AD50" s="9">
        <f ca="1">OFFSET(TIAM15_assumptions!$G50,0,MATCH(VLOOKUP(Assumptions!AD$2,TIAM15_assumptions!$Y$3:$Z$36,2,FALSE),TIAM15_assumptions!$H$2:$V$2,0))</f>
        <v>0</v>
      </c>
      <c r="AE50" s="9">
        <f ca="1">OFFSET(TIAM15_assumptions!$G50,0,MATCH(VLOOKUP(Assumptions!AE$2,TIAM15_assumptions!$Y$3:$Z$36,2,FALSE),TIAM15_assumptions!$H$2:$V$2,0))</f>
        <v>0</v>
      </c>
      <c r="AF50" s="9">
        <f ca="1">OFFSET(TIAM15_assumptions!$G50,0,MATCH(VLOOKUP(Assumptions!AF$2,TIAM15_assumptions!$Y$3:$Z$36,2,FALSE),TIAM15_assumptions!$H$2:$V$2,0))</f>
        <v>0</v>
      </c>
      <c r="AG50" s="9">
        <f ca="1">OFFSET(TIAM15_assumptions!$G50,0,MATCH(VLOOKUP(Assumptions!AG$2,TIAM15_assumptions!$Y$3:$Z$36,2,FALSE),TIAM15_assumptions!$H$2:$V$2,0))</f>
        <v>0</v>
      </c>
      <c r="AH50" s="9">
        <f ca="1">OFFSET(TIAM15_assumptions!$G50,0,MATCH(VLOOKUP(Assumptions!AH$2,TIAM15_assumptions!$Y$3:$Z$36,2,FALSE),TIAM15_assumptions!$H$2:$V$2,0))</f>
        <v>0</v>
      </c>
      <c r="AI50" s="9">
        <f ca="1">OFFSET(TIAM15_assumptions!$G50,0,MATCH(VLOOKUP(Assumptions!AI$2,TIAM15_assumptions!$Y$3:$Z$36,2,FALSE),TIAM15_assumptions!$H$2:$V$2,0))</f>
        <v>0</v>
      </c>
      <c r="AJ50" s="9">
        <f ca="1">OFFSET(TIAM15_assumptions!$G50,0,MATCH(VLOOKUP(Assumptions!AJ$2,TIAM15_assumptions!$Y$3:$Z$36,2,FALSE),TIAM15_assumptions!$H$2:$V$2,0))</f>
        <v>0.5</v>
      </c>
      <c r="AK50" s="9">
        <f ca="1">OFFSET(TIAM15_assumptions!$G50,0,MATCH(VLOOKUP(Assumptions!AK$2,TIAM15_assumptions!$Y$3:$Z$36,2,FALSE),TIAM15_assumptions!$H$2:$V$2,0))</f>
        <v>0.5</v>
      </c>
      <c r="AN50" s="34">
        <f ca="1">IFERROR(SUMIFS('TRA balance'!E$5:E$40,'TRA balance'!$C$5:$C$40,Assumptions!$C50,'TRA balance'!$D$5:$D$40,Assumptions!$B50)*BS50*H50,"")</f>
        <v>0</v>
      </c>
      <c r="AO50" s="34">
        <f ca="1">IFERROR(SUMIFS('TRA balance'!F$5:F$40,'TRA balance'!$C$5:$C$40,Assumptions!$C50,'TRA balance'!$D$5:$D$40,Assumptions!$B50)*BT50*I50,"")</f>
        <v>0</v>
      </c>
      <c r="AP50" s="34">
        <f ca="1">IFERROR(SUMIFS('TRA balance'!G$5:G$40,'TRA balance'!$C$5:$C$40,Assumptions!$C50,'TRA balance'!$D$5:$D$40,Assumptions!$B50)*BU50*J50,"")</f>
        <v>0</v>
      </c>
      <c r="AQ50" s="34">
        <f ca="1">IFERROR(SUMIFS('TRA balance'!H$5:H$40,'TRA balance'!$C$5:$C$40,Assumptions!$C50,'TRA balance'!$D$5:$D$40,Assumptions!$B50)*BV50*K50,"")</f>
        <v>0</v>
      </c>
      <c r="AR50" s="34">
        <f ca="1">IFERROR(SUMIFS('TRA balance'!I$5:I$40,'TRA balance'!$C$5:$C$40,Assumptions!$C50,'TRA balance'!$D$5:$D$40,Assumptions!$B50)*BW50*L50,"")</f>
        <v>0</v>
      </c>
      <c r="AS50" s="34">
        <f ca="1">IFERROR(SUMIFS('TRA balance'!J$5:J$40,'TRA balance'!$C$5:$C$40,Assumptions!$C50,'TRA balance'!$D$5:$D$40,Assumptions!$B50)*BX50*M50,"")</f>
        <v>0</v>
      </c>
      <c r="AT50" s="34">
        <f ca="1">IFERROR(SUMIFS('TRA balance'!K$5:K$40,'TRA balance'!$C$5:$C$40,Assumptions!$C50,'TRA balance'!$D$5:$D$40,Assumptions!$B50)*BY50*N50,"")</f>
        <v>0</v>
      </c>
      <c r="AU50" s="34">
        <f ca="1">IFERROR(SUMIFS('TRA balance'!L$5:L$40,'TRA balance'!$C$5:$C$40,Assumptions!$C50,'TRA balance'!$D$5:$D$40,Assumptions!$B50)*BZ50*O50,"")</f>
        <v>0</v>
      </c>
      <c r="AV50" s="34">
        <f ca="1">IFERROR(SUMIFS('TRA balance'!M$5:M$40,'TRA balance'!$C$5:$C$40,Assumptions!$C50,'TRA balance'!$D$5:$D$40,Assumptions!$B50)*CA50*P50,"")</f>
        <v>0</v>
      </c>
      <c r="AW50" s="34">
        <f ca="1">IFERROR(SUMIFS('TRA balance'!N$5:N$40,'TRA balance'!$C$5:$C$40,Assumptions!$C50,'TRA balance'!$D$5:$D$40,Assumptions!$B50)*CB50*Q50,"")</f>
        <v>0</v>
      </c>
      <c r="AX50" s="34">
        <f ca="1">IFERROR(SUMIFS('TRA balance'!O$5:O$40,'TRA balance'!$C$5:$C$40,Assumptions!$C50,'TRA balance'!$D$5:$D$40,Assumptions!$B50)*CC50*R50,"")</f>
        <v>0</v>
      </c>
      <c r="AY50" s="34">
        <f ca="1">IFERROR(SUMIFS('TRA balance'!P$5:P$40,'TRA balance'!$C$5:$C$40,Assumptions!$C50,'TRA balance'!$D$5:$D$40,Assumptions!$B50)*CD50*S50,"")</f>
        <v>0</v>
      </c>
      <c r="AZ50" s="34">
        <f ca="1">IFERROR(SUMIFS('TRA balance'!Q$5:Q$40,'TRA balance'!$C$5:$C$40,Assumptions!$C50,'TRA balance'!$D$5:$D$40,Assumptions!$B50)*CE50*T50,"")</f>
        <v>0</v>
      </c>
      <c r="BA50" s="34">
        <f ca="1">IFERROR(SUMIFS('TRA balance'!R$5:R$40,'TRA balance'!$C$5:$C$40,Assumptions!$C50,'TRA balance'!$D$5:$D$40,Assumptions!$B50)*CF50*U50,"")</f>
        <v>0</v>
      </c>
      <c r="BB50" s="34">
        <f ca="1">IFERROR(SUMIFS('TRA balance'!S$5:S$40,'TRA balance'!$C$5:$C$40,Assumptions!$C50,'TRA balance'!$D$5:$D$40,Assumptions!$B50)*CG50*V50,"")</f>
        <v>0</v>
      </c>
      <c r="BC50" s="34">
        <f ca="1">IFERROR(SUMIFS('TRA balance'!T$5:T$40,'TRA balance'!$C$5:$C$40,Assumptions!$C50,'TRA balance'!$D$5:$D$40,Assumptions!$B50)*CH50*W50,"")</f>
        <v>0</v>
      </c>
      <c r="BD50" s="34">
        <f ca="1">IFERROR(SUMIFS('TRA balance'!U$5:U$40,'TRA balance'!$C$5:$C$40,Assumptions!$C50,'TRA balance'!$D$5:$D$40,Assumptions!$B50)*CI50*X50,"")</f>
        <v>0</v>
      </c>
      <c r="BE50" s="34">
        <f ca="1">IFERROR(SUMIFS('TRA balance'!V$5:V$40,'TRA balance'!$C$5:$C$40,Assumptions!$C50,'TRA balance'!$D$5:$D$40,Assumptions!$B50)*CJ50*Y50,"")</f>
        <v>0</v>
      </c>
      <c r="BF50" s="34">
        <f ca="1">IFERROR(SUMIFS('TRA balance'!W$5:W$40,'TRA balance'!$C$5:$C$40,Assumptions!$C50,'TRA balance'!$D$5:$D$40,Assumptions!$B50)*CK50*Z50,"")</f>
        <v>0</v>
      </c>
      <c r="BG50" s="34">
        <f ca="1">IFERROR(SUMIFS('TRA balance'!X$5:X$40,'TRA balance'!$C$5:$C$40,Assumptions!$C50,'TRA balance'!$D$5:$D$40,Assumptions!$B50)*CL50*AA50,"")</f>
        <v>0</v>
      </c>
      <c r="BH50" s="34">
        <f ca="1">IFERROR(SUMIFS('TRA balance'!Y$5:Y$40,'TRA balance'!$C$5:$C$40,Assumptions!$C50,'TRA balance'!$D$5:$D$40,Assumptions!$B50)*CM50*AB50,"")</f>
        <v>0</v>
      </c>
      <c r="BI50" s="34">
        <f ca="1">IFERROR(SUMIFS('TRA balance'!Z$5:Z$40,'TRA balance'!$C$5:$C$40,Assumptions!$C50,'TRA balance'!$D$5:$D$40,Assumptions!$B50)*CN50*AC50,"")</f>
        <v>0</v>
      </c>
      <c r="BJ50" s="34">
        <f ca="1">IFERROR(SUMIFS('TRA balance'!AA$5:AA$40,'TRA balance'!$C$5:$C$40,Assumptions!$C50,'TRA balance'!$D$5:$D$40,Assumptions!$B50)*CO50*AD50,"")</f>
        <v>0</v>
      </c>
      <c r="BK50" s="34">
        <f ca="1">IFERROR(SUMIFS('TRA balance'!AB$5:AB$40,'TRA balance'!$C$5:$C$40,Assumptions!$C50,'TRA balance'!$D$5:$D$40,Assumptions!$B50)*CP50*AE50,"")</f>
        <v>0</v>
      </c>
      <c r="BL50" s="34">
        <f ca="1">IFERROR(SUMIFS('TRA balance'!AC$5:AC$40,'TRA balance'!$C$5:$C$40,Assumptions!$C50,'TRA balance'!$D$5:$D$40,Assumptions!$B50)*CQ50*AF50,"")</f>
        <v>0</v>
      </c>
      <c r="BM50" s="34">
        <f ca="1">IFERROR(SUMIFS('TRA balance'!AD$5:AD$40,'TRA balance'!$C$5:$C$40,Assumptions!$C50,'TRA balance'!$D$5:$D$40,Assumptions!$B50)*CR50*AG50,"")</f>
        <v>0</v>
      </c>
      <c r="BN50" s="34">
        <f ca="1">IFERROR(SUMIFS('TRA balance'!AE$5:AE$40,'TRA balance'!$C$5:$C$40,Assumptions!$C50,'TRA balance'!$D$5:$D$40,Assumptions!$B50)*CS50*AH50,"")</f>
        <v>0</v>
      </c>
      <c r="BO50" s="34">
        <f ca="1">IFERROR(SUMIFS('TRA balance'!AF$5:AF$40,'TRA balance'!$C$5:$C$40,Assumptions!$C50,'TRA balance'!$D$5:$D$40,Assumptions!$B50)*CT50*AI50,"")</f>
        <v>0</v>
      </c>
      <c r="BP50" s="34">
        <f ca="1">IFERROR(SUMIFS('TRA balance'!AG$5:AG$40,'TRA balance'!$C$5:$C$40,Assumptions!$C50,'TRA balance'!$D$5:$D$40,Assumptions!$B50)*CU50*AJ50,"")</f>
        <v>0</v>
      </c>
      <c r="BQ50" s="34">
        <f ca="1">IFERROR(SUMIFS('TRA balance'!AH$5:AH$40,'TRA balance'!$C$5:$C$40,Assumptions!$C50,'TRA balance'!$D$5:$D$40,Assumptions!$B50)*CV50*AK50,"")</f>
        <v>0</v>
      </c>
      <c r="BS50" s="33">
        <f t="shared" si="90"/>
        <v>1</v>
      </c>
      <c r="BT50" s="33">
        <f t="shared" si="91"/>
        <v>1</v>
      </c>
      <c r="BU50" s="33">
        <f t="shared" si="92"/>
        <v>1</v>
      </c>
      <c r="BV50" s="33">
        <f t="shared" si="93"/>
        <v>1</v>
      </c>
      <c r="BW50" s="33">
        <f t="shared" si="94"/>
        <v>1</v>
      </c>
      <c r="BX50" s="33">
        <f t="shared" si="95"/>
        <v>1</v>
      </c>
      <c r="BY50" s="33">
        <f t="shared" si="96"/>
        <v>1</v>
      </c>
      <c r="BZ50" s="33">
        <f t="shared" si="97"/>
        <v>1</v>
      </c>
      <c r="CA50" s="33">
        <f t="shared" si="98"/>
        <v>1</v>
      </c>
      <c r="CB50" s="33">
        <f t="shared" si="99"/>
        <v>1</v>
      </c>
      <c r="CC50" s="33">
        <f t="shared" si="100"/>
        <v>1</v>
      </c>
      <c r="CD50" s="33">
        <f t="shared" si="101"/>
        <v>1</v>
      </c>
      <c r="CE50" s="33">
        <f t="shared" si="102"/>
        <v>1</v>
      </c>
      <c r="CF50" s="33">
        <f t="shared" si="103"/>
        <v>1</v>
      </c>
      <c r="CG50" s="33">
        <f t="shared" si="104"/>
        <v>1</v>
      </c>
      <c r="CH50" s="33">
        <f t="shared" si="31"/>
        <v>1</v>
      </c>
      <c r="CI50" s="33">
        <f t="shared" si="32"/>
        <v>1</v>
      </c>
      <c r="CJ50" s="33">
        <f t="shared" si="33"/>
        <v>1</v>
      </c>
      <c r="CK50" s="33">
        <f t="shared" si="34"/>
        <v>1</v>
      </c>
      <c r="CL50" s="33">
        <f t="shared" si="35"/>
        <v>1</v>
      </c>
      <c r="CM50" s="33">
        <f t="shared" si="36"/>
        <v>1</v>
      </c>
      <c r="CN50" s="33">
        <f t="shared" si="37"/>
        <v>1</v>
      </c>
      <c r="CO50" s="33">
        <f t="shared" si="38"/>
        <v>1</v>
      </c>
      <c r="CP50" s="33">
        <f t="shared" si="39"/>
        <v>1</v>
      </c>
      <c r="CQ50" s="33">
        <f t="shared" si="40"/>
        <v>1</v>
      </c>
      <c r="CR50" s="33">
        <f t="shared" si="41"/>
        <v>1</v>
      </c>
      <c r="CS50" s="33">
        <f t="shared" si="42"/>
        <v>1</v>
      </c>
      <c r="CT50" s="33">
        <f t="shared" si="43"/>
        <v>1</v>
      </c>
      <c r="CU50" s="33">
        <f t="shared" si="44"/>
        <v>1</v>
      </c>
      <c r="CV50" s="33">
        <f t="shared" si="45"/>
        <v>1</v>
      </c>
    </row>
    <row r="51" spans="1:100" x14ac:dyDescent="0.45">
      <c r="A51">
        <v>1</v>
      </c>
      <c r="B51" t="str">
        <f>VLOOKUP(F51,'TRA balance'!$AK$5:$AL$14,2,FALSE)</f>
        <v>TRALPG</v>
      </c>
      <c r="C51" s="11"/>
      <c r="D51" s="11"/>
      <c r="E51" s="12" t="s">
        <v>58</v>
      </c>
      <c r="F51" s="13" t="str">
        <f t="shared" si="117"/>
        <v>Liquified Petroleum Gases</v>
      </c>
      <c r="G51" s="11"/>
      <c r="H51" s="12" t="str">
        <f t="shared" ref="H51:M51" ca="1" si="125">IF(SUM(H49:H50)=1,"-","&lt;&gt;1!!")</f>
        <v>-</v>
      </c>
      <c r="I51" s="12" t="str">
        <f t="shared" ca="1" si="125"/>
        <v>-</v>
      </c>
      <c r="J51" s="12" t="str">
        <f t="shared" ca="1" si="125"/>
        <v>-</v>
      </c>
      <c r="K51" s="12" t="str">
        <f t="shared" ca="1" si="125"/>
        <v>-</v>
      </c>
      <c r="L51" s="12" t="str">
        <f t="shared" ca="1" si="125"/>
        <v>-</v>
      </c>
      <c r="M51" s="12" t="str">
        <f t="shared" ca="1" si="125"/>
        <v>-</v>
      </c>
      <c r="N51" s="12" t="str">
        <f t="shared" ref="N51:X51" ca="1" si="126">IF(SUM(N49:N50)=1,"-","&lt;&gt;1!!")</f>
        <v>-</v>
      </c>
      <c r="O51" s="12" t="str">
        <f t="shared" ca="1" si="126"/>
        <v>-</v>
      </c>
      <c r="P51" s="12" t="str">
        <f t="shared" ca="1" si="126"/>
        <v>-</v>
      </c>
      <c r="Q51" s="12" t="str">
        <f t="shared" ca="1" si="126"/>
        <v>-</v>
      </c>
      <c r="R51" s="12" t="str">
        <f t="shared" ca="1" si="126"/>
        <v>-</v>
      </c>
      <c r="S51" s="12" t="str">
        <f t="shared" ca="1" si="126"/>
        <v>-</v>
      </c>
      <c r="T51" s="12" t="str">
        <f t="shared" ca="1" si="126"/>
        <v>-</v>
      </c>
      <c r="U51" s="12" t="str">
        <f t="shared" ca="1" si="126"/>
        <v>-</v>
      </c>
      <c r="V51" s="12" t="str">
        <f t="shared" ca="1" si="126"/>
        <v>-</v>
      </c>
      <c r="W51" s="12" t="str">
        <f t="shared" ca="1" si="126"/>
        <v>-</v>
      </c>
      <c r="X51" s="12" t="str">
        <f t="shared" ca="1" si="126"/>
        <v>-</v>
      </c>
      <c r="Y51" s="12" t="str">
        <f t="shared" ref="Y51:Z51" ca="1" si="127">IF(SUM(Y49:Y50)=1,"-","&lt;&gt;1!!")</f>
        <v>-</v>
      </c>
      <c r="Z51" s="12" t="str">
        <f t="shared" ca="1" si="127"/>
        <v>-</v>
      </c>
      <c r="AA51" s="12" t="str">
        <f t="shared" ref="AA51:AK51" ca="1" si="128">IF(SUM(AA49:AA50)=1,"-","&lt;&gt;1!!")</f>
        <v>-</v>
      </c>
      <c r="AB51" s="12" t="str">
        <f t="shared" ca="1" si="128"/>
        <v>-</v>
      </c>
      <c r="AC51" s="12" t="str">
        <f t="shared" ca="1" si="128"/>
        <v>-</v>
      </c>
      <c r="AD51" s="12" t="str">
        <f t="shared" ca="1" si="128"/>
        <v>-</v>
      </c>
      <c r="AE51" s="12" t="str">
        <f t="shared" ca="1" si="128"/>
        <v>-</v>
      </c>
      <c r="AF51" s="12" t="str">
        <f t="shared" ca="1" si="128"/>
        <v>-</v>
      </c>
      <c r="AG51" s="12" t="str">
        <f t="shared" ca="1" si="128"/>
        <v>-</v>
      </c>
      <c r="AH51" s="12" t="str">
        <f t="shared" ca="1" si="128"/>
        <v>-</v>
      </c>
      <c r="AI51" s="12" t="str">
        <f t="shared" ca="1" si="128"/>
        <v>-</v>
      </c>
      <c r="AJ51" s="12" t="str">
        <f t="shared" ca="1" si="128"/>
        <v>-</v>
      </c>
      <c r="AK51" s="12" t="str">
        <f t="shared" ca="1" si="128"/>
        <v>-</v>
      </c>
      <c r="AN51" s="34" t="str">
        <f ca="1">IFERROR(SUMIFS('TRA balance'!E$5:E$40,'TRA balance'!$C$5:$C$40,Assumptions!$C51,'TRA balance'!$D$5:$D$40,Assumptions!$B51)*BS51*H51,"")</f>
        <v/>
      </c>
      <c r="AO51" s="34" t="str">
        <f ca="1">IFERROR(SUMIFS('TRA balance'!F$5:F$40,'TRA balance'!$C$5:$C$40,Assumptions!$C51,'TRA balance'!$D$5:$D$40,Assumptions!$B51)*BT51*I51,"")</f>
        <v/>
      </c>
      <c r="AP51" s="34" t="str">
        <f ca="1">IFERROR(SUMIFS('TRA balance'!G$5:G$40,'TRA balance'!$C$5:$C$40,Assumptions!$C51,'TRA balance'!$D$5:$D$40,Assumptions!$B51)*BU51*J51,"")</f>
        <v/>
      </c>
      <c r="AQ51" s="34" t="str">
        <f ca="1">IFERROR(SUMIFS('TRA balance'!H$5:H$40,'TRA balance'!$C$5:$C$40,Assumptions!$C51,'TRA balance'!$D$5:$D$40,Assumptions!$B51)*BV51*K51,"")</f>
        <v/>
      </c>
      <c r="AR51" s="34" t="str">
        <f ca="1">IFERROR(SUMIFS('TRA balance'!I$5:I$40,'TRA balance'!$C$5:$C$40,Assumptions!$C51,'TRA balance'!$D$5:$D$40,Assumptions!$B51)*BW51*L51,"")</f>
        <v/>
      </c>
      <c r="AS51" s="34" t="str">
        <f ca="1">IFERROR(SUMIFS('TRA balance'!J$5:J$40,'TRA balance'!$C$5:$C$40,Assumptions!$C51,'TRA balance'!$D$5:$D$40,Assumptions!$B51)*BX51*M51,"")</f>
        <v/>
      </c>
      <c r="AT51" s="34" t="str">
        <f ca="1">IFERROR(SUMIFS('TRA balance'!K$5:K$40,'TRA balance'!$C$5:$C$40,Assumptions!$C51,'TRA balance'!$D$5:$D$40,Assumptions!$B51)*BY51*N51,"")</f>
        <v/>
      </c>
      <c r="AU51" s="34" t="str">
        <f ca="1">IFERROR(SUMIFS('TRA balance'!L$5:L$40,'TRA balance'!$C$5:$C$40,Assumptions!$C51,'TRA balance'!$D$5:$D$40,Assumptions!$B51)*BZ51*O51,"")</f>
        <v/>
      </c>
      <c r="AV51" s="34" t="str">
        <f ca="1">IFERROR(SUMIFS('TRA balance'!M$5:M$40,'TRA balance'!$C$5:$C$40,Assumptions!$C51,'TRA balance'!$D$5:$D$40,Assumptions!$B51)*CA51*P51,"")</f>
        <v/>
      </c>
      <c r="AW51" s="34" t="str">
        <f ca="1">IFERROR(SUMIFS('TRA balance'!N$5:N$40,'TRA balance'!$C$5:$C$40,Assumptions!$C51,'TRA balance'!$D$5:$D$40,Assumptions!$B51)*CB51*Q51,"")</f>
        <v/>
      </c>
      <c r="AX51" s="34" t="str">
        <f ca="1">IFERROR(SUMIFS('TRA balance'!O$5:O$40,'TRA balance'!$C$5:$C$40,Assumptions!$C51,'TRA balance'!$D$5:$D$40,Assumptions!$B51)*CC51*R51,"")</f>
        <v/>
      </c>
      <c r="AY51" s="34" t="str">
        <f ca="1">IFERROR(SUMIFS('TRA balance'!P$5:P$40,'TRA balance'!$C$5:$C$40,Assumptions!$C51,'TRA balance'!$D$5:$D$40,Assumptions!$B51)*CD51*S51,"")</f>
        <v/>
      </c>
      <c r="AZ51" s="34" t="str">
        <f ca="1">IFERROR(SUMIFS('TRA balance'!Q$5:Q$40,'TRA balance'!$C$5:$C$40,Assumptions!$C51,'TRA balance'!$D$5:$D$40,Assumptions!$B51)*CE51*T51,"")</f>
        <v/>
      </c>
      <c r="BA51" s="34" t="str">
        <f ca="1">IFERROR(SUMIFS('TRA balance'!R$5:R$40,'TRA balance'!$C$5:$C$40,Assumptions!$C51,'TRA balance'!$D$5:$D$40,Assumptions!$B51)*CF51*U51,"")</f>
        <v/>
      </c>
      <c r="BB51" s="34" t="str">
        <f ca="1">IFERROR(SUMIFS('TRA balance'!S$5:S$40,'TRA balance'!$C$5:$C$40,Assumptions!$C51,'TRA balance'!$D$5:$D$40,Assumptions!$B51)*CG51*V51,"")</f>
        <v/>
      </c>
      <c r="BC51" s="34" t="str">
        <f ca="1">IFERROR(SUMIFS('TRA balance'!T$5:T$40,'TRA balance'!$C$5:$C$40,Assumptions!$C51,'TRA balance'!$D$5:$D$40,Assumptions!$B51)*CH51*W51,"")</f>
        <v/>
      </c>
      <c r="BD51" s="34" t="str">
        <f ca="1">IFERROR(SUMIFS('TRA balance'!U$5:U$40,'TRA balance'!$C$5:$C$40,Assumptions!$C51,'TRA balance'!$D$5:$D$40,Assumptions!$B51)*CI51*X51,"")</f>
        <v/>
      </c>
      <c r="BE51" s="34" t="str">
        <f ca="1">IFERROR(SUMIFS('TRA balance'!V$5:V$40,'TRA balance'!$C$5:$C$40,Assumptions!$C51,'TRA balance'!$D$5:$D$40,Assumptions!$B51)*CJ51*Y51,"")</f>
        <v/>
      </c>
      <c r="BF51" s="34" t="str">
        <f ca="1">IFERROR(SUMIFS('TRA balance'!W$5:W$40,'TRA balance'!$C$5:$C$40,Assumptions!$C51,'TRA balance'!$D$5:$D$40,Assumptions!$B51)*CK51*Z51,"")</f>
        <v/>
      </c>
      <c r="BG51" s="34" t="str">
        <f ca="1">IFERROR(SUMIFS('TRA balance'!X$5:X$40,'TRA balance'!$C$5:$C$40,Assumptions!$C51,'TRA balance'!$D$5:$D$40,Assumptions!$B51)*CL51*AA51,"")</f>
        <v/>
      </c>
      <c r="BH51" s="34" t="str">
        <f ca="1">IFERROR(SUMIFS('TRA balance'!Y$5:Y$40,'TRA balance'!$C$5:$C$40,Assumptions!$C51,'TRA balance'!$D$5:$D$40,Assumptions!$B51)*CM51*AB51,"")</f>
        <v/>
      </c>
      <c r="BI51" s="34" t="str">
        <f ca="1">IFERROR(SUMIFS('TRA balance'!Z$5:Z$40,'TRA balance'!$C$5:$C$40,Assumptions!$C51,'TRA balance'!$D$5:$D$40,Assumptions!$B51)*CN51*AC51,"")</f>
        <v/>
      </c>
      <c r="BJ51" s="34" t="str">
        <f ca="1">IFERROR(SUMIFS('TRA balance'!AA$5:AA$40,'TRA balance'!$C$5:$C$40,Assumptions!$C51,'TRA balance'!$D$5:$D$40,Assumptions!$B51)*CO51*AD51,"")</f>
        <v/>
      </c>
      <c r="BK51" s="34" t="str">
        <f ca="1">IFERROR(SUMIFS('TRA balance'!AB$5:AB$40,'TRA balance'!$C$5:$C$40,Assumptions!$C51,'TRA balance'!$D$5:$D$40,Assumptions!$B51)*CP51*AE51,"")</f>
        <v/>
      </c>
      <c r="BL51" s="34" t="str">
        <f ca="1">IFERROR(SUMIFS('TRA balance'!AC$5:AC$40,'TRA balance'!$C$5:$C$40,Assumptions!$C51,'TRA balance'!$D$5:$D$40,Assumptions!$B51)*CQ51*AF51,"")</f>
        <v/>
      </c>
      <c r="BM51" s="34" t="str">
        <f ca="1">IFERROR(SUMIFS('TRA balance'!AD$5:AD$40,'TRA balance'!$C$5:$C$40,Assumptions!$C51,'TRA balance'!$D$5:$D$40,Assumptions!$B51)*CR51*AG51,"")</f>
        <v/>
      </c>
      <c r="BN51" s="34" t="str">
        <f ca="1">IFERROR(SUMIFS('TRA balance'!AE$5:AE$40,'TRA balance'!$C$5:$C$40,Assumptions!$C51,'TRA balance'!$D$5:$D$40,Assumptions!$B51)*CS51*AH51,"")</f>
        <v/>
      </c>
      <c r="BO51" s="34" t="str">
        <f ca="1">IFERROR(SUMIFS('TRA balance'!AF$5:AF$40,'TRA balance'!$C$5:$C$40,Assumptions!$C51,'TRA balance'!$D$5:$D$40,Assumptions!$B51)*CT51*AI51,"")</f>
        <v/>
      </c>
      <c r="BP51" s="34" t="str">
        <f ca="1">IFERROR(SUMIFS('TRA balance'!AG$5:AG$40,'TRA balance'!$C$5:$C$40,Assumptions!$C51,'TRA balance'!$D$5:$D$40,Assumptions!$B51)*CU51*AJ51,"")</f>
        <v/>
      </c>
      <c r="BQ51" s="34" t="str">
        <f ca="1">IFERROR(SUMIFS('TRA balance'!AH$5:AH$40,'TRA balance'!$C$5:$C$40,Assumptions!$C51,'TRA balance'!$D$5:$D$40,Assumptions!$B51)*CV51*AK51,"")</f>
        <v/>
      </c>
      <c r="BS51" s="33">
        <f t="shared" si="90"/>
        <v>1</v>
      </c>
      <c r="BT51" s="33">
        <f t="shared" si="91"/>
        <v>1</v>
      </c>
      <c r="BU51" s="33">
        <f t="shared" si="92"/>
        <v>1</v>
      </c>
      <c r="BV51" s="33">
        <f t="shared" si="93"/>
        <v>1</v>
      </c>
      <c r="BW51" s="33">
        <f t="shared" si="94"/>
        <v>1</v>
      </c>
      <c r="BX51" s="33">
        <f t="shared" si="95"/>
        <v>1</v>
      </c>
      <c r="BY51" s="33">
        <f t="shared" si="96"/>
        <v>1</v>
      </c>
      <c r="BZ51" s="33">
        <f t="shared" si="97"/>
        <v>1</v>
      </c>
      <c r="CA51" s="33">
        <f t="shared" si="98"/>
        <v>1</v>
      </c>
      <c r="CB51" s="33">
        <f t="shared" si="99"/>
        <v>1</v>
      </c>
      <c r="CC51" s="33">
        <f t="shared" si="100"/>
        <v>1</v>
      </c>
      <c r="CD51" s="33">
        <f t="shared" si="101"/>
        <v>1</v>
      </c>
      <c r="CE51" s="33">
        <f t="shared" si="102"/>
        <v>1</v>
      </c>
      <c r="CF51" s="33">
        <f t="shared" si="103"/>
        <v>1</v>
      </c>
      <c r="CG51" s="33">
        <f t="shared" si="104"/>
        <v>1</v>
      </c>
      <c r="CH51" s="33">
        <f t="shared" si="31"/>
        <v>1</v>
      </c>
      <c r="CI51" s="33">
        <f t="shared" si="32"/>
        <v>1</v>
      </c>
      <c r="CJ51" s="33">
        <f t="shared" si="33"/>
        <v>1</v>
      </c>
      <c r="CK51" s="33">
        <f t="shared" si="34"/>
        <v>1</v>
      </c>
      <c r="CL51" s="33">
        <f t="shared" si="35"/>
        <v>1</v>
      </c>
      <c r="CM51" s="33">
        <f t="shared" si="36"/>
        <v>1</v>
      </c>
      <c r="CN51" s="33">
        <f t="shared" si="37"/>
        <v>1</v>
      </c>
      <c r="CO51" s="33">
        <f t="shared" si="38"/>
        <v>1</v>
      </c>
      <c r="CP51" s="33">
        <f t="shared" si="39"/>
        <v>1</v>
      </c>
      <c r="CQ51" s="33">
        <f t="shared" si="40"/>
        <v>1</v>
      </c>
      <c r="CR51" s="33">
        <f t="shared" si="41"/>
        <v>1</v>
      </c>
      <c r="CS51" s="33">
        <f t="shared" si="42"/>
        <v>1</v>
      </c>
      <c r="CT51" s="33">
        <f t="shared" si="43"/>
        <v>1</v>
      </c>
      <c r="CU51" s="33">
        <f t="shared" si="44"/>
        <v>1</v>
      </c>
      <c r="CV51" s="33">
        <f t="shared" si="45"/>
        <v>1</v>
      </c>
    </row>
    <row r="52" spans="1:100" x14ac:dyDescent="0.45">
      <c r="A52">
        <v>1</v>
      </c>
      <c r="B52" t="str">
        <f>VLOOKUP(F52,'TRA balance'!$AK$5:$AL$14,2,FALSE)</f>
        <v>TRANGA</v>
      </c>
      <c r="C52" s="14">
        <v>1</v>
      </c>
      <c r="D52" s="15" t="s">
        <v>16</v>
      </c>
      <c r="E52" s="15" t="s">
        <v>59</v>
      </c>
      <c r="F52" s="16" t="s">
        <v>83</v>
      </c>
      <c r="G52" s="14"/>
      <c r="H52" s="9">
        <f ca="1">OFFSET(TIAM15_assumptions!$G52,0,MATCH(VLOOKUP(Assumptions!H$2,TIAM15_assumptions!$Y$3:$Z$36,2,FALSE),TIAM15_assumptions!$H$2:$V$2,0))</f>
        <v>0.25</v>
      </c>
      <c r="I52" s="9">
        <f ca="1">OFFSET(TIAM15_assumptions!$G52,0,MATCH(VLOOKUP(Assumptions!I$2,TIAM15_assumptions!$Y$3:$Z$36,2,FALSE),TIAM15_assumptions!$H$2:$V$2,0))</f>
        <v>0.25</v>
      </c>
      <c r="J52" s="9">
        <f ca="1">OFFSET(TIAM15_assumptions!$G52,0,MATCH(VLOOKUP(Assumptions!J$2,TIAM15_assumptions!$Y$3:$Z$36,2,FALSE),TIAM15_assumptions!$H$2:$V$2,0))</f>
        <v>0.5</v>
      </c>
      <c r="K52" s="9">
        <f ca="1">OFFSET(TIAM15_assumptions!$G52,0,MATCH(VLOOKUP(Assumptions!K$2,TIAM15_assumptions!$Y$3:$Z$36,2,FALSE),TIAM15_assumptions!$H$2:$V$2,0))</f>
        <v>0.7</v>
      </c>
      <c r="L52" s="9">
        <f ca="1">OFFSET(TIAM15_assumptions!$G52,0,MATCH(VLOOKUP(Assumptions!L$2,TIAM15_assumptions!$Y$3:$Z$36,2,FALSE),TIAM15_assumptions!$H$2:$V$2,0))</f>
        <v>0.95</v>
      </c>
      <c r="M52" s="9">
        <f ca="1">OFFSET(TIAM15_assumptions!$G52,0,MATCH(VLOOKUP(Assumptions!M$2,TIAM15_assumptions!$Y$3:$Z$36,2,FALSE),TIAM15_assumptions!$H$2:$V$2,0))</f>
        <v>0.9</v>
      </c>
      <c r="N52" s="9">
        <f ca="1">OFFSET(TIAM15_assumptions!$G52,0,MATCH(VLOOKUP(Assumptions!N$2,TIAM15_assumptions!$Y$3:$Z$36,2,FALSE),TIAM15_assumptions!$H$2:$V$2,0))</f>
        <v>0.25</v>
      </c>
      <c r="O52" s="9">
        <f ca="1">OFFSET(TIAM15_assumptions!$G52,0,MATCH(VLOOKUP(Assumptions!O$2,TIAM15_assumptions!$Y$3:$Z$36,2,FALSE),TIAM15_assumptions!$H$2:$V$2,0))</f>
        <v>0.5</v>
      </c>
      <c r="P52" s="9">
        <f ca="1">OFFSET(TIAM15_assumptions!$G52,0,MATCH(VLOOKUP(Assumptions!P$2,TIAM15_assumptions!$Y$3:$Z$36,2,FALSE),TIAM15_assumptions!$H$2:$V$2,0))</f>
        <v>0.68200000000000005</v>
      </c>
      <c r="Q52" s="9">
        <f ca="1">OFFSET(TIAM15_assumptions!$G52,0,MATCH(VLOOKUP(Assumptions!Q$2,TIAM15_assumptions!$Y$3:$Z$36,2,FALSE),TIAM15_assumptions!$H$2:$V$2,0))</f>
        <v>0.4</v>
      </c>
      <c r="R52" s="9">
        <f ca="1">OFFSET(TIAM15_assumptions!$G52,0,MATCH(VLOOKUP(Assumptions!R$2,TIAM15_assumptions!$Y$3:$Z$36,2,FALSE),TIAM15_assumptions!$H$2:$V$2,0))</f>
        <v>0.68200000000000005</v>
      </c>
      <c r="S52" s="9">
        <f ca="1">OFFSET(TIAM15_assumptions!$G52,0,MATCH(VLOOKUP(Assumptions!S$2,TIAM15_assumptions!$Y$3:$Z$36,2,FALSE),TIAM15_assumptions!$H$2:$V$2,0))</f>
        <v>0</v>
      </c>
      <c r="T52" s="9">
        <f ca="1">OFFSET(TIAM15_assumptions!$G52,0,MATCH(VLOOKUP(Assumptions!T$2,TIAM15_assumptions!$Y$3:$Z$36,2,FALSE),TIAM15_assumptions!$H$2:$V$2,0))</f>
        <v>0.68200000000000005</v>
      </c>
      <c r="U52" s="9">
        <f ca="1">OFFSET(TIAM15_assumptions!$G52,0,MATCH(VLOOKUP(Assumptions!U$2,TIAM15_assumptions!$Y$3:$Z$36,2,FALSE),TIAM15_assumptions!$H$2:$V$2,0))</f>
        <v>0.68200000000000005</v>
      </c>
      <c r="V52" s="9">
        <f ca="1">OFFSET(TIAM15_assumptions!$G52,0,MATCH(VLOOKUP(Assumptions!V$2,TIAM15_assumptions!$Y$3:$Z$36,2,FALSE),TIAM15_assumptions!$H$2:$V$2,0))</f>
        <v>0</v>
      </c>
      <c r="W52" s="9">
        <f ca="1">OFFSET(TIAM15_assumptions!$G52,0,MATCH(VLOOKUP(Assumptions!W$2,TIAM15_assumptions!$Y$3:$Z$36,2,FALSE),TIAM15_assumptions!$H$2:$V$2,0))</f>
        <v>0.68200000000000005</v>
      </c>
      <c r="X52" s="9">
        <f ca="1">OFFSET(TIAM15_assumptions!$G52,0,MATCH(VLOOKUP(Assumptions!X$2,TIAM15_assumptions!$Y$3:$Z$36,2,FALSE),TIAM15_assumptions!$H$2:$V$2,0))</f>
        <v>0.68200000000000005</v>
      </c>
      <c r="Y52" s="9">
        <f ca="1">OFFSET(TIAM15_assumptions!$G52,0,MATCH(VLOOKUP(Assumptions!Y$2,TIAM15_assumptions!$Y$3:$Z$36,2,FALSE),TIAM15_assumptions!$H$2:$V$2,0))</f>
        <v>0.68200000000000005</v>
      </c>
      <c r="Z52" s="9">
        <f ca="1">OFFSET(TIAM15_assumptions!$G52,0,MATCH(VLOOKUP(Assumptions!Z$2,TIAM15_assumptions!$Y$3:$Z$36,2,FALSE),TIAM15_assumptions!$H$2:$V$2,0))</f>
        <v>0.68200000000000005</v>
      </c>
      <c r="AA52" s="9">
        <f ca="1">OFFSET(TIAM15_assumptions!$G52,0,MATCH(VLOOKUP(Assumptions!AA$2,TIAM15_assumptions!$Y$3:$Z$36,2,FALSE),TIAM15_assumptions!$H$2:$V$2,0))</f>
        <v>0.25</v>
      </c>
      <c r="AB52" s="9">
        <f ca="1">OFFSET(TIAM15_assumptions!$G52,0,MATCH(VLOOKUP(Assumptions!AB$2,TIAM15_assumptions!$Y$3:$Z$36,2,FALSE),TIAM15_assumptions!$H$2:$V$2,0))</f>
        <v>0.5</v>
      </c>
      <c r="AC52" s="9">
        <f ca="1">OFFSET(TIAM15_assumptions!$G52,0,MATCH(VLOOKUP(Assumptions!AC$2,TIAM15_assumptions!$Y$3:$Z$36,2,FALSE),TIAM15_assumptions!$H$2:$V$2,0))</f>
        <v>0.55000000000000004</v>
      </c>
      <c r="AD52" s="9">
        <f ca="1">OFFSET(TIAM15_assumptions!$G52,0,MATCH(VLOOKUP(Assumptions!AD$2,TIAM15_assumptions!$Y$3:$Z$36,2,FALSE),TIAM15_assumptions!$H$2:$V$2,0))</f>
        <v>0.68200000000000005</v>
      </c>
      <c r="AE52" s="9">
        <f ca="1">OFFSET(TIAM15_assumptions!$G52,0,MATCH(VLOOKUP(Assumptions!AE$2,TIAM15_assumptions!$Y$3:$Z$36,2,FALSE),TIAM15_assumptions!$H$2:$V$2,0))</f>
        <v>0.68200000000000005</v>
      </c>
      <c r="AF52" s="9">
        <f ca="1">OFFSET(TIAM15_assumptions!$G52,0,MATCH(VLOOKUP(Assumptions!AF$2,TIAM15_assumptions!$Y$3:$Z$36,2,FALSE),TIAM15_assumptions!$H$2:$V$2,0))</f>
        <v>0.7</v>
      </c>
      <c r="AG52" s="9">
        <f ca="1">OFFSET(TIAM15_assumptions!$G52,0,MATCH(VLOOKUP(Assumptions!AG$2,TIAM15_assumptions!$Y$3:$Z$36,2,FALSE),TIAM15_assumptions!$H$2:$V$2,0))</f>
        <v>0.68200000000000005</v>
      </c>
      <c r="AH52" s="9">
        <f ca="1">OFFSET(TIAM15_assumptions!$G52,0,MATCH(VLOOKUP(Assumptions!AH$2,TIAM15_assumptions!$Y$3:$Z$36,2,FALSE),TIAM15_assumptions!$H$2:$V$2,0))</f>
        <v>0.25</v>
      </c>
      <c r="AI52" s="9">
        <f ca="1">OFFSET(TIAM15_assumptions!$G52,0,MATCH(VLOOKUP(Assumptions!AI$2,TIAM15_assumptions!$Y$3:$Z$36,2,FALSE),TIAM15_assumptions!$H$2:$V$2,0))</f>
        <v>0.68200000000000005</v>
      </c>
      <c r="AJ52" s="9">
        <f ca="1">OFFSET(TIAM15_assumptions!$G52,0,MATCH(VLOOKUP(Assumptions!AJ$2,TIAM15_assumptions!$Y$3:$Z$36,2,FALSE),TIAM15_assumptions!$H$2:$V$2,0))</f>
        <v>0.97916979455979025</v>
      </c>
      <c r="AK52" s="9">
        <f ca="1">OFFSET(TIAM15_assumptions!$G52,0,MATCH(VLOOKUP(Assumptions!AK$2,TIAM15_assumptions!$Y$3:$Z$36,2,FALSE),TIAM15_assumptions!$H$2:$V$2,0))</f>
        <v>0.97916979455979025</v>
      </c>
      <c r="AN52" s="34">
        <f ca="1">IFERROR(SUMIFS('TRA balance'!E$5:E$40,'TRA balance'!$C$5:$C$40,Assumptions!$C52,'TRA balance'!$D$5:$D$40,Assumptions!$B52)*BS52*H52,"")</f>
        <v>0</v>
      </c>
      <c r="AO52" s="34">
        <f ca="1">IFERROR(SUMIFS('TRA balance'!F$5:F$40,'TRA balance'!$C$5:$C$40,Assumptions!$C52,'TRA balance'!$D$5:$D$40,Assumptions!$B52)*BT52*I52,"")</f>
        <v>0</v>
      </c>
      <c r="AP52" s="34">
        <f ca="1">IFERROR(SUMIFS('TRA balance'!G$5:G$40,'TRA balance'!$C$5:$C$40,Assumptions!$C52,'TRA balance'!$D$5:$D$40,Assumptions!$B52)*BU52*J52,"")</f>
        <v>0</v>
      </c>
      <c r="AQ52" s="34">
        <f ca="1">IFERROR(SUMIFS('TRA balance'!H$5:H$40,'TRA balance'!$C$5:$C$40,Assumptions!$C52,'TRA balance'!$D$5:$D$40,Assumptions!$B52)*BV52*K52,"")</f>
        <v>0</v>
      </c>
      <c r="AR52" s="34">
        <f ca="1">IFERROR(SUMIFS('TRA balance'!I$5:I$40,'TRA balance'!$C$5:$C$40,Assumptions!$C52,'TRA balance'!$D$5:$D$40,Assumptions!$B52)*BW52*L52,"")</f>
        <v>0</v>
      </c>
      <c r="AS52" s="34">
        <f ca="1">IFERROR(SUMIFS('TRA balance'!J$5:J$40,'TRA balance'!$C$5:$C$40,Assumptions!$C52,'TRA balance'!$D$5:$D$40,Assumptions!$B52)*BX52*M52,"")</f>
        <v>0</v>
      </c>
      <c r="AT52" s="34">
        <f ca="1">IFERROR(SUMIFS('TRA balance'!K$5:K$40,'TRA balance'!$C$5:$C$40,Assumptions!$C52,'TRA balance'!$D$5:$D$40,Assumptions!$B52)*BY52*N52,"")</f>
        <v>0</v>
      </c>
      <c r="AU52" s="34">
        <f ca="1">IFERROR(SUMIFS('TRA balance'!L$5:L$40,'TRA balance'!$C$5:$C$40,Assumptions!$C52,'TRA balance'!$D$5:$D$40,Assumptions!$B52)*BZ52*O52,"")</f>
        <v>0</v>
      </c>
      <c r="AV52" s="34">
        <f ca="1">IFERROR(SUMIFS('TRA balance'!M$5:M$40,'TRA balance'!$C$5:$C$40,Assumptions!$C52,'TRA balance'!$D$5:$D$40,Assumptions!$B52)*CA52*P52,"")</f>
        <v>0</v>
      </c>
      <c r="AW52" s="34">
        <f ca="1">IFERROR(SUMIFS('TRA balance'!N$5:N$40,'TRA balance'!$C$5:$C$40,Assumptions!$C52,'TRA balance'!$D$5:$D$40,Assumptions!$B52)*CB52*Q52,"")</f>
        <v>0</v>
      </c>
      <c r="AX52" s="34">
        <f ca="1">IFERROR(SUMIFS('TRA balance'!O$5:O$40,'TRA balance'!$C$5:$C$40,Assumptions!$C52,'TRA balance'!$D$5:$D$40,Assumptions!$B52)*CC52*R52,"")</f>
        <v>0</v>
      </c>
      <c r="AY52" s="34">
        <f ca="1">IFERROR(SUMIFS('TRA balance'!P$5:P$40,'TRA balance'!$C$5:$C$40,Assumptions!$C52,'TRA balance'!$D$5:$D$40,Assumptions!$B52)*CD52*S52,"")</f>
        <v>0</v>
      </c>
      <c r="AZ52" s="34">
        <f ca="1">IFERROR(SUMIFS('TRA balance'!Q$5:Q$40,'TRA balance'!$C$5:$C$40,Assumptions!$C52,'TRA balance'!$D$5:$D$40,Assumptions!$B52)*CE52*T52,"")</f>
        <v>0</v>
      </c>
      <c r="BA52" s="34">
        <f ca="1">IFERROR(SUMIFS('TRA balance'!R$5:R$40,'TRA balance'!$C$5:$C$40,Assumptions!$C52,'TRA balance'!$D$5:$D$40,Assumptions!$B52)*CF52*U52,"")</f>
        <v>0</v>
      </c>
      <c r="BB52" s="34">
        <f ca="1">IFERROR(SUMIFS('TRA balance'!S$5:S$40,'TRA balance'!$C$5:$C$40,Assumptions!$C52,'TRA balance'!$D$5:$D$40,Assumptions!$B52)*CG52*V52,"")</f>
        <v>0</v>
      </c>
      <c r="BC52" s="34">
        <f ca="1">IFERROR(SUMIFS('TRA balance'!T$5:T$40,'TRA balance'!$C$5:$C$40,Assumptions!$C52,'TRA balance'!$D$5:$D$40,Assumptions!$B52)*CH52*W52,"")</f>
        <v>0</v>
      </c>
      <c r="BD52" s="34">
        <f ca="1">IFERROR(SUMIFS('TRA balance'!U$5:U$40,'TRA balance'!$C$5:$C$40,Assumptions!$C52,'TRA balance'!$D$5:$D$40,Assumptions!$B52)*CI52*X52,"")</f>
        <v>0</v>
      </c>
      <c r="BE52" s="34">
        <f ca="1">IFERROR(SUMIFS('TRA balance'!V$5:V$40,'TRA balance'!$C$5:$C$40,Assumptions!$C52,'TRA balance'!$D$5:$D$40,Assumptions!$B52)*CJ52*Y52,"")</f>
        <v>0</v>
      </c>
      <c r="BF52" s="34">
        <f ca="1">IFERROR(SUMIFS('TRA balance'!W$5:W$40,'TRA balance'!$C$5:$C$40,Assumptions!$C52,'TRA balance'!$D$5:$D$40,Assumptions!$B52)*CK52*Z52,"")</f>
        <v>0</v>
      </c>
      <c r="BG52" s="34">
        <f ca="1">IFERROR(SUMIFS('TRA balance'!X$5:X$40,'TRA balance'!$C$5:$C$40,Assumptions!$C52,'TRA balance'!$D$5:$D$40,Assumptions!$B52)*CL52*AA52,"")</f>
        <v>0</v>
      </c>
      <c r="BH52" s="34">
        <f ca="1">IFERROR(SUMIFS('TRA balance'!Y$5:Y$40,'TRA balance'!$C$5:$C$40,Assumptions!$C52,'TRA balance'!$D$5:$D$40,Assumptions!$B52)*CM52*AB52,"")</f>
        <v>0</v>
      </c>
      <c r="BI52" s="34">
        <f ca="1">IFERROR(SUMIFS('TRA balance'!Z$5:Z$40,'TRA balance'!$C$5:$C$40,Assumptions!$C52,'TRA balance'!$D$5:$D$40,Assumptions!$B52)*CN52*AC52,"")</f>
        <v>0</v>
      </c>
      <c r="BJ52" s="34">
        <f ca="1">IFERROR(SUMIFS('TRA balance'!AA$5:AA$40,'TRA balance'!$C$5:$C$40,Assumptions!$C52,'TRA balance'!$D$5:$D$40,Assumptions!$B52)*CO52*AD52,"")</f>
        <v>0</v>
      </c>
      <c r="BK52" s="34">
        <f ca="1">IFERROR(SUMIFS('TRA balance'!AB$5:AB$40,'TRA balance'!$C$5:$C$40,Assumptions!$C52,'TRA balance'!$D$5:$D$40,Assumptions!$B52)*CP52*AE52,"")</f>
        <v>0</v>
      </c>
      <c r="BL52" s="34">
        <f ca="1">IFERROR(SUMIFS('TRA balance'!AC$5:AC$40,'TRA balance'!$C$5:$C$40,Assumptions!$C52,'TRA balance'!$D$5:$D$40,Assumptions!$B52)*CQ52*AF52,"")</f>
        <v>0</v>
      </c>
      <c r="BM52" s="34">
        <f ca="1">IFERROR(SUMIFS('TRA balance'!AD$5:AD$40,'TRA balance'!$C$5:$C$40,Assumptions!$C52,'TRA balance'!$D$5:$D$40,Assumptions!$B52)*CR52*AG52,"")</f>
        <v>0</v>
      </c>
      <c r="BN52" s="34">
        <f ca="1">IFERROR(SUMIFS('TRA balance'!AE$5:AE$40,'TRA balance'!$C$5:$C$40,Assumptions!$C52,'TRA balance'!$D$5:$D$40,Assumptions!$B52)*CS52*AH52,"")</f>
        <v>0</v>
      </c>
      <c r="BO52" s="34">
        <f ca="1">IFERROR(SUMIFS('TRA balance'!AF$5:AF$40,'TRA balance'!$C$5:$C$40,Assumptions!$C52,'TRA balance'!$D$5:$D$40,Assumptions!$B52)*CT52*AI52,"")</f>
        <v>0</v>
      </c>
      <c r="BP52" s="34">
        <f ca="1">IFERROR(SUMIFS('TRA balance'!AG$5:AG$40,'TRA balance'!$C$5:$C$40,Assumptions!$C52,'TRA balance'!$D$5:$D$40,Assumptions!$B52)*CU52*AJ52,"")</f>
        <v>0</v>
      </c>
      <c r="BQ52" s="34">
        <f ca="1">IFERROR(SUMIFS('TRA balance'!AH$5:AH$40,'TRA balance'!$C$5:$C$40,Assumptions!$C52,'TRA balance'!$D$5:$D$40,Assumptions!$B52)*CV52*AK52,"")</f>
        <v>0</v>
      </c>
      <c r="BS52" s="33">
        <f t="shared" si="90"/>
        <v>1</v>
      </c>
      <c r="BT52" s="33">
        <f t="shared" si="91"/>
        <v>1</v>
      </c>
      <c r="BU52" s="33">
        <f t="shared" si="92"/>
        <v>1</v>
      </c>
      <c r="BV52" s="33">
        <f t="shared" si="93"/>
        <v>1</v>
      </c>
      <c r="BW52" s="33">
        <f t="shared" si="94"/>
        <v>1</v>
      </c>
      <c r="BX52" s="33">
        <f t="shared" si="95"/>
        <v>1</v>
      </c>
      <c r="BY52" s="33">
        <f t="shared" si="96"/>
        <v>1</v>
      </c>
      <c r="BZ52" s="33">
        <f t="shared" si="97"/>
        <v>1</v>
      </c>
      <c r="CA52" s="33">
        <f t="shared" si="98"/>
        <v>1</v>
      </c>
      <c r="CB52" s="33">
        <f t="shared" si="99"/>
        <v>1</v>
      </c>
      <c r="CC52" s="33">
        <f t="shared" si="100"/>
        <v>1</v>
      </c>
      <c r="CD52" s="33">
        <f t="shared" si="101"/>
        <v>1</v>
      </c>
      <c r="CE52" s="33">
        <f t="shared" si="102"/>
        <v>1</v>
      </c>
      <c r="CF52" s="33">
        <f t="shared" si="103"/>
        <v>1</v>
      </c>
      <c r="CG52" s="33">
        <f t="shared" si="104"/>
        <v>1</v>
      </c>
      <c r="CH52" s="33">
        <f t="shared" si="31"/>
        <v>1</v>
      </c>
      <c r="CI52" s="33">
        <f t="shared" si="32"/>
        <v>1</v>
      </c>
      <c r="CJ52" s="33">
        <f t="shared" si="33"/>
        <v>1</v>
      </c>
      <c r="CK52" s="33">
        <f t="shared" si="34"/>
        <v>1</v>
      </c>
      <c r="CL52" s="33">
        <f t="shared" si="35"/>
        <v>1</v>
      </c>
      <c r="CM52" s="33">
        <f t="shared" si="36"/>
        <v>1</v>
      </c>
      <c r="CN52" s="33">
        <f t="shared" si="37"/>
        <v>1</v>
      </c>
      <c r="CO52" s="33">
        <f t="shared" si="38"/>
        <v>1</v>
      </c>
      <c r="CP52" s="33">
        <f t="shared" si="39"/>
        <v>1</v>
      </c>
      <c r="CQ52" s="33">
        <f t="shared" si="40"/>
        <v>1</v>
      </c>
      <c r="CR52" s="33">
        <f t="shared" si="41"/>
        <v>1</v>
      </c>
      <c r="CS52" s="33">
        <f t="shared" si="42"/>
        <v>1</v>
      </c>
      <c r="CT52" s="33">
        <f t="shared" si="43"/>
        <v>1</v>
      </c>
      <c r="CU52" s="33">
        <f t="shared" si="44"/>
        <v>1</v>
      </c>
      <c r="CV52" s="33">
        <f t="shared" si="45"/>
        <v>1</v>
      </c>
    </row>
    <row r="53" spans="1:100" x14ac:dyDescent="0.45">
      <c r="A53">
        <v>1</v>
      </c>
      <c r="B53" t="str">
        <f>VLOOKUP(F53,'TRA balance'!$AK$5:$AL$14,2,FALSE)</f>
        <v>TRANGA</v>
      </c>
      <c r="C53" s="6" t="str">
        <f t="shared" si="46"/>
        <v>TR</v>
      </c>
      <c r="D53" s="7" t="s">
        <v>16</v>
      </c>
      <c r="E53" s="18" t="s">
        <v>61</v>
      </c>
      <c r="F53" s="8" t="str">
        <f>F52</f>
        <v>Natural Gas</v>
      </c>
      <c r="G53" s="6" t="s">
        <v>62</v>
      </c>
      <c r="H53" s="9">
        <f ca="1">OFFSET(TIAM15_assumptions!$G53,0,MATCH(VLOOKUP(Assumptions!H$2,TIAM15_assumptions!$Y$3:$Z$36,2,FALSE),TIAM15_assumptions!$H$2:$V$2,0))</f>
        <v>0.5</v>
      </c>
      <c r="I53" s="9">
        <f ca="1">OFFSET(TIAM15_assumptions!$G53,0,MATCH(VLOOKUP(Assumptions!I$2,TIAM15_assumptions!$Y$3:$Z$36,2,FALSE),TIAM15_assumptions!$H$2:$V$2,0))</f>
        <v>0.5</v>
      </c>
      <c r="J53" s="9">
        <f ca="1">OFFSET(TIAM15_assumptions!$G53,0,MATCH(VLOOKUP(Assumptions!J$2,TIAM15_assumptions!$Y$3:$Z$36,2,FALSE),TIAM15_assumptions!$H$2:$V$2,0))</f>
        <v>0.6</v>
      </c>
      <c r="K53" s="9">
        <f ca="1">OFFSET(TIAM15_assumptions!$G53,0,MATCH(VLOOKUP(Assumptions!K$2,TIAM15_assumptions!$Y$3:$Z$36,2,FALSE),TIAM15_assumptions!$H$2:$V$2,0))</f>
        <v>0.8</v>
      </c>
      <c r="L53" s="9">
        <f ca="1">OFFSET(TIAM15_assumptions!$G53,0,MATCH(VLOOKUP(Assumptions!L$2,TIAM15_assumptions!$Y$3:$Z$36,2,FALSE),TIAM15_assumptions!$H$2:$V$2,0))</f>
        <v>0.8</v>
      </c>
      <c r="M53" s="9">
        <f ca="1">OFFSET(TIAM15_assumptions!$G53,0,MATCH(VLOOKUP(Assumptions!M$2,TIAM15_assumptions!$Y$3:$Z$36,2,FALSE),TIAM15_assumptions!$H$2:$V$2,0))</f>
        <v>0.8</v>
      </c>
      <c r="N53" s="9">
        <f ca="1">OFFSET(TIAM15_assumptions!$G53,0,MATCH(VLOOKUP(Assumptions!N$2,TIAM15_assumptions!$Y$3:$Z$36,2,FALSE),TIAM15_assumptions!$H$2:$V$2,0))</f>
        <v>0.5</v>
      </c>
      <c r="O53" s="9">
        <f ca="1">OFFSET(TIAM15_assumptions!$G53,0,MATCH(VLOOKUP(Assumptions!O$2,TIAM15_assumptions!$Y$3:$Z$36,2,FALSE),TIAM15_assumptions!$H$2:$V$2,0))</f>
        <v>0.6</v>
      </c>
      <c r="P53" s="9">
        <f ca="1">OFFSET(TIAM15_assumptions!$G53,0,MATCH(VLOOKUP(Assumptions!P$2,TIAM15_assumptions!$Y$3:$Z$36,2,FALSE),TIAM15_assumptions!$H$2:$V$2,0))</f>
        <v>0.92</v>
      </c>
      <c r="Q53" s="9">
        <f ca="1">OFFSET(TIAM15_assumptions!$G53,0,MATCH(VLOOKUP(Assumptions!Q$2,TIAM15_assumptions!$Y$3:$Z$36,2,FALSE),TIAM15_assumptions!$H$2:$V$2,0))</f>
        <v>0.67</v>
      </c>
      <c r="R53" s="9">
        <f ca="1">OFFSET(TIAM15_assumptions!$G53,0,MATCH(VLOOKUP(Assumptions!R$2,TIAM15_assumptions!$Y$3:$Z$36,2,FALSE),TIAM15_assumptions!$H$2:$V$2,0))</f>
        <v>0.92</v>
      </c>
      <c r="S53" s="9">
        <f ca="1">OFFSET(TIAM15_assumptions!$G53,0,MATCH(VLOOKUP(Assumptions!S$2,TIAM15_assumptions!$Y$3:$Z$36,2,FALSE),TIAM15_assumptions!$H$2:$V$2,0))</f>
        <v>0.92</v>
      </c>
      <c r="T53" s="9">
        <f ca="1">OFFSET(TIAM15_assumptions!$G53,0,MATCH(VLOOKUP(Assumptions!T$2,TIAM15_assumptions!$Y$3:$Z$36,2,FALSE),TIAM15_assumptions!$H$2:$V$2,0))</f>
        <v>0.92</v>
      </c>
      <c r="U53" s="9">
        <f ca="1">OFFSET(TIAM15_assumptions!$G53,0,MATCH(VLOOKUP(Assumptions!U$2,TIAM15_assumptions!$Y$3:$Z$36,2,FALSE),TIAM15_assumptions!$H$2:$V$2,0))</f>
        <v>0.92</v>
      </c>
      <c r="V53" s="9">
        <f ca="1">OFFSET(TIAM15_assumptions!$G53,0,MATCH(VLOOKUP(Assumptions!V$2,TIAM15_assumptions!$Y$3:$Z$36,2,FALSE),TIAM15_assumptions!$H$2:$V$2,0))</f>
        <v>0.92</v>
      </c>
      <c r="W53" s="9">
        <f ca="1">OFFSET(TIAM15_assumptions!$G53,0,MATCH(VLOOKUP(Assumptions!W$2,TIAM15_assumptions!$Y$3:$Z$36,2,FALSE),TIAM15_assumptions!$H$2:$V$2,0))</f>
        <v>0.92</v>
      </c>
      <c r="X53" s="9">
        <f ca="1">OFFSET(TIAM15_assumptions!$G53,0,MATCH(VLOOKUP(Assumptions!X$2,TIAM15_assumptions!$Y$3:$Z$36,2,FALSE),TIAM15_assumptions!$H$2:$V$2,0))</f>
        <v>0.92</v>
      </c>
      <c r="Y53" s="9">
        <f ca="1">OFFSET(TIAM15_assumptions!$G53,0,MATCH(VLOOKUP(Assumptions!Y$2,TIAM15_assumptions!$Y$3:$Z$36,2,FALSE),TIAM15_assumptions!$H$2:$V$2,0))</f>
        <v>0.92</v>
      </c>
      <c r="Z53" s="9">
        <f ca="1">OFFSET(TIAM15_assumptions!$G53,0,MATCH(VLOOKUP(Assumptions!Z$2,TIAM15_assumptions!$Y$3:$Z$36,2,FALSE),TIAM15_assumptions!$H$2:$V$2,0))</f>
        <v>0.92</v>
      </c>
      <c r="AA53" s="9">
        <f ca="1">OFFSET(TIAM15_assumptions!$G53,0,MATCH(VLOOKUP(Assumptions!AA$2,TIAM15_assumptions!$Y$3:$Z$36,2,FALSE),TIAM15_assumptions!$H$2:$V$2,0))</f>
        <v>0.5</v>
      </c>
      <c r="AB53" s="9">
        <f ca="1">OFFSET(TIAM15_assumptions!$G53,0,MATCH(VLOOKUP(Assumptions!AB$2,TIAM15_assumptions!$Y$3:$Z$36,2,FALSE),TIAM15_assumptions!$H$2:$V$2,0))</f>
        <v>0.6</v>
      </c>
      <c r="AC53" s="9">
        <f ca="1">OFFSET(TIAM15_assumptions!$G53,0,MATCH(VLOOKUP(Assumptions!AC$2,TIAM15_assumptions!$Y$3:$Z$36,2,FALSE),TIAM15_assumptions!$H$2:$V$2,0))</f>
        <v>0.2</v>
      </c>
      <c r="AD53" s="9">
        <f ca="1">OFFSET(TIAM15_assumptions!$G53,0,MATCH(VLOOKUP(Assumptions!AD$2,TIAM15_assumptions!$Y$3:$Z$36,2,FALSE),TIAM15_assumptions!$H$2:$V$2,0))</f>
        <v>0.92</v>
      </c>
      <c r="AE53" s="9">
        <f ca="1">OFFSET(TIAM15_assumptions!$G53,0,MATCH(VLOOKUP(Assumptions!AE$2,TIAM15_assumptions!$Y$3:$Z$36,2,FALSE),TIAM15_assumptions!$H$2:$V$2,0))</f>
        <v>0.92</v>
      </c>
      <c r="AF53" s="9">
        <f ca="1">OFFSET(TIAM15_assumptions!$G53,0,MATCH(VLOOKUP(Assumptions!AF$2,TIAM15_assumptions!$Y$3:$Z$36,2,FALSE),TIAM15_assumptions!$H$2:$V$2,0))</f>
        <v>0.8</v>
      </c>
      <c r="AG53" s="9">
        <f ca="1">OFFSET(TIAM15_assumptions!$G53,0,MATCH(VLOOKUP(Assumptions!AG$2,TIAM15_assumptions!$Y$3:$Z$36,2,FALSE),TIAM15_assumptions!$H$2:$V$2,0))</f>
        <v>0.92</v>
      </c>
      <c r="AH53" s="9">
        <f ca="1">OFFSET(TIAM15_assumptions!$G53,0,MATCH(VLOOKUP(Assumptions!AH$2,TIAM15_assumptions!$Y$3:$Z$36,2,FALSE),TIAM15_assumptions!$H$2:$V$2,0))</f>
        <v>0.5</v>
      </c>
      <c r="AI53" s="9">
        <f ca="1">OFFSET(TIAM15_assumptions!$G53,0,MATCH(VLOOKUP(Assumptions!AI$2,TIAM15_assumptions!$Y$3:$Z$36,2,FALSE),TIAM15_assumptions!$H$2:$V$2,0))</f>
        <v>0.92</v>
      </c>
      <c r="AJ53" s="9">
        <f ca="1">OFFSET(TIAM15_assumptions!$G53,0,MATCH(VLOOKUP(Assumptions!AJ$2,TIAM15_assumptions!$Y$3:$Z$36,2,FALSE),TIAM15_assumptions!$H$2:$V$2,0))</f>
        <v>0.5236972745320454</v>
      </c>
      <c r="AK53" s="9">
        <f ca="1">OFFSET(TIAM15_assumptions!$G53,0,MATCH(VLOOKUP(Assumptions!AK$2,TIAM15_assumptions!$Y$3:$Z$36,2,FALSE),TIAM15_assumptions!$H$2:$V$2,0))</f>
        <v>0.5236972745320454</v>
      </c>
      <c r="AN53" s="34">
        <f ca="1">IFERROR(SUMIFS('TRA balance'!E$5:E$40,'TRA balance'!$C$5:$C$40,Assumptions!$C53,'TRA balance'!$D$5:$D$40,Assumptions!$B53)*BS53*H53,"")</f>
        <v>2.5435066441499998</v>
      </c>
      <c r="AO53" s="34">
        <f ca="1">IFERROR(SUMIFS('TRA balance'!F$5:F$40,'TRA balance'!$C$5:$C$40,Assumptions!$C53,'TRA balance'!$D$5:$D$40,Assumptions!$B53)*BT53*I53,"")</f>
        <v>9.3360406500000003E-3</v>
      </c>
      <c r="AP53" s="34">
        <f ca="1">IFERROR(SUMIFS('TRA balance'!G$5:G$40,'TRA balance'!$C$5:$C$40,Assumptions!$C53,'TRA balance'!$D$5:$D$40,Assumptions!$B53)*BU53*J53,"")</f>
        <v>25.841351210759999</v>
      </c>
      <c r="AQ53" s="34">
        <f ca="1">IFERROR(SUMIFS('TRA balance'!H$5:H$40,'TRA balance'!$C$5:$C$40,Assumptions!$C53,'TRA balance'!$D$5:$D$40,Assumptions!$B53)*BV53*K53,"")</f>
        <v>82.866720841632002</v>
      </c>
      <c r="AR53" s="34">
        <f ca="1">IFERROR(SUMIFS('TRA balance'!I$5:I$40,'TRA balance'!$C$5:$C$40,Assumptions!$C53,'TRA balance'!$D$5:$D$40,Assumptions!$B53)*BW53*L53,"")</f>
        <v>38.933061741072002</v>
      </c>
      <c r="AS53" s="34">
        <f ca="1">IFERROR(SUMIFS('TRA balance'!J$5:J$40,'TRA balance'!$C$5:$C$40,Assumptions!$C53,'TRA balance'!$D$5:$D$40,Assumptions!$B53)*BX53*M53,"")</f>
        <v>120.30483054441601</v>
      </c>
      <c r="AT53" s="34">
        <f ca="1">IFERROR(SUMIFS('TRA balance'!K$5:K$40,'TRA balance'!$C$5:$C$40,Assumptions!$C53,'TRA balance'!$D$5:$D$40,Assumptions!$B53)*BY53*N53,"")</f>
        <v>0.39043166039999999</v>
      </c>
      <c r="AU53" s="34">
        <f ca="1">IFERROR(SUMIFS('TRA balance'!L$5:L$40,'TRA balance'!$C$5:$C$40,Assumptions!$C53,'TRA balance'!$D$5:$D$40,Assumptions!$B53)*BZ53*O53,"")</f>
        <v>25.251920527679996</v>
      </c>
      <c r="AV53" s="34">
        <f ca="1">IFERROR(SUMIFS('TRA balance'!M$5:M$40,'TRA balance'!$C$5:$C$40,Assumptions!$C53,'TRA balance'!$D$5:$D$40,Assumptions!$B53)*CA53*P53,"")</f>
        <v>1.2886370535392642</v>
      </c>
      <c r="AW53" s="34">
        <f ca="1">IFERROR(SUMIFS('TRA balance'!N$5:N$40,'TRA balance'!$C$5:$C$40,Assumptions!$C53,'TRA balance'!$D$5:$D$40,Assumptions!$B53)*CB53*Q53,"")</f>
        <v>275.59520826376325</v>
      </c>
      <c r="AX53" s="34">
        <f ca="1">IFERROR(SUMIFS('TRA balance'!O$5:O$40,'TRA balance'!$C$5:$C$40,Assumptions!$C53,'TRA balance'!$D$5:$D$40,Assumptions!$B53)*CC53*R53,"")</f>
        <v>3.3104129742414723</v>
      </c>
      <c r="AY53" s="34">
        <f ca="1">IFERROR(SUMIFS('TRA balance'!P$5:P$40,'TRA balance'!$C$5:$C$40,Assumptions!$C53,'TRA balance'!$D$5:$D$40,Assumptions!$B53)*CD53*S53,"")</f>
        <v>0</v>
      </c>
      <c r="AZ53" s="34">
        <f ca="1">IFERROR(SUMIFS('TRA balance'!Q$5:Q$40,'TRA balance'!$C$5:$C$40,Assumptions!$C53,'TRA balance'!$D$5:$D$40,Assumptions!$B53)*CE53*T53,"")</f>
        <v>2.4074171259336001</v>
      </c>
      <c r="BA53" s="34">
        <f ca="1">IFERROR(SUMIFS('TRA balance'!R$5:R$40,'TRA balance'!$C$5:$C$40,Assumptions!$C53,'TRA balance'!$D$5:$D$40,Assumptions!$B53)*CF53*U53,"")</f>
        <v>25.686101111999331</v>
      </c>
      <c r="BB53" s="34">
        <f ca="1">IFERROR(SUMIFS('TRA balance'!S$5:S$40,'TRA balance'!$C$5:$C$40,Assumptions!$C53,'TRA balance'!$D$5:$D$40,Assumptions!$B53)*CG53*V53,"")</f>
        <v>0</v>
      </c>
      <c r="BC53" s="34">
        <f ca="1">IFERROR(SUMIFS('TRA balance'!T$5:T$40,'TRA balance'!$C$5:$C$40,Assumptions!$C53,'TRA balance'!$D$5:$D$40,Assumptions!$B53)*CH53*W53,"")</f>
        <v>5.5642419181800005</v>
      </c>
      <c r="BD53" s="34">
        <f ca="1">IFERROR(SUMIFS('TRA balance'!U$5:U$40,'TRA balance'!$C$5:$C$40,Assumptions!$C53,'TRA balance'!$D$5:$D$40,Assumptions!$B53)*CI53*X53,"")</f>
        <v>3.7811389745099531</v>
      </c>
      <c r="BE53" s="34">
        <f ca="1">IFERROR(SUMIFS('TRA balance'!V$5:V$40,'TRA balance'!$C$5:$C$40,Assumptions!$C53,'TRA balance'!$D$5:$D$40,Assumptions!$B53)*CJ53*Y53,"")</f>
        <v>4.2741652873867206</v>
      </c>
      <c r="BF53" s="34">
        <f ca="1">IFERROR(SUMIFS('TRA balance'!W$5:W$40,'TRA balance'!$C$5:$C$40,Assumptions!$C53,'TRA balance'!$D$5:$D$40,Assumptions!$B53)*CK53*Z53,"")</f>
        <v>5.2306855637065928</v>
      </c>
      <c r="BG53" s="34">
        <f ca="1">IFERROR(SUMIFS('TRA balance'!X$5:X$40,'TRA balance'!$C$5:$C$40,Assumptions!$C53,'TRA balance'!$D$5:$D$40,Assumptions!$B53)*CL53*AA53,"")</f>
        <v>15.4225927764</v>
      </c>
      <c r="BH53" s="34">
        <f ca="1">IFERROR(SUMIFS('TRA balance'!Y$5:Y$40,'TRA balance'!$C$5:$C$40,Assumptions!$C53,'TRA balance'!$D$5:$D$40,Assumptions!$B53)*CM53*AB53,"")</f>
        <v>22.723236934919999</v>
      </c>
      <c r="BI53" s="34">
        <f ca="1">IFERROR(SUMIFS('TRA balance'!Z$5:Z$40,'TRA balance'!$C$5:$C$40,Assumptions!$C53,'TRA balance'!$D$5:$D$40,Assumptions!$B53)*CN53*AC53,"")</f>
        <v>0.20651386813200001</v>
      </c>
      <c r="BJ53" s="34">
        <f ca="1">IFERROR(SUMIFS('TRA balance'!AA$5:AA$40,'TRA balance'!$C$5:$C$40,Assumptions!$C53,'TRA balance'!$D$5:$D$40,Assumptions!$B53)*CO53*AD53,"")</f>
        <v>175.33378713368711</v>
      </c>
      <c r="BK53" s="34">
        <f ca="1">IFERROR(SUMIFS('TRA balance'!AB$5:AB$40,'TRA balance'!$C$5:$C$40,Assumptions!$C53,'TRA balance'!$D$5:$D$40,Assumptions!$B53)*CP53*AE53,"")</f>
        <v>1.5336305102669761</v>
      </c>
      <c r="BL53" s="34">
        <f ca="1">IFERROR(SUMIFS('TRA balance'!AC$5:AC$40,'TRA balance'!$C$5:$C$40,Assumptions!$C53,'TRA balance'!$D$5:$D$40,Assumptions!$B53)*CQ53*AF53,"")</f>
        <v>4.8732419373120006</v>
      </c>
      <c r="BM53" s="34">
        <f ca="1">IFERROR(SUMIFS('TRA balance'!AD$5:AD$40,'TRA balance'!$C$5:$C$40,Assumptions!$C53,'TRA balance'!$D$5:$D$40,Assumptions!$B53)*CR53*AG53,"")</f>
        <v>0</v>
      </c>
      <c r="BN53" s="34">
        <f ca="1">IFERROR(SUMIFS('TRA balance'!AE$5:AE$40,'TRA balance'!$C$5:$C$40,Assumptions!$C53,'TRA balance'!$D$5:$D$40,Assumptions!$B53)*CS53*AH53,"")</f>
        <v>9.1638584999999999E-4</v>
      </c>
      <c r="BO53" s="34">
        <f ca="1">IFERROR(SUMIFS('TRA balance'!AF$5:AF$40,'TRA balance'!$C$5:$C$40,Assumptions!$C53,'TRA balance'!$D$5:$D$40,Assumptions!$B53)*CT53*AI53,"")</f>
        <v>0.35745386228323206</v>
      </c>
      <c r="BP53" s="34">
        <f ca="1">IFERROR(SUMIFS('TRA balance'!AG$5:AG$40,'TRA balance'!$C$5:$C$40,Assumptions!$C53,'TRA balance'!$D$5:$D$40,Assumptions!$B53)*CU53*AJ53,"")</f>
        <v>25.853385907545118</v>
      </c>
      <c r="BQ53" s="34">
        <f ca="1">IFERROR(SUMIFS('TRA balance'!AH$5:AH$40,'TRA balance'!$C$5:$C$40,Assumptions!$C53,'TRA balance'!$D$5:$D$40,Assumptions!$B53)*CV53*AK53,"")</f>
        <v>0</v>
      </c>
      <c r="BS53" s="33">
        <f t="shared" ca="1" si="90"/>
        <v>0.25</v>
      </c>
      <c r="BT53" s="33">
        <f t="shared" ca="1" si="91"/>
        <v>0.25</v>
      </c>
      <c r="BU53" s="33">
        <f t="shared" ca="1" si="92"/>
        <v>0.5</v>
      </c>
      <c r="BV53" s="33">
        <f t="shared" ca="1" si="93"/>
        <v>0.7</v>
      </c>
      <c r="BW53" s="33">
        <f t="shared" ca="1" si="94"/>
        <v>0.95</v>
      </c>
      <c r="BX53" s="33">
        <f t="shared" ca="1" si="95"/>
        <v>0.9</v>
      </c>
      <c r="BY53" s="33">
        <f t="shared" ca="1" si="96"/>
        <v>0.25</v>
      </c>
      <c r="BZ53" s="33">
        <f t="shared" ca="1" si="97"/>
        <v>0.5</v>
      </c>
      <c r="CA53" s="33">
        <f t="shared" ca="1" si="98"/>
        <v>0.68200000000000005</v>
      </c>
      <c r="CB53" s="33">
        <f t="shared" ca="1" si="99"/>
        <v>0.4</v>
      </c>
      <c r="CC53" s="33">
        <f t="shared" ca="1" si="100"/>
        <v>0.68200000000000005</v>
      </c>
      <c r="CD53" s="33">
        <f t="shared" ca="1" si="101"/>
        <v>0</v>
      </c>
      <c r="CE53" s="33">
        <f t="shared" ca="1" si="102"/>
        <v>0.68200000000000005</v>
      </c>
      <c r="CF53" s="33">
        <f t="shared" ca="1" si="103"/>
        <v>0.68200000000000005</v>
      </c>
      <c r="CG53" s="33">
        <f t="shared" ca="1" si="104"/>
        <v>0</v>
      </c>
      <c r="CH53" s="33">
        <f t="shared" ca="1" si="31"/>
        <v>0.68200000000000005</v>
      </c>
      <c r="CI53" s="33">
        <f t="shared" ca="1" si="32"/>
        <v>0.68200000000000005</v>
      </c>
      <c r="CJ53" s="33">
        <f t="shared" ca="1" si="33"/>
        <v>0.68200000000000005</v>
      </c>
      <c r="CK53" s="33">
        <f t="shared" ca="1" si="34"/>
        <v>0.68200000000000005</v>
      </c>
      <c r="CL53" s="33">
        <f t="shared" ca="1" si="35"/>
        <v>0.25</v>
      </c>
      <c r="CM53" s="33">
        <f t="shared" ca="1" si="36"/>
        <v>0.5</v>
      </c>
      <c r="CN53" s="33">
        <f t="shared" ca="1" si="37"/>
        <v>0.55000000000000004</v>
      </c>
      <c r="CO53" s="33">
        <f t="shared" ca="1" si="38"/>
        <v>0.68200000000000005</v>
      </c>
      <c r="CP53" s="33">
        <f t="shared" ca="1" si="39"/>
        <v>0.68200000000000005</v>
      </c>
      <c r="CQ53" s="33">
        <f t="shared" ca="1" si="40"/>
        <v>0.7</v>
      </c>
      <c r="CR53" s="33">
        <f t="shared" ca="1" si="41"/>
        <v>0.68200000000000005</v>
      </c>
      <c r="CS53" s="33">
        <f t="shared" ca="1" si="42"/>
        <v>0.25</v>
      </c>
      <c r="CT53" s="33">
        <f t="shared" ca="1" si="43"/>
        <v>0.68200000000000005</v>
      </c>
      <c r="CU53" s="33">
        <f t="shared" ca="1" si="44"/>
        <v>0.97916979455979025</v>
      </c>
      <c r="CV53" s="33">
        <f t="shared" ca="1" si="45"/>
        <v>0.97916979455979025</v>
      </c>
    </row>
    <row r="54" spans="1:100" x14ac:dyDescent="0.45">
      <c r="A54">
        <v>1</v>
      </c>
      <c r="B54" t="str">
        <f>VLOOKUP(F54,'TRA balance'!$AK$5:$AL$14,2,FALSE)</f>
        <v>TRANGA</v>
      </c>
      <c r="C54" s="6" t="str">
        <f t="shared" si="46"/>
        <v>TR</v>
      </c>
      <c r="D54" s="7" t="s">
        <v>16</v>
      </c>
      <c r="E54" s="18" t="s">
        <v>63</v>
      </c>
      <c r="F54" s="8" t="str">
        <f t="shared" ref="F54" si="129">F53</f>
        <v>Natural Gas</v>
      </c>
      <c r="G54" s="6" t="s">
        <v>64</v>
      </c>
      <c r="H54" s="9">
        <f ca="1">OFFSET(TIAM15_assumptions!$G54,0,MATCH(VLOOKUP(Assumptions!H$2,TIAM15_assumptions!$Y$3:$Z$36,2,FALSE),TIAM15_assumptions!$H$2:$V$2,0))</f>
        <v>0.5</v>
      </c>
      <c r="I54" s="9">
        <f ca="1">OFFSET(TIAM15_assumptions!$G54,0,MATCH(VLOOKUP(Assumptions!I$2,TIAM15_assumptions!$Y$3:$Z$36,2,FALSE),TIAM15_assumptions!$H$2:$V$2,0))</f>
        <v>0.5</v>
      </c>
      <c r="J54" s="9">
        <f ca="1">OFFSET(TIAM15_assumptions!$G54,0,MATCH(VLOOKUP(Assumptions!J$2,TIAM15_assumptions!$Y$3:$Z$36,2,FALSE),TIAM15_assumptions!$H$2:$V$2,0))</f>
        <v>0.4</v>
      </c>
      <c r="K54" s="9">
        <f ca="1">OFFSET(TIAM15_assumptions!$G54,0,MATCH(VLOOKUP(Assumptions!K$2,TIAM15_assumptions!$Y$3:$Z$36,2,FALSE),TIAM15_assumptions!$H$2:$V$2,0))</f>
        <v>0.2</v>
      </c>
      <c r="L54" s="9">
        <f ca="1">OFFSET(TIAM15_assumptions!$G54,0,MATCH(VLOOKUP(Assumptions!L$2,TIAM15_assumptions!$Y$3:$Z$36,2,FALSE),TIAM15_assumptions!$H$2:$V$2,0))</f>
        <v>0.2</v>
      </c>
      <c r="M54" s="9">
        <f ca="1">OFFSET(TIAM15_assumptions!$G54,0,MATCH(VLOOKUP(Assumptions!M$2,TIAM15_assumptions!$Y$3:$Z$36,2,FALSE),TIAM15_assumptions!$H$2:$V$2,0))</f>
        <v>0.2</v>
      </c>
      <c r="N54" s="9">
        <f ca="1">OFFSET(TIAM15_assumptions!$G54,0,MATCH(VLOOKUP(Assumptions!N$2,TIAM15_assumptions!$Y$3:$Z$36,2,FALSE),TIAM15_assumptions!$H$2:$V$2,0))</f>
        <v>0.5</v>
      </c>
      <c r="O54" s="9">
        <f ca="1">OFFSET(TIAM15_assumptions!$G54,0,MATCH(VLOOKUP(Assumptions!O$2,TIAM15_assumptions!$Y$3:$Z$36,2,FALSE),TIAM15_assumptions!$H$2:$V$2,0))</f>
        <v>0.4</v>
      </c>
      <c r="P54" s="9">
        <f ca="1">OFFSET(TIAM15_assumptions!$G54,0,MATCH(VLOOKUP(Assumptions!P$2,TIAM15_assumptions!$Y$3:$Z$36,2,FALSE),TIAM15_assumptions!$H$2:$V$2,0))</f>
        <v>0.08</v>
      </c>
      <c r="Q54" s="9">
        <f ca="1">OFFSET(TIAM15_assumptions!$G54,0,MATCH(VLOOKUP(Assumptions!Q$2,TIAM15_assumptions!$Y$3:$Z$36,2,FALSE),TIAM15_assumptions!$H$2:$V$2,0))</f>
        <v>0.33</v>
      </c>
      <c r="R54" s="9">
        <f ca="1">OFFSET(TIAM15_assumptions!$G54,0,MATCH(VLOOKUP(Assumptions!R$2,TIAM15_assumptions!$Y$3:$Z$36,2,FALSE),TIAM15_assumptions!$H$2:$V$2,0))</f>
        <v>0.08</v>
      </c>
      <c r="S54" s="9">
        <f ca="1">OFFSET(TIAM15_assumptions!$G54,0,MATCH(VLOOKUP(Assumptions!S$2,TIAM15_assumptions!$Y$3:$Z$36,2,FALSE),TIAM15_assumptions!$H$2:$V$2,0))</f>
        <v>0.08</v>
      </c>
      <c r="T54" s="9">
        <f ca="1">OFFSET(TIAM15_assumptions!$G54,0,MATCH(VLOOKUP(Assumptions!T$2,TIAM15_assumptions!$Y$3:$Z$36,2,FALSE),TIAM15_assumptions!$H$2:$V$2,0))</f>
        <v>0.08</v>
      </c>
      <c r="U54" s="9">
        <f ca="1">OFFSET(TIAM15_assumptions!$G54,0,MATCH(VLOOKUP(Assumptions!U$2,TIAM15_assumptions!$Y$3:$Z$36,2,FALSE),TIAM15_assumptions!$H$2:$V$2,0))</f>
        <v>0.08</v>
      </c>
      <c r="V54" s="9">
        <f ca="1">OFFSET(TIAM15_assumptions!$G54,0,MATCH(VLOOKUP(Assumptions!V$2,TIAM15_assumptions!$Y$3:$Z$36,2,FALSE),TIAM15_assumptions!$H$2:$V$2,0))</f>
        <v>0.08</v>
      </c>
      <c r="W54" s="9">
        <f ca="1">OFFSET(TIAM15_assumptions!$G54,0,MATCH(VLOOKUP(Assumptions!W$2,TIAM15_assumptions!$Y$3:$Z$36,2,FALSE),TIAM15_assumptions!$H$2:$V$2,0))</f>
        <v>0.08</v>
      </c>
      <c r="X54" s="9">
        <f ca="1">OFFSET(TIAM15_assumptions!$G54,0,MATCH(VLOOKUP(Assumptions!X$2,TIAM15_assumptions!$Y$3:$Z$36,2,FALSE),TIAM15_assumptions!$H$2:$V$2,0))</f>
        <v>0.08</v>
      </c>
      <c r="Y54" s="9">
        <f ca="1">OFFSET(TIAM15_assumptions!$G54,0,MATCH(VLOOKUP(Assumptions!Y$2,TIAM15_assumptions!$Y$3:$Z$36,2,FALSE),TIAM15_assumptions!$H$2:$V$2,0))</f>
        <v>0.08</v>
      </c>
      <c r="Z54" s="9">
        <f ca="1">OFFSET(TIAM15_assumptions!$G54,0,MATCH(VLOOKUP(Assumptions!Z$2,TIAM15_assumptions!$Y$3:$Z$36,2,FALSE),TIAM15_assumptions!$H$2:$V$2,0))</f>
        <v>0.08</v>
      </c>
      <c r="AA54" s="9">
        <f ca="1">OFFSET(TIAM15_assumptions!$G54,0,MATCH(VLOOKUP(Assumptions!AA$2,TIAM15_assumptions!$Y$3:$Z$36,2,FALSE),TIAM15_assumptions!$H$2:$V$2,0))</f>
        <v>0.5</v>
      </c>
      <c r="AB54" s="9">
        <f ca="1">OFFSET(TIAM15_assumptions!$G54,0,MATCH(VLOOKUP(Assumptions!AB$2,TIAM15_assumptions!$Y$3:$Z$36,2,FALSE),TIAM15_assumptions!$H$2:$V$2,0))</f>
        <v>0.4</v>
      </c>
      <c r="AC54" s="9">
        <f ca="1">OFFSET(TIAM15_assumptions!$G54,0,MATCH(VLOOKUP(Assumptions!AC$2,TIAM15_assumptions!$Y$3:$Z$36,2,FALSE),TIAM15_assumptions!$H$2:$V$2,0))</f>
        <v>0.8</v>
      </c>
      <c r="AD54" s="9">
        <f ca="1">OFFSET(TIAM15_assumptions!$G54,0,MATCH(VLOOKUP(Assumptions!AD$2,TIAM15_assumptions!$Y$3:$Z$36,2,FALSE),TIAM15_assumptions!$H$2:$V$2,0))</f>
        <v>0.08</v>
      </c>
      <c r="AE54" s="9">
        <f ca="1">OFFSET(TIAM15_assumptions!$G54,0,MATCH(VLOOKUP(Assumptions!AE$2,TIAM15_assumptions!$Y$3:$Z$36,2,FALSE),TIAM15_assumptions!$H$2:$V$2,0))</f>
        <v>0.08</v>
      </c>
      <c r="AF54" s="9">
        <f ca="1">OFFSET(TIAM15_assumptions!$G54,0,MATCH(VLOOKUP(Assumptions!AF$2,TIAM15_assumptions!$Y$3:$Z$36,2,FALSE),TIAM15_assumptions!$H$2:$V$2,0))</f>
        <v>0.2</v>
      </c>
      <c r="AG54" s="9">
        <f ca="1">OFFSET(TIAM15_assumptions!$G54,0,MATCH(VLOOKUP(Assumptions!AG$2,TIAM15_assumptions!$Y$3:$Z$36,2,FALSE),TIAM15_assumptions!$H$2:$V$2,0))</f>
        <v>0.08</v>
      </c>
      <c r="AH54" s="9">
        <f ca="1">OFFSET(TIAM15_assumptions!$G54,0,MATCH(VLOOKUP(Assumptions!AH$2,TIAM15_assumptions!$Y$3:$Z$36,2,FALSE),TIAM15_assumptions!$H$2:$V$2,0))</f>
        <v>0.5</v>
      </c>
      <c r="AI54" s="9">
        <f ca="1">OFFSET(TIAM15_assumptions!$G54,0,MATCH(VLOOKUP(Assumptions!AI$2,TIAM15_assumptions!$Y$3:$Z$36,2,FALSE),TIAM15_assumptions!$H$2:$V$2,0))</f>
        <v>0.08</v>
      </c>
      <c r="AJ54" s="9">
        <f ca="1">OFFSET(TIAM15_assumptions!$G54,0,MATCH(VLOOKUP(Assumptions!AJ$2,TIAM15_assumptions!$Y$3:$Z$36,2,FALSE),TIAM15_assumptions!$H$2:$V$2,0))</f>
        <v>0.4763027254679546</v>
      </c>
      <c r="AK54" s="9">
        <f ca="1">OFFSET(TIAM15_assumptions!$G54,0,MATCH(VLOOKUP(Assumptions!AK$2,TIAM15_assumptions!$Y$3:$Z$36,2,FALSE),TIAM15_assumptions!$H$2:$V$2,0))</f>
        <v>0.4763027254679546</v>
      </c>
      <c r="AN54" s="34">
        <f ca="1">IFERROR(SUMIFS('TRA balance'!E$5:E$40,'TRA balance'!$C$5:$C$40,Assumptions!$C54,'TRA balance'!$D$5:$D$40,Assumptions!$B54)*BS54*H54,"")</f>
        <v>2.5435066441499998</v>
      </c>
      <c r="AO54" s="34">
        <f ca="1">IFERROR(SUMIFS('TRA balance'!F$5:F$40,'TRA balance'!$C$5:$C$40,Assumptions!$C54,'TRA balance'!$D$5:$D$40,Assumptions!$B54)*BT54*I54,"")</f>
        <v>9.3360406500000003E-3</v>
      </c>
      <c r="AP54" s="34">
        <f ca="1">IFERROR(SUMIFS('TRA balance'!G$5:G$40,'TRA balance'!$C$5:$C$40,Assumptions!$C54,'TRA balance'!$D$5:$D$40,Assumptions!$B54)*BU54*J54,"")</f>
        <v>17.227567473840001</v>
      </c>
      <c r="AQ54" s="34">
        <f ca="1">IFERROR(SUMIFS('TRA balance'!H$5:H$40,'TRA balance'!$C$5:$C$40,Assumptions!$C54,'TRA balance'!$D$5:$D$40,Assumptions!$B54)*BV54*K54,"")</f>
        <v>20.716680210408001</v>
      </c>
      <c r="AR54" s="34">
        <f ca="1">IFERROR(SUMIFS('TRA balance'!I$5:I$40,'TRA balance'!$C$5:$C$40,Assumptions!$C54,'TRA balance'!$D$5:$D$40,Assumptions!$B54)*BW54*L54,"")</f>
        <v>9.7332654352680006</v>
      </c>
      <c r="AS54" s="34">
        <f ca="1">IFERROR(SUMIFS('TRA balance'!J$5:J$40,'TRA balance'!$C$5:$C$40,Assumptions!$C54,'TRA balance'!$D$5:$D$40,Assumptions!$B54)*BX54*M54,"")</f>
        <v>30.076207636104002</v>
      </c>
      <c r="AT54" s="34">
        <f ca="1">IFERROR(SUMIFS('TRA balance'!K$5:K$40,'TRA balance'!$C$5:$C$40,Assumptions!$C54,'TRA balance'!$D$5:$D$40,Assumptions!$B54)*BY54*N54,"")</f>
        <v>0.39043166039999999</v>
      </c>
      <c r="AU54" s="34">
        <f ca="1">IFERROR(SUMIFS('TRA balance'!L$5:L$40,'TRA balance'!$C$5:$C$40,Assumptions!$C54,'TRA balance'!$D$5:$D$40,Assumptions!$B54)*BZ54*O54,"")</f>
        <v>16.834613685120001</v>
      </c>
      <c r="AV54" s="34">
        <f ca="1">IFERROR(SUMIFS('TRA balance'!M$5:M$40,'TRA balance'!$C$5:$C$40,Assumptions!$C54,'TRA balance'!$D$5:$D$40,Assumptions!$B54)*CA54*P54,"")</f>
        <v>0.11205539595993601</v>
      </c>
      <c r="AW54" s="34">
        <f ca="1">IFERROR(SUMIFS('TRA balance'!N$5:N$40,'TRA balance'!$C$5:$C$40,Assumptions!$C54,'TRA balance'!$D$5:$D$40,Assumptions!$B54)*CB54*Q54,"")</f>
        <v>135.74092347319683</v>
      </c>
      <c r="AX54" s="34">
        <f ca="1">IFERROR(SUMIFS('TRA balance'!O$5:O$40,'TRA balance'!$C$5:$C$40,Assumptions!$C54,'TRA balance'!$D$5:$D$40,Assumptions!$B54)*CC54*R54,"")</f>
        <v>0.287861997760128</v>
      </c>
      <c r="AY54" s="34">
        <f ca="1">IFERROR(SUMIFS('TRA balance'!P$5:P$40,'TRA balance'!$C$5:$C$40,Assumptions!$C54,'TRA balance'!$D$5:$D$40,Assumptions!$B54)*CD54*S54,"")</f>
        <v>0</v>
      </c>
      <c r="AZ54" s="34">
        <f ca="1">IFERROR(SUMIFS('TRA balance'!Q$5:Q$40,'TRA balance'!$C$5:$C$40,Assumptions!$C54,'TRA balance'!$D$5:$D$40,Assumptions!$B54)*CE54*T54,"")</f>
        <v>0.20934061964640002</v>
      </c>
      <c r="BA54" s="34">
        <f ca="1">IFERROR(SUMIFS('TRA balance'!R$5:R$40,'TRA balance'!$C$5:$C$40,Assumptions!$C54,'TRA balance'!$D$5:$D$40,Assumptions!$B54)*CF54*U54,"")</f>
        <v>2.2335740097390722</v>
      </c>
      <c r="BB54" s="34">
        <f ca="1">IFERROR(SUMIFS('TRA balance'!S$5:S$40,'TRA balance'!$C$5:$C$40,Assumptions!$C54,'TRA balance'!$D$5:$D$40,Assumptions!$B54)*CG54*V54,"")</f>
        <v>0</v>
      </c>
      <c r="BC54" s="34">
        <f ca="1">IFERROR(SUMIFS('TRA balance'!T$5:T$40,'TRA balance'!$C$5:$C$40,Assumptions!$C54,'TRA balance'!$D$5:$D$40,Assumptions!$B54)*CH54*W54,"")</f>
        <v>0.48384712332000002</v>
      </c>
      <c r="BD54" s="34">
        <f ca="1">IFERROR(SUMIFS('TRA balance'!U$5:U$40,'TRA balance'!$C$5:$C$40,Assumptions!$C54,'TRA balance'!$D$5:$D$40,Assumptions!$B54)*CI54*X54,"")</f>
        <v>0.3287946934356481</v>
      </c>
      <c r="BE54" s="34">
        <f ca="1">IFERROR(SUMIFS('TRA balance'!V$5:V$40,'TRA balance'!$C$5:$C$40,Assumptions!$C54,'TRA balance'!$D$5:$D$40,Assumptions!$B54)*CJ54*Y54,"")</f>
        <v>0.37166654672928007</v>
      </c>
      <c r="BF54" s="34">
        <f ca="1">IFERROR(SUMIFS('TRA balance'!W$5:W$40,'TRA balance'!$C$5:$C$40,Assumptions!$C54,'TRA balance'!$D$5:$D$40,Assumptions!$B54)*CK54*Z54,"")</f>
        <v>0.45484222293100807</v>
      </c>
      <c r="BG54" s="34">
        <f ca="1">IFERROR(SUMIFS('TRA balance'!X$5:X$40,'TRA balance'!$C$5:$C$40,Assumptions!$C54,'TRA balance'!$D$5:$D$40,Assumptions!$B54)*CL54*AA54,"")</f>
        <v>15.4225927764</v>
      </c>
      <c r="BH54" s="34">
        <f ca="1">IFERROR(SUMIFS('TRA balance'!Y$5:Y$40,'TRA balance'!$C$5:$C$40,Assumptions!$C54,'TRA balance'!$D$5:$D$40,Assumptions!$B54)*CM54*AB54,"")</f>
        <v>15.148824623280001</v>
      </c>
      <c r="BI54" s="34">
        <f ca="1">IFERROR(SUMIFS('TRA balance'!Z$5:Z$40,'TRA balance'!$C$5:$C$40,Assumptions!$C54,'TRA balance'!$D$5:$D$40,Assumptions!$B54)*CN54*AC54,"")</f>
        <v>0.82605547252800005</v>
      </c>
      <c r="BJ54" s="34">
        <f ca="1">IFERROR(SUMIFS('TRA balance'!AA$5:AA$40,'TRA balance'!$C$5:$C$40,Assumptions!$C54,'TRA balance'!$D$5:$D$40,Assumptions!$B54)*CO54*AD54,"")</f>
        <v>15.24641627249453</v>
      </c>
      <c r="BK54" s="34">
        <f ca="1">IFERROR(SUMIFS('TRA balance'!AB$5:AB$40,'TRA balance'!$C$5:$C$40,Assumptions!$C54,'TRA balance'!$D$5:$D$40,Assumptions!$B54)*CP54*AE54,"")</f>
        <v>0.13335917480582402</v>
      </c>
      <c r="BL54" s="34">
        <f ca="1">IFERROR(SUMIFS('TRA balance'!AC$5:AC$40,'TRA balance'!$C$5:$C$40,Assumptions!$C54,'TRA balance'!$D$5:$D$40,Assumptions!$B54)*CQ54*AF54,"")</f>
        <v>1.2183104843280002</v>
      </c>
      <c r="BM54" s="34">
        <f ca="1">IFERROR(SUMIFS('TRA balance'!AD$5:AD$40,'TRA balance'!$C$5:$C$40,Assumptions!$C54,'TRA balance'!$D$5:$D$40,Assumptions!$B54)*CR54*AG54,"")</f>
        <v>0</v>
      </c>
      <c r="BN54" s="34">
        <f ca="1">IFERROR(SUMIFS('TRA balance'!AE$5:AE$40,'TRA balance'!$C$5:$C$40,Assumptions!$C54,'TRA balance'!$D$5:$D$40,Assumptions!$B54)*CS54*AH54,"")</f>
        <v>9.1638584999999999E-4</v>
      </c>
      <c r="BO54" s="34">
        <f ca="1">IFERROR(SUMIFS('TRA balance'!AF$5:AF$40,'TRA balance'!$C$5:$C$40,Assumptions!$C54,'TRA balance'!$D$5:$D$40,Assumptions!$B54)*CT54*AI54,"")</f>
        <v>3.1082944546368008E-2</v>
      </c>
      <c r="BP54" s="34">
        <f ca="1">IFERROR(SUMIFS('TRA balance'!AG$5:AG$40,'TRA balance'!$C$5:$C$40,Assumptions!$C54,'TRA balance'!$D$5:$D$40,Assumptions!$B54)*CU54*AJ54,"")</f>
        <v>23.513657162607679</v>
      </c>
      <c r="BQ54" s="34">
        <f ca="1">IFERROR(SUMIFS('TRA balance'!AH$5:AH$40,'TRA balance'!$C$5:$C$40,Assumptions!$C54,'TRA balance'!$D$5:$D$40,Assumptions!$B54)*CV54*AK54,"")</f>
        <v>0</v>
      </c>
      <c r="BS54" s="33">
        <f t="shared" ca="1" si="90"/>
        <v>0.25</v>
      </c>
      <c r="BT54" s="33">
        <f t="shared" ca="1" si="91"/>
        <v>0.25</v>
      </c>
      <c r="BU54" s="33">
        <f t="shared" ca="1" si="92"/>
        <v>0.5</v>
      </c>
      <c r="BV54" s="33">
        <f t="shared" ca="1" si="93"/>
        <v>0.7</v>
      </c>
      <c r="BW54" s="33">
        <f t="shared" ca="1" si="94"/>
        <v>0.95</v>
      </c>
      <c r="BX54" s="33">
        <f t="shared" ca="1" si="95"/>
        <v>0.9</v>
      </c>
      <c r="BY54" s="33">
        <f t="shared" ca="1" si="96"/>
        <v>0.25</v>
      </c>
      <c r="BZ54" s="33">
        <f t="shared" ca="1" si="97"/>
        <v>0.5</v>
      </c>
      <c r="CA54" s="33">
        <f t="shared" ca="1" si="98"/>
        <v>0.68200000000000005</v>
      </c>
      <c r="CB54" s="33">
        <f t="shared" ca="1" si="99"/>
        <v>0.4</v>
      </c>
      <c r="CC54" s="33">
        <f t="shared" ca="1" si="100"/>
        <v>0.68200000000000005</v>
      </c>
      <c r="CD54" s="33">
        <f t="shared" ca="1" si="101"/>
        <v>0</v>
      </c>
      <c r="CE54" s="33">
        <f t="shared" ca="1" si="102"/>
        <v>0.68200000000000005</v>
      </c>
      <c r="CF54" s="33">
        <f t="shared" ca="1" si="103"/>
        <v>0.68200000000000005</v>
      </c>
      <c r="CG54" s="33">
        <f t="shared" ca="1" si="104"/>
        <v>0</v>
      </c>
      <c r="CH54" s="33">
        <f t="shared" ca="1" si="31"/>
        <v>0.68200000000000005</v>
      </c>
      <c r="CI54" s="33">
        <f t="shared" ca="1" si="32"/>
        <v>0.68200000000000005</v>
      </c>
      <c r="CJ54" s="33">
        <f t="shared" ca="1" si="33"/>
        <v>0.68200000000000005</v>
      </c>
      <c r="CK54" s="33">
        <f t="shared" ca="1" si="34"/>
        <v>0.68200000000000005</v>
      </c>
      <c r="CL54" s="33">
        <f t="shared" ca="1" si="35"/>
        <v>0.25</v>
      </c>
      <c r="CM54" s="33">
        <f t="shared" ca="1" si="36"/>
        <v>0.5</v>
      </c>
      <c r="CN54" s="33">
        <f t="shared" ca="1" si="37"/>
        <v>0.55000000000000004</v>
      </c>
      <c r="CO54" s="33">
        <f t="shared" ca="1" si="38"/>
        <v>0.68200000000000005</v>
      </c>
      <c r="CP54" s="33">
        <f t="shared" ca="1" si="39"/>
        <v>0.68200000000000005</v>
      </c>
      <c r="CQ54" s="33">
        <f t="shared" ca="1" si="40"/>
        <v>0.7</v>
      </c>
      <c r="CR54" s="33">
        <f t="shared" ca="1" si="41"/>
        <v>0.68200000000000005</v>
      </c>
      <c r="CS54" s="33">
        <f t="shared" ca="1" si="42"/>
        <v>0.25</v>
      </c>
      <c r="CT54" s="33">
        <f t="shared" ca="1" si="43"/>
        <v>0.68200000000000005</v>
      </c>
      <c r="CU54" s="33">
        <f t="shared" ca="1" si="44"/>
        <v>0.97916979455979025</v>
      </c>
      <c r="CV54" s="33">
        <f t="shared" ca="1" si="45"/>
        <v>0.97916979455979025</v>
      </c>
    </row>
    <row r="55" spans="1:100" x14ac:dyDescent="0.45">
      <c r="A55">
        <v>1</v>
      </c>
      <c r="B55" t="str">
        <f>VLOOKUP(F55,'TRA balance'!$AK$5:$AL$14,2,FALSE)</f>
        <v>TRANGA</v>
      </c>
      <c r="C55" s="6" t="str">
        <f t="shared" si="46"/>
        <v/>
      </c>
      <c r="D55" s="7"/>
      <c r="E55" s="19" t="s">
        <v>69</v>
      </c>
      <c r="F55" s="8" t="str">
        <f>F54</f>
        <v>Natural Gas</v>
      </c>
      <c r="G55" s="6"/>
      <c r="H55" s="20" t="str">
        <f ca="1">IF(SUM(H53:H54)=1,"-","&lt;&gt;1!!")</f>
        <v>-</v>
      </c>
      <c r="I55" s="20" t="str">
        <f t="shared" ref="I55:X55" ca="1" si="130">IF(SUM(I53:I54)=1,"-","&lt;&gt;1!!")</f>
        <v>-</v>
      </c>
      <c r="J55" s="20" t="str">
        <f t="shared" ca="1" si="130"/>
        <v>-</v>
      </c>
      <c r="K55" s="20" t="str">
        <f t="shared" ca="1" si="130"/>
        <v>-</v>
      </c>
      <c r="L55" s="20" t="str">
        <f t="shared" ca="1" si="130"/>
        <v>-</v>
      </c>
      <c r="M55" s="20" t="str">
        <f t="shared" ca="1" si="130"/>
        <v>-</v>
      </c>
      <c r="N55" s="20" t="str">
        <f t="shared" ca="1" si="130"/>
        <v>-</v>
      </c>
      <c r="O55" s="20" t="str">
        <f t="shared" ca="1" si="130"/>
        <v>-</v>
      </c>
      <c r="P55" s="20" t="str">
        <f t="shared" ca="1" si="130"/>
        <v>-</v>
      </c>
      <c r="Q55" s="20" t="str">
        <f t="shared" ca="1" si="130"/>
        <v>-</v>
      </c>
      <c r="R55" s="20" t="str">
        <f t="shared" ca="1" si="130"/>
        <v>-</v>
      </c>
      <c r="S55" s="20" t="str">
        <f t="shared" ca="1" si="130"/>
        <v>-</v>
      </c>
      <c r="T55" s="20" t="str">
        <f t="shared" ca="1" si="130"/>
        <v>-</v>
      </c>
      <c r="U55" s="20" t="str">
        <f t="shared" ca="1" si="130"/>
        <v>-</v>
      </c>
      <c r="V55" s="20" t="str">
        <f t="shared" ca="1" si="130"/>
        <v>-</v>
      </c>
      <c r="W55" s="20" t="str">
        <f t="shared" ca="1" si="130"/>
        <v>-</v>
      </c>
      <c r="X55" s="20" t="str">
        <f t="shared" ca="1" si="130"/>
        <v>-</v>
      </c>
      <c r="Y55" s="20" t="str">
        <f t="shared" ref="Y55:Z55" ca="1" si="131">IF(SUM(Y53:Y54)=1,"-","&lt;&gt;1!!")</f>
        <v>-</v>
      </c>
      <c r="Z55" s="20" t="str">
        <f t="shared" ca="1" si="131"/>
        <v>-</v>
      </c>
      <c r="AA55" s="20" t="str">
        <f t="shared" ref="AA55:AK55" ca="1" si="132">IF(SUM(AA53:AA54)=1,"-","&lt;&gt;1!!")</f>
        <v>-</v>
      </c>
      <c r="AB55" s="20" t="str">
        <f t="shared" ca="1" si="132"/>
        <v>-</v>
      </c>
      <c r="AC55" s="20" t="str">
        <f t="shared" ca="1" si="132"/>
        <v>-</v>
      </c>
      <c r="AD55" s="20" t="str">
        <f t="shared" ca="1" si="132"/>
        <v>-</v>
      </c>
      <c r="AE55" s="20" t="str">
        <f t="shared" ca="1" si="132"/>
        <v>-</v>
      </c>
      <c r="AF55" s="20" t="str">
        <f t="shared" ca="1" si="132"/>
        <v>-</v>
      </c>
      <c r="AG55" s="20" t="str">
        <f t="shared" ca="1" si="132"/>
        <v>-</v>
      </c>
      <c r="AH55" s="20" t="str">
        <f t="shared" ca="1" si="132"/>
        <v>-</v>
      </c>
      <c r="AI55" s="20" t="str">
        <f t="shared" ca="1" si="132"/>
        <v>-</v>
      </c>
      <c r="AJ55" s="20" t="str">
        <f t="shared" ca="1" si="132"/>
        <v>-</v>
      </c>
      <c r="AK55" s="20" t="str">
        <f t="shared" ca="1" si="132"/>
        <v>-</v>
      </c>
      <c r="AN55" s="34" t="str">
        <f ca="1">IFERROR(SUMIFS('TRA balance'!E$5:E$40,'TRA balance'!$C$5:$C$40,Assumptions!$C55,'TRA balance'!$D$5:$D$40,Assumptions!$B55)*BS55*H55,"")</f>
        <v/>
      </c>
      <c r="AO55" s="34" t="str">
        <f ca="1">IFERROR(SUMIFS('TRA balance'!F$5:F$40,'TRA balance'!$C$5:$C$40,Assumptions!$C55,'TRA balance'!$D$5:$D$40,Assumptions!$B55)*BT55*I55,"")</f>
        <v/>
      </c>
      <c r="AP55" s="34" t="str">
        <f ca="1">IFERROR(SUMIFS('TRA balance'!G$5:G$40,'TRA balance'!$C$5:$C$40,Assumptions!$C55,'TRA balance'!$D$5:$D$40,Assumptions!$B55)*BU55*J55,"")</f>
        <v/>
      </c>
      <c r="AQ55" s="34" t="str">
        <f ca="1">IFERROR(SUMIFS('TRA balance'!H$5:H$40,'TRA balance'!$C$5:$C$40,Assumptions!$C55,'TRA balance'!$D$5:$D$40,Assumptions!$B55)*BV55*K55,"")</f>
        <v/>
      </c>
      <c r="AR55" s="34" t="str">
        <f ca="1">IFERROR(SUMIFS('TRA balance'!I$5:I$40,'TRA balance'!$C$5:$C$40,Assumptions!$C55,'TRA balance'!$D$5:$D$40,Assumptions!$B55)*BW55*L55,"")</f>
        <v/>
      </c>
      <c r="AS55" s="34" t="str">
        <f ca="1">IFERROR(SUMIFS('TRA balance'!J$5:J$40,'TRA balance'!$C$5:$C$40,Assumptions!$C55,'TRA balance'!$D$5:$D$40,Assumptions!$B55)*BX55*M55,"")</f>
        <v/>
      </c>
      <c r="AT55" s="34" t="str">
        <f ca="1">IFERROR(SUMIFS('TRA balance'!K$5:K$40,'TRA balance'!$C$5:$C$40,Assumptions!$C55,'TRA balance'!$D$5:$D$40,Assumptions!$B55)*BY55*N55,"")</f>
        <v/>
      </c>
      <c r="AU55" s="34" t="str">
        <f ca="1">IFERROR(SUMIFS('TRA balance'!L$5:L$40,'TRA balance'!$C$5:$C$40,Assumptions!$C55,'TRA balance'!$D$5:$D$40,Assumptions!$B55)*BZ55*O55,"")</f>
        <v/>
      </c>
      <c r="AV55" s="34" t="str">
        <f ca="1">IFERROR(SUMIFS('TRA balance'!M$5:M$40,'TRA balance'!$C$5:$C$40,Assumptions!$C55,'TRA balance'!$D$5:$D$40,Assumptions!$B55)*CA55*P55,"")</f>
        <v/>
      </c>
      <c r="AW55" s="34" t="str">
        <f ca="1">IFERROR(SUMIFS('TRA balance'!N$5:N$40,'TRA balance'!$C$5:$C$40,Assumptions!$C55,'TRA balance'!$D$5:$D$40,Assumptions!$B55)*CB55*Q55,"")</f>
        <v/>
      </c>
      <c r="AX55" s="34" t="str">
        <f ca="1">IFERROR(SUMIFS('TRA balance'!O$5:O$40,'TRA balance'!$C$5:$C$40,Assumptions!$C55,'TRA balance'!$D$5:$D$40,Assumptions!$B55)*CC55*R55,"")</f>
        <v/>
      </c>
      <c r="AY55" s="34" t="str">
        <f ca="1">IFERROR(SUMIFS('TRA balance'!P$5:P$40,'TRA balance'!$C$5:$C$40,Assumptions!$C55,'TRA balance'!$D$5:$D$40,Assumptions!$B55)*CD55*S55,"")</f>
        <v/>
      </c>
      <c r="AZ55" s="34" t="str">
        <f ca="1">IFERROR(SUMIFS('TRA balance'!Q$5:Q$40,'TRA balance'!$C$5:$C$40,Assumptions!$C55,'TRA balance'!$D$5:$D$40,Assumptions!$B55)*CE55*T55,"")</f>
        <v/>
      </c>
      <c r="BA55" s="34" t="str">
        <f ca="1">IFERROR(SUMIFS('TRA balance'!R$5:R$40,'TRA balance'!$C$5:$C$40,Assumptions!$C55,'TRA balance'!$D$5:$D$40,Assumptions!$B55)*CF55*U55,"")</f>
        <v/>
      </c>
      <c r="BB55" s="34" t="str">
        <f ca="1">IFERROR(SUMIFS('TRA balance'!S$5:S$40,'TRA balance'!$C$5:$C$40,Assumptions!$C55,'TRA balance'!$D$5:$D$40,Assumptions!$B55)*CG55*V55,"")</f>
        <v/>
      </c>
      <c r="BC55" s="34" t="str">
        <f ca="1">IFERROR(SUMIFS('TRA balance'!T$5:T$40,'TRA balance'!$C$5:$C$40,Assumptions!$C55,'TRA balance'!$D$5:$D$40,Assumptions!$B55)*CH55*W55,"")</f>
        <v/>
      </c>
      <c r="BD55" s="34" t="str">
        <f ca="1">IFERROR(SUMIFS('TRA balance'!U$5:U$40,'TRA balance'!$C$5:$C$40,Assumptions!$C55,'TRA balance'!$D$5:$D$40,Assumptions!$B55)*CI55*X55,"")</f>
        <v/>
      </c>
      <c r="BE55" s="34" t="str">
        <f ca="1">IFERROR(SUMIFS('TRA balance'!V$5:V$40,'TRA balance'!$C$5:$C$40,Assumptions!$C55,'TRA balance'!$D$5:$D$40,Assumptions!$B55)*CJ55*Y55,"")</f>
        <v/>
      </c>
      <c r="BF55" s="34" t="str">
        <f ca="1">IFERROR(SUMIFS('TRA balance'!W$5:W$40,'TRA balance'!$C$5:$C$40,Assumptions!$C55,'TRA balance'!$D$5:$D$40,Assumptions!$B55)*CK55*Z55,"")</f>
        <v/>
      </c>
      <c r="BG55" s="34" t="str">
        <f ca="1">IFERROR(SUMIFS('TRA balance'!X$5:X$40,'TRA balance'!$C$5:$C$40,Assumptions!$C55,'TRA balance'!$D$5:$D$40,Assumptions!$B55)*CL55*AA55,"")</f>
        <v/>
      </c>
      <c r="BH55" s="34" t="str">
        <f ca="1">IFERROR(SUMIFS('TRA balance'!Y$5:Y$40,'TRA balance'!$C$5:$C$40,Assumptions!$C55,'TRA balance'!$D$5:$D$40,Assumptions!$B55)*CM55*AB55,"")</f>
        <v/>
      </c>
      <c r="BI55" s="34" t="str">
        <f ca="1">IFERROR(SUMIFS('TRA balance'!Z$5:Z$40,'TRA balance'!$C$5:$C$40,Assumptions!$C55,'TRA balance'!$D$5:$D$40,Assumptions!$B55)*CN55*AC55,"")</f>
        <v/>
      </c>
      <c r="BJ55" s="34" t="str">
        <f ca="1">IFERROR(SUMIFS('TRA balance'!AA$5:AA$40,'TRA balance'!$C$5:$C$40,Assumptions!$C55,'TRA balance'!$D$5:$D$40,Assumptions!$B55)*CO55*AD55,"")</f>
        <v/>
      </c>
      <c r="BK55" s="34" t="str">
        <f ca="1">IFERROR(SUMIFS('TRA balance'!AB$5:AB$40,'TRA balance'!$C$5:$C$40,Assumptions!$C55,'TRA balance'!$D$5:$D$40,Assumptions!$B55)*CP55*AE55,"")</f>
        <v/>
      </c>
      <c r="BL55" s="34" t="str">
        <f ca="1">IFERROR(SUMIFS('TRA balance'!AC$5:AC$40,'TRA balance'!$C$5:$C$40,Assumptions!$C55,'TRA balance'!$D$5:$D$40,Assumptions!$B55)*CQ55*AF55,"")</f>
        <v/>
      </c>
      <c r="BM55" s="34" t="str">
        <f ca="1">IFERROR(SUMIFS('TRA balance'!AD$5:AD$40,'TRA balance'!$C$5:$C$40,Assumptions!$C55,'TRA balance'!$D$5:$D$40,Assumptions!$B55)*CR55*AG55,"")</f>
        <v/>
      </c>
      <c r="BN55" s="34" t="str">
        <f ca="1">IFERROR(SUMIFS('TRA balance'!AE$5:AE$40,'TRA balance'!$C$5:$C$40,Assumptions!$C55,'TRA balance'!$D$5:$D$40,Assumptions!$B55)*CS55*AH55,"")</f>
        <v/>
      </c>
      <c r="BO55" s="34" t="str">
        <f ca="1">IFERROR(SUMIFS('TRA balance'!AF$5:AF$40,'TRA balance'!$C$5:$C$40,Assumptions!$C55,'TRA balance'!$D$5:$D$40,Assumptions!$B55)*CT55*AI55,"")</f>
        <v/>
      </c>
      <c r="BP55" s="34" t="str">
        <f ca="1">IFERROR(SUMIFS('TRA balance'!AG$5:AG$40,'TRA balance'!$C$5:$C$40,Assumptions!$C55,'TRA balance'!$D$5:$D$40,Assumptions!$B55)*CU55*AJ55,"")</f>
        <v/>
      </c>
      <c r="BQ55" s="34" t="str">
        <f ca="1">IFERROR(SUMIFS('TRA balance'!AH$5:AH$40,'TRA balance'!$C$5:$C$40,Assumptions!$C55,'TRA balance'!$D$5:$D$40,Assumptions!$B55)*CV55*AK55,"")</f>
        <v/>
      </c>
      <c r="BS55" s="33">
        <f t="shared" si="90"/>
        <v>1</v>
      </c>
      <c r="BT55" s="33">
        <f t="shared" si="91"/>
        <v>1</v>
      </c>
      <c r="BU55" s="33">
        <f t="shared" si="92"/>
        <v>1</v>
      </c>
      <c r="BV55" s="33">
        <f t="shared" si="93"/>
        <v>1</v>
      </c>
      <c r="BW55" s="33">
        <f t="shared" si="94"/>
        <v>1</v>
      </c>
      <c r="BX55" s="33">
        <f t="shared" si="95"/>
        <v>1</v>
      </c>
      <c r="BY55" s="33">
        <f t="shared" si="96"/>
        <v>1</v>
      </c>
      <c r="BZ55" s="33">
        <f t="shared" si="97"/>
        <v>1</v>
      </c>
      <c r="CA55" s="33">
        <f t="shared" si="98"/>
        <v>1</v>
      </c>
      <c r="CB55" s="33">
        <f t="shared" si="99"/>
        <v>1</v>
      </c>
      <c r="CC55" s="33">
        <f t="shared" si="100"/>
        <v>1</v>
      </c>
      <c r="CD55" s="33">
        <f t="shared" si="101"/>
        <v>1</v>
      </c>
      <c r="CE55" s="33">
        <f t="shared" si="102"/>
        <v>1</v>
      </c>
      <c r="CF55" s="33">
        <f t="shared" si="103"/>
        <v>1</v>
      </c>
      <c r="CG55" s="33">
        <f t="shared" si="104"/>
        <v>1</v>
      </c>
      <c r="CH55" s="33">
        <f t="shared" si="31"/>
        <v>1</v>
      </c>
      <c r="CI55" s="33">
        <f t="shared" si="32"/>
        <v>1</v>
      </c>
      <c r="CJ55" s="33">
        <f t="shared" si="33"/>
        <v>1</v>
      </c>
      <c r="CK55" s="33">
        <f t="shared" si="34"/>
        <v>1</v>
      </c>
      <c r="CL55" s="33">
        <f t="shared" si="35"/>
        <v>1</v>
      </c>
      <c r="CM55" s="33">
        <f t="shared" si="36"/>
        <v>1</v>
      </c>
      <c r="CN55" s="33">
        <f t="shared" si="37"/>
        <v>1</v>
      </c>
      <c r="CO55" s="33">
        <f t="shared" si="38"/>
        <v>1</v>
      </c>
      <c r="CP55" s="33">
        <f t="shared" si="39"/>
        <v>1</v>
      </c>
      <c r="CQ55" s="33">
        <f t="shared" si="40"/>
        <v>1</v>
      </c>
      <c r="CR55" s="33">
        <f t="shared" si="41"/>
        <v>1</v>
      </c>
      <c r="CS55" s="33">
        <f t="shared" si="42"/>
        <v>1</v>
      </c>
      <c r="CT55" s="33">
        <f t="shared" si="43"/>
        <v>1</v>
      </c>
      <c r="CU55" s="33">
        <f t="shared" si="44"/>
        <v>1</v>
      </c>
      <c r="CV55" s="33">
        <f t="shared" si="45"/>
        <v>1</v>
      </c>
    </row>
    <row r="56" spans="1:100" x14ac:dyDescent="0.45">
      <c r="A56">
        <v>1</v>
      </c>
      <c r="B56" t="str">
        <f>VLOOKUP(F56,'TRA balance'!$AK$5:$AL$14,2,FALSE)</f>
        <v>TRANGA</v>
      </c>
      <c r="C56" s="14">
        <v>2</v>
      </c>
      <c r="D56" s="15" t="s">
        <v>16</v>
      </c>
      <c r="E56" s="15" t="s">
        <v>70</v>
      </c>
      <c r="F56" s="16" t="str">
        <f>F55</f>
        <v>Natural Gas</v>
      </c>
      <c r="G56" s="14"/>
      <c r="H56" s="21">
        <f t="shared" ref="H56:X56" ca="1" si="133">1-H52</f>
        <v>0.75</v>
      </c>
      <c r="I56" s="21">
        <f t="shared" ca="1" si="133"/>
        <v>0.75</v>
      </c>
      <c r="J56" s="21">
        <f t="shared" ca="1" si="133"/>
        <v>0.5</v>
      </c>
      <c r="K56" s="21">
        <f t="shared" ca="1" si="133"/>
        <v>0.30000000000000004</v>
      </c>
      <c r="L56" s="21">
        <f t="shared" ca="1" si="133"/>
        <v>5.0000000000000044E-2</v>
      </c>
      <c r="M56" s="21">
        <f t="shared" ca="1" si="133"/>
        <v>9.9999999999999978E-2</v>
      </c>
      <c r="N56" s="21">
        <f t="shared" ca="1" si="133"/>
        <v>0.75</v>
      </c>
      <c r="O56" s="21">
        <f t="shared" ca="1" si="133"/>
        <v>0.5</v>
      </c>
      <c r="P56" s="21">
        <f t="shared" ca="1" si="133"/>
        <v>0.31799999999999995</v>
      </c>
      <c r="Q56" s="21">
        <f t="shared" ca="1" si="133"/>
        <v>0.6</v>
      </c>
      <c r="R56" s="21">
        <f t="shared" ca="1" si="133"/>
        <v>0.31799999999999995</v>
      </c>
      <c r="S56" s="21">
        <f t="shared" ca="1" si="133"/>
        <v>1</v>
      </c>
      <c r="T56" s="21">
        <f t="shared" ca="1" si="133"/>
        <v>0.31799999999999995</v>
      </c>
      <c r="U56" s="21">
        <f t="shared" ca="1" si="133"/>
        <v>0.31799999999999995</v>
      </c>
      <c r="V56" s="21">
        <f t="shared" ca="1" si="133"/>
        <v>1</v>
      </c>
      <c r="W56" s="21">
        <f t="shared" ca="1" si="133"/>
        <v>0.31799999999999995</v>
      </c>
      <c r="X56" s="21">
        <f t="shared" ca="1" si="133"/>
        <v>0.31799999999999995</v>
      </c>
      <c r="Y56" s="21">
        <f t="shared" ref="Y56:Z56" ca="1" si="134">1-Y52</f>
        <v>0.31799999999999995</v>
      </c>
      <c r="Z56" s="21">
        <f t="shared" ca="1" si="134"/>
        <v>0.31799999999999995</v>
      </c>
      <c r="AA56" s="21">
        <f t="shared" ref="AA56:AK56" ca="1" si="135">1-AA52</f>
        <v>0.75</v>
      </c>
      <c r="AB56" s="21">
        <f t="shared" ca="1" si="135"/>
        <v>0.5</v>
      </c>
      <c r="AC56" s="21">
        <f t="shared" ca="1" si="135"/>
        <v>0.44999999999999996</v>
      </c>
      <c r="AD56" s="21">
        <f t="shared" ca="1" si="135"/>
        <v>0.31799999999999995</v>
      </c>
      <c r="AE56" s="21">
        <f t="shared" ca="1" si="135"/>
        <v>0.31799999999999995</v>
      </c>
      <c r="AF56" s="21">
        <f t="shared" ca="1" si="135"/>
        <v>0.30000000000000004</v>
      </c>
      <c r="AG56" s="21">
        <f t="shared" ca="1" si="135"/>
        <v>0.31799999999999995</v>
      </c>
      <c r="AH56" s="21">
        <f t="shared" ca="1" si="135"/>
        <v>0.75</v>
      </c>
      <c r="AI56" s="21">
        <f t="shared" ca="1" si="135"/>
        <v>0.31799999999999995</v>
      </c>
      <c r="AJ56" s="21">
        <f t="shared" ca="1" si="135"/>
        <v>2.0830205440209748E-2</v>
      </c>
      <c r="AK56" s="21">
        <f t="shared" ca="1" si="135"/>
        <v>2.0830205440209748E-2</v>
      </c>
      <c r="AN56" s="34">
        <f ca="1">IFERROR(SUMIFS('TRA balance'!E$5:E$40,'TRA balance'!$C$5:$C$40,Assumptions!$C56,'TRA balance'!$D$5:$D$40,Assumptions!$B56)*BS56*H56,"")</f>
        <v>0</v>
      </c>
      <c r="AO56" s="34">
        <f ca="1">IFERROR(SUMIFS('TRA balance'!F$5:F$40,'TRA balance'!$C$5:$C$40,Assumptions!$C56,'TRA balance'!$D$5:$D$40,Assumptions!$B56)*BT56*I56,"")</f>
        <v>0</v>
      </c>
      <c r="AP56" s="34">
        <f ca="1">IFERROR(SUMIFS('TRA balance'!G$5:G$40,'TRA balance'!$C$5:$C$40,Assumptions!$C56,'TRA balance'!$D$5:$D$40,Assumptions!$B56)*BU56*J56,"")</f>
        <v>0</v>
      </c>
      <c r="AQ56" s="34">
        <f ca="1">IFERROR(SUMIFS('TRA balance'!H$5:H$40,'TRA balance'!$C$5:$C$40,Assumptions!$C56,'TRA balance'!$D$5:$D$40,Assumptions!$B56)*BV56*K56,"")</f>
        <v>0</v>
      </c>
      <c r="AR56" s="34">
        <f ca="1">IFERROR(SUMIFS('TRA balance'!I$5:I$40,'TRA balance'!$C$5:$C$40,Assumptions!$C56,'TRA balance'!$D$5:$D$40,Assumptions!$B56)*BW56*L56,"")</f>
        <v>0</v>
      </c>
      <c r="AS56" s="34">
        <f ca="1">IFERROR(SUMIFS('TRA balance'!J$5:J$40,'TRA balance'!$C$5:$C$40,Assumptions!$C56,'TRA balance'!$D$5:$D$40,Assumptions!$B56)*BX56*M56,"")</f>
        <v>0</v>
      </c>
      <c r="AT56" s="34">
        <f ca="1">IFERROR(SUMIFS('TRA balance'!K$5:K$40,'TRA balance'!$C$5:$C$40,Assumptions!$C56,'TRA balance'!$D$5:$D$40,Assumptions!$B56)*BY56*N56,"")</f>
        <v>0</v>
      </c>
      <c r="AU56" s="34">
        <f ca="1">IFERROR(SUMIFS('TRA balance'!L$5:L$40,'TRA balance'!$C$5:$C$40,Assumptions!$C56,'TRA balance'!$D$5:$D$40,Assumptions!$B56)*BZ56*O56,"")</f>
        <v>0</v>
      </c>
      <c r="AV56" s="34">
        <f ca="1">IFERROR(SUMIFS('TRA balance'!M$5:M$40,'TRA balance'!$C$5:$C$40,Assumptions!$C56,'TRA balance'!$D$5:$D$40,Assumptions!$B56)*CA56*P56,"")</f>
        <v>0</v>
      </c>
      <c r="AW56" s="34">
        <f ca="1">IFERROR(SUMIFS('TRA balance'!N$5:N$40,'TRA balance'!$C$5:$C$40,Assumptions!$C56,'TRA balance'!$D$5:$D$40,Assumptions!$B56)*CB56*Q56,"")</f>
        <v>0</v>
      </c>
      <c r="AX56" s="34">
        <f ca="1">IFERROR(SUMIFS('TRA balance'!O$5:O$40,'TRA balance'!$C$5:$C$40,Assumptions!$C56,'TRA balance'!$D$5:$D$40,Assumptions!$B56)*CC56*R56,"")</f>
        <v>0</v>
      </c>
      <c r="AY56" s="34">
        <f ca="1">IFERROR(SUMIFS('TRA balance'!P$5:P$40,'TRA balance'!$C$5:$C$40,Assumptions!$C56,'TRA balance'!$D$5:$D$40,Assumptions!$B56)*CD56*S56,"")</f>
        <v>0</v>
      </c>
      <c r="AZ56" s="34">
        <f ca="1">IFERROR(SUMIFS('TRA balance'!Q$5:Q$40,'TRA balance'!$C$5:$C$40,Assumptions!$C56,'TRA balance'!$D$5:$D$40,Assumptions!$B56)*CE56*T56,"")</f>
        <v>0</v>
      </c>
      <c r="BA56" s="34">
        <f ca="1">IFERROR(SUMIFS('TRA balance'!R$5:R$40,'TRA balance'!$C$5:$C$40,Assumptions!$C56,'TRA balance'!$D$5:$D$40,Assumptions!$B56)*CF56*U56,"")</f>
        <v>0</v>
      </c>
      <c r="BB56" s="34">
        <f ca="1">IFERROR(SUMIFS('TRA balance'!S$5:S$40,'TRA balance'!$C$5:$C$40,Assumptions!$C56,'TRA balance'!$D$5:$D$40,Assumptions!$B56)*CG56*V56,"")</f>
        <v>0</v>
      </c>
      <c r="BC56" s="34">
        <f ca="1">IFERROR(SUMIFS('TRA balance'!T$5:T$40,'TRA balance'!$C$5:$C$40,Assumptions!$C56,'TRA balance'!$D$5:$D$40,Assumptions!$B56)*CH56*W56,"")</f>
        <v>0</v>
      </c>
      <c r="BD56" s="34">
        <f ca="1">IFERROR(SUMIFS('TRA balance'!U$5:U$40,'TRA balance'!$C$5:$C$40,Assumptions!$C56,'TRA balance'!$D$5:$D$40,Assumptions!$B56)*CI56*X56,"")</f>
        <v>0</v>
      </c>
      <c r="BE56" s="34">
        <f ca="1">IFERROR(SUMIFS('TRA balance'!V$5:V$40,'TRA balance'!$C$5:$C$40,Assumptions!$C56,'TRA balance'!$D$5:$D$40,Assumptions!$B56)*CJ56*Y56,"")</f>
        <v>0</v>
      </c>
      <c r="BF56" s="34">
        <f ca="1">IFERROR(SUMIFS('TRA balance'!W$5:W$40,'TRA balance'!$C$5:$C$40,Assumptions!$C56,'TRA balance'!$D$5:$D$40,Assumptions!$B56)*CK56*Z56,"")</f>
        <v>0</v>
      </c>
      <c r="BG56" s="34">
        <f ca="1">IFERROR(SUMIFS('TRA balance'!X$5:X$40,'TRA balance'!$C$5:$C$40,Assumptions!$C56,'TRA balance'!$D$5:$D$40,Assumptions!$B56)*CL56*AA56,"")</f>
        <v>0</v>
      </c>
      <c r="BH56" s="34">
        <f ca="1">IFERROR(SUMIFS('TRA balance'!Y$5:Y$40,'TRA balance'!$C$5:$C$40,Assumptions!$C56,'TRA balance'!$D$5:$D$40,Assumptions!$B56)*CM56*AB56,"")</f>
        <v>0</v>
      </c>
      <c r="BI56" s="34">
        <f ca="1">IFERROR(SUMIFS('TRA balance'!Z$5:Z$40,'TRA balance'!$C$5:$C$40,Assumptions!$C56,'TRA balance'!$D$5:$D$40,Assumptions!$B56)*CN56*AC56,"")</f>
        <v>0</v>
      </c>
      <c r="BJ56" s="34">
        <f ca="1">IFERROR(SUMIFS('TRA balance'!AA$5:AA$40,'TRA balance'!$C$5:$C$40,Assumptions!$C56,'TRA balance'!$D$5:$D$40,Assumptions!$B56)*CO56*AD56,"")</f>
        <v>0</v>
      </c>
      <c r="BK56" s="34">
        <f ca="1">IFERROR(SUMIFS('TRA balance'!AB$5:AB$40,'TRA balance'!$C$5:$C$40,Assumptions!$C56,'TRA balance'!$D$5:$D$40,Assumptions!$B56)*CP56*AE56,"")</f>
        <v>0</v>
      </c>
      <c r="BL56" s="34">
        <f ca="1">IFERROR(SUMIFS('TRA balance'!AC$5:AC$40,'TRA balance'!$C$5:$C$40,Assumptions!$C56,'TRA balance'!$D$5:$D$40,Assumptions!$B56)*CQ56*AF56,"")</f>
        <v>0</v>
      </c>
      <c r="BM56" s="34">
        <f ca="1">IFERROR(SUMIFS('TRA balance'!AD$5:AD$40,'TRA balance'!$C$5:$C$40,Assumptions!$C56,'TRA balance'!$D$5:$D$40,Assumptions!$B56)*CR56*AG56,"")</f>
        <v>0</v>
      </c>
      <c r="BN56" s="34">
        <f ca="1">IFERROR(SUMIFS('TRA balance'!AE$5:AE$40,'TRA balance'!$C$5:$C$40,Assumptions!$C56,'TRA balance'!$D$5:$D$40,Assumptions!$B56)*CS56*AH56,"")</f>
        <v>0</v>
      </c>
      <c r="BO56" s="34">
        <f ca="1">IFERROR(SUMIFS('TRA balance'!AF$5:AF$40,'TRA balance'!$C$5:$C$40,Assumptions!$C56,'TRA balance'!$D$5:$D$40,Assumptions!$B56)*CT56*AI56,"")</f>
        <v>0</v>
      </c>
      <c r="BP56" s="34">
        <f ca="1">IFERROR(SUMIFS('TRA balance'!AG$5:AG$40,'TRA balance'!$C$5:$C$40,Assumptions!$C56,'TRA balance'!$D$5:$D$40,Assumptions!$B56)*CU56*AJ56,"")</f>
        <v>0</v>
      </c>
      <c r="BQ56" s="34">
        <f ca="1">IFERROR(SUMIFS('TRA balance'!AH$5:AH$40,'TRA balance'!$C$5:$C$40,Assumptions!$C56,'TRA balance'!$D$5:$D$40,Assumptions!$B56)*CV56*AK56,"")</f>
        <v>0</v>
      </c>
      <c r="BS56" s="33">
        <f t="shared" si="90"/>
        <v>1</v>
      </c>
      <c r="BT56" s="33">
        <f t="shared" si="91"/>
        <v>1</v>
      </c>
      <c r="BU56" s="33">
        <f t="shared" si="92"/>
        <v>1</v>
      </c>
      <c r="BV56" s="33">
        <f t="shared" si="93"/>
        <v>1</v>
      </c>
      <c r="BW56" s="33">
        <f t="shared" si="94"/>
        <v>1</v>
      </c>
      <c r="BX56" s="33">
        <f t="shared" si="95"/>
        <v>1</v>
      </c>
      <c r="BY56" s="33">
        <f t="shared" si="96"/>
        <v>1</v>
      </c>
      <c r="BZ56" s="33">
        <f t="shared" si="97"/>
        <v>1</v>
      </c>
      <c r="CA56" s="33">
        <f t="shared" si="98"/>
        <v>1</v>
      </c>
      <c r="CB56" s="33">
        <f t="shared" si="99"/>
        <v>1</v>
      </c>
      <c r="CC56" s="33">
        <f t="shared" si="100"/>
        <v>1</v>
      </c>
      <c r="CD56" s="33">
        <f t="shared" si="101"/>
        <v>1</v>
      </c>
      <c r="CE56" s="33">
        <f t="shared" si="102"/>
        <v>1</v>
      </c>
      <c r="CF56" s="33">
        <f t="shared" si="103"/>
        <v>1</v>
      </c>
      <c r="CG56" s="33">
        <f t="shared" si="104"/>
        <v>1</v>
      </c>
      <c r="CH56" s="33">
        <f t="shared" si="31"/>
        <v>1</v>
      </c>
      <c r="CI56" s="33">
        <f t="shared" si="32"/>
        <v>1</v>
      </c>
      <c r="CJ56" s="33">
        <f t="shared" si="33"/>
        <v>1</v>
      </c>
      <c r="CK56" s="33">
        <f t="shared" si="34"/>
        <v>1</v>
      </c>
      <c r="CL56" s="33">
        <f t="shared" si="35"/>
        <v>1</v>
      </c>
      <c r="CM56" s="33">
        <f t="shared" si="36"/>
        <v>1</v>
      </c>
      <c r="CN56" s="33">
        <f t="shared" si="37"/>
        <v>1</v>
      </c>
      <c r="CO56" s="33">
        <f t="shared" si="38"/>
        <v>1</v>
      </c>
      <c r="CP56" s="33">
        <f t="shared" si="39"/>
        <v>1</v>
      </c>
      <c r="CQ56" s="33">
        <f t="shared" si="40"/>
        <v>1</v>
      </c>
      <c r="CR56" s="33">
        <f t="shared" si="41"/>
        <v>1</v>
      </c>
      <c r="CS56" s="33">
        <f t="shared" si="42"/>
        <v>1</v>
      </c>
      <c r="CT56" s="33">
        <f t="shared" si="43"/>
        <v>1</v>
      </c>
      <c r="CU56" s="33">
        <f t="shared" si="44"/>
        <v>1</v>
      </c>
      <c r="CV56" s="33">
        <f t="shared" si="45"/>
        <v>1</v>
      </c>
    </row>
    <row r="57" spans="1:100" x14ac:dyDescent="0.45">
      <c r="A57">
        <v>2</v>
      </c>
      <c r="B57" t="str">
        <f>VLOOKUP(F57,'TRA balance'!$AK$5:$AL$14,2,FALSE)</f>
        <v>TRANGA</v>
      </c>
      <c r="C57" s="6" t="str">
        <f t="shared" si="46"/>
        <v>TR</v>
      </c>
      <c r="D57" s="7" t="s">
        <v>16</v>
      </c>
      <c r="E57" s="18" t="s">
        <v>71</v>
      </c>
      <c r="F57" s="8" t="str">
        <f>F56</f>
        <v>Natural Gas</v>
      </c>
      <c r="G57" s="6" t="s">
        <v>72</v>
      </c>
      <c r="H57" s="9">
        <f ca="1">OFFSET(TIAM15_assumptions!$G57,0,MATCH(VLOOKUP(Assumptions!H$2,TIAM15_assumptions!$Y$3:$Z$36,2,FALSE),TIAM15_assumptions!$H$2:$V$2,0))</f>
        <v>0.8</v>
      </c>
      <c r="I57" s="9">
        <f ca="1">OFFSET(TIAM15_assumptions!$G57,0,MATCH(VLOOKUP(Assumptions!I$2,TIAM15_assumptions!$Y$3:$Z$36,2,FALSE),TIAM15_assumptions!$H$2:$V$2,0))</f>
        <v>0.8</v>
      </c>
      <c r="J57" s="9">
        <f ca="1">OFFSET(TIAM15_assumptions!$G57,0,MATCH(VLOOKUP(Assumptions!J$2,TIAM15_assumptions!$Y$3:$Z$36,2,FALSE),TIAM15_assumptions!$H$2:$V$2,0))</f>
        <v>0.6</v>
      </c>
      <c r="K57" s="9">
        <f ca="1">OFFSET(TIAM15_assumptions!$G57,0,MATCH(VLOOKUP(Assumptions!K$2,TIAM15_assumptions!$Y$3:$Z$36,2,FALSE),TIAM15_assumptions!$H$2:$V$2,0))</f>
        <v>0</v>
      </c>
      <c r="L57" s="9">
        <f ca="1">OFFSET(TIAM15_assumptions!$G57,0,MATCH(VLOOKUP(Assumptions!L$2,TIAM15_assumptions!$Y$3:$Z$36,2,FALSE),TIAM15_assumptions!$H$2:$V$2,0))</f>
        <v>0</v>
      </c>
      <c r="M57" s="9">
        <f ca="1">OFFSET(TIAM15_assumptions!$G57,0,MATCH(VLOOKUP(Assumptions!M$2,TIAM15_assumptions!$Y$3:$Z$36,2,FALSE),TIAM15_assumptions!$H$2:$V$2,0))</f>
        <v>0.7</v>
      </c>
      <c r="N57" s="9">
        <f ca="1">OFFSET(TIAM15_assumptions!$G57,0,MATCH(VLOOKUP(Assumptions!N$2,TIAM15_assumptions!$Y$3:$Z$36,2,FALSE),TIAM15_assumptions!$H$2:$V$2,0))</f>
        <v>0.8</v>
      </c>
      <c r="O57" s="9">
        <f ca="1">OFFSET(TIAM15_assumptions!$G57,0,MATCH(VLOOKUP(Assumptions!O$2,TIAM15_assumptions!$Y$3:$Z$36,2,FALSE),TIAM15_assumptions!$H$2:$V$2,0))</f>
        <v>0.6</v>
      </c>
      <c r="P57" s="9">
        <f ca="1">OFFSET(TIAM15_assumptions!$G57,0,MATCH(VLOOKUP(Assumptions!P$2,TIAM15_assumptions!$Y$3:$Z$36,2,FALSE),TIAM15_assumptions!$H$2:$V$2,0))</f>
        <v>1</v>
      </c>
      <c r="Q57" s="9">
        <f ca="1">OFFSET(TIAM15_assumptions!$G57,0,MATCH(VLOOKUP(Assumptions!Q$2,TIAM15_assumptions!$Y$3:$Z$36,2,FALSE),TIAM15_assumptions!$H$2:$V$2,0))</f>
        <v>0.8</v>
      </c>
      <c r="R57" s="9">
        <f ca="1">OFFSET(TIAM15_assumptions!$G57,0,MATCH(VLOOKUP(Assumptions!R$2,TIAM15_assumptions!$Y$3:$Z$36,2,FALSE),TIAM15_assumptions!$H$2:$V$2,0))</f>
        <v>1</v>
      </c>
      <c r="S57" s="9">
        <f ca="1">OFFSET(TIAM15_assumptions!$G57,0,MATCH(VLOOKUP(Assumptions!S$2,TIAM15_assumptions!$Y$3:$Z$36,2,FALSE),TIAM15_assumptions!$H$2:$V$2,0))</f>
        <v>1</v>
      </c>
      <c r="T57" s="9">
        <f ca="1">OFFSET(TIAM15_assumptions!$G57,0,MATCH(VLOOKUP(Assumptions!T$2,TIAM15_assumptions!$Y$3:$Z$36,2,FALSE),TIAM15_assumptions!$H$2:$V$2,0))</f>
        <v>1</v>
      </c>
      <c r="U57" s="9">
        <f ca="1">OFFSET(TIAM15_assumptions!$G57,0,MATCH(VLOOKUP(Assumptions!U$2,TIAM15_assumptions!$Y$3:$Z$36,2,FALSE),TIAM15_assumptions!$H$2:$V$2,0))</f>
        <v>1</v>
      </c>
      <c r="V57" s="9">
        <f ca="1">OFFSET(TIAM15_assumptions!$G57,0,MATCH(VLOOKUP(Assumptions!V$2,TIAM15_assumptions!$Y$3:$Z$36,2,FALSE),TIAM15_assumptions!$H$2:$V$2,0))</f>
        <v>1</v>
      </c>
      <c r="W57" s="9">
        <f ca="1">OFFSET(TIAM15_assumptions!$G57,0,MATCH(VLOOKUP(Assumptions!W$2,TIAM15_assumptions!$Y$3:$Z$36,2,FALSE),TIAM15_assumptions!$H$2:$V$2,0))</f>
        <v>1</v>
      </c>
      <c r="X57" s="9">
        <f ca="1">OFFSET(TIAM15_assumptions!$G57,0,MATCH(VLOOKUP(Assumptions!X$2,TIAM15_assumptions!$Y$3:$Z$36,2,FALSE),TIAM15_assumptions!$H$2:$V$2,0))</f>
        <v>1</v>
      </c>
      <c r="Y57" s="9">
        <f ca="1">OFFSET(TIAM15_assumptions!$G57,0,MATCH(VLOOKUP(Assumptions!Y$2,TIAM15_assumptions!$Y$3:$Z$36,2,FALSE),TIAM15_assumptions!$H$2:$V$2,0))</f>
        <v>1</v>
      </c>
      <c r="Z57" s="9">
        <f ca="1">OFFSET(TIAM15_assumptions!$G57,0,MATCH(VLOOKUP(Assumptions!Z$2,TIAM15_assumptions!$Y$3:$Z$36,2,FALSE),TIAM15_assumptions!$H$2:$V$2,0))</f>
        <v>1</v>
      </c>
      <c r="AA57" s="9">
        <f ca="1">OFFSET(TIAM15_assumptions!$G57,0,MATCH(VLOOKUP(Assumptions!AA$2,TIAM15_assumptions!$Y$3:$Z$36,2,FALSE),TIAM15_assumptions!$H$2:$V$2,0))</f>
        <v>0.8</v>
      </c>
      <c r="AB57" s="9">
        <f ca="1">OFFSET(TIAM15_assumptions!$G57,0,MATCH(VLOOKUP(Assumptions!AB$2,TIAM15_assumptions!$Y$3:$Z$36,2,FALSE),TIAM15_assumptions!$H$2:$V$2,0))</f>
        <v>0.6</v>
      </c>
      <c r="AC57" s="9">
        <f ca="1">OFFSET(TIAM15_assumptions!$G57,0,MATCH(VLOOKUP(Assumptions!AC$2,TIAM15_assumptions!$Y$3:$Z$36,2,FALSE),TIAM15_assumptions!$H$2:$V$2,0))</f>
        <v>0.8</v>
      </c>
      <c r="AD57" s="9">
        <f ca="1">OFFSET(TIAM15_assumptions!$G57,0,MATCH(VLOOKUP(Assumptions!AD$2,TIAM15_assumptions!$Y$3:$Z$36,2,FALSE),TIAM15_assumptions!$H$2:$V$2,0))</f>
        <v>1</v>
      </c>
      <c r="AE57" s="9">
        <f ca="1">OFFSET(TIAM15_assumptions!$G57,0,MATCH(VLOOKUP(Assumptions!AE$2,TIAM15_assumptions!$Y$3:$Z$36,2,FALSE),TIAM15_assumptions!$H$2:$V$2,0))</f>
        <v>1</v>
      </c>
      <c r="AF57" s="9">
        <f ca="1">OFFSET(TIAM15_assumptions!$G57,0,MATCH(VLOOKUP(Assumptions!AF$2,TIAM15_assumptions!$Y$3:$Z$36,2,FALSE),TIAM15_assumptions!$H$2:$V$2,0))</f>
        <v>0</v>
      </c>
      <c r="AG57" s="9">
        <f ca="1">OFFSET(TIAM15_assumptions!$G57,0,MATCH(VLOOKUP(Assumptions!AG$2,TIAM15_assumptions!$Y$3:$Z$36,2,FALSE),TIAM15_assumptions!$H$2:$V$2,0))</f>
        <v>1</v>
      </c>
      <c r="AH57" s="9">
        <f ca="1">OFFSET(TIAM15_assumptions!$G57,0,MATCH(VLOOKUP(Assumptions!AH$2,TIAM15_assumptions!$Y$3:$Z$36,2,FALSE),TIAM15_assumptions!$H$2:$V$2,0))</f>
        <v>0.8</v>
      </c>
      <c r="AI57" s="9">
        <f ca="1">OFFSET(TIAM15_assumptions!$G57,0,MATCH(VLOOKUP(Assumptions!AI$2,TIAM15_assumptions!$Y$3:$Z$36,2,FALSE),TIAM15_assumptions!$H$2:$V$2,0))</f>
        <v>1</v>
      </c>
      <c r="AJ57" s="9">
        <f ca="1">OFFSET(TIAM15_assumptions!$G57,0,MATCH(VLOOKUP(Assumptions!AJ$2,TIAM15_assumptions!$Y$3:$Z$36,2,FALSE),TIAM15_assumptions!$H$2:$V$2,0))</f>
        <v>0.02</v>
      </c>
      <c r="AK57" s="9">
        <f ca="1">OFFSET(TIAM15_assumptions!$G57,0,MATCH(VLOOKUP(Assumptions!AK$2,TIAM15_assumptions!$Y$3:$Z$36,2,FALSE),TIAM15_assumptions!$H$2:$V$2,0))</f>
        <v>0.02</v>
      </c>
      <c r="AN57" s="34">
        <f ca="1">IFERROR(SUMIFS('TRA balance'!E$5:E$40,'TRA balance'!$C$5:$C$40,Assumptions!$C57,'TRA balance'!$D$5:$D$40,Assumptions!$B57)*BS57*H57,"")</f>
        <v>12.208831891919999</v>
      </c>
      <c r="AO57" s="34">
        <f ca="1">IFERROR(SUMIFS('TRA balance'!F$5:F$40,'TRA balance'!$C$5:$C$40,Assumptions!$C57,'TRA balance'!$D$5:$D$40,Assumptions!$B57)*BT57*I57,"")</f>
        <v>4.4812995120000004E-2</v>
      </c>
      <c r="AP57" s="34">
        <f ca="1">IFERROR(SUMIFS('TRA balance'!G$5:G$40,'TRA balance'!$C$5:$C$40,Assumptions!$C57,'TRA balance'!$D$5:$D$40,Assumptions!$B57)*BU57*J57,"")</f>
        <v>25.841351210759999</v>
      </c>
      <c r="AQ57" s="34">
        <f ca="1">IFERROR(SUMIFS('TRA balance'!H$5:H$40,'TRA balance'!$C$5:$C$40,Assumptions!$C57,'TRA balance'!$D$5:$D$40,Assumptions!$B57)*BV57*K57,"")</f>
        <v>0</v>
      </c>
      <c r="AR57" s="34">
        <f ca="1">IFERROR(SUMIFS('TRA balance'!I$5:I$40,'TRA balance'!$C$5:$C$40,Assumptions!$C57,'TRA balance'!$D$5:$D$40,Assumptions!$B57)*BW57*L57,"")</f>
        <v>0</v>
      </c>
      <c r="AS57" s="34">
        <f ca="1">IFERROR(SUMIFS('TRA balance'!J$5:J$40,'TRA balance'!$C$5:$C$40,Assumptions!$C57,'TRA balance'!$D$5:$D$40,Assumptions!$B57)*BX57*M57,"")</f>
        <v>11.696302969595996</v>
      </c>
      <c r="AT57" s="34">
        <f ca="1">IFERROR(SUMIFS('TRA balance'!K$5:K$40,'TRA balance'!$C$5:$C$40,Assumptions!$C57,'TRA balance'!$D$5:$D$40,Assumptions!$B57)*BY57*N57,"")</f>
        <v>1.8740719699200001</v>
      </c>
      <c r="AU57" s="34">
        <f ca="1">IFERROR(SUMIFS('TRA balance'!L$5:L$40,'TRA balance'!$C$5:$C$40,Assumptions!$C57,'TRA balance'!$D$5:$D$40,Assumptions!$B57)*BZ57*O57,"")</f>
        <v>25.251920527679996</v>
      </c>
      <c r="AV57" s="34">
        <f ca="1">IFERROR(SUMIFS('TRA balance'!M$5:M$40,'TRA balance'!$C$5:$C$40,Assumptions!$C57,'TRA balance'!$D$5:$D$40,Assumptions!$B57)*CA57*P57,"")</f>
        <v>0.65310879610079986</v>
      </c>
      <c r="AW57" s="34">
        <f ca="1">IFERROR(SUMIFS('TRA balance'!N$5:N$40,'TRA balance'!$C$5:$C$40,Assumptions!$C57,'TRA balance'!$D$5:$D$40,Assumptions!$B57)*CB57*Q57,"")</f>
        <v>493.60335808435207</v>
      </c>
      <c r="AX57" s="34">
        <f ca="1">IFERROR(SUMIFS('TRA balance'!O$5:O$40,'TRA balance'!$C$5:$C$40,Assumptions!$C57,'TRA balance'!$D$5:$D$40,Assumptions!$B57)*CC57*R57,"")</f>
        <v>1.6777880367983995</v>
      </c>
      <c r="AY57" s="34">
        <f ca="1">IFERROR(SUMIFS('TRA balance'!P$5:P$40,'TRA balance'!$C$5:$C$40,Assumptions!$C57,'TRA balance'!$D$5:$D$40,Assumptions!$B57)*CD57*S57,"")</f>
        <v>5.4630580571999996</v>
      </c>
      <c r="AZ57" s="34">
        <f ca="1">IFERROR(SUMIFS('TRA balance'!Q$5:Q$40,'TRA balance'!$C$5:$C$40,Assumptions!$C57,'TRA balance'!$D$5:$D$40,Assumptions!$B57)*CE57*T57,"")</f>
        <v>1.2201304444199998</v>
      </c>
      <c r="BA57" s="34">
        <f ca="1">IFERROR(SUMIFS('TRA balance'!R$5:R$40,'TRA balance'!$C$5:$C$40,Assumptions!$C57,'TRA balance'!$D$5:$D$40,Assumptions!$B57)*CF57*U57,"")</f>
        <v>13.018264939461599</v>
      </c>
      <c r="BB57" s="34">
        <f ca="1">IFERROR(SUMIFS('TRA balance'!S$5:S$40,'TRA balance'!$C$5:$C$40,Assumptions!$C57,'TRA balance'!$D$5:$D$40,Assumptions!$B57)*CG57*V57,"")</f>
        <v>4.39948944</v>
      </c>
      <c r="BC57" s="34">
        <f ca="1">IFERROR(SUMIFS('TRA balance'!T$5:T$40,'TRA balance'!$C$5:$C$40,Assumptions!$C57,'TRA balance'!$D$5:$D$40,Assumptions!$B57)*CH57*W57,"")</f>
        <v>2.8200767084999994</v>
      </c>
      <c r="BD57" s="34">
        <f ca="1">IFERROR(SUMIFS('TRA balance'!U$5:U$40,'TRA balance'!$C$5:$C$40,Assumptions!$C57,'TRA balance'!$D$5:$D$40,Assumptions!$B57)*CI57*X57,"")</f>
        <v>1.9163620328543998</v>
      </c>
      <c r="BE57" s="34">
        <f ca="1">IFERROR(SUMIFS('TRA balance'!V$5:V$40,'TRA balance'!$C$5:$C$40,Assumptions!$C57,'TRA balance'!$D$5:$D$40,Assumptions!$B57)*CJ57*Y57,"")</f>
        <v>2.1662383038839996</v>
      </c>
      <c r="BF57" s="34">
        <f ca="1">IFERROR(SUMIFS('TRA balance'!W$5:W$40,'TRA balance'!$C$5:$C$40,Assumptions!$C57,'TRA balance'!$D$5:$D$40,Assumptions!$B57)*CK57*Z57,"")</f>
        <v>2.6510232201623998</v>
      </c>
      <c r="BG57" s="34">
        <f ca="1">IFERROR(SUMIFS('TRA balance'!X$5:X$40,'TRA balance'!$C$5:$C$40,Assumptions!$C57,'TRA balance'!$D$5:$D$40,Assumptions!$B57)*CL57*AA57,"")</f>
        <v>74.028445326720004</v>
      </c>
      <c r="BH57" s="34">
        <f ca="1">IFERROR(SUMIFS('TRA balance'!Y$5:Y$40,'TRA balance'!$C$5:$C$40,Assumptions!$C57,'TRA balance'!$D$5:$D$40,Assumptions!$B57)*CM57*AB57,"")</f>
        <v>22.723236934919999</v>
      </c>
      <c r="BI57" s="34">
        <f ca="1">IFERROR(SUMIFS('TRA balance'!Z$5:Z$40,'TRA balance'!$C$5:$C$40,Assumptions!$C57,'TRA balance'!$D$5:$D$40,Assumptions!$B57)*CN57*AC57,"")</f>
        <v>0.67586356843200002</v>
      </c>
      <c r="BJ57" s="34">
        <f ca="1">IFERROR(SUMIFS('TRA balance'!AA$5:AA$40,'TRA balance'!$C$5:$C$40,Assumptions!$C57,'TRA balance'!$D$5:$D$40,Assumptions!$B57)*CO57*AD57,"")</f>
        <v>88.862910092618392</v>
      </c>
      <c r="BK57" s="34">
        <f ca="1">IFERROR(SUMIFS('TRA balance'!AB$5:AB$40,'TRA balance'!$C$5:$C$40,Assumptions!$C57,'TRA balance'!$D$5:$D$40,Assumptions!$B57)*CP57*AE57,"")</f>
        <v>0.77727671532719989</v>
      </c>
      <c r="BL57" s="34">
        <f ca="1">IFERROR(SUMIFS('TRA balance'!AC$5:AC$40,'TRA balance'!$C$5:$C$40,Assumptions!$C57,'TRA balance'!$D$5:$D$40,Assumptions!$B57)*CQ57*AF57,"")</f>
        <v>0</v>
      </c>
      <c r="BM57" s="34">
        <f ca="1">IFERROR(SUMIFS('TRA balance'!AD$5:AD$40,'TRA balance'!$C$5:$C$40,Assumptions!$C57,'TRA balance'!$D$5:$D$40,Assumptions!$B57)*CR57*AG57,"")</f>
        <v>0</v>
      </c>
      <c r="BN57" s="34">
        <f ca="1">IFERROR(SUMIFS('TRA balance'!AE$5:AE$40,'TRA balance'!$C$5:$C$40,Assumptions!$C57,'TRA balance'!$D$5:$D$40,Assumptions!$B57)*CS57*AH57,"")</f>
        <v>4.39865208E-3</v>
      </c>
      <c r="BO57" s="34">
        <f ca="1">IFERROR(SUMIFS('TRA balance'!AF$5:AF$40,'TRA balance'!$C$5:$C$40,Assumptions!$C57,'TRA balance'!$D$5:$D$40,Assumptions!$B57)*CT57*AI57,"")</f>
        <v>0.18116525597039998</v>
      </c>
      <c r="BP57" s="34">
        <f ca="1">IFERROR(SUMIFS('TRA balance'!AG$5:AG$40,'TRA balance'!$C$5:$C$40,Assumptions!$C57,'TRA balance'!$D$5:$D$40,Assumptions!$B57)*CU57*AJ57,"")</f>
        <v>2.1004031268944009E-2</v>
      </c>
      <c r="BQ57" s="34">
        <f ca="1">IFERROR(SUMIFS('TRA balance'!AH$5:AH$40,'TRA balance'!$C$5:$C$40,Assumptions!$C57,'TRA balance'!$D$5:$D$40,Assumptions!$B57)*CV57*AK57,"")</f>
        <v>0</v>
      </c>
      <c r="BS57" s="33">
        <f t="shared" ca="1" si="90"/>
        <v>0.75</v>
      </c>
      <c r="BT57" s="33">
        <f t="shared" ca="1" si="91"/>
        <v>0.75</v>
      </c>
      <c r="BU57" s="33">
        <f t="shared" ca="1" si="92"/>
        <v>0.5</v>
      </c>
      <c r="BV57" s="33">
        <f t="shared" ca="1" si="93"/>
        <v>0.30000000000000004</v>
      </c>
      <c r="BW57" s="33">
        <f t="shared" ca="1" si="94"/>
        <v>5.0000000000000044E-2</v>
      </c>
      <c r="BX57" s="33">
        <f t="shared" ca="1" si="95"/>
        <v>9.9999999999999978E-2</v>
      </c>
      <c r="BY57" s="33">
        <f t="shared" ca="1" si="96"/>
        <v>0.75</v>
      </c>
      <c r="BZ57" s="33">
        <f t="shared" ca="1" si="97"/>
        <v>0.5</v>
      </c>
      <c r="CA57" s="33">
        <f t="shared" ca="1" si="98"/>
        <v>0.31799999999999995</v>
      </c>
      <c r="CB57" s="33">
        <f t="shared" ca="1" si="99"/>
        <v>0.6</v>
      </c>
      <c r="CC57" s="33">
        <f t="shared" ca="1" si="100"/>
        <v>0.31799999999999995</v>
      </c>
      <c r="CD57" s="33">
        <f t="shared" ca="1" si="101"/>
        <v>1</v>
      </c>
      <c r="CE57" s="33">
        <f t="shared" ca="1" si="102"/>
        <v>0.31799999999999995</v>
      </c>
      <c r="CF57" s="33">
        <f t="shared" ca="1" si="103"/>
        <v>0.31799999999999995</v>
      </c>
      <c r="CG57" s="33">
        <f t="shared" ca="1" si="104"/>
        <v>1</v>
      </c>
      <c r="CH57" s="33">
        <f t="shared" ca="1" si="31"/>
        <v>0.31799999999999995</v>
      </c>
      <c r="CI57" s="33">
        <f t="shared" ca="1" si="32"/>
        <v>0.31799999999999995</v>
      </c>
      <c r="CJ57" s="33">
        <f t="shared" ca="1" si="33"/>
        <v>0.31799999999999995</v>
      </c>
      <c r="CK57" s="33">
        <f t="shared" ca="1" si="34"/>
        <v>0.31799999999999995</v>
      </c>
      <c r="CL57" s="33">
        <f t="shared" ca="1" si="35"/>
        <v>0.75</v>
      </c>
      <c r="CM57" s="33">
        <f t="shared" ca="1" si="36"/>
        <v>0.5</v>
      </c>
      <c r="CN57" s="33">
        <f t="shared" ca="1" si="37"/>
        <v>0.44999999999999996</v>
      </c>
      <c r="CO57" s="33">
        <f t="shared" ca="1" si="38"/>
        <v>0.31799999999999995</v>
      </c>
      <c r="CP57" s="33">
        <f t="shared" ca="1" si="39"/>
        <v>0.31799999999999995</v>
      </c>
      <c r="CQ57" s="33">
        <f t="shared" ca="1" si="40"/>
        <v>0.30000000000000004</v>
      </c>
      <c r="CR57" s="33">
        <f t="shared" ca="1" si="41"/>
        <v>0.31799999999999995</v>
      </c>
      <c r="CS57" s="33">
        <f t="shared" ca="1" si="42"/>
        <v>0.75</v>
      </c>
      <c r="CT57" s="33">
        <f t="shared" ca="1" si="43"/>
        <v>0.31799999999999995</v>
      </c>
      <c r="CU57" s="33">
        <f t="shared" ca="1" si="44"/>
        <v>2.0830205440209748E-2</v>
      </c>
      <c r="CV57" s="33">
        <f t="shared" ca="1" si="45"/>
        <v>2.0830205440209748E-2</v>
      </c>
    </row>
    <row r="58" spans="1:100" x14ac:dyDescent="0.45">
      <c r="A58">
        <v>2</v>
      </c>
      <c r="B58" t="str">
        <f>VLOOKUP(F58,'TRA balance'!$AK$5:$AL$14,2,FALSE)</f>
        <v>TRANGA</v>
      </c>
      <c r="C58" s="6" t="str">
        <f t="shared" si="46"/>
        <v>TR</v>
      </c>
      <c r="D58" s="7" t="s">
        <v>16</v>
      </c>
      <c r="E58" s="18" t="s">
        <v>73</v>
      </c>
      <c r="F58" s="8" t="str">
        <f t="shared" ref="F58:F61" si="136">F57</f>
        <v>Natural Gas</v>
      </c>
      <c r="G58" s="6" t="s">
        <v>74</v>
      </c>
      <c r="H58" s="9">
        <f ca="1">OFFSET(TIAM15_assumptions!$G58,0,MATCH(VLOOKUP(Assumptions!H$2,TIAM15_assumptions!$Y$3:$Z$36,2,FALSE),TIAM15_assumptions!$H$2:$V$2,0))</f>
        <v>0</v>
      </c>
      <c r="I58" s="9">
        <f ca="1">OFFSET(TIAM15_assumptions!$G58,0,MATCH(VLOOKUP(Assumptions!I$2,TIAM15_assumptions!$Y$3:$Z$36,2,FALSE),TIAM15_assumptions!$H$2:$V$2,0))</f>
        <v>0</v>
      </c>
      <c r="J58" s="9">
        <f ca="1">OFFSET(TIAM15_assumptions!$G58,0,MATCH(VLOOKUP(Assumptions!J$2,TIAM15_assumptions!$Y$3:$Z$36,2,FALSE),TIAM15_assumptions!$H$2:$V$2,0))</f>
        <v>0</v>
      </c>
      <c r="K58" s="9">
        <f ca="1">OFFSET(TIAM15_assumptions!$G58,0,MATCH(VLOOKUP(Assumptions!K$2,TIAM15_assumptions!$Y$3:$Z$36,2,FALSE),TIAM15_assumptions!$H$2:$V$2,0))</f>
        <v>0</v>
      </c>
      <c r="L58" s="9">
        <f ca="1">OFFSET(TIAM15_assumptions!$G58,0,MATCH(VLOOKUP(Assumptions!L$2,TIAM15_assumptions!$Y$3:$Z$36,2,FALSE),TIAM15_assumptions!$H$2:$V$2,0))</f>
        <v>0</v>
      </c>
      <c r="M58" s="9">
        <f ca="1">OFFSET(TIAM15_assumptions!$G58,0,MATCH(VLOOKUP(Assumptions!M$2,TIAM15_assumptions!$Y$3:$Z$36,2,FALSE),TIAM15_assumptions!$H$2:$V$2,0))</f>
        <v>0</v>
      </c>
      <c r="N58" s="9">
        <f ca="1">OFFSET(TIAM15_assumptions!$G58,0,MATCH(VLOOKUP(Assumptions!N$2,TIAM15_assumptions!$Y$3:$Z$36,2,FALSE),TIAM15_assumptions!$H$2:$V$2,0))</f>
        <v>0</v>
      </c>
      <c r="O58" s="9">
        <f ca="1">OFFSET(TIAM15_assumptions!$G58,0,MATCH(VLOOKUP(Assumptions!O$2,TIAM15_assumptions!$Y$3:$Z$36,2,FALSE),TIAM15_assumptions!$H$2:$V$2,0))</f>
        <v>0</v>
      </c>
      <c r="P58" s="9">
        <f ca="1">OFFSET(TIAM15_assumptions!$G58,0,MATCH(VLOOKUP(Assumptions!P$2,TIAM15_assumptions!$Y$3:$Z$36,2,FALSE),TIAM15_assumptions!$H$2:$V$2,0))</f>
        <v>0</v>
      </c>
      <c r="Q58" s="9">
        <f ca="1">OFFSET(TIAM15_assumptions!$G58,0,MATCH(VLOOKUP(Assumptions!Q$2,TIAM15_assumptions!$Y$3:$Z$36,2,FALSE),TIAM15_assumptions!$H$2:$V$2,0))</f>
        <v>0</v>
      </c>
      <c r="R58" s="9">
        <f ca="1">OFFSET(TIAM15_assumptions!$G58,0,MATCH(VLOOKUP(Assumptions!R$2,TIAM15_assumptions!$Y$3:$Z$36,2,FALSE),TIAM15_assumptions!$H$2:$V$2,0))</f>
        <v>0</v>
      </c>
      <c r="S58" s="9">
        <f ca="1">OFFSET(TIAM15_assumptions!$G58,0,MATCH(VLOOKUP(Assumptions!S$2,TIAM15_assumptions!$Y$3:$Z$36,2,FALSE),TIAM15_assumptions!$H$2:$V$2,0))</f>
        <v>0</v>
      </c>
      <c r="T58" s="9">
        <f ca="1">OFFSET(TIAM15_assumptions!$G58,0,MATCH(VLOOKUP(Assumptions!T$2,TIAM15_assumptions!$Y$3:$Z$36,2,FALSE),TIAM15_assumptions!$H$2:$V$2,0))</f>
        <v>0</v>
      </c>
      <c r="U58" s="9">
        <f ca="1">OFFSET(TIAM15_assumptions!$G58,0,MATCH(VLOOKUP(Assumptions!U$2,TIAM15_assumptions!$Y$3:$Z$36,2,FALSE),TIAM15_assumptions!$H$2:$V$2,0))</f>
        <v>0</v>
      </c>
      <c r="V58" s="9">
        <f ca="1">OFFSET(TIAM15_assumptions!$G58,0,MATCH(VLOOKUP(Assumptions!V$2,TIAM15_assumptions!$Y$3:$Z$36,2,FALSE),TIAM15_assumptions!$H$2:$V$2,0))</f>
        <v>0</v>
      </c>
      <c r="W58" s="9">
        <f ca="1">OFFSET(TIAM15_assumptions!$G58,0,MATCH(VLOOKUP(Assumptions!W$2,TIAM15_assumptions!$Y$3:$Z$36,2,FALSE),TIAM15_assumptions!$H$2:$V$2,0))</f>
        <v>0</v>
      </c>
      <c r="X58" s="9">
        <f ca="1">OFFSET(TIAM15_assumptions!$G58,0,MATCH(VLOOKUP(Assumptions!X$2,TIAM15_assumptions!$Y$3:$Z$36,2,FALSE),TIAM15_assumptions!$H$2:$V$2,0))</f>
        <v>0</v>
      </c>
      <c r="Y58" s="9">
        <f ca="1">OFFSET(TIAM15_assumptions!$G58,0,MATCH(VLOOKUP(Assumptions!Y$2,TIAM15_assumptions!$Y$3:$Z$36,2,FALSE),TIAM15_assumptions!$H$2:$V$2,0))</f>
        <v>0</v>
      </c>
      <c r="Z58" s="9">
        <f ca="1">OFFSET(TIAM15_assumptions!$G58,0,MATCH(VLOOKUP(Assumptions!Z$2,TIAM15_assumptions!$Y$3:$Z$36,2,FALSE),TIAM15_assumptions!$H$2:$V$2,0))</f>
        <v>0</v>
      </c>
      <c r="AA58" s="9">
        <f ca="1">OFFSET(TIAM15_assumptions!$G58,0,MATCH(VLOOKUP(Assumptions!AA$2,TIAM15_assumptions!$Y$3:$Z$36,2,FALSE),TIAM15_assumptions!$H$2:$V$2,0))</f>
        <v>0</v>
      </c>
      <c r="AB58" s="9">
        <f ca="1">OFFSET(TIAM15_assumptions!$G58,0,MATCH(VLOOKUP(Assumptions!AB$2,TIAM15_assumptions!$Y$3:$Z$36,2,FALSE),TIAM15_assumptions!$H$2:$V$2,0))</f>
        <v>0</v>
      </c>
      <c r="AC58" s="9">
        <f ca="1">OFFSET(TIAM15_assumptions!$G58,0,MATCH(VLOOKUP(Assumptions!AC$2,TIAM15_assumptions!$Y$3:$Z$36,2,FALSE),TIAM15_assumptions!$H$2:$V$2,0))</f>
        <v>0</v>
      </c>
      <c r="AD58" s="9">
        <f ca="1">OFFSET(TIAM15_assumptions!$G58,0,MATCH(VLOOKUP(Assumptions!AD$2,TIAM15_assumptions!$Y$3:$Z$36,2,FALSE),TIAM15_assumptions!$H$2:$V$2,0))</f>
        <v>0</v>
      </c>
      <c r="AE58" s="9">
        <f ca="1">OFFSET(TIAM15_assumptions!$G58,0,MATCH(VLOOKUP(Assumptions!AE$2,TIAM15_assumptions!$Y$3:$Z$36,2,FALSE),TIAM15_assumptions!$H$2:$V$2,0))</f>
        <v>0</v>
      </c>
      <c r="AF58" s="9">
        <f ca="1">OFFSET(TIAM15_assumptions!$G58,0,MATCH(VLOOKUP(Assumptions!AF$2,TIAM15_assumptions!$Y$3:$Z$36,2,FALSE),TIAM15_assumptions!$H$2:$V$2,0))</f>
        <v>0</v>
      </c>
      <c r="AG58" s="9">
        <f ca="1">OFFSET(TIAM15_assumptions!$G58,0,MATCH(VLOOKUP(Assumptions!AG$2,TIAM15_assumptions!$Y$3:$Z$36,2,FALSE),TIAM15_assumptions!$H$2:$V$2,0))</f>
        <v>0</v>
      </c>
      <c r="AH58" s="9">
        <f ca="1">OFFSET(TIAM15_assumptions!$G58,0,MATCH(VLOOKUP(Assumptions!AH$2,TIAM15_assumptions!$Y$3:$Z$36,2,FALSE),TIAM15_assumptions!$H$2:$V$2,0))</f>
        <v>0</v>
      </c>
      <c r="AI58" s="9">
        <f ca="1">OFFSET(TIAM15_assumptions!$G58,0,MATCH(VLOOKUP(Assumptions!AI$2,TIAM15_assumptions!$Y$3:$Z$36,2,FALSE),TIAM15_assumptions!$H$2:$V$2,0))</f>
        <v>0</v>
      </c>
      <c r="AJ58" s="9">
        <f ca="1">OFFSET(TIAM15_assumptions!$G58,0,MATCH(VLOOKUP(Assumptions!AJ$2,TIAM15_assumptions!$Y$3:$Z$36,2,FALSE),TIAM15_assumptions!$H$2:$V$2,0))</f>
        <v>0</v>
      </c>
      <c r="AK58" s="9">
        <f ca="1">OFFSET(TIAM15_assumptions!$G58,0,MATCH(VLOOKUP(Assumptions!AK$2,TIAM15_assumptions!$Y$3:$Z$36,2,FALSE),TIAM15_assumptions!$H$2:$V$2,0))</f>
        <v>0</v>
      </c>
      <c r="AN58" s="34">
        <f ca="1">IFERROR(SUMIFS('TRA balance'!E$5:E$40,'TRA balance'!$C$5:$C$40,Assumptions!$C58,'TRA balance'!$D$5:$D$40,Assumptions!$B58)*BS58*H58,"")</f>
        <v>0</v>
      </c>
      <c r="AO58" s="34">
        <f ca="1">IFERROR(SUMIFS('TRA balance'!F$5:F$40,'TRA balance'!$C$5:$C$40,Assumptions!$C58,'TRA balance'!$D$5:$D$40,Assumptions!$B58)*BT58*I58,"")</f>
        <v>0</v>
      </c>
      <c r="AP58" s="34">
        <f ca="1">IFERROR(SUMIFS('TRA balance'!G$5:G$40,'TRA balance'!$C$5:$C$40,Assumptions!$C58,'TRA balance'!$D$5:$D$40,Assumptions!$B58)*BU58*J58,"")</f>
        <v>0</v>
      </c>
      <c r="AQ58" s="34">
        <f ca="1">IFERROR(SUMIFS('TRA balance'!H$5:H$40,'TRA balance'!$C$5:$C$40,Assumptions!$C58,'TRA balance'!$D$5:$D$40,Assumptions!$B58)*BV58*K58,"")</f>
        <v>0</v>
      </c>
      <c r="AR58" s="34">
        <f ca="1">IFERROR(SUMIFS('TRA balance'!I$5:I$40,'TRA balance'!$C$5:$C$40,Assumptions!$C58,'TRA balance'!$D$5:$D$40,Assumptions!$B58)*BW58*L58,"")</f>
        <v>0</v>
      </c>
      <c r="AS58" s="34">
        <f ca="1">IFERROR(SUMIFS('TRA balance'!J$5:J$40,'TRA balance'!$C$5:$C$40,Assumptions!$C58,'TRA balance'!$D$5:$D$40,Assumptions!$B58)*BX58*M58,"")</f>
        <v>0</v>
      </c>
      <c r="AT58" s="34">
        <f ca="1">IFERROR(SUMIFS('TRA balance'!K$5:K$40,'TRA balance'!$C$5:$C$40,Assumptions!$C58,'TRA balance'!$D$5:$D$40,Assumptions!$B58)*BY58*N58,"")</f>
        <v>0</v>
      </c>
      <c r="AU58" s="34">
        <f ca="1">IFERROR(SUMIFS('TRA balance'!L$5:L$40,'TRA balance'!$C$5:$C$40,Assumptions!$C58,'TRA balance'!$D$5:$D$40,Assumptions!$B58)*BZ58*O58,"")</f>
        <v>0</v>
      </c>
      <c r="AV58" s="34">
        <f ca="1">IFERROR(SUMIFS('TRA balance'!M$5:M$40,'TRA balance'!$C$5:$C$40,Assumptions!$C58,'TRA balance'!$D$5:$D$40,Assumptions!$B58)*CA58*P58,"")</f>
        <v>0</v>
      </c>
      <c r="AW58" s="34">
        <f ca="1">IFERROR(SUMIFS('TRA balance'!N$5:N$40,'TRA balance'!$C$5:$C$40,Assumptions!$C58,'TRA balance'!$D$5:$D$40,Assumptions!$B58)*CB58*Q58,"")</f>
        <v>0</v>
      </c>
      <c r="AX58" s="34">
        <f ca="1">IFERROR(SUMIFS('TRA balance'!O$5:O$40,'TRA balance'!$C$5:$C$40,Assumptions!$C58,'TRA balance'!$D$5:$D$40,Assumptions!$B58)*CC58*R58,"")</f>
        <v>0</v>
      </c>
      <c r="AY58" s="34">
        <f ca="1">IFERROR(SUMIFS('TRA balance'!P$5:P$40,'TRA balance'!$C$5:$C$40,Assumptions!$C58,'TRA balance'!$D$5:$D$40,Assumptions!$B58)*CD58*S58,"")</f>
        <v>0</v>
      </c>
      <c r="AZ58" s="34">
        <f ca="1">IFERROR(SUMIFS('TRA balance'!Q$5:Q$40,'TRA balance'!$C$5:$C$40,Assumptions!$C58,'TRA balance'!$D$5:$D$40,Assumptions!$B58)*CE58*T58,"")</f>
        <v>0</v>
      </c>
      <c r="BA58" s="34">
        <f ca="1">IFERROR(SUMIFS('TRA balance'!R$5:R$40,'TRA balance'!$C$5:$C$40,Assumptions!$C58,'TRA balance'!$D$5:$D$40,Assumptions!$B58)*CF58*U58,"")</f>
        <v>0</v>
      </c>
      <c r="BB58" s="34">
        <f ca="1">IFERROR(SUMIFS('TRA balance'!S$5:S$40,'TRA balance'!$C$5:$C$40,Assumptions!$C58,'TRA balance'!$D$5:$D$40,Assumptions!$B58)*CG58*V58,"")</f>
        <v>0</v>
      </c>
      <c r="BC58" s="34">
        <f ca="1">IFERROR(SUMIFS('TRA balance'!T$5:T$40,'TRA balance'!$C$5:$C$40,Assumptions!$C58,'TRA balance'!$D$5:$D$40,Assumptions!$B58)*CH58*W58,"")</f>
        <v>0</v>
      </c>
      <c r="BD58" s="34">
        <f ca="1">IFERROR(SUMIFS('TRA balance'!U$5:U$40,'TRA balance'!$C$5:$C$40,Assumptions!$C58,'TRA balance'!$D$5:$D$40,Assumptions!$B58)*CI58*X58,"")</f>
        <v>0</v>
      </c>
      <c r="BE58" s="34">
        <f ca="1">IFERROR(SUMIFS('TRA balance'!V$5:V$40,'TRA balance'!$C$5:$C$40,Assumptions!$C58,'TRA balance'!$D$5:$D$40,Assumptions!$B58)*CJ58*Y58,"")</f>
        <v>0</v>
      </c>
      <c r="BF58" s="34">
        <f ca="1">IFERROR(SUMIFS('TRA balance'!W$5:W$40,'TRA balance'!$C$5:$C$40,Assumptions!$C58,'TRA balance'!$D$5:$D$40,Assumptions!$B58)*CK58*Z58,"")</f>
        <v>0</v>
      </c>
      <c r="BG58" s="34">
        <f ca="1">IFERROR(SUMIFS('TRA balance'!X$5:X$40,'TRA balance'!$C$5:$C$40,Assumptions!$C58,'TRA balance'!$D$5:$D$40,Assumptions!$B58)*CL58*AA58,"")</f>
        <v>0</v>
      </c>
      <c r="BH58" s="34">
        <f ca="1">IFERROR(SUMIFS('TRA balance'!Y$5:Y$40,'TRA balance'!$C$5:$C$40,Assumptions!$C58,'TRA balance'!$D$5:$D$40,Assumptions!$B58)*CM58*AB58,"")</f>
        <v>0</v>
      </c>
      <c r="BI58" s="34">
        <f ca="1">IFERROR(SUMIFS('TRA balance'!Z$5:Z$40,'TRA balance'!$C$5:$C$40,Assumptions!$C58,'TRA balance'!$D$5:$D$40,Assumptions!$B58)*CN58*AC58,"")</f>
        <v>0</v>
      </c>
      <c r="BJ58" s="34">
        <f ca="1">IFERROR(SUMIFS('TRA balance'!AA$5:AA$40,'TRA balance'!$C$5:$C$40,Assumptions!$C58,'TRA balance'!$D$5:$D$40,Assumptions!$B58)*CO58*AD58,"")</f>
        <v>0</v>
      </c>
      <c r="BK58" s="34">
        <f ca="1">IFERROR(SUMIFS('TRA balance'!AB$5:AB$40,'TRA balance'!$C$5:$C$40,Assumptions!$C58,'TRA balance'!$D$5:$D$40,Assumptions!$B58)*CP58*AE58,"")</f>
        <v>0</v>
      </c>
      <c r="BL58" s="34">
        <f ca="1">IFERROR(SUMIFS('TRA balance'!AC$5:AC$40,'TRA balance'!$C$5:$C$40,Assumptions!$C58,'TRA balance'!$D$5:$D$40,Assumptions!$B58)*CQ58*AF58,"")</f>
        <v>0</v>
      </c>
      <c r="BM58" s="34">
        <f ca="1">IFERROR(SUMIFS('TRA balance'!AD$5:AD$40,'TRA balance'!$C$5:$C$40,Assumptions!$C58,'TRA balance'!$D$5:$D$40,Assumptions!$B58)*CR58*AG58,"")</f>
        <v>0</v>
      </c>
      <c r="BN58" s="34">
        <f ca="1">IFERROR(SUMIFS('TRA balance'!AE$5:AE$40,'TRA balance'!$C$5:$C$40,Assumptions!$C58,'TRA balance'!$D$5:$D$40,Assumptions!$B58)*CS58*AH58,"")</f>
        <v>0</v>
      </c>
      <c r="BO58" s="34">
        <f ca="1">IFERROR(SUMIFS('TRA balance'!AF$5:AF$40,'TRA balance'!$C$5:$C$40,Assumptions!$C58,'TRA balance'!$D$5:$D$40,Assumptions!$B58)*CT58*AI58,"")</f>
        <v>0</v>
      </c>
      <c r="BP58" s="34">
        <f ca="1">IFERROR(SUMIFS('TRA balance'!AG$5:AG$40,'TRA balance'!$C$5:$C$40,Assumptions!$C58,'TRA balance'!$D$5:$D$40,Assumptions!$B58)*CU58*AJ58,"")</f>
        <v>0</v>
      </c>
      <c r="BQ58" s="34">
        <f ca="1">IFERROR(SUMIFS('TRA balance'!AH$5:AH$40,'TRA balance'!$C$5:$C$40,Assumptions!$C58,'TRA balance'!$D$5:$D$40,Assumptions!$B58)*CV58*AK58,"")</f>
        <v>0</v>
      </c>
      <c r="BS58" s="33">
        <f t="shared" ca="1" si="90"/>
        <v>0.75</v>
      </c>
      <c r="BT58" s="33">
        <f t="shared" ca="1" si="91"/>
        <v>0.75</v>
      </c>
      <c r="BU58" s="33">
        <f t="shared" ca="1" si="92"/>
        <v>0.5</v>
      </c>
      <c r="BV58" s="33">
        <f t="shared" ca="1" si="93"/>
        <v>0.30000000000000004</v>
      </c>
      <c r="BW58" s="33">
        <f t="shared" ca="1" si="94"/>
        <v>5.0000000000000044E-2</v>
      </c>
      <c r="BX58" s="33">
        <f t="shared" ca="1" si="95"/>
        <v>9.9999999999999978E-2</v>
      </c>
      <c r="BY58" s="33">
        <f t="shared" ca="1" si="96"/>
        <v>0.75</v>
      </c>
      <c r="BZ58" s="33">
        <f t="shared" ca="1" si="97"/>
        <v>0.5</v>
      </c>
      <c r="CA58" s="33">
        <f t="shared" ca="1" si="98"/>
        <v>0.31799999999999995</v>
      </c>
      <c r="CB58" s="33">
        <f t="shared" ca="1" si="99"/>
        <v>0.6</v>
      </c>
      <c r="CC58" s="33">
        <f t="shared" ca="1" si="100"/>
        <v>0.31799999999999995</v>
      </c>
      <c r="CD58" s="33">
        <f t="shared" ca="1" si="101"/>
        <v>1</v>
      </c>
      <c r="CE58" s="33">
        <f t="shared" ca="1" si="102"/>
        <v>0.31799999999999995</v>
      </c>
      <c r="CF58" s="33">
        <f t="shared" ca="1" si="103"/>
        <v>0.31799999999999995</v>
      </c>
      <c r="CG58" s="33">
        <f t="shared" ca="1" si="104"/>
        <v>1</v>
      </c>
      <c r="CH58" s="33">
        <f t="shared" ca="1" si="31"/>
        <v>0.31799999999999995</v>
      </c>
      <c r="CI58" s="33">
        <f t="shared" ca="1" si="32"/>
        <v>0.31799999999999995</v>
      </c>
      <c r="CJ58" s="33">
        <f t="shared" ca="1" si="33"/>
        <v>0.31799999999999995</v>
      </c>
      <c r="CK58" s="33">
        <f t="shared" ca="1" si="34"/>
        <v>0.31799999999999995</v>
      </c>
      <c r="CL58" s="33">
        <f t="shared" ca="1" si="35"/>
        <v>0.75</v>
      </c>
      <c r="CM58" s="33">
        <f t="shared" ca="1" si="36"/>
        <v>0.5</v>
      </c>
      <c r="CN58" s="33">
        <f t="shared" ca="1" si="37"/>
        <v>0.44999999999999996</v>
      </c>
      <c r="CO58" s="33">
        <f t="shared" ca="1" si="38"/>
        <v>0.31799999999999995</v>
      </c>
      <c r="CP58" s="33">
        <f t="shared" ca="1" si="39"/>
        <v>0.31799999999999995</v>
      </c>
      <c r="CQ58" s="33">
        <f t="shared" ca="1" si="40"/>
        <v>0.30000000000000004</v>
      </c>
      <c r="CR58" s="33">
        <f t="shared" ca="1" si="41"/>
        <v>0.31799999999999995</v>
      </c>
      <c r="CS58" s="33">
        <f t="shared" ca="1" si="42"/>
        <v>0.75</v>
      </c>
      <c r="CT58" s="33">
        <f t="shared" ca="1" si="43"/>
        <v>0.31799999999999995</v>
      </c>
      <c r="CU58" s="33">
        <f t="shared" ca="1" si="44"/>
        <v>2.0830205440209748E-2</v>
      </c>
      <c r="CV58" s="33">
        <f t="shared" ca="1" si="45"/>
        <v>2.0830205440209748E-2</v>
      </c>
    </row>
    <row r="59" spans="1:100" x14ac:dyDescent="0.45">
      <c r="A59">
        <v>2</v>
      </c>
      <c r="B59" t="str">
        <f>VLOOKUP(F59,'TRA balance'!$AK$5:$AL$14,2,FALSE)</f>
        <v>TRANGA</v>
      </c>
      <c r="C59" s="6" t="str">
        <f t="shared" si="46"/>
        <v>TR</v>
      </c>
      <c r="D59" s="7" t="s">
        <v>16</v>
      </c>
      <c r="E59" s="18" t="s">
        <v>75</v>
      </c>
      <c r="F59" s="8" t="str">
        <f t="shared" si="136"/>
        <v>Natural Gas</v>
      </c>
      <c r="G59" s="6" t="s">
        <v>76</v>
      </c>
      <c r="H59" s="9">
        <f ca="1">OFFSET(TIAM15_assumptions!$G59,0,MATCH(VLOOKUP(Assumptions!H$2,TIAM15_assumptions!$Y$3:$Z$36,2,FALSE),TIAM15_assumptions!$H$2:$V$2,0))</f>
        <v>0</v>
      </c>
      <c r="I59" s="9">
        <f ca="1">OFFSET(TIAM15_assumptions!$G59,0,MATCH(VLOOKUP(Assumptions!I$2,TIAM15_assumptions!$Y$3:$Z$36,2,FALSE),TIAM15_assumptions!$H$2:$V$2,0))</f>
        <v>0</v>
      </c>
      <c r="J59" s="9">
        <f ca="1">OFFSET(TIAM15_assumptions!$G59,0,MATCH(VLOOKUP(Assumptions!J$2,TIAM15_assumptions!$Y$3:$Z$36,2,FALSE),TIAM15_assumptions!$H$2:$V$2,0))</f>
        <v>0</v>
      </c>
      <c r="K59" s="9">
        <f ca="1">OFFSET(TIAM15_assumptions!$G59,0,MATCH(VLOOKUP(Assumptions!K$2,TIAM15_assumptions!$Y$3:$Z$36,2,FALSE),TIAM15_assumptions!$H$2:$V$2,0))</f>
        <v>0</v>
      </c>
      <c r="L59" s="9">
        <f ca="1">OFFSET(TIAM15_assumptions!$G59,0,MATCH(VLOOKUP(Assumptions!L$2,TIAM15_assumptions!$Y$3:$Z$36,2,FALSE),TIAM15_assumptions!$H$2:$V$2,0))</f>
        <v>0</v>
      </c>
      <c r="M59" s="9">
        <f ca="1">OFFSET(TIAM15_assumptions!$G59,0,MATCH(VLOOKUP(Assumptions!M$2,TIAM15_assumptions!$Y$3:$Z$36,2,FALSE),TIAM15_assumptions!$H$2:$V$2,0))</f>
        <v>0</v>
      </c>
      <c r="N59" s="9">
        <f ca="1">OFFSET(TIAM15_assumptions!$G59,0,MATCH(VLOOKUP(Assumptions!N$2,TIAM15_assumptions!$Y$3:$Z$36,2,FALSE),TIAM15_assumptions!$H$2:$V$2,0))</f>
        <v>0</v>
      </c>
      <c r="O59" s="9">
        <f ca="1">OFFSET(TIAM15_assumptions!$G59,0,MATCH(VLOOKUP(Assumptions!O$2,TIAM15_assumptions!$Y$3:$Z$36,2,FALSE),TIAM15_assumptions!$H$2:$V$2,0))</f>
        <v>0</v>
      </c>
      <c r="P59" s="9">
        <f ca="1">OFFSET(TIAM15_assumptions!$G59,0,MATCH(VLOOKUP(Assumptions!P$2,TIAM15_assumptions!$Y$3:$Z$36,2,FALSE),TIAM15_assumptions!$H$2:$V$2,0))</f>
        <v>0</v>
      </c>
      <c r="Q59" s="9">
        <f ca="1">OFFSET(TIAM15_assumptions!$G59,0,MATCH(VLOOKUP(Assumptions!Q$2,TIAM15_assumptions!$Y$3:$Z$36,2,FALSE),TIAM15_assumptions!$H$2:$V$2,0))</f>
        <v>0</v>
      </c>
      <c r="R59" s="9">
        <f ca="1">OFFSET(TIAM15_assumptions!$G59,0,MATCH(VLOOKUP(Assumptions!R$2,TIAM15_assumptions!$Y$3:$Z$36,2,FALSE),TIAM15_assumptions!$H$2:$V$2,0))</f>
        <v>0</v>
      </c>
      <c r="S59" s="9">
        <f ca="1">OFFSET(TIAM15_assumptions!$G59,0,MATCH(VLOOKUP(Assumptions!S$2,TIAM15_assumptions!$Y$3:$Z$36,2,FALSE),TIAM15_assumptions!$H$2:$V$2,0))</f>
        <v>0</v>
      </c>
      <c r="T59" s="9">
        <f ca="1">OFFSET(TIAM15_assumptions!$G59,0,MATCH(VLOOKUP(Assumptions!T$2,TIAM15_assumptions!$Y$3:$Z$36,2,FALSE),TIAM15_assumptions!$H$2:$V$2,0))</f>
        <v>0</v>
      </c>
      <c r="U59" s="9">
        <f ca="1">OFFSET(TIAM15_assumptions!$G59,0,MATCH(VLOOKUP(Assumptions!U$2,TIAM15_assumptions!$Y$3:$Z$36,2,FALSE),TIAM15_assumptions!$H$2:$V$2,0))</f>
        <v>0</v>
      </c>
      <c r="V59" s="9">
        <f ca="1">OFFSET(TIAM15_assumptions!$G59,0,MATCH(VLOOKUP(Assumptions!V$2,TIAM15_assumptions!$Y$3:$Z$36,2,FALSE),TIAM15_assumptions!$H$2:$V$2,0))</f>
        <v>0</v>
      </c>
      <c r="W59" s="9">
        <f ca="1">OFFSET(TIAM15_assumptions!$G59,0,MATCH(VLOOKUP(Assumptions!W$2,TIAM15_assumptions!$Y$3:$Z$36,2,FALSE),TIAM15_assumptions!$H$2:$V$2,0))</f>
        <v>0</v>
      </c>
      <c r="X59" s="9">
        <f ca="1">OFFSET(TIAM15_assumptions!$G59,0,MATCH(VLOOKUP(Assumptions!X$2,TIAM15_assumptions!$Y$3:$Z$36,2,FALSE),TIAM15_assumptions!$H$2:$V$2,0))</f>
        <v>0</v>
      </c>
      <c r="Y59" s="9">
        <f ca="1">OFFSET(TIAM15_assumptions!$G59,0,MATCH(VLOOKUP(Assumptions!Y$2,TIAM15_assumptions!$Y$3:$Z$36,2,FALSE),TIAM15_assumptions!$H$2:$V$2,0))</f>
        <v>0</v>
      </c>
      <c r="Z59" s="9">
        <f ca="1">OFFSET(TIAM15_assumptions!$G59,0,MATCH(VLOOKUP(Assumptions!Z$2,TIAM15_assumptions!$Y$3:$Z$36,2,FALSE),TIAM15_assumptions!$H$2:$V$2,0))</f>
        <v>0</v>
      </c>
      <c r="AA59" s="9">
        <f ca="1">OFFSET(TIAM15_assumptions!$G59,0,MATCH(VLOOKUP(Assumptions!AA$2,TIAM15_assumptions!$Y$3:$Z$36,2,FALSE),TIAM15_assumptions!$H$2:$V$2,0))</f>
        <v>0</v>
      </c>
      <c r="AB59" s="9">
        <f ca="1">OFFSET(TIAM15_assumptions!$G59,0,MATCH(VLOOKUP(Assumptions!AB$2,TIAM15_assumptions!$Y$3:$Z$36,2,FALSE),TIAM15_assumptions!$H$2:$V$2,0))</f>
        <v>0</v>
      </c>
      <c r="AC59" s="9">
        <f ca="1">OFFSET(TIAM15_assumptions!$G59,0,MATCH(VLOOKUP(Assumptions!AC$2,TIAM15_assumptions!$Y$3:$Z$36,2,FALSE),TIAM15_assumptions!$H$2:$V$2,0))</f>
        <v>0</v>
      </c>
      <c r="AD59" s="9">
        <f ca="1">OFFSET(TIAM15_assumptions!$G59,0,MATCH(VLOOKUP(Assumptions!AD$2,TIAM15_assumptions!$Y$3:$Z$36,2,FALSE),TIAM15_assumptions!$H$2:$V$2,0))</f>
        <v>0</v>
      </c>
      <c r="AE59" s="9">
        <f ca="1">OFFSET(TIAM15_assumptions!$G59,0,MATCH(VLOOKUP(Assumptions!AE$2,TIAM15_assumptions!$Y$3:$Z$36,2,FALSE),TIAM15_assumptions!$H$2:$V$2,0))</f>
        <v>0</v>
      </c>
      <c r="AF59" s="9">
        <f ca="1">OFFSET(TIAM15_assumptions!$G59,0,MATCH(VLOOKUP(Assumptions!AF$2,TIAM15_assumptions!$Y$3:$Z$36,2,FALSE),TIAM15_assumptions!$H$2:$V$2,0))</f>
        <v>0</v>
      </c>
      <c r="AG59" s="9">
        <f ca="1">OFFSET(TIAM15_assumptions!$G59,0,MATCH(VLOOKUP(Assumptions!AG$2,TIAM15_assumptions!$Y$3:$Z$36,2,FALSE),TIAM15_assumptions!$H$2:$V$2,0))</f>
        <v>0</v>
      </c>
      <c r="AH59" s="9">
        <f ca="1">OFFSET(TIAM15_assumptions!$G59,0,MATCH(VLOOKUP(Assumptions!AH$2,TIAM15_assumptions!$Y$3:$Z$36,2,FALSE),TIAM15_assumptions!$H$2:$V$2,0))</f>
        <v>0</v>
      </c>
      <c r="AI59" s="9">
        <f ca="1">OFFSET(TIAM15_assumptions!$G59,0,MATCH(VLOOKUP(Assumptions!AI$2,TIAM15_assumptions!$Y$3:$Z$36,2,FALSE),TIAM15_assumptions!$H$2:$V$2,0))</f>
        <v>0</v>
      </c>
      <c r="AJ59" s="9">
        <f ca="1">OFFSET(TIAM15_assumptions!$G59,0,MATCH(VLOOKUP(Assumptions!AJ$2,TIAM15_assumptions!$Y$3:$Z$36,2,FALSE),TIAM15_assumptions!$H$2:$V$2,0))</f>
        <v>0</v>
      </c>
      <c r="AK59" s="9">
        <f ca="1">OFFSET(TIAM15_assumptions!$G59,0,MATCH(VLOOKUP(Assumptions!AK$2,TIAM15_assumptions!$Y$3:$Z$36,2,FALSE),TIAM15_assumptions!$H$2:$V$2,0))</f>
        <v>0</v>
      </c>
      <c r="AN59" s="34">
        <f ca="1">IFERROR(SUMIFS('TRA balance'!E$5:E$40,'TRA balance'!$C$5:$C$40,Assumptions!$C59,'TRA balance'!$D$5:$D$40,Assumptions!$B59)*BS59*H59,"")</f>
        <v>0</v>
      </c>
      <c r="AO59" s="34">
        <f ca="1">IFERROR(SUMIFS('TRA balance'!F$5:F$40,'TRA balance'!$C$5:$C$40,Assumptions!$C59,'TRA balance'!$D$5:$D$40,Assumptions!$B59)*BT59*I59,"")</f>
        <v>0</v>
      </c>
      <c r="AP59" s="34">
        <f ca="1">IFERROR(SUMIFS('TRA balance'!G$5:G$40,'TRA balance'!$C$5:$C$40,Assumptions!$C59,'TRA balance'!$D$5:$D$40,Assumptions!$B59)*BU59*J59,"")</f>
        <v>0</v>
      </c>
      <c r="AQ59" s="34">
        <f ca="1">IFERROR(SUMIFS('TRA balance'!H$5:H$40,'TRA balance'!$C$5:$C$40,Assumptions!$C59,'TRA balance'!$D$5:$D$40,Assumptions!$B59)*BV59*K59,"")</f>
        <v>0</v>
      </c>
      <c r="AR59" s="34">
        <f ca="1">IFERROR(SUMIFS('TRA balance'!I$5:I$40,'TRA balance'!$C$5:$C$40,Assumptions!$C59,'TRA balance'!$D$5:$D$40,Assumptions!$B59)*BW59*L59,"")</f>
        <v>0</v>
      </c>
      <c r="AS59" s="34">
        <f ca="1">IFERROR(SUMIFS('TRA balance'!J$5:J$40,'TRA balance'!$C$5:$C$40,Assumptions!$C59,'TRA balance'!$D$5:$D$40,Assumptions!$B59)*BX59*M59,"")</f>
        <v>0</v>
      </c>
      <c r="AT59" s="34">
        <f ca="1">IFERROR(SUMIFS('TRA balance'!K$5:K$40,'TRA balance'!$C$5:$C$40,Assumptions!$C59,'TRA balance'!$D$5:$D$40,Assumptions!$B59)*BY59*N59,"")</f>
        <v>0</v>
      </c>
      <c r="AU59" s="34">
        <f ca="1">IFERROR(SUMIFS('TRA balance'!L$5:L$40,'TRA balance'!$C$5:$C$40,Assumptions!$C59,'TRA balance'!$D$5:$D$40,Assumptions!$B59)*BZ59*O59,"")</f>
        <v>0</v>
      </c>
      <c r="AV59" s="34">
        <f ca="1">IFERROR(SUMIFS('TRA balance'!M$5:M$40,'TRA balance'!$C$5:$C$40,Assumptions!$C59,'TRA balance'!$D$5:$D$40,Assumptions!$B59)*CA59*P59,"")</f>
        <v>0</v>
      </c>
      <c r="AW59" s="34">
        <f ca="1">IFERROR(SUMIFS('TRA balance'!N$5:N$40,'TRA balance'!$C$5:$C$40,Assumptions!$C59,'TRA balance'!$D$5:$D$40,Assumptions!$B59)*CB59*Q59,"")</f>
        <v>0</v>
      </c>
      <c r="AX59" s="34">
        <f ca="1">IFERROR(SUMIFS('TRA balance'!O$5:O$40,'TRA balance'!$C$5:$C$40,Assumptions!$C59,'TRA balance'!$D$5:$D$40,Assumptions!$B59)*CC59*R59,"")</f>
        <v>0</v>
      </c>
      <c r="AY59" s="34">
        <f ca="1">IFERROR(SUMIFS('TRA balance'!P$5:P$40,'TRA balance'!$C$5:$C$40,Assumptions!$C59,'TRA balance'!$D$5:$D$40,Assumptions!$B59)*CD59*S59,"")</f>
        <v>0</v>
      </c>
      <c r="AZ59" s="34">
        <f ca="1">IFERROR(SUMIFS('TRA balance'!Q$5:Q$40,'TRA balance'!$C$5:$C$40,Assumptions!$C59,'TRA balance'!$D$5:$D$40,Assumptions!$B59)*CE59*T59,"")</f>
        <v>0</v>
      </c>
      <c r="BA59" s="34">
        <f ca="1">IFERROR(SUMIFS('TRA balance'!R$5:R$40,'TRA balance'!$C$5:$C$40,Assumptions!$C59,'TRA balance'!$D$5:$D$40,Assumptions!$B59)*CF59*U59,"")</f>
        <v>0</v>
      </c>
      <c r="BB59" s="34">
        <f ca="1">IFERROR(SUMIFS('TRA balance'!S$5:S$40,'TRA balance'!$C$5:$C$40,Assumptions!$C59,'TRA balance'!$D$5:$D$40,Assumptions!$B59)*CG59*V59,"")</f>
        <v>0</v>
      </c>
      <c r="BC59" s="34">
        <f ca="1">IFERROR(SUMIFS('TRA balance'!T$5:T$40,'TRA balance'!$C$5:$C$40,Assumptions!$C59,'TRA balance'!$D$5:$D$40,Assumptions!$B59)*CH59*W59,"")</f>
        <v>0</v>
      </c>
      <c r="BD59" s="34">
        <f ca="1">IFERROR(SUMIFS('TRA balance'!U$5:U$40,'TRA balance'!$C$5:$C$40,Assumptions!$C59,'TRA balance'!$D$5:$D$40,Assumptions!$B59)*CI59*X59,"")</f>
        <v>0</v>
      </c>
      <c r="BE59" s="34">
        <f ca="1">IFERROR(SUMIFS('TRA balance'!V$5:V$40,'TRA balance'!$C$5:$C$40,Assumptions!$C59,'TRA balance'!$D$5:$D$40,Assumptions!$B59)*CJ59*Y59,"")</f>
        <v>0</v>
      </c>
      <c r="BF59" s="34">
        <f ca="1">IFERROR(SUMIFS('TRA balance'!W$5:W$40,'TRA balance'!$C$5:$C$40,Assumptions!$C59,'TRA balance'!$D$5:$D$40,Assumptions!$B59)*CK59*Z59,"")</f>
        <v>0</v>
      </c>
      <c r="BG59" s="34">
        <f ca="1">IFERROR(SUMIFS('TRA balance'!X$5:X$40,'TRA balance'!$C$5:$C$40,Assumptions!$C59,'TRA balance'!$D$5:$D$40,Assumptions!$B59)*CL59*AA59,"")</f>
        <v>0</v>
      </c>
      <c r="BH59" s="34">
        <f ca="1">IFERROR(SUMIFS('TRA balance'!Y$5:Y$40,'TRA balance'!$C$5:$C$40,Assumptions!$C59,'TRA balance'!$D$5:$D$40,Assumptions!$B59)*CM59*AB59,"")</f>
        <v>0</v>
      </c>
      <c r="BI59" s="34">
        <f ca="1">IFERROR(SUMIFS('TRA balance'!Z$5:Z$40,'TRA balance'!$C$5:$C$40,Assumptions!$C59,'TRA balance'!$D$5:$D$40,Assumptions!$B59)*CN59*AC59,"")</f>
        <v>0</v>
      </c>
      <c r="BJ59" s="34">
        <f ca="1">IFERROR(SUMIFS('TRA balance'!AA$5:AA$40,'TRA balance'!$C$5:$C$40,Assumptions!$C59,'TRA balance'!$D$5:$D$40,Assumptions!$B59)*CO59*AD59,"")</f>
        <v>0</v>
      </c>
      <c r="BK59" s="34">
        <f ca="1">IFERROR(SUMIFS('TRA balance'!AB$5:AB$40,'TRA balance'!$C$5:$C$40,Assumptions!$C59,'TRA balance'!$D$5:$D$40,Assumptions!$B59)*CP59*AE59,"")</f>
        <v>0</v>
      </c>
      <c r="BL59" s="34">
        <f ca="1">IFERROR(SUMIFS('TRA balance'!AC$5:AC$40,'TRA balance'!$C$5:$C$40,Assumptions!$C59,'TRA balance'!$D$5:$D$40,Assumptions!$B59)*CQ59*AF59,"")</f>
        <v>0</v>
      </c>
      <c r="BM59" s="34">
        <f ca="1">IFERROR(SUMIFS('TRA balance'!AD$5:AD$40,'TRA balance'!$C$5:$C$40,Assumptions!$C59,'TRA balance'!$D$5:$D$40,Assumptions!$B59)*CR59*AG59,"")</f>
        <v>0</v>
      </c>
      <c r="BN59" s="34">
        <f ca="1">IFERROR(SUMIFS('TRA balance'!AE$5:AE$40,'TRA balance'!$C$5:$C$40,Assumptions!$C59,'TRA balance'!$D$5:$D$40,Assumptions!$B59)*CS59*AH59,"")</f>
        <v>0</v>
      </c>
      <c r="BO59" s="34">
        <f ca="1">IFERROR(SUMIFS('TRA balance'!AF$5:AF$40,'TRA balance'!$C$5:$C$40,Assumptions!$C59,'TRA balance'!$D$5:$D$40,Assumptions!$B59)*CT59*AI59,"")</f>
        <v>0</v>
      </c>
      <c r="BP59" s="34">
        <f ca="1">IFERROR(SUMIFS('TRA balance'!AG$5:AG$40,'TRA balance'!$C$5:$C$40,Assumptions!$C59,'TRA balance'!$D$5:$D$40,Assumptions!$B59)*CU59*AJ59,"")</f>
        <v>0</v>
      </c>
      <c r="BQ59" s="34">
        <f ca="1">IFERROR(SUMIFS('TRA balance'!AH$5:AH$40,'TRA balance'!$C$5:$C$40,Assumptions!$C59,'TRA balance'!$D$5:$D$40,Assumptions!$B59)*CV59*AK59,"")</f>
        <v>0</v>
      </c>
      <c r="BS59" s="33">
        <f t="shared" ca="1" si="90"/>
        <v>0.75</v>
      </c>
      <c r="BT59" s="33">
        <f t="shared" ca="1" si="91"/>
        <v>0.75</v>
      </c>
      <c r="BU59" s="33">
        <f t="shared" ca="1" si="92"/>
        <v>0.5</v>
      </c>
      <c r="BV59" s="33">
        <f t="shared" ca="1" si="93"/>
        <v>0.30000000000000004</v>
      </c>
      <c r="BW59" s="33">
        <f t="shared" ca="1" si="94"/>
        <v>5.0000000000000044E-2</v>
      </c>
      <c r="BX59" s="33">
        <f t="shared" ca="1" si="95"/>
        <v>9.9999999999999978E-2</v>
      </c>
      <c r="BY59" s="33">
        <f t="shared" ca="1" si="96"/>
        <v>0.75</v>
      </c>
      <c r="BZ59" s="33">
        <f t="shared" ca="1" si="97"/>
        <v>0.5</v>
      </c>
      <c r="CA59" s="33">
        <f t="shared" ca="1" si="98"/>
        <v>0.31799999999999995</v>
      </c>
      <c r="CB59" s="33">
        <f t="shared" ca="1" si="99"/>
        <v>0.6</v>
      </c>
      <c r="CC59" s="33">
        <f t="shared" ca="1" si="100"/>
        <v>0.31799999999999995</v>
      </c>
      <c r="CD59" s="33">
        <f t="shared" ca="1" si="101"/>
        <v>1</v>
      </c>
      <c r="CE59" s="33">
        <f t="shared" ca="1" si="102"/>
        <v>0.31799999999999995</v>
      </c>
      <c r="CF59" s="33">
        <f t="shared" ca="1" si="103"/>
        <v>0.31799999999999995</v>
      </c>
      <c r="CG59" s="33">
        <f t="shared" ca="1" si="104"/>
        <v>1</v>
      </c>
      <c r="CH59" s="33">
        <f t="shared" ca="1" si="31"/>
        <v>0.31799999999999995</v>
      </c>
      <c r="CI59" s="33">
        <f t="shared" ca="1" si="32"/>
        <v>0.31799999999999995</v>
      </c>
      <c r="CJ59" s="33">
        <f t="shared" ca="1" si="33"/>
        <v>0.31799999999999995</v>
      </c>
      <c r="CK59" s="33">
        <f t="shared" ca="1" si="34"/>
        <v>0.31799999999999995</v>
      </c>
      <c r="CL59" s="33">
        <f t="shared" ca="1" si="35"/>
        <v>0.75</v>
      </c>
      <c r="CM59" s="33">
        <f t="shared" ca="1" si="36"/>
        <v>0.5</v>
      </c>
      <c r="CN59" s="33">
        <f t="shared" ca="1" si="37"/>
        <v>0.44999999999999996</v>
      </c>
      <c r="CO59" s="33">
        <f t="shared" ca="1" si="38"/>
        <v>0.31799999999999995</v>
      </c>
      <c r="CP59" s="33">
        <f t="shared" ca="1" si="39"/>
        <v>0.31799999999999995</v>
      </c>
      <c r="CQ59" s="33">
        <f t="shared" ca="1" si="40"/>
        <v>0.30000000000000004</v>
      </c>
      <c r="CR59" s="33">
        <f t="shared" ca="1" si="41"/>
        <v>0.31799999999999995</v>
      </c>
      <c r="CS59" s="33">
        <f t="shared" ca="1" si="42"/>
        <v>0.75</v>
      </c>
      <c r="CT59" s="33">
        <f t="shared" ca="1" si="43"/>
        <v>0.31799999999999995</v>
      </c>
      <c r="CU59" s="33">
        <f t="shared" ca="1" si="44"/>
        <v>2.0830205440209748E-2</v>
      </c>
      <c r="CV59" s="33">
        <f t="shared" ca="1" si="45"/>
        <v>2.0830205440209748E-2</v>
      </c>
    </row>
    <row r="60" spans="1:100" x14ac:dyDescent="0.45">
      <c r="A60">
        <v>2</v>
      </c>
      <c r="B60" t="str">
        <f>VLOOKUP(F60,'TRA balance'!$AK$5:$AL$14,2,FALSE)</f>
        <v>TRANGA</v>
      </c>
      <c r="C60" s="6" t="str">
        <f t="shared" si="46"/>
        <v>TR</v>
      </c>
      <c r="D60" s="7" t="s">
        <v>16</v>
      </c>
      <c r="E60" s="18" t="s">
        <v>77</v>
      </c>
      <c r="F60" s="8" t="str">
        <f t="shared" si="136"/>
        <v>Natural Gas</v>
      </c>
      <c r="G60" s="6" t="s">
        <v>78</v>
      </c>
      <c r="H60" s="9">
        <f ca="1">OFFSET(TIAM15_assumptions!$G60,0,MATCH(VLOOKUP(Assumptions!H$2,TIAM15_assumptions!$Y$3:$Z$36,2,FALSE),TIAM15_assumptions!$H$2:$V$2,0))</f>
        <v>0.19999999999999996</v>
      </c>
      <c r="I60" s="9">
        <f ca="1">OFFSET(TIAM15_assumptions!$G60,0,MATCH(VLOOKUP(Assumptions!I$2,TIAM15_assumptions!$Y$3:$Z$36,2,FALSE),TIAM15_assumptions!$H$2:$V$2,0))</f>
        <v>0.19999999999999996</v>
      </c>
      <c r="J60" s="9">
        <f ca="1">OFFSET(TIAM15_assumptions!$G60,0,MATCH(VLOOKUP(Assumptions!J$2,TIAM15_assumptions!$Y$3:$Z$36,2,FALSE),TIAM15_assumptions!$H$2:$V$2,0))</f>
        <v>0.4</v>
      </c>
      <c r="K60" s="9">
        <f ca="1">OFFSET(TIAM15_assumptions!$G60,0,MATCH(VLOOKUP(Assumptions!K$2,TIAM15_assumptions!$Y$3:$Z$36,2,FALSE),TIAM15_assumptions!$H$2:$V$2,0))</f>
        <v>1</v>
      </c>
      <c r="L60" s="9">
        <f ca="1">OFFSET(TIAM15_assumptions!$G60,0,MATCH(VLOOKUP(Assumptions!L$2,TIAM15_assumptions!$Y$3:$Z$36,2,FALSE),TIAM15_assumptions!$H$2:$V$2,0))</f>
        <v>1</v>
      </c>
      <c r="M60" s="9">
        <f ca="1">OFFSET(TIAM15_assumptions!$G60,0,MATCH(VLOOKUP(Assumptions!M$2,TIAM15_assumptions!$Y$3:$Z$36,2,FALSE),TIAM15_assumptions!$H$2:$V$2,0))</f>
        <v>0.30000000000000004</v>
      </c>
      <c r="N60" s="9">
        <f ca="1">OFFSET(TIAM15_assumptions!$G60,0,MATCH(VLOOKUP(Assumptions!N$2,TIAM15_assumptions!$Y$3:$Z$36,2,FALSE),TIAM15_assumptions!$H$2:$V$2,0))</f>
        <v>0.19999999999999996</v>
      </c>
      <c r="O60" s="9">
        <f ca="1">OFFSET(TIAM15_assumptions!$G60,0,MATCH(VLOOKUP(Assumptions!O$2,TIAM15_assumptions!$Y$3:$Z$36,2,FALSE),TIAM15_assumptions!$H$2:$V$2,0))</f>
        <v>0.4</v>
      </c>
      <c r="P60" s="9">
        <f ca="1">OFFSET(TIAM15_assumptions!$G60,0,MATCH(VLOOKUP(Assumptions!P$2,TIAM15_assumptions!$Y$3:$Z$36,2,FALSE),TIAM15_assumptions!$H$2:$V$2,0))</f>
        <v>0</v>
      </c>
      <c r="Q60" s="9">
        <f ca="1">OFFSET(TIAM15_assumptions!$G60,0,MATCH(VLOOKUP(Assumptions!Q$2,TIAM15_assumptions!$Y$3:$Z$36,2,FALSE),TIAM15_assumptions!$H$2:$V$2,0))</f>
        <v>0.19999999999999996</v>
      </c>
      <c r="R60" s="9">
        <f ca="1">OFFSET(TIAM15_assumptions!$G60,0,MATCH(VLOOKUP(Assumptions!R$2,TIAM15_assumptions!$Y$3:$Z$36,2,FALSE),TIAM15_assumptions!$H$2:$V$2,0))</f>
        <v>0</v>
      </c>
      <c r="S60" s="9">
        <f ca="1">OFFSET(TIAM15_assumptions!$G60,0,MATCH(VLOOKUP(Assumptions!S$2,TIAM15_assumptions!$Y$3:$Z$36,2,FALSE),TIAM15_assumptions!$H$2:$V$2,0))</f>
        <v>0</v>
      </c>
      <c r="T60" s="9">
        <f ca="1">OFFSET(TIAM15_assumptions!$G60,0,MATCH(VLOOKUP(Assumptions!T$2,TIAM15_assumptions!$Y$3:$Z$36,2,FALSE),TIAM15_assumptions!$H$2:$V$2,0))</f>
        <v>0</v>
      </c>
      <c r="U60" s="9">
        <f ca="1">OFFSET(TIAM15_assumptions!$G60,0,MATCH(VLOOKUP(Assumptions!U$2,TIAM15_assumptions!$Y$3:$Z$36,2,FALSE),TIAM15_assumptions!$H$2:$V$2,0))</f>
        <v>0</v>
      </c>
      <c r="V60" s="9">
        <f ca="1">OFFSET(TIAM15_assumptions!$G60,0,MATCH(VLOOKUP(Assumptions!V$2,TIAM15_assumptions!$Y$3:$Z$36,2,FALSE),TIAM15_assumptions!$H$2:$V$2,0))</f>
        <v>0</v>
      </c>
      <c r="W60" s="9">
        <f ca="1">OFFSET(TIAM15_assumptions!$G60,0,MATCH(VLOOKUP(Assumptions!W$2,TIAM15_assumptions!$Y$3:$Z$36,2,FALSE),TIAM15_assumptions!$H$2:$V$2,0))</f>
        <v>0</v>
      </c>
      <c r="X60" s="9">
        <f ca="1">OFFSET(TIAM15_assumptions!$G60,0,MATCH(VLOOKUP(Assumptions!X$2,TIAM15_assumptions!$Y$3:$Z$36,2,FALSE),TIAM15_assumptions!$H$2:$V$2,0))</f>
        <v>0</v>
      </c>
      <c r="Y60" s="9">
        <f ca="1">OFFSET(TIAM15_assumptions!$G60,0,MATCH(VLOOKUP(Assumptions!Y$2,TIAM15_assumptions!$Y$3:$Z$36,2,FALSE),TIAM15_assumptions!$H$2:$V$2,0))</f>
        <v>0</v>
      </c>
      <c r="Z60" s="9">
        <f ca="1">OFFSET(TIAM15_assumptions!$G60,0,MATCH(VLOOKUP(Assumptions!Z$2,TIAM15_assumptions!$Y$3:$Z$36,2,FALSE),TIAM15_assumptions!$H$2:$V$2,0))</f>
        <v>0</v>
      </c>
      <c r="AA60" s="9">
        <f ca="1">OFFSET(TIAM15_assumptions!$G60,0,MATCH(VLOOKUP(Assumptions!AA$2,TIAM15_assumptions!$Y$3:$Z$36,2,FALSE),TIAM15_assumptions!$H$2:$V$2,0))</f>
        <v>0.19999999999999996</v>
      </c>
      <c r="AB60" s="9">
        <f ca="1">OFFSET(TIAM15_assumptions!$G60,0,MATCH(VLOOKUP(Assumptions!AB$2,TIAM15_assumptions!$Y$3:$Z$36,2,FALSE),TIAM15_assumptions!$H$2:$V$2,0))</f>
        <v>0.4</v>
      </c>
      <c r="AC60" s="9">
        <f ca="1">OFFSET(TIAM15_assumptions!$G60,0,MATCH(VLOOKUP(Assumptions!AC$2,TIAM15_assumptions!$Y$3:$Z$36,2,FALSE),TIAM15_assumptions!$H$2:$V$2,0))</f>
        <v>0.19999999999999996</v>
      </c>
      <c r="AD60" s="9">
        <f ca="1">OFFSET(TIAM15_assumptions!$G60,0,MATCH(VLOOKUP(Assumptions!AD$2,TIAM15_assumptions!$Y$3:$Z$36,2,FALSE),TIAM15_assumptions!$H$2:$V$2,0))</f>
        <v>0</v>
      </c>
      <c r="AE60" s="9">
        <f ca="1">OFFSET(TIAM15_assumptions!$G60,0,MATCH(VLOOKUP(Assumptions!AE$2,TIAM15_assumptions!$Y$3:$Z$36,2,FALSE),TIAM15_assumptions!$H$2:$V$2,0))</f>
        <v>0</v>
      </c>
      <c r="AF60" s="9">
        <f ca="1">OFFSET(TIAM15_assumptions!$G60,0,MATCH(VLOOKUP(Assumptions!AF$2,TIAM15_assumptions!$Y$3:$Z$36,2,FALSE),TIAM15_assumptions!$H$2:$V$2,0))</f>
        <v>1</v>
      </c>
      <c r="AG60" s="9">
        <f ca="1">OFFSET(TIAM15_assumptions!$G60,0,MATCH(VLOOKUP(Assumptions!AG$2,TIAM15_assumptions!$Y$3:$Z$36,2,FALSE),TIAM15_assumptions!$H$2:$V$2,0))</f>
        <v>0</v>
      </c>
      <c r="AH60" s="9">
        <f ca="1">OFFSET(TIAM15_assumptions!$G60,0,MATCH(VLOOKUP(Assumptions!AH$2,TIAM15_assumptions!$Y$3:$Z$36,2,FALSE),TIAM15_assumptions!$H$2:$V$2,0))</f>
        <v>0.19999999999999996</v>
      </c>
      <c r="AI60" s="9">
        <f ca="1">OFFSET(TIAM15_assumptions!$G60,0,MATCH(VLOOKUP(Assumptions!AI$2,TIAM15_assumptions!$Y$3:$Z$36,2,FALSE),TIAM15_assumptions!$H$2:$V$2,0))</f>
        <v>0</v>
      </c>
      <c r="AJ60" s="9">
        <f ca="1">OFFSET(TIAM15_assumptions!$G60,0,MATCH(VLOOKUP(Assumptions!AJ$2,TIAM15_assumptions!$Y$3:$Z$36,2,FALSE),TIAM15_assumptions!$H$2:$V$2,0))</f>
        <v>0.98</v>
      </c>
      <c r="AK60" s="9">
        <f ca="1">OFFSET(TIAM15_assumptions!$G60,0,MATCH(VLOOKUP(Assumptions!AK$2,TIAM15_assumptions!$Y$3:$Z$36,2,FALSE),TIAM15_assumptions!$H$2:$V$2,0))</f>
        <v>0.98</v>
      </c>
      <c r="AN60" s="34">
        <f ca="1">IFERROR(SUMIFS('TRA balance'!E$5:E$40,'TRA balance'!$C$5:$C$40,Assumptions!$C60,'TRA balance'!$D$5:$D$40,Assumptions!$B60)*BS60*H60,"")</f>
        <v>3.0522079729799989</v>
      </c>
      <c r="AO60" s="34">
        <f ca="1">IFERROR(SUMIFS('TRA balance'!F$5:F$40,'TRA balance'!$C$5:$C$40,Assumptions!$C60,'TRA balance'!$D$5:$D$40,Assumptions!$B60)*BT60*I60,"")</f>
        <v>1.1203248779999998E-2</v>
      </c>
      <c r="AP60" s="34">
        <f ca="1">IFERROR(SUMIFS('TRA balance'!G$5:G$40,'TRA balance'!$C$5:$C$40,Assumptions!$C60,'TRA balance'!$D$5:$D$40,Assumptions!$B60)*BU60*J60,"")</f>
        <v>17.227567473840001</v>
      </c>
      <c r="AQ60" s="34">
        <f ca="1">IFERROR(SUMIFS('TRA balance'!H$5:H$40,'TRA balance'!$C$5:$C$40,Assumptions!$C60,'TRA balance'!$D$5:$D$40,Assumptions!$B60)*BV60*K60,"")</f>
        <v>44.392886165160007</v>
      </c>
      <c r="AR60" s="34">
        <f ca="1">IFERROR(SUMIFS('TRA balance'!I$5:I$40,'TRA balance'!$C$5:$C$40,Assumptions!$C60,'TRA balance'!$D$5:$D$40,Assumptions!$B60)*BW60*L60,"")</f>
        <v>2.5613856408600024</v>
      </c>
      <c r="AS60" s="34">
        <f ca="1">IFERROR(SUMIFS('TRA balance'!J$5:J$40,'TRA balance'!$C$5:$C$40,Assumptions!$C60,'TRA balance'!$D$5:$D$40,Assumptions!$B60)*BX60*M60,"")</f>
        <v>5.0127012726839997</v>
      </c>
      <c r="AT60" s="34">
        <f ca="1">IFERROR(SUMIFS('TRA balance'!K$5:K$40,'TRA balance'!$C$5:$C$40,Assumptions!$C60,'TRA balance'!$D$5:$D$40,Assumptions!$B60)*BY60*N60,"")</f>
        <v>0.46851799247999987</v>
      </c>
      <c r="AU60" s="34">
        <f ca="1">IFERROR(SUMIFS('TRA balance'!L$5:L$40,'TRA balance'!$C$5:$C$40,Assumptions!$C60,'TRA balance'!$D$5:$D$40,Assumptions!$B60)*BZ60*O60,"")</f>
        <v>16.834613685120001</v>
      </c>
      <c r="AV60" s="34">
        <f ca="1">IFERROR(SUMIFS('TRA balance'!M$5:M$40,'TRA balance'!$C$5:$C$40,Assumptions!$C60,'TRA balance'!$D$5:$D$40,Assumptions!$B60)*CA60*P60,"")</f>
        <v>0</v>
      </c>
      <c r="AW60" s="34">
        <f ca="1">IFERROR(SUMIFS('TRA balance'!N$5:N$40,'TRA balance'!$C$5:$C$40,Assumptions!$C60,'TRA balance'!$D$5:$D$40,Assumptions!$B60)*CB60*Q60,"")</f>
        <v>123.40083952108797</v>
      </c>
      <c r="AX60" s="34">
        <f ca="1">IFERROR(SUMIFS('TRA balance'!O$5:O$40,'TRA balance'!$C$5:$C$40,Assumptions!$C60,'TRA balance'!$D$5:$D$40,Assumptions!$B60)*CC60*R60,"")</f>
        <v>0</v>
      </c>
      <c r="AY60" s="34">
        <f ca="1">IFERROR(SUMIFS('TRA balance'!P$5:P$40,'TRA balance'!$C$5:$C$40,Assumptions!$C60,'TRA balance'!$D$5:$D$40,Assumptions!$B60)*CD60*S60,"")</f>
        <v>0</v>
      </c>
      <c r="AZ60" s="34">
        <f ca="1">IFERROR(SUMIFS('TRA balance'!Q$5:Q$40,'TRA balance'!$C$5:$C$40,Assumptions!$C60,'TRA balance'!$D$5:$D$40,Assumptions!$B60)*CE60*T60,"")</f>
        <v>0</v>
      </c>
      <c r="BA60" s="34">
        <f ca="1">IFERROR(SUMIFS('TRA balance'!R$5:R$40,'TRA balance'!$C$5:$C$40,Assumptions!$C60,'TRA balance'!$D$5:$D$40,Assumptions!$B60)*CF60*U60,"")</f>
        <v>0</v>
      </c>
      <c r="BB60" s="34">
        <f ca="1">IFERROR(SUMIFS('TRA balance'!S$5:S$40,'TRA balance'!$C$5:$C$40,Assumptions!$C60,'TRA balance'!$D$5:$D$40,Assumptions!$B60)*CG60*V60,"")</f>
        <v>0</v>
      </c>
      <c r="BC60" s="34">
        <f ca="1">IFERROR(SUMIFS('TRA balance'!T$5:T$40,'TRA balance'!$C$5:$C$40,Assumptions!$C60,'TRA balance'!$D$5:$D$40,Assumptions!$B60)*CH60*W60,"")</f>
        <v>0</v>
      </c>
      <c r="BD60" s="34">
        <f ca="1">IFERROR(SUMIFS('TRA balance'!U$5:U$40,'TRA balance'!$C$5:$C$40,Assumptions!$C60,'TRA balance'!$D$5:$D$40,Assumptions!$B60)*CI60*X60,"")</f>
        <v>0</v>
      </c>
      <c r="BE60" s="34">
        <f ca="1">IFERROR(SUMIFS('TRA balance'!V$5:V$40,'TRA balance'!$C$5:$C$40,Assumptions!$C60,'TRA balance'!$D$5:$D$40,Assumptions!$B60)*CJ60*Y60,"")</f>
        <v>0</v>
      </c>
      <c r="BF60" s="34">
        <f ca="1">IFERROR(SUMIFS('TRA balance'!W$5:W$40,'TRA balance'!$C$5:$C$40,Assumptions!$C60,'TRA balance'!$D$5:$D$40,Assumptions!$B60)*CK60*Z60,"")</f>
        <v>0</v>
      </c>
      <c r="BG60" s="34">
        <f ca="1">IFERROR(SUMIFS('TRA balance'!X$5:X$40,'TRA balance'!$C$5:$C$40,Assumptions!$C60,'TRA balance'!$D$5:$D$40,Assumptions!$B60)*CL60*AA60,"")</f>
        <v>18.507111331679994</v>
      </c>
      <c r="BH60" s="34">
        <f ca="1">IFERROR(SUMIFS('TRA balance'!Y$5:Y$40,'TRA balance'!$C$5:$C$40,Assumptions!$C60,'TRA balance'!$D$5:$D$40,Assumptions!$B60)*CM60*AB60,"")</f>
        <v>15.148824623280001</v>
      </c>
      <c r="BI60" s="34">
        <f ca="1">IFERROR(SUMIFS('TRA balance'!Z$5:Z$40,'TRA balance'!$C$5:$C$40,Assumptions!$C60,'TRA balance'!$D$5:$D$40,Assumptions!$B60)*CN60*AC60,"")</f>
        <v>0.16896589210799995</v>
      </c>
      <c r="BJ60" s="34">
        <f ca="1">IFERROR(SUMIFS('TRA balance'!AA$5:AA$40,'TRA balance'!$C$5:$C$40,Assumptions!$C60,'TRA balance'!$D$5:$D$40,Assumptions!$B60)*CO60*AD60,"")</f>
        <v>0</v>
      </c>
      <c r="BK60" s="34">
        <f ca="1">IFERROR(SUMIFS('TRA balance'!AB$5:AB$40,'TRA balance'!$C$5:$C$40,Assumptions!$C60,'TRA balance'!$D$5:$D$40,Assumptions!$B60)*CP60*AE60,"")</f>
        <v>0</v>
      </c>
      <c r="BL60" s="34">
        <f ca="1">IFERROR(SUMIFS('TRA balance'!AC$5:AC$40,'TRA balance'!$C$5:$C$40,Assumptions!$C60,'TRA balance'!$D$5:$D$40,Assumptions!$B60)*CQ60*AF60,"")</f>
        <v>2.6106653235600006</v>
      </c>
      <c r="BM60" s="34">
        <f ca="1">IFERROR(SUMIFS('TRA balance'!AD$5:AD$40,'TRA balance'!$C$5:$C$40,Assumptions!$C60,'TRA balance'!$D$5:$D$40,Assumptions!$B60)*CR60*AG60,"")</f>
        <v>0</v>
      </c>
      <c r="BN60" s="34">
        <f ca="1">IFERROR(SUMIFS('TRA balance'!AE$5:AE$40,'TRA balance'!$C$5:$C$40,Assumptions!$C60,'TRA balance'!$D$5:$D$40,Assumptions!$B60)*CS60*AH60,"")</f>
        <v>1.0996630199999998E-3</v>
      </c>
      <c r="BO60" s="34">
        <f ca="1">IFERROR(SUMIFS('TRA balance'!AF$5:AF$40,'TRA balance'!$C$5:$C$40,Assumptions!$C60,'TRA balance'!$D$5:$D$40,Assumptions!$B60)*CT60*AI60,"")</f>
        <v>0</v>
      </c>
      <c r="BP60" s="34">
        <f ca="1">IFERROR(SUMIFS('TRA balance'!AG$5:AG$40,'TRA balance'!$C$5:$C$40,Assumptions!$C60,'TRA balance'!$D$5:$D$40,Assumptions!$B60)*CU60*AJ60,"")</f>
        <v>1.0291975321782563</v>
      </c>
      <c r="BQ60" s="34">
        <f ca="1">IFERROR(SUMIFS('TRA balance'!AH$5:AH$40,'TRA balance'!$C$5:$C$40,Assumptions!$C60,'TRA balance'!$D$5:$D$40,Assumptions!$B60)*CV60*AK60,"")</f>
        <v>0</v>
      </c>
      <c r="BS60" s="33">
        <f t="shared" ca="1" si="90"/>
        <v>0.75</v>
      </c>
      <c r="BT60" s="33">
        <f t="shared" ca="1" si="91"/>
        <v>0.75</v>
      </c>
      <c r="BU60" s="33">
        <f t="shared" ca="1" si="92"/>
        <v>0.5</v>
      </c>
      <c r="BV60" s="33">
        <f t="shared" ca="1" si="93"/>
        <v>0.30000000000000004</v>
      </c>
      <c r="BW60" s="33">
        <f t="shared" ca="1" si="94"/>
        <v>5.0000000000000044E-2</v>
      </c>
      <c r="BX60" s="33">
        <f t="shared" ca="1" si="95"/>
        <v>9.9999999999999978E-2</v>
      </c>
      <c r="BY60" s="33">
        <f t="shared" ca="1" si="96"/>
        <v>0.75</v>
      </c>
      <c r="BZ60" s="33">
        <f t="shared" ca="1" si="97"/>
        <v>0.5</v>
      </c>
      <c r="CA60" s="33">
        <f t="shared" ca="1" si="98"/>
        <v>0.31799999999999995</v>
      </c>
      <c r="CB60" s="33">
        <f t="shared" ca="1" si="99"/>
        <v>0.6</v>
      </c>
      <c r="CC60" s="33">
        <f t="shared" ca="1" si="100"/>
        <v>0.31799999999999995</v>
      </c>
      <c r="CD60" s="33">
        <f t="shared" ca="1" si="101"/>
        <v>1</v>
      </c>
      <c r="CE60" s="33">
        <f t="shared" ca="1" si="102"/>
        <v>0.31799999999999995</v>
      </c>
      <c r="CF60" s="33">
        <f t="shared" ca="1" si="103"/>
        <v>0.31799999999999995</v>
      </c>
      <c r="CG60" s="33">
        <f t="shared" ca="1" si="104"/>
        <v>1</v>
      </c>
      <c r="CH60" s="33">
        <f t="shared" ca="1" si="31"/>
        <v>0.31799999999999995</v>
      </c>
      <c r="CI60" s="33">
        <f t="shared" ca="1" si="32"/>
        <v>0.31799999999999995</v>
      </c>
      <c r="CJ60" s="33">
        <f t="shared" ca="1" si="33"/>
        <v>0.31799999999999995</v>
      </c>
      <c r="CK60" s="33">
        <f t="shared" ca="1" si="34"/>
        <v>0.31799999999999995</v>
      </c>
      <c r="CL60" s="33">
        <f t="shared" ca="1" si="35"/>
        <v>0.75</v>
      </c>
      <c r="CM60" s="33">
        <f t="shared" ca="1" si="36"/>
        <v>0.5</v>
      </c>
      <c r="CN60" s="33">
        <f t="shared" ca="1" si="37"/>
        <v>0.44999999999999996</v>
      </c>
      <c r="CO60" s="33">
        <f t="shared" ca="1" si="38"/>
        <v>0.31799999999999995</v>
      </c>
      <c r="CP60" s="33">
        <f t="shared" ca="1" si="39"/>
        <v>0.31799999999999995</v>
      </c>
      <c r="CQ60" s="33">
        <f t="shared" ca="1" si="40"/>
        <v>0.30000000000000004</v>
      </c>
      <c r="CR60" s="33">
        <f t="shared" ca="1" si="41"/>
        <v>0.31799999999999995</v>
      </c>
      <c r="CS60" s="33">
        <f t="shared" ca="1" si="42"/>
        <v>0.75</v>
      </c>
      <c r="CT60" s="33">
        <f t="shared" ca="1" si="43"/>
        <v>0.31799999999999995</v>
      </c>
      <c r="CU60" s="33">
        <f t="shared" ca="1" si="44"/>
        <v>2.0830205440209748E-2</v>
      </c>
      <c r="CV60" s="33">
        <f t="shared" ca="1" si="45"/>
        <v>2.0830205440209748E-2</v>
      </c>
    </row>
    <row r="61" spans="1:100" x14ac:dyDescent="0.45">
      <c r="A61">
        <v>1</v>
      </c>
      <c r="B61" t="str">
        <f>VLOOKUP(F61,'TRA balance'!$AK$5:$AL$14,2,FALSE)</f>
        <v>TRANGA</v>
      </c>
      <c r="C61" s="11" t="str">
        <f t="shared" si="46"/>
        <v/>
      </c>
      <c r="D61" s="25"/>
      <c r="E61" s="12" t="s">
        <v>79</v>
      </c>
      <c r="F61" s="13" t="str">
        <f t="shared" si="136"/>
        <v>Natural Gas</v>
      </c>
      <c r="G61" s="11"/>
      <c r="H61" s="26" t="str">
        <f ca="1">IF(SUM(H57:H60)=1,"-","&lt;&gt;1!!")</f>
        <v>-</v>
      </c>
      <c r="I61" s="26" t="str">
        <f t="shared" ref="I61" ca="1" si="137">IF(SUM(I57:I60)=1,"-","&lt;&gt;1!!")</f>
        <v>-</v>
      </c>
      <c r="J61" s="26" t="str">
        <f t="shared" ref="J61" ca="1" si="138">IF(SUM(J57:J60)=1,"-","&lt;&gt;1!!")</f>
        <v>-</v>
      </c>
      <c r="K61" s="26" t="str">
        <f t="shared" ref="K61" ca="1" si="139">IF(SUM(K57:K60)=1,"-","&lt;&gt;1!!")</f>
        <v>-</v>
      </c>
      <c r="L61" s="26" t="str">
        <f t="shared" ref="L61" ca="1" si="140">IF(SUM(L57:L60)=1,"-","&lt;&gt;1!!")</f>
        <v>-</v>
      </c>
      <c r="M61" s="26" t="str">
        <f t="shared" ref="M61:X61" ca="1" si="141">IF(SUM(M57:M60)=1,"-","&lt;&gt;1!!")</f>
        <v>-</v>
      </c>
      <c r="N61" s="26" t="str">
        <f t="shared" ca="1" si="141"/>
        <v>-</v>
      </c>
      <c r="O61" s="26" t="str">
        <f t="shared" ca="1" si="141"/>
        <v>-</v>
      </c>
      <c r="P61" s="26" t="str">
        <f t="shared" ca="1" si="141"/>
        <v>-</v>
      </c>
      <c r="Q61" s="26" t="str">
        <f t="shared" ca="1" si="141"/>
        <v>-</v>
      </c>
      <c r="R61" s="26" t="str">
        <f t="shared" ca="1" si="141"/>
        <v>-</v>
      </c>
      <c r="S61" s="26" t="str">
        <f t="shared" ca="1" si="141"/>
        <v>-</v>
      </c>
      <c r="T61" s="26" t="str">
        <f t="shared" ca="1" si="141"/>
        <v>-</v>
      </c>
      <c r="U61" s="26" t="str">
        <f t="shared" ca="1" si="141"/>
        <v>-</v>
      </c>
      <c r="V61" s="26" t="str">
        <f t="shared" ca="1" si="141"/>
        <v>-</v>
      </c>
      <c r="W61" s="26" t="str">
        <f t="shared" ca="1" si="141"/>
        <v>-</v>
      </c>
      <c r="X61" s="26" t="str">
        <f t="shared" ca="1" si="141"/>
        <v>-</v>
      </c>
      <c r="Y61" s="26" t="str">
        <f t="shared" ref="Y61:Z61" ca="1" si="142">IF(SUM(Y57:Y60)=1,"-","&lt;&gt;1!!")</f>
        <v>-</v>
      </c>
      <c r="Z61" s="26" t="str">
        <f t="shared" ca="1" si="142"/>
        <v>-</v>
      </c>
      <c r="AA61" s="26" t="str">
        <f t="shared" ref="AA61:AK61" ca="1" si="143">IF(SUM(AA57:AA60)=1,"-","&lt;&gt;1!!")</f>
        <v>-</v>
      </c>
      <c r="AB61" s="26" t="str">
        <f t="shared" ca="1" si="143"/>
        <v>-</v>
      </c>
      <c r="AC61" s="26" t="str">
        <f t="shared" ca="1" si="143"/>
        <v>-</v>
      </c>
      <c r="AD61" s="26" t="str">
        <f t="shared" ca="1" si="143"/>
        <v>-</v>
      </c>
      <c r="AE61" s="26" t="str">
        <f t="shared" ca="1" si="143"/>
        <v>-</v>
      </c>
      <c r="AF61" s="26" t="str">
        <f t="shared" ca="1" si="143"/>
        <v>-</v>
      </c>
      <c r="AG61" s="26" t="str">
        <f t="shared" ca="1" si="143"/>
        <v>-</v>
      </c>
      <c r="AH61" s="26" t="str">
        <f t="shared" ca="1" si="143"/>
        <v>-</v>
      </c>
      <c r="AI61" s="26" t="str">
        <f t="shared" ca="1" si="143"/>
        <v>-</v>
      </c>
      <c r="AJ61" s="26" t="str">
        <f t="shared" ca="1" si="143"/>
        <v>-</v>
      </c>
      <c r="AK61" s="26" t="str">
        <f t="shared" ca="1" si="143"/>
        <v>-</v>
      </c>
      <c r="AN61" s="34" t="str">
        <f ca="1">IFERROR(SUMIFS('TRA balance'!E$5:E$40,'TRA balance'!$C$5:$C$40,Assumptions!$C61,'TRA balance'!$D$5:$D$40,Assumptions!$B61)*BS61*H61,"")</f>
        <v/>
      </c>
      <c r="AO61" s="34" t="str">
        <f ca="1">IFERROR(SUMIFS('TRA balance'!F$5:F$40,'TRA balance'!$C$5:$C$40,Assumptions!$C61,'TRA balance'!$D$5:$D$40,Assumptions!$B61)*BT61*I61,"")</f>
        <v/>
      </c>
      <c r="AP61" s="34" t="str">
        <f ca="1">IFERROR(SUMIFS('TRA balance'!G$5:G$40,'TRA balance'!$C$5:$C$40,Assumptions!$C61,'TRA balance'!$D$5:$D$40,Assumptions!$B61)*BU61*J61,"")</f>
        <v/>
      </c>
      <c r="AQ61" s="34" t="str">
        <f ca="1">IFERROR(SUMIFS('TRA balance'!H$5:H$40,'TRA balance'!$C$5:$C$40,Assumptions!$C61,'TRA balance'!$D$5:$D$40,Assumptions!$B61)*BV61*K61,"")</f>
        <v/>
      </c>
      <c r="AR61" s="34" t="str">
        <f ca="1">IFERROR(SUMIFS('TRA balance'!I$5:I$40,'TRA balance'!$C$5:$C$40,Assumptions!$C61,'TRA balance'!$D$5:$D$40,Assumptions!$B61)*BW61*L61,"")</f>
        <v/>
      </c>
      <c r="AS61" s="34" t="str">
        <f ca="1">IFERROR(SUMIFS('TRA balance'!J$5:J$40,'TRA balance'!$C$5:$C$40,Assumptions!$C61,'TRA balance'!$D$5:$D$40,Assumptions!$B61)*BX61*M61,"")</f>
        <v/>
      </c>
      <c r="AT61" s="34" t="str">
        <f ca="1">IFERROR(SUMIFS('TRA balance'!K$5:K$40,'TRA balance'!$C$5:$C$40,Assumptions!$C61,'TRA balance'!$D$5:$D$40,Assumptions!$B61)*BY61*N61,"")</f>
        <v/>
      </c>
      <c r="AU61" s="34" t="str">
        <f ca="1">IFERROR(SUMIFS('TRA balance'!L$5:L$40,'TRA balance'!$C$5:$C$40,Assumptions!$C61,'TRA balance'!$D$5:$D$40,Assumptions!$B61)*BZ61*O61,"")</f>
        <v/>
      </c>
      <c r="AV61" s="34" t="str">
        <f ca="1">IFERROR(SUMIFS('TRA balance'!M$5:M$40,'TRA balance'!$C$5:$C$40,Assumptions!$C61,'TRA balance'!$D$5:$D$40,Assumptions!$B61)*CA61*P61,"")</f>
        <v/>
      </c>
      <c r="AW61" s="34" t="str">
        <f ca="1">IFERROR(SUMIFS('TRA balance'!N$5:N$40,'TRA balance'!$C$5:$C$40,Assumptions!$C61,'TRA balance'!$D$5:$D$40,Assumptions!$B61)*CB61*Q61,"")</f>
        <v/>
      </c>
      <c r="AX61" s="34" t="str">
        <f ca="1">IFERROR(SUMIFS('TRA balance'!O$5:O$40,'TRA balance'!$C$5:$C$40,Assumptions!$C61,'TRA balance'!$D$5:$D$40,Assumptions!$B61)*CC61*R61,"")</f>
        <v/>
      </c>
      <c r="AY61" s="34" t="str">
        <f ca="1">IFERROR(SUMIFS('TRA balance'!P$5:P$40,'TRA balance'!$C$5:$C$40,Assumptions!$C61,'TRA balance'!$D$5:$D$40,Assumptions!$B61)*CD61*S61,"")</f>
        <v/>
      </c>
      <c r="AZ61" s="34" t="str">
        <f ca="1">IFERROR(SUMIFS('TRA balance'!Q$5:Q$40,'TRA balance'!$C$5:$C$40,Assumptions!$C61,'TRA balance'!$D$5:$D$40,Assumptions!$B61)*CE61*T61,"")</f>
        <v/>
      </c>
      <c r="BA61" s="34" t="str">
        <f ca="1">IFERROR(SUMIFS('TRA balance'!R$5:R$40,'TRA balance'!$C$5:$C$40,Assumptions!$C61,'TRA balance'!$D$5:$D$40,Assumptions!$B61)*CF61*U61,"")</f>
        <v/>
      </c>
      <c r="BB61" s="34" t="str">
        <f ca="1">IFERROR(SUMIFS('TRA balance'!S$5:S$40,'TRA balance'!$C$5:$C$40,Assumptions!$C61,'TRA balance'!$D$5:$D$40,Assumptions!$B61)*CG61*V61,"")</f>
        <v/>
      </c>
      <c r="BC61" s="34" t="str">
        <f ca="1">IFERROR(SUMIFS('TRA balance'!T$5:T$40,'TRA balance'!$C$5:$C$40,Assumptions!$C61,'TRA balance'!$D$5:$D$40,Assumptions!$B61)*CH61*W61,"")</f>
        <v/>
      </c>
      <c r="BD61" s="34" t="str">
        <f ca="1">IFERROR(SUMIFS('TRA balance'!U$5:U$40,'TRA balance'!$C$5:$C$40,Assumptions!$C61,'TRA balance'!$D$5:$D$40,Assumptions!$B61)*CI61*X61,"")</f>
        <v/>
      </c>
      <c r="BE61" s="34" t="str">
        <f ca="1">IFERROR(SUMIFS('TRA balance'!V$5:V$40,'TRA balance'!$C$5:$C$40,Assumptions!$C61,'TRA balance'!$D$5:$D$40,Assumptions!$B61)*CJ61*Y61,"")</f>
        <v/>
      </c>
      <c r="BF61" s="34" t="str">
        <f ca="1">IFERROR(SUMIFS('TRA balance'!W$5:W$40,'TRA balance'!$C$5:$C$40,Assumptions!$C61,'TRA balance'!$D$5:$D$40,Assumptions!$B61)*CK61*Z61,"")</f>
        <v/>
      </c>
      <c r="BG61" s="34" t="str">
        <f ca="1">IFERROR(SUMIFS('TRA balance'!X$5:X$40,'TRA balance'!$C$5:$C$40,Assumptions!$C61,'TRA balance'!$D$5:$D$40,Assumptions!$B61)*CL61*AA61,"")</f>
        <v/>
      </c>
      <c r="BH61" s="34" t="str">
        <f ca="1">IFERROR(SUMIFS('TRA balance'!Y$5:Y$40,'TRA balance'!$C$5:$C$40,Assumptions!$C61,'TRA balance'!$D$5:$D$40,Assumptions!$B61)*CM61*AB61,"")</f>
        <v/>
      </c>
      <c r="BI61" s="34" t="str">
        <f ca="1">IFERROR(SUMIFS('TRA balance'!Z$5:Z$40,'TRA balance'!$C$5:$C$40,Assumptions!$C61,'TRA balance'!$D$5:$D$40,Assumptions!$B61)*CN61*AC61,"")</f>
        <v/>
      </c>
      <c r="BJ61" s="34" t="str">
        <f ca="1">IFERROR(SUMIFS('TRA balance'!AA$5:AA$40,'TRA balance'!$C$5:$C$40,Assumptions!$C61,'TRA balance'!$D$5:$D$40,Assumptions!$B61)*CO61*AD61,"")</f>
        <v/>
      </c>
      <c r="BK61" s="34" t="str">
        <f ca="1">IFERROR(SUMIFS('TRA balance'!AB$5:AB$40,'TRA balance'!$C$5:$C$40,Assumptions!$C61,'TRA balance'!$D$5:$D$40,Assumptions!$B61)*CP61*AE61,"")</f>
        <v/>
      </c>
      <c r="BL61" s="34" t="str">
        <f ca="1">IFERROR(SUMIFS('TRA balance'!AC$5:AC$40,'TRA balance'!$C$5:$C$40,Assumptions!$C61,'TRA balance'!$D$5:$D$40,Assumptions!$B61)*CQ61*AF61,"")</f>
        <v/>
      </c>
      <c r="BM61" s="34" t="str">
        <f ca="1">IFERROR(SUMIFS('TRA balance'!AD$5:AD$40,'TRA balance'!$C$5:$C$40,Assumptions!$C61,'TRA balance'!$D$5:$D$40,Assumptions!$B61)*CR61*AG61,"")</f>
        <v/>
      </c>
      <c r="BN61" s="34" t="str">
        <f ca="1">IFERROR(SUMIFS('TRA balance'!AE$5:AE$40,'TRA balance'!$C$5:$C$40,Assumptions!$C61,'TRA balance'!$D$5:$D$40,Assumptions!$B61)*CS61*AH61,"")</f>
        <v/>
      </c>
      <c r="BO61" s="34" t="str">
        <f ca="1">IFERROR(SUMIFS('TRA balance'!AF$5:AF$40,'TRA balance'!$C$5:$C$40,Assumptions!$C61,'TRA balance'!$D$5:$D$40,Assumptions!$B61)*CT61*AI61,"")</f>
        <v/>
      </c>
      <c r="BP61" s="34" t="str">
        <f ca="1">IFERROR(SUMIFS('TRA balance'!AG$5:AG$40,'TRA balance'!$C$5:$C$40,Assumptions!$C61,'TRA balance'!$D$5:$D$40,Assumptions!$B61)*CU61*AJ61,"")</f>
        <v/>
      </c>
      <c r="BQ61" s="34" t="str">
        <f ca="1">IFERROR(SUMIFS('TRA balance'!AH$5:AH$40,'TRA balance'!$C$5:$C$40,Assumptions!$C61,'TRA balance'!$D$5:$D$40,Assumptions!$B61)*CV61*AK61,"")</f>
        <v/>
      </c>
      <c r="BS61" s="33">
        <f t="shared" si="90"/>
        <v>1</v>
      </c>
      <c r="BT61" s="33">
        <f t="shared" si="91"/>
        <v>1</v>
      </c>
      <c r="BU61" s="33">
        <f t="shared" si="92"/>
        <v>1</v>
      </c>
      <c r="BV61" s="33">
        <f t="shared" si="93"/>
        <v>1</v>
      </c>
      <c r="BW61" s="33">
        <f t="shared" si="94"/>
        <v>1</v>
      </c>
      <c r="BX61" s="33">
        <f t="shared" si="95"/>
        <v>1</v>
      </c>
      <c r="BY61" s="33">
        <f t="shared" si="96"/>
        <v>1</v>
      </c>
      <c r="BZ61" s="33">
        <f t="shared" si="97"/>
        <v>1</v>
      </c>
      <c r="CA61" s="33">
        <f t="shared" si="98"/>
        <v>1</v>
      </c>
      <c r="CB61" s="33">
        <f t="shared" si="99"/>
        <v>1</v>
      </c>
      <c r="CC61" s="33">
        <f t="shared" si="100"/>
        <v>1</v>
      </c>
      <c r="CD61" s="33">
        <f t="shared" si="101"/>
        <v>1</v>
      </c>
      <c r="CE61" s="33">
        <f t="shared" si="102"/>
        <v>1</v>
      </c>
      <c r="CF61" s="33">
        <f t="shared" si="103"/>
        <v>1</v>
      </c>
      <c r="CG61" s="33">
        <f t="shared" si="104"/>
        <v>1</v>
      </c>
      <c r="CH61" s="33">
        <f t="shared" si="31"/>
        <v>1</v>
      </c>
      <c r="CI61" s="33">
        <f t="shared" si="32"/>
        <v>1</v>
      </c>
      <c r="CJ61" s="33">
        <f t="shared" si="33"/>
        <v>1</v>
      </c>
      <c r="CK61" s="33">
        <f t="shared" si="34"/>
        <v>1</v>
      </c>
      <c r="CL61" s="33">
        <f t="shared" si="35"/>
        <v>1</v>
      </c>
      <c r="CM61" s="33">
        <f t="shared" si="36"/>
        <v>1</v>
      </c>
      <c r="CN61" s="33">
        <f t="shared" si="37"/>
        <v>1</v>
      </c>
      <c r="CO61" s="33">
        <f t="shared" si="38"/>
        <v>1</v>
      </c>
      <c r="CP61" s="33">
        <f t="shared" si="39"/>
        <v>1</v>
      </c>
      <c r="CQ61" s="33">
        <f t="shared" si="40"/>
        <v>1</v>
      </c>
      <c r="CR61" s="33">
        <f t="shared" si="41"/>
        <v>1</v>
      </c>
      <c r="CS61" s="33">
        <f t="shared" si="42"/>
        <v>1</v>
      </c>
      <c r="CT61" s="33">
        <f t="shared" si="43"/>
        <v>1</v>
      </c>
      <c r="CU61" s="33">
        <f t="shared" si="44"/>
        <v>1</v>
      </c>
      <c r="CV61" s="33">
        <f t="shared" si="45"/>
        <v>1</v>
      </c>
    </row>
    <row r="62" spans="1:100" x14ac:dyDescent="0.45">
      <c r="A62">
        <v>1</v>
      </c>
      <c r="B62" t="str">
        <f>VLOOKUP(F62,'TRA balance'!$AK$5:$AL$14,2,FALSE)</f>
        <v>TRABDS</v>
      </c>
      <c r="C62" s="14">
        <v>1</v>
      </c>
      <c r="D62" s="15" t="s">
        <v>16</v>
      </c>
      <c r="E62" s="15" t="s">
        <v>59</v>
      </c>
      <c r="F62" s="16" t="s">
        <v>84</v>
      </c>
      <c r="G62" s="14"/>
      <c r="H62" s="9">
        <f ca="1">OFFSET(TIAM15_assumptions!$G62,0,MATCH(VLOOKUP(Assumptions!H$2,TIAM15_assumptions!$Y$3:$Z$36,2,FALSE),TIAM15_assumptions!$H$2:$V$2,0))</f>
        <v>0.1</v>
      </c>
      <c r="I62" s="9">
        <f ca="1">OFFSET(TIAM15_assumptions!$G62,0,MATCH(VLOOKUP(Assumptions!I$2,TIAM15_assumptions!$Y$3:$Z$36,2,FALSE),TIAM15_assumptions!$H$2:$V$2,0))</f>
        <v>0.1</v>
      </c>
      <c r="J62" s="9">
        <f ca="1">OFFSET(TIAM15_assumptions!$G62,0,MATCH(VLOOKUP(Assumptions!J$2,TIAM15_assumptions!$Y$3:$Z$36,2,FALSE),TIAM15_assumptions!$H$2:$V$2,0))</f>
        <v>7.0000000000000007E-2</v>
      </c>
      <c r="K62" s="9">
        <f ca="1">OFFSET(TIAM15_assumptions!$G62,0,MATCH(VLOOKUP(Assumptions!K$2,TIAM15_assumptions!$Y$3:$Z$36,2,FALSE),TIAM15_assumptions!$H$2:$V$2,0))</f>
        <v>0.05</v>
      </c>
      <c r="L62" s="9">
        <f ca="1">OFFSET(TIAM15_assumptions!$G62,0,MATCH(VLOOKUP(Assumptions!L$2,TIAM15_assumptions!$Y$3:$Z$36,2,FALSE),TIAM15_assumptions!$H$2:$V$2,0))</f>
        <v>0.05</v>
      </c>
      <c r="M62" s="9">
        <f ca="1">OFFSET(TIAM15_assumptions!$G62,0,MATCH(VLOOKUP(Assumptions!M$2,TIAM15_assumptions!$Y$3:$Z$36,2,FALSE),TIAM15_assumptions!$H$2:$V$2,0))</f>
        <v>0.08</v>
      </c>
      <c r="N62" s="9">
        <f ca="1">OFFSET(TIAM15_assumptions!$G62,0,MATCH(VLOOKUP(Assumptions!N$2,TIAM15_assumptions!$Y$3:$Z$36,2,FALSE),TIAM15_assumptions!$H$2:$V$2,0))</f>
        <v>0.02</v>
      </c>
      <c r="O62" s="9">
        <f ca="1">OFFSET(TIAM15_assumptions!$G62,0,MATCH(VLOOKUP(Assumptions!O$2,TIAM15_assumptions!$Y$3:$Z$36,2,FALSE),TIAM15_assumptions!$H$2:$V$2,0))</f>
        <v>7.0000000000000007E-2</v>
      </c>
      <c r="P62" s="9">
        <f ca="1">OFFSET(TIAM15_assumptions!$G62,0,MATCH(VLOOKUP(Assumptions!P$2,TIAM15_assumptions!$Y$3:$Z$36,2,FALSE),TIAM15_assumptions!$H$2:$V$2,0))</f>
        <v>0.02</v>
      </c>
      <c r="Q62" s="9">
        <f ca="1">OFFSET(TIAM15_assumptions!$G62,0,MATCH(VLOOKUP(Assumptions!Q$2,TIAM15_assumptions!$Y$3:$Z$36,2,FALSE),TIAM15_assumptions!$H$2:$V$2,0))</f>
        <v>0.1</v>
      </c>
      <c r="R62" s="9">
        <f ca="1">OFFSET(TIAM15_assumptions!$G62,0,MATCH(VLOOKUP(Assumptions!R$2,TIAM15_assumptions!$Y$3:$Z$36,2,FALSE),TIAM15_assumptions!$H$2:$V$2,0))</f>
        <v>0.45342524249014599</v>
      </c>
      <c r="S62" s="9">
        <f ca="1">OFFSET(TIAM15_assumptions!$G62,0,MATCH(VLOOKUP(Assumptions!S$2,TIAM15_assumptions!$Y$3:$Z$36,2,FALSE),TIAM15_assumptions!$H$2:$V$2,0))</f>
        <v>0.35051309933039143</v>
      </c>
      <c r="T62" s="9">
        <f ca="1">OFFSET(TIAM15_assumptions!$G62,0,MATCH(VLOOKUP(Assumptions!T$2,TIAM15_assumptions!$Y$3:$Z$36,2,FALSE),TIAM15_assumptions!$H$2:$V$2,0))</f>
        <v>0.45342524249014599</v>
      </c>
      <c r="U62" s="9">
        <f ca="1">OFFSET(TIAM15_assumptions!$G62,0,MATCH(VLOOKUP(Assumptions!U$2,TIAM15_assumptions!$Y$3:$Z$36,2,FALSE),TIAM15_assumptions!$H$2:$V$2,0))</f>
        <v>0.45342524249014599</v>
      </c>
      <c r="V62" s="9">
        <f ca="1">OFFSET(TIAM15_assumptions!$G62,0,MATCH(VLOOKUP(Assumptions!V$2,TIAM15_assumptions!$Y$3:$Z$36,2,FALSE),TIAM15_assumptions!$H$2:$V$2,0))</f>
        <v>0.35051309933039143</v>
      </c>
      <c r="W62" s="9">
        <f ca="1">OFFSET(TIAM15_assumptions!$G62,0,MATCH(VLOOKUP(Assumptions!W$2,TIAM15_assumptions!$Y$3:$Z$36,2,FALSE),TIAM15_assumptions!$H$2:$V$2,0))</f>
        <v>0.45342524249014599</v>
      </c>
      <c r="X62" s="9">
        <f ca="1">OFFSET(TIAM15_assumptions!$G62,0,MATCH(VLOOKUP(Assumptions!X$2,TIAM15_assumptions!$Y$3:$Z$36,2,FALSE),TIAM15_assumptions!$H$2:$V$2,0))</f>
        <v>0.1</v>
      </c>
      <c r="Y62" s="9">
        <f ca="1">OFFSET(TIAM15_assumptions!$G62,0,MATCH(VLOOKUP(Assumptions!Y$2,TIAM15_assumptions!$Y$3:$Z$36,2,FALSE),TIAM15_assumptions!$H$2:$V$2,0))</f>
        <v>0.45342524249014599</v>
      </c>
      <c r="Z62" s="9">
        <f ca="1">OFFSET(TIAM15_assumptions!$G62,0,MATCH(VLOOKUP(Assumptions!Z$2,TIAM15_assumptions!$Y$3:$Z$36,2,FALSE),TIAM15_assumptions!$H$2:$V$2,0))</f>
        <v>0.45342524249014599</v>
      </c>
      <c r="AA62" s="9">
        <f ca="1">OFFSET(TIAM15_assumptions!$G62,0,MATCH(VLOOKUP(Assumptions!AA$2,TIAM15_assumptions!$Y$3:$Z$36,2,FALSE),TIAM15_assumptions!$H$2:$V$2,0))</f>
        <v>0.25</v>
      </c>
      <c r="AB62" s="9">
        <f ca="1">OFFSET(TIAM15_assumptions!$G62,0,MATCH(VLOOKUP(Assumptions!AB$2,TIAM15_assumptions!$Y$3:$Z$36,2,FALSE),TIAM15_assumptions!$H$2:$V$2,0))</f>
        <v>7.0000000000000007E-2</v>
      </c>
      <c r="AC62" s="9">
        <f ca="1">OFFSET(TIAM15_assumptions!$G62,0,MATCH(VLOOKUP(Assumptions!AC$2,TIAM15_assumptions!$Y$3:$Z$36,2,FALSE),TIAM15_assumptions!$H$2:$V$2,0))</f>
        <v>0.15</v>
      </c>
      <c r="AD62" s="9">
        <f ca="1">OFFSET(TIAM15_assumptions!$G62,0,MATCH(VLOOKUP(Assumptions!AD$2,TIAM15_assumptions!$Y$3:$Z$36,2,FALSE),TIAM15_assumptions!$H$2:$V$2,0))</f>
        <v>0.1</v>
      </c>
      <c r="AE62" s="9">
        <f ca="1">OFFSET(TIAM15_assumptions!$G62,0,MATCH(VLOOKUP(Assumptions!AE$2,TIAM15_assumptions!$Y$3:$Z$36,2,FALSE),TIAM15_assumptions!$H$2:$V$2,0))</f>
        <v>0.45342524249014599</v>
      </c>
      <c r="AF62" s="9">
        <f ca="1">OFFSET(TIAM15_assumptions!$G62,0,MATCH(VLOOKUP(Assumptions!AF$2,TIAM15_assumptions!$Y$3:$Z$36,2,FALSE),TIAM15_assumptions!$H$2:$V$2,0))</f>
        <v>0.05</v>
      </c>
      <c r="AG62" s="9">
        <f ca="1">OFFSET(TIAM15_assumptions!$G62,0,MATCH(VLOOKUP(Assumptions!AG$2,TIAM15_assumptions!$Y$3:$Z$36,2,FALSE),TIAM15_assumptions!$H$2:$V$2,0))</f>
        <v>0.1</v>
      </c>
      <c r="AH62" s="9">
        <f ca="1">OFFSET(TIAM15_assumptions!$G62,0,MATCH(VLOOKUP(Assumptions!AH$2,TIAM15_assumptions!$Y$3:$Z$36,2,FALSE),TIAM15_assumptions!$H$2:$V$2,0))</f>
        <v>0.1</v>
      </c>
      <c r="AI62" s="9">
        <f ca="1">OFFSET(TIAM15_assumptions!$G62,0,MATCH(VLOOKUP(Assumptions!AI$2,TIAM15_assumptions!$Y$3:$Z$36,2,FALSE),TIAM15_assumptions!$H$2:$V$2,0))</f>
        <v>0.45342524249014599</v>
      </c>
      <c r="AJ62" s="9">
        <f ca="1">OFFSET(TIAM15_assumptions!$G62,0,MATCH(VLOOKUP(Assumptions!AJ$2,TIAM15_assumptions!$Y$3:$Z$36,2,FALSE),TIAM15_assumptions!$H$2:$V$2,0))</f>
        <v>2.4406421822616497E-2</v>
      </c>
      <c r="AK62" s="9">
        <f ca="1">OFFSET(TIAM15_assumptions!$G62,0,MATCH(VLOOKUP(Assumptions!AK$2,TIAM15_assumptions!$Y$3:$Z$36,2,FALSE),TIAM15_assumptions!$H$2:$V$2,0))</f>
        <v>2.4406421822616497E-2</v>
      </c>
      <c r="AN62" s="34">
        <f ca="1">IFERROR(SUMIFS('TRA balance'!E$5:E$40,'TRA balance'!$C$5:$C$40,Assumptions!$C62,'TRA balance'!$D$5:$D$40,Assumptions!$B62)*BS62*H62,"")</f>
        <v>0</v>
      </c>
      <c r="AO62" s="34">
        <f ca="1">IFERROR(SUMIFS('TRA balance'!F$5:F$40,'TRA balance'!$C$5:$C$40,Assumptions!$C62,'TRA balance'!$D$5:$D$40,Assumptions!$B62)*BT62*I62,"")</f>
        <v>0</v>
      </c>
      <c r="AP62" s="34">
        <f ca="1">IFERROR(SUMIFS('TRA balance'!G$5:G$40,'TRA balance'!$C$5:$C$40,Assumptions!$C62,'TRA balance'!$D$5:$D$40,Assumptions!$B62)*BU62*J62,"")</f>
        <v>0</v>
      </c>
      <c r="AQ62" s="34">
        <f ca="1">IFERROR(SUMIFS('TRA balance'!H$5:H$40,'TRA balance'!$C$5:$C$40,Assumptions!$C62,'TRA balance'!$D$5:$D$40,Assumptions!$B62)*BV62*K62,"")</f>
        <v>0</v>
      </c>
      <c r="AR62" s="34">
        <f ca="1">IFERROR(SUMIFS('TRA balance'!I$5:I$40,'TRA balance'!$C$5:$C$40,Assumptions!$C62,'TRA balance'!$D$5:$D$40,Assumptions!$B62)*BW62*L62,"")</f>
        <v>0</v>
      </c>
      <c r="AS62" s="34">
        <f ca="1">IFERROR(SUMIFS('TRA balance'!J$5:J$40,'TRA balance'!$C$5:$C$40,Assumptions!$C62,'TRA balance'!$D$5:$D$40,Assumptions!$B62)*BX62*M62,"")</f>
        <v>0</v>
      </c>
      <c r="AT62" s="34">
        <f ca="1">IFERROR(SUMIFS('TRA balance'!K$5:K$40,'TRA balance'!$C$5:$C$40,Assumptions!$C62,'TRA balance'!$D$5:$D$40,Assumptions!$B62)*BY62*N62,"")</f>
        <v>0</v>
      </c>
      <c r="AU62" s="34">
        <f ca="1">IFERROR(SUMIFS('TRA balance'!L$5:L$40,'TRA balance'!$C$5:$C$40,Assumptions!$C62,'TRA balance'!$D$5:$D$40,Assumptions!$B62)*BZ62*O62,"")</f>
        <v>0</v>
      </c>
      <c r="AV62" s="34">
        <f ca="1">IFERROR(SUMIFS('TRA balance'!M$5:M$40,'TRA balance'!$C$5:$C$40,Assumptions!$C62,'TRA balance'!$D$5:$D$40,Assumptions!$B62)*CA62*P62,"")</f>
        <v>0</v>
      </c>
      <c r="AW62" s="34">
        <f ca="1">IFERROR(SUMIFS('TRA balance'!N$5:N$40,'TRA balance'!$C$5:$C$40,Assumptions!$C62,'TRA balance'!$D$5:$D$40,Assumptions!$B62)*CB62*Q62,"")</f>
        <v>0</v>
      </c>
      <c r="AX62" s="34">
        <f ca="1">IFERROR(SUMIFS('TRA balance'!O$5:O$40,'TRA balance'!$C$5:$C$40,Assumptions!$C62,'TRA balance'!$D$5:$D$40,Assumptions!$B62)*CC62*R62,"")</f>
        <v>0</v>
      </c>
      <c r="AY62" s="34">
        <f ca="1">IFERROR(SUMIFS('TRA balance'!P$5:P$40,'TRA balance'!$C$5:$C$40,Assumptions!$C62,'TRA balance'!$D$5:$D$40,Assumptions!$B62)*CD62*S62,"")</f>
        <v>0</v>
      </c>
      <c r="AZ62" s="34">
        <f ca="1">IFERROR(SUMIFS('TRA balance'!Q$5:Q$40,'TRA balance'!$C$5:$C$40,Assumptions!$C62,'TRA balance'!$D$5:$D$40,Assumptions!$B62)*CE62*T62,"")</f>
        <v>0</v>
      </c>
      <c r="BA62" s="34">
        <f ca="1">IFERROR(SUMIFS('TRA balance'!R$5:R$40,'TRA balance'!$C$5:$C$40,Assumptions!$C62,'TRA balance'!$D$5:$D$40,Assumptions!$B62)*CF62*U62,"")</f>
        <v>0</v>
      </c>
      <c r="BB62" s="34">
        <f ca="1">IFERROR(SUMIFS('TRA balance'!S$5:S$40,'TRA balance'!$C$5:$C$40,Assumptions!$C62,'TRA balance'!$D$5:$D$40,Assumptions!$B62)*CG62*V62,"")</f>
        <v>0</v>
      </c>
      <c r="BC62" s="34">
        <f ca="1">IFERROR(SUMIFS('TRA balance'!T$5:T$40,'TRA balance'!$C$5:$C$40,Assumptions!$C62,'TRA balance'!$D$5:$D$40,Assumptions!$B62)*CH62*W62,"")</f>
        <v>0</v>
      </c>
      <c r="BD62" s="34">
        <f ca="1">IFERROR(SUMIFS('TRA balance'!U$5:U$40,'TRA balance'!$C$5:$C$40,Assumptions!$C62,'TRA balance'!$D$5:$D$40,Assumptions!$B62)*CI62*X62,"")</f>
        <v>0</v>
      </c>
      <c r="BE62" s="34">
        <f ca="1">IFERROR(SUMIFS('TRA balance'!V$5:V$40,'TRA balance'!$C$5:$C$40,Assumptions!$C62,'TRA balance'!$D$5:$D$40,Assumptions!$B62)*CJ62*Y62,"")</f>
        <v>0</v>
      </c>
      <c r="BF62" s="34">
        <f ca="1">IFERROR(SUMIFS('TRA balance'!W$5:W$40,'TRA balance'!$C$5:$C$40,Assumptions!$C62,'TRA balance'!$D$5:$D$40,Assumptions!$B62)*CK62*Z62,"")</f>
        <v>0</v>
      </c>
      <c r="BG62" s="34">
        <f ca="1">IFERROR(SUMIFS('TRA balance'!X$5:X$40,'TRA balance'!$C$5:$C$40,Assumptions!$C62,'TRA balance'!$D$5:$D$40,Assumptions!$B62)*CL62*AA62,"")</f>
        <v>0</v>
      </c>
      <c r="BH62" s="34">
        <f ca="1">IFERROR(SUMIFS('TRA balance'!Y$5:Y$40,'TRA balance'!$C$5:$C$40,Assumptions!$C62,'TRA balance'!$D$5:$D$40,Assumptions!$B62)*CM62*AB62,"")</f>
        <v>0</v>
      </c>
      <c r="BI62" s="34">
        <f ca="1">IFERROR(SUMIFS('TRA balance'!Z$5:Z$40,'TRA balance'!$C$5:$C$40,Assumptions!$C62,'TRA balance'!$D$5:$D$40,Assumptions!$B62)*CN62*AC62,"")</f>
        <v>0</v>
      </c>
      <c r="BJ62" s="34">
        <f ca="1">IFERROR(SUMIFS('TRA balance'!AA$5:AA$40,'TRA balance'!$C$5:$C$40,Assumptions!$C62,'TRA balance'!$D$5:$D$40,Assumptions!$B62)*CO62*AD62,"")</f>
        <v>0</v>
      </c>
      <c r="BK62" s="34">
        <f ca="1">IFERROR(SUMIFS('TRA balance'!AB$5:AB$40,'TRA balance'!$C$5:$C$40,Assumptions!$C62,'TRA balance'!$D$5:$D$40,Assumptions!$B62)*CP62*AE62,"")</f>
        <v>0</v>
      </c>
      <c r="BL62" s="34">
        <f ca="1">IFERROR(SUMIFS('TRA balance'!AC$5:AC$40,'TRA balance'!$C$5:$C$40,Assumptions!$C62,'TRA balance'!$D$5:$D$40,Assumptions!$B62)*CQ62*AF62,"")</f>
        <v>0</v>
      </c>
      <c r="BM62" s="34">
        <f ca="1">IFERROR(SUMIFS('TRA balance'!AD$5:AD$40,'TRA balance'!$C$5:$C$40,Assumptions!$C62,'TRA balance'!$D$5:$D$40,Assumptions!$B62)*CR62*AG62,"")</f>
        <v>0</v>
      </c>
      <c r="BN62" s="34">
        <f ca="1">IFERROR(SUMIFS('TRA balance'!AE$5:AE$40,'TRA balance'!$C$5:$C$40,Assumptions!$C62,'TRA balance'!$D$5:$D$40,Assumptions!$B62)*CS62*AH62,"")</f>
        <v>0</v>
      </c>
      <c r="BO62" s="34">
        <f ca="1">IFERROR(SUMIFS('TRA balance'!AF$5:AF$40,'TRA balance'!$C$5:$C$40,Assumptions!$C62,'TRA balance'!$D$5:$D$40,Assumptions!$B62)*CT62*AI62,"")</f>
        <v>0</v>
      </c>
      <c r="BP62" s="34">
        <f ca="1">IFERROR(SUMIFS('TRA balance'!AG$5:AG$40,'TRA balance'!$C$5:$C$40,Assumptions!$C62,'TRA balance'!$D$5:$D$40,Assumptions!$B62)*CU62*AJ62,"")</f>
        <v>0</v>
      </c>
      <c r="BQ62" s="34">
        <f ca="1">IFERROR(SUMIFS('TRA balance'!AH$5:AH$40,'TRA balance'!$C$5:$C$40,Assumptions!$C62,'TRA balance'!$D$5:$D$40,Assumptions!$B62)*CV62*AK62,"")</f>
        <v>0</v>
      </c>
      <c r="BS62" s="33">
        <f t="shared" si="90"/>
        <v>1</v>
      </c>
      <c r="BT62" s="33">
        <f t="shared" si="91"/>
        <v>1</v>
      </c>
      <c r="BU62" s="33">
        <f t="shared" si="92"/>
        <v>1</v>
      </c>
      <c r="BV62" s="33">
        <f t="shared" si="93"/>
        <v>1</v>
      </c>
      <c r="BW62" s="33">
        <f t="shared" si="94"/>
        <v>1</v>
      </c>
      <c r="BX62" s="33">
        <f t="shared" si="95"/>
        <v>1</v>
      </c>
      <c r="BY62" s="33">
        <f t="shared" si="96"/>
        <v>1</v>
      </c>
      <c r="BZ62" s="33">
        <f t="shared" si="97"/>
        <v>1</v>
      </c>
      <c r="CA62" s="33">
        <f t="shared" si="98"/>
        <v>1</v>
      </c>
      <c r="CB62" s="33">
        <f t="shared" si="99"/>
        <v>1</v>
      </c>
      <c r="CC62" s="33">
        <f t="shared" si="100"/>
        <v>1</v>
      </c>
      <c r="CD62" s="33">
        <f t="shared" si="101"/>
        <v>1</v>
      </c>
      <c r="CE62" s="33">
        <f t="shared" si="102"/>
        <v>1</v>
      </c>
      <c r="CF62" s="33">
        <f t="shared" si="103"/>
        <v>1</v>
      </c>
      <c r="CG62" s="33">
        <f t="shared" si="104"/>
        <v>1</v>
      </c>
      <c r="CH62" s="33">
        <f t="shared" si="31"/>
        <v>1</v>
      </c>
      <c r="CI62" s="33">
        <f t="shared" si="32"/>
        <v>1</v>
      </c>
      <c r="CJ62" s="33">
        <f t="shared" si="33"/>
        <v>1</v>
      </c>
      <c r="CK62" s="33">
        <f t="shared" si="34"/>
        <v>1</v>
      </c>
      <c r="CL62" s="33">
        <f t="shared" si="35"/>
        <v>1</v>
      </c>
      <c r="CM62" s="33">
        <f t="shared" si="36"/>
        <v>1</v>
      </c>
      <c r="CN62" s="33">
        <f t="shared" si="37"/>
        <v>1</v>
      </c>
      <c r="CO62" s="33">
        <f t="shared" si="38"/>
        <v>1</v>
      </c>
      <c r="CP62" s="33">
        <f t="shared" si="39"/>
        <v>1</v>
      </c>
      <c r="CQ62" s="33">
        <f t="shared" si="40"/>
        <v>1</v>
      </c>
      <c r="CR62" s="33">
        <f t="shared" si="41"/>
        <v>1</v>
      </c>
      <c r="CS62" s="33">
        <f t="shared" si="42"/>
        <v>1</v>
      </c>
      <c r="CT62" s="33">
        <f t="shared" si="43"/>
        <v>1</v>
      </c>
      <c r="CU62" s="33">
        <f t="shared" si="44"/>
        <v>1</v>
      </c>
      <c r="CV62" s="33">
        <f t="shared" si="45"/>
        <v>1</v>
      </c>
    </row>
    <row r="63" spans="1:100" x14ac:dyDescent="0.45">
      <c r="A63">
        <v>1</v>
      </c>
      <c r="B63" t="str">
        <f>VLOOKUP(F63,'TRA balance'!$AK$5:$AL$14,2,FALSE)</f>
        <v>TRABDS</v>
      </c>
      <c r="C63" s="6" t="str">
        <f t="shared" si="46"/>
        <v>TR</v>
      </c>
      <c r="D63" s="7" t="s">
        <v>16</v>
      </c>
      <c r="E63" s="18" t="s">
        <v>61</v>
      </c>
      <c r="F63" s="8" t="str">
        <f>F62</f>
        <v>Bio Diesel</v>
      </c>
      <c r="G63" s="6" t="s">
        <v>62</v>
      </c>
      <c r="H63" s="9">
        <f ca="1">OFFSET(TIAM15_assumptions!$G63,0,MATCH(VLOOKUP(Assumptions!H$2,TIAM15_assumptions!$Y$3:$Z$36,2,FALSE),TIAM15_assumptions!$H$2:$V$2,0))</f>
        <v>0.5</v>
      </c>
      <c r="I63" s="9">
        <f ca="1">OFFSET(TIAM15_assumptions!$G63,0,MATCH(VLOOKUP(Assumptions!I$2,TIAM15_assumptions!$Y$3:$Z$36,2,FALSE),TIAM15_assumptions!$H$2:$V$2,0))</f>
        <v>0.5</v>
      </c>
      <c r="J63" s="9">
        <f ca="1">OFFSET(TIAM15_assumptions!$G63,0,MATCH(VLOOKUP(Assumptions!J$2,TIAM15_assumptions!$Y$3:$Z$36,2,FALSE),TIAM15_assumptions!$H$2:$V$2,0))</f>
        <v>0.3</v>
      </c>
      <c r="K63" s="9">
        <f ca="1">OFFSET(TIAM15_assumptions!$G63,0,MATCH(VLOOKUP(Assumptions!K$2,TIAM15_assumptions!$Y$3:$Z$36,2,FALSE),TIAM15_assumptions!$H$2:$V$2,0))</f>
        <v>0.51</v>
      </c>
      <c r="L63" s="9">
        <f ca="1">OFFSET(TIAM15_assumptions!$G63,0,MATCH(VLOOKUP(Assumptions!L$2,TIAM15_assumptions!$Y$3:$Z$36,2,FALSE),TIAM15_assumptions!$H$2:$V$2,0))</f>
        <v>0.46</v>
      </c>
      <c r="M63" s="9">
        <f ca="1">OFFSET(TIAM15_assumptions!$G63,0,MATCH(VLOOKUP(Assumptions!M$2,TIAM15_assumptions!$Y$3:$Z$36,2,FALSE),TIAM15_assumptions!$H$2:$V$2,0))</f>
        <v>0.34</v>
      </c>
      <c r="N63" s="9">
        <f ca="1">OFFSET(TIAM15_assumptions!$G63,0,MATCH(VLOOKUP(Assumptions!N$2,TIAM15_assumptions!$Y$3:$Z$36,2,FALSE),TIAM15_assumptions!$H$2:$V$2,0))</f>
        <v>0.3</v>
      </c>
      <c r="O63" s="9">
        <f ca="1">OFFSET(TIAM15_assumptions!$G63,0,MATCH(VLOOKUP(Assumptions!O$2,TIAM15_assumptions!$Y$3:$Z$36,2,FALSE),TIAM15_assumptions!$H$2:$V$2,0))</f>
        <v>0.3</v>
      </c>
      <c r="P63" s="9">
        <f ca="1">OFFSET(TIAM15_assumptions!$G63,0,MATCH(VLOOKUP(Assumptions!P$2,TIAM15_assumptions!$Y$3:$Z$36,2,FALSE),TIAM15_assumptions!$H$2:$V$2,0))</f>
        <v>0.4</v>
      </c>
      <c r="Q63" s="9">
        <f ca="1">OFFSET(TIAM15_assumptions!$G63,0,MATCH(VLOOKUP(Assumptions!Q$2,TIAM15_assumptions!$Y$3:$Z$36,2,FALSE),TIAM15_assumptions!$H$2:$V$2,0))</f>
        <v>0.2</v>
      </c>
      <c r="R63" s="9">
        <f ca="1">OFFSET(TIAM15_assumptions!$G63,0,MATCH(VLOOKUP(Assumptions!R$2,TIAM15_assumptions!$Y$3:$Z$36,2,FALSE),TIAM15_assumptions!$H$2:$V$2,0))</f>
        <v>0.8</v>
      </c>
      <c r="S63" s="9">
        <f ca="1">OFFSET(TIAM15_assumptions!$G63,0,MATCH(VLOOKUP(Assumptions!S$2,TIAM15_assumptions!$Y$3:$Z$36,2,FALSE),TIAM15_assumptions!$H$2:$V$2,0))</f>
        <v>0.51</v>
      </c>
      <c r="T63" s="9">
        <f ca="1">OFFSET(TIAM15_assumptions!$G63,0,MATCH(VLOOKUP(Assumptions!T$2,TIAM15_assumptions!$Y$3:$Z$36,2,FALSE),TIAM15_assumptions!$H$2:$V$2,0))</f>
        <v>0.8</v>
      </c>
      <c r="U63" s="9">
        <f ca="1">OFFSET(TIAM15_assumptions!$G63,0,MATCH(VLOOKUP(Assumptions!U$2,TIAM15_assumptions!$Y$3:$Z$36,2,FALSE),TIAM15_assumptions!$H$2:$V$2,0))</f>
        <v>0.8</v>
      </c>
      <c r="V63" s="9">
        <f ca="1">OFFSET(TIAM15_assumptions!$G63,0,MATCH(VLOOKUP(Assumptions!V$2,TIAM15_assumptions!$Y$3:$Z$36,2,FALSE),TIAM15_assumptions!$H$2:$V$2,0))</f>
        <v>0.51</v>
      </c>
      <c r="W63" s="9">
        <f ca="1">OFFSET(TIAM15_assumptions!$G63,0,MATCH(VLOOKUP(Assumptions!W$2,TIAM15_assumptions!$Y$3:$Z$36,2,FALSE),TIAM15_assumptions!$H$2:$V$2,0))</f>
        <v>0.8</v>
      </c>
      <c r="X63" s="9">
        <f ca="1">OFFSET(TIAM15_assumptions!$G63,0,MATCH(VLOOKUP(Assumptions!X$2,TIAM15_assumptions!$Y$3:$Z$36,2,FALSE),TIAM15_assumptions!$H$2:$V$2,0))</f>
        <v>0.2</v>
      </c>
      <c r="Y63" s="9">
        <f ca="1">OFFSET(TIAM15_assumptions!$G63,0,MATCH(VLOOKUP(Assumptions!Y$2,TIAM15_assumptions!$Y$3:$Z$36,2,FALSE),TIAM15_assumptions!$H$2:$V$2,0))</f>
        <v>0.8</v>
      </c>
      <c r="Z63" s="9">
        <f ca="1">OFFSET(TIAM15_assumptions!$G63,0,MATCH(VLOOKUP(Assumptions!Z$2,TIAM15_assumptions!$Y$3:$Z$36,2,FALSE),TIAM15_assumptions!$H$2:$V$2,0))</f>
        <v>0.8</v>
      </c>
      <c r="AA63" s="9">
        <f ca="1">OFFSET(TIAM15_assumptions!$G63,0,MATCH(VLOOKUP(Assumptions!AA$2,TIAM15_assumptions!$Y$3:$Z$36,2,FALSE),TIAM15_assumptions!$H$2:$V$2,0))</f>
        <v>0.4</v>
      </c>
      <c r="AB63" s="9">
        <f ca="1">OFFSET(TIAM15_assumptions!$G63,0,MATCH(VLOOKUP(Assumptions!AB$2,TIAM15_assumptions!$Y$3:$Z$36,2,FALSE),TIAM15_assumptions!$H$2:$V$2,0))</f>
        <v>0.3</v>
      </c>
      <c r="AC63" s="9">
        <f ca="1">OFFSET(TIAM15_assumptions!$G63,0,MATCH(VLOOKUP(Assumptions!AC$2,TIAM15_assumptions!$Y$3:$Z$36,2,FALSE),TIAM15_assumptions!$H$2:$V$2,0))</f>
        <v>0.7</v>
      </c>
      <c r="AD63" s="9">
        <f ca="1">OFFSET(TIAM15_assumptions!$G63,0,MATCH(VLOOKUP(Assumptions!AD$2,TIAM15_assumptions!$Y$3:$Z$36,2,FALSE),TIAM15_assumptions!$H$2:$V$2,0))</f>
        <v>0.2</v>
      </c>
      <c r="AE63" s="9">
        <f ca="1">OFFSET(TIAM15_assumptions!$G63,0,MATCH(VLOOKUP(Assumptions!AE$2,TIAM15_assumptions!$Y$3:$Z$36,2,FALSE),TIAM15_assumptions!$H$2:$V$2,0))</f>
        <v>0.8</v>
      </c>
      <c r="AF63" s="9">
        <f ca="1">OFFSET(TIAM15_assumptions!$G63,0,MATCH(VLOOKUP(Assumptions!AF$2,TIAM15_assumptions!$Y$3:$Z$36,2,FALSE),TIAM15_assumptions!$H$2:$V$2,0))</f>
        <v>0.51</v>
      </c>
      <c r="AG63" s="9">
        <f ca="1">OFFSET(TIAM15_assumptions!$G63,0,MATCH(VLOOKUP(Assumptions!AG$2,TIAM15_assumptions!$Y$3:$Z$36,2,FALSE),TIAM15_assumptions!$H$2:$V$2,0))</f>
        <v>0.2</v>
      </c>
      <c r="AH63" s="9">
        <f ca="1">OFFSET(TIAM15_assumptions!$G63,0,MATCH(VLOOKUP(Assumptions!AH$2,TIAM15_assumptions!$Y$3:$Z$36,2,FALSE),TIAM15_assumptions!$H$2:$V$2,0))</f>
        <v>0.5</v>
      </c>
      <c r="AI63" s="9">
        <f ca="1">OFFSET(TIAM15_assumptions!$G63,0,MATCH(VLOOKUP(Assumptions!AI$2,TIAM15_assumptions!$Y$3:$Z$36,2,FALSE),TIAM15_assumptions!$H$2:$V$2,0))</f>
        <v>0.8</v>
      </c>
      <c r="AJ63" s="9">
        <f ca="1">OFFSET(TIAM15_assumptions!$G63,0,MATCH(VLOOKUP(Assumptions!AJ$2,TIAM15_assumptions!$Y$3:$Z$36,2,FALSE),TIAM15_assumptions!$H$2:$V$2,0))</f>
        <v>0.39173710207873419</v>
      </c>
      <c r="AK63" s="9">
        <f ca="1">OFFSET(TIAM15_assumptions!$G63,0,MATCH(VLOOKUP(Assumptions!AK$2,TIAM15_assumptions!$Y$3:$Z$36,2,FALSE),TIAM15_assumptions!$H$2:$V$2,0))</f>
        <v>0.39173710207873419</v>
      </c>
      <c r="AN63" s="34">
        <f ca="1">IFERROR(SUMIFS('TRA balance'!E$5:E$40,'TRA balance'!$C$5:$C$40,Assumptions!$C63,'TRA balance'!$D$5:$D$40,Assumptions!$B63)*BS63*H63,"")</f>
        <v>0</v>
      </c>
      <c r="AO63" s="34">
        <f ca="1">IFERROR(SUMIFS('TRA balance'!F$5:F$40,'TRA balance'!$C$5:$C$40,Assumptions!$C63,'TRA balance'!$D$5:$D$40,Assumptions!$B63)*BT63*I63,"")</f>
        <v>0</v>
      </c>
      <c r="AP63" s="34">
        <f ca="1">IFERROR(SUMIFS('TRA balance'!G$5:G$40,'TRA balance'!$C$5:$C$40,Assumptions!$C63,'TRA balance'!$D$5:$D$40,Assumptions!$B63)*BU63*J63,"")</f>
        <v>0.88950520816920009</v>
      </c>
      <c r="AQ63" s="34">
        <f ca="1">IFERROR(SUMIFS('TRA balance'!H$5:H$40,'TRA balance'!$C$5:$C$40,Assumptions!$C63,'TRA balance'!$D$5:$D$40,Assumptions!$B63)*BV63*K63,"")</f>
        <v>2.4491523960000001E-4</v>
      </c>
      <c r="AR63" s="34">
        <f ca="1">IFERROR(SUMIFS('TRA balance'!I$5:I$40,'TRA balance'!$C$5:$C$40,Assumptions!$C63,'TRA balance'!$D$5:$D$40,Assumptions!$B63)*BW63*L63,"")</f>
        <v>0.62952047794440003</v>
      </c>
      <c r="AS63" s="34">
        <f ca="1">IFERROR(SUMIFS('TRA balance'!J$5:J$40,'TRA balance'!$C$5:$C$40,Assumptions!$C63,'TRA balance'!$D$5:$D$40,Assumptions!$B63)*BX63*M63,"")</f>
        <v>7.0109408871763206</v>
      </c>
      <c r="AT63" s="34">
        <f ca="1">IFERROR(SUMIFS('TRA balance'!K$5:K$40,'TRA balance'!$C$5:$C$40,Assumptions!$C63,'TRA balance'!$D$5:$D$40,Assumptions!$B63)*BY63*N63,"")</f>
        <v>1.2826680479999999E-3</v>
      </c>
      <c r="AU63" s="34">
        <f ca="1">IFERROR(SUMIFS('TRA balance'!L$5:L$40,'TRA balance'!$C$5:$C$40,Assumptions!$C63,'TRA balance'!$D$5:$D$40,Assumptions!$B63)*BZ63*O63,"")</f>
        <v>13.671628410232801</v>
      </c>
      <c r="AV63" s="34">
        <f ca="1">IFERROR(SUMIFS('TRA balance'!M$5:M$40,'TRA balance'!$C$5:$C$40,Assumptions!$C63,'TRA balance'!$D$5:$D$40,Assumptions!$B63)*CA63*P63,"")</f>
        <v>0.17134817293440002</v>
      </c>
      <c r="AW63" s="34">
        <f ca="1">IFERROR(SUMIFS('TRA balance'!N$5:N$40,'TRA balance'!$C$5:$C$40,Assumptions!$C63,'TRA balance'!$D$5:$D$40,Assumptions!$B63)*CB63*Q63,"")</f>
        <v>0.76351246797600014</v>
      </c>
      <c r="AX63" s="34">
        <f ca="1">IFERROR(SUMIFS('TRA balance'!O$5:O$40,'TRA balance'!$C$5:$C$40,Assumptions!$C63,'TRA balance'!$D$5:$D$40,Assumptions!$B63)*CC63*R63,"")</f>
        <v>25.995793950974946</v>
      </c>
      <c r="AY63" s="34">
        <f ca="1">IFERROR(SUMIFS('TRA balance'!P$5:P$40,'TRA balance'!$C$5:$C$40,Assumptions!$C63,'TRA balance'!$D$5:$D$40,Assumptions!$B63)*CD63*S63,"")</f>
        <v>13.266633310084872</v>
      </c>
      <c r="AZ63" s="34">
        <f ca="1">IFERROR(SUMIFS('TRA balance'!Q$5:Q$40,'TRA balance'!$C$5:$C$40,Assumptions!$C63,'TRA balance'!$D$5:$D$40,Assumptions!$B63)*CE63*T63,"")</f>
        <v>15.856000895989096</v>
      </c>
      <c r="BA63" s="34">
        <f ca="1">IFERROR(SUMIFS('TRA balance'!R$5:R$40,'TRA balance'!$C$5:$C$40,Assumptions!$C63,'TRA balance'!$D$5:$D$40,Assumptions!$B63)*CF63*U63,"")</f>
        <v>21.682800455582793</v>
      </c>
      <c r="BB63" s="34">
        <f ca="1">IFERROR(SUMIFS('TRA balance'!S$5:S$40,'TRA balance'!$C$5:$C$40,Assumptions!$C63,'TRA balance'!$D$5:$D$40,Assumptions!$B63)*CG63*V63,"")</f>
        <v>5.7730970769478516</v>
      </c>
      <c r="BC63" s="34">
        <f ca="1">IFERROR(SUMIFS('TRA balance'!T$5:T$40,'TRA balance'!$C$5:$C$40,Assumptions!$C63,'TRA balance'!$D$5:$D$40,Assumptions!$B63)*CH63*W63,"")</f>
        <v>26.692118254019618</v>
      </c>
      <c r="BD63" s="34">
        <f ca="1">IFERROR(SUMIFS('TRA balance'!U$5:U$40,'TRA balance'!$C$5:$C$40,Assumptions!$C63,'TRA balance'!$D$5:$D$40,Assumptions!$B63)*CI63*X63,"")</f>
        <v>0.32320019347200007</v>
      </c>
      <c r="BE63" s="34">
        <f ca="1">IFERROR(SUMIFS('TRA balance'!V$5:V$40,'TRA balance'!$C$5:$C$40,Assumptions!$C63,'TRA balance'!$D$5:$D$40,Assumptions!$B63)*CJ63*Y63,"")</f>
        <v>38.34281965421787</v>
      </c>
      <c r="BF63" s="34">
        <f ca="1">IFERROR(SUMIFS('TRA balance'!W$5:W$40,'TRA balance'!$C$5:$C$40,Assumptions!$C63,'TRA balance'!$D$5:$D$40,Assumptions!$B63)*CK63*Z63,"")</f>
        <v>28.690532888580918</v>
      </c>
      <c r="BG63" s="34">
        <f ca="1">IFERROR(SUMIFS('TRA balance'!X$5:X$40,'TRA balance'!$C$5:$C$40,Assumptions!$C63,'TRA balance'!$D$5:$D$40,Assumptions!$B63)*CL63*AA63,"")</f>
        <v>0.16369383168000001</v>
      </c>
      <c r="BH63" s="34">
        <f ca="1">IFERROR(SUMIFS('TRA balance'!Y$5:Y$40,'TRA balance'!$C$5:$C$40,Assumptions!$C63,'TRA balance'!$D$5:$D$40,Assumptions!$B63)*CM63*AB63,"")</f>
        <v>0.67002888582000009</v>
      </c>
      <c r="BI63" s="34">
        <f ca="1">IFERROR(SUMIFS('TRA balance'!Z$5:Z$40,'TRA balance'!$C$5:$C$40,Assumptions!$C63,'TRA balance'!$D$5:$D$40,Assumptions!$B63)*CN63*AC63,"")</f>
        <v>0</v>
      </c>
      <c r="BJ63" s="34">
        <f ca="1">IFERROR(SUMIFS('TRA balance'!AA$5:AA$40,'TRA balance'!$C$5:$C$40,Assumptions!$C63,'TRA balance'!$D$5:$D$40,Assumptions!$B63)*CO63*AD63,"")</f>
        <v>0</v>
      </c>
      <c r="BK63" s="34">
        <f ca="1">IFERROR(SUMIFS('TRA balance'!AB$5:AB$40,'TRA balance'!$C$5:$C$40,Assumptions!$C63,'TRA balance'!$D$5:$D$40,Assumptions!$B63)*CP63*AE63,"")</f>
        <v>6.5987728566469261</v>
      </c>
      <c r="BL63" s="34">
        <f ca="1">IFERROR(SUMIFS('TRA balance'!AC$5:AC$40,'TRA balance'!$C$5:$C$40,Assumptions!$C63,'TRA balance'!$D$5:$D$40,Assumptions!$B63)*CQ63*AF63,"")</f>
        <v>0</v>
      </c>
      <c r="BM63" s="34">
        <f ca="1">IFERROR(SUMIFS('TRA balance'!AD$5:AD$40,'TRA balance'!$C$5:$C$40,Assumptions!$C63,'TRA balance'!$D$5:$D$40,Assumptions!$B63)*CR63*AG63,"")</f>
        <v>0</v>
      </c>
      <c r="BN63" s="34">
        <f ca="1">IFERROR(SUMIFS('TRA balance'!AE$5:AE$40,'TRA balance'!$C$5:$C$40,Assumptions!$C63,'TRA balance'!$D$5:$D$40,Assumptions!$B63)*CS63*AH63,"")</f>
        <v>0</v>
      </c>
      <c r="BO63" s="34">
        <f ca="1">IFERROR(SUMIFS('TRA balance'!AF$5:AF$40,'TRA balance'!$C$5:$C$40,Assumptions!$C63,'TRA balance'!$D$5:$D$40,Assumptions!$B63)*CT63*AI63,"")</f>
        <v>19.183733485776347</v>
      </c>
      <c r="BP63" s="34">
        <f ca="1">IFERROR(SUMIFS('TRA balance'!AG$5:AG$40,'TRA balance'!$C$5:$C$40,Assumptions!$C63,'TRA balance'!$D$5:$D$40,Assumptions!$B63)*CU63*AJ63,"")</f>
        <v>1.7479326065076168</v>
      </c>
      <c r="BQ63" s="34">
        <f ca="1">IFERROR(SUMIFS('TRA balance'!AH$5:AH$40,'TRA balance'!$C$5:$C$40,Assumptions!$C63,'TRA balance'!$D$5:$D$40,Assumptions!$B63)*CV63*AK63,"")</f>
        <v>0</v>
      </c>
      <c r="BS63" s="33">
        <f t="shared" ca="1" si="90"/>
        <v>0.1</v>
      </c>
      <c r="BT63" s="33">
        <f t="shared" ca="1" si="91"/>
        <v>0.1</v>
      </c>
      <c r="BU63" s="33">
        <f t="shared" ca="1" si="92"/>
        <v>7.0000000000000007E-2</v>
      </c>
      <c r="BV63" s="33">
        <f t="shared" ca="1" si="93"/>
        <v>0.05</v>
      </c>
      <c r="BW63" s="33">
        <f t="shared" ca="1" si="94"/>
        <v>0.05</v>
      </c>
      <c r="BX63" s="33">
        <f t="shared" ca="1" si="95"/>
        <v>0.08</v>
      </c>
      <c r="BY63" s="33">
        <f t="shared" ca="1" si="96"/>
        <v>0.02</v>
      </c>
      <c r="BZ63" s="33">
        <f t="shared" ca="1" si="97"/>
        <v>7.0000000000000007E-2</v>
      </c>
      <c r="CA63" s="33">
        <f t="shared" ca="1" si="98"/>
        <v>0.02</v>
      </c>
      <c r="CB63" s="33">
        <f t="shared" ca="1" si="99"/>
        <v>0.1</v>
      </c>
      <c r="CC63" s="33">
        <f t="shared" ca="1" si="100"/>
        <v>0.45342524249014599</v>
      </c>
      <c r="CD63" s="33">
        <f t="shared" ca="1" si="101"/>
        <v>0.35051309933039143</v>
      </c>
      <c r="CE63" s="33">
        <f t="shared" ca="1" si="102"/>
        <v>0.45342524249014599</v>
      </c>
      <c r="CF63" s="33">
        <f t="shared" ca="1" si="103"/>
        <v>0.45342524249014599</v>
      </c>
      <c r="CG63" s="33">
        <f t="shared" ca="1" si="104"/>
        <v>0.35051309933039143</v>
      </c>
      <c r="CH63" s="33">
        <f t="shared" ca="1" si="31"/>
        <v>0.45342524249014599</v>
      </c>
      <c r="CI63" s="33">
        <f t="shared" ca="1" si="32"/>
        <v>0.1</v>
      </c>
      <c r="CJ63" s="33">
        <f t="shared" ca="1" si="33"/>
        <v>0.45342524249014599</v>
      </c>
      <c r="CK63" s="33">
        <f t="shared" ca="1" si="34"/>
        <v>0.45342524249014599</v>
      </c>
      <c r="CL63" s="33">
        <f t="shared" ca="1" si="35"/>
        <v>0.25</v>
      </c>
      <c r="CM63" s="33">
        <f t="shared" ca="1" si="36"/>
        <v>7.0000000000000007E-2</v>
      </c>
      <c r="CN63" s="33">
        <f t="shared" ca="1" si="37"/>
        <v>0.15</v>
      </c>
      <c r="CO63" s="33">
        <f t="shared" ca="1" si="38"/>
        <v>0.1</v>
      </c>
      <c r="CP63" s="33">
        <f t="shared" ca="1" si="39"/>
        <v>0.45342524249014599</v>
      </c>
      <c r="CQ63" s="33">
        <f t="shared" ca="1" si="40"/>
        <v>0.05</v>
      </c>
      <c r="CR63" s="33">
        <f t="shared" ca="1" si="41"/>
        <v>0.1</v>
      </c>
      <c r="CS63" s="33">
        <f t="shared" ca="1" si="42"/>
        <v>0.1</v>
      </c>
      <c r="CT63" s="33">
        <f t="shared" ca="1" si="43"/>
        <v>0.45342524249014599</v>
      </c>
      <c r="CU63" s="33">
        <f t="shared" ca="1" si="44"/>
        <v>2.4406421822616497E-2</v>
      </c>
      <c r="CV63" s="33">
        <f t="shared" ca="1" si="45"/>
        <v>2.4406421822616497E-2</v>
      </c>
    </row>
    <row r="64" spans="1:100" x14ac:dyDescent="0.45">
      <c r="A64">
        <v>1</v>
      </c>
      <c r="B64" t="str">
        <f>VLOOKUP(F64,'TRA balance'!$AK$5:$AL$14,2,FALSE)</f>
        <v>TRABDS</v>
      </c>
      <c r="C64" s="6" t="str">
        <f t="shared" si="46"/>
        <v>TR</v>
      </c>
      <c r="D64" s="7" t="s">
        <v>16</v>
      </c>
      <c r="E64" s="18" t="s">
        <v>63</v>
      </c>
      <c r="F64" s="8" t="str">
        <f t="shared" ref="F64:F67" si="144">F63</f>
        <v>Bio Diesel</v>
      </c>
      <c r="G64" s="6" t="s">
        <v>64</v>
      </c>
      <c r="H64" s="9">
        <f ca="1">OFFSET(TIAM15_assumptions!$G64,0,MATCH(VLOOKUP(Assumptions!H$2,TIAM15_assumptions!$Y$3:$Z$36,2,FALSE),TIAM15_assumptions!$H$2:$V$2,0))</f>
        <v>0.5</v>
      </c>
      <c r="I64" s="9">
        <f ca="1">OFFSET(TIAM15_assumptions!$G64,0,MATCH(VLOOKUP(Assumptions!I$2,TIAM15_assumptions!$Y$3:$Z$36,2,FALSE),TIAM15_assumptions!$H$2:$V$2,0))</f>
        <v>0.5</v>
      </c>
      <c r="J64" s="9">
        <f ca="1">OFFSET(TIAM15_assumptions!$G64,0,MATCH(VLOOKUP(Assumptions!J$2,TIAM15_assumptions!$Y$3:$Z$36,2,FALSE),TIAM15_assumptions!$H$2:$V$2,0))</f>
        <v>0.69</v>
      </c>
      <c r="K64" s="9">
        <f ca="1">OFFSET(TIAM15_assumptions!$G64,0,MATCH(VLOOKUP(Assumptions!K$2,TIAM15_assumptions!$Y$3:$Z$36,2,FALSE),TIAM15_assumptions!$H$2:$V$2,0))</f>
        <v>0.49</v>
      </c>
      <c r="L64" s="9">
        <f ca="1">OFFSET(TIAM15_assumptions!$G64,0,MATCH(VLOOKUP(Assumptions!L$2,TIAM15_assumptions!$Y$3:$Z$36,2,FALSE),TIAM15_assumptions!$H$2:$V$2,0))</f>
        <v>0.53</v>
      </c>
      <c r="M64" s="9">
        <f ca="1">OFFSET(TIAM15_assumptions!$G64,0,MATCH(VLOOKUP(Assumptions!M$2,TIAM15_assumptions!$Y$3:$Z$36,2,FALSE),TIAM15_assumptions!$H$2:$V$2,0))</f>
        <v>0.66</v>
      </c>
      <c r="N64" s="9">
        <f ca="1">OFFSET(TIAM15_assumptions!$G64,0,MATCH(VLOOKUP(Assumptions!N$2,TIAM15_assumptions!$Y$3:$Z$36,2,FALSE),TIAM15_assumptions!$H$2:$V$2,0))</f>
        <v>0.7</v>
      </c>
      <c r="O64" s="9">
        <f ca="1">OFFSET(TIAM15_assumptions!$G64,0,MATCH(VLOOKUP(Assumptions!O$2,TIAM15_assumptions!$Y$3:$Z$36,2,FALSE),TIAM15_assumptions!$H$2:$V$2,0))</f>
        <v>0.69</v>
      </c>
      <c r="P64" s="9">
        <f ca="1">OFFSET(TIAM15_assumptions!$G64,0,MATCH(VLOOKUP(Assumptions!P$2,TIAM15_assumptions!$Y$3:$Z$36,2,FALSE),TIAM15_assumptions!$H$2:$V$2,0))</f>
        <v>0.6</v>
      </c>
      <c r="Q64" s="9">
        <f ca="1">OFFSET(TIAM15_assumptions!$G64,0,MATCH(VLOOKUP(Assumptions!Q$2,TIAM15_assumptions!$Y$3:$Z$36,2,FALSE),TIAM15_assumptions!$H$2:$V$2,0))</f>
        <v>0.2</v>
      </c>
      <c r="R64" s="9">
        <f ca="1">OFFSET(TIAM15_assumptions!$G64,0,MATCH(VLOOKUP(Assumptions!R$2,TIAM15_assumptions!$Y$3:$Z$36,2,FALSE),TIAM15_assumptions!$H$2:$V$2,0))</f>
        <v>0.2</v>
      </c>
      <c r="S64" s="9">
        <f ca="1">OFFSET(TIAM15_assumptions!$G64,0,MATCH(VLOOKUP(Assumptions!S$2,TIAM15_assumptions!$Y$3:$Z$36,2,FALSE),TIAM15_assumptions!$H$2:$V$2,0))</f>
        <v>0.49</v>
      </c>
      <c r="T64" s="9">
        <f ca="1">OFFSET(TIAM15_assumptions!$G64,0,MATCH(VLOOKUP(Assumptions!T$2,TIAM15_assumptions!$Y$3:$Z$36,2,FALSE),TIAM15_assumptions!$H$2:$V$2,0))</f>
        <v>0.2</v>
      </c>
      <c r="U64" s="9">
        <f ca="1">OFFSET(TIAM15_assumptions!$G64,0,MATCH(VLOOKUP(Assumptions!U$2,TIAM15_assumptions!$Y$3:$Z$36,2,FALSE),TIAM15_assumptions!$H$2:$V$2,0))</f>
        <v>0.2</v>
      </c>
      <c r="V64" s="9">
        <f ca="1">OFFSET(TIAM15_assumptions!$G64,0,MATCH(VLOOKUP(Assumptions!V$2,TIAM15_assumptions!$Y$3:$Z$36,2,FALSE),TIAM15_assumptions!$H$2:$V$2,0))</f>
        <v>0.49</v>
      </c>
      <c r="W64" s="9">
        <f ca="1">OFFSET(TIAM15_assumptions!$G64,0,MATCH(VLOOKUP(Assumptions!W$2,TIAM15_assumptions!$Y$3:$Z$36,2,FALSE),TIAM15_assumptions!$H$2:$V$2,0))</f>
        <v>0.2</v>
      </c>
      <c r="X64" s="9">
        <f ca="1">OFFSET(TIAM15_assumptions!$G64,0,MATCH(VLOOKUP(Assumptions!X$2,TIAM15_assumptions!$Y$3:$Z$36,2,FALSE),TIAM15_assumptions!$H$2:$V$2,0))</f>
        <v>0.8</v>
      </c>
      <c r="Y64" s="9">
        <f ca="1">OFFSET(TIAM15_assumptions!$G64,0,MATCH(VLOOKUP(Assumptions!Y$2,TIAM15_assumptions!$Y$3:$Z$36,2,FALSE),TIAM15_assumptions!$H$2:$V$2,0))</f>
        <v>0.2</v>
      </c>
      <c r="Z64" s="9">
        <f ca="1">OFFSET(TIAM15_assumptions!$G64,0,MATCH(VLOOKUP(Assumptions!Z$2,TIAM15_assumptions!$Y$3:$Z$36,2,FALSE),TIAM15_assumptions!$H$2:$V$2,0))</f>
        <v>0.2</v>
      </c>
      <c r="AA64" s="9">
        <f ca="1">OFFSET(TIAM15_assumptions!$G64,0,MATCH(VLOOKUP(Assumptions!AA$2,TIAM15_assumptions!$Y$3:$Z$36,2,FALSE),TIAM15_assumptions!$H$2:$V$2,0))</f>
        <v>0.35</v>
      </c>
      <c r="AB64" s="9">
        <f ca="1">OFFSET(TIAM15_assumptions!$G64,0,MATCH(VLOOKUP(Assumptions!AB$2,TIAM15_assumptions!$Y$3:$Z$36,2,FALSE),TIAM15_assumptions!$H$2:$V$2,0))</f>
        <v>0.69</v>
      </c>
      <c r="AC64" s="9">
        <f ca="1">OFFSET(TIAM15_assumptions!$G64,0,MATCH(VLOOKUP(Assumptions!AC$2,TIAM15_assumptions!$Y$3:$Z$36,2,FALSE),TIAM15_assumptions!$H$2:$V$2,0))</f>
        <v>0.30000000000000004</v>
      </c>
      <c r="AD64" s="9">
        <f ca="1">OFFSET(TIAM15_assumptions!$G64,0,MATCH(VLOOKUP(Assumptions!AD$2,TIAM15_assumptions!$Y$3:$Z$36,2,FALSE),TIAM15_assumptions!$H$2:$V$2,0))</f>
        <v>0.8</v>
      </c>
      <c r="AE64" s="9">
        <f ca="1">OFFSET(TIAM15_assumptions!$G64,0,MATCH(VLOOKUP(Assumptions!AE$2,TIAM15_assumptions!$Y$3:$Z$36,2,FALSE),TIAM15_assumptions!$H$2:$V$2,0))</f>
        <v>0.2</v>
      </c>
      <c r="AF64" s="9">
        <f ca="1">OFFSET(TIAM15_assumptions!$G64,0,MATCH(VLOOKUP(Assumptions!AF$2,TIAM15_assumptions!$Y$3:$Z$36,2,FALSE),TIAM15_assumptions!$H$2:$V$2,0))</f>
        <v>0.49</v>
      </c>
      <c r="AG64" s="9">
        <f ca="1">OFFSET(TIAM15_assumptions!$G64,0,MATCH(VLOOKUP(Assumptions!AG$2,TIAM15_assumptions!$Y$3:$Z$36,2,FALSE),TIAM15_assumptions!$H$2:$V$2,0))</f>
        <v>0.8</v>
      </c>
      <c r="AH64" s="9">
        <f ca="1">OFFSET(TIAM15_assumptions!$G64,0,MATCH(VLOOKUP(Assumptions!AH$2,TIAM15_assumptions!$Y$3:$Z$36,2,FALSE),TIAM15_assumptions!$H$2:$V$2,0))</f>
        <v>0.5</v>
      </c>
      <c r="AI64" s="9">
        <f ca="1">OFFSET(TIAM15_assumptions!$G64,0,MATCH(VLOOKUP(Assumptions!AI$2,TIAM15_assumptions!$Y$3:$Z$36,2,FALSE),TIAM15_assumptions!$H$2:$V$2,0))</f>
        <v>0.2</v>
      </c>
      <c r="AJ64" s="9">
        <f ca="1">OFFSET(TIAM15_assumptions!$G64,0,MATCH(VLOOKUP(Assumptions!AJ$2,TIAM15_assumptions!$Y$3:$Z$36,2,FALSE),TIAM15_assumptions!$H$2:$V$2,0))</f>
        <v>0.60826289792126587</v>
      </c>
      <c r="AK64" s="9">
        <f ca="1">OFFSET(TIAM15_assumptions!$G64,0,MATCH(VLOOKUP(Assumptions!AK$2,TIAM15_assumptions!$Y$3:$Z$36,2,FALSE),TIAM15_assumptions!$H$2:$V$2,0))</f>
        <v>0.60826289792126587</v>
      </c>
      <c r="AN64" s="34">
        <f ca="1">IFERROR(SUMIFS('TRA balance'!E$5:E$40,'TRA balance'!$C$5:$C$40,Assumptions!$C64,'TRA balance'!$D$5:$D$40,Assumptions!$B64)*BS64*H64,"")</f>
        <v>0</v>
      </c>
      <c r="AO64" s="34">
        <f ca="1">IFERROR(SUMIFS('TRA balance'!F$5:F$40,'TRA balance'!$C$5:$C$40,Assumptions!$C64,'TRA balance'!$D$5:$D$40,Assumptions!$B64)*BT64*I64,"")</f>
        <v>0</v>
      </c>
      <c r="AP64" s="34">
        <f ca="1">IFERROR(SUMIFS('TRA balance'!G$5:G$40,'TRA balance'!$C$5:$C$40,Assumptions!$C64,'TRA balance'!$D$5:$D$40,Assumptions!$B64)*BU64*J64,"")</f>
        <v>2.0458619787891603</v>
      </c>
      <c r="AQ64" s="34">
        <f ca="1">IFERROR(SUMIFS('TRA balance'!H$5:H$40,'TRA balance'!$C$5:$C$40,Assumptions!$C64,'TRA balance'!$D$5:$D$40,Assumptions!$B64)*BV64*K64,"")</f>
        <v>2.3531072039999998E-4</v>
      </c>
      <c r="AR64" s="34">
        <f ca="1">IFERROR(SUMIFS('TRA balance'!I$5:I$40,'TRA balance'!$C$5:$C$40,Assumptions!$C64,'TRA balance'!$D$5:$D$40,Assumptions!$B64)*BW64*L64,"")</f>
        <v>0.72531707241420007</v>
      </c>
      <c r="AS64" s="34">
        <f ca="1">IFERROR(SUMIFS('TRA balance'!J$5:J$40,'TRA balance'!$C$5:$C$40,Assumptions!$C64,'TRA balance'!$D$5:$D$40,Assumptions!$B64)*BX64*M64,"")</f>
        <v>13.60947348687168</v>
      </c>
      <c r="AT64" s="34">
        <f ca="1">IFERROR(SUMIFS('TRA balance'!K$5:K$40,'TRA balance'!$C$5:$C$40,Assumptions!$C64,'TRA balance'!$D$5:$D$40,Assumptions!$B64)*BY64*N64,"")</f>
        <v>2.9928921119999996E-3</v>
      </c>
      <c r="AU64" s="34">
        <f ca="1">IFERROR(SUMIFS('TRA balance'!L$5:L$40,'TRA balance'!$C$5:$C$40,Assumptions!$C64,'TRA balance'!$D$5:$D$40,Assumptions!$B64)*BZ64*O64,"")</f>
        <v>31.444745343535441</v>
      </c>
      <c r="AV64" s="34">
        <f ca="1">IFERROR(SUMIFS('TRA balance'!M$5:M$40,'TRA balance'!$C$5:$C$40,Assumptions!$C64,'TRA balance'!$D$5:$D$40,Assumptions!$B64)*CA64*P64,"")</f>
        <v>0.25702225940160001</v>
      </c>
      <c r="AW64" s="34">
        <f ca="1">IFERROR(SUMIFS('TRA balance'!N$5:N$40,'TRA balance'!$C$5:$C$40,Assumptions!$C64,'TRA balance'!$D$5:$D$40,Assumptions!$B64)*CB64*Q64,"")</f>
        <v>0.76351246797600014</v>
      </c>
      <c r="AX64" s="34">
        <f ca="1">IFERROR(SUMIFS('TRA balance'!O$5:O$40,'TRA balance'!$C$5:$C$40,Assumptions!$C64,'TRA balance'!$D$5:$D$40,Assumptions!$B64)*CC64*R64,"")</f>
        <v>6.4989484877437365</v>
      </c>
      <c r="AY64" s="34">
        <f ca="1">IFERROR(SUMIFS('TRA balance'!P$5:P$40,'TRA balance'!$C$5:$C$40,Assumptions!$C64,'TRA balance'!$D$5:$D$40,Assumptions!$B64)*CD64*S64,"")</f>
        <v>12.746373180277621</v>
      </c>
      <c r="AZ64" s="34">
        <f ca="1">IFERROR(SUMIFS('TRA balance'!Q$5:Q$40,'TRA balance'!$C$5:$C$40,Assumptions!$C64,'TRA balance'!$D$5:$D$40,Assumptions!$B64)*CE64*T64,"")</f>
        <v>3.964000223997274</v>
      </c>
      <c r="BA64" s="34">
        <f ca="1">IFERROR(SUMIFS('TRA balance'!R$5:R$40,'TRA balance'!$C$5:$C$40,Assumptions!$C64,'TRA balance'!$D$5:$D$40,Assumptions!$B64)*CF64*U64,"")</f>
        <v>5.4207001138956983</v>
      </c>
      <c r="BB64" s="34">
        <f ca="1">IFERROR(SUMIFS('TRA balance'!S$5:S$40,'TRA balance'!$C$5:$C$40,Assumptions!$C64,'TRA balance'!$D$5:$D$40,Assumptions!$B64)*CG64*V64,"")</f>
        <v>5.546701113145974</v>
      </c>
      <c r="BC64" s="34">
        <f ca="1">IFERROR(SUMIFS('TRA balance'!T$5:T$40,'TRA balance'!$C$5:$C$40,Assumptions!$C64,'TRA balance'!$D$5:$D$40,Assumptions!$B64)*CH64*W64,"")</f>
        <v>6.6730295635049046</v>
      </c>
      <c r="BD64" s="34">
        <f ca="1">IFERROR(SUMIFS('TRA balance'!U$5:U$40,'TRA balance'!$C$5:$C$40,Assumptions!$C64,'TRA balance'!$D$5:$D$40,Assumptions!$B64)*CI64*X64,"")</f>
        <v>1.2928007738880003</v>
      </c>
      <c r="BE64" s="34">
        <f ca="1">IFERROR(SUMIFS('TRA balance'!V$5:V$40,'TRA balance'!$C$5:$C$40,Assumptions!$C64,'TRA balance'!$D$5:$D$40,Assumptions!$B64)*CJ64*Y64,"")</f>
        <v>9.5857049135544674</v>
      </c>
      <c r="BF64" s="34">
        <f ca="1">IFERROR(SUMIFS('TRA balance'!W$5:W$40,'TRA balance'!$C$5:$C$40,Assumptions!$C64,'TRA balance'!$D$5:$D$40,Assumptions!$B64)*CK64*Z64,"")</f>
        <v>7.1726332221452296</v>
      </c>
      <c r="BG64" s="34">
        <f ca="1">IFERROR(SUMIFS('TRA balance'!X$5:X$40,'TRA balance'!$C$5:$C$40,Assumptions!$C64,'TRA balance'!$D$5:$D$40,Assumptions!$B64)*CL64*AA64,"")</f>
        <v>0.14323210272</v>
      </c>
      <c r="BH64" s="34">
        <f ca="1">IFERROR(SUMIFS('TRA balance'!Y$5:Y$40,'TRA balance'!$C$5:$C$40,Assumptions!$C64,'TRA balance'!$D$5:$D$40,Assumptions!$B64)*CM64*AB64,"")</f>
        <v>1.5410664373860001</v>
      </c>
      <c r="BI64" s="34">
        <f ca="1">IFERROR(SUMIFS('TRA balance'!Z$5:Z$40,'TRA balance'!$C$5:$C$40,Assumptions!$C64,'TRA balance'!$D$5:$D$40,Assumptions!$B64)*CN64*AC64,"")</f>
        <v>0</v>
      </c>
      <c r="BJ64" s="34">
        <f ca="1">IFERROR(SUMIFS('TRA balance'!AA$5:AA$40,'TRA balance'!$C$5:$C$40,Assumptions!$C64,'TRA balance'!$D$5:$D$40,Assumptions!$B64)*CO64*AD64,"")</f>
        <v>0</v>
      </c>
      <c r="BK64" s="34">
        <f ca="1">IFERROR(SUMIFS('TRA balance'!AB$5:AB$40,'TRA balance'!$C$5:$C$40,Assumptions!$C64,'TRA balance'!$D$5:$D$40,Assumptions!$B64)*CP64*AE64,"")</f>
        <v>1.6496932141617315</v>
      </c>
      <c r="BL64" s="34">
        <f ca="1">IFERROR(SUMIFS('TRA balance'!AC$5:AC$40,'TRA balance'!$C$5:$C$40,Assumptions!$C64,'TRA balance'!$D$5:$D$40,Assumptions!$B64)*CQ64*AF64,"")</f>
        <v>0</v>
      </c>
      <c r="BM64" s="34">
        <f ca="1">IFERROR(SUMIFS('TRA balance'!AD$5:AD$40,'TRA balance'!$C$5:$C$40,Assumptions!$C64,'TRA balance'!$D$5:$D$40,Assumptions!$B64)*CR64*AG64,"")</f>
        <v>0</v>
      </c>
      <c r="BN64" s="34">
        <f ca="1">IFERROR(SUMIFS('TRA balance'!AE$5:AE$40,'TRA balance'!$C$5:$C$40,Assumptions!$C64,'TRA balance'!$D$5:$D$40,Assumptions!$B64)*CS64*AH64,"")</f>
        <v>0</v>
      </c>
      <c r="BO64" s="34">
        <f ca="1">IFERROR(SUMIFS('TRA balance'!AF$5:AF$40,'TRA balance'!$C$5:$C$40,Assumptions!$C64,'TRA balance'!$D$5:$D$40,Assumptions!$B64)*CT64*AI64,"")</f>
        <v>4.7959333714440868</v>
      </c>
      <c r="BP64" s="34">
        <f ca="1">IFERROR(SUMIFS('TRA balance'!AG$5:AG$40,'TRA balance'!$C$5:$C$40,Assumptions!$C64,'TRA balance'!$D$5:$D$40,Assumptions!$B64)*CU64*AJ64,"")</f>
        <v>2.7140716234524667</v>
      </c>
      <c r="BQ64" s="34">
        <f ca="1">IFERROR(SUMIFS('TRA balance'!AH$5:AH$40,'TRA balance'!$C$5:$C$40,Assumptions!$C64,'TRA balance'!$D$5:$D$40,Assumptions!$B64)*CV64*AK64,"")</f>
        <v>0</v>
      </c>
      <c r="BS64" s="33">
        <f t="shared" ca="1" si="90"/>
        <v>0.1</v>
      </c>
      <c r="BT64" s="33">
        <f t="shared" ca="1" si="91"/>
        <v>0.1</v>
      </c>
      <c r="BU64" s="33">
        <f t="shared" ca="1" si="92"/>
        <v>7.0000000000000007E-2</v>
      </c>
      <c r="BV64" s="33">
        <f t="shared" ca="1" si="93"/>
        <v>0.05</v>
      </c>
      <c r="BW64" s="33">
        <f t="shared" ca="1" si="94"/>
        <v>0.05</v>
      </c>
      <c r="BX64" s="33">
        <f t="shared" ca="1" si="95"/>
        <v>0.08</v>
      </c>
      <c r="BY64" s="33">
        <f t="shared" ca="1" si="96"/>
        <v>0.02</v>
      </c>
      <c r="BZ64" s="33">
        <f t="shared" ca="1" si="97"/>
        <v>7.0000000000000007E-2</v>
      </c>
      <c r="CA64" s="33">
        <f t="shared" ca="1" si="98"/>
        <v>0.02</v>
      </c>
      <c r="CB64" s="33">
        <f t="shared" ca="1" si="99"/>
        <v>0.1</v>
      </c>
      <c r="CC64" s="33">
        <f t="shared" ca="1" si="100"/>
        <v>0.45342524249014599</v>
      </c>
      <c r="CD64" s="33">
        <f t="shared" ca="1" si="101"/>
        <v>0.35051309933039143</v>
      </c>
      <c r="CE64" s="33">
        <f t="shared" ca="1" si="102"/>
        <v>0.45342524249014599</v>
      </c>
      <c r="CF64" s="33">
        <f t="shared" ca="1" si="103"/>
        <v>0.45342524249014599</v>
      </c>
      <c r="CG64" s="33">
        <f t="shared" ca="1" si="104"/>
        <v>0.35051309933039143</v>
      </c>
      <c r="CH64" s="33">
        <f t="shared" ca="1" si="31"/>
        <v>0.45342524249014599</v>
      </c>
      <c r="CI64" s="33">
        <f t="shared" ca="1" si="32"/>
        <v>0.1</v>
      </c>
      <c r="CJ64" s="33">
        <f t="shared" ca="1" si="33"/>
        <v>0.45342524249014599</v>
      </c>
      <c r="CK64" s="33">
        <f t="shared" ca="1" si="34"/>
        <v>0.45342524249014599</v>
      </c>
      <c r="CL64" s="33">
        <f t="shared" ca="1" si="35"/>
        <v>0.25</v>
      </c>
      <c r="CM64" s="33">
        <f t="shared" ca="1" si="36"/>
        <v>7.0000000000000007E-2</v>
      </c>
      <c r="CN64" s="33">
        <f t="shared" ca="1" si="37"/>
        <v>0.15</v>
      </c>
      <c r="CO64" s="33">
        <f t="shared" ca="1" si="38"/>
        <v>0.1</v>
      </c>
      <c r="CP64" s="33">
        <f t="shared" ca="1" si="39"/>
        <v>0.45342524249014599</v>
      </c>
      <c r="CQ64" s="33">
        <f t="shared" ca="1" si="40"/>
        <v>0.05</v>
      </c>
      <c r="CR64" s="33">
        <f t="shared" ca="1" si="41"/>
        <v>0.1</v>
      </c>
      <c r="CS64" s="33">
        <f t="shared" ca="1" si="42"/>
        <v>0.1</v>
      </c>
      <c r="CT64" s="33">
        <f t="shared" ca="1" si="43"/>
        <v>0.45342524249014599</v>
      </c>
      <c r="CU64" s="33">
        <f t="shared" ca="1" si="44"/>
        <v>2.4406421822616497E-2</v>
      </c>
      <c r="CV64" s="33">
        <f t="shared" ca="1" si="45"/>
        <v>2.4406421822616497E-2</v>
      </c>
    </row>
    <row r="65" spans="1:100" x14ac:dyDescent="0.45">
      <c r="A65">
        <v>1</v>
      </c>
      <c r="B65" t="str">
        <f>VLOOKUP(F65,'TRA balance'!$AK$5:$AL$14,2,FALSE)</f>
        <v>TRABDS</v>
      </c>
      <c r="C65" s="6" t="str">
        <f t="shared" si="46"/>
        <v>TR</v>
      </c>
      <c r="D65" s="7" t="s">
        <v>16</v>
      </c>
      <c r="E65" s="18" t="s">
        <v>65</v>
      </c>
      <c r="F65" s="8" t="str">
        <f t="shared" si="144"/>
        <v>Bio Diesel</v>
      </c>
      <c r="G65" s="6" t="s">
        <v>66</v>
      </c>
      <c r="H65" s="9">
        <f ca="1">OFFSET(TIAM15_assumptions!$G65,0,MATCH(VLOOKUP(Assumptions!H$2,TIAM15_assumptions!$Y$3:$Z$36,2,FALSE),TIAM15_assumptions!$H$2:$V$2,0))</f>
        <v>0</v>
      </c>
      <c r="I65" s="9">
        <f ca="1">OFFSET(TIAM15_assumptions!$G65,0,MATCH(VLOOKUP(Assumptions!I$2,TIAM15_assumptions!$Y$3:$Z$36,2,FALSE),TIAM15_assumptions!$H$2:$V$2,0))</f>
        <v>0</v>
      </c>
      <c r="J65" s="9">
        <f ca="1">OFFSET(TIAM15_assumptions!$G65,0,MATCH(VLOOKUP(Assumptions!J$2,TIAM15_assumptions!$Y$3:$Z$36,2,FALSE),TIAM15_assumptions!$H$2:$V$2,0))</f>
        <v>0.01</v>
      </c>
      <c r="K65" s="9">
        <f ca="1">OFFSET(TIAM15_assumptions!$G65,0,MATCH(VLOOKUP(Assumptions!K$2,TIAM15_assumptions!$Y$3:$Z$36,2,FALSE),TIAM15_assumptions!$H$2:$V$2,0))</f>
        <v>0</v>
      </c>
      <c r="L65" s="9">
        <f ca="1">OFFSET(TIAM15_assumptions!$G65,0,MATCH(VLOOKUP(Assumptions!L$2,TIAM15_assumptions!$Y$3:$Z$36,2,FALSE),TIAM15_assumptions!$H$2:$V$2,0))</f>
        <v>0.01</v>
      </c>
      <c r="M65" s="9">
        <f ca="1">OFFSET(TIAM15_assumptions!$G65,0,MATCH(VLOOKUP(Assumptions!M$2,TIAM15_assumptions!$Y$3:$Z$36,2,FALSE),TIAM15_assumptions!$H$2:$V$2,0))</f>
        <v>0</v>
      </c>
      <c r="N65" s="9">
        <f ca="1">OFFSET(TIAM15_assumptions!$G65,0,MATCH(VLOOKUP(Assumptions!N$2,TIAM15_assumptions!$Y$3:$Z$36,2,FALSE),TIAM15_assumptions!$H$2:$V$2,0))</f>
        <v>0</v>
      </c>
      <c r="O65" s="9">
        <f ca="1">OFFSET(TIAM15_assumptions!$G65,0,MATCH(VLOOKUP(Assumptions!O$2,TIAM15_assumptions!$Y$3:$Z$36,2,FALSE),TIAM15_assumptions!$H$2:$V$2,0))</f>
        <v>0.01</v>
      </c>
      <c r="P65" s="9">
        <f ca="1">OFFSET(TIAM15_assumptions!$G65,0,MATCH(VLOOKUP(Assumptions!P$2,TIAM15_assumptions!$Y$3:$Z$36,2,FALSE),TIAM15_assumptions!$H$2:$V$2,0))</f>
        <v>0</v>
      </c>
      <c r="Q65" s="9">
        <f ca="1">OFFSET(TIAM15_assumptions!$G65,0,MATCH(VLOOKUP(Assumptions!Q$2,TIAM15_assumptions!$Y$3:$Z$36,2,FALSE),TIAM15_assumptions!$H$2:$V$2,0))</f>
        <v>0.6</v>
      </c>
      <c r="R65" s="9">
        <f ca="1">OFFSET(TIAM15_assumptions!$G65,0,MATCH(VLOOKUP(Assumptions!R$2,TIAM15_assumptions!$Y$3:$Z$36,2,FALSE),TIAM15_assumptions!$H$2:$V$2,0))</f>
        <v>0</v>
      </c>
      <c r="S65" s="9">
        <f ca="1">OFFSET(TIAM15_assumptions!$G65,0,MATCH(VLOOKUP(Assumptions!S$2,TIAM15_assumptions!$Y$3:$Z$36,2,FALSE),TIAM15_assumptions!$H$2:$V$2,0))</f>
        <v>0</v>
      </c>
      <c r="T65" s="9">
        <f ca="1">OFFSET(TIAM15_assumptions!$G65,0,MATCH(VLOOKUP(Assumptions!T$2,TIAM15_assumptions!$Y$3:$Z$36,2,FALSE),TIAM15_assumptions!$H$2:$V$2,0))</f>
        <v>0</v>
      </c>
      <c r="U65" s="9">
        <f ca="1">OFFSET(TIAM15_assumptions!$G65,0,MATCH(VLOOKUP(Assumptions!U$2,TIAM15_assumptions!$Y$3:$Z$36,2,FALSE),TIAM15_assumptions!$H$2:$V$2,0))</f>
        <v>0</v>
      </c>
      <c r="V65" s="9">
        <f ca="1">OFFSET(TIAM15_assumptions!$G65,0,MATCH(VLOOKUP(Assumptions!V$2,TIAM15_assumptions!$Y$3:$Z$36,2,FALSE),TIAM15_assumptions!$H$2:$V$2,0))</f>
        <v>0</v>
      </c>
      <c r="W65" s="9">
        <f ca="1">OFFSET(TIAM15_assumptions!$G65,0,MATCH(VLOOKUP(Assumptions!W$2,TIAM15_assumptions!$Y$3:$Z$36,2,FALSE),TIAM15_assumptions!$H$2:$V$2,0))</f>
        <v>0</v>
      </c>
      <c r="X65" s="9">
        <f ca="1">OFFSET(TIAM15_assumptions!$G65,0,MATCH(VLOOKUP(Assumptions!X$2,TIAM15_assumptions!$Y$3:$Z$36,2,FALSE),TIAM15_assumptions!$H$2:$V$2,0))</f>
        <v>0</v>
      </c>
      <c r="Y65" s="9">
        <f ca="1">OFFSET(TIAM15_assumptions!$G65,0,MATCH(VLOOKUP(Assumptions!Y$2,TIAM15_assumptions!$Y$3:$Z$36,2,FALSE),TIAM15_assumptions!$H$2:$V$2,0))</f>
        <v>0</v>
      </c>
      <c r="Z65" s="9">
        <f ca="1">OFFSET(TIAM15_assumptions!$G65,0,MATCH(VLOOKUP(Assumptions!Z$2,TIAM15_assumptions!$Y$3:$Z$36,2,FALSE),TIAM15_assumptions!$H$2:$V$2,0))</f>
        <v>0</v>
      </c>
      <c r="AA65" s="9">
        <f ca="1">OFFSET(TIAM15_assumptions!$G65,0,MATCH(VLOOKUP(Assumptions!AA$2,TIAM15_assumptions!$Y$3:$Z$36,2,FALSE),TIAM15_assumptions!$H$2:$V$2,0))</f>
        <v>0.25</v>
      </c>
      <c r="AB65" s="9">
        <f ca="1">OFFSET(TIAM15_assumptions!$G65,0,MATCH(VLOOKUP(Assumptions!AB$2,TIAM15_assumptions!$Y$3:$Z$36,2,FALSE),TIAM15_assumptions!$H$2:$V$2,0))</f>
        <v>0.01</v>
      </c>
      <c r="AC65" s="9">
        <f ca="1">OFFSET(TIAM15_assumptions!$G65,0,MATCH(VLOOKUP(Assumptions!AC$2,TIAM15_assumptions!$Y$3:$Z$36,2,FALSE),TIAM15_assumptions!$H$2:$V$2,0))</f>
        <v>0</v>
      </c>
      <c r="AD65" s="9">
        <f ca="1">OFFSET(TIAM15_assumptions!$G65,0,MATCH(VLOOKUP(Assumptions!AD$2,TIAM15_assumptions!$Y$3:$Z$36,2,FALSE),TIAM15_assumptions!$H$2:$V$2,0))</f>
        <v>0</v>
      </c>
      <c r="AE65" s="9">
        <f ca="1">OFFSET(TIAM15_assumptions!$G65,0,MATCH(VLOOKUP(Assumptions!AE$2,TIAM15_assumptions!$Y$3:$Z$36,2,FALSE),TIAM15_assumptions!$H$2:$V$2,0))</f>
        <v>0</v>
      </c>
      <c r="AF65" s="9">
        <f ca="1">OFFSET(TIAM15_assumptions!$G65,0,MATCH(VLOOKUP(Assumptions!AF$2,TIAM15_assumptions!$Y$3:$Z$36,2,FALSE),TIAM15_assumptions!$H$2:$V$2,0))</f>
        <v>0</v>
      </c>
      <c r="AG65" s="9">
        <f ca="1">OFFSET(TIAM15_assumptions!$G65,0,MATCH(VLOOKUP(Assumptions!AG$2,TIAM15_assumptions!$Y$3:$Z$36,2,FALSE),TIAM15_assumptions!$H$2:$V$2,0))</f>
        <v>0</v>
      </c>
      <c r="AH65" s="9">
        <f ca="1">OFFSET(TIAM15_assumptions!$G65,0,MATCH(VLOOKUP(Assumptions!AH$2,TIAM15_assumptions!$Y$3:$Z$36,2,FALSE),TIAM15_assumptions!$H$2:$V$2,0))</f>
        <v>0</v>
      </c>
      <c r="AI65" s="9">
        <f ca="1">OFFSET(TIAM15_assumptions!$G65,0,MATCH(VLOOKUP(Assumptions!AI$2,TIAM15_assumptions!$Y$3:$Z$36,2,FALSE),TIAM15_assumptions!$H$2:$V$2,0))</f>
        <v>0</v>
      </c>
      <c r="AJ65" s="9">
        <f ca="1">OFFSET(TIAM15_assumptions!$G65,0,MATCH(VLOOKUP(Assumptions!AJ$2,TIAM15_assumptions!$Y$3:$Z$36,2,FALSE),TIAM15_assumptions!$H$2:$V$2,0))</f>
        <v>0</v>
      </c>
      <c r="AK65" s="9">
        <f ca="1">OFFSET(TIAM15_assumptions!$G65,0,MATCH(VLOOKUP(Assumptions!AK$2,TIAM15_assumptions!$Y$3:$Z$36,2,FALSE),TIAM15_assumptions!$H$2:$V$2,0))</f>
        <v>0</v>
      </c>
      <c r="AN65" s="34">
        <f ca="1">IFERROR(SUMIFS('TRA balance'!E$5:E$40,'TRA balance'!$C$5:$C$40,Assumptions!$C65,'TRA balance'!$D$5:$D$40,Assumptions!$B65)*BS65*H65,"")</f>
        <v>0</v>
      </c>
      <c r="AO65" s="34">
        <f ca="1">IFERROR(SUMIFS('TRA balance'!F$5:F$40,'TRA balance'!$C$5:$C$40,Assumptions!$C65,'TRA balance'!$D$5:$D$40,Assumptions!$B65)*BT65*I65,"")</f>
        <v>0</v>
      </c>
      <c r="AP65" s="34">
        <f ca="1">IFERROR(SUMIFS('TRA balance'!G$5:G$40,'TRA balance'!$C$5:$C$40,Assumptions!$C65,'TRA balance'!$D$5:$D$40,Assumptions!$B65)*BU65*J65,"")</f>
        <v>2.9650173605640005E-2</v>
      </c>
      <c r="AQ65" s="34">
        <f ca="1">IFERROR(SUMIFS('TRA balance'!H$5:H$40,'TRA balance'!$C$5:$C$40,Assumptions!$C65,'TRA balance'!$D$5:$D$40,Assumptions!$B65)*BV65*K65,"")</f>
        <v>0</v>
      </c>
      <c r="AR65" s="34">
        <f ca="1">IFERROR(SUMIFS('TRA balance'!I$5:I$40,'TRA balance'!$C$5:$C$40,Assumptions!$C65,'TRA balance'!$D$5:$D$40,Assumptions!$B65)*BW65*L65,"")</f>
        <v>1.36852277814E-2</v>
      </c>
      <c r="AS65" s="34">
        <f ca="1">IFERROR(SUMIFS('TRA balance'!J$5:J$40,'TRA balance'!$C$5:$C$40,Assumptions!$C65,'TRA balance'!$D$5:$D$40,Assumptions!$B65)*BX65*M65,"")</f>
        <v>0</v>
      </c>
      <c r="AT65" s="34">
        <f ca="1">IFERROR(SUMIFS('TRA balance'!K$5:K$40,'TRA balance'!$C$5:$C$40,Assumptions!$C65,'TRA balance'!$D$5:$D$40,Assumptions!$B65)*BY65*N65,"")</f>
        <v>0</v>
      </c>
      <c r="AU65" s="34">
        <f ca="1">IFERROR(SUMIFS('TRA balance'!L$5:L$40,'TRA balance'!$C$5:$C$40,Assumptions!$C65,'TRA balance'!$D$5:$D$40,Assumptions!$B65)*BZ65*O65,"")</f>
        <v>0.45572094700776006</v>
      </c>
      <c r="AV65" s="34">
        <f ca="1">IFERROR(SUMIFS('TRA balance'!M$5:M$40,'TRA balance'!$C$5:$C$40,Assumptions!$C65,'TRA balance'!$D$5:$D$40,Assumptions!$B65)*CA65*P65,"")</f>
        <v>0</v>
      </c>
      <c r="AW65" s="34">
        <f ca="1">IFERROR(SUMIFS('TRA balance'!N$5:N$40,'TRA balance'!$C$5:$C$40,Assumptions!$C65,'TRA balance'!$D$5:$D$40,Assumptions!$B65)*CB65*Q65,"")</f>
        <v>2.290537403928</v>
      </c>
      <c r="AX65" s="34">
        <f ca="1">IFERROR(SUMIFS('TRA balance'!O$5:O$40,'TRA balance'!$C$5:$C$40,Assumptions!$C65,'TRA balance'!$D$5:$D$40,Assumptions!$B65)*CC65*R65,"")</f>
        <v>0</v>
      </c>
      <c r="AY65" s="34">
        <f ca="1">IFERROR(SUMIFS('TRA balance'!P$5:P$40,'TRA balance'!$C$5:$C$40,Assumptions!$C65,'TRA balance'!$D$5:$D$40,Assumptions!$B65)*CD65*S65,"")</f>
        <v>0</v>
      </c>
      <c r="AZ65" s="34">
        <f ca="1">IFERROR(SUMIFS('TRA balance'!Q$5:Q$40,'TRA balance'!$C$5:$C$40,Assumptions!$C65,'TRA balance'!$D$5:$D$40,Assumptions!$B65)*CE65*T65,"")</f>
        <v>0</v>
      </c>
      <c r="BA65" s="34">
        <f ca="1">IFERROR(SUMIFS('TRA balance'!R$5:R$40,'TRA balance'!$C$5:$C$40,Assumptions!$C65,'TRA balance'!$D$5:$D$40,Assumptions!$B65)*CF65*U65,"")</f>
        <v>0</v>
      </c>
      <c r="BB65" s="34">
        <f ca="1">IFERROR(SUMIFS('TRA balance'!S$5:S$40,'TRA balance'!$C$5:$C$40,Assumptions!$C65,'TRA balance'!$D$5:$D$40,Assumptions!$B65)*CG65*V65,"")</f>
        <v>0</v>
      </c>
      <c r="BC65" s="34">
        <f ca="1">IFERROR(SUMIFS('TRA balance'!T$5:T$40,'TRA balance'!$C$5:$C$40,Assumptions!$C65,'TRA balance'!$D$5:$D$40,Assumptions!$B65)*CH65*W65,"")</f>
        <v>0</v>
      </c>
      <c r="BD65" s="34">
        <f ca="1">IFERROR(SUMIFS('TRA balance'!U$5:U$40,'TRA balance'!$C$5:$C$40,Assumptions!$C65,'TRA balance'!$D$5:$D$40,Assumptions!$B65)*CI65*X65,"")</f>
        <v>0</v>
      </c>
      <c r="BE65" s="34">
        <f ca="1">IFERROR(SUMIFS('TRA balance'!V$5:V$40,'TRA balance'!$C$5:$C$40,Assumptions!$C65,'TRA balance'!$D$5:$D$40,Assumptions!$B65)*CJ65*Y65,"")</f>
        <v>0</v>
      </c>
      <c r="BF65" s="34">
        <f ca="1">IFERROR(SUMIFS('TRA balance'!W$5:W$40,'TRA balance'!$C$5:$C$40,Assumptions!$C65,'TRA balance'!$D$5:$D$40,Assumptions!$B65)*CK65*Z65,"")</f>
        <v>0</v>
      </c>
      <c r="BG65" s="34">
        <f ca="1">IFERROR(SUMIFS('TRA balance'!X$5:X$40,'TRA balance'!$C$5:$C$40,Assumptions!$C65,'TRA balance'!$D$5:$D$40,Assumptions!$B65)*CL65*AA65,"")</f>
        <v>0.1023086448</v>
      </c>
      <c r="BH65" s="34">
        <f ca="1">IFERROR(SUMIFS('TRA balance'!Y$5:Y$40,'TRA balance'!$C$5:$C$40,Assumptions!$C65,'TRA balance'!$D$5:$D$40,Assumptions!$B65)*CM65*AB65,"")</f>
        <v>2.2334296194000004E-2</v>
      </c>
      <c r="BI65" s="34">
        <f ca="1">IFERROR(SUMIFS('TRA balance'!Z$5:Z$40,'TRA balance'!$C$5:$C$40,Assumptions!$C65,'TRA balance'!$D$5:$D$40,Assumptions!$B65)*CN65*AC65,"")</f>
        <v>0</v>
      </c>
      <c r="BJ65" s="34">
        <f ca="1">IFERROR(SUMIFS('TRA balance'!AA$5:AA$40,'TRA balance'!$C$5:$C$40,Assumptions!$C65,'TRA balance'!$D$5:$D$40,Assumptions!$B65)*CO65*AD65,"")</f>
        <v>0</v>
      </c>
      <c r="BK65" s="34">
        <f ca="1">IFERROR(SUMIFS('TRA balance'!AB$5:AB$40,'TRA balance'!$C$5:$C$40,Assumptions!$C65,'TRA balance'!$D$5:$D$40,Assumptions!$B65)*CP65*AE65,"")</f>
        <v>0</v>
      </c>
      <c r="BL65" s="34">
        <f ca="1">IFERROR(SUMIFS('TRA balance'!AC$5:AC$40,'TRA balance'!$C$5:$C$40,Assumptions!$C65,'TRA balance'!$D$5:$D$40,Assumptions!$B65)*CQ65*AF65,"")</f>
        <v>0</v>
      </c>
      <c r="BM65" s="34">
        <f ca="1">IFERROR(SUMIFS('TRA balance'!AD$5:AD$40,'TRA balance'!$C$5:$C$40,Assumptions!$C65,'TRA balance'!$D$5:$D$40,Assumptions!$B65)*CR65*AG65,"")</f>
        <v>0</v>
      </c>
      <c r="BN65" s="34">
        <f ca="1">IFERROR(SUMIFS('TRA balance'!AE$5:AE$40,'TRA balance'!$C$5:$C$40,Assumptions!$C65,'TRA balance'!$D$5:$D$40,Assumptions!$B65)*CS65*AH65,"")</f>
        <v>0</v>
      </c>
      <c r="BO65" s="34">
        <f ca="1">IFERROR(SUMIFS('TRA balance'!AF$5:AF$40,'TRA balance'!$C$5:$C$40,Assumptions!$C65,'TRA balance'!$D$5:$D$40,Assumptions!$B65)*CT65*AI65,"")</f>
        <v>0</v>
      </c>
      <c r="BP65" s="34">
        <f ca="1">IFERROR(SUMIFS('TRA balance'!AG$5:AG$40,'TRA balance'!$C$5:$C$40,Assumptions!$C65,'TRA balance'!$D$5:$D$40,Assumptions!$B65)*CU65*AJ65,"")</f>
        <v>0</v>
      </c>
      <c r="BQ65" s="34">
        <f ca="1">IFERROR(SUMIFS('TRA balance'!AH$5:AH$40,'TRA balance'!$C$5:$C$40,Assumptions!$C65,'TRA balance'!$D$5:$D$40,Assumptions!$B65)*CV65*AK65,"")</f>
        <v>0</v>
      </c>
      <c r="BS65" s="33">
        <f t="shared" ca="1" si="90"/>
        <v>0.1</v>
      </c>
      <c r="BT65" s="33">
        <f t="shared" ca="1" si="91"/>
        <v>0.1</v>
      </c>
      <c r="BU65" s="33">
        <f t="shared" ca="1" si="92"/>
        <v>7.0000000000000007E-2</v>
      </c>
      <c r="BV65" s="33">
        <f t="shared" ca="1" si="93"/>
        <v>0.05</v>
      </c>
      <c r="BW65" s="33">
        <f t="shared" ca="1" si="94"/>
        <v>0.05</v>
      </c>
      <c r="BX65" s="33">
        <f t="shared" ca="1" si="95"/>
        <v>0.08</v>
      </c>
      <c r="BY65" s="33">
        <f t="shared" ca="1" si="96"/>
        <v>0.02</v>
      </c>
      <c r="BZ65" s="33">
        <f t="shared" ca="1" si="97"/>
        <v>7.0000000000000007E-2</v>
      </c>
      <c r="CA65" s="33">
        <f t="shared" ca="1" si="98"/>
        <v>0.02</v>
      </c>
      <c r="CB65" s="33">
        <f t="shared" ca="1" si="99"/>
        <v>0.1</v>
      </c>
      <c r="CC65" s="33">
        <f t="shared" ca="1" si="100"/>
        <v>0.45342524249014599</v>
      </c>
      <c r="CD65" s="33">
        <f t="shared" ca="1" si="101"/>
        <v>0.35051309933039143</v>
      </c>
      <c r="CE65" s="33">
        <f t="shared" ca="1" si="102"/>
        <v>0.45342524249014599</v>
      </c>
      <c r="CF65" s="33">
        <f t="shared" ca="1" si="103"/>
        <v>0.45342524249014599</v>
      </c>
      <c r="CG65" s="33">
        <f t="shared" ca="1" si="104"/>
        <v>0.35051309933039143</v>
      </c>
      <c r="CH65" s="33">
        <f t="shared" ca="1" si="31"/>
        <v>0.45342524249014599</v>
      </c>
      <c r="CI65" s="33">
        <f t="shared" ca="1" si="32"/>
        <v>0.1</v>
      </c>
      <c r="CJ65" s="33">
        <f t="shared" ca="1" si="33"/>
        <v>0.45342524249014599</v>
      </c>
      <c r="CK65" s="33">
        <f t="shared" ca="1" si="34"/>
        <v>0.45342524249014599</v>
      </c>
      <c r="CL65" s="33">
        <f t="shared" ca="1" si="35"/>
        <v>0.25</v>
      </c>
      <c r="CM65" s="33">
        <f t="shared" ca="1" si="36"/>
        <v>7.0000000000000007E-2</v>
      </c>
      <c r="CN65" s="33">
        <f t="shared" ca="1" si="37"/>
        <v>0.15</v>
      </c>
      <c r="CO65" s="33">
        <f t="shared" ca="1" si="38"/>
        <v>0.1</v>
      </c>
      <c r="CP65" s="33">
        <f t="shared" ca="1" si="39"/>
        <v>0.45342524249014599</v>
      </c>
      <c r="CQ65" s="33">
        <f t="shared" ca="1" si="40"/>
        <v>0.05</v>
      </c>
      <c r="CR65" s="33">
        <f t="shared" ca="1" si="41"/>
        <v>0.1</v>
      </c>
      <c r="CS65" s="33">
        <f t="shared" ca="1" si="42"/>
        <v>0.1</v>
      </c>
      <c r="CT65" s="33">
        <f t="shared" ca="1" si="43"/>
        <v>0.45342524249014599</v>
      </c>
      <c r="CU65" s="33">
        <f t="shared" ca="1" si="44"/>
        <v>2.4406421822616497E-2</v>
      </c>
      <c r="CV65" s="33">
        <f t="shared" ca="1" si="45"/>
        <v>2.4406421822616497E-2</v>
      </c>
    </row>
    <row r="66" spans="1:100" x14ac:dyDescent="0.45">
      <c r="A66">
        <v>1</v>
      </c>
      <c r="B66" t="str">
        <f>VLOOKUP(F66,'TRA balance'!$AK$5:$AL$14,2,FALSE)</f>
        <v>TRABDS</v>
      </c>
      <c r="C66" s="6" t="str">
        <f t="shared" si="46"/>
        <v>TR</v>
      </c>
      <c r="D66" s="7" t="s">
        <v>16</v>
      </c>
      <c r="E66" s="18" t="s">
        <v>67</v>
      </c>
      <c r="F66" s="8" t="str">
        <f t="shared" si="144"/>
        <v>Bio Diesel</v>
      </c>
      <c r="G66" s="6" t="s">
        <v>68</v>
      </c>
      <c r="H66" s="9">
        <f ca="1">OFFSET(TIAM15_assumptions!$G66,0,MATCH(VLOOKUP(Assumptions!H$2,TIAM15_assumptions!$Y$3:$Z$36,2,FALSE),TIAM15_assumptions!$H$2:$V$2,0))</f>
        <v>0</v>
      </c>
      <c r="I66" s="9">
        <f ca="1">OFFSET(TIAM15_assumptions!$G66,0,MATCH(VLOOKUP(Assumptions!I$2,TIAM15_assumptions!$Y$3:$Z$36,2,FALSE),TIAM15_assumptions!$H$2:$V$2,0))</f>
        <v>0</v>
      </c>
      <c r="J66" s="9">
        <f ca="1">OFFSET(TIAM15_assumptions!$G66,0,MATCH(VLOOKUP(Assumptions!J$2,TIAM15_assumptions!$Y$3:$Z$36,2,FALSE),TIAM15_assumptions!$H$2:$V$2,0))</f>
        <v>0</v>
      </c>
      <c r="K66" s="9">
        <f ca="1">OFFSET(TIAM15_assumptions!$G66,0,MATCH(VLOOKUP(Assumptions!K$2,TIAM15_assumptions!$Y$3:$Z$36,2,FALSE),TIAM15_assumptions!$H$2:$V$2,0))</f>
        <v>0</v>
      </c>
      <c r="L66" s="9">
        <f ca="1">OFFSET(TIAM15_assumptions!$G66,0,MATCH(VLOOKUP(Assumptions!L$2,TIAM15_assumptions!$Y$3:$Z$36,2,FALSE),TIAM15_assumptions!$H$2:$V$2,0))</f>
        <v>0</v>
      </c>
      <c r="M66" s="9">
        <f ca="1">OFFSET(TIAM15_assumptions!$G66,0,MATCH(VLOOKUP(Assumptions!M$2,TIAM15_assumptions!$Y$3:$Z$36,2,FALSE),TIAM15_assumptions!$H$2:$V$2,0))</f>
        <v>0</v>
      </c>
      <c r="N66" s="9">
        <f ca="1">OFFSET(TIAM15_assumptions!$G66,0,MATCH(VLOOKUP(Assumptions!N$2,TIAM15_assumptions!$Y$3:$Z$36,2,FALSE),TIAM15_assumptions!$H$2:$V$2,0))</f>
        <v>0</v>
      </c>
      <c r="O66" s="9">
        <f ca="1">OFFSET(TIAM15_assumptions!$G66,0,MATCH(VLOOKUP(Assumptions!O$2,TIAM15_assumptions!$Y$3:$Z$36,2,FALSE),TIAM15_assumptions!$H$2:$V$2,0))</f>
        <v>0</v>
      </c>
      <c r="P66" s="9">
        <f ca="1">OFFSET(TIAM15_assumptions!$G66,0,MATCH(VLOOKUP(Assumptions!P$2,TIAM15_assumptions!$Y$3:$Z$36,2,FALSE),TIAM15_assumptions!$H$2:$V$2,0))</f>
        <v>0</v>
      </c>
      <c r="Q66" s="9">
        <f ca="1">OFFSET(TIAM15_assumptions!$G66,0,MATCH(VLOOKUP(Assumptions!Q$2,TIAM15_assumptions!$Y$3:$Z$36,2,FALSE),TIAM15_assumptions!$H$2:$V$2,0))</f>
        <v>0</v>
      </c>
      <c r="R66" s="9">
        <f ca="1">OFFSET(TIAM15_assumptions!$G66,0,MATCH(VLOOKUP(Assumptions!R$2,TIAM15_assumptions!$Y$3:$Z$36,2,FALSE),TIAM15_assumptions!$H$2:$V$2,0))</f>
        <v>0</v>
      </c>
      <c r="S66" s="9">
        <f ca="1">OFFSET(TIAM15_assumptions!$G66,0,MATCH(VLOOKUP(Assumptions!S$2,TIAM15_assumptions!$Y$3:$Z$36,2,FALSE),TIAM15_assumptions!$H$2:$V$2,0))</f>
        <v>0</v>
      </c>
      <c r="T66" s="9">
        <f ca="1">OFFSET(TIAM15_assumptions!$G66,0,MATCH(VLOOKUP(Assumptions!T$2,TIAM15_assumptions!$Y$3:$Z$36,2,FALSE),TIAM15_assumptions!$H$2:$V$2,0))</f>
        <v>0</v>
      </c>
      <c r="U66" s="9">
        <f ca="1">OFFSET(TIAM15_assumptions!$G66,0,MATCH(VLOOKUP(Assumptions!U$2,TIAM15_assumptions!$Y$3:$Z$36,2,FALSE),TIAM15_assumptions!$H$2:$V$2,0))</f>
        <v>0</v>
      </c>
      <c r="V66" s="9">
        <f ca="1">OFFSET(TIAM15_assumptions!$G66,0,MATCH(VLOOKUP(Assumptions!V$2,TIAM15_assumptions!$Y$3:$Z$36,2,FALSE),TIAM15_assumptions!$H$2:$V$2,0))</f>
        <v>0</v>
      </c>
      <c r="W66" s="9">
        <f ca="1">OFFSET(TIAM15_assumptions!$G66,0,MATCH(VLOOKUP(Assumptions!W$2,TIAM15_assumptions!$Y$3:$Z$36,2,FALSE),TIAM15_assumptions!$H$2:$V$2,0))</f>
        <v>0</v>
      </c>
      <c r="X66" s="9">
        <f ca="1">OFFSET(TIAM15_assumptions!$G66,0,MATCH(VLOOKUP(Assumptions!X$2,TIAM15_assumptions!$Y$3:$Z$36,2,FALSE),TIAM15_assumptions!$H$2:$V$2,0))</f>
        <v>0</v>
      </c>
      <c r="Y66" s="9">
        <f ca="1">OFFSET(TIAM15_assumptions!$G66,0,MATCH(VLOOKUP(Assumptions!Y$2,TIAM15_assumptions!$Y$3:$Z$36,2,FALSE),TIAM15_assumptions!$H$2:$V$2,0))</f>
        <v>0</v>
      </c>
      <c r="Z66" s="9">
        <f ca="1">OFFSET(TIAM15_assumptions!$G66,0,MATCH(VLOOKUP(Assumptions!Z$2,TIAM15_assumptions!$Y$3:$Z$36,2,FALSE),TIAM15_assumptions!$H$2:$V$2,0))</f>
        <v>0</v>
      </c>
      <c r="AA66" s="9">
        <f ca="1">OFFSET(TIAM15_assumptions!$G66,0,MATCH(VLOOKUP(Assumptions!AA$2,TIAM15_assumptions!$Y$3:$Z$36,2,FALSE),TIAM15_assumptions!$H$2:$V$2,0))</f>
        <v>0</v>
      </c>
      <c r="AB66" s="9">
        <f ca="1">OFFSET(TIAM15_assumptions!$G66,0,MATCH(VLOOKUP(Assumptions!AB$2,TIAM15_assumptions!$Y$3:$Z$36,2,FALSE),TIAM15_assumptions!$H$2:$V$2,0))</f>
        <v>0</v>
      </c>
      <c r="AC66" s="9">
        <f ca="1">OFFSET(TIAM15_assumptions!$G66,0,MATCH(VLOOKUP(Assumptions!AC$2,TIAM15_assumptions!$Y$3:$Z$36,2,FALSE),TIAM15_assumptions!$H$2:$V$2,0))</f>
        <v>0</v>
      </c>
      <c r="AD66" s="9">
        <f ca="1">OFFSET(TIAM15_assumptions!$G66,0,MATCH(VLOOKUP(Assumptions!AD$2,TIAM15_assumptions!$Y$3:$Z$36,2,FALSE),TIAM15_assumptions!$H$2:$V$2,0))</f>
        <v>0</v>
      </c>
      <c r="AE66" s="9">
        <f ca="1">OFFSET(TIAM15_assumptions!$G66,0,MATCH(VLOOKUP(Assumptions!AE$2,TIAM15_assumptions!$Y$3:$Z$36,2,FALSE),TIAM15_assumptions!$H$2:$V$2,0))</f>
        <v>0</v>
      </c>
      <c r="AF66" s="9">
        <f ca="1">OFFSET(TIAM15_assumptions!$G66,0,MATCH(VLOOKUP(Assumptions!AF$2,TIAM15_assumptions!$Y$3:$Z$36,2,FALSE),TIAM15_assumptions!$H$2:$V$2,0))</f>
        <v>0</v>
      </c>
      <c r="AG66" s="9">
        <f ca="1">OFFSET(TIAM15_assumptions!$G66,0,MATCH(VLOOKUP(Assumptions!AG$2,TIAM15_assumptions!$Y$3:$Z$36,2,FALSE),TIAM15_assumptions!$H$2:$V$2,0))</f>
        <v>0</v>
      </c>
      <c r="AH66" s="9">
        <f ca="1">OFFSET(TIAM15_assumptions!$G66,0,MATCH(VLOOKUP(Assumptions!AH$2,TIAM15_assumptions!$Y$3:$Z$36,2,FALSE),TIAM15_assumptions!$H$2:$V$2,0))</f>
        <v>0</v>
      </c>
      <c r="AI66" s="9">
        <f ca="1">OFFSET(TIAM15_assumptions!$G66,0,MATCH(VLOOKUP(Assumptions!AI$2,TIAM15_assumptions!$Y$3:$Z$36,2,FALSE),TIAM15_assumptions!$H$2:$V$2,0))</f>
        <v>0</v>
      </c>
      <c r="AJ66" s="9">
        <f ca="1">OFFSET(TIAM15_assumptions!$G66,0,MATCH(VLOOKUP(Assumptions!AJ$2,TIAM15_assumptions!$Y$3:$Z$36,2,FALSE),TIAM15_assumptions!$H$2:$V$2,0))</f>
        <v>0</v>
      </c>
      <c r="AK66" s="9">
        <f ca="1">OFFSET(TIAM15_assumptions!$G66,0,MATCH(VLOOKUP(Assumptions!AK$2,TIAM15_assumptions!$Y$3:$Z$36,2,FALSE),TIAM15_assumptions!$H$2:$V$2,0))</f>
        <v>0</v>
      </c>
      <c r="AN66" s="34">
        <f ca="1">IFERROR(SUMIFS('TRA balance'!E$5:E$40,'TRA balance'!$C$5:$C$40,Assumptions!$C66,'TRA balance'!$D$5:$D$40,Assumptions!$B66)*BS66*H66,"")</f>
        <v>0</v>
      </c>
      <c r="AO66" s="34">
        <f ca="1">IFERROR(SUMIFS('TRA balance'!F$5:F$40,'TRA balance'!$C$5:$C$40,Assumptions!$C66,'TRA balance'!$D$5:$D$40,Assumptions!$B66)*BT66*I66,"")</f>
        <v>0</v>
      </c>
      <c r="AP66" s="34">
        <f ca="1">IFERROR(SUMIFS('TRA balance'!G$5:G$40,'TRA balance'!$C$5:$C$40,Assumptions!$C66,'TRA balance'!$D$5:$D$40,Assumptions!$B66)*BU66*J66,"")</f>
        <v>0</v>
      </c>
      <c r="AQ66" s="34">
        <f ca="1">IFERROR(SUMIFS('TRA balance'!H$5:H$40,'TRA balance'!$C$5:$C$40,Assumptions!$C66,'TRA balance'!$D$5:$D$40,Assumptions!$B66)*BV66*K66,"")</f>
        <v>0</v>
      </c>
      <c r="AR66" s="34">
        <f ca="1">IFERROR(SUMIFS('TRA balance'!I$5:I$40,'TRA balance'!$C$5:$C$40,Assumptions!$C66,'TRA balance'!$D$5:$D$40,Assumptions!$B66)*BW66*L66,"")</f>
        <v>0</v>
      </c>
      <c r="AS66" s="34">
        <f ca="1">IFERROR(SUMIFS('TRA balance'!J$5:J$40,'TRA balance'!$C$5:$C$40,Assumptions!$C66,'TRA balance'!$D$5:$D$40,Assumptions!$B66)*BX66*M66,"")</f>
        <v>0</v>
      </c>
      <c r="AT66" s="34">
        <f ca="1">IFERROR(SUMIFS('TRA balance'!K$5:K$40,'TRA balance'!$C$5:$C$40,Assumptions!$C66,'TRA balance'!$D$5:$D$40,Assumptions!$B66)*BY66*N66,"")</f>
        <v>0</v>
      </c>
      <c r="AU66" s="34">
        <f ca="1">IFERROR(SUMIFS('TRA balance'!L$5:L$40,'TRA balance'!$C$5:$C$40,Assumptions!$C66,'TRA balance'!$D$5:$D$40,Assumptions!$B66)*BZ66*O66,"")</f>
        <v>0</v>
      </c>
      <c r="AV66" s="34">
        <f ca="1">IFERROR(SUMIFS('TRA balance'!M$5:M$40,'TRA balance'!$C$5:$C$40,Assumptions!$C66,'TRA balance'!$D$5:$D$40,Assumptions!$B66)*CA66*P66,"")</f>
        <v>0</v>
      </c>
      <c r="AW66" s="34">
        <f ca="1">IFERROR(SUMIFS('TRA balance'!N$5:N$40,'TRA balance'!$C$5:$C$40,Assumptions!$C66,'TRA balance'!$D$5:$D$40,Assumptions!$B66)*CB66*Q66,"")</f>
        <v>0</v>
      </c>
      <c r="AX66" s="34">
        <f ca="1">IFERROR(SUMIFS('TRA balance'!O$5:O$40,'TRA balance'!$C$5:$C$40,Assumptions!$C66,'TRA balance'!$D$5:$D$40,Assumptions!$B66)*CC66*R66,"")</f>
        <v>0</v>
      </c>
      <c r="AY66" s="34">
        <f ca="1">IFERROR(SUMIFS('TRA balance'!P$5:P$40,'TRA balance'!$C$5:$C$40,Assumptions!$C66,'TRA balance'!$D$5:$D$40,Assumptions!$B66)*CD66*S66,"")</f>
        <v>0</v>
      </c>
      <c r="AZ66" s="34">
        <f ca="1">IFERROR(SUMIFS('TRA balance'!Q$5:Q$40,'TRA balance'!$C$5:$C$40,Assumptions!$C66,'TRA balance'!$D$5:$D$40,Assumptions!$B66)*CE66*T66,"")</f>
        <v>0</v>
      </c>
      <c r="BA66" s="34">
        <f ca="1">IFERROR(SUMIFS('TRA balance'!R$5:R$40,'TRA balance'!$C$5:$C$40,Assumptions!$C66,'TRA balance'!$D$5:$D$40,Assumptions!$B66)*CF66*U66,"")</f>
        <v>0</v>
      </c>
      <c r="BB66" s="34">
        <f ca="1">IFERROR(SUMIFS('TRA balance'!S$5:S$40,'TRA balance'!$C$5:$C$40,Assumptions!$C66,'TRA balance'!$D$5:$D$40,Assumptions!$B66)*CG66*V66,"")</f>
        <v>0</v>
      </c>
      <c r="BC66" s="34">
        <f ca="1">IFERROR(SUMIFS('TRA balance'!T$5:T$40,'TRA balance'!$C$5:$C$40,Assumptions!$C66,'TRA balance'!$D$5:$D$40,Assumptions!$B66)*CH66*W66,"")</f>
        <v>0</v>
      </c>
      <c r="BD66" s="34">
        <f ca="1">IFERROR(SUMIFS('TRA balance'!U$5:U$40,'TRA balance'!$C$5:$C$40,Assumptions!$C66,'TRA balance'!$D$5:$D$40,Assumptions!$B66)*CI66*X66,"")</f>
        <v>0</v>
      </c>
      <c r="BE66" s="34">
        <f ca="1">IFERROR(SUMIFS('TRA balance'!V$5:V$40,'TRA balance'!$C$5:$C$40,Assumptions!$C66,'TRA balance'!$D$5:$D$40,Assumptions!$B66)*CJ66*Y66,"")</f>
        <v>0</v>
      </c>
      <c r="BF66" s="34">
        <f ca="1">IFERROR(SUMIFS('TRA balance'!W$5:W$40,'TRA balance'!$C$5:$C$40,Assumptions!$C66,'TRA balance'!$D$5:$D$40,Assumptions!$B66)*CK66*Z66,"")</f>
        <v>0</v>
      </c>
      <c r="BG66" s="34">
        <f ca="1">IFERROR(SUMIFS('TRA balance'!X$5:X$40,'TRA balance'!$C$5:$C$40,Assumptions!$C66,'TRA balance'!$D$5:$D$40,Assumptions!$B66)*CL66*AA66,"")</f>
        <v>0</v>
      </c>
      <c r="BH66" s="34">
        <f ca="1">IFERROR(SUMIFS('TRA balance'!Y$5:Y$40,'TRA balance'!$C$5:$C$40,Assumptions!$C66,'TRA balance'!$D$5:$D$40,Assumptions!$B66)*CM66*AB66,"")</f>
        <v>0</v>
      </c>
      <c r="BI66" s="34">
        <f ca="1">IFERROR(SUMIFS('TRA balance'!Z$5:Z$40,'TRA balance'!$C$5:$C$40,Assumptions!$C66,'TRA balance'!$D$5:$D$40,Assumptions!$B66)*CN66*AC66,"")</f>
        <v>0</v>
      </c>
      <c r="BJ66" s="34">
        <f ca="1">IFERROR(SUMIFS('TRA balance'!AA$5:AA$40,'TRA balance'!$C$5:$C$40,Assumptions!$C66,'TRA balance'!$D$5:$D$40,Assumptions!$B66)*CO66*AD66,"")</f>
        <v>0</v>
      </c>
      <c r="BK66" s="34">
        <f ca="1">IFERROR(SUMIFS('TRA balance'!AB$5:AB$40,'TRA balance'!$C$5:$C$40,Assumptions!$C66,'TRA balance'!$D$5:$D$40,Assumptions!$B66)*CP66*AE66,"")</f>
        <v>0</v>
      </c>
      <c r="BL66" s="34">
        <f ca="1">IFERROR(SUMIFS('TRA balance'!AC$5:AC$40,'TRA balance'!$C$5:$C$40,Assumptions!$C66,'TRA balance'!$D$5:$D$40,Assumptions!$B66)*CQ66*AF66,"")</f>
        <v>0</v>
      </c>
      <c r="BM66" s="34">
        <f ca="1">IFERROR(SUMIFS('TRA balance'!AD$5:AD$40,'TRA balance'!$C$5:$C$40,Assumptions!$C66,'TRA balance'!$D$5:$D$40,Assumptions!$B66)*CR66*AG66,"")</f>
        <v>0</v>
      </c>
      <c r="BN66" s="34">
        <f ca="1">IFERROR(SUMIFS('TRA balance'!AE$5:AE$40,'TRA balance'!$C$5:$C$40,Assumptions!$C66,'TRA balance'!$D$5:$D$40,Assumptions!$B66)*CS66*AH66,"")</f>
        <v>0</v>
      </c>
      <c r="BO66" s="34">
        <f ca="1">IFERROR(SUMIFS('TRA balance'!AF$5:AF$40,'TRA balance'!$C$5:$C$40,Assumptions!$C66,'TRA balance'!$D$5:$D$40,Assumptions!$B66)*CT66*AI66,"")</f>
        <v>0</v>
      </c>
      <c r="BP66" s="34">
        <f ca="1">IFERROR(SUMIFS('TRA balance'!AG$5:AG$40,'TRA balance'!$C$5:$C$40,Assumptions!$C66,'TRA balance'!$D$5:$D$40,Assumptions!$B66)*CU66*AJ66,"")</f>
        <v>0</v>
      </c>
      <c r="BQ66" s="34">
        <f ca="1">IFERROR(SUMIFS('TRA balance'!AH$5:AH$40,'TRA balance'!$C$5:$C$40,Assumptions!$C66,'TRA balance'!$D$5:$D$40,Assumptions!$B66)*CV66*AK66,"")</f>
        <v>0</v>
      </c>
      <c r="BS66" s="33">
        <f t="shared" ca="1" si="90"/>
        <v>0.1</v>
      </c>
      <c r="BT66" s="33">
        <f t="shared" ca="1" si="91"/>
        <v>0.1</v>
      </c>
      <c r="BU66" s="33">
        <f t="shared" ca="1" si="92"/>
        <v>7.0000000000000007E-2</v>
      </c>
      <c r="BV66" s="33">
        <f t="shared" ca="1" si="93"/>
        <v>0.05</v>
      </c>
      <c r="BW66" s="33">
        <f t="shared" ca="1" si="94"/>
        <v>0.05</v>
      </c>
      <c r="BX66" s="33">
        <f t="shared" ca="1" si="95"/>
        <v>0.08</v>
      </c>
      <c r="BY66" s="33">
        <f t="shared" ca="1" si="96"/>
        <v>0.02</v>
      </c>
      <c r="BZ66" s="33">
        <f t="shared" ca="1" si="97"/>
        <v>7.0000000000000007E-2</v>
      </c>
      <c r="CA66" s="33">
        <f t="shared" ca="1" si="98"/>
        <v>0.02</v>
      </c>
      <c r="CB66" s="33">
        <f t="shared" ca="1" si="99"/>
        <v>0.1</v>
      </c>
      <c r="CC66" s="33">
        <f t="shared" ca="1" si="100"/>
        <v>0.45342524249014599</v>
      </c>
      <c r="CD66" s="33">
        <f t="shared" ca="1" si="101"/>
        <v>0.35051309933039143</v>
      </c>
      <c r="CE66" s="33">
        <f t="shared" ca="1" si="102"/>
        <v>0.45342524249014599</v>
      </c>
      <c r="CF66" s="33">
        <f t="shared" ca="1" si="103"/>
        <v>0.45342524249014599</v>
      </c>
      <c r="CG66" s="33">
        <f t="shared" ca="1" si="104"/>
        <v>0.35051309933039143</v>
      </c>
      <c r="CH66" s="33">
        <f t="shared" ca="1" si="31"/>
        <v>0.45342524249014599</v>
      </c>
      <c r="CI66" s="33">
        <f t="shared" ca="1" si="32"/>
        <v>0.1</v>
      </c>
      <c r="CJ66" s="33">
        <f t="shared" ca="1" si="33"/>
        <v>0.45342524249014599</v>
      </c>
      <c r="CK66" s="33">
        <f t="shared" ca="1" si="34"/>
        <v>0.45342524249014599</v>
      </c>
      <c r="CL66" s="33">
        <f t="shared" ca="1" si="35"/>
        <v>0.25</v>
      </c>
      <c r="CM66" s="33">
        <f t="shared" ca="1" si="36"/>
        <v>7.0000000000000007E-2</v>
      </c>
      <c r="CN66" s="33">
        <f t="shared" ca="1" si="37"/>
        <v>0.15</v>
      </c>
      <c r="CO66" s="33">
        <f t="shared" ca="1" si="38"/>
        <v>0.1</v>
      </c>
      <c r="CP66" s="33">
        <f t="shared" ca="1" si="39"/>
        <v>0.45342524249014599</v>
      </c>
      <c r="CQ66" s="33">
        <f t="shared" ca="1" si="40"/>
        <v>0.05</v>
      </c>
      <c r="CR66" s="33">
        <f t="shared" ca="1" si="41"/>
        <v>0.1</v>
      </c>
      <c r="CS66" s="33">
        <f t="shared" ca="1" si="42"/>
        <v>0.1</v>
      </c>
      <c r="CT66" s="33">
        <f t="shared" ca="1" si="43"/>
        <v>0.45342524249014599</v>
      </c>
      <c r="CU66" s="33">
        <f t="shared" ca="1" si="44"/>
        <v>2.4406421822616497E-2</v>
      </c>
      <c r="CV66" s="33">
        <f t="shared" ca="1" si="45"/>
        <v>2.4406421822616497E-2</v>
      </c>
    </row>
    <row r="67" spans="1:100" x14ac:dyDescent="0.45">
      <c r="A67">
        <v>1</v>
      </c>
      <c r="B67" t="str">
        <f>VLOOKUP(F67,'TRA balance'!$AK$5:$AL$14,2,FALSE)</f>
        <v>TRABDS</v>
      </c>
      <c r="C67" s="6" t="str">
        <f t="shared" si="46"/>
        <v/>
      </c>
      <c r="D67" s="7"/>
      <c r="E67" s="19" t="s">
        <v>69</v>
      </c>
      <c r="F67" s="8" t="str">
        <f t="shared" si="144"/>
        <v>Bio Diesel</v>
      </c>
      <c r="G67" s="6"/>
      <c r="H67" s="20" t="str">
        <f ca="1">IF(SUM(H63:H66)=1,"-","&lt;&gt;1!!")</f>
        <v>-</v>
      </c>
      <c r="I67" s="20" t="str">
        <f t="shared" ref="I67" ca="1" si="145">IF(SUM(I63:I66)=1,"-","&lt;&gt;1!!")</f>
        <v>-</v>
      </c>
      <c r="J67" s="20" t="str">
        <f t="shared" ref="J67" ca="1" si="146">IF(SUM(J63:J66)=1,"-","&lt;&gt;1!!")</f>
        <v>-</v>
      </c>
      <c r="K67" s="20" t="str">
        <f t="shared" ref="K67" ca="1" si="147">IF(SUM(K63:K66)=1,"-","&lt;&gt;1!!")</f>
        <v>-</v>
      </c>
      <c r="L67" s="20" t="str">
        <f t="shared" ref="L67" ca="1" si="148">IF(SUM(L63:L66)=1,"-","&lt;&gt;1!!")</f>
        <v>-</v>
      </c>
      <c r="M67" s="20" t="str">
        <f t="shared" ref="M67:X67" ca="1" si="149">IF(SUM(M63:M66)=1,"-","&lt;&gt;1!!")</f>
        <v>-</v>
      </c>
      <c r="N67" s="20" t="str">
        <f t="shared" ca="1" si="149"/>
        <v>-</v>
      </c>
      <c r="O67" s="20" t="str">
        <f t="shared" ca="1" si="149"/>
        <v>-</v>
      </c>
      <c r="P67" s="20" t="str">
        <f t="shared" ca="1" si="149"/>
        <v>-</v>
      </c>
      <c r="Q67" s="20" t="str">
        <f t="shared" ca="1" si="149"/>
        <v>-</v>
      </c>
      <c r="R67" s="20" t="str">
        <f t="shared" ca="1" si="149"/>
        <v>-</v>
      </c>
      <c r="S67" s="20" t="str">
        <f t="shared" ca="1" si="149"/>
        <v>-</v>
      </c>
      <c r="T67" s="20" t="str">
        <f t="shared" ca="1" si="149"/>
        <v>-</v>
      </c>
      <c r="U67" s="20" t="str">
        <f t="shared" ca="1" si="149"/>
        <v>-</v>
      </c>
      <c r="V67" s="20" t="str">
        <f t="shared" ca="1" si="149"/>
        <v>-</v>
      </c>
      <c r="W67" s="20" t="str">
        <f t="shared" ca="1" si="149"/>
        <v>-</v>
      </c>
      <c r="X67" s="20" t="str">
        <f t="shared" ca="1" si="149"/>
        <v>-</v>
      </c>
      <c r="Y67" s="20" t="str">
        <f t="shared" ref="Y67:Z67" ca="1" si="150">IF(SUM(Y63:Y66)=1,"-","&lt;&gt;1!!")</f>
        <v>-</v>
      </c>
      <c r="Z67" s="20" t="str">
        <f t="shared" ca="1" si="150"/>
        <v>-</v>
      </c>
      <c r="AA67" s="20" t="str">
        <f t="shared" ref="AA67:AK67" ca="1" si="151">IF(SUM(AA63:AA66)=1,"-","&lt;&gt;1!!")</f>
        <v>-</v>
      </c>
      <c r="AB67" s="20" t="str">
        <f t="shared" ca="1" si="151"/>
        <v>-</v>
      </c>
      <c r="AC67" s="20" t="str">
        <f t="shared" ca="1" si="151"/>
        <v>-</v>
      </c>
      <c r="AD67" s="20" t="str">
        <f t="shared" ca="1" si="151"/>
        <v>-</v>
      </c>
      <c r="AE67" s="20" t="str">
        <f t="shared" ca="1" si="151"/>
        <v>-</v>
      </c>
      <c r="AF67" s="20" t="str">
        <f t="shared" ca="1" si="151"/>
        <v>-</v>
      </c>
      <c r="AG67" s="20" t="str">
        <f t="shared" ca="1" si="151"/>
        <v>-</v>
      </c>
      <c r="AH67" s="20" t="str">
        <f t="shared" ca="1" si="151"/>
        <v>-</v>
      </c>
      <c r="AI67" s="20" t="str">
        <f t="shared" ca="1" si="151"/>
        <v>-</v>
      </c>
      <c r="AJ67" s="20" t="str">
        <f t="shared" ca="1" si="151"/>
        <v>-</v>
      </c>
      <c r="AK67" s="20" t="str">
        <f t="shared" ca="1" si="151"/>
        <v>-</v>
      </c>
      <c r="AN67" s="34" t="str">
        <f ca="1">IFERROR(SUMIFS('TRA balance'!E$5:E$40,'TRA balance'!$C$5:$C$40,Assumptions!$C67,'TRA balance'!$D$5:$D$40,Assumptions!$B67)*BS67*H67,"")</f>
        <v/>
      </c>
      <c r="AO67" s="34" t="str">
        <f ca="1">IFERROR(SUMIFS('TRA balance'!F$5:F$40,'TRA balance'!$C$5:$C$40,Assumptions!$C67,'TRA balance'!$D$5:$D$40,Assumptions!$B67)*BT67*I67,"")</f>
        <v/>
      </c>
      <c r="AP67" s="34" t="str">
        <f ca="1">IFERROR(SUMIFS('TRA balance'!G$5:G$40,'TRA balance'!$C$5:$C$40,Assumptions!$C67,'TRA balance'!$D$5:$D$40,Assumptions!$B67)*BU67*J67,"")</f>
        <v/>
      </c>
      <c r="AQ67" s="34" t="str">
        <f ca="1">IFERROR(SUMIFS('TRA balance'!H$5:H$40,'TRA balance'!$C$5:$C$40,Assumptions!$C67,'TRA balance'!$D$5:$D$40,Assumptions!$B67)*BV67*K67,"")</f>
        <v/>
      </c>
      <c r="AR67" s="34" t="str">
        <f ca="1">IFERROR(SUMIFS('TRA balance'!I$5:I$40,'TRA balance'!$C$5:$C$40,Assumptions!$C67,'TRA balance'!$D$5:$D$40,Assumptions!$B67)*BW67*L67,"")</f>
        <v/>
      </c>
      <c r="AS67" s="34" t="str">
        <f ca="1">IFERROR(SUMIFS('TRA balance'!J$5:J$40,'TRA balance'!$C$5:$C$40,Assumptions!$C67,'TRA balance'!$D$5:$D$40,Assumptions!$B67)*BX67*M67,"")</f>
        <v/>
      </c>
      <c r="AT67" s="34" t="str">
        <f ca="1">IFERROR(SUMIFS('TRA balance'!K$5:K$40,'TRA balance'!$C$5:$C$40,Assumptions!$C67,'TRA balance'!$D$5:$D$40,Assumptions!$B67)*BY67*N67,"")</f>
        <v/>
      </c>
      <c r="AU67" s="34" t="str">
        <f ca="1">IFERROR(SUMIFS('TRA balance'!L$5:L$40,'TRA balance'!$C$5:$C$40,Assumptions!$C67,'TRA balance'!$D$5:$D$40,Assumptions!$B67)*BZ67*O67,"")</f>
        <v/>
      </c>
      <c r="AV67" s="34" t="str">
        <f ca="1">IFERROR(SUMIFS('TRA balance'!M$5:M$40,'TRA balance'!$C$5:$C$40,Assumptions!$C67,'TRA balance'!$D$5:$D$40,Assumptions!$B67)*CA67*P67,"")</f>
        <v/>
      </c>
      <c r="AW67" s="34" t="str">
        <f ca="1">IFERROR(SUMIFS('TRA balance'!N$5:N$40,'TRA balance'!$C$5:$C$40,Assumptions!$C67,'TRA balance'!$D$5:$D$40,Assumptions!$B67)*CB67*Q67,"")</f>
        <v/>
      </c>
      <c r="AX67" s="34" t="str">
        <f ca="1">IFERROR(SUMIFS('TRA balance'!O$5:O$40,'TRA balance'!$C$5:$C$40,Assumptions!$C67,'TRA balance'!$D$5:$D$40,Assumptions!$B67)*CC67*R67,"")</f>
        <v/>
      </c>
      <c r="AY67" s="34" t="str">
        <f ca="1">IFERROR(SUMIFS('TRA balance'!P$5:P$40,'TRA balance'!$C$5:$C$40,Assumptions!$C67,'TRA balance'!$D$5:$D$40,Assumptions!$B67)*CD67*S67,"")</f>
        <v/>
      </c>
      <c r="AZ67" s="34" t="str">
        <f ca="1">IFERROR(SUMIFS('TRA balance'!Q$5:Q$40,'TRA balance'!$C$5:$C$40,Assumptions!$C67,'TRA balance'!$D$5:$D$40,Assumptions!$B67)*CE67*T67,"")</f>
        <v/>
      </c>
      <c r="BA67" s="34" t="str">
        <f ca="1">IFERROR(SUMIFS('TRA balance'!R$5:R$40,'TRA balance'!$C$5:$C$40,Assumptions!$C67,'TRA balance'!$D$5:$D$40,Assumptions!$B67)*CF67*U67,"")</f>
        <v/>
      </c>
      <c r="BB67" s="34" t="str">
        <f ca="1">IFERROR(SUMIFS('TRA balance'!S$5:S$40,'TRA balance'!$C$5:$C$40,Assumptions!$C67,'TRA balance'!$D$5:$D$40,Assumptions!$B67)*CG67*V67,"")</f>
        <v/>
      </c>
      <c r="BC67" s="34" t="str">
        <f ca="1">IFERROR(SUMIFS('TRA balance'!T$5:T$40,'TRA balance'!$C$5:$C$40,Assumptions!$C67,'TRA balance'!$D$5:$D$40,Assumptions!$B67)*CH67*W67,"")</f>
        <v/>
      </c>
      <c r="BD67" s="34" t="str">
        <f ca="1">IFERROR(SUMIFS('TRA balance'!U$5:U$40,'TRA balance'!$C$5:$C$40,Assumptions!$C67,'TRA balance'!$D$5:$D$40,Assumptions!$B67)*CI67*X67,"")</f>
        <v/>
      </c>
      <c r="BE67" s="34" t="str">
        <f ca="1">IFERROR(SUMIFS('TRA balance'!V$5:V$40,'TRA balance'!$C$5:$C$40,Assumptions!$C67,'TRA balance'!$D$5:$D$40,Assumptions!$B67)*CJ67*Y67,"")</f>
        <v/>
      </c>
      <c r="BF67" s="34" t="str">
        <f ca="1">IFERROR(SUMIFS('TRA balance'!W$5:W$40,'TRA balance'!$C$5:$C$40,Assumptions!$C67,'TRA balance'!$D$5:$D$40,Assumptions!$B67)*CK67*Z67,"")</f>
        <v/>
      </c>
      <c r="BG67" s="34" t="str">
        <f ca="1">IFERROR(SUMIFS('TRA balance'!X$5:X$40,'TRA balance'!$C$5:$C$40,Assumptions!$C67,'TRA balance'!$D$5:$D$40,Assumptions!$B67)*CL67*AA67,"")</f>
        <v/>
      </c>
      <c r="BH67" s="34" t="str">
        <f ca="1">IFERROR(SUMIFS('TRA balance'!Y$5:Y$40,'TRA balance'!$C$5:$C$40,Assumptions!$C67,'TRA balance'!$D$5:$D$40,Assumptions!$B67)*CM67*AB67,"")</f>
        <v/>
      </c>
      <c r="BI67" s="34" t="str">
        <f ca="1">IFERROR(SUMIFS('TRA balance'!Z$5:Z$40,'TRA balance'!$C$5:$C$40,Assumptions!$C67,'TRA balance'!$D$5:$D$40,Assumptions!$B67)*CN67*AC67,"")</f>
        <v/>
      </c>
      <c r="BJ67" s="34" t="str">
        <f ca="1">IFERROR(SUMIFS('TRA balance'!AA$5:AA$40,'TRA balance'!$C$5:$C$40,Assumptions!$C67,'TRA balance'!$D$5:$D$40,Assumptions!$B67)*CO67*AD67,"")</f>
        <v/>
      </c>
      <c r="BK67" s="34" t="str">
        <f ca="1">IFERROR(SUMIFS('TRA balance'!AB$5:AB$40,'TRA balance'!$C$5:$C$40,Assumptions!$C67,'TRA balance'!$D$5:$D$40,Assumptions!$B67)*CP67*AE67,"")</f>
        <v/>
      </c>
      <c r="BL67" s="34" t="str">
        <f ca="1">IFERROR(SUMIFS('TRA balance'!AC$5:AC$40,'TRA balance'!$C$5:$C$40,Assumptions!$C67,'TRA balance'!$D$5:$D$40,Assumptions!$B67)*CQ67*AF67,"")</f>
        <v/>
      </c>
      <c r="BM67" s="34" t="str">
        <f ca="1">IFERROR(SUMIFS('TRA balance'!AD$5:AD$40,'TRA balance'!$C$5:$C$40,Assumptions!$C67,'TRA balance'!$D$5:$D$40,Assumptions!$B67)*CR67*AG67,"")</f>
        <v/>
      </c>
      <c r="BN67" s="34" t="str">
        <f ca="1">IFERROR(SUMIFS('TRA balance'!AE$5:AE$40,'TRA balance'!$C$5:$C$40,Assumptions!$C67,'TRA balance'!$D$5:$D$40,Assumptions!$B67)*CS67*AH67,"")</f>
        <v/>
      </c>
      <c r="BO67" s="34" t="str">
        <f ca="1">IFERROR(SUMIFS('TRA balance'!AF$5:AF$40,'TRA balance'!$C$5:$C$40,Assumptions!$C67,'TRA balance'!$D$5:$D$40,Assumptions!$B67)*CT67*AI67,"")</f>
        <v/>
      </c>
      <c r="BP67" s="34" t="str">
        <f ca="1">IFERROR(SUMIFS('TRA balance'!AG$5:AG$40,'TRA balance'!$C$5:$C$40,Assumptions!$C67,'TRA balance'!$D$5:$D$40,Assumptions!$B67)*CU67*AJ67,"")</f>
        <v/>
      </c>
      <c r="BQ67" s="34" t="str">
        <f ca="1">IFERROR(SUMIFS('TRA balance'!AH$5:AH$40,'TRA balance'!$C$5:$C$40,Assumptions!$C67,'TRA balance'!$D$5:$D$40,Assumptions!$B67)*CV67*AK67,"")</f>
        <v/>
      </c>
      <c r="BS67" s="33">
        <f t="shared" ref="BS67:BS103" si="152">IF($C67="TR",SUMIFS(H$3:H$103,$B$3:$B$103,$B67,$C$3:$C$103,$A67),1)</f>
        <v>1</v>
      </c>
      <c r="BT67" s="33">
        <f t="shared" ref="BT67:BT103" si="153">IF($C67="TR",SUMIFS(I$3:I$103,$B$3:$B$103,$B67,$C$3:$C$103,$A67),1)</f>
        <v>1</v>
      </c>
      <c r="BU67" s="33">
        <f t="shared" ref="BU67:BU103" si="154">IF($C67="TR",SUMIFS(J$3:J$103,$B$3:$B$103,$B67,$C$3:$C$103,$A67),1)</f>
        <v>1</v>
      </c>
      <c r="BV67" s="33">
        <f t="shared" ref="BV67:BV103" si="155">IF($C67="TR",SUMIFS(K$3:K$103,$B$3:$B$103,$B67,$C$3:$C$103,$A67),1)</f>
        <v>1</v>
      </c>
      <c r="BW67" s="33">
        <f t="shared" ref="BW67:BW103" si="156">IF($C67="TR",SUMIFS(L$3:L$103,$B$3:$B$103,$B67,$C$3:$C$103,$A67),1)</f>
        <v>1</v>
      </c>
      <c r="BX67" s="33">
        <f t="shared" ref="BX67:BX103" si="157">IF($C67="TR",SUMIFS(M$3:M$103,$B$3:$B$103,$B67,$C$3:$C$103,$A67),1)</f>
        <v>1</v>
      </c>
      <c r="BY67" s="33">
        <f t="shared" ref="BY67:BY103" si="158">IF($C67="TR",SUMIFS(N$3:N$103,$B$3:$B$103,$B67,$C$3:$C$103,$A67),1)</f>
        <v>1</v>
      </c>
      <c r="BZ67" s="33">
        <f t="shared" ref="BZ67:BZ103" si="159">IF($C67="TR",SUMIFS(O$3:O$103,$B$3:$B$103,$B67,$C$3:$C$103,$A67),1)</f>
        <v>1</v>
      </c>
      <c r="CA67" s="33">
        <f t="shared" ref="CA67:CA103" si="160">IF($C67="TR",SUMIFS(P$3:P$103,$B$3:$B$103,$B67,$C$3:$C$103,$A67),1)</f>
        <v>1</v>
      </c>
      <c r="CB67" s="33">
        <f t="shared" ref="CB67:CB103" si="161">IF($C67="TR",SUMIFS(Q$3:Q$103,$B$3:$B$103,$B67,$C$3:$C$103,$A67),1)</f>
        <v>1</v>
      </c>
      <c r="CC67" s="33">
        <f t="shared" ref="CC67:CC103" si="162">IF($C67="TR",SUMIFS(R$3:R$103,$B$3:$B$103,$B67,$C$3:$C$103,$A67),1)</f>
        <v>1</v>
      </c>
      <c r="CD67" s="33">
        <f t="shared" ref="CD67:CD103" si="163">IF($C67="TR",SUMIFS(S$3:S$103,$B$3:$B$103,$B67,$C$3:$C$103,$A67),1)</f>
        <v>1</v>
      </c>
      <c r="CE67" s="33">
        <f t="shared" ref="CE67:CE103" si="164">IF($C67="TR",SUMIFS(T$3:T$103,$B$3:$B$103,$B67,$C$3:$C$103,$A67),1)</f>
        <v>1</v>
      </c>
      <c r="CF67" s="33">
        <f t="shared" ref="CF67:CF103" si="165">IF($C67="TR",SUMIFS(U$3:U$103,$B$3:$B$103,$B67,$C$3:$C$103,$A67),1)</f>
        <v>1</v>
      </c>
      <c r="CG67" s="33">
        <f t="shared" ref="CG67:CG103" si="166">IF($C67="TR",SUMIFS(V$3:V$103,$B$3:$B$103,$B67,$C$3:$C$103,$A67),1)</f>
        <v>1</v>
      </c>
      <c r="CH67" s="33">
        <f t="shared" ref="CH67:CH103" si="167">IF($C67="TR",SUMIFS(W$3:W$103,$B$3:$B$103,$B67,$C$3:$C$103,$A67),1)</f>
        <v>1</v>
      </c>
      <c r="CI67" s="33">
        <f t="shared" ref="CI67:CI103" si="168">IF($C67="TR",SUMIFS(X$3:X$103,$B$3:$B$103,$B67,$C$3:$C$103,$A67),1)</f>
        <v>1</v>
      </c>
      <c r="CJ67" s="33">
        <f t="shared" ref="CJ67:CJ103" si="169">IF($C67="TR",SUMIFS(Y$3:Y$103,$B$3:$B$103,$B67,$C$3:$C$103,$A67),1)</f>
        <v>1</v>
      </c>
      <c r="CK67" s="33">
        <f t="shared" ref="CK67:CK103" si="170">IF($C67="TR",SUMIFS(Z$3:Z$103,$B$3:$B$103,$B67,$C$3:$C$103,$A67),1)</f>
        <v>1</v>
      </c>
      <c r="CL67" s="33">
        <f t="shared" ref="CL67:CL103" si="171">IF($C67="TR",SUMIFS(AA$3:AA$103,$B$3:$B$103,$B67,$C$3:$C$103,$A67),1)</f>
        <v>1</v>
      </c>
      <c r="CM67" s="33">
        <f t="shared" ref="CM67:CM103" si="172">IF($C67="TR",SUMIFS(AB$3:AB$103,$B$3:$B$103,$B67,$C$3:$C$103,$A67),1)</f>
        <v>1</v>
      </c>
      <c r="CN67" s="33">
        <f t="shared" ref="CN67:CN103" si="173">IF($C67="TR",SUMIFS(AC$3:AC$103,$B$3:$B$103,$B67,$C$3:$C$103,$A67),1)</f>
        <v>1</v>
      </c>
      <c r="CO67" s="33">
        <f t="shared" ref="CO67:CO103" si="174">IF($C67="TR",SUMIFS(AD$3:AD$103,$B$3:$B$103,$B67,$C$3:$C$103,$A67),1)</f>
        <v>1</v>
      </c>
      <c r="CP67" s="33">
        <f t="shared" ref="CP67:CP103" si="175">IF($C67="TR",SUMIFS(AE$3:AE$103,$B$3:$B$103,$B67,$C$3:$C$103,$A67),1)</f>
        <v>1</v>
      </c>
      <c r="CQ67" s="33">
        <f t="shared" ref="CQ67:CQ103" si="176">IF($C67="TR",SUMIFS(AF$3:AF$103,$B$3:$B$103,$B67,$C$3:$C$103,$A67),1)</f>
        <v>1</v>
      </c>
      <c r="CR67" s="33">
        <f t="shared" ref="CR67:CR103" si="177">IF($C67="TR",SUMIFS(AG$3:AG$103,$B$3:$B$103,$B67,$C$3:$C$103,$A67),1)</f>
        <v>1</v>
      </c>
      <c r="CS67" s="33">
        <f t="shared" ref="CS67:CS103" si="178">IF($C67="TR",SUMIFS(AH$3:AH$103,$B$3:$B$103,$B67,$C$3:$C$103,$A67),1)</f>
        <v>1</v>
      </c>
      <c r="CT67" s="33">
        <f t="shared" ref="CT67:CT103" si="179">IF($C67="TR",SUMIFS(AI$3:AI$103,$B$3:$B$103,$B67,$C$3:$C$103,$A67),1)</f>
        <v>1</v>
      </c>
      <c r="CU67" s="33">
        <f t="shared" ref="CU67:CU103" si="180">IF($C67="TR",SUMIFS(AJ$3:AJ$103,$B$3:$B$103,$B67,$C$3:$C$103,$A67),1)</f>
        <v>1</v>
      </c>
      <c r="CV67" s="33">
        <f t="shared" ref="CV67:CV103" si="181">IF($C67="TR",SUMIFS(AK$3:AK$103,$B$3:$B$103,$B67,$C$3:$C$103,$A67),1)</f>
        <v>1</v>
      </c>
    </row>
    <row r="68" spans="1:100" x14ac:dyDescent="0.45">
      <c r="A68">
        <v>1</v>
      </c>
      <c r="B68" t="str">
        <f>VLOOKUP(F68,'TRA balance'!$AK$5:$AL$14,2,FALSE)</f>
        <v>TRABDS</v>
      </c>
      <c r="C68" s="14">
        <v>2</v>
      </c>
      <c r="D68" s="15" t="s">
        <v>16</v>
      </c>
      <c r="E68" s="15" t="s">
        <v>70</v>
      </c>
      <c r="F68" s="16" t="str">
        <f>F67</f>
        <v>Bio Diesel</v>
      </c>
      <c r="G68" s="14"/>
      <c r="H68" s="21">
        <f ca="1">1-H62</f>
        <v>0.9</v>
      </c>
      <c r="I68" s="21">
        <f t="shared" ref="I68:X68" ca="1" si="182">1-I62</f>
        <v>0.9</v>
      </c>
      <c r="J68" s="21">
        <f t="shared" ca="1" si="182"/>
        <v>0.92999999999999994</v>
      </c>
      <c r="K68" s="21">
        <f t="shared" ca="1" si="182"/>
        <v>0.95</v>
      </c>
      <c r="L68" s="21">
        <f t="shared" ca="1" si="182"/>
        <v>0.95</v>
      </c>
      <c r="M68" s="21">
        <f t="shared" ca="1" si="182"/>
        <v>0.92</v>
      </c>
      <c r="N68" s="21">
        <f t="shared" ca="1" si="182"/>
        <v>0.98</v>
      </c>
      <c r="O68" s="21">
        <f t="shared" ca="1" si="182"/>
        <v>0.92999999999999994</v>
      </c>
      <c r="P68" s="21">
        <f t="shared" ca="1" si="182"/>
        <v>0.98</v>
      </c>
      <c r="Q68" s="21">
        <f t="shared" ca="1" si="182"/>
        <v>0.9</v>
      </c>
      <c r="R68" s="21">
        <f t="shared" ca="1" si="182"/>
        <v>0.54657475750985407</v>
      </c>
      <c r="S68" s="21">
        <f t="shared" ca="1" si="182"/>
        <v>0.64948690066960857</v>
      </c>
      <c r="T68" s="21">
        <f t="shared" ca="1" si="182"/>
        <v>0.54657475750985407</v>
      </c>
      <c r="U68" s="21">
        <f t="shared" ca="1" si="182"/>
        <v>0.54657475750985407</v>
      </c>
      <c r="V68" s="21">
        <f t="shared" ca="1" si="182"/>
        <v>0.64948690066960857</v>
      </c>
      <c r="W68" s="21">
        <f t="shared" ca="1" si="182"/>
        <v>0.54657475750985407</v>
      </c>
      <c r="X68" s="21">
        <f t="shared" ca="1" si="182"/>
        <v>0.9</v>
      </c>
      <c r="Y68" s="21">
        <f t="shared" ref="Y68:Z68" ca="1" si="183">1-Y62</f>
        <v>0.54657475750985407</v>
      </c>
      <c r="Z68" s="21">
        <f t="shared" ca="1" si="183"/>
        <v>0.54657475750985407</v>
      </c>
      <c r="AA68" s="21">
        <f t="shared" ref="AA68:AK68" ca="1" si="184">1-AA62</f>
        <v>0.75</v>
      </c>
      <c r="AB68" s="21">
        <f t="shared" ca="1" si="184"/>
        <v>0.92999999999999994</v>
      </c>
      <c r="AC68" s="21">
        <f t="shared" ca="1" si="184"/>
        <v>0.85</v>
      </c>
      <c r="AD68" s="21">
        <f t="shared" ca="1" si="184"/>
        <v>0.9</v>
      </c>
      <c r="AE68" s="21">
        <f t="shared" ca="1" si="184"/>
        <v>0.54657475750985407</v>
      </c>
      <c r="AF68" s="21">
        <f t="shared" ca="1" si="184"/>
        <v>0.95</v>
      </c>
      <c r="AG68" s="21">
        <f t="shared" ca="1" si="184"/>
        <v>0.9</v>
      </c>
      <c r="AH68" s="21">
        <f t="shared" ca="1" si="184"/>
        <v>0.9</v>
      </c>
      <c r="AI68" s="21">
        <f t="shared" ca="1" si="184"/>
        <v>0.54657475750985407</v>
      </c>
      <c r="AJ68" s="21">
        <f t="shared" ca="1" si="184"/>
        <v>0.97559357817738346</v>
      </c>
      <c r="AK68" s="21">
        <f t="shared" ca="1" si="184"/>
        <v>0.97559357817738346</v>
      </c>
      <c r="AN68" s="34">
        <f ca="1">IFERROR(SUMIFS('TRA balance'!E$5:E$40,'TRA balance'!$C$5:$C$40,Assumptions!$C68,'TRA balance'!$D$5:$D$40,Assumptions!$B68)*BS68*H68,"")</f>
        <v>0</v>
      </c>
      <c r="AO68" s="34">
        <f ca="1">IFERROR(SUMIFS('TRA balance'!F$5:F$40,'TRA balance'!$C$5:$C$40,Assumptions!$C68,'TRA balance'!$D$5:$D$40,Assumptions!$B68)*BT68*I68,"")</f>
        <v>0</v>
      </c>
      <c r="AP68" s="34">
        <f ca="1">IFERROR(SUMIFS('TRA balance'!G$5:G$40,'TRA balance'!$C$5:$C$40,Assumptions!$C68,'TRA balance'!$D$5:$D$40,Assumptions!$B68)*BU68*J68,"")</f>
        <v>0</v>
      </c>
      <c r="AQ68" s="34">
        <f ca="1">IFERROR(SUMIFS('TRA balance'!H$5:H$40,'TRA balance'!$C$5:$C$40,Assumptions!$C68,'TRA balance'!$D$5:$D$40,Assumptions!$B68)*BV68*K68,"")</f>
        <v>0</v>
      </c>
      <c r="AR68" s="34">
        <f ca="1">IFERROR(SUMIFS('TRA balance'!I$5:I$40,'TRA balance'!$C$5:$C$40,Assumptions!$C68,'TRA balance'!$D$5:$D$40,Assumptions!$B68)*BW68*L68,"")</f>
        <v>0</v>
      </c>
      <c r="AS68" s="34">
        <f ca="1">IFERROR(SUMIFS('TRA balance'!J$5:J$40,'TRA balance'!$C$5:$C$40,Assumptions!$C68,'TRA balance'!$D$5:$D$40,Assumptions!$B68)*BX68*M68,"")</f>
        <v>0</v>
      </c>
      <c r="AT68" s="34">
        <f ca="1">IFERROR(SUMIFS('TRA balance'!K$5:K$40,'TRA balance'!$C$5:$C$40,Assumptions!$C68,'TRA balance'!$D$5:$D$40,Assumptions!$B68)*BY68*N68,"")</f>
        <v>0</v>
      </c>
      <c r="AU68" s="34">
        <f ca="1">IFERROR(SUMIFS('TRA balance'!L$5:L$40,'TRA balance'!$C$5:$C$40,Assumptions!$C68,'TRA balance'!$D$5:$D$40,Assumptions!$B68)*BZ68*O68,"")</f>
        <v>0</v>
      </c>
      <c r="AV68" s="34">
        <f ca="1">IFERROR(SUMIFS('TRA balance'!M$5:M$40,'TRA balance'!$C$5:$C$40,Assumptions!$C68,'TRA balance'!$D$5:$D$40,Assumptions!$B68)*CA68*P68,"")</f>
        <v>0</v>
      </c>
      <c r="AW68" s="34">
        <f ca="1">IFERROR(SUMIFS('TRA balance'!N$5:N$40,'TRA balance'!$C$5:$C$40,Assumptions!$C68,'TRA balance'!$D$5:$D$40,Assumptions!$B68)*CB68*Q68,"")</f>
        <v>0</v>
      </c>
      <c r="AX68" s="34">
        <f ca="1">IFERROR(SUMIFS('TRA balance'!O$5:O$40,'TRA balance'!$C$5:$C$40,Assumptions!$C68,'TRA balance'!$D$5:$D$40,Assumptions!$B68)*CC68*R68,"")</f>
        <v>0</v>
      </c>
      <c r="AY68" s="34">
        <f ca="1">IFERROR(SUMIFS('TRA balance'!P$5:P$40,'TRA balance'!$C$5:$C$40,Assumptions!$C68,'TRA balance'!$D$5:$D$40,Assumptions!$B68)*CD68*S68,"")</f>
        <v>0</v>
      </c>
      <c r="AZ68" s="34">
        <f ca="1">IFERROR(SUMIFS('TRA balance'!Q$5:Q$40,'TRA balance'!$C$5:$C$40,Assumptions!$C68,'TRA balance'!$D$5:$D$40,Assumptions!$B68)*CE68*T68,"")</f>
        <v>0</v>
      </c>
      <c r="BA68" s="34">
        <f ca="1">IFERROR(SUMIFS('TRA balance'!R$5:R$40,'TRA balance'!$C$5:$C$40,Assumptions!$C68,'TRA balance'!$D$5:$D$40,Assumptions!$B68)*CF68*U68,"")</f>
        <v>0</v>
      </c>
      <c r="BB68" s="34">
        <f ca="1">IFERROR(SUMIFS('TRA balance'!S$5:S$40,'TRA balance'!$C$5:$C$40,Assumptions!$C68,'TRA balance'!$D$5:$D$40,Assumptions!$B68)*CG68*V68,"")</f>
        <v>0</v>
      </c>
      <c r="BC68" s="34">
        <f ca="1">IFERROR(SUMIFS('TRA balance'!T$5:T$40,'TRA balance'!$C$5:$C$40,Assumptions!$C68,'TRA balance'!$D$5:$D$40,Assumptions!$B68)*CH68*W68,"")</f>
        <v>0</v>
      </c>
      <c r="BD68" s="34">
        <f ca="1">IFERROR(SUMIFS('TRA balance'!U$5:U$40,'TRA balance'!$C$5:$C$40,Assumptions!$C68,'TRA balance'!$D$5:$D$40,Assumptions!$B68)*CI68*X68,"")</f>
        <v>0</v>
      </c>
      <c r="BE68" s="34">
        <f ca="1">IFERROR(SUMIFS('TRA balance'!V$5:V$40,'TRA balance'!$C$5:$C$40,Assumptions!$C68,'TRA balance'!$D$5:$D$40,Assumptions!$B68)*CJ68*Y68,"")</f>
        <v>0</v>
      </c>
      <c r="BF68" s="34">
        <f ca="1">IFERROR(SUMIFS('TRA balance'!W$5:W$40,'TRA balance'!$C$5:$C$40,Assumptions!$C68,'TRA balance'!$D$5:$D$40,Assumptions!$B68)*CK68*Z68,"")</f>
        <v>0</v>
      </c>
      <c r="BG68" s="34">
        <f ca="1">IFERROR(SUMIFS('TRA balance'!X$5:X$40,'TRA balance'!$C$5:$C$40,Assumptions!$C68,'TRA balance'!$D$5:$D$40,Assumptions!$B68)*CL68*AA68,"")</f>
        <v>0</v>
      </c>
      <c r="BH68" s="34">
        <f ca="1">IFERROR(SUMIFS('TRA balance'!Y$5:Y$40,'TRA balance'!$C$5:$C$40,Assumptions!$C68,'TRA balance'!$D$5:$D$40,Assumptions!$B68)*CM68*AB68,"")</f>
        <v>0</v>
      </c>
      <c r="BI68" s="34">
        <f ca="1">IFERROR(SUMIFS('TRA balance'!Z$5:Z$40,'TRA balance'!$C$5:$C$40,Assumptions!$C68,'TRA balance'!$D$5:$D$40,Assumptions!$B68)*CN68*AC68,"")</f>
        <v>0</v>
      </c>
      <c r="BJ68" s="34">
        <f ca="1">IFERROR(SUMIFS('TRA balance'!AA$5:AA$40,'TRA balance'!$C$5:$C$40,Assumptions!$C68,'TRA balance'!$D$5:$D$40,Assumptions!$B68)*CO68*AD68,"")</f>
        <v>0</v>
      </c>
      <c r="BK68" s="34">
        <f ca="1">IFERROR(SUMIFS('TRA balance'!AB$5:AB$40,'TRA balance'!$C$5:$C$40,Assumptions!$C68,'TRA balance'!$D$5:$D$40,Assumptions!$B68)*CP68*AE68,"")</f>
        <v>0</v>
      </c>
      <c r="BL68" s="34">
        <f ca="1">IFERROR(SUMIFS('TRA balance'!AC$5:AC$40,'TRA balance'!$C$5:$C$40,Assumptions!$C68,'TRA balance'!$D$5:$D$40,Assumptions!$B68)*CQ68*AF68,"")</f>
        <v>0</v>
      </c>
      <c r="BM68" s="34">
        <f ca="1">IFERROR(SUMIFS('TRA balance'!AD$5:AD$40,'TRA balance'!$C$5:$C$40,Assumptions!$C68,'TRA balance'!$D$5:$D$40,Assumptions!$B68)*CR68*AG68,"")</f>
        <v>0</v>
      </c>
      <c r="BN68" s="34">
        <f ca="1">IFERROR(SUMIFS('TRA balance'!AE$5:AE$40,'TRA balance'!$C$5:$C$40,Assumptions!$C68,'TRA balance'!$D$5:$D$40,Assumptions!$B68)*CS68*AH68,"")</f>
        <v>0</v>
      </c>
      <c r="BO68" s="34">
        <f ca="1">IFERROR(SUMIFS('TRA balance'!AF$5:AF$40,'TRA balance'!$C$5:$C$40,Assumptions!$C68,'TRA balance'!$D$5:$D$40,Assumptions!$B68)*CT68*AI68,"")</f>
        <v>0</v>
      </c>
      <c r="BP68" s="34">
        <f ca="1">IFERROR(SUMIFS('TRA balance'!AG$5:AG$40,'TRA balance'!$C$5:$C$40,Assumptions!$C68,'TRA balance'!$D$5:$D$40,Assumptions!$B68)*CU68*AJ68,"")</f>
        <v>0</v>
      </c>
      <c r="BQ68" s="34">
        <f ca="1">IFERROR(SUMIFS('TRA balance'!AH$5:AH$40,'TRA balance'!$C$5:$C$40,Assumptions!$C68,'TRA balance'!$D$5:$D$40,Assumptions!$B68)*CV68*AK68,"")</f>
        <v>0</v>
      </c>
      <c r="BS68" s="33">
        <f t="shared" si="152"/>
        <v>1</v>
      </c>
      <c r="BT68" s="33">
        <f t="shared" si="153"/>
        <v>1</v>
      </c>
      <c r="BU68" s="33">
        <f t="shared" si="154"/>
        <v>1</v>
      </c>
      <c r="BV68" s="33">
        <f t="shared" si="155"/>
        <v>1</v>
      </c>
      <c r="BW68" s="33">
        <f t="shared" si="156"/>
        <v>1</v>
      </c>
      <c r="BX68" s="33">
        <f t="shared" si="157"/>
        <v>1</v>
      </c>
      <c r="BY68" s="33">
        <f t="shared" si="158"/>
        <v>1</v>
      </c>
      <c r="BZ68" s="33">
        <f t="shared" si="159"/>
        <v>1</v>
      </c>
      <c r="CA68" s="33">
        <f t="shared" si="160"/>
        <v>1</v>
      </c>
      <c r="CB68" s="33">
        <f t="shared" si="161"/>
        <v>1</v>
      </c>
      <c r="CC68" s="33">
        <f t="shared" si="162"/>
        <v>1</v>
      </c>
      <c r="CD68" s="33">
        <f t="shared" si="163"/>
        <v>1</v>
      </c>
      <c r="CE68" s="33">
        <f t="shared" si="164"/>
        <v>1</v>
      </c>
      <c r="CF68" s="33">
        <f t="shared" si="165"/>
        <v>1</v>
      </c>
      <c r="CG68" s="33">
        <f t="shared" si="166"/>
        <v>1</v>
      </c>
      <c r="CH68" s="33">
        <f t="shared" si="167"/>
        <v>1</v>
      </c>
      <c r="CI68" s="33">
        <f t="shared" si="168"/>
        <v>1</v>
      </c>
      <c r="CJ68" s="33">
        <f t="shared" si="169"/>
        <v>1</v>
      </c>
      <c r="CK68" s="33">
        <f t="shared" si="170"/>
        <v>1</v>
      </c>
      <c r="CL68" s="33">
        <f t="shared" si="171"/>
        <v>1</v>
      </c>
      <c r="CM68" s="33">
        <f t="shared" si="172"/>
        <v>1</v>
      </c>
      <c r="CN68" s="33">
        <f t="shared" si="173"/>
        <v>1</v>
      </c>
      <c r="CO68" s="33">
        <f t="shared" si="174"/>
        <v>1</v>
      </c>
      <c r="CP68" s="33">
        <f t="shared" si="175"/>
        <v>1</v>
      </c>
      <c r="CQ68" s="33">
        <f t="shared" si="176"/>
        <v>1</v>
      </c>
      <c r="CR68" s="33">
        <f t="shared" si="177"/>
        <v>1</v>
      </c>
      <c r="CS68" s="33">
        <f t="shared" si="178"/>
        <v>1</v>
      </c>
      <c r="CT68" s="33">
        <f t="shared" si="179"/>
        <v>1</v>
      </c>
      <c r="CU68" s="33">
        <f t="shared" si="180"/>
        <v>1</v>
      </c>
      <c r="CV68" s="33">
        <f t="shared" si="181"/>
        <v>1</v>
      </c>
    </row>
    <row r="69" spans="1:100" x14ac:dyDescent="0.45">
      <c r="A69">
        <v>2</v>
      </c>
      <c r="B69" t="str">
        <f>VLOOKUP(F69,'TRA balance'!$AK$5:$AL$14,2,FALSE)</f>
        <v>TRABDS</v>
      </c>
      <c r="C69" s="6" t="str">
        <f t="shared" ref="C69:C102" si="185">LEFT(G69,2)</f>
        <v>TR</v>
      </c>
      <c r="D69" s="7" t="s">
        <v>16</v>
      </c>
      <c r="E69" s="18" t="s">
        <v>71</v>
      </c>
      <c r="F69" s="8" t="str">
        <f>F68</f>
        <v>Bio Diesel</v>
      </c>
      <c r="G69" s="6" t="s">
        <v>72</v>
      </c>
      <c r="H69" s="9">
        <f ca="1">OFFSET(TIAM15_assumptions!$G69,0,MATCH(VLOOKUP(Assumptions!H$2,TIAM15_assumptions!$Y$3:$Z$36,2,FALSE),TIAM15_assumptions!$H$2:$V$2,0))</f>
        <v>0.35</v>
      </c>
      <c r="I69" s="9">
        <f ca="1">OFFSET(TIAM15_assumptions!$G69,0,MATCH(VLOOKUP(Assumptions!I$2,TIAM15_assumptions!$Y$3:$Z$36,2,FALSE),TIAM15_assumptions!$H$2:$V$2,0))</f>
        <v>0.35</v>
      </c>
      <c r="J69" s="9">
        <f ca="1">OFFSET(TIAM15_assumptions!$G69,0,MATCH(VLOOKUP(Assumptions!J$2,TIAM15_assumptions!$Y$3:$Z$36,2,FALSE),TIAM15_assumptions!$H$2:$V$2,0))</f>
        <v>0.1</v>
      </c>
      <c r="K69" s="9">
        <f ca="1">OFFSET(TIAM15_assumptions!$G69,0,MATCH(VLOOKUP(Assumptions!K$2,TIAM15_assumptions!$Y$3:$Z$36,2,FALSE),TIAM15_assumptions!$H$2:$V$2,0))</f>
        <v>0.1</v>
      </c>
      <c r="L69" s="9">
        <f ca="1">OFFSET(TIAM15_assumptions!$G69,0,MATCH(VLOOKUP(Assumptions!L$2,TIAM15_assumptions!$Y$3:$Z$36,2,FALSE),TIAM15_assumptions!$H$2:$V$2,0))</f>
        <v>0.05</v>
      </c>
      <c r="M69" s="9">
        <f ca="1">OFFSET(TIAM15_assumptions!$G69,0,MATCH(VLOOKUP(Assumptions!M$2,TIAM15_assumptions!$Y$3:$Z$36,2,FALSE),TIAM15_assumptions!$H$2:$V$2,0))</f>
        <v>0.15</v>
      </c>
      <c r="N69" s="9">
        <f ca="1">OFFSET(TIAM15_assumptions!$G69,0,MATCH(VLOOKUP(Assumptions!N$2,TIAM15_assumptions!$Y$3:$Z$36,2,FALSE),TIAM15_assumptions!$H$2:$V$2,0))</f>
        <v>0.15</v>
      </c>
      <c r="O69" s="9">
        <f ca="1">OFFSET(TIAM15_assumptions!$G69,0,MATCH(VLOOKUP(Assumptions!O$2,TIAM15_assumptions!$Y$3:$Z$36,2,FALSE),TIAM15_assumptions!$H$2:$V$2,0))</f>
        <v>0.1</v>
      </c>
      <c r="P69" s="9">
        <f ca="1">OFFSET(TIAM15_assumptions!$G69,0,MATCH(VLOOKUP(Assumptions!P$2,TIAM15_assumptions!$Y$3:$Z$36,2,FALSE),TIAM15_assumptions!$H$2:$V$2,0))</f>
        <v>0.05</v>
      </c>
      <c r="Q69" s="9">
        <f ca="1">OFFSET(TIAM15_assumptions!$G69,0,MATCH(VLOOKUP(Assumptions!Q$2,TIAM15_assumptions!$Y$3:$Z$36,2,FALSE),TIAM15_assumptions!$H$2:$V$2,0))</f>
        <v>0.35</v>
      </c>
      <c r="R69" s="9">
        <f ca="1">OFFSET(TIAM15_assumptions!$G69,0,MATCH(VLOOKUP(Assumptions!R$2,TIAM15_assumptions!$Y$3:$Z$36,2,FALSE),TIAM15_assumptions!$H$2:$V$2,0))</f>
        <v>0.11108623896935482</v>
      </c>
      <c r="S69" s="9">
        <f ca="1">OFFSET(TIAM15_assumptions!$G69,0,MATCH(VLOOKUP(Assumptions!S$2,TIAM15_assumptions!$Y$3:$Z$36,2,FALSE),TIAM15_assumptions!$H$2:$V$2,0))</f>
        <v>0.18784871177674334</v>
      </c>
      <c r="T69" s="9">
        <f ca="1">OFFSET(TIAM15_assumptions!$G69,0,MATCH(VLOOKUP(Assumptions!T$2,TIAM15_assumptions!$Y$3:$Z$36,2,FALSE),TIAM15_assumptions!$H$2:$V$2,0))</f>
        <v>0.11108623896935482</v>
      </c>
      <c r="U69" s="9">
        <f ca="1">OFFSET(TIAM15_assumptions!$G69,0,MATCH(VLOOKUP(Assumptions!U$2,TIAM15_assumptions!$Y$3:$Z$36,2,FALSE),TIAM15_assumptions!$H$2:$V$2,0))</f>
        <v>0.11108623896935482</v>
      </c>
      <c r="V69" s="9">
        <f ca="1">OFFSET(TIAM15_assumptions!$G69,0,MATCH(VLOOKUP(Assumptions!V$2,TIAM15_assumptions!$Y$3:$Z$36,2,FALSE),TIAM15_assumptions!$H$2:$V$2,0))</f>
        <v>0.18784871177674334</v>
      </c>
      <c r="W69" s="9">
        <f ca="1">OFFSET(TIAM15_assumptions!$G69,0,MATCH(VLOOKUP(Assumptions!W$2,TIAM15_assumptions!$Y$3:$Z$36,2,FALSE),TIAM15_assumptions!$H$2:$V$2,0))</f>
        <v>0.11108623896935482</v>
      </c>
      <c r="X69" s="9">
        <f ca="1">OFFSET(TIAM15_assumptions!$G69,0,MATCH(VLOOKUP(Assumptions!X$2,TIAM15_assumptions!$Y$3:$Z$36,2,FALSE),TIAM15_assumptions!$H$2:$V$2,0))</f>
        <v>0.1</v>
      </c>
      <c r="Y69" s="9">
        <f ca="1">OFFSET(TIAM15_assumptions!$G69,0,MATCH(VLOOKUP(Assumptions!Y$2,TIAM15_assumptions!$Y$3:$Z$36,2,FALSE),TIAM15_assumptions!$H$2:$V$2,0))</f>
        <v>0.11108623896935482</v>
      </c>
      <c r="Z69" s="9">
        <f ca="1">OFFSET(TIAM15_assumptions!$G69,0,MATCH(VLOOKUP(Assumptions!Z$2,TIAM15_assumptions!$Y$3:$Z$36,2,FALSE),TIAM15_assumptions!$H$2:$V$2,0))</f>
        <v>0.11108623896935482</v>
      </c>
      <c r="AA69" s="9">
        <f ca="1">OFFSET(TIAM15_assumptions!$G69,0,MATCH(VLOOKUP(Assumptions!AA$2,TIAM15_assumptions!$Y$3:$Z$36,2,FALSE),TIAM15_assumptions!$H$2:$V$2,0))</f>
        <v>0.25</v>
      </c>
      <c r="AB69" s="9">
        <f ca="1">OFFSET(TIAM15_assumptions!$G69,0,MATCH(VLOOKUP(Assumptions!AB$2,TIAM15_assumptions!$Y$3:$Z$36,2,FALSE),TIAM15_assumptions!$H$2:$V$2,0))</f>
        <v>0.1</v>
      </c>
      <c r="AC69" s="9">
        <f ca="1">OFFSET(TIAM15_assumptions!$G69,0,MATCH(VLOOKUP(Assumptions!AC$2,TIAM15_assumptions!$Y$3:$Z$36,2,FALSE),TIAM15_assumptions!$H$2:$V$2,0))</f>
        <v>0.1</v>
      </c>
      <c r="AD69" s="9">
        <f ca="1">OFFSET(TIAM15_assumptions!$G69,0,MATCH(VLOOKUP(Assumptions!AD$2,TIAM15_assumptions!$Y$3:$Z$36,2,FALSE),TIAM15_assumptions!$H$2:$V$2,0))</f>
        <v>0.1</v>
      </c>
      <c r="AE69" s="9">
        <f ca="1">OFFSET(TIAM15_assumptions!$G69,0,MATCH(VLOOKUP(Assumptions!AE$2,TIAM15_assumptions!$Y$3:$Z$36,2,FALSE),TIAM15_assumptions!$H$2:$V$2,0))</f>
        <v>0.11108623896935482</v>
      </c>
      <c r="AF69" s="9">
        <f ca="1">OFFSET(TIAM15_assumptions!$G69,0,MATCH(VLOOKUP(Assumptions!AF$2,TIAM15_assumptions!$Y$3:$Z$36,2,FALSE),TIAM15_assumptions!$H$2:$V$2,0))</f>
        <v>0.1</v>
      </c>
      <c r="AG69" s="9">
        <f ca="1">OFFSET(TIAM15_assumptions!$G69,0,MATCH(VLOOKUP(Assumptions!AG$2,TIAM15_assumptions!$Y$3:$Z$36,2,FALSE),TIAM15_assumptions!$H$2:$V$2,0))</f>
        <v>0.1</v>
      </c>
      <c r="AH69" s="9">
        <f ca="1">OFFSET(TIAM15_assumptions!$G69,0,MATCH(VLOOKUP(Assumptions!AH$2,TIAM15_assumptions!$Y$3:$Z$36,2,FALSE),TIAM15_assumptions!$H$2:$V$2,0))</f>
        <v>0.35</v>
      </c>
      <c r="AI69" s="9">
        <f ca="1">OFFSET(TIAM15_assumptions!$G69,0,MATCH(VLOOKUP(Assumptions!AI$2,TIAM15_assumptions!$Y$3:$Z$36,2,FALSE),TIAM15_assumptions!$H$2:$V$2,0))</f>
        <v>0.11108623896935482</v>
      </c>
      <c r="AJ69" s="9">
        <f ca="1">OFFSET(TIAM15_assumptions!$G69,0,MATCH(VLOOKUP(Assumptions!AJ$2,TIAM15_assumptions!$Y$3:$Z$36,2,FALSE),TIAM15_assumptions!$H$2:$V$2,0))</f>
        <v>0.04</v>
      </c>
      <c r="AK69" s="9">
        <f ca="1">OFFSET(TIAM15_assumptions!$G69,0,MATCH(VLOOKUP(Assumptions!AK$2,TIAM15_assumptions!$Y$3:$Z$36,2,FALSE),TIAM15_assumptions!$H$2:$V$2,0))</f>
        <v>0.04</v>
      </c>
      <c r="AN69" s="34">
        <f ca="1">IFERROR(SUMIFS('TRA balance'!E$5:E$40,'TRA balance'!$C$5:$C$40,Assumptions!$C69,'TRA balance'!$D$5:$D$40,Assumptions!$B69)*BS69*H69,"")</f>
        <v>0</v>
      </c>
      <c r="AO69" s="34">
        <f ca="1">IFERROR(SUMIFS('TRA balance'!F$5:F$40,'TRA balance'!$C$5:$C$40,Assumptions!$C69,'TRA balance'!$D$5:$D$40,Assumptions!$B69)*BT69*I69,"")</f>
        <v>0</v>
      </c>
      <c r="AP69" s="34">
        <f ca="1">IFERROR(SUMIFS('TRA balance'!G$5:G$40,'TRA balance'!$C$5:$C$40,Assumptions!$C69,'TRA balance'!$D$5:$D$40,Assumptions!$B69)*BU69*J69,"")</f>
        <v>3.9392373504635998</v>
      </c>
      <c r="AQ69" s="34">
        <f ca="1">IFERROR(SUMIFS('TRA balance'!H$5:H$40,'TRA balance'!$C$5:$C$40,Assumptions!$C69,'TRA balance'!$D$5:$D$40,Assumptions!$B69)*BV69*K69,"")</f>
        <v>9.1242932399999998E-4</v>
      </c>
      <c r="AR69" s="34">
        <f ca="1">IFERROR(SUMIFS('TRA balance'!I$5:I$40,'TRA balance'!$C$5:$C$40,Assumptions!$C69,'TRA balance'!$D$5:$D$40,Assumptions!$B69)*BW69*L69,"")</f>
        <v>1.300096639233</v>
      </c>
      <c r="AS69" s="34">
        <f ca="1">IFERROR(SUMIFS('TRA balance'!J$5:J$40,'TRA balance'!$C$5:$C$40,Assumptions!$C69,'TRA balance'!$D$5:$D$40,Assumptions!$B69)*BX69*M69,"")</f>
        <v>35.5702147952328</v>
      </c>
      <c r="AT69" s="34">
        <f ca="1">IFERROR(SUMIFS('TRA balance'!K$5:K$40,'TRA balance'!$C$5:$C$40,Assumptions!$C69,'TRA balance'!$D$5:$D$40,Assumptions!$B69)*BY69*N69,"")</f>
        <v>3.1425367175999995E-2</v>
      </c>
      <c r="AU69" s="34">
        <f ca="1">IFERROR(SUMIFS('TRA balance'!L$5:L$40,'TRA balance'!$C$5:$C$40,Assumptions!$C69,'TRA balance'!$D$5:$D$40,Assumptions!$B69)*BZ69*O69,"")</f>
        <v>60.545782959602406</v>
      </c>
      <c r="AV69" s="34">
        <f ca="1">IFERROR(SUMIFS('TRA balance'!M$5:M$40,'TRA balance'!$C$5:$C$40,Assumptions!$C69,'TRA balance'!$D$5:$D$40,Assumptions!$B69)*CA69*P69,"")</f>
        <v>1.0495075592232002</v>
      </c>
      <c r="AW69" s="34">
        <f ca="1">IFERROR(SUMIFS('TRA balance'!N$5:N$40,'TRA balance'!$C$5:$C$40,Assumptions!$C69,'TRA balance'!$D$5:$D$40,Assumptions!$B69)*CB69*Q69,"")</f>
        <v>12.025321370621999</v>
      </c>
      <c r="AX69" s="34">
        <f ca="1">IFERROR(SUMIFS('TRA balance'!O$5:O$40,'TRA balance'!$C$5:$C$40,Assumptions!$C69,'TRA balance'!$D$5:$D$40,Assumptions!$B69)*CC69*R69,"")</f>
        <v>4.3512820885352141</v>
      </c>
      <c r="AY69" s="34">
        <f ca="1">IFERROR(SUMIFS('TRA balance'!P$5:P$40,'TRA balance'!$C$5:$C$40,Assumptions!$C69,'TRA balance'!$D$5:$D$40,Assumptions!$B69)*CD69*S69,"")</f>
        <v>9.0545091875407433</v>
      </c>
      <c r="AZ69" s="34">
        <f ca="1">IFERROR(SUMIFS('TRA balance'!Q$5:Q$40,'TRA balance'!$C$5:$C$40,Assumptions!$C69,'TRA balance'!$D$5:$D$40,Assumptions!$B69)*CE69*T69,"")</f>
        <v>2.6540421433032666</v>
      </c>
      <c r="BA69" s="34">
        <f ca="1">IFERROR(SUMIFS('TRA balance'!R$5:R$40,'TRA balance'!$C$5:$C$40,Assumptions!$C69,'TRA balance'!$D$5:$D$40,Assumptions!$B69)*CF69*U69,"")</f>
        <v>3.6293556345918856</v>
      </c>
      <c r="BB69" s="34">
        <f ca="1">IFERROR(SUMIFS('TRA balance'!S$5:S$40,'TRA balance'!$C$5:$C$40,Assumptions!$C69,'TRA balance'!$D$5:$D$40,Assumptions!$B69)*CG69*V69,"")</f>
        <v>3.9401526598351819</v>
      </c>
      <c r="BC69" s="34">
        <f ca="1">IFERROR(SUMIFS('TRA balance'!T$5:T$40,'TRA balance'!$C$5:$C$40,Assumptions!$C69,'TRA balance'!$D$5:$D$40,Assumptions!$B69)*CH69*W69,"")</f>
        <v>4.4678356922975802</v>
      </c>
      <c r="BD69" s="34">
        <f ca="1">IFERROR(SUMIFS('TRA balance'!U$5:U$40,'TRA balance'!$C$5:$C$40,Assumptions!$C69,'TRA balance'!$D$5:$D$40,Assumptions!$B69)*CI69*X69,"")</f>
        <v>1.4544008706240001</v>
      </c>
      <c r="BE69" s="34">
        <f ca="1">IFERROR(SUMIFS('TRA balance'!V$5:V$40,'TRA balance'!$C$5:$C$40,Assumptions!$C69,'TRA balance'!$D$5:$D$40,Assumptions!$B69)*CJ69*Y69,"")</f>
        <v>6.4179776428439101</v>
      </c>
      <c r="BF69" s="34">
        <f ca="1">IFERROR(SUMIFS('TRA balance'!W$5:W$40,'TRA balance'!$C$5:$C$40,Assumptions!$C69,'TRA balance'!$D$5:$D$40,Assumptions!$B69)*CK69*Z69,"")</f>
        <v>4.8023384899898618</v>
      </c>
      <c r="BG69" s="34">
        <f ca="1">IFERROR(SUMIFS('TRA balance'!X$5:X$40,'TRA balance'!$C$5:$C$40,Assumptions!$C69,'TRA balance'!$D$5:$D$40,Assumptions!$B69)*CL69*AA69,"")</f>
        <v>0.30692593439999999</v>
      </c>
      <c r="BH69" s="34">
        <f ca="1">IFERROR(SUMIFS('TRA balance'!Y$5:Y$40,'TRA balance'!$C$5:$C$40,Assumptions!$C69,'TRA balance'!$D$5:$D$40,Assumptions!$B69)*CM69*AB69,"")</f>
        <v>2.9672707800599998</v>
      </c>
      <c r="BI69" s="34">
        <f ca="1">IFERROR(SUMIFS('TRA balance'!Z$5:Z$40,'TRA balance'!$C$5:$C$40,Assumptions!$C69,'TRA balance'!$D$5:$D$40,Assumptions!$B69)*CN69*AC69,"")</f>
        <v>0</v>
      </c>
      <c r="BJ69" s="34">
        <f ca="1">IFERROR(SUMIFS('TRA balance'!AA$5:AA$40,'TRA balance'!$C$5:$C$40,Assumptions!$C69,'TRA balance'!$D$5:$D$40,Assumptions!$B69)*CO69*AD69,"")</f>
        <v>0</v>
      </c>
      <c r="BK69" s="34">
        <f ca="1">IFERROR(SUMIFS('TRA balance'!AB$5:AB$40,'TRA balance'!$C$5:$C$40,Assumptions!$C69,'TRA balance'!$D$5:$D$40,Assumptions!$B69)*CP69*AE69,"")</f>
        <v>1.1045295324155029</v>
      </c>
      <c r="BL69" s="34">
        <f ca="1">IFERROR(SUMIFS('TRA balance'!AC$5:AC$40,'TRA balance'!$C$5:$C$40,Assumptions!$C69,'TRA balance'!$D$5:$D$40,Assumptions!$B69)*CQ69*AF69,"")</f>
        <v>0</v>
      </c>
      <c r="BM69" s="34">
        <f ca="1">IFERROR(SUMIFS('TRA balance'!AD$5:AD$40,'TRA balance'!$C$5:$C$40,Assumptions!$C69,'TRA balance'!$D$5:$D$40,Assumptions!$B69)*CR69*AG69,"")</f>
        <v>0</v>
      </c>
      <c r="BN69" s="34">
        <f ca="1">IFERROR(SUMIFS('TRA balance'!AE$5:AE$40,'TRA balance'!$C$5:$C$40,Assumptions!$C69,'TRA balance'!$D$5:$D$40,Assumptions!$B69)*CS69*AH69,"")</f>
        <v>0</v>
      </c>
      <c r="BO69" s="34">
        <f ca="1">IFERROR(SUMIFS('TRA balance'!AF$5:AF$40,'TRA balance'!$C$5:$C$40,Assumptions!$C69,'TRA balance'!$D$5:$D$40,Assumptions!$B69)*CT69*AI69,"")</f>
        <v>3.2110516057064382</v>
      </c>
      <c r="BP69" s="34">
        <f ca="1">IFERROR(SUMIFS('TRA balance'!AG$5:AG$40,'TRA balance'!$C$5:$C$40,Assumptions!$C69,'TRA balance'!$D$5:$D$40,Assumptions!$B69)*CU69*AJ69,"")</f>
        <v>7.1343562021295961</v>
      </c>
      <c r="BQ69" s="34">
        <f ca="1">IFERROR(SUMIFS('TRA balance'!AH$5:AH$40,'TRA balance'!$C$5:$C$40,Assumptions!$C69,'TRA balance'!$D$5:$D$40,Assumptions!$B69)*CV69*AK69,"")</f>
        <v>0</v>
      </c>
      <c r="BS69" s="33">
        <f t="shared" ca="1" si="152"/>
        <v>0.9</v>
      </c>
      <c r="BT69" s="33">
        <f t="shared" ca="1" si="153"/>
        <v>0.9</v>
      </c>
      <c r="BU69" s="33">
        <f t="shared" ca="1" si="154"/>
        <v>0.92999999999999994</v>
      </c>
      <c r="BV69" s="33">
        <f t="shared" ca="1" si="155"/>
        <v>0.95</v>
      </c>
      <c r="BW69" s="33">
        <f t="shared" ca="1" si="156"/>
        <v>0.95</v>
      </c>
      <c r="BX69" s="33">
        <f t="shared" ca="1" si="157"/>
        <v>0.92</v>
      </c>
      <c r="BY69" s="33">
        <f t="shared" ca="1" si="158"/>
        <v>0.98</v>
      </c>
      <c r="BZ69" s="33">
        <f t="shared" ca="1" si="159"/>
        <v>0.92999999999999994</v>
      </c>
      <c r="CA69" s="33">
        <f t="shared" ca="1" si="160"/>
        <v>0.98</v>
      </c>
      <c r="CB69" s="33">
        <f t="shared" ca="1" si="161"/>
        <v>0.9</v>
      </c>
      <c r="CC69" s="33">
        <f t="shared" ca="1" si="162"/>
        <v>0.54657475750985407</v>
      </c>
      <c r="CD69" s="33">
        <f t="shared" ca="1" si="163"/>
        <v>0.64948690066960857</v>
      </c>
      <c r="CE69" s="33">
        <f t="shared" ca="1" si="164"/>
        <v>0.54657475750985407</v>
      </c>
      <c r="CF69" s="33">
        <f t="shared" ca="1" si="165"/>
        <v>0.54657475750985407</v>
      </c>
      <c r="CG69" s="33">
        <f t="shared" ca="1" si="166"/>
        <v>0.64948690066960857</v>
      </c>
      <c r="CH69" s="33">
        <f t="shared" ca="1" si="167"/>
        <v>0.54657475750985407</v>
      </c>
      <c r="CI69" s="33">
        <f t="shared" ca="1" si="168"/>
        <v>0.9</v>
      </c>
      <c r="CJ69" s="33">
        <f t="shared" ca="1" si="169"/>
        <v>0.54657475750985407</v>
      </c>
      <c r="CK69" s="33">
        <f t="shared" ca="1" si="170"/>
        <v>0.54657475750985407</v>
      </c>
      <c r="CL69" s="33">
        <f t="shared" ca="1" si="171"/>
        <v>0.75</v>
      </c>
      <c r="CM69" s="33">
        <f t="shared" ca="1" si="172"/>
        <v>0.92999999999999994</v>
      </c>
      <c r="CN69" s="33">
        <f t="shared" ca="1" si="173"/>
        <v>0.85</v>
      </c>
      <c r="CO69" s="33">
        <f t="shared" ca="1" si="174"/>
        <v>0.9</v>
      </c>
      <c r="CP69" s="33">
        <f t="shared" ca="1" si="175"/>
        <v>0.54657475750985407</v>
      </c>
      <c r="CQ69" s="33">
        <f t="shared" ca="1" si="176"/>
        <v>0.95</v>
      </c>
      <c r="CR69" s="33">
        <f t="shared" ca="1" si="177"/>
        <v>0.9</v>
      </c>
      <c r="CS69" s="33">
        <f t="shared" ca="1" si="178"/>
        <v>0.9</v>
      </c>
      <c r="CT69" s="33">
        <f t="shared" ca="1" si="179"/>
        <v>0.54657475750985407</v>
      </c>
      <c r="CU69" s="33">
        <f t="shared" ca="1" si="180"/>
        <v>0.97559357817738346</v>
      </c>
      <c r="CV69" s="33">
        <f t="shared" ca="1" si="181"/>
        <v>0.97559357817738346</v>
      </c>
    </row>
    <row r="70" spans="1:100" x14ac:dyDescent="0.45">
      <c r="A70">
        <v>2</v>
      </c>
      <c r="B70" t="str">
        <f>VLOOKUP(F70,'TRA balance'!$AK$5:$AL$14,2,FALSE)</f>
        <v>TRABDS</v>
      </c>
      <c r="C70" s="6" t="str">
        <f t="shared" si="185"/>
        <v>TR</v>
      </c>
      <c r="D70" s="7" t="s">
        <v>16</v>
      </c>
      <c r="E70" s="18" t="s">
        <v>73</v>
      </c>
      <c r="F70" s="8" t="str">
        <f t="shared" ref="F70:F76" si="186">F69</f>
        <v>Bio Diesel</v>
      </c>
      <c r="G70" s="6" t="s">
        <v>74</v>
      </c>
      <c r="H70" s="9">
        <f ca="1">OFFSET(TIAM15_assumptions!$G70,0,MATCH(VLOOKUP(Assumptions!H$2,TIAM15_assumptions!$Y$3:$Z$36,2,FALSE),TIAM15_assumptions!$H$2:$V$2,0))</f>
        <v>0.35</v>
      </c>
      <c r="I70" s="9">
        <f ca="1">OFFSET(TIAM15_assumptions!$G70,0,MATCH(VLOOKUP(Assumptions!I$2,TIAM15_assumptions!$Y$3:$Z$36,2,FALSE),TIAM15_assumptions!$H$2:$V$2,0))</f>
        <v>0.35</v>
      </c>
      <c r="J70" s="9">
        <f ca="1">OFFSET(TIAM15_assumptions!$G70,0,MATCH(VLOOKUP(Assumptions!J$2,TIAM15_assumptions!$Y$3:$Z$36,2,FALSE),TIAM15_assumptions!$H$2:$V$2,0))</f>
        <v>0.5</v>
      </c>
      <c r="K70" s="9">
        <f ca="1">OFFSET(TIAM15_assumptions!$G70,0,MATCH(VLOOKUP(Assumptions!K$2,TIAM15_assumptions!$Y$3:$Z$36,2,FALSE),TIAM15_assumptions!$H$2:$V$2,0))</f>
        <v>0.6</v>
      </c>
      <c r="L70" s="9">
        <f ca="1">OFFSET(TIAM15_assumptions!$G70,0,MATCH(VLOOKUP(Assumptions!L$2,TIAM15_assumptions!$Y$3:$Z$36,2,FALSE),TIAM15_assumptions!$H$2:$V$2,0))</f>
        <v>0.5</v>
      </c>
      <c r="M70" s="9">
        <f ca="1">OFFSET(TIAM15_assumptions!$G70,0,MATCH(VLOOKUP(Assumptions!M$2,TIAM15_assumptions!$Y$3:$Z$36,2,FALSE),TIAM15_assumptions!$H$2:$V$2,0))</f>
        <v>0.5</v>
      </c>
      <c r="N70" s="9">
        <f ca="1">OFFSET(TIAM15_assumptions!$G70,0,MATCH(VLOOKUP(Assumptions!N$2,TIAM15_assumptions!$Y$3:$Z$36,2,FALSE),TIAM15_assumptions!$H$2:$V$2,0))</f>
        <v>0.35</v>
      </c>
      <c r="O70" s="9">
        <f ca="1">OFFSET(TIAM15_assumptions!$G70,0,MATCH(VLOOKUP(Assumptions!O$2,TIAM15_assumptions!$Y$3:$Z$36,2,FALSE),TIAM15_assumptions!$H$2:$V$2,0))</f>
        <v>0.5</v>
      </c>
      <c r="P70" s="9">
        <f ca="1">OFFSET(TIAM15_assumptions!$G70,0,MATCH(VLOOKUP(Assumptions!P$2,TIAM15_assumptions!$Y$3:$Z$36,2,FALSE),TIAM15_assumptions!$H$2:$V$2,0))</f>
        <v>0.6</v>
      </c>
      <c r="Q70" s="9">
        <f ca="1">OFFSET(TIAM15_assumptions!$G70,0,MATCH(VLOOKUP(Assumptions!Q$2,TIAM15_assumptions!$Y$3:$Z$36,2,FALSE),TIAM15_assumptions!$H$2:$V$2,0))</f>
        <v>0.35</v>
      </c>
      <c r="R70" s="9">
        <f ca="1">OFFSET(TIAM15_assumptions!$G70,0,MATCH(VLOOKUP(Assumptions!R$2,TIAM15_assumptions!$Y$3:$Z$36,2,FALSE),TIAM15_assumptions!$H$2:$V$2,0))</f>
        <v>0.38295430560061755</v>
      </c>
      <c r="S70" s="9">
        <f ca="1">OFFSET(TIAM15_assumptions!$G70,0,MATCH(VLOOKUP(Assumptions!S$2,TIAM15_assumptions!$Y$3:$Z$36,2,FALSE),TIAM15_assumptions!$H$2:$V$2,0))</f>
        <v>0.35927560184800655</v>
      </c>
      <c r="T70" s="9">
        <f ca="1">OFFSET(TIAM15_assumptions!$G70,0,MATCH(VLOOKUP(Assumptions!T$2,TIAM15_assumptions!$Y$3:$Z$36,2,FALSE),TIAM15_assumptions!$H$2:$V$2,0))</f>
        <v>0.38295430560061755</v>
      </c>
      <c r="U70" s="9">
        <f ca="1">OFFSET(TIAM15_assumptions!$G70,0,MATCH(VLOOKUP(Assumptions!U$2,TIAM15_assumptions!$Y$3:$Z$36,2,FALSE),TIAM15_assumptions!$H$2:$V$2,0))</f>
        <v>0.38295430560061755</v>
      </c>
      <c r="V70" s="9">
        <f ca="1">OFFSET(TIAM15_assumptions!$G70,0,MATCH(VLOOKUP(Assumptions!V$2,TIAM15_assumptions!$Y$3:$Z$36,2,FALSE),TIAM15_assumptions!$H$2:$V$2,0))</f>
        <v>0.35927560184800655</v>
      </c>
      <c r="W70" s="9">
        <f ca="1">OFFSET(TIAM15_assumptions!$G70,0,MATCH(VLOOKUP(Assumptions!W$2,TIAM15_assumptions!$Y$3:$Z$36,2,FALSE),TIAM15_assumptions!$H$2:$V$2,0))</f>
        <v>0.38295430560061755</v>
      </c>
      <c r="X70" s="9">
        <f ca="1">OFFSET(TIAM15_assumptions!$G70,0,MATCH(VLOOKUP(Assumptions!X$2,TIAM15_assumptions!$Y$3:$Z$36,2,FALSE),TIAM15_assumptions!$H$2:$V$2,0))</f>
        <v>0.5</v>
      </c>
      <c r="Y70" s="9">
        <f ca="1">OFFSET(TIAM15_assumptions!$G70,0,MATCH(VLOOKUP(Assumptions!Y$2,TIAM15_assumptions!$Y$3:$Z$36,2,FALSE),TIAM15_assumptions!$H$2:$V$2,0))</f>
        <v>0.38295430560061755</v>
      </c>
      <c r="Z70" s="9">
        <f ca="1">OFFSET(TIAM15_assumptions!$G70,0,MATCH(VLOOKUP(Assumptions!Z$2,TIAM15_assumptions!$Y$3:$Z$36,2,FALSE),TIAM15_assumptions!$H$2:$V$2,0))</f>
        <v>0.38295430560061755</v>
      </c>
      <c r="AA70" s="9">
        <f ca="1">OFFSET(TIAM15_assumptions!$G70,0,MATCH(VLOOKUP(Assumptions!AA$2,TIAM15_assumptions!$Y$3:$Z$36,2,FALSE),TIAM15_assumptions!$H$2:$V$2,0))</f>
        <v>0.3</v>
      </c>
      <c r="AB70" s="9">
        <f ca="1">OFFSET(TIAM15_assumptions!$G70,0,MATCH(VLOOKUP(Assumptions!AB$2,TIAM15_assumptions!$Y$3:$Z$36,2,FALSE),TIAM15_assumptions!$H$2:$V$2,0))</f>
        <v>0.5</v>
      </c>
      <c r="AC70" s="9">
        <f ca="1">OFFSET(TIAM15_assumptions!$G70,0,MATCH(VLOOKUP(Assumptions!AC$2,TIAM15_assumptions!$Y$3:$Z$36,2,FALSE),TIAM15_assumptions!$H$2:$V$2,0))</f>
        <v>0.45</v>
      </c>
      <c r="AD70" s="9">
        <f ca="1">OFFSET(TIAM15_assumptions!$G70,0,MATCH(VLOOKUP(Assumptions!AD$2,TIAM15_assumptions!$Y$3:$Z$36,2,FALSE),TIAM15_assumptions!$H$2:$V$2,0))</f>
        <v>0.5</v>
      </c>
      <c r="AE70" s="9">
        <f ca="1">OFFSET(TIAM15_assumptions!$G70,0,MATCH(VLOOKUP(Assumptions!AE$2,TIAM15_assumptions!$Y$3:$Z$36,2,FALSE),TIAM15_assumptions!$H$2:$V$2,0))</f>
        <v>0.38295430560061755</v>
      </c>
      <c r="AF70" s="9">
        <f ca="1">OFFSET(TIAM15_assumptions!$G70,0,MATCH(VLOOKUP(Assumptions!AF$2,TIAM15_assumptions!$Y$3:$Z$36,2,FALSE),TIAM15_assumptions!$H$2:$V$2,0))</f>
        <v>0.6</v>
      </c>
      <c r="AG70" s="9">
        <f ca="1">OFFSET(TIAM15_assumptions!$G70,0,MATCH(VLOOKUP(Assumptions!AG$2,TIAM15_assumptions!$Y$3:$Z$36,2,FALSE),TIAM15_assumptions!$H$2:$V$2,0))</f>
        <v>0.5</v>
      </c>
      <c r="AH70" s="9">
        <f ca="1">OFFSET(TIAM15_assumptions!$G70,0,MATCH(VLOOKUP(Assumptions!AH$2,TIAM15_assumptions!$Y$3:$Z$36,2,FALSE),TIAM15_assumptions!$H$2:$V$2,0))</f>
        <v>0.35</v>
      </c>
      <c r="AI70" s="9">
        <f ca="1">OFFSET(TIAM15_assumptions!$G70,0,MATCH(VLOOKUP(Assumptions!AI$2,TIAM15_assumptions!$Y$3:$Z$36,2,FALSE),TIAM15_assumptions!$H$2:$V$2,0))</f>
        <v>0.38295430560061755</v>
      </c>
      <c r="AJ70" s="9">
        <f ca="1">OFFSET(TIAM15_assumptions!$G70,0,MATCH(VLOOKUP(Assumptions!AJ$2,TIAM15_assumptions!$Y$3:$Z$36,2,FALSE),TIAM15_assumptions!$H$2:$V$2,0))</f>
        <v>0.79999999999999993</v>
      </c>
      <c r="AK70" s="9">
        <f ca="1">OFFSET(TIAM15_assumptions!$G70,0,MATCH(VLOOKUP(Assumptions!AK$2,TIAM15_assumptions!$Y$3:$Z$36,2,FALSE),TIAM15_assumptions!$H$2:$V$2,0))</f>
        <v>0.79999999999999993</v>
      </c>
      <c r="AN70" s="34">
        <f ca="1">IFERROR(SUMIFS('TRA balance'!E$5:E$40,'TRA balance'!$C$5:$C$40,Assumptions!$C70,'TRA balance'!$D$5:$D$40,Assumptions!$B70)*BS70*H70,"")</f>
        <v>0</v>
      </c>
      <c r="AO70" s="34">
        <f ca="1">IFERROR(SUMIFS('TRA balance'!F$5:F$40,'TRA balance'!$C$5:$C$40,Assumptions!$C70,'TRA balance'!$D$5:$D$40,Assumptions!$B70)*BT70*I70,"")</f>
        <v>0</v>
      </c>
      <c r="AP70" s="34">
        <f ca="1">IFERROR(SUMIFS('TRA balance'!G$5:G$40,'TRA balance'!$C$5:$C$40,Assumptions!$C70,'TRA balance'!$D$5:$D$40,Assumptions!$B70)*BU70*J70,"")</f>
        <v>19.696186752317999</v>
      </c>
      <c r="AQ70" s="34">
        <f ca="1">IFERROR(SUMIFS('TRA balance'!H$5:H$40,'TRA balance'!$C$5:$C$40,Assumptions!$C70,'TRA balance'!$D$5:$D$40,Assumptions!$B70)*BV70*K70,"")</f>
        <v>5.4745759439999995E-3</v>
      </c>
      <c r="AR70" s="34">
        <f ca="1">IFERROR(SUMIFS('TRA balance'!I$5:I$40,'TRA balance'!$C$5:$C$40,Assumptions!$C70,'TRA balance'!$D$5:$D$40,Assumptions!$B70)*BW70*L70,"")</f>
        <v>13.00096639233</v>
      </c>
      <c r="AS70" s="34">
        <f ca="1">IFERROR(SUMIFS('TRA balance'!J$5:J$40,'TRA balance'!$C$5:$C$40,Assumptions!$C70,'TRA balance'!$D$5:$D$40,Assumptions!$B70)*BX70*M70,"")</f>
        <v>118.56738265077601</v>
      </c>
      <c r="AT70" s="34">
        <f ca="1">IFERROR(SUMIFS('TRA balance'!K$5:K$40,'TRA balance'!$C$5:$C$40,Assumptions!$C70,'TRA balance'!$D$5:$D$40,Assumptions!$B70)*BY70*N70,"")</f>
        <v>7.3325856743999995E-2</v>
      </c>
      <c r="AU70" s="34">
        <f ca="1">IFERROR(SUMIFS('TRA balance'!L$5:L$40,'TRA balance'!$C$5:$C$40,Assumptions!$C70,'TRA balance'!$D$5:$D$40,Assumptions!$B70)*BZ70*O70,"")</f>
        <v>302.728914798012</v>
      </c>
      <c r="AV70" s="34">
        <f ca="1">IFERROR(SUMIFS('TRA balance'!M$5:M$40,'TRA balance'!$C$5:$C$40,Assumptions!$C70,'TRA balance'!$D$5:$D$40,Assumptions!$B70)*CA70*P70,"")</f>
        <v>12.594090710678399</v>
      </c>
      <c r="AW70" s="34">
        <f ca="1">IFERROR(SUMIFS('TRA balance'!N$5:N$40,'TRA balance'!$C$5:$C$40,Assumptions!$C70,'TRA balance'!$D$5:$D$40,Assumptions!$B70)*CB70*Q70,"")</f>
        <v>12.025321370621999</v>
      </c>
      <c r="AX70" s="34">
        <f ca="1">IFERROR(SUMIFS('TRA balance'!O$5:O$40,'TRA balance'!$C$5:$C$40,Assumptions!$C70,'TRA balance'!$D$5:$D$40,Assumptions!$B70)*CC70*R70,"")</f>
        <v>15.000437733310052</v>
      </c>
      <c r="AY70" s="34">
        <f ca="1">IFERROR(SUMIFS('TRA balance'!P$5:P$40,'TRA balance'!$C$5:$C$40,Assumptions!$C70,'TRA balance'!$D$5:$D$40,Assumptions!$B70)*CD70*S70,"")</f>
        <v>17.317468972894773</v>
      </c>
      <c r="AZ70" s="34">
        <f ca="1">IFERROR(SUMIFS('TRA balance'!Q$5:Q$40,'TRA balance'!$C$5:$C$40,Assumptions!$C70,'TRA balance'!$D$5:$D$40,Assumptions!$B70)*CE70*T70,"")</f>
        <v>9.1494398897046416</v>
      </c>
      <c r="BA70" s="34">
        <f ca="1">IFERROR(SUMIFS('TRA balance'!R$5:R$40,'TRA balance'!$C$5:$C$40,Assumptions!$C70,'TRA balance'!$D$5:$D$40,Assumptions!$B70)*CF70*U70,"")</f>
        <v>12.511697035725977</v>
      </c>
      <c r="BB70" s="34">
        <f ca="1">IFERROR(SUMIFS('TRA balance'!S$5:S$40,'TRA balance'!$C$5:$C$40,Assumptions!$C70,'TRA balance'!$D$5:$D$40,Assumptions!$B70)*CG70*V70,"")</f>
        <v>7.5358553425574657</v>
      </c>
      <c r="BC70" s="34">
        <f ca="1">IFERROR(SUMIFS('TRA balance'!T$5:T$40,'TRA balance'!$C$5:$C$40,Assumptions!$C70,'TRA balance'!$D$5:$D$40,Assumptions!$B70)*CH70*W70,"")</f>
        <v>15.402240016006649</v>
      </c>
      <c r="BD70" s="34">
        <f ca="1">IFERROR(SUMIFS('TRA balance'!U$5:U$40,'TRA balance'!$C$5:$C$40,Assumptions!$C70,'TRA balance'!$D$5:$D$40,Assumptions!$B70)*CI70*X70,"")</f>
        <v>7.2720043531200007</v>
      </c>
      <c r="BE70" s="34">
        <f ca="1">IFERROR(SUMIFS('TRA balance'!V$5:V$40,'TRA balance'!$C$5:$C$40,Assumptions!$C70,'TRA balance'!$D$5:$D$40,Assumptions!$B70)*CJ70*Y70,"")</f>
        <v>22.125082227814058</v>
      </c>
      <c r="BF70" s="34">
        <f ca="1">IFERROR(SUMIFS('TRA balance'!W$5:W$40,'TRA balance'!$C$5:$C$40,Assumptions!$C70,'TRA balance'!$D$5:$D$40,Assumptions!$B70)*CK70*Z70,"")</f>
        <v>16.55539172768761</v>
      </c>
      <c r="BG70" s="34">
        <f ca="1">IFERROR(SUMIFS('TRA balance'!X$5:X$40,'TRA balance'!$C$5:$C$40,Assumptions!$C70,'TRA balance'!$D$5:$D$40,Assumptions!$B70)*CL70*AA70,"")</f>
        <v>0.36831112127999999</v>
      </c>
      <c r="BH70" s="34">
        <f ca="1">IFERROR(SUMIFS('TRA balance'!Y$5:Y$40,'TRA balance'!$C$5:$C$40,Assumptions!$C70,'TRA balance'!$D$5:$D$40,Assumptions!$B70)*CM70*AB70,"")</f>
        <v>14.836353900299999</v>
      </c>
      <c r="BI70" s="34">
        <f ca="1">IFERROR(SUMIFS('TRA balance'!Z$5:Z$40,'TRA balance'!$C$5:$C$40,Assumptions!$C70,'TRA balance'!$D$5:$D$40,Assumptions!$B70)*CN70*AC70,"")</f>
        <v>0</v>
      </c>
      <c r="BJ70" s="34">
        <f ca="1">IFERROR(SUMIFS('TRA balance'!AA$5:AA$40,'TRA balance'!$C$5:$C$40,Assumptions!$C70,'TRA balance'!$D$5:$D$40,Assumptions!$B70)*CO70*AD70,"")</f>
        <v>0</v>
      </c>
      <c r="BK70" s="34">
        <f ca="1">IFERROR(SUMIFS('TRA balance'!AB$5:AB$40,'TRA balance'!$C$5:$C$40,Assumptions!$C70,'TRA balance'!$D$5:$D$40,Assumptions!$B70)*CP70*AE70,"")</f>
        <v>3.8077114143565676</v>
      </c>
      <c r="BL70" s="34">
        <f ca="1">IFERROR(SUMIFS('TRA balance'!AC$5:AC$40,'TRA balance'!$C$5:$C$40,Assumptions!$C70,'TRA balance'!$D$5:$D$40,Assumptions!$B70)*CQ70*AF70,"")</f>
        <v>0</v>
      </c>
      <c r="BM70" s="34">
        <f ca="1">IFERROR(SUMIFS('TRA balance'!AD$5:AD$40,'TRA balance'!$C$5:$C$40,Assumptions!$C70,'TRA balance'!$D$5:$D$40,Assumptions!$B70)*CR70*AG70,"")</f>
        <v>0</v>
      </c>
      <c r="BN70" s="34">
        <f ca="1">IFERROR(SUMIFS('TRA balance'!AE$5:AE$40,'TRA balance'!$C$5:$C$40,Assumptions!$C70,'TRA balance'!$D$5:$D$40,Assumptions!$B70)*CS70*AH70,"")</f>
        <v>0</v>
      </c>
      <c r="BO70" s="34">
        <f ca="1">IFERROR(SUMIFS('TRA balance'!AF$5:AF$40,'TRA balance'!$C$5:$C$40,Assumptions!$C70,'TRA balance'!$D$5:$D$40,Assumptions!$B70)*CT70*AI70,"")</f>
        <v>11.069652274844668</v>
      </c>
      <c r="BP70" s="34">
        <f ca="1">IFERROR(SUMIFS('TRA balance'!AG$5:AG$40,'TRA balance'!$C$5:$C$40,Assumptions!$C70,'TRA balance'!$D$5:$D$40,Assumptions!$B70)*CU70*AJ70,"")</f>
        <v>142.6871240425919</v>
      </c>
      <c r="BQ70" s="34">
        <f ca="1">IFERROR(SUMIFS('TRA balance'!AH$5:AH$40,'TRA balance'!$C$5:$C$40,Assumptions!$C70,'TRA balance'!$D$5:$D$40,Assumptions!$B70)*CV70*AK70,"")</f>
        <v>0</v>
      </c>
      <c r="BS70" s="33">
        <f t="shared" ca="1" si="152"/>
        <v>0.9</v>
      </c>
      <c r="BT70" s="33">
        <f t="shared" ca="1" si="153"/>
        <v>0.9</v>
      </c>
      <c r="BU70" s="33">
        <f t="shared" ca="1" si="154"/>
        <v>0.92999999999999994</v>
      </c>
      <c r="BV70" s="33">
        <f t="shared" ca="1" si="155"/>
        <v>0.95</v>
      </c>
      <c r="BW70" s="33">
        <f t="shared" ca="1" si="156"/>
        <v>0.95</v>
      </c>
      <c r="BX70" s="33">
        <f t="shared" ca="1" si="157"/>
        <v>0.92</v>
      </c>
      <c r="BY70" s="33">
        <f t="shared" ca="1" si="158"/>
        <v>0.98</v>
      </c>
      <c r="BZ70" s="33">
        <f t="shared" ca="1" si="159"/>
        <v>0.92999999999999994</v>
      </c>
      <c r="CA70" s="33">
        <f t="shared" ca="1" si="160"/>
        <v>0.98</v>
      </c>
      <c r="CB70" s="33">
        <f t="shared" ca="1" si="161"/>
        <v>0.9</v>
      </c>
      <c r="CC70" s="33">
        <f t="shared" ca="1" si="162"/>
        <v>0.54657475750985407</v>
      </c>
      <c r="CD70" s="33">
        <f t="shared" ca="1" si="163"/>
        <v>0.64948690066960857</v>
      </c>
      <c r="CE70" s="33">
        <f t="shared" ca="1" si="164"/>
        <v>0.54657475750985407</v>
      </c>
      <c r="CF70" s="33">
        <f t="shared" ca="1" si="165"/>
        <v>0.54657475750985407</v>
      </c>
      <c r="CG70" s="33">
        <f t="shared" ca="1" si="166"/>
        <v>0.64948690066960857</v>
      </c>
      <c r="CH70" s="33">
        <f t="shared" ca="1" si="167"/>
        <v>0.54657475750985407</v>
      </c>
      <c r="CI70" s="33">
        <f t="shared" ca="1" si="168"/>
        <v>0.9</v>
      </c>
      <c r="CJ70" s="33">
        <f t="shared" ca="1" si="169"/>
        <v>0.54657475750985407</v>
      </c>
      <c r="CK70" s="33">
        <f t="shared" ca="1" si="170"/>
        <v>0.54657475750985407</v>
      </c>
      <c r="CL70" s="33">
        <f t="shared" ca="1" si="171"/>
        <v>0.75</v>
      </c>
      <c r="CM70" s="33">
        <f t="shared" ca="1" si="172"/>
        <v>0.92999999999999994</v>
      </c>
      <c r="CN70" s="33">
        <f t="shared" ca="1" si="173"/>
        <v>0.85</v>
      </c>
      <c r="CO70" s="33">
        <f t="shared" ca="1" si="174"/>
        <v>0.9</v>
      </c>
      <c r="CP70" s="33">
        <f t="shared" ca="1" si="175"/>
        <v>0.54657475750985407</v>
      </c>
      <c r="CQ70" s="33">
        <f t="shared" ca="1" si="176"/>
        <v>0.95</v>
      </c>
      <c r="CR70" s="33">
        <f t="shared" ca="1" si="177"/>
        <v>0.9</v>
      </c>
      <c r="CS70" s="33">
        <f t="shared" ca="1" si="178"/>
        <v>0.9</v>
      </c>
      <c r="CT70" s="33">
        <f t="shared" ca="1" si="179"/>
        <v>0.54657475750985407</v>
      </c>
      <c r="CU70" s="33">
        <f t="shared" ca="1" si="180"/>
        <v>0.97559357817738346</v>
      </c>
      <c r="CV70" s="33">
        <f t="shared" ca="1" si="181"/>
        <v>0.97559357817738346</v>
      </c>
    </row>
    <row r="71" spans="1:100" x14ac:dyDescent="0.45">
      <c r="A71">
        <v>2</v>
      </c>
      <c r="B71" t="str">
        <f>VLOOKUP(F71,'TRA balance'!$AK$5:$AL$14,2,FALSE)</f>
        <v>TRABDS</v>
      </c>
      <c r="C71" s="6" t="str">
        <f t="shared" si="185"/>
        <v>TR</v>
      </c>
      <c r="D71" s="7" t="s">
        <v>16</v>
      </c>
      <c r="E71" s="18" t="s">
        <v>75</v>
      </c>
      <c r="F71" s="8" t="str">
        <f t="shared" si="186"/>
        <v>Bio Diesel</v>
      </c>
      <c r="G71" s="6" t="s">
        <v>76</v>
      </c>
      <c r="H71" s="9">
        <f ca="1">OFFSET(TIAM15_assumptions!$G71,0,MATCH(VLOOKUP(Assumptions!H$2,TIAM15_assumptions!$Y$3:$Z$36,2,FALSE),TIAM15_assumptions!$H$2:$V$2,0))</f>
        <v>0.1</v>
      </c>
      <c r="I71" s="9">
        <f ca="1">OFFSET(TIAM15_assumptions!$G71,0,MATCH(VLOOKUP(Assumptions!I$2,TIAM15_assumptions!$Y$3:$Z$36,2,FALSE),TIAM15_assumptions!$H$2:$V$2,0))</f>
        <v>0.1</v>
      </c>
      <c r="J71" s="9">
        <f ca="1">OFFSET(TIAM15_assumptions!$G71,0,MATCH(VLOOKUP(Assumptions!J$2,TIAM15_assumptions!$Y$3:$Z$36,2,FALSE),TIAM15_assumptions!$H$2:$V$2,0))</f>
        <v>0.3</v>
      </c>
      <c r="K71" s="9">
        <f ca="1">OFFSET(TIAM15_assumptions!$G71,0,MATCH(VLOOKUP(Assumptions!K$2,TIAM15_assumptions!$Y$3:$Z$36,2,FALSE),TIAM15_assumptions!$H$2:$V$2,0))</f>
        <v>0.2</v>
      </c>
      <c r="L71" s="9">
        <f ca="1">OFFSET(TIAM15_assumptions!$G71,0,MATCH(VLOOKUP(Assumptions!L$2,TIAM15_assumptions!$Y$3:$Z$36,2,FALSE),TIAM15_assumptions!$H$2:$V$2,0))</f>
        <v>0.3</v>
      </c>
      <c r="M71" s="9">
        <f ca="1">OFFSET(TIAM15_assumptions!$G71,0,MATCH(VLOOKUP(Assumptions!M$2,TIAM15_assumptions!$Y$3:$Z$36,2,FALSE),TIAM15_assumptions!$H$2:$V$2,0))</f>
        <v>0.25</v>
      </c>
      <c r="N71" s="9">
        <f ca="1">OFFSET(TIAM15_assumptions!$G71,0,MATCH(VLOOKUP(Assumptions!N$2,TIAM15_assumptions!$Y$3:$Z$36,2,FALSE),TIAM15_assumptions!$H$2:$V$2,0))</f>
        <v>0.3</v>
      </c>
      <c r="O71" s="9">
        <f ca="1">OFFSET(TIAM15_assumptions!$G71,0,MATCH(VLOOKUP(Assumptions!O$2,TIAM15_assumptions!$Y$3:$Z$36,2,FALSE),TIAM15_assumptions!$H$2:$V$2,0))</f>
        <v>0.3</v>
      </c>
      <c r="P71" s="9">
        <f ca="1">OFFSET(TIAM15_assumptions!$G71,0,MATCH(VLOOKUP(Assumptions!P$2,TIAM15_assumptions!$Y$3:$Z$36,2,FALSE),TIAM15_assumptions!$H$2:$V$2,0))</f>
        <v>0.25</v>
      </c>
      <c r="Q71" s="9">
        <f ca="1">OFFSET(TIAM15_assumptions!$G71,0,MATCH(VLOOKUP(Assumptions!Q$2,TIAM15_assumptions!$Y$3:$Z$36,2,FALSE),TIAM15_assumptions!$H$2:$V$2,0))</f>
        <v>0.2</v>
      </c>
      <c r="R71" s="9">
        <f ca="1">OFFSET(TIAM15_assumptions!$G71,0,MATCH(VLOOKUP(Assumptions!R$2,TIAM15_assumptions!$Y$3:$Z$36,2,FALSE),TIAM15_assumptions!$H$2:$V$2,0))</f>
        <v>0.19147715280030886</v>
      </c>
      <c r="S71" s="9">
        <f ca="1">OFFSET(TIAM15_assumptions!$G71,0,MATCH(VLOOKUP(Assumptions!S$2,TIAM15_assumptions!$Y$3:$Z$36,2,FALSE),TIAM15_assumptions!$H$2:$V$2,0))</f>
        <v>0.17963780092400328</v>
      </c>
      <c r="T71" s="9">
        <f ca="1">OFFSET(TIAM15_assumptions!$G71,0,MATCH(VLOOKUP(Assumptions!T$2,TIAM15_assumptions!$Y$3:$Z$36,2,FALSE),TIAM15_assumptions!$H$2:$V$2,0))</f>
        <v>0.19147715280030886</v>
      </c>
      <c r="U71" s="9">
        <f ca="1">OFFSET(TIAM15_assumptions!$G71,0,MATCH(VLOOKUP(Assumptions!U$2,TIAM15_assumptions!$Y$3:$Z$36,2,FALSE),TIAM15_assumptions!$H$2:$V$2,0))</f>
        <v>0.19147715280030886</v>
      </c>
      <c r="V71" s="9">
        <f ca="1">OFFSET(TIAM15_assumptions!$G71,0,MATCH(VLOOKUP(Assumptions!V$2,TIAM15_assumptions!$Y$3:$Z$36,2,FALSE),TIAM15_assumptions!$H$2:$V$2,0))</f>
        <v>0.17963780092400328</v>
      </c>
      <c r="W71" s="9">
        <f ca="1">OFFSET(TIAM15_assumptions!$G71,0,MATCH(VLOOKUP(Assumptions!W$2,TIAM15_assumptions!$Y$3:$Z$36,2,FALSE),TIAM15_assumptions!$H$2:$V$2,0))</f>
        <v>0.19147715280030886</v>
      </c>
      <c r="X71" s="9">
        <f ca="1">OFFSET(TIAM15_assumptions!$G71,0,MATCH(VLOOKUP(Assumptions!X$2,TIAM15_assumptions!$Y$3:$Z$36,2,FALSE),TIAM15_assumptions!$H$2:$V$2,0))</f>
        <v>0.25</v>
      </c>
      <c r="Y71" s="9">
        <f ca="1">OFFSET(TIAM15_assumptions!$G71,0,MATCH(VLOOKUP(Assumptions!Y$2,TIAM15_assumptions!$Y$3:$Z$36,2,FALSE),TIAM15_assumptions!$H$2:$V$2,0))</f>
        <v>0.19147715280030886</v>
      </c>
      <c r="Z71" s="9">
        <f ca="1">OFFSET(TIAM15_assumptions!$G71,0,MATCH(VLOOKUP(Assumptions!Z$2,TIAM15_assumptions!$Y$3:$Z$36,2,FALSE),TIAM15_assumptions!$H$2:$V$2,0))</f>
        <v>0.19147715280030886</v>
      </c>
      <c r="AA71" s="9">
        <f ca="1">OFFSET(TIAM15_assumptions!$G71,0,MATCH(VLOOKUP(Assumptions!AA$2,TIAM15_assumptions!$Y$3:$Z$36,2,FALSE),TIAM15_assumptions!$H$2:$V$2,0))</f>
        <v>0.2</v>
      </c>
      <c r="AB71" s="9">
        <f ca="1">OFFSET(TIAM15_assumptions!$G71,0,MATCH(VLOOKUP(Assumptions!AB$2,TIAM15_assumptions!$Y$3:$Z$36,2,FALSE),TIAM15_assumptions!$H$2:$V$2,0))</f>
        <v>0.3</v>
      </c>
      <c r="AC71" s="9">
        <f ca="1">OFFSET(TIAM15_assumptions!$G71,0,MATCH(VLOOKUP(Assumptions!AC$2,TIAM15_assumptions!$Y$3:$Z$36,2,FALSE),TIAM15_assumptions!$H$2:$V$2,0))</f>
        <v>0.3</v>
      </c>
      <c r="AD71" s="9">
        <f ca="1">OFFSET(TIAM15_assumptions!$G71,0,MATCH(VLOOKUP(Assumptions!AD$2,TIAM15_assumptions!$Y$3:$Z$36,2,FALSE),TIAM15_assumptions!$H$2:$V$2,0))</f>
        <v>0.25</v>
      </c>
      <c r="AE71" s="9">
        <f ca="1">OFFSET(TIAM15_assumptions!$G71,0,MATCH(VLOOKUP(Assumptions!AE$2,TIAM15_assumptions!$Y$3:$Z$36,2,FALSE),TIAM15_assumptions!$H$2:$V$2,0))</f>
        <v>0.19147715280030886</v>
      </c>
      <c r="AF71" s="9">
        <f ca="1">OFFSET(TIAM15_assumptions!$G71,0,MATCH(VLOOKUP(Assumptions!AF$2,TIAM15_assumptions!$Y$3:$Z$36,2,FALSE),TIAM15_assumptions!$H$2:$V$2,0))</f>
        <v>0.2</v>
      </c>
      <c r="AG71" s="9">
        <f ca="1">OFFSET(TIAM15_assumptions!$G71,0,MATCH(VLOOKUP(Assumptions!AG$2,TIAM15_assumptions!$Y$3:$Z$36,2,FALSE),TIAM15_assumptions!$H$2:$V$2,0))</f>
        <v>0.25</v>
      </c>
      <c r="AH71" s="9">
        <f ca="1">OFFSET(TIAM15_assumptions!$G71,0,MATCH(VLOOKUP(Assumptions!AH$2,TIAM15_assumptions!$Y$3:$Z$36,2,FALSE),TIAM15_assumptions!$H$2:$V$2,0))</f>
        <v>0.1</v>
      </c>
      <c r="AI71" s="9">
        <f ca="1">OFFSET(TIAM15_assumptions!$G71,0,MATCH(VLOOKUP(Assumptions!AI$2,TIAM15_assumptions!$Y$3:$Z$36,2,FALSE),TIAM15_assumptions!$H$2:$V$2,0))</f>
        <v>0.19147715280030886</v>
      </c>
      <c r="AJ71" s="9">
        <f ca="1">OFFSET(TIAM15_assumptions!$G71,0,MATCH(VLOOKUP(Assumptions!AJ$2,TIAM15_assumptions!$Y$3:$Z$36,2,FALSE),TIAM15_assumptions!$H$2:$V$2,0))</f>
        <v>0.11</v>
      </c>
      <c r="AK71" s="9">
        <f ca="1">OFFSET(TIAM15_assumptions!$G71,0,MATCH(VLOOKUP(Assumptions!AK$2,TIAM15_assumptions!$Y$3:$Z$36,2,FALSE),TIAM15_assumptions!$H$2:$V$2,0))</f>
        <v>0.11</v>
      </c>
      <c r="AN71" s="34">
        <f ca="1">IFERROR(SUMIFS('TRA balance'!E$5:E$40,'TRA balance'!$C$5:$C$40,Assumptions!$C71,'TRA balance'!$D$5:$D$40,Assumptions!$B71)*BS71*H71,"")</f>
        <v>0</v>
      </c>
      <c r="AO71" s="34">
        <f ca="1">IFERROR(SUMIFS('TRA balance'!F$5:F$40,'TRA balance'!$C$5:$C$40,Assumptions!$C71,'TRA balance'!$D$5:$D$40,Assumptions!$B71)*BT71*I71,"")</f>
        <v>0</v>
      </c>
      <c r="AP71" s="34">
        <f ca="1">IFERROR(SUMIFS('TRA balance'!G$5:G$40,'TRA balance'!$C$5:$C$40,Assumptions!$C71,'TRA balance'!$D$5:$D$40,Assumptions!$B71)*BU71*J71,"")</f>
        <v>11.817712051390799</v>
      </c>
      <c r="AQ71" s="34">
        <f ca="1">IFERROR(SUMIFS('TRA balance'!H$5:H$40,'TRA balance'!$C$5:$C$40,Assumptions!$C71,'TRA balance'!$D$5:$D$40,Assumptions!$B71)*BV71*K71,"")</f>
        <v>1.824858648E-3</v>
      </c>
      <c r="AR71" s="34">
        <f ca="1">IFERROR(SUMIFS('TRA balance'!I$5:I$40,'TRA balance'!$C$5:$C$40,Assumptions!$C71,'TRA balance'!$D$5:$D$40,Assumptions!$B71)*BW71*L71,"")</f>
        <v>7.8005798353979996</v>
      </c>
      <c r="AS71" s="34">
        <f ca="1">IFERROR(SUMIFS('TRA balance'!J$5:J$40,'TRA balance'!$C$5:$C$40,Assumptions!$C71,'TRA balance'!$D$5:$D$40,Assumptions!$B71)*BX71*M71,"")</f>
        <v>59.283691325388006</v>
      </c>
      <c r="AT71" s="34">
        <f ca="1">IFERROR(SUMIFS('TRA balance'!K$5:K$40,'TRA balance'!$C$5:$C$40,Assumptions!$C71,'TRA balance'!$D$5:$D$40,Assumptions!$B71)*BY71*N71,"")</f>
        <v>6.285073435199999E-2</v>
      </c>
      <c r="AU71" s="34">
        <f ca="1">IFERROR(SUMIFS('TRA balance'!L$5:L$40,'TRA balance'!$C$5:$C$40,Assumptions!$C71,'TRA balance'!$D$5:$D$40,Assumptions!$B71)*BZ71*O71,"")</f>
        <v>181.63734887880719</v>
      </c>
      <c r="AV71" s="34">
        <f ca="1">IFERROR(SUMIFS('TRA balance'!M$5:M$40,'TRA balance'!$C$5:$C$40,Assumptions!$C71,'TRA balance'!$D$5:$D$40,Assumptions!$B71)*CA71*P71,"")</f>
        <v>5.2475377961160001</v>
      </c>
      <c r="AW71" s="34">
        <f ca="1">IFERROR(SUMIFS('TRA balance'!N$5:N$40,'TRA balance'!$C$5:$C$40,Assumptions!$C71,'TRA balance'!$D$5:$D$40,Assumptions!$B71)*CB71*Q71,"")</f>
        <v>6.8716122117840008</v>
      </c>
      <c r="AX71" s="34">
        <f ca="1">IFERROR(SUMIFS('TRA balance'!O$5:O$40,'TRA balance'!$C$5:$C$40,Assumptions!$C71,'TRA balance'!$D$5:$D$40,Assumptions!$B71)*CC71*R71,"")</f>
        <v>7.5002188666550289</v>
      </c>
      <c r="AY71" s="34">
        <f ca="1">IFERROR(SUMIFS('TRA balance'!P$5:P$40,'TRA balance'!$C$5:$C$40,Assumptions!$C71,'TRA balance'!$D$5:$D$40,Assumptions!$B71)*CD71*S71,"")</f>
        <v>8.6587344864473863</v>
      </c>
      <c r="AZ71" s="34">
        <f ca="1">IFERROR(SUMIFS('TRA balance'!Q$5:Q$40,'TRA balance'!$C$5:$C$40,Assumptions!$C71,'TRA balance'!$D$5:$D$40,Assumptions!$B71)*CE71*T71,"")</f>
        <v>4.5747199448523226</v>
      </c>
      <c r="BA71" s="34">
        <f ca="1">IFERROR(SUMIFS('TRA balance'!R$5:R$40,'TRA balance'!$C$5:$C$40,Assumptions!$C71,'TRA balance'!$D$5:$D$40,Assumptions!$B71)*CF71*U71,"")</f>
        <v>6.255848517862991</v>
      </c>
      <c r="BB71" s="34">
        <f ca="1">IFERROR(SUMIFS('TRA balance'!S$5:S$40,'TRA balance'!$C$5:$C$40,Assumptions!$C71,'TRA balance'!$D$5:$D$40,Assumptions!$B71)*CG71*V71,"")</f>
        <v>3.7679276712787328</v>
      </c>
      <c r="BC71" s="34">
        <f ca="1">IFERROR(SUMIFS('TRA balance'!T$5:T$40,'TRA balance'!$C$5:$C$40,Assumptions!$C71,'TRA balance'!$D$5:$D$40,Assumptions!$B71)*CH71*W71,"")</f>
        <v>7.7011200080033282</v>
      </c>
      <c r="BD71" s="34">
        <f ca="1">IFERROR(SUMIFS('TRA balance'!U$5:U$40,'TRA balance'!$C$5:$C$40,Assumptions!$C71,'TRA balance'!$D$5:$D$40,Assumptions!$B71)*CI71*X71,"")</f>
        <v>3.6360021765600004</v>
      </c>
      <c r="BE71" s="34">
        <f ca="1">IFERROR(SUMIFS('TRA balance'!V$5:V$40,'TRA balance'!$C$5:$C$40,Assumptions!$C71,'TRA balance'!$D$5:$D$40,Assumptions!$B71)*CJ71*Y71,"")</f>
        <v>11.062541113907034</v>
      </c>
      <c r="BF71" s="34">
        <f ca="1">IFERROR(SUMIFS('TRA balance'!W$5:W$40,'TRA balance'!$C$5:$C$40,Assumptions!$C71,'TRA balance'!$D$5:$D$40,Assumptions!$B71)*CK71*Z71,"")</f>
        <v>8.2776958638438085</v>
      </c>
      <c r="BG71" s="34">
        <f ca="1">IFERROR(SUMIFS('TRA balance'!X$5:X$40,'TRA balance'!$C$5:$C$40,Assumptions!$C71,'TRA balance'!$D$5:$D$40,Assumptions!$B71)*CL71*AA71,"")</f>
        <v>0.24554074751999999</v>
      </c>
      <c r="BH71" s="34">
        <f ca="1">IFERROR(SUMIFS('TRA balance'!Y$5:Y$40,'TRA balance'!$C$5:$C$40,Assumptions!$C71,'TRA balance'!$D$5:$D$40,Assumptions!$B71)*CM71*AB71,"")</f>
        <v>8.9018123401799993</v>
      </c>
      <c r="BI71" s="34">
        <f ca="1">IFERROR(SUMIFS('TRA balance'!Z$5:Z$40,'TRA balance'!$C$5:$C$40,Assumptions!$C71,'TRA balance'!$D$5:$D$40,Assumptions!$B71)*CN71*AC71,"")</f>
        <v>0</v>
      </c>
      <c r="BJ71" s="34">
        <f ca="1">IFERROR(SUMIFS('TRA balance'!AA$5:AA$40,'TRA balance'!$C$5:$C$40,Assumptions!$C71,'TRA balance'!$D$5:$D$40,Assumptions!$B71)*CO71*AD71,"")</f>
        <v>0</v>
      </c>
      <c r="BK71" s="34">
        <f ca="1">IFERROR(SUMIFS('TRA balance'!AB$5:AB$40,'TRA balance'!$C$5:$C$40,Assumptions!$C71,'TRA balance'!$D$5:$D$40,Assumptions!$B71)*CP71*AE71,"")</f>
        <v>1.9038557071782847</v>
      </c>
      <c r="BL71" s="34">
        <f ca="1">IFERROR(SUMIFS('TRA balance'!AC$5:AC$40,'TRA balance'!$C$5:$C$40,Assumptions!$C71,'TRA balance'!$D$5:$D$40,Assumptions!$B71)*CQ71*AF71,"")</f>
        <v>0</v>
      </c>
      <c r="BM71" s="34">
        <f ca="1">IFERROR(SUMIFS('TRA balance'!AD$5:AD$40,'TRA balance'!$C$5:$C$40,Assumptions!$C71,'TRA balance'!$D$5:$D$40,Assumptions!$B71)*CR71*AG71,"")</f>
        <v>0</v>
      </c>
      <c r="BN71" s="34">
        <f ca="1">IFERROR(SUMIFS('TRA balance'!AE$5:AE$40,'TRA balance'!$C$5:$C$40,Assumptions!$C71,'TRA balance'!$D$5:$D$40,Assumptions!$B71)*CS71*AH71,"")</f>
        <v>0</v>
      </c>
      <c r="BO71" s="34">
        <f ca="1">IFERROR(SUMIFS('TRA balance'!AF$5:AF$40,'TRA balance'!$C$5:$C$40,Assumptions!$C71,'TRA balance'!$D$5:$D$40,Assumptions!$B71)*CT71*AI71,"")</f>
        <v>5.5348261374223364</v>
      </c>
      <c r="BP71" s="34">
        <f ca="1">IFERROR(SUMIFS('TRA balance'!AG$5:AG$40,'TRA balance'!$C$5:$C$40,Assumptions!$C71,'TRA balance'!$D$5:$D$40,Assumptions!$B71)*CU71*AJ71,"")</f>
        <v>19.61947955585639</v>
      </c>
      <c r="BQ71" s="34">
        <f ca="1">IFERROR(SUMIFS('TRA balance'!AH$5:AH$40,'TRA balance'!$C$5:$C$40,Assumptions!$C71,'TRA balance'!$D$5:$D$40,Assumptions!$B71)*CV71*AK71,"")</f>
        <v>0</v>
      </c>
      <c r="BS71" s="33">
        <f t="shared" ca="1" si="152"/>
        <v>0.9</v>
      </c>
      <c r="BT71" s="33">
        <f t="shared" ca="1" si="153"/>
        <v>0.9</v>
      </c>
      <c r="BU71" s="33">
        <f t="shared" ca="1" si="154"/>
        <v>0.92999999999999994</v>
      </c>
      <c r="BV71" s="33">
        <f t="shared" ca="1" si="155"/>
        <v>0.95</v>
      </c>
      <c r="BW71" s="33">
        <f t="shared" ca="1" si="156"/>
        <v>0.95</v>
      </c>
      <c r="BX71" s="33">
        <f t="shared" ca="1" si="157"/>
        <v>0.92</v>
      </c>
      <c r="BY71" s="33">
        <f t="shared" ca="1" si="158"/>
        <v>0.98</v>
      </c>
      <c r="BZ71" s="33">
        <f t="shared" ca="1" si="159"/>
        <v>0.92999999999999994</v>
      </c>
      <c r="CA71" s="33">
        <f t="shared" ca="1" si="160"/>
        <v>0.98</v>
      </c>
      <c r="CB71" s="33">
        <f t="shared" ca="1" si="161"/>
        <v>0.9</v>
      </c>
      <c r="CC71" s="33">
        <f t="shared" ca="1" si="162"/>
        <v>0.54657475750985407</v>
      </c>
      <c r="CD71" s="33">
        <f t="shared" ca="1" si="163"/>
        <v>0.64948690066960857</v>
      </c>
      <c r="CE71" s="33">
        <f t="shared" ca="1" si="164"/>
        <v>0.54657475750985407</v>
      </c>
      <c r="CF71" s="33">
        <f t="shared" ca="1" si="165"/>
        <v>0.54657475750985407</v>
      </c>
      <c r="CG71" s="33">
        <f t="shared" ca="1" si="166"/>
        <v>0.64948690066960857</v>
      </c>
      <c r="CH71" s="33">
        <f t="shared" ca="1" si="167"/>
        <v>0.54657475750985407</v>
      </c>
      <c r="CI71" s="33">
        <f t="shared" ca="1" si="168"/>
        <v>0.9</v>
      </c>
      <c r="CJ71" s="33">
        <f t="shared" ca="1" si="169"/>
        <v>0.54657475750985407</v>
      </c>
      <c r="CK71" s="33">
        <f t="shared" ca="1" si="170"/>
        <v>0.54657475750985407</v>
      </c>
      <c r="CL71" s="33">
        <f t="shared" ca="1" si="171"/>
        <v>0.75</v>
      </c>
      <c r="CM71" s="33">
        <f t="shared" ca="1" si="172"/>
        <v>0.92999999999999994</v>
      </c>
      <c r="CN71" s="33">
        <f t="shared" ca="1" si="173"/>
        <v>0.85</v>
      </c>
      <c r="CO71" s="33">
        <f t="shared" ca="1" si="174"/>
        <v>0.9</v>
      </c>
      <c r="CP71" s="33">
        <f t="shared" ca="1" si="175"/>
        <v>0.54657475750985407</v>
      </c>
      <c r="CQ71" s="33">
        <f t="shared" ca="1" si="176"/>
        <v>0.95</v>
      </c>
      <c r="CR71" s="33">
        <f t="shared" ca="1" si="177"/>
        <v>0.9</v>
      </c>
      <c r="CS71" s="33">
        <f t="shared" ca="1" si="178"/>
        <v>0.9</v>
      </c>
      <c r="CT71" s="33">
        <f t="shared" ca="1" si="179"/>
        <v>0.54657475750985407</v>
      </c>
      <c r="CU71" s="33">
        <f t="shared" ca="1" si="180"/>
        <v>0.97559357817738346</v>
      </c>
      <c r="CV71" s="33">
        <f t="shared" ca="1" si="181"/>
        <v>0.97559357817738346</v>
      </c>
    </row>
    <row r="72" spans="1:100" x14ac:dyDescent="0.45">
      <c r="A72">
        <v>2</v>
      </c>
      <c r="B72" t="str">
        <f>VLOOKUP(F72,'TRA balance'!$AK$5:$AL$14,2,FALSE)</f>
        <v>TRABDS</v>
      </c>
      <c r="C72" s="6" t="str">
        <f t="shared" si="185"/>
        <v>TR</v>
      </c>
      <c r="D72" s="7" t="s">
        <v>16</v>
      </c>
      <c r="E72" s="18" t="s">
        <v>77</v>
      </c>
      <c r="F72" s="8" t="str">
        <f t="shared" si="186"/>
        <v>Bio Diesel</v>
      </c>
      <c r="G72" s="6" t="s">
        <v>78</v>
      </c>
      <c r="H72" s="9">
        <f ca="1">OFFSET(TIAM15_assumptions!$G72,0,MATCH(VLOOKUP(Assumptions!H$2,TIAM15_assumptions!$Y$3:$Z$36,2,FALSE),TIAM15_assumptions!$H$2:$V$2,0))</f>
        <v>0.2</v>
      </c>
      <c r="I72" s="9">
        <f ca="1">OFFSET(TIAM15_assumptions!$G72,0,MATCH(VLOOKUP(Assumptions!I$2,TIAM15_assumptions!$Y$3:$Z$36,2,FALSE),TIAM15_assumptions!$H$2:$V$2,0))</f>
        <v>0.2</v>
      </c>
      <c r="J72" s="9">
        <f ca="1">OFFSET(TIAM15_assumptions!$G72,0,MATCH(VLOOKUP(Assumptions!J$2,TIAM15_assumptions!$Y$3:$Z$36,2,FALSE),TIAM15_assumptions!$H$2:$V$2,0))</f>
        <v>0.1</v>
      </c>
      <c r="K72" s="9">
        <f ca="1">OFFSET(TIAM15_assumptions!$G72,0,MATCH(VLOOKUP(Assumptions!K$2,TIAM15_assumptions!$Y$3:$Z$36,2,FALSE),TIAM15_assumptions!$H$2:$V$2,0))</f>
        <v>0.1</v>
      </c>
      <c r="L72" s="9">
        <f ca="1">OFFSET(TIAM15_assumptions!$G72,0,MATCH(VLOOKUP(Assumptions!L$2,TIAM15_assumptions!$Y$3:$Z$36,2,FALSE),TIAM15_assumptions!$H$2:$V$2,0))</f>
        <v>0.15</v>
      </c>
      <c r="M72" s="9">
        <f ca="1">OFFSET(TIAM15_assumptions!$G72,0,MATCH(VLOOKUP(Assumptions!M$2,TIAM15_assumptions!$Y$3:$Z$36,2,FALSE),TIAM15_assumptions!$H$2:$V$2,0))</f>
        <v>0.1</v>
      </c>
      <c r="N72" s="9">
        <f ca="1">OFFSET(TIAM15_assumptions!$G72,0,MATCH(VLOOKUP(Assumptions!N$2,TIAM15_assumptions!$Y$3:$Z$36,2,FALSE),TIAM15_assumptions!$H$2:$V$2,0))</f>
        <v>0.2</v>
      </c>
      <c r="O72" s="9">
        <f ca="1">OFFSET(TIAM15_assumptions!$G72,0,MATCH(VLOOKUP(Assumptions!O$2,TIAM15_assumptions!$Y$3:$Z$36,2,FALSE),TIAM15_assumptions!$H$2:$V$2,0))</f>
        <v>0.1</v>
      </c>
      <c r="P72" s="9">
        <f ca="1">OFFSET(TIAM15_assumptions!$G72,0,MATCH(VLOOKUP(Assumptions!P$2,TIAM15_assumptions!$Y$3:$Z$36,2,FALSE),TIAM15_assumptions!$H$2:$V$2,0))</f>
        <v>0.1</v>
      </c>
      <c r="Q72" s="9">
        <f ca="1">OFFSET(TIAM15_assumptions!$G72,0,MATCH(VLOOKUP(Assumptions!Q$2,TIAM15_assumptions!$Y$3:$Z$36,2,FALSE),TIAM15_assumptions!$H$2:$V$2,0))</f>
        <v>0.1</v>
      </c>
      <c r="R72" s="9">
        <f ca="1">OFFSET(TIAM15_assumptions!$G72,0,MATCH(VLOOKUP(Assumptions!R$2,TIAM15_assumptions!$Y$3:$Z$36,2,FALSE),TIAM15_assumptions!$H$2:$V$2,0))</f>
        <v>0.31448230262971888</v>
      </c>
      <c r="S72" s="9">
        <f ca="1">OFFSET(TIAM15_assumptions!$G72,0,MATCH(VLOOKUP(Assumptions!S$2,TIAM15_assumptions!$Y$3:$Z$36,2,FALSE),TIAM15_assumptions!$H$2:$V$2,0))</f>
        <v>0.27323788545124683</v>
      </c>
      <c r="T72" s="9">
        <f ca="1">OFFSET(TIAM15_assumptions!$G72,0,MATCH(VLOOKUP(Assumptions!T$2,TIAM15_assumptions!$Y$3:$Z$36,2,FALSE),TIAM15_assumptions!$H$2:$V$2,0))</f>
        <v>0.31448230262971888</v>
      </c>
      <c r="U72" s="9">
        <f ca="1">OFFSET(TIAM15_assumptions!$G72,0,MATCH(VLOOKUP(Assumptions!U$2,TIAM15_assumptions!$Y$3:$Z$36,2,FALSE),TIAM15_assumptions!$H$2:$V$2,0))</f>
        <v>0.31448230262971888</v>
      </c>
      <c r="V72" s="9">
        <f ca="1">OFFSET(TIAM15_assumptions!$G72,0,MATCH(VLOOKUP(Assumptions!V$2,TIAM15_assumptions!$Y$3:$Z$36,2,FALSE),TIAM15_assumptions!$H$2:$V$2,0))</f>
        <v>0.27323788545124683</v>
      </c>
      <c r="W72" s="9">
        <f ca="1">OFFSET(TIAM15_assumptions!$G72,0,MATCH(VLOOKUP(Assumptions!W$2,TIAM15_assumptions!$Y$3:$Z$36,2,FALSE),TIAM15_assumptions!$H$2:$V$2,0))</f>
        <v>0.31448230262971888</v>
      </c>
      <c r="X72" s="9">
        <f ca="1">OFFSET(TIAM15_assumptions!$G72,0,MATCH(VLOOKUP(Assumptions!X$2,TIAM15_assumptions!$Y$3:$Z$36,2,FALSE),TIAM15_assumptions!$H$2:$V$2,0))</f>
        <v>0.15</v>
      </c>
      <c r="Y72" s="9">
        <f ca="1">OFFSET(TIAM15_assumptions!$G72,0,MATCH(VLOOKUP(Assumptions!Y$2,TIAM15_assumptions!$Y$3:$Z$36,2,FALSE),TIAM15_assumptions!$H$2:$V$2,0))</f>
        <v>0.31448230262971888</v>
      </c>
      <c r="Z72" s="9">
        <f ca="1">OFFSET(TIAM15_assumptions!$G72,0,MATCH(VLOOKUP(Assumptions!Z$2,TIAM15_assumptions!$Y$3:$Z$36,2,FALSE),TIAM15_assumptions!$H$2:$V$2,0))</f>
        <v>0.31448230262971888</v>
      </c>
      <c r="AA72" s="9">
        <f ca="1">OFFSET(TIAM15_assumptions!$G72,0,MATCH(VLOOKUP(Assumptions!AA$2,TIAM15_assumptions!$Y$3:$Z$36,2,FALSE),TIAM15_assumptions!$H$2:$V$2,0))</f>
        <v>0.25</v>
      </c>
      <c r="AB72" s="9">
        <f ca="1">OFFSET(TIAM15_assumptions!$G72,0,MATCH(VLOOKUP(Assumptions!AB$2,TIAM15_assumptions!$Y$3:$Z$36,2,FALSE),TIAM15_assumptions!$H$2:$V$2,0))</f>
        <v>0.1</v>
      </c>
      <c r="AC72" s="9">
        <f ca="1">OFFSET(TIAM15_assumptions!$G72,0,MATCH(VLOOKUP(Assumptions!AC$2,TIAM15_assumptions!$Y$3:$Z$36,2,FALSE),TIAM15_assumptions!$H$2:$V$2,0))</f>
        <v>0.15</v>
      </c>
      <c r="AD72" s="9">
        <f ca="1">OFFSET(TIAM15_assumptions!$G72,0,MATCH(VLOOKUP(Assumptions!AD$2,TIAM15_assumptions!$Y$3:$Z$36,2,FALSE),TIAM15_assumptions!$H$2:$V$2,0))</f>
        <v>0.15</v>
      </c>
      <c r="AE72" s="9">
        <f ca="1">OFFSET(TIAM15_assumptions!$G72,0,MATCH(VLOOKUP(Assumptions!AE$2,TIAM15_assumptions!$Y$3:$Z$36,2,FALSE),TIAM15_assumptions!$H$2:$V$2,0))</f>
        <v>0.31448230262971888</v>
      </c>
      <c r="AF72" s="9">
        <f ca="1">OFFSET(TIAM15_assumptions!$G72,0,MATCH(VLOOKUP(Assumptions!AF$2,TIAM15_assumptions!$Y$3:$Z$36,2,FALSE),TIAM15_assumptions!$H$2:$V$2,0))</f>
        <v>0.1</v>
      </c>
      <c r="AG72" s="9">
        <f ca="1">OFFSET(TIAM15_assumptions!$G72,0,MATCH(VLOOKUP(Assumptions!AG$2,TIAM15_assumptions!$Y$3:$Z$36,2,FALSE),TIAM15_assumptions!$H$2:$V$2,0))</f>
        <v>0.15</v>
      </c>
      <c r="AH72" s="9">
        <f ca="1">OFFSET(TIAM15_assumptions!$G72,0,MATCH(VLOOKUP(Assumptions!AH$2,TIAM15_assumptions!$Y$3:$Z$36,2,FALSE),TIAM15_assumptions!$H$2:$V$2,0))</f>
        <v>0.2</v>
      </c>
      <c r="AI72" s="9">
        <f ca="1">OFFSET(TIAM15_assumptions!$G72,0,MATCH(VLOOKUP(Assumptions!AI$2,TIAM15_assumptions!$Y$3:$Z$36,2,FALSE),TIAM15_assumptions!$H$2:$V$2,0))</f>
        <v>0.31448230262971888</v>
      </c>
      <c r="AJ72" s="9">
        <f ca="1">OFFSET(TIAM15_assumptions!$G72,0,MATCH(VLOOKUP(Assumptions!AJ$2,TIAM15_assumptions!$Y$3:$Z$36,2,FALSE),TIAM15_assumptions!$H$2:$V$2,0))</f>
        <v>0.05</v>
      </c>
      <c r="AK72" s="9">
        <f ca="1">OFFSET(TIAM15_assumptions!$G72,0,MATCH(VLOOKUP(Assumptions!AK$2,TIAM15_assumptions!$Y$3:$Z$36,2,FALSE),TIAM15_assumptions!$H$2:$V$2,0))</f>
        <v>0.05</v>
      </c>
      <c r="AN72" s="34">
        <f ca="1">IFERROR(SUMIFS('TRA balance'!E$5:E$40,'TRA balance'!$C$5:$C$40,Assumptions!$C72,'TRA balance'!$D$5:$D$40,Assumptions!$B72)*BS72*H72,"")</f>
        <v>0</v>
      </c>
      <c r="AO72" s="34">
        <f ca="1">IFERROR(SUMIFS('TRA balance'!F$5:F$40,'TRA balance'!$C$5:$C$40,Assumptions!$C72,'TRA balance'!$D$5:$D$40,Assumptions!$B72)*BT72*I72,"")</f>
        <v>0</v>
      </c>
      <c r="AP72" s="34">
        <f ca="1">IFERROR(SUMIFS('TRA balance'!G$5:G$40,'TRA balance'!$C$5:$C$40,Assumptions!$C72,'TRA balance'!$D$5:$D$40,Assumptions!$B72)*BU72*J72,"")</f>
        <v>3.9392373504635998</v>
      </c>
      <c r="AQ72" s="34">
        <f ca="1">IFERROR(SUMIFS('TRA balance'!H$5:H$40,'TRA balance'!$C$5:$C$40,Assumptions!$C72,'TRA balance'!$D$5:$D$40,Assumptions!$B72)*BV72*K72,"")</f>
        <v>9.1242932399999998E-4</v>
      </c>
      <c r="AR72" s="34">
        <f ca="1">IFERROR(SUMIFS('TRA balance'!I$5:I$40,'TRA balance'!$C$5:$C$40,Assumptions!$C72,'TRA balance'!$D$5:$D$40,Assumptions!$B72)*BW72*L72,"")</f>
        <v>3.9002899176989998</v>
      </c>
      <c r="AS72" s="34">
        <f ca="1">IFERROR(SUMIFS('TRA balance'!J$5:J$40,'TRA balance'!$C$5:$C$40,Assumptions!$C72,'TRA balance'!$D$5:$D$40,Assumptions!$B72)*BX72*M72,"")</f>
        <v>23.713476530155205</v>
      </c>
      <c r="AT72" s="34">
        <f ca="1">IFERROR(SUMIFS('TRA balance'!K$5:K$40,'TRA balance'!$C$5:$C$40,Assumptions!$C72,'TRA balance'!$D$5:$D$40,Assumptions!$B72)*BY72*N72,"")</f>
        <v>4.1900489568E-2</v>
      </c>
      <c r="AU72" s="34">
        <f ca="1">IFERROR(SUMIFS('TRA balance'!L$5:L$40,'TRA balance'!$C$5:$C$40,Assumptions!$C72,'TRA balance'!$D$5:$D$40,Assumptions!$B72)*BZ72*O72,"")</f>
        <v>60.545782959602406</v>
      </c>
      <c r="AV72" s="34">
        <f ca="1">IFERROR(SUMIFS('TRA balance'!M$5:M$40,'TRA balance'!$C$5:$C$40,Assumptions!$C72,'TRA balance'!$D$5:$D$40,Assumptions!$B72)*CA72*P72,"")</f>
        <v>2.0990151184464003</v>
      </c>
      <c r="AW72" s="34">
        <f ca="1">IFERROR(SUMIFS('TRA balance'!N$5:N$40,'TRA balance'!$C$5:$C$40,Assumptions!$C72,'TRA balance'!$D$5:$D$40,Assumptions!$B72)*CB72*Q72,"")</f>
        <v>3.4358061058920004</v>
      </c>
      <c r="AX72" s="34">
        <f ca="1">IFERROR(SUMIFS('TRA balance'!O$5:O$40,'TRA balance'!$C$5:$C$40,Assumptions!$C72,'TRA balance'!$D$5:$D$40,Assumptions!$B72)*CC72*R72,"")</f>
        <v>12.318368353181036</v>
      </c>
      <c r="AY72" s="34">
        <f ca="1">IFERROR(SUMIFS('TRA balance'!P$5:P$40,'TRA balance'!$C$5:$C$40,Assumptions!$C72,'TRA balance'!$D$5:$D$40,Assumptions!$B72)*CD72*S72,"")</f>
        <v>13.170358853154607</v>
      </c>
      <c r="AZ72" s="34">
        <f ca="1">IFERROR(SUMIFS('TRA balance'!Q$5:Q$40,'TRA balance'!$C$5:$C$40,Assumptions!$C72,'TRA balance'!$D$5:$D$40,Assumptions!$B72)*CE72*T72,"")</f>
        <v>7.5135254577534036</v>
      </c>
      <c r="BA72" s="34">
        <f ca="1">IFERROR(SUMIFS('TRA balance'!R$5:R$40,'TRA balance'!$C$5:$C$40,Assumptions!$C72,'TRA balance'!$D$5:$D$40,Assumptions!$B72)*CF72*U72,"")</f>
        <v>10.274613017940666</v>
      </c>
      <c r="BB72" s="34">
        <f ca="1">IFERROR(SUMIFS('TRA balance'!S$5:S$40,'TRA balance'!$C$5:$C$40,Assumptions!$C72,'TRA balance'!$D$5:$D$40,Assumptions!$B72)*CG72*V72,"")</f>
        <v>5.7312023646347923</v>
      </c>
      <c r="BC72" s="34">
        <f ca="1">IFERROR(SUMIFS('TRA balance'!T$5:T$40,'TRA balance'!$C$5:$C$40,Assumptions!$C72,'TRA balance'!$D$5:$D$40,Assumptions!$B72)*CH72*W72,"")</f>
        <v>12.648328625767926</v>
      </c>
      <c r="BD72" s="34">
        <f ca="1">IFERROR(SUMIFS('TRA balance'!U$5:U$40,'TRA balance'!$C$5:$C$40,Assumptions!$C72,'TRA balance'!$D$5:$D$40,Assumptions!$B72)*CI72*X72,"")</f>
        <v>2.1816013059360002</v>
      </c>
      <c r="BE72" s="34">
        <f ca="1">IFERROR(SUMIFS('TRA balance'!V$5:V$40,'TRA balance'!$C$5:$C$40,Assumptions!$C72,'TRA balance'!$D$5:$D$40,Assumptions!$B72)*CJ72*Y72,"")</f>
        <v>18.169130632862679</v>
      </c>
      <c r="BF72" s="34">
        <f ca="1">IFERROR(SUMIFS('TRA balance'!W$5:W$40,'TRA balance'!$C$5:$C$40,Assumptions!$C72,'TRA balance'!$D$5:$D$40,Assumptions!$B72)*CK72*Z72,"")</f>
        <v>13.595297494552581</v>
      </c>
      <c r="BG72" s="34">
        <f ca="1">IFERROR(SUMIFS('TRA balance'!X$5:X$40,'TRA balance'!$C$5:$C$40,Assumptions!$C72,'TRA balance'!$D$5:$D$40,Assumptions!$B72)*CL72*AA72,"")</f>
        <v>0.30692593439999999</v>
      </c>
      <c r="BH72" s="34">
        <f ca="1">IFERROR(SUMIFS('TRA balance'!Y$5:Y$40,'TRA balance'!$C$5:$C$40,Assumptions!$C72,'TRA balance'!$D$5:$D$40,Assumptions!$B72)*CM72*AB72,"")</f>
        <v>2.9672707800599998</v>
      </c>
      <c r="BI72" s="34">
        <f ca="1">IFERROR(SUMIFS('TRA balance'!Z$5:Z$40,'TRA balance'!$C$5:$C$40,Assumptions!$C72,'TRA balance'!$D$5:$D$40,Assumptions!$B72)*CN72*AC72,"")</f>
        <v>0</v>
      </c>
      <c r="BJ72" s="34">
        <f ca="1">IFERROR(SUMIFS('TRA balance'!AA$5:AA$40,'TRA balance'!$C$5:$C$40,Assumptions!$C72,'TRA balance'!$D$5:$D$40,Assumptions!$B72)*CO72*AD72,"")</f>
        <v>0</v>
      </c>
      <c r="BK72" s="34">
        <f ca="1">IFERROR(SUMIFS('TRA balance'!AB$5:AB$40,'TRA balance'!$C$5:$C$40,Assumptions!$C72,'TRA balance'!$D$5:$D$40,Assumptions!$B72)*CP72*AE72,"")</f>
        <v>3.1268948692409895</v>
      </c>
      <c r="BL72" s="34">
        <f ca="1">IFERROR(SUMIFS('TRA balance'!AC$5:AC$40,'TRA balance'!$C$5:$C$40,Assumptions!$C72,'TRA balance'!$D$5:$D$40,Assumptions!$B72)*CQ72*AF72,"")</f>
        <v>0</v>
      </c>
      <c r="BM72" s="34">
        <f ca="1">IFERROR(SUMIFS('TRA balance'!AD$5:AD$40,'TRA balance'!$C$5:$C$40,Assumptions!$C72,'TRA balance'!$D$5:$D$40,Assumptions!$B72)*CR72*AG72,"")</f>
        <v>0</v>
      </c>
      <c r="BN72" s="34">
        <f ca="1">IFERROR(SUMIFS('TRA balance'!AE$5:AE$40,'TRA balance'!$C$5:$C$40,Assumptions!$C72,'TRA balance'!$D$5:$D$40,Assumptions!$B72)*CS72*AH72,"")</f>
        <v>0</v>
      </c>
      <c r="BO72" s="34">
        <f ca="1">IFERROR(SUMIFS('TRA balance'!AF$5:AF$40,'TRA balance'!$C$5:$C$40,Assumptions!$C72,'TRA balance'!$D$5:$D$40,Assumptions!$B72)*CT72*AI72,"")</f>
        <v>9.0904050060061348</v>
      </c>
      <c r="BP72" s="34">
        <f ca="1">IFERROR(SUMIFS('TRA balance'!AG$5:AG$40,'TRA balance'!$C$5:$C$40,Assumptions!$C72,'TRA balance'!$D$5:$D$40,Assumptions!$B72)*CU72*AJ72,"")</f>
        <v>8.9179452526619958</v>
      </c>
      <c r="BQ72" s="34">
        <f ca="1">IFERROR(SUMIFS('TRA balance'!AH$5:AH$40,'TRA balance'!$C$5:$C$40,Assumptions!$C72,'TRA balance'!$D$5:$D$40,Assumptions!$B72)*CV72*AK72,"")</f>
        <v>0</v>
      </c>
      <c r="BS72" s="33">
        <f t="shared" ca="1" si="152"/>
        <v>0.9</v>
      </c>
      <c r="BT72" s="33">
        <f t="shared" ca="1" si="153"/>
        <v>0.9</v>
      </c>
      <c r="BU72" s="33">
        <f t="shared" ca="1" si="154"/>
        <v>0.92999999999999994</v>
      </c>
      <c r="BV72" s="33">
        <f t="shared" ca="1" si="155"/>
        <v>0.95</v>
      </c>
      <c r="BW72" s="33">
        <f t="shared" ca="1" si="156"/>
        <v>0.95</v>
      </c>
      <c r="BX72" s="33">
        <f t="shared" ca="1" si="157"/>
        <v>0.92</v>
      </c>
      <c r="BY72" s="33">
        <f t="shared" ca="1" si="158"/>
        <v>0.98</v>
      </c>
      <c r="BZ72" s="33">
        <f t="shared" ca="1" si="159"/>
        <v>0.92999999999999994</v>
      </c>
      <c r="CA72" s="33">
        <f t="shared" ca="1" si="160"/>
        <v>0.98</v>
      </c>
      <c r="CB72" s="33">
        <f t="shared" ca="1" si="161"/>
        <v>0.9</v>
      </c>
      <c r="CC72" s="33">
        <f t="shared" ca="1" si="162"/>
        <v>0.54657475750985407</v>
      </c>
      <c r="CD72" s="33">
        <f t="shared" ca="1" si="163"/>
        <v>0.64948690066960857</v>
      </c>
      <c r="CE72" s="33">
        <f t="shared" ca="1" si="164"/>
        <v>0.54657475750985407</v>
      </c>
      <c r="CF72" s="33">
        <f t="shared" ca="1" si="165"/>
        <v>0.54657475750985407</v>
      </c>
      <c r="CG72" s="33">
        <f t="shared" ca="1" si="166"/>
        <v>0.64948690066960857</v>
      </c>
      <c r="CH72" s="33">
        <f t="shared" ca="1" si="167"/>
        <v>0.54657475750985407</v>
      </c>
      <c r="CI72" s="33">
        <f t="shared" ca="1" si="168"/>
        <v>0.9</v>
      </c>
      <c r="CJ72" s="33">
        <f t="shared" ca="1" si="169"/>
        <v>0.54657475750985407</v>
      </c>
      <c r="CK72" s="33">
        <f t="shared" ca="1" si="170"/>
        <v>0.54657475750985407</v>
      </c>
      <c r="CL72" s="33">
        <f t="shared" ca="1" si="171"/>
        <v>0.75</v>
      </c>
      <c r="CM72" s="33">
        <f t="shared" ca="1" si="172"/>
        <v>0.92999999999999994</v>
      </c>
      <c r="CN72" s="33">
        <f t="shared" ca="1" si="173"/>
        <v>0.85</v>
      </c>
      <c r="CO72" s="33">
        <f t="shared" ca="1" si="174"/>
        <v>0.9</v>
      </c>
      <c r="CP72" s="33">
        <f t="shared" ca="1" si="175"/>
        <v>0.54657475750985407</v>
      </c>
      <c r="CQ72" s="33">
        <f t="shared" ca="1" si="176"/>
        <v>0.95</v>
      </c>
      <c r="CR72" s="33">
        <f t="shared" ca="1" si="177"/>
        <v>0.9</v>
      </c>
      <c r="CS72" s="33">
        <f t="shared" ca="1" si="178"/>
        <v>0.9</v>
      </c>
      <c r="CT72" s="33">
        <f t="shared" ca="1" si="179"/>
        <v>0.54657475750985407</v>
      </c>
      <c r="CU72" s="33">
        <f t="shared" ca="1" si="180"/>
        <v>0.97559357817738346</v>
      </c>
      <c r="CV72" s="33">
        <f t="shared" ca="1" si="181"/>
        <v>0.97559357817738346</v>
      </c>
    </row>
    <row r="73" spans="1:100" x14ac:dyDescent="0.45">
      <c r="A73">
        <v>1</v>
      </c>
      <c r="B73" t="str">
        <f>VLOOKUP(F73,'TRA balance'!$AK$5:$AL$14,2,FALSE)</f>
        <v>TRABDS</v>
      </c>
      <c r="C73" s="6" t="str">
        <f t="shared" si="185"/>
        <v/>
      </c>
      <c r="D73" s="7"/>
      <c r="E73" s="19" t="s">
        <v>79</v>
      </c>
      <c r="F73" s="8" t="str">
        <f t="shared" si="186"/>
        <v>Bio Diesel</v>
      </c>
      <c r="G73" s="6"/>
      <c r="H73" s="22" t="str">
        <f ca="1">IF(SUM(H69:H72)=1,"-","&lt;&gt;1!!")</f>
        <v>-</v>
      </c>
      <c r="I73" s="22" t="str">
        <f t="shared" ref="I73" ca="1" si="187">IF(SUM(I69:I72)=1,"-","&lt;&gt;1!!")</f>
        <v>-</v>
      </c>
      <c r="J73" s="22" t="str">
        <f t="shared" ref="J73" ca="1" si="188">IF(SUM(J69:J72)=1,"-","&lt;&gt;1!!")</f>
        <v>-</v>
      </c>
      <c r="K73" s="22" t="str">
        <f t="shared" ref="K73" ca="1" si="189">IF(SUM(K69:K72)=1,"-","&lt;&gt;1!!")</f>
        <v>-</v>
      </c>
      <c r="L73" s="22" t="str">
        <f t="shared" ref="L73" ca="1" si="190">IF(SUM(L69:L72)=1,"-","&lt;&gt;1!!")</f>
        <v>-</v>
      </c>
      <c r="M73" s="22" t="str">
        <f t="shared" ref="M73:X73" ca="1" si="191">IF(SUM(M69:M72)=1,"-","&lt;&gt;1!!")</f>
        <v>-</v>
      </c>
      <c r="N73" s="22" t="str">
        <f t="shared" ca="1" si="191"/>
        <v>-</v>
      </c>
      <c r="O73" s="22" t="str">
        <f t="shared" ca="1" si="191"/>
        <v>-</v>
      </c>
      <c r="P73" s="22" t="str">
        <f t="shared" ca="1" si="191"/>
        <v>-</v>
      </c>
      <c r="Q73" s="22" t="str">
        <f t="shared" ca="1" si="191"/>
        <v>-</v>
      </c>
      <c r="R73" s="22" t="str">
        <f t="shared" ca="1" si="191"/>
        <v>-</v>
      </c>
      <c r="S73" s="22" t="str">
        <f t="shared" ca="1" si="191"/>
        <v>-</v>
      </c>
      <c r="T73" s="22" t="str">
        <f t="shared" ca="1" si="191"/>
        <v>-</v>
      </c>
      <c r="U73" s="22" t="str">
        <f t="shared" ca="1" si="191"/>
        <v>-</v>
      </c>
      <c r="V73" s="22" t="str">
        <f t="shared" ca="1" si="191"/>
        <v>-</v>
      </c>
      <c r="W73" s="22" t="str">
        <f t="shared" ca="1" si="191"/>
        <v>-</v>
      </c>
      <c r="X73" s="22" t="str">
        <f t="shared" ca="1" si="191"/>
        <v>-</v>
      </c>
      <c r="Y73" s="22" t="str">
        <f t="shared" ref="Y73:Z73" ca="1" si="192">IF(SUM(Y69:Y72)=1,"-","&lt;&gt;1!!")</f>
        <v>-</v>
      </c>
      <c r="Z73" s="22" t="str">
        <f t="shared" ca="1" si="192"/>
        <v>-</v>
      </c>
      <c r="AA73" s="22" t="str">
        <f t="shared" ref="AA73:AK73" ca="1" si="193">IF(SUM(AA69:AA72)=1,"-","&lt;&gt;1!!")</f>
        <v>-</v>
      </c>
      <c r="AB73" s="22" t="str">
        <f t="shared" ca="1" si="193"/>
        <v>-</v>
      </c>
      <c r="AC73" s="22" t="str">
        <f t="shared" ca="1" si="193"/>
        <v>-</v>
      </c>
      <c r="AD73" s="22" t="str">
        <f t="shared" ca="1" si="193"/>
        <v>-</v>
      </c>
      <c r="AE73" s="22" t="str">
        <f t="shared" ca="1" si="193"/>
        <v>-</v>
      </c>
      <c r="AF73" s="22" t="str">
        <f t="shared" ca="1" si="193"/>
        <v>-</v>
      </c>
      <c r="AG73" s="22" t="str">
        <f t="shared" ca="1" si="193"/>
        <v>-</v>
      </c>
      <c r="AH73" s="22" t="str">
        <f t="shared" ca="1" si="193"/>
        <v>-</v>
      </c>
      <c r="AI73" s="22" t="str">
        <f t="shared" ca="1" si="193"/>
        <v>-</v>
      </c>
      <c r="AJ73" s="22" t="str">
        <f t="shared" ca="1" si="193"/>
        <v>-</v>
      </c>
      <c r="AK73" s="22" t="str">
        <f t="shared" ca="1" si="193"/>
        <v>-</v>
      </c>
      <c r="AN73" s="34" t="str">
        <f ca="1">IFERROR(SUMIFS('TRA balance'!E$5:E$40,'TRA balance'!$C$5:$C$40,Assumptions!$C73,'TRA balance'!$D$5:$D$40,Assumptions!$B73)*BS73*H73,"")</f>
        <v/>
      </c>
      <c r="AO73" s="34" t="str">
        <f ca="1">IFERROR(SUMIFS('TRA balance'!F$5:F$40,'TRA balance'!$C$5:$C$40,Assumptions!$C73,'TRA balance'!$D$5:$D$40,Assumptions!$B73)*BT73*I73,"")</f>
        <v/>
      </c>
      <c r="AP73" s="34" t="str">
        <f ca="1">IFERROR(SUMIFS('TRA balance'!G$5:G$40,'TRA balance'!$C$5:$C$40,Assumptions!$C73,'TRA balance'!$D$5:$D$40,Assumptions!$B73)*BU73*J73,"")</f>
        <v/>
      </c>
      <c r="AQ73" s="34" t="str">
        <f ca="1">IFERROR(SUMIFS('TRA balance'!H$5:H$40,'TRA balance'!$C$5:$C$40,Assumptions!$C73,'TRA balance'!$D$5:$D$40,Assumptions!$B73)*BV73*K73,"")</f>
        <v/>
      </c>
      <c r="AR73" s="34" t="str">
        <f ca="1">IFERROR(SUMIFS('TRA balance'!I$5:I$40,'TRA balance'!$C$5:$C$40,Assumptions!$C73,'TRA balance'!$D$5:$D$40,Assumptions!$B73)*BW73*L73,"")</f>
        <v/>
      </c>
      <c r="AS73" s="34" t="str">
        <f ca="1">IFERROR(SUMIFS('TRA balance'!J$5:J$40,'TRA balance'!$C$5:$C$40,Assumptions!$C73,'TRA balance'!$D$5:$D$40,Assumptions!$B73)*BX73*M73,"")</f>
        <v/>
      </c>
      <c r="AT73" s="34" t="str">
        <f ca="1">IFERROR(SUMIFS('TRA balance'!K$5:K$40,'TRA balance'!$C$5:$C$40,Assumptions!$C73,'TRA balance'!$D$5:$D$40,Assumptions!$B73)*BY73*N73,"")</f>
        <v/>
      </c>
      <c r="AU73" s="34" t="str">
        <f ca="1">IFERROR(SUMIFS('TRA balance'!L$5:L$40,'TRA balance'!$C$5:$C$40,Assumptions!$C73,'TRA balance'!$D$5:$D$40,Assumptions!$B73)*BZ73*O73,"")</f>
        <v/>
      </c>
      <c r="AV73" s="34" t="str">
        <f ca="1">IFERROR(SUMIFS('TRA balance'!M$5:M$40,'TRA balance'!$C$5:$C$40,Assumptions!$C73,'TRA balance'!$D$5:$D$40,Assumptions!$B73)*CA73*P73,"")</f>
        <v/>
      </c>
      <c r="AW73" s="34" t="str">
        <f ca="1">IFERROR(SUMIFS('TRA balance'!N$5:N$40,'TRA balance'!$C$5:$C$40,Assumptions!$C73,'TRA balance'!$D$5:$D$40,Assumptions!$B73)*CB73*Q73,"")</f>
        <v/>
      </c>
      <c r="AX73" s="34" t="str">
        <f ca="1">IFERROR(SUMIFS('TRA balance'!O$5:O$40,'TRA balance'!$C$5:$C$40,Assumptions!$C73,'TRA balance'!$D$5:$D$40,Assumptions!$B73)*CC73*R73,"")</f>
        <v/>
      </c>
      <c r="AY73" s="34" t="str">
        <f ca="1">IFERROR(SUMIFS('TRA balance'!P$5:P$40,'TRA balance'!$C$5:$C$40,Assumptions!$C73,'TRA balance'!$D$5:$D$40,Assumptions!$B73)*CD73*S73,"")</f>
        <v/>
      </c>
      <c r="AZ73" s="34" t="str">
        <f ca="1">IFERROR(SUMIFS('TRA balance'!Q$5:Q$40,'TRA balance'!$C$5:$C$40,Assumptions!$C73,'TRA balance'!$D$5:$D$40,Assumptions!$B73)*CE73*T73,"")</f>
        <v/>
      </c>
      <c r="BA73" s="34" t="str">
        <f ca="1">IFERROR(SUMIFS('TRA balance'!R$5:R$40,'TRA balance'!$C$5:$C$40,Assumptions!$C73,'TRA balance'!$D$5:$D$40,Assumptions!$B73)*CF73*U73,"")</f>
        <v/>
      </c>
      <c r="BB73" s="34" t="str">
        <f ca="1">IFERROR(SUMIFS('TRA balance'!S$5:S$40,'TRA balance'!$C$5:$C$40,Assumptions!$C73,'TRA balance'!$D$5:$D$40,Assumptions!$B73)*CG73*V73,"")</f>
        <v/>
      </c>
      <c r="BC73" s="34" t="str">
        <f ca="1">IFERROR(SUMIFS('TRA balance'!T$5:T$40,'TRA balance'!$C$5:$C$40,Assumptions!$C73,'TRA balance'!$D$5:$D$40,Assumptions!$B73)*CH73*W73,"")</f>
        <v/>
      </c>
      <c r="BD73" s="34" t="str">
        <f ca="1">IFERROR(SUMIFS('TRA balance'!U$5:U$40,'TRA balance'!$C$5:$C$40,Assumptions!$C73,'TRA balance'!$D$5:$D$40,Assumptions!$B73)*CI73*X73,"")</f>
        <v/>
      </c>
      <c r="BE73" s="34" t="str">
        <f ca="1">IFERROR(SUMIFS('TRA balance'!V$5:V$40,'TRA balance'!$C$5:$C$40,Assumptions!$C73,'TRA balance'!$D$5:$D$40,Assumptions!$B73)*CJ73*Y73,"")</f>
        <v/>
      </c>
      <c r="BF73" s="34" t="str">
        <f ca="1">IFERROR(SUMIFS('TRA balance'!W$5:W$40,'TRA balance'!$C$5:$C$40,Assumptions!$C73,'TRA balance'!$D$5:$D$40,Assumptions!$B73)*CK73*Z73,"")</f>
        <v/>
      </c>
      <c r="BG73" s="34" t="str">
        <f ca="1">IFERROR(SUMIFS('TRA balance'!X$5:X$40,'TRA balance'!$C$5:$C$40,Assumptions!$C73,'TRA balance'!$D$5:$D$40,Assumptions!$B73)*CL73*AA73,"")</f>
        <v/>
      </c>
      <c r="BH73" s="34" t="str">
        <f ca="1">IFERROR(SUMIFS('TRA balance'!Y$5:Y$40,'TRA balance'!$C$5:$C$40,Assumptions!$C73,'TRA balance'!$D$5:$D$40,Assumptions!$B73)*CM73*AB73,"")</f>
        <v/>
      </c>
      <c r="BI73" s="34" t="str">
        <f ca="1">IFERROR(SUMIFS('TRA balance'!Z$5:Z$40,'TRA balance'!$C$5:$C$40,Assumptions!$C73,'TRA balance'!$D$5:$D$40,Assumptions!$B73)*CN73*AC73,"")</f>
        <v/>
      </c>
      <c r="BJ73" s="34" t="str">
        <f ca="1">IFERROR(SUMIFS('TRA balance'!AA$5:AA$40,'TRA balance'!$C$5:$C$40,Assumptions!$C73,'TRA balance'!$D$5:$D$40,Assumptions!$B73)*CO73*AD73,"")</f>
        <v/>
      </c>
      <c r="BK73" s="34" t="str">
        <f ca="1">IFERROR(SUMIFS('TRA balance'!AB$5:AB$40,'TRA balance'!$C$5:$C$40,Assumptions!$C73,'TRA balance'!$D$5:$D$40,Assumptions!$B73)*CP73*AE73,"")</f>
        <v/>
      </c>
      <c r="BL73" s="34" t="str">
        <f ca="1">IFERROR(SUMIFS('TRA balance'!AC$5:AC$40,'TRA balance'!$C$5:$C$40,Assumptions!$C73,'TRA balance'!$D$5:$D$40,Assumptions!$B73)*CQ73*AF73,"")</f>
        <v/>
      </c>
      <c r="BM73" s="34" t="str">
        <f ca="1">IFERROR(SUMIFS('TRA balance'!AD$5:AD$40,'TRA balance'!$C$5:$C$40,Assumptions!$C73,'TRA balance'!$D$5:$D$40,Assumptions!$B73)*CR73*AG73,"")</f>
        <v/>
      </c>
      <c r="BN73" s="34" t="str">
        <f ca="1">IFERROR(SUMIFS('TRA balance'!AE$5:AE$40,'TRA balance'!$C$5:$C$40,Assumptions!$C73,'TRA balance'!$D$5:$D$40,Assumptions!$B73)*CS73*AH73,"")</f>
        <v/>
      </c>
      <c r="BO73" s="34" t="str">
        <f ca="1">IFERROR(SUMIFS('TRA balance'!AF$5:AF$40,'TRA balance'!$C$5:$C$40,Assumptions!$C73,'TRA balance'!$D$5:$D$40,Assumptions!$B73)*CT73*AI73,"")</f>
        <v/>
      </c>
      <c r="BP73" s="34" t="str">
        <f ca="1">IFERROR(SUMIFS('TRA balance'!AG$5:AG$40,'TRA balance'!$C$5:$C$40,Assumptions!$C73,'TRA balance'!$D$5:$D$40,Assumptions!$B73)*CU73*AJ73,"")</f>
        <v/>
      </c>
      <c r="BQ73" s="34" t="str">
        <f ca="1">IFERROR(SUMIFS('TRA balance'!AH$5:AH$40,'TRA balance'!$C$5:$C$40,Assumptions!$C73,'TRA balance'!$D$5:$D$40,Assumptions!$B73)*CV73*AK73,"")</f>
        <v/>
      </c>
      <c r="BS73" s="33">
        <f t="shared" si="152"/>
        <v>1</v>
      </c>
      <c r="BT73" s="33">
        <f t="shared" si="153"/>
        <v>1</v>
      </c>
      <c r="BU73" s="33">
        <f t="shared" si="154"/>
        <v>1</v>
      </c>
      <c r="BV73" s="33">
        <f t="shared" si="155"/>
        <v>1</v>
      </c>
      <c r="BW73" s="33">
        <f t="shared" si="156"/>
        <v>1</v>
      </c>
      <c r="BX73" s="33">
        <f t="shared" si="157"/>
        <v>1</v>
      </c>
      <c r="BY73" s="33">
        <f t="shared" si="158"/>
        <v>1</v>
      </c>
      <c r="BZ73" s="33">
        <f t="shared" si="159"/>
        <v>1</v>
      </c>
      <c r="CA73" s="33">
        <f t="shared" si="160"/>
        <v>1</v>
      </c>
      <c r="CB73" s="33">
        <f t="shared" si="161"/>
        <v>1</v>
      </c>
      <c r="CC73" s="33">
        <f t="shared" si="162"/>
        <v>1</v>
      </c>
      <c r="CD73" s="33">
        <f t="shared" si="163"/>
        <v>1</v>
      </c>
      <c r="CE73" s="33">
        <f t="shared" si="164"/>
        <v>1</v>
      </c>
      <c r="CF73" s="33">
        <f t="shared" si="165"/>
        <v>1</v>
      </c>
      <c r="CG73" s="33">
        <f t="shared" si="166"/>
        <v>1</v>
      </c>
      <c r="CH73" s="33">
        <f t="shared" si="167"/>
        <v>1</v>
      </c>
      <c r="CI73" s="33">
        <f t="shared" si="168"/>
        <v>1</v>
      </c>
      <c r="CJ73" s="33">
        <f t="shared" si="169"/>
        <v>1</v>
      </c>
      <c r="CK73" s="33">
        <f t="shared" si="170"/>
        <v>1</v>
      </c>
      <c r="CL73" s="33">
        <f t="shared" si="171"/>
        <v>1</v>
      </c>
      <c r="CM73" s="33">
        <f t="shared" si="172"/>
        <v>1</v>
      </c>
      <c r="CN73" s="33">
        <f t="shared" si="173"/>
        <v>1</v>
      </c>
      <c r="CO73" s="33">
        <f t="shared" si="174"/>
        <v>1</v>
      </c>
      <c r="CP73" s="33">
        <f t="shared" si="175"/>
        <v>1</v>
      </c>
      <c r="CQ73" s="33">
        <f t="shared" si="176"/>
        <v>1</v>
      </c>
      <c r="CR73" s="33">
        <f t="shared" si="177"/>
        <v>1</v>
      </c>
      <c r="CS73" s="33">
        <f t="shared" si="178"/>
        <v>1</v>
      </c>
      <c r="CT73" s="33">
        <f t="shared" si="179"/>
        <v>1</v>
      </c>
      <c r="CU73" s="33">
        <f t="shared" si="180"/>
        <v>1</v>
      </c>
      <c r="CV73" s="33">
        <f t="shared" si="181"/>
        <v>1</v>
      </c>
    </row>
    <row r="74" spans="1:100" x14ac:dyDescent="0.45">
      <c r="A74">
        <v>1</v>
      </c>
      <c r="B74" t="str">
        <f>VLOOKUP(F74,'TRA balance'!$AK$5:$AL$14,2,FALSE)</f>
        <v>TRABDS</v>
      </c>
      <c r="C74" s="6" t="str">
        <f t="shared" si="185"/>
        <v>TT</v>
      </c>
      <c r="D74" s="7" t="s">
        <v>17</v>
      </c>
      <c r="E74" s="7" t="s">
        <v>53</v>
      </c>
      <c r="F74" s="8" t="str">
        <f t="shared" si="186"/>
        <v>Bio Diesel</v>
      </c>
      <c r="G74" s="6" t="s">
        <v>55</v>
      </c>
      <c r="H74" s="9">
        <f ca="1">OFFSET(TIAM15_assumptions!$G74,0,MATCH(VLOOKUP(Assumptions!H$2,TIAM15_assumptions!$Y$3:$Z$36,2,FALSE),TIAM15_assumptions!$H$2:$V$2,0))</f>
        <v>0.7</v>
      </c>
      <c r="I74" s="9">
        <f ca="1">OFFSET(TIAM15_assumptions!$G74,0,MATCH(VLOOKUP(Assumptions!I$2,TIAM15_assumptions!$Y$3:$Z$36,2,FALSE),TIAM15_assumptions!$H$2:$V$2,0))</f>
        <v>0.7</v>
      </c>
      <c r="J74" s="9">
        <f ca="1">OFFSET(TIAM15_assumptions!$G74,0,MATCH(VLOOKUP(Assumptions!J$2,TIAM15_assumptions!$Y$3:$Z$36,2,FALSE),TIAM15_assumptions!$H$2:$V$2,0))</f>
        <v>0.8</v>
      </c>
      <c r="K74" s="9">
        <f ca="1">OFFSET(TIAM15_assumptions!$G74,0,MATCH(VLOOKUP(Assumptions!K$2,TIAM15_assumptions!$Y$3:$Z$36,2,FALSE),TIAM15_assumptions!$H$2:$V$2,0))</f>
        <v>0.9</v>
      </c>
      <c r="L74" s="9">
        <f ca="1">OFFSET(TIAM15_assumptions!$G74,0,MATCH(VLOOKUP(Assumptions!L$2,TIAM15_assumptions!$Y$3:$Z$36,2,FALSE),TIAM15_assumptions!$H$2:$V$2,0))</f>
        <v>0.3</v>
      </c>
      <c r="M74" s="9">
        <f ca="1">OFFSET(TIAM15_assumptions!$G74,0,MATCH(VLOOKUP(Assumptions!M$2,TIAM15_assumptions!$Y$3:$Z$36,2,FALSE),TIAM15_assumptions!$H$2:$V$2,0))</f>
        <v>0.8</v>
      </c>
      <c r="N74" s="9">
        <f ca="1">OFFSET(TIAM15_assumptions!$G74,0,MATCH(VLOOKUP(Assumptions!N$2,TIAM15_assumptions!$Y$3:$Z$36,2,FALSE),TIAM15_assumptions!$H$2:$V$2,0))</f>
        <v>0.7</v>
      </c>
      <c r="O74" s="9">
        <f ca="1">OFFSET(TIAM15_assumptions!$G74,0,MATCH(VLOOKUP(Assumptions!O$2,TIAM15_assumptions!$Y$3:$Z$36,2,FALSE),TIAM15_assumptions!$H$2:$V$2,0))</f>
        <v>0.8</v>
      </c>
      <c r="P74" s="9">
        <f ca="1">OFFSET(TIAM15_assumptions!$G74,0,MATCH(VLOOKUP(Assumptions!P$2,TIAM15_assumptions!$Y$3:$Z$36,2,FALSE),TIAM15_assumptions!$H$2:$V$2,0))</f>
        <v>0.95</v>
      </c>
      <c r="Q74" s="9">
        <f ca="1">OFFSET(TIAM15_assumptions!$G74,0,MATCH(VLOOKUP(Assumptions!Q$2,TIAM15_assumptions!$Y$3:$Z$36,2,FALSE),TIAM15_assumptions!$H$2:$V$2,0))</f>
        <v>0.6</v>
      </c>
      <c r="R74" s="9">
        <f ca="1">OFFSET(TIAM15_assumptions!$G74,0,MATCH(VLOOKUP(Assumptions!R$2,TIAM15_assumptions!$Y$3:$Z$36,2,FALSE),TIAM15_assumptions!$H$2:$V$2,0))</f>
        <v>0.9</v>
      </c>
      <c r="S74" s="9">
        <f ca="1">OFFSET(TIAM15_assumptions!$G74,0,MATCH(VLOOKUP(Assumptions!S$2,TIAM15_assumptions!$Y$3:$Z$36,2,FALSE),TIAM15_assumptions!$H$2:$V$2,0))</f>
        <v>0.9</v>
      </c>
      <c r="T74" s="9">
        <f ca="1">OFFSET(TIAM15_assumptions!$G74,0,MATCH(VLOOKUP(Assumptions!T$2,TIAM15_assumptions!$Y$3:$Z$36,2,FALSE),TIAM15_assumptions!$H$2:$V$2,0))</f>
        <v>0.9</v>
      </c>
      <c r="U74" s="9">
        <f ca="1">OFFSET(TIAM15_assumptions!$G74,0,MATCH(VLOOKUP(Assumptions!U$2,TIAM15_assumptions!$Y$3:$Z$36,2,FALSE),TIAM15_assumptions!$H$2:$V$2,0))</f>
        <v>0.9</v>
      </c>
      <c r="V74" s="9">
        <f ca="1">OFFSET(TIAM15_assumptions!$G74,0,MATCH(VLOOKUP(Assumptions!V$2,TIAM15_assumptions!$Y$3:$Z$36,2,FALSE),TIAM15_assumptions!$H$2:$V$2,0))</f>
        <v>0.9</v>
      </c>
      <c r="W74" s="9">
        <f ca="1">OFFSET(TIAM15_assumptions!$G74,0,MATCH(VLOOKUP(Assumptions!W$2,TIAM15_assumptions!$Y$3:$Z$36,2,FALSE),TIAM15_assumptions!$H$2:$V$2,0))</f>
        <v>0.9</v>
      </c>
      <c r="X74" s="9">
        <f ca="1">OFFSET(TIAM15_assumptions!$G74,0,MATCH(VLOOKUP(Assumptions!X$2,TIAM15_assumptions!$Y$3:$Z$36,2,FALSE),TIAM15_assumptions!$H$2:$V$2,0))</f>
        <v>0.7</v>
      </c>
      <c r="Y74" s="9">
        <f ca="1">OFFSET(TIAM15_assumptions!$G74,0,MATCH(VLOOKUP(Assumptions!Y$2,TIAM15_assumptions!$Y$3:$Z$36,2,FALSE),TIAM15_assumptions!$H$2:$V$2,0))</f>
        <v>0.9</v>
      </c>
      <c r="Z74" s="9">
        <f ca="1">OFFSET(TIAM15_assumptions!$G74,0,MATCH(VLOOKUP(Assumptions!Z$2,TIAM15_assumptions!$Y$3:$Z$36,2,FALSE),TIAM15_assumptions!$H$2:$V$2,0))</f>
        <v>0.9</v>
      </c>
      <c r="AA74" s="9">
        <f ca="1">OFFSET(TIAM15_assumptions!$G74,0,MATCH(VLOOKUP(Assumptions!AA$2,TIAM15_assumptions!$Y$3:$Z$36,2,FALSE),TIAM15_assumptions!$H$2:$V$2,0))</f>
        <v>0.5</v>
      </c>
      <c r="AB74" s="9">
        <f ca="1">OFFSET(TIAM15_assumptions!$G74,0,MATCH(VLOOKUP(Assumptions!AB$2,TIAM15_assumptions!$Y$3:$Z$36,2,FALSE),TIAM15_assumptions!$H$2:$V$2,0))</f>
        <v>0.8</v>
      </c>
      <c r="AC74" s="9">
        <f ca="1">OFFSET(TIAM15_assumptions!$G74,0,MATCH(VLOOKUP(Assumptions!AC$2,TIAM15_assumptions!$Y$3:$Z$36,2,FALSE),TIAM15_assumptions!$H$2:$V$2,0))</f>
        <v>0.75</v>
      </c>
      <c r="AD74" s="9">
        <f ca="1">OFFSET(TIAM15_assumptions!$G74,0,MATCH(VLOOKUP(Assumptions!AD$2,TIAM15_assumptions!$Y$3:$Z$36,2,FALSE),TIAM15_assumptions!$H$2:$V$2,0))</f>
        <v>0.7</v>
      </c>
      <c r="AE74" s="9">
        <f ca="1">OFFSET(TIAM15_assumptions!$G74,0,MATCH(VLOOKUP(Assumptions!AE$2,TIAM15_assumptions!$Y$3:$Z$36,2,FALSE),TIAM15_assumptions!$H$2:$V$2,0))</f>
        <v>0.9</v>
      </c>
      <c r="AF74" s="9">
        <f ca="1">OFFSET(TIAM15_assumptions!$G74,0,MATCH(VLOOKUP(Assumptions!AF$2,TIAM15_assumptions!$Y$3:$Z$36,2,FALSE),TIAM15_assumptions!$H$2:$V$2,0))</f>
        <v>0.9</v>
      </c>
      <c r="AG74" s="9">
        <f ca="1">OFFSET(TIAM15_assumptions!$G74,0,MATCH(VLOOKUP(Assumptions!AG$2,TIAM15_assumptions!$Y$3:$Z$36,2,FALSE),TIAM15_assumptions!$H$2:$V$2,0))</f>
        <v>0.7</v>
      </c>
      <c r="AH74" s="9">
        <f ca="1">OFFSET(TIAM15_assumptions!$G74,0,MATCH(VLOOKUP(Assumptions!AH$2,TIAM15_assumptions!$Y$3:$Z$36,2,FALSE),TIAM15_assumptions!$H$2:$V$2,0))</f>
        <v>0.7</v>
      </c>
      <c r="AI74" s="9">
        <f ca="1">OFFSET(TIAM15_assumptions!$G74,0,MATCH(VLOOKUP(Assumptions!AI$2,TIAM15_assumptions!$Y$3:$Z$36,2,FALSE),TIAM15_assumptions!$H$2:$V$2,0))</f>
        <v>0.9</v>
      </c>
      <c r="AJ74" s="9">
        <f ca="1">OFFSET(TIAM15_assumptions!$G74,0,MATCH(VLOOKUP(Assumptions!AJ$2,TIAM15_assumptions!$Y$3:$Z$36,2,FALSE),TIAM15_assumptions!$H$2:$V$2,0))</f>
        <v>0.96032123091737276</v>
      </c>
      <c r="AK74" s="9">
        <f ca="1">OFFSET(TIAM15_assumptions!$G74,0,MATCH(VLOOKUP(Assumptions!AK$2,TIAM15_assumptions!$Y$3:$Z$36,2,FALSE),TIAM15_assumptions!$H$2:$V$2,0))</f>
        <v>0.96032123091737276</v>
      </c>
      <c r="AN74" s="34">
        <f ca="1">IFERROR(SUMIFS('TRA balance'!E$5:E$40,'TRA balance'!$C$5:$C$40,Assumptions!$C74,'TRA balance'!$D$5:$D$40,Assumptions!$B74)*BS74*H74,"")</f>
        <v>0</v>
      </c>
      <c r="AO74" s="34">
        <f ca="1">IFERROR(SUMIFS('TRA balance'!F$5:F$40,'TRA balance'!$C$5:$C$40,Assumptions!$C74,'TRA balance'!$D$5:$D$40,Assumptions!$B74)*BT74*I74,"")</f>
        <v>0</v>
      </c>
      <c r="AP74" s="34">
        <f ca="1">IFERROR(SUMIFS('TRA balance'!G$5:G$40,'TRA balance'!$C$5:$C$40,Assumptions!$C74,'TRA balance'!$D$5:$D$40,Assumptions!$B74)*BU74*J74,"")</f>
        <v>0</v>
      </c>
      <c r="AQ74" s="34">
        <f ca="1">IFERROR(SUMIFS('TRA balance'!H$5:H$40,'TRA balance'!$C$5:$C$40,Assumptions!$C74,'TRA balance'!$D$5:$D$40,Assumptions!$B74)*BV74*K74,"")</f>
        <v>0</v>
      </c>
      <c r="AR74" s="34">
        <f ca="1">IFERROR(SUMIFS('TRA balance'!I$5:I$40,'TRA balance'!$C$5:$C$40,Assumptions!$C74,'TRA balance'!$D$5:$D$40,Assumptions!$B74)*BW74*L74,"")</f>
        <v>0</v>
      </c>
      <c r="AS74" s="34">
        <f ca="1">IFERROR(SUMIFS('TRA balance'!J$5:J$40,'TRA balance'!$C$5:$C$40,Assumptions!$C74,'TRA balance'!$D$5:$D$40,Assumptions!$B74)*BX74*M74,"")</f>
        <v>1.0081814400000001E-3</v>
      </c>
      <c r="AT74" s="34">
        <f ca="1">IFERROR(SUMIFS('TRA balance'!K$5:K$40,'TRA balance'!$C$5:$C$40,Assumptions!$C74,'TRA balance'!$D$5:$D$40,Assumptions!$B74)*BY74*N74,"")</f>
        <v>0</v>
      </c>
      <c r="AU74" s="34">
        <f ca="1">IFERROR(SUMIFS('TRA balance'!L$5:L$40,'TRA balance'!$C$5:$C$40,Assumptions!$C74,'TRA balance'!$D$5:$D$40,Assumptions!$B74)*BZ74*O74,"")</f>
        <v>3.5138271657600004</v>
      </c>
      <c r="AV74" s="34">
        <f ca="1">IFERROR(SUMIFS('TRA balance'!M$5:M$40,'TRA balance'!$C$5:$C$40,Assumptions!$C74,'TRA balance'!$D$5:$D$40,Assumptions!$B74)*CA74*P74,"")</f>
        <v>0</v>
      </c>
      <c r="AW74" s="34">
        <f ca="1">IFERROR(SUMIFS('TRA balance'!N$5:N$40,'TRA balance'!$C$5:$C$40,Assumptions!$C74,'TRA balance'!$D$5:$D$40,Assumptions!$B74)*CB74*Q74,"")</f>
        <v>0</v>
      </c>
      <c r="AX74" s="34">
        <f ca="1">IFERROR(SUMIFS('TRA balance'!O$5:O$40,'TRA balance'!$C$5:$C$40,Assumptions!$C74,'TRA balance'!$D$5:$D$40,Assumptions!$B74)*CC74*R74,"")</f>
        <v>0</v>
      </c>
      <c r="AY74" s="34">
        <f ca="1">IFERROR(SUMIFS('TRA balance'!P$5:P$40,'TRA balance'!$C$5:$C$40,Assumptions!$C74,'TRA balance'!$D$5:$D$40,Assumptions!$B74)*CD74*S74,"")</f>
        <v>0.35135834939999999</v>
      </c>
      <c r="AZ74" s="34">
        <f ca="1">IFERROR(SUMIFS('TRA balance'!Q$5:Q$40,'TRA balance'!$C$5:$C$40,Assumptions!$C74,'TRA balance'!$D$5:$D$40,Assumptions!$B74)*CE74*T74,"")</f>
        <v>6.2411371559999998E-2</v>
      </c>
      <c r="BA74" s="34">
        <f ca="1">IFERROR(SUMIFS('TRA balance'!R$5:R$40,'TRA balance'!$C$5:$C$40,Assumptions!$C74,'TRA balance'!$D$5:$D$40,Assumptions!$B74)*CF74*U74,"")</f>
        <v>0</v>
      </c>
      <c r="BB74" s="34">
        <f ca="1">IFERROR(SUMIFS('TRA balance'!S$5:S$40,'TRA balance'!$C$5:$C$40,Assumptions!$C74,'TRA balance'!$D$5:$D$40,Assumptions!$B74)*CG74*V74,"")</f>
        <v>0</v>
      </c>
      <c r="BC74" s="34">
        <f ca="1">IFERROR(SUMIFS('TRA balance'!T$5:T$40,'TRA balance'!$C$5:$C$40,Assumptions!$C74,'TRA balance'!$D$5:$D$40,Assumptions!$B74)*CH74*W74,"")</f>
        <v>0</v>
      </c>
      <c r="BD74" s="34">
        <f ca="1">IFERROR(SUMIFS('TRA balance'!U$5:U$40,'TRA balance'!$C$5:$C$40,Assumptions!$C74,'TRA balance'!$D$5:$D$40,Assumptions!$B74)*CI74*X74,"")</f>
        <v>9.0882867599999997E-3</v>
      </c>
      <c r="BE74" s="34">
        <f ca="1">IFERROR(SUMIFS('TRA balance'!V$5:V$40,'TRA balance'!$C$5:$C$40,Assumptions!$C74,'TRA balance'!$D$5:$D$40,Assumptions!$B74)*CJ74*Y74,"")</f>
        <v>0.30773859228</v>
      </c>
      <c r="BF74" s="34">
        <f ca="1">IFERROR(SUMIFS('TRA balance'!W$5:W$40,'TRA balance'!$C$5:$C$40,Assumptions!$C74,'TRA balance'!$D$5:$D$40,Assumptions!$B74)*CK74*Z74,"")</f>
        <v>0.53435332907999999</v>
      </c>
      <c r="BG74" s="34">
        <f ca="1">IFERROR(SUMIFS('TRA balance'!X$5:X$40,'TRA balance'!$C$5:$C$40,Assumptions!$C74,'TRA balance'!$D$5:$D$40,Assumptions!$B74)*CL74*AA74,"")</f>
        <v>0</v>
      </c>
      <c r="BH74" s="34">
        <f ca="1">IFERROR(SUMIFS('TRA balance'!Y$5:Y$40,'TRA balance'!$C$5:$C$40,Assumptions!$C74,'TRA balance'!$D$5:$D$40,Assumptions!$B74)*CM74*AB74,"")</f>
        <v>0</v>
      </c>
      <c r="BI74" s="34">
        <f ca="1">IFERROR(SUMIFS('TRA balance'!Z$5:Z$40,'TRA balance'!$C$5:$C$40,Assumptions!$C74,'TRA balance'!$D$5:$D$40,Assumptions!$B74)*CN74*AC74,"")</f>
        <v>0</v>
      </c>
      <c r="BJ74" s="34">
        <f ca="1">IFERROR(SUMIFS('TRA balance'!AA$5:AA$40,'TRA balance'!$C$5:$C$40,Assumptions!$C74,'TRA balance'!$D$5:$D$40,Assumptions!$B74)*CO74*AD74,"")</f>
        <v>0</v>
      </c>
      <c r="BK74" s="34">
        <f ca="1">IFERROR(SUMIFS('TRA balance'!AB$5:AB$40,'TRA balance'!$C$5:$C$40,Assumptions!$C74,'TRA balance'!$D$5:$D$40,Assumptions!$B74)*CP74*AE74,"")</f>
        <v>0</v>
      </c>
      <c r="BL74" s="34">
        <f ca="1">IFERROR(SUMIFS('TRA balance'!AC$5:AC$40,'TRA balance'!$C$5:$C$40,Assumptions!$C74,'TRA balance'!$D$5:$D$40,Assumptions!$B74)*CQ74*AF74,"")</f>
        <v>0</v>
      </c>
      <c r="BM74" s="34">
        <f ca="1">IFERROR(SUMIFS('TRA balance'!AD$5:AD$40,'TRA balance'!$C$5:$C$40,Assumptions!$C74,'TRA balance'!$D$5:$D$40,Assumptions!$B74)*CR74*AG74,"")</f>
        <v>0</v>
      </c>
      <c r="BN74" s="34">
        <f ca="1">IFERROR(SUMIFS('TRA balance'!AE$5:AE$40,'TRA balance'!$C$5:$C$40,Assumptions!$C74,'TRA balance'!$D$5:$D$40,Assumptions!$B74)*CS74*AH74,"")</f>
        <v>0</v>
      </c>
      <c r="BO74" s="34">
        <f ca="1">IFERROR(SUMIFS('TRA balance'!AF$5:AF$40,'TRA balance'!$C$5:$C$40,Assumptions!$C74,'TRA balance'!$D$5:$D$40,Assumptions!$B74)*CT74*AI74,"")</f>
        <v>0</v>
      </c>
      <c r="BP74" s="34">
        <f ca="1">IFERROR(SUMIFS('TRA balance'!AG$5:AG$40,'TRA balance'!$C$5:$C$40,Assumptions!$C74,'TRA balance'!$D$5:$D$40,Assumptions!$B74)*CU74*AJ74,"")</f>
        <v>16.526200087265348</v>
      </c>
      <c r="BQ74" s="34">
        <f ca="1">IFERROR(SUMIFS('TRA balance'!AH$5:AH$40,'TRA balance'!$C$5:$C$40,Assumptions!$C74,'TRA balance'!$D$5:$D$40,Assumptions!$B74)*CV74*AK74,"")</f>
        <v>0</v>
      </c>
      <c r="BS74" s="33">
        <f t="shared" si="152"/>
        <v>1</v>
      </c>
      <c r="BT74" s="33">
        <f t="shared" si="153"/>
        <v>1</v>
      </c>
      <c r="BU74" s="33">
        <f t="shared" si="154"/>
        <v>1</v>
      </c>
      <c r="BV74" s="33">
        <f t="shared" si="155"/>
        <v>1</v>
      </c>
      <c r="BW74" s="33">
        <f t="shared" si="156"/>
        <v>1</v>
      </c>
      <c r="BX74" s="33">
        <f t="shared" si="157"/>
        <v>1</v>
      </c>
      <c r="BY74" s="33">
        <f t="shared" si="158"/>
        <v>1</v>
      </c>
      <c r="BZ74" s="33">
        <f t="shared" si="159"/>
        <v>1</v>
      </c>
      <c r="CA74" s="33">
        <f t="shared" si="160"/>
        <v>1</v>
      </c>
      <c r="CB74" s="33">
        <f t="shared" si="161"/>
        <v>1</v>
      </c>
      <c r="CC74" s="33">
        <f t="shared" si="162"/>
        <v>1</v>
      </c>
      <c r="CD74" s="33">
        <f t="shared" si="163"/>
        <v>1</v>
      </c>
      <c r="CE74" s="33">
        <f t="shared" si="164"/>
        <v>1</v>
      </c>
      <c r="CF74" s="33">
        <f t="shared" si="165"/>
        <v>1</v>
      </c>
      <c r="CG74" s="33">
        <f t="shared" si="166"/>
        <v>1</v>
      </c>
      <c r="CH74" s="33">
        <f t="shared" si="167"/>
        <v>1</v>
      </c>
      <c r="CI74" s="33">
        <f t="shared" si="168"/>
        <v>1</v>
      </c>
      <c r="CJ74" s="33">
        <f t="shared" si="169"/>
        <v>1</v>
      </c>
      <c r="CK74" s="33">
        <f t="shared" si="170"/>
        <v>1</v>
      </c>
      <c r="CL74" s="33">
        <f t="shared" si="171"/>
        <v>1</v>
      </c>
      <c r="CM74" s="33">
        <f t="shared" si="172"/>
        <v>1</v>
      </c>
      <c r="CN74" s="33">
        <f t="shared" si="173"/>
        <v>1</v>
      </c>
      <c r="CO74" s="33">
        <f t="shared" si="174"/>
        <v>1</v>
      </c>
      <c r="CP74" s="33">
        <f t="shared" si="175"/>
        <v>1</v>
      </c>
      <c r="CQ74" s="33">
        <f t="shared" si="176"/>
        <v>1</v>
      </c>
      <c r="CR74" s="33">
        <f t="shared" si="177"/>
        <v>1</v>
      </c>
      <c r="CS74" s="33">
        <f t="shared" si="178"/>
        <v>1</v>
      </c>
      <c r="CT74" s="33">
        <f t="shared" si="179"/>
        <v>1</v>
      </c>
      <c r="CU74" s="33">
        <f t="shared" si="180"/>
        <v>1</v>
      </c>
      <c r="CV74" s="33">
        <f t="shared" si="181"/>
        <v>1</v>
      </c>
    </row>
    <row r="75" spans="1:100" x14ac:dyDescent="0.45">
      <c r="A75">
        <v>1</v>
      </c>
      <c r="B75" t="str">
        <f>VLOOKUP(F75,'TRA balance'!$AK$5:$AL$14,2,FALSE)</f>
        <v>TRABDS</v>
      </c>
      <c r="C75" s="6" t="str">
        <f t="shared" si="185"/>
        <v>TT</v>
      </c>
      <c r="D75" s="7" t="s">
        <v>17</v>
      </c>
      <c r="E75" s="7" t="s">
        <v>56</v>
      </c>
      <c r="F75" s="8" t="str">
        <f t="shared" si="186"/>
        <v>Bio Diesel</v>
      </c>
      <c r="G75" s="6" t="s">
        <v>57</v>
      </c>
      <c r="H75" s="9">
        <f ca="1">OFFSET(TIAM15_assumptions!$G75,0,MATCH(VLOOKUP(Assumptions!H$2,TIAM15_assumptions!$Y$3:$Z$36,2,FALSE),TIAM15_assumptions!$H$2:$V$2,0))</f>
        <v>0.3</v>
      </c>
      <c r="I75" s="9">
        <f ca="1">OFFSET(TIAM15_assumptions!$G75,0,MATCH(VLOOKUP(Assumptions!I$2,TIAM15_assumptions!$Y$3:$Z$36,2,FALSE),TIAM15_assumptions!$H$2:$V$2,0))</f>
        <v>0.3</v>
      </c>
      <c r="J75" s="9">
        <f ca="1">OFFSET(TIAM15_assumptions!$G75,0,MATCH(VLOOKUP(Assumptions!J$2,TIAM15_assumptions!$Y$3:$Z$36,2,FALSE),TIAM15_assumptions!$H$2:$V$2,0))</f>
        <v>0.2</v>
      </c>
      <c r="K75" s="9">
        <f ca="1">OFFSET(TIAM15_assumptions!$G75,0,MATCH(VLOOKUP(Assumptions!K$2,TIAM15_assumptions!$Y$3:$Z$36,2,FALSE),TIAM15_assumptions!$H$2:$V$2,0))</f>
        <v>0.1</v>
      </c>
      <c r="L75" s="9">
        <f ca="1">OFFSET(TIAM15_assumptions!$G75,0,MATCH(VLOOKUP(Assumptions!L$2,TIAM15_assumptions!$Y$3:$Z$36,2,FALSE),TIAM15_assumptions!$H$2:$V$2,0))</f>
        <v>0.7</v>
      </c>
      <c r="M75" s="9">
        <f ca="1">OFFSET(TIAM15_assumptions!$G75,0,MATCH(VLOOKUP(Assumptions!M$2,TIAM15_assumptions!$Y$3:$Z$36,2,FALSE),TIAM15_assumptions!$H$2:$V$2,0))</f>
        <v>0.2</v>
      </c>
      <c r="N75" s="9">
        <f ca="1">OFFSET(TIAM15_assumptions!$G75,0,MATCH(VLOOKUP(Assumptions!N$2,TIAM15_assumptions!$Y$3:$Z$36,2,FALSE),TIAM15_assumptions!$H$2:$V$2,0))</f>
        <v>0.3</v>
      </c>
      <c r="O75" s="9">
        <f ca="1">OFFSET(TIAM15_assumptions!$G75,0,MATCH(VLOOKUP(Assumptions!O$2,TIAM15_assumptions!$Y$3:$Z$36,2,FALSE),TIAM15_assumptions!$H$2:$V$2,0))</f>
        <v>0.2</v>
      </c>
      <c r="P75" s="9">
        <f ca="1">OFFSET(TIAM15_assumptions!$G75,0,MATCH(VLOOKUP(Assumptions!P$2,TIAM15_assumptions!$Y$3:$Z$36,2,FALSE),TIAM15_assumptions!$H$2:$V$2,0))</f>
        <v>0.05</v>
      </c>
      <c r="Q75" s="9">
        <f ca="1">OFFSET(TIAM15_assumptions!$G75,0,MATCH(VLOOKUP(Assumptions!Q$2,TIAM15_assumptions!$Y$3:$Z$36,2,FALSE),TIAM15_assumptions!$H$2:$V$2,0))</f>
        <v>0.4</v>
      </c>
      <c r="R75" s="9">
        <f ca="1">OFFSET(TIAM15_assumptions!$G75,0,MATCH(VLOOKUP(Assumptions!R$2,TIAM15_assumptions!$Y$3:$Z$36,2,FALSE),TIAM15_assumptions!$H$2:$V$2,0))</f>
        <v>0.1</v>
      </c>
      <c r="S75" s="9">
        <f ca="1">OFFSET(TIAM15_assumptions!$G75,0,MATCH(VLOOKUP(Assumptions!S$2,TIAM15_assumptions!$Y$3:$Z$36,2,FALSE),TIAM15_assumptions!$H$2:$V$2,0))</f>
        <v>0.1</v>
      </c>
      <c r="T75" s="9">
        <f ca="1">OFFSET(TIAM15_assumptions!$G75,0,MATCH(VLOOKUP(Assumptions!T$2,TIAM15_assumptions!$Y$3:$Z$36,2,FALSE),TIAM15_assumptions!$H$2:$V$2,0))</f>
        <v>0.1</v>
      </c>
      <c r="U75" s="9">
        <f ca="1">OFFSET(TIAM15_assumptions!$G75,0,MATCH(VLOOKUP(Assumptions!U$2,TIAM15_assumptions!$Y$3:$Z$36,2,FALSE),TIAM15_assumptions!$H$2:$V$2,0))</f>
        <v>0.1</v>
      </c>
      <c r="V75" s="9">
        <f ca="1">OFFSET(TIAM15_assumptions!$G75,0,MATCH(VLOOKUP(Assumptions!V$2,TIAM15_assumptions!$Y$3:$Z$36,2,FALSE),TIAM15_assumptions!$H$2:$V$2,0))</f>
        <v>0.1</v>
      </c>
      <c r="W75" s="9">
        <f ca="1">OFFSET(TIAM15_assumptions!$G75,0,MATCH(VLOOKUP(Assumptions!W$2,TIAM15_assumptions!$Y$3:$Z$36,2,FALSE),TIAM15_assumptions!$H$2:$V$2,0))</f>
        <v>0.1</v>
      </c>
      <c r="X75" s="9">
        <f ca="1">OFFSET(TIAM15_assumptions!$G75,0,MATCH(VLOOKUP(Assumptions!X$2,TIAM15_assumptions!$Y$3:$Z$36,2,FALSE),TIAM15_assumptions!$H$2:$V$2,0))</f>
        <v>0.3</v>
      </c>
      <c r="Y75" s="9">
        <f ca="1">OFFSET(TIAM15_assumptions!$G75,0,MATCH(VLOOKUP(Assumptions!Y$2,TIAM15_assumptions!$Y$3:$Z$36,2,FALSE),TIAM15_assumptions!$H$2:$V$2,0))</f>
        <v>0.1</v>
      </c>
      <c r="Z75" s="9">
        <f ca="1">OFFSET(TIAM15_assumptions!$G75,0,MATCH(VLOOKUP(Assumptions!Z$2,TIAM15_assumptions!$Y$3:$Z$36,2,FALSE),TIAM15_assumptions!$H$2:$V$2,0))</f>
        <v>0.1</v>
      </c>
      <c r="AA75" s="9">
        <f ca="1">OFFSET(TIAM15_assumptions!$G75,0,MATCH(VLOOKUP(Assumptions!AA$2,TIAM15_assumptions!$Y$3:$Z$36,2,FALSE),TIAM15_assumptions!$H$2:$V$2,0))</f>
        <v>0.5</v>
      </c>
      <c r="AB75" s="9">
        <f ca="1">OFFSET(TIAM15_assumptions!$G75,0,MATCH(VLOOKUP(Assumptions!AB$2,TIAM15_assumptions!$Y$3:$Z$36,2,FALSE),TIAM15_assumptions!$H$2:$V$2,0))</f>
        <v>0.2</v>
      </c>
      <c r="AC75" s="9">
        <f ca="1">OFFSET(TIAM15_assumptions!$G75,0,MATCH(VLOOKUP(Assumptions!AC$2,TIAM15_assumptions!$Y$3:$Z$36,2,FALSE),TIAM15_assumptions!$H$2:$V$2,0))</f>
        <v>0.25</v>
      </c>
      <c r="AD75" s="9">
        <f ca="1">OFFSET(TIAM15_assumptions!$G75,0,MATCH(VLOOKUP(Assumptions!AD$2,TIAM15_assumptions!$Y$3:$Z$36,2,FALSE),TIAM15_assumptions!$H$2:$V$2,0))</f>
        <v>0.3</v>
      </c>
      <c r="AE75" s="9">
        <f ca="1">OFFSET(TIAM15_assumptions!$G75,0,MATCH(VLOOKUP(Assumptions!AE$2,TIAM15_assumptions!$Y$3:$Z$36,2,FALSE),TIAM15_assumptions!$H$2:$V$2,0))</f>
        <v>0.1</v>
      </c>
      <c r="AF75" s="9">
        <f ca="1">OFFSET(TIAM15_assumptions!$G75,0,MATCH(VLOOKUP(Assumptions!AF$2,TIAM15_assumptions!$Y$3:$Z$36,2,FALSE),TIAM15_assumptions!$H$2:$V$2,0))</f>
        <v>0.1</v>
      </c>
      <c r="AG75" s="9">
        <f ca="1">OFFSET(TIAM15_assumptions!$G75,0,MATCH(VLOOKUP(Assumptions!AG$2,TIAM15_assumptions!$Y$3:$Z$36,2,FALSE),TIAM15_assumptions!$H$2:$V$2,0))</f>
        <v>0.3</v>
      </c>
      <c r="AH75" s="9">
        <f ca="1">OFFSET(TIAM15_assumptions!$G75,0,MATCH(VLOOKUP(Assumptions!AH$2,TIAM15_assumptions!$Y$3:$Z$36,2,FALSE),TIAM15_assumptions!$H$2:$V$2,0))</f>
        <v>0.3</v>
      </c>
      <c r="AI75" s="9">
        <f ca="1">OFFSET(TIAM15_assumptions!$G75,0,MATCH(VLOOKUP(Assumptions!AI$2,TIAM15_assumptions!$Y$3:$Z$36,2,FALSE),TIAM15_assumptions!$H$2:$V$2,0))</f>
        <v>0.1</v>
      </c>
      <c r="AJ75" s="9">
        <f ca="1">OFFSET(TIAM15_assumptions!$G75,0,MATCH(VLOOKUP(Assumptions!AJ$2,TIAM15_assumptions!$Y$3:$Z$36,2,FALSE),TIAM15_assumptions!$H$2:$V$2,0))</f>
        <v>3.9678769082627241E-2</v>
      </c>
      <c r="AK75" s="9">
        <f ca="1">OFFSET(TIAM15_assumptions!$G75,0,MATCH(VLOOKUP(Assumptions!AK$2,TIAM15_assumptions!$Y$3:$Z$36,2,FALSE),TIAM15_assumptions!$H$2:$V$2,0))</f>
        <v>3.9678769082627241E-2</v>
      </c>
      <c r="AN75" s="34">
        <f ca="1">IFERROR(SUMIFS('TRA balance'!E$5:E$40,'TRA balance'!$C$5:$C$40,Assumptions!$C75,'TRA balance'!$D$5:$D$40,Assumptions!$B75)*BS75*H75,"")</f>
        <v>0</v>
      </c>
      <c r="AO75" s="34">
        <f ca="1">IFERROR(SUMIFS('TRA balance'!F$5:F$40,'TRA balance'!$C$5:$C$40,Assumptions!$C75,'TRA balance'!$D$5:$D$40,Assumptions!$B75)*BT75*I75,"")</f>
        <v>0</v>
      </c>
      <c r="AP75" s="34">
        <f ca="1">IFERROR(SUMIFS('TRA balance'!G$5:G$40,'TRA balance'!$C$5:$C$40,Assumptions!$C75,'TRA balance'!$D$5:$D$40,Assumptions!$B75)*BU75*J75,"")</f>
        <v>0</v>
      </c>
      <c r="AQ75" s="34">
        <f ca="1">IFERROR(SUMIFS('TRA balance'!H$5:H$40,'TRA balance'!$C$5:$C$40,Assumptions!$C75,'TRA balance'!$D$5:$D$40,Assumptions!$B75)*BV75*K75,"")</f>
        <v>0</v>
      </c>
      <c r="AR75" s="34">
        <f ca="1">IFERROR(SUMIFS('TRA balance'!I$5:I$40,'TRA balance'!$C$5:$C$40,Assumptions!$C75,'TRA balance'!$D$5:$D$40,Assumptions!$B75)*BW75*L75,"")</f>
        <v>0</v>
      </c>
      <c r="AS75" s="34">
        <f ca="1">IFERROR(SUMIFS('TRA balance'!J$5:J$40,'TRA balance'!$C$5:$C$40,Assumptions!$C75,'TRA balance'!$D$5:$D$40,Assumptions!$B75)*BX75*M75,"")</f>
        <v>2.5204536000000003E-4</v>
      </c>
      <c r="AT75" s="34">
        <f ca="1">IFERROR(SUMIFS('TRA balance'!K$5:K$40,'TRA balance'!$C$5:$C$40,Assumptions!$C75,'TRA balance'!$D$5:$D$40,Assumptions!$B75)*BY75*N75,"")</f>
        <v>0</v>
      </c>
      <c r="AU75" s="34">
        <f ca="1">IFERROR(SUMIFS('TRA balance'!L$5:L$40,'TRA balance'!$C$5:$C$40,Assumptions!$C75,'TRA balance'!$D$5:$D$40,Assumptions!$B75)*BZ75*O75,"")</f>
        <v>0.87845679144000011</v>
      </c>
      <c r="AV75" s="34">
        <f ca="1">IFERROR(SUMIFS('TRA balance'!M$5:M$40,'TRA balance'!$C$5:$C$40,Assumptions!$C75,'TRA balance'!$D$5:$D$40,Assumptions!$B75)*CA75*P75,"")</f>
        <v>0</v>
      </c>
      <c r="AW75" s="34">
        <f ca="1">IFERROR(SUMIFS('TRA balance'!N$5:N$40,'TRA balance'!$C$5:$C$40,Assumptions!$C75,'TRA balance'!$D$5:$D$40,Assumptions!$B75)*CB75*Q75,"")</f>
        <v>0</v>
      </c>
      <c r="AX75" s="34">
        <f ca="1">IFERROR(SUMIFS('TRA balance'!O$5:O$40,'TRA balance'!$C$5:$C$40,Assumptions!$C75,'TRA balance'!$D$5:$D$40,Assumptions!$B75)*CC75*R75,"")</f>
        <v>0</v>
      </c>
      <c r="AY75" s="34">
        <f ca="1">IFERROR(SUMIFS('TRA balance'!P$5:P$40,'TRA balance'!$C$5:$C$40,Assumptions!$C75,'TRA balance'!$D$5:$D$40,Assumptions!$B75)*CD75*S75,"")</f>
        <v>3.9039816599999999E-2</v>
      </c>
      <c r="AZ75" s="34">
        <f ca="1">IFERROR(SUMIFS('TRA balance'!Q$5:Q$40,'TRA balance'!$C$5:$C$40,Assumptions!$C75,'TRA balance'!$D$5:$D$40,Assumptions!$B75)*CE75*T75,"")</f>
        <v>6.9345968400000004E-3</v>
      </c>
      <c r="BA75" s="34">
        <f ca="1">IFERROR(SUMIFS('TRA balance'!R$5:R$40,'TRA balance'!$C$5:$C$40,Assumptions!$C75,'TRA balance'!$D$5:$D$40,Assumptions!$B75)*CF75*U75,"")</f>
        <v>0</v>
      </c>
      <c r="BB75" s="34">
        <f ca="1">IFERROR(SUMIFS('TRA balance'!S$5:S$40,'TRA balance'!$C$5:$C$40,Assumptions!$C75,'TRA balance'!$D$5:$D$40,Assumptions!$B75)*CG75*V75,"")</f>
        <v>0</v>
      </c>
      <c r="BC75" s="34">
        <f ca="1">IFERROR(SUMIFS('TRA balance'!T$5:T$40,'TRA balance'!$C$5:$C$40,Assumptions!$C75,'TRA balance'!$D$5:$D$40,Assumptions!$B75)*CH75*W75,"")</f>
        <v>0</v>
      </c>
      <c r="BD75" s="34">
        <f ca="1">IFERROR(SUMIFS('TRA balance'!U$5:U$40,'TRA balance'!$C$5:$C$40,Assumptions!$C75,'TRA balance'!$D$5:$D$40,Assumptions!$B75)*CI75*X75,"")</f>
        <v>3.89498004E-3</v>
      </c>
      <c r="BE75" s="34">
        <f ca="1">IFERROR(SUMIFS('TRA balance'!V$5:V$40,'TRA balance'!$C$5:$C$40,Assumptions!$C75,'TRA balance'!$D$5:$D$40,Assumptions!$B75)*CJ75*Y75,"")</f>
        <v>3.4193176920000005E-2</v>
      </c>
      <c r="BF75" s="34">
        <f ca="1">IFERROR(SUMIFS('TRA balance'!W$5:W$40,'TRA balance'!$C$5:$C$40,Assumptions!$C75,'TRA balance'!$D$5:$D$40,Assumptions!$B75)*CK75*Z75,"")</f>
        <v>5.9372592120000005E-2</v>
      </c>
      <c r="BG75" s="34">
        <f ca="1">IFERROR(SUMIFS('TRA balance'!X$5:X$40,'TRA balance'!$C$5:$C$40,Assumptions!$C75,'TRA balance'!$D$5:$D$40,Assumptions!$B75)*CL75*AA75,"")</f>
        <v>0</v>
      </c>
      <c r="BH75" s="34">
        <f ca="1">IFERROR(SUMIFS('TRA balance'!Y$5:Y$40,'TRA balance'!$C$5:$C$40,Assumptions!$C75,'TRA balance'!$D$5:$D$40,Assumptions!$B75)*CM75*AB75,"")</f>
        <v>0</v>
      </c>
      <c r="BI75" s="34">
        <f ca="1">IFERROR(SUMIFS('TRA balance'!Z$5:Z$40,'TRA balance'!$C$5:$C$40,Assumptions!$C75,'TRA balance'!$D$5:$D$40,Assumptions!$B75)*CN75*AC75,"")</f>
        <v>0</v>
      </c>
      <c r="BJ75" s="34">
        <f ca="1">IFERROR(SUMIFS('TRA balance'!AA$5:AA$40,'TRA balance'!$C$5:$C$40,Assumptions!$C75,'TRA balance'!$D$5:$D$40,Assumptions!$B75)*CO75*AD75,"")</f>
        <v>0</v>
      </c>
      <c r="BK75" s="34">
        <f ca="1">IFERROR(SUMIFS('TRA balance'!AB$5:AB$40,'TRA balance'!$C$5:$C$40,Assumptions!$C75,'TRA balance'!$D$5:$D$40,Assumptions!$B75)*CP75*AE75,"")</f>
        <v>0</v>
      </c>
      <c r="BL75" s="34">
        <f ca="1">IFERROR(SUMIFS('TRA balance'!AC$5:AC$40,'TRA balance'!$C$5:$C$40,Assumptions!$C75,'TRA balance'!$D$5:$D$40,Assumptions!$B75)*CQ75*AF75,"")</f>
        <v>0</v>
      </c>
      <c r="BM75" s="34">
        <f ca="1">IFERROR(SUMIFS('TRA balance'!AD$5:AD$40,'TRA balance'!$C$5:$C$40,Assumptions!$C75,'TRA balance'!$D$5:$D$40,Assumptions!$B75)*CR75*AG75,"")</f>
        <v>0</v>
      </c>
      <c r="BN75" s="34">
        <f ca="1">IFERROR(SUMIFS('TRA balance'!AE$5:AE$40,'TRA balance'!$C$5:$C$40,Assumptions!$C75,'TRA balance'!$D$5:$D$40,Assumptions!$B75)*CS75*AH75,"")</f>
        <v>0</v>
      </c>
      <c r="BO75" s="34">
        <f ca="1">IFERROR(SUMIFS('TRA balance'!AF$5:AF$40,'TRA balance'!$C$5:$C$40,Assumptions!$C75,'TRA balance'!$D$5:$D$40,Assumptions!$B75)*CT75*AI75,"")</f>
        <v>0</v>
      </c>
      <c r="BP75" s="34">
        <f ca="1">IFERROR(SUMIFS('TRA balance'!AG$5:AG$40,'TRA balance'!$C$5:$C$40,Assumptions!$C75,'TRA balance'!$D$5:$D$40,Assumptions!$B75)*CU75*AJ75,"")</f>
        <v>0.68283326033465197</v>
      </c>
      <c r="BQ75" s="34">
        <f ca="1">IFERROR(SUMIFS('TRA balance'!AH$5:AH$40,'TRA balance'!$C$5:$C$40,Assumptions!$C75,'TRA balance'!$D$5:$D$40,Assumptions!$B75)*CV75*AK75,"")</f>
        <v>0</v>
      </c>
      <c r="BS75" s="33">
        <f t="shared" si="152"/>
        <v>1</v>
      </c>
      <c r="BT75" s="33">
        <f t="shared" si="153"/>
        <v>1</v>
      </c>
      <c r="BU75" s="33">
        <f t="shared" si="154"/>
        <v>1</v>
      </c>
      <c r="BV75" s="33">
        <f t="shared" si="155"/>
        <v>1</v>
      </c>
      <c r="BW75" s="33">
        <f t="shared" si="156"/>
        <v>1</v>
      </c>
      <c r="BX75" s="33">
        <f t="shared" si="157"/>
        <v>1</v>
      </c>
      <c r="BY75" s="33">
        <f t="shared" si="158"/>
        <v>1</v>
      </c>
      <c r="BZ75" s="33">
        <f t="shared" si="159"/>
        <v>1</v>
      </c>
      <c r="CA75" s="33">
        <f t="shared" si="160"/>
        <v>1</v>
      </c>
      <c r="CB75" s="33">
        <f t="shared" si="161"/>
        <v>1</v>
      </c>
      <c r="CC75" s="33">
        <f t="shared" si="162"/>
        <v>1</v>
      </c>
      <c r="CD75" s="33">
        <f t="shared" si="163"/>
        <v>1</v>
      </c>
      <c r="CE75" s="33">
        <f t="shared" si="164"/>
        <v>1</v>
      </c>
      <c r="CF75" s="33">
        <f t="shared" si="165"/>
        <v>1</v>
      </c>
      <c r="CG75" s="33">
        <f t="shared" si="166"/>
        <v>1</v>
      </c>
      <c r="CH75" s="33">
        <f t="shared" si="167"/>
        <v>1</v>
      </c>
      <c r="CI75" s="33">
        <f t="shared" si="168"/>
        <v>1</v>
      </c>
      <c r="CJ75" s="33">
        <f t="shared" si="169"/>
        <v>1</v>
      </c>
      <c r="CK75" s="33">
        <f t="shared" si="170"/>
        <v>1</v>
      </c>
      <c r="CL75" s="33">
        <f t="shared" si="171"/>
        <v>1</v>
      </c>
      <c r="CM75" s="33">
        <f t="shared" si="172"/>
        <v>1</v>
      </c>
      <c r="CN75" s="33">
        <f t="shared" si="173"/>
        <v>1</v>
      </c>
      <c r="CO75" s="33">
        <f t="shared" si="174"/>
        <v>1</v>
      </c>
      <c r="CP75" s="33">
        <f t="shared" si="175"/>
        <v>1</v>
      </c>
      <c r="CQ75" s="33">
        <f t="shared" si="176"/>
        <v>1</v>
      </c>
      <c r="CR75" s="33">
        <f t="shared" si="177"/>
        <v>1</v>
      </c>
      <c r="CS75" s="33">
        <f t="shared" si="178"/>
        <v>1</v>
      </c>
      <c r="CT75" s="33">
        <f t="shared" si="179"/>
        <v>1</v>
      </c>
      <c r="CU75" s="33">
        <f t="shared" si="180"/>
        <v>1</v>
      </c>
      <c r="CV75" s="33">
        <f t="shared" si="181"/>
        <v>1</v>
      </c>
    </row>
    <row r="76" spans="1:100" x14ac:dyDescent="0.45">
      <c r="A76">
        <v>1</v>
      </c>
      <c r="B76" t="str">
        <f>VLOOKUP(F76,'TRA balance'!$AK$5:$AL$14,2,FALSE)</f>
        <v>TRABDS</v>
      </c>
      <c r="C76" s="11"/>
      <c r="D76" s="11"/>
      <c r="E76" s="12" t="s">
        <v>58</v>
      </c>
      <c r="F76" s="13" t="str">
        <f t="shared" si="186"/>
        <v>Bio Diesel</v>
      </c>
      <c r="G76" s="11"/>
      <c r="H76" s="12" t="str">
        <f t="shared" ref="H76:M76" ca="1" si="194">IF(SUM(H74:H75)=1,"-","&lt;&gt;1!!")</f>
        <v>-</v>
      </c>
      <c r="I76" s="12" t="str">
        <f t="shared" ca="1" si="194"/>
        <v>-</v>
      </c>
      <c r="J76" s="12" t="str">
        <f t="shared" ca="1" si="194"/>
        <v>-</v>
      </c>
      <c r="K76" s="12" t="str">
        <f t="shared" ca="1" si="194"/>
        <v>-</v>
      </c>
      <c r="L76" s="12" t="str">
        <f t="shared" ca="1" si="194"/>
        <v>-</v>
      </c>
      <c r="M76" s="12" t="str">
        <f t="shared" ca="1" si="194"/>
        <v>-</v>
      </c>
      <c r="N76" s="12" t="str">
        <f t="shared" ref="N76:X76" ca="1" si="195">IF(SUM(N74:N75)=1,"-","&lt;&gt;1!!")</f>
        <v>-</v>
      </c>
      <c r="O76" s="12" t="str">
        <f t="shared" ca="1" si="195"/>
        <v>-</v>
      </c>
      <c r="P76" s="12" t="str">
        <f t="shared" ca="1" si="195"/>
        <v>-</v>
      </c>
      <c r="Q76" s="12" t="str">
        <f t="shared" ca="1" si="195"/>
        <v>-</v>
      </c>
      <c r="R76" s="12" t="str">
        <f t="shared" ca="1" si="195"/>
        <v>-</v>
      </c>
      <c r="S76" s="12" t="str">
        <f t="shared" ca="1" si="195"/>
        <v>-</v>
      </c>
      <c r="T76" s="12" t="str">
        <f t="shared" ca="1" si="195"/>
        <v>-</v>
      </c>
      <c r="U76" s="12" t="str">
        <f t="shared" ca="1" si="195"/>
        <v>-</v>
      </c>
      <c r="V76" s="12" t="str">
        <f t="shared" ca="1" si="195"/>
        <v>-</v>
      </c>
      <c r="W76" s="12" t="str">
        <f t="shared" ca="1" si="195"/>
        <v>-</v>
      </c>
      <c r="X76" s="12" t="str">
        <f t="shared" ca="1" si="195"/>
        <v>-</v>
      </c>
      <c r="Y76" s="12" t="str">
        <f t="shared" ref="Y76:Z76" ca="1" si="196">IF(SUM(Y74:Y75)=1,"-","&lt;&gt;1!!")</f>
        <v>-</v>
      </c>
      <c r="Z76" s="12" t="str">
        <f t="shared" ca="1" si="196"/>
        <v>-</v>
      </c>
      <c r="AA76" s="12" t="str">
        <f t="shared" ref="AA76:AK76" ca="1" si="197">IF(SUM(AA74:AA75)=1,"-","&lt;&gt;1!!")</f>
        <v>-</v>
      </c>
      <c r="AB76" s="12" t="str">
        <f t="shared" ca="1" si="197"/>
        <v>-</v>
      </c>
      <c r="AC76" s="12" t="str">
        <f t="shared" ca="1" si="197"/>
        <v>-</v>
      </c>
      <c r="AD76" s="12" t="str">
        <f t="shared" ca="1" si="197"/>
        <v>-</v>
      </c>
      <c r="AE76" s="12" t="str">
        <f t="shared" ca="1" si="197"/>
        <v>-</v>
      </c>
      <c r="AF76" s="12" t="str">
        <f t="shared" ca="1" si="197"/>
        <v>-</v>
      </c>
      <c r="AG76" s="12" t="str">
        <f t="shared" ca="1" si="197"/>
        <v>-</v>
      </c>
      <c r="AH76" s="12" t="str">
        <f t="shared" ca="1" si="197"/>
        <v>-</v>
      </c>
      <c r="AI76" s="12" t="str">
        <f t="shared" ca="1" si="197"/>
        <v>-</v>
      </c>
      <c r="AJ76" s="12" t="str">
        <f t="shared" ca="1" si="197"/>
        <v>-</v>
      </c>
      <c r="AK76" s="12" t="str">
        <f t="shared" ca="1" si="197"/>
        <v>-</v>
      </c>
      <c r="AN76" s="34" t="str">
        <f ca="1">IFERROR(SUMIFS('TRA balance'!E$5:E$40,'TRA balance'!$C$5:$C$40,Assumptions!$C76,'TRA balance'!$D$5:$D$40,Assumptions!$B76)*BS76*H76,"")</f>
        <v/>
      </c>
      <c r="AO76" s="34" t="str">
        <f ca="1">IFERROR(SUMIFS('TRA balance'!F$5:F$40,'TRA balance'!$C$5:$C$40,Assumptions!$C76,'TRA balance'!$D$5:$D$40,Assumptions!$B76)*BT76*I76,"")</f>
        <v/>
      </c>
      <c r="AP76" s="34" t="str">
        <f ca="1">IFERROR(SUMIFS('TRA balance'!G$5:G$40,'TRA balance'!$C$5:$C$40,Assumptions!$C76,'TRA balance'!$D$5:$D$40,Assumptions!$B76)*BU76*J76,"")</f>
        <v/>
      </c>
      <c r="AQ76" s="34" t="str">
        <f ca="1">IFERROR(SUMIFS('TRA balance'!H$5:H$40,'TRA balance'!$C$5:$C$40,Assumptions!$C76,'TRA balance'!$D$5:$D$40,Assumptions!$B76)*BV76*K76,"")</f>
        <v/>
      </c>
      <c r="AR76" s="34" t="str">
        <f ca="1">IFERROR(SUMIFS('TRA balance'!I$5:I$40,'TRA balance'!$C$5:$C$40,Assumptions!$C76,'TRA balance'!$D$5:$D$40,Assumptions!$B76)*BW76*L76,"")</f>
        <v/>
      </c>
      <c r="AS76" s="34" t="str">
        <f ca="1">IFERROR(SUMIFS('TRA balance'!J$5:J$40,'TRA balance'!$C$5:$C$40,Assumptions!$C76,'TRA balance'!$D$5:$D$40,Assumptions!$B76)*BX76*M76,"")</f>
        <v/>
      </c>
      <c r="AT76" s="34" t="str">
        <f ca="1">IFERROR(SUMIFS('TRA balance'!K$5:K$40,'TRA balance'!$C$5:$C$40,Assumptions!$C76,'TRA balance'!$D$5:$D$40,Assumptions!$B76)*BY76*N76,"")</f>
        <v/>
      </c>
      <c r="AU76" s="34" t="str">
        <f ca="1">IFERROR(SUMIFS('TRA balance'!L$5:L$40,'TRA balance'!$C$5:$C$40,Assumptions!$C76,'TRA balance'!$D$5:$D$40,Assumptions!$B76)*BZ76*O76,"")</f>
        <v/>
      </c>
      <c r="AV76" s="34" t="str">
        <f ca="1">IFERROR(SUMIFS('TRA balance'!M$5:M$40,'TRA balance'!$C$5:$C$40,Assumptions!$C76,'TRA balance'!$D$5:$D$40,Assumptions!$B76)*CA76*P76,"")</f>
        <v/>
      </c>
      <c r="AW76" s="34" t="str">
        <f ca="1">IFERROR(SUMIFS('TRA balance'!N$5:N$40,'TRA balance'!$C$5:$C$40,Assumptions!$C76,'TRA balance'!$D$5:$D$40,Assumptions!$B76)*CB76*Q76,"")</f>
        <v/>
      </c>
      <c r="AX76" s="34" t="str">
        <f ca="1">IFERROR(SUMIFS('TRA balance'!O$5:O$40,'TRA balance'!$C$5:$C$40,Assumptions!$C76,'TRA balance'!$D$5:$D$40,Assumptions!$B76)*CC76*R76,"")</f>
        <v/>
      </c>
      <c r="AY76" s="34" t="str">
        <f ca="1">IFERROR(SUMIFS('TRA balance'!P$5:P$40,'TRA balance'!$C$5:$C$40,Assumptions!$C76,'TRA balance'!$D$5:$D$40,Assumptions!$B76)*CD76*S76,"")</f>
        <v/>
      </c>
      <c r="AZ76" s="34" t="str">
        <f ca="1">IFERROR(SUMIFS('TRA balance'!Q$5:Q$40,'TRA balance'!$C$5:$C$40,Assumptions!$C76,'TRA balance'!$D$5:$D$40,Assumptions!$B76)*CE76*T76,"")</f>
        <v/>
      </c>
      <c r="BA76" s="34" t="str">
        <f ca="1">IFERROR(SUMIFS('TRA balance'!R$5:R$40,'TRA balance'!$C$5:$C$40,Assumptions!$C76,'TRA balance'!$D$5:$D$40,Assumptions!$B76)*CF76*U76,"")</f>
        <v/>
      </c>
      <c r="BB76" s="34" t="str">
        <f ca="1">IFERROR(SUMIFS('TRA balance'!S$5:S$40,'TRA balance'!$C$5:$C$40,Assumptions!$C76,'TRA balance'!$D$5:$D$40,Assumptions!$B76)*CG76*V76,"")</f>
        <v/>
      </c>
      <c r="BC76" s="34" t="str">
        <f ca="1">IFERROR(SUMIFS('TRA balance'!T$5:T$40,'TRA balance'!$C$5:$C$40,Assumptions!$C76,'TRA balance'!$D$5:$D$40,Assumptions!$B76)*CH76*W76,"")</f>
        <v/>
      </c>
      <c r="BD76" s="34" t="str">
        <f ca="1">IFERROR(SUMIFS('TRA balance'!U$5:U$40,'TRA balance'!$C$5:$C$40,Assumptions!$C76,'TRA balance'!$D$5:$D$40,Assumptions!$B76)*CI76*X76,"")</f>
        <v/>
      </c>
      <c r="BE76" s="34" t="str">
        <f ca="1">IFERROR(SUMIFS('TRA balance'!V$5:V$40,'TRA balance'!$C$5:$C$40,Assumptions!$C76,'TRA balance'!$D$5:$D$40,Assumptions!$B76)*CJ76*Y76,"")</f>
        <v/>
      </c>
      <c r="BF76" s="34" t="str">
        <f ca="1">IFERROR(SUMIFS('TRA balance'!W$5:W$40,'TRA balance'!$C$5:$C$40,Assumptions!$C76,'TRA balance'!$D$5:$D$40,Assumptions!$B76)*CK76*Z76,"")</f>
        <v/>
      </c>
      <c r="BG76" s="34" t="str">
        <f ca="1">IFERROR(SUMIFS('TRA balance'!X$5:X$40,'TRA balance'!$C$5:$C$40,Assumptions!$C76,'TRA balance'!$D$5:$D$40,Assumptions!$B76)*CL76*AA76,"")</f>
        <v/>
      </c>
      <c r="BH76" s="34" t="str">
        <f ca="1">IFERROR(SUMIFS('TRA balance'!Y$5:Y$40,'TRA balance'!$C$5:$C$40,Assumptions!$C76,'TRA balance'!$D$5:$D$40,Assumptions!$B76)*CM76*AB76,"")</f>
        <v/>
      </c>
      <c r="BI76" s="34" t="str">
        <f ca="1">IFERROR(SUMIFS('TRA balance'!Z$5:Z$40,'TRA balance'!$C$5:$C$40,Assumptions!$C76,'TRA balance'!$D$5:$D$40,Assumptions!$B76)*CN76*AC76,"")</f>
        <v/>
      </c>
      <c r="BJ76" s="34" t="str">
        <f ca="1">IFERROR(SUMIFS('TRA balance'!AA$5:AA$40,'TRA balance'!$C$5:$C$40,Assumptions!$C76,'TRA balance'!$D$5:$D$40,Assumptions!$B76)*CO76*AD76,"")</f>
        <v/>
      </c>
      <c r="BK76" s="34" t="str">
        <f ca="1">IFERROR(SUMIFS('TRA balance'!AB$5:AB$40,'TRA balance'!$C$5:$C$40,Assumptions!$C76,'TRA balance'!$D$5:$D$40,Assumptions!$B76)*CP76*AE76,"")</f>
        <v/>
      </c>
      <c r="BL76" s="34" t="str">
        <f ca="1">IFERROR(SUMIFS('TRA balance'!AC$5:AC$40,'TRA balance'!$C$5:$C$40,Assumptions!$C76,'TRA balance'!$D$5:$D$40,Assumptions!$B76)*CQ76*AF76,"")</f>
        <v/>
      </c>
      <c r="BM76" s="34" t="str">
        <f ca="1">IFERROR(SUMIFS('TRA balance'!AD$5:AD$40,'TRA balance'!$C$5:$C$40,Assumptions!$C76,'TRA balance'!$D$5:$D$40,Assumptions!$B76)*CR76*AG76,"")</f>
        <v/>
      </c>
      <c r="BN76" s="34" t="str">
        <f ca="1">IFERROR(SUMIFS('TRA balance'!AE$5:AE$40,'TRA balance'!$C$5:$C$40,Assumptions!$C76,'TRA balance'!$D$5:$D$40,Assumptions!$B76)*CS76*AH76,"")</f>
        <v/>
      </c>
      <c r="BO76" s="34" t="str">
        <f ca="1">IFERROR(SUMIFS('TRA balance'!AF$5:AF$40,'TRA balance'!$C$5:$C$40,Assumptions!$C76,'TRA balance'!$D$5:$D$40,Assumptions!$B76)*CT76*AI76,"")</f>
        <v/>
      </c>
      <c r="BP76" s="34" t="str">
        <f ca="1">IFERROR(SUMIFS('TRA balance'!AG$5:AG$40,'TRA balance'!$C$5:$C$40,Assumptions!$C76,'TRA balance'!$D$5:$D$40,Assumptions!$B76)*CU76*AJ76,"")</f>
        <v/>
      </c>
      <c r="BQ76" s="34" t="str">
        <f ca="1">IFERROR(SUMIFS('TRA balance'!AH$5:AH$40,'TRA balance'!$C$5:$C$40,Assumptions!$C76,'TRA balance'!$D$5:$D$40,Assumptions!$B76)*CV76*AK76,"")</f>
        <v/>
      </c>
      <c r="BS76" s="33">
        <f t="shared" si="152"/>
        <v>1</v>
      </c>
      <c r="BT76" s="33">
        <f t="shared" si="153"/>
        <v>1</v>
      </c>
      <c r="BU76" s="33">
        <f t="shared" si="154"/>
        <v>1</v>
      </c>
      <c r="BV76" s="33">
        <f t="shared" si="155"/>
        <v>1</v>
      </c>
      <c r="BW76" s="33">
        <f t="shared" si="156"/>
        <v>1</v>
      </c>
      <c r="BX76" s="33">
        <f t="shared" si="157"/>
        <v>1</v>
      </c>
      <c r="BY76" s="33">
        <f t="shared" si="158"/>
        <v>1</v>
      </c>
      <c r="BZ76" s="33">
        <f t="shared" si="159"/>
        <v>1</v>
      </c>
      <c r="CA76" s="33">
        <f t="shared" si="160"/>
        <v>1</v>
      </c>
      <c r="CB76" s="33">
        <f t="shared" si="161"/>
        <v>1</v>
      </c>
      <c r="CC76" s="33">
        <f t="shared" si="162"/>
        <v>1</v>
      </c>
      <c r="CD76" s="33">
        <f t="shared" si="163"/>
        <v>1</v>
      </c>
      <c r="CE76" s="33">
        <f t="shared" si="164"/>
        <v>1</v>
      </c>
      <c r="CF76" s="33">
        <f t="shared" si="165"/>
        <v>1</v>
      </c>
      <c r="CG76" s="33">
        <f t="shared" si="166"/>
        <v>1</v>
      </c>
      <c r="CH76" s="33">
        <f t="shared" si="167"/>
        <v>1</v>
      </c>
      <c r="CI76" s="33">
        <f t="shared" si="168"/>
        <v>1</v>
      </c>
      <c r="CJ76" s="33">
        <f t="shared" si="169"/>
        <v>1</v>
      </c>
      <c r="CK76" s="33">
        <f t="shared" si="170"/>
        <v>1</v>
      </c>
      <c r="CL76" s="33">
        <f t="shared" si="171"/>
        <v>1</v>
      </c>
      <c r="CM76" s="33">
        <f t="shared" si="172"/>
        <v>1</v>
      </c>
      <c r="CN76" s="33">
        <f t="shared" si="173"/>
        <v>1</v>
      </c>
      <c r="CO76" s="33">
        <f t="shared" si="174"/>
        <v>1</v>
      </c>
      <c r="CP76" s="33">
        <f t="shared" si="175"/>
        <v>1</v>
      </c>
      <c r="CQ76" s="33">
        <f t="shared" si="176"/>
        <v>1</v>
      </c>
      <c r="CR76" s="33">
        <f t="shared" si="177"/>
        <v>1</v>
      </c>
      <c r="CS76" s="33">
        <f t="shared" si="178"/>
        <v>1</v>
      </c>
      <c r="CT76" s="33">
        <f t="shared" si="179"/>
        <v>1</v>
      </c>
      <c r="CU76" s="33">
        <f t="shared" si="180"/>
        <v>1</v>
      </c>
      <c r="CV76" s="33">
        <f t="shared" si="181"/>
        <v>1</v>
      </c>
    </row>
    <row r="77" spans="1:100" x14ac:dyDescent="0.45">
      <c r="A77">
        <v>1</v>
      </c>
      <c r="B77" t="str">
        <f>VLOOKUP(F77,'TRA balance'!$AK$5:$AL$14,2,FALSE)</f>
        <v>TRABGS</v>
      </c>
      <c r="C77" s="14">
        <v>1</v>
      </c>
      <c r="D77" s="15" t="s">
        <v>16</v>
      </c>
      <c r="E77" s="15" t="s">
        <v>59</v>
      </c>
      <c r="F77" s="16" t="s">
        <v>85</v>
      </c>
      <c r="G77" s="14"/>
      <c r="H77" s="9">
        <f ca="1">OFFSET(TIAM15_assumptions!$G77,0,MATCH(VLOOKUP(Assumptions!H$2,TIAM15_assumptions!$Y$3:$Z$36,2,FALSE),TIAM15_assumptions!$H$2:$V$2,0))</f>
        <v>1</v>
      </c>
      <c r="I77" s="9">
        <f ca="1">OFFSET(TIAM15_assumptions!$G77,0,MATCH(VLOOKUP(Assumptions!I$2,TIAM15_assumptions!$Y$3:$Z$36,2,FALSE),TIAM15_assumptions!$H$2:$V$2,0))</f>
        <v>1</v>
      </c>
      <c r="J77" s="9">
        <f ca="1">OFFSET(TIAM15_assumptions!$G77,0,MATCH(VLOOKUP(Assumptions!J$2,TIAM15_assumptions!$Y$3:$Z$36,2,FALSE),TIAM15_assumptions!$H$2:$V$2,0))</f>
        <v>0.9</v>
      </c>
      <c r="K77" s="9">
        <f ca="1">OFFSET(TIAM15_assumptions!$G77,0,MATCH(VLOOKUP(Assumptions!K$2,TIAM15_assumptions!$Y$3:$Z$36,2,FALSE),TIAM15_assumptions!$H$2:$V$2,0))</f>
        <v>0.7</v>
      </c>
      <c r="L77" s="9">
        <f ca="1">OFFSET(TIAM15_assumptions!$G77,0,MATCH(VLOOKUP(Assumptions!L$2,TIAM15_assumptions!$Y$3:$Z$36,2,FALSE),TIAM15_assumptions!$H$2:$V$2,0))</f>
        <v>0.9</v>
      </c>
      <c r="M77" s="9">
        <f ca="1">OFFSET(TIAM15_assumptions!$G77,0,MATCH(VLOOKUP(Assumptions!M$2,TIAM15_assumptions!$Y$3:$Z$36,2,FALSE),TIAM15_assumptions!$H$2:$V$2,0))</f>
        <v>1</v>
      </c>
      <c r="N77" s="9">
        <f ca="1">OFFSET(TIAM15_assumptions!$G77,0,MATCH(VLOOKUP(Assumptions!N$2,TIAM15_assumptions!$Y$3:$Z$36,2,FALSE),TIAM15_assumptions!$H$2:$V$2,0))</f>
        <v>0.9</v>
      </c>
      <c r="O77" s="9">
        <f ca="1">OFFSET(TIAM15_assumptions!$G77,0,MATCH(VLOOKUP(Assumptions!O$2,TIAM15_assumptions!$Y$3:$Z$36,2,FALSE),TIAM15_assumptions!$H$2:$V$2,0))</f>
        <v>0.9</v>
      </c>
      <c r="P77" s="9">
        <f ca="1">OFFSET(TIAM15_assumptions!$G77,0,MATCH(VLOOKUP(Assumptions!P$2,TIAM15_assumptions!$Y$3:$Z$36,2,FALSE),TIAM15_assumptions!$H$2:$V$2,0))</f>
        <v>0.96</v>
      </c>
      <c r="Q77" s="9">
        <f ca="1">OFFSET(TIAM15_assumptions!$G77,0,MATCH(VLOOKUP(Assumptions!Q$2,TIAM15_assumptions!$Y$3:$Z$36,2,FALSE),TIAM15_assumptions!$H$2:$V$2,0))</f>
        <v>0.9</v>
      </c>
      <c r="R77" s="9">
        <f ca="1">OFFSET(TIAM15_assumptions!$G77,0,MATCH(VLOOKUP(Assumptions!R$2,TIAM15_assumptions!$Y$3:$Z$36,2,FALSE),TIAM15_assumptions!$H$2:$V$2,0))</f>
        <v>0.97</v>
      </c>
      <c r="S77" s="9">
        <f ca="1">OFFSET(TIAM15_assumptions!$G77,0,MATCH(VLOOKUP(Assumptions!S$2,TIAM15_assumptions!$Y$3:$Z$36,2,FALSE),TIAM15_assumptions!$H$2:$V$2,0))</f>
        <v>0.97</v>
      </c>
      <c r="T77" s="9">
        <f ca="1">OFFSET(TIAM15_assumptions!$G77,0,MATCH(VLOOKUP(Assumptions!T$2,TIAM15_assumptions!$Y$3:$Z$36,2,FALSE),TIAM15_assumptions!$H$2:$V$2,0))</f>
        <v>0.97</v>
      </c>
      <c r="U77" s="9">
        <f ca="1">OFFSET(TIAM15_assumptions!$G77,0,MATCH(VLOOKUP(Assumptions!U$2,TIAM15_assumptions!$Y$3:$Z$36,2,FALSE),TIAM15_assumptions!$H$2:$V$2,0))</f>
        <v>0.97</v>
      </c>
      <c r="V77" s="9">
        <f ca="1">OFFSET(TIAM15_assumptions!$G77,0,MATCH(VLOOKUP(Assumptions!V$2,TIAM15_assumptions!$Y$3:$Z$36,2,FALSE),TIAM15_assumptions!$H$2:$V$2,0))</f>
        <v>0.97</v>
      </c>
      <c r="W77" s="9">
        <f ca="1">OFFSET(TIAM15_assumptions!$G77,0,MATCH(VLOOKUP(Assumptions!W$2,TIAM15_assumptions!$Y$3:$Z$36,2,FALSE),TIAM15_assumptions!$H$2:$V$2,0))</f>
        <v>0.97</v>
      </c>
      <c r="X77" s="9">
        <f ca="1">OFFSET(TIAM15_assumptions!$G77,0,MATCH(VLOOKUP(Assumptions!X$2,TIAM15_assumptions!$Y$3:$Z$36,2,FALSE),TIAM15_assumptions!$H$2:$V$2,0))</f>
        <v>0.7</v>
      </c>
      <c r="Y77" s="9">
        <f ca="1">OFFSET(TIAM15_assumptions!$G77,0,MATCH(VLOOKUP(Assumptions!Y$2,TIAM15_assumptions!$Y$3:$Z$36,2,FALSE),TIAM15_assumptions!$H$2:$V$2,0))</f>
        <v>0.97</v>
      </c>
      <c r="Z77" s="9">
        <f ca="1">OFFSET(TIAM15_assumptions!$G77,0,MATCH(VLOOKUP(Assumptions!Z$2,TIAM15_assumptions!$Y$3:$Z$36,2,FALSE),TIAM15_assumptions!$H$2:$V$2,0))</f>
        <v>0.97</v>
      </c>
      <c r="AA77" s="9">
        <f ca="1">OFFSET(TIAM15_assumptions!$G77,0,MATCH(VLOOKUP(Assumptions!AA$2,TIAM15_assumptions!$Y$3:$Z$36,2,FALSE),TIAM15_assumptions!$H$2:$V$2,0))</f>
        <v>1</v>
      </c>
      <c r="AB77" s="9">
        <f ca="1">OFFSET(TIAM15_assumptions!$G77,0,MATCH(VLOOKUP(Assumptions!AB$2,TIAM15_assumptions!$Y$3:$Z$36,2,FALSE),TIAM15_assumptions!$H$2:$V$2,0))</f>
        <v>0.9</v>
      </c>
      <c r="AC77" s="9">
        <f ca="1">OFFSET(TIAM15_assumptions!$G77,0,MATCH(VLOOKUP(Assumptions!AC$2,TIAM15_assumptions!$Y$3:$Z$36,2,FALSE),TIAM15_assumptions!$H$2:$V$2,0))</f>
        <v>0.95</v>
      </c>
      <c r="AD77" s="9">
        <f ca="1">OFFSET(TIAM15_assumptions!$G77,0,MATCH(VLOOKUP(Assumptions!AD$2,TIAM15_assumptions!$Y$3:$Z$36,2,FALSE),TIAM15_assumptions!$H$2:$V$2,0))</f>
        <v>0.7</v>
      </c>
      <c r="AE77" s="9">
        <f ca="1">OFFSET(TIAM15_assumptions!$G77,0,MATCH(VLOOKUP(Assumptions!AE$2,TIAM15_assumptions!$Y$3:$Z$36,2,FALSE),TIAM15_assumptions!$H$2:$V$2,0))</f>
        <v>0.97</v>
      </c>
      <c r="AF77" s="9">
        <f ca="1">OFFSET(TIAM15_assumptions!$G77,0,MATCH(VLOOKUP(Assumptions!AF$2,TIAM15_assumptions!$Y$3:$Z$36,2,FALSE),TIAM15_assumptions!$H$2:$V$2,0))</f>
        <v>0.7</v>
      </c>
      <c r="AG77" s="9">
        <f ca="1">OFFSET(TIAM15_assumptions!$G77,0,MATCH(VLOOKUP(Assumptions!AG$2,TIAM15_assumptions!$Y$3:$Z$36,2,FALSE),TIAM15_assumptions!$H$2:$V$2,0))</f>
        <v>0.7</v>
      </c>
      <c r="AH77" s="9">
        <f ca="1">OFFSET(TIAM15_assumptions!$G77,0,MATCH(VLOOKUP(Assumptions!AH$2,TIAM15_assumptions!$Y$3:$Z$36,2,FALSE),TIAM15_assumptions!$H$2:$V$2,0))</f>
        <v>1</v>
      </c>
      <c r="AI77" s="9">
        <f ca="1">OFFSET(TIAM15_assumptions!$G77,0,MATCH(VLOOKUP(Assumptions!AI$2,TIAM15_assumptions!$Y$3:$Z$36,2,FALSE),TIAM15_assumptions!$H$2:$V$2,0))</f>
        <v>0.97</v>
      </c>
      <c r="AJ77" s="9">
        <f ca="1">OFFSET(TIAM15_assumptions!$G77,0,MATCH(VLOOKUP(Assumptions!AJ$2,TIAM15_assumptions!$Y$3:$Z$36,2,FALSE),TIAM15_assumptions!$H$2:$V$2,0))</f>
        <v>0.8</v>
      </c>
      <c r="AK77" s="9">
        <f ca="1">OFFSET(TIAM15_assumptions!$G77,0,MATCH(VLOOKUP(Assumptions!AK$2,TIAM15_assumptions!$Y$3:$Z$36,2,FALSE),TIAM15_assumptions!$H$2:$V$2,0))</f>
        <v>0.8</v>
      </c>
      <c r="AN77" s="34">
        <f ca="1">IFERROR(SUMIFS('TRA balance'!E$5:E$40,'TRA balance'!$C$5:$C$40,Assumptions!$C77,'TRA balance'!$D$5:$D$40,Assumptions!$B77)*BS77*H77,"")</f>
        <v>0</v>
      </c>
      <c r="AO77" s="34">
        <f ca="1">IFERROR(SUMIFS('TRA balance'!F$5:F$40,'TRA balance'!$C$5:$C$40,Assumptions!$C77,'TRA balance'!$D$5:$D$40,Assumptions!$B77)*BT77*I77,"")</f>
        <v>0</v>
      </c>
      <c r="AP77" s="34">
        <f ca="1">IFERROR(SUMIFS('TRA balance'!G$5:G$40,'TRA balance'!$C$5:$C$40,Assumptions!$C77,'TRA balance'!$D$5:$D$40,Assumptions!$B77)*BU77*J77,"")</f>
        <v>0</v>
      </c>
      <c r="AQ77" s="34">
        <f ca="1">IFERROR(SUMIFS('TRA balance'!H$5:H$40,'TRA balance'!$C$5:$C$40,Assumptions!$C77,'TRA balance'!$D$5:$D$40,Assumptions!$B77)*BV77*K77,"")</f>
        <v>0</v>
      </c>
      <c r="AR77" s="34">
        <f ca="1">IFERROR(SUMIFS('TRA balance'!I$5:I$40,'TRA balance'!$C$5:$C$40,Assumptions!$C77,'TRA balance'!$D$5:$D$40,Assumptions!$B77)*BW77*L77,"")</f>
        <v>0</v>
      </c>
      <c r="AS77" s="34">
        <f ca="1">IFERROR(SUMIFS('TRA balance'!J$5:J$40,'TRA balance'!$C$5:$C$40,Assumptions!$C77,'TRA balance'!$D$5:$D$40,Assumptions!$B77)*BX77*M77,"")</f>
        <v>0</v>
      </c>
      <c r="AT77" s="34">
        <f ca="1">IFERROR(SUMIFS('TRA balance'!K$5:K$40,'TRA balance'!$C$5:$C$40,Assumptions!$C77,'TRA balance'!$D$5:$D$40,Assumptions!$B77)*BY77*N77,"")</f>
        <v>0</v>
      </c>
      <c r="AU77" s="34">
        <f ca="1">IFERROR(SUMIFS('TRA balance'!L$5:L$40,'TRA balance'!$C$5:$C$40,Assumptions!$C77,'TRA balance'!$D$5:$D$40,Assumptions!$B77)*BZ77*O77,"")</f>
        <v>0</v>
      </c>
      <c r="AV77" s="34">
        <f ca="1">IFERROR(SUMIFS('TRA balance'!M$5:M$40,'TRA balance'!$C$5:$C$40,Assumptions!$C77,'TRA balance'!$D$5:$D$40,Assumptions!$B77)*CA77*P77,"")</f>
        <v>0</v>
      </c>
      <c r="AW77" s="34">
        <f ca="1">IFERROR(SUMIFS('TRA balance'!N$5:N$40,'TRA balance'!$C$5:$C$40,Assumptions!$C77,'TRA balance'!$D$5:$D$40,Assumptions!$B77)*CB77*Q77,"")</f>
        <v>0</v>
      </c>
      <c r="AX77" s="34">
        <f ca="1">IFERROR(SUMIFS('TRA balance'!O$5:O$40,'TRA balance'!$C$5:$C$40,Assumptions!$C77,'TRA balance'!$D$5:$D$40,Assumptions!$B77)*CC77*R77,"")</f>
        <v>0</v>
      </c>
      <c r="AY77" s="34">
        <f ca="1">IFERROR(SUMIFS('TRA balance'!P$5:P$40,'TRA balance'!$C$5:$C$40,Assumptions!$C77,'TRA balance'!$D$5:$D$40,Assumptions!$B77)*CD77*S77,"")</f>
        <v>0</v>
      </c>
      <c r="AZ77" s="34">
        <f ca="1">IFERROR(SUMIFS('TRA balance'!Q$5:Q$40,'TRA balance'!$C$5:$C$40,Assumptions!$C77,'TRA balance'!$D$5:$D$40,Assumptions!$B77)*CE77*T77,"")</f>
        <v>0</v>
      </c>
      <c r="BA77" s="34">
        <f ca="1">IFERROR(SUMIFS('TRA balance'!R$5:R$40,'TRA balance'!$C$5:$C$40,Assumptions!$C77,'TRA balance'!$D$5:$D$40,Assumptions!$B77)*CF77*U77,"")</f>
        <v>0</v>
      </c>
      <c r="BB77" s="34">
        <f ca="1">IFERROR(SUMIFS('TRA balance'!S$5:S$40,'TRA balance'!$C$5:$C$40,Assumptions!$C77,'TRA balance'!$D$5:$D$40,Assumptions!$B77)*CG77*V77,"")</f>
        <v>0</v>
      </c>
      <c r="BC77" s="34">
        <f ca="1">IFERROR(SUMIFS('TRA balance'!T$5:T$40,'TRA balance'!$C$5:$C$40,Assumptions!$C77,'TRA balance'!$D$5:$D$40,Assumptions!$B77)*CH77*W77,"")</f>
        <v>0</v>
      </c>
      <c r="BD77" s="34">
        <f ca="1">IFERROR(SUMIFS('TRA balance'!U$5:U$40,'TRA balance'!$C$5:$C$40,Assumptions!$C77,'TRA balance'!$D$5:$D$40,Assumptions!$B77)*CI77*X77,"")</f>
        <v>0</v>
      </c>
      <c r="BE77" s="34">
        <f ca="1">IFERROR(SUMIFS('TRA balance'!V$5:V$40,'TRA balance'!$C$5:$C$40,Assumptions!$C77,'TRA balance'!$D$5:$D$40,Assumptions!$B77)*CJ77*Y77,"")</f>
        <v>0</v>
      </c>
      <c r="BF77" s="34">
        <f ca="1">IFERROR(SUMIFS('TRA balance'!W$5:W$40,'TRA balance'!$C$5:$C$40,Assumptions!$C77,'TRA balance'!$D$5:$D$40,Assumptions!$B77)*CK77*Z77,"")</f>
        <v>0</v>
      </c>
      <c r="BG77" s="34">
        <f ca="1">IFERROR(SUMIFS('TRA balance'!X$5:X$40,'TRA balance'!$C$5:$C$40,Assumptions!$C77,'TRA balance'!$D$5:$D$40,Assumptions!$B77)*CL77*AA77,"")</f>
        <v>0</v>
      </c>
      <c r="BH77" s="34">
        <f ca="1">IFERROR(SUMIFS('TRA balance'!Y$5:Y$40,'TRA balance'!$C$5:$C$40,Assumptions!$C77,'TRA balance'!$D$5:$D$40,Assumptions!$B77)*CM77*AB77,"")</f>
        <v>0</v>
      </c>
      <c r="BI77" s="34">
        <f ca="1">IFERROR(SUMIFS('TRA balance'!Z$5:Z$40,'TRA balance'!$C$5:$C$40,Assumptions!$C77,'TRA balance'!$D$5:$D$40,Assumptions!$B77)*CN77*AC77,"")</f>
        <v>0</v>
      </c>
      <c r="BJ77" s="34">
        <f ca="1">IFERROR(SUMIFS('TRA balance'!AA$5:AA$40,'TRA balance'!$C$5:$C$40,Assumptions!$C77,'TRA balance'!$D$5:$D$40,Assumptions!$B77)*CO77*AD77,"")</f>
        <v>0</v>
      </c>
      <c r="BK77" s="34">
        <f ca="1">IFERROR(SUMIFS('TRA balance'!AB$5:AB$40,'TRA balance'!$C$5:$C$40,Assumptions!$C77,'TRA balance'!$D$5:$D$40,Assumptions!$B77)*CP77*AE77,"")</f>
        <v>0</v>
      </c>
      <c r="BL77" s="34">
        <f ca="1">IFERROR(SUMIFS('TRA balance'!AC$5:AC$40,'TRA balance'!$C$5:$C$40,Assumptions!$C77,'TRA balance'!$D$5:$D$40,Assumptions!$B77)*CQ77*AF77,"")</f>
        <v>0</v>
      </c>
      <c r="BM77" s="34">
        <f ca="1">IFERROR(SUMIFS('TRA balance'!AD$5:AD$40,'TRA balance'!$C$5:$C$40,Assumptions!$C77,'TRA balance'!$D$5:$D$40,Assumptions!$B77)*CR77*AG77,"")</f>
        <v>0</v>
      </c>
      <c r="BN77" s="34">
        <f ca="1">IFERROR(SUMIFS('TRA balance'!AE$5:AE$40,'TRA balance'!$C$5:$C$40,Assumptions!$C77,'TRA balance'!$D$5:$D$40,Assumptions!$B77)*CS77*AH77,"")</f>
        <v>0</v>
      </c>
      <c r="BO77" s="34">
        <f ca="1">IFERROR(SUMIFS('TRA balance'!AF$5:AF$40,'TRA balance'!$C$5:$C$40,Assumptions!$C77,'TRA balance'!$D$5:$D$40,Assumptions!$B77)*CT77*AI77,"")</f>
        <v>0</v>
      </c>
      <c r="BP77" s="34">
        <f ca="1">IFERROR(SUMIFS('TRA balance'!AG$5:AG$40,'TRA balance'!$C$5:$C$40,Assumptions!$C77,'TRA balance'!$D$5:$D$40,Assumptions!$B77)*CU77*AJ77,"")</f>
        <v>0</v>
      </c>
      <c r="BQ77" s="34">
        <f ca="1">IFERROR(SUMIFS('TRA balance'!AH$5:AH$40,'TRA balance'!$C$5:$C$40,Assumptions!$C77,'TRA balance'!$D$5:$D$40,Assumptions!$B77)*CV77*AK77,"")</f>
        <v>0</v>
      </c>
      <c r="BS77" s="33">
        <f t="shared" si="152"/>
        <v>1</v>
      </c>
      <c r="BT77" s="33">
        <f t="shared" si="153"/>
        <v>1</v>
      </c>
      <c r="BU77" s="33">
        <f t="shared" si="154"/>
        <v>1</v>
      </c>
      <c r="BV77" s="33">
        <f t="shared" si="155"/>
        <v>1</v>
      </c>
      <c r="BW77" s="33">
        <f t="shared" si="156"/>
        <v>1</v>
      </c>
      <c r="BX77" s="33">
        <f t="shared" si="157"/>
        <v>1</v>
      </c>
      <c r="BY77" s="33">
        <f t="shared" si="158"/>
        <v>1</v>
      </c>
      <c r="BZ77" s="33">
        <f t="shared" si="159"/>
        <v>1</v>
      </c>
      <c r="CA77" s="33">
        <f t="shared" si="160"/>
        <v>1</v>
      </c>
      <c r="CB77" s="33">
        <f t="shared" si="161"/>
        <v>1</v>
      </c>
      <c r="CC77" s="33">
        <f t="shared" si="162"/>
        <v>1</v>
      </c>
      <c r="CD77" s="33">
        <f t="shared" si="163"/>
        <v>1</v>
      </c>
      <c r="CE77" s="33">
        <f t="shared" si="164"/>
        <v>1</v>
      </c>
      <c r="CF77" s="33">
        <f t="shared" si="165"/>
        <v>1</v>
      </c>
      <c r="CG77" s="33">
        <f t="shared" si="166"/>
        <v>1</v>
      </c>
      <c r="CH77" s="33">
        <f t="shared" si="167"/>
        <v>1</v>
      </c>
      <c r="CI77" s="33">
        <f t="shared" si="168"/>
        <v>1</v>
      </c>
      <c r="CJ77" s="33">
        <f t="shared" si="169"/>
        <v>1</v>
      </c>
      <c r="CK77" s="33">
        <f t="shared" si="170"/>
        <v>1</v>
      </c>
      <c r="CL77" s="33">
        <f t="shared" si="171"/>
        <v>1</v>
      </c>
      <c r="CM77" s="33">
        <f t="shared" si="172"/>
        <v>1</v>
      </c>
      <c r="CN77" s="33">
        <f t="shared" si="173"/>
        <v>1</v>
      </c>
      <c r="CO77" s="33">
        <f t="shared" si="174"/>
        <v>1</v>
      </c>
      <c r="CP77" s="33">
        <f t="shared" si="175"/>
        <v>1</v>
      </c>
      <c r="CQ77" s="33">
        <f t="shared" si="176"/>
        <v>1</v>
      </c>
      <c r="CR77" s="33">
        <f t="shared" si="177"/>
        <v>1</v>
      </c>
      <c r="CS77" s="33">
        <f t="shared" si="178"/>
        <v>1</v>
      </c>
      <c r="CT77" s="33">
        <f t="shared" si="179"/>
        <v>1</v>
      </c>
      <c r="CU77" s="33">
        <f t="shared" si="180"/>
        <v>1</v>
      </c>
      <c r="CV77" s="33">
        <f t="shared" si="181"/>
        <v>1</v>
      </c>
    </row>
    <row r="78" spans="1:100" x14ac:dyDescent="0.45">
      <c r="A78">
        <v>1</v>
      </c>
      <c r="B78" t="str">
        <f>VLOOKUP(F78,'TRA balance'!$AK$5:$AL$14,2,FALSE)</f>
        <v>TRABGS</v>
      </c>
      <c r="C78" s="6" t="str">
        <f t="shared" si="185"/>
        <v>TR</v>
      </c>
      <c r="D78" s="7" t="s">
        <v>16</v>
      </c>
      <c r="E78" s="18" t="s">
        <v>61</v>
      </c>
      <c r="F78" s="8" t="str">
        <f>F77</f>
        <v>Bio Gasoline</v>
      </c>
      <c r="G78" s="6" t="s">
        <v>62</v>
      </c>
      <c r="H78" s="9">
        <f ca="1">OFFSET(TIAM15_assumptions!$G78,0,MATCH(VLOOKUP(Assumptions!H$2,TIAM15_assumptions!$Y$3:$Z$36,2,FALSE),TIAM15_assumptions!$H$2:$V$2,0))</f>
        <v>0.45</v>
      </c>
      <c r="I78" s="9">
        <f ca="1">OFFSET(TIAM15_assumptions!$G78,0,MATCH(VLOOKUP(Assumptions!I$2,TIAM15_assumptions!$Y$3:$Z$36,2,FALSE),TIAM15_assumptions!$H$2:$V$2,0))</f>
        <v>0.45</v>
      </c>
      <c r="J78" s="9">
        <f ca="1">OFFSET(TIAM15_assumptions!$G78,0,MATCH(VLOOKUP(Assumptions!J$2,TIAM15_assumptions!$Y$3:$Z$36,2,FALSE),TIAM15_assumptions!$H$2:$V$2,0))</f>
        <v>0.67</v>
      </c>
      <c r="K78" s="9">
        <f ca="1">OFFSET(TIAM15_assumptions!$G78,0,MATCH(VLOOKUP(Assumptions!K$2,TIAM15_assumptions!$Y$3:$Z$36,2,FALSE),TIAM15_assumptions!$H$2:$V$2,0))</f>
        <v>0.65</v>
      </c>
      <c r="L78" s="9">
        <f ca="1">OFFSET(TIAM15_assumptions!$G78,0,MATCH(VLOOKUP(Assumptions!L$2,TIAM15_assumptions!$Y$3:$Z$36,2,FALSE),TIAM15_assumptions!$H$2:$V$2,0))</f>
        <v>0.7</v>
      </c>
      <c r="M78" s="9">
        <f ca="1">OFFSET(TIAM15_assumptions!$G78,0,MATCH(VLOOKUP(Assumptions!M$2,TIAM15_assumptions!$Y$3:$Z$36,2,FALSE),TIAM15_assumptions!$H$2:$V$2,0))</f>
        <v>0.45</v>
      </c>
      <c r="N78" s="9">
        <f ca="1">OFFSET(TIAM15_assumptions!$G78,0,MATCH(VLOOKUP(Assumptions!N$2,TIAM15_assumptions!$Y$3:$Z$36,2,FALSE),TIAM15_assumptions!$H$2:$V$2,0))</f>
        <v>0.69</v>
      </c>
      <c r="O78" s="9">
        <f ca="1">OFFSET(TIAM15_assumptions!$G78,0,MATCH(VLOOKUP(Assumptions!O$2,TIAM15_assumptions!$Y$3:$Z$36,2,FALSE),TIAM15_assumptions!$H$2:$V$2,0))</f>
        <v>0.67</v>
      </c>
      <c r="P78" s="9">
        <f ca="1">OFFSET(TIAM15_assumptions!$G78,0,MATCH(VLOOKUP(Assumptions!P$2,TIAM15_assumptions!$Y$3:$Z$36,2,FALSE),TIAM15_assumptions!$H$2:$V$2,0))</f>
        <v>0.6</v>
      </c>
      <c r="Q78" s="9">
        <f ca="1">OFFSET(TIAM15_assumptions!$G78,0,MATCH(VLOOKUP(Assumptions!Q$2,TIAM15_assumptions!$Y$3:$Z$36,2,FALSE),TIAM15_assumptions!$H$2:$V$2,0))</f>
        <v>0.45</v>
      </c>
      <c r="R78" s="9">
        <f ca="1">OFFSET(TIAM15_assumptions!$G78,0,MATCH(VLOOKUP(Assumptions!R$2,TIAM15_assumptions!$Y$3:$Z$36,2,FALSE),TIAM15_assumptions!$H$2:$V$2,0))</f>
        <v>0.98</v>
      </c>
      <c r="S78" s="9">
        <f ca="1">OFFSET(TIAM15_assumptions!$G78,0,MATCH(VLOOKUP(Assumptions!S$2,TIAM15_assumptions!$Y$3:$Z$36,2,FALSE),TIAM15_assumptions!$H$2:$V$2,0))</f>
        <v>0.99</v>
      </c>
      <c r="T78" s="9">
        <f ca="1">OFFSET(TIAM15_assumptions!$G78,0,MATCH(VLOOKUP(Assumptions!T$2,TIAM15_assumptions!$Y$3:$Z$36,2,FALSE),TIAM15_assumptions!$H$2:$V$2,0))</f>
        <v>0.98</v>
      </c>
      <c r="U78" s="9">
        <f ca="1">OFFSET(TIAM15_assumptions!$G78,0,MATCH(VLOOKUP(Assumptions!U$2,TIAM15_assumptions!$Y$3:$Z$36,2,FALSE),TIAM15_assumptions!$H$2:$V$2,0))</f>
        <v>0.98</v>
      </c>
      <c r="V78" s="9">
        <f ca="1">OFFSET(TIAM15_assumptions!$G78,0,MATCH(VLOOKUP(Assumptions!V$2,TIAM15_assumptions!$Y$3:$Z$36,2,FALSE),TIAM15_assumptions!$H$2:$V$2,0))</f>
        <v>0.99</v>
      </c>
      <c r="W78" s="9">
        <f ca="1">OFFSET(TIAM15_assumptions!$G78,0,MATCH(VLOOKUP(Assumptions!W$2,TIAM15_assumptions!$Y$3:$Z$36,2,FALSE),TIAM15_assumptions!$H$2:$V$2,0))</f>
        <v>0.98</v>
      </c>
      <c r="X78" s="9">
        <f ca="1">OFFSET(TIAM15_assumptions!$G78,0,MATCH(VLOOKUP(Assumptions!X$2,TIAM15_assumptions!$Y$3:$Z$36,2,FALSE),TIAM15_assumptions!$H$2:$V$2,0))</f>
        <v>0.55000000000000004</v>
      </c>
      <c r="Y78" s="9">
        <f ca="1">OFFSET(TIAM15_assumptions!$G78,0,MATCH(VLOOKUP(Assumptions!Y$2,TIAM15_assumptions!$Y$3:$Z$36,2,FALSE),TIAM15_assumptions!$H$2:$V$2,0))</f>
        <v>0.98</v>
      </c>
      <c r="Z78" s="9">
        <f ca="1">OFFSET(TIAM15_assumptions!$G78,0,MATCH(VLOOKUP(Assumptions!Z$2,TIAM15_assumptions!$Y$3:$Z$36,2,FALSE),TIAM15_assumptions!$H$2:$V$2,0))</f>
        <v>0.98</v>
      </c>
      <c r="AA78" s="9">
        <f ca="1">OFFSET(TIAM15_assumptions!$G78,0,MATCH(VLOOKUP(Assumptions!AA$2,TIAM15_assumptions!$Y$3:$Z$36,2,FALSE),TIAM15_assumptions!$H$2:$V$2,0))</f>
        <v>0.45</v>
      </c>
      <c r="AB78" s="9">
        <f ca="1">OFFSET(TIAM15_assumptions!$G78,0,MATCH(VLOOKUP(Assumptions!AB$2,TIAM15_assumptions!$Y$3:$Z$36,2,FALSE),TIAM15_assumptions!$H$2:$V$2,0))</f>
        <v>0.67</v>
      </c>
      <c r="AC78" s="9">
        <f ca="1">OFFSET(TIAM15_assumptions!$G78,0,MATCH(VLOOKUP(Assumptions!AC$2,TIAM15_assumptions!$Y$3:$Z$36,2,FALSE),TIAM15_assumptions!$H$2:$V$2,0))</f>
        <v>0.6</v>
      </c>
      <c r="AD78" s="9">
        <f ca="1">OFFSET(TIAM15_assumptions!$G78,0,MATCH(VLOOKUP(Assumptions!AD$2,TIAM15_assumptions!$Y$3:$Z$36,2,FALSE),TIAM15_assumptions!$H$2:$V$2,0))</f>
        <v>0.55000000000000004</v>
      </c>
      <c r="AE78" s="9">
        <f ca="1">OFFSET(TIAM15_assumptions!$G78,0,MATCH(VLOOKUP(Assumptions!AE$2,TIAM15_assumptions!$Y$3:$Z$36,2,FALSE),TIAM15_assumptions!$H$2:$V$2,0))</f>
        <v>0.98</v>
      </c>
      <c r="AF78" s="9">
        <f ca="1">OFFSET(TIAM15_assumptions!$G78,0,MATCH(VLOOKUP(Assumptions!AF$2,TIAM15_assumptions!$Y$3:$Z$36,2,FALSE),TIAM15_assumptions!$H$2:$V$2,0))</f>
        <v>0.65</v>
      </c>
      <c r="AG78" s="9">
        <f ca="1">OFFSET(TIAM15_assumptions!$G78,0,MATCH(VLOOKUP(Assumptions!AG$2,TIAM15_assumptions!$Y$3:$Z$36,2,FALSE),TIAM15_assumptions!$H$2:$V$2,0))</f>
        <v>0.55000000000000004</v>
      </c>
      <c r="AH78" s="9">
        <f ca="1">OFFSET(TIAM15_assumptions!$G78,0,MATCH(VLOOKUP(Assumptions!AH$2,TIAM15_assumptions!$Y$3:$Z$36,2,FALSE),TIAM15_assumptions!$H$2:$V$2,0))</f>
        <v>0.45</v>
      </c>
      <c r="AI78" s="9">
        <f ca="1">OFFSET(TIAM15_assumptions!$G78,0,MATCH(VLOOKUP(Assumptions!AI$2,TIAM15_assumptions!$Y$3:$Z$36,2,FALSE),TIAM15_assumptions!$H$2:$V$2,0))</f>
        <v>0.98</v>
      </c>
      <c r="AJ78" s="9">
        <f ca="1">OFFSET(TIAM15_assumptions!$G78,0,MATCH(VLOOKUP(Assumptions!AJ$2,TIAM15_assumptions!$Y$3:$Z$36,2,FALSE),TIAM15_assumptions!$H$2:$V$2,0))</f>
        <v>0.58299999999999996</v>
      </c>
      <c r="AK78" s="9">
        <f ca="1">OFFSET(TIAM15_assumptions!$G78,0,MATCH(VLOOKUP(Assumptions!AK$2,TIAM15_assumptions!$Y$3:$Z$36,2,FALSE),TIAM15_assumptions!$H$2:$V$2,0))</f>
        <v>0.58299999999999996</v>
      </c>
      <c r="AN78" s="34">
        <f ca="1">IFERROR(SUMIFS('TRA balance'!E$5:E$40,'TRA balance'!$C$5:$C$40,Assumptions!$C78,'TRA balance'!$D$5:$D$40,Assumptions!$B78)*BS78*H78,"")</f>
        <v>0</v>
      </c>
      <c r="AO78" s="34">
        <f ca="1">IFERROR(SUMIFS('TRA balance'!F$5:F$40,'TRA balance'!$C$5:$C$40,Assumptions!$C78,'TRA balance'!$D$5:$D$40,Assumptions!$B78)*BT78*I78,"")</f>
        <v>0.86496629382000001</v>
      </c>
      <c r="AP78" s="34">
        <f ca="1">IFERROR(SUMIFS('TRA balance'!G$5:G$40,'TRA balance'!$C$5:$C$40,Assumptions!$C78,'TRA balance'!$D$5:$D$40,Assumptions!$B78)*BU78*J78,"")</f>
        <v>13.599864188020801</v>
      </c>
      <c r="AQ78" s="34">
        <f ca="1">IFERROR(SUMIFS('TRA balance'!H$5:H$40,'TRA balance'!$C$5:$C$40,Assumptions!$C78,'TRA balance'!$D$5:$D$40,Assumptions!$B78)*BV78*K78,"")</f>
        <v>0</v>
      </c>
      <c r="AR78" s="34">
        <f ca="1">IFERROR(SUMIFS('TRA balance'!I$5:I$40,'TRA balance'!$C$5:$C$40,Assumptions!$C78,'TRA balance'!$D$5:$D$40,Assumptions!$B78)*BW78*L78,"")</f>
        <v>10.481214562811999</v>
      </c>
      <c r="AS78" s="34">
        <f ca="1">IFERROR(SUMIFS('TRA balance'!J$5:J$40,'TRA balance'!$C$5:$C$40,Assumptions!$C78,'TRA balance'!$D$5:$D$40,Assumptions!$B78)*BX78*M78,"")</f>
        <v>23.990591343240002</v>
      </c>
      <c r="AT78" s="34">
        <f ca="1">IFERROR(SUMIFS('TRA balance'!K$5:K$40,'TRA balance'!$C$5:$C$40,Assumptions!$C78,'TRA balance'!$D$5:$D$40,Assumptions!$B78)*BY78*N78,"")</f>
        <v>3.3902840510712</v>
      </c>
      <c r="AU78" s="34">
        <f ca="1">IFERROR(SUMIFS('TRA balance'!L$5:L$40,'TRA balance'!$C$5:$C$40,Assumptions!$C78,'TRA balance'!$D$5:$D$40,Assumptions!$B78)*BZ78*O78,"")</f>
        <v>142.2799901142948</v>
      </c>
      <c r="AV78" s="34">
        <f ca="1">IFERROR(SUMIFS('TRA balance'!M$5:M$40,'TRA balance'!$C$5:$C$40,Assumptions!$C78,'TRA balance'!$D$5:$D$40,Assumptions!$B78)*CA78*P78,"")</f>
        <v>38.485438593638392</v>
      </c>
      <c r="AW78" s="34">
        <f ca="1">IFERROR(SUMIFS('TRA balance'!N$5:N$40,'TRA balance'!$C$5:$C$40,Assumptions!$C78,'TRA balance'!$D$5:$D$40,Assumptions!$B78)*CB78*Q78,"")</f>
        <v>34.732799839296</v>
      </c>
      <c r="AX78" s="34">
        <f ca="1">IFERROR(SUMIFS('TRA balance'!O$5:O$40,'TRA balance'!$C$5:$C$40,Assumptions!$C78,'TRA balance'!$D$5:$D$40,Assumptions!$B78)*CC78*R78,"")</f>
        <v>8.9164627899026385</v>
      </c>
      <c r="AY78" s="34">
        <f ca="1">IFERROR(SUMIFS('TRA balance'!P$5:P$40,'TRA balance'!$C$5:$C$40,Assumptions!$C78,'TRA balance'!$D$5:$D$40,Assumptions!$B78)*CD78*S78,"")</f>
        <v>14.538419826887878</v>
      </c>
      <c r="AZ78" s="34">
        <f ca="1">IFERROR(SUMIFS('TRA balance'!Q$5:Q$40,'TRA balance'!$C$5:$C$40,Assumptions!$C78,'TRA balance'!$D$5:$D$40,Assumptions!$B78)*CE78*T78,"")</f>
        <v>14.882249899162801</v>
      </c>
      <c r="BA78" s="34">
        <f ca="1">IFERROR(SUMIFS('TRA balance'!R$5:R$40,'TRA balance'!$C$5:$C$40,Assumptions!$C78,'TRA balance'!$D$5:$D$40,Assumptions!$B78)*CF78*U78,"")</f>
        <v>2.2124784191882401</v>
      </c>
      <c r="BB78" s="34">
        <f ca="1">IFERROR(SUMIFS('TRA balance'!S$5:S$40,'TRA balance'!$C$5:$C$40,Assumptions!$C78,'TRA balance'!$D$5:$D$40,Assumptions!$B78)*CG78*V78,"")</f>
        <v>7.2599766421960803</v>
      </c>
      <c r="BC78" s="34">
        <f ca="1">IFERROR(SUMIFS('TRA balance'!T$5:T$40,'TRA balance'!$C$5:$C$40,Assumptions!$C78,'TRA balance'!$D$5:$D$40,Assumptions!$B78)*CH78*W78,"")</f>
        <v>5.5112543978637598</v>
      </c>
      <c r="BD78" s="34">
        <f ca="1">IFERROR(SUMIFS('TRA balance'!U$5:U$40,'TRA balance'!$C$5:$C$40,Assumptions!$C78,'TRA balance'!$D$5:$D$40,Assumptions!$B78)*CI78*X78,"")</f>
        <v>2.7930928243679998</v>
      </c>
      <c r="BE78" s="34">
        <f ca="1">IFERROR(SUMIFS('TRA balance'!V$5:V$40,'TRA balance'!$C$5:$C$40,Assumptions!$C78,'TRA balance'!$D$5:$D$40,Assumptions!$B78)*CJ78*Y78,"")</f>
        <v>26.00074766151576</v>
      </c>
      <c r="BF78" s="34">
        <f ca="1">IFERROR(SUMIFS('TRA balance'!W$5:W$40,'TRA balance'!$C$5:$C$40,Assumptions!$C78,'TRA balance'!$D$5:$D$40,Assumptions!$B78)*CK78*Z78,"")</f>
        <v>28.610678032529037</v>
      </c>
      <c r="BG78" s="34">
        <f ca="1">IFERROR(SUMIFS('TRA balance'!X$5:X$40,'TRA balance'!$C$5:$C$40,Assumptions!$C78,'TRA balance'!$D$5:$D$40,Assumptions!$B78)*CL78*AA78,"")</f>
        <v>16.569367554060001</v>
      </c>
      <c r="BH78" s="34">
        <f ca="1">IFERROR(SUMIFS('TRA balance'!Y$5:Y$40,'TRA balance'!$C$5:$C$40,Assumptions!$C78,'TRA balance'!$D$5:$D$40,Assumptions!$B78)*CM78*AB78,"")</f>
        <v>18.413123930946004</v>
      </c>
      <c r="BI78" s="34">
        <f ca="1">IFERROR(SUMIFS('TRA balance'!Z$5:Z$40,'TRA balance'!$C$5:$C$40,Assumptions!$C78,'TRA balance'!$D$5:$D$40,Assumptions!$B78)*CN78*AC78,"")</f>
        <v>0</v>
      </c>
      <c r="BJ78" s="34">
        <f ca="1">IFERROR(SUMIFS('TRA balance'!AA$5:AA$40,'TRA balance'!$C$5:$C$40,Assumptions!$C78,'TRA balance'!$D$5:$D$40,Assumptions!$B78)*CO78*AD78,"")</f>
        <v>0</v>
      </c>
      <c r="BK78" s="34">
        <f ca="1">IFERROR(SUMIFS('TRA balance'!AB$5:AB$40,'TRA balance'!$C$5:$C$40,Assumptions!$C78,'TRA balance'!$D$5:$D$40,Assumptions!$B78)*CP78*AE78,"")</f>
        <v>1.8559445603176798</v>
      </c>
      <c r="BL78" s="34">
        <f ca="1">IFERROR(SUMIFS('TRA balance'!AC$5:AC$40,'TRA balance'!$C$5:$C$40,Assumptions!$C78,'TRA balance'!$D$5:$D$40,Assumptions!$B78)*CQ78*AF78,"")</f>
        <v>0</v>
      </c>
      <c r="BM78" s="34">
        <f ca="1">IFERROR(SUMIFS('TRA balance'!AD$5:AD$40,'TRA balance'!$C$5:$C$40,Assumptions!$C78,'TRA balance'!$D$5:$D$40,Assumptions!$B78)*CR78*AG78,"")</f>
        <v>0</v>
      </c>
      <c r="BN78" s="34">
        <f ca="1">IFERROR(SUMIFS('TRA balance'!AE$5:AE$40,'TRA balance'!$C$5:$C$40,Assumptions!$C78,'TRA balance'!$D$5:$D$40,Assumptions!$B78)*CS78*AH78,"")</f>
        <v>0</v>
      </c>
      <c r="BO78" s="34">
        <f ca="1">IFERROR(SUMIFS('TRA balance'!AF$5:AF$40,'TRA balance'!$C$5:$C$40,Assumptions!$C78,'TRA balance'!$D$5:$D$40,Assumptions!$B78)*CT78*AI78,"")</f>
        <v>15.223974281923677</v>
      </c>
      <c r="BP78" s="34">
        <f ca="1">IFERROR(SUMIFS('TRA balance'!AG$5:AG$40,'TRA balance'!$C$5:$C$40,Assumptions!$C78,'TRA balance'!$D$5:$D$40,Assumptions!$B78)*CU78*AJ78,"")</f>
        <v>638.21585311862407</v>
      </c>
      <c r="BQ78" s="34">
        <f ca="1">IFERROR(SUMIFS('TRA balance'!AH$5:AH$40,'TRA balance'!$C$5:$C$40,Assumptions!$C78,'TRA balance'!$D$5:$D$40,Assumptions!$B78)*CV78*AK78,"")</f>
        <v>0</v>
      </c>
      <c r="BS78" s="33">
        <f t="shared" ca="1" si="152"/>
        <v>1</v>
      </c>
      <c r="BT78" s="33">
        <f t="shared" ca="1" si="153"/>
        <v>1</v>
      </c>
      <c r="BU78" s="33">
        <f t="shared" ca="1" si="154"/>
        <v>0.9</v>
      </c>
      <c r="BV78" s="33">
        <f t="shared" ca="1" si="155"/>
        <v>0.7</v>
      </c>
      <c r="BW78" s="33">
        <f t="shared" ca="1" si="156"/>
        <v>0.9</v>
      </c>
      <c r="BX78" s="33">
        <f t="shared" ca="1" si="157"/>
        <v>1</v>
      </c>
      <c r="BY78" s="33">
        <f t="shared" ca="1" si="158"/>
        <v>0.9</v>
      </c>
      <c r="BZ78" s="33">
        <f t="shared" ca="1" si="159"/>
        <v>0.9</v>
      </c>
      <c r="CA78" s="33">
        <f t="shared" ca="1" si="160"/>
        <v>0.96</v>
      </c>
      <c r="CB78" s="33">
        <f t="shared" ca="1" si="161"/>
        <v>0.9</v>
      </c>
      <c r="CC78" s="33">
        <f t="shared" ca="1" si="162"/>
        <v>0.97</v>
      </c>
      <c r="CD78" s="33">
        <f t="shared" ca="1" si="163"/>
        <v>0.97</v>
      </c>
      <c r="CE78" s="33">
        <f t="shared" ca="1" si="164"/>
        <v>0.97</v>
      </c>
      <c r="CF78" s="33">
        <f t="shared" ca="1" si="165"/>
        <v>0.97</v>
      </c>
      <c r="CG78" s="33">
        <f t="shared" ca="1" si="166"/>
        <v>0.97</v>
      </c>
      <c r="CH78" s="33">
        <f t="shared" ca="1" si="167"/>
        <v>0.97</v>
      </c>
      <c r="CI78" s="33">
        <f t="shared" ca="1" si="168"/>
        <v>0.7</v>
      </c>
      <c r="CJ78" s="33">
        <f t="shared" ca="1" si="169"/>
        <v>0.97</v>
      </c>
      <c r="CK78" s="33">
        <f t="shared" ca="1" si="170"/>
        <v>0.97</v>
      </c>
      <c r="CL78" s="33">
        <f t="shared" ca="1" si="171"/>
        <v>1</v>
      </c>
      <c r="CM78" s="33">
        <f t="shared" ca="1" si="172"/>
        <v>0.9</v>
      </c>
      <c r="CN78" s="33">
        <f t="shared" ca="1" si="173"/>
        <v>0.95</v>
      </c>
      <c r="CO78" s="33">
        <f t="shared" ca="1" si="174"/>
        <v>0.7</v>
      </c>
      <c r="CP78" s="33">
        <f t="shared" ca="1" si="175"/>
        <v>0.97</v>
      </c>
      <c r="CQ78" s="33">
        <f t="shared" ca="1" si="176"/>
        <v>0.7</v>
      </c>
      <c r="CR78" s="33">
        <f t="shared" ca="1" si="177"/>
        <v>0.7</v>
      </c>
      <c r="CS78" s="33">
        <f t="shared" ca="1" si="178"/>
        <v>1</v>
      </c>
      <c r="CT78" s="33">
        <f t="shared" ca="1" si="179"/>
        <v>0.97</v>
      </c>
      <c r="CU78" s="33">
        <f t="shared" ca="1" si="180"/>
        <v>0.8</v>
      </c>
      <c r="CV78" s="33">
        <f t="shared" ca="1" si="181"/>
        <v>0.8</v>
      </c>
    </row>
    <row r="79" spans="1:100" x14ac:dyDescent="0.45">
      <c r="A79">
        <v>1</v>
      </c>
      <c r="B79" t="str">
        <f>VLOOKUP(F79,'TRA balance'!$AK$5:$AL$14,2,FALSE)</f>
        <v>TRABGS</v>
      </c>
      <c r="C79" s="6" t="str">
        <f t="shared" si="185"/>
        <v>TR</v>
      </c>
      <c r="D79" s="7" t="s">
        <v>16</v>
      </c>
      <c r="E79" s="18" t="s">
        <v>63</v>
      </c>
      <c r="F79" s="8" t="str">
        <f t="shared" ref="F79:F82" si="198">F78</f>
        <v>Bio Gasoline</v>
      </c>
      <c r="G79" s="6" t="s">
        <v>64</v>
      </c>
      <c r="H79" s="9">
        <f ca="1">OFFSET(TIAM15_assumptions!$G79,0,MATCH(VLOOKUP(Assumptions!H$2,TIAM15_assumptions!$Y$3:$Z$36,2,FALSE),TIAM15_assumptions!$H$2:$V$2,0))</f>
        <v>0.1</v>
      </c>
      <c r="I79" s="9">
        <f ca="1">OFFSET(TIAM15_assumptions!$G79,0,MATCH(VLOOKUP(Assumptions!I$2,TIAM15_assumptions!$Y$3:$Z$36,2,FALSE),TIAM15_assumptions!$H$2:$V$2,0))</f>
        <v>0.1</v>
      </c>
      <c r="J79" s="9">
        <f ca="1">OFFSET(TIAM15_assumptions!$G79,0,MATCH(VLOOKUP(Assumptions!J$2,TIAM15_assumptions!$Y$3:$Z$36,2,FALSE),TIAM15_assumptions!$H$2:$V$2,0))</f>
        <v>0.31</v>
      </c>
      <c r="K79" s="9">
        <f ca="1">OFFSET(TIAM15_assumptions!$G79,0,MATCH(VLOOKUP(Assumptions!K$2,TIAM15_assumptions!$Y$3:$Z$36,2,FALSE),TIAM15_assumptions!$H$2:$V$2,0))</f>
        <v>0.33</v>
      </c>
      <c r="L79" s="9">
        <f ca="1">OFFSET(TIAM15_assumptions!$G79,0,MATCH(VLOOKUP(Assumptions!L$2,TIAM15_assumptions!$Y$3:$Z$36,2,FALSE),TIAM15_assumptions!$H$2:$V$2,0))</f>
        <v>0.28499999999999998</v>
      </c>
      <c r="M79" s="9">
        <f ca="1">OFFSET(TIAM15_assumptions!$G79,0,MATCH(VLOOKUP(Assumptions!M$2,TIAM15_assumptions!$Y$3:$Z$36,2,FALSE),TIAM15_assumptions!$H$2:$V$2,0))</f>
        <v>0.1</v>
      </c>
      <c r="N79" s="9">
        <f ca="1">OFFSET(TIAM15_assumptions!$G79,0,MATCH(VLOOKUP(Assumptions!N$2,TIAM15_assumptions!$Y$3:$Z$36,2,FALSE),TIAM15_assumptions!$H$2:$V$2,0))</f>
        <v>0.28999999999999998</v>
      </c>
      <c r="O79" s="9">
        <f ca="1">OFFSET(TIAM15_assumptions!$G79,0,MATCH(VLOOKUP(Assumptions!O$2,TIAM15_assumptions!$Y$3:$Z$36,2,FALSE),TIAM15_assumptions!$H$2:$V$2,0))</f>
        <v>0.31</v>
      </c>
      <c r="P79" s="9">
        <f ca="1">OFFSET(TIAM15_assumptions!$G79,0,MATCH(VLOOKUP(Assumptions!P$2,TIAM15_assumptions!$Y$3:$Z$36,2,FALSE),TIAM15_assumptions!$H$2:$V$2,0))</f>
        <v>0.39900000000000002</v>
      </c>
      <c r="Q79" s="9">
        <f ca="1">OFFSET(TIAM15_assumptions!$G79,0,MATCH(VLOOKUP(Assumptions!Q$2,TIAM15_assumptions!$Y$3:$Z$36,2,FALSE),TIAM15_assumptions!$H$2:$V$2,0))</f>
        <v>0.25</v>
      </c>
      <c r="R79" s="9">
        <f ca="1">OFFSET(TIAM15_assumptions!$G79,0,MATCH(VLOOKUP(Assumptions!R$2,TIAM15_assumptions!$Y$3:$Z$36,2,FALSE),TIAM15_assumptions!$H$2:$V$2,0))</f>
        <v>0</v>
      </c>
      <c r="S79" s="9">
        <f ca="1">OFFSET(TIAM15_assumptions!$G79,0,MATCH(VLOOKUP(Assumptions!S$2,TIAM15_assumptions!$Y$3:$Z$36,2,FALSE),TIAM15_assumptions!$H$2:$V$2,0))</f>
        <v>0</v>
      </c>
      <c r="T79" s="9">
        <f ca="1">OFFSET(TIAM15_assumptions!$G79,0,MATCH(VLOOKUP(Assumptions!T$2,TIAM15_assumptions!$Y$3:$Z$36,2,FALSE),TIAM15_assumptions!$H$2:$V$2,0))</f>
        <v>0</v>
      </c>
      <c r="U79" s="9">
        <f ca="1">OFFSET(TIAM15_assumptions!$G79,0,MATCH(VLOOKUP(Assumptions!U$2,TIAM15_assumptions!$Y$3:$Z$36,2,FALSE),TIAM15_assumptions!$H$2:$V$2,0))</f>
        <v>0</v>
      </c>
      <c r="V79" s="9">
        <f ca="1">OFFSET(TIAM15_assumptions!$G79,0,MATCH(VLOOKUP(Assumptions!V$2,TIAM15_assumptions!$Y$3:$Z$36,2,FALSE),TIAM15_assumptions!$H$2:$V$2,0))</f>
        <v>0</v>
      </c>
      <c r="W79" s="9">
        <f ca="1">OFFSET(TIAM15_assumptions!$G79,0,MATCH(VLOOKUP(Assumptions!W$2,TIAM15_assumptions!$Y$3:$Z$36,2,FALSE),TIAM15_assumptions!$H$2:$V$2,0))</f>
        <v>0</v>
      </c>
      <c r="X79" s="9">
        <f ca="1">OFFSET(TIAM15_assumptions!$G79,0,MATCH(VLOOKUP(Assumptions!X$2,TIAM15_assumptions!$Y$3:$Z$36,2,FALSE),TIAM15_assumptions!$H$2:$V$2,0))</f>
        <v>0.42</v>
      </c>
      <c r="Y79" s="9">
        <f ca="1">OFFSET(TIAM15_assumptions!$G79,0,MATCH(VLOOKUP(Assumptions!Y$2,TIAM15_assumptions!$Y$3:$Z$36,2,FALSE),TIAM15_assumptions!$H$2:$V$2,0))</f>
        <v>0</v>
      </c>
      <c r="Z79" s="9">
        <f ca="1">OFFSET(TIAM15_assumptions!$G79,0,MATCH(VLOOKUP(Assumptions!Z$2,TIAM15_assumptions!$Y$3:$Z$36,2,FALSE),TIAM15_assumptions!$H$2:$V$2,0))</f>
        <v>0</v>
      </c>
      <c r="AA79" s="9">
        <f ca="1">OFFSET(TIAM15_assumptions!$G79,0,MATCH(VLOOKUP(Assumptions!AA$2,TIAM15_assumptions!$Y$3:$Z$36,2,FALSE),TIAM15_assumptions!$H$2:$V$2,0))</f>
        <v>0.05</v>
      </c>
      <c r="AB79" s="9">
        <f ca="1">OFFSET(TIAM15_assumptions!$G79,0,MATCH(VLOOKUP(Assumptions!AB$2,TIAM15_assumptions!$Y$3:$Z$36,2,FALSE),TIAM15_assumptions!$H$2:$V$2,0))</f>
        <v>0.31</v>
      </c>
      <c r="AC79" s="9">
        <f ca="1">OFFSET(TIAM15_assumptions!$G79,0,MATCH(VLOOKUP(Assumptions!AC$2,TIAM15_assumptions!$Y$3:$Z$36,2,FALSE),TIAM15_assumptions!$H$2:$V$2,0))</f>
        <v>0.33</v>
      </c>
      <c r="AD79" s="9">
        <f ca="1">OFFSET(TIAM15_assumptions!$G79,0,MATCH(VLOOKUP(Assumptions!AD$2,TIAM15_assumptions!$Y$3:$Z$36,2,FALSE),TIAM15_assumptions!$H$2:$V$2,0))</f>
        <v>0.42</v>
      </c>
      <c r="AE79" s="9">
        <f ca="1">OFFSET(TIAM15_assumptions!$G79,0,MATCH(VLOOKUP(Assumptions!AE$2,TIAM15_assumptions!$Y$3:$Z$36,2,FALSE),TIAM15_assumptions!$H$2:$V$2,0))</f>
        <v>0</v>
      </c>
      <c r="AF79" s="9">
        <f ca="1">OFFSET(TIAM15_assumptions!$G79,0,MATCH(VLOOKUP(Assumptions!AF$2,TIAM15_assumptions!$Y$3:$Z$36,2,FALSE),TIAM15_assumptions!$H$2:$V$2,0))</f>
        <v>0.33</v>
      </c>
      <c r="AG79" s="9">
        <f ca="1">OFFSET(TIAM15_assumptions!$G79,0,MATCH(VLOOKUP(Assumptions!AG$2,TIAM15_assumptions!$Y$3:$Z$36,2,FALSE),TIAM15_assumptions!$H$2:$V$2,0))</f>
        <v>0.42</v>
      </c>
      <c r="AH79" s="9">
        <f ca="1">OFFSET(TIAM15_assumptions!$G79,0,MATCH(VLOOKUP(Assumptions!AH$2,TIAM15_assumptions!$Y$3:$Z$36,2,FALSE),TIAM15_assumptions!$H$2:$V$2,0))</f>
        <v>0.1</v>
      </c>
      <c r="AI79" s="9">
        <f ca="1">OFFSET(TIAM15_assumptions!$G79,0,MATCH(VLOOKUP(Assumptions!AI$2,TIAM15_assumptions!$Y$3:$Z$36,2,FALSE),TIAM15_assumptions!$H$2:$V$2,0))</f>
        <v>0</v>
      </c>
      <c r="AJ79" s="9">
        <f ca="1">OFFSET(TIAM15_assumptions!$G79,0,MATCH(VLOOKUP(Assumptions!AJ$2,TIAM15_assumptions!$Y$3:$Z$36,2,FALSE),TIAM15_assumptions!$H$2:$V$2,0))</f>
        <v>0.41499999999999998</v>
      </c>
      <c r="AK79" s="9">
        <f ca="1">OFFSET(TIAM15_assumptions!$G79,0,MATCH(VLOOKUP(Assumptions!AK$2,TIAM15_assumptions!$Y$3:$Z$36,2,FALSE),TIAM15_assumptions!$H$2:$V$2,0))</f>
        <v>0.41499999999999998</v>
      </c>
      <c r="AN79" s="34">
        <f ca="1">IFERROR(SUMIFS('TRA balance'!E$5:E$40,'TRA balance'!$C$5:$C$40,Assumptions!$C79,'TRA balance'!$D$5:$D$40,Assumptions!$B79)*BS79*H79,"")</f>
        <v>0</v>
      </c>
      <c r="AO79" s="34">
        <f ca="1">IFERROR(SUMIFS('TRA balance'!F$5:F$40,'TRA balance'!$C$5:$C$40,Assumptions!$C79,'TRA balance'!$D$5:$D$40,Assumptions!$B79)*BT79*I79,"")</f>
        <v>0.19221473196000002</v>
      </c>
      <c r="AP79" s="34">
        <f ca="1">IFERROR(SUMIFS('TRA balance'!G$5:G$40,'TRA balance'!$C$5:$C$40,Assumptions!$C79,'TRA balance'!$D$5:$D$40,Assumptions!$B79)*BU79*J79,"")</f>
        <v>6.2924744750543997</v>
      </c>
      <c r="AQ79" s="34">
        <f ca="1">IFERROR(SUMIFS('TRA balance'!H$5:H$40,'TRA balance'!$C$5:$C$40,Assumptions!$C79,'TRA balance'!$D$5:$D$40,Assumptions!$B79)*BV79*K79,"")</f>
        <v>0</v>
      </c>
      <c r="AR79" s="34">
        <f ca="1">IFERROR(SUMIFS('TRA balance'!I$5:I$40,'TRA balance'!$C$5:$C$40,Assumptions!$C79,'TRA balance'!$D$5:$D$40,Assumptions!$B79)*BW79*L79,"")</f>
        <v>4.2673516434306</v>
      </c>
      <c r="AS79" s="34">
        <f ca="1">IFERROR(SUMIFS('TRA balance'!J$5:J$40,'TRA balance'!$C$5:$C$40,Assumptions!$C79,'TRA balance'!$D$5:$D$40,Assumptions!$B79)*BX79*M79,"")</f>
        <v>5.33124252072</v>
      </c>
      <c r="AT79" s="34">
        <f ca="1">IFERROR(SUMIFS('TRA balance'!K$5:K$40,'TRA balance'!$C$5:$C$40,Assumptions!$C79,'TRA balance'!$D$5:$D$40,Assumptions!$B79)*BY79*N79,"")</f>
        <v>1.4249019924792001</v>
      </c>
      <c r="AU79" s="34">
        <f ca="1">IFERROR(SUMIFS('TRA balance'!L$5:L$40,'TRA balance'!$C$5:$C$40,Assumptions!$C79,'TRA balance'!$D$5:$D$40,Assumptions!$B79)*BZ79*O79,"")</f>
        <v>65.831040202136407</v>
      </c>
      <c r="AV79" s="34">
        <f ca="1">IFERROR(SUMIFS('TRA balance'!M$5:M$40,'TRA balance'!$C$5:$C$40,Assumptions!$C79,'TRA balance'!$D$5:$D$40,Assumptions!$B79)*CA79*P79,"")</f>
        <v>25.592816664769533</v>
      </c>
      <c r="AW79" s="34">
        <f ca="1">IFERROR(SUMIFS('TRA balance'!N$5:N$40,'TRA balance'!$C$5:$C$40,Assumptions!$C79,'TRA balance'!$D$5:$D$40,Assumptions!$B79)*CB79*Q79,"")</f>
        <v>19.295999910719999</v>
      </c>
      <c r="AX79" s="34">
        <f ca="1">IFERROR(SUMIFS('TRA balance'!O$5:O$40,'TRA balance'!$C$5:$C$40,Assumptions!$C79,'TRA balance'!$D$5:$D$40,Assumptions!$B79)*CC79*R79,"")</f>
        <v>0</v>
      </c>
      <c r="AY79" s="34">
        <f ca="1">IFERROR(SUMIFS('TRA balance'!P$5:P$40,'TRA balance'!$C$5:$C$40,Assumptions!$C79,'TRA balance'!$D$5:$D$40,Assumptions!$B79)*CD79*S79,"")</f>
        <v>0</v>
      </c>
      <c r="AZ79" s="34">
        <f ca="1">IFERROR(SUMIFS('TRA balance'!Q$5:Q$40,'TRA balance'!$C$5:$C$40,Assumptions!$C79,'TRA balance'!$D$5:$D$40,Assumptions!$B79)*CE79*T79,"")</f>
        <v>0</v>
      </c>
      <c r="BA79" s="34">
        <f ca="1">IFERROR(SUMIFS('TRA balance'!R$5:R$40,'TRA balance'!$C$5:$C$40,Assumptions!$C79,'TRA balance'!$D$5:$D$40,Assumptions!$B79)*CF79*U79,"")</f>
        <v>0</v>
      </c>
      <c r="BB79" s="34">
        <f ca="1">IFERROR(SUMIFS('TRA balance'!S$5:S$40,'TRA balance'!$C$5:$C$40,Assumptions!$C79,'TRA balance'!$D$5:$D$40,Assumptions!$B79)*CG79*V79,"")</f>
        <v>0</v>
      </c>
      <c r="BC79" s="34">
        <f ca="1">IFERROR(SUMIFS('TRA balance'!T$5:T$40,'TRA balance'!$C$5:$C$40,Assumptions!$C79,'TRA balance'!$D$5:$D$40,Assumptions!$B79)*CH79*W79,"")</f>
        <v>0</v>
      </c>
      <c r="BD79" s="34">
        <f ca="1">IFERROR(SUMIFS('TRA balance'!U$5:U$40,'TRA balance'!$C$5:$C$40,Assumptions!$C79,'TRA balance'!$D$5:$D$40,Assumptions!$B79)*CI79*X79,"")</f>
        <v>2.1329072476991997</v>
      </c>
      <c r="BE79" s="34">
        <f ca="1">IFERROR(SUMIFS('TRA balance'!V$5:V$40,'TRA balance'!$C$5:$C$40,Assumptions!$C79,'TRA balance'!$D$5:$D$40,Assumptions!$B79)*CJ79*Y79,"")</f>
        <v>0</v>
      </c>
      <c r="BF79" s="34">
        <f ca="1">IFERROR(SUMIFS('TRA balance'!W$5:W$40,'TRA balance'!$C$5:$C$40,Assumptions!$C79,'TRA balance'!$D$5:$D$40,Assumptions!$B79)*CK79*Z79,"")</f>
        <v>0</v>
      </c>
      <c r="BG79" s="34">
        <f ca="1">IFERROR(SUMIFS('TRA balance'!X$5:X$40,'TRA balance'!$C$5:$C$40,Assumptions!$C79,'TRA balance'!$D$5:$D$40,Assumptions!$B79)*CL79*AA79,"")</f>
        <v>1.8410408393400002</v>
      </c>
      <c r="BH79" s="34">
        <f ca="1">IFERROR(SUMIFS('TRA balance'!Y$5:Y$40,'TRA balance'!$C$5:$C$40,Assumptions!$C79,'TRA balance'!$D$5:$D$40,Assumptions!$B79)*CM79*AB79,"")</f>
        <v>8.519505102378</v>
      </c>
      <c r="BI79" s="34">
        <f ca="1">IFERROR(SUMIFS('TRA balance'!Z$5:Z$40,'TRA balance'!$C$5:$C$40,Assumptions!$C79,'TRA balance'!$D$5:$D$40,Assumptions!$B79)*CN79*AC79,"")</f>
        <v>0</v>
      </c>
      <c r="BJ79" s="34">
        <f ca="1">IFERROR(SUMIFS('TRA balance'!AA$5:AA$40,'TRA balance'!$C$5:$C$40,Assumptions!$C79,'TRA balance'!$D$5:$D$40,Assumptions!$B79)*CO79*AD79,"")</f>
        <v>0</v>
      </c>
      <c r="BK79" s="34">
        <f ca="1">IFERROR(SUMIFS('TRA balance'!AB$5:AB$40,'TRA balance'!$C$5:$C$40,Assumptions!$C79,'TRA balance'!$D$5:$D$40,Assumptions!$B79)*CP79*AE79,"")</f>
        <v>0</v>
      </c>
      <c r="BL79" s="34">
        <f ca="1">IFERROR(SUMIFS('TRA balance'!AC$5:AC$40,'TRA balance'!$C$5:$C$40,Assumptions!$C79,'TRA balance'!$D$5:$D$40,Assumptions!$B79)*CQ79*AF79,"")</f>
        <v>0</v>
      </c>
      <c r="BM79" s="34">
        <f ca="1">IFERROR(SUMIFS('TRA balance'!AD$5:AD$40,'TRA balance'!$C$5:$C$40,Assumptions!$C79,'TRA balance'!$D$5:$D$40,Assumptions!$B79)*CR79*AG79,"")</f>
        <v>0</v>
      </c>
      <c r="BN79" s="34">
        <f ca="1">IFERROR(SUMIFS('TRA balance'!AE$5:AE$40,'TRA balance'!$C$5:$C$40,Assumptions!$C79,'TRA balance'!$D$5:$D$40,Assumptions!$B79)*CS79*AH79,"")</f>
        <v>0</v>
      </c>
      <c r="BO79" s="34">
        <f ca="1">IFERROR(SUMIFS('TRA balance'!AF$5:AF$40,'TRA balance'!$C$5:$C$40,Assumptions!$C79,'TRA balance'!$D$5:$D$40,Assumptions!$B79)*CT79*AI79,"")</f>
        <v>0</v>
      </c>
      <c r="BP79" s="34">
        <f ca="1">IFERROR(SUMIFS('TRA balance'!AG$5:AG$40,'TRA balance'!$C$5:$C$40,Assumptions!$C79,'TRA balance'!$D$5:$D$40,Assumptions!$B79)*CU79*AJ79,"")</f>
        <v>454.30459527312001</v>
      </c>
      <c r="BQ79" s="34">
        <f ca="1">IFERROR(SUMIFS('TRA balance'!AH$5:AH$40,'TRA balance'!$C$5:$C$40,Assumptions!$C79,'TRA balance'!$D$5:$D$40,Assumptions!$B79)*CV79*AK79,"")</f>
        <v>0</v>
      </c>
      <c r="BS79" s="33">
        <f t="shared" ca="1" si="152"/>
        <v>1</v>
      </c>
      <c r="BT79" s="33">
        <f t="shared" ca="1" si="153"/>
        <v>1</v>
      </c>
      <c r="BU79" s="33">
        <f t="shared" ca="1" si="154"/>
        <v>0.9</v>
      </c>
      <c r="BV79" s="33">
        <f t="shared" ca="1" si="155"/>
        <v>0.7</v>
      </c>
      <c r="BW79" s="33">
        <f t="shared" ca="1" si="156"/>
        <v>0.9</v>
      </c>
      <c r="BX79" s="33">
        <f t="shared" ca="1" si="157"/>
        <v>1</v>
      </c>
      <c r="BY79" s="33">
        <f t="shared" ca="1" si="158"/>
        <v>0.9</v>
      </c>
      <c r="BZ79" s="33">
        <f t="shared" ca="1" si="159"/>
        <v>0.9</v>
      </c>
      <c r="CA79" s="33">
        <f t="shared" ca="1" si="160"/>
        <v>0.96</v>
      </c>
      <c r="CB79" s="33">
        <f t="shared" ca="1" si="161"/>
        <v>0.9</v>
      </c>
      <c r="CC79" s="33">
        <f t="shared" ca="1" si="162"/>
        <v>0.97</v>
      </c>
      <c r="CD79" s="33">
        <f t="shared" ca="1" si="163"/>
        <v>0.97</v>
      </c>
      <c r="CE79" s="33">
        <f t="shared" ca="1" si="164"/>
        <v>0.97</v>
      </c>
      <c r="CF79" s="33">
        <f t="shared" ca="1" si="165"/>
        <v>0.97</v>
      </c>
      <c r="CG79" s="33">
        <f t="shared" ca="1" si="166"/>
        <v>0.97</v>
      </c>
      <c r="CH79" s="33">
        <f t="shared" ca="1" si="167"/>
        <v>0.97</v>
      </c>
      <c r="CI79" s="33">
        <f t="shared" ca="1" si="168"/>
        <v>0.7</v>
      </c>
      <c r="CJ79" s="33">
        <f t="shared" ca="1" si="169"/>
        <v>0.97</v>
      </c>
      <c r="CK79" s="33">
        <f t="shared" ca="1" si="170"/>
        <v>0.97</v>
      </c>
      <c r="CL79" s="33">
        <f t="shared" ca="1" si="171"/>
        <v>1</v>
      </c>
      <c r="CM79" s="33">
        <f t="shared" ca="1" si="172"/>
        <v>0.9</v>
      </c>
      <c r="CN79" s="33">
        <f t="shared" ca="1" si="173"/>
        <v>0.95</v>
      </c>
      <c r="CO79" s="33">
        <f t="shared" ca="1" si="174"/>
        <v>0.7</v>
      </c>
      <c r="CP79" s="33">
        <f t="shared" ca="1" si="175"/>
        <v>0.97</v>
      </c>
      <c r="CQ79" s="33">
        <f t="shared" ca="1" si="176"/>
        <v>0.7</v>
      </c>
      <c r="CR79" s="33">
        <f t="shared" ca="1" si="177"/>
        <v>0.7</v>
      </c>
      <c r="CS79" s="33">
        <f t="shared" ca="1" si="178"/>
        <v>1</v>
      </c>
      <c r="CT79" s="33">
        <f t="shared" ca="1" si="179"/>
        <v>0.97</v>
      </c>
      <c r="CU79" s="33">
        <f t="shared" ca="1" si="180"/>
        <v>0.8</v>
      </c>
      <c r="CV79" s="33">
        <f t="shared" ca="1" si="181"/>
        <v>0.8</v>
      </c>
    </row>
    <row r="80" spans="1:100" x14ac:dyDescent="0.45">
      <c r="A80">
        <v>1</v>
      </c>
      <c r="B80" t="str">
        <f>VLOOKUP(F80,'TRA balance'!$AK$5:$AL$14,2,FALSE)</f>
        <v>TRABGS</v>
      </c>
      <c r="C80" s="6" t="str">
        <f t="shared" si="185"/>
        <v>TR</v>
      </c>
      <c r="D80" s="7" t="s">
        <v>16</v>
      </c>
      <c r="E80" s="18" t="s">
        <v>65</v>
      </c>
      <c r="F80" s="8" t="str">
        <f t="shared" si="198"/>
        <v>Bio Gasoline</v>
      </c>
      <c r="G80" s="6" t="s">
        <v>66</v>
      </c>
      <c r="H80" s="9">
        <f ca="1">OFFSET(TIAM15_assumptions!$G80,0,MATCH(VLOOKUP(Assumptions!H$2,TIAM15_assumptions!$Y$3:$Z$36,2,FALSE),TIAM15_assumptions!$H$2:$V$2,0))</f>
        <v>0.1</v>
      </c>
      <c r="I80" s="9">
        <f ca="1">OFFSET(TIAM15_assumptions!$G80,0,MATCH(VLOOKUP(Assumptions!I$2,TIAM15_assumptions!$Y$3:$Z$36,2,FALSE),TIAM15_assumptions!$H$2:$V$2,0))</f>
        <v>0.1</v>
      </c>
      <c r="J80" s="9">
        <f ca="1">OFFSET(TIAM15_assumptions!$G80,0,MATCH(VLOOKUP(Assumptions!J$2,TIAM15_assumptions!$Y$3:$Z$36,2,FALSE),TIAM15_assumptions!$H$2:$V$2,0))</f>
        <v>5.0000000000000001E-3</v>
      </c>
      <c r="K80" s="9">
        <f ca="1">OFFSET(TIAM15_assumptions!$G80,0,MATCH(VLOOKUP(Assumptions!K$2,TIAM15_assumptions!$Y$3:$Z$36,2,FALSE),TIAM15_assumptions!$H$2:$V$2,0))</f>
        <v>5.0000000000000001E-3</v>
      </c>
      <c r="L80" s="9">
        <f ca="1">OFFSET(TIAM15_assumptions!$G80,0,MATCH(VLOOKUP(Assumptions!L$2,TIAM15_assumptions!$Y$3:$Z$36,2,FALSE),TIAM15_assumptions!$H$2:$V$2,0))</f>
        <v>5.0000000000000001E-3</v>
      </c>
      <c r="M80" s="9">
        <f ca="1">OFFSET(TIAM15_assumptions!$G80,0,MATCH(VLOOKUP(Assumptions!M$2,TIAM15_assumptions!$Y$3:$Z$36,2,FALSE),TIAM15_assumptions!$H$2:$V$2,0))</f>
        <v>0.1</v>
      </c>
      <c r="N80" s="9">
        <f ca="1">OFFSET(TIAM15_assumptions!$G80,0,MATCH(VLOOKUP(Assumptions!N$2,TIAM15_assumptions!$Y$3:$Z$36,2,FALSE),TIAM15_assumptions!$H$2:$V$2,0))</f>
        <v>0</v>
      </c>
      <c r="O80" s="9">
        <f ca="1">OFFSET(TIAM15_assumptions!$G80,0,MATCH(VLOOKUP(Assumptions!O$2,TIAM15_assumptions!$Y$3:$Z$36,2,FALSE),TIAM15_assumptions!$H$2:$V$2,0))</f>
        <v>5.0000000000000001E-3</v>
      </c>
      <c r="P80" s="9">
        <f ca="1">OFFSET(TIAM15_assumptions!$G80,0,MATCH(VLOOKUP(Assumptions!P$2,TIAM15_assumptions!$Y$3:$Z$36,2,FALSE),TIAM15_assumptions!$H$2:$V$2,0))</f>
        <v>0</v>
      </c>
      <c r="Q80" s="9">
        <f ca="1">OFFSET(TIAM15_assumptions!$G80,0,MATCH(VLOOKUP(Assumptions!Q$2,TIAM15_assumptions!$Y$3:$Z$36,2,FALSE),TIAM15_assumptions!$H$2:$V$2,0))</f>
        <v>0</v>
      </c>
      <c r="R80" s="9">
        <f ca="1">OFFSET(TIAM15_assumptions!$G80,0,MATCH(VLOOKUP(Assumptions!R$2,TIAM15_assumptions!$Y$3:$Z$36,2,FALSE),TIAM15_assumptions!$H$2:$V$2,0))</f>
        <v>5.0000000000000044E-3</v>
      </c>
      <c r="S80" s="9">
        <f ca="1">OFFSET(TIAM15_assumptions!$G80,0,MATCH(VLOOKUP(Assumptions!S$2,TIAM15_assumptions!$Y$3:$Z$36,2,FALSE),TIAM15_assumptions!$H$2:$V$2,0))</f>
        <v>2.5000000000000022E-3</v>
      </c>
      <c r="T80" s="9">
        <f ca="1">OFFSET(TIAM15_assumptions!$G80,0,MATCH(VLOOKUP(Assumptions!T$2,TIAM15_assumptions!$Y$3:$Z$36,2,FALSE),TIAM15_assumptions!$H$2:$V$2,0))</f>
        <v>5.0000000000000044E-3</v>
      </c>
      <c r="U80" s="9">
        <f ca="1">OFFSET(TIAM15_assumptions!$G80,0,MATCH(VLOOKUP(Assumptions!U$2,TIAM15_assumptions!$Y$3:$Z$36,2,FALSE),TIAM15_assumptions!$H$2:$V$2,0))</f>
        <v>5.0000000000000044E-3</v>
      </c>
      <c r="V80" s="9">
        <f ca="1">OFFSET(TIAM15_assumptions!$G80,0,MATCH(VLOOKUP(Assumptions!V$2,TIAM15_assumptions!$Y$3:$Z$36,2,FALSE),TIAM15_assumptions!$H$2:$V$2,0))</f>
        <v>2.5000000000000022E-3</v>
      </c>
      <c r="W80" s="9">
        <f ca="1">OFFSET(TIAM15_assumptions!$G80,0,MATCH(VLOOKUP(Assumptions!W$2,TIAM15_assumptions!$Y$3:$Z$36,2,FALSE),TIAM15_assumptions!$H$2:$V$2,0))</f>
        <v>5.0000000000000044E-3</v>
      </c>
      <c r="X80" s="9">
        <f ca="1">OFFSET(TIAM15_assumptions!$G80,0,MATCH(VLOOKUP(Assumptions!X$2,TIAM15_assumptions!$Y$3:$Z$36,2,FALSE),TIAM15_assumptions!$H$2:$V$2,0))</f>
        <v>0.01</v>
      </c>
      <c r="Y80" s="9">
        <f ca="1">OFFSET(TIAM15_assumptions!$G80,0,MATCH(VLOOKUP(Assumptions!Y$2,TIAM15_assumptions!$Y$3:$Z$36,2,FALSE),TIAM15_assumptions!$H$2:$V$2,0))</f>
        <v>5.0000000000000044E-3</v>
      </c>
      <c r="Z80" s="9">
        <f ca="1">OFFSET(TIAM15_assumptions!$G80,0,MATCH(VLOOKUP(Assumptions!Z$2,TIAM15_assumptions!$Y$3:$Z$36,2,FALSE),TIAM15_assumptions!$H$2:$V$2,0))</f>
        <v>5.0000000000000044E-3</v>
      </c>
      <c r="AA80" s="9">
        <f ca="1">OFFSET(TIAM15_assumptions!$G80,0,MATCH(VLOOKUP(Assumptions!AA$2,TIAM15_assumptions!$Y$3:$Z$36,2,FALSE),TIAM15_assumptions!$H$2:$V$2,0))</f>
        <v>0.1</v>
      </c>
      <c r="AB80" s="9">
        <f ca="1">OFFSET(TIAM15_assumptions!$G80,0,MATCH(VLOOKUP(Assumptions!AB$2,TIAM15_assumptions!$Y$3:$Z$36,2,FALSE),TIAM15_assumptions!$H$2:$V$2,0))</f>
        <v>5.0000000000000001E-3</v>
      </c>
      <c r="AC80" s="9">
        <f ca="1">OFFSET(TIAM15_assumptions!$G80,0,MATCH(VLOOKUP(Assumptions!AC$2,TIAM15_assumptions!$Y$3:$Z$36,2,FALSE),TIAM15_assumptions!$H$2:$V$2,0))</f>
        <v>5.0000000000000001E-3</v>
      </c>
      <c r="AD80" s="9">
        <f ca="1">OFFSET(TIAM15_assumptions!$G80,0,MATCH(VLOOKUP(Assumptions!AD$2,TIAM15_assumptions!$Y$3:$Z$36,2,FALSE),TIAM15_assumptions!$H$2:$V$2,0))</f>
        <v>0.01</v>
      </c>
      <c r="AE80" s="9">
        <f ca="1">OFFSET(TIAM15_assumptions!$G80,0,MATCH(VLOOKUP(Assumptions!AE$2,TIAM15_assumptions!$Y$3:$Z$36,2,FALSE),TIAM15_assumptions!$H$2:$V$2,0))</f>
        <v>5.0000000000000044E-3</v>
      </c>
      <c r="AF80" s="9">
        <f ca="1">OFFSET(TIAM15_assumptions!$G80,0,MATCH(VLOOKUP(Assumptions!AF$2,TIAM15_assumptions!$Y$3:$Z$36,2,FALSE),TIAM15_assumptions!$H$2:$V$2,0))</f>
        <v>5.0000000000000001E-3</v>
      </c>
      <c r="AG80" s="9">
        <f ca="1">OFFSET(TIAM15_assumptions!$G80,0,MATCH(VLOOKUP(Assumptions!AG$2,TIAM15_assumptions!$Y$3:$Z$36,2,FALSE),TIAM15_assumptions!$H$2:$V$2,0))</f>
        <v>0.01</v>
      </c>
      <c r="AH80" s="9">
        <f ca="1">OFFSET(TIAM15_assumptions!$G80,0,MATCH(VLOOKUP(Assumptions!AH$2,TIAM15_assumptions!$Y$3:$Z$36,2,FALSE),TIAM15_assumptions!$H$2:$V$2,0))</f>
        <v>0.1</v>
      </c>
      <c r="AI80" s="9">
        <f ca="1">OFFSET(TIAM15_assumptions!$G80,0,MATCH(VLOOKUP(Assumptions!AI$2,TIAM15_assumptions!$Y$3:$Z$36,2,FALSE),TIAM15_assumptions!$H$2:$V$2,0))</f>
        <v>5.0000000000000044E-3</v>
      </c>
      <c r="AJ80" s="9">
        <f ca="1">OFFSET(TIAM15_assumptions!$G80,0,MATCH(VLOOKUP(Assumptions!AJ$2,TIAM15_assumptions!$Y$3:$Z$36,2,FALSE),TIAM15_assumptions!$H$2:$V$2,0))</f>
        <v>1E-3</v>
      </c>
      <c r="AK80" s="9">
        <f ca="1">OFFSET(TIAM15_assumptions!$G80,0,MATCH(VLOOKUP(Assumptions!AK$2,TIAM15_assumptions!$Y$3:$Z$36,2,FALSE),TIAM15_assumptions!$H$2:$V$2,0))</f>
        <v>1E-3</v>
      </c>
      <c r="AN80" s="34">
        <f ca="1">IFERROR(SUMIFS('TRA balance'!E$5:E$40,'TRA balance'!$C$5:$C$40,Assumptions!$C80,'TRA balance'!$D$5:$D$40,Assumptions!$B80)*BS80*H80,"")</f>
        <v>0</v>
      </c>
      <c r="AO80" s="34">
        <f ca="1">IFERROR(SUMIFS('TRA balance'!F$5:F$40,'TRA balance'!$C$5:$C$40,Assumptions!$C80,'TRA balance'!$D$5:$D$40,Assumptions!$B80)*BT80*I80,"")</f>
        <v>0.19221473196000002</v>
      </c>
      <c r="AP80" s="34">
        <f ca="1">IFERROR(SUMIFS('TRA balance'!G$5:G$40,'TRA balance'!$C$5:$C$40,Assumptions!$C80,'TRA balance'!$D$5:$D$40,Assumptions!$B80)*BU80*J80,"")</f>
        <v>0.10149152379120001</v>
      </c>
      <c r="AQ80" s="34">
        <f ca="1">IFERROR(SUMIFS('TRA balance'!H$5:H$40,'TRA balance'!$C$5:$C$40,Assumptions!$C80,'TRA balance'!$D$5:$D$40,Assumptions!$B80)*BV80*K80,"")</f>
        <v>0</v>
      </c>
      <c r="AR80" s="34">
        <f ca="1">IFERROR(SUMIFS('TRA balance'!I$5:I$40,'TRA balance'!$C$5:$C$40,Assumptions!$C80,'TRA balance'!$D$5:$D$40,Assumptions!$B80)*BW80*L80,"")</f>
        <v>7.4865818305800011E-2</v>
      </c>
      <c r="AS80" s="34">
        <f ca="1">IFERROR(SUMIFS('TRA balance'!J$5:J$40,'TRA balance'!$C$5:$C$40,Assumptions!$C80,'TRA balance'!$D$5:$D$40,Assumptions!$B80)*BX80*M80,"")</f>
        <v>5.33124252072</v>
      </c>
      <c r="AT80" s="34">
        <f ca="1">IFERROR(SUMIFS('TRA balance'!K$5:K$40,'TRA balance'!$C$5:$C$40,Assumptions!$C80,'TRA balance'!$D$5:$D$40,Assumptions!$B80)*BY80*N80,"")</f>
        <v>0</v>
      </c>
      <c r="AU80" s="34">
        <f ca="1">IFERROR(SUMIFS('TRA balance'!L$5:L$40,'TRA balance'!$C$5:$C$40,Assumptions!$C80,'TRA balance'!$D$5:$D$40,Assumptions!$B80)*BZ80*O80,"")</f>
        <v>1.0617909710022</v>
      </c>
      <c r="AV80" s="34">
        <f ca="1">IFERROR(SUMIFS('TRA balance'!M$5:M$40,'TRA balance'!$C$5:$C$40,Assumptions!$C80,'TRA balance'!$D$5:$D$40,Assumptions!$B80)*CA80*P80,"")</f>
        <v>0</v>
      </c>
      <c r="AW80" s="34">
        <f ca="1">IFERROR(SUMIFS('TRA balance'!N$5:N$40,'TRA balance'!$C$5:$C$40,Assumptions!$C80,'TRA balance'!$D$5:$D$40,Assumptions!$B80)*CB80*Q80,"")</f>
        <v>0</v>
      </c>
      <c r="AX80" s="34">
        <f ca="1">IFERROR(SUMIFS('TRA balance'!O$5:O$40,'TRA balance'!$C$5:$C$40,Assumptions!$C80,'TRA balance'!$D$5:$D$40,Assumptions!$B80)*CC80*R80,"")</f>
        <v>4.5492157091340038E-2</v>
      </c>
      <c r="AY80" s="34">
        <f ca="1">IFERROR(SUMIFS('TRA balance'!P$5:P$40,'TRA balance'!$C$5:$C$40,Assumptions!$C80,'TRA balance'!$D$5:$D$40,Assumptions!$B80)*CD80*S80,"")</f>
        <v>3.6713181381030031E-2</v>
      </c>
      <c r="AZ80" s="34">
        <f ca="1">IFERROR(SUMIFS('TRA balance'!Q$5:Q$40,'TRA balance'!$C$5:$C$40,Assumptions!$C80,'TRA balance'!$D$5:$D$40,Assumptions!$B80)*CE80*T80,"")</f>
        <v>7.5929846424300076E-2</v>
      </c>
      <c r="BA80" s="34">
        <f ca="1">IFERROR(SUMIFS('TRA balance'!R$5:R$40,'TRA balance'!$C$5:$C$40,Assumptions!$C80,'TRA balance'!$D$5:$D$40,Assumptions!$B80)*CF80*U80,"")</f>
        <v>1.128815519994001E-2</v>
      </c>
      <c r="BB80" s="34">
        <f ca="1">IFERROR(SUMIFS('TRA balance'!S$5:S$40,'TRA balance'!$C$5:$C$40,Assumptions!$C80,'TRA balance'!$D$5:$D$40,Assumptions!$B80)*CG80*V80,"")</f>
        <v>1.8333274348980015E-2</v>
      </c>
      <c r="BC80" s="34">
        <f ca="1">IFERROR(SUMIFS('TRA balance'!T$5:T$40,'TRA balance'!$C$5:$C$40,Assumptions!$C80,'TRA balance'!$D$5:$D$40,Assumptions!$B80)*CH80*W80,"")</f>
        <v>2.8118644887060024E-2</v>
      </c>
      <c r="BD80" s="34">
        <f ca="1">IFERROR(SUMIFS('TRA balance'!U$5:U$40,'TRA balance'!$C$5:$C$40,Assumptions!$C80,'TRA balance'!$D$5:$D$40,Assumptions!$B80)*CI80*X80,"")</f>
        <v>5.0783505897599994E-2</v>
      </c>
      <c r="BE80" s="34">
        <f ca="1">IFERROR(SUMIFS('TRA balance'!V$5:V$40,'TRA balance'!$C$5:$C$40,Assumptions!$C80,'TRA balance'!$D$5:$D$40,Assumptions!$B80)*CJ80*Y80,"")</f>
        <v>0.13265687582406013</v>
      </c>
      <c r="BF80" s="34">
        <f ca="1">IFERROR(SUMIFS('TRA balance'!W$5:W$40,'TRA balance'!$C$5:$C$40,Assumptions!$C80,'TRA balance'!$D$5:$D$40,Assumptions!$B80)*CK80*Z80,"")</f>
        <v>0.14597284710474012</v>
      </c>
      <c r="BG80" s="34">
        <f ca="1">IFERROR(SUMIFS('TRA balance'!X$5:X$40,'TRA balance'!$C$5:$C$40,Assumptions!$C80,'TRA balance'!$D$5:$D$40,Assumptions!$B80)*CL80*AA80,"")</f>
        <v>3.6820816786800004</v>
      </c>
      <c r="BH80" s="34">
        <f ca="1">IFERROR(SUMIFS('TRA balance'!Y$5:Y$40,'TRA balance'!$C$5:$C$40,Assumptions!$C80,'TRA balance'!$D$5:$D$40,Assumptions!$B80)*CM80*AB80,"")</f>
        <v>0.13741137261900002</v>
      </c>
      <c r="BI80" s="34">
        <f ca="1">IFERROR(SUMIFS('TRA balance'!Z$5:Z$40,'TRA balance'!$C$5:$C$40,Assumptions!$C80,'TRA balance'!$D$5:$D$40,Assumptions!$B80)*CN80*AC80,"")</f>
        <v>0</v>
      </c>
      <c r="BJ80" s="34">
        <f ca="1">IFERROR(SUMIFS('TRA balance'!AA$5:AA$40,'TRA balance'!$C$5:$C$40,Assumptions!$C80,'TRA balance'!$D$5:$D$40,Assumptions!$B80)*CO80*AD80,"")</f>
        <v>0</v>
      </c>
      <c r="BK80" s="34">
        <f ca="1">IFERROR(SUMIFS('TRA balance'!AB$5:AB$40,'TRA balance'!$C$5:$C$40,Assumptions!$C80,'TRA balance'!$D$5:$D$40,Assumptions!$B80)*CP80*AE80,"")</f>
        <v>9.4691048995800085E-3</v>
      </c>
      <c r="BL80" s="34">
        <f ca="1">IFERROR(SUMIFS('TRA balance'!AC$5:AC$40,'TRA balance'!$C$5:$C$40,Assumptions!$C80,'TRA balance'!$D$5:$D$40,Assumptions!$B80)*CQ80*AF80,"")</f>
        <v>0</v>
      </c>
      <c r="BM80" s="34">
        <f ca="1">IFERROR(SUMIFS('TRA balance'!AD$5:AD$40,'TRA balance'!$C$5:$C$40,Assumptions!$C80,'TRA balance'!$D$5:$D$40,Assumptions!$B80)*CR80*AG80,"")</f>
        <v>0</v>
      </c>
      <c r="BN80" s="34">
        <f ca="1">IFERROR(SUMIFS('TRA balance'!AE$5:AE$40,'TRA balance'!$C$5:$C$40,Assumptions!$C80,'TRA balance'!$D$5:$D$40,Assumptions!$B80)*CS80*AH80,"")</f>
        <v>0</v>
      </c>
      <c r="BO80" s="34">
        <f ca="1">IFERROR(SUMIFS('TRA balance'!AF$5:AF$40,'TRA balance'!$C$5:$C$40,Assumptions!$C80,'TRA balance'!$D$5:$D$40,Assumptions!$B80)*CT80*AI80,"")</f>
        <v>7.7673338173080059E-2</v>
      </c>
      <c r="BP80" s="34">
        <f ca="1">IFERROR(SUMIFS('TRA balance'!AG$5:AG$40,'TRA balance'!$C$5:$C$40,Assumptions!$C80,'TRA balance'!$D$5:$D$40,Assumptions!$B80)*CU80*AJ80,"")</f>
        <v>1.0947098681280001</v>
      </c>
      <c r="BQ80" s="34">
        <f ca="1">IFERROR(SUMIFS('TRA balance'!AH$5:AH$40,'TRA balance'!$C$5:$C$40,Assumptions!$C80,'TRA balance'!$D$5:$D$40,Assumptions!$B80)*CV80*AK80,"")</f>
        <v>0</v>
      </c>
      <c r="BS80" s="33">
        <f t="shared" ca="1" si="152"/>
        <v>1</v>
      </c>
      <c r="BT80" s="33">
        <f t="shared" ca="1" si="153"/>
        <v>1</v>
      </c>
      <c r="BU80" s="33">
        <f t="shared" ca="1" si="154"/>
        <v>0.9</v>
      </c>
      <c r="BV80" s="33">
        <f t="shared" ca="1" si="155"/>
        <v>0.7</v>
      </c>
      <c r="BW80" s="33">
        <f t="shared" ca="1" si="156"/>
        <v>0.9</v>
      </c>
      <c r="BX80" s="33">
        <f t="shared" ca="1" si="157"/>
        <v>1</v>
      </c>
      <c r="BY80" s="33">
        <f t="shared" ca="1" si="158"/>
        <v>0.9</v>
      </c>
      <c r="BZ80" s="33">
        <f t="shared" ca="1" si="159"/>
        <v>0.9</v>
      </c>
      <c r="CA80" s="33">
        <f t="shared" ca="1" si="160"/>
        <v>0.96</v>
      </c>
      <c r="CB80" s="33">
        <f t="shared" ca="1" si="161"/>
        <v>0.9</v>
      </c>
      <c r="CC80" s="33">
        <f t="shared" ca="1" si="162"/>
        <v>0.97</v>
      </c>
      <c r="CD80" s="33">
        <f t="shared" ca="1" si="163"/>
        <v>0.97</v>
      </c>
      <c r="CE80" s="33">
        <f t="shared" ca="1" si="164"/>
        <v>0.97</v>
      </c>
      <c r="CF80" s="33">
        <f t="shared" ca="1" si="165"/>
        <v>0.97</v>
      </c>
      <c r="CG80" s="33">
        <f t="shared" ca="1" si="166"/>
        <v>0.97</v>
      </c>
      <c r="CH80" s="33">
        <f t="shared" ca="1" si="167"/>
        <v>0.97</v>
      </c>
      <c r="CI80" s="33">
        <f t="shared" ca="1" si="168"/>
        <v>0.7</v>
      </c>
      <c r="CJ80" s="33">
        <f t="shared" ca="1" si="169"/>
        <v>0.97</v>
      </c>
      <c r="CK80" s="33">
        <f t="shared" ca="1" si="170"/>
        <v>0.97</v>
      </c>
      <c r="CL80" s="33">
        <f t="shared" ca="1" si="171"/>
        <v>1</v>
      </c>
      <c r="CM80" s="33">
        <f t="shared" ca="1" si="172"/>
        <v>0.9</v>
      </c>
      <c r="CN80" s="33">
        <f t="shared" ca="1" si="173"/>
        <v>0.95</v>
      </c>
      <c r="CO80" s="33">
        <f t="shared" ca="1" si="174"/>
        <v>0.7</v>
      </c>
      <c r="CP80" s="33">
        <f t="shared" ca="1" si="175"/>
        <v>0.97</v>
      </c>
      <c r="CQ80" s="33">
        <f t="shared" ca="1" si="176"/>
        <v>0.7</v>
      </c>
      <c r="CR80" s="33">
        <f t="shared" ca="1" si="177"/>
        <v>0.7</v>
      </c>
      <c r="CS80" s="33">
        <f t="shared" ca="1" si="178"/>
        <v>1</v>
      </c>
      <c r="CT80" s="33">
        <f t="shared" ca="1" si="179"/>
        <v>0.97</v>
      </c>
      <c r="CU80" s="33">
        <f t="shared" ca="1" si="180"/>
        <v>0.8</v>
      </c>
      <c r="CV80" s="33">
        <f t="shared" ca="1" si="181"/>
        <v>0.8</v>
      </c>
    </row>
    <row r="81" spans="1:100" x14ac:dyDescent="0.45">
      <c r="A81">
        <v>1</v>
      </c>
      <c r="B81" t="str">
        <f>VLOOKUP(F81,'TRA balance'!$AK$5:$AL$14,2,FALSE)</f>
        <v>TRABGS</v>
      </c>
      <c r="C81" s="6" t="str">
        <f t="shared" si="185"/>
        <v>TR</v>
      </c>
      <c r="D81" s="7" t="s">
        <v>16</v>
      </c>
      <c r="E81" s="18" t="s">
        <v>67</v>
      </c>
      <c r="F81" s="8" t="str">
        <f t="shared" si="198"/>
        <v>Bio Gasoline</v>
      </c>
      <c r="G81" s="6" t="s">
        <v>68</v>
      </c>
      <c r="H81" s="9">
        <f ca="1">OFFSET(TIAM15_assumptions!$G81,0,MATCH(VLOOKUP(Assumptions!H$2,TIAM15_assumptions!$Y$3:$Z$36,2,FALSE),TIAM15_assumptions!$H$2:$V$2,0))</f>
        <v>0.35</v>
      </c>
      <c r="I81" s="9">
        <f ca="1">OFFSET(TIAM15_assumptions!$G81,0,MATCH(VLOOKUP(Assumptions!I$2,TIAM15_assumptions!$Y$3:$Z$36,2,FALSE),TIAM15_assumptions!$H$2:$V$2,0))</f>
        <v>0.35</v>
      </c>
      <c r="J81" s="9">
        <f ca="1">OFFSET(TIAM15_assumptions!$G81,0,MATCH(VLOOKUP(Assumptions!J$2,TIAM15_assumptions!$Y$3:$Z$36,2,FALSE),TIAM15_assumptions!$H$2:$V$2,0))</f>
        <v>1.4999999999999999E-2</v>
      </c>
      <c r="K81" s="9">
        <f ca="1">OFFSET(TIAM15_assumptions!$G81,0,MATCH(VLOOKUP(Assumptions!K$2,TIAM15_assumptions!$Y$3:$Z$36,2,FALSE),TIAM15_assumptions!$H$2:$V$2,0))</f>
        <v>1.4999999999999999E-2</v>
      </c>
      <c r="L81" s="9">
        <f ca="1">OFFSET(TIAM15_assumptions!$G81,0,MATCH(VLOOKUP(Assumptions!L$2,TIAM15_assumptions!$Y$3:$Z$36,2,FALSE),TIAM15_assumptions!$H$2:$V$2,0))</f>
        <v>0.01</v>
      </c>
      <c r="M81" s="9">
        <f ca="1">OFFSET(TIAM15_assumptions!$G81,0,MATCH(VLOOKUP(Assumptions!M$2,TIAM15_assumptions!$Y$3:$Z$36,2,FALSE),TIAM15_assumptions!$H$2:$V$2,0))</f>
        <v>0.35</v>
      </c>
      <c r="N81" s="9">
        <f ca="1">OFFSET(TIAM15_assumptions!$G81,0,MATCH(VLOOKUP(Assumptions!N$2,TIAM15_assumptions!$Y$3:$Z$36,2,FALSE),TIAM15_assumptions!$H$2:$V$2,0))</f>
        <v>0.02</v>
      </c>
      <c r="O81" s="9">
        <f ca="1">OFFSET(TIAM15_assumptions!$G81,0,MATCH(VLOOKUP(Assumptions!O$2,TIAM15_assumptions!$Y$3:$Z$36,2,FALSE),TIAM15_assumptions!$H$2:$V$2,0))</f>
        <v>1.4999999999999999E-2</v>
      </c>
      <c r="P81" s="9">
        <f ca="1">OFFSET(TIAM15_assumptions!$G81,0,MATCH(VLOOKUP(Assumptions!P$2,TIAM15_assumptions!$Y$3:$Z$36,2,FALSE),TIAM15_assumptions!$H$2:$V$2,0))</f>
        <v>1E-3</v>
      </c>
      <c r="Q81" s="9">
        <f ca="1">OFFSET(TIAM15_assumptions!$G81,0,MATCH(VLOOKUP(Assumptions!Q$2,TIAM15_assumptions!$Y$3:$Z$36,2,FALSE),TIAM15_assumptions!$H$2:$V$2,0))</f>
        <v>0.3</v>
      </c>
      <c r="R81" s="9">
        <f ca="1">OFFSET(TIAM15_assumptions!$G81,0,MATCH(VLOOKUP(Assumptions!R$2,TIAM15_assumptions!$Y$3:$Z$36,2,FALSE),TIAM15_assumptions!$H$2:$V$2,0))</f>
        <v>1.5000000000000013E-2</v>
      </c>
      <c r="S81" s="9">
        <f ca="1">OFFSET(TIAM15_assumptions!$G81,0,MATCH(VLOOKUP(Assumptions!S$2,TIAM15_assumptions!$Y$3:$Z$36,2,FALSE),TIAM15_assumptions!$H$2:$V$2,0))</f>
        <v>7.5000000000000067E-3</v>
      </c>
      <c r="T81" s="9">
        <f ca="1">OFFSET(TIAM15_assumptions!$G81,0,MATCH(VLOOKUP(Assumptions!T$2,TIAM15_assumptions!$Y$3:$Z$36,2,FALSE),TIAM15_assumptions!$H$2:$V$2,0))</f>
        <v>1.5000000000000013E-2</v>
      </c>
      <c r="U81" s="9">
        <f ca="1">OFFSET(TIAM15_assumptions!$G81,0,MATCH(VLOOKUP(Assumptions!U$2,TIAM15_assumptions!$Y$3:$Z$36,2,FALSE),TIAM15_assumptions!$H$2:$V$2,0))</f>
        <v>1.5000000000000013E-2</v>
      </c>
      <c r="V81" s="9">
        <f ca="1">OFFSET(TIAM15_assumptions!$G81,0,MATCH(VLOOKUP(Assumptions!V$2,TIAM15_assumptions!$Y$3:$Z$36,2,FALSE),TIAM15_assumptions!$H$2:$V$2,0))</f>
        <v>7.5000000000000067E-3</v>
      </c>
      <c r="W81" s="9">
        <f ca="1">OFFSET(TIAM15_assumptions!$G81,0,MATCH(VLOOKUP(Assumptions!W$2,TIAM15_assumptions!$Y$3:$Z$36,2,FALSE),TIAM15_assumptions!$H$2:$V$2,0))</f>
        <v>1.5000000000000013E-2</v>
      </c>
      <c r="X81" s="9">
        <f ca="1">OFFSET(TIAM15_assumptions!$G81,0,MATCH(VLOOKUP(Assumptions!X$2,TIAM15_assumptions!$Y$3:$Z$36,2,FALSE),TIAM15_assumptions!$H$2:$V$2,0))</f>
        <v>0.02</v>
      </c>
      <c r="Y81" s="9">
        <f ca="1">OFFSET(TIAM15_assumptions!$G81,0,MATCH(VLOOKUP(Assumptions!Y$2,TIAM15_assumptions!$Y$3:$Z$36,2,FALSE),TIAM15_assumptions!$H$2:$V$2,0))</f>
        <v>1.5000000000000013E-2</v>
      </c>
      <c r="Z81" s="9">
        <f ca="1">OFFSET(TIAM15_assumptions!$G81,0,MATCH(VLOOKUP(Assumptions!Z$2,TIAM15_assumptions!$Y$3:$Z$36,2,FALSE),TIAM15_assumptions!$H$2:$V$2,0))</f>
        <v>1.5000000000000013E-2</v>
      </c>
      <c r="AA81" s="9">
        <f ca="1">OFFSET(TIAM15_assumptions!$G81,0,MATCH(VLOOKUP(Assumptions!AA$2,TIAM15_assumptions!$Y$3:$Z$36,2,FALSE),TIAM15_assumptions!$H$2:$V$2,0))</f>
        <v>0.4</v>
      </c>
      <c r="AB81" s="9">
        <f ca="1">OFFSET(TIAM15_assumptions!$G81,0,MATCH(VLOOKUP(Assumptions!AB$2,TIAM15_assumptions!$Y$3:$Z$36,2,FALSE),TIAM15_assumptions!$H$2:$V$2,0))</f>
        <v>1.4999999999999999E-2</v>
      </c>
      <c r="AC81" s="9">
        <f ca="1">OFFSET(TIAM15_assumptions!$G81,0,MATCH(VLOOKUP(Assumptions!AC$2,TIAM15_assumptions!$Y$3:$Z$36,2,FALSE),TIAM15_assumptions!$H$2:$V$2,0))</f>
        <v>6.5000000000000002E-2</v>
      </c>
      <c r="AD81" s="9">
        <f ca="1">OFFSET(TIAM15_assumptions!$G81,0,MATCH(VLOOKUP(Assumptions!AD$2,TIAM15_assumptions!$Y$3:$Z$36,2,FALSE),TIAM15_assumptions!$H$2:$V$2,0))</f>
        <v>0.02</v>
      </c>
      <c r="AE81" s="9">
        <f ca="1">OFFSET(TIAM15_assumptions!$G81,0,MATCH(VLOOKUP(Assumptions!AE$2,TIAM15_assumptions!$Y$3:$Z$36,2,FALSE),TIAM15_assumptions!$H$2:$V$2,0))</f>
        <v>1.5000000000000013E-2</v>
      </c>
      <c r="AF81" s="9">
        <f ca="1">OFFSET(TIAM15_assumptions!$G81,0,MATCH(VLOOKUP(Assumptions!AF$2,TIAM15_assumptions!$Y$3:$Z$36,2,FALSE),TIAM15_assumptions!$H$2:$V$2,0))</f>
        <v>1.4999999999999999E-2</v>
      </c>
      <c r="AG81" s="9">
        <f ca="1">OFFSET(TIAM15_assumptions!$G81,0,MATCH(VLOOKUP(Assumptions!AG$2,TIAM15_assumptions!$Y$3:$Z$36,2,FALSE),TIAM15_assumptions!$H$2:$V$2,0))</f>
        <v>0.02</v>
      </c>
      <c r="AH81" s="9">
        <f ca="1">OFFSET(TIAM15_assumptions!$G81,0,MATCH(VLOOKUP(Assumptions!AH$2,TIAM15_assumptions!$Y$3:$Z$36,2,FALSE),TIAM15_assumptions!$H$2:$V$2,0))</f>
        <v>0.35</v>
      </c>
      <c r="AI81" s="9">
        <f ca="1">OFFSET(TIAM15_assumptions!$G81,0,MATCH(VLOOKUP(Assumptions!AI$2,TIAM15_assumptions!$Y$3:$Z$36,2,FALSE),TIAM15_assumptions!$H$2:$V$2,0))</f>
        <v>1.5000000000000013E-2</v>
      </c>
      <c r="AJ81" s="9">
        <f ca="1">OFFSET(TIAM15_assumptions!$G81,0,MATCH(VLOOKUP(Assumptions!AJ$2,TIAM15_assumptions!$Y$3:$Z$36,2,FALSE),TIAM15_assumptions!$H$2:$V$2,0))</f>
        <v>1E-3</v>
      </c>
      <c r="AK81" s="9">
        <f ca="1">OFFSET(TIAM15_assumptions!$G81,0,MATCH(VLOOKUP(Assumptions!AK$2,TIAM15_assumptions!$Y$3:$Z$36,2,FALSE),TIAM15_assumptions!$H$2:$V$2,0))</f>
        <v>1E-3</v>
      </c>
      <c r="AN81" s="34">
        <f ca="1">IFERROR(SUMIFS('TRA balance'!E$5:E$40,'TRA balance'!$C$5:$C$40,Assumptions!$C81,'TRA balance'!$D$5:$D$40,Assumptions!$B81)*BS81*H81,"")</f>
        <v>0</v>
      </c>
      <c r="AO81" s="34">
        <f ca="1">IFERROR(SUMIFS('TRA balance'!F$5:F$40,'TRA balance'!$C$5:$C$40,Assumptions!$C81,'TRA balance'!$D$5:$D$40,Assumptions!$B81)*BT81*I81,"")</f>
        <v>0.67275156185999996</v>
      </c>
      <c r="AP81" s="34">
        <f ca="1">IFERROR(SUMIFS('TRA balance'!G$5:G$40,'TRA balance'!$C$5:$C$40,Assumptions!$C81,'TRA balance'!$D$5:$D$40,Assumptions!$B81)*BU81*J81,"")</f>
        <v>0.30447457137360001</v>
      </c>
      <c r="AQ81" s="34">
        <f ca="1">IFERROR(SUMIFS('TRA balance'!H$5:H$40,'TRA balance'!$C$5:$C$40,Assumptions!$C81,'TRA balance'!$D$5:$D$40,Assumptions!$B81)*BV81*K81,"")</f>
        <v>0</v>
      </c>
      <c r="AR81" s="34">
        <f ca="1">IFERROR(SUMIFS('TRA balance'!I$5:I$40,'TRA balance'!$C$5:$C$40,Assumptions!$C81,'TRA balance'!$D$5:$D$40,Assumptions!$B81)*BW81*L81,"")</f>
        <v>0.14973163661160002</v>
      </c>
      <c r="AS81" s="34">
        <f ca="1">IFERROR(SUMIFS('TRA balance'!J$5:J$40,'TRA balance'!$C$5:$C$40,Assumptions!$C81,'TRA balance'!$D$5:$D$40,Assumptions!$B81)*BX81*M81,"")</f>
        <v>18.659348822519998</v>
      </c>
      <c r="AT81" s="34">
        <f ca="1">IFERROR(SUMIFS('TRA balance'!K$5:K$40,'TRA balance'!$C$5:$C$40,Assumptions!$C81,'TRA balance'!$D$5:$D$40,Assumptions!$B81)*BY81*N81,"")</f>
        <v>9.8269102929600005E-2</v>
      </c>
      <c r="AU81" s="34">
        <f ca="1">IFERROR(SUMIFS('TRA balance'!L$5:L$40,'TRA balance'!$C$5:$C$40,Assumptions!$C81,'TRA balance'!$D$5:$D$40,Assumptions!$B81)*BZ81*O81,"")</f>
        <v>3.1853729130066002</v>
      </c>
      <c r="AV81" s="34">
        <f ca="1">IFERROR(SUMIFS('TRA balance'!M$5:M$40,'TRA balance'!$C$5:$C$40,Assumptions!$C81,'TRA balance'!$D$5:$D$40,Assumptions!$B81)*CA81*P81,"")</f>
        <v>6.4142397656063999E-2</v>
      </c>
      <c r="AW81" s="34">
        <f ca="1">IFERROR(SUMIFS('TRA balance'!N$5:N$40,'TRA balance'!$C$5:$C$40,Assumptions!$C81,'TRA balance'!$D$5:$D$40,Assumptions!$B81)*CB81*Q81,"")</f>
        <v>23.155199892863997</v>
      </c>
      <c r="AX81" s="34">
        <f ca="1">IFERROR(SUMIFS('TRA balance'!O$5:O$40,'TRA balance'!$C$5:$C$40,Assumptions!$C81,'TRA balance'!$D$5:$D$40,Assumptions!$B81)*CC81*R81,"")</f>
        <v>0.1364764712740201</v>
      </c>
      <c r="AY81" s="34">
        <f ca="1">IFERROR(SUMIFS('TRA balance'!P$5:P$40,'TRA balance'!$C$5:$C$40,Assumptions!$C81,'TRA balance'!$D$5:$D$40,Assumptions!$B81)*CD81*S81,"")</f>
        <v>0.11013954414309009</v>
      </c>
      <c r="AZ81" s="34">
        <f ca="1">IFERROR(SUMIFS('TRA balance'!Q$5:Q$40,'TRA balance'!$C$5:$C$40,Assumptions!$C81,'TRA balance'!$D$5:$D$40,Assumptions!$B81)*CE81*T81,"")</f>
        <v>0.22778953927290022</v>
      </c>
      <c r="BA81" s="34">
        <f ca="1">IFERROR(SUMIFS('TRA balance'!R$5:R$40,'TRA balance'!$C$5:$C$40,Assumptions!$C81,'TRA balance'!$D$5:$D$40,Assumptions!$B81)*CF81*U81,"")</f>
        <v>3.386446559982003E-2</v>
      </c>
      <c r="BB81" s="34">
        <f ca="1">IFERROR(SUMIFS('TRA balance'!S$5:S$40,'TRA balance'!$C$5:$C$40,Assumptions!$C81,'TRA balance'!$D$5:$D$40,Assumptions!$B81)*CG81*V81,"")</f>
        <v>5.4999823046940045E-2</v>
      </c>
      <c r="BC81" s="34">
        <f ca="1">IFERROR(SUMIFS('TRA balance'!T$5:T$40,'TRA balance'!$C$5:$C$40,Assumptions!$C81,'TRA balance'!$D$5:$D$40,Assumptions!$B81)*CH81*W81,"")</f>
        <v>8.4355934661180076E-2</v>
      </c>
      <c r="BD81" s="34">
        <f ca="1">IFERROR(SUMIFS('TRA balance'!U$5:U$40,'TRA balance'!$C$5:$C$40,Assumptions!$C81,'TRA balance'!$D$5:$D$40,Assumptions!$B81)*CI81*X81,"")</f>
        <v>0.10156701179519999</v>
      </c>
      <c r="BE81" s="34">
        <f ca="1">IFERROR(SUMIFS('TRA balance'!V$5:V$40,'TRA balance'!$C$5:$C$40,Assumptions!$C81,'TRA balance'!$D$5:$D$40,Assumptions!$B81)*CJ81*Y81,"")</f>
        <v>0.39797062747218037</v>
      </c>
      <c r="BF81" s="34">
        <f ca="1">IFERROR(SUMIFS('TRA balance'!W$5:W$40,'TRA balance'!$C$5:$C$40,Assumptions!$C81,'TRA balance'!$D$5:$D$40,Assumptions!$B81)*CK81*Z81,"")</f>
        <v>0.43791854131422037</v>
      </c>
      <c r="BG81" s="34">
        <f ca="1">IFERROR(SUMIFS('TRA balance'!X$5:X$40,'TRA balance'!$C$5:$C$40,Assumptions!$C81,'TRA balance'!$D$5:$D$40,Assumptions!$B81)*CL81*AA81,"")</f>
        <v>14.728326714720001</v>
      </c>
      <c r="BH81" s="34">
        <f ca="1">IFERROR(SUMIFS('TRA balance'!Y$5:Y$40,'TRA balance'!$C$5:$C$40,Assumptions!$C81,'TRA balance'!$D$5:$D$40,Assumptions!$B81)*CM81*AB81,"")</f>
        <v>0.41223411785699998</v>
      </c>
      <c r="BI81" s="34">
        <f ca="1">IFERROR(SUMIFS('TRA balance'!Z$5:Z$40,'TRA balance'!$C$5:$C$40,Assumptions!$C81,'TRA balance'!$D$5:$D$40,Assumptions!$B81)*CN81*AC81,"")</f>
        <v>0</v>
      </c>
      <c r="BJ81" s="34">
        <f ca="1">IFERROR(SUMIFS('TRA balance'!AA$5:AA$40,'TRA balance'!$C$5:$C$40,Assumptions!$C81,'TRA balance'!$D$5:$D$40,Assumptions!$B81)*CO81*AD81,"")</f>
        <v>0</v>
      </c>
      <c r="BK81" s="34">
        <f ca="1">IFERROR(SUMIFS('TRA balance'!AB$5:AB$40,'TRA balance'!$C$5:$C$40,Assumptions!$C81,'TRA balance'!$D$5:$D$40,Assumptions!$B81)*CP81*AE81,"")</f>
        <v>2.8407314698740024E-2</v>
      </c>
      <c r="BL81" s="34">
        <f ca="1">IFERROR(SUMIFS('TRA balance'!AC$5:AC$40,'TRA balance'!$C$5:$C$40,Assumptions!$C81,'TRA balance'!$D$5:$D$40,Assumptions!$B81)*CQ81*AF81,"")</f>
        <v>0</v>
      </c>
      <c r="BM81" s="34">
        <f ca="1">IFERROR(SUMIFS('TRA balance'!AD$5:AD$40,'TRA balance'!$C$5:$C$40,Assumptions!$C81,'TRA balance'!$D$5:$D$40,Assumptions!$B81)*CR81*AG81,"")</f>
        <v>0</v>
      </c>
      <c r="BN81" s="34">
        <f ca="1">IFERROR(SUMIFS('TRA balance'!AE$5:AE$40,'TRA balance'!$C$5:$C$40,Assumptions!$C81,'TRA balance'!$D$5:$D$40,Assumptions!$B81)*CS81*AH81,"")</f>
        <v>0</v>
      </c>
      <c r="BO81" s="34">
        <f ca="1">IFERROR(SUMIFS('TRA balance'!AF$5:AF$40,'TRA balance'!$C$5:$C$40,Assumptions!$C81,'TRA balance'!$D$5:$D$40,Assumptions!$B81)*CT81*AI81,"")</f>
        <v>0.23302001451924018</v>
      </c>
      <c r="BP81" s="34">
        <f ca="1">IFERROR(SUMIFS('TRA balance'!AG$5:AG$40,'TRA balance'!$C$5:$C$40,Assumptions!$C81,'TRA balance'!$D$5:$D$40,Assumptions!$B81)*CU81*AJ81,"")</f>
        <v>1.0947098681280001</v>
      </c>
      <c r="BQ81" s="34">
        <f ca="1">IFERROR(SUMIFS('TRA balance'!AH$5:AH$40,'TRA balance'!$C$5:$C$40,Assumptions!$C81,'TRA balance'!$D$5:$D$40,Assumptions!$B81)*CV81*AK81,"")</f>
        <v>0</v>
      </c>
      <c r="BS81" s="33">
        <f t="shared" ca="1" si="152"/>
        <v>1</v>
      </c>
      <c r="BT81" s="33">
        <f t="shared" ca="1" si="153"/>
        <v>1</v>
      </c>
      <c r="BU81" s="33">
        <f t="shared" ca="1" si="154"/>
        <v>0.9</v>
      </c>
      <c r="BV81" s="33">
        <f t="shared" ca="1" si="155"/>
        <v>0.7</v>
      </c>
      <c r="BW81" s="33">
        <f t="shared" ca="1" si="156"/>
        <v>0.9</v>
      </c>
      <c r="BX81" s="33">
        <f t="shared" ca="1" si="157"/>
        <v>1</v>
      </c>
      <c r="BY81" s="33">
        <f t="shared" ca="1" si="158"/>
        <v>0.9</v>
      </c>
      <c r="BZ81" s="33">
        <f t="shared" ca="1" si="159"/>
        <v>0.9</v>
      </c>
      <c r="CA81" s="33">
        <f t="shared" ca="1" si="160"/>
        <v>0.96</v>
      </c>
      <c r="CB81" s="33">
        <f t="shared" ca="1" si="161"/>
        <v>0.9</v>
      </c>
      <c r="CC81" s="33">
        <f t="shared" ca="1" si="162"/>
        <v>0.97</v>
      </c>
      <c r="CD81" s="33">
        <f t="shared" ca="1" si="163"/>
        <v>0.97</v>
      </c>
      <c r="CE81" s="33">
        <f t="shared" ca="1" si="164"/>
        <v>0.97</v>
      </c>
      <c r="CF81" s="33">
        <f t="shared" ca="1" si="165"/>
        <v>0.97</v>
      </c>
      <c r="CG81" s="33">
        <f t="shared" ca="1" si="166"/>
        <v>0.97</v>
      </c>
      <c r="CH81" s="33">
        <f t="shared" ca="1" si="167"/>
        <v>0.97</v>
      </c>
      <c r="CI81" s="33">
        <f t="shared" ca="1" si="168"/>
        <v>0.7</v>
      </c>
      <c r="CJ81" s="33">
        <f t="shared" ca="1" si="169"/>
        <v>0.97</v>
      </c>
      <c r="CK81" s="33">
        <f t="shared" ca="1" si="170"/>
        <v>0.97</v>
      </c>
      <c r="CL81" s="33">
        <f t="shared" ca="1" si="171"/>
        <v>1</v>
      </c>
      <c r="CM81" s="33">
        <f t="shared" ca="1" si="172"/>
        <v>0.9</v>
      </c>
      <c r="CN81" s="33">
        <f t="shared" ca="1" si="173"/>
        <v>0.95</v>
      </c>
      <c r="CO81" s="33">
        <f t="shared" ca="1" si="174"/>
        <v>0.7</v>
      </c>
      <c r="CP81" s="33">
        <f t="shared" ca="1" si="175"/>
        <v>0.97</v>
      </c>
      <c r="CQ81" s="33">
        <f t="shared" ca="1" si="176"/>
        <v>0.7</v>
      </c>
      <c r="CR81" s="33">
        <f t="shared" ca="1" si="177"/>
        <v>0.7</v>
      </c>
      <c r="CS81" s="33">
        <f t="shared" ca="1" si="178"/>
        <v>1</v>
      </c>
      <c r="CT81" s="33">
        <f t="shared" ca="1" si="179"/>
        <v>0.97</v>
      </c>
      <c r="CU81" s="33">
        <f t="shared" ca="1" si="180"/>
        <v>0.8</v>
      </c>
      <c r="CV81" s="33">
        <f t="shared" ca="1" si="181"/>
        <v>0.8</v>
      </c>
    </row>
    <row r="82" spans="1:100" x14ac:dyDescent="0.45">
      <c r="A82">
        <v>1</v>
      </c>
      <c r="B82" t="str">
        <f>VLOOKUP(F82,'TRA balance'!$AK$5:$AL$14,2,FALSE)</f>
        <v>TRABGS</v>
      </c>
      <c r="C82" s="6" t="str">
        <f t="shared" si="185"/>
        <v/>
      </c>
      <c r="D82" s="7"/>
      <c r="E82" s="19" t="s">
        <v>69</v>
      </c>
      <c r="F82" s="8" t="str">
        <f t="shared" si="198"/>
        <v>Bio Gasoline</v>
      </c>
      <c r="G82" s="6"/>
      <c r="H82" s="20" t="str">
        <f ca="1">IF(SUM(H78:H81)=1,"-","&lt;&gt;1!!")</f>
        <v>-</v>
      </c>
      <c r="I82" s="20" t="str">
        <f t="shared" ref="I82" ca="1" si="199">IF(SUM(I78:I81)=1,"-","&lt;&gt;1!!")</f>
        <v>-</v>
      </c>
      <c r="J82" s="20" t="str">
        <f t="shared" ref="J82" ca="1" si="200">IF(SUM(J78:J81)=1,"-","&lt;&gt;1!!")</f>
        <v>-</v>
      </c>
      <c r="K82" s="20" t="str">
        <f t="shared" ref="K82" ca="1" si="201">IF(SUM(K78:K81)=1,"-","&lt;&gt;1!!")</f>
        <v>-</v>
      </c>
      <c r="L82" s="20" t="str">
        <f t="shared" ref="L82" ca="1" si="202">IF(SUM(L78:L81)=1,"-","&lt;&gt;1!!")</f>
        <v>-</v>
      </c>
      <c r="M82" s="20" t="str">
        <f t="shared" ref="M82:X82" ca="1" si="203">IF(SUM(M78:M81)=1,"-","&lt;&gt;1!!")</f>
        <v>-</v>
      </c>
      <c r="N82" s="20" t="str">
        <f t="shared" ca="1" si="203"/>
        <v>-</v>
      </c>
      <c r="O82" s="20" t="str">
        <f t="shared" ca="1" si="203"/>
        <v>-</v>
      </c>
      <c r="P82" s="20" t="str">
        <f t="shared" ca="1" si="203"/>
        <v>-</v>
      </c>
      <c r="Q82" s="20" t="str">
        <f t="shared" ca="1" si="203"/>
        <v>-</v>
      </c>
      <c r="R82" s="20" t="str">
        <f t="shared" ca="1" si="203"/>
        <v>-</v>
      </c>
      <c r="S82" s="20" t="str">
        <f t="shared" ca="1" si="203"/>
        <v>-</v>
      </c>
      <c r="T82" s="20" t="str">
        <f t="shared" ca="1" si="203"/>
        <v>-</v>
      </c>
      <c r="U82" s="20" t="str">
        <f t="shared" ca="1" si="203"/>
        <v>-</v>
      </c>
      <c r="V82" s="20" t="str">
        <f t="shared" ca="1" si="203"/>
        <v>-</v>
      </c>
      <c r="W82" s="20" t="str">
        <f t="shared" ca="1" si="203"/>
        <v>-</v>
      </c>
      <c r="X82" s="20" t="str">
        <f t="shared" ca="1" si="203"/>
        <v>-</v>
      </c>
      <c r="Y82" s="20" t="str">
        <f t="shared" ref="Y82:Z82" ca="1" si="204">IF(SUM(Y78:Y81)=1,"-","&lt;&gt;1!!")</f>
        <v>-</v>
      </c>
      <c r="Z82" s="20" t="str">
        <f t="shared" ca="1" si="204"/>
        <v>-</v>
      </c>
      <c r="AA82" s="20" t="str">
        <f t="shared" ref="AA82:AK82" ca="1" si="205">IF(SUM(AA78:AA81)=1,"-","&lt;&gt;1!!")</f>
        <v>-</v>
      </c>
      <c r="AB82" s="20" t="str">
        <f t="shared" ca="1" si="205"/>
        <v>-</v>
      </c>
      <c r="AC82" s="20" t="str">
        <f t="shared" ca="1" si="205"/>
        <v>-</v>
      </c>
      <c r="AD82" s="20" t="str">
        <f t="shared" ca="1" si="205"/>
        <v>-</v>
      </c>
      <c r="AE82" s="20" t="str">
        <f t="shared" ca="1" si="205"/>
        <v>-</v>
      </c>
      <c r="AF82" s="20" t="str">
        <f t="shared" ca="1" si="205"/>
        <v>-</v>
      </c>
      <c r="AG82" s="20" t="str">
        <f t="shared" ca="1" si="205"/>
        <v>-</v>
      </c>
      <c r="AH82" s="20" t="str">
        <f t="shared" ca="1" si="205"/>
        <v>-</v>
      </c>
      <c r="AI82" s="20" t="str">
        <f t="shared" ca="1" si="205"/>
        <v>-</v>
      </c>
      <c r="AJ82" s="20" t="str">
        <f t="shared" ca="1" si="205"/>
        <v>-</v>
      </c>
      <c r="AK82" s="20" t="str">
        <f t="shared" ca="1" si="205"/>
        <v>-</v>
      </c>
      <c r="AN82" s="34" t="str">
        <f ca="1">IFERROR(SUMIFS('TRA balance'!E$5:E$40,'TRA balance'!$C$5:$C$40,Assumptions!$C82,'TRA balance'!$D$5:$D$40,Assumptions!$B82)*BS82*H82,"")</f>
        <v/>
      </c>
      <c r="AO82" s="34" t="str">
        <f ca="1">IFERROR(SUMIFS('TRA balance'!F$5:F$40,'TRA balance'!$C$5:$C$40,Assumptions!$C82,'TRA balance'!$D$5:$D$40,Assumptions!$B82)*BT82*I82,"")</f>
        <v/>
      </c>
      <c r="AP82" s="34" t="str">
        <f ca="1">IFERROR(SUMIFS('TRA balance'!G$5:G$40,'TRA balance'!$C$5:$C$40,Assumptions!$C82,'TRA balance'!$D$5:$D$40,Assumptions!$B82)*BU82*J82,"")</f>
        <v/>
      </c>
      <c r="AQ82" s="34" t="str">
        <f ca="1">IFERROR(SUMIFS('TRA balance'!H$5:H$40,'TRA balance'!$C$5:$C$40,Assumptions!$C82,'TRA balance'!$D$5:$D$40,Assumptions!$B82)*BV82*K82,"")</f>
        <v/>
      </c>
      <c r="AR82" s="34" t="str">
        <f ca="1">IFERROR(SUMIFS('TRA balance'!I$5:I$40,'TRA balance'!$C$5:$C$40,Assumptions!$C82,'TRA balance'!$D$5:$D$40,Assumptions!$B82)*BW82*L82,"")</f>
        <v/>
      </c>
      <c r="AS82" s="34" t="str">
        <f ca="1">IFERROR(SUMIFS('TRA balance'!J$5:J$40,'TRA balance'!$C$5:$C$40,Assumptions!$C82,'TRA balance'!$D$5:$D$40,Assumptions!$B82)*BX82*M82,"")</f>
        <v/>
      </c>
      <c r="AT82" s="34" t="str">
        <f ca="1">IFERROR(SUMIFS('TRA balance'!K$5:K$40,'TRA balance'!$C$5:$C$40,Assumptions!$C82,'TRA balance'!$D$5:$D$40,Assumptions!$B82)*BY82*N82,"")</f>
        <v/>
      </c>
      <c r="AU82" s="34" t="str">
        <f ca="1">IFERROR(SUMIFS('TRA balance'!L$5:L$40,'TRA balance'!$C$5:$C$40,Assumptions!$C82,'TRA balance'!$D$5:$D$40,Assumptions!$B82)*BZ82*O82,"")</f>
        <v/>
      </c>
      <c r="AV82" s="34" t="str">
        <f ca="1">IFERROR(SUMIFS('TRA balance'!M$5:M$40,'TRA balance'!$C$5:$C$40,Assumptions!$C82,'TRA balance'!$D$5:$D$40,Assumptions!$B82)*CA82*P82,"")</f>
        <v/>
      </c>
      <c r="AW82" s="34" t="str">
        <f ca="1">IFERROR(SUMIFS('TRA balance'!N$5:N$40,'TRA balance'!$C$5:$C$40,Assumptions!$C82,'TRA balance'!$D$5:$D$40,Assumptions!$B82)*CB82*Q82,"")</f>
        <v/>
      </c>
      <c r="AX82" s="34" t="str">
        <f ca="1">IFERROR(SUMIFS('TRA balance'!O$5:O$40,'TRA balance'!$C$5:$C$40,Assumptions!$C82,'TRA balance'!$D$5:$D$40,Assumptions!$B82)*CC82*R82,"")</f>
        <v/>
      </c>
      <c r="AY82" s="34" t="str">
        <f ca="1">IFERROR(SUMIFS('TRA balance'!P$5:P$40,'TRA balance'!$C$5:$C$40,Assumptions!$C82,'TRA balance'!$D$5:$D$40,Assumptions!$B82)*CD82*S82,"")</f>
        <v/>
      </c>
      <c r="AZ82" s="34" t="str">
        <f ca="1">IFERROR(SUMIFS('TRA balance'!Q$5:Q$40,'TRA balance'!$C$5:$C$40,Assumptions!$C82,'TRA balance'!$D$5:$D$40,Assumptions!$B82)*CE82*T82,"")</f>
        <v/>
      </c>
      <c r="BA82" s="34" t="str">
        <f ca="1">IFERROR(SUMIFS('TRA balance'!R$5:R$40,'TRA balance'!$C$5:$C$40,Assumptions!$C82,'TRA balance'!$D$5:$D$40,Assumptions!$B82)*CF82*U82,"")</f>
        <v/>
      </c>
      <c r="BB82" s="34" t="str">
        <f ca="1">IFERROR(SUMIFS('TRA balance'!S$5:S$40,'TRA balance'!$C$5:$C$40,Assumptions!$C82,'TRA balance'!$D$5:$D$40,Assumptions!$B82)*CG82*V82,"")</f>
        <v/>
      </c>
      <c r="BC82" s="34" t="str">
        <f ca="1">IFERROR(SUMIFS('TRA balance'!T$5:T$40,'TRA balance'!$C$5:$C$40,Assumptions!$C82,'TRA balance'!$D$5:$D$40,Assumptions!$B82)*CH82*W82,"")</f>
        <v/>
      </c>
      <c r="BD82" s="34" t="str">
        <f ca="1">IFERROR(SUMIFS('TRA balance'!U$5:U$40,'TRA balance'!$C$5:$C$40,Assumptions!$C82,'TRA balance'!$D$5:$D$40,Assumptions!$B82)*CI82*X82,"")</f>
        <v/>
      </c>
      <c r="BE82" s="34" t="str">
        <f ca="1">IFERROR(SUMIFS('TRA balance'!V$5:V$40,'TRA balance'!$C$5:$C$40,Assumptions!$C82,'TRA balance'!$D$5:$D$40,Assumptions!$B82)*CJ82*Y82,"")</f>
        <v/>
      </c>
      <c r="BF82" s="34" t="str">
        <f ca="1">IFERROR(SUMIFS('TRA balance'!W$5:W$40,'TRA balance'!$C$5:$C$40,Assumptions!$C82,'TRA balance'!$D$5:$D$40,Assumptions!$B82)*CK82*Z82,"")</f>
        <v/>
      </c>
      <c r="BG82" s="34" t="str">
        <f ca="1">IFERROR(SUMIFS('TRA balance'!X$5:X$40,'TRA balance'!$C$5:$C$40,Assumptions!$C82,'TRA balance'!$D$5:$D$40,Assumptions!$B82)*CL82*AA82,"")</f>
        <v/>
      </c>
      <c r="BH82" s="34" t="str">
        <f ca="1">IFERROR(SUMIFS('TRA balance'!Y$5:Y$40,'TRA balance'!$C$5:$C$40,Assumptions!$C82,'TRA balance'!$D$5:$D$40,Assumptions!$B82)*CM82*AB82,"")</f>
        <v/>
      </c>
      <c r="BI82" s="34" t="str">
        <f ca="1">IFERROR(SUMIFS('TRA balance'!Z$5:Z$40,'TRA balance'!$C$5:$C$40,Assumptions!$C82,'TRA balance'!$D$5:$D$40,Assumptions!$B82)*CN82*AC82,"")</f>
        <v/>
      </c>
      <c r="BJ82" s="34" t="str">
        <f ca="1">IFERROR(SUMIFS('TRA balance'!AA$5:AA$40,'TRA balance'!$C$5:$C$40,Assumptions!$C82,'TRA balance'!$D$5:$D$40,Assumptions!$B82)*CO82*AD82,"")</f>
        <v/>
      </c>
      <c r="BK82" s="34" t="str">
        <f ca="1">IFERROR(SUMIFS('TRA balance'!AB$5:AB$40,'TRA balance'!$C$5:$C$40,Assumptions!$C82,'TRA balance'!$D$5:$D$40,Assumptions!$B82)*CP82*AE82,"")</f>
        <v/>
      </c>
      <c r="BL82" s="34" t="str">
        <f ca="1">IFERROR(SUMIFS('TRA balance'!AC$5:AC$40,'TRA balance'!$C$5:$C$40,Assumptions!$C82,'TRA balance'!$D$5:$D$40,Assumptions!$B82)*CQ82*AF82,"")</f>
        <v/>
      </c>
      <c r="BM82" s="34" t="str">
        <f ca="1">IFERROR(SUMIFS('TRA balance'!AD$5:AD$40,'TRA balance'!$C$5:$C$40,Assumptions!$C82,'TRA balance'!$D$5:$D$40,Assumptions!$B82)*CR82*AG82,"")</f>
        <v/>
      </c>
      <c r="BN82" s="34" t="str">
        <f ca="1">IFERROR(SUMIFS('TRA balance'!AE$5:AE$40,'TRA balance'!$C$5:$C$40,Assumptions!$C82,'TRA balance'!$D$5:$D$40,Assumptions!$B82)*CS82*AH82,"")</f>
        <v/>
      </c>
      <c r="BO82" s="34" t="str">
        <f ca="1">IFERROR(SUMIFS('TRA balance'!AF$5:AF$40,'TRA balance'!$C$5:$C$40,Assumptions!$C82,'TRA balance'!$D$5:$D$40,Assumptions!$B82)*CT82*AI82,"")</f>
        <v/>
      </c>
      <c r="BP82" s="34" t="str">
        <f ca="1">IFERROR(SUMIFS('TRA balance'!AG$5:AG$40,'TRA balance'!$C$5:$C$40,Assumptions!$C82,'TRA balance'!$D$5:$D$40,Assumptions!$B82)*CU82*AJ82,"")</f>
        <v/>
      </c>
      <c r="BQ82" s="34" t="str">
        <f ca="1">IFERROR(SUMIFS('TRA balance'!AH$5:AH$40,'TRA balance'!$C$5:$C$40,Assumptions!$C82,'TRA balance'!$D$5:$D$40,Assumptions!$B82)*CV82*AK82,"")</f>
        <v/>
      </c>
      <c r="BS82" s="33">
        <f t="shared" si="152"/>
        <v>1</v>
      </c>
      <c r="BT82" s="33">
        <f t="shared" si="153"/>
        <v>1</v>
      </c>
      <c r="BU82" s="33">
        <f t="shared" si="154"/>
        <v>1</v>
      </c>
      <c r="BV82" s="33">
        <f t="shared" si="155"/>
        <v>1</v>
      </c>
      <c r="BW82" s="33">
        <f t="shared" si="156"/>
        <v>1</v>
      </c>
      <c r="BX82" s="33">
        <f t="shared" si="157"/>
        <v>1</v>
      </c>
      <c r="BY82" s="33">
        <f t="shared" si="158"/>
        <v>1</v>
      </c>
      <c r="BZ82" s="33">
        <f t="shared" si="159"/>
        <v>1</v>
      </c>
      <c r="CA82" s="33">
        <f t="shared" si="160"/>
        <v>1</v>
      </c>
      <c r="CB82" s="33">
        <f t="shared" si="161"/>
        <v>1</v>
      </c>
      <c r="CC82" s="33">
        <f t="shared" si="162"/>
        <v>1</v>
      </c>
      <c r="CD82" s="33">
        <f t="shared" si="163"/>
        <v>1</v>
      </c>
      <c r="CE82" s="33">
        <f t="shared" si="164"/>
        <v>1</v>
      </c>
      <c r="CF82" s="33">
        <f t="shared" si="165"/>
        <v>1</v>
      </c>
      <c r="CG82" s="33">
        <f t="shared" si="166"/>
        <v>1</v>
      </c>
      <c r="CH82" s="33">
        <f t="shared" si="167"/>
        <v>1</v>
      </c>
      <c r="CI82" s="33">
        <f t="shared" si="168"/>
        <v>1</v>
      </c>
      <c r="CJ82" s="33">
        <f t="shared" si="169"/>
        <v>1</v>
      </c>
      <c r="CK82" s="33">
        <f t="shared" si="170"/>
        <v>1</v>
      </c>
      <c r="CL82" s="33">
        <f t="shared" si="171"/>
        <v>1</v>
      </c>
      <c r="CM82" s="33">
        <f t="shared" si="172"/>
        <v>1</v>
      </c>
      <c r="CN82" s="33">
        <f t="shared" si="173"/>
        <v>1</v>
      </c>
      <c r="CO82" s="33">
        <f t="shared" si="174"/>
        <v>1</v>
      </c>
      <c r="CP82" s="33">
        <f t="shared" si="175"/>
        <v>1</v>
      </c>
      <c r="CQ82" s="33">
        <f t="shared" si="176"/>
        <v>1</v>
      </c>
      <c r="CR82" s="33">
        <f t="shared" si="177"/>
        <v>1</v>
      </c>
      <c r="CS82" s="33">
        <f t="shared" si="178"/>
        <v>1</v>
      </c>
      <c r="CT82" s="33">
        <f t="shared" si="179"/>
        <v>1</v>
      </c>
      <c r="CU82" s="33">
        <f t="shared" si="180"/>
        <v>1</v>
      </c>
      <c r="CV82" s="33">
        <f t="shared" si="181"/>
        <v>1</v>
      </c>
    </row>
    <row r="83" spans="1:100" x14ac:dyDescent="0.45">
      <c r="A83">
        <v>1</v>
      </c>
      <c r="B83" t="str">
        <f>VLOOKUP(F83,'TRA balance'!$AK$5:$AL$14,2,FALSE)</f>
        <v>TRABGS</v>
      </c>
      <c r="C83" s="14">
        <v>2</v>
      </c>
      <c r="D83" s="15" t="s">
        <v>16</v>
      </c>
      <c r="E83" s="15" t="s">
        <v>70</v>
      </c>
      <c r="F83" s="16" t="str">
        <f>F82</f>
        <v>Bio Gasoline</v>
      </c>
      <c r="G83" s="14"/>
      <c r="H83" s="21">
        <f ca="1">1-H77</f>
        <v>0</v>
      </c>
      <c r="I83" s="21">
        <f t="shared" ref="I83:X83" ca="1" si="206">1-I77</f>
        <v>0</v>
      </c>
      <c r="J83" s="21">
        <f t="shared" ca="1" si="206"/>
        <v>9.9999999999999978E-2</v>
      </c>
      <c r="K83" s="21">
        <f t="shared" ca="1" si="206"/>
        <v>0.30000000000000004</v>
      </c>
      <c r="L83" s="21">
        <f t="shared" ca="1" si="206"/>
        <v>9.9999999999999978E-2</v>
      </c>
      <c r="M83" s="21">
        <f t="shared" ca="1" si="206"/>
        <v>0</v>
      </c>
      <c r="N83" s="21">
        <f t="shared" ca="1" si="206"/>
        <v>9.9999999999999978E-2</v>
      </c>
      <c r="O83" s="21">
        <f t="shared" ca="1" si="206"/>
        <v>9.9999999999999978E-2</v>
      </c>
      <c r="P83" s="21">
        <f t="shared" ca="1" si="206"/>
        <v>4.0000000000000036E-2</v>
      </c>
      <c r="Q83" s="21">
        <f t="shared" ca="1" si="206"/>
        <v>9.9999999999999978E-2</v>
      </c>
      <c r="R83" s="21">
        <f t="shared" ca="1" si="206"/>
        <v>3.0000000000000027E-2</v>
      </c>
      <c r="S83" s="21">
        <f t="shared" ca="1" si="206"/>
        <v>3.0000000000000027E-2</v>
      </c>
      <c r="T83" s="21">
        <f t="shared" ca="1" si="206"/>
        <v>3.0000000000000027E-2</v>
      </c>
      <c r="U83" s="21">
        <f t="shared" ca="1" si="206"/>
        <v>3.0000000000000027E-2</v>
      </c>
      <c r="V83" s="21">
        <f t="shared" ca="1" si="206"/>
        <v>3.0000000000000027E-2</v>
      </c>
      <c r="W83" s="21">
        <f t="shared" ca="1" si="206"/>
        <v>3.0000000000000027E-2</v>
      </c>
      <c r="X83" s="21">
        <f t="shared" ca="1" si="206"/>
        <v>0.30000000000000004</v>
      </c>
      <c r="Y83" s="21">
        <f t="shared" ref="Y83:Z83" ca="1" si="207">1-Y77</f>
        <v>3.0000000000000027E-2</v>
      </c>
      <c r="Z83" s="21">
        <f t="shared" ca="1" si="207"/>
        <v>3.0000000000000027E-2</v>
      </c>
      <c r="AA83" s="21">
        <f t="shared" ref="AA83:AK83" ca="1" si="208">1-AA77</f>
        <v>0</v>
      </c>
      <c r="AB83" s="21">
        <f t="shared" ca="1" si="208"/>
        <v>9.9999999999999978E-2</v>
      </c>
      <c r="AC83" s="21">
        <f t="shared" ca="1" si="208"/>
        <v>5.0000000000000044E-2</v>
      </c>
      <c r="AD83" s="21">
        <f t="shared" ca="1" si="208"/>
        <v>0.30000000000000004</v>
      </c>
      <c r="AE83" s="21">
        <f t="shared" ca="1" si="208"/>
        <v>3.0000000000000027E-2</v>
      </c>
      <c r="AF83" s="21">
        <f t="shared" ca="1" si="208"/>
        <v>0.30000000000000004</v>
      </c>
      <c r="AG83" s="21">
        <f t="shared" ca="1" si="208"/>
        <v>0.30000000000000004</v>
      </c>
      <c r="AH83" s="21">
        <f t="shared" ca="1" si="208"/>
        <v>0</v>
      </c>
      <c r="AI83" s="21">
        <f t="shared" ca="1" si="208"/>
        <v>3.0000000000000027E-2</v>
      </c>
      <c r="AJ83" s="21">
        <f t="shared" ca="1" si="208"/>
        <v>0.19999999999999996</v>
      </c>
      <c r="AK83" s="21">
        <f t="shared" ca="1" si="208"/>
        <v>0.19999999999999996</v>
      </c>
      <c r="AN83" s="34">
        <f ca="1">IFERROR(SUMIFS('TRA balance'!E$5:E$40,'TRA balance'!$C$5:$C$40,Assumptions!$C83,'TRA balance'!$D$5:$D$40,Assumptions!$B83)*BS83*H83,"")</f>
        <v>0</v>
      </c>
      <c r="AO83" s="34">
        <f ca="1">IFERROR(SUMIFS('TRA balance'!F$5:F$40,'TRA balance'!$C$5:$C$40,Assumptions!$C83,'TRA balance'!$D$5:$D$40,Assumptions!$B83)*BT83*I83,"")</f>
        <v>0</v>
      </c>
      <c r="AP83" s="34">
        <f ca="1">IFERROR(SUMIFS('TRA balance'!G$5:G$40,'TRA balance'!$C$5:$C$40,Assumptions!$C83,'TRA balance'!$D$5:$D$40,Assumptions!$B83)*BU83*J83,"")</f>
        <v>0</v>
      </c>
      <c r="AQ83" s="34">
        <f ca="1">IFERROR(SUMIFS('TRA balance'!H$5:H$40,'TRA balance'!$C$5:$C$40,Assumptions!$C83,'TRA balance'!$D$5:$D$40,Assumptions!$B83)*BV83*K83,"")</f>
        <v>0</v>
      </c>
      <c r="AR83" s="34">
        <f ca="1">IFERROR(SUMIFS('TRA balance'!I$5:I$40,'TRA balance'!$C$5:$C$40,Assumptions!$C83,'TRA balance'!$D$5:$D$40,Assumptions!$B83)*BW83*L83,"")</f>
        <v>0</v>
      </c>
      <c r="AS83" s="34">
        <f ca="1">IFERROR(SUMIFS('TRA balance'!J$5:J$40,'TRA balance'!$C$5:$C$40,Assumptions!$C83,'TRA balance'!$D$5:$D$40,Assumptions!$B83)*BX83*M83,"")</f>
        <v>0</v>
      </c>
      <c r="AT83" s="34">
        <f ca="1">IFERROR(SUMIFS('TRA balance'!K$5:K$40,'TRA balance'!$C$5:$C$40,Assumptions!$C83,'TRA balance'!$D$5:$D$40,Assumptions!$B83)*BY83*N83,"")</f>
        <v>0</v>
      </c>
      <c r="AU83" s="34">
        <f ca="1">IFERROR(SUMIFS('TRA balance'!L$5:L$40,'TRA balance'!$C$5:$C$40,Assumptions!$C83,'TRA balance'!$D$5:$D$40,Assumptions!$B83)*BZ83*O83,"")</f>
        <v>0</v>
      </c>
      <c r="AV83" s="34">
        <f ca="1">IFERROR(SUMIFS('TRA balance'!M$5:M$40,'TRA balance'!$C$5:$C$40,Assumptions!$C83,'TRA balance'!$D$5:$D$40,Assumptions!$B83)*CA83*P83,"")</f>
        <v>0</v>
      </c>
      <c r="AW83" s="34">
        <f ca="1">IFERROR(SUMIFS('TRA balance'!N$5:N$40,'TRA balance'!$C$5:$C$40,Assumptions!$C83,'TRA balance'!$D$5:$D$40,Assumptions!$B83)*CB83*Q83,"")</f>
        <v>0</v>
      </c>
      <c r="AX83" s="34">
        <f ca="1">IFERROR(SUMIFS('TRA balance'!O$5:O$40,'TRA balance'!$C$5:$C$40,Assumptions!$C83,'TRA balance'!$D$5:$D$40,Assumptions!$B83)*CC83*R83,"")</f>
        <v>0</v>
      </c>
      <c r="AY83" s="34">
        <f ca="1">IFERROR(SUMIFS('TRA balance'!P$5:P$40,'TRA balance'!$C$5:$C$40,Assumptions!$C83,'TRA balance'!$D$5:$D$40,Assumptions!$B83)*CD83*S83,"")</f>
        <v>0</v>
      </c>
      <c r="AZ83" s="34">
        <f ca="1">IFERROR(SUMIFS('TRA balance'!Q$5:Q$40,'TRA balance'!$C$5:$C$40,Assumptions!$C83,'TRA balance'!$D$5:$D$40,Assumptions!$B83)*CE83*T83,"")</f>
        <v>0</v>
      </c>
      <c r="BA83" s="34">
        <f ca="1">IFERROR(SUMIFS('TRA balance'!R$5:R$40,'TRA balance'!$C$5:$C$40,Assumptions!$C83,'TRA balance'!$D$5:$D$40,Assumptions!$B83)*CF83*U83,"")</f>
        <v>0</v>
      </c>
      <c r="BB83" s="34">
        <f ca="1">IFERROR(SUMIFS('TRA balance'!S$5:S$40,'TRA balance'!$C$5:$C$40,Assumptions!$C83,'TRA balance'!$D$5:$D$40,Assumptions!$B83)*CG83*V83,"")</f>
        <v>0</v>
      </c>
      <c r="BC83" s="34">
        <f ca="1">IFERROR(SUMIFS('TRA balance'!T$5:T$40,'TRA balance'!$C$5:$C$40,Assumptions!$C83,'TRA balance'!$D$5:$D$40,Assumptions!$B83)*CH83*W83,"")</f>
        <v>0</v>
      </c>
      <c r="BD83" s="34">
        <f ca="1">IFERROR(SUMIFS('TRA balance'!U$5:U$40,'TRA balance'!$C$5:$C$40,Assumptions!$C83,'TRA balance'!$D$5:$D$40,Assumptions!$B83)*CI83*X83,"")</f>
        <v>0</v>
      </c>
      <c r="BE83" s="34">
        <f ca="1">IFERROR(SUMIFS('TRA balance'!V$5:V$40,'TRA balance'!$C$5:$C$40,Assumptions!$C83,'TRA balance'!$D$5:$D$40,Assumptions!$B83)*CJ83*Y83,"")</f>
        <v>0</v>
      </c>
      <c r="BF83" s="34">
        <f ca="1">IFERROR(SUMIFS('TRA balance'!W$5:W$40,'TRA balance'!$C$5:$C$40,Assumptions!$C83,'TRA balance'!$D$5:$D$40,Assumptions!$B83)*CK83*Z83,"")</f>
        <v>0</v>
      </c>
      <c r="BG83" s="34">
        <f ca="1">IFERROR(SUMIFS('TRA balance'!X$5:X$40,'TRA balance'!$C$5:$C$40,Assumptions!$C83,'TRA balance'!$D$5:$D$40,Assumptions!$B83)*CL83*AA83,"")</f>
        <v>0</v>
      </c>
      <c r="BH83" s="34">
        <f ca="1">IFERROR(SUMIFS('TRA balance'!Y$5:Y$40,'TRA balance'!$C$5:$C$40,Assumptions!$C83,'TRA balance'!$D$5:$D$40,Assumptions!$B83)*CM83*AB83,"")</f>
        <v>0</v>
      </c>
      <c r="BI83" s="34">
        <f ca="1">IFERROR(SUMIFS('TRA balance'!Z$5:Z$40,'TRA balance'!$C$5:$C$40,Assumptions!$C83,'TRA balance'!$D$5:$D$40,Assumptions!$B83)*CN83*AC83,"")</f>
        <v>0</v>
      </c>
      <c r="BJ83" s="34">
        <f ca="1">IFERROR(SUMIFS('TRA balance'!AA$5:AA$40,'TRA balance'!$C$5:$C$40,Assumptions!$C83,'TRA balance'!$D$5:$D$40,Assumptions!$B83)*CO83*AD83,"")</f>
        <v>0</v>
      </c>
      <c r="BK83" s="34">
        <f ca="1">IFERROR(SUMIFS('TRA balance'!AB$5:AB$40,'TRA balance'!$C$5:$C$40,Assumptions!$C83,'TRA balance'!$D$5:$D$40,Assumptions!$B83)*CP83*AE83,"")</f>
        <v>0</v>
      </c>
      <c r="BL83" s="34">
        <f ca="1">IFERROR(SUMIFS('TRA balance'!AC$5:AC$40,'TRA balance'!$C$5:$C$40,Assumptions!$C83,'TRA balance'!$D$5:$D$40,Assumptions!$B83)*CQ83*AF83,"")</f>
        <v>0</v>
      </c>
      <c r="BM83" s="34">
        <f ca="1">IFERROR(SUMIFS('TRA balance'!AD$5:AD$40,'TRA balance'!$C$5:$C$40,Assumptions!$C83,'TRA balance'!$D$5:$D$40,Assumptions!$B83)*CR83*AG83,"")</f>
        <v>0</v>
      </c>
      <c r="BN83" s="34">
        <f ca="1">IFERROR(SUMIFS('TRA balance'!AE$5:AE$40,'TRA balance'!$C$5:$C$40,Assumptions!$C83,'TRA balance'!$D$5:$D$40,Assumptions!$B83)*CS83*AH83,"")</f>
        <v>0</v>
      </c>
      <c r="BO83" s="34">
        <f ca="1">IFERROR(SUMIFS('TRA balance'!AF$5:AF$40,'TRA balance'!$C$5:$C$40,Assumptions!$C83,'TRA balance'!$D$5:$D$40,Assumptions!$B83)*CT83*AI83,"")</f>
        <v>0</v>
      </c>
      <c r="BP83" s="34">
        <f ca="1">IFERROR(SUMIFS('TRA balance'!AG$5:AG$40,'TRA balance'!$C$5:$C$40,Assumptions!$C83,'TRA balance'!$D$5:$D$40,Assumptions!$B83)*CU83*AJ83,"")</f>
        <v>0</v>
      </c>
      <c r="BQ83" s="34">
        <f ca="1">IFERROR(SUMIFS('TRA balance'!AH$5:AH$40,'TRA balance'!$C$5:$C$40,Assumptions!$C83,'TRA balance'!$D$5:$D$40,Assumptions!$B83)*CV83*AK83,"")</f>
        <v>0</v>
      </c>
      <c r="BS83" s="33">
        <f t="shared" si="152"/>
        <v>1</v>
      </c>
      <c r="BT83" s="33">
        <f t="shared" si="153"/>
        <v>1</v>
      </c>
      <c r="BU83" s="33">
        <f t="shared" si="154"/>
        <v>1</v>
      </c>
      <c r="BV83" s="33">
        <f t="shared" si="155"/>
        <v>1</v>
      </c>
      <c r="BW83" s="33">
        <f t="shared" si="156"/>
        <v>1</v>
      </c>
      <c r="BX83" s="33">
        <f t="shared" si="157"/>
        <v>1</v>
      </c>
      <c r="BY83" s="33">
        <f t="shared" si="158"/>
        <v>1</v>
      </c>
      <c r="BZ83" s="33">
        <f t="shared" si="159"/>
        <v>1</v>
      </c>
      <c r="CA83" s="33">
        <f t="shared" si="160"/>
        <v>1</v>
      </c>
      <c r="CB83" s="33">
        <f t="shared" si="161"/>
        <v>1</v>
      </c>
      <c r="CC83" s="33">
        <f t="shared" si="162"/>
        <v>1</v>
      </c>
      <c r="CD83" s="33">
        <f t="shared" si="163"/>
        <v>1</v>
      </c>
      <c r="CE83" s="33">
        <f t="shared" si="164"/>
        <v>1</v>
      </c>
      <c r="CF83" s="33">
        <f t="shared" si="165"/>
        <v>1</v>
      </c>
      <c r="CG83" s="33">
        <f t="shared" si="166"/>
        <v>1</v>
      </c>
      <c r="CH83" s="33">
        <f t="shared" si="167"/>
        <v>1</v>
      </c>
      <c r="CI83" s="33">
        <f t="shared" si="168"/>
        <v>1</v>
      </c>
      <c r="CJ83" s="33">
        <f t="shared" si="169"/>
        <v>1</v>
      </c>
      <c r="CK83" s="33">
        <f t="shared" si="170"/>
        <v>1</v>
      </c>
      <c r="CL83" s="33">
        <f t="shared" si="171"/>
        <v>1</v>
      </c>
      <c r="CM83" s="33">
        <f t="shared" si="172"/>
        <v>1</v>
      </c>
      <c r="CN83" s="33">
        <f t="shared" si="173"/>
        <v>1</v>
      </c>
      <c r="CO83" s="33">
        <f t="shared" si="174"/>
        <v>1</v>
      </c>
      <c r="CP83" s="33">
        <f t="shared" si="175"/>
        <v>1</v>
      </c>
      <c r="CQ83" s="33">
        <f t="shared" si="176"/>
        <v>1</v>
      </c>
      <c r="CR83" s="33">
        <f t="shared" si="177"/>
        <v>1</v>
      </c>
      <c r="CS83" s="33">
        <f t="shared" si="178"/>
        <v>1</v>
      </c>
      <c r="CT83" s="33">
        <f t="shared" si="179"/>
        <v>1</v>
      </c>
      <c r="CU83" s="33">
        <f t="shared" si="180"/>
        <v>1</v>
      </c>
      <c r="CV83" s="33">
        <f t="shared" si="181"/>
        <v>1</v>
      </c>
    </row>
    <row r="84" spans="1:100" x14ac:dyDescent="0.45">
      <c r="A84">
        <v>2</v>
      </c>
      <c r="B84" t="str">
        <f>VLOOKUP(F84,'TRA balance'!$AK$5:$AL$14,2,FALSE)</f>
        <v>TRABGS</v>
      </c>
      <c r="C84" s="6" t="str">
        <f t="shared" si="185"/>
        <v>TR</v>
      </c>
      <c r="D84" s="7" t="s">
        <v>16</v>
      </c>
      <c r="E84" s="18" t="s">
        <v>71</v>
      </c>
      <c r="F84" s="8" t="str">
        <f>F83</f>
        <v>Bio Gasoline</v>
      </c>
      <c r="G84" s="6" t="s">
        <v>72</v>
      </c>
      <c r="H84" s="9">
        <f ca="1">OFFSET(TIAM15_assumptions!$G84,0,MATCH(VLOOKUP(Assumptions!H$2,TIAM15_assumptions!$Y$3:$Z$36,2,FALSE),TIAM15_assumptions!$H$2:$V$2,0))</f>
        <v>0.05</v>
      </c>
      <c r="I84" s="9">
        <f ca="1">OFFSET(TIAM15_assumptions!$G84,0,MATCH(VLOOKUP(Assumptions!I$2,TIAM15_assumptions!$Y$3:$Z$36,2,FALSE),TIAM15_assumptions!$H$2:$V$2,0))</f>
        <v>0.05</v>
      </c>
      <c r="J84" s="9">
        <f ca="1">OFFSET(TIAM15_assumptions!$G84,0,MATCH(VLOOKUP(Assumptions!J$2,TIAM15_assumptions!$Y$3:$Z$36,2,FALSE),TIAM15_assumptions!$H$2:$V$2,0))</f>
        <v>0.12</v>
      </c>
      <c r="K84" s="9">
        <f ca="1">OFFSET(TIAM15_assumptions!$G84,0,MATCH(VLOOKUP(Assumptions!K$2,TIAM15_assumptions!$Y$3:$Z$36,2,FALSE),TIAM15_assumptions!$H$2:$V$2,0))</f>
        <v>0.05</v>
      </c>
      <c r="L84" s="9">
        <f ca="1">OFFSET(TIAM15_assumptions!$G84,0,MATCH(VLOOKUP(Assumptions!L$2,TIAM15_assumptions!$Y$3:$Z$36,2,FALSE),TIAM15_assumptions!$H$2:$V$2,0))</f>
        <v>0</v>
      </c>
      <c r="M84" s="9">
        <f ca="1">OFFSET(TIAM15_assumptions!$G84,0,MATCH(VLOOKUP(Assumptions!M$2,TIAM15_assumptions!$Y$3:$Z$36,2,FALSE),TIAM15_assumptions!$H$2:$V$2,0))</f>
        <v>0.15</v>
      </c>
      <c r="N84" s="9">
        <f ca="1">OFFSET(TIAM15_assumptions!$G84,0,MATCH(VLOOKUP(Assumptions!N$2,TIAM15_assumptions!$Y$3:$Z$36,2,FALSE),TIAM15_assumptions!$H$2:$V$2,0))</f>
        <v>0.05</v>
      </c>
      <c r="O84" s="9">
        <f ca="1">OFFSET(TIAM15_assumptions!$G84,0,MATCH(VLOOKUP(Assumptions!O$2,TIAM15_assumptions!$Y$3:$Z$36,2,FALSE),TIAM15_assumptions!$H$2:$V$2,0))</f>
        <v>0.12</v>
      </c>
      <c r="P84" s="9">
        <f ca="1">OFFSET(TIAM15_assumptions!$G84,0,MATCH(VLOOKUP(Assumptions!P$2,TIAM15_assumptions!$Y$3:$Z$36,2,FALSE),TIAM15_assumptions!$H$2:$V$2,0))</f>
        <v>0.05</v>
      </c>
      <c r="Q84" s="9">
        <f ca="1">OFFSET(TIAM15_assumptions!$G84,0,MATCH(VLOOKUP(Assumptions!Q$2,TIAM15_assumptions!$Y$3:$Z$36,2,FALSE),TIAM15_assumptions!$H$2:$V$2,0))</f>
        <v>0.1</v>
      </c>
      <c r="R84" s="9">
        <f ca="1">OFFSET(TIAM15_assumptions!$G84,0,MATCH(VLOOKUP(Assumptions!R$2,TIAM15_assumptions!$Y$3:$Z$36,2,FALSE),TIAM15_assumptions!$H$2:$V$2,0))</f>
        <v>0.05</v>
      </c>
      <c r="S84" s="9">
        <f ca="1">OFFSET(TIAM15_assumptions!$G84,0,MATCH(VLOOKUP(Assumptions!S$2,TIAM15_assumptions!$Y$3:$Z$36,2,FALSE),TIAM15_assumptions!$H$2:$V$2,0))</f>
        <v>0.1</v>
      </c>
      <c r="T84" s="9">
        <f ca="1">OFFSET(TIAM15_assumptions!$G84,0,MATCH(VLOOKUP(Assumptions!T$2,TIAM15_assumptions!$Y$3:$Z$36,2,FALSE),TIAM15_assumptions!$H$2:$V$2,0))</f>
        <v>0.05</v>
      </c>
      <c r="U84" s="9">
        <f ca="1">OFFSET(TIAM15_assumptions!$G84,0,MATCH(VLOOKUP(Assumptions!U$2,TIAM15_assumptions!$Y$3:$Z$36,2,FALSE),TIAM15_assumptions!$H$2:$V$2,0))</f>
        <v>0.05</v>
      </c>
      <c r="V84" s="9">
        <f ca="1">OFFSET(TIAM15_assumptions!$G84,0,MATCH(VLOOKUP(Assumptions!V$2,TIAM15_assumptions!$Y$3:$Z$36,2,FALSE),TIAM15_assumptions!$H$2:$V$2,0))</f>
        <v>0.1</v>
      </c>
      <c r="W84" s="9">
        <f ca="1">OFFSET(TIAM15_assumptions!$G84,0,MATCH(VLOOKUP(Assumptions!W$2,TIAM15_assumptions!$Y$3:$Z$36,2,FALSE),TIAM15_assumptions!$H$2:$V$2,0))</f>
        <v>0.05</v>
      </c>
      <c r="X84" s="9">
        <f ca="1">OFFSET(TIAM15_assumptions!$G84,0,MATCH(VLOOKUP(Assumptions!X$2,TIAM15_assumptions!$Y$3:$Z$36,2,FALSE),TIAM15_assumptions!$H$2:$V$2,0))</f>
        <v>0.1</v>
      </c>
      <c r="Y84" s="9">
        <f ca="1">OFFSET(TIAM15_assumptions!$G84,0,MATCH(VLOOKUP(Assumptions!Y$2,TIAM15_assumptions!$Y$3:$Z$36,2,FALSE),TIAM15_assumptions!$H$2:$V$2,0))</f>
        <v>0.05</v>
      </c>
      <c r="Z84" s="9">
        <f ca="1">OFFSET(TIAM15_assumptions!$G84,0,MATCH(VLOOKUP(Assumptions!Z$2,TIAM15_assumptions!$Y$3:$Z$36,2,FALSE),TIAM15_assumptions!$H$2:$V$2,0))</f>
        <v>0.05</v>
      </c>
      <c r="AA84" s="9">
        <f ca="1">OFFSET(TIAM15_assumptions!$G84,0,MATCH(VLOOKUP(Assumptions!AA$2,TIAM15_assumptions!$Y$3:$Z$36,2,FALSE),TIAM15_assumptions!$H$2:$V$2,0))</f>
        <v>0</v>
      </c>
      <c r="AB84" s="9">
        <f ca="1">OFFSET(TIAM15_assumptions!$G84,0,MATCH(VLOOKUP(Assumptions!AB$2,TIAM15_assumptions!$Y$3:$Z$36,2,FALSE),TIAM15_assumptions!$H$2:$V$2,0))</f>
        <v>0.12</v>
      </c>
      <c r="AC84" s="9">
        <f ca="1">OFFSET(TIAM15_assumptions!$G84,0,MATCH(VLOOKUP(Assumptions!AC$2,TIAM15_assumptions!$Y$3:$Z$36,2,FALSE),TIAM15_assumptions!$H$2:$V$2,0))</f>
        <v>0.1</v>
      </c>
      <c r="AD84" s="9">
        <f ca="1">OFFSET(TIAM15_assumptions!$G84,0,MATCH(VLOOKUP(Assumptions!AD$2,TIAM15_assumptions!$Y$3:$Z$36,2,FALSE),TIAM15_assumptions!$H$2:$V$2,0))</f>
        <v>0.1</v>
      </c>
      <c r="AE84" s="9">
        <f ca="1">OFFSET(TIAM15_assumptions!$G84,0,MATCH(VLOOKUP(Assumptions!AE$2,TIAM15_assumptions!$Y$3:$Z$36,2,FALSE),TIAM15_assumptions!$H$2:$V$2,0))</f>
        <v>0.05</v>
      </c>
      <c r="AF84" s="9">
        <f ca="1">OFFSET(TIAM15_assumptions!$G84,0,MATCH(VLOOKUP(Assumptions!AF$2,TIAM15_assumptions!$Y$3:$Z$36,2,FALSE),TIAM15_assumptions!$H$2:$V$2,0))</f>
        <v>0.05</v>
      </c>
      <c r="AG84" s="9">
        <f ca="1">OFFSET(TIAM15_assumptions!$G84,0,MATCH(VLOOKUP(Assumptions!AG$2,TIAM15_assumptions!$Y$3:$Z$36,2,FALSE),TIAM15_assumptions!$H$2:$V$2,0))</f>
        <v>0.1</v>
      </c>
      <c r="AH84" s="9">
        <f ca="1">OFFSET(TIAM15_assumptions!$G84,0,MATCH(VLOOKUP(Assumptions!AH$2,TIAM15_assumptions!$Y$3:$Z$36,2,FALSE),TIAM15_assumptions!$H$2:$V$2,0))</f>
        <v>0.05</v>
      </c>
      <c r="AI84" s="9">
        <f ca="1">OFFSET(TIAM15_assumptions!$G84,0,MATCH(VLOOKUP(Assumptions!AI$2,TIAM15_assumptions!$Y$3:$Z$36,2,FALSE),TIAM15_assumptions!$H$2:$V$2,0))</f>
        <v>0.05</v>
      </c>
      <c r="AJ84" s="9">
        <f ca="1">OFFSET(TIAM15_assumptions!$G84,0,MATCH(VLOOKUP(Assumptions!AJ$2,TIAM15_assumptions!$Y$3:$Z$36,2,FALSE),TIAM15_assumptions!$H$2:$V$2,0))</f>
        <v>5.0000000000000001E-3</v>
      </c>
      <c r="AK84" s="9">
        <f ca="1">OFFSET(TIAM15_assumptions!$G84,0,MATCH(VLOOKUP(Assumptions!AK$2,TIAM15_assumptions!$Y$3:$Z$36,2,FALSE),TIAM15_assumptions!$H$2:$V$2,0))</f>
        <v>5.0000000000000001E-3</v>
      </c>
      <c r="AN84" s="34">
        <f ca="1">IFERROR(SUMIFS('TRA balance'!E$5:E$40,'TRA balance'!$C$5:$C$40,Assumptions!$C84,'TRA balance'!$D$5:$D$40,Assumptions!$B84)*BS84*H84,"")</f>
        <v>0</v>
      </c>
      <c r="AO84" s="34">
        <f ca="1">IFERROR(SUMIFS('TRA balance'!F$5:F$40,'TRA balance'!$C$5:$C$40,Assumptions!$C84,'TRA balance'!$D$5:$D$40,Assumptions!$B84)*BT84*I84,"")</f>
        <v>0</v>
      </c>
      <c r="AP84" s="34">
        <f ca="1">IFERROR(SUMIFS('TRA balance'!G$5:G$40,'TRA balance'!$C$5:$C$40,Assumptions!$C84,'TRA balance'!$D$5:$D$40,Assumptions!$B84)*BU84*J84,"")</f>
        <v>0.27064406344319991</v>
      </c>
      <c r="AQ84" s="34">
        <f ca="1">IFERROR(SUMIFS('TRA balance'!H$5:H$40,'TRA balance'!$C$5:$C$40,Assumptions!$C84,'TRA balance'!$D$5:$D$40,Assumptions!$B84)*BV84*K84,"")</f>
        <v>0</v>
      </c>
      <c r="AR84" s="34">
        <f ca="1">IFERROR(SUMIFS('TRA balance'!I$5:I$40,'TRA balance'!$C$5:$C$40,Assumptions!$C84,'TRA balance'!$D$5:$D$40,Assumptions!$B84)*BW84*L84,"")</f>
        <v>0</v>
      </c>
      <c r="AS84" s="34">
        <f ca="1">IFERROR(SUMIFS('TRA balance'!J$5:J$40,'TRA balance'!$C$5:$C$40,Assumptions!$C84,'TRA balance'!$D$5:$D$40,Assumptions!$B84)*BX84*M84,"")</f>
        <v>0</v>
      </c>
      <c r="AT84" s="34">
        <f ca="1">IFERROR(SUMIFS('TRA balance'!K$5:K$40,'TRA balance'!$C$5:$C$40,Assumptions!$C84,'TRA balance'!$D$5:$D$40,Assumptions!$B84)*BY84*N84,"")</f>
        <v>2.7296973035999997E-2</v>
      </c>
      <c r="AU84" s="34">
        <f ca="1">IFERROR(SUMIFS('TRA balance'!L$5:L$40,'TRA balance'!$C$5:$C$40,Assumptions!$C84,'TRA balance'!$D$5:$D$40,Assumptions!$B84)*BZ84*O84,"")</f>
        <v>2.8314425893391997</v>
      </c>
      <c r="AV84" s="34">
        <f ca="1">IFERROR(SUMIFS('TRA balance'!M$5:M$40,'TRA balance'!$C$5:$C$40,Assumptions!$C84,'TRA balance'!$D$5:$D$40,Assumptions!$B84)*CA84*P84,"")</f>
        <v>0.13362999511680013</v>
      </c>
      <c r="AW84" s="34">
        <f ca="1">IFERROR(SUMIFS('TRA balance'!N$5:N$40,'TRA balance'!$C$5:$C$40,Assumptions!$C84,'TRA balance'!$D$5:$D$40,Assumptions!$B84)*CB84*Q84,"")</f>
        <v>0.85759999603199999</v>
      </c>
      <c r="AX84" s="34">
        <f ca="1">IFERROR(SUMIFS('TRA balance'!O$5:O$40,'TRA balance'!$C$5:$C$40,Assumptions!$C84,'TRA balance'!$D$5:$D$40,Assumptions!$B84)*CC84*R84,"")</f>
        <v>1.4069739306600014E-2</v>
      </c>
      <c r="AY84" s="34">
        <f ca="1">IFERROR(SUMIFS('TRA balance'!P$5:P$40,'TRA balance'!$C$5:$C$40,Assumptions!$C84,'TRA balance'!$D$5:$D$40,Assumptions!$B84)*CD84*S84,"")</f>
        <v>4.5418368718800041E-2</v>
      </c>
      <c r="AZ84" s="34">
        <f ca="1">IFERROR(SUMIFS('TRA balance'!Q$5:Q$40,'TRA balance'!$C$5:$C$40,Assumptions!$C84,'TRA balance'!$D$5:$D$40,Assumptions!$B84)*CE84*T84,"")</f>
        <v>2.3483457657000023E-2</v>
      </c>
      <c r="BA84" s="34">
        <f ca="1">IFERROR(SUMIFS('TRA balance'!R$5:R$40,'TRA balance'!$C$5:$C$40,Assumptions!$C84,'TRA balance'!$D$5:$D$40,Assumptions!$B84)*CF84*U84,"")</f>
        <v>3.4911820206000028E-3</v>
      </c>
      <c r="BB84" s="34">
        <f ca="1">IFERROR(SUMIFS('TRA balance'!S$5:S$40,'TRA balance'!$C$5:$C$40,Assumptions!$C84,'TRA balance'!$D$5:$D$40,Assumptions!$B84)*CG84*V84,"")</f>
        <v>2.2680339400800022E-2</v>
      </c>
      <c r="BC84" s="34">
        <f ca="1">IFERROR(SUMIFS('TRA balance'!T$5:T$40,'TRA balance'!$C$5:$C$40,Assumptions!$C84,'TRA balance'!$D$5:$D$40,Assumptions!$B84)*CH84*W84,"")</f>
        <v>8.6964881094000086E-3</v>
      </c>
      <c r="BD84" s="34">
        <f ca="1">IFERROR(SUMIFS('TRA balance'!U$5:U$40,'TRA balance'!$C$5:$C$40,Assumptions!$C84,'TRA balance'!$D$5:$D$40,Assumptions!$B84)*CI84*X84,"")</f>
        <v>0.21764359670400002</v>
      </c>
      <c r="BE84" s="34">
        <f ca="1">IFERROR(SUMIFS('TRA balance'!V$5:V$40,'TRA balance'!$C$5:$C$40,Assumptions!$C84,'TRA balance'!$D$5:$D$40,Assumptions!$B84)*CJ84*Y84,"")</f>
        <v>4.1027899739400041E-2</v>
      </c>
      <c r="BF84" s="34">
        <f ca="1">IFERROR(SUMIFS('TRA balance'!W$5:W$40,'TRA balance'!$C$5:$C$40,Assumptions!$C84,'TRA balance'!$D$5:$D$40,Assumptions!$B84)*CK84*Z84,"")</f>
        <v>4.5146241372600045E-2</v>
      </c>
      <c r="BG84" s="34">
        <f ca="1">IFERROR(SUMIFS('TRA balance'!X$5:X$40,'TRA balance'!$C$5:$C$40,Assumptions!$C84,'TRA balance'!$D$5:$D$40,Assumptions!$B84)*CL84*AA84,"")</f>
        <v>0</v>
      </c>
      <c r="BH84" s="34">
        <f ca="1">IFERROR(SUMIFS('TRA balance'!Y$5:Y$40,'TRA balance'!$C$5:$C$40,Assumptions!$C84,'TRA balance'!$D$5:$D$40,Assumptions!$B84)*CM84*AB84,"")</f>
        <v>0.36643032698399997</v>
      </c>
      <c r="BI84" s="34">
        <f ca="1">IFERROR(SUMIFS('TRA balance'!Z$5:Z$40,'TRA balance'!$C$5:$C$40,Assumptions!$C84,'TRA balance'!$D$5:$D$40,Assumptions!$B84)*CN84*AC84,"")</f>
        <v>0</v>
      </c>
      <c r="BJ84" s="34">
        <f ca="1">IFERROR(SUMIFS('TRA balance'!AA$5:AA$40,'TRA balance'!$C$5:$C$40,Assumptions!$C84,'TRA balance'!$D$5:$D$40,Assumptions!$B84)*CO84*AD84,"")</f>
        <v>0</v>
      </c>
      <c r="BK84" s="34">
        <f ca="1">IFERROR(SUMIFS('TRA balance'!AB$5:AB$40,'TRA balance'!$C$5:$C$40,Assumptions!$C84,'TRA balance'!$D$5:$D$40,Assumptions!$B84)*CP84*AE84,"")</f>
        <v>2.9285891442000027E-3</v>
      </c>
      <c r="BL84" s="34">
        <f ca="1">IFERROR(SUMIFS('TRA balance'!AC$5:AC$40,'TRA balance'!$C$5:$C$40,Assumptions!$C84,'TRA balance'!$D$5:$D$40,Assumptions!$B84)*CQ84*AF84,"")</f>
        <v>0</v>
      </c>
      <c r="BM84" s="34">
        <f ca="1">IFERROR(SUMIFS('TRA balance'!AD$5:AD$40,'TRA balance'!$C$5:$C$40,Assumptions!$C84,'TRA balance'!$D$5:$D$40,Assumptions!$B84)*CR84*AG84,"")</f>
        <v>0</v>
      </c>
      <c r="BN84" s="34">
        <f ca="1">IFERROR(SUMIFS('TRA balance'!AE$5:AE$40,'TRA balance'!$C$5:$C$40,Assumptions!$C84,'TRA balance'!$D$5:$D$40,Assumptions!$B84)*CS84*AH84,"")</f>
        <v>0</v>
      </c>
      <c r="BO84" s="34">
        <f ca="1">IFERROR(SUMIFS('TRA balance'!AF$5:AF$40,'TRA balance'!$C$5:$C$40,Assumptions!$C84,'TRA balance'!$D$5:$D$40,Assumptions!$B84)*CT84*AI84,"")</f>
        <v>2.4022681909200021E-2</v>
      </c>
      <c r="BP84" s="34">
        <f ca="1">IFERROR(SUMIFS('TRA balance'!AG$5:AG$40,'TRA balance'!$C$5:$C$40,Assumptions!$C84,'TRA balance'!$D$5:$D$40,Assumptions!$B84)*CU84*AJ84,"")</f>
        <v>1.3683873351599996</v>
      </c>
      <c r="BQ84" s="34">
        <f ca="1">IFERROR(SUMIFS('TRA balance'!AH$5:AH$40,'TRA balance'!$C$5:$C$40,Assumptions!$C84,'TRA balance'!$D$5:$D$40,Assumptions!$B84)*CV84*AK84,"")</f>
        <v>0</v>
      </c>
      <c r="BS84" s="33">
        <f t="shared" ca="1" si="152"/>
        <v>0</v>
      </c>
      <c r="BT84" s="33">
        <f t="shared" ca="1" si="153"/>
        <v>0</v>
      </c>
      <c r="BU84" s="33">
        <f t="shared" ca="1" si="154"/>
        <v>9.9999999999999978E-2</v>
      </c>
      <c r="BV84" s="33">
        <f t="shared" ca="1" si="155"/>
        <v>0.30000000000000004</v>
      </c>
      <c r="BW84" s="33">
        <f t="shared" ca="1" si="156"/>
        <v>9.9999999999999978E-2</v>
      </c>
      <c r="BX84" s="33">
        <f t="shared" ca="1" si="157"/>
        <v>0</v>
      </c>
      <c r="BY84" s="33">
        <f t="shared" ca="1" si="158"/>
        <v>9.9999999999999978E-2</v>
      </c>
      <c r="BZ84" s="33">
        <f t="shared" ca="1" si="159"/>
        <v>9.9999999999999978E-2</v>
      </c>
      <c r="CA84" s="33">
        <f t="shared" ca="1" si="160"/>
        <v>4.0000000000000036E-2</v>
      </c>
      <c r="CB84" s="33">
        <f t="shared" ca="1" si="161"/>
        <v>9.9999999999999978E-2</v>
      </c>
      <c r="CC84" s="33">
        <f t="shared" ca="1" si="162"/>
        <v>3.0000000000000027E-2</v>
      </c>
      <c r="CD84" s="33">
        <f t="shared" ca="1" si="163"/>
        <v>3.0000000000000027E-2</v>
      </c>
      <c r="CE84" s="33">
        <f t="shared" ca="1" si="164"/>
        <v>3.0000000000000027E-2</v>
      </c>
      <c r="CF84" s="33">
        <f t="shared" ca="1" si="165"/>
        <v>3.0000000000000027E-2</v>
      </c>
      <c r="CG84" s="33">
        <f t="shared" ca="1" si="166"/>
        <v>3.0000000000000027E-2</v>
      </c>
      <c r="CH84" s="33">
        <f t="shared" ca="1" si="167"/>
        <v>3.0000000000000027E-2</v>
      </c>
      <c r="CI84" s="33">
        <f t="shared" ca="1" si="168"/>
        <v>0.30000000000000004</v>
      </c>
      <c r="CJ84" s="33">
        <f t="shared" ca="1" si="169"/>
        <v>3.0000000000000027E-2</v>
      </c>
      <c r="CK84" s="33">
        <f t="shared" ca="1" si="170"/>
        <v>3.0000000000000027E-2</v>
      </c>
      <c r="CL84" s="33">
        <f t="shared" ca="1" si="171"/>
        <v>0</v>
      </c>
      <c r="CM84" s="33">
        <f t="shared" ca="1" si="172"/>
        <v>9.9999999999999978E-2</v>
      </c>
      <c r="CN84" s="33">
        <f t="shared" ca="1" si="173"/>
        <v>5.0000000000000044E-2</v>
      </c>
      <c r="CO84" s="33">
        <f t="shared" ca="1" si="174"/>
        <v>0.30000000000000004</v>
      </c>
      <c r="CP84" s="33">
        <f t="shared" ca="1" si="175"/>
        <v>3.0000000000000027E-2</v>
      </c>
      <c r="CQ84" s="33">
        <f t="shared" ca="1" si="176"/>
        <v>0.30000000000000004</v>
      </c>
      <c r="CR84" s="33">
        <f t="shared" ca="1" si="177"/>
        <v>0.30000000000000004</v>
      </c>
      <c r="CS84" s="33">
        <f t="shared" ca="1" si="178"/>
        <v>0</v>
      </c>
      <c r="CT84" s="33">
        <f t="shared" ca="1" si="179"/>
        <v>3.0000000000000027E-2</v>
      </c>
      <c r="CU84" s="33">
        <f t="shared" ca="1" si="180"/>
        <v>0.19999999999999996</v>
      </c>
      <c r="CV84" s="33">
        <f t="shared" ca="1" si="181"/>
        <v>0.19999999999999996</v>
      </c>
    </row>
    <row r="85" spans="1:100" x14ac:dyDescent="0.45">
      <c r="A85">
        <v>2</v>
      </c>
      <c r="B85" t="str">
        <f>VLOOKUP(F85,'TRA balance'!$AK$5:$AL$14,2,FALSE)</f>
        <v>TRABGS</v>
      </c>
      <c r="C85" s="6" t="str">
        <f t="shared" si="185"/>
        <v>TR</v>
      </c>
      <c r="D85" s="7" t="s">
        <v>16</v>
      </c>
      <c r="E85" s="18" t="s">
        <v>73</v>
      </c>
      <c r="F85" s="8" t="str">
        <f t="shared" ref="F85:F88" si="209">F84</f>
        <v>Bio Gasoline</v>
      </c>
      <c r="G85" s="6" t="s">
        <v>74</v>
      </c>
      <c r="H85" s="9">
        <f ca="1">OFFSET(TIAM15_assumptions!$G85,0,MATCH(VLOOKUP(Assumptions!H$2,TIAM15_assumptions!$Y$3:$Z$36,2,FALSE),TIAM15_assumptions!$H$2:$V$2,0))</f>
        <v>0</v>
      </c>
      <c r="I85" s="9">
        <f ca="1">OFFSET(TIAM15_assumptions!$G85,0,MATCH(VLOOKUP(Assumptions!I$2,TIAM15_assumptions!$Y$3:$Z$36,2,FALSE),TIAM15_assumptions!$H$2:$V$2,0))</f>
        <v>0</v>
      </c>
      <c r="J85" s="9">
        <f ca="1">OFFSET(TIAM15_assumptions!$G85,0,MATCH(VLOOKUP(Assumptions!J$2,TIAM15_assumptions!$Y$3:$Z$36,2,FALSE),TIAM15_assumptions!$H$2:$V$2,0))</f>
        <v>0</v>
      </c>
      <c r="K85" s="9">
        <f ca="1">OFFSET(TIAM15_assumptions!$G85,0,MATCH(VLOOKUP(Assumptions!K$2,TIAM15_assumptions!$Y$3:$Z$36,2,FALSE),TIAM15_assumptions!$H$2:$V$2,0))</f>
        <v>0</v>
      </c>
      <c r="L85" s="9">
        <f ca="1">OFFSET(TIAM15_assumptions!$G85,0,MATCH(VLOOKUP(Assumptions!L$2,TIAM15_assumptions!$Y$3:$Z$36,2,FALSE),TIAM15_assumptions!$H$2:$V$2,0))</f>
        <v>0</v>
      </c>
      <c r="M85" s="9">
        <f ca="1">OFFSET(TIAM15_assumptions!$G85,0,MATCH(VLOOKUP(Assumptions!M$2,TIAM15_assumptions!$Y$3:$Z$36,2,FALSE),TIAM15_assumptions!$H$2:$V$2,0))</f>
        <v>0</v>
      </c>
      <c r="N85" s="9">
        <f ca="1">OFFSET(TIAM15_assumptions!$G85,0,MATCH(VLOOKUP(Assumptions!N$2,TIAM15_assumptions!$Y$3:$Z$36,2,FALSE),TIAM15_assumptions!$H$2:$V$2,0))</f>
        <v>0</v>
      </c>
      <c r="O85" s="9">
        <f ca="1">OFFSET(TIAM15_assumptions!$G85,0,MATCH(VLOOKUP(Assumptions!O$2,TIAM15_assumptions!$Y$3:$Z$36,2,FALSE),TIAM15_assumptions!$H$2:$V$2,0))</f>
        <v>0</v>
      </c>
      <c r="P85" s="9">
        <f ca="1">OFFSET(TIAM15_assumptions!$G85,0,MATCH(VLOOKUP(Assumptions!P$2,TIAM15_assumptions!$Y$3:$Z$36,2,FALSE),TIAM15_assumptions!$H$2:$V$2,0))</f>
        <v>0</v>
      </c>
      <c r="Q85" s="9">
        <f ca="1">OFFSET(TIAM15_assumptions!$G85,0,MATCH(VLOOKUP(Assumptions!Q$2,TIAM15_assumptions!$Y$3:$Z$36,2,FALSE),TIAM15_assumptions!$H$2:$V$2,0))</f>
        <v>0</v>
      </c>
      <c r="R85" s="9">
        <f ca="1">OFFSET(TIAM15_assumptions!$G85,0,MATCH(VLOOKUP(Assumptions!R$2,TIAM15_assumptions!$Y$3:$Z$36,2,FALSE),TIAM15_assumptions!$H$2:$V$2,0))</f>
        <v>0</v>
      </c>
      <c r="S85" s="9">
        <f ca="1">OFFSET(TIAM15_assumptions!$G85,0,MATCH(VLOOKUP(Assumptions!S$2,TIAM15_assumptions!$Y$3:$Z$36,2,FALSE),TIAM15_assumptions!$H$2:$V$2,0))</f>
        <v>0</v>
      </c>
      <c r="T85" s="9">
        <f ca="1">OFFSET(TIAM15_assumptions!$G85,0,MATCH(VLOOKUP(Assumptions!T$2,TIAM15_assumptions!$Y$3:$Z$36,2,FALSE),TIAM15_assumptions!$H$2:$V$2,0))</f>
        <v>0</v>
      </c>
      <c r="U85" s="9">
        <f ca="1">OFFSET(TIAM15_assumptions!$G85,0,MATCH(VLOOKUP(Assumptions!U$2,TIAM15_assumptions!$Y$3:$Z$36,2,FALSE),TIAM15_assumptions!$H$2:$V$2,0))</f>
        <v>0</v>
      </c>
      <c r="V85" s="9">
        <f ca="1">OFFSET(TIAM15_assumptions!$G85,0,MATCH(VLOOKUP(Assumptions!V$2,TIAM15_assumptions!$Y$3:$Z$36,2,FALSE),TIAM15_assumptions!$H$2:$V$2,0))</f>
        <v>0</v>
      </c>
      <c r="W85" s="9">
        <f ca="1">OFFSET(TIAM15_assumptions!$G85,0,MATCH(VLOOKUP(Assumptions!W$2,TIAM15_assumptions!$Y$3:$Z$36,2,FALSE),TIAM15_assumptions!$H$2:$V$2,0))</f>
        <v>0</v>
      </c>
      <c r="X85" s="9">
        <f ca="1">OFFSET(TIAM15_assumptions!$G85,0,MATCH(VLOOKUP(Assumptions!X$2,TIAM15_assumptions!$Y$3:$Z$36,2,FALSE),TIAM15_assumptions!$H$2:$V$2,0))</f>
        <v>0</v>
      </c>
      <c r="Y85" s="9">
        <f ca="1">OFFSET(TIAM15_assumptions!$G85,0,MATCH(VLOOKUP(Assumptions!Y$2,TIAM15_assumptions!$Y$3:$Z$36,2,FALSE),TIAM15_assumptions!$H$2:$V$2,0))</f>
        <v>0</v>
      </c>
      <c r="Z85" s="9">
        <f ca="1">OFFSET(TIAM15_assumptions!$G85,0,MATCH(VLOOKUP(Assumptions!Z$2,TIAM15_assumptions!$Y$3:$Z$36,2,FALSE),TIAM15_assumptions!$H$2:$V$2,0))</f>
        <v>0</v>
      </c>
      <c r="AA85" s="9">
        <f ca="1">OFFSET(TIAM15_assumptions!$G85,0,MATCH(VLOOKUP(Assumptions!AA$2,TIAM15_assumptions!$Y$3:$Z$36,2,FALSE),TIAM15_assumptions!$H$2:$V$2,0))</f>
        <v>0</v>
      </c>
      <c r="AB85" s="9">
        <f ca="1">OFFSET(TIAM15_assumptions!$G85,0,MATCH(VLOOKUP(Assumptions!AB$2,TIAM15_assumptions!$Y$3:$Z$36,2,FALSE),TIAM15_assumptions!$H$2:$V$2,0))</f>
        <v>0</v>
      </c>
      <c r="AC85" s="9">
        <f ca="1">OFFSET(TIAM15_assumptions!$G85,0,MATCH(VLOOKUP(Assumptions!AC$2,TIAM15_assumptions!$Y$3:$Z$36,2,FALSE),TIAM15_assumptions!$H$2:$V$2,0))</f>
        <v>0</v>
      </c>
      <c r="AD85" s="9">
        <f ca="1">OFFSET(TIAM15_assumptions!$G85,0,MATCH(VLOOKUP(Assumptions!AD$2,TIAM15_assumptions!$Y$3:$Z$36,2,FALSE),TIAM15_assumptions!$H$2:$V$2,0))</f>
        <v>0</v>
      </c>
      <c r="AE85" s="9">
        <f ca="1">OFFSET(TIAM15_assumptions!$G85,0,MATCH(VLOOKUP(Assumptions!AE$2,TIAM15_assumptions!$Y$3:$Z$36,2,FALSE),TIAM15_assumptions!$H$2:$V$2,0))</f>
        <v>0</v>
      </c>
      <c r="AF85" s="9">
        <f ca="1">OFFSET(TIAM15_assumptions!$G85,0,MATCH(VLOOKUP(Assumptions!AF$2,TIAM15_assumptions!$Y$3:$Z$36,2,FALSE),TIAM15_assumptions!$H$2:$V$2,0))</f>
        <v>0</v>
      </c>
      <c r="AG85" s="9">
        <f ca="1">OFFSET(TIAM15_assumptions!$G85,0,MATCH(VLOOKUP(Assumptions!AG$2,TIAM15_assumptions!$Y$3:$Z$36,2,FALSE),TIAM15_assumptions!$H$2:$V$2,0))</f>
        <v>0</v>
      </c>
      <c r="AH85" s="9">
        <f ca="1">OFFSET(TIAM15_assumptions!$G85,0,MATCH(VLOOKUP(Assumptions!AH$2,TIAM15_assumptions!$Y$3:$Z$36,2,FALSE),TIAM15_assumptions!$H$2:$V$2,0))</f>
        <v>0</v>
      </c>
      <c r="AI85" s="9">
        <f ca="1">OFFSET(TIAM15_assumptions!$G85,0,MATCH(VLOOKUP(Assumptions!AI$2,TIAM15_assumptions!$Y$3:$Z$36,2,FALSE),TIAM15_assumptions!$H$2:$V$2,0))</f>
        <v>0</v>
      </c>
      <c r="AJ85" s="9">
        <f ca="1">OFFSET(TIAM15_assumptions!$G85,0,MATCH(VLOOKUP(Assumptions!AJ$2,TIAM15_assumptions!$Y$3:$Z$36,2,FALSE),TIAM15_assumptions!$H$2:$V$2,0))</f>
        <v>0</v>
      </c>
      <c r="AK85" s="9">
        <f ca="1">OFFSET(TIAM15_assumptions!$G85,0,MATCH(VLOOKUP(Assumptions!AK$2,TIAM15_assumptions!$Y$3:$Z$36,2,FALSE),TIAM15_assumptions!$H$2:$V$2,0))</f>
        <v>0</v>
      </c>
      <c r="AN85" s="34">
        <f ca="1">IFERROR(SUMIFS('TRA balance'!E$5:E$40,'TRA balance'!$C$5:$C$40,Assumptions!$C85,'TRA balance'!$D$5:$D$40,Assumptions!$B85)*BS85*H85,"")</f>
        <v>0</v>
      </c>
      <c r="AO85" s="34">
        <f ca="1">IFERROR(SUMIFS('TRA balance'!F$5:F$40,'TRA balance'!$C$5:$C$40,Assumptions!$C85,'TRA balance'!$D$5:$D$40,Assumptions!$B85)*BT85*I85,"")</f>
        <v>0</v>
      </c>
      <c r="AP85" s="34">
        <f ca="1">IFERROR(SUMIFS('TRA balance'!G$5:G$40,'TRA balance'!$C$5:$C$40,Assumptions!$C85,'TRA balance'!$D$5:$D$40,Assumptions!$B85)*BU85*J85,"")</f>
        <v>0</v>
      </c>
      <c r="AQ85" s="34">
        <f ca="1">IFERROR(SUMIFS('TRA balance'!H$5:H$40,'TRA balance'!$C$5:$C$40,Assumptions!$C85,'TRA balance'!$D$5:$D$40,Assumptions!$B85)*BV85*K85,"")</f>
        <v>0</v>
      </c>
      <c r="AR85" s="34">
        <f ca="1">IFERROR(SUMIFS('TRA balance'!I$5:I$40,'TRA balance'!$C$5:$C$40,Assumptions!$C85,'TRA balance'!$D$5:$D$40,Assumptions!$B85)*BW85*L85,"")</f>
        <v>0</v>
      </c>
      <c r="AS85" s="34">
        <f ca="1">IFERROR(SUMIFS('TRA balance'!J$5:J$40,'TRA balance'!$C$5:$C$40,Assumptions!$C85,'TRA balance'!$D$5:$D$40,Assumptions!$B85)*BX85*M85,"")</f>
        <v>0</v>
      </c>
      <c r="AT85" s="34">
        <f ca="1">IFERROR(SUMIFS('TRA balance'!K$5:K$40,'TRA balance'!$C$5:$C$40,Assumptions!$C85,'TRA balance'!$D$5:$D$40,Assumptions!$B85)*BY85*N85,"")</f>
        <v>0</v>
      </c>
      <c r="AU85" s="34">
        <f ca="1">IFERROR(SUMIFS('TRA balance'!L$5:L$40,'TRA balance'!$C$5:$C$40,Assumptions!$C85,'TRA balance'!$D$5:$D$40,Assumptions!$B85)*BZ85*O85,"")</f>
        <v>0</v>
      </c>
      <c r="AV85" s="34">
        <f ca="1">IFERROR(SUMIFS('TRA balance'!M$5:M$40,'TRA balance'!$C$5:$C$40,Assumptions!$C85,'TRA balance'!$D$5:$D$40,Assumptions!$B85)*CA85*P85,"")</f>
        <v>0</v>
      </c>
      <c r="AW85" s="34">
        <f ca="1">IFERROR(SUMIFS('TRA balance'!N$5:N$40,'TRA balance'!$C$5:$C$40,Assumptions!$C85,'TRA balance'!$D$5:$D$40,Assumptions!$B85)*CB85*Q85,"")</f>
        <v>0</v>
      </c>
      <c r="AX85" s="34">
        <f ca="1">IFERROR(SUMIFS('TRA balance'!O$5:O$40,'TRA balance'!$C$5:$C$40,Assumptions!$C85,'TRA balance'!$D$5:$D$40,Assumptions!$B85)*CC85*R85,"")</f>
        <v>0</v>
      </c>
      <c r="AY85" s="34">
        <f ca="1">IFERROR(SUMIFS('TRA balance'!P$5:P$40,'TRA balance'!$C$5:$C$40,Assumptions!$C85,'TRA balance'!$D$5:$D$40,Assumptions!$B85)*CD85*S85,"")</f>
        <v>0</v>
      </c>
      <c r="AZ85" s="34">
        <f ca="1">IFERROR(SUMIFS('TRA balance'!Q$5:Q$40,'TRA balance'!$C$5:$C$40,Assumptions!$C85,'TRA balance'!$D$5:$D$40,Assumptions!$B85)*CE85*T85,"")</f>
        <v>0</v>
      </c>
      <c r="BA85" s="34">
        <f ca="1">IFERROR(SUMIFS('TRA balance'!R$5:R$40,'TRA balance'!$C$5:$C$40,Assumptions!$C85,'TRA balance'!$D$5:$D$40,Assumptions!$B85)*CF85*U85,"")</f>
        <v>0</v>
      </c>
      <c r="BB85" s="34">
        <f ca="1">IFERROR(SUMIFS('TRA balance'!S$5:S$40,'TRA balance'!$C$5:$C$40,Assumptions!$C85,'TRA balance'!$D$5:$D$40,Assumptions!$B85)*CG85*V85,"")</f>
        <v>0</v>
      </c>
      <c r="BC85" s="34">
        <f ca="1">IFERROR(SUMIFS('TRA balance'!T$5:T$40,'TRA balance'!$C$5:$C$40,Assumptions!$C85,'TRA balance'!$D$5:$D$40,Assumptions!$B85)*CH85*W85,"")</f>
        <v>0</v>
      </c>
      <c r="BD85" s="34">
        <f ca="1">IFERROR(SUMIFS('TRA balance'!U$5:U$40,'TRA balance'!$C$5:$C$40,Assumptions!$C85,'TRA balance'!$D$5:$D$40,Assumptions!$B85)*CI85*X85,"")</f>
        <v>0</v>
      </c>
      <c r="BE85" s="34">
        <f ca="1">IFERROR(SUMIFS('TRA balance'!V$5:V$40,'TRA balance'!$C$5:$C$40,Assumptions!$C85,'TRA balance'!$D$5:$D$40,Assumptions!$B85)*CJ85*Y85,"")</f>
        <v>0</v>
      </c>
      <c r="BF85" s="34">
        <f ca="1">IFERROR(SUMIFS('TRA balance'!W$5:W$40,'TRA balance'!$C$5:$C$40,Assumptions!$C85,'TRA balance'!$D$5:$D$40,Assumptions!$B85)*CK85*Z85,"")</f>
        <v>0</v>
      </c>
      <c r="BG85" s="34">
        <f ca="1">IFERROR(SUMIFS('TRA balance'!X$5:X$40,'TRA balance'!$C$5:$C$40,Assumptions!$C85,'TRA balance'!$D$5:$D$40,Assumptions!$B85)*CL85*AA85,"")</f>
        <v>0</v>
      </c>
      <c r="BH85" s="34">
        <f ca="1">IFERROR(SUMIFS('TRA balance'!Y$5:Y$40,'TRA balance'!$C$5:$C$40,Assumptions!$C85,'TRA balance'!$D$5:$D$40,Assumptions!$B85)*CM85*AB85,"")</f>
        <v>0</v>
      </c>
      <c r="BI85" s="34">
        <f ca="1">IFERROR(SUMIFS('TRA balance'!Z$5:Z$40,'TRA balance'!$C$5:$C$40,Assumptions!$C85,'TRA balance'!$D$5:$D$40,Assumptions!$B85)*CN85*AC85,"")</f>
        <v>0</v>
      </c>
      <c r="BJ85" s="34">
        <f ca="1">IFERROR(SUMIFS('TRA balance'!AA$5:AA$40,'TRA balance'!$C$5:$C$40,Assumptions!$C85,'TRA balance'!$D$5:$D$40,Assumptions!$B85)*CO85*AD85,"")</f>
        <v>0</v>
      </c>
      <c r="BK85" s="34">
        <f ca="1">IFERROR(SUMIFS('TRA balance'!AB$5:AB$40,'TRA balance'!$C$5:$C$40,Assumptions!$C85,'TRA balance'!$D$5:$D$40,Assumptions!$B85)*CP85*AE85,"")</f>
        <v>0</v>
      </c>
      <c r="BL85" s="34">
        <f ca="1">IFERROR(SUMIFS('TRA balance'!AC$5:AC$40,'TRA balance'!$C$5:$C$40,Assumptions!$C85,'TRA balance'!$D$5:$D$40,Assumptions!$B85)*CQ85*AF85,"")</f>
        <v>0</v>
      </c>
      <c r="BM85" s="34">
        <f ca="1">IFERROR(SUMIFS('TRA balance'!AD$5:AD$40,'TRA balance'!$C$5:$C$40,Assumptions!$C85,'TRA balance'!$D$5:$D$40,Assumptions!$B85)*CR85*AG85,"")</f>
        <v>0</v>
      </c>
      <c r="BN85" s="34">
        <f ca="1">IFERROR(SUMIFS('TRA balance'!AE$5:AE$40,'TRA balance'!$C$5:$C$40,Assumptions!$C85,'TRA balance'!$D$5:$D$40,Assumptions!$B85)*CS85*AH85,"")</f>
        <v>0</v>
      </c>
      <c r="BO85" s="34">
        <f ca="1">IFERROR(SUMIFS('TRA balance'!AF$5:AF$40,'TRA balance'!$C$5:$C$40,Assumptions!$C85,'TRA balance'!$D$5:$D$40,Assumptions!$B85)*CT85*AI85,"")</f>
        <v>0</v>
      </c>
      <c r="BP85" s="34">
        <f ca="1">IFERROR(SUMIFS('TRA balance'!AG$5:AG$40,'TRA balance'!$C$5:$C$40,Assumptions!$C85,'TRA balance'!$D$5:$D$40,Assumptions!$B85)*CU85*AJ85,"")</f>
        <v>0</v>
      </c>
      <c r="BQ85" s="34">
        <f ca="1">IFERROR(SUMIFS('TRA balance'!AH$5:AH$40,'TRA balance'!$C$5:$C$40,Assumptions!$C85,'TRA balance'!$D$5:$D$40,Assumptions!$B85)*CV85*AK85,"")</f>
        <v>0</v>
      </c>
      <c r="BS85" s="33">
        <f t="shared" ca="1" si="152"/>
        <v>0</v>
      </c>
      <c r="BT85" s="33">
        <f t="shared" ca="1" si="153"/>
        <v>0</v>
      </c>
      <c r="BU85" s="33">
        <f t="shared" ca="1" si="154"/>
        <v>9.9999999999999978E-2</v>
      </c>
      <c r="BV85" s="33">
        <f t="shared" ca="1" si="155"/>
        <v>0.30000000000000004</v>
      </c>
      <c r="BW85" s="33">
        <f t="shared" ca="1" si="156"/>
        <v>9.9999999999999978E-2</v>
      </c>
      <c r="BX85" s="33">
        <f t="shared" ca="1" si="157"/>
        <v>0</v>
      </c>
      <c r="BY85" s="33">
        <f t="shared" ca="1" si="158"/>
        <v>9.9999999999999978E-2</v>
      </c>
      <c r="BZ85" s="33">
        <f t="shared" ca="1" si="159"/>
        <v>9.9999999999999978E-2</v>
      </c>
      <c r="CA85" s="33">
        <f t="shared" ca="1" si="160"/>
        <v>4.0000000000000036E-2</v>
      </c>
      <c r="CB85" s="33">
        <f t="shared" ca="1" si="161"/>
        <v>9.9999999999999978E-2</v>
      </c>
      <c r="CC85" s="33">
        <f t="shared" ca="1" si="162"/>
        <v>3.0000000000000027E-2</v>
      </c>
      <c r="CD85" s="33">
        <f t="shared" ca="1" si="163"/>
        <v>3.0000000000000027E-2</v>
      </c>
      <c r="CE85" s="33">
        <f t="shared" ca="1" si="164"/>
        <v>3.0000000000000027E-2</v>
      </c>
      <c r="CF85" s="33">
        <f t="shared" ca="1" si="165"/>
        <v>3.0000000000000027E-2</v>
      </c>
      <c r="CG85" s="33">
        <f t="shared" ca="1" si="166"/>
        <v>3.0000000000000027E-2</v>
      </c>
      <c r="CH85" s="33">
        <f t="shared" ca="1" si="167"/>
        <v>3.0000000000000027E-2</v>
      </c>
      <c r="CI85" s="33">
        <f t="shared" ca="1" si="168"/>
        <v>0.30000000000000004</v>
      </c>
      <c r="CJ85" s="33">
        <f t="shared" ca="1" si="169"/>
        <v>3.0000000000000027E-2</v>
      </c>
      <c r="CK85" s="33">
        <f t="shared" ca="1" si="170"/>
        <v>3.0000000000000027E-2</v>
      </c>
      <c r="CL85" s="33">
        <f t="shared" ca="1" si="171"/>
        <v>0</v>
      </c>
      <c r="CM85" s="33">
        <f t="shared" ca="1" si="172"/>
        <v>9.9999999999999978E-2</v>
      </c>
      <c r="CN85" s="33">
        <f t="shared" ca="1" si="173"/>
        <v>5.0000000000000044E-2</v>
      </c>
      <c r="CO85" s="33">
        <f t="shared" ca="1" si="174"/>
        <v>0.30000000000000004</v>
      </c>
      <c r="CP85" s="33">
        <f t="shared" ca="1" si="175"/>
        <v>3.0000000000000027E-2</v>
      </c>
      <c r="CQ85" s="33">
        <f t="shared" ca="1" si="176"/>
        <v>0.30000000000000004</v>
      </c>
      <c r="CR85" s="33">
        <f t="shared" ca="1" si="177"/>
        <v>0.30000000000000004</v>
      </c>
      <c r="CS85" s="33">
        <f t="shared" ca="1" si="178"/>
        <v>0</v>
      </c>
      <c r="CT85" s="33">
        <f t="shared" ca="1" si="179"/>
        <v>3.0000000000000027E-2</v>
      </c>
      <c r="CU85" s="33">
        <f t="shared" ca="1" si="180"/>
        <v>0.19999999999999996</v>
      </c>
      <c r="CV85" s="33">
        <f t="shared" ca="1" si="181"/>
        <v>0.19999999999999996</v>
      </c>
    </row>
    <row r="86" spans="1:100" x14ac:dyDescent="0.45">
      <c r="A86">
        <v>2</v>
      </c>
      <c r="B86" t="str">
        <f>VLOOKUP(F86,'TRA balance'!$AK$5:$AL$14,2,FALSE)</f>
        <v>TRABGS</v>
      </c>
      <c r="C86" s="6" t="str">
        <f t="shared" si="185"/>
        <v>TR</v>
      </c>
      <c r="D86" s="7" t="s">
        <v>16</v>
      </c>
      <c r="E86" s="18" t="s">
        <v>75</v>
      </c>
      <c r="F86" s="8" t="str">
        <f t="shared" si="209"/>
        <v>Bio Gasoline</v>
      </c>
      <c r="G86" s="6" t="s">
        <v>76</v>
      </c>
      <c r="H86" s="9">
        <f ca="1">OFFSET(TIAM15_assumptions!$G86,0,MATCH(VLOOKUP(Assumptions!H$2,TIAM15_assumptions!$Y$3:$Z$36,2,FALSE),TIAM15_assumptions!$H$2:$V$2,0))</f>
        <v>0.4</v>
      </c>
      <c r="I86" s="9">
        <f ca="1">OFFSET(TIAM15_assumptions!$G86,0,MATCH(VLOOKUP(Assumptions!I$2,TIAM15_assumptions!$Y$3:$Z$36,2,FALSE),TIAM15_assumptions!$H$2:$V$2,0))</f>
        <v>0.4</v>
      </c>
      <c r="J86" s="9">
        <f ca="1">OFFSET(TIAM15_assumptions!$G86,0,MATCH(VLOOKUP(Assumptions!J$2,TIAM15_assumptions!$Y$3:$Z$36,2,FALSE),TIAM15_assumptions!$H$2:$V$2,0))</f>
        <v>0.3</v>
      </c>
      <c r="K86" s="9">
        <f ca="1">OFFSET(TIAM15_assumptions!$G86,0,MATCH(VLOOKUP(Assumptions!K$2,TIAM15_assumptions!$Y$3:$Z$36,2,FALSE),TIAM15_assumptions!$H$2:$V$2,0))</f>
        <v>0.4</v>
      </c>
      <c r="L86" s="9">
        <f ca="1">OFFSET(TIAM15_assumptions!$G86,0,MATCH(VLOOKUP(Assumptions!L$2,TIAM15_assumptions!$Y$3:$Z$36,2,FALSE),TIAM15_assumptions!$H$2:$V$2,0))</f>
        <v>0</v>
      </c>
      <c r="M86" s="9">
        <f ca="1">OFFSET(TIAM15_assumptions!$G86,0,MATCH(VLOOKUP(Assumptions!M$2,TIAM15_assumptions!$Y$3:$Z$36,2,FALSE),TIAM15_assumptions!$H$2:$V$2,0))</f>
        <v>0.35</v>
      </c>
      <c r="N86" s="9">
        <f ca="1">OFFSET(TIAM15_assumptions!$G86,0,MATCH(VLOOKUP(Assumptions!N$2,TIAM15_assumptions!$Y$3:$Z$36,2,FALSE),TIAM15_assumptions!$H$2:$V$2,0))</f>
        <v>0</v>
      </c>
      <c r="O86" s="9">
        <f ca="1">OFFSET(TIAM15_assumptions!$G86,0,MATCH(VLOOKUP(Assumptions!O$2,TIAM15_assumptions!$Y$3:$Z$36,2,FALSE),TIAM15_assumptions!$H$2:$V$2,0))</f>
        <v>0.3</v>
      </c>
      <c r="P86" s="9">
        <f ca="1">OFFSET(TIAM15_assumptions!$G86,0,MATCH(VLOOKUP(Assumptions!P$2,TIAM15_assumptions!$Y$3:$Z$36,2,FALSE),TIAM15_assumptions!$H$2:$V$2,0))</f>
        <v>0.05</v>
      </c>
      <c r="Q86" s="9">
        <f ca="1">OFFSET(TIAM15_assumptions!$G86,0,MATCH(VLOOKUP(Assumptions!Q$2,TIAM15_assumptions!$Y$3:$Z$36,2,FALSE),TIAM15_assumptions!$H$2:$V$2,0))</f>
        <v>0.1</v>
      </c>
      <c r="R86" s="9">
        <f ca="1">OFFSET(TIAM15_assumptions!$G86,0,MATCH(VLOOKUP(Assumptions!R$2,TIAM15_assumptions!$Y$3:$Z$36,2,FALSE),TIAM15_assumptions!$H$2:$V$2,0))</f>
        <v>0</v>
      </c>
      <c r="S86" s="9">
        <f ca="1">OFFSET(TIAM15_assumptions!$G86,0,MATCH(VLOOKUP(Assumptions!S$2,TIAM15_assumptions!$Y$3:$Z$36,2,FALSE),TIAM15_assumptions!$H$2:$V$2,0))</f>
        <v>0.4</v>
      </c>
      <c r="T86" s="9">
        <f ca="1">OFFSET(TIAM15_assumptions!$G86,0,MATCH(VLOOKUP(Assumptions!T$2,TIAM15_assumptions!$Y$3:$Z$36,2,FALSE),TIAM15_assumptions!$H$2:$V$2,0))</f>
        <v>0</v>
      </c>
      <c r="U86" s="9">
        <f ca="1">OFFSET(TIAM15_assumptions!$G86,0,MATCH(VLOOKUP(Assumptions!U$2,TIAM15_assumptions!$Y$3:$Z$36,2,FALSE),TIAM15_assumptions!$H$2:$V$2,0))</f>
        <v>0</v>
      </c>
      <c r="V86" s="9">
        <f ca="1">OFFSET(TIAM15_assumptions!$G86,0,MATCH(VLOOKUP(Assumptions!V$2,TIAM15_assumptions!$Y$3:$Z$36,2,FALSE),TIAM15_assumptions!$H$2:$V$2,0))</f>
        <v>0.4</v>
      </c>
      <c r="W86" s="9">
        <f ca="1">OFFSET(TIAM15_assumptions!$G86,0,MATCH(VLOOKUP(Assumptions!W$2,TIAM15_assumptions!$Y$3:$Z$36,2,FALSE),TIAM15_assumptions!$H$2:$V$2,0))</f>
        <v>0</v>
      </c>
      <c r="X86" s="9">
        <f ca="1">OFFSET(TIAM15_assumptions!$G86,0,MATCH(VLOOKUP(Assumptions!X$2,TIAM15_assumptions!$Y$3:$Z$36,2,FALSE),TIAM15_assumptions!$H$2:$V$2,0))</f>
        <v>0.35</v>
      </c>
      <c r="Y86" s="9">
        <f ca="1">OFFSET(TIAM15_assumptions!$G86,0,MATCH(VLOOKUP(Assumptions!Y$2,TIAM15_assumptions!$Y$3:$Z$36,2,FALSE),TIAM15_assumptions!$H$2:$V$2,0))</f>
        <v>0</v>
      </c>
      <c r="Z86" s="9">
        <f ca="1">OFFSET(TIAM15_assumptions!$G86,0,MATCH(VLOOKUP(Assumptions!Z$2,TIAM15_assumptions!$Y$3:$Z$36,2,FALSE),TIAM15_assumptions!$H$2:$V$2,0))</f>
        <v>0</v>
      </c>
      <c r="AA86" s="9">
        <f ca="1">OFFSET(TIAM15_assumptions!$G86,0,MATCH(VLOOKUP(Assumptions!AA$2,TIAM15_assumptions!$Y$3:$Z$36,2,FALSE),TIAM15_assumptions!$H$2:$V$2,0))</f>
        <v>0.3</v>
      </c>
      <c r="AB86" s="9">
        <f ca="1">OFFSET(TIAM15_assumptions!$G86,0,MATCH(VLOOKUP(Assumptions!AB$2,TIAM15_assumptions!$Y$3:$Z$36,2,FALSE),TIAM15_assumptions!$H$2:$V$2,0))</f>
        <v>0.3</v>
      </c>
      <c r="AC86" s="9">
        <f ca="1">OFFSET(TIAM15_assumptions!$G86,0,MATCH(VLOOKUP(Assumptions!AC$2,TIAM15_assumptions!$Y$3:$Z$36,2,FALSE),TIAM15_assumptions!$H$2:$V$2,0))</f>
        <v>0.15</v>
      </c>
      <c r="AD86" s="9">
        <f ca="1">OFFSET(TIAM15_assumptions!$G86,0,MATCH(VLOOKUP(Assumptions!AD$2,TIAM15_assumptions!$Y$3:$Z$36,2,FALSE),TIAM15_assumptions!$H$2:$V$2,0))</f>
        <v>0.35</v>
      </c>
      <c r="AE86" s="9">
        <f ca="1">OFFSET(TIAM15_assumptions!$G86,0,MATCH(VLOOKUP(Assumptions!AE$2,TIAM15_assumptions!$Y$3:$Z$36,2,FALSE),TIAM15_assumptions!$H$2:$V$2,0))</f>
        <v>0</v>
      </c>
      <c r="AF86" s="9">
        <f ca="1">OFFSET(TIAM15_assumptions!$G86,0,MATCH(VLOOKUP(Assumptions!AF$2,TIAM15_assumptions!$Y$3:$Z$36,2,FALSE),TIAM15_assumptions!$H$2:$V$2,0))</f>
        <v>0.4</v>
      </c>
      <c r="AG86" s="9">
        <f ca="1">OFFSET(TIAM15_assumptions!$G86,0,MATCH(VLOOKUP(Assumptions!AG$2,TIAM15_assumptions!$Y$3:$Z$36,2,FALSE),TIAM15_assumptions!$H$2:$V$2,0))</f>
        <v>0.35</v>
      </c>
      <c r="AH86" s="9">
        <f ca="1">OFFSET(TIAM15_assumptions!$G86,0,MATCH(VLOOKUP(Assumptions!AH$2,TIAM15_assumptions!$Y$3:$Z$36,2,FALSE),TIAM15_assumptions!$H$2:$V$2,0))</f>
        <v>0.4</v>
      </c>
      <c r="AI86" s="9">
        <f ca="1">OFFSET(TIAM15_assumptions!$G86,0,MATCH(VLOOKUP(Assumptions!AI$2,TIAM15_assumptions!$Y$3:$Z$36,2,FALSE),TIAM15_assumptions!$H$2:$V$2,0))</f>
        <v>0</v>
      </c>
      <c r="AJ86" s="9">
        <f ca="1">OFFSET(TIAM15_assumptions!$G86,0,MATCH(VLOOKUP(Assumptions!AJ$2,TIAM15_assumptions!$Y$3:$Z$36,2,FALSE),TIAM15_assumptions!$H$2:$V$2,0))</f>
        <v>0.3</v>
      </c>
      <c r="AK86" s="9">
        <f ca="1">OFFSET(TIAM15_assumptions!$G86,0,MATCH(VLOOKUP(Assumptions!AK$2,TIAM15_assumptions!$Y$3:$Z$36,2,FALSE),TIAM15_assumptions!$H$2:$V$2,0))</f>
        <v>0.3</v>
      </c>
      <c r="AN86" s="34">
        <f ca="1">IFERROR(SUMIFS('TRA balance'!E$5:E$40,'TRA balance'!$C$5:$C$40,Assumptions!$C86,'TRA balance'!$D$5:$D$40,Assumptions!$B86)*BS86*H86,"")</f>
        <v>0</v>
      </c>
      <c r="AO86" s="34">
        <f ca="1">IFERROR(SUMIFS('TRA balance'!F$5:F$40,'TRA balance'!$C$5:$C$40,Assumptions!$C86,'TRA balance'!$D$5:$D$40,Assumptions!$B86)*BT86*I86,"")</f>
        <v>0</v>
      </c>
      <c r="AP86" s="34">
        <f ca="1">IFERROR(SUMIFS('TRA balance'!G$5:G$40,'TRA balance'!$C$5:$C$40,Assumptions!$C86,'TRA balance'!$D$5:$D$40,Assumptions!$B86)*BU86*J86,"")</f>
        <v>0.67661015860799978</v>
      </c>
      <c r="AQ86" s="34">
        <f ca="1">IFERROR(SUMIFS('TRA balance'!H$5:H$40,'TRA balance'!$C$5:$C$40,Assumptions!$C86,'TRA balance'!$D$5:$D$40,Assumptions!$B86)*BV86*K86,"")</f>
        <v>0</v>
      </c>
      <c r="AR86" s="34">
        <f ca="1">IFERROR(SUMIFS('TRA balance'!I$5:I$40,'TRA balance'!$C$5:$C$40,Assumptions!$C86,'TRA balance'!$D$5:$D$40,Assumptions!$B86)*BW86*L86,"")</f>
        <v>0</v>
      </c>
      <c r="AS86" s="34">
        <f ca="1">IFERROR(SUMIFS('TRA balance'!J$5:J$40,'TRA balance'!$C$5:$C$40,Assumptions!$C86,'TRA balance'!$D$5:$D$40,Assumptions!$B86)*BX86*M86,"")</f>
        <v>0</v>
      </c>
      <c r="AT86" s="34">
        <f ca="1">IFERROR(SUMIFS('TRA balance'!K$5:K$40,'TRA balance'!$C$5:$C$40,Assumptions!$C86,'TRA balance'!$D$5:$D$40,Assumptions!$B86)*BY86*N86,"")</f>
        <v>0</v>
      </c>
      <c r="AU86" s="34">
        <f ca="1">IFERROR(SUMIFS('TRA balance'!L$5:L$40,'TRA balance'!$C$5:$C$40,Assumptions!$C86,'TRA balance'!$D$5:$D$40,Assumptions!$B86)*BZ86*O86,"")</f>
        <v>7.0786064733479988</v>
      </c>
      <c r="AV86" s="34">
        <f ca="1">IFERROR(SUMIFS('TRA balance'!M$5:M$40,'TRA balance'!$C$5:$C$40,Assumptions!$C86,'TRA balance'!$D$5:$D$40,Assumptions!$B86)*CA86*P86,"")</f>
        <v>0.13362999511680013</v>
      </c>
      <c r="AW86" s="34">
        <f ca="1">IFERROR(SUMIFS('TRA balance'!N$5:N$40,'TRA balance'!$C$5:$C$40,Assumptions!$C86,'TRA balance'!$D$5:$D$40,Assumptions!$B86)*CB86*Q86,"")</f>
        <v>0.85759999603199999</v>
      </c>
      <c r="AX86" s="34">
        <f ca="1">IFERROR(SUMIFS('TRA balance'!O$5:O$40,'TRA balance'!$C$5:$C$40,Assumptions!$C86,'TRA balance'!$D$5:$D$40,Assumptions!$B86)*CC86*R86,"")</f>
        <v>0</v>
      </c>
      <c r="AY86" s="34">
        <f ca="1">IFERROR(SUMIFS('TRA balance'!P$5:P$40,'TRA balance'!$C$5:$C$40,Assumptions!$C86,'TRA balance'!$D$5:$D$40,Assumptions!$B86)*CD86*S86,"")</f>
        <v>0.18167347487520016</v>
      </c>
      <c r="AZ86" s="34">
        <f ca="1">IFERROR(SUMIFS('TRA balance'!Q$5:Q$40,'TRA balance'!$C$5:$C$40,Assumptions!$C86,'TRA balance'!$D$5:$D$40,Assumptions!$B86)*CE86*T86,"")</f>
        <v>0</v>
      </c>
      <c r="BA86" s="34">
        <f ca="1">IFERROR(SUMIFS('TRA balance'!R$5:R$40,'TRA balance'!$C$5:$C$40,Assumptions!$C86,'TRA balance'!$D$5:$D$40,Assumptions!$B86)*CF86*U86,"")</f>
        <v>0</v>
      </c>
      <c r="BB86" s="34">
        <f ca="1">IFERROR(SUMIFS('TRA balance'!S$5:S$40,'TRA balance'!$C$5:$C$40,Assumptions!$C86,'TRA balance'!$D$5:$D$40,Assumptions!$B86)*CG86*V86,"")</f>
        <v>9.072135760320009E-2</v>
      </c>
      <c r="BC86" s="34">
        <f ca="1">IFERROR(SUMIFS('TRA balance'!T$5:T$40,'TRA balance'!$C$5:$C$40,Assumptions!$C86,'TRA balance'!$D$5:$D$40,Assumptions!$B86)*CH86*W86,"")</f>
        <v>0</v>
      </c>
      <c r="BD86" s="34">
        <f ca="1">IFERROR(SUMIFS('TRA balance'!U$5:U$40,'TRA balance'!$C$5:$C$40,Assumptions!$C86,'TRA balance'!$D$5:$D$40,Assumptions!$B86)*CI86*X86,"")</f>
        <v>0.76175258846400007</v>
      </c>
      <c r="BE86" s="34">
        <f ca="1">IFERROR(SUMIFS('TRA balance'!V$5:V$40,'TRA balance'!$C$5:$C$40,Assumptions!$C86,'TRA balance'!$D$5:$D$40,Assumptions!$B86)*CJ86*Y86,"")</f>
        <v>0</v>
      </c>
      <c r="BF86" s="34">
        <f ca="1">IFERROR(SUMIFS('TRA balance'!W$5:W$40,'TRA balance'!$C$5:$C$40,Assumptions!$C86,'TRA balance'!$D$5:$D$40,Assumptions!$B86)*CK86*Z86,"")</f>
        <v>0</v>
      </c>
      <c r="BG86" s="34">
        <f ca="1">IFERROR(SUMIFS('TRA balance'!X$5:X$40,'TRA balance'!$C$5:$C$40,Assumptions!$C86,'TRA balance'!$D$5:$D$40,Assumptions!$B86)*CL86*AA86,"")</f>
        <v>0</v>
      </c>
      <c r="BH86" s="34">
        <f ca="1">IFERROR(SUMIFS('TRA balance'!Y$5:Y$40,'TRA balance'!$C$5:$C$40,Assumptions!$C86,'TRA balance'!$D$5:$D$40,Assumptions!$B86)*CM86*AB86,"")</f>
        <v>0.91607581745999989</v>
      </c>
      <c r="BI86" s="34">
        <f ca="1">IFERROR(SUMIFS('TRA balance'!Z$5:Z$40,'TRA balance'!$C$5:$C$40,Assumptions!$C86,'TRA balance'!$D$5:$D$40,Assumptions!$B86)*CN86*AC86,"")</f>
        <v>0</v>
      </c>
      <c r="BJ86" s="34">
        <f ca="1">IFERROR(SUMIFS('TRA balance'!AA$5:AA$40,'TRA balance'!$C$5:$C$40,Assumptions!$C86,'TRA balance'!$D$5:$D$40,Assumptions!$B86)*CO86*AD86,"")</f>
        <v>0</v>
      </c>
      <c r="BK86" s="34">
        <f ca="1">IFERROR(SUMIFS('TRA balance'!AB$5:AB$40,'TRA balance'!$C$5:$C$40,Assumptions!$C86,'TRA balance'!$D$5:$D$40,Assumptions!$B86)*CP86*AE86,"")</f>
        <v>0</v>
      </c>
      <c r="BL86" s="34">
        <f ca="1">IFERROR(SUMIFS('TRA balance'!AC$5:AC$40,'TRA balance'!$C$5:$C$40,Assumptions!$C86,'TRA balance'!$D$5:$D$40,Assumptions!$B86)*CQ86*AF86,"")</f>
        <v>0</v>
      </c>
      <c r="BM86" s="34">
        <f ca="1">IFERROR(SUMIFS('TRA balance'!AD$5:AD$40,'TRA balance'!$C$5:$C$40,Assumptions!$C86,'TRA balance'!$D$5:$D$40,Assumptions!$B86)*CR86*AG86,"")</f>
        <v>0</v>
      </c>
      <c r="BN86" s="34">
        <f ca="1">IFERROR(SUMIFS('TRA balance'!AE$5:AE$40,'TRA balance'!$C$5:$C$40,Assumptions!$C86,'TRA balance'!$D$5:$D$40,Assumptions!$B86)*CS86*AH86,"")</f>
        <v>0</v>
      </c>
      <c r="BO86" s="34">
        <f ca="1">IFERROR(SUMIFS('TRA balance'!AF$5:AF$40,'TRA balance'!$C$5:$C$40,Assumptions!$C86,'TRA balance'!$D$5:$D$40,Assumptions!$B86)*CT86*AI86,"")</f>
        <v>0</v>
      </c>
      <c r="BP86" s="34">
        <f ca="1">IFERROR(SUMIFS('TRA balance'!AG$5:AG$40,'TRA balance'!$C$5:$C$40,Assumptions!$C86,'TRA balance'!$D$5:$D$40,Assumptions!$B86)*CU86*AJ86,"")</f>
        <v>82.10324010959998</v>
      </c>
      <c r="BQ86" s="34">
        <f ca="1">IFERROR(SUMIFS('TRA balance'!AH$5:AH$40,'TRA balance'!$C$5:$C$40,Assumptions!$C86,'TRA balance'!$D$5:$D$40,Assumptions!$B86)*CV86*AK86,"")</f>
        <v>0</v>
      </c>
      <c r="BS86" s="33">
        <f t="shared" ca="1" si="152"/>
        <v>0</v>
      </c>
      <c r="BT86" s="33">
        <f t="shared" ca="1" si="153"/>
        <v>0</v>
      </c>
      <c r="BU86" s="33">
        <f t="shared" ca="1" si="154"/>
        <v>9.9999999999999978E-2</v>
      </c>
      <c r="BV86" s="33">
        <f t="shared" ca="1" si="155"/>
        <v>0.30000000000000004</v>
      </c>
      <c r="BW86" s="33">
        <f t="shared" ca="1" si="156"/>
        <v>9.9999999999999978E-2</v>
      </c>
      <c r="BX86" s="33">
        <f t="shared" ca="1" si="157"/>
        <v>0</v>
      </c>
      <c r="BY86" s="33">
        <f t="shared" ca="1" si="158"/>
        <v>9.9999999999999978E-2</v>
      </c>
      <c r="BZ86" s="33">
        <f t="shared" ca="1" si="159"/>
        <v>9.9999999999999978E-2</v>
      </c>
      <c r="CA86" s="33">
        <f t="shared" ca="1" si="160"/>
        <v>4.0000000000000036E-2</v>
      </c>
      <c r="CB86" s="33">
        <f t="shared" ca="1" si="161"/>
        <v>9.9999999999999978E-2</v>
      </c>
      <c r="CC86" s="33">
        <f t="shared" ca="1" si="162"/>
        <v>3.0000000000000027E-2</v>
      </c>
      <c r="CD86" s="33">
        <f t="shared" ca="1" si="163"/>
        <v>3.0000000000000027E-2</v>
      </c>
      <c r="CE86" s="33">
        <f t="shared" ca="1" si="164"/>
        <v>3.0000000000000027E-2</v>
      </c>
      <c r="CF86" s="33">
        <f t="shared" ca="1" si="165"/>
        <v>3.0000000000000027E-2</v>
      </c>
      <c r="CG86" s="33">
        <f t="shared" ca="1" si="166"/>
        <v>3.0000000000000027E-2</v>
      </c>
      <c r="CH86" s="33">
        <f t="shared" ca="1" si="167"/>
        <v>3.0000000000000027E-2</v>
      </c>
      <c r="CI86" s="33">
        <f t="shared" ca="1" si="168"/>
        <v>0.30000000000000004</v>
      </c>
      <c r="CJ86" s="33">
        <f t="shared" ca="1" si="169"/>
        <v>3.0000000000000027E-2</v>
      </c>
      <c r="CK86" s="33">
        <f t="shared" ca="1" si="170"/>
        <v>3.0000000000000027E-2</v>
      </c>
      <c r="CL86" s="33">
        <f t="shared" ca="1" si="171"/>
        <v>0</v>
      </c>
      <c r="CM86" s="33">
        <f t="shared" ca="1" si="172"/>
        <v>9.9999999999999978E-2</v>
      </c>
      <c r="CN86" s="33">
        <f t="shared" ca="1" si="173"/>
        <v>5.0000000000000044E-2</v>
      </c>
      <c r="CO86" s="33">
        <f t="shared" ca="1" si="174"/>
        <v>0.30000000000000004</v>
      </c>
      <c r="CP86" s="33">
        <f t="shared" ca="1" si="175"/>
        <v>3.0000000000000027E-2</v>
      </c>
      <c r="CQ86" s="33">
        <f t="shared" ca="1" si="176"/>
        <v>0.30000000000000004</v>
      </c>
      <c r="CR86" s="33">
        <f t="shared" ca="1" si="177"/>
        <v>0.30000000000000004</v>
      </c>
      <c r="CS86" s="33">
        <f t="shared" ca="1" si="178"/>
        <v>0</v>
      </c>
      <c r="CT86" s="33">
        <f t="shared" ca="1" si="179"/>
        <v>3.0000000000000027E-2</v>
      </c>
      <c r="CU86" s="33">
        <f t="shared" ca="1" si="180"/>
        <v>0.19999999999999996</v>
      </c>
      <c r="CV86" s="33">
        <f t="shared" ca="1" si="181"/>
        <v>0.19999999999999996</v>
      </c>
    </row>
    <row r="87" spans="1:100" x14ac:dyDescent="0.45">
      <c r="A87">
        <v>2</v>
      </c>
      <c r="B87" t="str">
        <f>VLOOKUP(F87,'TRA balance'!$AK$5:$AL$14,2,FALSE)</f>
        <v>TRABGS</v>
      </c>
      <c r="C87" s="6" t="str">
        <f t="shared" si="185"/>
        <v>TR</v>
      </c>
      <c r="D87" s="7" t="s">
        <v>16</v>
      </c>
      <c r="E87" s="18" t="s">
        <v>77</v>
      </c>
      <c r="F87" s="8" t="str">
        <f t="shared" si="209"/>
        <v>Bio Gasoline</v>
      </c>
      <c r="G87" s="6" t="s">
        <v>78</v>
      </c>
      <c r="H87" s="9">
        <f ca="1">OFFSET(TIAM15_assumptions!$G87,0,MATCH(VLOOKUP(Assumptions!H$2,TIAM15_assumptions!$Y$3:$Z$36,2,FALSE),TIAM15_assumptions!$H$2:$V$2,0))</f>
        <v>0.55000000000000004</v>
      </c>
      <c r="I87" s="9">
        <f ca="1">OFFSET(TIAM15_assumptions!$G87,0,MATCH(VLOOKUP(Assumptions!I$2,TIAM15_assumptions!$Y$3:$Z$36,2,FALSE),TIAM15_assumptions!$H$2:$V$2,0))</f>
        <v>0.55000000000000004</v>
      </c>
      <c r="J87" s="9">
        <f ca="1">OFFSET(TIAM15_assumptions!$G87,0,MATCH(VLOOKUP(Assumptions!J$2,TIAM15_assumptions!$Y$3:$Z$36,2,FALSE),TIAM15_assumptions!$H$2:$V$2,0))</f>
        <v>0.58000000000000007</v>
      </c>
      <c r="K87" s="9">
        <f ca="1">OFFSET(TIAM15_assumptions!$G87,0,MATCH(VLOOKUP(Assumptions!K$2,TIAM15_assumptions!$Y$3:$Z$36,2,FALSE),TIAM15_assumptions!$H$2:$V$2,0))</f>
        <v>0.55000000000000004</v>
      </c>
      <c r="L87" s="9">
        <f ca="1">OFFSET(TIAM15_assumptions!$G87,0,MATCH(VLOOKUP(Assumptions!L$2,TIAM15_assumptions!$Y$3:$Z$36,2,FALSE),TIAM15_assumptions!$H$2:$V$2,0))</f>
        <v>1</v>
      </c>
      <c r="M87" s="9">
        <f ca="1">OFFSET(TIAM15_assumptions!$G87,0,MATCH(VLOOKUP(Assumptions!M$2,TIAM15_assumptions!$Y$3:$Z$36,2,FALSE),TIAM15_assumptions!$H$2:$V$2,0))</f>
        <v>0.5</v>
      </c>
      <c r="N87" s="9">
        <f ca="1">OFFSET(TIAM15_assumptions!$G87,0,MATCH(VLOOKUP(Assumptions!N$2,TIAM15_assumptions!$Y$3:$Z$36,2,FALSE),TIAM15_assumptions!$H$2:$V$2,0))</f>
        <v>0.95</v>
      </c>
      <c r="O87" s="9">
        <f ca="1">OFFSET(TIAM15_assumptions!$G87,0,MATCH(VLOOKUP(Assumptions!O$2,TIAM15_assumptions!$Y$3:$Z$36,2,FALSE),TIAM15_assumptions!$H$2:$V$2,0))</f>
        <v>0.58000000000000007</v>
      </c>
      <c r="P87" s="9">
        <f ca="1">OFFSET(TIAM15_assumptions!$G87,0,MATCH(VLOOKUP(Assumptions!P$2,TIAM15_assumptions!$Y$3:$Z$36,2,FALSE),TIAM15_assumptions!$H$2:$V$2,0))</f>
        <v>0.9</v>
      </c>
      <c r="Q87" s="9">
        <f ca="1">OFFSET(TIAM15_assumptions!$G87,0,MATCH(VLOOKUP(Assumptions!Q$2,TIAM15_assumptions!$Y$3:$Z$36,2,FALSE),TIAM15_assumptions!$H$2:$V$2,0))</f>
        <v>0.8</v>
      </c>
      <c r="R87" s="9">
        <f ca="1">OFFSET(TIAM15_assumptions!$G87,0,MATCH(VLOOKUP(Assumptions!R$2,TIAM15_assumptions!$Y$3:$Z$36,2,FALSE),TIAM15_assumptions!$H$2:$V$2,0))</f>
        <v>0.95</v>
      </c>
      <c r="S87" s="9">
        <f ca="1">OFFSET(TIAM15_assumptions!$G87,0,MATCH(VLOOKUP(Assumptions!S$2,TIAM15_assumptions!$Y$3:$Z$36,2,FALSE),TIAM15_assumptions!$H$2:$V$2,0))</f>
        <v>0.5</v>
      </c>
      <c r="T87" s="9">
        <f ca="1">OFFSET(TIAM15_assumptions!$G87,0,MATCH(VLOOKUP(Assumptions!T$2,TIAM15_assumptions!$Y$3:$Z$36,2,FALSE),TIAM15_assumptions!$H$2:$V$2,0))</f>
        <v>0.95</v>
      </c>
      <c r="U87" s="9">
        <f ca="1">OFFSET(TIAM15_assumptions!$G87,0,MATCH(VLOOKUP(Assumptions!U$2,TIAM15_assumptions!$Y$3:$Z$36,2,FALSE),TIAM15_assumptions!$H$2:$V$2,0))</f>
        <v>0.95</v>
      </c>
      <c r="V87" s="9">
        <f ca="1">OFFSET(TIAM15_assumptions!$G87,0,MATCH(VLOOKUP(Assumptions!V$2,TIAM15_assumptions!$Y$3:$Z$36,2,FALSE),TIAM15_assumptions!$H$2:$V$2,0))</f>
        <v>0.5</v>
      </c>
      <c r="W87" s="9">
        <f ca="1">OFFSET(TIAM15_assumptions!$G87,0,MATCH(VLOOKUP(Assumptions!W$2,TIAM15_assumptions!$Y$3:$Z$36,2,FALSE),TIAM15_assumptions!$H$2:$V$2,0))</f>
        <v>0.95</v>
      </c>
      <c r="X87" s="9">
        <f ca="1">OFFSET(TIAM15_assumptions!$G87,0,MATCH(VLOOKUP(Assumptions!X$2,TIAM15_assumptions!$Y$3:$Z$36,2,FALSE),TIAM15_assumptions!$H$2:$V$2,0))</f>
        <v>0.55000000000000004</v>
      </c>
      <c r="Y87" s="9">
        <f ca="1">OFFSET(TIAM15_assumptions!$G87,0,MATCH(VLOOKUP(Assumptions!Y$2,TIAM15_assumptions!$Y$3:$Z$36,2,FALSE),TIAM15_assumptions!$H$2:$V$2,0))</f>
        <v>0.95</v>
      </c>
      <c r="Z87" s="9">
        <f ca="1">OFFSET(TIAM15_assumptions!$G87,0,MATCH(VLOOKUP(Assumptions!Z$2,TIAM15_assumptions!$Y$3:$Z$36,2,FALSE),TIAM15_assumptions!$H$2:$V$2,0))</f>
        <v>0.95</v>
      </c>
      <c r="AA87" s="9">
        <f ca="1">OFFSET(TIAM15_assumptions!$G87,0,MATCH(VLOOKUP(Assumptions!AA$2,TIAM15_assumptions!$Y$3:$Z$36,2,FALSE),TIAM15_assumptions!$H$2:$V$2,0))</f>
        <v>0.7</v>
      </c>
      <c r="AB87" s="9">
        <f ca="1">OFFSET(TIAM15_assumptions!$G87,0,MATCH(VLOOKUP(Assumptions!AB$2,TIAM15_assumptions!$Y$3:$Z$36,2,FALSE),TIAM15_assumptions!$H$2:$V$2,0))</f>
        <v>0.58000000000000007</v>
      </c>
      <c r="AC87" s="9">
        <f ca="1">OFFSET(TIAM15_assumptions!$G87,0,MATCH(VLOOKUP(Assumptions!AC$2,TIAM15_assumptions!$Y$3:$Z$36,2,FALSE),TIAM15_assumptions!$H$2:$V$2,0))</f>
        <v>0.75</v>
      </c>
      <c r="AD87" s="9">
        <f ca="1">OFFSET(TIAM15_assumptions!$G87,0,MATCH(VLOOKUP(Assumptions!AD$2,TIAM15_assumptions!$Y$3:$Z$36,2,FALSE),TIAM15_assumptions!$H$2:$V$2,0))</f>
        <v>0.55000000000000004</v>
      </c>
      <c r="AE87" s="9">
        <f ca="1">OFFSET(TIAM15_assumptions!$G87,0,MATCH(VLOOKUP(Assumptions!AE$2,TIAM15_assumptions!$Y$3:$Z$36,2,FALSE),TIAM15_assumptions!$H$2:$V$2,0))</f>
        <v>0.95</v>
      </c>
      <c r="AF87" s="9">
        <f ca="1">OFFSET(TIAM15_assumptions!$G87,0,MATCH(VLOOKUP(Assumptions!AF$2,TIAM15_assumptions!$Y$3:$Z$36,2,FALSE),TIAM15_assumptions!$H$2:$V$2,0))</f>
        <v>0.55000000000000004</v>
      </c>
      <c r="AG87" s="9">
        <f ca="1">OFFSET(TIAM15_assumptions!$G87,0,MATCH(VLOOKUP(Assumptions!AG$2,TIAM15_assumptions!$Y$3:$Z$36,2,FALSE),TIAM15_assumptions!$H$2:$V$2,0))</f>
        <v>0.55000000000000004</v>
      </c>
      <c r="AH87" s="9">
        <f ca="1">OFFSET(TIAM15_assumptions!$G87,0,MATCH(VLOOKUP(Assumptions!AH$2,TIAM15_assumptions!$Y$3:$Z$36,2,FALSE),TIAM15_assumptions!$H$2:$V$2,0))</f>
        <v>0.55000000000000004</v>
      </c>
      <c r="AI87" s="9">
        <f ca="1">OFFSET(TIAM15_assumptions!$G87,0,MATCH(VLOOKUP(Assumptions!AI$2,TIAM15_assumptions!$Y$3:$Z$36,2,FALSE),TIAM15_assumptions!$H$2:$V$2,0))</f>
        <v>0.95</v>
      </c>
      <c r="AJ87" s="9">
        <f ca="1">OFFSET(TIAM15_assumptions!$G87,0,MATCH(VLOOKUP(Assumptions!AJ$2,TIAM15_assumptions!$Y$3:$Z$36,2,FALSE),TIAM15_assumptions!$H$2:$V$2,0))</f>
        <v>0.69500000000000006</v>
      </c>
      <c r="AK87" s="9">
        <f ca="1">OFFSET(TIAM15_assumptions!$G87,0,MATCH(VLOOKUP(Assumptions!AK$2,TIAM15_assumptions!$Y$3:$Z$36,2,FALSE),TIAM15_assumptions!$H$2:$V$2,0))</f>
        <v>0.69500000000000006</v>
      </c>
      <c r="AN87" s="34">
        <f ca="1">IFERROR(SUMIFS('TRA balance'!E$5:E$40,'TRA balance'!$C$5:$C$40,Assumptions!$C87,'TRA balance'!$D$5:$D$40,Assumptions!$B87)*BS87*H87,"")</f>
        <v>0</v>
      </c>
      <c r="AO87" s="34">
        <f ca="1">IFERROR(SUMIFS('TRA balance'!F$5:F$40,'TRA balance'!$C$5:$C$40,Assumptions!$C87,'TRA balance'!$D$5:$D$40,Assumptions!$B87)*BT87*I87,"")</f>
        <v>0</v>
      </c>
      <c r="AP87" s="34">
        <f ca="1">IFERROR(SUMIFS('TRA balance'!G$5:G$40,'TRA balance'!$C$5:$C$40,Assumptions!$C87,'TRA balance'!$D$5:$D$40,Assumptions!$B87)*BU87*J87,"")</f>
        <v>1.3081129733087997</v>
      </c>
      <c r="AQ87" s="34">
        <f ca="1">IFERROR(SUMIFS('TRA balance'!H$5:H$40,'TRA balance'!$C$5:$C$40,Assumptions!$C87,'TRA balance'!$D$5:$D$40,Assumptions!$B87)*BV87*K87,"")</f>
        <v>0</v>
      </c>
      <c r="AR87" s="34">
        <f ca="1">IFERROR(SUMIFS('TRA balance'!I$5:I$40,'TRA balance'!$C$5:$C$40,Assumptions!$C87,'TRA balance'!$D$5:$D$40,Assumptions!$B87)*BW87*L87,"")</f>
        <v>1.6636848512399998</v>
      </c>
      <c r="AS87" s="34">
        <f ca="1">IFERROR(SUMIFS('TRA balance'!J$5:J$40,'TRA balance'!$C$5:$C$40,Assumptions!$C87,'TRA balance'!$D$5:$D$40,Assumptions!$B87)*BX87*M87,"")</f>
        <v>0</v>
      </c>
      <c r="AT87" s="34">
        <f ca="1">IFERROR(SUMIFS('TRA balance'!K$5:K$40,'TRA balance'!$C$5:$C$40,Assumptions!$C87,'TRA balance'!$D$5:$D$40,Assumptions!$B87)*BY87*N87,"")</f>
        <v>0.5186424876839999</v>
      </c>
      <c r="AU87" s="34">
        <f ca="1">IFERROR(SUMIFS('TRA balance'!L$5:L$40,'TRA balance'!$C$5:$C$40,Assumptions!$C87,'TRA balance'!$D$5:$D$40,Assumptions!$B87)*BZ87*O87,"")</f>
        <v>13.685305848472801</v>
      </c>
      <c r="AV87" s="34">
        <f ca="1">IFERROR(SUMIFS('TRA balance'!M$5:M$40,'TRA balance'!$C$5:$C$40,Assumptions!$C87,'TRA balance'!$D$5:$D$40,Assumptions!$B87)*CA87*P87,"")</f>
        <v>2.4053399121024022</v>
      </c>
      <c r="AW87" s="34">
        <f ca="1">IFERROR(SUMIFS('TRA balance'!N$5:N$40,'TRA balance'!$C$5:$C$40,Assumptions!$C87,'TRA balance'!$D$5:$D$40,Assumptions!$B87)*CB87*Q87,"")</f>
        <v>6.8607999682559999</v>
      </c>
      <c r="AX87" s="34">
        <f ca="1">IFERROR(SUMIFS('TRA balance'!O$5:O$40,'TRA balance'!$C$5:$C$40,Assumptions!$C87,'TRA balance'!$D$5:$D$40,Assumptions!$B87)*CC87*R87,"")</f>
        <v>0.2673250468254002</v>
      </c>
      <c r="AY87" s="34">
        <f ca="1">IFERROR(SUMIFS('TRA balance'!P$5:P$40,'TRA balance'!$C$5:$C$40,Assumptions!$C87,'TRA balance'!$D$5:$D$40,Assumptions!$B87)*CD87*S87,"")</f>
        <v>0.2270918435940002</v>
      </c>
      <c r="AZ87" s="34">
        <f ca="1">IFERROR(SUMIFS('TRA balance'!Q$5:Q$40,'TRA balance'!$C$5:$C$40,Assumptions!$C87,'TRA balance'!$D$5:$D$40,Assumptions!$B87)*CE87*T87,"")</f>
        <v>0.44618569548300036</v>
      </c>
      <c r="BA87" s="34">
        <f ca="1">IFERROR(SUMIFS('TRA balance'!R$5:R$40,'TRA balance'!$C$5:$C$40,Assumptions!$C87,'TRA balance'!$D$5:$D$40,Assumptions!$B87)*CF87*U87,"")</f>
        <v>6.6332458391400048E-2</v>
      </c>
      <c r="BB87" s="34">
        <f ca="1">IFERROR(SUMIFS('TRA balance'!S$5:S$40,'TRA balance'!$C$5:$C$40,Assumptions!$C87,'TRA balance'!$D$5:$D$40,Assumptions!$B87)*CG87*V87,"")</f>
        <v>0.1134016970040001</v>
      </c>
      <c r="BC87" s="34">
        <f ca="1">IFERROR(SUMIFS('TRA balance'!T$5:T$40,'TRA balance'!$C$5:$C$40,Assumptions!$C87,'TRA balance'!$D$5:$D$40,Assumptions!$B87)*CH87*W87,"")</f>
        <v>0.16523327407860014</v>
      </c>
      <c r="BD87" s="34">
        <f ca="1">IFERROR(SUMIFS('TRA balance'!U$5:U$40,'TRA balance'!$C$5:$C$40,Assumptions!$C87,'TRA balance'!$D$5:$D$40,Assumptions!$B87)*CI87*X87,"")</f>
        <v>1.1970397818720002</v>
      </c>
      <c r="BE87" s="34">
        <f ca="1">IFERROR(SUMIFS('TRA balance'!V$5:V$40,'TRA balance'!$C$5:$C$40,Assumptions!$C87,'TRA balance'!$D$5:$D$40,Assumptions!$B87)*CJ87*Y87,"")</f>
        <v>0.77953009504860071</v>
      </c>
      <c r="BF87" s="34">
        <f ca="1">IFERROR(SUMIFS('TRA balance'!W$5:W$40,'TRA balance'!$C$5:$C$40,Assumptions!$C87,'TRA balance'!$D$5:$D$40,Assumptions!$B87)*CK87*Z87,"")</f>
        <v>0.85777858607940083</v>
      </c>
      <c r="BG87" s="34">
        <f ca="1">IFERROR(SUMIFS('TRA balance'!X$5:X$40,'TRA balance'!$C$5:$C$40,Assumptions!$C87,'TRA balance'!$D$5:$D$40,Assumptions!$B87)*CL87*AA87,"")</f>
        <v>0</v>
      </c>
      <c r="BH87" s="34">
        <f ca="1">IFERROR(SUMIFS('TRA balance'!Y$5:Y$40,'TRA balance'!$C$5:$C$40,Assumptions!$C87,'TRA balance'!$D$5:$D$40,Assumptions!$B87)*CM87*AB87,"")</f>
        <v>1.771079913756</v>
      </c>
      <c r="BI87" s="34">
        <f ca="1">IFERROR(SUMIFS('TRA balance'!Z$5:Z$40,'TRA balance'!$C$5:$C$40,Assumptions!$C87,'TRA balance'!$D$5:$D$40,Assumptions!$B87)*CN87*AC87,"")</f>
        <v>0</v>
      </c>
      <c r="BJ87" s="34">
        <f ca="1">IFERROR(SUMIFS('TRA balance'!AA$5:AA$40,'TRA balance'!$C$5:$C$40,Assumptions!$C87,'TRA balance'!$D$5:$D$40,Assumptions!$B87)*CO87*AD87,"")</f>
        <v>0</v>
      </c>
      <c r="BK87" s="34">
        <f ca="1">IFERROR(SUMIFS('TRA balance'!AB$5:AB$40,'TRA balance'!$C$5:$C$40,Assumptions!$C87,'TRA balance'!$D$5:$D$40,Assumptions!$B87)*CP87*AE87,"")</f>
        <v>5.5643193739800041E-2</v>
      </c>
      <c r="BL87" s="34">
        <f ca="1">IFERROR(SUMIFS('TRA balance'!AC$5:AC$40,'TRA balance'!$C$5:$C$40,Assumptions!$C87,'TRA balance'!$D$5:$D$40,Assumptions!$B87)*CQ87*AF87,"")</f>
        <v>0</v>
      </c>
      <c r="BM87" s="34">
        <f ca="1">IFERROR(SUMIFS('TRA balance'!AD$5:AD$40,'TRA balance'!$C$5:$C$40,Assumptions!$C87,'TRA balance'!$D$5:$D$40,Assumptions!$B87)*CR87*AG87,"")</f>
        <v>0</v>
      </c>
      <c r="BN87" s="34">
        <f ca="1">IFERROR(SUMIFS('TRA balance'!AE$5:AE$40,'TRA balance'!$C$5:$C$40,Assumptions!$C87,'TRA balance'!$D$5:$D$40,Assumptions!$B87)*CS87*AH87,"")</f>
        <v>0</v>
      </c>
      <c r="BO87" s="34">
        <f ca="1">IFERROR(SUMIFS('TRA balance'!AF$5:AF$40,'TRA balance'!$C$5:$C$40,Assumptions!$C87,'TRA balance'!$D$5:$D$40,Assumptions!$B87)*CT87*AI87,"")</f>
        <v>0.45643095627480035</v>
      </c>
      <c r="BP87" s="34">
        <f ca="1">IFERROR(SUMIFS('TRA balance'!AG$5:AG$40,'TRA balance'!$C$5:$C$40,Assumptions!$C87,'TRA balance'!$D$5:$D$40,Assumptions!$B87)*CU87*AJ87,"")</f>
        <v>190.20583958723998</v>
      </c>
      <c r="BQ87" s="34">
        <f ca="1">IFERROR(SUMIFS('TRA balance'!AH$5:AH$40,'TRA balance'!$C$5:$C$40,Assumptions!$C87,'TRA balance'!$D$5:$D$40,Assumptions!$B87)*CV87*AK87,"")</f>
        <v>0</v>
      </c>
      <c r="BS87" s="33">
        <f t="shared" ca="1" si="152"/>
        <v>0</v>
      </c>
      <c r="BT87" s="33">
        <f t="shared" ca="1" si="153"/>
        <v>0</v>
      </c>
      <c r="BU87" s="33">
        <f t="shared" ca="1" si="154"/>
        <v>9.9999999999999978E-2</v>
      </c>
      <c r="BV87" s="33">
        <f t="shared" ca="1" si="155"/>
        <v>0.30000000000000004</v>
      </c>
      <c r="BW87" s="33">
        <f t="shared" ca="1" si="156"/>
        <v>9.9999999999999978E-2</v>
      </c>
      <c r="BX87" s="33">
        <f t="shared" ca="1" si="157"/>
        <v>0</v>
      </c>
      <c r="BY87" s="33">
        <f t="shared" ca="1" si="158"/>
        <v>9.9999999999999978E-2</v>
      </c>
      <c r="BZ87" s="33">
        <f t="shared" ca="1" si="159"/>
        <v>9.9999999999999978E-2</v>
      </c>
      <c r="CA87" s="33">
        <f t="shared" ca="1" si="160"/>
        <v>4.0000000000000036E-2</v>
      </c>
      <c r="CB87" s="33">
        <f t="shared" ca="1" si="161"/>
        <v>9.9999999999999978E-2</v>
      </c>
      <c r="CC87" s="33">
        <f t="shared" ca="1" si="162"/>
        <v>3.0000000000000027E-2</v>
      </c>
      <c r="CD87" s="33">
        <f t="shared" ca="1" si="163"/>
        <v>3.0000000000000027E-2</v>
      </c>
      <c r="CE87" s="33">
        <f t="shared" ca="1" si="164"/>
        <v>3.0000000000000027E-2</v>
      </c>
      <c r="CF87" s="33">
        <f t="shared" ca="1" si="165"/>
        <v>3.0000000000000027E-2</v>
      </c>
      <c r="CG87" s="33">
        <f t="shared" ca="1" si="166"/>
        <v>3.0000000000000027E-2</v>
      </c>
      <c r="CH87" s="33">
        <f t="shared" ca="1" si="167"/>
        <v>3.0000000000000027E-2</v>
      </c>
      <c r="CI87" s="33">
        <f t="shared" ca="1" si="168"/>
        <v>0.30000000000000004</v>
      </c>
      <c r="CJ87" s="33">
        <f t="shared" ca="1" si="169"/>
        <v>3.0000000000000027E-2</v>
      </c>
      <c r="CK87" s="33">
        <f t="shared" ca="1" si="170"/>
        <v>3.0000000000000027E-2</v>
      </c>
      <c r="CL87" s="33">
        <f t="shared" ca="1" si="171"/>
        <v>0</v>
      </c>
      <c r="CM87" s="33">
        <f t="shared" ca="1" si="172"/>
        <v>9.9999999999999978E-2</v>
      </c>
      <c r="CN87" s="33">
        <f t="shared" ca="1" si="173"/>
        <v>5.0000000000000044E-2</v>
      </c>
      <c r="CO87" s="33">
        <f t="shared" ca="1" si="174"/>
        <v>0.30000000000000004</v>
      </c>
      <c r="CP87" s="33">
        <f t="shared" ca="1" si="175"/>
        <v>3.0000000000000027E-2</v>
      </c>
      <c r="CQ87" s="33">
        <f t="shared" ca="1" si="176"/>
        <v>0.30000000000000004</v>
      </c>
      <c r="CR87" s="33">
        <f t="shared" ca="1" si="177"/>
        <v>0.30000000000000004</v>
      </c>
      <c r="CS87" s="33">
        <f t="shared" ca="1" si="178"/>
        <v>0</v>
      </c>
      <c r="CT87" s="33">
        <f t="shared" ca="1" si="179"/>
        <v>3.0000000000000027E-2</v>
      </c>
      <c r="CU87" s="33">
        <f t="shared" ca="1" si="180"/>
        <v>0.19999999999999996</v>
      </c>
      <c r="CV87" s="33">
        <f t="shared" ca="1" si="181"/>
        <v>0.19999999999999996</v>
      </c>
    </row>
    <row r="88" spans="1:100" x14ac:dyDescent="0.45">
      <c r="A88">
        <v>1</v>
      </c>
      <c r="B88" t="str">
        <f>VLOOKUP(F88,'TRA balance'!$AK$5:$AL$14,2,FALSE)</f>
        <v>TRABGS</v>
      </c>
      <c r="C88" s="11" t="str">
        <f t="shared" si="185"/>
        <v/>
      </c>
      <c r="D88" s="25"/>
      <c r="E88" s="12" t="s">
        <v>79</v>
      </c>
      <c r="F88" s="13" t="str">
        <f t="shared" si="209"/>
        <v>Bio Gasoline</v>
      </c>
      <c r="G88" s="11"/>
      <c r="H88" s="26" t="str">
        <f ca="1">IF(SUM(H84:H87)=1,"-","&lt;&gt;1!!")</f>
        <v>-</v>
      </c>
      <c r="I88" s="26" t="str">
        <f t="shared" ref="I88" ca="1" si="210">IF(SUM(I84:I87)=1,"-","&lt;&gt;1!!")</f>
        <v>-</v>
      </c>
      <c r="J88" s="26" t="str">
        <f t="shared" ref="J88" ca="1" si="211">IF(SUM(J84:J87)=1,"-","&lt;&gt;1!!")</f>
        <v>-</v>
      </c>
      <c r="K88" s="26" t="str">
        <f t="shared" ref="K88" ca="1" si="212">IF(SUM(K84:K87)=1,"-","&lt;&gt;1!!")</f>
        <v>-</v>
      </c>
      <c r="L88" s="26" t="str">
        <f t="shared" ref="L88" ca="1" si="213">IF(SUM(L84:L87)=1,"-","&lt;&gt;1!!")</f>
        <v>-</v>
      </c>
      <c r="M88" s="26" t="str">
        <f t="shared" ref="M88:X88" ca="1" si="214">IF(SUM(M84:M87)=1,"-","&lt;&gt;1!!")</f>
        <v>-</v>
      </c>
      <c r="N88" s="26" t="str">
        <f t="shared" ca="1" si="214"/>
        <v>-</v>
      </c>
      <c r="O88" s="26" t="str">
        <f t="shared" ca="1" si="214"/>
        <v>-</v>
      </c>
      <c r="P88" s="26" t="str">
        <f t="shared" ca="1" si="214"/>
        <v>-</v>
      </c>
      <c r="Q88" s="26" t="str">
        <f t="shared" ca="1" si="214"/>
        <v>-</v>
      </c>
      <c r="R88" s="26" t="str">
        <f t="shared" ca="1" si="214"/>
        <v>-</v>
      </c>
      <c r="S88" s="26" t="str">
        <f t="shared" ca="1" si="214"/>
        <v>-</v>
      </c>
      <c r="T88" s="26" t="str">
        <f t="shared" ca="1" si="214"/>
        <v>-</v>
      </c>
      <c r="U88" s="26" t="str">
        <f t="shared" ca="1" si="214"/>
        <v>-</v>
      </c>
      <c r="V88" s="26" t="str">
        <f t="shared" ca="1" si="214"/>
        <v>-</v>
      </c>
      <c r="W88" s="26" t="str">
        <f t="shared" ca="1" si="214"/>
        <v>-</v>
      </c>
      <c r="X88" s="26" t="str">
        <f t="shared" ca="1" si="214"/>
        <v>-</v>
      </c>
      <c r="Y88" s="26" t="str">
        <f t="shared" ref="Y88:Z88" ca="1" si="215">IF(SUM(Y84:Y87)=1,"-","&lt;&gt;1!!")</f>
        <v>-</v>
      </c>
      <c r="Z88" s="26" t="str">
        <f t="shared" ca="1" si="215"/>
        <v>-</v>
      </c>
      <c r="AA88" s="26" t="str">
        <f t="shared" ref="AA88:AK88" ca="1" si="216">IF(SUM(AA84:AA87)=1,"-","&lt;&gt;1!!")</f>
        <v>-</v>
      </c>
      <c r="AB88" s="26" t="str">
        <f t="shared" ca="1" si="216"/>
        <v>-</v>
      </c>
      <c r="AC88" s="26" t="str">
        <f t="shared" ca="1" si="216"/>
        <v>-</v>
      </c>
      <c r="AD88" s="26" t="str">
        <f t="shared" ca="1" si="216"/>
        <v>-</v>
      </c>
      <c r="AE88" s="26" t="str">
        <f t="shared" ca="1" si="216"/>
        <v>-</v>
      </c>
      <c r="AF88" s="26" t="str">
        <f t="shared" ca="1" si="216"/>
        <v>-</v>
      </c>
      <c r="AG88" s="26" t="str">
        <f t="shared" ca="1" si="216"/>
        <v>-</v>
      </c>
      <c r="AH88" s="26" t="str">
        <f t="shared" ca="1" si="216"/>
        <v>-</v>
      </c>
      <c r="AI88" s="26" t="str">
        <f t="shared" ca="1" si="216"/>
        <v>-</v>
      </c>
      <c r="AJ88" s="26" t="str">
        <f t="shared" ca="1" si="216"/>
        <v>-</v>
      </c>
      <c r="AK88" s="26" t="str">
        <f t="shared" ca="1" si="216"/>
        <v>-</v>
      </c>
      <c r="AN88" s="34" t="str">
        <f ca="1">IFERROR(SUMIFS('TRA balance'!E$5:E$40,'TRA balance'!$C$5:$C$40,Assumptions!$C88,'TRA balance'!$D$5:$D$40,Assumptions!$B88)*BS88*H88,"")</f>
        <v/>
      </c>
      <c r="AO88" s="34" t="str">
        <f ca="1">IFERROR(SUMIFS('TRA balance'!F$5:F$40,'TRA balance'!$C$5:$C$40,Assumptions!$C88,'TRA balance'!$D$5:$D$40,Assumptions!$B88)*BT88*I88,"")</f>
        <v/>
      </c>
      <c r="AP88" s="34" t="str">
        <f ca="1">IFERROR(SUMIFS('TRA balance'!G$5:G$40,'TRA balance'!$C$5:$C$40,Assumptions!$C88,'TRA balance'!$D$5:$D$40,Assumptions!$B88)*BU88*J88,"")</f>
        <v/>
      </c>
      <c r="AQ88" s="34" t="str">
        <f ca="1">IFERROR(SUMIFS('TRA balance'!H$5:H$40,'TRA balance'!$C$5:$C$40,Assumptions!$C88,'TRA balance'!$D$5:$D$40,Assumptions!$B88)*BV88*K88,"")</f>
        <v/>
      </c>
      <c r="AR88" s="34" t="str">
        <f ca="1">IFERROR(SUMIFS('TRA balance'!I$5:I$40,'TRA balance'!$C$5:$C$40,Assumptions!$C88,'TRA balance'!$D$5:$D$40,Assumptions!$B88)*BW88*L88,"")</f>
        <v/>
      </c>
      <c r="AS88" s="34" t="str">
        <f ca="1">IFERROR(SUMIFS('TRA balance'!J$5:J$40,'TRA balance'!$C$5:$C$40,Assumptions!$C88,'TRA balance'!$D$5:$D$40,Assumptions!$B88)*BX88*M88,"")</f>
        <v/>
      </c>
      <c r="AT88" s="34" t="str">
        <f ca="1">IFERROR(SUMIFS('TRA balance'!K$5:K$40,'TRA balance'!$C$5:$C$40,Assumptions!$C88,'TRA balance'!$D$5:$D$40,Assumptions!$B88)*BY88*N88,"")</f>
        <v/>
      </c>
      <c r="AU88" s="34" t="str">
        <f ca="1">IFERROR(SUMIFS('TRA balance'!L$5:L$40,'TRA balance'!$C$5:$C$40,Assumptions!$C88,'TRA balance'!$D$5:$D$40,Assumptions!$B88)*BZ88*O88,"")</f>
        <v/>
      </c>
      <c r="AV88" s="34" t="str">
        <f ca="1">IFERROR(SUMIFS('TRA balance'!M$5:M$40,'TRA balance'!$C$5:$C$40,Assumptions!$C88,'TRA balance'!$D$5:$D$40,Assumptions!$B88)*CA88*P88,"")</f>
        <v/>
      </c>
      <c r="AW88" s="34" t="str">
        <f ca="1">IFERROR(SUMIFS('TRA balance'!N$5:N$40,'TRA balance'!$C$5:$C$40,Assumptions!$C88,'TRA balance'!$D$5:$D$40,Assumptions!$B88)*CB88*Q88,"")</f>
        <v/>
      </c>
      <c r="AX88" s="34" t="str">
        <f ca="1">IFERROR(SUMIFS('TRA balance'!O$5:O$40,'TRA balance'!$C$5:$C$40,Assumptions!$C88,'TRA balance'!$D$5:$D$40,Assumptions!$B88)*CC88*R88,"")</f>
        <v/>
      </c>
      <c r="AY88" s="34" t="str">
        <f ca="1">IFERROR(SUMIFS('TRA balance'!P$5:P$40,'TRA balance'!$C$5:$C$40,Assumptions!$C88,'TRA balance'!$D$5:$D$40,Assumptions!$B88)*CD88*S88,"")</f>
        <v/>
      </c>
      <c r="AZ88" s="34" t="str">
        <f ca="1">IFERROR(SUMIFS('TRA balance'!Q$5:Q$40,'TRA balance'!$C$5:$C$40,Assumptions!$C88,'TRA balance'!$D$5:$D$40,Assumptions!$B88)*CE88*T88,"")</f>
        <v/>
      </c>
      <c r="BA88" s="34" t="str">
        <f ca="1">IFERROR(SUMIFS('TRA balance'!R$5:R$40,'TRA balance'!$C$5:$C$40,Assumptions!$C88,'TRA balance'!$D$5:$D$40,Assumptions!$B88)*CF88*U88,"")</f>
        <v/>
      </c>
      <c r="BB88" s="34" t="str">
        <f ca="1">IFERROR(SUMIFS('TRA balance'!S$5:S$40,'TRA balance'!$C$5:$C$40,Assumptions!$C88,'TRA balance'!$D$5:$D$40,Assumptions!$B88)*CG88*V88,"")</f>
        <v/>
      </c>
      <c r="BC88" s="34" t="str">
        <f ca="1">IFERROR(SUMIFS('TRA balance'!T$5:T$40,'TRA balance'!$C$5:$C$40,Assumptions!$C88,'TRA balance'!$D$5:$D$40,Assumptions!$B88)*CH88*W88,"")</f>
        <v/>
      </c>
      <c r="BD88" s="34" t="str">
        <f ca="1">IFERROR(SUMIFS('TRA balance'!U$5:U$40,'TRA balance'!$C$5:$C$40,Assumptions!$C88,'TRA balance'!$D$5:$D$40,Assumptions!$B88)*CI88*X88,"")</f>
        <v/>
      </c>
      <c r="BE88" s="34" t="str">
        <f ca="1">IFERROR(SUMIFS('TRA balance'!V$5:V$40,'TRA balance'!$C$5:$C$40,Assumptions!$C88,'TRA balance'!$D$5:$D$40,Assumptions!$B88)*CJ88*Y88,"")</f>
        <v/>
      </c>
      <c r="BF88" s="34" t="str">
        <f ca="1">IFERROR(SUMIFS('TRA balance'!W$5:W$40,'TRA balance'!$C$5:$C$40,Assumptions!$C88,'TRA balance'!$D$5:$D$40,Assumptions!$B88)*CK88*Z88,"")</f>
        <v/>
      </c>
      <c r="BG88" s="34" t="str">
        <f ca="1">IFERROR(SUMIFS('TRA balance'!X$5:X$40,'TRA balance'!$C$5:$C$40,Assumptions!$C88,'TRA balance'!$D$5:$D$40,Assumptions!$B88)*CL88*AA88,"")</f>
        <v/>
      </c>
      <c r="BH88" s="34" t="str">
        <f ca="1">IFERROR(SUMIFS('TRA balance'!Y$5:Y$40,'TRA balance'!$C$5:$C$40,Assumptions!$C88,'TRA balance'!$D$5:$D$40,Assumptions!$B88)*CM88*AB88,"")</f>
        <v/>
      </c>
      <c r="BI88" s="34" t="str">
        <f ca="1">IFERROR(SUMIFS('TRA balance'!Z$5:Z$40,'TRA balance'!$C$5:$C$40,Assumptions!$C88,'TRA balance'!$D$5:$D$40,Assumptions!$B88)*CN88*AC88,"")</f>
        <v/>
      </c>
      <c r="BJ88" s="34" t="str">
        <f ca="1">IFERROR(SUMIFS('TRA balance'!AA$5:AA$40,'TRA balance'!$C$5:$C$40,Assumptions!$C88,'TRA balance'!$D$5:$D$40,Assumptions!$B88)*CO88*AD88,"")</f>
        <v/>
      </c>
      <c r="BK88" s="34" t="str">
        <f ca="1">IFERROR(SUMIFS('TRA balance'!AB$5:AB$40,'TRA balance'!$C$5:$C$40,Assumptions!$C88,'TRA balance'!$D$5:$D$40,Assumptions!$B88)*CP88*AE88,"")</f>
        <v/>
      </c>
      <c r="BL88" s="34" t="str">
        <f ca="1">IFERROR(SUMIFS('TRA balance'!AC$5:AC$40,'TRA balance'!$C$5:$C$40,Assumptions!$C88,'TRA balance'!$D$5:$D$40,Assumptions!$B88)*CQ88*AF88,"")</f>
        <v/>
      </c>
      <c r="BM88" s="34" t="str">
        <f ca="1">IFERROR(SUMIFS('TRA balance'!AD$5:AD$40,'TRA balance'!$C$5:$C$40,Assumptions!$C88,'TRA balance'!$D$5:$D$40,Assumptions!$B88)*CR88*AG88,"")</f>
        <v/>
      </c>
      <c r="BN88" s="34" t="str">
        <f ca="1">IFERROR(SUMIFS('TRA balance'!AE$5:AE$40,'TRA balance'!$C$5:$C$40,Assumptions!$C88,'TRA balance'!$D$5:$D$40,Assumptions!$B88)*CS88*AH88,"")</f>
        <v/>
      </c>
      <c r="BO88" s="34" t="str">
        <f ca="1">IFERROR(SUMIFS('TRA balance'!AF$5:AF$40,'TRA balance'!$C$5:$C$40,Assumptions!$C88,'TRA balance'!$D$5:$D$40,Assumptions!$B88)*CT88*AI88,"")</f>
        <v/>
      </c>
      <c r="BP88" s="34" t="str">
        <f ca="1">IFERROR(SUMIFS('TRA balance'!AG$5:AG$40,'TRA balance'!$C$5:$C$40,Assumptions!$C88,'TRA balance'!$D$5:$D$40,Assumptions!$B88)*CU88*AJ88,"")</f>
        <v/>
      </c>
      <c r="BQ88" s="34" t="str">
        <f ca="1">IFERROR(SUMIFS('TRA balance'!AH$5:AH$40,'TRA balance'!$C$5:$C$40,Assumptions!$C88,'TRA balance'!$D$5:$D$40,Assumptions!$B88)*CV88*AK88,"")</f>
        <v/>
      </c>
      <c r="BS88" s="33">
        <f t="shared" si="152"/>
        <v>1</v>
      </c>
      <c r="BT88" s="33">
        <f t="shared" si="153"/>
        <v>1</v>
      </c>
      <c r="BU88" s="33">
        <f t="shared" si="154"/>
        <v>1</v>
      </c>
      <c r="BV88" s="33">
        <f t="shared" si="155"/>
        <v>1</v>
      </c>
      <c r="BW88" s="33">
        <f t="shared" si="156"/>
        <v>1</v>
      </c>
      <c r="BX88" s="33">
        <f t="shared" si="157"/>
        <v>1</v>
      </c>
      <c r="BY88" s="33">
        <f t="shared" si="158"/>
        <v>1</v>
      </c>
      <c r="BZ88" s="33">
        <f t="shared" si="159"/>
        <v>1</v>
      </c>
      <c r="CA88" s="33">
        <f t="shared" si="160"/>
        <v>1</v>
      </c>
      <c r="CB88" s="33">
        <f t="shared" si="161"/>
        <v>1</v>
      </c>
      <c r="CC88" s="33">
        <f t="shared" si="162"/>
        <v>1</v>
      </c>
      <c r="CD88" s="33">
        <f t="shared" si="163"/>
        <v>1</v>
      </c>
      <c r="CE88" s="33">
        <f t="shared" si="164"/>
        <v>1</v>
      </c>
      <c r="CF88" s="33">
        <f t="shared" si="165"/>
        <v>1</v>
      </c>
      <c r="CG88" s="33">
        <f t="shared" si="166"/>
        <v>1</v>
      </c>
      <c r="CH88" s="33">
        <f t="shared" si="167"/>
        <v>1</v>
      </c>
      <c r="CI88" s="33">
        <f t="shared" si="168"/>
        <v>1</v>
      </c>
      <c r="CJ88" s="33">
        <f t="shared" si="169"/>
        <v>1</v>
      </c>
      <c r="CK88" s="33">
        <f t="shared" si="170"/>
        <v>1</v>
      </c>
      <c r="CL88" s="33">
        <f t="shared" si="171"/>
        <v>1</v>
      </c>
      <c r="CM88" s="33">
        <f t="shared" si="172"/>
        <v>1</v>
      </c>
      <c r="CN88" s="33">
        <f t="shared" si="173"/>
        <v>1</v>
      </c>
      <c r="CO88" s="33">
        <f t="shared" si="174"/>
        <v>1</v>
      </c>
      <c r="CP88" s="33">
        <f t="shared" si="175"/>
        <v>1</v>
      </c>
      <c r="CQ88" s="33">
        <f t="shared" si="176"/>
        <v>1</v>
      </c>
      <c r="CR88" s="33">
        <f t="shared" si="177"/>
        <v>1</v>
      </c>
      <c r="CS88" s="33">
        <f t="shared" si="178"/>
        <v>1</v>
      </c>
      <c r="CT88" s="33">
        <f t="shared" si="179"/>
        <v>1</v>
      </c>
      <c r="CU88" s="33">
        <f t="shared" si="180"/>
        <v>1</v>
      </c>
      <c r="CV88" s="33">
        <f t="shared" si="181"/>
        <v>1</v>
      </c>
    </row>
    <row r="89" spans="1:100" x14ac:dyDescent="0.45">
      <c r="A89">
        <v>1</v>
      </c>
      <c r="B89" t="str">
        <f>VLOOKUP(F89,'TRA balance'!$AK$5:$AL$14,2,FALSE)</f>
        <v>TRAELC</v>
      </c>
      <c r="C89" s="14">
        <v>1</v>
      </c>
      <c r="D89" s="15" t="s">
        <v>16</v>
      </c>
      <c r="E89" s="15" t="s">
        <v>59</v>
      </c>
      <c r="F89" s="16" t="s">
        <v>86</v>
      </c>
      <c r="G89" s="14"/>
      <c r="H89" s="9">
        <f ca="1">OFFSET(TIAM15_assumptions!$G89,0,MATCH(VLOOKUP(Assumptions!H$2,TIAM15_assumptions!$Y$3:$Z$36,2,FALSE),TIAM15_assumptions!$H$2:$V$2,0))</f>
        <v>0</v>
      </c>
      <c r="I89" s="9">
        <f ca="1">OFFSET(TIAM15_assumptions!$G89,0,MATCH(VLOOKUP(Assumptions!I$2,TIAM15_assumptions!$Y$3:$Z$36,2,FALSE),TIAM15_assumptions!$H$2:$V$2,0))</f>
        <v>0</v>
      </c>
      <c r="J89" s="9">
        <f ca="1">OFFSET(TIAM15_assumptions!$G89,0,MATCH(VLOOKUP(Assumptions!J$2,TIAM15_assumptions!$Y$3:$Z$36,2,FALSE),TIAM15_assumptions!$H$2:$V$2,0))</f>
        <v>0.5</v>
      </c>
      <c r="K89" s="9">
        <f ca="1">OFFSET(TIAM15_assumptions!$G89,0,MATCH(VLOOKUP(Assumptions!K$2,TIAM15_assumptions!$Y$3:$Z$36,2,FALSE),TIAM15_assumptions!$H$2:$V$2,0))</f>
        <v>0</v>
      </c>
      <c r="L89" s="9">
        <f ca="1">OFFSET(TIAM15_assumptions!$G89,0,MATCH(VLOOKUP(Assumptions!L$2,TIAM15_assumptions!$Y$3:$Z$36,2,FALSE),TIAM15_assumptions!$H$2:$V$2,0))</f>
        <v>1</v>
      </c>
      <c r="M89" s="9">
        <f ca="1">OFFSET(TIAM15_assumptions!$G89,0,MATCH(VLOOKUP(Assumptions!M$2,TIAM15_assumptions!$Y$3:$Z$36,2,FALSE),TIAM15_assumptions!$H$2:$V$2,0))</f>
        <v>1</v>
      </c>
      <c r="N89" s="9">
        <f ca="1">OFFSET(TIAM15_assumptions!$G89,0,MATCH(VLOOKUP(Assumptions!N$2,TIAM15_assumptions!$Y$3:$Z$36,2,FALSE),TIAM15_assumptions!$H$2:$V$2,0))</f>
        <v>1</v>
      </c>
      <c r="O89" s="9">
        <f ca="1">OFFSET(TIAM15_assumptions!$G89,0,MATCH(VLOOKUP(Assumptions!O$2,TIAM15_assumptions!$Y$3:$Z$36,2,FALSE),TIAM15_assumptions!$H$2:$V$2,0))</f>
        <v>0.5</v>
      </c>
      <c r="P89" s="9">
        <f ca="1">OFFSET(TIAM15_assumptions!$G89,0,MATCH(VLOOKUP(Assumptions!P$2,TIAM15_assumptions!$Y$3:$Z$36,2,FALSE),TIAM15_assumptions!$H$2:$V$2,0))</f>
        <v>1</v>
      </c>
      <c r="Q89" s="9">
        <f ca="1">OFFSET(TIAM15_assumptions!$G89,0,MATCH(VLOOKUP(Assumptions!Q$2,TIAM15_assumptions!$Y$3:$Z$36,2,FALSE),TIAM15_assumptions!$H$2:$V$2,0))</f>
        <v>0.8</v>
      </c>
      <c r="R89" s="9">
        <f ca="1">OFFSET(TIAM15_assumptions!$G89,0,MATCH(VLOOKUP(Assumptions!R$2,TIAM15_assumptions!$Y$3:$Z$36,2,FALSE),TIAM15_assumptions!$H$2:$V$2,0))</f>
        <v>1</v>
      </c>
      <c r="S89" s="9">
        <f ca="1">OFFSET(TIAM15_assumptions!$G89,0,MATCH(VLOOKUP(Assumptions!S$2,TIAM15_assumptions!$Y$3:$Z$36,2,FALSE),TIAM15_assumptions!$H$2:$V$2,0))</f>
        <v>0</v>
      </c>
      <c r="T89" s="9">
        <f ca="1">OFFSET(TIAM15_assumptions!$G89,0,MATCH(VLOOKUP(Assumptions!T$2,TIAM15_assumptions!$Y$3:$Z$36,2,FALSE),TIAM15_assumptions!$H$2:$V$2,0))</f>
        <v>1</v>
      </c>
      <c r="U89" s="9">
        <f ca="1">OFFSET(TIAM15_assumptions!$G89,0,MATCH(VLOOKUP(Assumptions!U$2,TIAM15_assumptions!$Y$3:$Z$36,2,FALSE),TIAM15_assumptions!$H$2:$V$2,0))</f>
        <v>1</v>
      </c>
      <c r="V89" s="9">
        <f ca="1">OFFSET(TIAM15_assumptions!$G89,0,MATCH(VLOOKUP(Assumptions!V$2,TIAM15_assumptions!$Y$3:$Z$36,2,FALSE),TIAM15_assumptions!$H$2:$V$2,0))</f>
        <v>0</v>
      </c>
      <c r="W89" s="9">
        <f ca="1">OFFSET(TIAM15_assumptions!$G89,0,MATCH(VLOOKUP(Assumptions!W$2,TIAM15_assumptions!$Y$3:$Z$36,2,FALSE),TIAM15_assumptions!$H$2:$V$2,0))</f>
        <v>1</v>
      </c>
      <c r="X89" s="9">
        <f ca="1">OFFSET(TIAM15_assumptions!$G89,0,MATCH(VLOOKUP(Assumptions!X$2,TIAM15_assumptions!$Y$3:$Z$36,2,FALSE),TIAM15_assumptions!$H$2:$V$2,0))</f>
        <v>0</v>
      </c>
      <c r="Y89" s="9">
        <f ca="1">OFFSET(TIAM15_assumptions!$G89,0,MATCH(VLOOKUP(Assumptions!Y$2,TIAM15_assumptions!$Y$3:$Z$36,2,FALSE),TIAM15_assumptions!$H$2:$V$2,0))</f>
        <v>1</v>
      </c>
      <c r="Z89" s="9">
        <f ca="1">OFFSET(TIAM15_assumptions!$G89,0,MATCH(VLOOKUP(Assumptions!Z$2,TIAM15_assumptions!$Y$3:$Z$36,2,FALSE),TIAM15_assumptions!$H$2:$V$2,0))</f>
        <v>1</v>
      </c>
      <c r="AA89" s="9">
        <f ca="1">OFFSET(TIAM15_assumptions!$G89,0,MATCH(VLOOKUP(Assumptions!AA$2,TIAM15_assumptions!$Y$3:$Z$36,2,FALSE),TIAM15_assumptions!$H$2:$V$2,0))</f>
        <v>0</v>
      </c>
      <c r="AB89" s="9">
        <f ca="1">OFFSET(TIAM15_assumptions!$G89,0,MATCH(VLOOKUP(Assumptions!AB$2,TIAM15_assumptions!$Y$3:$Z$36,2,FALSE),TIAM15_assumptions!$H$2:$V$2,0))</f>
        <v>0.5</v>
      </c>
      <c r="AC89" s="9">
        <f ca="1">OFFSET(TIAM15_assumptions!$G89,0,MATCH(VLOOKUP(Assumptions!AC$2,TIAM15_assumptions!$Y$3:$Z$36,2,FALSE),TIAM15_assumptions!$H$2:$V$2,0))</f>
        <v>0.5</v>
      </c>
      <c r="AD89" s="9">
        <f ca="1">OFFSET(TIAM15_assumptions!$G89,0,MATCH(VLOOKUP(Assumptions!AD$2,TIAM15_assumptions!$Y$3:$Z$36,2,FALSE),TIAM15_assumptions!$H$2:$V$2,0))</f>
        <v>0</v>
      </c>
      <c r="AE89" s="9">
        <f ca="1">OFFSET(TIAM15_assumptions!$G89,0,MATCH(VLOOKUP(Assumptions!AE$2,TIAM15_assumptions!$Y$3:$Z$36,2,FALSE),TIAM15_assumptions!$H$2:$V$2,0))</f>
        <v>1</v>
      </c>
      <c r="AF89" s="9">
        <f ca="1">OFFSET(TIAM15_assumptions!$G89,0,MATCH(VLOOKUP(Assumptions!AF$2,TIAM15_assumptions!$Y$3:$Z$36,2,FALSE),TIAM15_assumptions!$H$2:$V$2,0))</f>
        <v>0</v>
      </c>
      <c r="AG89" s="9">
        <f ca="1">OFFSET(TIAM15_assumptions!$G89,0,MATCH(VLOOKUP(Assumptions!AG$2,TIAM15_assumptions!$Y$3:$Z$36,2,FALSE),TIAM15_assumptions!$H$2:$V$2,0))</f>
        <v>0</v>
      </c>
      <c r="AH89" s="9">
        <f ca="1">OFFSET(TIAM15_assumptions!$G89,0,MATCH(VLOOKUP(Assumptions!AH$2,TIAM15_assumptions!$Y$3:$Z$36,2,FALSE),TIAM15_assumptions!$H$2:$V$2,0))</f>
        <v>0</v>
      </c>
      <c r="AI89" s="9">
        <f ca="1">OFFSET(TIAM15_assumptions!$G89,0,MATCH(VLOOKUP(Assumptions!AI$2,TIAM15_assumptions!$Y$3:$Z$36,2,FALSE),TIAM15_assumptions!$H$2:$V$2,0))</f>
        <v>1</v>
      </c>
      <c r="AJ89" s="9">
        <f ca="1">OFFSET(TIAM15_assumptions!$G89,0,MATCH(VLOOKUP(Assumptions!AJ$2,TIAM15_assumptions!$Y$3:$Z$36,2,FALSE),TIAM15_assumptions!$H$2:$V$2,0))</f>
        <v>1</v>
      </c>
      <c r="AK89" s="9">
        <f ca="1">OFFSET(TIAM15_assumptions!$G89,0,MATCH(VLOOKUP(Assumptions!AK$2,TIAM15_assumptions!$Y$3:$Z$36,2,FALSE),TIAM15_assumptions!$H$2:$V$2,0))</f>
        <v>1</v>
      </c>
      <c r="AN89" s="34">
        <f ca="1">IFERROR(SUMIFS('TRA balance'!E$5:E$40,'TRA balance'!$C$5:$C$40,Assumptions!$C89,'TRA balance'!$D$5:$D$40,Assumptions!$B89)*BS89*H89,"")</f>
        <v>0</v>
      </c>
      <c r="AO89" s="34">
        <f ca="1">IFERROR(SUMIFS('TRA balance'!F$5:F$40,'TRA balance'!$C$5:$C$40,Assumptions!$C89,'TRA balance'!$D$5:$D$40,Assumptions!$B89)*BT89*I89,"")</f>
        <v>0</v>
      </c>
      <c r="AP89" s="34">
        <f ca="1">IFERROR(SUMIFS('TRA balance'!G$5:G$40,'TRA balance'!$C$5:$C$40,Assumptions!$C89,'TRA balance'!$D$5:$D$40,Assumptions!$B89)*BU89*J89,"")</f>
        <v>0</v>
      </c>
      <c r="AQ89" s="34">
        <f ca="1">IFERROR(SUMIFS('TRA balance'!H$5:H$40,'TRA balance'!$C$5:$C$40,Assumptions!$C89,'TRA balance'!$D$5:$D$40,Assumptions!$B89)*BV89*K89,"")</f>
        <v>0</v>
      </c>
      <c r="AR89" s="34">
        <f ca="1">IFERROR(SUMIFS('TRA balance'!I$5:I$40,'TRA balance'!$C$5:$C$40,Assumptions!$C89,'TRA balance'!$D$5:$D$40,Assumptions!$B89)*BW89*L89,"")</f>
        <v>0</v>
      </c>
      <c r="AS89" s="34">
        <f ca="1">IFERROR(SUMIFS('TRA balance'!J$5:J$40,'TRA balance'!$C$5:$C$40,Assumptions!$C89,'TRA balance'!$D$5:$D$40,Assumptions!$B89)*BX89*M89,"")</f>
        <v>0</v>
      </c>
      <c r="AT89" s="34">
        <f ca="1">IFERROR(SUMIFS('TRA balance'!K$5:K$40,'TRA balance'!$C$5:$C$40,Assumptions!$C89,'TRA balance'!$D$5:$D$40,Assumptions!$B89)*BY89*N89,"")</f>
        <v>0</v>
      </c>
      <c r="AU89" s="34">
        <f ca="1">IFERROR(SUMIFS('TRA balance'!L$5:L$40,'TRA balance'!$C$5:$C$40,Assumptions!$C89,'TRA balance'!$D$5:$D$40,Assumptions!$B89)*BZ89*O89,"")</f>
        <v>0</v>
      </c>
      <c r="AV89" s="34">
        <f ca="1">IFERROR(SUMIFS('TRA balance'!M$5:M$40,'TRA balance'!$C$5:$C$40,Assumptions!$C89,'TRA balance'!$D$5:$D$40,Assumptions!$B89)*CA89*P89,"")</f>
        <v>0</v>
      </c>
      <c r="AW89" s="34">
        <f ca="1">IFERROR(SUMIFS('TRA balance'!N$5:N$40,'TRA balance'!$C$5:$C$40,Assumptions!$C89,'TRA balance'!$D$5:$D$40,Assumptions!$B89)*CB89*Q89,"")</f>
        <v>0</v>
      </c>
      <c r="AX89" s="34">
        <f ca="1">IFERROR(SUMIFS('TRA balance'!O$5:O$40,'TRA balance'!$C$5:$C$40,Assumptions!$C89,'TRA balance'!$D$5:$D$40,Assumptions!$B89)*CC89*R89,"")</f>
        <v>0</v>
      </c>
      <c r="AY89" s="34">
        <f ca="1">IFERROR(SUMIFS('TRA balance'!P$5:P$40,'TRA balance'!$C$5:$C$40,Assumptions!$C89,'TRA balance'!$D$5:$D$40,Assumptions!$B89)*CD89*S89,"")</f>
        <v>0</v>
      </c>
      <c r="AZ89" s="34">
        <f ca="1">IFERROR(SUMIFS('TRA balance'!Q$5:Q$40,'TRA balance'!$C$5:$C$40,Assumptions!$C89,'TRA balance'!$D$5:$D$40,Assumptions!$B89)*CE89*T89,"")</f>
        <v>0</v>
      </c>
      <c r="BA89" s="34">
        <f ca="1">IFERROR(SUMIFS('TRA balance'!R$5:R$40,'TRA balance'!$C$5:$C$40,Assumptions!$C89,'TRA balance'!$D$5:$D$40,Assumptions!$B89)*CF89*U89,"")</f>
        <v>0</v>
      </c>
      <c r="BB89" s="34">
        <f ca="1">IFERROR(SUMIFS('TRA balance'!S$5:S$40,'TRA balance'!$C$5:$C$40,Assumptions!$C89,'TRA balance'!$D$5:$D$40,Assumptions!$B89)*CG89*V89,"")</f>
        <v>0</v>
      </c>
      <c r="BC89" s="34">
        <f ca="1">IFERROR(SUMIFS('TRA balance'!T$5:T$40,'TRA balance'!$C$5:$C$40,Assumptions!$C89,'TRA balance'!$D$5:$D$40,Assumptions!$B89)*CH89*W89,"")</f>
        <v>0</v>
      </c>
      <c r="BD89" s="34">
        <f ca="1">IFERROR(SUMIFS('TRA balance'!U$5:U$40,'TRA balance'!$C$5:$C$40,Assumptions!$C89,'TRA balance'!$D$5:$D$40,Assumptions!$B89)*CI89*X89,"")</f>
        <v>0</v>
      </c>
      <c r="BE89" s="34">
        <f ca="1">IFERROR(SUMIFS('TRA balance'!V$5:V$40,'TRA balance'!$C$5:$C$40,Assumptions!$C89,'TRA balance'!$D$5:$D$40,Assumptions!$B89)*CJ89*Y89,"")</f>
        <v>0</v>
      </c>
      <c r="BF89" s="34">
        <f ca="1">IFERROR(SUMIFS('TRA balance'!W$5:W$40,'TRA balance'!$C$5:$C$40,Assumptions!$C89,'TRA balance'!$D$5:$D$40,Assumptions!$B89)*CK89*Z89,"")</f>
        <v>0</v>
      </c>
      <c r="BG89" s="34">
        <f ca="1">IFERROR(SUMIFS('TRA balance'!X$5:X$40,'TRA balance'!$C$5:$C$40,Assumptions!$C89,'TRA balance'!$D$5:$D$40,Assumptions!$B89)*CL89*AA89,"")</f>
        <v>0</v>
      </c>
      <c r="BH89" s="34">
        <f ca="1">IFERROR(SUMIFS('TRA balance'!Y$5:Y$40,'TRA balance'!$C$5:$C$40,Assumptions!$C89,'TRA balance'!$D$5:$D$40,Assumptions!$B89)*CM89*AB89,"")</f>
        <v>0</v>
      </c>
      <c r="BI89" s="34">
        <f ca="1">IFERROR(SUMIFS('TRA balance'!Z$5:Z$40,'TRA balance'!$C$5:$C$40,Assumptions!$C89,'TRA balance'!$D$5:$D$40,Assumptions!$B89)*CN89*AC89,"")</f>
        <v>0</v>
      </c>
      <c r="BJ89" s="34">
        <f ca="1">IFERROR(SUMIFS('TRA balance'!AA$5:AA$40,'TRA balance'!$C$5:$C$40,Assumptions!$C89,'TRA balance'!$D$5:$D$40,Assumptions!$B89)*CO89*AD89,"")</f>
        <v>0</v>
      </c>
      <c r="BK89" s="34">
        <f ca="1">IFERROR(SUMIFS('TRA balance'!AB$5:AB$40,'TRA balance'!$C$5:$C$40,Assumptions!$C89,'TRA balance'!$D$5:$D$40,Assumptions!$B89)*CP89*AE89,"")</f>
        <v>0</v>
      </c>
      <c r="BL89" s="34">
        <f ca="1">IFERROR(SUMIFS('TRA balance'!AC$5:AC$40,'TRA balance'!$C$5:$C$40,Assumptions!$C89,'TRA balance'!$D$5:$D$40,Assumptions!$B89)*CQ89*AF89,"")</f>
        <v>0</v>
      </c>
      <c r="BM89" s="34">
        <f ca="1">IFERROR(SUMIFS('TRA balance'!AD$5:AD$40,'TRA balance'!$C$5:$C$40,Assumptions!$C89,'TRA balance'!$D$5:$D$40,Assumptions!$B89)*CR89*AG89,"")</f>
        <v>0</v>
      </c>
      <c r="BN89" s="34">
        <f ca="1">IFERROR(SUMIFS('TRA balance'!AE$5:AE$40,'TRA balance'!$C$5:$C$40,Assumptions!$C89,'TRA balance'!$D$5:$D$40,Assumptions!$B89)*CS89*AH89,"")</f>
        <v>0</v>
      </c>
      <c r="BO89" s="34">
        <f ca="1">IFERROR(SUMIFS('TRA balance'!AF$5:AF$40,'TRA balance'!$C$5:$C$40,Assumptions!$C89,'TRA balance'!$D$5:$D$40,Assumptions!$B89)*CT89*AI89,"")</f>
        <v>0</v>
      </c>
      <c r="BP89" s="34">
        <f ca="1">IFERROR(SUMIFS('TRA balance'!AG$5:AG$40,'TRA balance'!$C$5:$C$40,Assumptions!$C89,'TRA balance'!$D$5:$D$40,Assumptions!$B89)*CU89*AJ89,"")</f>
        <v>0</v>
      </c>
      <c r="BQ89" s="34">
        <f ca="1">IFERROR(SUMIFS('TRA balance'!AH$5:AH$40,'TRA balance'!$C$5:$C$40,Assumptions!$C89,'TRA balance'!$D$5:$D$40,Assumptions!$B89)*CV89*AK89,"")</f>
        <v>0</v>
      </c>
      <c r="BS89" s="33">
        <f t="shared" si="152"/>
        <v>1</v>
      </c>
      <c r="BT89" s="33">
        <f t="shared" si="153"/>
        <v>1</v>
      </c>
      <c r="BU89" s="33">
        <f t="shared" si="154"/>
        <v>1</v>
      </c>
      <c r="BV89" s="33">
        <f t="shared" si="155"/>
        <v>1</v>
      </c>
      <c r="BW89" s="33">
        <f t="shared" si="156"/>
        <v>1</v>
      </c>
      <c r="BX89" s="33">
        <f t="shared" si="157"/>
        <v>1</v>
      </c>
      <c r="BY89" s="33">
        <f t="shared" si="158"/>
        <v>1</v>
      </c>
      <c r="BZ89" s="33">
        <f t="shared" si="159"/>
        <v>1</v>
      </c>
      <c r="CA89" s="33">
        <f t="shared" si="160"/>
        <v>1</v>
      </c>
      <c r="CB89" s="33">
        <f t="shared" si="161"/>
        <v>1</v>
      </c>
      <c r="CC89" s="33">
        <f t="shared" si="162"/>
        <v>1</v>
      </c>
      <c r="CD89" s="33">
        <f t="shared" si="163"/>
        <v>1</v>
      </c>
      <c r="CE89" s="33">
        <f t="shared" si="164"/>
        <v>1</v>
      </c>
      <c r="CF89" s="33">
        <f t="shared" si="165"/>
        <v>1</v>
      </c>
      <c r="CG89" s="33">
        <f t="shared" si="166"/>
        <v>1</v>
      </c>
      <c r="CH89" s="33">
        <f t="shared" si="167"/>
        <v>1</v>
      </c>
      <c r="CI89" s="33">
        <f t="shared" si="168"/>
        <v>1</v>
      </c>
      <c r="CJ89" s="33">
        <f t="shared" si="169"/>
        <v>1</v>
      </c>
      <c r="CK89" s="33">
        <f t="shared" si="170"/>
        <v>1</v>
      </c>
      <c r="CL89" s="33">
        <f t="shared" si="171"/>
        <v>1</v>
      </c>
      <c r="CM89" s="33">
        <f t="shared" si="172"/>
        <v>1</v>
      </c>
      <c r="CN89" s="33">
        <f t="shared" si="173"/>
        <v>1</v>
      </c>
      <c r="CO89" s="33">
        <f t="shared" si="174"/>
        <v>1</v>
      </c>
      <c r="CP89" s="33">
        <f t="shared" si="175"/>
        <v>1</v>
      </c>
      <c r="CQ89" s="33">
        <f t="shared" si="176"/>
        <v>1</v>
      </c>
      <c r="CR89" s="33">
        <f t="shared" si="177"/>
        <v>1</v>
      </c>
      <c r="CS89" s="33">
        <f t="shared" si="178"/>
        <v>1</v>
      </c>
      <c r="CT89" s="33">
        <f t="shared" si="179"/>
        <v>1</v>
      </c>
      <c r="CU89" s="33">
        <f t="shared" si="180"/>
        <v>1</v>
      </c>
      <c r="CV89" s="33">
        <f t="shared" si="181"/>
        <v>1</v>
      </c>
    </row>
    <row r="90" spans="1:100" x14ac:dyDescent="0.45">
      <c r="A90">
        <v>1</v>
      </c>
      <c r="B90" t="str">
        <f>VLOOKUP(F90,'TRA balance'!$AK$5:$AL$14,2,FALSE)</f>
        <v>TRAELC</v>
      </c>
      <c r="C90" s="6" t="str">
        <f t="shared" si="185"/>
        <v>TR</v>
      </c>
      <c r="D90" s="7" t="s">
        <v>16</v>
      </c>
      <c r="E90" s="18" t="s">
        <v>61</v>
      </c>
      <c r="F90" s="8" t="str">
        <f>F89</f>
        <v>Electricity</v>
      </c>
      <c r="G90" s="6" t="s">
        <v>62</v>
      </c>
      <c r="H90" s="9">
        <f ca="1">OFFSET(TIAM15_assumptions!$G90,0,MATCH(VLOOKUP(Assumptions!H$2,TIAM15_assumptions!$Y$3:$Z$36,2,FALSE),TIAM15_assumptions!$H$2:$V$2,0))</f>
        <v>0.7</v>
      </c>
      <c r="I90" s="9">
        <f ca="1">OFFSET(TIAM15_assumptions!$G90,0,MATCH(VLOOKUP(Assumptions!I$2,TIAM15_assumptions!$Y$3:$Z$36,2,FALSE),TIAM15_assumptions!$H$2:$V$2,0))</f>
        <v>0.7</v>
      </c>
      <c r="J90" s="9">
        <f ca="1">OFFSET(TIAM15_assumptions!$G90,0,MATCH(VLOOKUP(Assumptions!J$2,TIAM15_assumptions!$Y$3:$Z$36,2,FALSE),TIAM15_assumptions!$H$2:$V$2,0))</f>
        <v>0.7</v>
      </c>
      <c r="K90" s="9">
        <f ca="1">OFFSET(TIAM15_assumptions!$G90,0,MATCH(VLOOKUP(Assumptions!K$2,TIAM15_assumptions!$Y$3:$Z$36,2,FALSE),TIAM15_assumptions!$H$2:$V$2,0))</f>
        <v>0.66</v>
      </c>
      <c r="L90" s="9">
        <f ca="1">OFFSET(TIAM15_assumptions!$G90,0,MATCH(VLOOKUP(Assumptions!L$2,TIAM15_assumptions!$Y$3:$Z$36,2,FALSE),TIAM15_assumptions!$H$2:$V$2,0))</f>
        <v>0.9</v>
      </c>
      <c r="M90" s="9">
        <f ca="1">OFFSET(TIAM15_assumptions!$G90,0,MATCH(VLOOKUP(Assumptions!M$2,TIAM15_assumptions!$Y$3:$Z$36,2,FALSE),TIAM15_assumptions!$H$2:$V$2,0))</f>
        <v>0.9</v>
      </c>
      <c r="N90" s="9">
        <f ca="1">OFFSET(TIAM15_assumptions!$G90,0,MATCH(VLOOKUP(Assumptions!N$2,TIAM15_assumptions!$Y$3:$Z$36,2,FALSE),TIAM15_assumptions!$H$2:$V$2,0))</f>
        <v>0.66005447497292435</v>
      </c>
      <c r="O90" s="9">
        <f ca="1">OFFSET(TIAM15_assumptions!$G90,0,MATCH(VLOOKUP(Assumptions!O$2,TIAM15_assumptions!$Y$3:$Z$36,2,FALSE),TIAM15_assumptions!$H$2:$V$2,0))</f>
        <v>0.7</v>
      </c>
      <c r="P90" s="9">
        <f ca="1">OFFSET(TIAM15_assumptions!$G90,0,MATCH(VLOOKUP(Assumptions!P$2,TIAM15_assumptions!$Y$3:$Z$36,2,FALSE),TIAM15_assumptions!$H$2:$V$2,0))</f>
        <v>0.66005447497292435</v>
      </c>
      <c r="Q90" s="9">
        <f ca="1">OFFSET(TIAM15_assumptions!$G90,0,MATCH(VLOOKUP(Assumptions!Q$2,TIAM15_assumptions!$Y$3:$Z$36,2,FALSE),TIAM15_assumptions!$H$2:$V$2,0))</f>
        <v>0.9</v>
      </c>
      <c r="R90" s="9">
        <f ca="1">OFFSET(TIAM15_assumptions!$G90,0,MATCH(VLOOKUP(Assumptions!R$2,TIAM15_assumptions!$Y$3:$Z$36,2,FALSE),TIAM15_assumptions!$H$2:$V$2,0))</f>
        <v>0.66</v>
      </c>
      <c r="S90" s="9">
        <f ca="1">OFFSET(TIAM15_assumptions!$G90,0,MATCH(VLOOKUP(Assumptions!S$2,TIAM15_assumptions!$Y$3:$Z$36,2,FALSE),TIAM15_assumptions!$H$2:$V$2,0))</f>
        <v>0.66</v>
      </c>
      <c r="T90" s="9">
        <f ca="1">OFFSET(TIAM15_assumptions!$G90,0,MATCH(VLOOKUP(Assumptions!T$2,TIAM15_assumptions!$Y$3:$Z$36,2,FALSE),TIAM15_assumptions!$H$2:$V$2,0))</f>
        <v>0.66</v>
      </c>
      <c r="U90" s="9">
        <f ca="1">OFFSET(TIAM15_assumptions!$G90,0,MATCH(VLOOKUP(Assumptions!U$2,TIAM15_assumptions!$Y$3:$Z$36,2,FALSE),TIAM15_assumptions!$H$2:$V$2,0))</f>
        <v>0.66</v>
      </c>
      <c r="V90" s="9">
        <f ca="1">OFFSET(TIAM15_assumptions!$G90,0,MATCH(VLOOKUP(Assumptions!V$2,TIAM15_assumptions!$Y$3:$Z$36,2,FALSE),TIAM15_assumptions!$H$2:$V$2,0))</f>
        <v>0.66</v>
      </c>
      <c r="W90" s="9">
        <f ca="1">OFFSET(TIAM15_assumptions!$G90,0,MATCH(VLOOKUP(Assumptions!W$2,TIAM15_assumptions!$Y$3:$Z$36,2,FALSE),TIAM15_assumptions!$H$2:$V$2,0))</f>
        <v>0.66</v>
      </c>
      <c r="X90" s="9">
        <f ca="1">OFFSET(TIAM15_assumptions!$G90,0,MATCH(VLOOKUP(Assumptions!X$2,TIAM15_assumptions!$Y$3:$Z$36,2,FALSE),TIAM15_assumptions!$H$2:$V$2,0))</f>
        <v>0.9</v>
      </c>
      <c r="Y90" s="9">
        <f ca="1">OFFSET(TIAM15_assumptions!$G90,0,MATCH(VLOOKUP(Assumptions!Y$2,TIAM15_assumptions!$Y$3:$Z$36,2,FALSE),TIAM15_assumptions!$H$2:$V$2,0))</f>
        <v>0.66</v>
      </c>
      <c r="Z90" s="9">
        <f ca="1">OFFSET(TIAM15_assumptions!$G90,0,MATCH(VLOOKUP(Assumptions!Z$2,TIAM15_assumptions!$Y$3:$Z$36,2,FALSE),TIAM15_assumptions!$H$2:$V$2,0))</f>
        <v>0.66</v>
      </c>
      <c r="AA90" s="9">
        <f ca="1">OFFSET(TIAM15_assumptions!$G90,0,MATCH(VLOOKUP(Assumptions!AA$2,TIAM15_assumptions!$Y$3:$Z$36,2,FALSE),TIAM15_assumptions!$H$2:$V$2,0))</f>
        <v>0.9</v>
      </c>
      <c r="AB90" s="9">
        <f ca="1">OFFSET(TIAM15_assumptions!$G90,0,MATCH(VLOOKUP(Assumptions!AB$2,TIAM15_assumptions!$Y$3:$Z$36,2,FALSE),TIAM15_assumptions!$H$2:$V$2,0))</f>
        <v>0.7</v>
      </c>
      <c r="AC90" s="9">
        <f ca="1">OFFSET(TIAM15_assumptions!$G90,0,MATCH(VLOOKUP(Assumptions!AC$2,TIAM15_assumptions!$Y$3:$Z$36,2,FALSE),TIAM15_assumptions!$H$2:$V$2,0))</f>
        <v>0.7</v>
      </c>
      <c r="AD90" s="9">
        <f ca="1">OFFSET(TIAM15_assumptions!$G90,0,MATCH(VLOOKUP(Assumptions!AD$2,TIAM15_assumptions!$Y$3:$Z$36,2,FALSE),TIAM15_assumptions!$H$2:$V$2,0))</f>
        <v>0.9</v>
      </c>
      <c r="AE90" s="9">
        <f ca="1">OFFSET(TIAM15_assumptions!$G90,0,MATCH(VLOOKUP(Assumptions!AE$2,TIAM15_assumptions!$Y$3:$Z$36,2,FALSE),TIAM15_assumptions!$H$2:$V$2,0))</f>
        <v>0.66</v>
      </c>
      <c r="AF90" s="9">
        <f ca="1">OFFSET(TIAM15_assumptions!$G90,0,MATCH(VLOOKUP(Assumptions!AF$2,TIAM15_assumptions!$Y$3:$Z$36,2,FALSE),TIAM15_assumptions!$H$2:$V$2,0))</f>
        <v>0.66</v>
      </c>
      <c r="AG90" s="9">
        <f ca="1">OFFSET(TIAM15_assumptions!$G90,0,MATCH(VLOOKUP(Assumptions!AG$2,TIAM15_assumptions!$Y$3:$Z$36,2,FALSE),TIAM15_assumptions!$H$2:$V$2,0))</f>
        <v>0.9</v>
      </c>
      <c r="AH90" s="9">
        <f ca="1">OFFSET(TIAM15_assumptions!$G90,0,MATCH(VLOOKUP(Assumptions!AH$2,TIAM15_assumptions!$Y$3:$Z$36,2,FALSE),TIAM15_assumptions!$H$2:$V$2,0))</f>
        <v>0.7</v>
      </c>
      <c r="AI90" s="9">
        <f ca="1">OFFSET(TIAM15_assumptions!$G90,0,MATCH(VLOOKUP(Assumptions!AI$2,TIAM15_assumptions!$Y$3:$Z$36,2,FALSE),TIAM15_assumptions!$H$2:$V$2,0))</f>
        <v>0.66</v>
      </c>
      <c r="AJ90" s="9">
        <f ca="1">OFFSET(TIAM15_assumptions!$G90,0,MATCH(VLOOKUP(Assumptions!AJ$2,TIAM15_assumptions!$Y$3:$Z$36,2,FALSE),TIAM15_assumptions!$H$2:$V$2,0))</f>
        <v>0.66005447497292435</v>
      </c>
      <c r="AK90" s="9">
        <f ca="1">OFFSET(TIAM15_assumptions!$G90,0,MATCH(VLOOKUP(Assumptions!AK$2,TIAM15_assumptions!$Y$3:$Z$36,2,FALSE),TIAM15_assumptions!$H$2:$V$2,0))</f>
        <v>0.66005447497292435</v>
      </c>
      <c r="AN90" s="34">
        <f ca="1">IFERROR(SUMIFS('TRA balance'!E$5:E$40,'TRA balance'!$C$5:$C$40,Assumptions!$C90,'TRA balance'!$D$5:$D$40,Assumptions!$B90)*BS90*H90,"")</f>
        <v>0</v>
      </c>
      <c r="AO90" s="34">
        <f ca="1">IFERROR(SUMIFS('TRA balance'!F$5:F$40,'TRA balance'!$C$5:$C$40,Assumptions!$C90,'TRA balance'!$D$5:$D$40,Assumptions!$B90)*BT90*I90,"")</f>
        <v>0</v>
      </c>
      <c r="AP90" s="34">
        <f ca="1">IFERROR(SUMIFS('TRA balance'!G$5:G$40,'TRA balance'!$C$5:$C$40,Assumptions!$C90,'TRA balance'!$D$5:$D$40,Assumptions!$B90)*BU90*J90,"")</f>
        <v>1.0155845397599998</v>
      </c>
      <c r="AQ90" s="34">
        <f ca="1">IFERROR(SUMIFS('TRA balance'!H$5:H$40,'TRA balance'!$C$5:$C$40,Assumptions!$C90,'TRA balance'!$D$5:$D$40,Assumptions!$B90)*BV90*K90,"")</f>
        <v>0</v>
      </c>
      <c r="AR90" s="34">
        <f ca="1">IFERROR(SUMIFS('TRA balance'!I$5:I$40,'TRA balance'!$C$5:$C$40,Assumptions!$C90,'TRA balance'!$D$5:$D$40,Assumptions!$B90)*BW90*L90,"")</f>
        <v>0.80210086380000001</v>
      </c>
      <c r="AS90" s="34">
        <f ca="1">IFERROR(SUMIFS('TRA balance'!J$5:J$40,'TRA balance'!$C$5:$C$40,Assumptions!$C90,'TRA balance'!$D$5:$D$40,Assumptions!$B90)*BX90*M90,"")</f>
        <v>0.55397016180000003</v>
      </c>
      <c r="AT90" s="34">
        <f ca="1">IFERROR(SUMIFS('TRA balance'!K$5:K$40,'TRA balance'!$C$5:$C$40,Assumptions!$C90,'TRA balance'!$D$5:$D$40,Assumptions!$B90)*BY90*N90,"")</f>
        <v>0.14183469907521321</v>
      </c>
      <c r="AU90" s="34">
        <f ca="1">IFERROR(SUMIFS('TRA balance'!L$5:L$40,'TRA balance'!$C$5:$C$40,Assumptions!$C90,'TRA balance'!$D$5:$D$40,Assumptions!$B90)*BZ90*O90,"")</f>
        <v>0</v>
      </c>
      <c r="AV90" s="34">
        <f ca="1">IFERROR(SUMIFS('TRA balance'!M$5:M$40,'TRA balance'!$C$5:$C$40,Assumptions!$C90,'TRA balance'!$D$5:$D$40,Assumptions!$B90)*CA90*P90,"")</f>
        <v>3.0557882995110837</v>
      </c>
      <c r="AW90" s="34">
        <f ca="1">IFERROR(SUMIFS('TRA balance'!N$5:N$40,'TRA balance'!$C$5:$C$40,Assumptions!$C90,'TRA balance'!$D$5:$D$40,Assumptions!$B90)*CB90*Q90,"")</f>
        <v>176.66136984470401</v>
      </c>
      <c r="AX90" s="34">
        <f ca="1">IFERROR(SUMIFS('TRA balance'!O$5:O$40,'TRA balance'!$C$5:$C$40,Assumptions!$C90,'TRA balance'!$D$5:$D$40,Assumptions!$B90)*CC90*R90,"")</f>
        <v>0.89656813461600016</v>
      </c>
      <c r="AY90" s="34">
        <f ca="1">IFERROR(SUMIFS('TRA balance'!P$5:P$40,'TRA balance'!$C$5:$C$40,Assumptions!$C90,'TRA balance'!$D$5:$D$40,Assumptions!$B90)*CD90*S90,"")</f>
        <v>0</v>
      </c>
      <c r="AZ90" s="34">
        <f ca="1">IFERROR(SUMIFS('TRA balance'!Q$5:Q$40,'TRA balance'!$C$5:$C$40,Assumptions!$C90,'TRA balance'!$D$5:$D$40,Assumptions!$B90)*CE90*T90,"")</f>
        <v>1.594967070312</v>
      </c>
      <c r="BA90" s="34">
        <f ca="1">IFERROR(SUMIFS('TRA balance'!R$5:R$40,'TRA balance'!$C$5:$C$40,Assumptions!$C90,'TRA balance'!$D$5:$D$40,Assumptions!$B90)*CF90*U90,"")</f>
        <v>0.37706170075200002</v>
      </c>
      <c r="BB90" s="34">
        <f ca="1">IFERROR(SUMIFS('TRA balance'!S$5:S$40,'TRA balance'!$C$5:$C$40,Assumptions!$C90,'TRA balance'!$D$5:$D$40,Assumptions!$B90)*CG90*V90,"")</f>
        <v>0</v>
      </c>
      <c r="BC90" s="34">
        <f ca="1">IFERROR(SUMIFS('TRA balance'!T$5:T$40,'TRA balance'!$C$5:$C$40,Assumptions!$C90,'TRA balance'!$D$5:$D$40,Assumptions!$B90)*CH90*W90,"")</f>
        <v>0.39627760550400004</v>
      </c>
      <c r="BD90" s="34">
        <f ca="1">IFERROR(SUMIFS('TRA balance'!U$5:U$40,'TRA balance'!$C$5:$C$40,Assumptions!$C90,'TRA balance'!$D$5:$D$40,Assumptions!$B90)*CI90*X90,"")</f>
        <v>0</v>
      </c>
      <c r="BE90" s="34">
        <f ca="1">IFERROR(SUMIFS('TRA balance'!V$5:V$40,'TRA balance'!$C$5:$C$40,Assumptions!$C90,'TRA balance'!$D$5:$D$40,Assumptions!$B90)*CJ90*Y90,"")</f>
        <v>0.778177823544</v>
      </c>
      <c r="BF90" s="34">
        <f ca="1">IFERROR(SUMIFS('TRA balance'!W$5:W$40,'TRA balance'!$C$5:$C$40,Assumptions!$C90,'TRA balance'!$D$5:$D$40,Assumptions!$B90)*CK90*Z90,"")</f>
        <v>0.79833600950400008</v>
      </c>
      <c r="BG90" s="34">
        <f ca="1">IFERROR(SUMIFS('TRA balance'!X$5:X$40,'TRA balance'!$C$5:$C$40,Assumptions!$C90,'TRA balance'!$D$5:$D$40,Assumptions!$B90)*CL90*AA90,"")</f>
        <v>0</v>
      </c>
      <c r="BH90" s="34">
        <f ca="1">IFERROR(SUMIFS('TRA balance'!Y$5:Y$40,'TRA balance'!$C$5:$C$40,Assumptions!$C90,'TRA balance'!$D$5:$D$40,Assumptions!$B90)*CM90*AB90,"")</f>
        <v>1.3803879599999997E-2</v>
      </c>
      <c r="BI90" s="34">
        <f ca="1">IFERROR(SUMIFS('TRA balance'!Z$5:Z$40,'TRA balance'!$C$5:$C$40,Assumptions!$C90,'TRA balance'!$D$5:$D$40,Assumptions!$B90)*CN90*AC90,"")</f>
        <v>0</v>
      </c>
      <c r="BJ90" s="34">
        <f ca="1">IFERROR(SUMIFS('TRA balance'!AA$5:AA$40,'TRA balance'!$C$5:$C$40,Assumptions!$C90,'TRA balance'!$D$5:$D$40,Assumptions!$B90)*CO90*AD90,"")</f>
        <v>0</v>
      </c>
      <c r="BK90" s="34">
        <f ca="1">IFERROR(SUMIFS('TRA balance'!AB$5:AB$40,'TRA balance'!$C$5:$C$40,Assumptions!$C90,'TRA balance'!$D$5:$D$40,Assumptions!$B90)*CP90*AE90,"")</f>
        <v>2.0945750672879999</v>
      </c>
      <c r="BL90" s="34">
        <f ca="1">IFERROR(SUMIFS('TRA balance'!AC$5:AC$40,'TRA balance'!$C$5:$C$40,Assumptions!$C90,'TRA balance'!$D$5:$D$40,Assumptions!$B90)*CQ90*AF90,"")</f>
        <v>0</v>
      </c>
      <c r="BM90" s="34">
        <f ca="1">IFERROR(SUMIFS('TRA balance'!AD$5:AD$40,'TRA balance'!$C$5:$C$40,Assumptions!$C90,'TRA balance'!$D$5:$D$40,Assumptions!$B90)*CR90*AG90,"")</f>
        <v>0</v>
      </c>
      <c r="BN90" s="34">
        <f ca="1">IFERROR(SUMIFS('TRA balance'!AE$5:AE$40,'TRA balance'!$C$5:$C$40,Assumptions!$C90,'TRA balance'!$D$5:$D$40,Assumptions!$B90)*CS90*AH90,"")</f>
        <v>0</v>
      </c>
      <c r="BO90" s="34">
        <f ca="1">IFERROR(SUMIFS('TRA balance'!AF$5:AF$40,'TRA balance'!$C$5:$C$40,Assumptions!$C90,'TRA balance'!$D$5:$D$40,Assumptions!$B90)*CT90*AI90,"")</f>
        <v>0.87078113099999999</v>
      </c>
      <c r="BP90" s="34">
        <f ca="1">IFERROR(SUMIFS('TRA balance'!AG$5:AG$40,'TRA balance'!$C$5:$C$40,Assumptions!$C90,'TRA balance'!$D$5:$D$40,Assumptions!$B90)*CU90*AJ90,"")</f>
        <v>15.455118410904804</v>
      </c>
      <c r="BQ90" s="34">
        <f ca="1">IFERROR(SUMIFS('TRA balance'!AH$5:AH$40,'TRA balance'!$C$5:$C$40,Assumptions!$C90,'TRA balance'!$D$5:$D$40,Assumptions!$B90)*CV90*AK90,"")</f>
        <v>0</v>
      </c>
      <c r="BS90" s="33">
        <f t="shared" ca="1" si="152"/>
        <v>0</v>
      </c>
      <c r="BT90" s="33">
        <f t="shared" ca="1" si="153"/>
        <v>0</v>
      </c>
      <c r="BU90" s="33">
        <f t="shared" ca="1" si="154"/>
        <v>0.5</v>
      </c>
      <c r="BV90" s="33">
        <f t="shared" ca="1" si="155"/>
        <v>0</v>
      </c>
      <c r="BW90" s="33">
        <f t="shared" ca="1" si="156"/>
        <v>1</v>
      </c>
      <c r="BX90" s="33">
        <f t="shared" ca="1" si="157"/>
        <v>1</v>
      </c>
      <c r="BY90" s="33">
        <f t="shared" ca="1" si="158"/>
        <v>1</v>
      </c>
      <c r="BZ90" s="33">
        <f t="shared" ca="1" si="159"/>
        <v>0.5</v>
      </c>
      <c r="CA90" s="33">
        <f t="shared" ca="1" si="160"/>
        <v>1</v>
      </c>
      <c r="CB90" s="33">
        <f t="shared" ca="1" si="161"/>
        <v>0.8</v>
      </c>
      <c r="CC90" s="33">
        <f t="shared" ca="1" si="162"/>
        <v>1</v>
      </c>
      <c r="CD90" s="33">
        <f t="shared" ca="1" si="163"/>
        <v>0</v>
      </c>
      <c r="CE90" s="33">
        <f t="shared" ca="1" si="164"/>
        <v>1</v>
      </c>
      <c r="CF90" s="33">
        <f t="shared" ca="1" si="165"/>
        <v>1</v>
      </c>
      <c r="CG90" s="33">
        <f t="shared" ca="1" si="166"/>
        <v>0</v>
      </c>
      <c r="CH90" s="33">
        <f t="shared" ca="1" si="167"/>
        <v>1</v>
      </c>
      <c r="CI90" s="33">
        <f t="shared" ca="1" si="168"/>
        <v>0</v>
      </c>
      <c r="CJ90" s="33">
        <f t="shared" ca="1" si="169"/>
        <v>1</v>
      </c>
      <c r="CK90" s="33">
        <f t="shared" ca="1" si="170"/>
        <v>1</v>
      </c>
      <c r="CL90" s="33">
        <f t="shared" ca="1" si="171"/>
        <v>0</v>
      </c>
      <c r="CM90" s="33">
        <f t="shared" ca="1" si="172"/>
        <v>0.5</v>
      </c>
      <c r="CN90" s="33">
        <f t="shared" ca="1" si="173"/>
        <v>0.5</v>
      </c>
      <c r="CO90" s="33">
        <f t="shared" ca="1" si="174"/>
        <v>0</v>
      </c>
      <c r="CP90" s="33">
        <f t="shared" ca="1" si="175"/>
        <v>1</v>
      </c>
      <c r="CQ90" s="33">
        <f t="shared" ca="1" si="176"/>
        <v>0</v>
      </c>
      <c r="CR90" s="33">
        <f t="shared" ca="1" si="177"/>
        <v>0</v>
      </c>
      <c r="CS90" s="33">
        <f t="shared" ca="1" si="178"/>
        <v>0</v>
      </c>
      <c r="CT90" s="33">
        <f t="shared" ca="1" si="179"/>
        <v>1</v>
      </c>
      <c r="CU90" s="33">
        <f t="shared" ca="1" si="180"/>
        <v>1</v>
      </c>
      <c r="CV90" s="33">
        <f t="shared" ca="1" si="181"/>
        <v>1</v>
      </c>
    </row>
    <row r="91" spans="1:100" x14ac:dyDescent="0.45">
      <c r="A91">
        <v>1</v>
      </c>
      <c r="B91" t="str">
        <f>VLOOKUP(F91,'TRA balance'!$AK$5:$AL$14,2,FALSE)</f>
        <v>TRAELC</v>
      </c>
      <c r="C91" s="6" t="str">
        <f t="shared" si="185"/>
        <v>TR</v>
      </c>
      <c r="D91" s="7" t="s">
        <v>16</v>
      </c>
      <c r="E91" s="18" t="s">
        <v>63</v>
      </c>
      <c r="F91" s="8" t="str">
        <f t="shared" ref="F91:F94" si="217">F90</f>
        <v>Electricity</v>
      </c>
      <c r="G91" s="6" t="s">
        <v>64</v>
      </c>
      <c r="H91" s="9">
        <f ca="1">OFFSET(TIAM15_assumptions!$G91,0,MATCH(VLOOKUP(Assumptions!H$2,TIAM15_assumptions!$Y$3:$Z$36,2,FALSE),TIAM15_assumptions!$H$2:$V$2,0))</f>
        <v>0.3</v>
      </c>
      <c r="I91" s="9">
        <f ca="1">OFFSET(TIAM15_assumptions!$G91,0,MATCH(VLOOKUP(Assumptions!I$2,TIAM15_assumptions!$Y$3:$Z$36,2,FALSE),TIAM15_assumptions!$H$2:$V$2,0))</f>
        <v>0.3</v>
      </c>
      <c r="J91" s="9">
        <f ca="1">OFFSET(TIAM15_assumptions!$G91,0,MATCH(VLOOKUP(Assumptions!J$2,TIAM15_assumptions!$Y$3:$Z$36,2,FALSE),TIAM15_assumptions!$H$2:$V$2,0))</f>
        <v>0.3</v>
      </c>
      <c r="K91" s="9">
        <f ca="1">OFFSET(TIAM15_assumptions!$G91,0,MATCH(VLOOKUP(Assumptions!K$2,TIAM15_assumptions!$Y$3:$Z$36,2,FALSE),TIAM15_assumptions!$H$2:$V$2,0))</f>
        <v>0.34</v>
      </c>
      <c r="L91" s="9">
        <f ca="1">OFFSET(TIAM15_assumptions!$G91,0,MATCH(VLOOKUP(Assumptions!L$2,TIAM15_assumptions!$Y$3:$Z$36,2,FALSE),TIAM15_assumptions!$H$2:$V$2,0))</f>
        <v>0.1</v>
      </c>
      <c r="M91" s="9">
        <f ca="1">OFFSET(TIAM15_assumptions!$G91,0,MATCH(VLOOKUP(Assumptions!M$2,TIAM15_assumptions!$Y$3:$Z$36,2,FALSE),TIAM15_assumptions!$H$2:$V$2,0))</f>
        <v>0.1</v>
      </c>
      <c r="N91" s="9">
        <f ca="1">OFFSET(TIAM15_assumptions!$G91,0,MATCH(VLOOKUP(Assumptions!N$2,TIAM15_assumptions!$Y$3:$Z$36,2,FALSE),TIAM15_assumptions!$H$2:$V$2,0))</f>
        <v>0.33994552502707565</v>
      </c>
      <c r="O91" s="9">
        <f ca="1">OFFSET(TIAM15_assumptions!$G91,0,MATCH(VLOOKUP(Assumptions!O$2,TIAM15_assumptions!$Y$3:$Z$36,2,FALSE),TIAM15_assumptions!$H$2:$V$2,0))</f>
        <v>0.3</v>
      </c>
      <c r="P91" s="9">
        <f ca="1">OFFSET(TIAM15_assumptions!$G91,0,MATCH(VLOOKUP(Assumptions!P$2,TIAM15_assumptions!$Y$3:$Z$36,2,FALSE),TIAM15_assumptions!$H$2:$V$2,0))</f>
        <v>0.33994552502707565</v>
      </c>
      <c r="Q91" s="9">
        <f ca="1">OFFSET(TIAM15_assumptions!$G91,0,MATCH(VLOOKUP(Assumptions!Q$2,TIAM15_assumptions!$Y$3:$Z$36,2,FALSE),TIAM15_assumptions!$H$2:$V$2,0))</f>
        <v>0.1</v>
      </c>
      <c r="R91" s="9">
        <f ca="1">OFFSET(TIAM15_assumptions!$G91,0,MATCH(VLOOKUP(Assumptions!R$2,TIAM15_assumptions!$Y$3:$Z$36,2,FALSE),TIAM15_assumptions!$H$2:$V$2,0))</f>
        <v>0.34</v>
      </c>
      <c r="S91" s="9">
        <f ca="1">OFFSET(TIAM15_assumptions!$G91,0,MATCH(VLOOKUP(Assumptions!S$2,TIAM15_assumptions!$Y$3:$Z$36,2,FALSE),TIAM15_assumptions!$H$2:$V$2,0))</f>
        <v>0.34</v>
      </c>
      <c r="T91" s="9">
        <f ca="1">OFFSET(TIAM15_assumptions!$G91,0,MATCH(VLOOKUP(Assumptions!T$2,TIAM15_assumptions!$Y$3:$Z$36,2,FALSE),TIAM15_assumptions!$H$2:$V$2,0))</f>
        <v>0.34</v>
      </c>
      <c r="U91" s="9">
        <f ca="1">OFFSET(TIAM15_assumptions!$G91,0,MATCH(VLOOKUP(Assumptions!U$2,TIAM15_assumptions!$Y$3:$Z$36,2,FALSE),TIAM15_assumptions!$H$2:$V$2,0))</f>
        <v>0.34</v>
      </c>
      <c r="V91" s="9">
        <f ca="1">OFFSET(TIAM15_assumptions!$G91,0,MATCH(VLOOKUP(Assumptions!V$2,TIAM15_assumptions!$Y$3:$Z$36,2,FALSE),TIAM15_assumptions!$H$2:$V$2,0))</f>
        <v>0.34</v>
      </c>
      <c r="W91" s="9">
        <f ca="1">OFFSET(TIAM15_assumptions!$G91,0,MATCH(VLOOKUP(Assumptions!W$2,TIAM15_assumptions!$Y$3:$Z$36,2,FALSE),TIAM15_assumptions!$H$2:$V$2,0))</f>
        <v>0.34</v>
      </c>
      <c r="X91" s="9">
        <f ca="1">OFFSET(TIAM15_assumptions!$G91,0,MATCH(VLOOKUP(Assumptions!X$2,TIAM15_assumptions!$Y$3:$Z$36,2,FALSE),TIAM15_assumptions!$H$2:$V$2,0))</f>
        <v>0.1</v>
      </c>
      <c r="Y91" s="9">
        <f ca="1">OFFSET(TIAM15_assumptions!$G91,0,MATCH(VLOOKUP(Assumptions!Y$2,TIAM15_assumptions!$Y$3:$Z$36,2,FALSE),TIAM15_assumptions!$H$2:$V$2,0))</f>
        <v>0.34</v>
      </c>
      <c r="Z91" s="9">
        <f ca="1">OFFSET(TIAM15_assumptions!$G91,0,MATCH(VLOOKUP(Assumptions!Z$2,TIAM15_assumptions!$Y$3:$Z$36,2,FALSE),TIAM15_assumptions!$H$2:$V$2,0))</f>
        <v>0.34</v>
      </c>
      <c r="AA91" s="9">
        <f ca="1">OFFSET(TIAM15_assumptions!$G91,0,MATCH(VLOOKUP(Assumptions!AA$2,TIAM15_assumptions!$Y$3:$Z$36,2,FALSE),TIAM15_assumptions!$H$2:$V$2,0))</f>
        <v>0.1</v>
      </c>
      <c r="AB91" s="9">
        <f ca="1">OFFSET(TIAM15_assumptions!$G91,0,MATCH(VLOOKUP(Assumptions!AB$2,TIAM15_assumptions!$Y$3:$Z$36,2,FALSE),TIAM15_assumptions!$H$2:$V$2,0))</f>
        <v>0.3</v>
      </c>
      <c r="AC91" s="9">
        <f ca="1">OFFSET(TIAM15_assumptions!$G91,0,MATCH(VLOOKUP(Assumptions!AC$2,TIAM15_assumptions!$Y$3:$Z$36,2,FALSE),TIAM15_assumptions!$H$2:$V$2,0))</f>
        <v>0.30000000000000004</v>
      </c>
      <c r="AD91" s="9">
        <f ca="1">OFFSET(TIAM15_assumptions!$G91,0,MATCH(VLOOKUP(Assumptions!AD$2,TIAM15_assumptions!$Y$3:$Z$36,2,FALSE),TIAM15_assumptions!$H$2:$V$2,0))</f>
        <v>0.1</v>
      </c>
      <c r="AE91" s="9">
        <f ca="1">OFFSET(TIAM15_assumptions!$G91,0,MATCH(VLOOKUP(Assumptions!AE$2,TIAM15_assumptions!$Y$3:$Z$36,2,FALSE),TIAM15_assumptions!$H$2:$V$2,0))</f>
        <v>0.34</v>
      </c>
      <c r="AF91" s="9">
        <f ca="1">OFFSET(TIAM15_assumptions!$G91,0,MATCH(VLOOKUP(Assumptions!AF$2,TIAM15_assumptions!$Y$3:$Z$36,2,FALSE),TIAM15_assumptions!$H$2:$V$2,0))</f>
        <v>0.34</v>
      </c>
      <c r="AG91" s="9">
        <f ca="1">OFFSET(TIAM15_assumptions!$G91,0,MATCH(VLOOKUP(Assumptions!AG$2,TIAM15_assumptions!$Y$3:$Z$36,2,FALSE),TIAM15_assumptions!$H$2:$V$2,0))</f>
        <v>0.1</v>
      </c>
      <c r="AH91" s="9">
        <f ca="1">OFFSET(TIAM15_assumptions!$G91,0,MATCH(VLOOKUP(Assumptions!AH$2,TIAM15_assumptions!$Y$3:$Z$36,2,FALSE),TIAM15_assumptions!$H$2:$V$2,0))</f>
        <v>0.3</v>
      </c>
      <c r="AI91" s="9">
        <f ca="1">OFFSET(TIAM15_assumptions!$G91,0,MATCH(VLOOKUP(Assumptions!AI$2,TIAM15_assumptions!$Y$3:$Z$36,2,FALSE),TIAM15_assumptions!$H$2:$V$2,0))</f>
        <v>0.34</v>
      </c>
      <c r="AJ91" s="9">
        <f ca="1">OFFSET(TIAM15_assumptions!$G91,0,MATCH(VLOOKUP(Assumptions!AJ$2,TIAM15_assumptions!$Y$3:$Z$36,2,FALSE),TIAM15_assumptions!$H$2:$V$2,0))</f>
        <v>0.33994552502707565</v>
      </c>
      <c r="AK91" s="9">
        <f ca="1">OFFSET(TIAM15_assumptions!$G91,0,MATCH(VLOOKUP(Assumptions!AK$2,TIAM15_assumptions!$Y$3:$Z$36,2,FALSE),TIAM15_assumptions!$H$2:$V$2,0))</f>
        <v>0.33994552502707565</v>
      </c>
      <c r="AN91" s="34">
        <f ca="1">IFERROR(SUMIFS('TRA balance'!E$5:E$40,'TRA balance'!$C$5:$C$40,Assumptions!$C91,'TRA balance'!$D$5:$D$40,Assumptions!$B91)*BS91*H91,"")</f>
        <v>0</v>
      </c>
      <c r="AO91" s="34">
        <f ca="1">IFERROR(SUMIFS('TRA balance'!F$5:F$40,'TRA balance'!$C$5:$C$40,Assumptions!$C91,'TRA balance'!$D$5:$D$40,Assumptions!$B91)*BT91*I91,"")</f>
        <v>0</v>
      </c>
      <c r="AP91" s="34">
        <f ca="1">IFERROR(SUMIFS('TRA balance'!G$5:G$40,'TRA balance'!$C$5:$C$40,Assumptions!$C91,'TRA balance'!$D$5:$D$40,Assumptions!$B91)*BU91*J91,"")</f>
        <v>0.43525051703999995</v>
      </c>
      <c r="AQ91" s="34">
        <f ca="1">IFERROR(SUMIFS('TRA balance'!H$5:H$40,'TRA balance'!$C$5:$C$40,Assumptions!$C91,'TRA balance'!$D$5:$D$40,Assumptions!$B91)*BV91*K91,"")</f>
        <v>0</v>
      </c>
      <c r="AR91" s="34">
        <f ca="1">IFERROR(SUMIFS('TRA balance'!I$5:I$40,'TRA balance'!$C$5:$C$40,Assumptions!$C91,'TRA balance'!$D$5:$D$40,Assumptions!$B91)*BW91*L91,"")</f>
        <v>8.9122318199999995E-2</v>
      </c>
      <c r="AS91" s="34">
        <f ca="1">IFERROR(SUMIFS('TRA balance'!J$5:J$40,'TRA balance'!$C$5:$C$40,Assumptions!$C91,'TRA balance'!$D$5:$D$40,Assumptions!$B91)*BX91*M91,"")</f>
        <v>6.1552240199999997E-2</v>
      </c>
      <c r="AT91" s="34">
        <f ca="1">IFERROR(SUMIFS('TRA balance'!K$5:K$40,'TRA balance'!$C$5:$C$40,Assumptions!$C91,'TRA balance'!$D$5:$D$40,Assumptions!$B91)*BY91*N91,"")</f>
        <v>7.3048624124786785E-2</v>
      </c>
      <c r="AU91" s="34">
        <f ca="1">IFERROR(SUMIFS('TRA balance'!L$5:L$40,'TRA balance'!$C$5:$C$40,Assumptions!$C91,'TRA balance'!$D$5:$D$40,Assumptions!$B91)*BZ91*O91,"")</f>
        <v>0</v>
      </c>
      <c r="AV91" s="34">
        <f ca="1">IFERROR(SUMIFS('TRA balance'!M$5:M$40,'TRA balance'!$C$5:$C$40,Assumptions!$C91,'TRA balance'!$D$5:$D$40,Assumptions!$B91)*CA91*P91,"")</f>
        <v>1.5738118552889169</v>
      </c>
      <c r="AW91" s="34">
        <f ca="1">IFERROR(SUMIFS('TRA balance'!N$5:N$40,'TRA balance'!$C$5:$C$40,Assumptions!$C91,'TRA balance'!$D$5:$D$40,Assumptions!$B91)*CB91*Q91,"")</f>
        <v>19.629041093856003</v>
      </c>
      <c r="AX91" s="34">
        <f ca="1">IFERROR(SUMIFS('TRA balance'!O$5:O$40,'TRA balance'!$C$5:$C$40,Assumptions!$C91,'TRA balance'!$D$5:$D$40,Assumptions!$B91)*CC91*R91,"")</f>
        <v>0.46186843298400004</v>
      </c>
      <c r="AY91" s="34">
        <f ca="1">IFERROR(SUMIFS('TRA balance'!P$5:P$40,'TRA balance'!$C$5:$C$40,Assumptions!$C91,'TRA balance'!$D$5:$D$40,Assumptions!$B91)*CD91*S91,"")</f>
        <v>0</v>
      </c>
      <c r="AZ91" s="34">
        <f ca="1">IFERROR(SUMIFS('TRA balance'!Q$5:Q$40,'TRA balance'!$C$5:$C$40,Assumptions!$C91,'TRA balance'!$D$5:$D$40,Assumptions!$B91)*CE91*T91,"")</f>
        <v>0.82164970288799999</v>
      </c>
      <c r="BA91" s="34">
        <f ca="1">IFERROR(SUMIFS('TRA balance'!R$5:R$40,'TRA balance'!$C$5:$C$40,Assumptions!$C91,'TRA balance'!$D$5:$D$40,Assumptions!$B91)*CF91*U91,"")</f>
        <v>0.19424390644800002</v>
      </c>
      <c r="BB91" s="34">
        <f ca="1">IFERROR(SUMIFS('TRA balance'!S$5:S$40,'TRA balance'!$C$5:$C$40,Assumptions!$C91,'TRA balance'!$D$5:$D$40,Assumptions!$B91)*CG91*V91,"")</f>
        <v>0</v>
      </c>
      <c r="BC91" s="34">
        <f ca="1">IFERROR(SUMIFS('TRA balance'!T$5:T$40,'TRA balance'!$C$5:$C$40,Assumptions!$C91,'TRA balance'!$D$5:$D$40,Assumptions!$B91)*CH91*W91,"")</f>
        <v>0.20414300889600004</v>
      </c>
      <c r="BD91" s="34">
        <f ca="1">IFERROR(SUMIFS('TRA balance'!U$5:U$40,'TRA balance'!$C$5:$C$40,Assumptions!$C91,'TRA balance'!$D$5:$D$40,Assumptions!$B91)*CI91*X91,"")</f>
        <v>0</v>
      </c>
      <c r="BE91" s="34">
        <f ca="1">IFERROR(SUMIFS('TRA balance'!V$5:V$40,'TRA balance'!$C$5:$C$40,Assumptions!$C91,'TRA balance'!$D$5:$D$40,Assumptions!$B91)*CJ91*Y91,"")</f>
        <v>0.40087948485600006</v>
      </c>
      <c r="BF91" s="34">
        <f ca="1">IFERROR(SUMIFS('TRA balance'!W$5:W$40,'TRA balance'!$C$5:$C$40,Assumptions!$C91,'TRA balance'!$D$5:$D$40,Assumptions!$B91)*CK91*Z91,"")</f>
        <v>0.41126400489600007</v>
      </c>
      <c r="BG91" s="34">
        <f ca="1">IFERROR(SUMIFS('TRA balance'!X$5:X$40,'TRA balance'!$C$5:$C$40,Assumptions!$C91,'TRA balance'!$D$5:$D$40,Assumptions!$B91)*CL91*AA91,"")</f>
        <v>0</v>
      </c>
      <c r="BH91" s="34">
        <f ca="1">IFERROR(SUMIFS('TRA balance'!Y$5:Y$40,'TRA balance'!$C$5:$C$40,Assumptions!$C91,'TRA balance'!$D$5:$D$40,Assumptions!$B91)*CM91*AB91,"")</f>
        <v>5.9159483999999991E-3</v>
      </c>
      <c r="BI91" s="34">
        <f ca="1">IFERROR(SUMIFS('TRA balance'!Z$5:Z$40,'TRA balance'!$C$5:$C$40,Assumptions!$C91,'TRA balance'!$D$5:$D$40,Assumptions!$B91)*CN91*AC91,"")</f>
        <v>0</v>
      </c>
      <c r="BJ91" s="34">
        <f ca="1">IFERROR(SUMIFS('TRA balance'!AA$5:AA$40,'TRA balance'!$C$5:$C$40,Assumptions!$C91,'TRA balance'!$D$5:$D$40,Assumptions!$B91)*CO91*AD91,"")</f>
        <v>0</v>
      </c>
      <c r="BK91" s="34">
        <f ca="1">IFERROR(SUMIFS('TRA balance'!AB$5:AB$40,'TRA balance'!$C$5:$C$40,Assumptions!$C91,'TRA balance'!$D$5:$D$40,Assumptions!$B91)*CP91*AE91,"")</f>
        <v>1.0790235195119999</v>
      </c>
      <c r="BL91" s="34">
        <f ca="1">IFERROR(SUMIFS('TRA balance'!AC$5:AC$40,'TRA balance'!$C$5:$C$40,Assumptions!$C91,'TRA balance'!$D$5:$D$40,Assumptions!$B91)*CQ91*AF91,"")</f>
        <v>0</v>
      </c>
      <c r="BM91" s="34">
        <f ca="1">IFERROR(SUMIFS('TRA balance'!AD$5:AD$40,'TRA balance'!$C$5:$C$40,Assumptions!$C91,'TRA balance'!$D$5:$D$40,Assumptions!$B91)*CR91*AG91,"")</f>
        <v>0</v>
      </c>
      <c r="BN91" s="34">
        <f ca="1">IFERROR(SUMIFS('TRA balance'!AE$5:AE$40,'TRA balance'!$C$5:$C$40,Assumptions!$C91,'TRA balance'!$D$5:$D$40,Assumptions!$B91)*CS91*AH91,"")</f>
        <v>0</v>
      </c>
      <c r="BO91" s="34">
        <f ca="1">IFERROR(SUMIFS('TRA balance'!AF$5:AF$40,'TRA balance'!$C$5:$C$40,Assumptions!$C91,'TRA balance'!$D$5:$D$40,Assumptions!$B91)*CT91*AI91,"")</f>
        <v>0.44858421900000001</v>
      </c>
      <c r="BP91" s="34">
        <f ca="1">IFERROR(SUMIFS('TRA balance'!AG$5:AG$40,'TRA balance'!$C$5:$C$40,Assumptions!$C91,'TRA balance'!$D$5:$D$40,Assumptions!$B91)*CU91*AJ91,"")</f>
        <v>7.959795049895197</v>
      </c>
      <c r="BQ91" s="34">
        <f ca="1">IFERROR(SUMIFS('TRA balance'!AH$5:AH$40,'TRA balance'!$C$5:$C$40,Assumptions!$C91,'TRA balance'!$D$5:$D$40,Assumptions!$B91)*CV91*AK91,"")</f>
        <v>0</v>
      </c>
      <c r="BS91" s="33">
        <f t="shared" ca="1" si="152"/>
        <v>0</v>
      </c>
      <c r="BT91" s="33">
        <f t="shared" ca="1" si="153"/>
        <v>0</v>
      </c>
      <c r="BU91" s="33">
        <f t="shared" ca="1" si="154"/>
        <v>0.5</v>
      </c>
      <c r="BV91" s="33">
        <f t="shared" ca="1" si="155"/>
        <v>0</v>
      </c>
      <c r="BW91" s="33">
        <f t="shared" ca="1" si="156"/>
        <v>1</v>
      </c>
      <c r="BX91" s="33">
        <f t="shared" ca="1" si="157"/>
        <v>1</v>
      </c>
      <c r="BY91" s="33">
        <f t="shared" ca="1" si="158"/>
        <v>1</v>
      </c>
      <c r="BZ91" s="33">
        <f t="shared" ca="1" si="159"/>
        <v>0.5</v>
      </c>
      <c r="CA91" s="33">
        <f t="shared" ca="1" si="160"/>
        <v>1</v>
      </c>
      <c r="CB91" s="33">
        <f t="shared" ca="1" si="161"/>
        <v>0.8</v>
      </c>
      <c r="CC91" s="33">
        <f t="shared" ca="1" si="162"/>
        <v>1</v>
      </c>
      <c r="CD91" s="33">
        <f t="shared" ca="1" si="163"/>
        <v>0</v>
      </c>
      <c r="CE91" s="33">
        <f t="shared" ca="1" si="164"/>
        <v>1</v>
      </c>
      <c r="CF91" s="33">
        <f t="shared" ca="1" si="165"/>
        <v>1</v>
      </c>
      <c r="CG91" s="33">
        <f t="shared" ca="1" si="166"/>
        <v>0</v>
      </c>
      <c r="CH91" s="33">
        <f t="shared" ca="1" si="167"/>
        <v>1</v>
      </c>
      <c r="CI91" s="33">
        <f t="shared" ca="1" si="168"/>
        <v>0</v>
      </c>
      <c r="CJ91" s="33">
        <f t="shared" ca="1" si="169"/>
        <v>1</v>
      </c>
      <c r="CK91" s="33">
        <f t="shared" ca="1" si="170"/>
        <v>1</v>
      </c>
      <c r="CL91" s="33">
        <f t="shared" ca="1" si="171"/>
        <v>0</v>
      </c>
      <c r="CM91" s="33">
        <f t="shared" ca="1" si="172"/>
        <v>0.5</v>
      </c>
      <c r="CN91" s="33">
        <f t="shared" ca="1" si="173"/>
        <v>0.5</v>
      </c>
      <c r="CO91" s="33">
        <f t="shared" ca="1" si="174"/>
        <v>0</v>
      </c>
      <c r="CP91" s="33">
        <f t="shared" ca="1" si="175"/>
        <v>1</v>
      </c>
      <c r="CQ91" s="33">
        <f t="shared" ca="1" si="176"/>
        <v>0</v>
      </c>
      <c r="CR91" s="33">
        <f t="shared" ca="1" si="177"/>
        <v>0</v>
      </c>
      <c r="CS91" s="33">
        <f t="shared" ca="1" si="178"/>
        <v>0</v>
      </c>
      <c r="CT91" s="33">
        <f t="shared" ca="1" si="179"/>
        <v>1</v>
      </c>
      <c r="CU91" s="33">
        <f t="shared" ca="1" si="180"/>
        <v>1</v>
      </c>
      <c r="CV91" s="33">
        <f t="shared" ca="1" si="181"/>
        <v>1</v>
      </c>
    </row>
    <row r="92" spans="1:100" x14ac:dyDescent="0.45">
      <c r="A92">
        <v>1</v>
      </c>
      <c r="B92" t="str">
        <f>VLOOKUP(F92,'TRA balance'!$AK$5:$AL$14,2,FALSE)</f>
        <v>TRAELC</v>
      </c>
      <c r="C92" s="6" t="str">
        <f t="shared" si="185"/>
        <v>TR</v>
      </c>
      <c r="D92" s="7" t="s">
        <v>16</v>
      </c>
      <c r="E92" s="18" t="s">
        <v>65</v>
      </c>
      <c r="F92" s="8" t="str">
        <f t="shared" si="217"/>
        <v>Electricity</v>
      </c>
      <c r="G92" s="6" t="s">
        <v>66</v>
      </c>
      <c r="H92" s="9">
        <f ca="1">OFFSET(TIAM15_assumptions!$G92,0,MATCH(VLOOKUP(Assumptions!H$2,TIAM15_assumptions!$Y$3:$Z$36,2,FALSE),TIAM15_assumptions!$H$2:$V$2,0))</f>
        <v>0</v>
      </c>
      <c r="I92" s="9">
        <f ca="1">OFFSET(TIAM15_assumptions!$G92,0,MATCH(VLOOKUP(Assumptions!I$2,TIAM15_assumptions!$Y$3:$Z$36,2,FALSE),TIAM15_assumptions!$H$2:$V$2,0))</f>
        <v>0</v>
      </c>
      <c r="J92" s="9">
        <f ca="1">OFFSET(TIAM15_assumptions!$G92,0,MATCH(VLOOKUP(Assumptions!J$2,TIAM15_assumptions!$Y$3:$Z$36,2,FALSE),TIAM15_assumptions!$H$2:$V$2,0))</f>
        <v>0</v>
      </c>
      <c r="K92" s="9">
        <f ca="1">OFFSET(TIAM15_assumptions!$G92,0,MATCH(VLOOKUP(Assumptions!K$2,TIAM15_assumptions!$Y$3:$Z$36,2,FALSE),TIAM15_assumptions!$H$2:$V$2,0))</f>
        <v>0</v>
      </c>
      <c r="L92" s="9">
        <f ca="1">OFFSET(TIAM15_assumptions!$G92,0,MATCH(VLOOKUP(Assumptions!L$2,TIAM15_assumptions!$Y$3:$Z$36,2,FALSE),TIAM15_assumptions!$H$2:$V$2,0))</f>
        <v>0</v>
      </c>
      <c r="M92" s="9">
        <f ca="1">OFFSET(TIAM15_assumptions!$G92,0,MATCH(VLOOKUP(Assumptions!M$2,TIAM15_assumptions!$Y$3:$Z$36,2,FALSE),TIAM15_assumptions!$H$2:$V$2,0))</f>
        <v>0</v>
      </c>
      <c r="N92" s="9">
        <f ca="1">OFFSET(TIAM15_assumptions!$G92,0,MATCH(VLOOKUP(Assumptions!N$2,TIAM15_assumptions!$Y$3:$Z$36,2,FALSE),TIAM15_assumptions!$H$2:$V$2,0))</f>
        <v>0</v>
      </c>
      <c r="O92" s="9">
        <f ca="1">OFFSET(TIAM15_assumptions!$G92,0,MATCH(VLOOKUP(Assumptions!O$2,TIAM15_assumptions!$Y$3:$Z$36,2,FALSE),TIAM15_assumptions!$H$2:$V$2,0))</f>
        <v>0</v>
      </c>
      <c r="P92" s="9">
        <f ca="1">OFFSET(TIAM15_assumptions!$G92,0,MATCH(VLOOKUP(Assumptions!P$2,TIAM15_assumptions!$Y$3:$Z$36,2,FALSE),TIAM15_assumptions!$H$2:$V$2,0))</f>
        <v>0</v>
      </c>
      <c r="Q92" s="9">
        <f ca="1">OFFSET(TIAM15_assumptions!$G92,0,MATCH(VLOOKUP(Assumptions!Q$2,TIAM15_assumptions!$Y$3:$Z$36,2,FALSE),TIAM15_assumptions!$H$2:$V$2,0))</f>
        <v>0</v>
      </c>
      <c r="R92" s="9">
        <f ca="1">OFFSET(TIAM15_assumptions!$G92,0,MATCH(VLOOKUP(Assumptions!R$2,TIAM15_assumptions!$Y$3:$Z$36,2,FALSE),TIAM15_assumptions!$H$2:$V$2,0))</f>
        <v>0</v>
      </c>
      <c r="S92" s="9">
        <f ca="1">OFFSET(TIAM15_assumptions!$G92,0,MATCH(VLOOKUP(Assumptions!S$2,TIAM15_assumptions!$Y$3:$Z$36,2,FALSE),TIAM15_assumptions!$H$2:$V$2,0))</f>
        <v>0</v>
      </c>
      <c r="T92" s="9">
        <f ca="1">OFFSET(TIAM15_assumptions!$G92,0,MATCH(VLOOKUP(Assumptions!T$2,TIAM15_assumptions!$Y$3:$Z$36,2,FALSE),TIAM15_assumptions!$H$2:$V$2,0))</f>
        <v>0</v>
      </c>
      <c r="U92" s="9">
        <f ca="1">OFFSET(TIAM15_assumptions!$G92,0,MATCH(VLOOKUP(Assumptions!U$2,TIAM15_assumptions!$Y$3:$Z$36,2,FALSE),TIAM15_assumptions!$H$2:$V$2,0))</f>
        <v>0</v>
      </c>
      <c r="V92" s="9">
        <f ca="1">OFFSET(TIAM15_assumptions!$G92,0,MATCH(VLOOKUP(Assumptions!V$2,TIAM15_assumptions!$Y$3:$Z$36,2,FALSE),TIAM15_assumptions!$H$2:$V$2,0))</f>
        <v>0</v>
      </c>
      <c r="W92" s="9">
        <f ca="1">OFFSET(TIAM15_assumptions!$G92,0,MATCH(VLOOKUP(Assumptions!W$2,TIAM15_assumptions!$Y$3:$Z$36,2,FALSE),TIAM15_assumptions!$H$2:$V$2,0))</f>
        <v>0</v>
      </c>
      <c r="X92" s="9">
        <f ca="1">OFFSET(TIAM15_assumptions!$G92,0,MATCH(VLOOKUP(Assumptions!X$2,TIAM15_assumptions!$Y$3:$Z$36,2,FALSE),TIAM15_assumptions!$H$2:$V$2,0))</f>
        <v>0</v>
      </c>
      <c r="Y92" s="9">
        <f ca="1">OFFSET(TIAM15_assumptions!$G92,0,MATCH(VLOOKUP(Assumptions!Y$2,TIAM15_assumptions!$Y$3:$Z$36,2,FALSE),TIAM15_assumptions!$H$2:$V$2,0))</f>
        <v>0</v>
      </c>
      <c r="Z92" s="9">
        <f ca="1">OFFSET(TIAM15_assumptions!$G92,0,MATCH(VLOOKUP(Assumptions!Z$2,TIAM15_assumptions!$Y$3:$Z$36,2,FALSE),TIAM15_assumptions!$H$2:$V$2,0))</f>
        <v>0</v>
      </c>
      <c r="AA92" s="9">
        <f ca="1">OFFSET(TIAM15_assumptions!$G92,0,MATCH(VLOOKUP(Assumptions!AA$2,TIAM15_assumptions!$Y$3:$Z$36,2,FALSE),TIAM15_assumptions!$H$2:$V$2,0))</f>
        <v>0</v>
      </c>
      <c r="AB92" s="9">
        <f ca="1">OFFSET(TIAM15_assumptions!$G92,0,MATCH(VLOOKUP(Assumptions!AB$2,TIAM15_assumptions!$Y$3:$Z$36,2,FALSE),TIAM15_assumptions!$H$2:$V$2,0))</f>
        <v>0</v>
      </c>
      <c r="AC92" s="9">
        <f ca="1">OFFSET(TIAM15_assumptions!$G92,0,MATCH(VLOOKUP(Assumptions!AC$2,TIAM15_assumptions!$Y$3:$Z$36,2,FALSE),TIAM15_assumptions!$H$2:$V$2,0))</f>
        <v>0</v>
      </c>
      <c r="AD92" s="9">
        <f ca="1">OFFSET(TIAM15_assumptions!$G92,0,MATCH(VLOOKUP(Assumptions!AD$2,TIAM15_assumptions!$Y$3:$Z$36,2,FALSE),TIAM15_assumptions!$H$2:$V$2,0))</f>
        <v>0</v>
      </c>
      <c r="AE92" s="9">
        <f ca="1">OFFSET(TIAM15_assumptions!$G92,0,MATCH(VLOOKUP(Assumptions!AE$2,TIAM15_assumptions!$Y$3:$Z$36,2,FALSE),TIAM15_assumptions!$H$2:$V$2,0))</f>
        <v>0</v>
      </c>
      <c r="AF92" s="9">
        <f ca="1">OFFSET(TIAM15_assumptions!$G92,0,MATCH(VLOOKUP(Assumptions!AF$2,TIAM15_assumptions!$Y$3:$Z$36,2,FALSE),TIAM15_assumptions!$H$2:$V$2,0))</f>
        <v>0</v>
      </c>
      <c r="AG92" s="9">
        <f ca="1">OFFSET(TIAM15_assumptions!$G92,0,MATCH(VLOOKUP(Assumptions!AG$2,TIAM15_assumptions!$Y$3:$Z$36,2,FALSE),TIAM15_assumptions!$H$2:$V$2,0))</f>
        <v>0</v>
      </c>
      <c r="AH92" s="9">
        <f ca="1">OFFSET(TIAM15_assumptions!$G92,0,MATCH(VLOOKUP(Assumptions!AH$2,TIAM15_assumptions!$Y$3:$Z$36,2,FALSE),TIAM15_assumptions!$H$2:$V$2,0))</f>
        <v>0</v>
      </c>
      <c r="AI92" s="9">
        <f ca="1">OFFSET(TIAM15_assumptions!$G92,0,MATCH(VLOOKUP(Assumptions!AI$2,TIAM15_assumptions!$Y$3:$Z$36,2,FALSE),TIAM15_assumptions!$H$2:$V$2,0))</f>
        <v>0</v>
      </c>
      <c r="AJ92" s="9">
        <f ca="1">OFFSET(TIAM15_assumptions!$G92,0,MATCH(VLOOKUP(Assumptions!AJ$2,TIAM15_assumptions!$Y$3:$Z$36,2,FALSE),TIAM15_assumptions!$H$2:$V$2,0))</f>
        <v>0</v>
      </c>
      <c r="AK92" s="9">
        <f ca="1">OFFSET(TIAM15_assumptions!$G92,0,MATCH(VLOOKUP(Assumptions!AK$2,TIAM15_assumptions!$Y$3:$Z$36,2,FALSE),TIAM15_assumptions!$H$2:$V$2,0))</f>
        <v>0</v>
      </c>
      <c r="AN92" s="34">
        <f ca="1">IFERROR(SUMIFS('TRA balance'!E$5:E$40,'TRA balance'!$C$5:$C$40,Assumptions!$C92,'TRA balance'!$D$5:$D$40,Assumptions!$B92)*BS92*H92,"")</f>
        <v>0</v>
      </c>
      <c r="AO92" s="34">
        <f ca="1">IFERROR(SUMIFS('TRA balance'!F$5:F$40,'TRA balance'!$C$5:$C$40,Assumptions!$C92,'TRA balance'!$D$5:$D$40,Assumptions!$B92)*BT92*I92,"")</f>
        <v>0</v>
      </c>
      <c r="AP92" s="34">
        <f ca="1">IFERROR(SUMIFS('TRA balance'!G$5:G$40,'TRA balance'!$C$5:$C$40,Assumptions!$C92,'TRA balance'!$D$5:$D$40,Assumptions!$B92)*BU92*J92,"")</f>
        <v>0</v>
      </c>
      <c r="AQ92" s="34">
        <f ca="1">IFERROR(SUMIFS('TRA balance'!H$5:H$40,'TRA balance'!$C$5:$C$40,Assumptions!$C92,'TRA balance'!$D$5:$D$40,Assumptions!$B92)*BV92*K92,"")</f>
        <v>0</v>
      </c>
      <c r="AR92" s="34">
        <f ca="1">IFERROR(SUMIFS('TRA balance'!I$5:I$40,'TRA balance'!$C$5:$C$40,Assumptions!$C92,'TRA balance'!$D$5:$D$40,Assumptions!$B92)*BW92*L92,"")</f>
        <v>0</v>
      </c>
      <c r="AS92" s="34">
        <f ca="1">IFERROR(SUMIFS('TRA balance'!J$5:J$40,'TRA balance'!$C$5:$C$40,Assumptions!$C92,'TRA balance'!$D$5:$D$40,Assumptions!$B92)*BX92*M92,"")</f>
        <v>0</v>
      </c>
      <c r="AT92" s="34">
        <f ca="1">IFERROR(SUMIFS('TRA balance'!K$5:K$40,'TRA balance'!$C$5:$C$40,Assumptions!$C92,'TRA balance'!$D$5:$D$40,Assumptions!$B92)*BY92*N92,"")</f>
        <v>0</v>
      </c>
      <c r="AU92" s="34">
        <f ca="1">IFERROR(SUMIFS('TRA balance'!L$5:L$40,'TRA balance'!$C$5:$C$40,Assumptions!$C92,'TRA balance'!$D$5:$D$40,Assumptions!$B92)*BZ92*O92,"")</f>
        <v>0</v>
      </c>
      <c r="AV92" s="34">
        <f ca="1">IFERROR(SUMIFS('TRA balance'!M$5:M$40,'TRA balance'!$C$5:$C$40,Assumptions!$C92,'TRA balance'!$D$5:$D$40,Assumptions!$B92)*CA92*P92,"")</f>
        <v>0</v>
      </c>
      <c r="AW92" s="34">
        <f ca="1">IFERROR(SUMIFS('TRA balance'!N$5:N$40,'TRA balance'!$C$5:$C$40,Assumptions!$C92,'TRA balance'!$D$5:$D$40,Assumptions!$B92)*CB92*Q92,"")</f>
        <v>0</v>
      </c>
      <c r="AX92" s="34">
        <f ca="1">IFERROR(SUMIFS('TRA balance'!O$5:O$40,'TRA balance'!$C$5:$C$40,Assumptions!$C92,'TRA balance'!$D$5:$D$40,Assumptions!$B92)*CC92*R92,"")</f>
        <v>0</v>
      </c>
      <c r="AY92" s="34">
        <f ca="1">IFERROR(SUMIFS('TRA balance'!P$5:P$40,'TRA balance'!$C$5:$C$40,Assumptions!$C92,'TRA balance'!$D$5:$D$40,Assumptions!$B92)*CD92*S92,"")</f>
        <v>0</v>
      </c>
      <c r="AZ92" s="34">
        <f ca="1">IFERROR(SUMIFS('TRA balance'!Q$5:Q$40,'TRA balance'!$C$5:$C$40,Assumptions!$C92,'TRA balance'!$D$5:$D$40,Assumptions!$B92)*CE92*T92,"")</f>
        <v>0</v>
      </c>
      <c r="BA92" s="34">
        <f ca="1">IFERROR(SUMIFS('TRA balance'!R$5:R$40,'TRA balance'!$C$5:$C$40,Assumptions!$C92,'TRA balance'!$D$5:$D$40,Assumptions!$B92)*CF92*U92,"")</f>
        <v>0</v>
      </c>
      <c r="BB92" s="34">
        <f ca="1">IFERROR(SUMIFS('TRA balance'!S$5:S$40,'TRA balance'!$C$5:$C$40,Assumptions!$C92,'TRA balance'!$D$5:$D$40,Assumptions!$B92)*CG92*V92,"")</f>
        <v>0</v>
      </c>
      <c r="BC92" s="34">
        <f ca="1">IFERROR(SUMIFS('TRA balance'!T$5:T$40,'TRA balance'!$C$5:$C$40,Assumptions!$C92,'TRA balance'!$D$5:$D$40,Assumptions!$B92)*CH92*W92,"")</f>
        <v>0</v>
      </c>
      <c r="BD92" s="34">
        <f ca="1">IFERROR(SUMIFS('TRA balance'!U$5:U$40,'TRA balance'!$C$5:$C$40,Assumptions!$C92,'TRA balance'!$D$5:$D$40,Assumptions!$B92)*CI92*X92,"")</f>
        <v>0</v>
      </c>
      <c r="BE92" s="34">
        <f ca="1">IFERROR(SUMIFS('TRA balance'!V$5:V$40,'TRA balance'!$C$5:$C$40,Assumptions!$C92,'TRA balance'!$D$5:$D$40,Assumptions!$B92)*CJ92*Y92,"")</f>
        <v>0</v>
      </c>
      <c r="BF92" s="34">
        <f ca="1">IFERROR(SUMIFS('TRA balance'!W$5:W$40,'TRA balance'!$C$5:$C$40,Assumptions!$C92,'TRA balance'!$D$5:$D$40,Assumptions!$B92)*CK92*Z92,"")</f>
        <v>0</v>
      </c>
      <c r="BG92" s="34">
        <f ca="1">IFERROR(SUMIFS('TRA balance'!X$5:X$40,'TRA balance'!$C$5:$C$40,Assumptions!$C92,'TRA balance'!$D$5:$D$40,Assumptions!$B92)*CL92*AA92,"")</f>
        <v>0</v>
      </c>
      <c r="BH92" s="34">
        <f ca="1">IFERROR(SUMIFS('TRA balance'!Y$5:Y$40,'TRA balance'!$C$5:$C$40,Assumptions!$C92,'TRA balance'!$D$5:$D$40,Assumptions!$B92)*CM92*AB92,"")</f>
        <v>0</v>
      </c>
      <c r="BI92" s="34">
        <f ca="1">IFERROR(SUMIFS('TRA balance'!Z$5:Z$40,'TRA balance'!$C$5:$C$40,Assumptions!$C92,'TRA balance'!$D$5:$D$40,Assumptions!$B92)*CN92*AC92,"")</f>
        <v>0</v>
      </c>
      <c r="BJ92" s="34">
        <f ca="1">IFERROR(SUMIFS('TRA balance'!AA$5:AA$40,'TRA balance'!$C$5:$C$40,Assumptions!$C92,'TRA balance'!$D$5:$D$40,Assumptions!$B92)*CO92*AD92,"")</f>
        <v>0</v>
      </c>
      <c r="BK92" s="34">
        <f ca="1">IFERROR(SUMIFS('TRA balance'!AB$5:AB$40,'TRA balance'!$C$5:$C$40,Assumptions!$C92,'TRA balance'!$D$5:$D$40,Assumptions!$B92)*CP92*AE92,"")</f>
        <v>0</v>
      </c>
      <c r="BL92" s="34">
        <f ca="1">IFERROR(SUMIFS('TRA balance'!AC$5:AC$40,'TRA balance'!$C$5:$C$40,Assumptions!$C92,'TRA balance'!$D$5:$D$40,Assumptions!$B92)*CQ92*AF92,"")</f>
        <v>0</v>
      </c>
      <c r="BM92" s="34">
        <f ca="1">IFERROR(SUMIFS('TRA balance'!AD$5:AD$40,'TRA balance'!$C$5:$C$40,Assumptions!$C92,'TRA balance'!$D$5:$D$40,Assumptions!$B92)*CR92*AG92,"")</f>
        <v>0</v>
      </c>
      <c r="BN92" s="34">
        <f ca="1">IFERROR(SUMIFS('TRA balance'!AE$5:AE$40,'TRA balance'!$C$5:$C$40,Assumptions!$C92,'TRA balance'!$D$5:$D$40,Assumptions!$B92)*CS92*AH92,"")</f>
        <v>0</v>
      </c>
      <c r="BO92" s="34">
        <f ca="1">IFERROR(SUMIFS('TRA balance'!AF$5:AF$40,'TRA balance'!$C$5:$C$40,Assumptions!$C92,'TRA balance'!$D$5:$D$40,Assumptions!$B92)*CT92*AI92,"")</f>
        <v>0</v>
      </c>
      <c r="BP92" s="34">
        <f ca="1">IFERROR(SUMIFS('TRA balance'!AG$5:AG$40,'TRA balance'!$C$5:$C$40,Assumptions!$C92,'TRA balance'!$D$5:$D$40,Assumptions!$B92)*CU92*AJ92,"")</f>
        <v>0</v>
      </c>
      <c r="BQ92" s="34">
        <f ca="1">IFERROR(SUMIFS('TRA balance'!AH$5:AH$40,'TRA balance'!$C$5:$C$40,Assumptions!$C92,'TRA balance'!$D$5:$D$40,Assumptions!$B92)*CV92*AK92,"")</f>
        <v>0</v>
      </c>
      <c r="BS92" s="33">
        <f t="shared" ca="1" si="152"/>
        <v>0</v>
      </c>
      <c r="BT92" s="33">
        <f t="shared" ca="1" si="153"/>
        <v>0</v>
      </c>
      <c r="BU92" s="33">
        <f t="shared" ca="1" si="154"/>
        <v>0.5</v>
      </c>
      <c r="BV92" s="33">
        <f t="shared" ca="1" si="155"/>
        <v>0</v>
      </c>
      <c r="BW92" s="33">
        <f t="shared" ca="1" si="156"/>
        <v>1</v>
      </c>
      <c r="BX92" s="33">
        <f t="shared" ca="1" si="157"/>
        <v>1</v>
      </c>
      <c r="BY92" s="33">
        <f t="shared" ca="1" si="158"/>
        <v>1</v>
      </c>
      <c r="BZ92" s="33">
        <f t="shared" ca="1" si="159"/>
        <v>0.5</v>
      </c>
      <c r="CA92" s="33">
        <f t="shared" ca="1" si="160"/>
        <v>1</v>
      </c>
      <c r="CB92" s="33">
        <f t="shared" ca="1" si="161"/>
        <v>0.8</v>
      </c>
      <c r="CC92" s="33">
        <f t="shared" ca="1" si="162"/>
        <v>1</v>
      </c>
      <c r="CD92" s="33">
        <f t="shared" ca="1" si="163"/>
        <v>0</v>
      </c>
      <c r="CE92" s="33">
        <f t="shared" ca="1" si="164"/>
        <v>1</v>
      </c>
      <c r="CF92" s="33">
        <f t="shared" ca="1" si="165"/>
        <v>1</v>
      </c>
      <c r="CG92" s="33">
        <f t="shared" ca="1" si="166"/>
        <v>0</v>
      </c>
      <c r="CH92" s="33">
        <f t="shared" ca="1" si="167"/>
        <v>1</v>
      </c>
      <c r="CI92" s="33">
        <f t="shared" ca="1" si="168"/>
        <v>0</v>
      </c>
      <c r="CJ92" s="33">
        <f t="shared" ca="1" si="169"/>
        <v>1</v>
      </c>
      <c r="CK92" s="33">
        <f t="shared" ca="1" si="170"/>
        <v>1</v>
      </c>
      <c r="CL92" s="33">
        <f t="shared" ca="1" si="171"/>
        <v>0</v>
      </c>
      <c r="CM92" s="33">
        <f t="shared" ca="1" si="172"/>
        <v>0.5</v>
      </c>
      <c r="CN92" s="33">
        <f t="shared" ca="1" si="173"/>
        <v>0.5</v>
      </c>
      <c r="CO92" s="33">
        <f t="shared" ca="1" si="174"/>
        <v>0</v>
      </c>
      <c r="CP92" s="33">
        <f t="shared" ca="1" si="175"/>
        <v>1</v>
      </c>
      <c r="CQ92" s="33">
        <f t="shared" ca="1" si="176"/>
        <v>0</v>
      </c>
      <c r="CR92" s="33">
        <f t="shared" ca="1" si="177"/>
        <v>0</v>
      </c>
      <c r="CS92" s="33">
        <f t="shared" ca="1" si="178"/>
        <v>0</v>
      </c>
      <c r="CT92" s="33">
        <f t="shared" ca="1" si="179"/>
        <v>1</v>
      </c>
      <c r="CU92" s="33">
        <f t="shared" ca="1" si="180"/>
        <v>1</v>
      </c>
      <c r="CV92" s="33">
        <f t="shared" ca="1" si="181"/>
        <v>1</v>
      </c>
    </row>
    <row r="93" spans="1:100" x14ac:dyDescent="0.45">
      <c r="A93">
        <v>1</v>
      </c>
      <c r="B93" t="str">
        <f>VLOOKUP(F93,'TRA balance'!$AK$5:$AL$14,2,FALSE)</f>
        <v>TRAELC</v>
      </c>
      <c r="C93" s="6" t="str">
        <f t="shared" si="185"/>
        <v>TR</v>
      </c>
      <c r="D93" s="7" t="s">
        <v>16</v>
      </c>
      <c r="E93" s="18" t="s">
        <v>67</v>
      </c>
      <c r="F93" s="8" t="str">
        <f t="shared" si="217"/>
        <v>Electricity</v>
      </c>
      <c r="G93" s="6" t="s">
        <v>68</v>
      </c>
      <c r="H93" s="9">
        <f ca="1">OFFSET(TIAM15_assumptions!$G93,0,MATCH(VLOOKUP(Assumptions!H$2,TIAM15_assumptions!$Y$3:$Z$36,2,FALSE),TIAM15_assumptions!$H$2:$V$2,0))</f>
        <v>0</v>
      </c>
      <c r="I93" s="9">
        <f ca="1">OFFSET(TIAM15_assumptions!$G93,0,MATCH(VLOOKUP(Assumptions!I$2,TIAM15_assumptions!$Y$3:$Z$36,2,FALSE),TIAM15_assumptions!$H$2:$V$2,0))</f>
        <v>0</v>
      </c>
      <c r="J93" s="9">
        <f ca="1">OFFSET(TIAM15_assumptions!$G93,0,MATCH(VLOOKUP(Assumptions!J$2,TIAM15_assumptions!$Y$3:$Z$36,2,FALSE),TIAM15_assumptions!$H$2:$V$2,0))</f>
        <v>0</v>
      </c>
      <c r="K93" s="9">
        <f ca="1">OFFSET(TIAM15_assumptions!$G93,0,MATCH(VLOOKUP(Assumptions!K$2,TIAM15_assumptions!$Y$3:$Z$36,2,FALSE),TIAM15_assumptions!$H$2:$V$2,0))</f>
        <v>0</v>
      </c>
      <c r="L93" s="9">
        <f ca="1">OFFSET(TIAM15_assumptions!$G93,0,MATCH(VLOOKUP(Assumptions!L$2,TIAM15_assumptions!$Y$3:$Z$36,2,FALSE),TIAM15_assumptions!$H$2:$V$2,0))</f>
        <v>0</v>
      </c>
      <c r="M93" s="9">
        <f ca="1">OFFSET(TIAM15_assumptions!$G93,0,MATCH(VLOOKUP(Assumptions!M$2,TIAM15_assumptions!$Y$3:$Z$36,2,FALSE),TIAM15_assumptions!$H$2:$V$2,0))</f>
        <v>0</v>
      </c>
      <c r="N93" s="9">
        <f ca="1">OFFSET(TIAM15_assumptions!$G93,0,MATCH(VLOOKUP(Assumptions!N$2,TIAM15_assumptions!$Y$3:$Z$36,2,FALSE),TIAM15_assumptions!$H$2:$V$2,0))</f>
        <v>0</v>
      </c>
      <c r="O93" s="9">
        <f ca="1">OFFSET(TIAM15_assumptions!$G93,0,MATCH(VLOOKUP(Assumptions!O$2,TIAM15_assumptions!$Y$3:$Z$36,2,FALSE),TIAM15_assumptions!$H$2:$V$2,0))</f>
        <v>0</v>
      </c>
      <c r="P93" s="9">
        <f ca="1">OFFSET(TIAM15_assumptions!$G93,0,MATCH(VLOOKUP(Assumptions!P$2,TIAM15_assumptions!$Y$3:$Z$36,2,FALSE),TIAM15_assumptions!$H$2:$V$2,0))</f>
        <v>0</v>
      </c>
      <c r="Q93" s="9">
        <f ca="1">OFFSET(TIAM15_assumptions!$G93,0,MATCH(VLOOKUP(Assumptions!Q$2,TIAM15_assumptions!$Y$3:$Z$36,2,FALSE),TIAM15_assumptions!$H$2:$V$2,0))</f>
        <v>0</v>
      </c>
      <c r="R93" s="9">
        <f ca="1">OFFSET(TIAM15_assumptions!$G93,0,MATCH(VLOOKUP(Assumptions!R$2,TIAM15_assumptions!$Y$3:$Z$36,2,FALSE),TIAM15_assumptions!$H$2:$V$2,0))</f>
        <v>0</v>
      </c>
      <c r="S93" s="9">
        <f ca="1">OFFSET(TIAM15_assumptions!$G93,0,MATCH(VLOOKUP(Assumptions!S$2,TIAM15_assumptions!$Y$3:$Z$36,2,FALSE),TIAM15_assumptions!$H$2:$V$2,0))</f>
        <v>0</v>
      </c>
      <c r="T93" s="9">
        <f ca="1">OFFSET(TIAM15_assumptions!$G93,0,MATCH(VLOOKUP(Assumptions!T$2,TIAM15_assumptions!$Y$3:$Z$36,2,FALSE),TIAM15_assumptions!$H$2:$V$2,0))</f>
        <v>0</v>
      </c>
      <c r="U93" s="9">
        <f ca="1">OFFSET(TIAM15_assumptions!$G93,0,MATCH(VLOOKUP(Assumptions!U$2,TIAM15_assumptions!$Y$3:$Z$36,2,FALSE),TIAM15_assumptions!$H$2:$V$2,0))</f>
        <v>0</v>
      </c>
      <c r="V93" s="9">
        <f ca="1">OFFSET(TIAM15_assumptions!$G93,0,MATCH(VLOOKUP(Assumptions!V$2,TIAM15_assumptions!$Y$3:$Z$36,2,FALSE),TIAM15_assumptions!$H$2:$V$2,0))</f>
        <v>0</v>
      </c>
      <c r="W93" s="9">
        <f ca="1">OFFSET(TIAM15_assumptions!$G93,0,MATCH(VLOOKUP(Assumptions!W$2,TIAM15_assumptions!$Y$3:$Z$36,2,FALSE),TIAM15_assumptions!$H$2:$V$2,0))</f>
        <v>0</v>
      </c>
      <c r="X93" s="9">
        <f ca="1">OFFSET(TIAM15_assumptions!$G93,0,MATCH(VLOOKUP(Assumptions!X$2,TIAM15_assumptions!$Y$3:$Z$36,2,FALSE),TIAM15_assumptions!$H$2:$V$2,0))</f>
        <v>0</v>
      </c>
      <c r="Y93" s="9">
        <f ca="1">OFFSET(TIAM15_assumptions!$G93,0,MATCH(VLOOKUP(Assumptions!Y$2,TIAM15_assumptions!$Y$3:$Z$36,2,FALSE),TIAM15_assumptions!$H$2:$V$2,0))</f>
        <v>0</v>
      </c>
      <c r="Z93" s="9">
        <f ca="1">OFFSET(TIAM15_assumptions!$G93,0,MATCH(VLOOKUP(Assumptions!Z$2,TIAM15_assumptions!$Y$3:$Z$36,2,FALSE),TIAM15_assumptions!$H$2:$V$2,0))</f>
        <v>0</v>
      </c>
      <c r="AA93" s="9">
        <f ca="1">OFFSET(TIAM15_assumptions!$G93,0,MATCH(VLOOKUP(Assumptions!AA$2,TIAM15_assumptions!$Y$3:$Z$36,2,FALSE),TIAM15_assumptions!$H$2:$V$2,0))</f>
        <v>0</v>
      </c>
      <c r="AB93" s="9">
        <f ca="1">OFFSET(TIAM15_assumptions!$G93,0,MATCH(VLOOKUP(Assumptions!AB$2,TIAM15_assumptions!$Y$3:$Z$36,2,FALSE),TIAM15_assumptions!$H$2:$V$2,0))</f>
        <v>0</v>
      </c>
      <c r="AC93" s="9">
        <f ca="1">OFFSET(TIAM15_assumptions!$G93,0,MATCH(VLOOKUP(Assumptions!AC$2,TIAM15_assumptions!$Y$3:$Z$36,2,FALSE),TIAM15_assumptions!$H$2:$V$2,0))</f>
        <v>0</v>
      </c>
      <c r="AD93" s="9">
        <f ca="1">OFFSET(TIAM15_assumptions!$G93,0,MATCH(VLOOKUP(Assumptions!AD$2,TIAM15_assumptions!$Y$3:$Z$36,2,FALSE),TIAM15_assumptions!$H$2:$V$2,0))</f>
        <v>0</v>
      </c>
      <c r="AE93" s="9">
        <f ca="1">OFFSET(TIAM15_assumptions!$G93,0,MATCH(VLOOKUP(Assumptions!AE$2,TIAM15_assumptions!$Y$3:$Z$36,2,FALSE),TIAM15_assumptions!$H$2:$V$2,0))</f>
        <v>0</v>
      </c>
      <c r="AF93" s="9">
        <f ca="1">OFFSET(TIAM15_assumptions!$G93,0,MATCH(VLOOKUP(Assumptions!AF$2,TIAM15_assumptions!$Y$3:$Z$36,2,FALSE),TIAM15_assumptions!$H$2:$V$2,0))</f>
        <v>0</v>
      </c>
      <c r="AG93" s="9">
        <f ca="1">OFFSET(TIAM15_assumptions!$G93,0,MATCH(VLOOKUP(Assumptions!AG$2,TIAM15_assumptions!$Y$3:$Z$36,2,FALSE),TIAM15_assumptions!$H$2:$V$2,0))</f>
        <v>0</v>
      </c>
      <c r="AH93" s="9">
        <f ca="1">OFFSET(TIAM15_assumptions!$G93,0,MATCH(VLOOKUP(Assumptions!AH$2,TIAM15_assumptions!$Y$3:$Z$36,2,FALSE),TIAM15_assumptions!$H$2:$V$2,0))</f>
        <v>0</v>
      </c>
      <c r="AI93" s="9">
        <f ca="1">OFFSET(TIAM15_assumptions!$G93,0,MATCH(VLOOKUP(Assumptions!AI$2,TIAM15_assumptions!$Y$3:$Z$36,2,FALSE),TIAM15_assumptions!$H$2:$V$2,0))</f>
        <v>0</v>
      </c>
      <c r="AJ93" s="9">
        <f ca="1">OFFSET(TIAM15_assumptions!$G93,0,MATCH(VLOOKUP(Assumptions!AJ$2,TIAM15_assumptions!$Y$3:$Z$36,2,FALSE),TIAM15_assumptions!$H$2:$V$2,0))</f>
        <v>0</v>
      </c>
      <c r="AK93" s="9">
        <f ca="1">OFFSET(TIAM15_assumptions!$G93,0,MATCH(VLOOKUP(Assumptions!AK$2,TIAM15_assumptions!$Y$3:$Z$36,2,FALSE),TIAM15_assumptions!$H$2:$V$2,0))</f>
        <v>0</v>
      </c>
      <c r="AN93" s="34">
        <f ca="1">IFERROR(SUMIFS('TRA balance'!E$5:E$40,'TRA balance'!$C$5:$C$40,Assumptions!$C93,'TRA balance'!$D$5:$D$40,Assumptions!$B93)*BS93*H93,"")</f>
        <v>0</v>
      </c>
      <c r="AO93" s="34">
        <f ca="1">IFERROR(SUMIFS('TRA balance'!F$5:F$40,'TRA balance'!$C$5:$C$40,Assumptions!$C93,'TRA balance'!$D$5:$D$40,Assumptions!$B93)*BT93*I93,"")</f>
        <v>0</v>
      </c>
      <c r="AP93" s="34">
        <f ca="1">IFERROR(SUMIFS('TRA balance'!G$5:G$40,'TRA balance'!$C$5:$C$40,Assumptions!$C93,'TRA balance'!$D$5:$D$40,Assumptions!$B93)*BU93*J93,"")</f>
        <v>0</v>
      </c>
      <c r="AQ93" s="34">
        <f ca="1">IFERROR(SUMIFS('TRA balance'!H$5:H$40,'TRA balance'!$C$5:$C$40,Assumptions!$C93,'TRA balance'!$D$5:$D$40,Assumptions!$B93)*BV93*K93,"")</f>
        <v>0</v>
      </c>
      <c r="AR93" s="34">
        <f ca="1">IFERROR(SUMIFS('TRA balance'!I$5:I$40,'TRA balance'!$C$5:$C$40,Assumptions!$C93,'TRA balance'!$D$5:$D$40,Assumptions!$B93)*BW93*L93,"")</f>
        <v>0</v>
      </c>
      <c r="AS93" s="34">
        <f ca="1">IFERROR(SUMIFS('TRA balance'!J$5:J$40,'TRA balance'!$C$5:$C$40,Assumptions!$C93,'TRA balance'!$D$5:$D$40,Assumptions!$B93)*BX93*M93,"")</f>
        <v>0</v>
      </c>
      <c r="AT93" s="34">
        <f ca="1">IFERROR(SUMIFS('TRA balance'!K$5:K$40,'TRA balance'!$C$5:$C$40,Assumptions!$C93,'TRA balance'!$D$5:$D$40,Assumptions!$B93)*BY93*N93,"")</f>
        <v>0</v>
      </c>
      <c r="AU93" s="34">
        <f ca="1">IFERROR(SUMIFS('TRA balance'!L$5:L$40,'TRA balance'!$C$5:$C$40,Assumptions!$C93,'TRA balance'!$D$5:$D$40,Assumptions!$B93)*BZ93*O93,"")</f>
        <v>0</v>
      </c>
      <c r="AV93" s="34">
        <f ca="1">IFERROR(SUMIFS('TRA balance'!M$5:M$40,'TRA balance'!$C$5:$C$40,Assumptions!$C93,'TRA balance'!$D$5:$D$40,Assumptions!$B93)*CA93*P93,"")</f>
        <v>0</v>
      </c>
      <c r="AW93" s="34">
        <f ca="1">IFERROR(SUMIFS('TRA balance'!N$5:N$40,'TRA balance'!$C$5:$C$40,Assumptions!$C93,'TRA balance'!$D$5:$D$40,Assumptions!$B93)*CB93*Q93,"")</f>
        <v>0</v>
      </c>
      <c r="AX93" s="34">
        <f ca="1">IFERROR(SUMIFS('TRA balance'!O$5:O$40,'TRA balance'!$C$5:$C$40,Assumptions!$C93,'TRA balance'!$D$5:$D$40,Assumptions!$B93)*CC93*R93,"")</f>
        <v>0</v>
      </c>
      <c r="AY93" s="34">
        <f ca="1">IFERROR(SUMIFS('TRA balance'!P$5:P$40,'TRA balance'!$C$5:$C$40,Assumptions!$C93,'TRA balance'!$D$5:$D$40,Assumptions!$B93)*CD93*S93,"")</f>
        <v>0</v>
      </c>
      <c r="AZ93" s="34">
        <f ca="1">IFERROR(SUMIFS('TRA balance'!Q$5:Q$40,'TRA balance'!$C$5:$C$40,Assumptions!$C93,'TRA balance'!$D$5:$D$40,Assumptions!$B93)*CE93*T93,"")</f>
        <v>0</v>
      </c>
      <c r="BA93" s="34">
        <f ca="1">IFERROR(SUMIFS('TRA balance'!R$5:R$40,'TRA balance'!$C$5:$C$40,Assumptions!$C93,'TRA balance'!$D$5:$D$40,Assumptions!$B93)*CF93*U93,"")</f>
        <v>0</v>
      </c>
      <c r="BB93" s="34">
        <f ca="1">IFERROR(SUMIFS('TRA balance'!S$5:S$40,'TRA balance'!$C$5:$C$40,Assumptions!$C93,'TRA balance'!$D$5:$D$40,Assumptions!$B93)*CG93*V93,"")</f>
        <v>0</v>
      </c>
      <c r="BC93" s="34">
        <f ca="1">IFERROR(SUMIFS('TRA balance'!T$5:T$40,'TRA balance'!$C$5:$C$40,Assumptions!$C93,'TRA balance'!$D$5:$D$40,Assumptions!$B93)*CH93*W93,"")</f>
        <v>0</v>
      </c>
      <c r="BD93" s="34">
        <f ca="1">IFERROR(SUMIFS('TRA balance'!U$5:U$40,'TRA balance'!$C$5:$C$40,Assumptions!$C93,'TRA balance'!$D$5:$D$40,Assumptions!$B93)*CI93*X93,"")</f>
        <v>0</v>
      </c>
      <c r="BE93" s="34">
        <f ca="1">IFERROR(SUMIFS('TRA balance'!V$5:V$40,'TRA balance'!$C$5:$C$40,Assumptions!$C93,'TRA balance'!$D$5:$D$40,Assumptions!$B93)*CJ93*Y93,"")</f>
        <v>0</v>
      </c>
      <c r="BF93" s="34">
        <f ca="1">IFERROR(SUMIFS('TRA balance'!W$5:W$40,'TRA balance'!$C$5:$C$40,Assumptions!$C93,'TRA balance'!$D$5:$D$40,Assumptions!$B93)*CK93*Z93,"")</f>
        <v>0</v>
      </c>
      <c r="BG93" s="34">
        <f ca="1">IFERROR(SUMIFS('TRA balance'!X$5:X$40,'TRA balance'!$C$5:$C$40,Assumptions!$C93,'TRA balance'!$D$5:$D$40,Assumptions!$B93)*CL93*AA93,"")</f>
        <v>0</v>
      </c>
      <c r="BH93" s="34">
        <f ca="1">IFERROR(SUMIFS('TRA balance'!Y$5:Y$40,'TRA balance'!$C$5:$C$40,Assumptions!$C93,'TRA balance'!$D$5:$D$40,Assumptions!$B93)*CM93*AB93,"")</f>
        <v>0</v>
      </c>
      <c r="BI93" s="34">
        <f ca="1">IFERROR(SUMIFS('TRA balance'!Z$5:Z$40,'TRA balance'!$C$5:$C$40,Assumptions!$C93,'TRA balance'!$D$5:$D$40,Assumptions!$B93)*CN93*AC93,"")</f>
        <v>0</v>
      </c>
      <c r="BJ93" s="34">
        <f ca="1">IFERROR(SUMIFS('TRA balance'!AA$5:AA$40,'TRA balance'!$C$5:$C$40,Assumptions!$C93,'TRA balance'!$D$5:$D$40,Assumptions!$B93)*CO93*AD93,"")</f>
        <v>0</v>
      </c>
      <c r="BK93" s="34">
        <f ca="1">IFERROR(SUMIFS('TRA balance'!AB$5:AB$40,'TRA balance'!$C$5:$C$40,Assumptions!$C93,'TRA balance'!$D$5:$D$40,Assumptions!$B93)*CP93*AE93,"")</f>
        <v>0</v>
      </c>
      <c r="BL93" s="34">
        <f ca="1">IFERROR(SUMIFS('TRA balance'!AC$5:AC$40,'TRA balance'!$C$5:$C$40,Assumptions!$C93,'TRA balance'!$D$5:$D$40,Assumptions!$B93)*CQ93*AF93,"")</f>
        <v>0</v>
      </c>
      <c r="BM93" s="34">
        <f ca="1">IFERROR(SUMIFS('TRA balance'!AD$5:AD$40,'TRA balance'!$C$5:$C$40,Assumptions!$C93,'TRA balance'!$D$5:$D$40,Assumptions!$B93)*CR93*AG93,"")</f>
        <v>0</v>
      </c>
      <c r="BN93" s="34">
        <f ca="1">IFERROR(SUMIFS('TRA balance'!AE$5:AE$40,'TRA balance'!$C$5:$C$40,Assumptions!$C93,'TRA balance'!$D$5:$D$40,Assumptions!$B93)*CS93*AH93,"")</f>
        <v>0</v>
      </c>
      <c r="BO93" s="34">
        <f ca="1">IFERROR(SUMIFS('TRA balance'!AF$5:AF$40,'TRA balance'!$C$5:$C$40,Assumptions!$C93,'TRA balance'!$D$5:$D$40,Assumptions!$B93)*CT93*AI93,"")</f>
        <v>0</v>
      </c>
      <c r="BP93" s="34">
        <f ca="1">IFERROR(SUMIFS('TRA balance'!AG$5:AG$40,'TRA balance'!$C$5:$C$40,Assumptions!$C93,'TRA balance'!$D$5:$D$40,Assumptions!$B93)*CU93*AJ93,"")</f>
        <v>0</v>
      </c>
      <c r="BQ93" s="34">
        <f ca="1">IFERROR(SUMIFS('TRA balance'!AH$5:AH$40,'TRA balance'!$C$5:$C$40,Assumptions!$C93,'TRA balance'!$D$5:$D$40,Assumptions!$B93)*CV93*AK93,"")</f>
        <v>0</v>
      </c>
      <c r="BS93" s="33">
        <f t="shared" ca="1" si="152"/>
        <v>0</v>
      </c>
      <c r="BT93" s="33">
        <f t="shared" ca="1" si="153"/>
        <v>0</v>
      </c>
      <c r="BU93" s="33">
        <f t="shared" ca="1" si="154"/>
        <v>0.5</v>
      </c>
      <c r="BV93" s="33">
        <f t="shared" ca="1" si="155"/>
        <v>0</v>
      </c>
      <c r="BW93" s="33">
        <f t="shared" ca="1" si="156"/>
        <v>1</v>
      </c>
      <c r="BX93" s="33">
        <f t="shared" ca="1" si="157"/>
        <v>1</v>
      </c>
      <c r="BY93" s="33">
        <f t="shared" ca="1" si="158"/>
        <v>1</v>
      </c>
      <c r="BZ93" s="33">
        <f t="shared" ca="1" si="159"/>
        <v>0.5</v>
      </c>
      <c r="CA93" s="33">
        <f t="shared" ca="1" si="160"/>
        <v>1</v>
      </c>
      <c r="CB93" s="33">
        <f t="shared" ca="1" si="161"/>
        <v>0.8</v>
      </c>
      <c r="CC93" s="33">
        <f t="shared" ca="1" si="162"/>
        <v>1</v>
      </c>
      <c r="CD93" s="33">
        <f t="shared" ca="1" si="163"/>
        <v>0</v>
      </c>
      <c r="CE93" s="33">
        <f t="shared" ca="1" si="164"/>
        <v>1</v>
      </c>
      <c r="CF93" s="33">
        <f t="shared" ca="1" si="165"/>
        <v>1</v>
      </c>
      <c r="CG93" s="33">
        <f t="shared" ca="1" si="166"/>
        <v>0</v>
      </c>
      <c r="CH93" s="33">
        <f t="shared" ca="1" si="167"/>
        <v>1</v>
      </c>
      <c r="CI93" s="33">
        <f t="shared" ca="1" si="168"/>
        <v>0</v>
      </c>
      <c r="CJ93" s="33">
        <f t="shared" ca="1" si="169"/>
        <v>1</v>
      </c>
      <c r="CK93" s="33">
        <f t="shared" ca="1" si="170"/>
        <v>1</v>
      </c>
      <c r="CL93" s="33">
        <f t="shared" ca="1" si="171"/>
        <v>0</v>
      </c>
      <c r="CM93" s="33">
        <f t="shared" ca="1" si="172"/>
        <v>0.5</v>
      </c>
      <c r="CN93" s="33">
        <f t="shared" ca="1" si="173"/>
        <v>0.5</v>
      </c>
      <c r="CO93" s="33">
        <f t="shared" ca="1" si="174"/>
        <v>0</v>
      </c>
      <c r="CP93" s="33">
        <f t="shared" ca="1" si="175"/>
        <v>1</v>
      </c>
      <c r="CQ93" s="33">
        <f t="shared" ca="1" si="176"/>
        <v>0</v>
      </c>
      <c r="CR93" s="33">
        <f t="shared" ca="1" si="177"/>
        <v>0</v>
      </c>
      <c r="CS93" s="33">
        <f t="shared" ca="1" si="178"/>
        <v>0</v>
      </c>
      <c r="CT93" s="33">
        <f t="shared" ca="1" si="179"/>
        <v>1</v>
      </c>
      <c r="CU93" s="33">
        <f t="shared" ca="1" si="180"/>
        <v>1</v>
      </c>
      <c r="CV93" s="33">
        <f t="shared" ca="1" si="181"/>
        <v>1</v>
      </c>
    </row>
    <row r="94" spans="1:100" x14ac:dyDescent="0.45">
      <c r="A94">
        <v>1</v>
      </c>
      <c r="B94" t="str">
        <f>VLOOKUP(F94,'TRA balance'!$AK$5:$AL$14,2,FALSE)</f>
        <v>TRAELC</v>
      </c>
      <c r="C94" s="6" t="str">
        <f t="shared" si="185"/>
        <v/>
      </c>
      <c r="D94" s="7"/>
      <c r="E94" s="19" t="s">
        <v>69</v>
      </c>
      <c r="F94" s="8" t="str">
        <f t="shared" si="217"/>
        <v>Electricity</v>
      </c>
      <c r="G94" s="6"/>
      <c r="H94" s="20" t="str">
        <f ca="1">IF(SUM(H90:H93)=1,"-","&lt;&gt;1!!")</f>
        <v>-</v>
      </c>
      <c r="I94" s="20" t="str">
        <f t="shared" ref="I94" ca="1" si="218">IF(SUM(I90:I93)=1,"-","&lt;&gt;1!!")</f>
        <v>-</v>
      </c>
      <c r="J94" s="20" t="str">
        <f t="shared" ref="J94" ca="1" si="219">IF(SUM(J90:J93)=1,"-","&lt;&gt;1!!")</f>
        <v>-</v>
      </c>
      <c r="K94" s="20" t="str">
        <f t="shared" ref="K94" ca="1" si="220">IF(SUM(K90:K93)=1,"-","&lt;&gt;1!!")</f>
        <v>-</v>
      </c>
      <c r="L94" s="20" t="str">
        <f t="shared" ref="L94" ca="1" si="221">IF(SUM(L90:L93)=1,"-","&lt;&gt;1!!")</f>
        <v>-</v>
      </c>
      <c r="M94" s="20" t="str">
        <f t="shared" ref="M94:X94" ca="1" si="222">IF(SUM(M90:M93)=1,"-","&lt;&gt;1!!")</f>
        <v>-</v>
      </c>
      <c r="N94" s="20" t="str">
        <f t="shared" ca="1" si="222"/>
        <v>-</v>
      </c>
      <c r="O94" s="20" t="str">
        <f t="shared" ca="1" si="222"/>
        <v>-</v>
      </c>
      <c r="P94" s="20" t="str">
        <f t="shared" ca="1" si="222"/>
        <v>-</v>
      </c>
      <c r="Q94" s="20" t="str">
        <f t="shared" ca="1" si="222"/>
        <v>-</v>
      </c>
      <c r="R94" s="20" t="str">
        <f t="shared" ca="1" si="222"/>
        <v>-</v>
      </c>
      <c r="S94" s="20" t="str">
        <f t="shared" ca="1" si="222"/>
        <v>-</v>
      </c>
      <c r="T94" s="20" t="str">
        <f t="shared" ca="1" si="222"/>
        <v>-</v>
      </c>
      <c r="U94" s="20" t="str">
        <f t="shared" ca="1" si="222"/>
        <v>-</v>
      </c>
      <c r="V94" s="20" t="str">
        <f t="shared" ca="1" si="222"/>
        <v>-</v>
      </c>
      <c r="W94" s="20" t="str">
        <f t="shared" ca="1" si="222"/>
        <v>-</v>
      </c>
      <c r="X94" s="20" t="str">
        <f t="shared" ca="1" si="222"/>
        <v>-</v>
      </c>
      <c r="Y94" s="20" t="str">
        <f t="shared" ref="Y94:Z94" ca="1" si="223">IF(SUM(Y90:Y93)=1,"-","&lt;&gt;1!!")</f>
        <v>-</v>
      </c>
      <c r="Z94" s="20" t="str">
        <f t="shared" ca="1" si="223"/>
        <v>-</v>
      </c>
      <c r="AA94" s="20" t="str">
        <f t="shared" ref="AA94:AK94" ca="1" si="224">IF(SUM(AA90:AA93)=1,"-","&lt;&gt;1!!")</f>
        <v>-</v>
      </c>
      <c r="AB94" s="20" t="str">
        <f t="shared" ca="1" si="224"/>
        <v>-</v>
      </c>
      <c r="AC94" s="20" t="str">
        <f t="shared" ca="1" si="224"/>
        <v>-</v>
      </c>
      <c r="AD94" s="20" t="str">
        <f t="shared" ca="1" si="224"/>
        <v>-</v>
      </c>
      <c r="AE94" s="20" t="str">
        <f t="shared" ca="1" si="224"/>
        <v>-</v>
      </c>
      <c r="AF94" s="20" t="str">
        <f t="shared" ca="1" si="224"/>
        <v>-</v>
      </c>
      <c r="AG94" s="20" t="str">
        <f t="shared" ca="1" si="224"/>
        <v>-</v>
      </c>
      <c r="AH94" s="20" t="str">
        <f t="shared" ca="1" si="224"/>
        <v>-</v>
      </c>
      <c r="AI94" s="20" t="str">
        <f t="shared" ca="1" si="224"/>
        <v>-</v>
      </c>
      <c r="AJ94" s="20" t="str">
        <f t="shared" ca="1" si="224"/>
        <v>-</v>
      </c>
      <c r="AK94" s="20" t="str">
        <f t="shared" ca="1" si="224"/>
        <v>-</v>
      </c>
      <c r="AN94" s="34" t="str">
        <f ca="1">IFERROR(SUMIFS('TRA balance'!E$5:E$40,'TRA balance'!$C$5:$C$40,Assumptions!$C94,'TRA balance'!$D$5:$D$40,Assumptions!$B94)*BS94*H94,"")</f>
        <v/>
      </c>
      <c r="AO94" s="34" t="str">
        <f ca="1">IFERROR(SUMIFS('TRA balance'!F$5:F$40,'TRA balance'!$C$5:$C$40,Assumptions!$C94,'TRA balance'!$D$5:$D$40,Assumptions!$B94)*BT94*I94,"")</f>
        <v/>
      </c>
      <c r="AP94" s="34" t="str">
        <f ca="1">IFERROR(SUMIFS('TRA balance'!G$5:G$40,'TRA balance'!$C$5:$C$40,Assumptions!$C94,'TRA balance'!$D$5:$D$40,Assumptions!$B94)*BU94*J94,"")</f>
        <v/>
      </c>
      <c r="AQ94" s="34" t="str">
        <f ca="1">IFERROR(SUMIFS('TRA balance'!H$5:H$40,'TRA balance'!$C$5:$C$40,Assumptions!$C94,'TRA balance'!$D$5:$D$40,Assumptions!$B94)*BV94*K94,"")</f>
        <v/>
      </c>
      <c r="AR94" s="34" t="str">
        <f ca="1">IFERROR(SUMIFS('TRA balance'!I$5:I$40,'TRA balance'!$C$5:$C$40,Assumptions!$C94,'TRA balance'!$D$5:$D$40,Assumptions!$B94)*BW94*L94,"")</f>
        <v/>
      </c>
      <c r="AS94" s="34" t="str">
        <f ca="1">IFERROR(SUMIFS('TRA balance'!J$5:J$40,'TRA balance'!$C$5:$C$40,Assumptions!$C94,'TRA balance'!$D$5:$D$40,Assumptions!$B94)*BX94*M94,"")</f>
        <v/>
      </c>
      <c r="AT94" s="34" t="str">
        <f ca="1">IFERROR(SUMIFS('TRA balance'!K$5:K$40,'TRA balance'!$C$5:$C$40,Assumptions!$C94,'TRA balance'!$D$5:$D$40,Assumptions!$B94)*BY94*N94,"")</f>
        <v/>
      </c>
      <c r="AU94" s="34" t="str">
        <f ca="1">IFERROR(SUMIFS('TRA balance'!L$5:L$40,'TRA balance'!$C$5:$C$40,Assumptions!$C94,'TRA balance'!$D$5:$D$40,Assumptions!$B94)*BZ94*O94,"")</f>
        <v/>
      </c>
      <c r="AV94" s="34" t="str">
        <f ca="1">IFERROR(SUMIFS('TRA balance'!M$5:M$40,'TRA balance'!$C$5:$C$40,Assumptions!$C94,'TRA balance'!$D$5:$D$40,Assumptions!$B94)*CA94*P94,"")</f>
        <v/>
      </c>
      <c r="AW94" s="34" t="str">
        <f ca="1">IFERROR(SUMIFS('TRA balance'!N$5:N$40,'TRA balance'!$C$5:$C$40,Assumptions!$C94,'TRA balance'!$D$5:$D$40,Assumptions!$B94)*CB94*Q94,"")</f>
        <v/>
      </c>
      <c r="AX94" s="34" t="str">
        <f ca="1">IFERROR(SUMIFS('TRA balance'!O$5:O$40,'TRA balance'!$C$5:$C$40,Assumptions!$C94,'TRA balance'!$D$5:$D$40,Assumptions!$B94)*CC94*R94,"")</f>
        <v/>
      </c>
      <c r="AY94" s="34" t="str">
        <f ca="1">IFERROR(SUMIFS('TRA balance'!P$5:P$40,'TRA balance'!$C$5:$C$40,Assumptions!$C94,'TRA balance'!$D$5:$D$40,Assumptions!$B94)*CD94*S94,"")</f>
        <v/>
      </c>
      <c r="AZ94" s="34" t="str">
        <f ca="1">IFERROR(SUMIFS('TRA balance'!Q$5:Q$40,'TRA balance'!$C$5:$C$40,Assumptions!$C94,'TRA balance'!$D$5:$D$40,Assumptions!$B94)*CE94*T94,"")</f>
        <v/>
      </c>
      <c r="BA94" s="34" t="str">
        <f ca="1">IFERROR(SUMIFS('TRA balance'!R$5:R$40,'TRA balance'!$C$5:$C$40,Assumptions!$C94,'TRA balance'!$D$5:$D$40,Assumptions!$B94)*CF94*U94,"")</f>
        <v/>
      </c>
      <c r="BB94" s="34" t="str">
        <f ca="1">IFERROR(SUMIFS('TRA balance'!S$5:S$40,'TRA balance'!$C$5:$C$40,Assumptions!$C94,'TRA balance'!$D$5:$D$40,Assumptions!$B94)*CG94*V94,"")</f>
        <v/>
      </c>
      <c r="BC94" s="34" t="str">
        <f ca="1">IFERROR(SUMIFS('TRA balance'!T$5:T$40,'TRA balance'!$C$5:$C$40,Assumptions!$C94,'TRA balance'!$D$5:$D$40,Assumptions!$B94)*CH94*W94,"")</f>
        <v/>
      </c>
      <c r="BD94" s="34" t="str">
        <f ca="1">IFERROR(SUMIFS('TRA balance'!U$5:U$40,'TRA balance'!$C$5:$C$40,Assumptions!$C94,'TRA balance'!$D$5:$D$40,Assumptions!$B94)*CI94*X94,"")</f>
        <v/>
      </c>
      <c r="BE94" s="34" t="str">
        <f ca="1">IFERROR(SUMIFS('TRA balance'!V$5:V$40,'TRA balance'!$C$5:$C$40,Assumptions!$C94,'TRA balance'!$D$5:$D$40,Assumptions!$B94)*CJ94*Y94,"")</f>
        <v/>
      </c>
      <c r="BF94" s="34" t="str">
        <f ca="1">IFERROR(SUMIFS('TRA balance'!W$5:W$40,'TRA balance'!$C$5:$C$40,Assumptions!$C94,'TRA balance'!$D$5:$D$40,Assumptions!$B94)*CK94*Z94,"")</f>
        <v/>
      </c>
      <c r="BG94" s="34" t="str">
        <f ca="1">IFERROR(SUMIFS('TRA balance'!X$5:X$40,'TRA balance'!$C$5:$C$40,Assumptions!$C94,'TRA balance'!$D$5:$D$40,Assumptions!$B94)*CL94*AA94,"")</f>
        <v/>
      </c>
      <c r="BH94" s="34" t="str">
        <f ca="1">IFERROR(SUMIFS('TRA balance'!Y$5:Y$40,'TRA balance'!$C$5:$C$40,Assumptions!$C94,'TRA balance'!$D$5:$D$40,Assumptions!$B94)*CM94*AB94,"")</f>
        <v/>
      </c>
      <c r="BI94" s="34" t="str">
        <f ca="1">IFERROR(SUMIFS('TRA balance'!Z$5:Z$40,'TRA balance'!$C$5:$C$40,Assumptions!$C94,'TRA balance'!$D$5:$D$40,Assumptions!$B94)*CN94*AC94,"")</f>
        <v/>
      </c>
      <c r="BJ94" s="34" t="str">
        <f ca="1">IFERROR(SUMIFS('TRA balance'!AA$5:AA$40,'TRA balance'!$C$5:$C$40,Assumptions!$C94,'TRA balance'!$D$5:$D$40,Assumptions!$B94)*CO94*AD94,"")</f>
        <v/>
      </c>
      <c r="BK94" s="34" t="str">
        <f ca="1">IFERROR(SUMIFS('TRA balance'!AB$5:AB$40,'TRA balance'!$C$5:$C$40,Assumptions!$C94,'TRA balance'!$D$5:$D$40,Assumptions!$B94)*CP94*AE94,"")</f>
        <v/>
      </c>
      <c r="BL94" s="34" t="str">
        <f ca="1">IFERROR(SUMIFS('TRA balance'!AC$5:AC$40,'TRA balance'!$C$5:$C$40,Assumptions!$C94,'TRA balance'!$D$5:$D$40,Assumptions!$B94)*CQ94*AF94,"")</f>
        <v/>
      </c>
      <c r="BM94" s="34" t="str">
        <f ca="1">IFERROR(SUMIFS('TRA balance'!AD$5:AD$40,'TRA balance'!$C$5:$C$40,Assumptions!$C94,'TRA balance'!$D$5:$D$40,Assumptions!$B94)*CR94*AG94,"")</f>
        <v/>
      </c>
      <c r="BN94" s="34" t="str">
        <f ca="1">IFERROR(SUMIFS('TRA balance'!AE$5:AE$40,'TRA balance'!$C$5:$C$40,Assumptions!$C94,'TRA balance'!$D$5:$D$40,Assumptions!$B94)*CS94*AH94,"")</f>
        <v/>
      </c>
      <c r="BO94" s="34" t="str">
        <f ca="1">IFERROR(SUMIFS('TRA balance'!AF$5:AF$40,'TRA balance'!$C$5:$C$40,Assumptions!$C94,'TRA balance'!$D$5:$D$40,Assumptions!$B94)*CT94*AI94,"")</f>
        <v/>
      </c>
      <c r="BP94" s="34" t="str">
        <f ca="1">IFERROR(SUMIFS('TRA balance'!AG$5:AG$40,'TRA balance'!$C$5:$C$40,Assumptions!$C94,'TRA balance'!$D$5:$D$40,Assumptions!$B94)*CU94*AJ94,"")</f>
        <v/>
      </c>
      <c r="BQ94" s="34" t="str">
        <f ca="1">IFERROR(SUMIFS('TRA balance'!AH$5:AH$40,'TRA balance'!$C$5:$C$40,Assumptions!$C94,'TRA balance'!$D$5:$D$40,Assumptions!$B94)*CV94*AK94,"")</f>
        <v/>
      </c>
      <c r="BS94" s="33">
        <f t="shared" si="152"/>
        <v>1</v>
      </c>
      <c r="BT94" s="33">
        <f t="shared" si="153"/>
        <v>1</v>
      </c>
      <c r="BU94" s="33">
        <f t="shared" si="154"/>
        <v>1</v>
      </c>
      <c r="BV94" s="33">
        <f t="shared" si="155"/>
        <v>1</v>
      </c>
      <c r="BW94" s="33">
        <f t="shared" si="156"/>
        <v>1</v>
      </c>
      <c r="BX94" s="33">
        <f t="shared" si="157"/>
        <v>1</v>
      </c>
      <c r="BY94" s="33">
        <f t="shared" si="158"/>
        <v>1</v>
      </c>
      <c r="BZ94" s="33">
        <f t="shared" si="159"/>
        <v>1</v>
      </c>
      <c r="CA94" s="33">
        <f t="shared" si="160"/>
        <v>1</v>
      </c>
      <c r="CB94" s="33">
        <f t="shared" si="161"/>
        <v>1</v>
      </c>
      <c r="CC94" s="33">
        <f t="shared" si="162"/>
        <v>1</v>
      </c>
      <c r="CD94" s="33">
        <f t="shared" si="163"/>
        <v>1</v>
      </c>
      <c r="CE94" s="33">
        <f t="shared" si="164"/>
        <v>1</v>
      </c>
      <c r="CF94" s="33">
        <f t="shared" si="165"/>
        <v>1</v>
      </c>
      <c r="CG94" s="33">
        <f t="shared" si="166"/>
        <v>1</v>
      </c>
      <c r="CH94" s="33">
        <f t="shared" si="167"/>
        <v>1</v>
      </c>
      <c r="CI94" s="33">
        <f t="shared" si="168"/>
        <v>1</v>
      </c>
      <c r="CJ94" s="33">
        <f t="shared" si="169"/>
        <v>1</v>
      </c>
      <c r="CK94" s="33">
        <f t="shared" si="170"/>
        <v>1</v>
      </c>
      <c r="CL94" s="33">
        <f t="shared" si="171"/>
        <v>1</v>
      </c>
      <c r="CM94" s="33">
        <f t="shared" si="172"/>
        <v>1</v>
      </c>
      <c r="CN94" s="33">
        <f t="shared" si="173"/>
        <v>1</v>
      </c>
      <c r="CO94" s="33">
        <f t="shared" si="174"/>
        <v>1</v>
      </c>
      <c r="CP94" s="33">
        <f t="shared" si="175"/>
        <v>1</v>
      </c>
      <c r="CQ94" s="33">
        <f t="shared" si="176"/>
        <v>1</v>
      </c>
      <c r="CR94" s="33">
        <f t="shared" si="177"/>
        <v>1</v>
      </c>
      <c r="CS94" s="33">
        <f t="shared" si="178"/>
        <v>1</v>
      </c>
      <c r="CT94" s="33">
        <f t="shared" si="179"/>
        <v>1</v>
      </c>
      <c r="CU94" s="33">
        <f t="shared" si="180"/>
        <v>1</v>
      </c>
      <c r="CV94" s="33">
        <f t="shared" si="181"/>
        <v>1</v>
      </c>
    </row>
    <row r="95" spans="1:100" x14ac:dyDescent="0.45">
      <c r="A95">
        <v>1</v>
      </c>
      <c r="B95" t="str">
        <f>VLOOKUP(F95,'TRA balance'!$AK$5:$AL$14,2,FALSE)</f>
        <v>TRAELC</v>
      </c>
      <c r="C95" s="14">
        <v>2</v>
      </c>
      <c r="D95" s="15" t="s">
        <v>16</v>
      </c>
      <c r="E95" s="15" t="s">
        <v>70</v>
      </c>
      <c r="F95" s="16" t="str">
        <f>F94</f>
        <v>Electricity</v>
      </c>
      <c r="G95" s="14"/>
      <c r="H95" s="21">
        <f ca="1">1-H89</f>
        <v>1</v>
      </c>
      <c r="I95" s="21">
        <f t="shared" ref="I95:X95" ca="1" si="225">1-I89</f>
        <v>1</v>
      </c>
      <c r="J95" s="21">
        <f t="shared" ca="1" si="225"/>
        <v>0.5</v>
      </c>
      <c r="K95" s="21">
        <f t="shared" ca="1" si="225"/>
        <v>1</v>
      </c>
      <c r="L95" s="21">
        <f t="shared" ca="1" si="225"/>
        <v>0</v>
      </c>
      <c r="M95" s="21">
        <f t="shared" ca="1" si="225"/>
        <v>0</v>
      </c>
      <c r="N95" s="21">
        <f t="shared" ca="1" si="225"/>
        <v>0</v>
      </c>
      <c r="O95" s="21">
        <f t="shared" ca="1" si="225"/>
        <v>0.5</v>
      </c>
      <c r="P95" s="21">
        <f t="shared" ca="1" si="225"/>
        <v>0</v>
      </c>
      <c r="Q95" s="21">
        <f t="shared" ca="1" si="225"/>
        <v>0.19999999999999996</v>
      </c>
      <c r="R95" s="21">
        <f t="shared" ca="1" si="225"/>
        <v>0</v>
      </c>
      <c r="S95" s="21">
        <f t="shared" ca="1" si="225"/>
        <v>1</v>
      </c>
      <c r="T95" s="21">
        <f t="shared" ca="1" si="225"/>
        <v>0</v>
      </c>
      <c r="U95" s="21">
        <f t="shared" ca="1" si="225"/>
        <v>0</v>
      </c>
      <c r="V95" s="21">
        <f t="shared" ca="1" si="225"/>
        <v>1</v>
      </c>
      <c r="W95" s="21">
        <f t="shared" ca="1" si="225"/>
        <v>0</v>
      </c>
      <c r="X95" s="21">
        <f t="shared" ca="1" si="225"/>
        <v>1</v>
      </c>
      <c r="Y95" s="21">
        <f t="shared" ref="Y95:Z95" ca="1" si="226">1-Y89</f>
        <v>0</v>
      </c>
      <c r="Z95" s="21">
        <f t="shared" ca="1" si="226"/>
        <v>0</v>
      </c>
      <c r="AA95" s="21">
        <f t="shared" ref="AA95:AK95" ca="1" si="227">1-AA89</f>
        <v>1</v>
      </c>
      <c r="AB95" s="21">
        <f t="shared" ca="1" si="227"/>
        <v>0.5</v>
      </c>
      <c r="AC95" s="21">
        <f t="shared" ca="1" si="227"/>
        <v>0.5</v>
      </c>
      <c r="AD95" s="21">
        <f t="shared" ca="1" si="227"/>
        <v>1</v>
      </c>
      <c r="AE95" s="21">
        <f t="shared" ca="1" si="227"/>
        <v>0</v>
      </c>
      <c r="AF95" s="21">
        <f t="shared" ca="1" si="227"/>
        <v>1</v>
      </c>
      <c r="AG95" s="21">
        <f t="shared" ca="1" si="227"/>
        <v>1</v>
      </c>
      <c r="AH95" s="21">
        <f t="shared" ca="1" si="227"/>
        <v>1</v>
      </c>
      <c r="AI95" s="21">
        <f t="shared" ca="1" si="227"/>
        <v>0</v>
      </c>
      <c r="AJ95" s="21">
        <f t="shared" ca="1" si="227"/>
        <v>0</v>
      </c>
      <c r="AK95" s="21">
        <f t="shared" ca="1" si="227"/>
        <v>0</v>
      </c>
      <c r="AN95" s="34">
        <f ca="1">IFERROR(SUMIFS('TRA balance'!E$5:E$40,'TRA balance'!$C$5:$C$40,Assumptions!$C95,'TRA balance'!$D$5:$D$40,Assumptions!$B95)*BS95*H95,"")</f>
        <v>0</v>
      </c>
      <c r="AO95" s="34">
        <f ca="1">IFERROR(SUMIFS('TRA balance'!F$5:F$40,'TRA balance'!$C$5:$C$40,Assumptions!$C95,'TRA balance'!$D$5:$D$40,Assumptions!$B95)*BT95*I95,"")</f>
        <v>0</v>
      </c>
      <c r="AP95" s="34">
        <f ca="1">IFERROR(SUMIFS('TRA balance'!G$5:G$40,'TRA balance'!$C$5:$C$40,Assumptions!$C95,'TRA balance'!$D$5:$D$40,Assumptions!$B95)*BU95*J95,"")</f>
        <v>0</v>
      </c>
      <c r="AQ95" s="34">
        <f ca="1">IFERROR(SUMIFS('TRA balance'!H$5:H$40,'TRA balance'!$C$5:$C$40,Assumptions!$C95,'TRA balance'!$D$5:$D$40,Assumptions!$B95)*BV95*K95,"")</f>
        <v>0</v>
      </c>
      <c r="AR95" s="34">
        <f ca="1">IFERROR(SUMIFS('TRA balance'!I$5:I$40,'TRA balance'!$C$5:$C$40,Assumptions!$C95,'TRA balance'!$D$5:$D$40,Assumptions!$B95)*BW95*L95,"")</f>
        <v>0</v>
      </c>
      <c r="AS95" s="34">
        <f ca="1">IFERROR(SUMIFS('TRA balance'!J$5:J$40,'TRA balance'!$C$5:$C$40,Assumptions!$C95,'TRA balance'!$D$5:$D$40,Assumptions!$B95)*BX95*M95,"")</f>
        <v>0</v>
      </c>
      <c r="AT95" s="34">
        <f ca="1">IFERROR(SUMIFS('TRA balance'!K$5:K$40,'TRA balance'!$C$5:$C$40,Assumptions!$C95,'TRA balance'!$D$5:$D$40,Assumptions!$B95)*BY95*N95,"")</f>
        <v>0</v>
      </c>
      <c r="AU95" s="34">
        <f ca="1">IFERROR(SUMIFS('TRA balance'!L$5:L$40,'TRA balance'!$C$5:$C$40,Assumptions!$C95,'TRA balance'!$D$5:$D$40,Assumptions!$B95)*BZ95*O95,"")</f>
        <v>0</v>
      </c>
      <c r="AV95" s="34">
        <f ca="1">IFERROR(SUMIFS('TRA balance'!M$5:M$40,'TRA balance'!$C$5:$C$40,Assumptions!$C95,'TRA balance'!$D$5:$D$40,Assumptions!$B95)*CA95*P95,"")</f>
        <v>0</v>
      </c>
      <c r="AW95" s="34">
        <f ca="1">IFERROR(SUMIFS('TRA balance'!N$5:N$40,'TRA balance'!$C$5:$C$40,Assumptions!$C95,'TRA balance'!$D$5:$D$40,Assumptions!$B95)*CB95*Q95,"")</f>
        <v>0</v>
      </c>
      <c r="AX95" s="34">
        <f ca="1">IFERROR(SUMIFS('TRA balance'!O$5:O$40,'TRA balance'!$C$5:$C$40,Assumptions!$C95,'TRA balance'!$D$5:$D$40,Assumptions!$B95)*CC95*R95,"")</f>
        <v>0</v>
      </c>
      <c r="AY95" s="34">
        <f ca="1">IFERROR(SUMIFS('TRA balance'!P$5:P$40,'TRA balance'!$C$5:$C$40,Assumptions!$C95,'TRA balance'!$D$5:$D$40,Assumptions!$B95)*CD95*S95,"")</f>
        <v>0</v>
      </c>
      <c r="AZ95" s="34">
        <f ca="1">IFERROR(SUMIFS('TRA balance'!Q$5:Q$40,'TRA balance'!$C$5:$C$40,Assumptions!$C95,'TRA balance'!$D$5:$D$40,Assumptions!$B95)*CE95*T95,"")</f>
        <v>0</v>
      </c>
      <c r="BA95" s="34">
        <f ca="1">IFERROR(SUMIFS('TRA balance'!R$5:R$40,'TRA balance'!$C$5:$C$40,Assumptions!$C95,'TRA balance'!$D$5:$D$40,Assumptions!$B95)*CF95*U95,"")</f>
        <v>0</v>
      </c>
      <c r="BB95" s="34">
        <f ca="1">IFERROR(SUMIFS('TRA balance'!S$5:S$40,'TRA balance'!$C$5:$C$40,Assumptions!$C95,'TRA balance'!$D$5:$D$40,Assumptions!$B95)*CG95*V95,"")</f>
        <v>0</v>
      </c>
      <c r="BC95" s="34">
        <f ca="1">IFERROR(SUMIFS('TRA balance'!T$5:T$40,'TRA balance'!$C$5:$C$40,Assumptions!$C95,'TRA balance'!$D$5:$D$40,Assumptions!$B95)*CH95*W95,"")</f>
        <v>0</v>
      </c>
      <c r="BD95" s="34">
        <f ca="1">IFERROR(SUMIFS('TRA balance'!U$5:U$40,'TRA balance'!$C$5:$C$40,Assumptions!$C95,'TRA balance'!$D$5:$D$40,Assumptions!$B95)*CI95*X95,"")</f>
        <v>0</v>
      </c>
      <c r="BE95" s="34">
        <f ca="1">IFERROR(SUMIFS('TRA balance'!V$5:V$40,'TRA balance'!$C$5:$C$40,Assumptions!$C95,'TRA balance'!$D$5:$D$40,Assumptions!$B95)*CJ95*Y95,"")</f>
        <v>0</v>
      </c>
      <c r="BF95" s="34">
        <f ca="1">IFERROR(SUMIFS('TRA balance'!W$5:W$40,'TRA balance'!$C$5:$C$40,Assumptions!$C95,'TRA balance'!$D$5:$D$40,Assumptions!$B95)*CK95*Z95,"")</f>
        <v>0</v>
      </c>
      <c r="BG95" s="34">
        <f ca="1">IFERROR(SUMIFS('TRA balance'!X$5:X$40,'TRA balance'!$C$5:$C$40,Assumptions!$C95,'TRA balance'!$D$5:$D$40,Assumptions!$B95)*CL95*AA95,"")</f>
        <v>0</v>
      </c>
      <c r="BH95" s="34">
        <f ca="1">IFERROR(SUMIFS('TRA balance'!Y$5:Y$40,'TRA balance'!$C$5:$C$40,Assumptions!$C95,'TRA balance'!$D$5:$D$40,Assumptions!$B95)*CM95*AB95,"")</f>
        <v>0</v>
      </c>
      <c r="BI95" s="34">
        <f ca="1">IFERROR(SUMIFS('TRA balance'!Z$5:Z$40,'TRA balance'!$C$5:$C$40,Assumptions!$C95,'TRA balance'!$D$5:$D$40,Assumptions!$B95)*CN95*AC95,"")</f>
        <v>0</v>
      </c>
      <c r="BJ95" s="34">
        <f ca="1">IFERROR(SUMIFS('TRA balance'!AA$5:AA$40,'TRA balance'!$C$5:$C$40,Assumptions!$C95,'TRA balance'!$D$5:$D$40,Assumptions!$B95)*CO95*AD95,"")</f>
        <v>0</v>
      </c>
      <c r="BK95" s="34">
        <f ca="1">IFERROR(SUMIFS('TRA balance'!AB$5:AB$40,'TRA balance'!$C$5:$C$40,Assumptions!$C95,'TRA balance'!$D$5:$D$40,Assumptions!$B95)*CP95*AE95,"")</f>
        <v>0</v>
      </c>
      <c r="BL95" s="34">
        <f ca="1">IFERROR(SUMIFS('TRA balance'!AC$5:AC$40,'TRA balance'!$C$5:$C$40,Assumptions!$C95,'TRA balance'!$D$5:$D$40,Assumptions!$B95)*CQ95*AF95,"")</f>
        <v>0</v>
      </c>
      <c r="BM95" s="34">
        <f ca="1">IFERROR(SUMIFS('TRA balance'!AD$5:AD$40,'TRA balance'!$C$5:$C$40,Assumptions!$C95,'TRA balance'!$D$5:$D$40,Assumptions!$B95)*CR95*AG95,"")</f>
        <v>0</v>
      </c>
      <c r="BN95" s="34">
        <f ca="1">IFERROR(SUMIFS('TRA balance'!AE$5:AE$40,'TRA balance'!$C$5:$C$40,Assumptions!$C95,'TRA balance'!$D$5:$D$40,Assumptions!$B95)*CS95*AH95,"")</f>
        <v>0</v>
      </c>
      <c r="BO95" s="34">
        <f ca="1">IFERROR(SUMIFS('TRA balance'!AF$5:AF$40,'TRA balance'!$C$5:$C$40,Assumptions!$C95,'TRA balance'!$D$5:$D$40,Assumptions!$B95)*CT95*AI95,"")</f>
        <v>0</v>
      </c>
      <c r="BP95" s="34">
        <f ca="1">IFERROR(SUMIFS('TRA balance'!AG$5:AG$40,'TRA balance'!$C$5:$C$40,Assumptions!$C95,'TRA balance'!$D$5:$D$40,Assumptions!$B95)*CU95*AJ95,"")</f>
        <v>0</v>
      </c>
      <c r="BQ95" s="34">
        <f ca="1">IFERROR(SUMIFS('TRA balance'!AH$5:AH$40,'TRA balance'!$C$5:$C$40,Assumptions!$C95,'TRA balance'!$D$5:$D$40,Assumptions!$B95)*CV95*AK95,"")</f>
        <v>0</v>
      </c>
      <c r="BS95" s="33">
        <f t="shared" si="152"/>
        <v>1</v>
      </c>
      <c r="BT95" s="33">
        <f t="shared" si="153"/>
        <v>1</v>
      </c>
      <c r="BU95" s="33">
        <f t="shared" si="154"/>
        <v>1</v>
      </c>
      <c r="BV95" s="33">
        <f t="shared" si="155"/>
        <v>1</v>
      </c>
      <c r="BW95" s="33">
        <f t="shared" si="156"/>
        <v>1</v>
      </c>
      <c r="BX95" s="33">
        <f t="shared" si="157"/>
        <v>1</v>
      </c>
      <c r="BY95" s="33">
        <f t="shared" si="158"/>
        <v>1</v>
      </c>
      <c r="BZ95" s="33">
        <f t="shared" si="159"/>
        <v>1</v>
      </c>
      <c r="CA95" s="33">
        <f t="shared" si="160"/>
        <v>1</v>
      </c>
      <c r="CB95" s="33">
        <f t="shared" si="161"/>
        <v>1</v>
      </c>
      <c r="CC95" s="33">
        <f t="shared" si="162"/>
        <v>1</v>
      </c>
      <c r="CD95" s="33">
        <f t="shared" si="163"/>
        <v>1</v>
      </c>
      <c r="CE95" s="33">
        <f t="shared" si="164"/>
        <v>1</v>
      </c>
      <c r="CF95" s="33">
        <f t="shared" si="165"/>
        <v>1</v>
      </c>
      <c r="CG95" s="33">
        <f t="shared" si="166"/>
        <v>1</v>
      </c>
      <c r="CH95" s="33">
        <f t="shared" si="167"/>
        <v>1</v>
      </c>
      <c r="CI95" s="33">
        <f t="shared" si="168"/>
        <v>1</v>
      </c>
      <c r="CJ95" s="33">
        <f t="shared" si="169"/>
        <v>1</v>
      </c>
      <c r="CK95" s="33">
        <f t="shared" si="170"/>
        <v>1</v>
      </c>
      <c r="CL95" s="33">
        <f t="shared" si="171"/>
        <v>1</v>
      </c>
      <c r="CM95" s="33">
        <f t="shared" si="172"/>
        <v>1</v>
      </c>
      <c r="CN95" s="33">
        <f t="shared" si="173"/>
        <v>1</v>
      </c>
      <c r="CO95" s="33">
        <f t="shared" si="174"/>
        <v>1</v>
      </c>
      <c r="CP95" s="33">
        <f t="shared" si="175"/>
        <v>1</v>
      </c>
      <c r="CQ95" s="33">
        <f t="shared" si="176"/>
        <v>1</v>
      </c>
      <c r="CR95" s="33">
        <f t="shared" si="177"/>
        <v>1</v>
      </c>
      <c r="CS95" s="33">
        <f t="shared" si="178"/>
        <v>1</v>
      </c>
      <c r="CT95" s="33">
        <f t="shared" si="179"/>
        <v>1</v>
      </c>
      <c r="CU95" s="33">
        <f t="shared" si="180"/>
        <v>1</v>
      </c>
      <c r="CV95" s="33">
        <f t="shared" si="181"/>
        <v>1</v>
      </c>
    </row>
    <row r="96" spans="1:100" x14ac:dyDescent="0.45">
      <c r="A96">
        <v>2</v>
      </c>
      <c r="B96" t="str">
        <f>VLOOKUP(F96,'TRA balance'!$AK$5:$AL$14,2,FALSE)</f>
        <v>TRAELC</v>
      </c>
      <c r="C96" s="6" t="str">
        <f t="shared" si="185"/>
        <v>TR</v>
      </c>
      <c r="D96" s="7" t="s">
        <v>16</v>
      </c>
      <c r="E96" s="18" t="s">
        <v>71</v>
      </c>
      <c r="F96" s="8" t="str">
        <f>F95</f>
        <v>Electricity</v>
      </c>
      <c r="G96" s="6" t="s">
        <v>72</v>
      </c>
      <c r="H96" s="9">
        <f ca="1">OFFSET(TIAM15_assumptions!$G96,0,MATCH(VLOOKUP(Assumptions!H$2,TIAM15_assumptions!$Y$3:$Z$36,2,FALSE),TIAM15_assumptions!$H$2:$V$2,0))</f>
        <v>1</v>
      </c>
      <c r="I96" s="9">
        <f ca="1">OFFSET(TIAM15_assumptions!$G96,0,MATCH(VLOOKUP(Assumptions!I$2,TIAM15_assumptions!$Y$3:$Z$36,2,FALSE),TIAM15_assumptions!$H$2:$V$2,0))</f>
        <v>1</v>
      </c>
      <c r="J96" s="9">
        <f ca="1">OFFSET(TIAM15_assumptions!$G96,0,MATCH(VLOOKUP(Assumptions!J$2,TIAM15_assumptions!$Y$3:$Z$36,2,FALSE),TIAM15_assumptions!$H$2:$V$2,0))</f>
        <v>1</v>
      </c>
      <c r="K96" s="9">
        <f ca="1">OFFSET(TIAM15_assumptions!$G96,0,MATCH(VLOOKUP(Assumptions!K$2,TIAM15_assumptions!$Y$3:$Z$36,2,FALSE),TIAM15_assumptions!$H$2:$V$2,0))</f>
        <v>1</v>
      </c>
      <c r="L96" s="9">
        <f ca="1">OFFSET(TIAM15_assumptions!$G96,0,MATCH(VLOOKUP(Assumptions!L$2,TIAM15_assumptions!$Y$3:$Z$36,2,FALSE),TIAM15_assumptions!$H$2:$V$2,0))</f>
        <v>1</v>
      </c>
      <c r="M96" s="9">
        <f ca="1">OFFSET(TIAM15_assumptions!$G96,0,MATCH(VLOOKUP(Assumptions!M$2,TIAM15_assumptions!$Y$3:$Z$36,2,FALSE),TIAM15_assumptions!$H$2:$V$2,0))</f>
        <v>1</v>
      </c>
      <c r="N96" s="9">
        <f ca="1">OFFSET(TIAM15_assumptions!$G96,0,MATCH(VLOOKUP(Assumptions!N$2,TIAM15_assumptions!$Y$3:$Z$36,2,FALSE),TIAM15_assumptions!$H$2:$V$2,0))</f>
        <v>1</v>
      </c>
      <c r="O96" s="9">
        <f ca="1">OFFSET(TIAM15_assumptions!$G96,0,MATCH(VLOOKUP(Assumptions!O$2,TIAM15_assumptions!$Y$3:$Z$36,2,FALSE),TIAM15_assumptions!$H$2:$V$2,0))</f>
        <v>1</v>
      </c>
      <c r="P96" s="9">
        <f ca="1">OFFSET(TIAM15_assumptions!$G96,0,MATCH(VLOOKUP(Assumptions!P$2,TIAM15_assumptions!$Y$3:$Z$36,2,FALSE),TIAM15_assumptions!$H$2:$V$2,0))</f>
        <v>1</v>
      </c>
      <c r="Q96" s="9">
        <f ca="1">OFFSET(TIAM15_assumptions!$G96,0,MATCH(VLOOKUP(Assumptions!Q$2,TIAM15_assumptions!$Y$3:$Z$36,2,FALSE),TIAM15_assumptions!$H$2:$V$2,0))</f>
        <v>0.5</v>
      </c>
      <c r="R96" s="9">
        <f ca="1">OFFSET(TIAM15_assumptions!$G96,0,MATCH(VLOOKUP(Assumptions!R$2,TIAM15_assumptions!$Y$3:$Z$36,2,FALSE),TIAM15_assumptions!$H$2:$V$2,0))</f>
        <v>1</v>
      </c>
      <c r="S96" s="9">
        <f ca="1">OFFSET(TIAM15_assumptions!$G96,0,MATCH(VLOOKUP(Assumptions!S$2,TIAM15_assumptions!$Y$3:$Z$36,2,FALSE),TIAM15_assumptions!$H$2:$V$2,0))</f>
        <v>1</v>
      </c>
      <c r="T96" s="9">
        <f ca="1">OFFSET(TIAM15_assumptions!$G96,0,MATCH(VLOOKUP(Assumptions!T$2,TIAM15_assumptions!$Y$3:$Z$36,2,FALSE),TIAM15_assumptions!$H$2:$V$2,0))</f>
        <v>1</v>
      </c>
      <c r="U96" s="9">
        <f ca="1">OFFSET(TIAM15_assumptions!$G96,0,MATCH(VLOOKUP(Assumptions!U$2,TIAM15_assumptions!$Y$3:$Z$36,2,FALSE),TIAM15_assumptions!$H$2:$V$2,0))</f>
        <v>1</v>
      </c>
      <c r="V96" s="9">
        <f ca="1">OFFSET(TIAM15_assumptions!$G96,0,MATCH(VLOOKUP(Assumptions!V$2,TIAM15_assumptions!$Y$3:$Z$36,2,FALSE),TIAM15_assumptions!$H$2:$V$2,0))</f>
        <v>1</v>
      </c>
      <c r="W96" s="9">
        <f ca="1">OFFSET(TIAM15_assumptions!$G96,0,MATCH(VLOOKUP(Assumptions!W$2,TIAM15_assumptions!$Y$3:$Z$36,2,FALSE),TIAM15_assumptions!$H$2:$V$2,0))</f>
        <v>1</v>
      </c>
      <c r="X96" s="9">
        <f ca="1">OFFSET(TIAM15_assumptions!$G96,0,MATCH(VLOOKUP(Assumptions!X$2,TIAM15_assumptions!$Y$3:$Z$36,2,FALSE),TIAM15_assumptions!$H$2:$V$2,0))</f>
        <v>1</v>
      </c>
      <c r="Y96" s="9">
        <f ca="1">OFFSET(TIAM15_assumptions!$G96,0,MATCH(VLOOKUP(Assumptions!Y$2,TIAM15_assumptions!$Y$3:$Z$36,2,FALSE),TIAM15_assumptions!$H$2:$V$2,0))</f>
        <v>1</v>
      </c>
      <c r="Z96" s="9">
        <f ca="1">OFFSET(TIAM15_assumptions!$G96,0,MATCH(VLOOKUP(Assumptions!Z$2,TIAM15_assumptions!$Y$3:$Z$36,2,FALSE),TIAM15_assumptions!$H$2:$V$2,0))</f>
        <v>1</v>
      </c>
      <c r="AA96" s="9">
        <f ca="1">OFFSET(TIAM15_assumptions!$G96,0,MATCH(VLOOKUP(Assumptions!AA$2,TIAM15_assumptions!$Y$3:$Z$36,2,FALSE),TIAM15_assumptions!$H$2:$V$2,0))</f>
        <v>1</v>
      </c>
      <c r="AB96" s="9">
        <f ca="1">OFFSET(TIAM15_assumptions!$G96,0,MATCH(VLOOKUP(Assumptions!AB$2,TIAM15_assumptions!$Y$3:$Z$36,2,FALSE),TIAM15_assumptions!$H$2:$V$2,0))</f>
        <v>1</v>
      </c>
      <c r="AC96" s="9">
        <f ca="1">OFFSET(TIAM15_assumptions!$G96,0,MATCH(VLOOKUP(Assumptions!AC$2,TIAM15_assumptions!$Y$3:$Z$36,2,FALSE),TIAM15_assumptions!$H$2:$V$2,0))</f>
        <v>1</v>
      </c>
      <c r="AD96" s="9">
        <f ca="1">OFFSET(TIAM15_assumptions!$G96,0,MATCH(VLOOKUP(Assumptions!AD$2,TIAM15_assumptions!$Y$3:$Z$36,2,FALSE),TIAM15_assumptions!$H$2:$V$2,0))</f>
        <v>1</v>
      </c>
      <c r="AE96" s="9">
        <f ca="1">OFFSET(TIAM15_assumptions!$G96,0,MATCH(VLOOKUP(Assumptions!AE$2,TIAM15_assumptions!$Y$3:$Z$36,2,FALSE),TIAM15_assumptions!$H$2:$V$2,0))</f>
        <v>1</v>
      </c>
      <c r="AF96" s="9">
        <f ca="1">OFFSET(TIAM15_assumptions!$G96,0,MATCH(VLOOKUP(Assumptions!AF$2,TIAM15_assumptions!$Y$3:$Z$36,2,FALSE),TIAM15_assumptions!$H$2:$V$2,0))</f>
        <v>1</v>
      </c>
      <c r="AG96" s="9">
        <f ca="1">OFFSET(TIAM15_assumptions!$G96,0,MATCH(VLOOKUP(Assumptions!AG$2,TIAM15_assumptions!$Y$3:$Z$36,2,FALSE),TIAM15_assumptions!$H$2:$V$2,0))</f>
        <v>1</v>
      </c>
      <c r="AH96" s="9">
        <f ca="1">OFFSET(TIAM15_assumptions!$G96,0,MATCH(VLOOKUP(Assumptions!AH$2,TIAM15_assumptions!$Y$3:$Z$36,2,FALSE),TIAM15_assumptions!$H$2:$V$2,0))</f>
        <v>1</v>
      </c>
      <c r="AI96" s="9">
        <f ca="1">OFFSET(TIAM15_assumptions!$G96,0,MATCH(VLOOKUP(Assumptions!AI$2,TIAM15_assumptions!$Y$3:$Z$36,2,FALSE),TIAM15_assumptions!$H$2:$V$2,0))</f>
        <v>1</v>
      </c>
      <c r="AJ96" s="9">
        <f ca="1">OFFSET(TIAM15_assumptions!$G96,0,MATCH(VLOOKUP(Assumptions!AJ$2,TIAM15_assumptions!$Y$3:$Z$36,2,FALSE),TIAM15_assumptions!$H$2:$V$2,0))</f>
        <v>1</v>
      </c>
      <c r="AK96" s="9">
        <f ca="1">OFFSET(TIAM15_assumptions!$G96,0,MATCH(VLOOKUP(Assumptions!AK$2,TIAM15_assumptions!$Y$3:$Z$36,2,FALSE),TIAM15_assumptions!$H$2:$V$2,0))</f>
        <v>1</v>
      </c>
      <c r="AN96" s="34">
        <f ca="1">IFERROR(SUMIFS('TRA balance'!E$5:E$40,'TRA balance'!$C$5:$C$40,Assumptions!$C96,'TRA balance'!$D$5:$D$40,Assumptions!$B96)*BS96*H96,"")</f>
        <v>0</v>
      </c>
      <c r="AO96" s="34">
        <f ca="1">IFERROR(SUMIFS('TRA balance'!F$5:F$40,'TRA balance'!$C$5:$C$40,Assumptions!$C96,'TRA balance'!$D$5:$D$40,Assumptions!$B96)*BT96*I96,"")</f>
        <v>0</v>
      </c>
      <c r="AP96" s="34">
        <f ca="1">IFERROR(SUMIFS('TRA balance'!G$5:G$40,'TRA balance'!$C$5:$C$40,Assumptions!$C96,'TRA balance'!$D$5:$D$40,Assumptions!$B96)*BU96*J96,"")</f>
        <v>1.4508350567999999</v>
      </c>
      <c r="AQ96" s="34">
        <f ca="1">IFERROR(SUMIFS('TRA balance'!H$5:H$40,'TRA balance'!$C$5:$C$40,Assumptions!$C96,'TRA balance'!$D$5:$D$40,Assumptions!$B96)*BV96*K96,"")</f>
        <v>0.13203492480000001</v>
      </c>
      <c r="AR96" s="34">
        <f ca="1">IFERROR(SUMIFS('TRA balance'!I$5:I$40,'TRA balance'!$C$5:$C$40,Assumptions!$C96,'TRA balance'!$D$5:$D$40,Assumptions!$B96)*BW96*L96,"")</f>
        <v>0</v>
      </c>
      <c r="AS96" s="34">
        <f ca="1">IFERROR(SUMIFS('TRA balance'!J$5:J$40,'TRA balance'!$C$5:$C$40,Assumptions!$C96,'TRA balance'!$D$5:$D$40,Assumptions!$B96)*BX96*M96,"")</f>
        <v>0</v>
      </c>
      <c r="AT96" s="34">
        <f ca="1">IFERROR(SUMIFS('TRA balance'!K$5:K$40,'TRA balance'!$C$5:$C$40,Assumptions!$C96,'TRA balance'!$D$5:$D$40,Assumptions!$B96)*BY96*N96,"")</f>
        <v>0</v>
      </c>
      <c r="AU96" s="34">
        <f ca="1">IFERROR(SUMIFS('TRA balance'!L$5:L$40,'TRA balance'!$C$5:$C$40,Assumptions!$C96,'TRA balance'!$D$5:$D$40,Assumptions!$B96)*BZ96*O96,"")</f>
        <v>0</v>
      </c>
      <c r="AV96" s="34">
        <f ca="1">IFERROR(SUMIFS('TRA balance'!M$5:M$40,'TRA balance'!$C$5:$C$40,Assumptions!$C96,'TRA balance'!$D$5:$D$40,Assumptions!$B96)*CA96*P96,"")</f>
        <v>0</v>
      </c>
      <c r="AW96" s="34">
        <f ca="1">IFERROR(SUMIFS('TRA balance'!N$5:N$40,'TRA balance'!$C$5:$C$40,Assumptions!$C96,'TRA balance'!$D$5:$D$40,Assumptions!$B96)*CB96*Q96,"")</f>
        <v>24.536301367319993</v>
      </c>
      <c r="AX96" s="34">
        <f ca="1">IFERROR(SUMIFS('TRA balance'!O$5:O$40,'TRA balance'!$C$5:$C$40,Assumptions!$C96,'TRA balance'!$D$5:$D$40,Assumptions!$B96)*CC96*R96,"")</f>
        <v>0</v>
      </c>
      <c r="AY96" s="34">
        <f ca="1">IFERROR(SUMIFS('TRA balance'!P$5:P$40,'TRA balance'!$C$5:$C$40,Assumptions!$C96,'TRA balance'!$D$5:$D$40,Assumptions!$B96)*CD96*S96,"")</f>
        <v>0.79621212959999998</v>
      </c>
      <c r="AZ96" s="34">
        <f ca="1">IFERROR(SUMIFS('TRA balance'!Q$5:Q$40,'TRA balance'!$C$5:$C$40,Assumptions!$C96,'TRA balance'!$D$5:$D$40,Assumptions!$B96)*CE96*T96,"")</f>
        <v>0</v>
      </c>
      <c r="BA96" s="34">
        <f ca="1">IFERROR(SUMIFS('TRA balance'!R$5:R$40,'TRA balance'!$C$5:$C$40,Assumptions!$C96,'TRA balance'!$D$5:$D$40,Assumptions!$B96)*CF96*U96,"")</f>
        <v>0</v>
      </c>
      <c r="BB96" s="34">
        <f ca="1">IFERROR(SUMIFS('TRA balance'!S$5:S$40,'TRA balance'!$C$5:$C$40,Assumptions!$C96,'TRA balance'!$D$5:$D$40,Assumptions!$B96)*CG96*V96,"")</f>
        <v>0.4362352524</v>
      </c>
      <c r="BC96" s="34">
        <f ca="1">IFERROR(SUMIFS('TRA balance'!T$5:T$40,'TRA balance'!$C$5:$C$40,Assumptions!$C96,'TRA balance'!$D$5:$D$40,Assumptions!$B96)*CH96*W96,"")</f>
        <v>0</v>
      </c>
      <c r="BD96" s="34">
        <f ca="1">IFERROR(SUMIFS('TRA balance'!U$5:U$40,'TRA balance'!$C$5:$C$40,Assumptions!$C96,'TRA balance'!$D$5:$D$40,Assumptions!$B96)*CI96*X96,"")</f>
        <v>0.56393683920000004</v>
      </c>
      <c r="BE96" s="34">
        <f ca="1">IFERROR(SUMIFS('TRA balance'!V$5:V$40,'TRA balance'!$C$5:$C$40,Assumptions!$C96,'TRA balance'!$D$5:$D$40,Assumptions!$B96)*CJ96*Y96,"")</f>
        <v>0</v>
      </c>
      <c r="BF96" s="34">
        <f ca="1">IFERROR(SUMIFS('TRA balance'!W$5:W$40,'TRA balance'!$C$5:$C$40,Assumptions!$C96,'TRA balance'!$D$5:$D$40,Assumptions!$B96)*CK96*Z96,"")</f>
        <v>0</v>
      </c>
      <c r="BG96" s="34">
        <f ca="1">IFERROR(SUMIFS('TRA balance'!X$5:X$40,'TRA balance'!$C$5:$C$40,Assumptions!$C96,'TRA balance'!$D$5:$D$40,Assumptions!$B96)*CL96*AA96,"")</f>
        <v>0</v>
      </c>
      <c r="BH96" s="34">
        <f ca="1">IFERROR(SUMIFS('TRA balance'!Y$5:Y$40,'TRA balance'!$C$5:$C$40,Assumptions!$C96,'TRA balance'!$D$5:$D$40,Assumptions!$B96)*CM96*AB96,"")</f>
        <v>1.9719827999999998E-2</v>
      </c>
      <c r="BI96" s="34">
        <f ca="1">IFERROR(SUMIFS('TRA balance'!Z$5:Z$40,'TRA balance'!$C$5:$C$40,Assumptions!$C96,'TRA balance'!$D$5:$D$40,Assumptions!$B96)*CN96*AC96,"")</f>
        <v>0</v>
      </c>
      <c r="BJ96" s="34">
        <f ca="1">IFERROR(SUMIFS('TRA balance'!AA$5:AA$40,'TRA balance'!$C$5:$C$40,Assumptions!$C96,'TRA balance'!$D$5:$D$40,Assumptions!$B96)*CO96*AD96,"")</f>
        <v>0</v>
      </c>
      <c r="BK96" s="34">
        <f ca="1">IFERROR(SUMIFS('TRA balance'!AB$5:AB$40,'TRA balance'!$C$5:$C$40,Assumptions!$C96,'TRA balance'!$D$5:$D$40,Assumptions!$B96)*CP96*AE96,"")</f>
        <v>0</v>
      </c>
      <c r="BL96" s="34">
        <f ca="1">IFERROR(SUMIFS('TRA balance'!AC$5:AC$40,'TRA balance'!$C$5:$C$40,Assumptions!$C96,'TRA balance'!$D$5:$D$40,Assumptions!$B96)*CQ96*AF96,"")</f>
        <v>0</v>
      </c>
      <c r="BM96" s="34">
        <f ca="1">IFERROR(SUMIFS('TRA balance'!AD$5:AD$40,'TRA balance'!$C$5:$C$40,Assumptions!$C96,'TRA balance'!$D$5:$D$40,Assumptions!$B96)*CR96*AG96,"")</f>
        <v>0</v>
      </c>
      <c r="BN96" s="34">
        <f ca="1">IFERROR(SUMIFS('TRA balance'!AE$5:AE$40,'TRA balance'!$C$5:$C$40,Assumptions!$C96,'TRA balance'!$D$5:$D$40,Assumptions!$B96)*CS96*AH96,"")</f>
        <v>0.19335061079999999</v>
      </c>
      <c r="BO96" s="34">
        <f ca="1">IFERROR(SUMIFS('TRA balance'!AF$5:AF$40,'TRA balance'!$C$5:$C$40,Assumptions!$C96,'TRA balance'!$D$5:$D$40,Assumptions!$B96)*CT96*AI96,"")</f>
        <v>0</v>
      </c>
      <c r="BP96" s="34">
        <f ca="1">IFERROR(SUMIFS('TRA balance'!AG$5:AG$40,'TRA balance'!$C$5:$C$40,Assumptions!$C96,'TRA balance'!$D$5:$D$40,Assumptions!$B96)*CU96*AJ96,"")</f>
        <v>0</v>
      </c>
      <c r="BQ96" s="34">
        <f ca="1">IFERROR(SUMIFS('TRA balance'!AH$5:AH$40,'TRA balance'!$C$5:$C$40,Assumptions!$C96,'TRA balance'!$D$5:$D$40,Assumptions!$B96)*CV96*AK96,"")</f>
        <v>0</v>
      </c>
      <c r="BS96" s="33">
        <f t="shared" ca="1" si="152"/>
        <v>1</v>
      </c>
      <c r="BT96" s="33">
        <f t="shared" ca="1" si="153"/>
        <v>1</v>
      </c>
      <c r="BU96" s="33">
        <f t="shared" ca="1" si="154"/>
        <v>0.5</v>
      </c>
      <c r="BV96" s="33">
        <f t="shared" ca="1" si="155"/>
        <v>1</v>
      </c>
      <c r="BW96" s="33">
        <f t="shared" ca="1" si="156"/>
        <v>0</v>
      </c>
      <c r="BX96" s="33">
        <f t="shared" ca="1" si="157"/>
        <v>0</v>
      </c>
      <c r="BY96" s="33">
        <f t="shared" ca="1" si="158"/>
        <v>0</v>
      </c>
      <c r="BZ96" s="33">
        <f t="shared" ca="1" si="159"/>
        <v>0.5</v>
      </c>
      <c r="CA96" s="33">
        <f t="shared" ca="1" si="160"/>
        <v>0</v>
      </c>
      <c r="CB96" s="33">
        <f t="shared" ca="1" si="161"/>
        <v>0.19999999999999996</v>
      </c>
      <c r="CC96" s="33">
        <f t="shared" ca="1" si="162"/>
        <v>0</v>
      </c>
      <c r="CD96" s="33">
        <f t="shared" ca="1" si="163"/>
        <v>1</v>
      </c>
      <c r="CE96" s="33">
        <f t="shared" ca="1" si="164"/>
        <v>0</v>
      </c>
      <c r="CF96" s="33">
        <f t="shared" ca="1" si="165"/>
        <v>0</v>
      </c>
      <c r="CG96" s="33">
        <f t="shared" ca="1" si="166"/>
        <v>1</v>
      </c>
      <c r="CH96" s="33">
        <f t="shared" ca="1" si="167"/>
        <v>0</v>
      </c>
      <c r="CI96" s="33">
        <f t="shared" ca="1" si="168"/>
        <v>1</v>
      </c>
      <c r="CJ96" s="33">
        <f t="shared" ca="1" si="169"/>
        <v>0</v>
      </c>
      <c r="CK96" s="33">
        <f t="shared" ca="1" si="170"/>
        <v>0</v>
      </c>
      <c r="CL96" s="33">
        <f t="shared" ca="1" si="171"/>
        <v>1</v>
      </c>
      <c r="CM96" s="33">
        <f t="shared" ca="1" si="172"/>
        <v>0.5</v>
      </c>
      <c r="CN96" s="33">
        <f t="shared" ca="1" si="173"/>
        <v>0.5</v>
      </c>
      <c r="CO96" s="33">
        <f t="shared" ca="1" si="174"/>
        <v>1</v>
      </c>
      <c r="CP96" s="33">
        <f t="shared" ca="1" si="175"/>
        <v>0</v>
      </c>
      <c r="CQ96" s="33">
        <f t="shared" ca="1" si="176"/>
        <v>1</v>
      </c>
      <c r="CR96" s="33">
        <f t="shared" ca="1" si="177"/>
        <v>1</v>
      </c>
      <c r="CS96" s="33">
        <f t="shared" ca="1" si="178"/>
        <v>1</v>
      </c>
      <c r="CT96" s="33">
        <f t="shared" ca="1" si="179"/>
        <v>0</v>
      </c>
      <c r="CU96" s="33">
        <f t="shared" ca="1" si="180"/>
        <v>0</v>
      </c>
      <c r="CV96" s="33">
        <f t="shared" ca="1" si="181"/>
        <v>0</v>
      </c>
    </row>
    <row r="97" spans="1:100" x14ac:dyDescent="0.45">
      <c r="A97">
        <v>2</v>
      </c>
      <c r="B97" t="str">
        <f>VLOOKUP(F97,'TRA balance'!$AK$5:$AL$14,2,FALSE)</f>
        <v>TRAELC</v>
      </c>
      <c r="C97" s="6" t="str">
        <f t="shared" si="185"/>
        <v>TR</v>
      </c>
      <c r="D97" s="7" t="s">
        <v>16</v>
      </c>
      <c r="E97" s="18" t="s">
        <v>73</v>
      </c>
      <c r="F97" s="8" t="str">
        <f t="shared" ref="F97:F103" si="228">F96</f>
        <v>Electricity</v>
      </c>
      <c r="G97" s="6" t="s">
        <v>74</v>
      </c>
      <c r="H97" s="9">
        <f ca="1">OFFSET(TIAM15_assumptions!$G97,0,MATCH(VLOOKUP(Assumptions!H$2,TIAM15_assumptions!$Y$3:$Z$36,2,FALSE),TIAM15_assumptions!$H$2:$V$2,0))</f>
        <v>0</v>
      </c>
      <c r="I97" s="9">
        <f ca="1">OFFSET(TIAM15_assumptions!$G97,0,MATCH(VLOOKUP(Assumptions!I$2,TIAM15_assumptions!$Y$3:$Z$36,2,FALSE),TIAM15_assumptions!$H$2:$V$2,0))</f>
        <v>0</v>
      </c>
      <c r="J97" s="9">
        <f ca="1">OFFSET(TIAM15_assumptions!$G97,0,MATCH(VLOOKUP(Assumptions!J$2,TIAM15_assumptions!$Y$3:$Z$36,2,FALSE),TIAM15_assumptions!$H$2:$V$2,0))</f>
        <v>0</v>
      </c>
      <c r="K97" s="9">
        <f ca="1">OFFSET(TIAM15_assumptions!$G97,0,MATCH(VLOOKUP(Assumptions!K$2,TIAM15_assumptions!$Y$3:$Z$36,2,FALSE),TIAM15_assumptions!$H$2:$V$2,0))</f>
        <v>0</v>
      </c>
      <c r="L97" s="9">
        <f ca="1">OFFSET(TIAM15_assumptions!$G97,0,MATCH(VLOOKUP(Assumptions!L$2,TIAM15_assumptions!$Y$3:$Z$36,2,FALSE),TIAM15_assumptions!$H$2:$V$2,0))</f>
        <v>0</v>
      </c>
      <c r="M97" s="9">
        <f ca="1">OFFSET(TIAM15_assumptions!$G97,0,MATCH(VLOOKUP(Assumptions!M$2,TIAM15_assumptions!$Y$3:$Z$36,2,FALSE),TIAM15_assumptions!$H$2:$V$2,0))</f>
        <v>0</v>
      </c>
      <c r="N97" s="9">
        <f ca="1">OFFSET(TIAM15_assumptions!$G97,0,MATCH(VLOOKUP(Assumptions!N$2,TIAM15_assumptions!$Y$3:$Z$36,2,FALSE),TIAM15_assumptions!$H$2:$V$2,0))</f>
        <v>0</v>
      </c>
      <c r="O97" s="9">
        <f ca="1">OFFSET(TIAM15_assumptions!$G97,0,MATCH(VLOOKUP(Assumptions!O$2,TIAM15_assumptions!$Y$3:$Z$36,2,FALSE),TIAM15_assumptions!$H$2:$V$2,0))</f>
        <v>0</v>
      </c>
      <c r="P97" s="9">
        <f ca="1">OFFSET(TIAM15_assumptions!$G97,0,MATCH(VLOOKUP(Assumptions!P$2,TIAM15_assumptions!$Y$3:$Z$36,2,FALSE),TIAM15_assumptions!$H$2:$V$2,0))</f>
        <v>0</v>
      </c>
      <c r="Q97" s="9">
        <f ca="1">OFFSET(TIAM15_assumptions!$G97,0,MATCH(VLOOKUP(Assumptions!Q$2,TIAM15_assumptions!$Y$3:$Z$36,2,FALSE),TIAM15_assumptions!$H$2:$V$2,0))</f>
        <v>0</v>
      </c>
      <c r="R97" s="9">
        <f ca="1">OFFSET(TIAM15_assumptions!$G97,0,MATCH(VLOOKUP(Assumptions!R$2,TIAM15_assumptions!$Y$3:$Z$36,2,FALSE),TIAM15_assumptions!$H$2:$V$2,0))</f>
        <v>0</v>
      </c>
      <c r="S97" s="9">
        <f ca="1">OFFSET(TIAM15_assumptions!$G97,0,MATCH(VLOOKUP(Assumptions!S$2,TIAM15_assumptions!$Y$3:$Z$36,2,FALSE),TIAM15_assumptions!$H$2:$V$2,0))</f>
        <v>0</v>
      </c>
      <c r="T97" s="9">
        <f ca="1">OFFSET(TIAM15_assumptions!$G97,0,MATCH(VLOOKUP(Assumptions!T$2,TIAM15_assumptions!$Y$3:$Z$36,2,FALSE),TIAM15_assumptions!$H$2:$V$2,0))</f>
        <v>0</v>
      </c>
      <c r="U97" s="9">
        <f ca="1">OFFSET(TIAM15_assumptions!$G97,0,MATCH(VLOOKUP(Assumptions!U$2,TIAM15_assumptions!$Y$3:$Z$36,2,FALSE),TIAM15_assumptions!$H$2:$V$2,0))</f>
        <v>0</v>
      </c>
      <c r="V97" s="9">
        <f ca="1">OFFSET(TIAM15_assumptions!$G97,0,MATCH(VLOOKUP(Assumptions!V$2,TIAM15_assumptions!$Y$3:$Z$36,2,FALSE),TIAM15_assumptions!$H$2:$V$2,0))</f>
        <v>0</v>
      </c>
      <c r="W97" s="9">
        <f ca="1">OFFSET(TIAM15_assumptions!$G97,0,MATCH(VLOOKUP(Assumptions!W$2,TIAM15_assumptions!$Y$3:$Z$36,2,FALSE),TIAM15_assumptions!$H$2:$V$2,0))</f>
        <v>0</v>
      </c>
      <c r="X97" s="9">
        <f ca="1">OFFSET(TIAM15_assumptions!$G97,0,MATCH(VLOOKUP(Assumptions!X$2,TIAM15_assumptions!$Y$3:$Z$36,2,FALSE),TIAM15_assumptions!$H$2:$V$2,0))</f>
        <v>0</v>
      </c>
      <c r="Y97" s="9">
        <f ca="1">OFFSET(TIAM15_assumptions!$G97,0,MATCH(VLOOKUP(Assumptions!Y$2,TIAM15_assumptions!$Y$3:$Z$36,2,FALSE),TIAM15_assumptions!$H$2:$V$2,0))</f>
        <v>0</v>
      </c>
      <c r="Z97" s="9">
        <f ca="1">OFFSET(TIAM15_assumptions!$G97,0,MATCH(VLOOKUP(Assumptions!Z$2,TIAM15_assumptions!$Y$3:$Z$36,2,FALSE),TIAM15_assumptions!$H$2:$V$2,0))</f>
        <v>0</v>
      </c>
      <c r="AA97" s="9">
        <f ca="1">OFFSET(TIAM15_assumptions!$G97,0,MATCH(VLOOKUP(Assumptions!AA$2,TIAM15_assumptions!$Y$3:$Z$36,2,FALSE),TIAM15_assumptions!$H$2:$V$2,0))</f>
        <v>0</v>
      </c>
      <c r="AB97" s="9">
        <f ca="1">OFFSET(TIAM15_assumptions!$G97,0,MATCH(VLOOKUP(Assumptions!AB$2,TIAM15_assumptions!$Y$3:$Z$36,2,FALSE),TIAM15_assumptions!$H$2:$V$2,0))</f>
        <v>0</v>
      </c>
      <c r="AC97" s="9">
        <f ca="1">OFFSET(TIAM15_assumptions!$G97,0,MATCH(VLOOKUP(Assumptions!AC$2,TIAM15_assumptions!$Y$3:$Z$36,2,FALSE),TIAM15_assumptions!$H$2:$V$2,0))</f>
        <v>0</v>
      </c>
      <c r="AD97" s="9">
        <f ca="1">OFFSET(TIAM15_assumptions!$G97,0,MATCH(VLOOKUP(Assumptions!AD$2,TIAM15_assumptions!$Y$3:$Z$36,2,FALSE),TIAM15_assumptions!$H$2:$V$2,0))</f>
        <v>0</v>
      </c>
      <c r="AE97" s="9">
        <f ca="1">OFFSET(TIAM15_assumptions!$G97,0,MATCH(VLOOKUP(Assumptions!AE$2,TIAM15_assumptions!$Y$3:$Z$36,2,FALSE),TIAM15_assumptions!$H$2:$V$2,0))</f>
        <v>0</v>
      </c>
      <c r="AF97" s="9">
        <f ca="1">OFFSET(TIAM15_assumptions!$G97,0,MATCH(VLOOKUP(Assumptions!AF$2,TIAM15_assumptions!$Y$3:$Z$36,2,FALSE),TIAM15_assumptions!$H$2:$V$2,0))</f>
        <v>0</v>
      </c>
      <c r="AG97" s="9">
        <f ca="1">OFFSET(TIAM15_assumptions!$G97,0,MATCH(VLOOKUP(Assumptions!AG$2,TIAM15_assumptions!$Y$3:$Z$36,2,FALSE),TIAM15_assumptions!$H$2:$V$2,0))</f>
        <v>0</v>
      </c>
      <c r="AH97" s="9">
        <f ca="1">OFFSET(TIAM15_assumptions!$G97,0,MATCH(VLOOKUP(Assumptions!AH$2,TIAM15_assumptions!$Y$3:$Z$36,2,FALSE),TIAM15_assumptions!$H$2:$V$2,0))</f>
        <v>0</v>
      </c>
      <c r="AI97" s="9">
        <f ca="1">OFFSET(TIAM15_assumptions!$G97,0,MATCH(VLOOKUP(Assumptions!AI$2,TIAM15_assumptions!$Y$3:$Z$36,2,FALSE),TIAM15_assumptions!$H$2:$V$2,0))</f>
        <v>0</v>
      </c>
      <c r="AJ97" s="9">
        <f ca="1">OFFSET(TIAM15_assumptions!$G97,0,MATCH(VLOOKUP(Assumptions!AJ$2,TIAM15_assumptions!$Y$3:$Z$36,2,FALSE),TIAM15_assumptions!$H$2:$V$2,0))</f>
        <v>0</v>
      </c>
      <c r="AK97" s="9">
        <f ca="1">OFFSET(TIAM15_assumptions!$G97,0,MATCH(VLOOKUP(Assumptions!AK$2,TIAM15_assumptions!$Y$3:$Z$36,2,FALSE),TIAM15_assumptions!$H$2:$V$2,0))</f>
        <v>0</v>
      </c>
      <c r="AN97" s="34">
        <f ca="1">IFERROR(SUMIFS('TRA balance'!E$5:E$40,'TRA balance'!$C$5:$C$40,Assumptions!$C97,'TRA balance'!$D$5:$D$40,Assumptions!$B97)*BS97*H97,"")</f>
        <v>0</v>
      </c>
      <c r="AO97" s="34">
        <f ca="1">IFERROR(SUMIFS('TRA balance'!F$5:F$40,'TRA balance'!$C$5:$C$40,Assumptions!$C97,'TRA balance'!$D$5:$D$40,Assumptions!$B97)*BT97*I97,"")</f>
        <v>0</v>
      </c>
      <c r="AP97" s="34">
        <f ca="1">IFERROR(SUMIFS('TRA balance'!G$5:G$40,'TRA balance'!$C$5:$C$40,Assumptions!$C97,'TRA balance'!$D$5:$D$40,Assumptions!$B97)*BU97*J97,"")</f>
        <v>0</v>
      </c>
      <c r="AQ97" s="34">
        <f ca="1">IFERROR(SUMIFS('TRA balance'!H$5:H$40,'TRA balance'!$C$5:$C$40,Assumptions!$C97,'TRA balance'!$D$5:$D$40,Assumptions!$B97)*BV97*K97,"")</f>
        <v>0</v>
      </c>
      <c r="AR97" s="34">
        <f ca="1">IFERROR(SUMIFS('TRA balance'!I$5:I$40,'TRA balance'!$C$5:$C$40,Assumptions!$C97,'TRA balance'!$D$5:$D$40,Assumptions!$B97)*BW97*L97,"")</f>
        <v>0</v>
      </c>
      <c r="AS97" s="34">
        <f ca="1">IFERROR(SUMIFS('TRA balance'!J$5:J$40,'TRA balance'!$C$5:$C$40,Assumptions!$C97,'TRA balance'!$D$5:$D$40,Assumptions!$B97)*BX97*M97,"")</f>
        <v>0</v>
      </c>
      <c r="AT97" s="34">
        <f ca="1">IFERROR(SUMIFS('TRA balance'!K$5:K$40,'TRA balance'!$C$5:$C$40,Assumptions!$C97,'TRA balance'!$D$5:$D$40,Assumptions!$B97)*BY97*N97,"")</f>
        <v>0</v>
      </c>
      <c r="AU97" s="34">
        <f ca="1">IFERROR(SUMIFS('TRA balance'!L$5:L$40,'TRA balance'!$C$5:$C$40,Assumptions!$C97,'TRA balance'!$D$5:$D$40,Assumptions!$B97)*BZ97*O97,"")</f>
        <v>0</v>
      </c>
      <c r="AV97" s="34">
        <f ca="1">IFERROR(SUMIFS('TRA balance'!M$5:M$40,'TRA balance'!$C$5:$C$40,Assumptions!$C97,'TRA balance'!$D$5:$D$40,Assumptions!$B97)*CA97*P97,"")</f>
        <v>0</v>
      </c>
      <c r="AW97" s="34">
        <f ca="1">IFERROR(SUMIFS('TRA balance'!N$5:N$40,'TRA balance'!$C$5:$C$40,Assumptions!$C97,'TRA balance'!$D$5:$D$40,Assumptions!$B97)*CB97*Q97,"")</f>
        <v>0</v>
      </c>
      <c r="AX97" s="34">
        <f ca="1">IFERROR(SUMIFS('TRA balance'!O$5:O$40,'TRA balance'!$C$5:$C$40,Assumptions!$C97,'TRA balance'!$D$5:$D$40,Assumptions!$B97)*CC97*R97,"")</f>
        <v>0</v>
      </c>
      <c r="AY97" s="34">
        <f ca="1">IFERROR(SUMIFS('TRA balance'!P$5:P$40,'TRA balance'!$C$5:$C$40,Assumptions!$C97,'TRA balance'!$D$5:$D$40,Assumptions!$B97)*CD97*S97,"")</f>
        <v>0</v>
      </c>
      <c r="AZ97" s="34">
        <f ca="1">IFERROR(SUMIFS('TRA balance'!Q$5:Q$40,'TRA balance'!$C$5:$C$40,Assumptions!$C97,'TRA balance'!$D$5:$D$40,Assumptions!$B97)*CE97*T97,"")</f>
        <v>0</v>
      </c>
      <c r="BA97" s="34">
        <f ca="1">IFERROR(SUMIFS('TRA balance'!R$5:R$40,'TRA balance'!$C$5:$C$40,Assumptions!$C97,'TRA balance'!$D$5:$D$40,Assumptions!$B97)*CF97*U97,"")</f>
        <v>0</v>
      </c>
      <c r="BB97" s="34">
        <f ca="1">IFERROR(SUMIFS('TRA balance'!S$5:S$40,'TRA balance'!$C$5:$C$40,Assumptions!$C97,'TRA balance'!$D$5:$D$40,Assumptions!$B97)*CG97*V97,"")</f>
        <v>0</v>
      </c>
      <c r="BC97" s="34">
        <f ca="1">IFERROR(SUMIFS('TRA balance'!T$5:T$40,'TRA balance'!$C$5:$C$40,Assumptions!$C97,'TRA balance'!$D$5:$D$40,Assumptions!$B97)*CH97*W97,"")</f>
        <v>0</v>
      </c>
      <c r="BD97" s="34">
        <f ca="1">IFERROR(SUMIFS('TRA balance'!U$5:U$40,'TRA balance'!$C$5:$C$40,Assumptions!$C97,'TRA balance'!$D$5:$D$40,Assumptions!$B97)*CI97*X97,"")</f>
        <v>0</v>
      </c>
      <c r="BE97" s="34">
        <f ca="1">IFERROR(SUMIFS('TRA balance'!V$5:V$40,'TRA balance'!$C$5:$C$40,Assumptions!$C97,'TRA balance'!$D$5:$D$40,Assumptions!$B97)*CJ97*Y97,"")</f>
        <v>0</v>
      </c>
      <c r="BF97" s="34">
        <f ca="1">IFERROR(SUMIFS('TRA balance'!W$5:W$40,'TRA balance'!$C$5:$C$40,Assumptions!$C97,'TRA balance'!$D$5:$D$40,Assumptions!$B97)*CK97*Z97,"")</f>
        <v>0</v>
      </c>
      <c r="BG97" s="34">
        <f ca="1">IFERROR(SUMIFS('TRA balance'!X$5:X$40,'TRA balance'!$C$5:$C$40,Assumptions!$C97,'TRA balance'!$D$5:$D$40,Assumptions!$B97)*CL97*AA97,"")</f>
        <v>0</v>
      </c>
      <c r="BH97" s="34">
        <f ca="1">IFERROR(SUMIFS('TRA balance'!Y$5:Y$40,'TRA balance'!$C$5:$C$40,Assumptions!$C97,'TRA balance'!$D$5:$D$40,Assumptions!$B97)*CM97*AB97,"")</f>
        <v>0</v>
      </c>
      <c r="BI97" s="34">
        <f ca="1">IFERROR(SUMIFS('TRA balance'!Z$5:Z$40,'TRA balance'!$C$5:$C$40,Assumptions!$C97,'TRA balance'!$D$5:$D$40,Assumptions!$B97)*CN97*AC97,"")</f>
        <v>0</v>
      </c>
      <c r="BJ97" s="34">
        <f ca="1">IFERROR(SUMIFS('TRA balance'!AA$5:AA$40,'TRA balance'!$C$5:$C$40,Assumptions!$C97,'TRA balance'!$D$5:$D$40,Assumptions!$B97)*CO97*AD97,"")</f>
        <v>0</v>
      </c>
      <c r="BK97" s="34">
        <f ca="1">IFERROR(SUMIFS('TRA balance'!AB$5:AB$40,'TRA balance'!$C$5:$C$40,Assumptions!$C97,'TRA balance'!$D$5:$D$40,Assumptions!$B97)*CP97*AE97,"")</f>
        <v>0</v>
      </c>
      <c r="BL97" s="34">
        <f ca="1">IFERROR(SUMIFS('TRA balance'!AC$5:AC$40,'TRA balance'!$C$5:$C$40,Assumptions!$C97,'TRA balance'!$D$5:$D$40,Assumptions!$B97)*CQ97*AF97,"")</f>
        <v>0</v>
      </c>
      <c r="BM97" s="34">
        <f ca="1">IFERROR(SUMIFS('TRA balance'!AD$5:AD$40,'TRA balance'!$C$5:$C$40,Assumptions!$C97,'TRA balance'!$D$5:$D$40,Assumptions!$B97)*CR97*AG97,"")</f>
        <v>0</v>
      </c>
      <c r="BN97" s="34">
        <f ca="1">IFERROR(SUMIFS('TRA balance'!AE$5:AE$40,'TRA balance'!$C$5:$C$40,Assumptions!$C97,'TRA balance'!$D$5:$D$40,Assumptions!$B97)*CS97*AH97,"")</f>
        <v>0</v>
      </c>
      <c r="BO97" s="34">
        <f ca="1">IFERROR(SUMIFS('TRA balance'!AF$5:AF$40,'TRA balance'!$C$5:$C$40,Assumptions!$C97,'TRA balance'!$D$5:$D$40,Assumptions!$B97)*CT97*AI97,"")</f>
        <v>0</v>
      </c>
      <c r="BP97" s="34">
        <f ca="1">IFERROR(SUMIFS('TRA balance'!AG$5:AG$40,'TRA balance'!$C$5:$C$40,Assumptions!$C97,'TRA balance'!$D$5:$D$40,Assumptions!$B97)*CU97*AJ97,"")</f>
        <v>0</v>
      </c>
      <c r="BQ97" s="34">
        <f ca="1">IFERROR(SUMIFS('TRA balance'!AH$5:AH$40,'TRA balance'!$C$5:$C$40,Assumptions!$C97,'TRA balance'!$D$5:$D$40,Assumptions!$B97)*CV97*AK97,"")</f>
        <v>0</v>
      </c>
      <c r="BS97" s="33">
        <f t="shared" ca="1" si="152"/>
        <v>1</v>
      </c>
      <c r="BT97" s="33">
        <f t="shared" ca="1" si="153"/>
        <v>1</v>
      </c>
      <c r="BU97" s="33">
        <f t="shared" ca="1" si="154"/>
        <v>0.5</v>
      </c>
      <c r="BV97" s="33">
        <f t="shared" ca="1" si="155"/>
        <v>1</v>
      </c>
      <c r="BW97" s="33">
        <f t="shared" ca="1" si="156"/>
        <v>0</v>
      </c>
      <c r="BX97" s="33">
        <f t="shared" ca="1" si="157"/>
        <v>0</v>
      </c>
      <c r="BY97" s="33">
        <f t="shared" ca="1" si="158"/>
        <v>0</v>
      </c>
      <c r="BZ97" s="33">
        <f t="shared" ca="1" si="159"/>
        <v>0.5</v>
      </c>
      <c r="CA97" s="33">
        <f t="shared" ca="1" si="160"/>
        <v>0</v>
      </c>
      <c r="CB97" s="33">
        <f t="shared" ca="1" si="161"/>
        <v>0.19999999999999996</v>
      </c>
      <c r="CC97" s="33">
        <f t="shared" ca="1" si="162"/>
        <v>0</v>
      </c>
      <c r="CD97" s="33">
        <f t="shared" ca="1" si="163"/>
        <v>1</v>
      </c>
      <c r="CE97" s="33">
        <f t="shared" ca="1" si="164"/>
        <v>0</v>
      </c>
      <c r="CF97" s="33">
        <f t="shared" ca="1" si="165"/>
        <v>0</v>
      </c>
      <c r="CG97" s="33">
        <f t="shared" ca="1" si="166"/>
        <v>1</v>
      </c>
      <c r="CH97" s="33">
        <f t="shared" ca="1" si="167"/>
        <v>0</v>
      </c>
      <c r="CI97" s="33">
        <f t="shared" ca="1" si="168"/>
        <v>1</v>
      </c>
      <c r="CJ97" s="33">
        <f t="shared" ca="1" si="169"/>
        <v>0</v>
      </c>
      <c r="CK97" s="33">
        <f t="shared" ca="1" si="170"/>
        <v>0</v>
      </c>
      <c r="CL97" s="33">
        <f t="shared" ca="1" si="171"/>
        <v>1</v>
      </c>
      <c r="CM97" s="33">
        <f t="shared" ca="1" si="172"/>
        <v>0.5</v>
      </c>
      <c r="CN97" s="33">
        <f t="shared" ca="1" si="173"/>
        <v>0.5</v>
      </c>
      <c r="CO97" s="33">
        <f t="shared" ca="1" si="174"/>
        <v>1</v>
      </c>
      <c r="CP97" s="33">
        <f t="shared" ca="1" si="175"/>
        <v>0</v>
      </c>
      <c r="CQ97" s="33">
        <f t="shared" ca="1" si="176"/>
        <v>1</v>
      </c>
      <c r="CR97" s="33">
        <f t="shared" ca="1" si="177"/>
        <v>1</v>
      </c>
      <c r="CS97" s="33">
        <f t="shared" ca="1" si="178"/>
        <v>1</v>
      </c>
      <c r="CT97" s="33">
        <f t="shared" ca="1" si="179"/>
        <v>0</v>
      </c>
      <c r="CU97" s="33">
        <f t="shared" ca="1" si="180"/>
        <v>0</v>
      </c>
      <c r="CV97" s="33">
        <f t="shared" ca="1" si="181"/>
        <v>0</v>
      </c>
    </row>
    <row r="98" spans="1:100" x14ac:dyDescent="0.45">
      <c r="A98">
        <v>2</v>
      </c>
      <c r="B98" t="str">
        <f>VLOOKUP(F98,'TRA balance'!$AK$5:$AL$14,2,FALSE)</f>
        <v>TRAELC</v>
      </c>
      <c r="C98" s="6" t="str">
        <f t="shared" si="185"/>
        <v>TR</v>
      </c>
      <c r="D98" s="7" t="s">
        <v>16</v>
      </c>
      <c r="E98" s="18" t="s">
        <v>75</v>
      </c>
      <c r="F98" s="8" t="str">
        <f t="shared" si="228"/>
        <v>Electricity</v>
      </c>
      <c r="G98" s="6" t="s">
        <v>76</v>
      </c>
      <c r="H98" s="9">
        <f ca="1">OFFSET(TIAM15_assumptions!$G98,0,MATCH(VLOOKUP(Assumptions!H$2,TIAM15_assumptions!$Y$3:$Z$36,2,FALSE),TIAM15_assumptions!$H$2:$V$2,0))</f>
        <v>0</v>
      </c>
      <c r="I98" s="9">
        <f ca="1">OFFSET(TIAM15_assumptions!$G98,0,MATCH(VLOOKUP(Assumptions!I$2,TIAM15_assumptions!$Y$3:$Z$36,2,FALSE),TIAM15_assumptions!$H$2:$V$2,0))</f>
        <v>0</v>
      </c>
      <c r="J98" s="9">
        <f ca="1">OFFSET(TIAM15_assumptions!$G98,0,MATCH(VLOOKUP(Assumptions!J$2,TIAM15_assumptions!$Y$3:$Z$36,2,FALSE),TIAM15_assumptions!$H$2:$V$2,0))</f>
        <v>0</v>
      </c>
      <c r="K98" s="9">
        <f ca="1">OFFSET(TIAM15_assumptions!$G98,0,MATCH(VLOOKUP(Assumptions!K$2,TIAM15_assumptions!$Y$3:$Z$36,2,FALSE),TIAM15_assumptions!$H$2:$V$2,0))</f>
        <v>0</v>
      </c>
      <c r="L98" s="9">
        <f ca="1">OFFSET(TIAM15_assumptions!$G98,0,MATCH(VLOOKUP(Assumptions!L$2,TIAM15_assumptions!$Y$3:$Z$36,2,FALSE),TIAM15_assumptions!$H$2:$V$2,0))</f>
        <v>0</v>
      </c>
      <c r="M98" s="9">
        <f ca="1">OFFSET(TIAM15_assumptions!$G98,0,MATCH(VLOOKUP(Assumptions!M$2,TIAM15_assumptions!$Y$3:$Z$36,2,FALSE),TIAM15_assumptions!$H$2:$V$2,0))</f>
        <v>0</v>
      </c>
      <c r="N98" s="9">
        <f ca="1">OFFSET(TIAM15_assumptions!$G98,0,MATCH(VLOOKUP(Assumptions!N$2,TIAM15_assumptions!$Y$3:$Z$36,2,FALSE),TIAM15_assumptions!$H$2:$V$2,0))</f>
        <v>0</v>
      </c>
      <c r="O98" s="9">
        <f ca="1">OFFSET(TIAM15_assumptions!$G98,0,MATCH(VLOOKUP(Assumptions!O$2,TIAM15_assumptions!$Y$3:$Z$36,2,FALSE),TIAM15_assumptions!$H$2:$V$2,0))</f>
        <v>0</v>
      </c>
      <c r="P98" s="9">
        <f ca="1">OFFSET(TIAM15_assumptions!$G98,0,MATCH(VLOOKUP(Assumptions!P$2,TIAM15_assumptions!$Y$3:$Z$36,2,FALSE),TIAM15_assumptions!$H$2:$V$2,0))</f>
        <v>0</v>
      </c>
      <c r="Q98" s="9">
        <f ca="1">OFFSET(TIAM15_assumptions!$G98,0,MATCH(VLOOKUP(Assumptions!Q$2,TIAM15_assumptions!$Y$3:$Z$36,2,FALSE),TIAM15_assumptions!$H$2:$V$2,0))</f>
        <v>0</v>
      </c>
      <c r="R98" s="9">
        <f ca="1">OFFSET(TIAM15_assumptions!$G98,0,MATCH(VLOOKUP(Assumptions!R$2,TIAM15_assumptions!$Y$3:$Z$36,2,FALSE),TIAM15_assumptions!$H$2:$V$2,0))</f>
        <v>0</v>
      </c>
      <c r="S98" s="9">
        <f ca="1">OFFSET(TIAM15_assumptions!$G98,0,MATCH(VLOOKUP(Assumptions!S$2,TIAM15_assumptions!$Y$3:$Z$36,2,FALSE),TIAM15_assumptions!$H$2:$V$2,0))</f>
        <v>0</v>
      </c>
      <c r="T98" s="9">
        <f ca="1">OFFSET(TIAM15_assumptions!$G98,0,MATCH(VLOOKUP(Assumptions!T$2,TIAM15_assumptions!$Y$3:$Z$36,2,FALSE),TIAM15_assumptions!$H$2:$V$2,0))</f>
        <v>0</v>
      </c>
      <c r="U98" s="9">
        <f ca="1">OFFSET(TIAM15_assumptions!$G98,0,MATCH(VLOOKUP(Assumptions!U$2,TIAM15_assumptions!$Y$3:$Z$36,2,FALSE),TIAM15_assumptions!$H$2:$V$2,0))</f>
        <v>0</v>
      </c>
      <c r="V98" s="9">
        <f ca="1">OFFSET(TIAM15_assumptions!$G98,0,MATCH(VLOOKUP(Assumptions!V$2,TIAM15_assumptions!$Y$3:$Z$36,2,FALSE),TIAM15_assumptions!$H$2:$V$2,0))</f>
        <v>0</v>
      </c>
      <c r="W98" s="9">
        <f ca="1">OFFSET(TIAM15_assumptions!$G98,0,MATCH(VLOOKUP(Assumptions!W$2,TIAM15_assumptions!$Y$3:$Z$36,2,FALSE),TIAM15_assumptions!$H$2:$V$2,0))</f>
        <v>0</v>
      </c>
      <c r="X98" s="9">
        <f ca="1">OFFSET(TIAM15_assumptions!$G98,0,MATCH(VLOOKUP(Assumptions!X$2,TIAM15_assumptions!$Y$3:$Z$36,2,FALSE),TIAM15_assumptions!$H$2:$V$2,0))</f>
        <v>0</v>
      </c>
      <c r="Y98" s="9">
        <f ca="1">OFFSET(TIAM15_assumptions!$G98,0,MATCH(VLOOKUP(Assumptions!Y$2,TIAM15_assumptions!$Y$3:$Z$36,2,FALSE),TIAM15_assumptions!$H$2:$V$2,0))</f>
        <v>0</v>
      </c>
      <c r="Z98" s="9">
        <f ca="1">OFFSET(TIAM15_assumptions!$G98,0,MATCH(VLOOKUP(Assumptions!Z$2,TIAM15_assumptions!$Y$3:$Z$36,2,FALSE),TIAM15_assumptions!$H$2:$V$2,0))</f>
        <v>0</v>
      </c>
      <c r="AA98" s="9">
        <f ca="1">OFFSET(TIAM15_assumptions!$G98,0,MATCH(VLOOKUP(Assumptions!AA$2,TIAM15_assumptions!$Y$3:$Z$36,2,FALSE),TIAM15_assumptions!$H$2:$V$2,0))</f>
        <v>0</v>
      </c>
      <c r="AB98" s="9">
        <f ca="1">OFFSET(TIAM15_assumptions!$G98,0,MATCH(VLOOKUP(Assumptions!AB$2,TIAM15_assumptions!$Y$3:$Z$36,2,FALSE),TIAM15_assumptions!$H$2:$V$2,0))</f>
        <v>0</v>
      </c>
      <c r="AC98" s="9">
        <f ca="1">OFFSET(TIAM15_assumptions!$G98,0,MATCH(VLOOKUP(Assumptions!AC$2,TIAM15_assumptions!$Y$3:$Z$36,2,FALSE),TIAM15_assumptions!$H$2:$V$2,0))</f>
        <v>0</v>
      </c>
      <c r="AD98" s="9">
        <f ca="1">OFFSET(TIAM15_assumptions!$G98,0,MATCH(VLOOKUP(Assumptions!AD$2,TIAM15_assumptions!$Y$3:$Z$36,2,FALSE),TIAM15_assumptions!$H$2:$V$2,0))</f>
        <v>0</v>
      </c>
      <c r="AE98" s="9">
        <f ca="1">OFFSET(TIAM15_assumptions!$G98,0,MATCH(VLOOKUP(Assumptions!AE$2,TIAM15_assumptions!$Y$3:$Z$36,2,FALSE),TIAM15_assumptions!$H$2:$V$2,0))</f>
        <v>0</v>
      </c>
      <c r="AF98" s="9">
        <f ca="1">OFFSET(TIAM15_assumptions!$G98,0,MATCH(VLOOKUP(Assumptions!AF$2,TIAM15_assumptions!$Y$3:$Z$36,2,FALSE),TIAM15_assumptions!$H$2:$V$2,0))</f>
        <v>0</v>
      </c>
      <c r="AG98" s="9">
        <f ca="1">OFFSET(TIAM15_assumptions!$G98,0,MATCH(VLOOKUP(Assumptions!AG$2,TIAM15_assumptions!$Y$3:$Z$36,2,FALSE),TIAM15_assumptions!$H$2:$V$2,0))</f>
        <v>0</v>
      </c>
      <c r="AH98" s="9">
        <f ca="1">OFFSET(TIAM15_assumptions!$G98,0,MATCH(VLOOKUP(Assumptions!AH$2,TIAM15_assumptions!$Y$3:$Z$36,2,FALSE),TIAM15_assumptions!$H$2:$V$2,0))</f>
        <v>0</v>
      </c>
      <c r="AI98" s="9">
        <f ca="1">OFFSET(TIAM15_assumptions!$G98,0,MATCH(VLOOKUP(Assumptions!AI$2,TIAM15_assumptions!$Y$3:$Z$36,2,FALSE),TIAM15_assumptions!$H$2:$V$2,0))</f>
        <v>0</v>
      </c>
      <c r="AJ98" s="9">
        <f ca="1">OFFSET(TIAM15_assumptions!$G98,0,MATCH(VLOOKUP(Assumptions!AJ$2,TIAM15_assumptions!$Y$3:$Z$36,2,FALSE),TIAM15_assumptions!$H$2:$V$2,0))</f>
        <v>0</v>
      </c>
      <c r="AK98" s="9">
        <f ca="1">OFFSET(TIAM15_assumptions!$G98,0,MATCH(VLOOKUP(Assumptions!AK$2,TIAM15_assumptions!$Y$3:$Z$36,2,FALSE),TIAM15_assumptions!$H$2:$V$2,0))</f>
        <v>0</v>
      </c>
      <c r="AN98" s="34">
        <f ca="1">IFERROR(SUMIFS('TRA balance'!E$5:E$40,'TRA balance'!$C$5:$C$40,Assumptions!$C98,'TRA balance'!$D$5:$D$40,Assumptions!$B98)*BS98*H98,"")</f>
        <v>0</v>
      </c>
      <c r="AO98" s="34">
        <f ca="1">IFERROR(SUMIFS('TRA balance'!F$5:F$40,'TRA balance'!$C$5:$C$40,Assumptions!$C98,'TRA balance'!$D$5:$D$40,Assumptions!$B98)*BT98*I98,"")</f>
        <v>0</v>
      </c>
      <c r="AP98" s="34">
        <f ca="1">IFERROR(SUMIFS('TRA balance'!G$5:G$40,'TRA balance'!$C$5:$C$40,Assumptions!$C98,'TRA balance'!$D$5:$D$40,Assumptions!$B98)*BU98*J98,"")</f>
        <v>0</v>
      </c>
      <c r="AQ98" s="34">
        <f ca="1">IFERROR(SUMIFS('TRA balance'!H$5:H$40,'TRA balance'!$C$5:$C$40,Assumptions!$C98,'TRA balance'!$D$5:$D$40,Assumptions!$B98)*BV98*K98,"")</f>
        <v>0</v>
      </c>
      <c r="AR98" s="34">
        <f ca="1">IFERROR(SUMIFS('TRA balance'!I$5:I$40,'TRA balance'!$C$5:$C$40,Assumptions!$C98,'TRA balance'!$D$5:$D$40,Assumptions!$B98)*BW98*L98,"")</f>
        <v>0</v>
      </c>
      <c r="AS98" s="34">
        <f ca="1">IFERROR(SUMIFS('TRA balance'!J$5:J$40,'TRA balance'!$C$5:$C$40,Assumptions!$C98,'TRA balance'!$D$5:$D$40,Assumptions!$B98)*BX98*M98,"")</f>
        <v>0</v>
      </c>
      <c r="AT98" s="34">
        <f ca="1">IFERROR(SUMIFS('TRA balance'!K$5:K$40,'TRA balance'!$C$5:$C$40,Assumptions!$C98,'TRA balance'!$D$5:$D$40,Assumptions!$B98)*BY98*N98,"")</f>
        <v>0</v>
      </c>
      <c r="AU98" s="34">
        <f ca="1">IFERROR(SUMIFS('TRA balance'!L$5:L$40,'TRA balance'!$C$5:$C$40,Assumptions!$C98,'TRA balance'!$D$5:$D$40,Assumptions!$B98)*BZ98*O98,"")</f>
        <v>0</v>
      </c>
      <c r="AV98" s="34">
        <f ca="1">IFERROR(SUMIFS('TRA balance'!M$5:M$40,'TRA balance'!$C$5:$C$40,Assumptions!$C98,'TRA balance'!$D$5:$D$40,Assumptions!$B98)*CA98*P98,"")</f>
        <v>0</v>
      </c>
      <c r="AW98" s="34">
        <f ca="1">IFERROR(SUMIFS('TRA balance'!N$5:N$40,'TRA balance'!$C$5:$C$40,Assumptions!$C98,'TRA balance'!$D$5:$D$40,Assumptions!$B98)*CB98*Q98,"")</f>
        <v>0</v>
      </c>
      <c r="AX98" s="34">
        <f ca="1">IFERROR(SUMIFS('TRA balance'!O$5:O$40,'TRA balance'!$C$5:$C$40,Assumptions!$C98,'TRA balance'!$D$5:$D$40,Assumptions!$B98)*CC98*R98,"")</f>
        <v>0</v>
      </c>
      <c r="AY98" s="34">
        <f ca="1">IFERROR(SUMIFS('TRA balance'!P$5:P$40,'TRA balance'!$C$5:$C$40,Assumptions!$C98,'TRA balance'!$D$5:$D$40,Assumptions!$B98)*CD98*S98,"")</f>
        <v>0</v>
      </c>
      <c r="AZ98" s="34">
        <f ca="1">IFERROR(SUMIFS('TRA balance'!Q$5:Q$40,'TRA balance'!$C$5:$C$40,Assumptions!$C98,'TRA balance'!$D$5:$D$40,Assumptions!$B98)*CE98*T98,"")</f>
        <v>0</v>
      </c>
      <c r="BA98" s="34">
        <f ca="1">IFERROR(SUMIFS('TRA balance'!R$5:R$40,'TRA balance'!$C$5:$C$40,Assumptions!$C98,'TRA balance'!$D$5:$D$40,Assumptions!$B98)*CF98*U98,"")</f>
        <v>0</v>
      </c>
      <c r="BB98" s="34">
        <f ca="1">IFERROR(SUMIFS('TRA balance'!S$5:S$40,'TRA balance'!$C$5:$C$40,Assumptions!$C98,'TRA balance'!$D$5:$D$40,Assumptions!$B98)*CG98*V98,"")</f>
        <v>0</v>
      </c>
      <c r="BC98" s="34">
        <f ca="1">IFERROR(SUMIFS('TRA balance'!T$5:T$40,'TRA balance'!$C$5:$C$40,Assumptions!$C98,'TRA balance'!$D$5:$D$40,Assumptions!$B98)*CH98*W98,"")</f>
        <v>0</v>
      </c>
      <c r="BD98" s="34">
        <f ca="1">IFERROR(SUMIFS('TRA balance'!U$5:U$40,'TRA balance'!$C$5:$C$40,Assumptions!$C98,'TRA balance'!$D$5:$D$40,Assumptions!$B98)*CI98*X98,"")</f>
        <v>0</v>
      </c>
      <c r="BE98" s="34">
        <f ca="1">IFERROR(SUMIFS('TRA balance'!V$5:V$40,'TRA balance'!$C$5:$C$40,Assumptions!$C98,'TRA balance'!$D$5:$D$40,Assumptions!$B98)*CJ98*Y98,"")</f>
        <v>0</v>
      </c>
      <c r="BF98" s="34">
        <f ca="1">IFERROR(SUMIFS('TRA balance'!W$5:W$40,'TRA balance'!$C$5:$C$40,Assumptions!$C98,'TRA balance'!$D$5:$D$40,Assumptions!$B98)*CK98*Z98,"")</f>
        <v>0</v>
      </c>
      <c r="BG98" s="34">
        <f ca="1">IFERROR(SUMIFS('TRA balance'!X$5:X$40,'TRA balance'!$C$5:$C$40,Assumptions!$C98,'TRA balance'!$D$5:$D$40,Assumptions!$B98)*CL98*AA98,"")</f>
        <v>0</v>
      </c>
      <c r="BH98" s="34">
        <f ca="1">IFERROR(SUMIFS('TRA balance'!Y$5:Y$40,'TRA balance'!$C$5:$C$40,Assumptions!$C98,'TRA balance'!$D$5:$D$40,Assumptions!$B98)*CM98*AB98,"")</f>
        <v>0</v>
      </c>
      <c r="BI98" s="34">
        <f ca="1">IFERROR(SUMIFS('TRA balance'!Z$5:Z$40,'TRA balance'!$C$5:$C$40,Assumptions!$C98,'TRA balance'!$D$5:$D$40,Assumptions!$B98)*CN98*AC98,"")</f>
        <v>0</v>
      </c>
      <c r="BJ98" s="34">
        <f ca="1">IFERROR(SUMIFS('TRA balance'!AA$5:AA$40,'TRA balance'!$C$5:$C$40,Assumptions!$C98,'TRA balance'!$D$5:$D$40,Assumptions!$B98)*CO98*AD98,"")</f>
        <v>0</v>
      </c>
      <c r="BK98" s="34">
        <f ca="1">IFERROR(SUMIFS('TRA balance'!AB$5:AB$40,'TRA balance'!$C$5:$C$40,Assumptions!$C98,'TRA balance'!$D$5:$D$40,Assumptions!$B98)*CP98*AE98,"")</f>
        <v>0</v>
      </c>
      <c r="BL98" s="34">
        <f ca="1">IFERROR(SUMIFS('TRA balance'!AC$5:AC$40,'TRA balance'!$C$5:$C$40,Assumptions!$C98,'TRA balance'!$D$5:$D$40,Assumptions!$B98)*CQ98*AF98,"")</f>
        <v>0</v>
      </c>
      <c r="BM98" s="34">
        <f ca="1">IFERROR(SUMIFS('TRA balance'!AD$5:AD$40,'TRA balance'!$C$5:$C$40,Assumptions!$C98,'TRA balance'!$D$5:$D$40,Assumptions!$B98)*CR98*AG98,"")</f>
        <v>0</v>
      </c>
      <c r="BN98" s="34">
        <f ca="1">IFERROR(SUMIFS('TRA balance'!AE$5:AE$40,'TRA balance'!$C$5:$C$40,Assumptions!$C98,'TRA balance'!$D$5:$D$40,Assumptions!$B98)*CS98*AH98,"")</f>
        <v>0</v>
      </c>
      <c r="BO98" s="34">
        <f ca="1">IFERROR(SUMIFS('TRA balance'!AF$5:AF$40,'TRA balance'!$C$5:$C$40,Assumptions!$C98,'TRA balance'!$D$5:$D$40,Assumptions!$B98)*CT98*AI98,"")</f>
        <v>0</v>
      </c>
      <c r="BP98" s="34">
        <f ca="1">IFERROR(SUMIFS('TRA balance'!AG$5:AG$40,'TRA balance'!$C$5:$C$40,Assumptions!$C98,'TRA balance'!$D$5:$D$40,Assumptions!$B98)*CU98*AJ98,"")</f>
        <v>0</v>
      </c>
      <c r="BQ98" s="34">
        <f ca="1">IFERROR(SUMIFS('TRA balance'!AH$5:AH$40,'TRA balance'!$C$5:$C$40,Assumptions!$C98,'TRA balance'!$D$5:$D$40,Assumptions!$B98)*CV98*AK98,"")</f>
        <v>0</v>
      </c>
      <c r="BS98" s="33">
        <f t="shared" ca="1" si="152"/>
        <v>1</v>
      </c>
      <c r="BT98" s="33">
        <f t="shared" ca="1" si="153"/>
        <v>1</v>
      </c>
      <c r="BU98" s="33">
        <f t="shared" ca="1" si="154"/>
        <v>0.5</v>
      </c>
      <c r="BV98" s="33">
        <f t="shared" ca="1" si="155"/>
        <v>1</v>
      </c>
      <c r="BW98" s="33">
        <f t="shared" ca="1" si="156"/>
        <v>0</v>
      </c>
      <c r="BX98" s="33">
        <f t="shared" ca="1" si="157"/>
        <v>0</v>
      </c>
      <c r="BY98" s="33">
        <f t="shared" ca="1" si="158"/>
        <v>0</v>
      </c>
      <c r="BZ98" s="33">
        <f t="shared" ca="1" si="159"/>
        <v>0.5</v>
      </c>
      <c r="CA98" s="33">
        <f t="shared" ca="1" si="160"/>
        <v>0</v>
      </c>
      <c r="CB98" s="33">
        <f t="shared" ca="1" si="161"/>
        <v>0.19999999999999996</v>
      </c>
      <c r="CC98" s="33">
        <f t="shared" ca="1" si="162"/>
        <v>0</v>
      </c>
      <c r="CD98" s="33">
        <f t="shared" ca="1" si="163"/>
        <v>1</v>
      </c>
      <c r="CE98" s="33">
        <f t="shared" ca="1" si="164"/>
        <v>0</v>
      </c>
      <c r="CF98" s="33">
        <f t="shared" ca="1" si="165"/>
        <v>0</v>
      </c>
      <c r="CG98" s="33">
        <f t="shared" ca="1" si="166"/>
        <v>1</v>
      </c>
      <c r="CH98" s="33">
        <f t="shared" ca="1" si="167"/>
        <v>0</v>
      </c>
      <c r="CI98" s="33">
        <f t="shared" ca="1" si="168"/>
        <v>1</v>
      </c>
      <c r="CJ98" s="33">
        <f t="shared" ca="1" si="169"/>
        <v>0</v>
      </c>
      <c r="CK98" s="33">
        <f t="shared" ca="1" si="170"/>
        <v>0</v>
      </c>
      <c r="CL98" s="33">
        <f t="shared" ca="1" si="171"/>
        <v>1</v>
      </c>
      <c r="CM98" s="33">
        <f t="shared" ca="1" si="172"/>
        <v>0.5</v>
      </c>
      <c r="CN98" s="33">
        <f t="shared" ca="1" si="173"/>
        <v>0.5</v>
      </c>
      <c r="CO98" s="33">
        <f t="shared" ca="1" si="174"/>
        <v>1</v>
      </c>
      <c r="CP98" s="33">
        <f t="shared" ca="1" si="175"/>
        <v>0</v>
      </c>
      <c r="CQ98" s="33">
        <f t="shared" ca="1" si="176"/>
        <v>1</v>
      </c>
      <c r="CR98" s="33">
        <f t="shared" ca="1" si="177"/>
        <v>1</v>
      </c>
      <c r="CS98" s="33">
        <f t="shared" ca="1" si="178"/>
        <v>1</v>
      </c>
      <c r="CT98" s="33">
        <f t="shared" ca="1" si="179"/>
        <v>0</v>
      </c>
      <c r="CU98" s="33">
        <f t="shared" ca="1" si="180"/>
        <v>0</v>
      </c>
      <c r="CV98" s="33">
        <f t="shared" ca="1" si="181"/>
        <v>0</v>
      </c>
    </row>
    <row r="99" spans="1:100" x14ac:dyDescent="0.45">
      <c r="A99">
        <v>2</v>
      </c>
      <c r="B99" t="str">
        <f>VLOOKUP(F99,'TRA balance'!$AK$5:$AL$14,2,FALSE)</f>
        <v>TRAELC</v>
      </c>
      <c r="C99" s="6" t="str">
        <f t="shared" si="185"/>
        <v>TR</v>
      </c>
      <c r="D99" s="7" t="s">
        <v>16</v>
      </c>
      <c r="E99" s="18" t="s">
        <v>77</v>
      </c>
      <c r="F99" s="8" t="str">
        <f t="shared" si="228"/>
        <v>Electricity</v>
      </c>
      <c r="G99" s="6" t="s">
        <v>78</v>
      </c>
      <c r="H99" s="9">
        <f ca="1">OFFSET(TIAM15_assumptions!$G99,0,MATCH(VLOOKUP(Assumptions!H$2,TIAM15_assumptions!$Y$3:$Z$36,2,FALSE),TIAM15_assumptions!$H$2:$V$2,0))</f>
        <v>0</v>
      </c>
      <c r="I99" s="9">
        <f ca="1">OFFSET(TIAM15_assumptions!$G99,0,MATCH(VLOOKUP(Assumptions!I$2,TIAM15_assumptions!$Y$3:$Z$36,2,FALSE),TIAM15_assumptions!$H$2:$V$2,0))</f>
        <v>0</v>
      </c>
      <c r="J99" s="9">
        <f ca="1">OFFSET(TIAM15_assumptions!$G99,0,MATCH(VLOOKUP(Assumptions!J$2,TIAM15_assumptions!$Y$3:$Z$36,2,FALSE),TIAM15_assumptions!$H$2:$V$2,0))</f>
        <v>0</v>
      </c>
      <c r="K99" s="9">
        <f ca="1">OFFSET(TIAM15_assumptions!$G99,0,MATCH(VLOOKUP(Assumptions!K$2,TIAM15_assumptions!$Y$3:$Z$36,2,FALSE),TIAM15_assumptions!$H$2:$V$2,0))</f>
        <v>0</v>
      </c>
      <c r="L99" s="9">
        <f ca="1">OFFSET(TIAM15_assumptions!$G99,0,MATCH(VLOOKUP(Assumptions!L$2,TIAM15_assumptions!$Y$3:$Z$36,2,FALSE),TIAM15_assumptions!$H$2:$V$2,0))</f>
        <v>0</v>
      </c>
      <c r="M99" s="9">
        <f ca="1">OFFSET(TIAM15_assumptions!$G99,0,MATCH(VLOOKUP(Assumptions!M$2,TIAM15_assumptions!$Y$3:$Z$36,2,FALSE),TIAM15_assumptions!$H$2:$V$2,0))</f>
        <v>0</v>
      </c>
      <c r="N99" s="9">
        <f ca="1">OFFSET(TIAM15_assumptions!$G99,0,MATCH(VLOOKUP(Assumptions!N$2,TIAM15_assumptions!$Y$3:$Z$36,2,FALSE),TIAM15_assumptions!$H$2:$V$2,0))</f>
        <v>0</v>
      </c>
      <c r="O99" s="9">
        <f ca="1">OFFSET(TIAM15_assumptions!$G99,0,MATCH(VLOOKUP(Assumptions!O$2,TIAM15_assumptions!$Y$3:$Z$36,2,FALSE),TIAM15_assumptions!$H$2:$V$2,0))</f>
        <v>0</v>
      </c>
      <c r="P99" s="9">
        <f ca="1">OFFSET(TIAM15_assumptions!$G99,0,MATCH(VLOOKUP(Assumptions!P$2,TIAM15_assumptions!$Y$3:$Z$36,2,FALSE),TIAM15_assumptions!$H$2:$V$2,0))</f>
        <v>0</v>
      </c>
      <c r="Q99" s="9">
        <f ca="1">OFFSET(TIAM15_assumptions!$G99,0,MATCH(VLOOKUP(Assumptions!Q$2,TIAM15_assumptions!$Y$3:$Z$36,2,FALSE),TIAM15_assumptions!$H$2:$V$2,0))</f>
        <v>0.5</v>
      </c>
      <c r="R99" s="9">
        <f ca="1">OFFSET(TIAM15_assumptions!$G99,0,MATCH(VLOOKUP(Assumptions!R$2,TIAM15_assumptions!$Y$3:$Z$36,2,FALSE),TIAM15_assumptions!$H$2:$V$2,0))</f>
        <v>0</v>
      </c>
      <c r="S99" s="9">
        <f ca="1">OFFSET(TIAM15_assumptions!$G99,0,MATCH(VLOOKUP(Assumptions!S$2,TIAM15_assumptions!$Y$3:$Z$36,2,FALSE),TIAM15_assumptions!$H$2:$V$2,0))</f>
        <v>0</v>
      </c>
      <c r="T99" s="9">
        <f ca="1">OFFSET(TIAM15_assumptions!$G99,0,MATCH(VLOOKUP(Assumptions!T$2,TIAM15_assumptions!$Y$3:$Z$36,2,FALSE),TIAM15_assumptions!$H$2:$V$2,0))</f>
        <v>0</v>
      </c>
      <c r="U99" s="9">
        <f ca="1">OFFSET(TIAM15_assumptions!$G99,0,MATCH(VLOOKUP(Assumptions!U$2,TIAM15_assumptions!$Y$3:$Z$36,2,FALSE),TIAM15_assumptions!$H$2:$V$2,0))</f>
        <v>0</v>
      </c>
      <c r="V99" s="9">
        <f ca="1">OFFSET(TIAM15_assumptions!$G99,0,MATCH(VLOOKUP(Assumptions!V$2,TIAM15_assumptions!$Y$3:$Z$36,2,FALSE),TIAM15_assumptions!$H$2:$V$2,0))</f>
        <v>0</v>
      </c>
      <c r="W99" s="9">
        <f ca="1">OFFSET(TIAM15_assumptions!$G99,0,MATCH(VLOOKUP(Assumptions!W$2,TIAM15_assumptions!$Y$3:$Z$36,2,FALSE),TIAM15_assumptions!$H$2:$V$2,0))</f>
        <v>0</v>
      </c>
      <c r="X99" s="9">
        <f ca="1">OFFSET(TIAM15_assumptions!$G99,0,MATCH(VLOOKUP(Assumptions!X$2,TIAM15_assumptions!$Y$3:$Z$36,2,FALSE),TIAM15_assumptions!$H$2:$V$2,0))</f>
        <v>0</v>
      </c>
      <c r="Y99" s="9">
        <f ca="1">OFFSET(TIAM15_assumptions!$G99,0,MATCH(VLOOKUP(Assumptions!Y$2,TIAM15_assumptions!$Y$3:$Z$36,2,FALSE),TIAM15_assumptions!$H$2:$V$2,0))</f>
        <v>0</v>
      </c>
      <c r="Z99" s="9">
        <f ca="1">OFFSET(TIAM15_assumptions!$G99,0,MATCH(VLOOKUP(Assumptions!Z$2,TIAM15_assumptions!$Y$3:$Z$36,2,FALSE),TIAM15_assumptions!$H$2:$V$2,0))</f>
        <v>0</v>
      </c>
      <c r="AA99" s="9">
        <f ca="1">OFFSET(TIAM15_assumptions!$G99,0,MATCH(VLOOKUP(Assumptions!AA$2,TIAM15_assumptions!$Y$3:$Z$36,2,FALSE),TIAM15_assumptions!$H$2:$V$2,0))</f>
        <v>0</v>
      </c>
      <c r="AB99" s="9">
        <f ca="1">OFFSET(TIAM15_assumptions!$G99,0,MATCH(VLOOKUP(Assumptions!AB$2,TIAM15_assumptions!$Y$3:$Z$36,2,FALSE),TIAM15_assumptions!$H$2:$V$2,0))</f>
        <v>0</v>
      </c>
      <c r="AC99" s="9">
        <f ca="1">OFFSET(TIAM15_assumptions!$G99,0,MATCH(VLOOKUP(Assumptions!AC$2,TIAM15_assumptions!$Y$3:$Z$36,2,FALSE),TIAM15_assumptions!$H$2:$V$2,0))</f>
        <v>0</v>
      </c>
      <c r="AD99" s="9">
        <f ca="1">OFFSET(TIAM15_assumptions!$G99,0,MATCH(VLOOKUP(Assumptions!AD$2,TIAM15_assumptions!$Y$3:$Z$36,2,FALSE),TIAM15_assumptions!$H$2:$V$2,0))</f>
        <v>0</v>
      </c>
      <c r="AE99" s="9">
        <f ca="1">OFFSET(TIAM15_assumptions!$G99,0,MATCH(VLOOKUP(Assumptions!AE$2,TIAM15_assumptions!$Y$3:$Z$36,2,FALSE),TIAM15_assumptions!$H$2:$V$2,0))</f>
        <v>0</v>
      </c>
      <c r="AF99" s="9">
        <f ca="1">OFFSET(TIAM15_assumptions!$G99,0,MATCH(VLOOKUP(Assumptions!AF$2,TIAM15_assumptions!$Y$3:$Z$36,2,FALSE),TIAM15_assumptions!$H$2:$V$2,0))</f>
        <v>0</v>
      </c>
      <c r="AG99" s="9">
        <f ca="1">OFFSET(TIAM15_assumptions!$G99,0,MATCH(VLOOKUP(Assumptions!AG$2,TIAM15_assumptions!$Y$3:$Z$36,2,FALSE),TIAM15_assumptions!$H$2:$V$2,0))</f>
        <v>0</v>
      </c>
      <c r="AH99" s="9">
        <f ca="1">OFFSET(TIAM15_assumptions!$G99,0,MATCH(VLOOKUP(Assumptions!AH$2,TIAM15_assumptions!$Y$3:$Z$36,2,FALSE),TIAM15_assumptions!$H$2:$V$2,0))</f>
        <v>0</v>
      </c>
      <c r="AI99" s="9">
        <f ca="1">OFFSET(TIAM15_assumptions!$G99,0,MATCH(VLOOKUP(Assumptions!AI$2,TIAM15_assumptions!$Y$3:$Z$36,2,FALSE),TIAM15_assumptions!$H$2:$V$2,0))</f>
        <v>0</v>
      </c>
      <c r="AJ99" s="9">
        <f ca="1">OFFSET(TIAM15_assumptions!$G99,0,MATCH(VLOOKUP(Assumptions!AJ$2,TIAM15_assumptions!$Y$3:$Z$36,2,FALSE),TIAM15_assumptions!$H$2:$V$2,0))</f>
        <v>0</v>
      </c>
      <c r="AK99" s="9">
        <f ca="1">OFFSET(TIAM15_assumptions!$G99,0,MATCH(VLOOKUP(Assumptions!AK$2,TIAM15_assumptions!$Y$3:$Z$36,2,FALSE),TIAM15_assumptions!$H$2:$V$2,0))</f>
        <v>0</v>
      </c>
      <c r="AN99" s="34">
        <f ca="1">IFERROR(SUMIFS('TRA balance'!E$5:E$40,'TRA balance'!$C$5:$C$40,Assumptions!$C99,'TRA balance'!$D$5:$D$40,Assumptions!$B99)*BS99*H99,"")</f>
        <v>0</v>
      </c>
      <c r="AO99" s="34">
        <f ca="1">IFERROR(SUMIFS('TRA balance'!F$5:F$40,'TRA balance'!$C$5:$C$40,Assumptions!$C99,'TRA balance'!$D$5:$D$40,Assumptions!$B99)*BT99*I99,"")</f>
        <v>0</v>
      </c>
      <c r="AP99" s="34">
        <f ca="1">IFERROR(SUMIFS('TRA balance'!G$5:G$40,'TRA balance'!$C$5:$C$40,Assumptions!$C99,'TRA balance'!$D$5:$D$40,Assumptions!$B99)*BU99*J99,"")</f>
        <v>0</v>
      </c>
      <c r="AQ99" s="34">
        <f ca="1">IFERROR(SUMIFS('TRA balance'!H$5:H$40,'TRA balance'!$C$5:$C$40,Assumptions!$C99,'TRA balance'!$D$5:$D$40,Assumptions!$B99)*BV99*K99,"")</f>
        <v>0</v>
      </c>
      <c r="AR99" s="34">
        <f ca="1">IFERROR(SUMIFS('TRA balance'!I$5:I$40,'TRA balance'!$C$5:$C$40,Assumptions!$C99,'TRA balance'!$D$5:$D$40,Assumptions!$B99)*BW99*L99,"")</f>
        <v>0</v>
      </c>
      <c r="AS99" s="34">
        <f ca="1">IFERROR(SUMIFS('TRA balance'!J$5:J$40,'TRA balance'!$C$5:$C$40,Assumptions!$C99,'TRA balance'!$D$5:$D$40,Assumptions!$B99)*BX99*M99,"")</f>
        <v>0</v>
      </c>
      <c r="AT99" s="34">
        <f ca="1">IFERROR(SUMIFS('TRA balance'!K$5:K$40,'TRA balance'!$C$5:$C$40,Assumptions!$C99,'TRA balance'!$D$5:$D$40,Assumptions!$B99)*BY99*N99,"")</f>
        <v>0</v>
      </c>
      <c r="AU99" s="34">
        <f ca="1">IFERROR(SUMIFS('TRA balance'!L$5:L$40,'TRA balance'!$C$5:$C$40,Assumptions!$C99,'TRA balance'!$D$5:$D$40,Assumptions!$B99)*BZ99*O99,"")</f>
        <v>0</v>
      </c>
      <c r="AV99" s="34">
        <f ca="1">IFERROR(SUMIFS('TRA balance'!M$5:M$40,'TRA balance'!$C$5:$C$40,Assumptions!$C99,'TRA balance'!$D$5:$D$40,Assumptions!$B99)*CA99*P99,"")</f>
        <v>0</v>
      </c>
      <c r="AW99" s="34">
        <f ca="1">IFERROR(SUMIFS('TRA balance'!N$5:N$40,'TRA balance'!$C$5:$C$40,Assumptions!$C99,'TRA balance'!$D$5:$D$40,Assumptions!$B99)*CB99*Q99,"")</f>
        <v>24.536301367319993</v>
      </c>
      <c r="AX99" s="34">
        <f ca="1">IFERROR(SUMIFS('TRA balance'!O$5:O$40,'TRA balance'!$C$5:$C$40,Assumptions!$C99,'TRA balance'!$D$5:$D$40,Assumptions!$B99)*CC99*R99,"")</f>
        <v>0</v>
      </c>
      <c r="AY99" s="34">
        <f ca="1">IFERROR(SUMIFS('TRA balance'!P$5:P$40,'TRA balance'!$C$5:$C$40,Assumptions!$C99,'TRA balance'!$D$5:$D$40,Assumptions!$B99)*CD99*S99,"")</f>
        <v>0</v>
      </c>
      <c r="AZ99" s="34">
        <f ca="1">IFERROR(SUMIFS('TRA balance'!Q$5:Q$40,'TRA balance'!$C$5:$C$40,Assumptions!$C99,'TRA balance'!$D$5:$D$40,Assumptions!$B99)*CE99*T99,"")</f>
        <v>0</v>
      </c>
      <c r="BA99" s="34">
        <f ca="1">IFERROR(SUMIFS('TRA balance'!R$5:R$40,'TRA balance'!$C$5:$C$40,Assumptions!$C99,'TRA balance'!$D$5:$D$40,Assumptions!$B99)*CF99*U99,"")</f>
        <v>0</v>
      </c>
      <c r="BB99" s="34">
        <f ca="1">IFERROR(SUMIFS('TRA balance'!S$5:S$40,'TRA balance'!$C$5:$C$40,Assumptions!$C99,'TRA balance'!$D$5:$D$40,Assumptions!$B99)*CG99*V99,"")</f>
        <v>0</v>
      </c>
      <c r="BC99" s="34">
        <f ca="1">IFERROR(SUMIFS('TRA balance'!T$5:T$40,'TRA balance'!$C$5:$C$40,Assumptions!$C99,'TRA balance'!$D$5:$D$40,Assumptions!$B99)*CH99*W99,"")</f>
        <v>0</v>
      </c>
      <c r="BD99" s="34">
        <f ca="1">IFERROR(SUMIFS('TRA balance'!U$5:U$40,'TRA balance'!$C$5:$C$40,Assumptions!$C99,'TRA balance'!$D$5:$D$40,Assumptions!$B99)*CI99*X99,"")</f>
        <v>0</v>
      </c>
      <c r="BE99" s="34">
        <f ca="1">IFERROR(SUMIFS('TRA balance'!V$5:V$40,'TRA balance'!$C$5:$C$40,Assumptions!$C99,'TRA balance'!$D$5:$D$40,Assumptions!$B99)*CJ99*Y99,"")</f>
        <v>0</v>
      </c>
      <c r="BF99" s="34">
        <f ca="1">IFERROR(SUMIFS('TRA balance'!W$5:W$40,'TRA balance'!$C$5:$C$40,Assumptions!$C99,'TRA balance'!$D$5:$D$40,Assumptions!$B99)*CK99*Z99,"")</f>
        <v>0</v>
      </c>
      <c r="BG99" s="34">
        <f ca="1">IFERROR(SUMIFS('TRA balance'!X$5:X$40,'TRA balance'!$C$5:$C$40,Assumptions!$C99,'TRA balance'!$D$5:$D$40,Assumptions!$B99)*CL99*AA99,"")</f>
        <v>0</v>
      </c>
      <c r="BH99" s="34">
        <f ca="1">IFERROR(SUMIFS('TRA balance'!Y$5:Y$40,'TRA balance'!$C$5:$C$40,Assumptions!$C99,'TRA balance'!$D$5:$D$40,Assumptions!$B99)*CM99*AB99,"")</f>
        <v>0</v>
      </c>
      <c r="BI99" s="34">
        <f ca="1">IFERROR(SUMIFS('TRA balance'!Z$5:Z$40,'TRA balance'!$C$5:$C$40,Assumptions!$C99,'TRA balance'!$D$5:$D$40,Assumptions!$B99)*CN99*AC99,"")</f>
        <v>0</v>
      </c>
      <c r="BJ99" s="34">
        <f ca="1">IFERROR(SUMIFS('TRA balance'!AA$5:AA$40,'TRA balance'!$C$5:$C$40,Assumptions!$C99,'TRA balance'!$D$5:$D$40,Assumptions!$B99)*CO99*AD99,"")</f>
        <v>0</v>
      </c>
      <c r="BK99" s="34">
        <f ca="1">IFERROR(SUMIFS('TRA balance'!AB$5:AB$40,'TRA balance'!$C$5:$C$40,Assumptions!$C99,'TRA balance'!$D$5:$D$40,Assumptions!$B99)*CP99*AE99,"")</f>
        <v>0</v>
      </c>
      <c r="BL99" s="34">
        <f ca="1">IFERROR(SUMIFS('TRA balance'!AC$5:AC$40,'TRA balance'!$C$5:$C$40,Assumptions!$C99,'TRA balance'!$D$5:$D$40,Assumptions!$B99)*CQ99*AF99,"")</f>
        <v>0</v>
      </c>
      <c r="BM99" s="34">
        <f ca="1">IFERROR(SUMIFS('TRA balance'!AD$5:AD$40,'TRA balance'!$C$5:$C$40,Assumptions!$C99,'TRA balance'!$D$5:$D$40,Assumptions!$B99)*CR99*AG99,"")</f>
        <v>0</v>
      </c>
      <c r="BN99" s="34">
        <f ca="1">IFERROR(SUMIFS('TRA balance'!AE$5:AE$40,'TRA balance'!$C$5:$C$40,Assumptions!$C99,'TRA balance'!$D$5:$D$40,Assumptions!$B99)*CS99*AH99,"")</f>
        <v>0</v>
      </c>
      <c r="BO99" s="34">
        <f ca="1">IFERROR(SUMIFS('TRA balance'!AF$5:AF$40,'TRA balance'!$C$5:$C$40,Assumptions!$C99,'TRA balance'!$D$5:$D$40,Assumptions!$B99)*CT99*AI99,"")</f>
        <v>0</v>
      </c>
      <c r="BP99" s="34">
        <f ca="1">IFERROR(SUMIFS('TRA balance'!AG$5:AG$40,'TRA balance'!$C$5:$C$40,Assumptions!$C99,'TRA balance'!$D$5:$D$40,Assumptions!$B99)*CU99*AJ99,"")</f>
        <v>0</v>
      </c>
      <c r="BQ99" s="34">
        <f ca="1">IFERROR(SUMIFS('TRA balance'!AH$5:AH$40,'TRA balance'!$C$5:$C$40,Assumptions!$C99,'TRA balance'!$D$5:$D$40,Assumptions!$B99)*CV99*AK99,"")</f>
        <v>0</v>
      </c>
      <c r="BS99" s="33">
        <f t="shared" ca="1" si="152"/>
        <v>1</v>
      </c>
      <c r="BT99" s="33">
        <f t="shared" ca="1" si="153"/>
        <v>1</v>
      </c>
      <c r="BU99" s="33">
        <f t="shared" ca="1" si="154"/>
        <v>0.5</v>
      </c>
      <c r="BV99" s="33">
        <f t="shared" ca="1" si="155"/>
        <v>1</v>
      </c>
      <c r="BW99" s="33">
        <f t="shared" ca="1" si="156"/>
        <v>0</v>
      </c>
      <c r="BX99" s="33">
        <f t="shared" ca="1" si="157"/>
        <v>0</v>
      </c>
      <c r="BY99" s="33">
        <f t="shared" ca="1" si="158"/>
        <v>0</v>
      </c>
      <c r="BZ99" s="33">
        <f t="shared" ca="1" si="159"/>
        <v>0.5</v>
      </c>
      <c r="CA99" s="33">
        <f t="shared" ca="1" si="160"/>
        <v>0</v>
      </c>
      <c r="CB99" s="33">
        <f t="shared" ca="1" si="161"/>
        <v>0.19999999999999996</v>
      </c>
      <c r="CC99" s="33">
        <f t="shared" ca="1" si="162"/>
        <v>0</v>
      </c>
      <c r="CD99" s="33">
        <f t="shared" ca="1" si="163"/>
        <v>1</v>
      </c>
      <c r="CE99" s="33">
        <f t="shared" ca="1" si="164"/>
        <v>0</v>
      </c>
      <c r="CF99" s="33">
        <f t="shared" ca="1" si="165"/>
        <v>0</v>
      </c>
      <c r="CG99" s="33">
        <f t="shared" ca="1" si="166"/>
        <v>1</v>
      </c>
      <c r="CH99" s="33">
        <f t="shared" ca="1" si="167"/>
        <v>0</v>
      </c>
      <c r="CI99" s="33">
        <f t="shared" ca="1" si="168"/>
        <v>1</v>
      </c>
      <c r="CJ99" s="33">
        <f t="shared" ca="1" si="169"/>
        <v>0</v>
      </c>
      <c r="CK99" s="33">
        <f t="shared" ca="1" si="170"/>
        <v>0</v>
      </c>
      <c r="CL99" s="33">
        <f t="shared" ca="1" si="171"/>
        <v>1</v>
      </c>
      <c r="CM99" s="33">
        <f t="shared" ca="1" si="172"/>
        <v>0.5</v>
      </c>
      <c r="CN99" s="33">
        <f t="shared" ca="1" si="173"/>
        <v>0.5</v>
      </c>
      <c r="CO99" s="33">
        <f t="shared" ca="1" si="174"/>
        <v>1</v>
      </c>
      <c r="CP99" s="33">
        <f t="shared" ca="1" si="175"/>
        <v>0</v>
      </c>
      <c r="CQ99" s="33">
        <f t="shared" ca="1" si="176"/>
        <v>1</v>
      </c>
      <c r="CR99" s="33">
        <f t="shared" ca="1" si="177"/>
        <v>1</v>
      </c>
      <c r="CS99" s="33">
        <f t="shared" ca="1" si="178"/>
        <v>1</v>
      </c>
      <c r="CT99" s="33">
        <f t="shared" ca="1" si="179"/>
        <v>0</v>
      </c>
      <c r="CU99" s="33">
        <f t="shared" ca="1" si="180"/>
        <v>0</v>
      </c>
      <c r="CV99" s="33">
        <f t="shared" ca="1" si="181"/>
        <v>0</v>
      </c>
    </row>
    <row r="100" spans="1:100" x14ac:dyDescent="0.45">
      <c r="A100">
        <v>1</v>
      </c>
      <c r="B100" t="str">
        <f>VLOOKUP(F100,'TRA balance'!$AK$5:$AL$14,2,FALSE)</f>
        <v>TRAELC</v>
      </c>
      <c r="C100" s="6" t="str">
        <f t="shared" si="185"/>
        <v/>
      </c>
      <c r="D100" s="7"/>
      <c r="E100" s="19" t="s">
        <v>79</v>
      </c>
      <c r="F100" s="8" t="str">
        <f t="shared" si="228"/>
        <v>Electricity</v>
      </c>
      <c r="G100" s="6"/>
      <c r="H100" s="22" t="str">
        <f ca="1">IF(SUM(H96:H99)=1,"-","&lt;&gt;1!!")</f>
        <v>-</v>
      </c>
      <c r="I100" s="22" t="str">
        <f t="shared" ref="I100" ca="1" si="229">IF(SUM(I96:I99)=1,"-","&lt;&gt;1!!")</f>
        <v>-</v>
      </c>
      <c r="J100" s="22" t="str">
        <f t="shared" ref="J100" ca="1" si="230">IF(SUM(J96:J99)=1,"-","&lt;&gt;1!!")</f>
        <v>-</v>
      </c>
      <c r="K100" s="22" t="str">
        <f t="shared" ref="K100" ca="1" si="231">IF(SUM(K96:K99)=1,"-","&lt;&gt;1!!")</f>
        <v>-</v>
      </c>
      <c r="L100" s="22" t="str">
        <f t="shared" ref="L100" ca="1" si="232">IF(SUM(L96:L99)=1,"-","&lt;&gt;1!!")</f>
        <v>-</v>
      </c>
      <c r="M100" s="22" t="str">
        <f t="shared" ref="M100:X100" ca="1" si="233">IF(SUM(M96:M99)=1,"-","&lt;&gt;1!!")</f>
        <v>-</v>
      </c>
      <c r="N100" s="22" t="str">
        <f t="shared" ca="1" si="233"/>
        <v>-</v>
      </c>
      <c r="O100" s="22" t="str">
        <f t="shared" ca="1" si="233"/>
        <v>-</v>
      </c>
      <c r="P100" s="22" t="str">
        <f t="shared" ca="1" si="233"/>
        <v>-</v>
      </c>
      <c r="Q100" s="22" t="str">
        <f t="shared" ca="1" si="233"/>
        <v>-</v>
      </c>
      <c r="R100" s="22" t="str">
        <f t="shared" ca="1" si="233"/>
        <v>-</v>
      </c>
      <c r="S100" s="22" t="str">
        <f t="shared" ca="1" si="233"/>
        <v>-</v>
      </c>
      <c r="T100" s="22" t="str">
        <f t="shared" ca="1" si="233"/>
        <v>-</v>
      </c>
      <c r="U100" s="22" t="str">
        <f t="shared" ca="1" si="233"/>
        <v>-</v>
      </c>
      <c r="V100" s="22" t="str">
        <f t="shared" ca="1" si="233"/>
        <v>-</v>
      </c>
      <c r="W100" s="22" t="str">
        <f t="shared" ca="1" si="233"/>
        <v>-</v>
      </c>
      <c r="X100" s="22" t="str">
        <f t="shared" ca="1" si="233"/>
        <v>-</v>
      </c>
      <c r="Y100" s="22" t="str">
        <f t="shared" ref="Y100:Z100" ca="1" si="234">IF(SUM(Y96:Y99)=1,"-","&lt;&gt;1!!")</f>
        <v>-</v>
      </c>
      <c r="Z100" s="22" t="str">
        <f t="shared" ca="1" si="234"/>
        <v>-</v>
      </c>
      <c r="AA100" s="22" t="str">
        <f t="shared" ref="AA100:AK100" ca="1" si="235">IF(SUM(AA96:AA99)=1,"-","&lt;&gt;1!!")</f>
        <v>-</v>
      </c>
      <c r="AB100" s="22" t="str">
        <f t="shared" ca="1" si="235"/>
        <v>-</v>
      </c>
      <c r="AC100" s="22" t="str">
        <f t="shared" ca="1" si="235"/>
        <v>-</v>
      </c>
      <c r="AD100" s="22" t="str">
        <f t="shared" ca="1" si="235"/>
        <v>-</v>
      </c>
      <c r="AE100" s="22" t="str">
        <f t="shared" ca="1" si="235"/>
        <v>-</v>
      </c>
      <c r="AF100" s="22" t="str">
        <f t="shared" ca="1" si="235"/>
        <v>-</v>
      </c>
      <c r="AG100" s="22" t="str">
        <f t="shared" ca="1" si="235"/>
        <v>-</v>
      </c>
      <c r="AH100" s="22" t="str">
        <f t="shared" ca="1" si="235"/>
        <v>-</v>
      </c>
      <c r="AI100" s="22" t="str">
        <f t="shared" ca="1" si="235"/>
        <v>-</v>
      </c>
      <c r="AJ100" s="22" t="str">
        <f t="shared" ca="1" si="235"/>
        <v>-</v>
      </c>
      <c r="AK100" s="22" t="str">
        <f t="shared" ca="1" si="235"/>
        <v>-</v>
      </c>
      <c r="AN100" s="34" t="str">
        <f ca="1">IFERROR(SUMIFS('TRA balance'!E$5:E$40,'TRA balance'!$C$5:$C$40,Assumptions!$C100,'TRA balance'!$D$5:$D$40,Assumptions!$B100)*BS100*H100,"")</f>
        <v/>
      </c>
      <c r="AO100" s="34" t="str">
        <f ca="1">IFERROR(SUMIFS('TRA balance'!F$5:F$40,'TRA balance'!$C$5:$C$40,Assumptions!$C100,'TRA balance'!$D$5:$D$40,Assumptions!$B100)*BT100*I100,"")</f>
        <v/>
      </c>
      <c r="AP100" s="34" t="str">
        <f ca="1">IFERROR(SUMIFS('TRA balance'!G$5:G$40,'TRA balance'!$C$5:$C$40,Assumptions!$C100,'TRA balance'!$D$5:$D$40,Assumptions!$B100)*BU100*J100,"")</f>
        <v/>
      </c>
      <c r="AQ100" s="34" t="str">
        <f ca="1">IFERROR(SUMIFS('TRA balance'!H$5:H$40,'TRA balance'!$C$5:$C$40,Assumptions!$C100,'TRA balance'!$D$5:$D$40,Assumptions!$B100)*BV100*K100,"")</f>
        <v/>
      </c>
      <c r="AR100" s="34" t="str">
        <f ca="1">IFERROR(SUMIFS('TRA balance'!I$5:I$40,'TRA balance'!$C$5:$C$40,Assumptions!$C100,'TRA balance'!$D$5:$D$40,Assumptions!$B100)*BW100*L100,"")</f>
        <v/>
      </c>
      <c r="AS100" s="34" t="str">
        <f ca="1">IFERROR(SUMIFS('TRA balance'!J$5:J$40,'TRA balance'!$C$5:$C$40,Assumptions!$C100,'TRA balance'!$D$5:$D$40,Assumptions!$B100)*BX100*M100,"")</f>
        <v/>
      </c>
      <c r="AT100" s="34" t="str">
        <f ca="1">IFERROR(SUMIFS('TRA balance'!K$5:K$40,'TRA balance'!$C$5:$C$40,Assumptions!$C100,'TRA balance'!$D$5:$D$40,Assumptions!$B100)*BY100*N100,"")</f>
        <v/>
      </c>
      <c r="AU100" s="34" t="str">
        <f ca="1">IFERROR(SUMIFS('TRA balance'!L$5:L$40,'TRA balance'!$C$5:$C$40,Assumptions!$C100,'TRA balance'!$D$5:$D$40,Assumptions!$B100)*BZ100*O100,"")</f>
        <v/>
      </c>
      <c r="AV100" s="34" t="str">
        <f ca="1">IFERROR(SUMIFS('TRA balance'!M$5:M$40,'TRA balance'!$C$5:$C$40,Assumptions!$C100,'TRA balance'!$D$5:$D$40,Assumptions!$B100)*CA100*P100,"")</f>
        <v/>
      </c>
      <c r="AW100" s="34" t="str">
        <f ca="1">IFERROR(SUMIFS('TRA balance'!N$5:N$40,'TRA balance'!$C$5:$C$40,Assumptions!$C100,'TRA balance'!$D$5:$D$40,Assumptions!$B100)*CB100*Q100,"")</f>
        <v/>
      </c>
      <c r="AX100" s="34" t="str">
        <f ca="1">IFERROR(SUMIFS('TRA balance'!O$5:O$40,'TRA balance'!$C$5:$C$40,Assumptions!$C100,'TRA balance'!$D$5:$D$40,Assumptions!$B100)*CC100*R100,"")</f>
        <v/>
      </c>
      <c r="AY100" s="34" t="str">
        <f ca="1">IFERROR(SUMIFS('TRA balance'!P$5:P$40,'TRA balance'!$C$5:$C$40,Assumptions!$C100,'TRA balance'!$D$5:$D$40,Assumptions!$B100)*CD100*S100,"")</f>
        <v/>
      </c>
      <c r="AZ100" s="34" t="str">
        <f ca="1">IFERROR(SUMIFS('TRA balance'!Q$5:Q$40,'TRA balance'!$C$5:$C$40,Assumptions!$C100,'TRA balance'!$D$5:$D$40,Assumptions!$B100)*CE100*T100,"")</f>
        <v/>
      </c>
      <c r="BA100" s="34" t="str">
        <f ca="1">IFERROR(SUMIFS('TRA balance'!R$5:R$40,'TRA balance'!$C$5:$C$40,Assumptions!$C100,'TRA balance'!$D$5:$D$40,Assumptions!$B100)*CF100*U100,"")</f>
        <v/>
      </c>
      <c r="BB100" s="34" t="str">
        <f ca="1">IFERROR(SUMIFS('TRA balance'!S$5:S$40,'TRA balance'!$C$5:$C$40,Assumptions!$C100,'TRA balance'!$D$5:$D$40,Assumptions!$B100)*CG100*V100,"")</f>
        <v/>
      </c>
      <c r="BC100" s="34" t="str">
        <f ca="1">IFERROR(SUMIFS('TRA balance'!T$5:T$40,'TRA balance'!$C$5:$C$40,Assumptions!$C100,'TRA balance'!$D$5:$D$40,Assumptions!$B100)*CH100*W100,"")</f>
        <v/>
      </c>
      <c r="BD100" s="34" t="str">
        <f ca="1">IFERROR(SUMIFS('TRA balance'!U$5:U$40,'TRA balance'!$C$5:$C$40,Assumptions!$C100,'TRA balance'!$D$5:$D$40,Assumptions!$B100)*CI100*X100,"")</f>
        <v/>
      </c>
      <c r="BE100" s="34" t="str">
        <f ca="1">IFERROR(SUMIFS('TRA balance'!V$5:V$40,'TRA balance'!$C$5:$C$40,Assumptions!$C100,'TRA balance'!$D$5:$D$40,Assumptions!$B100)*CJ100*Y100,"")</f>
        <v/>
      </c>
      <c r="BF100" s="34" t="str">
        <f ca="1">IFERROR(SUMIFS('TRA balance'!W$5:W$40,'TRA balance'!$C$5:$C$40,Assumptions!$C100,'TRA balance'!$D$5:$D$40,Assumptions!$B100)*CK100*Z100,"")</f>
        <v/>
      </c>
      <c r="BG100" s="34" t="str">
        <f ca="1">IFERROR(SUMIFS('TRA balance'!X$5:X$40,'TRA balance'!$C$5:$C$40,Assumptions!$C100,'TRA balance'!$D$5:$D$40,Assumptions!$B100)*CL100*AA100,"")</f>
        <v/>
      </c>
      <c r="BH100" s="34" t="str">
        <f ca="1">IFERROR(SUMIFS('TRA balance'!Y$5:Y$40,'TRA balance'!$C$5:$C$40,Assumptions!$C100,'TRA balance'!$D$5:$D$40,Assumptions!$B100)*CM100*AB100,"")</f>
        <v/>
      </c>
      <c r="BI100" s="34" t="str">
        <f ca="1">IFERROR(SUMIFS('TRA balance'!Z$5:Z$40,'TRA balance'!$C$5:$C$40,Assumptions!$C100,'TRA balance'!$D$5:$D$40,Assumptions!$B100)*CN100*AC100,"")</f>
        <v/>
      </c>
      <c r="BJ100" s="34" t="str">
        <f ca="1">IFERROR(SUMIFS('TRA balance'!AA$5:AA$40,'TRA balance'!$C$5:$C$40,Assumptions!$C100,'TRA balance'!$D$5:$D$40,Assumptions!$B100)*CO100*AD100,"")</f>
        <v/>
      </c>
      <c r="BK100" s="34" t="str">
        <f ca="1">IFERROR(SUMIFS('TRA balance'!AB$5:AB$40,'TRA balance'!$C$5:$C$40,Assumptions!$C100,'TRA balance'!$D$5:$D$40,Assumptions!$B100)*CP100*AE100,"")</f>
        <v/>
      </c>
      <c r="BL100" s="34" t="str">
        <f ca="1">IFERROR(SUMIFS('TRA balance'!AC$5:AC$40,'TRA balance'!$C$5:$C$40,Assumptions!$C100,'TRA balance'!$D$5:$D$40,Assumptions!$B100)*CQ100*AF100,"")</f>
        <v/>
      </c>
      <c r="BM100" s="34" t="str">
        <f ca="1">IFERROR(SUMIFS('TRA balance'!AD$5:AD$40,'TRA balance'!$C$5:$C$40,Assumptions!$C100,'TRA balance'!$D$5:$D$40,Assumptions!$B100)*CR100*AG100,"")</f>
        <v/>
      </c>
      <c r="BN100" s="34" t="str">
        <f ca="1">IFERROR(SUMIFS('TRA balance'!AE$5:AE$40,'TRA balance'!$C$5:$C$40,Assumptions!$C100,'TRA balance'!$D$5:$D$40,Assumptions!$B100)*CS100*AH100,"")</f>
        <v/>
      </c>
      <c r="BO100" s="34" t="str">
        <f ca="1">IFERROR(SUMIFS('TRA balance'!AF$5:AF$40,'TRA balance'!$C$5:$C$40,Assumptions!$C100,'TRA balance'!$D$5:$D$40,Assumptions!$B100)*CT100*AI100,"")</f>
        <v/>
      </c>
      <c r="BP100" s="34" t="str">
        <f ca="1">IFERROR(SUMIFS('TRA balance'!AG$5:AG$40,'TRA balance'!$C$5:$C$40,Assumptions!$C100,'TRA balance'!$D$5:$D$40,Assumptions!$B100)*CU100*AJ100,"")</f>
        <v/>
      </c>
      <c r="BQ100" s="34" t="str">
        <f ca="1">IFERROR(SUMIFS('TRA balance'!AH$5:AH$40,'TRA balance'!$C$5:$C$40,Assumptions!$C100,'TRA balance'!$D$5:$D$40,Assumptions!$B100)*CV100*AK100,"")</f>
        <v/>
      </c>
      <c r="BS100" s="33">
        <f t="shared" si="152"/>
        <v>1</v>
      </c>
      <c r="BT100" s="33">
        <f t="shared" si="153"/>
        <v>1</v>
      </c>
      <c r="BU100" s="33">
        <f t="shared" si="154"/>
        <v>1</v>
      </c>
      <c r="BV100" s="33">
        <f t="shared" si="155"/>
        <v>1</v>
      </c>
      <c r="BW100" s="33">
        <f t="shared" si="156"/>
        <v>1</v>
      </c>
      <c r="BX100" s="33">
        <f t="shared" si="157"/>
        <v>1</v>
      </c>
      <c r="BY100" s="33">
        <f t="shared" si="158"/>
        <v>1</v>
      </c>
      <c r="BZ100" s="33">
        <f t="shared" si="159"/>
        <v>1</v>
      </c>
      <c r="CA100" s="33">
        <f t="shared" si="160"/>
        <v>1</v>
      </c>
      <c r="CB100" s="33">
        <f t="shared" si="161"/>
        <v>1</v>
      </c>
      <c r="CC100" s="33">
        <f t="shared" si="162"/>
        <v>1</v>
      </c>
      <c r="CD100" s="33">
        <f t="shared" si="163"/>
        <v>1</v>
      </c>
      <c r="CE100" s="33">
        <f t="shared" si="164"/>
        <v>1</v>
      </c>
      <c r="CF100" s="33">
        <f t="shared" si="165"/>
        <v>1</v>
      </c>
      <c r="CG100" s="33">
        <f t="shared" si="166"/>
        <v>1</v>
      </c>
      <c r="CH100" s="33">
        <f t="shared" si="167"/>
        <v>1</v>
      </c>
      <c r="CI100" s="33">
        <f t="shared" si="168"/>
        <v>1</v>
      </c>
      <c r="CJ100" s="33">
        <f t="shared" si="169"/>
        <v>1</v>
      </c>
      <c r="CK100" s="33">
        <f t="shared" si="170"/>
        <v>1</v>
      </c>
      <c r="CL100" s="33">
        <f t="shared" si="171"/>
        <v>1</v>
      </c>
      <c r="CM100" s="33">
        <f t="shared" si="172"/>
        <v>1</v>
      </c>
      <c r="CN100" s="33">
        <f t="shared" si="173"/>
        <v>1</v>
      </c>
      <c r="CO100" s="33">
        <f t="shared" si="174"/>
        <v>1</v>
      </c>
      <c r="CP100" s="33">
        <f t="shared" si="175"/>
        <v>1</v>
      </c>
      <c r="CQ100" s="33">
        <f t="shared" si="176"/>
        <v>1</v>
      </c>
      <c r="CR100" s="33">
        <f t="shared" si="177"/>
        <v>1</v>
      </c>
      <c r="CS100" s="33">
        <f t="shared" si="178"/>
        <v>1</v>
      </c>
      <c r="CT100" s="33">
        <f t="shared" si="179"/>
        <v>1</v>
      </c>
      <c r="CU100" s="33">
        <f t="shared" si="180"/>
        <v>1</v>
      </c>
      <c r="CV100" s="33">
        <f t="shared" si="181"/>
        <v>1</v>
      </c>
    </row>
    <row r="101" spans="1:100" x14ac:dyDescent="0.45">
      <c r="A101">
        <v>1</v>
      </c>
      <c r="B101" t="str">
        <f>VLOOKUP(F101,'TRA balance'!$AK$5:$AL$14,2,FALSE)</f>
        <v>TRAELC</v>
      </c>
      <c r="C101" s="6" t="str">
        <f t="shared" si="185"/>
        <v>TT</v>
      </c>
      <c r="D101" s="7" t="s">
        <v>17</v>
      </c>
      <c r="E101" s="7" t="s">
        <v>53</v>
      </c>
      <c r="F101" s="8" t="str">
        <f t="shared" si="228"/>
        <v>Electricity</v>
      </c>
      <c r="G101" s="6" t="s">
        <v>55</v>
      </c>
      <c r="H101" s="9">
        <f ca="1">OFFSET(TIAM15_assumptions!$G101,0,MATCH(VLOOKUP(Assumptions!H$2,TIAM15_assumptions!$Y$3:$Z$36,2,FALSE),TIAM15_assumptions!$H$2:$V$2,0))</f>
        <v>0.3</v>
      </c>
      <c r="I101" s="9">
        <f ca="1">OFFSET(TIAM15_assumptions!$G101,0,MATCH(VLOOKUP(Assumptions!I$2,TIAM15_assumptions!$Y$3:$Z$36,2,FALSE),TIAM15_assumptions!$H$2:$V$2,0))</f>
        <v>0.3</v>
      </c>
      <c r="J101" s="9">
        <f ca="1">OFFSET(TIAM15_assumptions!$G101,0,MATCH(VLOOKUP(Assumptions!J$2,TIAM15_assumptions!$Y$3:$Z$36,2,FALSE),TIAM15_assumptions!$H$2:$V$2,0))</f>
        <v>0.05</v>
      </c>
      <c r="K101" s="9">
        <f ca="1">OFFSET(TIAM15_assumptions!$G101,0,MATCH(VLOOKUP(Assumptions!K$2,TIAM15_assumptions!$Y$3:$Z$36,2,FALSE),TIAM15_assumptions!$H$2:$V$2,0))</f>
        <v>0.2</v>
      </c>
      <c r="L101" s="9">
        <f ca="1">OFFSET(TIAM15_assumptions!$G101,0,MATCH(VLOOKUP(Assumptions!L$2,TIAM15_assumptions!$Y$3:$Z$36,2,FALSE),TIAM15_assumptions!$H$2:$V$2,0))</f>
        <v>0</v>
      </c>
      <c r="M101" s="9">
        <f ca="1">OFFSET(TIAM15_assumptions!$G101,0,MATCH(VLOOKUP(Assumptions!M$2,TIAM15_assumptions!$Y$3:$Z$36,2,FALSE),TIAM15_assumptions!$H$2:$V$2,0))</f>
        <v>0.05</v>
      </c>
      <c r="N101" s="9">
        <f ca="1">OFFSET(TIAM15_assumptions!$G101,0,MATCH(VLOOKUP(Assumptions!N$2,TIAM15_assumptions!$Y$3:$Z$36,2,FALSE),TIAM15_assumptions!$H$2:$V$2,0))</f>
        <v>0.3</v>
      </c>
      <c r="O101" s="9">
        <f ca="1">OFFSET(TIAM15_assumptions!$G101,0,MATCH(VLOOKUP(Assumptions!O$2,TIAM15_assumptions!$Y$3:$Z$36,2,FALSE),TIAM15_assumptions!$H$2:$V$2,0))</f>
        <v>0.05</v>
      </c>
      <c r="P101" s="9">
        <f ca="1">OFFSET(TIAM15_assumptions!$G101,0,MATCH(VLOOKUP(Assumptions!P$2,TIAM15_assumptions!$Y$3:$Z$36,2,FALSE),TIAM15_assumptions!$H$2:$V$2,0))</f>
        <v>0</v>
      </c>
      <c r="Q101" s="9">
        <f ca="1">OFFSET(TIAM15_assumptions!$G101,0,MATCH(VLOOKUP(Assumptions!Q$2,TIAM15_assumptions!$Y$3:$Z$36,2,FALSE),TIAM15_assumptions!$H$2:$V$2,0))</f>
        <v>0.2</v>
      </c>
      <c r="R101" s="9">
        <f ca="1">OFFSET(TIAM15_assumptions!$G101,0,MATCH(VLOOKUP(Assumptions!R$2,TIAM15_assumptions!$Y$3:$Z$36,2,FALSE),TIAM15_assumptions!$H$2:$V$2,0))</f>
        <v>0</v>
      </c>
      <c r="S101" s="9">
        <f ca="1">OFFSET(TIAM15_assumptions!$G101,0,MATCH(VLOOKUP(Assumptions!S$2,TIAM15_assumptions!$Y$3:$Z$36,2,FALSE),TIAM15_assumptions!$H$2:$V$2,0))</f>
        <v>0.1</v>
      </c>
      <c r="T101" s="9">
        <f ca="1">OFFSET(TIAM15_assumptions!$G101,0,MATCH(VLOOKUP(Assumptions!T$2,TIAM15_assumptions!$Y$3:$Z$36,2,FALSE),TIAM15_assumptions!$H$2:$V$2,0))</f>
        <v>0</v>
      </c>
      <c r="U101" s="9">
        <f ca="1">OFFSET(TIAM15_assumptions!$G101,0,MATCH(VLOOKUP(Assumptions!U$2,TIAM15_assumptions!$Y$3:$Z$36,2,FALSE),TIAM15_assumptions!$H$2:$V$2,0))</f>
        <v>0</v>
      </c>
      <c r="V101" s="9">
        <f ca="1">OFFSET(TIAM15_assumptions!$G101,0,MATCH(VLOOKUP(Assumptions!V$2,TIAM15_assumptions!$Y$3:$Z$36,2,FALSE),TIAM15_assumptions!$H$2:$V$2,0))</f>
        <v>0.1</v>
      </c>
      <c r="W101" s="9">
        <f ca="1">OFFSET(TIAM15_assumptions!$G101,0,MATCH(VLOOKUP(Assumptions!W$2,TIAM15_assumptions!$Y$3:$Z$36,2,FALSE),TIAM15_assumptions!$H$2:$V$2,0))</f>
        <v>0</v>
      </c>
      <c r="X101" s="9">
        <f ca="1">OFFSET(TIAM15_assumptions!$G101,0,MATCH(VLOOKUP(Assumptions!X$2,TIAM15_assumptions!$Y$3:$Z$36,2,FALSE),TIAM15_assumptions!$H$2:$V$2,0))</f>
        <v>0.1</v>
      </c>
      <c r="Y101" s="9">
        <f ca="1">OFFSET(TIAM15_assumptions!$G101,0,MATCH(VLOOKUP(Assumptions!Y$2,TIAM15_assumptions!$Y$3:$Z$36,2,FALSE),TIAM15_assumptions!$H$2:$V$2,0))</f>
        <v>0</v>
      </c>
      <c r="Z101" s="9">
        <f ca="1">OFFSET(TIAM15_assumptions!$G101,0,MATCH(VLOOKUP(Assumptions!Z$2,TIAM15_assumptions!$Y$3:$Z$36,2,FALSE),TIAM15_assumptions!$H$2:$V$2,0))</f>
        <v>0</v>
      </c>
      <c r="AA101" s="9">
        <f ca="1">OFFSET(TIAM15_assumptions!$G101,0,MATCH(VLOOKUP(Assumptions!AA$2,TIAM15_assumptions!$Y$3:$Z$36,2,FALSE),TIAM15_assumptions!$H$2:$V$2,0))</f>
        <v>0.3</v>
      </c>
      <c r="AB101" s="9">
        <f ca="1">OFFSET(TIAM15_assumptions!$G101,0,MATCH(VLOOKUP(Assumptions!AB$2,TIAM15_assumptions!$Y$3:$Z$36,2,FALSE),TIAM15_assumptions!$H$2:$V$2,0))</f>
        <v>0.05</v>
      </c>
      <c r="AC101" s="9">
        <f ca="1">OFFSET(TIAM15_assumptions!$G101,0,MATCH(VLOOKUP(Assumptions!AC$2,TIAM15_assumptions!$Y$3:$Z$36,2,FALSE),TIAM15_assumptions!$H$2:$V$2,0))</f>
        <v>0.05</v>
      </c>
      <c r="AD101" s="9">
        <f ca="1">OFFSET(TIAM15_assumptions!$G101,0,MATCH(VLOOKUP(Assumptions!AD$2,TIAM15_assumptions!$Y$3:$Z$36,2,FALSE),TIAM15_assumptions!$H$2:$V$2,0))</f>
        <v>0.1</v>
      </c>
      <c r="AE101" s="9">
        <f ca="1">OFFSET(TIAM15_assumptions!$G101,0,MATCH(VLOOKUP(Assumptions!AE$2,TIAM15_assumptions!$Y$3:$Z$36,2,FALSE),TIAM15_assumptions!$H$2:$V$2,0))</f>
        <v>0</v>
      </c>
      <c r="AF101" s="9">
        <f ca="1">OFFSET(TIAM15_assumptions!$G101,0,MATCH(VLOOKUP(Assumptions!AF$2,TIAM15_assumptions!$Y$3:$Z$36,2,FALSE),TIAM15_assumptions!$H$2:$V$2,0))</f>
        <v>0.2</v>
      </c>
      <c r="AG101" s="9">
        <f ca="1">OFFSET(TIAM15_assumptions!$G101,0,MATCH(VLOOKUP(Assumptions!AG$2,TIAM15_assumptions!$Y$3:$Z$36,2,FALSE),TIAM15_assumptions!$H$2:$V$2,0))</f>
        <v>0.1</v>
      </c>
      <c r="AH101" s="9">
        <f ca="1">OFFSET(TIAM15_assumptions!$G101,0,MATCH(VLOOKUP(Assumptions!AH$2,TIAM15_assumptions!$Y$3:$Z$36,2,FALSE),TIAM15_assumptions!$H$2:$V$2,0))</f>
        <v>0.3</v>
      </c>
      <c r="AI101" s="9">
        <f ca="1">OFFSET(TIAM15_assumptions!$G101,0,MATCH(VLOOKUP(Assumptions!AI$2,TIAM15_assumptions!$Y$3:$Z$36,2,FALSE),TIAM15_assumptions!$H$2:$V$2,0))</f>
        <v>0</v>
      </c>
      <c r="AJ101" s="9">
        <f ca="1">OFFSET(TIAM15_assumptions!$G101,0,MATCH(VLOOKUP(Assumptions!AJ$2,TIAM15_assumptions!$Y$3:$Z$36,2,FALSE),TIAM15_assumptions!$H$2:$V$2,0))</f>
        <v>0</v>
      </c>
      <c r="AK101" s="9">
        <f ca="1">OFFSET(TIAM15_assumptions!$G101,0,MATCH(VLOOKUP(Assumptions!AK$2,TIAM15_assumptions!$Y$3:$Z$36,2,FALSE),TIAM15_assumptions!$H$2:$V$2,0))</f>
        <v>0</v>
      </c>
      <c r="AN101" s="34">
        <f ca="1">IFERROR(SUMIFS('TRA balance'!E$5:E$40,'TRA balance'!$C$5:$C$40,Assumptions!$C101,'TRA balance'!$D$5:$D$40,Assumptions!$B101)*BS101*H101,"")</f>
        <v>2.3358224188799999</v>
      </c>
      <c r="AO101" s="34">
        <f ca="1">IFERROR(SUMIFS('TRA balance'!F$5:F$40,'TRA balance'!$C$5:$C$40,Assumptions!$C101,'TRA balance'!$D$5:$D$40,Assumptions!$B101)*BT101*I101,"")</f>
        <v>5.4566145720000001E-2</v>
      </c>
      <c r="AP101" s="34">
        <f ca="1">IFERROR(SUMIFS('TRA balance'!G$5:G$40,'TRA balance'!$C$5:$C$40,Assumptions!$C101,'TRA balance'!$D$5:$D$40,Assumptions!$B101)*BU101*J101,"")</f>
        <v>0.18172428588</v>
      </c>
      <c r="AQ101" s="34">
        <f ca="1">IFERROR(SUMIFS('TRA balance'!H$5:H$40,'TRA balance'!$C$5:$C$40,Assumptions!$C101,'TRA balance'!$D$5:$D$40,Assumptions!$B101)*BV101*K101,"")</f>
        <v>4.3932284992800001</v>
      </c>
      <c r="AR101" s="34">
        <f ca="1">IFERROR(SUMIFS('TRA balance'!I$5:I$40,'TRA balance'!$C$5:$C$40,Assumptions!$C101,'TRA balance'!$D$5:$D$40,Assumptions!$B101)*BW101*L101,"")</f>
        <v>0</v>
      </c>
      <c r="AS101" s="34">
        <f ca="1">IFERROR(SUMIFS('TRA balance'!J$5:J$40,'TRA balance'!$C$5:$C$40,Assumptions!$C101,'TRA balance'!$D$5:$D$40,Assumptions!$B101)*BX101*M101,"")</f>
        <v>0.92055590279999999</v>
      </c>
      <c r="AT101" s="34">
        <f ca="1">IFERROR(SUMIFS('TRA balance'!K$5:K$40,'TRA balance'!$C$5:$C$40,Assumptions!$C101,'TRA balance'!$D$5:$D$40,Assumptions!$B101)*BY101*N101,"")</f>
        <v>3.5789515837199999</v>
      </c>
      <c r="AU101" s="34">
        <f ca="1">IFERROR(SUMIFS('TRA balance'!L$5:L$40,'TRA balance'!$C$5:$C$40,Assumptions!$C101,'TRA balance'!$D$5:$D$40,Assumptions!$B101)*BZ101*O101,"")</f>
        <v>0.40510220759999999</v>
      </c>
      <c r="AV101" s="34">
        <f ca="1">IFERROR(SUMIFS('TRA balance'!M$5:M$40,'TRA balance'!$C$5:$C$40,Assumptions!$C101,'TRA balance'!$D$5:$D$40,Assumptions!$B101)*CA101*P101,"")</f>
        <v>0</v>
      </c>
      <c r="AW101" s="34">
        <f ca="1">IFERROR(SUMIFS('TRA balance'!N$5:N$40,'TRA balance'!$C$5:$C$40,Assumptions!$C101,'TRA balance'!$D$5:$D$40,Assumptions!$B101)*CB101*Q101,"")</f>
        <v>70.218464862960005</v>
      </c>
      <c r="AX101" s="34">
        <f ca="1">IFERROR(SUMIFS('TRA balance'!O$5:O$40,'TRA balance'!$C$5:$C$40,Assumptions!$C101,'TRA balance'!$D$5:$D$40,Assumptions!$B101)*CC101*R101,"")</f>
        <v>0</v>
      </c>
      <c r="AY101" s="34">
        <f ca="1">IFERROR(SUMIFS('TRA balance'!P$5:P$40,'TRA balance'!$C$5:$C$40,Assumptions!$C101,'TRA balance'!$D$5:$D$40,Assumptions!$B101)*CD101*S101,"")</f>
        <v>2.6296788384000003</v>
      </c>
      <c r="AZ101" s="34">
        <f ca="1">IFERROR(SUMIFS('TRA balance'!Q$5:Q$40,'TRA balance'!$C$5:$C$40,Assumptions!$C101,'TRA balance'!$D$5:$D$40,Assumptions!$B101)*CE101*T101,"")</f>
        <v>0</v>
      </c>
      <c r="BA101" s="34">
        <f ca="1">IFERROR(SUMIFS('TRA balance'!R$5:R$40,'TRA balance'!$C$5:$C$40,Assumptions!$C101,'TRA balance'!$D$5:$D$40,Assumptions!$B101)*CF101*U101,"")</f>
        <v>0</v>
      </c>
      <c r="BB101" s="34">
        <f ca="1">IFERROR(SUMIFS('TRA balance'!S$5:S$40,'TRA balance'!$C$5:$C$40,Assumptions!$C101,'TRA balance'!$D$5:$D$40,Assumptions!$B101)*CG101*V101,"")</f>
        <v>1.05214953888</v>
      </c>
      <c r="BC101" s="34">
        <f ca="1">IFERROR(SUMIFS('TRA balance'!T$5:T$40,'TRA balance'!$C$5:$C$40,Assumptions!$C101,'TRA balance'!$D$5:$D$40,Assumptions!$B101)*CH101*W101,"")</f>
        <v>0</v>
      </c>
      <c r="BD101" s="34">
        <f ca="1">IFERROR(SUMIFS('TRA balance'!U$5:U$40,'TRA balance'!$C$5:$C$40,Assumptions!$C101,'TRA balance'!$D$5:$D$40,Assumptions!$B101)*CI101*X101,"")</f>
        <v>3.8995235553600001</v>
      </c>
      <c r="BE101" s="34">
        <f ca="1">IFERROR(SUMIFS('TRA balance'!V$5:V$40,'TRA balance'!$C$5:$C$40,Assumptions!$C101,'TRA balance'!$D$5:$D$40,Assumptions!$B101)*CJ101*Y101,"")</f>
        <v>0</v>
      </c>
      <c r="BF101" s="34">
        <f ca="1">IFERROR(SUMIFS('TRA balance'!W$5:W$40,'TRA balance'!$C$5:$C$40,Assumptions!$C101,'TRA balance'!$D$5:$D$40,Assumptions!$B101)*CK101*Z101,"")</f>
        <v>0</v>
      </c>
      <c r="BG101" s="34">
        <f ca="1">IFERROR(SUMIFS('TRA balance'!X$5:X$40,'TRA balance'!$C$5:$C$40,Assumptions!$C101,'TRA balance'!$D$5:$D$40,Assumptions!$B101)*CL101*AA101,"")</f>
        <v>20.679839468639997</v>
      </c>
      <c r="BH101" s="34">
        <f ca="1">IFERROR(SUMIFS('TRA balance'!Y$5:Y$40,'TRA balance'!$C$5:$C$40,Assumptions!$C101,'TRA balance'!$D$5:$D$40,Assumptions!$B101)*CM101*AB101,"")</f>
        <v>7.8496219800000003E-2</v>
      </c>
      <c r="BI101" s="34">
        <f ca="1">IFERROR(SUMIFS('TRA balance'!Z$5:Z$40,'TRA balance'!$C$5:$C$40,Assumptions!$C101,'TRA balance'!$D$5:$D$40,Assumptions!$B101)*CN101*AC101,"")</f>
        <v>0.19908003726000001</v>
      </c>
      <c r="BJ101" s="34">
        <f ca="1">IFERROR(SUMIFS('TRA balance'!AA$5:AA$40,'TRA balance'!$C$5:$C$40,Assumptions!$C101,'TRA balance'!$D$5:$D$40,Assumptions!$B101)*CO101*AD101,"")</f>
        <v>0</v>
      </c>
      <c r="BK101" s="34">
        <f ca="1">IFERROR(SUMIFS('TRA balance'!AB$5:AB$40,'TRA balance'!$C$5:$C$40,Assumptions!$C101,'TRA balance'!$D$5:$D$40,Assumptions!$B101)*CP101*AE101,"")</f>
        <v>0</v>
      </c>
      <c r="BL101" s="34">
        <f ca="1">IFERROR(SUMIFS('TRA balance'!AC$5:AC$40,'TRA balance'!$C$5:$C$40,Assumptions!$C101,'TRA balance'!$D$5:$D$40,Assumptions!$B101)*CQ101*AF101,"")</f>
        <v>38.074248410400003</v>
      </c>
      <c r="BM101" s="34">
        <f ca="1">IFERROR(SUMIFS('TRA balance'!AD$5:AD$40,'TRA balance'!$C$5:$C$40,Assumptions!$C101,'TRA balance'!$D$5:$D$40,Assumptions!$B101)*CR101*AG101,"")</f>
        <v>0</v>
      </c>
      <c r="BN101" s="34">
        <f ca="1">IFERROR(SUMIFS('TRA balance'!AE$5:AE$40,'TRA balance'!$C$5:$C$40,Assumptions!$C101,'TRA balance'!$D$5:$D$40,Assumptions!$B101)*CS101*AH101,"")</f>
        <v>2.80800051192</v>
      </c>
      <c r="BO101" s="34">
        <f ca="1">IFERROR(SUMIFS('TRA balance'!AF$5:AF$40,'TRA balance'!$C$5:$C$40,Assumptions!$C101,'TRA balance'!$D$5:$D$40,Assumptions!$B101)*CT101*AI101,"")</f>
        <v>0</v>
      </c>
      <c r="BP101" s="34">
        <f ca="1">IFERROR(SUMIFS('TRA balance'!AG$5:AG$40,'TRA balance'!$C$5:$C$40,Assumptions!$C101,'TRA balance'!$D$5:$D$40,Assumptions!$B101)*CU101*AJ101,"")</f>
        <v>0</v>
      </c>
      <c r="BQ101" s="34">
        <f ca="1">IFERROR(SUMIFS('TRA balance'!AH$5:AH$40,'TRA balance'!$C$5:$C$40,Assumptions!$C101,'TRA balance'!$D$5:$D$40,Assumptions!$B101)*CV101*AK101,"")</f>
        <v>0</v>
      </c>
      <c r="BS101" s="33">
        <f t="shared" si="152"/>
        <v>1</v>
      </c>
      <c r="BT101" s="33">
        <f t="shared" si="153"/>
        <v>1</v>
      </c>
      <c r="BU101" s="33">
        <f t="shared" si="154"/>
        <v>1</v>
      </c>
      <c r="BV101" s="33">
        <f t="shared" si="155"/>
        <v>1</v>
      </c>
      <c r="BW101" s="33">
        <f t="shared" si="156"/>
        <v>1</v>
      </c>
      <c r="BX101" s="33">
        <f t="shared" si="157"/>
        <v>1</v>
      </c>
      <c r="BY101" s="33">
        <f t="shared" si="158"/>
        <v>1</v>
      </c>
      <c r="BZ101" s="33">
        <f t="shared" si="159"/>
        <v>1</v>
      </c>
      <c r="CA101" s="33">
        <f t="shared" si="160"/>
        <v>1</v>
      </c>
      <c r="CB101" s="33">
        <f t="shared" si="161"/>
        <v>1</v>
      </c>
      <c r="CC101" s="33">
        <f t="shared" si="162"/>
        <v>1</v>
      </c>
      <c r="CD101" s="33">
        <f t="shared" si="163"/>
        <v>1</v>
      </c>
      <c r="CE101" s="33">
        <f t="shared" si="164"/>
        <v>1</v>
      </c>
      <c r="CF101" s="33">
        <f t="shared" si="165"/>
        <v>1</v>
      </c>
      <c r="CG101" s="33">
        <f t="shared" si="166"/>
        <v>1</v>
      </c>
      <c r="CH101" s="33">
        <f t="shared" si="167"/>
        <v>1</v>
      </c>
      <c r="CI101" s="33">
        <f t="shared" si="168"/>
        <v>1</v>
      </c>
      <c r="CJ101" s="33">
        <f t="shared" si="169"/>
        <v>1</v>
      </c>
      <c r="CK101" s="33">
        <f t="shared" si="170"/>
        <v>1</v>
      </c>
      <c r="CL101" s="33">
        <f t="shared" si="171"/>
        <v>1</v>
      </c>
      <c r="CM101" s="33">
        <f t="shared" si="172"/>
        <v>1</v>
      </c>
      <c r="CN101" s="33">
        <f t="shared" si="173"/>
        <v>1</v>
      </c>
      <c r="CO101" s="33">
        <f t="shared" si="174"/>
        <v>1</v>
      </c>
      <c r="CP101" s="33">
        <f t="shared" si="175"/>
        <v>1</v>
      </c>
      <c r="CQ101" s="33">
        <f t="shared" si="176"/>
        <v>1</v>
      </c>
      <c r="CR101" s="33">
        <f t="shared" si="177"/>
        <v>1</v>
      </c>
      <c r="CS101" s="33">
        <f t="shared" si="178"/>
        <v>1</v>
      </c>
      <c r="CT101" s="33">
        <f t="shared" si="179"/>
        <v>1</v>
      </c>
      <c r="CU101" s="33">
        <f t="shared" si="180"/>
        <v>1</v>
      </c>
      <c r="CV101" s="33">
        <f t="shared" si="181"/>
        <v>1</v>
      </c>
    </row>
    <row r="102" spans="1:100" x14ac:dyDescent="0.45">
      <c r="A102">
        <v>1</v>
      </c>
      <c r="B102" t="str">
        <f>VLOOKUP(F102,'TRA balance'!$AK$5:$AL$14,2,FALSE)</f>
        <v>TRAELC</v>
      </c>
      <c r="C102" s="6" t="str">
        <f t="shared" si="185"/>
        <v>TT</v>
      </c>
      <c r="D102" s="7" t="s">
        <v>17</v>
      </c>
      <c r="E102" s="7" t="s">
        <v>56</v>
      </c>
      <c r="F102" s="8" t="str">
        <f t="shared" si="228"/>
        <v>Electricity</v>
      </c>
      <c r="G102" s="6" t="s">
        <v>57</v>
      </c>
      <c r="H102" s="9">
        <f ca="1">OFFSET(TIAM15_assumptions!$G102,0,MATCH(VLOOKUP(Assumptions!H$2,TIAM15_assumptions!$Y$3:$Z$36,2,FALSE),TIAM15_assumptions!$H$2:$V$2,0))</f>
        <v>0.7</v>
      </c>
      <c r="I102" s="9">
        <f ca="1">OFFSET(TIAM15_assumptions!$G102,0,MATCH(VLOOKUP(Assumptions!I$2,TIAM15_assumptions!$Y$3:$Z$36,2,FALSE),TIAM15_assumptions!$H$2:$V$2,0))</f>
        <v>0.7</v>
      </c>
      <c r="J102" s="9">
        <f ca="1">OFFSET(TIAM15_assumptions!$G102,0,MATCH(VLOOKUP(Assumptions!J$2,TIAM15_assumptions!$Y$3:$Z$36,2,FALSE),TIAM15_assumptions!$H$2:$V$2,0))</f>
        <v>0.95</v>
      </c>
      <c r="K102" s="9">
        <f ca="1">OFFSET(TIAM15_assumptions!$G102,0,MATCH(VLOOKUP(Assumptions!K$2,TIAM15_assumptions!$Y$3:$Z$36,2,FALSE),TIAM15_assumptions!$H$2:$V$2,0))</f>
        <v>0.8</v>
      </c>
      <c r="L102" s="9">
        <f ca="1">OFFSET(TIAM15_assumptions!$G102,0,MATCH(VLOOKUP(Assumptions!L$2,TIAM15_assumptions!$Y$3:$Z$36,2,FALSE),TIAM15_assumptions!$H$2:$V$2,0))</f>
        <v>1</v>
      </c>
      <c r="M102" s="9">
        <f ca="1">OFFSET(TIAM15_assumptions!$G102,0,MATCH(VLOOKUP(Assumptions!M$2,TIAM15_assumptions!$Y$3:$Z$36,2,FALSE),TIAM15_assumptions!$H$2:$V$2,0))</f>
        <v>0.95</v>
      </c>
      <c r="N102" s="9">
        <f ca="1">OFFSET(TIAM15_assumptions!$G102,0,MATCH(VLOOKUP(Assumptions!N$2,TIAM15_assumptions!$Y$3:$Z$36,2,FALSE),TIAM15_assumptions!$H$2:$V$2,0))</f>
        <v>0.7</v>
      </c>
      <c r="O102" s="9">
        <f ca="1">OFFSET(TIAM15_assumptions!$G102,0,MATCH(VLOOKUP(Assumptions!O$2,TIAM15_assumptions!$Y$3:$Z$36,2,FALSE),TIAM15_assumptions!$H$2:$V$2,0))</f>
        <v>0.95</v>
      </c>
      <c r="P102" s="9">
        <f ca="1">OFFSET(TIAM15_assumptions!$G102,0,MATCH(VLOOKUP(Assumptions!P$2,TIAM15_assumptions!$Y$3:$Z$36,2,FALSE),TIAM15_assumptions!$H$2:$V$2,0))</f>
        <v>1</v>
      </c>
      <c r="Q102" s="9">
        <f ca="1">OFFSET(TIAM15_assumptions!$G102,0,MATCH(VLOOKUP(Assumptions!Q$2,TIAM15_assumptions!$Y$3:$Z$36,2,FALSE),TIAM15_assumptions!$H$2:$V$2,0))</f>
        <v>0.8</v>
      </c>
      <c r="R102" s="9">
        <f ca="1">OFFSET(TIAM15_assumptions!$G102,0,MATCH(VLOOKUP(Assumptions!R$2,TIAM15_assumptions!$Y$3:$Z$36,2,FALSE),TIAM15_assumptions!$H$2:$V$2,0))</f>
        <v>1</v>
      </c>
      <c r="S102" s="9">
        <f ca="1">OFFSET(TIAM15_assumptions!$G102,0,MATCH(VLOOKUP(Assumptions!S$2,TIAM15_assumptions!$Y$3:$Z$36,2,FALSE),TIAM15_assumptions!$H$2:$V$2,0))</f>
        <v>0.9</v>
      </c>
      <c r="T102" s="9">
        <f ca="1">OFFSET(TIAM15_assumptions!$G102,0,MATCH(VLOOKUP(Assumptions!T$2,TIAM15_assumptions!$Y$3:$Z$36,2,FALSE),TIAM15_assumptions!$H$2:$V$2,0))</f>
        <v>1</v>
      </c>
      <c r="U102" s="9">
        <f ca="1">OFFSET(TIAM15_assumptions!$G102,0,MATCH(VLOOKUP(Assumptions!U$2,TIAM15_assumptions!$Y$3:$Z$36,2,FALSE),TIAM15_assumptions!$H$2:$V$2,0))</f>
        <v>1</v>
      </c>
      <c r="V102" s="9">
        <f ca="1">OFFSET(TIAM15_assumptions!$G102,0,MATCH(VLOOKUP(Assumptions!V$2,TIAM15_assumptions!$Y$3:$Z$36,2,FALSE),TIAM15_assumptions!$H$2:$V$2,0))</f>
        <v>0.9</v>
      </c>
      <c r="W102" s="9">
        <f ca="1">OFFSET(TIAM15_assumptions!$G102,0,MATCH(VLOOKUP(Assumptions!W$2,TIAM15_assumptions!$Y$3:$Z$36,2,FALSE),TIAM15_assumptions!$H$2:$V$2,0))</f>
        <v>1</v>
      </c>
      <c r="X102" s="9">
        <f ca="1">OFFSET(TIAM15_assumptions!$G102,0,MATCH(VLOOKUP(Assumptions!X$2,TIAM15_assumptions!$Y$3:$Z$36,2,FALSE),TIAM15_assumptions!$H$2:$V$2,0))</f>
        <v>0.9</v>
      </c>
      <c r="Y102" s="9">
        <f ca="1">OFFSET(TIAM15_assumptions!$G102,0,MATCH(VLOOKUP(Assumptions!Y$2,TIAM15_assumptions!$Y$3:$Z$36,2,FALSE),TIAM15_assumptions!$H$2:$V$2,0))</f>
        <v>1</v>
      </c>
      <c r="Z102" s="9">
        <f ca="1">OFFSET(TIAM15_assumptions!$G102,0,MATCH(VLOOKUP(Assumptions!Z$2,TIAM15_assumptions!$Y$3:$Z$36,2,FALSE),TIAM15_assumptions!$H$2:$V$2,0))</f>
        <v>1</v>
      </c>
      <c r="AA102" s="9">
        <f ca="1">OFFSET(TIAM15_assumptions!$G102,0,MATCH(VLOOKUP(Assumptions!AA$2,TIAM15_assumptions!$Y$3:$Z$36,2,FALSE),TIAM15_assumptions!$H$2:$V$2,0))</f>
        <v>0.7</v>
      </c>
      <c r="AB102" s="9">
        <f ca="1">OFFSET(TIAM15_assumptions!$G102,0,MATCH(VLOOKUP(Assumptions!AB$2,TIAM15_assumptions!$Y$3:$Z$36,2,FALSE),TIAM15_assumptions!$H$2:$V$2,0))</f>
        <v>0.95</v>
      </c>
      <c r="AC102" s="9">
        <f ca="1">OFFSET(TIAM15_assumptions!$G102,0,MATCH(VLOOKUP(Assumptions!AC$2,TIAM15_assumptions!$Y$3:$Z$36,2,FALSE),TIAM15_assumptions!$H$2:$V$2,0))</f>
        <v>0.95</v>
      </c>
      <c r="AD102" s="9">
        <f ca="1">OFFSET(TIAM15_assumptions!$G102,0,MATCH(VLOOKUP(Assumptions!AD$2,TIAM15_assumptions!$Y$3:$Z$36,2,FALSE),TIAM15_assumptions!$H$2:$V$2,0))</f>
        <v>0.9</v>
      </c>
      <c r="AE102" s="9">
        <f ca="1">OFFSET(TIAM15_assumptions!$G102,0,MATCH(VLOOKUP(Assumptions!AE$2,TIAM15_assumptions!$Y$3:$Z$36,2,FALSE),TIAM15_assumptions!$H$2:$V$2,0))</f>
        <v>1</v>
      </c>
      <c r="AF102" s="9">
        <f ca="1">OFFSET(TIAM15_assumptions!$G102,0,MATCH(VLOOKUP(Assumptions!AF$2,TIAM15_assumptions!$Y$3:$Z$36,2,FALSE),TIAM15_assumptions!$H$2:$V$2,0))</f>
        <v>0.8</v>
      </c>
      <c r="AG102" s="9">
        <f ca="1">OFFSET(TIAM15_assumptions!$G102,0,MATCH(VLOOKUP(Assumptions!AG$2,TIAM15_assumptions!$Y$3:$Z$36,2,FALSE),TIAM15_assumptions!$H$2:$V$2,0))</f>
        <v>0.9</v>
      </c>
      <c r="AH102" s="9">
        <f ca="1">OFFSET(TIAM15_assumptions!$G102,0,MATCH(VLOOKUP(Assumptions!AH$2,TIAM15_assumptions!$Y$3:$Z$36,2,FALSE),TIAM15_assumptions!$H$2:$V$2,0))</f>
        <v>0.7</v>
      </c>
      <c r="AI102" s="9">
        <f ca="1">OFFSET(TIAM15_assumptions!$G102,0,MATCH(VLOOKUP(Assumptions!AI$2,TIAM15_assumptions!$Y$3:$Z$36,2,FALSE),TIAM15_assumptions!$H$2:$V$2,0))</f>
        <v>1</v>
      </c>
      <c r="AJ102" s="9">
        <f ca="1">OFFSET(TIAM15_assumptions!$G102,0,MATCH(VLOOKUP(Assumptions!AJ$2,TIAM15_assumptions!$Y$3:$Z$36,2,FALSE),TIAM15_assumptions!$H$2:$V$2,0))</f>
        <v>1</v>
      </c>
      <c r="AK102" s="9">
        <f ca="1">OFFSET(TIAM15_assumptions!$G102,0,MATCH(VLOOKUP(Assumptions!AK$2,TIAM15_assumptions!$Y$3:$Z$36,2,FALSE),TIAM15_assumptions!$H$2:$V$2,0))</f>
        <v>1</v>
      </c>
      <c r="AN102" s="34">
        <f ca="1">IFERROR(SUMIFS('TRA balance'!E$5:E$40,'TRA balance'!$C$5:$C$40,Assumptions!$C102,'TRA balance'!$D$5:$D$40,Assumptions!$B102)*BS102*H102,"")</f>
        <v>5.4502523107199998</v>
      </c>
      <c r="AO102" s="34">
        <f ca="1">IFERROR(SUMIFS('TRA balance'!F$5:F$40,'TRA balance'!$C$5:$C$40,Assumptions!$C102,'TRA balance'!$D$5:$D$40,Assumptions!$B102)*BT102*I102,"")</f>
        <v>0.12732100667999999</v>
      </c>
      <c r="AP102" s="34">
        <f ca="1">IFERROR(SUMIFS('TRA balance'!G$5:G$40,'TRA balance'!$C$5:$C$40,Assumptions!$C102,'TRA balance'!$D$5:$D$40,Assumptions!$B102)*BU102*J102,"")</f>
        <v>3.4527614317199999</v>
      </c>
      <c r="AQ102" s="34">
        <f ca="1">IFERROR(SUMIFS('TRA balance'!H$5:H$40,'TRA balance'!$C$5:$C$40,Assumptions!$C102,'TRA balance'!$D$5:$D$40,Assumptions!$B102)*BV102*K102,"")</f>
        <v>17.572913997120001</v>
      </c>
      <c r="AR102" s="34">
        <f ca="1">IFERROR(SUMIFS('TRA balance'!I$5:I$40,'TRA balance'!$C$5:$C$40,Assumptions!$C102,'TRA balance'!$D$5:$D$40,Assumptions!$B102)*BW102*L102,"")</f>
        <v>72.6015738384</v>
      </c>
      <c r="AS102" s="34">
        <f ca="1">IFERROR(SUMIFS('TRA balance'!J$5:J$40,'TRA balance'!$C$5:$C$40,Assumptions!$C102,'TRA balance'!$D$5:$D$40,Assumptions!$B102)*BX102*M102,"")</f>
        <v>17.490562153199999</v>
      </c>
      <c r="AT102" s="34">
        <f ca="1">IFERROR(SUMIFS('TRA balance'!K$5:K$40,'TRA balance'!$C$5:$C$40,Assumptions!$C102,'TRA balance'!$D$5:$D$40,Assumptions!$B102)*BY102*N102,"")</f>
        <v>8.350887028679999</v>
      </c>
      <c r="AU102" s="34">
        <f ca="1">IFERROR(SUMIFS('TRA balance'!L$5:L$40,'TRA balance'!$C$5:$C$40,Assumptions!$C102,'TRA balance'!$D$5:$D$40,Assumptions!$B102)*BZ102*O102,"")</f>
        <v>7.6969419443999989</v>
      </c>
      <c r="AV102" s="34">
        <f ca="1">IFERROR(SUMIFS('TRA balance'!M$5:M$40,'TRA balance'!$C$5:$C$40,Assumptions!$C102,'TRA balance'!$D$5:$D$40,Assumptions!$B102)*CA102*P102,"")</f>
        <v>0</v>
      </c>
      <c r="AW102" s="34">
        <f ca="1">IFERROR(SUMIFS('TRA balance'!N$5:N$40,'TRA balance'!$C$5:$C$40,Assumptions!$C102,'TRA balance'!$D$5:$D$40,Assumptions!$B102)*CB102*Q102,"")</f>
        <v>280.87385945184002</v>
      </c>
      <c r="AX102" s="34">
        <f ca="1">IFERROR(SUMIFS('TRA balance'!O$5:O$40,'TRA balance'!$C$5:$C$40,Assumptions!$C102,'TRA balance'!$D$5:$D$40,Assumptions!$B102)*CC102*R102,"")</f>
        <v>13.2546426156</v>
      </c>
      <c r="AY102" s="34">
        <f ca="1">IFERROR(SUMIFS('TRA balance'!P$5:P$40,'TRA balance'!$C$5:$C$40,Assumptions!$C102,'TRA balance'!$D$5:$D$40,Assumptions!$B102)*CD102*S102,"")</f>
        <v>23.667109545599999</v>
      </c>
      <c r="AZ102" s="34">
        <f ca="1">IFERROR(SUMIFS('TRA balance'!Q$5:Q$40,'TRA balance'!$C$5:$C$40,Assumptions!$C102,'TRA balance'!$D$5:$D$40,Assumptions!$B102)*CE102*T102,"")</f>
        <v>12.3465131352</v>
      </c>
      <c r="BA102" s="34">
        <f ca="1">IFERROR(SUMIFS('TRA balance'!R$5:R$40,'TRA balance'!$C$5:$C$40,Assumptions!$C102,'TRA balance'!$D$5:$D$40,Assumptions!$B102)*CF102*U102,"")</f>
        <v>20.635627698</v>
      </c>
      <c r="BB102" s="34">
        <f ca="1">IFERROR(SUMIFS('TRA balance'!S$5:S$40,'TRA balance'!$C$5:$C$40,Assumptions!$C102,'TRA balance'!$D$5:$D$40,Assumptions!$B102)*CG102*V102,"")</f>
        <v>9.4693458499199998</v>
      </c>
      <c r="BC102" s="34">
        <f ca="1">IFERROR(SUMIFS('TRA balance'!T$5:T$40,'TRA balance'!$C$5:$C$40,Assumptions!$C102,'TRA balance'!$D$5:$D$40,Assumptions!$B102)*CH102*W102,"")</f>
        <v>14.2327418976</v>
      </c>
      <c r="BD102" s="34">
        <f ca="1">IFERROR(SUMIFS('TRA balance'!U$5:U$40,'TRA balance'!$C$5:$C$40,Assumptions!$C102,'TRA balance'!$D$5:$D$40,Assumptions!$B102)*CI102*X102,"")</f>
        <v>35.095711998239999</v>
      </c>
      <c r="BE102" s="34">
        <f ca="1">IFERROR(SUMIFS('TRA balance'!V$5:V$40,'TRA balance'!$C$5:$C$40,Assumptions!$C102,'TRA balance'!$D$5:$D$40,Assumptions!$B102)*CJ102*Y102,"")</f>
        <v>30.492908200799999</v>
      </c>
      <c r="BF102" s="34">
        <f ca="1">IFERROR(SUMIFS('TRA balance'!W$5:W$40,'TRA balance'!$C$5:$C$40,Assumptions!$C102,'TRA balance'!$D$5:$D$40,Assumptions!$B102)*CK102*Z102,"")</f>
        <v>40.568400532799998</v>
      </c>
      <c r="BG102" s="34">
        <f ca="1">IFERROR(SUMIFS('TRA balance'!X$5:X$40,'TRA balance'!$C$5:$C$40,Assumptions!$C102,'TRA balance'!$D$5:$D$40,Assumptions!$B102)*CL102*AA102,"")</f>
        <v>48.252958760159991</v>
      </c>
      <c r="BH102" s="34">
        <f ca="1">IFERROR(SUMIFS('TRA balance'!Y$5:Y$40,'TRA balance'!$C$5:$C$40,Assumptions!$C102,'TRA balance'!$D$5:$D$40,Assumptions!$B102)*CM102*AB102,"")</f>
        <v>1.4914281761999999</v>
      </c>
      <c r="BI102" s="34">
        <f ca="1">IFERROR(SUMIFS('TRA balance'!Z$5:Z$40,'TRA balance'!$C$5:$C$40,Assumptions!$C102,'TRA balance'!$D$5:$D$40,Assumptions!$B102)*CN102*AC102,"")</f>
        <v>3.7825207079399998</v>
      </c>
      <c r="BJ102" s="34">
        <f ca="1">IFERROR(SUMIFS('TRA balance'!AA$5:AA$40,'TRA balance'!$C$5:$C$40,Assumptions!$C102,'TRA balance'!$D$5:$D$40,Assumptions!$B102)*CO102*AD102,"")</f>
        <v>0</v>
      </c>
      <c r="BK102" s="34">
        <f ca="1">IFERROR(SUMIFS('TRA balance'!AB$5:AB$40,'TRA balance'!$C$5:$C$40,Assumptions!$C102,'TRA balance'!$D$5:$D$40,Assumptions!$B102)*CP102*AE102,"")</f>
        <v>2.1131993772</v>
      </c>
      <c r="BL102" s="34">
        <f ca="1">IFERROR(SUMIFS('TRA balance'!AC$5:AC$40,'TRA balance'!$C$5:$C$40,Assumptions!$C102,'TRA balance'!$D$5:$D$40,Assumptions!$B102)*CQ102*AF102,"")</f>
        <v>152.29699364160001</v>
      </c>
      <c r="BM102" s="34">
        <f ca="1">IFERROR(SUMIFS('TRA balance'!AD$5:AD$40,'TRA balance'!$C$5:$C$40,Assumptions!$C102,'TRA balance'!$D$5:$D$40,Assumptions!$B102)*CR102*AG102,"")</f>
        <v>0</v>
      </c>
      <c r="BN102" s="34">
        <f ca="1">IFERROR(SUMIFS('TRA balance'!AE$5:AE$40,'TRA balance'!$C$5:$C$40,Assumptions!$C102,'TRA balance'!$D$5:$D$40,Assumptions!$B102)*CS102*AH102,"")</f>
        <v>6.5520011944799998</v>
      </c>
      <c r="BO102" s="34">
        <f ca="1">IFERROR(SUMIFS('TRA balance'!AF$5:AF$40,'TRA balance'!$C$5:$C$40,Assumptions!$C102,'TRA balance'!$D$5:$D$40,Assumptions!$B102)*CT102*AI102,"")</f>
        <v>20.356774257600001</v>
      </c>
      <c r="BP102" s="34">
        <f ca="1">IFERROR(SUMIFS('TRA balance'!AG$5:AG$40,'TRA balance'!$C$5:$C$40,Assumptions!$C102,'TRA balance'!$D$5:$D$40,Assumptions!$B102)*CU102*AJ102,"")</f>
        <v>26.401521186</v>
      </c>
      <c r="BQ102" s="34">
        <f ca="1">IFERROR(SUMIFS('TRA balance'!AH$5:AH$40,'TRA balance'!$C$5:$C$40,Assumptions!$C102,'TRA balance'!$D$5:$D$40,Assumptions!$B102)*CV102*AK102,"")</f>
        <v>0</v>
      </c>
      <c r="BS102" s="33">
        <f t="shared" si="152"/>
        <v>1</v>
      </c>
      <c r="BT102" s="33">
        <f t="shared" si="153"/>
        <v>1</v>
      </c>
      <c r="BU102" s="33">
        <f t="shared" si="154"/>
        <v>1</v>
      </c>
      <c r="BV102" s="33">
        <f t="shared" si="155"/>
        <v>1</v>
      </c>
      <c r="BW102" s="33">
        <f t="shared" si="156"/>
        <v>1</v>
      </c>
      <c r="BX102" s="33">
        <f t="shared" si="157"/>
        <v>1</v>
      </c>
      <c r="BY102" s="33">
        <f t="shared" si="158"/>
        <v>1</v>
      </c>
      <c r="BZ102" s="33">
        <f t="shared" si="159"/>
        <v>1</v>
      </c>
      <c r="CA102" s="33">
        <f t="shared" si="160"/>
        <v>1</v>
      </c>
      <c r="CB102" s="33">
        <f t="shared" si="161"/>
        <v>1</v>
      </c>
      <c r="CC102" s="33">
        <f t="shared" si="162"/>
        <v>1</v>
      </c>
      <c r="CD102" s="33">
        <f t="shared" si="163"/>
        <v>1</v>
      </c>
      <c r="CE102" s="33">
        <f t="shared" si="164"/>
        <v>1</v>
      </c>
      <c r="CF102" s="33">
        <f t="shared" si="165"/>
        <v>1</v>
      </c>
      <c r="CG102" s="33">
        <f t="shared" si="166"/>
        <v>1</v>
      </c>
      <c r="CH102" s="33">
        <f t="shared" si="167"/>
        <v>1</v>
      </c>
      <c r="CI102" s="33">
        <f t="shared" si="168"/>
        <v>1</v>
      </c>
      <c r="CJ102" s="33">
        <f t="shared" si="169"/>
        <v>1</v>
      </c>
      <c r="CK102" s="33">
        <f t="shared" si="170"/>
        <v>1</v>
      </c>
      <c r="CL102" s="33">
        <f t="shared" si="171"/>
        <v>1</v>
      </c>
      <c r="CM102" s="33">
        <f t="shared" si="172"/>
        <v>1</v>
      </c>
      <c r="CN102" s="33">
        <f t="shared" si="173"/>
        <v>1</v>
      </c>
      <c r="CO102" s="33">
        <f t="shared" si="174"/>
        <v>1</v>
      </c>
      <c r="CP102" s="33">
        <f t="shared" si="175"/>
        <v>1</v>
      </c>
      <c r="CQ102" s="33">
        <f t="shared" si="176"/>
        <v>1</v>
      </c>
      <c r="CR102" s="33">
        <f t="shared" si="177"/>
        <v>1</v>
      </c>
      <c r="CS102" s="33">
        <f t="shared" si="178"/>
        <v>1</v>
      </c>
      <c r="CT102" s="33">
        <f t="shared" si="179"/>
        <v>1</v>
      </c>
      <c r="CU102" s="33">
        <f t="shared" si="180"/>
        <v>1</v>
      </c>
      <c r="CV102" s="33">
        <f t="shared" si="181"/>
        <v>1</v>
      </c>
    </row>
    <row r="103" spans="1:100" x14ac:dyDescent="0.45">
      <c r="A103">
        <v>1</v>
      </c>
      <c r="B103" t="str">
        <f>VLOOKUP(F103,'TRA balance'!$AK$5:$AL$14,2,FALSE)</f>
        <v>TRAELC</v>
      </c>
      <c r="C103" s="11"/>
      <c r="D103" s="11"/>
      <c r="E103" s="12" t="s">
        <v>58</v>
      </c>
      <c r="F103" s="13" t="str">
        <f t="shared" si="228"/>
        <v>Electricity</v>
      </c>
      <c r="G103" s="11"/>
      <c r="H103" s="12" t="str">
        <f t="shared" ref="H103:M103" ca="1" si="236">IF(SUM(H101:H102)=1,"-","&lt;&gt;1!!")</f>
        <v>-</v>
      </c>
      <c r="I103" s="12" t="str">
        <f t="shared" ca="1" si="236"/>
        <v>-</v>
      </c>
      <c r="J103" s="12" t="str">
        <f t="shared" ca="1" si="236"/>
        <v>-</v>
      </c>
      <c r="K103" s="12" t="str">
        <f t="shared" ca="1" si="236"/>
        <v>-</v>
      </c>
      <c r="L103" s="12" t="str">
        <f t="shared" ca="1" si="236"/>
        <v>-</v>
      </c>
      <c r="M103" s="12" t="str">
        <f t="shared" ca="1" si="236"/>
        <v>-</v>
      </c>
      <c r="N103" s="12" t="str">
        <f t="shared" ref="N103:X103" ca="1" si="237">IF(SUM(N101:N102)=1,"-","&lt;&gt;1!!")</f>
        <v>-</v>
      </c>
      <c r="O103" s="12" t="str">
        <f t="shared" ca="1" si="237"/>
        <v>-</v>
      </c>
      <c r="P103" s="12" t="str">
        <f t="shared" ca="1" si="237"/>
        <v>-</v>
      </c>
      <c r="Q103" s="12" t="str">
        <f t="shared" ca="1" si="237"/>
        <v>-</v>
      </c>
      <c r="R103" s="12" t="str">
        <f t="shared" ca="1" si="237"/>
        <v>-</v>
      </c>
      <c r="S103" s="12" t="str">
        <f t="shared" ca="1" si="237"/>
        <v>-</v>
      </c>
      <c r="T103" s="12" t="str">
        <f t="shared" ca="1" si="237"/>
        <v>-</v>
      </c>
      <c r="U103" s="12" t="str">
        <f t="shared" ca="1" si="237"/>
        <v>-</v>
      </c>
      <c r="V103" s="12" t="str">
        <f t="shared" ca="1" si="237"/>
        <v>-</v>
      </c>
      <c r="W103" s="12" t="str">
        <f t="shared" ca="1" si="237"/>
        <v>-</v>
      </c>
      <c r="X103" s="12" t="str">
        <f t="shared" ca="1" si="237"/>
        <v>-</v>
      </c>
      <c r="Y103" s="12" t="str">
        <f t="shared" ref="Y103:Z103" ca="1" si="238">IF(SUM(Y101:Y102)=1,"-","&lt;&gt;1!!")</f>
        <v>-</v>
      </c>
      <c r="Z103" s="12" t="str">
        <f t="shared" ca="1" si="238"/>
        <v>-</v>
      </c>
      <c r="AA103" s="12" t="str">
        <f t="shared" ref="AA103:AK103" ca="1" si="239">IF(SUM(AA101:AA102)=1,"-","&lt;&gt;1!!")</f>
        <v>-</v>
      </c>
      <c r="AB103" s="12" t="str">
        <f t="shared" ca="1" si="239"/>
        <v>-</v>
      </c>
      <c r="AC103" s="12" t="str">
        <f t="shared" ca="1" si="239"/>
        <v>-</v>
      </c>
      <c r="AD103" s="12" t="str">
        <f t="shared" ca="1" si="239"/>
        <v>-</v>
      </c>
      <c r="AE103" s="12" t="str">
        <f t="shared" ca="1" si="239"/>
        <v>-</v>
      </c>
      <c r="AF103" s="12" t="str">
        <f t="shared" ca="1" si="239"/>
        <v>-</v>
      </c>
      <c r="AG103" s="12" t="str">
        <f t="shared" ca="1" si="239"/>
        <v>-</v>
      </c>
      <c r="AH103" s="12" t="str">
        <f t="shared" ca="1" si="239"/>
        <v>-</v>
      </c>
      <c r="AI103" s="12" t="str">
        <f t="shared" ca="1" si="239"/>
        <v>-</v>
      </c>
      <c r="AJ103" s="12" t="str">
        <f t="shared" ca="1" si="239"/>
        <v>-</v>
      </c>
      <c r="AK103" s="12" t="str">
        <f t="shared" ca="1" si="239"/>
        <v>-</v>
      </c>
      <c r="AN103" s="34" t="str">
        <f ca="1">IFERROR(SUMIFS('TRA balance'!E$5:E$40,'TRA balance'!$C$5:$C$40,Assumptions!$C103,'TRA balance'!$D$5:$D$40,Assumptions!$B103)*BS103*H103,"")</f>
        <v/>
      </c>
      <c r="AO103" s="34" t="str">
        <f ca="1">IFERROR(SUMIFS('TRA balance'!F$5:F$40,'TRA balance'!$C$5:$C$40,Assumptions!$C103,'TRA balance'!$D$5:$D$40,Assumptions!$B103)*BT103*I103,"")</f>
        <v/>
      </c>
      <c r="AP103" s="34" t="str">
        <f ca="1">IFERROR(SUMIFS('TRA balance'!G$5:G$40,'TRA balance'!$C$5:$C$40,Assumptions!$C103,'TRA balance'!$D$5:$D$40,Assumptions!$B103)*BU103*J103,"")</f>
        <v/>
      </c>
      <c r="AQ103" s="34" t="str">
        <f ca="1">IFERROR(SUMIFS('TRA balance'!H$5:H$40,'TRA balance'!$C$5:$C$40,Assumptions!$C103,'TRA balance'!$D$5:$D$40,Assumptions!$B103)*BV103*K103,"")</f>
        <v/>
      </c>
      <c r="AR103" s="34" t="str">
        <f ca="1">IFERROR(SUMIFS('TRA balance'!I$5:I$40,'TRA balance'!$C$5:$C$40,Assumptions!$C103,'TRA balance'!$D$5:$D$40,Assumptions!$B103)*BW103*L103,"")</f>
        <v/>
      </c>
      <c r="AS103" s="34" t="str">
        <f ca="1">IFERROR(SUMIFS('TRA balance'!J$5:J$40,'TRA balance'!$C$5:$C$40,Assumptions!$C103,'TRA balance'!$D$5:$D$40,Assumptions!$B103)*BX103*M103,"")</f>
        <v/>
      </c>
      <c r="AT103" s="34" t="str">
        <f ca="1">IFERROR(SUMIFS('TRA balance'!K$5:K$40,'TRA balance'!$C$5:$C$40,Assumptions!$C103,'TRA balance'!$D$5:$D$40,Assumptions!$B103)*BY103*N103,"")</f>
        <v/>
      </c>
      <c r="AU103" s="34" t="str">
        <f ca="1">IFERROR(SUMIFS('TRA balance'!L$5:L$40,'TRA balance'!$C$5:$C$40,Assumptions!$C103,'TRA balance'!$D$5:$D$40,Assumptions!$B103)*BZ103*O103,"")</f>
        <v/>
      </c>
      <c r="AV103" s="34" t="str">
        <f ca="1">IFERROR(SUMIFS('TRA balance'!M$5:M$40,'TRA balance'!$C$5:$C$40,Assumptions!$C103,'TRA balance'!$D$5:$D$40,Assumptions!$B103)*CA103*P103,"")</f>
        <v/>
      </c>
      <c r="AW103" s="34" t="str">
        <f ca="1">IFERROR(SUMIFS('TRA balance'!N$5:N$40,'TRA balance'!$C$5:$C$40,Assumptions!$C103,'TRA balance'!$D$5:$D$40,Assumptions!$B103)*CB103*Q103,"")</f>
        <v/>
      </c>
      <c r="AX103" s="34" t="str">
        <f ca="1">IFERROR(SUMIFS('TRA balance'!O$5:O$40,'TRA balance'!$C$5:$C$40,Assumptions!$C103,'TRA balance'!$D$5:$D$40,Assumptions!$B103)*CC103*R103,"")</f>
        <v/>
      </c>
      <c r="AY103" s="34" t="str">
        <f ca="1">IFERROR(SUMIFS('TRA balance'!P$5:P$40,'TRA balance'!$C$5:$C$40,Assumptions!$C103,'TRA balance'!$D$5:$D$40,Assumptions!$B103)*CD103*S103,"")</f>
        <v/>
      </c>
      <c r="AZ103" s="34" t="str">
        <f ca="1">IFERROR(SUMIFS('TRA balance'!Q$5:Q$40,'TRA balance'!$C$5:$C$40,Assumptions!$C103,'TRA balance'!$D$5:$D$40,Assumptions!$B103)*CE103*T103,"")</f>
        <v/>
      </c>
      <c r="BA103" s="34" t="str">
        <f ca="1">IFERROR(SUMIFS('TRA balance'!R$5:R$40,'TRA balance'!$C$5:$C$40,Assumptions!$C103,'TRA balance'!$D$5:$D$40,Assumptions!$B103)*CF103*U103,"")</f>
        <v/>
      </c>
      <c r="BB103" s="34" t="str">
        <f ca="1">IFERROR(SUMIFS('TRA balance'!S$5:S$40,'TRA balance'!$C$5:$C$40,Assumptions!$C103,'TRA balance'!$D$5:$D$40,Assumptions!$B103)*CG103*V103,"")</f>
        <v/>
      </c>
      <c r="BC103" s="34" t="str">
        <f ca="1">IFERROR(SUMIFS('TRA balance'!T$5:T$40,'TRA balance'!$C$5:$C$40,Assumptions!$C103,'TRA balance'!$D$5:$D$40,Assumptions!$B103)*CH103*W103,"")</f>
        <v/>
      </c>
      <c r="BD103" s="34" t="str">
        <f ca="1">IFERROR(SUMIFS('TRA balance'!U$5:U$40,'TRA balance'!$C$5:$C$40,Assumptions!$C103,'TRA balance'!$D$5:$D$40,Assumptions!$B103)*CI103*X103,"")</f>
        <v/>
      </c>
      <c r="BE103" s="34" t="str">
        <f ca="1">IFERROR(SUMIFS('TRA balance'!V$5:V$40,'TRA balance'!$C$5:$C$40,Assumptions!$C103,'TRA balance'!$D$5:$D$40,Assumptions!$B103)*CJ103*Y103,"")</f>
        <v/>
      </c>
      <c r="BF103" s="34" t="str">
        <f ca="1">IFERROR(SUMIFS('TRA balance'!W$5:W$40,'TRA balance'!$C$5:$C$40,Assumptions!$C103,'TRA balance'!$D$5:$D$40,Assumptions!$B103)*CK103*Z103,"")</f>
        <v/>
      </c>
      <c r="BG103" s="34" t="str">
        <f ca="1">IFERROR(SUMIFS('TRA balance'!X$5:X$40,'TRA balance'!$C$5:$C$40,Assumptions!$C103,'TRA balance'!$D$5:$D$40,Assumptions!$B103)*CL103*AA103,"")</f>
        <v/>
      </c>
      <c r="BH103" s="34" t="str">
        <f ca="1">IFERROR(SUMIFS('TRA balance'!Y$5:Y$40,'TRA balance'!$C$5:$C$40,Assumptions!$C103,'TRA balance'!$D$5:$D$40,Assumptions!$B103)*CM103*AB103,"")</f>
        <v/>
      </c>
      <c r="BI103" s="34" t="str">
        <f ca="1">IFERROR(SUMIFS('TRA balance'!Z$5:Z$40,'TRA balance'!$C$5:$C$40,Assumptions!$C103,'TRA balance'!$D$5:$D$40,Assumptions!$B103)*CN103*AC103,"")</f>
        <v/>
      </c>
      <c r="BJ103" s="34" t="str">
        <f ca="1">IFERROR(SUMIFS('TRA balance'!AA$5:AA$40,'TRA balance'!$C$5:$C$40,Assumptions!$C103,'TRA balance'!$D$5:$D$40,Assumptions!$B103)*CO103*AD103,"")</f>
        <v/>
      </c>
      <c r="BK103" s="34" t="str">
        <f ca="1">IFERROR(SUMIFS('TRA balance'!AB$5:AB$40,'TRA balance'!$C$5:$C$40,Assumptions!$C103,'TRA balance'!$D$5:$D$40,Assumptions!$B103)*CP103*AE103,"")</f>
        <v/>
      </c>
      <c r="BL103" s="34" t="str">
        <f ca="1">IFERROR(SUMIFS('TRA balance'!AC$5:AC$40,'TRA balance'!$C$5:$C$40,Assumptions!$C103,'TRA balance'!$D$5:$D$40,Assumptions!$B103)*CQ103*AF103,"")</f>
        <v/>
      </c>
      <c r="BM103" s="34" t="str">
        <f ca="1">IFERROR(SUMIFS('TRA balance'!AD$5:AD$40,'TRA balance'!$C$5:$C$40,Assumptions!$C103,'TRA balance'!$D$5:$D$40,Assumptions!$B103)*CR103*AG103,"")</f>
        <v/>
      </c>
      <c r="BN103" s="34" t="str">
        <f ca="1">IFERROR(SUMIFS('TRA balance'!AE$5:AE$40,'TRA balance'!$C$5:$C$40,Assumptions!$C103,'TRA balance'!$D$5:$D$40,Assumptions!$B103)*CS103*AH103,"")</f>
        <v/>
      </c>
      <c r="BO103" s="34" t="str">
        <f ca="1">IFERROR(SUMIFS('TRA balance'!AF$5:AF$40,'TRA balance'!$C$5:$C$40,Assumptions!$C103,'TRA balance'!$D$5:$D$40,Assumptions!$B103)*CT103*AI103,"")</f>
        <v/>
      </c>
      <c r="BP103" s="34" t="str">
        <f ca="1">IFERROR(SUMIFS('TRA balance'!AG$5:AG$40,'TRA balance'!$C$5:$C$40,Assumptions!$C103,'TRA balance'!$D$5:$D$40,Assumptions!$B103)*CU103*AJ103,"")</f>
        <v/>
      </c>
      <c r="BQ103" s="34" t="str">
        <f ca="1">IFERROR(SUMIFS('TRA balance'!AH$5:AH$40,'TRA balance'!$C$5:$C$40,Assumptions!$C103,'TRA balance'!$D$5:$D$40,Assumptions!$B103)*CV103*AK103,"")</f>
        <v/>
      </c>
      <c r="BS103" s="33">
        <f t="shared" si="152"/>
        <v>1</v>
      </c>
      <c r="BT103" s="33">
        <f t="shared" si="153"/>
        <v>1</v>
      </c>
      <c r="BU103" s="33">
        <f t="shared" si="154"/>
        <v>1</v>
      </c>
      <c r="BV103" s="33">
        <f t="shared" si="155"/>
        <v>1</v>
      </c>
      <c r="BW103" s="33">
        <f t="shared" si="156"/>
        <v>1</v>
      </c>
      <c r="BX103" s="33">
        <f t="shared" si="157"/>
        <v>1</v>
      </c>
      <c r="BY103" s="33">
        <f t="shared" si="158"/>
        <v>1</v>
      </c>
      <c r="BZ103" s="33">
        <f t="shared" si="159"/>
        <v>1</v>
      </c>
      <c r="CA103" s="33">
        <f t="shared" si="160"/>
        <v>1</v>
      </c>
      <c r="CB103" s="33">
        <f t="shared" si="161"/>
        <v>1</v>
      </c>
      <c r="CC103" s="33">
        <f t="shared" si="162"/>
        <v>1</v>
      </c>
      <c r="CD103" s="33">
        <f t="shared" si="163"/>
        <v>1</v>
      </c>
      <c r="CE103" s="33">
        <f t="shared" si="164"/>
        <v>1</v>
      </c>
      <c r="CF103" s="33">
        <f t="shared" si="165"/>
        <v>1</v>
      </c>
      <c r="CG103" s="33">
        <f t="shared" si="166"/>
        <v>1</v>
      </c>
      <c r="CH103" s="33">
        <f t="shared" si="167"/>
        <v>1</v>
      </c>
      <c r="CI103" s="33">
        <f t="shared" si="168"/>
        <v>1</v>
      </c>
      <c r="CJ103" s="33">
        <f t="shared" si="169"/>
        <v>1</v>
      </c>
      <c r="CK103" s="33">
        <f t="shared" si="170"/>
        <v>1</v>
      </c>
      <c r="CL103" s="33">
        <f t="shared" si="171"/>
        <v>1</v>
      </c>
      <c r="CM103" s="33">
        <f t="shared" si="172"/>
        <v>1</v>
      </c>
      <c r="CN103" s="33">
        <f t="shared" si="173"/>
        <v>1</v>
      </c>
      <c r="CO103" s="33">
        <f t="shared" si="174"/>
        <v>1</v>
      </c>
      <c r="CP103" s="33">
        <f t="shared" si="175"/>
        <v>1</v>
      </c>
      <c r="CQ103" s="33">
        <f t="shared" si="176"/>
        <v>1</v>
      </c>
      <c r="CR103" s="33">
        <f t="shared" si="177"/>
        <v>1</v>
      </c>
      <c r="CS103" s="33">
        <f t="shared" si="178"/>
        <v>1</v>
      </c>
      <c r="CT103" s="33">
        <f t="shared" si="179"/>
        <v>1</v>
      </c>
      <c r="CU103" s="33">
        <f t="shared" si="180"/>
        <v>1</v>
      </c>
      <c r="CV103" s="33">
        <f t="shared" si="181"/>
        <v>1</v>
      </c>
    </row>
    <row r="104" spans="1:100" x14ac:dyDescent="0.45">
      <c r="C104" s="27"/>
      <c r="D104" s="27"/>
      <c r="E104" s="28"/>
      <c r="F104" s="29"/>
      <c r="G104" s="27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 spans="1:100" x14ac:dyDescent="0.45">
      <c r="C105" s="27"/>
      <c r="D105" s="27"/>
      <c r="E105" s="28"/>
      <c r="F105" s="29"/>
      <c r="G105" s="27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7" t="s">
        <v>18</v>
      </c>
      <c r="AM105" s="27" t="s">
        <v>31</v>
      </c>
      <c r="AN105" s="34">
        <f>IFERROR(ABS(SUMIFS('TRA balance'!E$5:E$40,'TRA balance'!$C$5:$C$40,Assumptions!$AL105,'TRA balance'!$D$5:$D$40,Assumptions!$AM105)),"")</f>
        <v>0</v>
      </c>
      <c r="AO105" s="34">
        <f>IFERROR(ABS(SUMIFS('TRA balance'!F$5:F$40,'TRA balance'!$C$5:$C$40,Assumptions!$AL105,'TRA balance'!$D$5:$D$40,Assumptions!$AM105)),"")</f>
        <v>0</v>
      </c>
      <c r="AP105" s="34">
        <f>IFERROR(ABS(SUMIFS('TRA balance'!G$5:G$40,'TRA balance'!$C$5:$C$40,Assumptions!$AL105,'TRA balance'!$D$5:$D$40,Assumptions!$AM105)),"")</f>
        <v>0</v>
      </c>
      <c r="AQ105" s="34">
        <f>IFERROR(ABS(SUMIFS('TRA balance'!H$5:H$40,'TRA balance'!$C$5:$C$40,Assumptions!$AL105,'TRA balance'!$D$5:$D$40,Assumptions!$AM105)),"")</f>
        <v>0</v>
      </c>
      <c r="AR105" s="34">
        <f>IFERROR(ABS(SUMIFS('TRA balance'!I$5:I$40,'TRA balance'!$C$5:$C$40,Assumptions!$AL105,'TRA balance'!$D$5:$D$40,Assumptions!$AM105)),"")</f>
        <v>0</v>
      </c>
      <c r="AS105" s="34">
        <f>IFERROR(ABS(SUMIFS('TRA balance'!J$5:J$40,'TRA balance'!$C$5:$C$40,Assumptions!$AL105,'TRA balance'!$D$5:$D$40,Assumptions!$AM105)),"")</f>
        <v>0</v>
      </c>
      <c r="AT105" s="34">
        <f>IFERROR(ABS(SUMIFS('TRA balance'!K$5:K$40,'TRA balance'!$C$5:$C$40,Assumptions!$AL105,'TRA balance'!$D$5:$D$40,Assumptions!$AM105)),"")</f>
        <v>0</v>
      </c>
      <c r="AU105" s="34">
        <f>IFERROR(ABS(SUMIFS('TRA balance'!L$5:L$40,'TRA balance'!$C$5:$C$40,Assumptions!$AL105,'TRA balance'!$D$5:$D$40,Assumptions!$AM105)),"")</f>
        <v>0</v>
      </c>
      <c r="AV105" s="34">
        <f>IFERROR(ABS(SUMIFS('TRA balance'!M$5:M$40,'TRA balance'!$C$5:$C$40,Assumptions!$AL105,'TRA balance'!$D$5:$D$40,Assumptions!$AM105)),"")</f>
        <v>0</v>
      </c>
      <c r="AW105" s="34">
        <f>IFERROR(ABS(SUMIFS('TRA balance'!N$5:N$40,'TRA balance'!$C$5:$C$40,Assumptions!$AL105,'TRA balance'!$D$5:$D$40,Assumptions!$AM105)),"")</f>
        <v>0</v>
      </c>
      <c r="AX105" s="34">
        <f>IFERROR(ABS(SUMIFS('TRA balance'!O$5:O$40,'TRA balance'!$C$5:$C$40,Assumptions!$AL105,'TRA balance'!$D$5:$D$40,Assumptions!$AM105)),"")</f>
        <v>0</v>
      </c>
      <c r="AY105" s="34">
        <f>IFERROR(ABS(SUMIFS('TRA balance'!P$5:P$40,'TRA balance'!$C$5:$C$40,Assumptions!$AL105,'TRA balance'!$D$5:$D$40,Assumptions!$AM105)),"")</f>
        <v>0</v>
      </c>
      <c r="AZ105" s="34">
        <f>IFERROR(ABS(SUMIFS('TRA balance'!Q$5:Q$40,'TRA balance'!$C$5:$C$40,Assumptions!$AL105,'TRA balance'!$D$5:$D$40,Assumptions!$AM105)),"")</f>
        <v>0</v>
      </c>
      <c r="BA105" s="34">
        <f>IFERROR(ABS(SUMIFS('TRA balance'!R$5:R$40,'TRA balance'!$C$5:$C$40,Assumptions!$AL105,'TRA balance'!$D$5:$D$40,Assumptions!$AM105)),"")</f>
        <v>0</v>
      </c>
      <c r="BB105" s="34">
        <f>IFERROR(ABS(SUMIFS('TRA balance'!S$5:S$40,'TRA balance'!$C$5:$C$40,Assumptions!$AL105,'TRA balance'!$D$5:$D$40,Assumptions!$AM105)),"")</f>
        <v>0</v>
      </c>
      <c r="BC105" s="34">
        <f>IFERROR(ABS(SUMIFS('TRA balance'!T$5:T$40,'TRA balance'!$C$5:$C$40,Assumptions!$AL105,'TRA balance'!$D$5:$D$40,Assumptions!$AM105)),"")</f>
        <v>0</v>
      </c>
      <c r="BD105" s="34">
        <f>IFERROR(ABS(SUMIFS('TRA balance'!U$5:U$40,'TRA balance'!$C$5:$C$40,Assumptions!$AL105,'TRA balance'!$D$5:$D$40,Assumptions!$AM105)),"")</f>
        <v>0</v>
      </c>
      <c r="BE105" s="34">
        <f>IFERROR(ABS(SUMIFS('TRA balance'!V$5:V$40,'TRA balance'!$C$5:$C$40,Assumptions!$AL105,'TRA balance'!$D$5:$D$40,Assumptions!$AM105)),"")</f>
        <v>0</v>
      </c>
      <c r="BF105" s="34">
        <f>IFERROR(ABS(SUMIFS('TRA balance'!W$5:W$40,'TRA balance'!$C$5:$C$40,Assumptions!$AL105,'TRA balance'!$D$5:$D$40,Assumptions!$AM105)),"")</f>
        <v>0</v>
      </c>
      <c r="BG105" s="34">
        <f>IFERROR(ABS(SUMIFS('TRA balance'!X$5:X$40,'TRA balance'!$C$5:$C$40,Assumptions!$AL105,'TRA balance'!$D$5:$D$40,Assumptions!$AM105)),"")</f>
        <v>0</v>
      </c>
      <c r="BH105" s="34">
        <f>IFERROR(ABS(SUMIFS('TRA balance'!Y$5:Y$40,'TRA balance'!$C$5:$C$40,Assumptions!$AL105,'TRA balance'!$D$5:$D$40,Assumptions!$AM105)),"")</f>
        <v>0</v>
      </c>
      <c r="BI105" s="34">
        <f>IFERROR(ABS(SUMIFS('TRA balance'!Z$5:Z$40,'TRA balance'!$C$5:$C$40,Assumptions!$AL105,'TRA balance'!$D$5:$D$40,Assumptions!$AM105)),"")</f>
        <v>0</v>
      </c>
      <c r="BJ105" s="34">
        <f>IFERROR(ABS(SUMIFS('TRA balance'!AA$5:AA$40,'TRA balance'!$C$5:$C$40,Assumptions!$AL105,'TRA balance'!$D$5:$D$40,Assumptions!$AM105)),"")</f>
        <v>0</v>
      </c>
      <c r="BK105" s="34">
        <f>IFERROR(ABS(SUMIFS('TRA balance'!AB$5:AB$40,'TRA balance'!$C$5:$C$40,Assumptions!$AL105,'TRA balance'!$D$5:$D$40,Assumptions!$AM105)),"")</f>
        <v>0</v>
      </c>
      <c r="BL105" s="34">
        <f>IFERROR(ABS(SUMIFS('TRA balance'!AC$5:AC$40,'TRA balance'!$C$5:$C$40,Assumptions!$AL105,'TRA balance'!$D$5:$D$40,Assumptions!$AM105)),"")</f>
        <v>0</v>
      </c>
      <c r="BM105" s="34">
        <f>IFERROR(ABS(SUMIFS('TRA balance'!AD$5:AD$40,'TRA balance'!$C$5:$C$40,Assumptions!$AL105,'TRA balance'!$D$5:$D$40,Assumptions!$AM105)),"")</f>
        <v>0</v>
      </c>
      <c r="BN105" s="34">
        <f>IFERROR(ABS(SUMIFS('TRA balance'!AE$5:AE$40,'TRA balance'!$C$5:$C$40,Assumptions!$AL105,'TRA balance'!$D$5:$D$40,Assumptions!$AM105)),"")</f>
        <v>0</v>
      </c>
      <c r="BO105" s="34">
        <f>IFERROR(ABS(SUMIFS('TRA balance'!AF$5:AF$40,'TRA balance'!$C$5:$C$40,Assumptions!$AL105,'TRA balance'!$D$5:$D$40,Assumptions!$AM105)),"")</f>
        <v>0</v>
      </c>
      <c r="BP105" s="34">
        <f>IFERROR(ABS(SUMIFS('TRA balance'!AG$5:AG$40,'TRA balance'!$C$5:$C$40,Assumptions!$AL105,'TRA balance'!$D$5:$D$40,Assumptions!$AM105)),"")</f>
        <v>0</v>
      </c>
      <c r="BQ105" s="34">
        <f>IFERROR(ABS(SUMIFS('TRA balance'!AH$5:AH$40,'TRA balance'!$C$5:$C$40,Assumptions!$AL105,'TRA balance'!$D$5:$D$40,Assumptions!$AM105)),"")</f>
        <v>0</v>
      </c>
      <c r="BR105" s="27"/>
      <c r="BS105" s="27"/>
    </row>
    <row r="106" spans="1:100" x14ac:dyDescent="0.45">
      <c r="C106" s="27"/>
      <c r="D106" s="27"/>
      <c r="E106" s="28"/>
      <c r="F106" s="29"/>
      <c r="G106" s="27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7" t="s">
        <v>18</v>
      </c>
      <c r="AM106" s="27" t="s">
        <v>41</v>
      </c>
      <c r="AN106" s="34">
        <f>IFERROR(ABS(SUMIFS('TRA balance'!E$5:E$40,'TRA balance'!$C$5:$C$40,Assumptions!$AL106,'TRA balance'!$D$5:$D$40,Assumptions!$AM106)),"")</f>
        <v>0</v>
      </c>
      <c r="AO106" s="34">
        <f>IFERROR(ABS(SUMIFS('TRA balance'!F$5:F$40,'TRA balance'!$C$5:$C$40,Assumptions!$AL106,'TRA balance'!$D$5:$D$40,Assumptions!$AM106)),"")</f>
        <v>0</v>
      </c>
      <c r="AP106" s="34">
        <f>IFERROR(ABS(SUMIFS('TRA balance'!G$5:G$40,'TRA balance'!$C$5:$C$40,Assumptions!$AL106,'TRA balance'!$D$5:$D$40,Assumptions!$AM106)),"")</f>
        <v>0</v>
      </c>
      <c r="AQ106" s="34">
        <f>IFERROR(ABS(SUMIFS('TRA balance'!H$5:H$40,'TRA balance'!$C$5:$C$40,Assumptions!$AL106,'TRA balance'!$D$5:$D$40,Assumptions!$AM106)),"")</f>
        <v>0</v>
      </c>
      <c r="AR106" s="34">
        <f>IFERROR(ABS(SUMIFS('TRA balance'!I$5:I$40,'TRA balance'!$C$5:$C$40,Assumptions!$AL106,'TRA balance'!$D$5:$D$40,Assumptions!$AM106)),"")</f>
        <v>0</v>
      </c>
      <c r="AS106" s="34">
        <f>IFERROR(ABS(SUMIFS('TRA balance'!J$5:J$40,'TRA balance'!$C$5:$C$40,Assumptions!$AL106,'TRA balance'!$D$5:$D$40,Assumptions!$AM106)),"")</f>
        <v>0</v>
      </c>
      <c r="AT106" s="34">
        <f>IFERROR(ABS(SUMIFS('TRA balance'!K$5:K$40,'TRA balance'!$C$5:$C$40,Assumptions!$AL106,'TRA balance'!$D$5:$D$40,Assumptions!$AM106)),"")</f>
        <v>0</v>
      </c>
      <c r="AU106" s="34">
        <f>IFERROR(ABS(SUMIFS('TRA balance'!L$5:L$40,'TRA balance'!$C$5:$C$40,Assumptions!$AL106,'TRA balance'!$D$5:$D$40,Assumptions!$AM106)),"")</f>
        <v>0</v>
      </c>
      <c r="AV106" s="34">
        <f>IFERROR(ABS(SUMIFS('TRA balance'!M$5:M$40,'TRA balance'!$C$5:$C$40,Assumptions!$AL106,'TRA balance'!$D$5:$D$40,Assumptions!$AM106)),"")</f>
        <v>0</v>
      </c>
      <c r="AW106" s="34">
        <f>IFERROR(ABS(SUMIFS('TRA balance'!N$5:N$40,'TRA balance'!$C$5:$C$40,Assumptions!$AL106,'TRA balance'!$D$5:$D$40,Assumptions!$AM106)),"")</f>
        <v>0</v>
      </c>
      <c r="AX106" s="34">
        <f>IFERROR(ABS(SUMIFS('TRA balance'!O$5:O$40,'TRA balance'!$C$5:$C$40,Assumptions!$AL106,'TRA balance'!$D$5:$D$40,Assumptions!$AM106)),"")</f>
        <v>0</v>
      </c>
      <c r="AY106" s="34">
        <f>IFERROR(ABS(SUMIFS('TRA balance'!P$5:P$40,'TRA balance'!$C$5:$C$40,Assumptions!$AL106,'TRA balance'!$D$5:$D$40,Assumptions!$AM106)),"")</f>
        <v>0</v>
      </c>
      <c r="AZ106" s="34">
        <f>IFERROR(ABS(SUMIFS('TRA balance'!Q$5:Q$40,'TRA balance'!$C$5:$C$40,Assumptions!$AL106,'TRA balance'!$D$5:$D$40,Assumptions!$AM106)),"")</f>
        <v>0</v>
      </c>
      <c r="BA106" s="34">
        <f>IFERROR(ABS(SUMIFS('TRA balance'!R$5:R$40,'TRA balance'!$C$5:$C$40,Assumptions!$AL106,'TRA balance'!$D$5:$D$40,Assumptions!$AM106)),"")</f>
        <v>0</v>
      </c>
      <c r="BB106" s="34">
        <f>IFERROR(ABS(SUMIFS('TRA balance'!S$5:S$40,'TRA balance'!$C$5:$C$40,Assumptions!$AL106,'TRA balance'!$D$5:$D$40,Assumptions!$AM106)),"")</f>
        <v>0</v>
      </c>
      <c r="BC106" s="34">
        <f>IFERROR(ABS(SUMIFS('TRA balance'!T$5:T$40,'TRA balance'!$C$5:$C$40,Assumptions!$AL106,'TRA balance'!$D$5:$D$40,Assumptions!$AM106)),"")</f>
        <v>0</v>
      </c>
      <c r="BD106" s="34">
        <f>IFERROR(ABS(SUMIFS('TRA balance'!U$5:U$40,'TRA balance'!$C$5:$C$40,Assumptions!$AL106,'TRA balance'!$D$5:$D$40,Assumptions!$AM106)),"")</f>
        <v>0</v>
      </c>
      <c r="BE106" s="34">
        <f>IFERROR(ABS(SUMIFS('TRA balance'!V$5:V$40,'TRA balance'!$C$5:$C$40,Assumptions!$AL106,'TRA balance'!$D$5:$D$40,Assumptions!$AM106)),"")</f>
        <v>0</v>
      </c>
      <c r="BF106" s="34">
        <f>IFERROR(ABS(SUMIFS('TRA balance'!W$5:W$40,'TRA balance'!$C$5:$C$40,Assumptions!$AL106,'TRA balance'!$D$5:$D$40,Assumptions!$AM106)),"")</f>
        <v>0</v>
      </c>
      <c r="BG106" s="34">
        <f>IFERROR(ABS(SUMIFS('TRA balance'!X$5:X$40,'TRA balance'!$C$5:$C$40,Assumptions!$AL106,'TRA balance'!$D$5:$D$40,Assumptions!$AM106)),"")</f>
        <v>0</v>
      </c>
      <c r="BH106" s="34">
        <f>IFERROR(ABS(SUMIFS('TRA balance'!Y$5:Y$40,'TRA balance'!$C$5:$C$40,Assumptions!$AL106,'TRA balance'!$D$5:$D$40,Assumptions!$AM106)),"")</f>
        <v>0</v>
      </c>
      <c r="BI106" s="34">
        <f>IFERROR(ABS(SUMIFS('TRA balance'!Z$5:Z$40,'TRA balance'!$C$5:$C$40,Assumptions!$AL106,'TRA balance'!$D$5:$D$40,Assumptions!$AM106)),"")</f>
        <v>0</v>
      </c>
      <c r="BJ106" s="34">
        <f>IFERROR(ABS(SUMIFS('TRA balance'!AA$5:AA$40,'TRA balance'!$C$5:$C$40,Assumptions!$AL106,'TRA balance'!$D$5:$D$40,Assumptions!$AM106)),"")</f>
        <v>0</v>
      </c>
      <c r="BK106" s="34">
        <f>IFERROR(ABS(SUMIFS('TRA balance'!AB$5:AB$40,'TRA balance'!$C$5:$C$40,Assumptions!$AL106,'TRA balance'!$D$5:$D$40,Assumptions!$AM106)),"")</f>
        <v>0</v>
      </c>
      <c r="BL106" s="34">
        <f>IFERROR(ABS(SUMIFS('TRA balance'!AC$5:AC$40,'TRA balance'!$C$5:$C$40,Assumptions!$AL106,'TRA balance'!$D$5:$D$40,Assumptions!$AM106)),"")</f>
        <v>0</v>
      </c>
      <c r="BM106" s="34">
        <f>IFERROR(ABS(SUMIFS('TRA balance'!AD$5:AD$40,'TRA balance'!$C$5:$C$40,Assumptions!$AL106,'TRA balance'!$D$5:$D$40,Assumptions!$AM106)),"")</f>
        <v>0</v>
      </c>
      <c r="BN106" s="34">
        <f>IFERROR(ABS(SUMIFS('TRA balance'!AE$5:AE$40,'TRA balance'!$C$5:$C$40,Assumptions!$AL106,'TRA balance'!$D$5:$D$40,Assumptions!$AM106)),"")</f>
        <v>0</v>
      </c>
      <c r="BO106" s="34">
        <f>IFERROR(ABS(SUMIFS('TRA balance'!AF$5:AF$40,'TRA balance'!$C$5:$C$40,Assumptions!$AL106,'TRA balance'!$D$5:$D$40,Assumptions!$AM106)),"")</f>
        <v>0</v>
      </c>
      <c r="BP106" s="34">
        <f>IFERROR(ABS(SUMIFS('TRA balance'!AG$5:AG$40,'TRA balance'!$C$5:$C$40,Assumptions!$AL106,'TRA balance'!$D$5:$D$40,Assumptions!$AM106)),"")</f>
        <v>0</v>
      </c>
      <c r="BQ106" s="34">
        <f>IFERROR(ABS(SUMIFS('TRA balance'!AH$5:AH$40,'TRA balance'!$C$5:$C$40,Assumptions!$AL106,'TRA balance'!$D$5:$D$40,Assumptions!$AM106)),"")</f>
        <v>0</v>
      </c>
      <c r="BR106" s="27"/>
      <c r="BS106" s="27"/>
    </row>
    <row r="107" spans="1:100" x14ac:dyDescent="0.45">
      <c r="B107" t="s">
        <v>136</v>
      </c>
      <c r="C107" t="s">
        <v>139</v>
      </c>
      <c r="D107" t="s">
        <v>140</v>
      </c>
      <c r="E107" t="s">
        <v>141</v>
      </c>
      <c r="F107" t="s">
        <v>9</v>
      </c>
      <c r="G107" t="s">
        <v>15</v>
      </c>
      <c r="H107" t="s">
        <v>8</v>
      </c>
      <c r="I107" t="s">
        <v>14</v>
      </c>
      <c r="J107" t="s">
        <v>6</v>
      </c>
      <c r="K107" t="s">
        <v>4</v>
      </c>
      <c r="L107" t="s">
        <v>13</v>
      </c>
      <c r="M107" t="s">
        <v>7</v>
      </c>
      <c r="N107" t="s">
        <v>2</v>
      </c>
      <c r="O107" t="s">
        <v>11</v>
      </c>
      <c r="P107" t="s">
        <v>0</v>
      </c>
      <c r="Q107" t="s">
        <v>12</v>
      </c>
      <c r="R107" t="s">
        <v>3</v>
      </c>
      <c r="S107" t="s">
        <v>5</v>
      </c>
      <c r="T107" t="s">
        <v>1</v>
      </c>
      <c r="AL107" s="27" t="s">
        <v>18</v>
      </c>
      <c r="AM107" s="27" t="s">
        <v>45</v>
      </c>
      <c r="AN107" s="34">
        <f>IFERROR(ABS(SUMIFS('TRA balance'!E$5:E$40,'TRA balance'!$C$5:$C$40,Assumptions!$AL107,'TRA balance'!$D$5:$D$40,Assumptions!$AM107)),"")</f>
        <v>0</v>
      </c>
      <c r="AO107" s="34">
        <f>IFERROR(ABS(SUMIFS('TRA balance'!F$5:F$40,'TRA balance'!$C$5:$C$40,Assumptions!$AL107,'TRA balance'!$D$5:$D$40,Assumptions!$AM107)),"")</f>
        <v>0</v>
      </c>
      <c r="AP107" s="34">
        <f>IFERROR(ABS(SUMIFS('TRA balance'!G$5:G$40,'TRA balance'!$C$5:$C$40,Assumptions!$AL107,'TRA balance'!$D$5:$D$40,Assumptions!$AM107)),"")</f>
        <v>0</v>
      </c>
      <c r="AQ107" s="34">
        <f>IFERROR(ABS(SUMIFS('TRA balance'!H$5:H$40,'TRA balance'!$C$5:$C$40,Assumptions!$AL107,'TRA balance'!$D$5:$D$40,Assumptions!$AM107)),"")</f>
        <v>0</v>
      </c>
      <c r="AR107" s="34">
        <f>IFERROR(ABS(SUMIFS('TRA balance'!I$5:I$40,'TRA balance'!$C$5:$C$40,Assumptions!$AL107,'TRA balance'!$D$5:$D$40,Assumptions!$AM107)),"")</f>
        <v>0</v>
      </c>
      <c r="AS107" s="34">
        <f>IFERROR(ABS(SUMIFS('TRA balance'!J$5:J$40,'TRA balance'!$C$5:$C$40,Assumptions!$AL107,'TRA balance'!$D$5:$D$40,Assumptions!$AM107)),"")</f>
        <v>0</v>
      </c>
      <c r="AT107" s="34">
        <f>IFERROR(ABS(SUMIFS('TRA balance'!K$5:K$40,'TRA balance'!$C$5:$C$40,Assumptions!$AL107,'TRA balance'!$D$5:$D$40,Assumptions!$AM107)),"")</f>
        <v>0</v>
      </c>
      <c r="AU107" s="34">
        <f>IFERROR(ABS(SUMIFS('TRA balance'!L$5:L$40,'TRA balance'!$C$5:$C$40,Assumptions!$AL107,'TRA balance'!$D$5:$D$40,Assumptions!$AM107)),"")</f>
        <v>0</v>
      </c>
      <c r="AV107" s="34">
        <f>IFERROR(ABS(SUMIFS('TRA balance'!M$5:M$40,'TRA balance'!$C$5:$C$40,Assumptions!$AL107,'TRA balance'!$D$5:$D$40,Assumptions!$AM107)),"")</f>
        <v>0</v>
      </c>
      <c r="AW107" s="34">
        <f>IFERROR(ABS(SUMIFS('TRA balance'!N$5:N$40,'TRA balance'!$C$5:$C$40,Assumptions!$AL107,'TRA balance'!$D$5:$D$40,Assumptions!$AM107)),"")</f>
        <v>0</v>
      </c>
      <c r="AX107" s="34">
        <f>IFERROR(ABS(SUMIFS('TRA balance'!O$5:O$40,'TRA balance'!$C$5:$C$40,Assumptions!$AL107,'TRA balance'!$D$5:$D$40,Assumptions!$AM107)),"")</f>
        <v>0</v>
      </c>
      <c r="AY107" s="34">
        <f>IFERROR(ABS(SUMIFS('TRA balance'!P$5:P$40,'TRA balance'!$C$5:$C$40,Assumptions!$AL107,'TRA balance'!$D$5:$D$40,Assumptions!$AM107)),"")</f>
        <v>0</v>
      </c>
      <c r="AZ107" s="34">
        <f>IFERROR(ABS(SUMIFS('TRA balance'!Q$5:Q$40,'TRA balance'!$C$5:$C$40,Assumptions!$AL107,'TRA balance'!$D$5:$D$40,Assumptions!$AM107)),"")</f>
        <v>0</v>
      </c>
      <c r="BA107" s="34">
        <f>IFERROR(ABS(SUMIFS('TRA balance'!R$5:R$40,'TRA balance'!$C$5:$C$40,Assumptions!$AL107,'TRA balance'!$D$5:$D$40,Assumptions!$AM107)),"")</f>
        <v>0</v>
      </c>
      <c r="BB107" s="34">
        <f>IFERROR(ABS(SUMIFS('TRA balance'!S$5:S$40,'TRA balance'!$C$5:$C$40,Assumptions!$AL107,'TRA balance'!$D$5:$D$40,Assumptions!$AM107)),"")</f>
        <v>0</v>
      </c>
      <c r="BC107" s="34">
        <f>IFERROR(ABS(SUMIFS('TRA balance'!T$5:T$40,'TRA balance'!$C$5:$C$40,Assumptions!$AL107,'TRA balance'!$D$5:$D$40,Assumptions!$AM107)),"")</f>
        <v>0</v>
      </c>
      <c r="BD107" s="34">
        <f>IFERROR(ABS(SUMIFS('TRA balance'!U$5:U$40,'TRA balance'!$C$5:$C$40,Assumptions!$AL107,'TRA balance'!$D$5:$D$40,Assumptions!$AM107)),"")</f>
        <v>5.0799993515999997</v>
      </c>
      <c r="BE107" s="34">
        <f>IFERROR(ABS(SUMIFS('TRA balance'!V$5:V$40,'TRA balance'!$C$5:$C$40,Assumptions!$AL107,'TRA balance'!$D$5:$D$40,Assumptions!$AM107)),"")</f>
        <v>0</v>
      </c>
      <c r="BF107" s="34">
        <f>IFERROR(ABS(SUMIFS('TRA balance'!W$5:W$40,'TRA balance'!$C$5:$C$40,Assumptions!$AL107,'TRA balance'!$D$5:$D$40,Assumptions!$AM107)),"")</f>
        <v>0</v>
      </c>
      <c r="BG107" s="34">
        <f>IFERROR(ABS(SUMIFS('TRA balance'!X$5:X$40,'TRA balance'!$C$5:$C$40,Assumptions!$AL107,'TRA balance'!$D$5:$D$40,Assumptions!$AM107)),"")</f>
        <v>0</v>
      </c>
      <c r="BH107" s="34">
        <f>IFERROR(ABS(SUMIFS('TRA balance'!Y$5:Y$40,'TRA balance'!$C$5:$C$40,Assumptions!$AL107,'TRA balance'!$D$5:$D$40,Assumptions!$AM107)),"")</f>
        <v>0</v>
      </c>
      <c r="BI107" s="34">
        <f>IFERROR(ABS(SUMIFS('TRA balance'!Z$5:Z$40,'TRA balance'!$C$5:$C$40,Assumptions!$AL107,'TRA balance'!$D$5:$D$40,Assumptions!$AM107)),"")</f>
        <v>0</v>
      </c>
      <c r="BJ107" s="34">
        <f>IFERROR(ABS(SUMIFS('TRA balance'!AA$5:AA$40,'TRA balance'!$C$5:$C$40,Assumptions!$AL107,'TRA balance'!$D$5:$D$40,Assumptions!$AM107)),"")</f>
        <v>0</v>
      </c>
      <c r="BK107" s="34">
        <f>IFERROR(ABS(SUMIFS('TRA balance'!AB$5:AB$40,'TRA balance'!$C$5:$C$40,Assumptions!$AL107,'TRA balance'!$D$5:$D$40,Assumptions!$AM107)),"")</f>
        <v>0</v>
      </c>
      <c r="BL107" s="34">
        <f>IFERROR(ABS(SUMIFS('TRA balance'!AC$5:AC$40,'TRA balance'!$C$5:$C$40,Assumptions!$AL107,'TRA balance'!$D$5:$D$40,Assumptions!$AM107)),"")</f>
        <v>0</v>
      </c>
      <c r="BM107" s="34">
        <f>IFERROR(ABS(SUMIFS('TRA balance'!AD$5:AD$40,'TRA balance'!$C$5:$C$40,Assumptions!$AL107,'TRA balance'!$D$5:$D$40,Assumptions!$AM107)),"")</f>
        <v>0</v>
      </c>
      <c r="BN107" s="34">
        <f>IFERROR(ABS(SUMIFS('TRA balance'!AE$5:AE$40,'TRA balance'!$C$5:$C$40,Assumptions!$AL107,'TRA balance'!$D$5:$D$40,Assumptions!$AM107)),"")</f>
        <v>0</v>
      </c>
      <c r="BO107" s="34">
        <f>IFERROR(ABS(SUMIFS('TRA balance'!AF$5:AF$40,'TRA balance'!$C$5:$C$40,Assumptions!$AL107,'TRA balance'!$D$5:$D$40,Assumptions!$AM107)),"")</f>
        <v>0</v>
      </c>
      <c r="BP107" s="34">
        <f>IFERROR(ABS(SUMIFS('TRA balance'!AG$5:AG$40,'TRA balance'!$C$5:$C$40,Assumptions!$AL107,'TRA balance'!$D$5:$D$40,Assumptions!$AM107)),"")</f>
        <v>0</v>
      </c>
      <c r="BQ107" s="34">
        <f>IFERROR(ABS(SUMIFS('TRA balance'!AH$5:AH$40,'TRA balance'!$C$5:$C$40,Assumptions!$AL107,'TRA balance'!$D$5:$D$40,Assumptions!$AM107)),"")</f>
        <v>0</v>
      </c>
      <c r="BR107" s="27"/>
      <c r="BS107" s="27"/>
    </row>
    <row r="108" spans="1:100" x14ac:dyDescent="0.45">
      <c r="C108" t="str">
        <f>MID(E108,4,3)</f>
        <v>DST</v>
      </c>
      <c r="D108" t="str">
        <f t="shared" ref="D108:D150" si="240">LEFT(E108,3)</f>
        <v>TRB</v>
      </c>
      <c r="E108" t="s">
        <v>102</v>
      </c>
      <c r="F108" s="1">
        <v>8.7999999999999995E-2</v>
      </c>
      <c r="G108" s="1">
        <v>9.9000000000000005E-2</v>
      </c>
      <c r="H108" s="1">
        <v>9.9000000000000005E-2</v>
      </c>
      <c r="I108" s="1">
        <v>0.1</v>
      </c>
      <c r="J108" s="1">
        <v>9.35E-2</v>
      </c>
      <c r="K108" s="1">
        <v>9.35E-2</v>
      </c>
      <c r="L108" s="1">
        <v>9.9000000000000005E-2</v>
      </c>
      <c r="M108" s="1">
        <v>8.7999999999999995E-2</v>
      </c>
      <c r="N108" s="1">
        <v>9.9000000000000005E-2</v>
      </c>
      <c r="O108" s="1">
        <v>7.6999999999999999E-2</v>
      </c>
      <c r="P108" s="1">
        <v>9.35E-2</v>
      </c>
      <c r="Q108" s="1">
        <v>8.7999999999999995E-2</v>
      </c>
      <c r="R108" s="1">
        <v>7.7439999999999995E-2</v>
      </c>
      <c r="S108" s="1">
        <v>9.9000000000000005E-2</v>
      </c>
      <c r="T108" s="1">
        <v>9.9000000000000005E-2</v>
      </c>
      <c r="AL108" s="27" t="s">
        <v>18</v>
      </c>
      <c r="AM108" s="27" t="s">
        <v>43</v>
      </c>
      <c r="AN108" s="34">
        <f>IFERROR(ABS(SUMIFS('TRA balance'!E$5:E$40,'TRA balance'!$C$5:$C$40,Assumptions!$AL108,'TRA balance'!$D$5:$D$40,Assumptions!$AM108)),"")</f>
        <v>99.123030097200001</v>
      </c>
      <c r="AO108" s="34">
        <f>IFERROR(ABS(SUMIFS('TRA balance'!F$5:F$40,'TRA balance'!$C$5:$C$40,Assumptions!$AL108,'TRA balance'!$D$5:$D$40,Assumptions!$AM108)),"")</f>
        <v>192.09280397040001</v>
      </c>
      <c r="AP108" s="34">
        <f>IFERROR(ABS(SUMIFS('TRA balance'!G$5:G$40,'TRA balance'!$C$5:$C$40,Assumptions!$AL108,'TRA balance'!$D$5:$D$40,Assumptions!$AM108)),"")</f>
        <v>79.985694834</v>
      </c>
      <c r="AQ108" s="34">
        <f>IFERROR(ABS(SUMIFS('TRA balance'!H$5:H$40,'TRA balance'!$C$5:$C$40,Assumptions!$AL108,'TRA balance'!$D$5:$D$40,Assumptions!$AM108)),"")</f>
        <v>68.640798236400002</v>
      </c>
      <c r="AR108" s="34">
        <f>IFERROR(ABS(SUMIFS('TRA balance'!I$5:I$40,'TRA balance'!$C$5:$C$40,Assumptions!$AL108,'TRA balance'!$D$5:$D$40,Assumptions!$AM108)),"")</f>
        <v>541.37213084159998</v>
      </c>
      <c r="AS108" s="34">
        <f>IFERROR(ABS(SUMIFS('TRA balance'!J$5:J$40,'TRA balance'!$C$5:$C$40,Assumptions!$AL108,'TRA balance'!$D$5:$D$40,Assumptions!$AM108)),"")</f>
        <v>1095.7451465376</v>
      </c>
      <c r="AT108" s="34">
        <f>IFERROR(ABS(SUMIFS('TRA balance'!K$5:K$40,'TRA balance'!$C$5:$C$40,Assumptions!$AL108,'TRA balance'!$D$5:$D$40,Assumptions!$AM108)),"")</f>
        <v>265.72400822520001</v>
      </c>
      <c r="AU108" s="34">
        <f>IFERROR(ABS(SUMIFS('TRA balance'!L$5:L$40,'TRA balance'!$C$5:$C$40,Assumptions!$AL108,'TRA balance'!$D$5:$D$40,Assumptions!$AM108)),"")</f>
        <v>101.4462184284</v>
      </c>
      <c r="AV108" s="34">
        <f>IFERROR(ABS(SUMIFS('TRA balance'!M$5:M$40,'TRA balance'!$C$5:$C$40,Assumptions!$AL108,'TRA balance'!$D$5:$D$40,Assumptions!$AM108)),"")</f>
        <v>35.947601031600001</v>
      </c>
      <c r="AW108" s="34">
        <f>IFERROR(ABS(SUMIFS('TRA balance'!N$5:N$40,'TRA balance'!$C$5:$C$40,Assumptions!$AL108,'TRA balance'!$D$5:$D$40,Assumptions!$AM108)),"")</f>
        <v>739.07707225679997</v>
      </c>
      <c r="AX108" s="34">
        <f>IFERROR(ABS(SUMIFS('TRA balance'!O$5:O$40,'TRA balance'!$C$5:$C$40,Assumptions!$AL108,'TRA balance'!$D$5:$D$40,Assumptions!$AM108)),"")</f>
        <v>115.4657935908</v>
      </c>
      <c r="AY108" s="34">
        <f>IFERROR(ABS(SUMIFS('TRA balance'!P$5:P$40,'TRA balance'!$C$5:$C$40,Assumptions!$AL108,'TRA balance'!$D$5:$D$40,Assumptions!$AM108)),"")</f>
        <v>118.5745135248</v>
      </c>
      <c r="AZ108" s="34">
        <f>IFERROR(ABS(SUMIFS('TRA balance'!Q$5:Q$40,'TRA balance'!$C$5:$C$40,Assumptions!$AL108,'TRA balance'!$D$5:$D$40,Assumptions!$AM108)),"")</f>
        <v>306.15462535680001</v>
      </c>
      <c r="BA108" s="34">
        <f>IFERROR(ABS(SUMIFS('TRA balance'!R$5:R$40,'TRA balance'!$C$5:$C$40,Assumptions!$AL108,'TRA balance'!$D$5:$D$40,Assumptions!$AM108)),"")</f>
        <v>233.41009741920001</v>
      </c>
      <c r="BB108" s="34">
        <f>IFERROR(ABS(SUMIFS('TRA balance'!S$5:S$40,'TRA balance'!$C$5:$C$40,Assumptions!$AL108,'TRA balance'!$D$5:$D$40,Assumptions!$AM108)),"")</f>
        <v>37.673998703999999</v>
      </c>
      <c r="BC108" s="34">
        <f>IFERROR(ABS(SUMIFS('TRA balance'!T$5:T$40,'TRA balance'!$C$5:$C$40,Assumptions!$AL108,'TRA balance'!$D$5:$D$40,Assumptions!$AM108)),"")</f>
        <v>260.69910716160001</v>
      </c>
      <c r="BD108" s="34">
        <f>IFERROR(ABS(SUMIFS('TRA balance'!U$5:U$40,'TRA balance'!$C$5:$C$40,Assumptions!$AL108,'TRA balance'!$D$5:$D$40,Assumptions!$AM108)),"")</f>
        <v>282.17336346000002</v>
      </c>
      <c r="BE108" s="34">
        <f>IFERROR(ABS(SUMIFS('TRA balance'!V$5:V$40,'TRA balance'!$C$5:$C$40,Assumptions!$AL108,'TRA balance'!$D$5:$D$40,Assumptions!$AM108)),"")</f>
        <v>260.04602497680003</v>
      </c>
      <c r="BF108" s="34">
        <f>IFERROR(ABS(SUMIFS('TRA balance'!W$5:W$40,'TRA balance'!$C$5:$C$40,Assumptions!$AL108,'TRA balance'!$D$5:$D$40,Assumptions!$AM108)),"")</f>
        <v>409.87600114679998</v>
      </c>
      <c r="BG108" s="34">
        <f>IFERROR(ABS(SUMIFS('TRA balance'!X$5:X$40,'TRA balance'!$C$5:$C$40,Assumptions!$AL108,'TRA balance'!$D$5:$D$40,Assumptions!$AM108)),"")</f>
        <v>177.46910706240001</v>
      </c>
      <c r="BH108" s="34">
        <f>IFERROR(ABS(SUMIFS('TRA balance'!Y$5:Y$40,'TRA balance'!$C$5:$C$40,Assumptions!$AL108,'TRA balance'!$D$5:$D$40,Assumptions!$AM108)),"")</f>
        <v>242.4319689708</v>
      </c>
      <c r="BI108" s="34">
        <f>IFERROR(ABS(SUMIFS('TRA balance'!Z$5:Z$40,'TRA balance'!$C$5:$C$40,Assumptions!$AL108,'TRA balance'!$D$5:$D$40,Assumptions!$AM108)),"")</f>
        <v>176.72738613480001</v>
      </c>
      <c r="BJ108" s="34">
        <f>IFERROR(ABS(SUMIFS('TRA balance'!AA$5:AA$40,'TRA balance'!$C$5:$C$40,Assumptions!$AL108,'TRA balance'!$D$5:$D$40,Assumptions!$AM108)),"")</f>
        <v>762.82424179199995</v>
      </c>
      <c r="BK108" s="34">
        <f>IFERROR(ABS(SUMIFS('TRA balance'!AB$5:AB$40,'TRA balance'!$C$5:$C$40,Assumptions!$AL108,'TRA balance'!$D$5:$D$40,Assumptions!$AM108)),"")</f>
        <v>35.984771442000003</v>
      </c>
      <c r="BL108" s="34">
        <f>IFERROR(ABS(SUMIFS('TRA balance'!AC$5:AC$40,'TRA balance'!$C$5:$C$40,Assumptions!$AL108,'TRA balance'!$D$5:$D$40,Assumptions!$AM108)),"")</f>
        <v>245.09999889720001</v>
      </c>
      <c r="BM108" s="34">
        <f>IFERROR(ABS(SUMIFS('TRA balance'!AD$5:AD$40,'TRA balance'!$C$5:$C$40,Assumptions!$AL108,'TRA balance'!$D$5:$D$40,Assumptions!$AM108)),"")</f>
        <v>153.09619095959999</v>
      </c>
      <c r="BN108" s="34">
        <f>IFERROR(ABS(SUMIFS('TRA balance'!AE$5:AE$40,'TRA balance'!$C$5:$C$40,Assumptions!$AL108,'TRA balance'!$D$5:$D$40,Assumptions!$AM108)),"")</f>
        <v>46.072598086799999</v>
      </c>
      <c r="BO108" s="34">
        <f>IFERROR(ABS(SUMIFS('TRA balance'!AF$5:AF$40,'TRA balance'!$C$5:$C$40,Assumptions!$AL108,'TRA balance'!$D$5:$D$40,Assumptions!$AM108)),"")</f>
        <v>493.59478083840003</v>
      </c>
      <c r="BP108" s="34">
        <f>IFERROR(ABS(SUMIFS('TRA balance'!AG$5:AG$40,'TRA balance'!$C$5:$C$40,Assumptions!$AL108,'TRA balance'!$D$5:$D$40,Assumptions!$AM108)),"")</f>
        <v>1072.1840007132</v>
      </c>
      <c r="BQ108" s="34">
        <f>IFERROR(ABS(SUMIFS('TRA balance'!AH$5:AH$40,'TRA balance'!$C$5:$C$40,Assumptions!$AL108,'TRA balance'!$D$5:$D$40,Assumptions!$AM108)),"")</f>
        <v>0</v>
      </c>
      <c r="BR108" s="27"/>
      <c r="BS108" s="27"/>
    </row>
    <row r="109" spans="1:100" x14ac:dyDescent="0.45">
      <c r="C109" t="str">
        <f t="shared" ref="C109:C150" si="241">MID(E109,4,3)</f>
        <v>ELC</v>
      </c>
      <c r="D109" t="str">
        <f t="shared" si="240"/>
        <v>TRB</v>
      </c>
      <c r="E109" t="s">
        <v>103</v>
      </c>
      <c r="F109" s="1">
        <v>0.12</v>
      </c>
      <c r="G109" s="1">
        <v>0.13500000000000001</v>
      </c>
      <c r="H109" s="1">
        <v>0.13500000000000001</v>
      </c>
      <c r="I109" s="1">
        <v>0.13500000000000001</v>
      </c>
      <c r="J109" s="1">
        <v>0.1275</v>
      </c>
      <c r="K109" s="1">
        <v>0.1275</v>
      </c>
      <c r="L109" s="1">
        <v>0.13500000000000001</v>
      </c>
      <c r="M109" s="1">
        <v>0.12</v>
      </c>
      <c r="N109" s="1">
        <v>0.13500000000000001</v>
      </c>
      <c r="O109" s="1">
        <v>0.105</v>
      </c>
      <c r="P109" s="1">
        <v>0.1275</v>
      </c>
      <c r="Q109" s="1">
        <v>0.12</v>
      </c>
      <c r="R109" s="1">
        <v>0.1056</v>
      </c>
      <c r="S109" s="1">
        <v>0.13500000000000001</v>
      </c>
      <c r="T109" s="1">
        <v>0.13500000000000001</v>
      </c>
      <c r="AL109" s="27" t="s">
        <v>20</v>
      </c>
      <c r="AM109" s="27" t="s">
        <v>31</v>
      </c>
      <c r="AN109" s="34">
        <f>IFERROR(ABS(SUMIFS('TRA balance'!E$5:E$40,'TRA balance'!$C$5:$C$40,Assumptions!$AL109,'TRA balance'!$D$5:$D$40,Assumptions!$AM109)),"")</f>
        <v>0</v>
      </c>
      <c r="AO109" s="34">
        <f>IFERROR(ABS(SUMIFS('TRA balance'!F$5:F$40,'TRA balance'!$C$5:$C$40,Assumptions!$AL109,'TRA balance'!$D$5:$D$40,Assumptions!$AM109)),"")</f>
        <v>0</v>
      </c>
      <c r="AP109" s="34">
        <f>IFERROR(ABS(SUMIFS('TRA balance'!G$5:G$40,'TRA balance'!$C$5:$C$40,Assumptions!$AL109,'TRA balance'!$D$5:$D$40,Assumptions!$AM109)),"")</f>
        <v>0</v>
      </c>
      <c r="AQ109" s="34">
        <f>IFERROR(ABS(SUMIFS('TRA balance'!H$5:H$40,'TRA balance'!$C$5:$C$40,Assumptions!$AL109,'TRA balance'!$D$5:$D$40,Assumptions!$AM109)),"")</f>
        <v>0</v>
      </c>
      <c r="AR109" s="34">
        <f>IFERROR(ABS(SUMIFS('TRA balance'!I$5:I$40,'TRA balance'!$C$5:$C$40,Assumptions!$AL109,'TRA balance'!$D$5:$D$40,Assumptions!$AM109)),"")</f>
        <v>0</v>
      </c>
      <c r="AS109" s="34">
        <f>IFERROR(ABS(SUMIFS('TRA balance'!J$5:J$40,'TRA balance'!$C$5:$C$40,Assumptions!$AL109,'TRA balance'!$D$5:$D$40,Assumptions!$AM109)),"")</f>
        <v>0</v>
      </c>
      <c r="AT109" s="34">
        <f>IFERROR(ABS(SUMIFS('TRA balance'!K$5:K$40,'TRA balance'!$C$5:$C$40,Assumptions!$AL109,'TRA balance'!$D$5:$D$40,Assumptions!$AM109)),"")</f>
        <v>0</v>
      </c>
      <c r="AU109" s="34">
        <f>IFERROR(ABS(SUMIFS('TRA balance'!L$5:L$40,'TRA balance'!$C$5:$C$40,Assumptions!$AL109,'TRA balance'!$D$5:$D$40,Assumptions!$AM109)),"")</f>
        <v>0</v>
      </c>
      <c r="AV109" s="34">
        <f>IFERROR(ABS(SUMIFS('TRA balance'!M$5:M$40,'TRA balance'!$C$5:$C$40,Assumptions!$AL109,'TRA balance'!$D$5:$D$40,Assumptions!$AM109)),"")</f>
        <v>0</v>
      </c>
      <c r="AW109" s="34">
        <f>IFERROR(ABS(SUMIFS('TRA balance'!N$5:N$40,'TRA balance'!$C$5:$C$40,Assumptions!$AL109,'TRA balance'!$D$5:$D$40,Assumptions!$AM109)),"")</f>
        <v>0</v>
      </c>
      <c r="AX109" s="34">
        <f>IFERROR(ABS(SUMIFS('TRA balance'!O$5:O$40,'TRA balance'!$C$5:$C$40,Assumptions!$AL109,'TRA balance'!$D$5:$D$40,Assumptions!$AM109)),"")</f>
        <v>0</v>
      </c>
      <c r="AY109" s="34">
        <f>IFERROR(ABS(SUMIFS('TRA balance'!P$5:P$40,'TRA balance'!$C$5:$C$40,Assumptions!$AL109,'TRA balance'!$D$5:$D$40,Assumptions!$AM109)),"")</f>
        <v>0</v>
      </c>
      <c r="AZ109" s="34">
        <f>IFERROR(ABS(SUMIFS('TRA balance'!Q$5:Q$40,'TRA balance'!$C$5:$C$40,Assumptions!$AL109,'TRA balance'!$D$5:$D$40,Assumptions!$AM109)),"")</f>
        <v>0</v>
      </c>
      <c r="BA109" s="34">
        <f>IFERROR(ABS(SUMIFS('TRA balance'!R$5:R$40,'TRA balance'!$C$5:$C$40,Assumptions!$AL109,'TRA balance'!$D$5:$D$40,Assumptions!$AM109)),"")</f>
        <v>0</v>
      </c>
      <c r="BB109" s="34">
        <f>IFERROR(ABS(SUMIFS('TRA balance'!S$5:S$40,'TRA balance'!$C$5:$C$40,Assumptions!$AL109,'TRA balance'!$D$5:$D$40,Assumptions!$AM109)),"")</f>
        <v>0</v>
      </c>
      <c r="BC109" s="34">
        <f>IFERROR(ABS(SUMIFS('TRA balance'!T$5:T$40,'TRA balance'!$C$5:$C$40,Assumptions!$AL109,'TRA balance'!$D$5:$D$40,Assumptions!$AM109)),"")</f>
        <v>0</v>
      </c>
      <c r="BD109" s="34">
        <f>IFERROR(ABS(SUMIFS('TRA balance'!U$5:U$40,'TRA balance'!$C$5:$C$40,Assumptions!$AL109,'TRA balance'!$D$5:$D$40,Assumptions!$AM109)),"")</f>
        <v>0</v>
      </c>
      <c r="BE109" s="34">
        <f>IFERROR(ABS(SUMIFS('TRA balance'!V$5:V$40,'TRA balance'!$C$5:$C$40,Assumptions!$AL109,'TRA balance'!$D$5:$D$40,Assumptions!$AM109)),"")</f>
        <v>0</v>
      </c>
      <c r="BF109" s="34">
        <f>IFERROR(ABS(SUMIFS('TRA balance'!W$5:W$40,'TRA balance'!$C$5:$C$40,Assumptions!$AL109,'TRA balance'!$D$5:$D$40,Assumptions!$AM109)),"")</f>
        <v>0</v>
      </c>
      <c r="BG109" s="34">
        <f>IFERROR(ABS(SUMIFS('TRA balance'!X$5:X$40,'TRA balance'!$C$5:$C$40,Assumptions!$AL109,'TRA balance'!$D$5:$D$40,Assumptions!$AM109)),"")</f>
        <v>0</v>
      </c>
      <c r="BH109" s="34">
        <f>IFERROR(ABS(SUMIFS('TRA balance'!Y$5:Y$40,'TRA balance'!$C$5:$C$40,Assumptions!$AL109,'TRA balance'!$D$5:$D$40,Assumptions!$AM109)),"")</f>
        <v>0</v>
      </c>
      <c r="BI109" s="34">
        <f>IFERROR(ABS(SUMIFS('TRA balance'!Z$5:Z$40,'TRA balance'!$C$5:$C$40,Assumptions!$AL109,'TRA balance'!$D$5:$D$40,Assumptions!$AM109)),"")</f>
        <v>0</v>
      </c>
      <c r="BJ109" s="34">
        <f>IFERROR(ABS(SUMIFS('TRA balance'!AA$5:AA$40,'TRA balance'!$C$5:$C$40,Assumptions!$AL109,'TRA balance'!$D$5:$D$40,Assumptions!$AM109)),"")</f>
        <v>0</v>
      </c>
      <c r="BK109" s="34">
        <f>IFERROR(ABS(SUMIFS('TRA balance'!AB$5:AB$40,'TRA balance'!$C$5:$C$40,Assumptions!$AL109,'TRA balance'!$D$5:$D$40,Assumptions!$AM109)),"")</f>
        <v>0</v>
      </c>
      <c r="BL109" s="34">
        <f>IFERROR(ABS(SUMIFS('TRA balance'!AC$5:AC$40,'TRA balance'!$C$5:$C$40,Assumptions!$AL109,'TRA balance'!$D$5:$D$40,Assumptions!$AM109)),"")</f>
        <v>0</v>
      </c>
      <c r="BM109" s="34">
        <f>IFERROR(ABS(SUMIFS('TRA balance'!AD$5:AD$40,'TRA balance'!$C$5:$C$40,Assumptions!$AL109,'TRA balance'!$D$5:$D$40,Assumptions!$AM109)),"")</f>
        <v>0</v>
      </c>
      <c r="BN109" s="34">
        <f>IFERROR(ABS(SUMIFS('TRA balance'!AE$5:AE$40,'TRA balance'!$C$5:$C$40,Assumptions!$AL109,'TRA balance'!$D$5:$D$40,Assumptions!$AM109)),"")</f>
        <v>0</v>
      </c>
      <c r="BO109" s="34">
        <f>IFERROR(ABS(SUMIFS('TRA balance'!AF$5:AF$40,'TRA balance'!$C$5:$C$40,Assumptions!$AL109,'TRA balance'!$D$5:$D$40,Assumptions!$AM109)),"")</f>
        <v>0</v>
      </c>
      <c r="BP109" s="34">
        <f>IFERROR(ABS(SUMIFS('TRA balance'!AG$5:AG$40,'TRA balance'!$C$5:$C$40,Assumptions!$AL109,'TRA balance'!$D$5:$D$40,Assumptions!$AM109)),"")</f>
        <v>0</v>
      </c>
      <c r="BQ109" s="34">
        <f>IFERROR(ABS(SUMIFS('TRA balance'!AH$5:AH$40,'TRA balance'!$C$5:$C$40,Assumptions!$AL109,'TRA balance'!$D$5:$D$40,Assumptions!$AM109)),"")</f>
        <v>0</v>
      </c>
      <c r="BR109" s="27"/>
      <c r="BS109" s="27"/>
    </row>
    <row r="110" spans="1:100" x14ac:dyDescent="0.45">
      <c r="C110" t="str">
        <f t="shared" si="241"/>
        <v>ETH</v>
      </c>
      <c r="D110" t="str">
        <f t="shared" si="240"/>
        <v>TRB</v>
      </c>
      <c r="E110" t="s">
        <v>104</v>
      </c>
      <c r="F110" s="1">
        <v>7.1999999999999995E-2</v>
      </c>
      <c r="G110" s="1">
        <v>8.1000000000000003E-2</v>
      </c>
      <c r="H110" s="1">
        <v>8.1000000000000003E-2</v>
      </c>
      <c r="I110" s="1">
        <v>0.1</v>
      </c>
      <c r="J110" s="1">
        <v>7.6499999999999999E-2</v>
      </c>
      <c r="K110" s="1">
        <v>7.6499999999999999E-2</v>
      </c>
      <c r="L110" s="1">
        <v>8.1000000000000003E-2</v>
      </c>
      <c r="M110" s="1">
        <v>7.1999999999999995E-2</v>
      </c>
      <c r="N110" s="1">
        <v>8.1000000000000003E-2</v>
      </c>
      <c r="O110" s="1">
        <v>6.3E-2</v>
      </c>
      <c r="P110" s="1">
        <v>7.6499999999999999E-2</v>
      </c>
      <c r="Q110" s="1">
        <v>7.1999999999999995E-2</v>
      </c>
      <c r="R110" s="1">
        <v>6.336E-2</v>
      </c>
      <c r="S110" s="1">
        <v>8.1000000000000003E-2</v>
      </c>
      <c r="T110" s="1">
        <v>8.1000000000000003E-2</v>
      </c>
      <c r="AL110" s="27" t="s">
        <v>20</v>
      </c>
      <c r="AM110" s="27" t="s">
        <v>41</v>
      </c>
      <c r="AN110" s="34">
        <f>IFERROR(ABS(SUMIFS('TRA balance'!E$5:E$40,'TRA balance'!$C$5:$C$40,Assumptions!$AL110,'TRA balance'!$D$5:$D$40,Assumptions!$AM110)),"")</f>
        <v>0</v>
      </c>
      <c r="AO110" s="34">
        <f>IFERROR(ABS(SUMIFS('TRA balance'!F$5:F$40,'TRA balance'!$C$5:$C$40,Assumptions!$AL110,'TRA balance'!$D$5:$D$40,Assumptions!$AM110)),"")</f>
        <v>4.6243206000000002E-2</v>
      </c>
      <c r="AP110" s="34">
        <f>IFERROR(ABS(SUMIFS('TRA balance'!G$5:G$40,'TRA balance'!$C$5:$C$40,Assumptions!$AL110,'TRA balance'!$D$5:$D$40,Assumptions!$AM110)),"")</f>
        <v>0.30864252240000001</v>
      </c>
      <c r="AQ110" s="34">
        <f>IFERROR(ABS(SUMIFS('TRA balance'!H$5:H$40,'TRA balance'!$C$5:$C$40,Assumptions!$AL110,'TRA balance'!$D$5:$D$40,Assumptions!$AM110)),"")</f>
        <v>1.27948608E-2</v>
      </c>
      <c r="AR110" s="34">
        <f>IFERROR(ABS(SUMIFS('TRA balance'!I$5:I$40,'TRA balance'!$C$5:$C$40,Assumptions!$AL110,'TRA balance'!$D$5:$D$40,Assumptions!$AM110)),"")</f>
        <v>5.6019383999999998E-2</v>
      </c>
      <c r="AS110" s="34">
        <f>IFERROR(ABS(SUMIFS('TRA balance'!J$5:J$40,'TRA balance'!$C$5:$C$40,Assumptions!$AL110,'TRA balance'!$D$5:$D$40,Assumptions!$AM110)),"")</f>
        <v>0</v>
      </c>
      <c r="AT110" s="34">
        <f>IFERROR(ABS(SUMIFS('TRA balance'!K$5:K$40,'TRA balance'!$C$5:$C$40,Assumptions!$AL110,'TRA balance'!$D$5:$D$40,Assumptions!$AM110)),"")</f>
        <v>0</v>
      </c>
      <c r="AU110" s="34">
        <f>IFERROR(ABS(SUMIFS('TRA balance'!L$5:L$40,'TRA balance'!$C$5:$C$40,Assumptions!$AL110,'TRA balance'!$D$5:$D$40,Assumptions!$AM110)),"")</f>
        <v>0</v>
      </c>
      <c r="AV110" s="34">
        <f>IFERROR(ABS(SUMIFS('TRA balance'!M$5:M$40,'TRA balance'!$C$5:$C$40,Assumptions!$AL110,'TRA balance'!$D$5:$D$40,Assumptions!$AM110)),"")</f>
        <v>0</v>
      </c>
      <c r="AW110" s="34">
        <f>IFERROR(ABS(SUMIFS('TRA balance'!N$5:N$40,'TRA balance'!$C$5:$C$40,Assumptions!$AL110,'TRA balance'!$D$5:$D$40,Assumptions!$AM110)),"")</f>
        <v>0</v>
      </c>
      <c r="AX110" s="34">
        <f>IFERROR(ABS(SUMIFS('TRA balance'!O$5:O$40,'TRA balance'!$C$5:$C$40,Assumptions!$AL110,'TRA balance'!$D$5:$D$40,Assumptions!$AM110)),"")</f>
        <v>0</v>
      </c>
      <c r="AY110" s="34">
        <f>IFERROR(ABS(SUMIFS('TRA balance'!P$5:P$40,'TRA balance'!$C$5:$C$40,Assumptions!$AL110,'TRA balance'!$D$5:$D$40,Assumptions!$AM110)),"")</f>
        <v>0</v>
      </c>
      <c r="AZ110" s="34">
        <f>IFERROR(ABS(SUMIFS('TRA balance'!Q$5:Q$40,'TRA balance'!$C$5:$C$40,Assumptions!$AL110,'TRA balance'!$D$5:$D$40,Assumptions!$AM110)),"")</f>
        <v>0</v>
      </c>
      <c r="BA110" s="34">
        <f>IFERROR(ABS(SUMIFS('TRA balance'!R$5:R$40,'TRA balance'!$C$5:$C$40,Assumptions!$AL110,'TRA balance'!$D$5:$D$40,Assumptions!$AM110)),"")</f>
        <v>0</v>
      </c>
      <c r="BB110" s="34">
        <f>IFERROR(ABS(SUMIFS('TRA balance'!S$5:S$40,'TRA balance'!$C$5:$C$40,Assumptions!$AL110,'TRA balance'!$D$5:$D$40,Assumptions!$AM110)),"")</f>
        <v>0</v>
      </c>
      <c r="BC110" s="34">
        <f>IFERROR(ABS(SUMIFS('TRA balance'!T$5:T$40,'TRA balance'!$C$5:$C$40,Assumptions!$AL110,'TRA balance'!$D$5:$D$40,Assumptions!$AM110)),"")</f>
        <v>0</v>
      </c>
      <c r="BD110" s="34">
        <f>IFERROR(ABS(SUMIFS('TRA balance'!U$5:U$40,'TRA balance'!$C$5:$C$40,Assumptions!$AL110,'TRA balance'!$D$5:$D$40,Assumptions!$AM110)),"")</f>
        <v>0</v>
      </c>
      <c r="BE110" s="34">
        <f>IFERROR(ABS(SUMIFS('TRA balance'!V$5:V$40,'TRA balance'!$C$5:$C$40,Assumptions!$AL110,'TRA balance'!$D$5:$D$40,Assumptions!$AM110)),"")</f>
        <v>0</v>
      </c>
      <c r="BF110" s="34">
        <f>IFERROR(ABS(SUMIFS('TRA balance'!W$5:W$40,'TRA balance'!$C$5:$C$40,Assumptions!$AL110,'TRA balance'!$D$5:$D$40,Assumptions!$AM110)),"")</f>
        <v>0</v>
      </c>
      <c r="BG110" s="34">
        <f>IFERROR(ABS(SUMIFS('TRA balance'!X$5:X$40,'TRA balance'!$C$5:$C$40,Assumptions!$AL110,'TRA balance'!$D$5:$D$40,Assumptions!$AM110)),"")</f>
        <v>0</v>
      </c>
      <c r="BH110" s="34">
        <f>IFERROR(ABS(SUMIFS('TRA balance'!Y$5:Y$40,'TRA balance'!$C$5:$C$40,Assumptions!$AL110,'TRA balance'!$D$5:$D$40,Assumptions!$AM110)),"")</f>
        <v>0</v>
      </c>
      <c r="BI110" s="34">
        <f>IFERROR(ABS(SUMIFS('TRA balance'!Z$5:Z$40,'TRA balance'!$C$5:$C$40,Assumptions!$AL110,'TRA balance'!$D$5:$D$40,Assumptions!$AM110)),"")</f>
        <v>0</v>
      </c>
      <c r="BJ110" s="34">
        <f>IFERROR(ABS(SUMIFS('TRA balance'!AA$5:AA$40,'TRA balance'!$C$5:$C$40,Assumptions!$AL110,'TRA balance'!$D$5:$D$40,Assumptions!$AM110)),"")</f>
        <v>0</v>
      </c>
      <c r="BK110" s="34">
        <f>IFERROR(ABS(SUMIFS('TRA balance'!AB$5:AB$40,'TRA balance'!$C$5:$C$40,Assumptions!$AL110,'TRA balance'!$D$5:$D$40,Assumptions!$AM110)),"")</f>
        <v>0</v>
      </c>
      <c r="BL110" s="34">
        <f>IFERROR(ABS(SUMIFS('TRA balance'!AC$5:AC$40,'TRA balance'!$C$5:$C$40,Assumptions!$AL110,'TRA balance'!$D$5:$D$40,Assumptions!$AM110)),"")</f>
        <v>0</v>
      </c>
      <c r="BM110" s="34">
        <f>IFERROR(ABS(SUMIFS('TRA balance'!AD$5:AD$40,'TRA balance'!$C$5:$C$40,Assumptions!$AL110,'TRA balance'!$D$5:$D$40,Assumptions!$AM110)),"")</f>
        <v>0</v>
      </c>
      <c r="BN110" s="34">
        <f>IFERROR(ABS(SUMIFS('TRA balance'!AE$5:AE$40,'TRA balance'!$C$5:$C$40,Assumptions!$AL110,'TRA balance'!$D$5:$D$40,Assumptions!$AM110)),"")</f>
        <v>0.74616312240000005</v>
      </c>
      <c r="BO110" s="34">
        <f>IFERROR(ABS(SUMIFS('TRA balance'!AF$5:AF$40,'TRA balance'!$C$5:$C$40,Assumptions!$AL110,'TRA balance'!$D$5:$D$40,Assumptions!$AM110)),"")</f>
        <v>0</v>
      </c>
      <c r="BP110" s="34">
        <f>IFERROR(ABS(SUMIFS('TRA balance'!AG$5:AG$40,'TRA balance'!$C$5:$C$40,Assumptions!$AL110,'TRA balance'!$D$5:$D$40,Assumptions!$AM110)),"")</f>
        <v>0</v>
      </c>
      <c r="BQ110" s="34">
        <f>IFERROR(ABS(SUMIFS('TRA balance'!AH$5:AH$40,'TRA balance'!$C$5:$C$40,Assumptions!$AL110,'TRA balance'!$D$5:$D$40,Assumptions!$AM110)),"")</f>
        <v>0</v>
      </c>
      <c r="BR110" s="27"/>
    </row>
    <row r="111" spans="1:100" x14ac:dyDescent="0.45">
      <c r="C111" t="str">
        <f t="shared" si="241"/>
        <v>GAS</v>
      </c>
      <c r="D111" t="str">
        <f t="shared" si="240"/>
        <v>TRB</v>
      </c>
      <c r="E111" t="s">
        <v>105</v>
      </c>
      <c r="F111" s="1">
        <v>0.08</v>
      </c>
      <c r="G111" s="1">
        <v>0.09</v>
      </c>
      <c r="H111" s="1">
        <v>0.09</v>
      </c>
      <c r="I111" s="1">
        <v>0.13</v>
      </c>
      <c r="J111" s="1">
        <v>8.5000000000000006E-2</v>
      </c>
      <c r="K111" s="1">
        <v>8.5000000000000006E-2</v>
      </c>
      <c r="L111" s="1">
        <v>0.09</v>
      </c>
      <c r="M111" s="1">
        <v>0.08</v>
      </c>
      <c r="N111" s="1">
        <v>0.09</v>
      </c>
      <c r="O111" s="1">
        <v>7.0000000000000007E-2</v>
      </c>
      <c r="P111" s="1">
        <v>8.5000000000000006E-2</v>
      </c>
      <c r="Q111" s="1">
        <v>0.08</v>
      </c>
      <c r="R111" s="1">
        <v>7.0400000000000004E-2</v>
      </c>
      <c r="S111" s="1">
        <v>0.09</v>
      </c>
      <c r="T111" s="1">
        <v>0.09</v>
      </c>
      <c r="AL111" s="27" t="s">
        <v>20</v>
      </c>
      <c r="AM111" s="27" t="s">
        <v>42</v>
      </c>
      <c r="AN111" s="34">
        <f>IFERROR(ABS(SUMIFS('TRA balance'!E$5:E$40,'TRA balance'!$C$5:$C$40,Assumptions!$AL111,'TRA balance'!$D$5:$D$40,Assumptions!$AM111)),"")</f>
        <v>0</v>
      </c>
      <c r="AO111" s="34">
        <f>IFERROR(ABS(SUMIFS('TRA balance'!F$5:F$40,'TRA balance'!$C$5:$C$40,Assumptions!$AL111,'TRA balance'!$D$5:$D$40,Assumptions!$AM111)),"")</f>
        <v>0</v>
      </c>
      <c r="AP111" s="34">
        <f>IFERROR(ABS(SUMIFS('TRA balance'!G$5:G$40,'TRA balance'!$C$5:$C$40,Assumptions!$AL111,'TRA balance'!$D$5:$D$40,Assumptions!$AM111)),"")</f>
        <v>0.18076927679999999</v>
      </c>
      <c r="AQ111" s="34">
        <f>IFERROR(ABS(SUMIFS('TRA balance'!H$5:H$40,'TRA balance'!$C$5:$C$40,Assumptions!$AL111,'TRA balance'!$D$5:$D$40,Assumptions!$AM111)),"")</f>
        <v>0</v>
      </c>
      <c r="AR111" s="34">
        <f>IFERROR(ABS(SUMIFS('TRA balance'!I$5:I$40,'TRA balance'!$C$5:$C$40,Assumptions!$AL111,'TRA balance'!$D$5:$D$40,Assumptions!$AM111)),"")</f>
        <v>0</v>
      </c>
      <c r="AS111" s="34">
        <f>IFERROR(ABS(SUMIFS('TRA balance'!J$5:J$40,'TRA balance'!$C$5:$C$40,Assumptions!$AL111,'TRA balance'!$D$5:$D$40,Assumptions!$AM111)),"")</f>
        <v>8.9597519999999996E-3</v>
      </c>
      <c r="AT111" s="34">
        <f>IFERROR(ABS(SUMIFS('TRA balance'!K$5:K$40,'TRA balance'!$C$5:$C$40,Assumptions!$AL111,'TRA balance'!$D$5:$D$40,Assumptions!$AM111)),"")</f>
        <v>0</v>
      </c>
      <c r="AU111" s="34">
        <f>IFERROR(ABS(SUMIFS('TRA balance'!L$5:L$40,'TRA balance'!$C$5:$C$40,Assumptions!$AL111,'TRA balance'!$D$5:$D$40,Assumptions!$AM111)),"")</f>
        <v>0</v>
      </c>
      <c r="AV111" s="34">
        <f>IFERROR(ABS(SUMIFS('TRA balance'!M$5:M$40,'TRA balance'!$C$5:$C$40,Assumptions!$AL111,'TRA balance'!$D$5:$D$40,Assumptions!$AM111)),"")</f>
        <v>0</v>
      </c>
      <c r="AW111" s="34">
        <f>IFERROR(ABS(SUMIFS('TRA balance'!N$5:N$40,'TRA balance'!$C$5:$C$40,Assumptions!$AL111,'TRA balance'!$D$5:$D$40,Assumptions!$AM111)),"")</f>
        <v>0</v>
      </c>
      <c r="AX111" s="34">
        <f>IFERROR(ABS(SUMIFS('TRA balance'!O$5:O$40,'TRA balance'!$C$5:$C$40,Assumptions!$AL111,'TRA balance'!$D$5:$D$40,Assumptions!$AM111)),"")</f>
        <v>4.6054799999999998E-5</v>
      </c>
      <c r="AY111" s="34">
        <f>IFERROR(ABS(SUMIFS('TRA balance'!P$5:P$40,'TRA balance'!$C$5:$C$40,Assumptions!$AL111,'TRA balance'!$D$5:$D$40,Assumptions!$AM111)),"")</f>
        <v>0</v>
      </c>
      <c r="AZ111" s="34">
        <f>IFERROR(ABS(SUMIFS('TRA balance'!Q$5:Q$40,'TRA balance'!$C$5:$C$40,Assumptions!$AL111,'TRA balance'!$D$5:$D$40,Assumptions!$AM111)),"")</f>
        <v>3.09320784E-2</v>
      </c>
      <c r="BA111" s="34">
        <f>IFERROR(ABS(SUMIFS('TRA balance'!R$5:R$40,'TRA balance'!$C$5:$C$40,Assumptions!$AL111,'TRA balance'!$D$5:$D$40,Assumptions!$AM111)),"")</f>
        <v>0</v>
      </c>
      <c r="BB111" s="34">
        <f>IFERROR(ABS(SUMIFS('TRA balance'!S$5:S$40,'TRA balance'!$C$5:$C$40,Assumptions!$AL111,'TRA balance'!$D$5:$D$40,Assumptions!$AM111)),"")</f>
        <v>0</v>
      </c>
      <c r="BC111" s="34">
        <f>IFERROR(ABS(SUMIFS('TRA balance'!T$5:T$40,'TRA balance'!$C$5:$C$40,Assumptions!$AL111,'TRA balance'!$D$5:$D$40,Assumptions!$AM111)),"")</f>
        <v>0</v>
      </c>
      <c r="BD111" s="34">
        <f>IFERROR(ABS(SUMIFS('TRA balance'!U$5:U$40,'TRA balance'!$C$5:$C$40,Assumptions!$AL111,'TRA balance'!$D$5:$D$40,Assumptions!$AM111)),"")</f>
        <v>0</v>
      </c>
      <c r="BE111" s="34">
        <f>IFERROR(ABS(SUMIFS('TRA balance'!V$5:V$40,'TRA balance'!$C$5:$C$40,Assumptions!$AL111,'TRA balance'!$D$5:$D$40,Assumptions!$AM111)),"")</f>
        <v>0</v>
      </c>
      <c r="BF111" s="34">
        <f>IFERROR(ABS(SUMIFS('TRA balance'!W$5:W$40,'TRA balance'!$C$5:$C$40,Assumptions!$AL111,'TRA balance'!$D$5:$D$40,Assumptions!$AM111)),"")</f>
        <v>0</v>
      </c>
      <c r="BG111" s="34">
        <f>IFERROR(ABS(SUMIFS('TRA balance'!X$5:X$40,'TRA balance'!$C$5:$C$40,Assumptions!$AL111,'TRA balance'!$D$5:$D$40,Assumptions!$AM111)),"")</f>
        <v>0</v>
      </c>
      <c r="BH111" s="34">
        <f>IFERROR(ABS(SUMIFS('TRA balance'!Y$5:Y$40,'TRA balance'!$C$5:$C$40,Assumptions!$AL111,'TRA balance'!$D$5:$D$40,Assumptions!$AM111)),"")</f>
        <v>0.51011552520000003</v>
      </c>
      <c r="BI111" s="34">
        <f>IFERROR(ABS(SUMIFS('TRA balance'!Z$5:Z$40,'TRA balance'!$C$5:$C$40,Assumptions!$AL111,'TRA balance'!$D$5:$D$40,Assumptions!$AM111)),"")</f>
        <v>0</v>
      </c>
      <c r="BJ111" s="34">
        <f>IFERROR(ABS(SUMIFS('TRA balance'!AA$5:AA$40,'TRA balance'!$C$5:$C$40,Assumptions!$AL111,'TRA balance'!$D$5:$D$40,Assumptions!$AM111)),"")</f>
        <v>0</v>
      </c>
      <c r="BK111" s="34">
        <f>IFERROR(ABS(SUMIFS('TRA balance'!AB$5:AB$40,'TRA balance'!$C$5:$C$40,Assumptions!$AL111,'TRA balance'!$D$5:$D$40,Assumptions!$AM111)),"")</f>
        <v>0</v>
      </c>
      <c r="BL111" s="34">
        <f>IFERROR(ABS(SUMIFS('TRA balance'!AC$5:AC$40,'TRA balance'!$C$5:$C$40,Assumptions!$AL111,'TRA balance'!$D$5:$D$40,Assumptions!$AM111)),"")</f>
        <v>0</v>
      </c>
      <c r="BM111" s="34">
        <f>IFERROR(ABS(SUMIFS('TRA balance'!AD$5:AD$40,'TRA balance'!$C$5:$C$40,Assumptions!$AL111,'TRA balance'!$D$5:$D$40,Assumptions!$AM111)),"")</f>
        <v>0</v>
      </c>
      <c r="BN111" s="34">
        <f>IFERROR(ABS(SUMIFS('TRA balance'!AE$5:AE$40,'TRA balance'!$C$5:$C$40,Assumptions!$AL111,'TRA balance'!$D$5:$D$40,Assumptions!$AM111)),"")</f>
        <v>0</v>
      </c>
      <c r="BO111" s="34">
        <f>IFERROR(ABS(SUMIFS('TRA balance'!AF$5:AF$40,'TRA balance'!$C$5:$C$40,Assumptions!$AL111,'TRA balance'!$D$5:$D$40,Assumptions!$AM111)),"")</f>
        <v>0</v>
      </c>
      <c r="BP111" s="34">
        <f>IFERROR(ABS(SUMIFS('TRA balance'!AG$5:AG$40,'TRA balance'!$C$5:$C$40,Assumptions!$AL111,'TRA balance'!$D$5:$D$40,Assumptions!$AM111)),"")</f>
        <v>0</v>
      </c>
      <c r="BQ111" s="34">
        <f>IFERROR(ABS(SUMIFS('TRA balance'!AH$5:AH$40,'TRA balance'!$C$5:$C$40,Assumptions!$AL111,'TRA balance'!$D$5:$D$40,Assumptions!$AM111)),"")</f>
        <v>0</v>
      </c>
      <c r="BR111" s="27"/>
    </row>
    <row r="112" spans="1:100" x14ac:dyDescent="0.45">
      <c r="C112" t="str">
        <f t="shared" si="241"/>
        <v>LPG</v>
      </c>
      <c r="D112" t="str">
        <f t="shared" si="240"/>
        <v>TRB</v>
      </c>
      <c r="E112" t="s">
        <v>106</v>
      </c>
      <c r="F112" s="1">
        <v>7.1999999999999995E-2</v>
      </c>
      <c r="G112" s="1">
        <v>8.1000000000000003E-2</v>
      </c>
      <c r="H112" s="1">
        <v>8.1000000000000003E-2</v>
      </c>
      <c r="I112" s="1">
        <v>0.1</v>
      </c>
      <c r="J112" s="1">
        <v>7.6499999999999999E-2</v>
      </c>
      <c r="K112" s="1">
        <v>7.6499999999999999E-2</v>
      </c>
      <c r="L112" s="1">
        <v>8.1000000000000003E-2</v>
      </c>
      <c r="M112" s="1">
        <v>7.1999999999999995E-2</v>
      </c>
      <c r="N112" s="1">
        <v>8.1000000000000003E-2</v>
      </c>
      <c r="O112" s="1">
        <v>6.3E-2</v>
      </c>
      <c r="P112" s="1">
        <v>7.6499999999999999E-2</v>
      </c>
      <c r="Q112" s="1">
        <v>7.1999999999999995E-2</v>
      </c>
      <c r="R112" s="1">
        <v>6.336E-2</v>
      </c>
      <c r="S112" s="1">
        <v>8.1000000000000003E-2</v>
      </c>
      <c r="T112" s="1">
        <v>8.1000000000000003E-2</v>
      </c>
      <c r="AL112" s="27" t="s">
        <v>20</v>
      </c>
      <c r="AM112" s="27" t="s">
        <v>45</v>
      </c>
      <c r="AN112" s="34">
        <f>IFERROR(ABS(SUMIFS('TRA balance'!E$5:E$40,'TRA balance'!$C$5:$C$40,Assumptions!$AL112,'TRA balance'!$D$5:$D$40,Assumptions!$AM112)),"")</f>
        <v>1.19993688E-2</v>
      </c>
      <c r="AO112" s="34">
        <f>IFERROR(ABS(SUMIFS('TRA balance'!F$5:F$40,'TRA balance'!$C$5:$C$40,Assumptions!$AL112,'TRA balance'!$D$5:$D$40,Assumptions!$AM112)),"")</f>
        <v>0</v>
      </c>
      <c r="AP112" s="34">
        <f>IFERROR(ABS(SUMIFS('TRA balance'!G$5:G$40,'TRA balance'!$C$5:$C$40,Assumptions!$AL112,'TRA balance'!$D$5:$D$40,Assumptions!$AM112)),"")</f>
        <v>0</v>
      </c>
      <c r="AQ112" s="34">
        <f>IFERROR(ABS(SUMIFS('TRA balance'!H$5:H$40,'TRA balance'!$C$5:$C$40,Assumptions!$AL112,'TRA balance'!$D$5:$D$40,Assumptions!$AM112)),"")</f>
        <v>0</v>
      </c>
      <c r="AR112" s="34">
        <f>IFERROR(ABS(SUMIFS('TRA balance'!I$5:I$40,'TRA balance'!$C$5:$C$40,Assumptions!$AL112,'TRA balance'!$D$5:$D$40,Assumptions!$AM112)),"")</f>
        <v>5.9452560000000003E-4</v>
      </c>
      <c r="AS112" s="34">
        <f>IFERROR(ABS(SUMIFS('TRA balance'!J$5:J$40,'TRA balance'!$C$5:$C$40,Assumptions!$AL112,'TRA balance'!$D$5:$D$40,Assumptions!$AM112)),"")</f>
        <v>0</v>
      </c>
      <c r="AT112" s="34">
        <f>IFERROR(ABS(SUMIFS('TRA balance'!K$5:K$40,'TRA balance'!$C$5:$C$40,Assumptions!$AL112,'TRA balance'!$D$5:$D$40,Assumptions!$AM112)),"")</f>
        <v>0</v>
      </c>
      <c r="AU112" s="34">
        <f>IFERROR(ABS(SUMIFS('TRA balance'!L$5:L$40,'TRA balance'!$C$5:$C$40,Assumptions!$AL112,'TRA balance'!$D$5:$D$40,Assumptions!$AM112)),"")</f>
        <v>0</v>
      </c>
      <c r="AV112" s="34">
        <f>IFERROR(ABS(SUMIFS('TRA balance'!M$5:M$40,'TRA balance'!$C$5:$C$40,Assumptions!$AL112,'TRA balance'!$D$5:$D$40,Assumptions!$AM112)),"")</f>
        <v>0</v>
      </c>
      <c r="AW112" s="34">
        <f>IFERROR(ABS(SUMIFS('TRA balance'!N$5:N$40,'TRA balance'!$C$5:$C$40,Assumptions!$AL112,'TRA balance'!$D$5:$D$40,Assumptions!$AM112)),"")</f>
        <v>0</v>
      </c>
      <c r="AX112" s="34">
        <f>IFERROR(ABS(SUMIFS('TRA balance'!O$5:O$40,'TRA balance'!$C$5:$C$40,Assumptions!$AL112,'TRA balance'!$D$5:$D$40,Assumptions!$AM112)),"")</f>
        <v>0</v>
      </c>
      <c r="AY112" s="34">
        <f>IFERROR(ABS(SUMIFS('TRA balance'!P$5:P$40,'TRA balance'!$C$5:$C$40,Assumptions!$AL112,'TRA balance'!$D$5:$D$40,Assumptions!$AM112)),"")</f>
        <v>0</v>
      </c>
      <c r="AZ112" s="34">
        <f>IFERROR(ABS(SUMIFS('TRA balance'!Q$5:Q$40,'TRA balance'!$C$5:$C$40,Assumptions!$AL112,'TRA balance'!$D$5:$D$40,Assumptions!$AM112)),"")</f>
        <v>0</v>
      </c>
      <c r="BA112" s="34">
        <f>IFERROR(ABS(SUMIFS('TRA balance'!R$5:R$40,'TRA balance'!$C$5:$C$40,Assumptions!$AL112,'TRA balance'!$D$5:$D$40,Assumptions!$AM112)),"")</f>
        <v>0</v>
      </c>
      <c r="BB112" s="34">
        <f>IFERROR(ABS(SUMIFS('TRA balance'!S$5:S$40,'TRA balance'!$C$5:$C$40,Assumptions!$AL112,'TRA balance'!$D$5:$D$40,Assumptions!$AM112)),"")</f>
        <v>0</v>
      </c>
      <c r="BC112" s="34">
        <f>IFERROR(ABS(SUMIFS('TRA balance'!T$5:T$40,'TRA balance'!$C$5:$C$40,Assumptions!$AL112,'TRA balance'!$D$5:$D$40,Assumptions!$AM112)),"")</f>
        <v>0</v>
      </c>
      <c r="BD112" s="34">
        <f>IFERROR(ABS(SUMIFS('TRA balance'!U$5:U$40,'TRA balance'!$C$5:$C$40,Assumptions!$AL112,'TRA balance'!$D$5:$D$40,Assumptions!$AM112)),"")</f>
        <v>7.6400014644000001</v>
      </c>
      <c r="BE112" s="34">
        <f>IFERROR(ABS(SUMIFS('TRA balance'!V$5:V$40,'TRA balance'!$C$5:$C$40,Assumptions!$AL112,'TRA balance'!$D$5:$D$40,Assumptions!$AM112)),"")</f>
        <v>0</v>
      </c>
      <c r="BF112" s="34">
        <f>IFERROR(ABS(SUMIFS('TRA balance'!W$5:W$40,'TRA balance'!$C$5:$C$40,Assumptions!$AL112,'TRA balance'!$D$5:$D$40,Assumptions!$AM112)),"")</f>
        <v>0</v>
      </c>
      <c r="BG112" s="34">
        <f>IFERROR(ABS(SUMIFS('TRA balance'!X$5:X$40,'TRA balance'!$C$5:$C$40,Assumptions!$AL112,'TRA balance'!$D$5:$D$40,Assumptions!$AM112)),"")</f>
        <v>0</v>
      </c>
      <c r="BH112" s="34">
        <f>IFERROR(ABS(SUMIFS('TRA balance'!Y$5:Y$40,'TRA balance'!$C$5:$C$40,Assumptions!$AL112,'TRA balance'!$D$5:$D$40,Assumptions!$AM112)),"")</f>
        <v>0</v>
      </c>
      <c r="BI112" s="34">
        <f>IFERROR(ABS(SUMIFS('TRA balance'!Z$5:Z$40,'TRA balance'!$C$5:$C$40,Assumptions!$AL112,'TRA balance'!$D$5:$D$40,Assumptions!$AM112)),"")</f>
        <v>0</v>
      </c>
      <c r="BJ112" s="34">
        <f>IFERROR(ABS(SUMIFS('TRA balance'!AA$5:AA$40,'TRA balance'!$C$5:$C$40,Assumptions!$AL112,'TRA balance'!$D$5:$D$40,Assumptions!$AM112)),"")</f>
        <v>0</v>
      </c>
      <c r="BK112" s="34">
        <f>IFERROR(ABS(SUMIFS('TRA balance'!AB$5:AB$40,'TRA balance'!$C$5:$C$40,Assumptions!$AL112,'TRA balance'!$D$5:$D$40,Assumptions!$AM112)),"")</f>
        <v>0</v>
      </c>
      <c r="BL112" s="34">
        <f>IFERROR(ABS(SUMIFS('TRA balance'!AC$5:AC$40,'TRA balance'!$C$5:$C$40,Assumptions!$AL112,'TRA balance'!$D$5:$D$40,Assumptions!$AM112)),"")</f>
        <v>0</v>
      </c>
      <c r="BM112" s="34">
        <f>IFERROR(ABS(SUMIFS('TRA balance'!AD$5:AD$40,'TRA balance'!$C$5:$C$40,Assumptions!$AL112,'TRA balance'!$D$5:$D$40,Assumptions!$AM112)),"")</f>
        <v>0</v>
      </c>
      <c r="BN112" s="34">
        <f>IFERROR(ABS(SUMIFS('TRA balance'!AE$5:AE$40,'TRA balance'!$C$5:$C$40,Assumptions!$AL112,'TRA balance'!$D$5:$D$40,Assumptions!$AM112)),"")</f>
        <v>0</v>
      </c>
      <c r="BO112" s="34">
        <f>IFERROR(ABS(SUMIFS('TRA balance'!AF$5:AF$40,'TRA balance'!$C$5:$C$40,Assumptions!$AL112,'TRA balance'!$D$5:$D$40,Assumptions!$AM112)),"")</f>
        <v>0</v>
      </c>
      <c r="BP112" s="34">
        <f>IFERROR(ABS(SUMIFS('TRA balance'!AG$5:AG$40,'TRA balance'!$C$5:$C$40,Assumptions!$AL112,'TRA balance'!$D$5:$D$40,Assumptions!$AM112)),"")</f>
        <v>0</v>
      </c>
      <c r="BQ112" s="34">
        <f>IFERROR(ABS(SUMIFS('TRA balance'!AH$5:AH$40,'TRA balance'!$C$5:$C$40,Assumptions!$AL112,'TRA balance'!$D$5:$D$40,Assumptions!$AM112)),"")</f>
        <v>0</v>
      </c>
      <c r="BR112" s="27"/>
    </row>
    <row r="113" spans="3:70" x14ac:dyDescent="0.45">
      <c r="C113" t="str">
        <f t="shared" si="241"/>
        <v>MET</v>
      </c>
      <c r="D113" t="str">
        <f t="shared" si="240"/>
        <v>TRB</v>
      </c>
      <c r="E113" t="s">
        <v>107</v>
      </c>
      <c r="F113" s="1">
        <v>7.1999999999999995E-2</v>
      </c>
      <c r="G113" s="1">
        <v>8.1000000000000003E-2</v>
      </c>
      <c r="H113" s="1">
        <v>8.1000000000000003E-2</v>
      </c>
      <c r="I113" s="1">
        <v>0.1</v>
      </c>
      <c r="J113" s="1">
        <v>7.6499999999999999E-2</v>
      </c>
      <c r="K113" s="1">
        <v>7.6499999999999999E-2</v>
      </c>
      <c r="L113" s="1">
        <v>8.1000000000000003E-2</v>
      </c>
      <c r="M113" s="1">
        <v>7.1999999999999995E-2</v>
      </c>
      <c r="N113" s="1">
        <v>8.1000000000000003E-2</v>
      </c>
      <c r="O113" s="1">
        <v>6.3E-2</v>
      </c>
      <c r="P113" s="1">
        <v>7.6499999999999999E-2</v>
      </c>
      <c r="Q113" s="1">
        <v>7.1999999999999995E-2</v>
      </c>
      <c r="R113" s="1">
        <v>6.336E-2</v>
      </c>
      <c r="S113" s="1">
        <v>8.1000000000000003E-2</v>
      </c>
      <c r="T113" s="1">
        <v>8.1000000000000003E-2</v>
      </c>
      <c r="AL113" s="27" t="s">
        <v>20</v>
      </c>
      <c r="AM113" s="27" t="s">
        <v>43</v>
      </c>
      <c r="AN113" s="34">
        <f>IFERROR(ABS(SUMIFS('TRA balance'!E$5:E$40,'TRA balance'!$C$5:$C$40,Assumptions!$AL113,'TRA balance'!$D$5:$D$40,Assumptions!$AM113)),"")</f>
        <v>28.892667186000001</v>
      </c>
      <c r="AO113" s="34">
        <f>IFERROR(ABS(SUMIFS('TRA balance'!F$5:F$40,'TRA balance'!$C$5:$C$40,Assumptions!$AL113,'TRA balance'!$D$5:$D$40,Assumptions!$AM113)),"")</f>
        <v>22.6259235612</v>
      </c>
      <c r="AP113" s="34">
        <f>IFERROR(ABS(SUMIFS('TRA balance'!G$5:G$40,'TRA balance'!$C$5:$C$40,Assumptions!$AL113,'TRA balance'!$D$5:$D$40,Assumptions!$AM113)),"")</f>
        <v>52.095644830799998</v>
      </c>
      <c r="AQ113" s="34">
        <f>IFERROR(ABS(SUMIFS('TRA balance'!H$5:H$40,'TRA balance'!$C$5:$C$40,Assumptions!$AL113,'TRA balance'!$D$5:$D$40,Assumptions!$AM113)),"")</f>
        <v>25.442262503999999</v>
      </c>
      <c r="AR113" s="34">
        <f>IFERROR(ABS(SUMIFS('TRA balance'!I$5:I$40,'TRA balance'!$C$5:$C$40,Assumptions!$AL113,'TRA balance'!$D$5:$D$40,Assumptions!$AM113)),"")</f>
        <v>193.77428983920001</v>
      </c>
      <c r="AS113" s="34">
        <f>IFERROR(ABS(SUMIFS('TRA balance'!J$5:J$40,'TRA balance'!$C$5:$C$40,Assumptions!$AL113,'TRA balance'!$D$5:$D$40,Assumptions!$AM113)),"")</f>
        <v>278.03334676319997</v>
      </c>
      <c r="AT113" s="34">
        <f>IFERROR(ABS(SUMIFS('TRA balance'!K$5:K$40,'TRA balance'!$C$5:$C$40,Assumptions!$AL113,'TRA balance'!$D$5:$D$40,Assumptions!$AM113)),"")</f>
        <v>137.98737372240001</v>
      </c>
      <c r="AU113" s="34">
        <f>IFERROR(ABS(SUMIFS('TRA balance'!L$5:L$40,'TRA balance'!$C$5:$C$40,Assumptions!$AL113,'TRA balance'!$D$5:$D$40,Assumptions!$AM113)),"")</f>
        <v>140.16918637800001</v>
      </c>
      <c r="AV113" s="34">
        <f>IFERROR(ABS(SUMIFS('TRA balance'!M$5:M$40,'TRA balance'!$C$5:$C$40,Assumptions!$AL113,'TRA balance'!$D$5:$D$40,Assumptions!$AM113)),"")</f>
        <v>290.2215988584</v>
      </c>
      <c r="AW113" s="34">
        <f>IFERROR(ABS(SUMIFS('TRA balance'!N$5:N$40,'TRA balance'!$C$5:$C$40,Assumptions!$AL113,'TRA balance'!$D$5:$D$40,Assumptions!$AM113)),"")</f>
        <v>1141.9091299080001</v>
      </c>
      <c r="AX113" s="34">
        <f>IFERROR(ABS(SUMIFS('TRA balance'!O$5:O$40,'TRA balance'!$C$5:$C$40,Assumptions!$AL113,'TRA balance'!$D$5:$D$40,Assumptions!$AM113)),"")</f>
        <v>10.7713468656</v>
      </c>
      <c r="AY113" s="34">
        <f>IFERROR(ABS(SUMIFS('TRA balance'!P$5:P$40,'TRA balance'!$C$5:$C$40,Assumptions!$AL113,'TRA balance'!$D$5:$D$40,Assumptions!$AM113)),"")</f>
        <v>4.7938525056000003</v>
      </c>
      <c r="AZ113" s="34">
        <f>IFERROR(ABS(SUMIFS('TRA balance'!Q$5:Q$40,'TRA balance'!$C$5:$C$40,Assumptions!$AL113,'TRA balance'!$D$5:$D$40,Assumptions!$AM113)),"")</f>
        <v>0.76662820080000005</v>
      </c>
      <c r="BA113" s="34">
        <f>IFERROR(ABS(SUMIFS('TRA balance'!R$5:R$40,'TRA balance'!$C$5:$C$40,Assumptions!$AL113,'TRA balance'!$D$5:$D$40,Assumptions!$AM113)),"")</f>
        <v>47.447853029999997</v>
      </c>
      <c r="BB113" s="34">
        <f>IFERROR(ABS(SUMIFS('TRA balance'!S$5:S$40,'TRA balance'!$C$5:$C$40,Assumptions!$AL113,'TRA balance'!$D$5:$D$40,Assumptions!$AM113)),"")</f>
        <v>3.6679717439999999</v>
      </c>
      <c r="BC113" s="34">
        <f>IFERROR(ABS(SUMIFS('TRA balance'!T$5:T$40,'TRA balance'!$C$5:$C$40,Assumptions!$AL113,'TRA balance'!$D$5:$D$40,Assumptions!$AM113)),"")</f>
        <v>104.06784605039999</v>
      </c>
      <c r="BD113" s="34">
        <f>IFERROR(ABS(SUMIFS('TRA balance'!U$5:U$40,'TRA balance'!$C$5:$C$40,Assumptions!$AL113,'TRA balance'!$D$5:$D$40,Assumptions!$AM113)),"")</f>
        <v>53.855017740000001</v>
      </c>
      <c r="BE113" s="34">
        <f>IFERROR(ABS(SUMIFS('TRA balance'!V$5:V$40,'TRA balance'!$C$5:$C$40,Assumptions!$AL113,'TRA balance'!$D$5:$D$40,Assumptions!$AM113)),"")</f>
        <v>67.799230502399993</v>
      </c>
      <c r="BF113" s="34">
        <f>IFERROR(ABS(SUMIFS('TRA balance'!W$5:W$40,'TRA balance'!$C$5:$C$40,Assumptions!$AL113,'TRA balance'!$D$5:$D$40,Assumptions!$AM113)),"")</f>
        <v>30.753000590399999</v>
      </c>
      <c r="BG113" s="34">
        <f>IFERROR(ABS(SUMIFS('TRA balance'!X$5:X$40,'TRA balance'!$C$5:$C$40,Assumptions!$AL113,'TRA balance'!$D$5:$D$40,Assumptions!$AM113)),"")</f>
        <v>179.28629130600001</v>
      </c>
      <c r="BH113" s="34">
        <f>IFERROR(ABS(SUMIFS('TRA balance'!Y$5:Y$40,'TRA balance'!$C$5:$C$40,Assumptions!$AL113,'TRA balance'!$D$5:$D$40,Assumptions!$AM113)),"")</f>
        <v>36.970817270399998</v>
      </c>
      <c r="BI113" s="34">
        <f>IFERROR(ABS(SUMIFS('TRA balance'!Z$5:Z$40,'TRA balance'!$C$5:$C$40,Assumptions!$AL113,'TRA balance'!$D$5:$D$40,Assumptions!$AM113)),"")</f>
        <v>0.54145372319999996</v>
      </c>
      <c r="BJ113" s="34">
        <f>IFERROR(ABS(SUMIFS('TRA balance'!AA$5:AA$40,'TRA balance'!$C$5:$C$40,Assumptions!$AL113,'TRA balance'!$D$5:$D$40,Assumptions!$AM113)),"")</f>
        <v>60.200674171199999</v>
      </c>
      <c r="BK113" s="34">
        <f>IFERROR(ABS(SUMIFS('TRA balance'!AB$5:AB$40,'TRA balance'!$C$5:$C$40,Assumptions!$AL113,'TRA balance'!$D$5:$D$40,Assumptions!$AM113)),"")</f>
        <v>15.0798403944</v>
      </c>
      <c r="BL113" s="34">
        <f>IFERROR(ABS(SUMIFS('TRA balance'!AC$5:AC$40,'TRA balance'!$C$5:$C$40,Assumptions!$AL113,'TRA balance'!$D$5:$D$40,Assumptions!$AM113)),"")</f>
        <v>245.14399797839999</v>
      </c>
      <c r="BM113" s="34">
        <f>IFERROR(ABS(SUMIFS('TRA balance'!AD$5:AD$40,'TRA balance'!$C$5:$C$40,Assumptions!$AL113,'TRA balance'!$D$5:$D$40,Assumptions!$AM113)),"")</f>
        <v>40.847534488800001</v>
      </c>
      <c r="BN113" s="34">
        <f>IFERROR(ABS(SUMIFS('TRA balance'!AE$5:AE$40,'TRA balance'!$C$5:$C$40,Assumptions!$AL113,'TRA balance'!$D$5:$D$40,Assumptions!$AM113)),"")</f>
        <v>51.997133613599999</v>
      </c>
      <c r="BO113" s="34">
        <f>IFERROR(ABS(SUMIFS('TRA balance'!AF$5:AF$40,'TRA balance'!$C$5:$C$40,Assumptions!$AL113,'TRA balance'!$D$5:$D$40,Assumptions!$AM113)),"")</f>
        <v>37.125494409600002</v>
      </c>
      <c r="BP113" s="34">
        <f>IFERROR(ABS(SUMIFS('TRA balance'!AG$5:AG$40,'TRA balance'!$C$5:$C$40,Assumptions!$AL113,'TRA balance'!$D$5:$D$40,Assumptions!$AM113)),"")</f>
        <v>2524.0834341827999</v>
      </c>
      <c r="BQ113" s="34">
        <f>IFERROR(ABS(SUMIFS('TRA balance'!AH$5:AH$40,'TRA balance'!$C$5:$C$40,Assumptions!$AL113,'TRA balance'!$D$5:$D$40,Assumptions!$AM113)),"")</f>
        <v>0</v>
      </c>
      <c r="BR113" s="27"/>
    </row>
    <row r="114" spans="3:70" x14ac:dyDescent="0.45">
      <c r="C114" t="str">
        <f t="shared" si="241"/>
        <v>NGA</v>
      </c>
      <c r="D114" t="str">
        <f t="shared" si="240"/>
        <v>TRB</v>
      </c>
      <c r="E114" t="s">
        <v>108</v>
      </c>
      <c r="F114" s="1">
        <v>7.1999999999999995E-2</v>
      </c>
      <c r="G114" s="1">
        <v>8.1000000000000003E-2</v>
      </c>
      <c r="H114" s="1">
        <v>8.1000000000000003E-2</v>
      </c>
      <c r="I114" s="1">
        <v>0.1</v>
      </c>
      <c r="J114" s="1">
        <v>7.6499999999999999E-2</v>
      </c>
      <c r="K114" s="1">
        <v>7.6499999999999999E-2</v>
      </c>
      <c r="L114" s="1">
        <v>8.1000000000000003E-2</v>
      </c>
      <c r="M114" s="1">
        <v>7.1999999999999995E-2</v>
      </c>
      <c r="N114" s="1">
        <v>8.1000000000000003E-2</v>
      </c>
      <c r="O114" s="1">
        <v>6.3E-2</v>
      </c>
      <c r="P114" s="1">
        <v>7.6499999999999999E-2</v>
      </c>
      <c r="Q114" s="1">
        <v>7.1999999999999995E-2</v>
      </c>
      <c r="R114" s="1">
        <v>6.336E-2</v>
      </c>
      <c r="S114" s="1">
        <v>8.1000000000000003E-2</v>
      </c>
      <c r="T114" s="1">
        <v>8.1000000000000003E-2</v>
      </c>
      <c r="AL114" s="27" t="s">
        <v>21</v>
      </c>
      <c r="AM114" s="27" t="s">
        <v>32</v>
      </c>
      <c r="AN114" s="34">
        <f>IFERROR(ABS(SUMIFS('TRA balance'!E$5:E$40,'TRA balance'!$C$5:$C$40,Assumptions!$AL114,'TRA balance'!$D$5:$D$40,Assumptions!$AM114)),"")</f>
        <v>0</v>
      </c>
      <c r="AO114" s="34">
        <f>IFERROR(ABS(SUMIFS('TRA balance'!F$5:F$40,'TRA balance'!$C$5:$C$40,Assumptions!$AL114,'TRA balance'!$D$5:$D$40,Assumptions!$AM114)),"")</f>
        <v>0</v>
      </c>
      <c r="AP114" s="34">
        <f>IFERROR(ABS(SUMIFS('TRA balance'!G$5:G$40,'TRA balance'!$C$5:$C$40,Assumptions!$AL114,'TRA balance'!$D$5:$D$40,Assumptions!$AM114)),"")</f>
        <v>0</v>
      </c>
      <c r="AQ114" s="34">
        <f>IFERROR(ABS(SUMIFS('TRA balance'!H$5:H$40,'TRA balance'!$C$5:$C$40,Assumptions!$AL114,'TRA balance'!$D$5:$D$40,Assumptions!$AM114)),"")</f>
        <v>0</v>
      </c>
      <c r="AR114" s="34">
        <f>IFERROR(ABS(SUMIFS('TRA balance'!I$5:I$40,'TRA balance'!$C$5:$C$40,Assumptions!$AL114,'TRA balance'!$D$5:$D$40,Assumptions!$AM114)),"")</f>
        <v>0</v>
      </c>
      <c r="AS114" s="34">
        <f>IFERROR(ABS(SUMIFS('TRA balance'!J$5:J$40,'TRA balance'!$C$5:$C$40,Assumptions!$AL114,'TRA balance'!$D$5:$D$40,Assumptions!$AM114)),"")</f>
        <v>0.25656291720000002</v>
      </c>
      <c r="AT114" s="34">
        <f>IFERROR(ABS(SUMIFS('TRA balance'!K$5:K$40,'TRA balance'!$C$5:$C$40,Assumptions!$AL114,'TRA balance'!$D$5:$D$40,Assumptions!$AM114)),"")</f>
        <v>0</v>
      </c>
      <c r="AU114" s="34">
        <f>IFERROR(ABS(SUMIFS('TRA balance'!L$5:L$40,'TRA balance'!$C$5:$C$40,Assumptions!$AL114,'TRA balance'!$D$5:$D$40,Assumptions!$AM114)),"")</f>
        <v>0</v>
      </c>
      <c r="AV114" s="34">
        <f>IFERROR(ABS(SUMIFS('TRA balance'!M$5:M$40,'TRA balance'!$C$5:$C$40,Assumptions!$AL114,'TRA balance'!$D$5:$D$40,Assumptions!$AM114)),"")</f>
        <v>0</v>
      </c>
      <c r="AW114" s="34">
        <f>IFERROR(ABS(SUMIFS('TRA balance'!N$5:N$40,'TRA balance'!$C$5:$C$40,Assumptions!$AL114,'TRA balance'!$D$5:$D$40,Assumptions!$AM114)),"")</f>
        <v>0</v>
      </c>
      <c r="AX114" s="34">
        <f>IFERROR(ABS(SUMIFS('TRA balance'!O$5:O$40,'TRA balance'!$C$5:$C$40,Assumptions!$AL114,'TRA balance'!$D$5:$D$40,Assumptions!$AM114)),"")</f>
        <v>0.16820468999999999</v>
      </c>
      <c r="AY114" s="34">
        <f>IFERROR(ABS(SUMIFS('TRA balance'!P$5:P$40,'TRA balance'!$C$5:$C$40,Assumptions!$AL114,'TRA balance'!$D$5:$D$40,Assumptions!$AM114)),"")</f>
        <v>0</v>
      </c>
      <c r="AZ114" s="34">
        <f>IFERROR(ABS(SUMIFS('TRA balance'!Q$5:Q$40,'TRA balance'!$C$5:$C$40,Assumptions!$AL114,'TRA balance'!$D$5:$D$40,Assumptions!$AM114)),"")</f>
        <v>0.1182477924</v>
      </c>
      <c r="BA114" s="34">
        <f>IFERROR(ABS(SUMIFS('TRA balance'!R$5:R$40,'TRA balance'!$C$5:$C$40,Assumptions!$AL114,'TRA balance'!$D$5:$D$40,Assumptions!$AM114)),"")</f>
        <v>1.6964913599999999E-2</v>
      </c>
      <c r="BB114" s="34">
        <f>IFERROR(ABS(SUMIFS('TRA balance'!S$5:S$40,'TRA balance'!$C$5:$C$40,Assumptions!$AL114,'TRA balance'!$D$5:$D$40,Assumptions!$AM114)),"")</f>
        <v>0</v>
      </c>
      <c r="BC114" s="34">
        <f>IFERROR(ABS(SUMIFS('TRA balance'!T$5:T$40,'TRA balance'!$C$5:$C$40,Assumptions!$AL114,'TRA balance'!$D$5:$D$40,Assumptions!$AM114)),"")</f>
        <v>0.1059637212</v>
      </c>
      <c r="BD114" s="34">
        <f>IFERROR(ABS(SUMIFS('TRA balance'!U$5:U$40,'TRA balance'!$C$5:$C$40,Assumptions!$AL114,'TRA balance'!$D$5:$D$40,Assumptions!$AM114)),"")</f>
        <v>2.8968469199999999E-2</v>
      </c>
      <c r="BE114" s="34">
        <f>IFERROR(ABS(SUMIFS('TRA balance'!V$5:V$40,'TRA balance'!$C$5:$C$40,Assumptions!$AL114,'TRA balance'!$D$5:$D$40,Assumptions!$AM114)),"")</f>
        <v>0.17838280079999999</v>
      </c>
      <c r="BF114" s="34">
        <f>IFERROR(ABS(SUMIFS('TRA balance'!W$5:W$40,'TRA balance'!$C$5:$C$40,Assumptions!$AL114,'TRA balance'!$D$5:$D$40,Assumptions!$AM114)),"")</f>
        <v>0</v>
      </c>
      <c r="BG114" s="34">
        <f>IFERROR(ABS(SUMIFS('TRA balance'!X$5:X$40,'TRA balance'!$C$5:$C$40,Assumptions!$AL114,'TRA balance'!$D$5:$D$40,Assumptions!$AM114)),"")</f>
        <v>0</v>
      </c>
      <c r="BH114" s="34">
        <f>IFERROR(ABS(SUMIFS('TRA balance'!Y$5:Y$40,'TRA balance'!$C$5:$C$40,Assumptions!$AL114,'TRA balance'!$D$5:$D$40,Assumptions!$AM114)),"")</f>
        <v>0</v>
      </c>
      <c r="BI114" s="34">
        <f>IFERROR(ABS(SUMIFS('TRA balance'!Z$5:Z$40,'TRA balance'!$C$5:$C$40,Assumptions!$AL114,'TRA balance'!$D$5:$D$40,Assumptions!$AM114)),"")</f>
        <v>0</v>
      </c>
      <c r="BJ114" s="34">
        <f>IFERROR(ABS(SUMIFS('TRA balance'!AA$5:AA$40,'TRA balance'!$C$5:$C$40,Assumptions!$AL114,'TRA balance'!$D$5:$D$40,Assumptions!$AM114)),"")</f>
        <v>0</v>
      </c>
      <c r="BK114" s="34">
        <f>IFERROR(ABS(SUMIFS('TRA balance'!AB$5:AB$40,'TRA balance'!$C$5:$C$40,Assumptions!$AL114,'TRA balance'!$D$5:$D$40,Assumptions!$AM114)),"")</f>
        <v>4.1868E-5</v>
      </c>
      <c r="BL114" s="34">
        <f>IFERROR(ABS(SUMIFS('TRA balance'!AC$5:AC$40,'TRA balance'!$C$5:$C$40,Assumptions!$AL114,'TRA balance'!$D$5:$D$40,Assumptions!$AM114)),"")</f>
        <v>0</v>
      </c>
      <c r="BM114" s="34">
        <f>IFERROR(ABS(SUMIFS('TRA balance'!AD$5:AD$40,'TRA balance'!$C$5:$C$40,Assumptions!$AL114,'TRA balance'!$D$5:$D$40,Assumptions!$AM114)),"")</f>
        <v>0</v>
      </c>
      <c r="BN114" s="34">
        <f>IFERROR(ABS(SUMIFS('TRA balance'!AE$5:AE$40,'TRA balance'!$C$5:$C$40,Assumptions!$AL114,'TRA balance'!$D$5:$D$40,Assumptions!$AM114)),"")</f>
        <v>0</v>
      </c>
      <c r="BO114" s="34">
        <f>IFERROR(ABS(SUMIFS('TRA balance'!AF$5:AF$40,'TRA balance'!$C$5:$C$40,Assumptions!$AL114,'TRA balance'!$D$5:$D$40,Assumptions!$AM114)),"")</f>
        <v>0</v>
      </c>
      <c r="BP114" s="34">
        <f>IFERROR(ABS(SUMIFS('TRA balance'!AG$5:AG$40,'TRA balance'!$C$5:$C$40,Assumptions!$AL114,'TRA balance'!$D$5:$D$40,Assumptions!$AM114)),"")</f>
        <v>4.5131526863999998</v>
      </c>
      <c r="BQ114" s="34">
        <f>IFERROR(ABS(SUMIFS('TRA balance'!AH$5:AH$40,'TRA balance'!$C$5:$C$40,Assumptions!$AL114,'TRA balance'!$D$5:$D$40,Assumptions!$AM114)),"")</f>
        <v>0</v>
      </c>
      <c r="BR114" s="27"/>
    </row>
    <row r="115" spans="3:70" x14ac:dyDescent="0.45">
      <c r="C115" t="str">
        <f t="shared" si="241"/>
        <v>DST</v>
      </c>
      <c r="D115" t="str">
        <f t="shared" si="240"/>
        <v>TRC</v>
      </c>
      <c r="E115" t="s">
        <v>121</v>
      </c>
      <c r="F115" s="1">
        <v>0.12239999999999999</v>
      </c>
      <c r="G115" s="1">
        <v>0.12239999999999999</v>
      </c>
      <c r="H115" s="1">
        <v>0.13600000000000001</v>
      </c>
      <c r="I115" s="1">
        <v>0.12239999999999999</v>
      </c>
      <c r="J115" s="1">
        <v>0.12239999999999999</v>
      </c>
      <c r="K115" s="1">
        <v>0.12239999999999999</v>
      </c>
      <c r="L115" s="1">
        <v>0.12239999999999999</v>
      </c>
      <c r="M115" s="1">
        <v>0.12239999999999999</v>
      </c>
      <c r="N115" s="1">
        <v>0.12239999999999999</v>
      </c>
      <c r="O115" s="1">
        <v>0.11899999999999999</v>
      </c>
      <c r="P115" s="1">
        <v>0.12239999999999999</v>
      </c>
      <c r="Q115" s="1">
        <v>0.12239999999999999</v>
      </c>
      <c r="R115" s="1">
        <v>0.11899999999999999</v>
      </c>
      <c r="S115" s="1">
        <v>0.12239999999999999</v>
      </c>
      <c r="T115" s="1">
        <v>0.12239999999999999</v>
      </c>
      <c r="AL115" s="27" t="s">
        <v>21</v>
      </c>
      <c r="AM115" s="27" t="s">
        <v>33</v>
      </c>
      <c r="AN115" s="34">
        <f>IFERROR(ABS(SUMIFS('TRA balance'!E$5:E$40,'TRA balance'!$C$5:$C$40,Assumptions!$AL115,'TRA balance'!$D$5:$D$40,Assumptions!$AM115)),"")</f>
        <v>0</v>
      </c>
      <c r="AO115" s="34">
        <f>IFERROR(ABS(SUMIFS('TRA balance'!F$5:F$40,'TRA balance'!$C$5:$C$40,Assumptions!$AL115,'TRA balance'!$D$5:$D$40,Assumptions!$AM115)),"")</f>
        <v>0</v>
      </c>
      <c r="AP115" s="34">
        <f>IFERROR(ABS(SUMIFS('TRA balance'!G$5:G$40,'TRA balance'!$C$5:$C$40,Assumptions!$AL115,'TRA balance'!$D$5:$D$40,Assumptions!$AM115)),"")</f>
        <v>0</v>
      </c>
      <c r="AQ115" s="34">
        <f>IFERROR(ABS(SUMIFS('TRA balance'!H$5:H$40,'TRA balance'!$C$5:$C$40,Assumptions!$AL115,'TRA balance'!$D$5:$D$40,Assumptions!$AM115)),"")</f>
        <v>0</v>
      </c>
      <c r="AR115" s="34">
        <f>IFERROR(ABS(SUMIFS('TRA balance'!I$5:I$40,'TRA balance'!$C$5:$C$40,Assumptions!$AL115,'TRA balance'!$D$5:$D$40,Assumptions!$AM115)),"")</f>
        <v>0</v>
      </c>
      <c r="AS115" s="34">
        <f>IFERROR(ABS(SUMIFS('TRA balance'!J$5:J$40,'TRA balance'!$C$5:$C$40,Assumptions!$AL115,'TRA balance'!$D$5:$D$40,Assumptions!$AM115)),"")</f>
        <v>0</v>
      </c>
      <c r="AT115" s="34">
        <f>IFERROR(ABS(SUMIFS('TRA balance'!K$5:K$40,'TRA balance'!$C$5:$C$40,Assumptions!$AL115,'TRA balance'!$D$5:$D$40,Assumptions!$AM115)),"")</f>
        <v>0</v>
      </c>
      <c r="AU115" s="34">
        <f>IFERROR(ABS(SUMIFS('TRA balance'!L$5:L$40,'TRA balance'!$C$5:$C$40,Assumptions!$AL115,'TRA balance'!$D$5:$D$40,Assumptions!$AM115)),"")</f>
        <v>0</v>
      </c>
      <c r="AV115" s="34">
        <f>IFERROR(ABS(SUMIFS('TRA balance'!M$5:M$40,'TRA balance'!$C$5:$C$40,Assumptions!$AL115,'TRA balance'!$D$5:$D$40,Assumptions!$AM115)),"")</f>
        <v>0</v>
      </c>
      <c r="AW115" s="34">
        <f>IFERROR(ABS(SUMIFS('TRA balance'!N$5:N$40,'TRA balance'!$C$5:$C$40,Assumptions!$AL115,'TRA balance'!$D$5:$D$40,Assumptions!$AM115)),"")</f>
        <v>0</v>
      </c>
      <c r="AX115" s="34">
        <f>IFERROR(ABS(SUMIFS('TRA balance'!O$5:O$40,'TRA balance'!$C$5:$C$40,Assumptions!$AL115,'TRA balance'!$D$5:$D$40,Assumptions!$AM115)),"")</f>
        <v>0</v>
      </c>
      <c r="AY115" s="34">
        <f>IFERROR(ABS(SUMIFS('TRA balance'!P$5:P$40,'TRA balance'!$C$5:$C$40,Assumptions!$AL115,'TRA balance'!$D$5:$D$40,Assumptions!$AM115)),"")</f>
        <v>0</v>
      </c>
      <c r="AZ115" s="34">
        <f>IFERROR(ABS(SUMIFS('TRA balance'!Q$5:Q$40,'TRA balance'!$C$5:$C$40,Assumptions!$AL115,'TRA balance'!$D$5:$D$40,Assumptions!$AM115)),"")</f>
        <v>0</v>
      </c>
      <c r="BA115" s="34">
        <f>IFERROR(ABS(SUMIFS('TRA balance'!R$5:R$40,'TRA balance'!$C$5:$C$40,Assumptions!$AL115,'TRA balance'!$D$5:$D$40,Assumptions!$AM115)),"")</f>
        <v>0</v>
      </c>
      <c r="BB115" s="34">
        <f>IFERROR(ABS(SUMIFS('TRA balance'!S$5:S$40,'TRA balance'!$C$5:$C$40,Assumptions!$AL115,'TRA balance'!$D$5:$D$40,Assumptions!$AM115)),"")</f>
        <v>0</v>
      </c>
      <c r="BC115" s="34">
        <f>IFERROR(ABS(SUMIFS('TRA balance'!T$5:T$40,'TRA balance'!$C$5:$C$40,Assumptions!$AL115,'TRA balance'!$D$5:$D$40,Assumptions!$AM115)),"")</f>
        <v>0</v>
      </c>
      <c r="BD115" s="34">
        <f>IFERROR(ABS(SUMIFS('TRA balance'!U$5:U$40,'TRA balance'!$C$5:$C$40,Assumptions!$AL115,'TRA balance'!$D$5:$D$40,Assumptions!$AM115)),"")</f>
        <v>0</v>
      </c>
      <c r="BE115" s="34">
        <f>IFERROR(ABS(SUMIFS('TRA balance'!V$5:V$40,'TRA balance'!$C$5:$C$40,Assumptions!$AL115,'TRA balance'!$D$5:$D$40,Assumptions!$AM115)),"")</f>
        <v>0</v>
      </c>
      <c r="BF115" s="34">
        <f>IFERROR(ABS(SUMIFS('TRA balance'!W$5:W$40,'TRA balance'!$C$5:$C$40,Assumptions!$AL115,'TRA balance'!$D$5:$D$40,Assumptions!$AM115)),"")</f>
        <v>0</v>
      </c>
      <c r="BG115" s="34">
        <f>IFERROR(ABS(SUMIFS('TRA balance'!X$5:X$40,'TRA balance'!$C$5:$C$40,Assumptions!$AL115,'TRA balance'!$D$5:$D$40,Assumptions!$AM115)),"")</f>
        <v>0</v>
      </c>
      <c r="BH115" s="34">
        <f>IFERROR(ABS(SUMIFS('TRA balance'!Y$5:Y$40,'TRA balance'!$C$5:$C$40,Assumptions!$AL115,'TRA balance'!$D$5:$D$40,Assumptions!$AM115)),"")</f>
        <v>0</v>
      </c>
      <c r="BI115" s="34">
        <f>IFERROR(ABS(SUMIFS('TRA balance'!Z$5:Z$40,'TRA balance'!$C$5:$C$40,Assumptions!$AL115,'TRA balance'!$D$5:$D$40,Assumptions!$AM115)),"")</f>
        <v>0</v>
      </c>
      <c r="BJ115" s="34">
        <f>IFERROR(ABS(SUMIFS('TRA balance'!AA$5:AA$40,'TRA balance'!$C$5:$C$40,Assumptions!$AL115,'TRA balance'!$D$5:$D$40,Assumptions!$AM115)),"")</f>
        <v>0</v>
      </c>
      <c r="BK115" s="34">
        <f>IFERROR(ABS(SUMIFS('TRA balance'!AB$5:AB$40,'TRA balance'!$C$5:$C$40,Assumptions!$AL115,'TRA balance'!$D$5:$D$40,Assumptions!$AM115)),"")</f>
        <v>0</v>
      </c>
      <c r="BL115" s="34">
        <f>IFERROR(ABS(SUMIFS('TRA balance'!AC$5:AC$40,'TRA balance'!$C$5:$C$40,Assumptions!$AL115,'TRA balance'!$D$5:$D$40,Assumptions!$AM115)),"")</f>
        <v>0</v>
      </c>
      <c r="BM115" s="34">
        <f>IFERROR(ABS(SUMIFS('TRA balance'!AD$5:AD$40,'TRA balance'!$C$5:$C$40,Assumptions!$AL115,'TRA balance'!$D$5:$D$40,Assumptions!$AM115)),"")</f>
        <v>0</v>
      </c>
      <c r="BN115" s="34">
        <f>IFERROR(ABS(SUMIFS('TRA balance'!AE$5:AE$40,'TRA balance'!$C$5:$C$40,Assumptions!$AL115,'TRA balance'!$D$5:$D$40,Assumptions!$AM115)),"")</f>
        <v>0</v>
      </c>
      <c r="BO115" s="34">
        <f>IFERROR(ABS(SUMIFS('TRA balance'!AF$5:AF$40,'TRA balance'!$C$5:$C$40,Assumptions!$AL115,'TRA balance'!$D$5:$D$40,Assumptions!$AM115)),"")</f>
        <v>0</v>
      </c>
      <c r="BP115" s="34">
        <f>IFERROR(ABS(SUMIFS('TRA balance'!AG$5:AG$40,'TRA balance'!$C$5:$C$40,Assumptions!$AL115,'TRA balance'!$D$5:$D$40,Assumptions!$AM115)),"")</f>
        <v>0</v>
      </c>
      <c r="BQ115" s="34">
        <f>IFERROR(ABS(SUMIFS('TRA balance'!AH$5:AH$40,'TRA balance'!$C$5:$C$40,Assumptions!$AL115,'TRA balance'!$D$5:$D$40,Assumptions!$AM115)),"")</f>
        <v>0</v>
      </c>
      <c r="BR115" s="27"/>
    </row>
    <row r="116" spans="3:70" x14ac:dyDescent="0.45">
      <c r="C116" t="str">
        <f t="shared" si="241"/>
        <v>ETH</v>
      </c>
      <c r="D116" t="str">
        <f t="shared" si="240"/>
        <v>TRC</v>
      </c>
      <c r="E116" t="s">
        <v>122</v>
      </c>
      <c r="F116" s="1">
        <v>0.108</v>
      </c>
      <c r="G116" s="1">
        <v>0.108</v>
      </c>
      <c r="H116" s="1">
        <v>0.12</v>
      </c>
      <c r="I116" s="1">
        <v>0.108</v>
      </c>
      <c r="J116" s="1">
        <v>0.108</v>
      </c>
      <c r="K116" s="1">
        <v>0.108</v>
      </c>
      <c r="L116" s="1">
        <v>0.108</v>
      </c>
      <c r="M116" s="1">
        <v>0.108</v>
      </c>
      <c r="N116" s="1">
        <v>0.108</v>
      </c>
      <c r="O116" s="1">
        <v>0.105</v>
      </c>
      <c r="P116" s="1">
        <v>0.108</v>
      </c>
      <c r="Q116" s="1">
        <v>0.108</v>
      </c>
      <c r="R116" s="1">
        <v>0.105</v>
      </c>
      <c r="S116" s="1">
        <v>0.108</v>
      </c>
      <c r="T116" s="1">
        <v>0.108</v>
      </c>
      <c r="AL116" s="27" t="s">
        <v>21</v>
      </c>
      <c r="AM116" s="27" t="s">
        <v>41</v>
      </c>
      <c r="AN116" s="34">
        <f>IFERROR(ABS(SUMIFS('TRA balance'!E$5:E$40,'TRA balance'!$C$5:$C$40,Assumptions!$AL116,'TRA balance'!$D$5:$D$40,Assumptions!$AM116)),"")</f>
        <v>2.2515982380000001</v>
      </c>
      <c r="AO116" s="34">
        <f>IFERROR(ABS(SUMIFS('TRA balance'!F$5:F$40,'TRA balance'!$C$5:$C$40,Assumptions!$AL116,'TRA balance'!$D$5:$D$40,Assumptions!$AM116)),"")</f>
        <v>20.462294178</v>
      </c>
      <c r="AP116" s="34">
        <f>IFERROR(ABS(SUMIFS('TRA balance'!G$5:G$40,'TRA balance'!$C$5:$C$40,Assumptions!$AL116,'TRA balance'!$D$5:$D$40,Assumptions!$AM116)),"")</f>
        <v>17.652453148799999</v>
      </c>
      <c r="AQ116" s="34">
        <f>IFERROR(ABS(SUMIFS('TRA balance'!H$5:H$40,'TRA balance'!$C$5:$C$40,Assumptions!$AL116,'TRA balance'!$D$5:$D$40,Assumptions!$AM116)),"")</f>
        <v>1.3265792063999999</v>
      </c>
      <c r="AR116" s="34">
        <f>IFERROR(ABS(SUMIFS('TRA balance'!I$5:I$40,'TRA balance'!$C$5:$C$40,Assumptions!$AL116,'TRA balance'!$D$5:$D$40,Assumptions!$AM116)),"")</f>
        <v>52.541350624800003</v>
      </c>
      <c r="AS116" s="34">
        <f>IFERROR(ABS(SUMIFS('TRA balance'!J$5:J$40,'TRA balance'!$C$5:$C$40,Assumptions!$AL116,'TRA balance'!$D$5:$D$40,Assumptions!$AM116)),"")</f>
        <v>232.6104186192</v>
      </c>
      <c r="AT116" s="34">
        <f>IFERROR(ABS(SUMIFS('TRA balance'!K$5:K$40,'TRA balance'!$C$5:$C$40,Assumptions!$AL116,'TRA balance'!$D$5:$D$40,Assumptions!$AM116)),"")</f>
        <v>14.6172952908</v>
      </c>
      <c r="AU116" s="34">
        <f>IFERROR(ABS(SUMIFS('TRA balance'!L$5:L$40,'TRA balance'!$C$5:$C$40,Assumptions!$AL116,'TRA balance'!$D$5:$D$40,Assumptions!$AM116)),"")</f>
        <v>13.322179886400001</v>
      </c>
      <c r="AV116" s="34">
        <f>IFERROR(ABS(SUMIFS('TRA balance'!M$5:M$40,'TRA balance'!$C$5:$C$40,Assumptions!$AL116,'TRA balance'!$D$5:$D$40,Assumptions!$AM116)),"")</f>
        <v>31.6092011904</v>
      </c>
      <c r="AW116" s="34">
        <f>IFERROR(ABS(SUMIFS('TRA balance'!N$5:N$40,'TRA balance'!$C$5:$C$40,Assumptions!$AL116,'TRA balance'!$D$5:$D$40,Assumptions!$AM116)),"")</f>
        <v>622.70790957719998</v>
      </c>
      <c r="AX116" s="34">
        <f>IFERROR(ABS(SUMIFS('TRA balance'!O$5:O$40,'TRA balance'!$C$5:$C$40,Assumptions!$AL116,'TRA balance'!$D$5:$D$40,Assumptions!$AM116)),"")</f>
        <v>10.993741308000001</v>
      </c>
      <c r="AY116" s="34">
        <f>IFERROR(ABS(SUMIFS('TRA balance'!P$5:P$40,'TRA balance'!$C$5:$C$40,Assumptions!$AL116,'TRA balance'!$D$5:$D$40,Assumptions!$AM116)),"")</f>
        <v>1.8474757416000001</v>
      </c>
      <c r="AZ116" s="34">
        <f>IFERROR(ABS(SUMIFS('TRA balance'!Q$5:Q$40,'TRA balance'!$C$5:$C$40,Assumptions!$AL116,'TRA balance'!$D$5:$D$40,Assumptions!$AM116)),"")</f>
        <v>21.490681114800001</v>
      </c>
      <c r="BA116" s="34">
        <f>IFERROR(ABS(SUMIFS('TRA balance'!R$5:R$40,'TRA balance'!$C$5:$C$40,Assumptions!$AL116,'TRA balance'!$D$5:$D$40,Assumptions!$AM116)),"")</f>
        <v>23.319680508000001</v>
      </c>
      <c r="BB116" s="34">
        <f>IFERROR(ABS(SUMIFS('TRA balance'!S$5:S$40,'TRA balance'!$C$5:$C$40,Assumptions!$AL116,'TRA balance'!$D$5:$D$40,Assumptions!$AM116)),"")</f>
        <v>4.1350260311999998</v>
      </c>
      <c r="BC116" s="34">
        <f>IFERROR(ABS(SUMIFS('TRA balance'!T$5:T$40,'TRA balance'!$C$5:$C$40,Assumptions!$AL116,'TRA balance'!$D$5:$D$40,Assumptions!$AM116)),"")</f>
        <v>20.691115358400001</v>
      </c>
      <c r="BD116" s="34">
        <f>IFERROR(ABS(SUMIFS('TRA balance'!U$5:U$40,'TRA balance'!$C$5:$C$40,Assumptions!$AL116,'TRA balance'!$D$5:$D$40,Assumptions!$AM116)),"")</f>
        <v>23.018729137200001</v>
      </c>
      <c r="BE116" s="34">
        <f>IFERROR(ABS(SUMIFS('TRA balance'!V$5:V$40,'TRA balance'!$C$5:$C$40,Assumptions!$AL116,'TRA balance'!$D$5:$D$40,Assumptions!$AM116)),"")</f>
        <v>7.3308230315999996</v>
      </c>
      <c r="BF116" s="34">
        <f>IFERROR(ABS(SUMIFS('TRA balance'!W$5:W$40,'TRA balance'!$C$5:$C$40,Assumptions!$AL116,'TRA balance'!$D$5:$D$40,Assumptions!$AM116)),"")</f>
        <v>11.2463979408</v>
      </c>
      <c r="BG116" s="34">
        <f>IFERROR(ABS(SUMIFS('TRA balance'!X$5:X$40,'TRA balance'!$C$5:$C$40,Assumptions!$AL116,'TRA balance'!$D$5:$D$40,Assumptions!$AM116)),"")</f>
        <v>35.081661934800003</v>
      </c>
      <c r="BH116" s="34">
        <f>IFERROR(ABS(SUMIFS('TRA balance'!Y$5:Y$40,'TRA balance'!$C$5:$C$40,Assumptions!$AL116,'TRA balance'!$D$5:$D$40,Assumptions!$AM116)),"")</f>
        <v>17.332950067199999</v>
      </c>
      <c r="BI116" s="34">
        <f>IFERROR(ABS(SUMIFS('TRA balance'!Z$5:Z$40,'TRA balance'!$C$5:$C$40,Assumptions!$AL116,'TRA balance'!$D$5:$D$40,Assumptions!$AM116)),"")</f>
        <v>26.123810742</v>
      </c>
      <c r="BJ116" s="34">
        <f>IFERROR(ABS(SUMIFS('TRA balance'!AA$5:AA$40,'TRA balance'!$C$5:$C$40,Assumptions!$AL116,'TRA balance'!$D$5:$D$40,Assumptions!$AM116)),"")</f>
        <v>0</v>
      </c>
      <c r="BK116" s="34">
        <f>IFERROR(ABS(SUMIFS('TRA balance'!AB$5:AB$40,'TRA balance'!$C$5:$C$40,Assumptions!$AL116,'TRA balance'!$D$5:$D$40,Assumptions!$AM116)),"")</f>
        <v>36.583387545599997</v>
      </c>
      <c r="BL116" s="34">
        <f>IFERROR(ABS(SUMIFS('TRA balance'!AC$5:AC$40,'TRA balance'!$C$5:$C$40,Assumptions!$AL116,'TRA balance'!$D$5:$D$40,Assumptions!$AM116)),"")</f>
        <v>17.106456747599999</v>
      </c>
      <c r="BM116" s="34">
        <f>IFERROR(ABS(SUMIFS('TRA balance'!AD$5:AD$40,'TRA balance'!$C$5:$C$40,Assumptions!$AL116,'TRA balance'!$D$5:$D$40,Assumptions!$AM116)),"")</f>
        <v>0</v>
      </c>
      <c r="BN116" s="34">
        <f>IFERROR(ABS(SUMIFS('TRA balance'!AE$5:AE$40,'TRA balance'!$C$5:$C$40,Assumptions!$AL116,'TRA balance'!$D$5:$D$40,Assumptions!$AM116)),"")</f>
        <v>11.0169654876</v>
      </c>
      <c r="BO116" s="34">
        <f>IFERROR(ABS(SUMIFS('TRA balance'!AF$5:AF$40,'TRA balance'!$C$5:$C$40,Assumptions!$AL116,'TRA balance'!$D$5:$D$40,Assumptions!$AM116)),"")</f>
        <v>36.848575270799998</v>
      </c>
      <c r="BP116" s="34">
        <f>IFERROR(ABS(SUMIFS('TRA balance'!AG$5:AG$40,'TRA balance'!$C$5:$C$40,Assumptions!$AL116,'TRA balance'!$D$5:$D$40,Assumptions!$AM116)),"")</f>
        <v>146.75256931320001</v>
      </c>
      <c r="BQ116" s="34">
        <f>IFERROR(ABS(SUMIFS('TRA balance'!AH$5:AH$40,'TRA balance'!$C$5:$C$40,Assumptions!$AL116,'TRA balance'!$D$5:$D$40,Assumptions!$AM116)),"")</f>
        <v>0</v>
      </c>
      <c r="BR116" s="27"/>
    </row>
    <row r="117" spans="3:70" x14ac:dyDescent="0.45">
      <c r="C117" t="str">
        <f t="shared" si="241"/>
        <v>GAS</v>
      </c>
      <c r="D117" t="str">
        <f t="shared" si="240"/>
        <v>TRC</v>
      </c>
      <c r="E117" t="s">
        <v>123</v>
      </c>
      <c r="F117" s="1">
        <v>0.1152</v>
      </c>
      <c r="G117" s="1">
        <v>0.1152</v>
      </c>
      <c r="H117" s="1">
        <v>0.128</v>
      </c>
      <c r="I117" s="1">
        <v>0.1152</v>
      </c>
      <c r="J117" s="1">
        <v>0.1152</v>
      </c>
      <c r="K117" s="1">
        <v>0.1152</v>
      </c>
      <c r="L117" s="1">
        <v>0.1152</v>
      </c>
      <c r="M117" s="1">
        <v>0.1152</v>
      </c>
      <c r="N117" s="1">
        <v>0.1152</v>
      </c>
      <c r="O117" s="1">
        <v>0.112</v>
      </c>
      <c r="P117" s="1">
        <v>0.1152</v>
      </c>
      <c r="Q117" s="1">
        <v>0.1152</v>
      </c>
      <c r="R117" s="1">
        <v>0.112</v>
      </c>
      <c r="S117" s="1">
        <v>0.1152</v>
      </c>
      <c r="T117" s="1">
        <v>0.1152</v>
      </c>
      <c r="AL117" s="27" t="s">
        <v>21</v>
      </c>
      <c r="AM117" s="27" t="s">
        <v>42</v>
      </c>
      <c r="AN117" s="34">
        <f>IFERROR(ABS(SUMIFS('TRA balance'!E$5:E$40,'TRA balance'!$C$5:$C$40,Assumptions!$AL117,'TRA balance'!$D$5:$D$40,Assumptions!$AM117)),"")</f>
        <v>0</v>
      </c>
      <c r="AO117" s="34">
        <f>IFERROR(ABS(SUMIFS('TRA balance'!F$5:F$40,'TRA balance'!$C$5:$C$40,Assumptions!$AL117,'TRA balance'!$D$5:$D$40,Assumptions!$AM117)),"")</f>
        <v>2.8287653652000002</v>
      </c>
      <c r="AP117" s="34">
        <f>IFERROR(ABS(SUMIFS('TRA balance'!G$5:G$40,'TRA balance'!$C$5:$C$40,Assumptions!$AL117,'TRA balance'!$D$5:$D$40,Assumptions!$AM117)),"")</f>
        <v>2.0967494400000002E-2</v>
      </c>
      <c r="AQ117" s="34">
        <f>IFERROR(ABS(SUMIFS('TRA balance'!H$5:H$40,'TRA balance'!$C$5:$C$40,Assumptions!$AL117,'TRA balance'!$D$5:$D$40,Assumptions!$AM117)),"")</f>
        <v>0</v>
      </c>
      <c r="AR117" s="34">
        <f>IFERROR(ABS(SUMIFS('TRA balance'!I$5:I$40,'TRA balance'!$C$5:$C$40,Assumptions!$AL117,'TRA balance'!$D$5:$D$40,Assumptions!$AM117)),"")</f>
        <v>0</v>
      </c>
      <c r="AS117" s="34">
        <f>IFERROR(ABS(SUMIFS('TRA balance'!J$5:J$40,'TRA balance'!$C$5:$C$40,Assumptions!$AL117,'TRA balance'!$D$5:$D$40,Assumptions!$AM117)),"")</f>
        <v>9.0982597175999995</v>
      </c>
      <c r="AT117" s="34">
        <f>IFERROR(ABS(SUMIFS('TRA balance'!K$5:K$40,'TRA balance'!$C$5:$C$40,Assumptions!$AL117,'TRA balance'!$D$5:$D$40,Assumptions!$AM117)),"")</f>
        <v>11.242319997599999</v>
      </c>
      <c r="AU117" s="34">
        <f>IFERROR(ABS(SUMIFS('TRA balance'!L$5:L$40,'TRA balance'!$C$5:$C$40,Assumptions!$AL117,'TRA balance'!$D$5:$D$40,Assumptions!$AM117)),"")</f>
        <v>0</v>
      </c>
      <c r="AV117" s="34">
        <f>IFERROR(ABS(SUMIFS('TRA balance'!M$5:M$40,'TRA balance'!$C$5:$C$40,Assumptions!$AL117,'TRA balance'!$D$5:$D$40,Assumptions!$AM117)),"")</f>
        <v>0</v>
      </c>
      <c r="AW117" s="34">
        <f>IFERROR(ABS(SUMIFS('TRA balance'!N$5:N$40,'TRA balance'!$C$5:$C$40,Assumptions!$AL117,'TRA balance'!$D$5:$D$40,Assumptions!$AM117)),"")</f>
        <v>0</v>
      </c>
      <c r="AX117" s="34">
        <f>IFERROR(ABS(SUMIFS('TRA balance'!O$5:O$40,'TRA balance'!$C$5:$C$40,Assumptions!$AL117,'TRA balance'!$D$5:$D$40,Assumptions!$AM117)),"")</f>
        <v>1.3640008248</v>
      </c>
      <c r="AY117" s="34">
        <f>IFERROR(ABS(SUMIFS('TRA balance'!P$5:P$40,'TRA balance'!$C$5:$C$40,Assumptions!$AL117,'TRA balance'!$D$5:$D$40,Assumptions!$AM117)),"")</f>
        <v>0.102388194</v>
      </c>
      <c r="AZ117" s="34">
        <f>IFERROR(ABS(SUMIFS('TRA balance'!Q$5:Q$40,'TRA balance'!$C$5:$C$40,Assumptions!$AL117,'TRA balance'!$D$5:$D$40,Assumptions!$AM117)),"")</f>
        <v>1.8463787999999999E-3</v>
      </c>
      <c r="BA117" s="34">
        <f>IFERROR(ABS(SUMIFS('TRA balance'!R$5:R$40,'TRA balance'!$C$5:$C$40,Assumptions!$AL117,'TRA balance'!$D$5:$D$40,Assumptions!$AM117)),"")</f>
        <v>2.0238991200000001E-2</v>
      </c>
      <c r="BB117" s="34">
        <f>IFERROR(ABS(SUMIFS('TRA balance'!S$5:S$40,'TRA balance'!$C$5:$C$40,Assumptions!$AL117,'TRA balance'!$D$5:$D$40,Assumptions!$AM117)),"")</f>
        <v>0</v>
      </c>
      <c r="BC117" s="34">
        <f>IFERROR(ABS(SUMIFS('TRA balance'!T$5:T$40,'TRA balance'!$C$5:$C$40,Assumptions!$AL117,'TRA balance'!$D$5:$D$40,Assumptions!$AM117)),"")</f>
        <v>0</v>
      </c>
      <c r="BD117" s="34">
        <f>IFERROR(ABS(SUMIFS('TRA balance'!U$5:U$40,'TRA balance'!$C$5:$C$40,Assumptions!$AL117,'TRA balance'!$D$5:$D$40,Assumptions!$AM117)),"")</f>
        <v>0.82389943799999998</v>
      </c>
      <c r="BE117" s="34">
        <f>IFERROR(ABS(SUMIFS('TRA balance'!V$5:V$40,'TRA balance'!$C$5:$C$40,Assumptions!$AL117,'TRA balance'!$D$5:$D$40,Assumptions!$AM117)),"")</f>
        <v>13.110285938400001</v>
      </c>
      <c r="BF117" s="34">
        <f>IFERROR(ABS(SUMIFS('TRA balance'!W$5:W$40,'TRA balance'!$C$5:$C$40,Assumptions!$AL117,'TRA balance'!$D$5:$D$40,Assumptions!$AM117)),"")</f>
        <v>0</v>
      </c>
      <c r="BG117" s="34">
        <f>IFERROR(ABS(SUMIFS('TRA balance'!X$5:X$40,'TRA balance'!$C$5:$C$40,Assumptions!$AL117,'TRA balance'!$D$5:$D$40,Assumptions!$AM117)),"")</f>
        <v>0</v>
      </c>
      <c r="BH117" s="34">
        <f>IFERROR(ABS(SUMIFS('TRA balance'!Y$5:Y$40,'TRA balance'!$C$5:$C$40,Assumptions!$AL117,'TRA balance'!$D$5:$D$40,Assumptions!$AM117)),"")</f>
        <v>0.3150608868</v>
      </c>
      <c r="BI117" s="34">
        <f>IFERROR(ABS(SUMIFS('TRA balance'!Z$5:Z$40,'TRA balance'!$C$5:$C$40,Assumptions!$AL117,'TRA balance'!$D$5:$D$40,Assumptions!$AM117)),"")</f>
        <v>0</v>
      </c>
      <c r="BJ117" s="34">
        <f>IFERROR(ABS(SUMIFS('TRA balance'!AA$5:AA$40,'TRA balance'!$C$5:$C$40,Assumptions!$AL117,'TRA balance'!$D$5:$D$40,Assumptions!$AM117)),"")</f>
        <v>0</v>
      </c>
      <c r="BK117" s="34">
        <f>IFERROR(ABS(SUMIFS('TRA balance'!AB$5:AB$40,'TRA balance'!$C$5:$C$40,Assumptions!$AL117,'TRA balance'!$D$5:$D$40,Assumptions!$AM117)),"")</f>
        <v>2.6370978479999998</v>
      </c>
      <c r="BL117" s="34">
        <f>IFERROR(ABS(SUMIFS('TRA balance'!AC$5:AC$40,'TRA balance'!$C$5:$C$40,Assumptions!$AL117,'TRA balance'!$D$5:$D$40,Assumptions!$AM117)),"")</f>
        <v>0.58520159640000002</v>
      </c>
      <c r="BM117" s="34">
        <f>IFERROR(ABS(SUMIFS('TRA balance'!AD$5:AD$40,'TRA balance'!$C$5:$C$40,Assumptions!$AL117,'TRA balance'!$D$5:$D$40,Assumptions!$AM117)),"")</f>
        <v>0</v>
      </c>
      <c r="BN117" s="34">
        <f>IFERROR(ABS(SUMIFS('TRA balance'!AE$5:AE$40,'TRA balance'!$C$5:$C$40,Assumptions!$AL117,'TRA balance'!$D$5:$D$40,Assumptions!$AM117)),"")</f>
        <v>3.8229670799999997E-2</v>
      </c>
      <c r="BO117" s="34">
        <f>IFERROR(ABS(SUMIFS('TRA balance'!AF$5:AF$40,'TRA balance'!$C$5:$C$40,Assumptions!$AL117,'TRA balance'!$D$5:$D$40,Assumptions!$AM117)),"")</f>
        <v>0</v>
      </c>
      <c r="BP117" s="34">
        <f>IFERROR(ABS(SUMIFS('TRA balance'!AG$5:AG$40,'TRA balance'!$C$5:$C$40,Assumptions!$AL117,'TRA balance'!$D$5:$D$40,Assumptions!$AM117)),"")</f>
        <v>198.20899864079999</v>
      </c>
      <c r="BQ117" s="34">
        <f>IFERROR(ABS(SUMIFS('TRA balance'!AH$5:AH$40,'TRA balance'!$C$5:$C$40,Assumptions!$AL117,'TRA balance'!$D$5:$D$40,Assumptions!$AM117)),"")</f>
        <v>0</v>
      </c>
      <c r="BR117" s="27"/>
    </row>
    <row r="118" spans="3:70" x14ac:dyDescent="0.45">
      <c r="C118" t="str">
        <f t="shared" si="241"/>
        <v>LPG</v>
      </c>
      <c r="D118" t="str">
        <f t="shared" si="240"/>
        <v>TRC</v>
      </c>
      <c r="E118" t="s">
        <v>124</v>
      </c>
      <c r="F118" s="1">
        <v>0.108</v>
      </c>
      <c r="G118" s="1">
        <v>0.108</v>
      </c>
      <c r="H118" s="1">
        <v>0.12</v>
      </c>
      <c r="I118" s="1">
        <v>0.108</v>
      </c>
      <c r="J118" s="1">
        <v>0.108</v>
      </c>
      <c r="K118" s="1">
        <v>0.108</v>
      </c>
      <c r="L118" s="1">
        <v>0.108</v>
      </c>
      <c r="M118" s="1">
        <v>0.108</v>
      </c>
      <c r="N118" s="1">
        <v>0.108</v>
      </c>
      <c r="O118" s="1">
        <v>0.105</v>
      </c>
      <c r="P118" s="1">
        <v>0.108</v>
      </c>
      <c r="Q118" s="1">
        <v>0.108</v>
      </c>
      <c r="R118" s="1">
        <v>0.105</v>
      </c>
      <c r="S118" s="1">
        <v>0.108</v>
      </c>
      <c r="T118" s="1">
        <v>0.108</v>
      </c>
      <c r="AL118" s="27" t="s">
        <v>21</v>
      </c>
      <c r="AM118" s="27" t="s">
        <v>45</v>
      </c>
      <c r="AN118" s="34">
        <f>IFERROR(ABS(SUMIFS('TRA balance'!E$5:E$40,'TRA balance'!$C$5:$C$40,Assumptions!$AL118,'TRA balance'!$D$5:$D$40,Assumptions!$AM118)),"")</f>
        <v>9.7814743019999995</v>
      </c>
      <c r="AO118" s="34">
        <f>IFERROR(ABS(SUMIFS('TRA balance'!F$5:F$40,'TRA balance'!$C$5:$C$40,Assumptions!$AL118,'TRA balance'!$D$5:$D$40,Assumptions!$AM118)),"")</f>
        <v>0.26331622560000001</v>
      </c>
      <c r="AP118" s="34">
        <f>IFERROR(ABS(SUMIFS('TRA balance'!G$5:G$40,'TRA balance'!$C$5:$C$40,Assumptions!$AL118,'TRA balance'!$D$5:$D$40,Assumptions!$AM118)),"")</f>
        <v>9.4408404408000006</v>
      </c>
      <c r="AQ118" s="34">
        <f>IFERROR(ABS(SUMIFS('TRA balance'!H$5:H$40,'TRA balance'!$C$5:$C$40,Assumptions!$AL118,'TRA balance'!$D$5:$D$40,Assumptions!$AM118)),"")</f>
        <v>0</v>
      </c>
      <c r="AR118" s="34">
        <f>IFERROR(ABS(SUMIFS('TRA balance'!I$5:I$40,'TRA balance'!$C$5:$C$40,Assumptions!$AL118,'TRA balance'!$D$5:$D$40,Assumptions!$AM118)),"")</f>
        <v>94.339020758399997</v>
      </c>
      <c r="AS118" s="34">
        <f>IFERROR(ABS(SUMIFS('TRA balance'!J$5:J$40,'TRA balance'!$C$5:$C$40,Assumptions!$AL118,'TRA balance'!$D$5:$D$40,Assumptions!$AM118)),"")</f>
        <v>17.3398289796</v>
      </c>
      <c r="AT118" s="34">
        <f>IFERROR(ABS(SUMIFS('TRA balance'!K$5:K$40,'TRA balance'!$C$5:$C$40,Assumptions!$AL118,'TRA balance'!$D$5:$D$40,Assumptions!$AM118)),"")</f>
        <v>7.7457432851999997</v>
      </c>
      <c r="AU118" s="34">
        <f>IFERROR(ABS(SUMIFS('TRA balance'!L$5:L$40,'TRA balance'!$C$5:$C$40,Assumptions!$AL118,'TRA balance'!$D$5:$D$40,Assumptions!$AM118)),"")</f>
        <v>40.989353965200003</v>
      </c>
      <c r="AV118" s="34">
        <f>IFERROR(ABS(SUMIFS('TRA balance'!M$5:M$40,'TRA balance'!$C$5:$C$40,Assumptions!$AL118,'TRA balance'!$D$5:$D$40,Assumptions!$AM118)),"")</f>
        <v>21.466799607599999</v>
      </c>
      <c r="AW118" s="34">
        <f>IFERROR(ABS(SUMIFS('TRA balance'!N$5:N$40,'TRA balance'!$C$5:$C$40,Assumptions!$AL118,'TRA balance'!$D$5:$D$40,Assumptions!$AM118)),"")</f>
        <v>395.31815841600002</v>
      </c>
      <c r="AX118" s="34">
        <f>IFERROR(ABS(SUMIFS('TRA balance'!O$5:O$40,'TRA balance'!$C$5:$C$40,Assumptions!$AL118,'TRA balance'!$D$5:$D$40,Assumptions!$AM118)),"")</f>
        <v>3.920917266</v>
      </c>
      <c r="AY118" s="34">
        <f>IFERROR(ABS(SUMIFS('TRA balance'!P$5:P$40,'TRA balance'!$C$5:$C$40,Assumptions!$AL118,'TRA balance'!$D$5:$D$40,Assumptions!$AM118)),"")</f>
        <v>0</v>
      </c>
      <c r="AZ118" s="34">
        <f>IFERROR(ABS(SUMIFS('TRA balance'!Q$5:Q$40,'TRA balance'!$C$5:$C$40,Assumptions!$AL118,'TRA balance'!$D$5:$D$40,Assumptions!$AM118)),"")</f>
        <v>2.8001318399999999E-2</v>
      </c>
      <c r="BA118" s="34">
        <f>IFERROR(ABS(SUMIFS('TRA balance'!R$5:R$40,'TRA balance'!$C$5:$C$40,Assumptions!$AL118,'TRA balance'!$D$5:$D$40,Assumptions!$AM118)),"")</f>
        <v>29.446522210800001</v>
      </c>
      <c r="BB118" s="34">
        <f>IFERROR(ABS(SUMIFS('TRA balance'!S$5:S$40,'TRA balance'!$C$5:$C$40,Assumptions!$AL118,'TRA balance'!$D$5:$D$40,Assumptions!$AM118)),"")</f>
        <v>0</v>
      </c>
      <c r="BC118" s="34">
        <f>IFERROR(ABS(SUMIFS('TRA balance'!T$5:T$40,'TRA balance'!$C$5:$C$40,Assumptions!$AL118,'TRA balance'!$D$5:$D$40,Assumptions!$AM118)),"")</f>
        <v>25.9033589748</v>
      </c>
      <c r="BD118" s="34">
        <f>IFERROR(ABS(SUMIFS('TRA balance'!U$5:U$40,'TRA balance'!$C$5:$C$40,Assumptions!$AL118,'TRA balance'!$D$5:$D$40,Assumptions!$AM118)),"")</f>
        <v>1.3999989312000001</v>
      </c>
      <c r="BE118" s="34">
        <f>IFERROR(ABS(SUMIFS('TRA balance'!V$5:V$40,'TRA balance'!$C$5:$C$40,Assumptions!$AL118,'TRA balance'!$D$5:$D$40,Assumptions!$AM118)),"")</f>
        <v>0.47387877119999999</v>
      </c>
      <c r="BF118" s="34">
        <f>IFERROR(ABS(SUMIFS('TRA balance'!W$5:W$40,'TRA balance'!$C$5:$C$40,Assumptions!$AL118,'TRA balance'!$D$5:$D$40,Assumptions!$AM118)),"")</f>
        <v>0</v>
      </c>
      <c r="BG118" s="34">
        <f>IFERROR(ABS(SUMIFS('TRA balance'!X$5:X$40,'TRA balance'!$C$5:$C$40,Assumptions!$AL118,'TRA balance'!$D$5:$D$40,Assumptions!$AM118)),"")</f>
        <v>29.293741692000001</v>
      </c>
      <c r="BH118" s="34">
        <f>IFERROR(ABS(SUMIFS('TRA balance'!Y$5:Y$40,'TRA balance'!$C$5:$C$40,Assumptions!$AL118,'TRA balance'!$D$5:$D$40,Assumptions!$AM118)),"")</f>
        <v>7.1833723092000001</v>
      </c>
      <c r="BI118" s="34">
        <f>IFERROR(ABS(SUMIFS('TRA balance'!Z$5:Z$40,'TRA balance'!$C$5:$C$40,Assumptions!$AL118,'TRA balance'!$D$5:$D$40,Assumptions!$AM118)),"")</f>
        <v>2.6532002808000001</v>
      </c>
      <c r="BJ118" s="34">
        <f>IFERROR(ABS(SUMIFS('TRA balance'!AA$5:AA$40,'TRA balance'!$C$5:$C$40,Assumptions!$AL118,'TRA balance'!$D$5:$D$40,Assumptions!$AM118)),"")</f>
        <v>0</v>
      </c>
      <c r="BK118" s="34">
        <f>IFERROR(ABS(SUMIFS('TRA balance'!AB$5:AB$40,'TRA balance'!$C$5:$C$40,Assumptions!$AL118,'TRA balance'!$D$5:$D$40,Assumptions!$AM118)),"")</f>
        <v>0.32504221799999999</v>
      </c>
      <c r="BL118" s="34">
        <f>IFERROR(ABS(SUMIFS('TRA balance'!AC$5:AC$40,'TRA balance'!$C$5:$C$40,Assumptions!$AL118,'TRA balance'!$D$5:$D$40,Assumptions!$AM118)),"")</f>
        <v>7.8600010571999999</v>
      </c>
      <c r="BM118" s="34">
        <f>IFERROR(ABS(SUMIFS('TRA balance'!AD$5:AD$40,'TRA balance'!$C$5:$C$40,Assumptions!$AL118,'TRA balance'!$D$5:$D$40,Assumptions!$AM118)),"")</f>
        <v>0</v>
      </c>
      <c r="BN118" s="34">
        <f>IFERROR(ABS(SUMIFS('TRA balance'!AE$5:AE$40,'TRA balance'!$C$5:$C$40,Assumptions!$AL118,'TRA balance'!$D$5:$D$40,Assumptions!$AM118)),"")</f>
        <v>0</v>
      </c>
      <c r="BO118" s="34">
        <f>IFERROR(ABS(SUMIFS('TRA balance'!AF$5:AF$40,'TRA balance'!$C$5:$C$40,Assumptions!$AL118,'TRA balance'!$D$5:$D$40,Assumptions!$AM118)),"")</f>
        <v>0.330401322</v>
      </c>
      <c r="BP118" s="34">
        <f>IFERROR(ABS(SUMIFS('TRA balance'!AG$5:AG$40,'TRA balance'!$C$5:$C$40,Assumptions!$AL118,'TRA balance'!$D$5:$D$40,Assumptions!$AM118)),"")</f>
        <v>14.3525639268</v>
      </c>
      <c r="BQ118" s="34">
        <f>IFERROR(ABS(SUMIFS('TRA balance'!AH$5:AH$40,'TRA balance'!$C$5:$C$40,Assumptions!$AL118,'TRA balance'!$D$5:$D$40,Assumptions!$AM118)),"")</f>
        <v>0</v>
      </c>
      <c r="BR118" s="27"/>
    </row>
    <row r="119" spans="3:70" x14ac:dyDescent="0.45">
      <c r="C119" t="str">
        <f t="shared" si="241"/>
        <v>MET</v>
      </c>
      <c r="D119" t="str">
        <f t="shared" si="240"/>
        <v>TRC</v>
      </c>
      <c r="E119" t="s">
        <v>125</v>
      </c>
      <c r="F119" s="1">
        <v>0.108</v>
      </c>
      <c r="G119" s="1">
        <v>0.108</v>
      </c>
      <c r="H119" s="1">
        <v>0.12</v>
      </c>
      <c r="I119" s="1">
        <v>0.108</v>
      </c>
      <c r="J119" s="1">
        <v>0.108</v>
      </c>
      <c r="K119" s="1">
        <v>0.108</v>
      </c>
      <c r="L119" s="1">
        <v>0.108</v>
      </c>
      <c r="M119" s="1">
        <v>0.108</v>
      </c>
      <c r="N119" s="1">
        <v>0.108</v>
      </c>
      <c r="O119" s="1">
        <v>0.105</v>
      </c>
      <c r="P119" s="1">
        <v>0.108</v>
      </c>
      <c r="Q119" s="1">
        <v>0.108</v>
      </c>
      <c r="R119" s="1">
        <v>0.105</v>
      </c>
      <c r="S119" s="1">
        <v>0.108</v>
      </c>
      <c r="T119" s="1">
        <v>0.108</v>
      </c>
      <c r="AL119" s="27" t="s">
        <v>21</v>
      </c>
      <c r="AM119" s="27" t="s">
        <v>43</v>
      </c>
      <c r="AN119" s="34">
        <f>IFERROR(ABS(SUMIFS('TRA balance'!E$5:E$40,'TRA balance'!$C$5:$C$40,Assumptions!$AL119,'TRA balance'!$D$5:$D$40,Assumptions!$AM119)),"")</f>
        <v>0</v>
      </c>
      <c r="AO119" s="34">
        <f>IFERROR(ABS(SUMIFS('TRA balance'!F$5:F$40,'TRA balance'!$C$5:$C$40,Assumptions!$AL119,'TRA balance'!$D$5:$D$40,Assumptions!$AM119)),"")</f>
        <v>0</v>
      </c>
      <c r="AP119" s="34">
        <f>IFERROR(ABS(SUMIFS('TRA balance'!G$5:G$40,'TRA balance'!$C$5:$C$40,Assumptions!$AL119,'TRA balance'!$D$5:$D$40,Assumptions!$AM119)),"")</f>
        <v>0</v>
      </c>
      <c r="AQ119" s="34">
        <f>IFERROR(ABS(SUMIFS('TRA balance'!H$5:H$40,'TRA balance'!$C$5:$C$40,Assumptions!$AL119,'TRA balance'!$D$5:$D$40,Assumptions!$AM119)),"")</f>
        <v>0</v>
      </c>
      <c r="AR119" s="34">
        <f>IFERROR(ABS(SUMIFS('TRA balance'!I$5:I$40,'TRA balance'!$C$5:$C$40,Assumptions!$AL119,'TRA balance'!$D$5:$D$40,Assumptions!$AM119)),"")</f>
        <v>0</v>
      </c>
      <c r="AS119" s="34">
        <f>IFERROR(ABS(SUMIFS('TRA balance'!J$5:J$40,'TRA balance'!$C$5:$C$40,Assumptions!$AL119,'TRA balance'!$D$5:$D$40,Assumptions!$AM119)),"")</f>
        <v>0</v>
      </c>
      <c r="AT119" s="34">
        <f>IFERROR(ABS(SUMIFS('TRA balance'!K$5:K$40,'TRA balance'!$C$5:$C$40,Assumptions!$AL119,'TRA balance'!$D$5:$D$40,Assumptions!$AM119)),"")</f>
        <v>0</v>
      </c>
      <c r="AU119" s="34">
        <f>IFERROR(ABS(SUMIFS('TRA balance'!L$5:L$40,'TRA balance'!$C$5:$C$40,Assumptions!$AL119,'TRA balance'!$D$5:$D$40,Assumptions!$AM119)),"")</f>
        <v>0</v>
      </c>
      <c r="AV119" s="34">
        <f>IFERROR(ABS(SUMIFS('TRA balance'!M$5:M$40,'TRA balance'!$C$5:$C$40,Assumptions!$AL119,'TRA balance'!$D$5:$D$40,Assumptions!$AM119)),"")</f>
        <v>0</v>
      </c>
      <c r="AW119" s="34">
        <f>IFERROR(ABS(SUMIFS('TRA balance'!N$5:N$40,'TRA balance'!$C$5:$C$40,Assumptions!$AL119,'TRA balance'!$D$5:$D$40,Assumptions!$AM119)),"")</f>
        <v>0</v>
      </c>
      <c r="AX119" s="34">
        <f>IFERROR(ABS(SUMIFS('TRA balance'!O$5:O$40,'TRA balance'!$C$5:$C$40,Assumptions!$AL119,'TRA balance'!$D$5:$D$40,Assumptions!$AM119)),"")</f>
        <v>0</v>
      </c>
      <c r="AY119" s="34">
        <f>IFERROR(ABS(SUMIFS('TRA balance'!P$5:P$40,'TRA balance'!$C$5:$C$40,Assumptions!$AL119,'TRA balance'!$D$5:$D$40,Assumptions!$AM119)),"")</f>
        <v>0</v>
      </c>
      <c r="AZ119" s="34">
        <f>IFERROR(ABS(SUMIFS('TRA balance'!Q$5:Q$40,'TRA balance'!$C$5:$C$40,Assumptions!$AL119,'TRA balance'!$D$5:$D$40,Assumptions!$AM119)),"")</f>
        <v>0</v>
      </c>
      <c r="BA119" s="34">
        <f>IFERROR(ABS(SUMIFS('TRA balance'!R$5:R$40,'TRA balance'!$C$5:$C$40,Assumptions!$AL119,'TRA balance'!$D$5:$D$40,Assumptions!$AM119)),"")</f>
        <v>0</v>
      </c>
      <c r="BB119" s="34">
        <f>IFERROR(ABS(SUMIFS('TRA balance'!S$5:S$40,'TRA balance'!$C$5:$C$40,Assumptions!$AL119,'TRA balance'!$D$5:$D$40,Assumptions!$AM119)),"")</f>
        <v>0</v>
      </c>
      <c r="BC119" s="34">
        <f>IFERROR(ABS(SUMIFS('TRA balance'!T$5:T$40,'TRA balance'!$C$5:$C$40,Assumptions!$AL119,'TRA balance'!$D$5:$D$40,Assumptions!$AM119)),"")</f>
        <v>0</v>
      </c>
      <c r="BD119" s="34">
        <f>IFERROR(ABS(SUMIFS('TRA balance'!U$5:U$40,'TRA balance'!$C$5:$C$40,Assumptions!$AL119,'TRA balance'!$D$5:$D$40,Assumptions!$AM119)),"")</f>
        <v>0</v>
      </c>
      <c r="BE119" s="34">
        <f>IFERROR(ABS(SUMIFS('TRA balance'!V$5:V$40,'TRA balance'!$C$5:$C$40,Assumptions!$AL119,'TRA balance'!$D$5:$D$40,Assumptions!$AM119)),"")</f>
        <v>0</v>
      </c>
      <c r="BF119" s="34">
        <f>IFERROR(ABS(SUMIFS('TRA balance'!W$5:W$40,'TRA balance'!$C$5:$C$40,Assumptions!$AL119,'TRA balance'!$D$5:$D$40,Assumptions!$AM119)),"")</f>
        <v>0</v>
      </c>
      <c r="BG119" s="34">
        <f>IFERROR(ABS(SUMIFS('TRA balance'!X$5:X$40,'TRA balance'!$C$5:$C$40,Assumptions!$AL119,'TRA balance'!$D$5:$D$40,Assumptions!$AM119)),"")</f>
        <v>0</v>
      </c>
      <c r="BH119" s="34">
        <f>IFERROR(ABS(SUMIFS('TRA balance'!Y$5:Y$40,'TRA balance'!$C$5:$C$40,Assumptions!$AL119,'TRA balance'!$D$5:$D$40,Assumptions!$AM119)),"")</f>
        <v>0</v>
      </c>
      <c r="BI119" s="34">
        <f>IFERROR(ABS(SUMIFS('TRA balance'!Z$5:Z$40,'TRA balance'!$C$5:$C$40,Assumptions!$AL119,'TRA balance'!$D$5:$D$40,Assumptions!$AM119)),"")</f>
        <v>0</v>
      </c>
      <c r="BJ119" s="34">
        <f>IFERROR(ABS(SUMIFS('TRA balance'!AA$5:AA$40,'TRA balance'!$C$5:$C$40,Assumptions!$AL119,'TRA balance'!$D$5:$D$40,Assumptions!$AM119)),"")</f>
        <v>0</v>
      </c>
      <c r="BK119" s="34">
        <f>IFERROR(ABS(SUMIFS('TRA balance'!AB$5:AB$40,'TRA balance'!$C$5:$C$40,Assumptions!$AL119,'TRA balance'!$D$5:$D$40,Assumptions!$AM119)),"")</f>
        <v>0</v>
      </c>
      <c r="BL119" s="34">
        <f>IFERROR(ABS(SUMIFS('TRA balance'!AC$5:AC$40,'TRA balance'!$C$5:$C$40,Assumptions!$AL119,'TRA balance'!$D$5:$D$40,Assumptions!$AM119)),"")</f>
        <v>0</v>
      </c>
      <c r="BM119" s="34">
        <f>IFERROR(ABS(SUMIFS('TRA balance'!AD$5:AD$40,'TRA balance'!$C$5:$C$40,Assumptions!$AL119,'TRA balance'!$D$5:$D$40,Assumptions!$AM119)),"")</f>
        <v>0</v>
      </c>
      <c r="BN119" s="34">
        <f>IFERROR(ABS(SUMIFS('TRA balance'!AE$5:AE$40,'TRA balance'!$C$5:$C$40,Assumptions!$AL119,'TRA balance'!$D$5:$D$40,Assumptions!$AM119)),"")</f>
        <v>0</v>
      </c>
      <c r="BO119" s="34">
        <f>IFERROR(ABS(SUMIFS('TRA balance'!AF$5:AF$40,'TRA balance'!$C$5:$C$40,Assumptions!$AL119,'TRA balance'!$D$5:$D$40,Assumptions!$AM119)),"")</f>
        <v>0</v>
      </c>
      <c r="BP119" s="34">
        <f>IFERROR(ABS(SUMIFS('TRA balance'!AG$5:AG$40,'TRA balance'!$C$5:$C$40,Assumptions!$AL119,'TRA balance'!$D$5:$D$40,Assumptions!$AM119)),"")</f>
        <v>0</v>
      </c>
      <c r="BQ119" s="34">
        <f>IFERROR(ABS(SUMIFS('TRA balance'!AH$5:AH$40,'TRA balance'!$C$5:$C$40,Assumptions!$AL119,'TRA balance'!$D$5:$D$40,Assumptions!$AM119)),"")</f>
        <v>0</v>
      </c>
      <c r="BR119" s="27"/>
    </row>
    <row r="120" spans="3:70" x14ac:dyDescent="0.45">
      <c r="C120" t="str">
        <f t="shared" si="241"/>
        <v>NGA</v>
      </c>
      <c r="D120" t="str">
        <f t="shared" si="240"/>
        <v>TRC</v>
      </c>
      <c r="E120" t="s">
        <v>126</v>
      </c>
      <c r="F120" s="1">
        <v>0.108</v>
      </c>
      <c r="G120" s="1">
        <v>0.108</v>
      </c>
      <c r="H120" s="1">
        <v>0.12</v>
      </c>
      <c r="I120" s="1">
        <v>0.108</v>
      </c>
      <c r="J120" s="1">
        <v>0.108</v>
      </c>
      <c r="K120" s="1">
        <v>0.108</v>
      </c>
      <c r="L120" s="1">
        <v>0.108</v>
      </c>
      <c r="M120" s="1">
        <v>0.108</v>
      </c>
      <c r="N120" s="1">
        <v>0.108</v>
      </c>
      <c r="O120" s="1">
        <v>0.105</v>
      </c>
      <c r="P120" s="1">
        <v>0.108</v>
      </c>
      <c r="Q120" s="1">
        <v>0.108</v>
      </c>
      <c r="R120" s="1">
        <v>0.105</v>
      </c>
      <c r="S120" s="1">
        <v>0.108</v>
      </c>
      <c r="T120" s="1">
        <v>0.108</v>
      </c>
      <c r="AL120" s="27" t="s">
        <v>21</v>
      </c>
      <c r="AM120" s="27" t="s">
        <v>39</v>
      </c>
      <c r="AN120" s="34">
        <f>IFERROR(ABS(SUMIFS('TRA balance'!E$5:E$40,'TRA balance'!$C$5:$C$40,Assumptions!$AL120,'TRA balance'!$D$5:$D$40,Assumptions!$AM120)),"")</f>
        <v>0</v>
      </c>
      <c r="AO120" s="34">
        <f>IFERROR(ABS(SUMIFS('TRA balance'!F$5:F$40,'TRA balance'!$C$5:$C$40,Assumptions!$AL120,'TRA balance'!$D$5:$D$40,Assumptions!$AM120)),"")</f>
        <v>0</v>
      </c>
      <c r="AP120" s="34">
        <f>IFERROR(ABS(SUMIFS('TRA balance'!G$5:G$40,'TRA balance'!$C$5:$C$40,Assumptions!$AL120,'TRA balance'!$D$5:$D$40,Assumptions!$AM120)),"")</f>
        <v>0</v>
      </c>
      <c r="AQ120" s="34">
        <f>IFERROR(ABS(SUMIFS('TRA balance'!H$5:H$40,'TRA balance'!$C$5:$C$40,Assumptions!$AL120,'TRA balance'!$D$5:$D$40,Assumptions!$AM120)),"")</f>
        <v>0</v>
      </c>
      <c r="AR120" s="34">
        <f>IFERROR(ABS(SUMIFS('TRA balance'!I$5:I$40,'TRA balance'!$C$5:$C$40,Assumptions!$AL120,'TRA balance'!$D$5:$D$40,Assumptions!$AM120)),"")</f>
        <v>0</v>
      </c>
      <c r="AS120" s="34">
        <f>IFERROR(ABS(SUMIFS('TRA balance'!J$5:J$40,'TRA balance'!$C$5:$C$40,Assumptions!$AL120,'TRA balance'!$D$5:$D$40,Assumptions!$AM120)),"")</f>
        <v>0</v>
      </c>
      <c r="AT120" s="34">
        <f>IFERROR(ABS(SUMIFS('TRA balance'!K$5:K$40,'TRA balance'!$C$5:$C$40,Assumptions!$AL120,'TRA balance'!$D$5:$D$40,Assumptions!$AM120)),"")</f>
        <v>0</v>
      </c>
      <c r="AU120" s="34">
        <f>IFERROR(ABS(SUMIFS('TRA balance'!L$5:L$40,'TRA balance'!$C$5:$C$40,Assumptions!$AL120,'TRA balance'!$D$5:$D$40,Assumptions!$AM120)),"")</f>
        <v>0</v>
      </c>
      <c r="AV120" s="34">
        <f>IFERROR(ABS(SUMIFS('TRA balance'!M$5:M$40,'TRA balance'!$C$5:$C$40,Assumptions!$AL120,'TRA balance'!$D$5:$D$40,Assumptions!$AM120)),"")</f>
        <v>0</v>
      </c>
      <c r="AW120" s="34">
        <f>IFERROR(ABS(SUMIFS('TRA balance'!N$5:N$40,'TRA balance'!$C$5:$C$40,Assumptions!$AL120,'TRA balance'!$D$5:$D$40,Assumptions!$AM120)),"")</f>
        <v>0</v>
      </c>
      <c r="AX120" s="34">
        <f>IFERROR(ABS(SUMIFS('TRA balance'!O$5:O$40,'TRA balance'!$C$5:$C$40,Assumptions!$AL120,'TRA balance'!$D$5:$D$40,Assumptions!$AM120)),"")</f>
        <v>0</v>
      </c>
      <c r="AY120" s="34">
        <f>IFERROR(ABS(SUMIFS('TRA balance'!P$5:P$40,'TRA balance'!$C$5:$C$40,Assumptions!$AL120,'TRA balance'!$D$5:$D$40,Assumptions!$AM120)),"")</f>
        <v>0</v>
      </c>
      <c r="AZ120" s="34">
        <f>IFERROR(ABS(SUMIFS('TRA balance'!Q$5:Q$40,'TRA balance'!$C$5:$C$40,Assumptions!$AL120,'TRA balance'!$D$5:$D$40,Assumptions!$AM120)),"")</f>
        <v>0</v>
      </c>
      <c r="BA120" s="34">
        <f>IFERROR(ABS(SUMIFS('TRA balance'!R$5:R$40,'TRA balance'!$C$5:$C$40,Assumptions!$AL120,'TRA balance'!$D$5:$D$40,Assumptions!$AM120)),"")</f>
        <v>0</v>
      </c>
      <c r="BB120" s="34">
        <f>IFERROR(ABS(SUMIFS('TRA balance'!S$5:S$40,'TRA balance'!$C$5:$C$40,Assumptions!$AL120,'TRA balance'!$D$5:$D$40,Assumptions!$AM120)),"")</f>
        <v>0</v>
      </c>
      <c r="BC120" s="34">
        <f>IFERROR(ABS(SUMIFS('TRA balance'!T$5:T$40,'TRA balance'!$C$5:$C$40,Assumptions!$AL120,'TRA balance'!$D$5:$D$40,Assumptions!$AM120)),"")</f>
        <v>0</v>
      </c>
      <c r="BD120" s="34">
        <f>IFERROR(ABS(SUMIFS('TRA balance'!U$5:U$40,'TRA balance'!$C$5:$C$40,Assumptions!$AL120,'TRA balance'!$D$5:$D$40,Assumptions!$AM120)),"")</f>
        <v>0</v>
      </c>
      <c r="BE120" s="34">
        <f>IFERROR(ABS(SUMIFS('TRA balance'!V$5:V$40,'TRA balance'!$C$5:$C$40,Assumptions!$AL120,'TRA balance'!$D$5:$D$40,Assumptions!$AM120)),"")</f>
        <v>0</v>
      </c>
      <c r="BF120" s="34">
        <f>IFERROR(ABS(SUMIFS('TRA balance'!W$5:W$40,'TRA balance'!$C$5:$C$40,Assumptions!$AL120,'TRA balance'!$D$5:$D$40,Assumptions!$AM120)),"")</f>
        <v>0</v>
      </c>
      <c r="BG120" s="34">
        <f>IFERROR(ABS(SUMIFS('TRA balance'!X$5:X$40,'TRA balance'!$C$5:$C$40,Assumptions!$AL120,'TRA balance'!$D$5:$D$40,Assumptions!$AM120)),"")</f>
        <v>0</v>
      </c>
      <c r="BH120" s="34">
        <f>IFERROR(ABS(SUMIFS('TRA balance'!Y$5:Y$40,'TRA balance'!$C$5:$C$40,Assumptions!$AL120,'TRA balance'!$D$5:$D$40,Assumptions!$AM120)),"")</f>
        <v>0</v>
      </c>
      <c r="BI120" s="34">
        <f>IFERROR(ABS(SUMIFS('TRA balance'!Z$5:Z$40,'TRA balance'!$C$5:$C$40,Assumptions!$AL120,'TRA balance'!$D$5:$D$40,Assumptions!$AM120)),"")</f>
        <v>0</v>
      </c>
      <c r="BJ120" s="34">
        <f>IFERROR(ABS(SUMIFS('TRA balance'!AA$5:AA$40,'TRA balance'!$C$5:$C$40,Assumptions!$AL120,'TRA balance'!$D$5:$D$40,Assumptions!$AM120)),"")</f>
        <v>0</v>
      </c>
      <c r="BK120" s="34">
        <f>IFERROR(ABS(SUMIFS('TRA balance'!AB$5:AB$40,'TRA balance'!$C$5:$C$40,Assumptions!$AL120,'TRA balance'!$D$5:$D$40,Assumptions!$AM120)),"")</f>
        <v>0</v>
      </c>
      <c r="BL120" s="34">
        <f>IFERROR(ABS(SUMIFS('TRA balance'!AC$5:AC$40,'TRA balance'!$C$5:$C$40,Assumptions!$AL120,'TRA balance'!$D$5:$D$40,Assumptions!$AM120)),"")</f>
        <v>0</v>
      </c>
      <c r="BM120" s="34">
        <f>IFERROR(ABS(SUMIFS('TRA balance'!AD$5:AD$40,'TRA balance'!$C$5:$C$40,Assumptions!$AL120,'TRA balance'!$D$5:$D$40,Assumptions!$AM120)),"")</f>
        <v>0</v>
      </c>
      <c r="BN120" s="34">
        <f>IFERROR(ABS(SUMIFS('TRA balance'!AE$5:AE$40,'TRA balance'!$C$5:$C$40,Assumptions!$AL120,'TRA balance'!$D$5:$D$40,Assumptions!$AM120)),"")</f>
        <v>0</v>
      </c>
      <c r="BO120" s="34">
        <f>IFERROR(ABS(SUMIFS('TRA balance'!AF$5:AF$40,'TRA balance'!$C$5:$C$40,Assumptions!$AL120,'TRA balance'!$D$5:$D$40,Assumptions!$AM120)),"")</f>
        <v>0</v>
      </c>
      <c r="BP120" s="34">
        <f>IFERROR(ABS(SUMIFS('TRA balance'!AG$5:AG$40,'TRA balance'!$C$5:$C$40,Assumptions!$AL120,'TRA balance'!$D$5:$D$40,Assumptions!$AM120)),"")</f>
        <v>0</v>
      </c>
      <c r="BQ120" s="34">
        <f>IFERROR(ABS(SUMIFS('TRA balance'!AH$5:AH$40,'TRA balance'!$C$5:$C$40,Assumptions!$AL120,'TRA balance'!$D$5:$D$40,Assumptions!$AM120)),"")</f>
        <v>0</v>
      </c>
      <c r="BR120" s="27"/>
    </row>
    <row r="121" spans="3:70" x14ac:dyDescent="0.45">
      <c r="C121" t="str">
        <f t="shared" si="241"/>
        <v>DST</v>
      </c>
      <c r="D121" t="str">
        <f t="shared" si="240"/>
        <v>TRE</v>
      </c>
      <c r="E121" t="s">
        <v>129</v>
      </c>
      <c r="F121" s="1">
        <v>0.28000000000000003</v>
      </c>
      <c r="G121" s="1">
        <v>0.28000000000000003</v>
      </c>
      <c r="H121" s="1">
        <v>0.28000000000000003</v>
      </c>
      <c r="I121" s="1">
        <v>0.28000000000000003</v>
      </c>
      <c r="J121" s="1">
        <v>0.28000000000000003</v>
      </c>
      <c r="K121" s="1">
        <v>0.28000000000000003</v>
      </c>
      <c r="L121" s="1">
        <v>0.28000000000000003</v>
      </c>
      <c r="M121" s="1">
        <v>0.28000000000000003</v>
      </c>
      <c r="N121" s="1">
        <v>0.28000000000000003</v>
      </c>
      <c r="O121" s="1">
        <v>0.28000000000000003</v>
      </c>
      <c r="P121" s="1">
        <v>0.28000000000000003</v>
      </c>
      <c r="Q121" s="1">
        <v>0.28000000000000003</v>
      </c>
      <c r="R121" s="1">
        <v>0.28000000000000003</v>
      </c>
      <c r="S121" s="1">
        <v>0.28000000000000003</v>
      </c>
      <c r="T121" s="1">
        <v>0.28000000000000003</v>
      </c>
      <c r="AL121" s="27" t="s">
        <v>21</v>
      </c>
      <c r="AM121" s="27" t="s">
        <v>38</v>
      </c>
      <c r="AN121" s="34">
        <f>IFERROR(ABS(SUMIFS('TRA balance'!E$5:E$40,'TRA balance'!$C$5:$C$40,Assumptions!$AL121,'TRA balance'!$D$5:$D$40,Assumptions!$AM121)),"")</f>
        <v>0</v>
      </c>
      <c r="AO121" s="34">
        <f>IFERROR(ABS(SUMIFS('TRA balance'!F$5:F$40,'TRA balance'!$C$5:$C$40,Assumptions!$AL121,'TRA balance'!$D$5:$D$40,Assumptions!$AM121)),"")</f>
        <v>0</v>
      </c>
      <c r="AP121" s="34">
        <f>IFERROR(ABS(SUMIFS('TRA balance'!G$5:G$40,'TRA balance'!$C$5:$C$40,Assumptions!$AL121,'TRA balance'!$D$5:$D$40,Assumptions!$AM121)),"")</f>
        <v>0</v>
      </c>
      <c r="AQ121" s="34">
        <f>IFERROR(ABS(SUMIFS('TRA balance'!H$5:H$40,'TRA balance'!$C$5:$C$40,Assumptions!$AL121,'TRA balance'!$D$5:$D$40,Assumptions!$AM121)),"")</f>
        <v>0</v>
      </c>
      <c r="AR121" s="34">
        <f>IFERROR(ABS(SUMIFS('TRA balance'!I$5:I$40,'TRA balance'!$C$5:$C$40,Assumptions!$AL121,'TRA balance'!$D$5:$D$40,Assumptions!$AM121)),"")</f>
        <v>0</v>
      </c>
      <c r="AS121" s="34">
        <f>IFERROR(ABS(SUMIFS('TRA balance'!J$5:J$40,'TRA balance'!$C$5:$C$40,Assumptions!$AL121,'TRA balance'!$D$5:$D$40,Assumptions!$AM121)),"")</f>
        <v>0</v>
      </c>
      <c r="AT121" s="34">
        <f>IFERROR(ABS(SUMIFS('TRA balance'!K$5:K$40,'TRA balance'!$C$5:$C$40,Assumptions!$AL121,'TRA balance'!$D$5:$D$40,Assumptions!$AM121)),"")</f>
        <v>0</v>
      </c>
      <c r="AU121" s="34">
        <f>IFERROR(ABS(SUMIFS('TRA balance'!L$5:L$40,'TRA balance'!$C$5:$C$40,Assumptions!$AL121,'TRA balance'!$D$5:$D$40,Assumptions!$AM121)),"")</f>
        <v>0</v>
      </c>
      <c r="AV121" s="34">
        <f>IFERROR(ABS(SUMIFS('TRA balance'!M$5:M$40,'TRA balance'!$C$5:$C$40,Assumptions!$AL121,'TRA balance'!$D$5:$D$40,Assumptions!$AM121)),"")</f>
        <v>0</v>
      </c>
      <c r="AW121" s="34">
        <f>IFERROR(ABS(SUMIFS('TRA balance'!N$5:N$40,'TRA balance'!$C$5:$C$40,Assumptions!$AL121,'TRA balance'!$D$5:$D$40,Assumptions!$AM121)),"")</f>
        <v>0</v>
      </c>
      <c r="AX121" s="34">
        <f>IFERROR(ABS(SUMIFS('TRA balance'!O$5:O$40,'TRA balance'!$C$5:$C$40,Assumptions!$AL121,'TRA balance'!$D$5:$D$40,Assumptions!$AM121)),"")</f>
        <v>0</v>
      </c>
      <c r="AY121" s="34">
        <f>IFERROR(ABS(SUMIFS('TRA balance'!P$5:P$40,'TRA balance'!$C$5:$C$40,Assumptions!$AL121,'TRA balance'!$D$5:$D$40,Assumptions!$AM121)),"")</f>
        <v>0</v>
      </c>
      <c r="AZ121" s="34">
        <f>IFERROR(ABS(SUMIFS('TRA balance'!Q$5:Q$40,'TRA balance'!$C$5:$C$40,Assumptions!$AL121,'TRA balance'!$D$5:$D$40,Assumptions!$AM121)),"")</f>
        <v>0</v>
      </c>
      <c r="BA121" s="34">
        <f>IFERROR(ABS(SUMIFS('TRA balance'!R$5:R$40,'TRA balance'!$C$5:$C$40,Assumptions!$AL121,'TRA balance'!$D$5:$D$40,Assumptions!$AM121)),"")</f>
        <v>0</v>
      </c>
      <c r="BB121" s="34">
        <f>IFERROR(ABS(SUMIFS('TRA balance'!S$5:S$40,'TRA balance'!$C$5:$C$40,Assumptions!$AL121,'TRA balance'!$D$5:$D$40,Assumptions!$AM121)),"")</f>
        <v>0</v>
      </c>
      <c r="BC121" s="34">
        <f>IFERROR(ABS(SUMIFS('TRA balance'!T$5:T$40,'TRA balance'!$C$5:$C$40,Assumptions!$AL121,'TRA balance'!$D$5:$D$40,Assumptions!$AM121)),"")</f>
        <v>0</v>
      </c>
      <c r="BD121" s="34">
        <f>IFERROR(ABS(SUMIFS('TRA balance'!U$5:U$40,'TRA balance'!$C$5:$C$40,Assumptions!$AL121,'TRA balance'!$D$5:$D$40,Assumptions!$AM121)),"")</f>
        <v>0</v>
      </c>
      <c r="BE121" s="34">
        <f>IFERROR(ABS(SUMIFS('TRA balance'!V$5:V$40,'TRA balance'!$C$5:$C$40,Assumptions!$AL121,'TRA balance'!$D$5:$D$40,Assumptions!$AM121)),"")</f>
        <v>0</v>
      </c>
      <c r="BF121" s="34">
        <f>IFERROR(ABS(SUMIFS('TRA balance'!W$5:W$40,'TRA balance'!$C$5:$C$40,Assumptions!$AL121,'TRA balance'!$D$5:$D$40,Assumptions!$AM121)),"")</f>
        <v>0</v>
      </c>
      <c r="BG121" s="34">
        <f>IFERROR(ABS(SUMIFS('TRA balance'!X$5:X$40,'TRA balance'!$C$5:$C$40,Assumptions!$AL121,'TRA balance'!$D$5:$D$40,Assumptions!$AM121)),"")</f>
        <v>0</v>
      </c>
      <c r="BH121" s="34">
        <f>IFERROR(ABS(SUMIFS('TRA balance'!Y$5:Y$40,'TRA balance'!$C$5:$C$40,Assumptions!$AL121,'TRA balance'!$D$5:$D$40,Assumptions!$AM121)),"")</f>
        <v>0</v>
      </c>
      <c r="BI121" s="34">
        <f>IFERROR(ABS(SUMIFS('TRA balance'!Z$5:Z$40,'TRA balance'!$C$5:$C$40,Assumptions!$AL121,'TRA balance'!$D$5:$D$40,Assumptions!$AM121)),"")</f>
        <v>0</v>
      </c>
      <c r="BJ121" s="34">
        <f>IFERROR(ABS(SUMIFS('TRA balance'!AA$5:AA$40,'TRA balance'!$C$5:$C$40,Assumptions!$AL121,'TRA balance'!$D$5:$D$40,Assumptions!$AM121)),"")</f>
        <v>0</v>
      </c>
      <c r="BK121" s="34">
        <f>IFERROR(ABS(SUMIFS('TRA balance'!AB$5:AB$40,'TRA balance'!$C$5:$C$40,Assumptions!$AL121,'TRA balance'!$D$5:$D$40,Assumptions!$AM121)),"")</f>
        <v>3.1542220764</v>
      </c>
      <c r="BL121" s="34">
        <f>IFERROR(ABS(SUMIFS('TRA balance'!AC$5:AC$40,'TRA balance'!$C$5:$C$40,Assumptions!$AL121,'TRA balance'!$D$5:$D$40,Assumptions!$AM121)),"")</f>
        <v>0</v>
      </c>
      <c r="BM121" s="34">
        <f>IFERROR(ABS(SUMIFS('TRA balance'!AD$5:AD$40,'TRA balance'!$C$5:$C$40,Assumptions!$AL121,'TRA balance'!$D$5:$D$40,Assumptions!$AM121)),"")</f>
        <v>0</v>
      </c>
      <c r="BN121" s="34">
        <f>IFERROR(ABS(SUMIFS('TRA balance'!AE$5:AE$40,'TRA balance'!$C$5:$C$40,Assumptions!$AL121,'TRA balance'!$D$5:$D$40,Assumptions!$AM121)),"")</f>
        <v>0</v>
      </c>
      <c r="BO121" s="34">
        <f>IFERROR(ABS(SUMIFS('TRA balance'!AF$5:AF$40,'TRA balance'!$C$5:$C$40,Assumptions!$AL121,'TRA balance'!$D$5:$D$40,Assumptions!$AM121)),"")</f>
        <v>0</v>
      </c>
      <c r="BP121" s="34">
        <f>IFERROR(ABS(SUMIFS('TRA balance'!AG$5:AG$40,'TRA balance'!$C$5:$C$40,Assumptions!$AL121,'TRA balance'!$D$5:$D$40,Assumptions!$AM121)),"")</f>
        <v>0</v>
      </c>
      <c r="BQ121" s="34">
        <f>IFERROR(ABS(SUMIFS('TRA balance'!AH$5:AH$40,'TRA balance'!$C$5:$C$40,Assumptions!$AL121,'TRA balance'!$D$5:$D$40,Assumptions!$AM121)),"")</f>
        <v>0</v>
      </c>
      <c r="BR121" s="27"/>
    </row>
    <row r="122" spans="3:70" x14ac:dyDescent="0.45">
      <c r="C122" t="str">
        <f t="shared" si="241"/>
        <v>GSL</v>
      </c>
      <c r="D122" t="str">
        <f t="shared" si="240"/>
        <v>TRE</v>
      </c>
      <c r="E122" t="s">
        <v>130</v>
      </c>
      <c r="F122" s="1">
        <v>0.35</v>
      </c>
      <c r="G122" s="1">
        <v>0.35</v>
      </c>
      <c r="H122" s="1">
        <v>0.35</v>
      </c>
      <c r="I122" s="1">
        <v>0.35</v>
      </c>
      <c r="J122" s="1">
        <v>0.35</v>
      </c>
      <c r="K122" s="1">
        <v>0.35</v>
      </c>
      <c r="L122" s="1">
        <v>0.35</v>
      </c>
      <c r="M122" s="1">
        <v>0.35</v>
      </c>
      <c r="N122" s="1">
        <v>0.35</v>
      </c>
      <c r="O122" s="1">
        <v>0.35</v>
      </c>
      <c r="P122" s="1">
        <v>0.35</v>
      </c>
      <c r="Q122" s="1">
        <v>0.35</v>
      </c>
      <c r="R122" s="1">
        <v>0.35</v>
      </c>
      <c r="S122" s="1">
        <v>0.35</v>
      </c>
      <c r="T122" s="1">
        <v>0.35</v>
      </c>
      <c r="AL122" s="27" t="s">
        <v>22</v>
      </c>
      <c r="AM122" s="27" t="s">
        <v>32</v>
      </c>
      <c r="AN122" s="34">
        <f>IFERROR(ABS(SUMIFS('TRA balance'!E$5:E$40,'TRA balance'!$C$5:$C$40,Assumptions!$AL122,'TRA balance'!$D$5:$D$40,Assumptions!$AM122)),"")</f>
        <v>0</v>
      </c>
      <c r="AO122" s="34">
        <f>IFERROR(ABS(SUMIFS('TRA balance'!F$5:F$40,'TRA balance'!$C$5:$C$40,Assumptions!$AL122,'TRA balance'!$D$5:$D$40,Assumptions!$AM122)),"")</f>
        <v>0</v>
      </c>
      <c r="AP122" s="34">
        <f>IFERROR(ABS(SUMIFS('TRA balance'!G$5:G$40,'TRA balance'!$C$5:$C$40,Assumptions!$AL122,'TRA balance'!$D$5:$D$40,Assumptions!$AM122)),"")</f>
        <v>0</v>
      </c>
      <c r="AQ122" s="34">
        <f>IFERROR(ABS(SUMIFS('TRA balance'!H$5:H$40,'TRA balance'!$C$5:$C$40,Assumptions!$AL122,'TRA balance'!$D$5:$D$40,Assumptions!$AM122)),"")</f>
        <v>0</v>
      </c>
      <c r="AR122" s="34">
        <f>IFERROR(ABS(SUMIFS('TRA balance'!I$5:I$40,'TRA balance'!$C$5:$C$40,Assumptions!$AL122,'TRA balance'!$D$5:$D$40,Assumptions!$AM122)),"")</f>
        <v>0</v>
      </c>
      <c r="AS122" s="34">
        <f>IFERROR(ABS(SUMIFS('TRA balance'!J$5:J$40,'TRA balance'!$C$5:$C$40,Assumptions!$AL122,'TRA balance'!$D$5:$D$40,Assumptions!$AM122)),"")</f>
        <v>0</v>
      </c>
      <c r="AT122" s="34">
        <f>IFERROR(ABS(SUMIFS('TRA balance'!K$5:K$40,'TRA balance'!$C$5:$C$40,Assumptions!$AL122,'TRA balance'!$D$5:$D$40,Assumptions!$AM122)),"")</f>
        <v>0</v>
      </c>
      <c r="AU122" s="34">
        <f>IFERROR(ABS(SUMIFS('TRA balance'!L$5:L$40,'TRA balance'!$C$5:$C$40,Assumptions!$AL122,'TRA balance'!$D$5:$D$40,Assumptions!$AM122)),"")</f>
        <v>0</v>
      </c>
      <c r="AV122" s="34">
        <f>IFERROR(ABS(SUMIFS('TRA balance'!M$5:M$40,'TRA balance'!$C$5:$C$40,Assumptions!$AL122,'TRA balance'!$D$5:$D$40,Assumptions!$AM122)),"")</f>
        <v>0</v>
      </c>
      <c r="AW122" s="34">
        <f>IFERROR(ABS(SUMIFS('TRA balance'!N$5:N$40,'TRA balance'!$C$5:$C$40,Assumptions!$AL122,'TRA balance'!$D$5:$D$40,Assumptions!$AM122)),"")</f>
        <v>0</v>
      </c>
      <c r="AX122" s="34">
        <f>IFERROR(ABS(SUMIFS('TRA balance'!O$5:O$40,'TRA balance'!$C$5:$C$40,Assumptions!$AL122,'TRA balance'!$D$5:$D$40,Assumptions!$AM122)),"")</f>
        <v>0</v>
      </c>
      <c r="AY122" s="34">
        <f>IFERROR(ABS(SUMIFS('TRA balance'!P$5:P$40,'TRA balance'!$C$5:$C$40,Assumptions!$AL122,'TRA balance'!$D$5:$D$40,Assumptions!$AM122)),"")</f>
        <v>0</v>
      </c>
      <c r="AZ122" s="34">
        <f>IFERROR(ABS(SUMIFS('TRA balance'!Q$5:Q$40,'TRA balance'!$C$5:$C$40,Assumptions!$AL122,'TRA balance'!$D$5:$D$40,Assumptions!$AM122)),"")</f>
        <v>1.9816836155999999</v>
      </c>
      <c r="BA122" s="34">
        <f>IFERROR(ABS(SUMIFS('TRA balance'!R$5:R$40,'TRA balance'!$C$5:$C$40,Assumptions!$AL122,'TRA balance'!$D$5:$D$40,Assumptions!$AM122)),"")</f>
        <v>1.5449292000000001E-3</v>
      </c>
      <c r="BB122" s="34">
        <f>IFERROR(ABS(SUMIFS('TRA balance'!S$5:S$40,'TRA balance'!$C$5:$C$40,Assumptions!$AL122,'TRA balance'!$D$5:$D$40,Assumptions!$AM122)),"")</f>
        <v>0</v>
      </c>
      <c r="BC122" s="34">
        <f>IFERROR(ABS(SUMIFS('TRA balance'!T$5:T$40,'TRA balance'!$C$5:$C$40,Assumptions!$AL122,'TRA balance'!$D$5:$D$40,Assumptions!$AM122)),"")</f>
        <v>0</v>
      </c>
      <c r="BD122" s="34">
        <f>IFERROR(ABS(SUMIFS('TRA balance'!U$5:U$40,'TRA balance'!$C$5:$C$40,Assumptions!$AL122,'TRA balance'!$D$5:$D$40,Assumptions!$AM122)),"")</f>
        <v>0</v>
      </c>
      <c r="BE122" s="34">
        <f>IFERROR(ABS(SUMIFS('TRA balance'!V$5:V$40,'TRA balance'!$C$5:$C$40,Assumptions!$AL122,'TRA balance'!$D$5:$D$40,Assumptions!$AM122)),"")</f>
        <v>0</v>
      </c>
      <c r="BF122" s="34">
        <f>IFERROR(ABS(SUMIFS('TRA balance'!W$5:W$40,'TRA balance'!$C$5:$C$40,Assumptions!$AL122,'TRA balance'!$D$5:$D$40,Assumptions!$AM122)),"")</f>
        <v>0</v>
      </c>
      <c r="BG122" s="34">
        <f>IFERROR(ABS(SUMIFS('TRA balance'!X$5:X$40,'TRA balance'!$C$5:$C$40,Assumptions!$AL122,'TRA balance'!$D$5:$D$40,Assumptions!$AM122)),"")</f>
        <v>0</v>
      </c>
      <c r="BH122" s="34">
        <f>IFERROR(ABS(SUMIFS('TRA balance'!Y$5:Y$40,'TRA balance'!$C$5:$C$40,Assumptions!$AL122,'TRA balance'!$D$5:$D$40,Assumptions!$AM122)),"")</f>
        <v>0</v>
      </c>
      <c r="BI122" s="34">
        <f>IFERROR(ABS(SUMIFS('TRA balance'!Z$5:Z$40,'TRA balance'!$C$5:$C$40,Assumptions!$AL122,'TRA balance'!$D$5:$D$40,Assumptions!$AM122)),"")</f>
        <v>0</v>
      </c>
      <c r="BJ122" s="34">
        <f>IFERROR(ABS(SUMIFS('TRA balance'!AA$5:AA$40,'TRA balance'!$C$5:$C$40,Assumptions!$AL122,'TRA balance'!$D$5:$D$40,Assumptions!$AM122)),"")</f>
        <v>0</v>
      </c>
      <c r="BK122" s="34">
        <f>IFERROR(ABS(SUMIFS('TRA balance'!AB$5:AB$40,'TRA balance'!$C$5:$C$40,Assumptions!$AL122,'TRA balance'!$D$5:$D$40,Assumptions!$AM122)),"")</f>
        <v>0</v>
      </c>
      <c r="BL122" s="34">
        <f>IFERROR(ABS(SUMIFS('TRA balance'!AC$5:AC$40,'TRA balance'!$C$5:$C$40,Assumptions!$AL122,'TRA balance'!$D$5:$D$40,Assumptions!$AM122)),"")</f>
        <v>0</v>
      </c>
      <c r="BM122" s="34">
        <f>IFERROR(ABS(SUMIFS('TRA balance'!AD$5:AD$40,'TRA balance'!$C$5:$C$40,Assumptions!$AL122,'TRA balance'!$D$5:$D$40,Assumptions!$AM122)),"")</f>
        <v>0</v>
      </c>
      <c r="BN122" s="34">
        <f>IFERROR(ABS(SUMIFS('TRA balance'!AE$5:AE$40,'TRA balance'!$C$5:$C$40,Assumptions!$AL122,'TRA balance'!$D$5:$D$40,Assumptions!$AM122)),"")</f>
        <v>0</v>
      </c>
      <c r="BO122" s="34">
        <f>IFERROR(ABS(SUMIFS('TRA balance'!AF$5:AF$40,'TRA balance'!$C$5:$C$40,Assumptions!$AL122,'TRA balance'!$D$5:$D$40,Assumptions!$AM122)),"")</f>
        <v>0</v>
      </c>
      <c r="BP122" s="34">
        <f>IFERROR(ABS(SUMIFS('TRA balance'!AG$5:AG$40,'TRA balance'!$C$5:$C$40,Assumptions!$AL122,'TRA balance'!$D$5:$D$40,Assumptions!$AM122)),"")</f>
        <v>8.5687467480000006</v>
      </c>
      <c r="BQ122" s="34">
        <f>IFERROR(ABS(SUMIFS('TRA balance'!AH$5:AH$40,'TRA balance'!$C$5:$C$40,Assumptions!$AL122,'TRA balance'!$D$5:$D$40,Assumptions!$AM122)),"")</f>
        <v>0</v>
      </c>
      <c r="BR122" s="27"/>
    </row>
    <row r="123" spans="3:70" x14ac:dyDescent="0.45">
      <c r="C123" t="str">
        <f t="shared" si="241"/>
        <v>DST</v>
      </c>
      <c r="D123" t="str">
        <f t="shared" si="240"/>
        <v>TRH</v>
      </c>
      <c r="E123" t="s">
        <v>109</v>
      </c>
      <c r="F123" s="1">
        <v>5.1999999999999998E-2</v>
      </c>
      <c r="G123" s="1">
        <v>5.8500000000000003E-2</v>
      </c>
      <c r="H123" s="1">
        <v>6.1425E-2</v>
      </c>
      <c r="I123" s="1">
        <v>4.5499999999999999E-2</v>
      </c>
      <c r="J123" s="1">
        <v>5.525E-2</v>
      </c>
      <c r="K123" s="1">
        <v>5.525E-2</v>
      </c>
      <c r="L123" s="1">
        <v>5.525E-2</v>
      </c>
      <c r="M123" s="1">
        <v>5.1999999999999998E-2</v>
      </c>
      <c r="N123" s="1">
        <v>5.8500000000000003E-2</v>
      </c>
      <c r="O123" s="1">
        <v>5.8500000000000003E-2</v>
      </c>
      <c r="P123" s="1">
        <v>5.525E-2</v>
      </c>
      <c r="Q123" s="1">
        <v>5.1999999999999998E-2</v>
      </c>
      <c r="R123" s="1">
        <v>5.7200000000000001E-2</v>
      </c>
      <c r="S123" s="1">
        <v>5.8500000000000003E-2</v>
      </c>
      <c r="T123" s="1">
        <v>5.8500000000000003E-2</v>
      </c>
      <c r="AL123" s="27" t="s">
        <v>22</v>
      </c>
      <c r="AM123" s="27" t="s">
        <v>41</v>
      </c>
      <c r="AN123" s="34">
        <f>IFERROR(ABS(SUMIFS('TRA balance'!E$5:E$40,'TRA balance'!$C$5:$C$40,Assumptions!$AL123,'TRA balance'!$D$5:$D$40,Assumptions!$AM123)),"")</f>
        <v>9.1431003456000006</v>
      </c>
      <c r="AO123" s="34">
        <f>IFERROR(ABS(SUMIFS('TRA balance'!F$5:F$40,'TRA balance'!$C$5:$C$40,Assumptions!$AL123,'TRA balance'!$D$5:$D$40,Assumptions!$AM123)),"")</f>
        <v>35.018964604799997</v>
      </c>
      <c r="AP123" s="34">
        <f>IFERROR(ABS(SUMIFS('TRA balance'!G$5:G$40,'TRA balance'!$C$5:$C$40,Assumptions!$AL123,'TRA balance'!$D$5:$D$40,Assumptions!$AM123)),"")</f>
        <v>3.3965415000000001</v>
      </c>
      <c r="AQ123" s="34">
        <f>IFERROR(ABS(SUMIFS('TRA balance'!H$5:H$40,'TRA balance'!$C$5:$C$40,Assumptions!$AL123,'TRA balance'!$D$5:$D$40,Assumptions!$AM123)),"")</f>
        <v>1.4358128184000001</v>
      </c>
      <c r="AR123" s="34">
        <f>IFERROR(ABS(SUMIFS('TRA balance'!I$5:I$40,'TRA balance'!$C$5:$C$40,Assumptions!$AL123,'TRA balance'!$D$5:$D$40,Assumptions!$AM123)),"")</f>
        <v>67.518656287200002</v>
      </c>
      <c r="AS123" s="34">
        <f>IFERROR(ABS(SUMIFS('TRA balance'!J$5:J$40,'TRA balance'!$C$5:$C$40,Assumptions!$AL123,'TRA balance'!$D$5:$D$40,Assumptions!$AM123)),"")</f>
        <v>196.70221956239999</v>
      </c>
      <c r="AT123" s="34">
        <f>IFERROR(ABS(SUMIFS('TRA balance'!K$5:K$40,'TRA balance'!$C$5:$C$40,Assumptions!$AL123,'TRA balance'!$D$5:$D$40,Assumptions!$AM123)),"")</f>
        <v>5.1881695164000003</v>
      </c>
      <c r="AU123" s="34">
        <f>IFERROR(ABS(SUMIFS('TRA balance'!L$5:L$40,'TRA balance'!$C$5:$C$40,Assumptions!$AL123,'TRA balance'!$D$5:$D$40,Assumptions!$AM123)),"")</f>
        <v>19.718090478000001</v>
      </c>
      <c r="AV123" s="34">
        <f>IFERROR(ABS(SUMIFS('TRA balance'!M$5:M$40,'TRA balance'!$C$5:$C$40,Assumptions!$AL123,'TRA balance'!$D$5:$D$40,Assumptions!$AM123)),"")</f>
        <v>4.6860005376</v>
      </c>
      <c r="AW123" s="34">
        <f>IFERROR(ABS(SUMIFS('TRA balance'!N$5:N$40,'TRA balance'!$C$5:$C$40,Assumptions!$AL123,'TRA balance'!$D$5:$D$40,Assumptions!$AM123)),"")</f>
        <v>177.87757545720001</v>
      </c>
      <c r="AX123" s="34">
        <f>IFERROR(ABS(SUMIFS('TRA balance'!O$5:O$40,'TRA balance'!$C$5:$C$40,Assumptions!$AL123,'TRA balance'!$D$5:$D$40,Assumptions!$AM123)),"")</f>
        <v>38.849790308400003</v>
      </c>
      <c r="AY123" s="34">
        <f>IFERROR(ABS(SUMIFS('TRA balance'!P$5:P$40,'TRA balance'!$C$5:$C$40,Assumptions!$AL123,'TRA balance'!$D$5:$D$40,Assumptions!$AM123)),"")</f>
        <v>25.3862347464</v>
      </c>
      <c r="AZ123" s="34">
        <f>IFERROR(ABS(SUMIFS('TRA balance'!Q$5:Q$40,'TRA balance'!$C$5:$C$40,Assumptions!$AL123,'TRA balance'!$D$5:$D$40,Assumptions!$AM123)),"")</f>
        <v>138.48621419520001</v>
      </c>
      <c r="BA123" s="34">
        <f>IFERROR(ABS(SUMIFS('TRA balance'!R$5:R$40,'TRA balance'!$C$5:$C$40,Assumptions!$AL123,'TRA balance'!$D$5:$D$40,Assumptions!$AM123)),"")</f>
        <v>59.697609217199997</v>
      </c>
      <c r="BB123" s="34">
        <f>IFERROR(ABS(SUMIFS('TRA balance'!S$5:S$40,'TRA balance'!$C$5:$C$40,Assumptions!$AL123,'TRA balance'!$D$5:$D$40,Assumptions!$AM123)),"")</f>
        <v>5.9606341163999996</v>
      </c>
      <c r="BC123" s="34">
        <f>IFERROR(ABS(SUMIFS('TRA balance'!T$5:T$40,'TRA balance'!$C$5:$C$40,Assumptions!$AL123,'TRA balance'!$D$5:$D$40,Assumptions!$AM123)),"")</f>
        <v>74.435618325600004</v>
      </c>
      <c r="BD123" s="34">
        <f>IFERROR(ABS(SUMIFS('TRA balance'!U$5:U$40,'TRA balance'!$C$5:$C$40,Assumptions!$AL123,'TRA balance'!$D$5:$D$40,Assumptions!$AM123)),"")</f>
        <v>8.3002975055999997</v>
      </c>
      <c r="BE123" s="34">
        <f>IFERROR(ABS(SUMIFS('TRA balance'!V$5:V$40,'TRA balance'!$C$5:$C$40,Assumptions!$AL123,'TRA balance'!$D$5:$D$40,Assumptions!$AM123)),"")</f>
        <v>5.9298778835999997</v>
      </c>
      <c r="BF123" s="34">
        <f>IFERROR(ABS(SUMIFS('TRA balance'!W$5:W$40,'TRA balance'!$C$5:$C$40,Assumptions!$AL123,'TRA balance'!$D$5:$D$40,Assumptions!$AM123)),"")</f>
        <v>30.075601471199999</v>
      </c>
      <c r="BG123" s="34">
        <f>IFERROR(ABS(SUMIFS('TRA balance'!X$5:X$40,'TRA balance'!$C$5:$C$40,Assumptions!$AL123,'TRA balance'!$D$5:$D$40,Assumptions!$AM123)),"")</f>
        <v>2.3815020815999999</v>
      </c>
      <c r="BH123" s="34">
        <f>IFERROR(ABS(SUMIFS('TRA balance'!Y$5:Y$40,'TRA balance'!$C$5:$C$40,Assumptions!$AL123,'TRA balance'!$D$5:$D$40,Assumptions!$AM123)),"")</f>
        <v>65.907060670800007</v>
      </c>
      <c r="BI123" s="34">
        <f>IFERROR(ABS(SUMIFS('TRA balance'!Z$5:Z$40,'TRA balance'!$C$5:$C$40,Assumptions!$AL123,'TRA balance'!$D$5:$D$40,Assumptions!$AM123)),"")</f>
        <v>30.033000781199998</v>
      </c>
      <c r="BJ123" s="34">
        <f>IFERROR(ABS(SUMIFS('TRA balance'!AA$5:AA$40,'TRA balance'!$C$5:$C$40,Assumptions!$AL123,'TRA balance'!$D$5:$D$40,Assumptions!$AM123)),"")</f>
        <v>35.604873770399998</v>
      </c>
      <c r="BK123" s="34">
        <f>IFERROR(ABS(SUMIFS('TRA balance'!AB$5:AB$40,'TRA balance'!$C$5:$C$40,Assumptions!$AL123,'TRA balance'!$D$5:$D$40,Assumptions!$AM123)),"")</f>
        <v>12.075819768000001</v>
      </c>
      <c r="BL123" s="34">
        <f>IFERROR(ABS(SUMIFS('TRA balance'!AC$5:AC$40,'TRA balance'!$C$5:$C$40,Assumptions!$AL123,'TRA balance'!$D$5:$D$40,Assumptions!$AM123)),"")</f>
        <v>364.01444290080002</v>
      </c>
      <c r="BM123" s="34">
        <f>IFERROR(ABS(SUMIFS('TRA balance'!AD$5:AD$40,'TRA balance'!$C$5:$C$40,Assumptions!$AL123,'TRA balance'!$D$5:$D$40,Assumptions!$AM123)),"")</f>
        <v>0</v>
      </c>
      <c r="BN123" s="34">
        <f>IFERROR(ABS(SUMIFS('TRA balance'!AE$5:AE$40,'TRA balance'!$C$5:$C$40,Assumptions!$AL123,'TRA balance'!$D$5:$D$40,Assumptions!$AM123)),"")</f>
        <v>68.675029513200002</v>
      </c>
      <c r="BO123" s="34">
        <f>IFERROR(ABS(SUMIFS('TRA balance'!AF$5:AF$40,'TRA balance'!$C$5:$C$40,Assumptions!$AL123,'TRA balance'!$D$5:$D$40,Assumptions!$AM123)),"")</f>
        <v>87.642087620400005</v>
      </c>
      <c r="BP123" s="34">
        <f>IFERROR(ABS(SUMIFS('TRA balance'!AG$5:AG$40,'TRA balance'!$C$5:$C$40,Assumptions!$AL123,'TRA balance'!$D$5:$D$40,Assumptions!$AM123)),"")</f>
        <v>427.02095133360001</v>
      </c>
      <c r="BQ123" s="34">
        <f>IFERROR(ABS(SUMIFS('TRA balance'!AH$5:AH$40,'TRA balance'!$C$5:$C$40,Assumptions!$AL123,'TRA balance'!$D$5:$D$40,Assumptions!$AM123)),"")</f>
        <v>0</v>
      </c>
      <c r="BR123" s="27"/>
    </row>
    <row r="124" spans="3:70" x14ac:dyDescent="0.45">
      <c r="C124" t="str">
        <f t="shared" si="241"/>
        <v>ETH</v>
      </c>
      <c r="D124" t="str">
        <f t="shared" si="240"/>
        <v>TRH</v>
      </c>
      <c r="E124" t="s">
        <v>110</v>
      </c>
      <c r="F124" s="1">
        <v>4.6399999999999997E-2</v>
      </c>
      <c r="G124" s="1">
        <v>5.2200000000000003E-2</v>
      </c>
      <c r="H124" s="1">
        <v>5.4809999999999998E-2</v>
      </c>
      <c r="I124" s="1">
        <v>4.0599999999999997E-2</v>
      </c>
      <c r="J124" s="1">
        <v>4.9299999999999997E-2</v>
      </c>
      <c r="K124" s="1">
        <v>4.9299999999999997E-2</v>
      </c>
      <c r="L124" s="1">
        <v>4.9299999999999997E-2</v>
      </c>
      <c r="M124" s="1">
        <v>4.6399999999999997E-2</v>
      </c>
      <c r="N124" s="1">
        <v>5.2200000000000003E-2</v>
      </c>
      <c r="O124" s="1">
        <v>5.2200000000000003E-2</v>
      </c>
      <c r="P124" s="1">
        <v>4.9299999999999997E-2</v>
      </c>
      <c r="Q124" s="1">
        <v>4.6399999999999997E-2</v>
      </c>
      <c r="R124" s="1">
        <v>5.1040000000000002E-2</v>
      </c>
      <c r="S124" s="1">
        <v>5.2200000000000003E-2</v>
      </c>
      <c r="T124" s="1">
        <v>5.2200000000000003E-2</v>
      </c>
      <c r="AL124" s="27" t="s">
        <v>22</v>
      </c>
      <c r="AM124" s="27" t="s">
        <v>42</v>
      </c>
      <c r="AN124" s="34">
        <f>IFERROR(ABS(SUMIFS('TRA balance'!E$5:E$40,'TRA balance'!$C$5:$C$40,Assumptions!$AL124,'TRA balance'!$D$5:$D$40,Assumptions!$AM124)),"")</f>
        <v>0</v>
      </c>
      <c r="AO124" s="34">
        <f>IFERROR(ABS(SUMIFS('TRA balance'!F$5:F$40,'TRA balance'!$C$5:$C$40,Assumptions!$AL124,'TRA balance'!$D$5:$D$40,Assumptions!$AM124)),"")</f>
        <v>0</v>
      </c>
      <c r="AP124" s="34">
        <f>IFERROR(ABS(SUMIFS('TRA balance'!G$5:G$40,'TRA balance'!$C$5:$C$40,Assumptions!$AL124,'TRA balance'!$D$5:$D$40,Assumptions!$AM124)),"")</f>
        <v>0</v>
      </c>
      <c r="AQ124" s="34">
        <f>IFERROR(ABS(SUMIFS('TRA balance'!H$5:H$40,'TRA balance'!$C$5:$C$40,Assumptions!$AL124,'TRA balance'!$D$5:$D$40,Assumptions!$AM124)),"")</f>
        <v>0</v>
      </c>
      <c r="AR124" s="34">
        <f>IFERROR(ABS(SUMIFS('TRA balance'!I$5:I$40,'TRA balance'!$C$5:$C$40,Assumptions!$AL124,'TRA balance'!$D$5:$D$40,Assumptions!$AM124)),"")</f>
        <v>0</v>
      </c>
      <c r="AS124" s="34">
        <f>IFERROR(ABS(SUMIFS('TRA balance'!J$5:J$40,'TRA balance'!$C$5:$C$40,Assumptions!$AL124,'TRA balance'!$D$5:$D$40,Assumptions!$AM124)),"")</f>
        <v>0</v>
      </c>
      <c r="AT124" s="34">
        <f>IFERROR(ABS(SUMIFS('TRA balance'!K$5:K$40,'TRA balance'!$C$5:$C$40,Assumptions!$AL124,'TRA balance'!$D$5:$D$40,Assumptions!$AM124)),"")</f>
        <v>0</v>
      </c>
      <c r="AU124" s="34">
        <f>IFERROR(ABS(SUMIFS('TRA balance'!L$5:L$40,'TRA balance'!$C$5:$C$40,Assumptions!$AL124,'TRA balance'!$D$5:$D$40,Assumptions!$AM124)),"")</f>
        <v>0</v>
      </c>
      <c r="AV124" s="34">
        <f>IFERROR(ABS(SUMIFS('TRA balance'!M$5:M$40,'TRA balance'!$C$5:$C$40,Assumptions!$AL124,'TRA balance'!$D$5:$D$40,Assumptions!$AM124)),"")</f>
        <v>0</v>
      </c>
      <c r="AW124" s="34">
        <f>IFERROR(ABS(SUMIFS('TRA balance'!N$5:N$40,'TRA balance'!$C$5:$C$40,Assumptions!$AL124,'TRA balance'!$D$5:$D$40,Assumptions!$AM124)),"")</f>
        <v>0</v>
      </c>
      <c r="AX124" s="34">
        <f>IFERROR(ABS(SUMIFS('TRA balance'!O$5:O$40,'TRA balance'!$C$5:$C$40,Assumptions!$AL124,'TRA balance'!$D$5:$D$40,Assumptions!$AM124)),"")</f>
        <v>0</v>
      </c>
      <c r="AY124" s="34">
        <f>IFERROR(ABS(SUMIFS('TRA balance'!P$5:P$40,'TRA balance'!$C$5:$C$40,Assumptions!$AL124,'TRA balance'!$D$5:$D$40,Assumptions!$AM124)),"")</f>
        <v>0</v>
      </c>
      <c r="AZ124" s="34">
        <f>IFERROR(ABS(SUMIFS('TRA balance'!Q$5:Q$40,'TRA balance'!$C$5:$C$40,Assumptions!$AL124,'TRA balance'!$D$5:$D$40,Assumptions!$AM124)),"")</f>
        <v>0</v>
      </c>
      <c r="BA124" s="34">
        <f>IFERROR(ABS(SUMIFS('TRA balance'!R$5:R$40,'TRA balance'!$C$5:$C$40,Assumptions!$AL124,'TRA balance'!$D$5:$D$40,Assumptions!$AM124)),"")</f>
        <v>0</v>
      </c>
      <c r="BB124" s="34">
        <f>IFERROR(ABS(SUMIFS('TRA balance'!S$5:S$40,'TRA balance'!$C$5:$C$40,Assumptions!$AL124,'TRA balance'!$D$5:$D$40,Assumptions!$AM124)),"")</f>
        <v>0</v>
      </c>
      <c r="BC124" s="34">
        <f>IFERROR(ABS(SUMIFS('TRA balance'!T$5:T$40,'TRA balance'!$C$5:$C$40,Assumptions!$AL124,'TRA balance'!$D$5:$D$40,Assumptions!$AM124)),"")</f>
        <v>0</v>
      </c>
      <c r="BD124" s="34">
        <f>IFERROR(ABS(SUMIFS('TRA balance'!U$5:U$40,'TRA balance'!$C$5:$C$40,Assumptions!$AL124,'TRA balance'!$D$5:$D$40,Assumptions!$AM124)),"")</f>
        <v>0</v>
      </c>
      <c r="BE124" s="34">
        <f>IFERROR(ABS(SUMIFS('TRA balance'!V$5:V$40,'TRA balance'!$C$5:$C$40,Assumptions!$AL124,'TRA balance'!$D$5:$D$40,Assumptions!$AM124)),"")</f>
        <v>0</v>
      </c>
      <c r="BF124" s="34">
        <f>IFERROR(ABS(SUMIFS('TRA balance'!W$5:W$40,'TRA balance'!$C$5:$C$40,Assumptions!$AL124,'TRA balance'!$D$5:$D$40,Assumptions!$AM124)),"")</f>
        <v>0</v>
      </c>
      <c r="BG124" s="34">
        <f>IFERROR(ABS(SUMIFS('TRA balance'!X$5:X$40,'TRA balance'!$C$5:$C$40,Assumptions!$AL124,'TRA balance'!$D$5:$D$40,Assumptions!$AM124)),"")</f>
        <v>0</v>
      </c>
      <c r="BH124" s="34">
        <f>IFERROR(ABS(SUMIFS('TRA balance'!Y$5:Y$40,'TRA balance'!$C$5:$C$40,Assumptions!$AL124,'TRA balance'!$D$5:$D$40,Assumptions!$AM124)),"")</f>
        <v>0</v>
      </c>
      <c r="BI124" s="34">
        <f>IFERROR(ABS(SUMIFS('TRA balance'!Z$5:Z$40,'TRA balance'!$C$5:$C$40,Assumptions!$AL124,'TRA balance'!$D$5:$D$40,Assumptions!$AM124)),"")</f>
        <v>0</v>
      </c>
      <c r="BJ124" s="34">
        <f>IFERROR(ABS(SUMIFS('TRA balance'!AA$5:AA$40,'TRA balance'!$C$5:$C$40,Assumptions!$AL124,'TRA balance'!$D$5:$D$40,Assumptions!$AM124)),"")</f>
        <v>0</v>
      </c>
      <c r="BK124" s="34">
        <f>IFERROR(ABS(SUMIFS('TRA balance'!AB$5:AB$40,'TRA balance'!$C$5:$C$40,Assumptions!$AL124,'TRA balance'!$D$5:$D$40,Assumptions!$AM124)),"")</f>
        <v>0</v>
      </c>
      <c r="BL124" s="34">
        <f>IFERROR(ABS(SUMIFS('TRA balance'!AC$5:AC$40,'TRA balance'!$C$5:$C$40,Assumptions!$AL124,'TRA balance'!$D$5:$D$40,Assumptions!$AM124)),"")</f>
        <v>0</v>
      </c>
      <c r="BM124" s="34">
        <f>IFERROR(ABS(SUMIFS('TRA balance'!AD$5:AD$40,'TRA balance'!$C$5:$C$40,Assumptions!$AL124,'TRA balance'!$D$5:$D$40,Assumptions!$AM124)),"")</f>
        <v>0</v>
      </c>
      <c r="BN124" s="34">
        <f>IFERROR(ABS(SUMIFS('TRA balance'!AE$5:AE$40,'TRA balance'!$C$5:$C$40,Assumptions!$AL124,'TRA balance'!$D$5:$D$40,Assumptions!$AM124)),"")</f>
        <v>0</v>
      </c>
      <c r="BO124" s="34">
        <f>IFERROR(ABS(SUMIFS('TRA balance'!AF$5:AF$40,'TRA balance'!$C$5:$C$40,Assumptions!$AL124,'TRA balance'!$D$5:$D$40,Assumptions!$AM124)),"")</f>
        <v>0</v>
      </c>
      <c r="BP124" s="34">
        <f>IFERROR(ABS(SUMIFS('TRA balance'!AG$5:AG$40,'TRA balance'!$C$5:$C$40,Assumptions!$AL124,'TRA balance'!$D$5:$D$40,Assumptions!$AM124)),"")</f>
        <v>0</v>
      </c>
      <c r="BQ124" s="34">
        <f>IFERROR(ABS(SUMIFS('TRA balance'!AH$5:AH$40,'TRA balance'!$C$5:$C$40,Assumptions!$AL124,'TRA balance'!$D$5:$D$40,Assumptions!$AM124)),"")</f>
        <v>0</v>
      </c>
      <c r="BR124" s="27"/>
    </row>
    <row r="125" spans="3:70" x14ac:dyDescent="0.45">
      <c r="C125" t="str">
        <f t="shared" si="241"/>
        <v>GAS</v>
      </c>
      <c r="D125" t="str">
        <f t="shared" si="240"/>
        <v>TRH</v>
      </c>
      <c r="E125" t="s">
        <v>111</v>
      </c>
      <c r="F125" s="1">
        <v>5.04E-2</v>
      </c>
      <c r="G125" s="1">
        <v>5.67E-2</v>
      </c>
      <c r="H125" s="1">
        <v>5.9534999999999998E-2</v>
      </c>
      <c r="I125" s="1">
        <v>4.41E-2</v>
      </c>
      <c r="J125" s="1">
        <v>5.355E-2</v>
      </c>
      <c r="K125" s="1">
        <v>5.355E-2</v>
      </c>
      <c r="L125" s="1">
        <v>5.355E-2</v>
      </c>
      <c r="M125" s="1">
        <v>5.04E-2</v>
      </c>
      <c r="N125" s="1">
        <v>5.67E-2</v>
      </c>
      <c r="O125" s="1">
        <v>5.67E-2</v>
      </c>
      <c r="P125" s="1">
        <v>5.355E-2</v>
      </c>
      <c r="Q125" s="1">
        <v>5.04E-2</v>
      </c>
      <c r="R125" s="1">
        <v>5.5440000000000003E-2</v>
      </c>
      <c r="S125" s="1">
        <v>5.67E-2</v>
      </c>
      <c r="T125" s="1">
        <v>5.67E-2</v>
      </c>
      <c r="AL125" s="27" t="s">
        <v>22</v>
      </c>
      <c r="AM125" s="27" t="s">
        <v>45</v>
      </c>
      <c r="AN125" s="34">
        <f>IFERROR(ABS(SUMIFS('TRA balance'!E$5:E$40,'TRA balance'!$C$5:$C$40,Assumptions!$AL125,'TRA balance'!$D$5:$D$40,Assumptions!$AM125)),"")</f>
        <v>26.7034690152</v>
      </c>
      <c r="AO125" s="34">
        <f>IFERROR(ABS(SUMIFS('TRA balance'!F$5:F$40,'TRA balance'!$C$5:$C$40,Assumptions!$AL125,'TRA balance'!$D$5:$D$40,Assumptions!$AM125)),"")</f>
        <v>53.407917741600002</v>
      </c>
      <c r="AP125" s="34">
        <f>IFERROR(ABS(SUMIFS('TRA balance'!G$5:G$40,'TRA balance'!$C$5:$C$40,Assumptions!$AL125,'TRA balance'!$D$5:$D$40,Assumptions!$AM125)),"")</f>
        <v>19.622568636</v>
      </c>
      <c r="AQ125" s="34">
        <f>IFERROR(ABS(SUMIFS('TRA balance'!H$5:H$40,'TRA balance'!$C$5:$C$40,Assumptions!$AL125,'TRA balance'!$D$5:$D$40,Assumptions!$AM125)),"")</f>
        <v>0</v>
      </c>
      <c r="AR125" s="34">
        <f>IFERROR(ABS(SUMIFS('TRA balance'!I$5:I$40,'TRA balance'!$C$5:$C$40,Assumptions!$AL125,'TRA balance'!$D$5:$D$40,Assumptions!$AM125)),"")</f>
        <v>468.93261128400002</v>
      </c>
      <c r="AS125" s="34">
        <f>IFERROR(ABS(SUMIFS('TRA balance'!J$5:J$40,'TRA balance'!$C$5:$C$40,Assumptions!$AL125,'TRA balance'!$D$5:$D$40,Assumptions!$AM125)),"")</f>
        <v>1904.0822866188</v>
      </c>
      <c r="AT125" s="34">
        <f>IFERROR(ABS(SUMIFS('TRA balance'!K$5:K$40,'TRA balance'!$C$5:$C$40,Assumptions!$AL125,'TRA balance'!$D$5:$D$40,Assumptions!$AM125)),"")</f>
        <v>40.581057229199999</v>
      </c>
      <c r="AU125" s="34">
        <f>IFERROR(ABS(SUMIFS('TRA balance'!L$5:L$40,'TRA balance'!$C$5:$C$40,Assumptions!$AL125,'TRA balance'!$D$5:$D$40,Assumptions!$AM125)),"")</f>
        <v>119.4358555152</v>
      </c>
      <c r="AV125" s="34">
        <f>IFERROR(ABS(SUMIFS('TRA balance'!M$5:M$40,'TRA balance'!$C$5:$C$40,Assumptions!$AL125,'TRA balance'!$D$5:$D$40,Assumptions!$AM125)),"")</f>
        <v>18.813599326799999</v>
      </c>
      <c r="AW125" s="34">
        <f>IFERROR(ABS(SUMIFS('TRA balance'!N$5:N$40,'TRA balance'!$C$5:$C$40,Assumptions!$AL125,'TRA balance'!$D$5:$D$40,Assumptions!$AM125)),"")</f>
        <v>701.81569525320003</v>
      </c>
      <c r="AX125" s="34">
        <f>IFERROR(ABS(SUMIFS('TRA balance'!O$5:O$40,'TRA balance'!$C$5:$C$40,Assumptions!$AL125,'TRA balance'!$D$5:$D$40,Assumptions!$AM125)),"")</f>
        <v>88.967678742000004</v>
      </c>
      <c r="AY125" s="34">
        <f>IFERROR(ABS(SUMIFS('TRA balance'!P$5:P$40,'TRA balance'!$C$5:$C$40,Assumptions!$AL125,'TRA balance'!$D$5:$D$40,Assumptions!$AM125)),"")</f>
        <v>13.9614414444</v>
      </c>
      <c r="AZ125" s="34">
        <f>IFERROR(ABS(SUMIFS('TRA balance'!Q$5:Q$40,'TRA balance'!$C$5:$C$40,Assumptions!$AL125,'TRA balance'!$D$5:$D$40,Assumptions!$AM125)),"")</f>
        <v>673.53079232879998</v>
      </c>
      <c r="BA125" s="34">
        <f>IFERROR(ABS(SUMIFS('TRA balance'!R$5:R$40,'TRA balance'!$C$5:$C$40,Assumptions!$AL125,'TRA balance'!$D$5:$D$40,Assumptions!$AM125)),"")</f>
        <v>263.21380809840002</v>
      </c>
      <c r="BB125" s="34">
        <f>IFERROR(ABS(SUMIFS('TRA balance'!S$5:S$40,'TRA balance'!$C$5:$C$40,Assumptions!$AL125,'TRA balance'!$D$5:$D$40,Assumptions!$AM125)),"")</f>
        <v>7.4917678103999998</v>
      </c>
      <c r="BC125" s="34">
        <f>IFERROR(ABS(SUMIFS('TRA balance'!T$5:T$40,'TRA balance'!$C$5:$C$40,Assumptions!$AL125,'TRA balance'!$D$5:$D$40,Assumptions!$AM125)),"")</f>
        <v>261.79840593</v>
      </c>
      <c r="BD125" s="34">
        <f>IFERROR(ABS(SUMIFS('TRA balance'!U$5:U$40,'TRA balance'!$C$5:$C$40,Assumptions!$AL125,'TRA balance'!$D$5:$D$40,Assumptions!$AM125)),"")</f>
        <v>30.7200002328</v>
      </c>
      <c r="BE125" s="34">
        <f>IFERROR(ABS(SUMIFS('TRA balance'!V$5:V$40,'TRA balance'!$C$5:$C$40,Assumptions!$AL125,'TRA balance'!$D$5:$D$40,Assumptions!$AM125)),"")</f>
        <v>65.158238930400003</v>
      </c>
      <c r="BF125" s="34">
        <f>IFERROR(ABS(SUMIFS('TRA balance'!W$5:W$40,'TRA balance'!$C$5:$C$40,Assumptions!$AL125,'TRA balance'!$D$5:$D$40,Assumptions!$AM125)),"")</f>
        <v>26.719998501599999</v>
      </c>
      <c r="BG125" s="34">
        <f>IFERROR(ABS(SUMIFS('TRA balance'!X$5:X$40,'TRA balance'!$C$5:$C$40,Assumptions!$AL125,'TRA balance'!$D$5:$D$40,Assumptions!$AM125)),"")</f>
        <v>65.767439264399997</v>
      </c>
      <c r="BH125" s="34">
        <f>IFERROR(ABS(SUMIFS('TRA balance'!Y$5:Y$40,'TRA balance'!$C$5:$C$40,Assumptions!$AL125,'TRA balance'!$D$5:$D$40,Assumptions!$AM125)),"")</f>
        <v>272.1700348128</v>
      </c>
      <c r="BI125" s="34">
        <f>IFERROR(ABS(SUMIFS('TRA balance'!Z$5:Z$40,'TRA balance'!$C$5:$C$40,Assumptions!$AL125,'TRA balance'!$D$5:$D$40,Assumptions!$AM125)),"")</f>
        <v>3.0168029268000001</v>
      </c>
      <c r="BJ125" s="34">
        <f>IFERROR(ABS(SUMIFS('TRA balance'!AA$5:AA$40,'TRA balance'!$C$5:$C$40,Assumptions!$AL125,'TRA balance'!$D$5:$D$40,Assumptions!$AM125)),"")</f>
        <v>833.70404855879997</v>
      </c>
      <c r="BK125" s="34">
        <f>IFERROR(ABS(SUMIFS('TRA balance'!AB$5:AB$40,'TRA balance'!$C$5:$C$40,Assumptions!$AL125,'TRA balance'!$D$5:$D$40,Assumptions!$AM125)),"")</f>
        <v>2.1987608220000001</v>
      </c>
      <c r="BL125" s="34">
        <f>IFERROR(ABS(SUMIFS('TRA balance'!AC$5:AC$40,'TRA balance'!$C$5:$C$40,Assumptions!$AL125,'TRA balance'!$D$5:$D$40,Assumptions!$AM125)),"")</f>
        <v>88.480000278000006</v>
      </c>
      <c r="BM125" s="34">
        <f>IFERROR(ABS(SUMIFS('TRA balance'!AD$5:AD$40,'TRA balance'!$C$5:$C$40,Assumptions!$AL125,'TRA balance'!$D$5:$D$40,Assumptions!$AM125)),"")</f>
        <v>135.01029096720001</v>
      </c>
      <c r="BN125" s="34">
        <f>IFERROR(ABS(SUMIFS('TRA balance'!AE$5:AE$40,'TRA balance'!$C$5:$C$40,Assumptions!$AL125,'TRA balance'!$D$5:$D$40,Assumptions!$AM125)),"")</f>
        <v>57.689933947199997</v>
      </c>
      <c r="BO125" s="34">
        <f>IFERROR(ABS(SUMIFS('TRA balance'!AF$5:AF$40,'TRA balance'!$C$5:$C$40,Assumptions!$AL125,'TRA balance'!$D$5:$D$40,Assumptions!$AM125)),"")</f>
        <v>179.67128012640001</v>
      </c>
      <c r="BP125" s="34">
        <f>IFERROR(ABS(SUMIFS('TRA balance'!AG$5:AG$40,'TRA balance'!$C$5:$C$40,Assumptions!$AL125,'TRA balance'!$D$5:$D$40,Assumptions!$AM125)),"")</f>
        <v>522.96714644760004</v>
      </c>
      <c r="BQ125" s="34">
        <f>IFERROR(ABS(SUMIFS('TRA balance'!AH$5:AH$40,'TRA balance'!$C$5:$C$40,Assumptions!$AL125,'TRA balance'!$D$5:$D$40,Assumptions!$AM125)),"")</f>
        <v>0</v>
      </c>
      <c r="BR125" s="27"/>
    </row>
    <row r="126" spans="3:70" x14ac:dyDescent="0.45">
      <c r="C126" t="str">
        <f t="shared" si="241"/>
        <v>LPG</v>
      </c>
      <c r="D126" t="str">
        <f t="shared" si="240"/>
        <v>TRH</v>
      </c>
      <c r="E126" t="s">
        <v>112</v>
      </c>
      <c r="F126" s="1">
        <v>4.6399999999999997E-2</v>
      </c>
      <c r="G126" s="1">
        <v>5.2200000000000003E-2</v>
      </c>
      <c r="H126" s="1">
        <v>5.4809999999999998E-2</v>
      </c>
      <c r="I126" s="1">
        <v>4.0599999999999997E-2</v>
      </c>
      <c r="J126" s="1">
        <v>4.9299999999999997E-2</v>
      </c>
      <c r="K126" s="1">
        <v>4.9299999999999997E-2</v>
      </c>
      <c r="L126" s="1">
        <v>4.9299999999999997E-2</v>
      </c>
      <c r="M126" s="1">
        <v>4.6399999999999997E-2</v>
      </c>
      <c r="N126" s="1">
        <v>5.2200000000000003E-2</v>
      </c>
      <c r="O126" s="1">
        <v>5.2200000000000003E-2</v>
      </c>
      <c r="P126" s="1">
        <v>4.9299999999999997E-2</v>
      </c>
      <c r="Q126" s="1">
        <v>4.6399999999999997E-2</v>
      </c>
      <c r="R126" s="1">
        <v>5.1040000000000002E-2</v>
      </c>
      <c r="S126" s="1">
        <v>5.2200000000000003E-2</v>
      </c>
      <c r="T126" s="1">
        <v>5.2200000000000003E-2</v>
      </c>
      <c r="AL126" s="27" t="s">
        <v>22</v>
      </c>
      <c r="AM126" s="27" t="s">
        <v>43</v>
      </c>
      <c r="AN126" s="34">
        <f>IFERROR(ABS(SUMIFS('TRA balance'!E$5:E$40,'TRA balance'!$C$5:$C$40,Assumptions!$AL126,'TRA balance'!$D$5:$D$40,Assumptions!$AM126)),"")</f>
        <v>0</v>
      </c>
      <c r="AO126" s="34">
        <f>IFERROR(ABS(SUMIFS('TRA balance'!F$5:F$40,'TRA balance'!$C$5:$C$40,Assumptions!$AL126,'TRA balance'!$D$5:$D$40,Assumptions!$AM126)),"")</f>
        <v>0</v>
      </c>
      <c r="AP126" s="34">
        <f>IFERROR(ABS(SUMIFS('TRA balance'!G$5:G$40,'TRA balance'!$C$5:$C$40,Assumptions!$AL126,'TRA balance'!$D$5:$D$40,Assumptions!$AM126)),"")</f>
        <v>0</v>
      </c>
      <c r="AQ126" s="34">
        <f>IFERROR(ABS(SUMIFS('TRA balance'!H$5:H$40,'TRA balance'!$C$5:$C$40,Assumptions!$AL126,'TRA balance'!$D$5:$D$40,Assumptions!$AM126)),"")</f>
        <v>0</v>
      </c>
      <c r="AR126" s="34">
        <f>IFERROR(ABS(SUMIFS('TRA balance'!I$5:I$40,'TRA balance'!$C$5:$C$40,Assumptions!$AL126,'TRA balance'!$D$5:$D$40,Assumptions!$AM126)),"")</f>
        <v>0</v>
      </c>
      <c r="AS126" s="34">
        <f>IFERROR(ABS(SUMIFS('TRA balance'!J$5:J$40,'TRA balance'!$C$5:$C$40,Assumptions!$AL126,'TRA balance'!$D$5:$D$40,Assumptions!$AM126)),"")</f>
        <v>0</v>
      </c>
      <c r="AT126" s="34">
        <f>IFERROR(ABS(SUMIFS('TRA balance'!K$5:K$40,'TRA balance'!$C$5:$C$40,Assumptions!$AL126,'TRA balance'!$D$5:$D$40,Assumptions!$AM126)),"")</f>
        <v>0</v>
      </c>
      <c r="AU126" s="34">
        <f>IFERROR(ABS(SUMIFS('TRA balance'!L$5:L$40,'TRA balance'!$C$5:$C$40,Assumptions!$AL126,'TRA balance'!$D$5:$D$40,Assumptions!$AM126)),"")</f>
        <v>0</v>
      </c>
      <c r="AV126" s="34">
        <f>IFERROR(ABS(SUMIFS('TRA balance'!M$5:M$40,'TRA balance'!$C$5:$C$40,Assumptions!$AL126,'TRA balance'!$D$5:$D$40,Assumptions!$AM126)),"")</f>
        <v>0</v>
      </c>
      <c r="AW126" s="34">
        <f>IFERROR(ABS(SUMIFS('TRA balance'!N$5:N$40,'TRA balance'!$C$5:$C$40,Assumptions!$AL126,'TRA balance'!$D$5:$D$40,Assumptions!$AM126)),"")</f>
        <v>0</v>
      </c>
      <c r="AX126" s="34">
        <f>IFERROR(ABS(SUMIFS('TRA balance'!O$5:O$40,'TRA balance'!$C$5:$C$40,Assumptions!$AL126,'TRA balance'!$D$5:$D$40,Assumptions!$AM126)),"")</f>
        <v>0</v>
      </c>
      <c r="AY126" s="34">
        <f>IFERROR(ABS(SUMIFS('TRA balance'!P$5:P$40,'TRA balance'!$C$5:$C$40,Assumptions!$AL126,'TRA balance'!$D$5:$D$40,Assumptions!$AM126)),"")</f>
        <v>0</v>
      </c>
      <c r="AZ126" s="34">
        <f>IFERROR(ABS(SUMIFS('TRA balance'!Q$5:Q$40,'TRA balance'!$C$5:$C$40,Assumptions!$AL126,'TRA balance'!$D$5:$D$40,Assumptions!$AM126)),"")</f>
        <v>0</v>
      </c>
      <c r="BA126" s="34">
        <f>IFERROR(ABS(SUMIFS('TRA balance'!R$5:R$40,'TRA balance'!$C$5:$C$40,Assumptions!$AL126,'TRA balance'!$D$5:$D$40,Assumptions!$AM126)),"")</f>
        <v>0</v>
      </c>
      <c r="BB126" s="34">
        <f>IFERROR(ABS(SUMIFS('TRA balance'!S$5:S$40,'TRA balance'!$C$5:$C$40,Assumptions!$AL126,'TRA balance'!$D$5:$D$40,Assumptions!$AM126)),"")</f>
        <v>0</v>
      </c>
      <c r="BC126" s="34">
        <f>IFERROR(ABS(SUMIFS('TRA balance'!T$5:T$40,'TRA balance'!$C$5:$C$40,Assumptions!$AL126,'TRA balance'!$D$5:$D$40,Assumptions!$AM126)),"")</f>
        <v>0</v>
      </c>
      <c r="BD126" s="34">
        <f>IFERROR(ABS(SUMIFS('TRA balance'!U$5:U$40,'TRA balance'!$C$5:$C$40,Assumptions!$AL126,'TRA balance'!$D$5:$D$40,Assumptions!$AM126)),"")</f>
        <v>0</v>
      </c>
      <c r="BE126" s="34">
        <f>IFERROR(ABS(SUMIFS('TRA balance'!V$5:V$40,'TRA balance'!$C$5:$C$40,Assumptions!$AL126,'TRA balance'!$D$5:$D$40,Assumptions!$AM126)),"")</f>
        <v>0</v>
      </c>
      <c r="BF126" s="34">
        <f>IFERROR(ABS(SUMIFS('TRA balance'!W$5:W$40,'TRA balance'!$C$5:$C$40,Assumptions!$AL126,'TRA balance'!$D$5:$D$40,Assumptions!$AM126)),"")</f>
        <v>0</v>
      </c>
      <c r="BG126" s="34">
        <f>IFERROR(ABS(SUMIFS('TRA balance'!X$5:X$40,'TRA balance'!$C$5:$C$40,Assumptions!$AL126,'TRA balance'!$D$5:$D$40,Assumptions!$AM126)),"")</f>
        <v>0</v>
      </c>
      <c r="BH126" s="34">
        <f>IFERROR(ABS(SUMIFS('TRA balance'!Y$5:Y$40,'TRA balance'!$C$5:$C$40,Assumptions!$AL126,'TRA balance'!$D$5:$D$40,Assumptions!$AM126)),"")</f>
        <v>0</v>
      </c>
      <c r="BI126" s="34">
        <f>IFERROR(ABS(SUMIFS('TRA balance'!Z$5:Z$40,'TRA balance'!$C$5:$C$40,Assumptions!$AL126,'TRA balance'!$D$5:$D$40,Assumptions!$AM126)),"")</f>
        <v>0</v>
      </c>
      <c r="BJ126" s="34">
        <f>IFERROR(ABS(SUMIFS('TRA balance'!AA$5:AA$40,'TRA balance'!$C$5:$C$40,Assumptions!$AL126,'TRA balance'!$D$5:$D$40,Assumptions!$AM126)),"")</f>
        <v>0</v>
      </c>
      <c r="BK126" s="34">
        <f>IFERROR(ABS(SUMIFS('TRA balance'!AB$5:AB$40,'TRA balance'!$C$5:$C$40,Assumptions!$AL126,'TRA balance'!$D$5:$D$40,Assumptions!$AM126)),"")</f>
        <v>0</v>
      </c>
      <c r="BL126" s="34">
        <f>IFERROR(ABS(SUMIFS('TRA balance'!AC$5:AC$40,'TRA balance'!$C$5:$C$40,Assumptions!$AL126,'TRA balance'!$D$5:$D$40,Assumptions!$AM126)),"")</f>
        <v>0</v>
      </c>
      <c r="BM126" s="34">
        <f>IFERROR(ABS(SUMIFS('TRA balance'!AD$5:AD$40,'TRA balance'!$C$5:$C$40,Assumptions!$AL126,'TRA balance'!$D$5:$D$40,Assumptions!$AM126)),"")</f>
        <v>0</v>
      </c>
      <c r="BN126" s="34">
        <f>IFERROR(ABS(SUMIFS('TRA balance'!AE$5:AE$40,'TRA balance'!$C$5:$C$40,Assumptions!$AL126,'TRA balance'!$D$5:$D$40,Assumptions!$AM126)),"")</f>
        <v>0</v>
      </c>
      <c r="BO126" s="34">
        <f>IFERROR(ABS(SUMIFS('TRA balance'!AF$5:AF$40,'TRA balance'!$C$5:$C$40,Assumptions!$AL126,'TRA balance'!$D$5:$D$40,Assumptions!$AM126)),"")</f>
        <v>0</v>
      </c>
      <c r="BP126" s="34">
        <f>IFERROR(ABS(SUMIFS('TRA balance'!AG$5:AG$40,'TRA balance'!$C$5:$C$40,Assumptions!$AL126,'TRA balance'!$D$5:$D$40,Assumptions!$AM126)),"")</f>
        <v>0</v>
      </c>
      <c r="BQ126" s="34">
        <f>IFERROR(ABS(SUMIFS('TRA balance'!AH$5:AH$40,'TRA balance'!$C$5:$C$40,Assumptions!$AL126,'TRA balance'!$D$5:$D$40,Assumptions!$AM126)),"")</f>
        <v>0</v>
      </c>
      <c r="BR126" s="27"/>
    </row>
    <row r="127" spans="3:70" x14ac:dyDescent="0.45">
      <c r="C127" t="str">
        <f t="shared" si="241"/>
        <v>MET</v>
      </c>
      <c r="D127" t="str">
        <f t="shared" si="240"/>
        <v>TRH</v>
      </c>
      <c r="E127" t="s">
        <v>113</v>
      </c>
      <c r="F127" s="1">
        <v>4.6399999999999997E-2</v>
      </c>
      <c r="G127" s="1">
        <v>5.2200000000000003E-2</v>
      </c>
      <c r="H127" s="1">
        <v>5.4809999999999998E-2</v>
      </c>
      <c r="I127" s="1">
        <v>4.0599999999999997E-2</v>
      </c>
      <c r="J127" s="1">
        <v>4.9299999999999997E-2</v>
      </c>
      <c r="K127" s="1">
        <v>4.9299999999999997E-2</v>
      </c>
      <c r="L127" s="1">
        <v>4.9299999999999997E-2</v>
      </c>
      <c r="M127" s="1">
        <v>4.6399999999999997E-2</v>
      </c>
      <c r="N127" s="1">
        <v>5.2200000000000003E-2</v>
      </c>
      <c r="O127" s="1">
        <v>5.2200000000000003E-2</v>
      </c>
      <c r="P127" s="1">
        <v>4.9299999999999997E-2</v>
      </c>
      <c r="Q127" s="1">
        <v>4.6399999999999997E-2</v>
      </c>
      <c r="R127" s="1">
        <v>5.1040000000000002E-2</v>
      </c>
      <c r="S127" s="1">
        <v>5.2200000000000003E-2</v>
      </c>
      <c r="T127" s="1">
        <v>5.2200000000000003E-2</v>
      </c>
      <c r="AL127" s="27" t="s">
        <v>22</v>
      </c>
      <c r="AM127" s="27" t="s">
        <v>38</v>
      </c>
      <c r="AN127" s="34">
        <f>IFERROR(ABS(SUMIFS('TRA balance'!E$5:E$40,'TRA balance'!$C$5:$C$40,Assumptions!$AL127,'TRA balance'!$D$5:$D$40,Assumptions!$AM127)),"")</f>
        <v>0</v>
      </c>
      <c r="AO127" s="34">
        <f>IFERROR(ABS(SUMIFS('TRA balance'!F$5:F$40,'TRA balance'!$C$5:$C$40,Assumptions!$AL127,'TRA balance'!$D$5:$D$40,Assumptions!$AM127)),"")</f>
        <v>0</v>
      </c>
      <c r="AP127" s="34">
        <f>IFERROR(ABS(SUMIFS('TRA balance'!G$5:G$40,'TRA balance'!$C$5:$C$40,Assumptions!$AL127,'TRA balance'!$D$5:$D$40,Assumptions!$AM127)),"")</f>
        <v>0</v>
      </c>
      <c r="AQ127" s="34">
        <f>IFERROR(ABS(SUMIFS('TRA balance'!H$5:H$40,'TRA balance'!$C$5:$C$40,Assumptions!$AL127,'TRA balance'!$D$5:$D$40,Assumptions!$AM127)),"")</f>
        <v>0</v>
      </c>
      <c r="AR127" s="34">
        <f>IFERROR(ABS(SUMIFS('TRA balance'!I$5:I$40,'TRA balance'!$C$5:$C$40,Assumptions!$AL127,'TRA balance'!$D$5:$D$40,Assumptions!$AM127)),"")</f>
        <v>0</v>
      </c>
      <c r="AS127" s="34">
        <f>IFERROR(ABS(SUMIFS('TRA balance'!J$5:J$40,'TRA balance'!$C$5:$C$40,Assumptions!$AL127,'TRA balance'!$D$5:$D$40,Assumptions!$AM127)),"")</f>
        <v>0</v>
      </c>
      <c r="AT127" s="34">
        <f>IFERROR(ABS(SUMIFS('TRA balance'!K$5:K$40,'TRA balance'!$C$5:$C$40,Assumptions!$AL127,'TRA balance'!$D$5:$D$40,Assumptions!$AM127)),"")</f>
        <v>0</v>
      </c>
      <c r="AU127" s="34">
        <f>IFERROR(ABS(SUMIFS('TRA balance'!L$5:L$40,'TRA balance'!$C$5:$C$40,Assumptions!$AL127,'TRA balance'!$D$5:$D$40,Assumptions!$AM127)),"")</f>
        <v>0</v>
      </c>
      <c r="AV127" s="34">
        <f>IFERROR(ABS(SUMIFS('TRA balance'!M$5:M$40,'TRA balance'!$C$5:$C$40,Assumptions!$AL127,'TRA balance'!$D$5:$D$40,Assumptions!$AM127)),"")</f>
        <v>0</v>
      </c>
      <c r="AW127" s="34">
        <f>IFERROR(ABS(SUMIFS('TRA balance'!N$5:N$40,'TRA balance'!$C$5:$C$40,Assumptions!$AL127,'TRA balance'!$D$5:$D$40,Assumptions!$AM127)),"")</f>
        <v>0</v>
      </c>
      <c r="AX127" s="34">
        <f>IFERROR(ABS(SUMIFS('TRA balance'!O$5:O$40,'TRA balance'!$C$5:$C$40,Assumptions!$AL127,'TRA balance'!$D$5:$D$40,Assumptions!$AM127)),"")</f>
        <v>0.74190096000000005</v>
      </c>
      <c r="AY127" s="34">
        <f>IFERROR(ABS(SUMIFS('TRA balance'!P$5:P$40,'TRA balance'!$C$5:$C$40,Assumptions!$AL127,'TRA balance'!$D$5:$D$40,Assumptions!$AM127)),"")</f>
        <v>0.85229850240000005</v>
      </c>
      <c r="AZ127" s="34">
        <f>IFERROR(ABS(SUMIFS('TRA balance'!Q$5:Q$40,'TRA balance'!$C$5:$C$40,Assumptions!$AL127,'TRA balance'!$D$5:$D$40,Assumptions!$AM127)),"")</f>
        <v>2.8695364236000001</v>
      </c>
      <c r="BA127" s="34">
        <f>IFERROR(ABS(SUMIFS('TRA balance'!R$5:R$40,'TRA balance'!$C$5:$C$40,Assumptions!$AL127,'TRA balance'!$D$5:$D$40,Assumptions!$AM127)),"")</f>
        <v>0</v>
      </c>
      <c r="BB127" s="34">
        <f>IFERROR(ABS(SUMIFS('TRA balance'!S$5:S$40,'TRA balance'!$C$5:$C$40,Assumptions!$AL127,'TRA balance'!$D$5:$D$40,Assumptions!$AM127)),"")</f>
        <v>0</v>
      </c>
      <c r="BC127" s="34">
        <f>IFERROR(ABS(SUMIFS('TRA balance'!T$5:T$40,'TRA balance'!$C$5:$C$40,Assumptions!$AL127,'TRA balance'!$D$5:$D$40,Assumptions!$AM127)),"")</f>
        <v>1.4913004787999999</v>
      </c>
      <c r="BD127" s="34">
        <f>IFERROR(ABS(SUMIFS('TRA balance'!U$5:U$40,'TRA balance'!$C$5:$C$40,Assumptions!$AL127,'TRA balance'!$D$5:$D$40,Assumptions!$AM127)),"")</f>
        <v>0</v>
      </c>
      <c r="BE127" s="34">
        <f>IFERROR(ABS(SUMIFS('TRA balance'!V$5:V$40,'TRA balance'!$C$5:$C$40,Assumptions!$AL127,'TRA balance'!$D$5:$D$40,Assumptions!$AM127)),"")</f>
        <v>0</v>
      </c>
      <c r="BF127" s="34">
        <f>IFERROR(ABS(SUMIFS('TRA balance'!W$5:W$40,'TRA balance'!$C$5:$C$40,Assumptions!$AL127,'TRA balance'!$D$5:$D$40,Assumptions!$AM127)),"")</f>
        <v>0</v>
      </c>
      <c r="BG127" s="34">
        <f>IFERROR(ABS(SUMIFS('TRA balance'!X$5:X$40,'TRA balance'!$C$5:$C$40,Assumptions!$AL127,'TRA balance'!$D$5:$D$40,Assumptions!$AM127)),"")</f>
        <v>0</v>
      </c>
      <c r="BH127" s="34">
        <f>IFERROR(ABS(SUMIFS('TRA balance'!Y$5:Y$40,'TRA balance'!$C$5:$C$40,Assumptions!$AL127,'TRA balance'!$D$5:$D$40,Assumptions!$AM127)),"")</f>
        <v>0</v>
      </c>
      <c r="BI127" s="34">
        <f>IFERROR(ABS(SUMIFS('TRA balance'!Z$5:Z$40,'TRA balance'!$C$5:$C$40,Assumptions!$AL127,'TRA balance'!$D$5:$D$40,Assumptions!$AM127)),"")</f>
        <v>0</v>
      </c>
      <c r="BJ127" s="34">
        <f>IFERROR(ABS(SUMIFS('TRA balance'!AA$5:AA$40,'TRA balance'!$C$5:$C$40,Assumptions!$AL127,'TRA balance'!$D$5:$D$40,Assumptions!$AM127)),"")</f>
        <v>0</v>
      </c>
      <c r="BK127" s="34">
        <f>IFERROR(ABS(SUMIFS('TRA balance'!AB$5:AB$40,'TRA balance'!$C$5:$C$40,Assumptions!$AL127,'TRA balance'!$D$5:$D$40,Assumptions!$AM127)),"")</f>
        <v>2.2015199231999998</v>
      </c>
      <c r="BL127" s="34">
        <f>IFERROR(ABS(SUMIFS('TRA balance'!AC$5:AC$40,'TRA balance'!$C$5:$C$40,Assumptions!$AL127,'TRA balance'!$D$5:$D$40,Assumptions!$AM127)),"")</f>
        <v>0</v>
      </c>
      <c r="BM127" s="34">
        <f>IFERROR(ABS(SUMIFS('TRA balance'!AD$5:AD$40,'TRA balance'!$C$5:$C$40,Assumptions!$AL127,'TRA balance'!$D$5:$D$40,Assumptions!$AM127)),"")</f>
        <v>0</v>
      </c>
      <c r="BN127" s="34">
        <f>IFERROR(ABS(SUMIFS('TRA balance'!AE$5:AE$40,'TRA balance'!$C$5:$C$40,Assumptions!$AL127,'TRA balance'!$D$5:$D$40,Assumptions!$AM127)),"")</f>
        <v>0</v>
      </c>
      <c r="BO127" s="34">
        <f>IFERROR(ABS(SUMIFS('TRA balance'!AF$5:AF$40,'TRA balance'!$C$5:$C$40,Assumptions!$AL127,'TRA balance'!$D$5:$D$40,Assumptions!$AM127)),"")</f>
        <v>0</v>
      </c>
      <c r="BP127" s="34">
        <f>IFERROR(ABS(SUMIFS('TRA balance'!AG$5:AG$40,'TRA balance'!$C$5:$C$40,Assumptions!$AL127,'TRA balance'!$D$5:$D$40,Assumptions!$AM127)),"")</f>
        <v>0</v>
      </c>
      <c r="BQ127" s="34">
        <f>IFERROR(ABS(SUMIFS('TRA balance'!AH$5:AH$40,'TRA balance'!$C$5:$C$40,Assumptions!$AL127,'TRA balance'!$D$5:$D$40,Assumptions!$AM127)),"")</f>
        <v>0</v>
      </c>
      <c r="BR127" s="27"/>
    </row>
    <row r="128" spans="3:70" x14ac:dyDescent="0.45">
      <c r="C128" t="str">
        <f t="shared" si="241"/>
        <v>NGA</v>
      </c>
      <c r="D128" t="str">
        <f t="shared" si="240"/>
        <v>TRH</v>
      </c>
      <c r="E128" t="s">
        <v>114</v>
      </c>
      <c r="F128" s="1">
        <v>4.6399999999999997E-2</v>
      </c>
      <c r="G128" s="1">
        <v>5.2200000000000003E-2</v>
      </c>
      <c r="H128" s="1">
        <v>5.4809999999999998E-2</v>
      </c>
      <c r="I128" s="1">
        <v>4.0599999999999997E-2</v>
      </c>
      <c r="J128" s="1">
        <v>4.9299999999999997E-2</v>
      </c>
      <c r="K128" s="1">
        <v>4.9299999999999997E-2</v>
      </c>
      <c r="L128" s="1">
        <v>4.9299999999999997E-2</v>
      </c>
      <c r="M128" s="1">
        <v>4.6399999999999997E-2</v>
      </c>
      <c r="N128" s="1">
        <v>5.2200000000000003E-2</v>
      </c>
      <c r="O128" s="1">
        <v>5.2200000000000003E-2</v>
      </c>
      <c r="P128" s="1">
        <v>4.9299999999999997E-2</v>
      </c>
      <c r="Q128" s="1">
        <v>4.6399999999999997E-2</v>
      </c>
      <c r="R128" s="1">
        <v>5.1040000000000002E-2</v>
      </c>
      <c r="S128" s="1">
        <v>5.2200000000000003E-2</v>
      </c>
      <c r="T128" s="1">
        <v>5.2200000000000003E-2</v>
      </c>
      <c r="AL128" s="27" t="s">
        <v>23</v>
      </c>
      <c r="AM128" s="27" t="s">
        <v>171</v>
      </c>
      <c r="AN128" s="34">
        <f>IFERROR(ABS(SUMIFS('TRA balance'!E$5:E$40,'TRA balance'!$C$5:$C$40,Assumptions!$AL128,'TRA balance'!$D$5:$D$40,Assumptions!$AM128)),"")</f>
        <v>0</v>
      </c>
      <c r="AO128" s="34">
        <f>IFERROR(ABS(SUMIFS('TRA balance'!F$5:F$40,'TRA balance'!$C$5:$C$40,Assumptions!$AL128,'TRA balance'!$D$5:$D$40,Assumptions!$AM128)),"")</f>
        <v>0</v>
      </c>
      <c r="AP128" s="34">
        <f>IFERROR(ABS(SUMIFS('TRA balance'!G$5:G$40,'TRA balance'!$C$5:$C$40,Assumptions!$AL128,'TRA balance'!$D$5:$D$40,Assumptions!$AM128)),"")</f>
        <v>0</v>
      </c>
      <c r="AQ128" s="34">
        <f>IFERROR(ABS(SUMIFS('TRA balance'!H$5:H$40,'TRA balance'!$C$5:$C$40,Assumptions!$AL128,'TRA balance'!$D$5:$D$40,Assumptions!$AM128)),"")</f>
        <v>0</v>
      </c>
      <c r="AR128" s="34">
        <f>IFERROR(ABS(SUMIFS('TRA balance'!I$5:I$40,'TRA balance'!$C$5:$C$40,Assumptions!$AL128,'TRA balance'!$D$5:$D$40,Assumptions!$AM128)),"")</f>
        <v>0</v>
      </c>
      <c r="AS128" s="34">
        <f>IFERROR(ABS(SUMIFS('TRA balance'!J$5:J$40,'TRA balance'!$C$5:$C$40,Assumptions!$AL128,'TRA balance'!$D$5:$D$40,Assumptions!$AM128)),"")</f>
        <v>0</v>
      </c>
      <c r="AT128" s="34">
        <f>IFERROR(ABS(SUMIFS('TRA balance'!K$5:K$40,'TRA balance'!$C$5:$C$40,Assumptions!$AL128,'TRA balance'!$D$5:$D$40,Assumptions!$AM128)),"")</f>
        <v>0</v>
      </c>
      <c r="AU128" s="34">
        <f>IFERROR(ABS(SUMIFS('TRA balance'!L$5:L$40,'TRA balance'!$C$5:$C$40,Assumptions!$AL128,'TRA balance'!$D$5:$D$40,Assumptions!$AM128)),"")</f>
        <v>0</v>
      </c>
      <c r="AV128" s="34">
        <f>IFERROR(ABS(SUMIFS('TRA balance'!M$5:M$40,'TRA balance'!$C$5:$C$40,Assumptions!$AL128,'TRA balance'!$D$5:$D$40,Assumptions!$AM128)),"")</f>
        <v>0</v>
      </c>
      <c r="AW128" s="34">
        <f>IFERROR(ABS(SUMIFS('TRA balance'!N$5:N$40,'TRA balance'!$C$5:$C$40,Assumptions!$AL128,'TRA balance'!$D$5:$D$40,Assumptions!$AM128)),"")</f>
        <v>0</v>
      </c>
      <c r="AX128" s="34">
        <f>IFERROR(ABS(SUMIFS('TRA balance'!O$5:O$40,'TRA balance'!$C$5:$C$40,Assumptions!$AL128,'TRA balance'!$D$5:$D$40,Assumptions!$AM128)),"")</f>
        <v>0</v>
      </c>
      <c r="AY128" s="34">
        <f>IFERROR(ABS(SUMIFS('TRA balance'!P$5:P$40,'TRA balance'!$C$5:$C$40,Assumptions!$AL128,'TRA balance'!$D$5:$D$40,Assumptions!$AM128)),"")</f>
        <v>0</v>
      </c>
      <c r="AZ128" s="34">
        <f>IFERROR(ABS(SUMIFS('TRA balance'!Q$5:Q$40,'TRA balance'!$C$5:$C$40,Assumptions!$AL128,'TRA balance'!$D$5:$D$40,Assumptions!$AM128)),"")</f>
        <v>0</v>
      </c>
      <c r="BA128" s="34">
        <f>IFERROR(ABS(SUMIFS('TRA balance'!R$5:R$40,'TRA balance'!$C$5:$C$40,Assumptions!$AL128,'TRA balance'!$D$5:$D$40,Assumptions!$AM128)),"")</f>
        <v>0</v>
      </c>
      <c r="BB128" s="34">
        <f>IFERROR(ABS(SUMIFS('TRA balance'!S$5:S$40,'TRA balance'!$C$5:$C$40,Assumptions!$AL128,'TRA balance'!$D$5:$D$40,Assumptions!$AM128)),"")</f>
        <v>0</v>
      </c>
      <c r="BC128" s="34">
        <f>IFERROR(ABS(SUMIFS('TRA balance'!T$5:T$40,'TRA balance'!$C$5:$C$40,Assumptions!$AL128,'TRA balance'!$D$5:$D$40,Assumptions!$AM128)),"")</f>
        <v>0</v>
      </c>
      <c r="BD128" s="34">
        <f>IFERROR(ABS(SUMIFS('TRA balance'!U$5:U$40,'TRA balance'!$C$5:$C$40,Assumptions!$AL128,'TRA balance'!$D$5:$D$40,Assumptions!$AM128)),"")</f>
        <v>0</v>
      </c>
      <c r="BE128" s="34">
        <f>IFERROR(ABS(SUMIFS('TRA balance'!V$5:V$40,'TRA balance'!$C$5:$C$40,Assumptions!$AL128,'TRA balance'!$D$5:$D$40,Assumptions!$AM128)),"")</f>
        <v>0</v>
      </c>
      <c r="BF128" s="34">
        <f>IFERROR(ABS(SUMIFS('TRA balance'!W$5:W$40,'TRA balance'!$C$5:$C$40,Assumptions!$AL128,'TRA balance'!$D$5:$D$40,Assumptions!$AM128)),"")</f>
        <v>0</v>
      </c>
      <c r="BG128" s="34">
        <f>IFERROR(ABS(SUMIFS('TRA balance'!X$5:X$40,'TRA balance'!$C$5:$C$40,Assumptions!$AL128,'TRA balance'!$D$5:$D$40,Assumptions!$AM128)),"")</f>
        <v>0</v>
      </c>
      <c r="BH128" s="34">
        <f>IFERROR(ABS(SUMIFS('TRA balance'!Y$5:Y$40,'TRA balance'!$C$5:$C$40,Assumptions!$AL128,'TRA balance'!$D$5:$D$40,Assumptions!$AM128)),"")</f>
        <v>0</v>
      </c>
      <c r="BI128" s="34">
        <f>IFERROR(ABS(SUMIFS('TRA balance'!Z$5:Z$40,'TRA balance'!$C$5:$C$40,Assumptions!$AL128,'TRA balance'!$D$5:$D$40,Assumptions!$AM128)),"")</f>
        <v>0</v>
      </c>
      <c r="BJ128" s="34">
        <f>IFERROR(ABS(SUMIFS('TRA balance'!AA$5:AA$40,'TRA balance'!$C$5:$C$40,Assumptions!$AL128,'TRA balance'!$D$5:$D$40,Assumptions!$AM128)),"")</f>
        <v>0</v>
      </c>
      <c r="BK128" s="34">
        <f>IFERROR(ABS(SUMIFS('TRA balance'!AB$5:AB$40,'TRA balance'!$C$5:$C$40,Assumptions!$AL128,'TRA balance'!$D$5:$D$40,Assumptions!$AM128)),"")</f>
        <v>0</v>
      </c>
      <c r="BL128" s="34">
        <f>IFERROR(ABS(SUMIFS('TRA balance'!AC$5:AC$40,'TRA balance'!$C$5:$C$40,Assumptions!$AL128,'TRA balance'!$D$5:$D$40,Assumptions!$AM128)),"")</f>
        <v>0</v>
      </c>
      <c r="BM128" s="34">
        <f>IFERROR(ABS(SUMIFS('TRA balance'!AD$5:AD$40,'TRA balance'!$C$5:$C$40,Assumptions!$AL128,'TRA balance'!$D$5:$D$40,Assumptions!$AM128)),"")</f>
        <v>0</v>
      </c>
      <c r="BN128" s="34">
        <f>IFERROR(ABS(SUMIFS('TRA balance'!AE$5:AE$40,'TRA balance'!$C$5:$C$40,Assumptions!$AL128,'TRA balance'!$D$5:$D$40,Assumptions!$AM128)),"")</f>
        <v>0</v>
      </c>
      <c r="BO128" s="34">
        <f>IFERROR(ABS(SUMIFS('TRA balance'!AF$5:AF$40,'TRA balance'!$C$5:$C$40,Assumptions!$AL128,'TRA balance'!$D$5:$D$40,Assumptions!$AM128)),"")</f>
        <v>0</v>
      </c>
      <c r="BP128" s="34">
        <f>IFERROR(ABS(SUMIFS('TRA balance'!AG$5:AG$40,'TRA balance'!$C$5:$C$40,Assumptions!$AL128,'TRA balance'!$D$5:$D$40,Assumptions!$AM128)),"")</f>
        <v>0</v>
      </c>
      <c r="BQ128" s="34">
        <f>IFERROR(ABS(SUMIFS('TRA balance'!AH$5:AH$40,'TRA balance'!$C$5:$C$40,Assumptions!$AL128,'TRA balance'!$D$5:$D$40,Assumptions!$AM128)),"")</f>
        <v>0</v>
      </c>
      <c r="BR128" s="27"/>
    </row>
    <row r="129" spans="3:69" x14ac:dyDescent="0.45">
      <c r="C129" t="str">
        <f t="shared" si="241"/>
        <v>DST</v>
      </c>
      <c r="D129" t="str">
        <f t="shared" si="240"/>
        <v>TRL</v>
      </c>
      <c r="E129" t="s">
        <v>95</v>
      </c>
      <c r="F129" s="1">
        <v>0.18304000000000001</v>
      </c>
      <c r="G129" s="1">
        <v>0.21736</v>
      </c>
      <c r="H129" s="1">
        <v>0.20748</v>
      </c>
      <c r="I129" s="1">
        <v>0.20591999999999999</v>
      </c>
      <c r="J129" s="1">
        <v>0.18304000000000001</v>
      </c>
      <c r="K129" s="1">
        <v>0.18304000000000001</v>
      </c>
      <c r="L129" s="1">
        <v>0.18304000000000001</v>
      </c>
      <c r="M129" s="1">
        <v>0.17471999999999999</v>
      </c>
      <c r="N129" s="1">
        <v>0.21736</v>
      </c>
      <c r="O129" s="1">
        <v>0.21736</v>
      </c>
      <c r="P129" s="1">
        <v>0.18304000000000001</v>
      </c>
      <c r="Q129" s="1">
        <v>0.19968</v>
      </c>
      <c r="R129" s="1">
        <v>0.18304000000000001</v>
      </c>
      <c r="S129" s="1">
        <v>0.1976</v>
      </c>
      <c r="T129" s="1">
        <v>0.20748</v>
      </c>
      <c r="AL129" s="27" t="s">
        <v>23</v>
      </c>
      <c r="AM129" s="27" t="s">
        <v>170</v>
      </c>
      <c r="AN129" s="34">
        <f>IFERROR(ABS(SUMIFS('TRA balance'!E$5:E$40,'TRA balance'!$C$5:$C$40,Assumptions!$AL129,'TRA balance'!$D$5:$D$40,Assumptions!$AM129)),"")</f>
        <v>0</v>
      </c>
      <c r="AO129" s="34">
        <f>IFERROR(ABS(SUMIFS('TRA balance'!F$5:F$40,'TRA balance'!$C$5:$C$40,Assumptions!$AL129,'TRA balance'!$D$5:$D$40,Assumptions!$AM129)),"")</f>
        <v>0</v>
      </c>
      <c r="AP129" s="34">
        <f>IFERROR(ABS(SUMIFS('TRA balance'!G$5:G$40,'TRA balance'!$C$5:$C$40,Assumptions!$AL129,'TRA balance'!$D$5:$D$40,Assumptions!$AM129)),"")</f>
        <v>0</v>
      </c>
      <c r="AQ129" s="34">
        <f>IFERROR(ABS(SUMIFS('TRA balance'!H$5:H$40,'TRA balance'!$C$5:$C$40,Assumptions!$AL129,'TRA balance'!$D$5:$D$40,Assumptions!$AM129)),"")</f>
        <v>0</v>
      </c>
      <c r="AR129" s="34">
        <f>IFERROR(ABS(SUMIFS('TRA balance'!I$5:I$40,'TRA balance'!$C$5:$C$40,Assumptions!$AL129,'TRA balance'!$D$5:$D$40,Assumptions!$AM129)),"")</f>
        <v>0</v>
      </c>
      <c r="AS129" s="34">
        <f>IFERROR(ABS(SUMIFS('TRA balance'!J$5:J$40,'TRA balance'!$C$5:$C$40,Assumptions!$AL129,'TRA balance'!$D$5:$D$40,Assumptions!$AM129)),"")</f>
        <v>0</v>
      </c>
      <c r="AT129" s="34">
        <f>IFERROR(ABS(SUMIFS('TRA balance'!K$5:K$40,'TRA balance'!$C$5:$C$40,Assumptions!$AL129,'TRA balance'!$D$5:$D$40,Assumptions!$AM129)),"")</f>
        <v>0</v>
      </c>
      <c r="AU129" s="34">
        <f>IFERROR(ABS(SUMIFS('TRA balance'!L$5:L$40,'TRA balance'!$C$5:$C$40,Assumptions!$AL129,'TRA balance'!$D$5:$D$40,Assumptions!$AM129)),"")</f>
        <v>6.1607003544000003</v>
      </c>
      <c r="AV129" s="34">
        <f>IFERROR(ABS(SUMIFS('TRA balance'!M$5:M$40,'TRA balance'!$C$5:$C$40,Assumptions!$AL129,'TRA balance'!$D$5:$D$40,Assumptions!$AM129)),"")</f>
        <v>0</v>
      </c>
      <c r="AW129" s="34">
        <f>IFERROR(ABS(SUMIFS('TRA balance'!N$5:N$40,'TRA balance'!$C$5:$C$40,Assumptions!$AL129,'TRA balance'!$D$5:$D$40,Assumptions!$AM129)),"")</f>
        <v>0</v>
      </c>
      <c r="AX129" s="34">
        <f>IFERROR(ABS(SUMIFS('TRA balance'!O$5:O$40,'TRA balance'!$C$5:$C$40,Assumptions!$AL129,'TRA balance'!$D$5:$D$40,Assumptions!$AM129)),"")</f>
        <v>0</v>
      </c>
      <c r="AY129" s="34">
        <f>IFERROR(ABS(SUMIFS('TRA balance'!P$5:P$40,'TRA balance'!$C$5:$C$40,Assumptions!$AL129,'TRA balance'!$D$5:$D$40,Assumptions!$AM129)),"")</f>
        <v>2.3990364E-2</v>
      </c>
      <c r="AZ129" s="34">
        <f>IFERROR(ABS(SUMIFS('TRA balance'!Q$5:Q$40,'TRA balance'!$C$5:$C$40,Assumptions!$AL129,'TRA balance'!$D$5:$D$40,Assumptions!$AM129)),"")</f>
        <v>0</v>
      </c>
      <c r="BA129" s="34">
        <f>IFERROR(ABS(SUMIFS('TRA balance'!R$5:R$40,'TRA balance'!$C$5:$C$40,Assumptions!$AL129,'TRA balance'!$D$5:$D$40,Assumptions!$AM129)),"")</f>
        <v>0</v>
      </c>
      <c r="BB129" s="34">
        <f>IFERROR(ABS(SUMIFS('TRA balance'!S$5:S$40,'TRA balance'!$C$5:$C$40,Assumptions!$AL129,'TRA balance'!$D$5:$D$40,Assumptions!$AM129)),"")</f>
        <v>0</v>
      </c>
      <c r="BC129" s="34">
        <f>IFERROR(ABS(SUMIFS('TRA balance'!T$5:T$40,'TRA balance'!$C$5:$C$40,Assumptions!$AL129,'TRA balance'!$D$5:$D$40,Assumptions!$AM129)),"")</f>
        <v>0</v>
      </c>
      <c r="BD129" s="34">
        <f>IFERROR(ABS(SUMIFS('TRA balance'!U$5:U$40,'TRA balance'!$C$5:$C$40,Assumptions!$AL129,'TRA balance'!$D$5:$D$40,Assumptions!$AM129)),"")</f>
        <v>0</v>
      </c>
      <c r="BE129" s="34">
        <f>IFERROR(ABS(SUMIFS('TRA balance'!V$5:V$40,'TRA balance'!$C$5:$C$40,Assumptions!$AL129,'TRA balance'!$D$5:$D$40,Assumptions!$AM129)),"")</f>
        <v>0</v>
      </c>
      <c r="BF129" s="34">
        <f>IFERROR(ABS(SUMIFS('TRA balance'!W$5:W$40,'TRA balance'!$C$5:$C$40,Assumptions!$AL129,'TRA balance'!$D$5:$D$40,Assumptions!$AM129)),"")</f>
        <v>0</v>
      </c>
      <c r="BG129" s="34">
        <f>IFERROR(ABS(SUMIFS('TRA balance'!X$5:X$40,'TRA balance'!$C$5:$C$40,Assumptions!$AL129,'TRA balance'!$D$5:$D$40,Assumptions!$AM129)),"")</f>
        <v>0</v>
      </c>
      <c r="BH129" s="34">
        <f>IFERROR(ABS(SUMIFS('TRA balance'!Y$5:Y$40,'TRA balance'!$C$5:$C$40,Assumptions!$AL129,'TRA balance'!$D$5:$D$40,Assumptions!$AM129)),"")</f>
        <v>0</v>
      </c>
      <c r="BI129" s="34">
        <f>IFERROR(ABS(SUMIFS('TRA balance'!Z$5:Z$40,'TRA balance'!$C$5:$C$40,Assumptions!$AL129,'TRA balance'!$D$5:$D$40,Assumptions!$AM129)),"")</f>
        <v>2.5819618788000001</v>
      </c>
      <c r="BJ129" s="34">
        <f>IFERROR(ABS(SUMIFS('TRA balance'!AA$5:AA$40,'TRA balance'!$C$5:$C$40,Assumptions!$AL129,'TRA balance'!$D$5:$D$40,Assumptions!$AM129)),"")</f>
        <v>0</v>
      </c>
      <c r="BK129" s="34">
        <f>IFERROR(ABS(SUMIFS('TRA balance'!AB$5:AB$40,'TRA balance'!$C$5:$C$40,Assumptions!$AL129,'TRA balance'!$D$5:$D$40,Assumptions!$AM129)),"")</f>
        <v>0</v>
      </c>
      <c r="BL129" s="34">
        <f>IFERROR(ABS(SUMIFS('TRA balance'!AC$5:AC$40,'TRA balance'!$C$5:$C$40,Assumptions!$AL129,'TRA balance'!$D$5:$D$40,Assumptions!$AM129)),"")</f>
        <v>0</v>
      </c>
      <c r="BM129" s="34">
        <f>IFERROR(ABS(SUMIFS('TRA balance'!AD$5:AD$40,'TRA balance'!$C$5:$C$40,Assumptions!$AL129,'TRA balance'!$D$5:$D$40,Assumptions!$AM129)),"")</f>
        <v>0</v>
      </c>
      <c r="BN129" s="34">
        <f>IFERROR(ABS(SUMIFS('TRA balance'!AE$5:AE$40,'TRA balance'!$C$5:$C$40,Assumptions!$AL129,'TRA balance'!$D$5:$D$40,Assumptions!$AM129)),"")</f>
        <v>0</v>
      </c>
      <c r="BO129" s="34">
        <f>IFERROR(ABS(SUMIFS('TRA balance'!AF$5:AF$40,'TRA balance'!$C$5:$C$40,Assumptions!$AL129,'TRA balance'!$D$5:$D$40,Assumptions!$AM129)),"")</f>
        <v>0</v>
      </c>
      <c r="BP129" s="34">
        <f>IFERROR(ABS(SUMIFS('TRA balance'!AG$5:AG$40,'TRA balance'!$C$5:$C$40,Assumptions!$AL129,'TRA balance'!$D$5:$D$40,Assumptions!$AM129)),"")</f>
        <v>0</v>
      </c>
      <c r="BQ129" s="34">
        <f>IFERROR(ABS(SUMIFS('TRA balance'!AH$5:AH$40,'TRA balance'!$C$5:$C$40,Assumptions!$AL129,'TRA balance'!$D$5:$D$40,Assumptions!$AM129)),"")</f>
        <v>0</v>
      </c>
    </row>
    <row r="130" spans="3:69" x14ac:dyDescent="0.45">
      <c r="C130" t="str">
        <f t="shared" si="241"/>
        <v>ELC</v>
      </c>
      <c r="D130" t="str">
        <f t="shared" si="240"/>
        <v>TRL</v>
      </c>
      <c r="E130" t="s">
        <v>96</v>
      </c>
      <c r="F130" s="1">
        <v>0.4224</v>
      </c>
      <c r="G130" s="1">
        <v>0.50160000000000005</v>
      </c>
      <c r="H130" s="1">
        <v>0.4788</v>
      </c>
      <c r="I130" s="1">
        <v>0.47520000000000001</v>
      </c>
      <c r="J130" s="1">
        <v>0.4224</v>
      </c>
      <c r="K130" s="1">
        <v>0.4224</v>
      </c>
      <c r="L130" s="1">
        <v>0.4224</v>
      </c>
      <c r="M130" s="1">
        <v>0.4032</v>
      </c>
      <c r="N130" s="1">
        <v>0.50160000000000005</v>
      </c>
      <c r="O130" s="1">
        <v>0.50160000000000005</v>
      </c>
      <c r="P130" s="1">
        <v>0.4224</v>
      </c>
      <c r="Q130" s="1">
        <v>0.46079999999999999</v>
      </c>
      <c r="R130" s="1">
        <v>0.4224</v>
      </c>
      <c r="S130" s="1">
        <v>0.45600000000000002</v>
      </c>
      <c r="T130" s="1">
        <v>0.4788</v>
      </c>
      <c r="AL130" s="27" t="s">
        <v>23</v>
      </c>
      <c r="AM130" s="27" t="s">
        <v>34</v>
      </c>
      <c r="AN130" s="34">
        <f>IFERROR(ABS(SUMIFS('TRA balance'!E$5:E$40,'TRA balance'!$C$5:$C$40,Assumptions!$AL130,'TRA balance'!$D$5:$D$40,Assumptions!$AM130)),"")</f>
        <v>0</v>
      </c>
      <c r="AO130" s="34">
        <f>IFERROR(ABS(SUMIFS('TRA balance'!F$5:F$40,'TRA balance'!$C$5:$C$40,Assumptions!$AL130,'TRA balance'!$D$5:$D$40,Assumptions!$AM130)),"")</f>
        <v>2.3701893479999998</v>
      </c>
      <c r="AP130" s="34">
        <f>IFERROR(ABS(SUMIFS('TRA balance'!G$5:G$40,'TRA balance'!$C$5:$C$40,Assumptions!$AL130,'TRA balance'!$D$5:$D$40,Assumptions!$AM130)),"")</f>
        <v>0</v>
      </c>
      <c r="AQ130" s="34">
        <f>IFERROR(ABS(SUMIFS('TRA balance'!H$5:H$40,'TRA balance'!$C$5:$C$40,Assumptions!$AL130,'TRA balance'!$D$5:$D$40,Assumptions!$AM130)),"")</f>
        <v>0.50052775319999998</v>
      </c>
      <c r="AR130" s="34">
        <f>IFERROR(ABS(SUMIFS('TRA balance'!I$5:I$40,'TRA balance'!$C$5:$C$40,Assumptions!$AL130,'TRA balance'!$D$5:$D$40,Assumptions!$AM130)),"")</f>
        <v>0</v>
      </c>
      <c r="AS130" s="34">
        <f>IFERROR(ABS(SUMIFS('TRA balance'!J$5:J$40,'TRA balance'!$C$5:$C$40,Assumptions!$AL130,'TRA balance'!$D$5:$D$40,Assumptions!$AM130)),"")</f>
        <v>0</v>
      </c>
      <c r="AT130" s="34">
        <f>IFERROR(ABS(SUMIFS('TRA balance'!K$5:K$40,'TRA balance'!$C$5:$C$40,Assumptions!$AL130,'TRA balance'!$D$5:$D$40,Assumptions!$AM130)),"")</f>
        <v>0</v>
      </c>
      <c r="AU130" s="34">
        <f>IFERROR(ABS(SUMIFS('TRA balance'!L$5:L$40,'TRA balance'!$C$5:$C$40,Assumptions!$AL130,'TRA balance'!$D$5:$D$40,Assumptions!$AM130)),"")</f>
        <v>0</v>
      </c>
      <c r="AV130" s="34">
        <f>IFERROR(ABS(SUMIFS('TRA balance'!M$5:M$40,'TRA balance'!$C$5:$C$40,Assumptions!$AL130,'TRA balance'!$D$5:$D$40,Assumptions!$AM130)),"")</f>
        <v>22.4800010208</v>
      </c>
      <c r="AW130" s="34">
        <f>IFERROR(ABS(SUMIFS('TRA balance'!N$5:N$40,'TRA balance'!$C$5:$C$40,Assumptions!$AL130,'TRA balance'!$D$5:$D$40,Assumptions!$AM130)),"")</f>
        <v>1314.7580152476</v>
      </c>
      <c r="AX130" s="34">
        <f>IFERROR(ABS(SUMIFS('TRA balance'!O$5:O$40,'TRA balance'!$C$5:$C$40,Assumptions!$AL130,'TRA balance'!$D$5:$D$40,Assumptions!$AM130)),"")</f>
        <v>0</v>
      </c>
      <c r="AY130" s="34">
        <f>IFERROR(ABS(SUMIFS('TRA balance'!P$5:P$40,'TRA balance'!$C$5:$C$40,Assumptions!$AL130,'TRA balance'!$D$5:$D$40,Assumptions!$AM130)),"")</f>
        <v>1.10364048E-2</v>
      </c>
      <c r="AZ130" s="34">
        <f>IFERROR(ABS(SUMIFS('TRA balance'!Q$5:Q$40,'TRA balance'!$C$5:$C$40,Assumptions!$AL130,'TRA balance'!$D$5:$D$40,Assumptions!$AM130)),"")</f>
        <v>0</v>
      </c>
      <c r="BA130" s="34">
        <f>IFERROR(ABS(SUMIFS('TRA balance'!R$5:R$40,'TRA balance'!$C$5:$C$40,Assumptions!$AL130,'TRA balance'!$D$5:$D$40,Assumptions!$AM130)),"")</f>
        <v>1.1388096E-2</v>
      </c>
      <c r="BB130" s="34">
        <f>IFERROR(ABS(SUMIFS('TRA balance'!S$5:S$40,'TRA balance'!$C$5:$C$40,Assumptions!$AL130,'TRA balance'!$D$5:$D$40,Assumptions!$AM130)),"")</f>
        <v>4.7114060399999998E-2</v>
      </c>
      <c r="BC130" s="34">
        <f>IFERROR(ABS(SUMIFS('TRA balance'!T$5:T$40,'TRA balance'!$C$5:$C$40,Assumptions!$AL130,'TRA balance'!$D$5:$D$40,Assumptions!$AM130)),"")</f>
        <v>0</v>
      </c>
      <c r="BD130" s="34">
        <f>IFERROR(ABS(SUMIFS('TRA balance'!U$5:U$40,'TRA balance'!$C$5:$C$40,Assumptions!$AL130,'TRA balance'!$D$5:$D$40,Assumptions!$AM130)),"")</f>
        <v>15.3699018984</v>
      </c>
      <c r="BE130" s="34">
        <f>IFERROR(ABS(SUMIFS('TRA balance'!V$5:V$40,'TRA balance'!$C$5:$C$40,Assumptions!$AL130,'TRA balance'!$D$5:$D$40,Assumptions!$AM130)),"")</f>
        <v>0</v>
      </c>
      <c r="BF130" s="34">
        <f>IFERROR(ABS(SUMIFS('TRA balance'!W$5:W$40,'TRA balance'!$C$5:$C$40,Assumptions!$AL130,'TRA balance'!$D$5:$D$40,Assumptions!$AM130)),"")</f>
        <v>0</v>
      </c>
      <c r="BG130" s="34">
        <f>IFERROR(ABS(SUMIFS('TRA balance'!X$5:X$40,'TRA balance'!$C$5:$C$40,Assumptions!$AL130,'TRA balance'!$D$5:$D$40,Assumptions!$AM130)),"")</f>
        <v>0</v>
      </c>
      <c r="BH130" s="34">
        <f>IFERROR(ABS(SUMIFS('TRA balance'!Y$5:Y$40,'TRA balance'!$C$5:$C$40,Assumptions!$AL130,'TRA balance'!$D$5:$D$40,Assumptions!$AM130)),"")</f>
        <v>0.37424549159999998</v>
      </c>
      <c r="BI130" s="34">
        <f>IFERROR(ABS(SUMIFS('TRA balance'!Z$5:Z$40,'TRA balance'!$C$5:$C$40,Assumptions!$AL130,'TRA balance'!$D$5:$D$40,Assumptions!$AM130)),"")</f>
        <v>0</v>
      </c>
      <c r="BJ130" s="34">
        <f>IFERROR(ABS(SUMIFS('TRA balance'!AA$5:AA$40,'TRA balance'!$C$5:$C$40,Assumptions!$AL130,'TRA balance'!$D$5:$D$40,Assumptions!$AM130)),"")</f>
        <v>1.7316018648</v>
      </c>
      <c r="BK130" s="34">
        <f>IFERROR(ABS(SUMIFS('TRA balance'!AB$5:AB$40,'TRA balance'!$C$5:$C$40,Assumptions!$AL130,'TRA balance'!$D$5:$D$40,Assumptions!$AM130)),"")</f>
        <v>7.9440343199999999E-2</v>
      </c>
      <c r="BL130" s="34">
        <f>IFERROR(ABS(SUMIFS('TRA balance'!AC$5:AC$40,'TRA balance'!$C$5:$C$40,Assumptions!$AL130,'TRA balance'!$D$5:$D$40,Assumptions!$AM130)),"")</f>
        <v>0</v>
      </c>
      <c r="BM130" s="34">
        <f>IFERROR(ABS(SUMIFS('TRA balance'!AD$5:AD$40,'TRA balance'!$C$5:$C$40,Assumptions!$AL130,'TRA balance'!$D$5:$D$40,Assumptions!$AM130)),"")</f>
        <v>0</v>
      </c>
      <c r="BN130" s="34">
        <f>IFERROR(ABS(SUMIFS('TRA balance'!AE$5:AE$40,'TRA balance'!$C$5:$C$40,Assumptions!$AL130,'TRA balance'!$D$5:$D$40,Assumptions!$AM130)),"")</f>
        <v>3.6019249740000001</v>
      </c>
      <c r="BO130" s="34">
        <f>IFERROR(ABS(SUMIFS('TRA balance'!AF$5:AF$40,'TRA balance'!$C$5:$C$40,Assumptions!$AL130,'TRA balance'!$D$5:$D$40,Assumptions!$AM130)),"")</f>
        <v>0</v>
      </c>
      <c r="BP130" s="34">
        <f>IFERROR(ABS(SUMIFS('TRA balance'!AG$5:AG$40,'TRA balance'!$C$5:$C$40,Assumptions!$AL130,'TRA balance'!$D$5:$D$40,Assumptions!$AM130)),"")</f>
        <v>0</v>
      </c>
      <c r="BQ130" s="34">
        <f>IFERROR(ABS(SUMIFS('TRA balance'!AH$5:AH$40,'TRA balance'!$C$5:$C$40,Assumptions!$AL130,'TRA balance'!$D$5:$D$40,Assumptions!$AM130)),"")</f>
        <v>0</v>
      </c>
    </row>
    <row r="131" spans="3:69" x14ac:dyDescent="0.45">
      <c r="C131" t="str">
        <f t="shared" si="241"/>
        <v>ETH</v>
      </c>
      <c r="D131" t="str">
        <f t="shared" si="240"/>
        <v>TRL</v>
      </c>
      <c r="E131" t="s">
        <v>97</v>
      </c>
      <c r="F131" s="1">
        <v>0.14784</v>
      </c>
      <c r="G131" s="1">
        <v>0.17555999999999999</v>
      </c>
      <c r="H131" s="1">
        <v>0.16758000000000001</v>
      </c>
      <c r="I131" s="1">
        <v>0.16632</v>
      </c>
      <c r="J131" s="1">
        <v>0.14784</v>
      </c>
      <c r="K131" s="1">
        <v>0.14784</v>
      </c>
      <c r="L131" s="1">
        <v>0.14784</v>
      </c>
      <c r="M131" s="1">
        <v>0.14112</v>
      </c>
      <c r="N131" s="1">
        <v>0.17555999999999999</v>
      </c>
      <c r="O131" s="1">
        <v>0.17555999999999999</v>
      </c>
      <c r="P131" s="1">
        <v>0.14784</v>
      </c>
      <c r="Q131" s="1">
        <v>0.16128000000000001</v>
      </c>
      <c r="R131" s="1">
        <v>0.14784</v>
      </c>
      <c r="S131" s="1">
        <v>0.15959999999999999</v>
      </c>
      <c r="T131" s="1">
        <v>0.16758000000000001</v>
      </c>
      <c r="AL131" s="27" t="s">
        <v>23</v>
      </c>
      <c r="AM131" s="27" t="s">
        <v>35</v>
      </c>
      <c r="AN131" s="34">
        <f>IFERROR(ABS(SUMIFS('TRA balance'!E$5:E$40,'TRA balance'!$C$5:$C$40,Assumptions!$AL131,'TRA balance'!$D$5:$D$40,Assumptions!$AM131)),"")</f>
        <v>0</v>
      </c>
      <c r="AO131" s="34">
        <f>IFERROR(ABS(SUMIFS('TRA balance'!F$5:F$40,'TRA balance'!$C$5:$C$40,Assumptions!$AL131,'TRA balance'!$D$5:$D$40,Assumptions!$AM131)),"")</f>
        <v>0</v>
      </c>
      <c r="AP131" s="34">
        <f>IFERROR(ABS(SUMIFS('TRA balance'!G$5:G$40,'TRA balance'!$C$5:$C$40,Assumptions!$AL131,'TRA balance'!$D$5:$D$40,Assumptions!$AM131)),"")</f>
        <v>0</v>
      </c>
      <c r="AQ131" s="34">
        <f>IFERROR(ABS(SUMIFS('TRA balance'!H$5:H$40,'TRA balance'!$C$5:$C$40,Assumptions!$AL131,'TRA balance'!$D$5:$D$40,Assumptions!$AM131)),"")</f>
        <v>0</v>
      </c>
      <c r="AR131" s="34">
        <f>IFERROR(ABS(SUMIFS('TRA balance'!I$5:I$40,'TRA balance'!$C$5:$C$40,Assumptions!$AL131,'TRA balance'!$D$5:$D$40,Assumptions!$AM131)),"")</f>
        <v>0</v>
      </c>
      <c r="AS131" s="34">
        <f>IFERROR(ABS(SUMIFS('TRA balance'!J$5:J$40,'TRA balance'!$C$5:$C$40,Assumptions!$AL131,'TRA balance'!$D$5:$D$40,Assumptions!$AM131)),"")</f>
        <v>0</v>
      </c>
      <c r="AT131" s="34">
        <f>IFERROR(ABS(SUMIFS('TRA balance'!K$5:K$40,'TRA balance'!$C$5:$C$40,Assumptions!$AL131,'TRA balance'!$D$5:$D$40,Assumptions!$AM131)),"")</f>
        <v>0</v>
      </c>
      <c r="AU131" s="34">
        <f>IFERROR(ABS(SUMIFS('TRA balance'!L$5:L$40,'TRA balance'!$C$5:$C$40,Assumptions!$AL131,'TRA balance'!$D$5:$D$40,Assumptions!$AM131)),"")</f>
        <v>0</v>
      </c>
      <c r="AV131" s="34">
        <f>IFERROR(ABS(SUMIFS('TRA balance'!M$5:M$40,'TRA balance'!$C$5:$C$40,Assumptions!$AL131,'TRA balance'!$D$5:$D$40,Assumptions!$AM131)),"")</f>
        <v>0</v>
      </c>
      <c r="AW131" s="34">
        <f>IFERROR(ABS(SUMIFS('TRA balance'!N$5:N$40,'TRA balance'!$C$5:$C$40,Assumptions!$AL131,'TRA balance'!$D$5:$D$40,Assumptions!$AM131)),"")</f>
        <v>0</v>
      </c>
      <c r="AX131" s="34">
        <f>IFERROR(ABS(SUMIFS('TRA balance'!O$5:O$40,'TRA balance'!$C$5:$C$40,Assumptions!$AL131,'TRA balance'!$D$5:$D$40,Assumptions!$AM131)),"")</f>
        <v>0</v>
      </c>
      <c r="AY131" s="34">
        <f>IFERROR(ABS(SUMIFS('TRA balance'!P$5:P$40,'TRA balance'!$C$5:$C$40,Assumptions!$AL131,'TRA balance'!$D$5:$D$40,Assumptions!$AM131)),"")</f>
        <v>0</v>
      </c>
      <c r="AZ131" s="34">
        <f>IFERROR(ABS(SUMIFS('TRA balance'!Q$5:Q$40,'TRA balance'!$C$5:$C$40,Assumptions!$AL131,'TRA balance'!$D$5:$D$40,Assumptions!$AM131)),"")</f>
        <v>0</v>
      </c>
      <c r="BA131" s="34">
        <f>IFERROR(ABS(SUMIFS('TRA balance'!R$5:R$40,'TRA balance'!$C$5:$C$40,Assumptions!$AL131,'TRA balance'!$D$5:$D$40,Assumptions!$AM131)),"")</f>
        <v>0</v>
      </c>
      <c r="BB131" s="34">
        <f>IFERROR(ABS(SUMIFS('TRA balance'!S$5:S$40,'TRA balance'!$C$5:$C$40,Assumptions!$AL131,'TRA balance'!$D$5:$D$40,Assumptions!$AM131)),"")</f>
        <v>0</v>
      </c>
      <c r="BC131" s="34">
        <f>IFERROR(ABS(SUMIFS('TRA balance'!T$5:T$40,'TRA balance'!$C$5:$C$40,Assumptions!$AL131,'TRA balance'!$D$5:$D$40,Assumptions!$AM131)),"")</f>
        <v>0</v>
      </c>
      <c r="BD131" s="34">
        <f>IFERROR(ABS(SUMIFS('TRA balance'!U$5:U$40,'TRA balance'!$C$5:$C$40,Assumptions!$AL131,'TRA balance'!$D$5:$D$40,Assumptions!$AM131)),"")</f>
        <v>0</v>
      </c>
      <c r="BE131" s="34">
        <f>IFERROR(ABS(SUMIFS('TRA balance'!V$5:V$40,'TRA balance'!$C$5:$C$40,Assumptions!$AL131,'TRA balance'!$D$5:$D$40,Assumptions!$AM131)),"")</f>
        <v>0</v>
      </c>
      <c r="BF131" s="34">
        <f>IFERROR(ABS(SUMIFS('TRA balance'!W$5:W$40,'TRA balance'!$C$5:$C$40,Assumptions!$AL131,'TRA balance'!$D$5:$D$40,Assumptions!$AM131)),"")</f>
        <v>0</v>
      </c>
      <c r="BG131" s="34">
        <f>IFERROR(ABS(SUMIFS('TRA balance'!X$5:X$40,'TRA balance'!$C$5:$C$40,Assumptions!$AL131,'TRA balance'!$D$5:$D$40,Assumptions!$AM131)),"")</f>
        <v>0</v>
      </c>
      <c r="BH131" s="34">
        <f>IFERROR(ABS(SUMIFS('TRA balance'!Y$5:Y$40,'TRA balance'!$C$5:$C$40,Assumptions!$AL131,'TRA balance'!$D$5:$D$40,Assumptions!$AM131)),"")</f>
        <v>0</v>
      </c>
      <c r="BI131" s="34">
        <f>IFERROR(ABS(SUMIFS('TRA balance'!Z$5:Z$40,'TRA balance'!$C$5:$C$40,Assumptions!$AL131,'TRA balance'!$D$5:$D$40,Assumptions!$AM131)),"")</f>
        <v>0</v>
      </c>
      <c r="BJ131" s="34">
        <f>IFERROR(ABS(SUMIFS('TRA balance'!AA$5:AA$40,'TRA balance'!$C$5:$C$40,Assumptions!$AL131,'TRA balance'!$D$5:$D$40,Assumptions!$AM131)),"")</f>
        <v>0</v>
      </c>
      <c r="BK131" s="34">
        <f>IFERROR(ABS(SUMIFS('TRA balance'!AB$5:AB$40,'TRA balance'!$C$5:$C$40,Assumptions!$AL131,'TRA balance'!$D$5:$D$40,Assumptions!$AM131)),"")</f>
        <v>0</v>
      </c>
      <c r="BL131" s="34">
        <f>IFERROR(ABS(SUMIFS('TRA balance'!AC$5:AC$40,'TRA balance'!$C$5:$C$40,Assumptions!$AL131,'TRA balance'!$D$5:$D$40,Assumptions!$AM131)),"")</f>
        <v>0</v>
      </c>
      <c r="BM131" s="34">
        <f>IFERROR(ABS(SUMIFS('TRA balance'!AD$5:AD$40,'TRA balance'!$C$5:$C$40,Assumptions!$AL131,'TRA balance'!$D$5:$D$40,Assumptions!$AM131)),"")</f>
        <v>0</v>
      </c>
      <c r="BN131" s="34">
        <f>IFERROR(ABS(SUMIFS('TRA balance'!AE$5:AE$40,'TRA balance'!$C$5:$C$40,Assumptions!$AL131,'TRA balance'!$D$5:$D$40,Assumptions!$AM131)),"")</f>
        <v>0</v>
      </c>
      <c r="BO131" s="34">
        <f>IFERROR(ABS(SUMIFS('TRA balance'!AF$5:AF$40,'TRA balance'!$C$5:$C$40,Assumptions!$AL131,'TRA balance'!$D$5:$D$40,Assumptions!$AM131)),"")</f>
        <v>0</v>
      </c>
      <c r="BP131" s="34">
        <f>IFERROR(ABS(SUMIFS('TRA balance'!AG$5:AG$40,'TRA balance'!$C$5:$C$40,Assumptions!$AL131,'TRA balance'!$D$5:$D$40,Assumptions!$AM131)),"")</f>
        <v>0</v>
      </c>
      <c r="BQ131" s="34">
        <f>IFERROR(ABS(SUMIFS('TRA balance'!AH$5:AH$40,'TRA balance'!$C$5:$C$40,Assumptions!$AL131,'TRA balance'!$D$5:$D$40,Assumptions!$AM131)),"")</f>
        <v>0</v>
      </c>
    </row>
    <row r="132" spans="3:69" x14ac:dyDescent="0.45">
      <c r="C132" t="str">
        <f t="shared" si="241"/>
        <v>GAS</v>
      </c>
      <c r="D132" t="str">
        <f t="shared" si="240"/>
        <v>TRL</v>
      </c>
      <c r="E132" t="s">
        <v>98</v>
      </c>
      <c r="F132" s="1">
        <v>0.19008</v>
      </c>
      <c r="G132" s="1">
        <v>0.22572</v>
      </c>
      <c r="H132" s="1">
        <v>0.21546000000000001</v>
      </c>
      <c r="I132" s="1">
        <v>0.21384</v>
      </c>
      <c r="J132" s="1">
        <v>0.19008</v>
      </c>
      <c r="K132" s="1">
        <v>0.19008</v>
      </c>
      <c r="L132" s="1">
        <v>0.19008</v>
      </c>
      <c r="M132" s="1">
        <v>0.18143999999999999</v>
      </c>
      <c r="N132" s="1">
        <v>0.22572</v>
      </c>
      <c r="O132" s="1">
        <v>0.22572</v>
      </c>
      <c r="P132" s="1">
        <v>0.19008</v>
      </c>
      <c r="Q132" s="1">
        <v>0.20735999999999999</v>
      </c>
      <c r="R132" s="1">
        <v>0.19008</v>
      </c>
      <c r="S132" s="1">
        <v>0.20519999999999999</v>
      </c>
      <c r="T132" s="1">
        <v>0.21546000000000001</v>
      </c>
      <c r="AL132" s="27" t="s">
        <v>23</v>
      </c>
      <c r="AM132" s="27" t="s">
        <v>46</v>
      </c>
      <c r="AN132" s="34">
        <f>IFERROR(ABS(SUMIFS('TRA balance'!E$5:E$40,'TRA balance'!$C$5:$C$40,Assumptions!$AL132,'TRA balance'!$D$5:$D$40,Assumptions!$AM132)),"")</f>
        <v>0.27722058840000002</v>
      </c>
      <c r="AO132" s="34">
        <f>IFERROR(ABS(SUMIFS('TRA balance'!F$5:F$40,'TRA balance'!$C$5:$C$40,Assumptions!$AL132,'TRA balance'!$D$5:$D$40,Assumptions!$AM132)),"")</f>
        <v>0</v>
      </c>
      <c r="AP132" s="34">
        <f>IFERROR(ABS(SUMIFS('TRA balance'!G$5:G$40,'TRA balance'!$C$5:$C$40,Assumptions!$AL132,'TRA balance'!$D$5:$D$40,Assumptions!$AM132)),"")</f>
        <v>0</v>
      </c>
      <c r="AQ132" s="34">
        <f>IFERROR(ABS(SUMIFS('TRA balance'!H$5:H$40,'TRA balance'!$C$5:$C$40,Assumptions!$AL132,'TRA balance'!$D$5:$D$40,Assumptions!$AM132)),"")</f>
        <v>0.691198812</v>
      </c>
      <c r="AR132" s="34">
        <f>IFERROR(ABS(SUMIFS('TRA balance'!I$5:I$40,'TRA balance'!$C$5:$C$40,Assumptions!$AL132,'TRA balance'!$D$5:$D$40,Assumptions!$AM132)),"")</f>
        <v>0</v>
      </c>
      <c r="AS132" s="34">
        <f>IFERROR(ABS(SUMIFS('TRA balance'!J$5:J$40,'TRA balance'!$C$5:$C$40,Assumptions!$AL132,'TRA balance'!$D$5:$D$40,Assumptions!$AM132)),"")</f>
        <v>0</v>
      </c>
      <c r="AT132" s="34">
        <f>IFERROR(ABS(SUMIFS('TRA balance'!K$5:K$40,'TRA balance'!$C$5:$C$40,Assumptions!$AL132,'TRA balance'!$D$5:$D$40,Assumptions!$AM132)),"")</f>
        <v>0</v>
      </c>
      <c r="AU132" s="34">
        <f>IFERROR(ABS(SUMIFS('TRA balance'!L$5:L$40,'TRA balance'!$C$5:$C$40,Assumptions!$AL132,'TRA balance'!$D$5:$D$40,Assumptions!$AM132)),"")</f>
        <v>0</v>
      </c>
      <c r="AV132" s="34">
        <f>IFERROR(ABS(SUMIFS('TRA balance'!M$5:M$40,'TRA balance'!$C$5:$C$40,Assumptions!$AL132,'TRA balance'!$D$5:$D$40,Assumptions!$AM132)),"")</f>
        <v>0</v>
      </c>
      <c r="AW132" s="34">
        <f>IFERROR(ABS(SUMIFS('TRA balance'!N$5:N$40,'TRA balance'!$C$5:$C$40,Assumptions!$AL132,'TRA balance'!$D$5:$D$40,Assumptions!$AM132)),"")</f>
        <v>0</v>
      </c>
      <c r="AX132" s="34">
        <f>IFERROR(ABS(SUMIFS('TRA balance'!O$5:O$40,'TRA balance'!$C$5:$C$40,Assumptions!$AL132,'TRA balance'!$D$5:$D$40,Assumptions!$AM132)),"")</f>
        <v>0</v>
      </c>
      <c r="AY132" s="34">
        <f>IFERROR(ABS(SUMIFS('TRA balance'!P$5:P$40,'TRA balance'!$C$5:$C$40,Assumptions!$AL132,'TRA balance'!$D$5:$D$40,Assumptions!$AM132)),"")</f>
        <v>0</v>
      </c>
      <c r="AZ132" s="34">
        <f>IFERROR(ABS(SUMIFS('TRA balance'!Q$5:Q$40,'TRA balance'!$C$5:$C$40,Assumptions!$AL132,'TRA balance'!$D$5:$D$40,Assumptions!$AM132)),"")</f>
        <v>7.5379147199999996E-2</v>
      </c>
      <c r="BA132" s="34">
        <f>IFERROR(ABS(SUMIFS('TRA balance'!R$5:R$40,'TRA balance'!$C$5:$C$40,Assumptions!$AL132,'TRA balance'!$D$5:$D$40,Assumptions!$AM132)),"")</f>
        <v>0</v>
      </c>
      <c r="BB132" s="34">
        <f>IFERROR(ABS(SUMIFS('TRA balance'!S$5:S$40,'TRA balance'!$C$5:$C$40,Assumptions!$AL132,'TRA balance'!$D$5:$D$40,Assumptions!$AM132)),"")</f>
        <v>3.3159456E-3</v>
      </c>
      <c r="BC132" s="34">
        <f>IFERROR(ABS(SUMIFS('TRA balance'!T$5:T$40,'TRA balance'!$C$5:$C$40,Assumptions!$AL132,'TRA balance'!$D$5:$D$40,Assumptions!$AM132)),"")</f>
        <v>0</v>
      </c>
      <c r="BD132" s="34">
        <f>IFERROR(ABS(SUMIFS('TRA balance'!U$5:U$40,'TRA balance'!$C$5:$C$40,Assumptions!$AL132,'TRA balance'!$D$5:$D$40,Assumptions!$AM132)),"")</f>
        <v>0</v>
      </c>
      <c r="BE132" s="34">
        <f>IFERROR(ABS(SUMIFS('TRA balance'!V$5:V$40,'TRA balance'!$C$5:$C$40,Assumptions!$AL132,'TRA balance'!$D$5:$D$40,Assumptions!$AM132)),"")</f>
        <v>0</v>
      </c>
      <c r="BF132" s="34">
        <f>IFERROR(ABS(SUMIFS('TRA balance'!W$5:W$40,'TRA balance'!$C$5:$C$40,Assumptions!$AL132,'TRA balance'!$D$5:$D$40,Assumptions!$AM132)),"")</f>
        <v>0</v>
      </c>
      <c r="BG132" s="34">
        <f>IFERROR(ABS(SUMIFS('TRA balance'!X$5:X$40,'TRA balance'!$C$5:$C$40,Assumptions!$AL132,'TRA balance'!$D$5:$D$40,Assumptions!$AM132)),"")</f>
        <v>0</v>
      </c>
      <c r="BH132" s="34">
        <f>IFERROR(ABS(SUMIFS('TRA balance'!Y$5:Y$40,'TRA balance'!$C$5:$C$40,Assumptions!$AL132,'TRA balance'!$D$5:$D$40,Assumptions!$AM132)),"")</f>
        <v>0.2399496948</v>
      </c>
      <c r="BI132" s="34">
        <f>IFERROR(ABS(SUMIFS('TRA balance'!Z$5:Z$40,'TRA balance'!$C$5:$C$40,Assumptions!$AL132,'TRA balance'!$D$5:$D$40,Assumptions!$AM132)),"")</f>
        <v>0</v>
      </c>
      <c r="BJ132" s="34">
        <f>IFERROR(ABS(SUMIFS('TRA balance'!AA$5:AA$40,'TRA balance'!$C$5:$C$40,Assumptions!$AL132,'TRA balance'!$D$5:$D$40,Assumptions!$AM132)),"")</f>
        <v>0</v>
      </c>
      <c r="BK132" s="34">
        <f>IFERROR(ABS(SUMIFS('TRA balance'!AB$5:AB$40,'TRA balance'!$C$5:$C$40,Assumptions!$AL132,'TRA balance'!$D$5:$D$40,Assumptions!$AM132)),"")</f>
        <v>0</v>
      </c>
      <c r="BL132" s="34">
        <f>IFERROR(ABS(SUMIFS('TRA balance'!AC$5:AC$40,'TRA balance'!$C$5:$C$40,Assumptions!$AL132,'TRA balance'!$D$5:$D$40,Assumptions!$AM132)),"")</f>
        <v>0</v>
      </c>
      <c r="BM132" s="34">
        <f>IFERROR(ABS(SUMIFS('TRA balance'!AD$5:AD$40,'TRA balance'!$C$5:$C$40,Assumptions!$AL132,'TRA balance'!$D$5:$D$40,Assumptions!$AM132)),"")</f>
        <v>0</v>
      </c>
      <c r="BN132" s="34">
        <f>IFERROR(ABS(SUMIFS('TRA balance'!AE$5:AE$40,'TRA balance'!$C$5:$C$40,Assumptions!$AL132,'TRA balance'!$D$5:$D$40,Assumptions!$AM132)),"")</f>
        <v>0</v>
      </c>
      <c r="BO132" s="34">
        <f>IFERROR(ABS(SUMIFS('TRA balance'!AF$5:AF$40,'TRA balance'!$C$5:$C$40,Assumptions!$AL132,'TRA balance'!$D$5:$D$40,Assumptions!$AM132)),"")</f>
        <v>0</v>
      </c>
      <c r="BP132" s="34">
        <f>IFERROR(ABS(SUMIFS('TRA balance'!AG$5:AG$40,'TRA balance'!$C$5:$C$40,Assumptions!$AL132,'TRA balance'!$D$5:$D$40,Assumptions!$AM132)),"")</f>
        <v>0</v>
      </c>
      <c r="BQ132" s="34">
        <f>IFERROR(ABS(SUMIFS('TRA balance'!AH$5:AH$40,'TRA balance'!$C$5:$C$40,Assumptions!$AL132,'TRA balance'!$D$5:$D$40,Assumptions!$AM132)),"")</f>
        <v>0</v>
      </c>
    </row>
    <row r="133" spans="3:69" x14ac:dyDescent="0.45">
      <c r="C133" t="str">
        <f t="shared" si="241"/>
        <v>LPG</v>
      </c>
      <c r="D133" t="str">
        <f t="shared" si="240"/>
        <v>TRL</v>
      </c>
      <c r="E133" t="s">
        <v>99</v>
      </c>
      <c r="F133" s="1">
        <v>0.14784</v>
      </c>
      <c r="G133" s="1">
        <v>0.17555999999999999</v>
      </c>
      <c r="H133" s="1">
        <v>0.16758000000000001</v>
      </c>
      <c r="I133" s="1">
        <v>0.16632</v>
      </c>
      <c r="J133" s="1">
        <v>0.14784</v>
      </c>
      <c r="K133" s="1">
        <v>0.14784</v>
      </c>
      <c r="L133" s="1">
        <v>0.14784</v>
      </c>
      <c r="M133" s="1">
        <v>0.14112</v>
      </c>
      <c r="N133" s="1">
        <v>0.17555999999999999</v>
      </c>
      <c r="O133" s="1">
        <v>0.17555999999999999</v>
      </c>
      <c r="P133" s="1">
        <v>0.14784</v>
      </c>
      <c r="Q133" s="1">
        <v>0.16128000000000001</v>
      </c>
      <c r="R133" s="1">
        <v>0.14784</v>
      </c>
      <c r="S133" s="1">
        <v>0.15959999999999999</v>
      </c>
      <c r="T133" s="1">
        <v>0.16758000000000001</v>
      </c>
      <c r="AL133" s="27" t="s">
        <v>23</v>
      </c>
      <c r="AM133" s="27" t="s">
        <v>40</v>
      </c>
      <c r="AN133" s="34">
        <f>IFERROR(ABS(SUMIFS('TRA balance'!E$5:E$40,'TRA balance'!$C$5:$C$40,Assumptions!$AL133,'TRA balance'!$D$5:$D$40,Assumptions!$AM133)),"")</f>
        <v>2.5678104947999998</v>
      </c>
      <c r="AO133" s="34">
        <f>IFERROR(ABS(SUMIFS('TRA balance'!F$5:F$40,'TRA balance'!$C$5:$C$40,Assumptions!$AL133,'TRA balance'!$D$5:$D$40,Assumptions!$AM133)),"")</f>
        <v>2.1184789319999999</v>
      </c>
      <c r="AP133" s="34">
        <f>IFERROR(ABS(SUMIFS('TRA balance'!G$5:G$40,'TRA balance'!$C$5:$C$40,Assumptions!$AL133,'TRA balance'!$D$5:$D$40,Assumptions!$AM133)),"")</f>
        <v>0</v>
      </c>
      <c r="AQ133" s="34">
        <f>IFERROR(ABS(SUMIFS('TRA balance'!H$5:H$40,'TRA balance'!$C$5:$C$40,Assumptions!$AL133,'TRA balance'!$D$5:$D$40,Assumptions!$AM133)),"")</f>
        <v>7.7056965432000002</v>
      </c>
      <c r="AR133" s="34">
        <f>IFERROR(ABS(SUMIFS('TRA balance'!I$5:I$40,'TRA balance'!$C$5:$C$40,Assumptions!$AL133,'TRA balance'!$D$5:$D$40,Assumptions!$AM133)),"")</f>
        <v>86.862605943600002</v>
      </c>
      <c r="AS133" s="34">
        <f>IFERROR(ABS(SUMIFS('TRA balance'!J$5:J$40,'TRA balance'!$C$5:$C$40,Assumptions!$AL133,'TRA balance'!$D$5:$D$40,Assumptions!$AM133)),"")</f>
        <v>3.9347923212000002</v>
      </c>
      <c r="AT133" s="34">
        <f>IFERROR(ABS(SUMIFS('TRA balance'!K$5:K$40,'TRA balance'!$C$5:$C$40,Assumptions!$AL133,'TRA balance'!$D$5:$D$40,Assumptions!$AM133)),"")</f>
        <v>0</v>
      </c>
      <c r="AU133" s="34">
        <f>IFERROR(ABS(SUMIFS('TRA balance'!L$5:L$40,'TRA balance'!$C$5:$C$40,Assumptions!$AL133,'TRA balance'!$D$5:$D$40,Assumptions!$AM133)),"")</f>
        <v>0</v>
      </c>
      <c r="AV133" s="34">
        <f>IFERROR(ABS(SUMIFS('TRA balance'!M$5:M$40,'TRA balance'!$C$5:$C$40,Assumptions!$AL133,'TRA balance'!$D$5:$D$40,Assumptions!$AM133)),"")</f>
        <v>21.702997929599999</v>
      </c>
      <c r="AW133" s="34">
        <f>IFERROR(ABS(SUMIFS('TRA balance'!N$5:N$40,'TRA balance'!$C$5:$C$40,Assumptions!$AL133,'TRA balance'!$D$5:$D$40,Assumptions!$AM133)),"")</f>
        <v>99.093555025200004</v>
      </c>
      <c r="AX133" s="34">
        <f>IFERROR(ABS(SUMIFS('TRA balance'!O$5:O$40,'TRA balance'!$C$5:$C$40,Assumptions!$AL133,'TRA balance'!$D$5:$D$40,Assumptions!$AM133)),"")</f>
        <v>1.7354411604</v>
      </c>
      <c r="AY133" s="34">
        <f>IFERROR(ABS(SUMIFS('TRA balance'!P$5:P$40,'TRA balance'!$C$5:$C$40,Assumptions!$AL133,'TRA balance'!$D$5:$D$40,Assumptions!$AM133)),"")</f>
        <v>28.133206786799999</v>
      </c>
      <c r="AZ133" s="34">
        <f>IFERROR(ABS(SUMIFS('TRA balance'!Q$5:Q$40,'TRA balance'!$C$5:$C$40,Assumptions!$AL133,'TRA balance'!$D$5:$D$40,Assumptions!$AM133)),"")</f>
        <v>7.0347074147999997</v>
      </c>
      <c r="BA133" s="34">
        <f>IFERROR(ABS(SUMIFS('TRA balance'!R$5:R$40,'TRA balance'!$C$5:$C$40,Assumptions!$AL133,'TRA balance'!$D$5:$D$40,Assumptions!$AM133)),"")</f>
        <v>10.076853042</v>
      </c>
      <c r="BB133" s="34">
        <f>IFERROR(ABS(SUMIFS('TRA balance'!S$5:S$40,'TRA balance'!$C$5:$C$40,Assumptions!$AL133,'TRA balance'!$D$5:$D$40,Assumptions!$AM133)),"")</f>
        <v>6.7545853740000004</v>
      </c>
      <c r="BC133" s="34">
        <f>IFERROR(ABS(SUMIFS('TRA balance'!T$5:T$40,'TRA balance'!$C$5:$C$40,Assumptions!$AL133,'TRA balance'!$D$5:$D$40,Assumptions!$AM133)),"")</f>
        <v>10.991359018800001</v>
      </c>
      <c r="BD133" s="34">
        <f>IFERROR(ABS(SUMIFS('TRA balance'!U$5:U$40,'TRA balance'!$C$5:$C$40,Assumptions!$AL133,'TRA balance'!$D$5:$D$40,Assumptions!$AM133)),"")</f>
        <v>12.1829851008</v>
      </c>
      <c r="BE133" s="34">
        <f>IFERROR(ABS(SUMIFS('TRA balance'!V$5:V$40,'TRA balance'!$C$5:$C$40,Assumptions!$AL133,'TRA balance'!$D$5:$D$40,Assumptions!$AM133)),"")</f>
        <v>12.396298374000001</v>
      </c>
      <c r="BF133" s="34">
        <f>IFERROR(ABS(SUMIFS('TRA balance'!W$5:W$40,'TRA balance'!$C$5:$C$40,Assumptions!$AL133,'TRA balance'!$D$5:$D$40,Assumptions!$AM133)),"")</f>
        <v>13.18800132</v>
      </c>
      <c r="BG133" s="34">
        <f>IFERROR(ABS(SUMIFS('TRA balance'!X$5:X$40,'TRA balance'!$C$5:$C$40,Assumptions!$AL133,'TRA balance'!$D$5:$D$40,Assumptions!$AM133)),"")</f>
        <v>0</v>
      </c>
      <c r="BH133" s="34">
        <f>IFERROR(ABS(SUMIFS('TRA balance'!Y$5:Y$40,'TRA balance'!$C$5:$C$40,Assumptions!$AL133,'TRA balance'!$D$5:$D$40,Assumptions!$AM133)),"")</f>
        <v>2.2883667156</v>
      </c>
      <c r="BI133" s="34">
        <f>IFERROR(ABS(SUMIFS('TRA balance'!Z$5:Z$40,'TRA balance'!$C$5:$C$40,Assumptions!$AL133,'TRA balance'!$D$5:$D$40,Assumptions!$AM133)),"")</f>
        <v>0</v>
      </c>
      <c r="BJ133" s="34">
        <f>IFERROR(ABS(SUMIFS('TRA balance'!AA$5:AA$40,'TRA balance'!$C$5:$C$40,Assumptions!$AL133,'TRA balance'!$D$5:$D$40,Assumptions!$AM133)),"")</f>
        <v>8.2227202883999997</v>
      </c>
      <c r="BK133" s="34">
        <f>IFERROR(ABS(SUMIFS('TRA balance'!AB$5:AB$40,'TRA balance'!$C$5:$C$40,Assumptions!$AL133,'TRA balance'!$D$5:$D$40,Assumptions!$AM133)),"")</f>
        <v>2.0430160488000002</v>
      </c>
      <c r="BL133" s="34">
        <f>IFERROR(ABS(SUMIFS('TRA balance'!AC$5:AC$40,'TRA balance'!$C$5:$C$40,Assumptions!$AL133,'TRA balance'!$D$5:$D$40,Assumptions!$AM133)),"")</f>
        <v>0</v>
      </c>
      <c r="BM133" s="34">
        <f>IFERROR(ABS(SUMIFS('TRA balance'!AD$5:AD$40,'TRA balance'!$C$5:$C$40,Assumptions!$AL133,'TRA balance'!$D$5:$D$40,Assumptions!$AM133)),"")</f>
        <v>0</v>
      </c>
      <c r="BN133" s="34">
        <f>IFERROR(ABS(SUMIFS('TRA balance'!AE$5:AE$40,'TRA balance'!$C$5:$C$40,Assumptions!$AL133,'TRA balance'!$D$5:$D$40,Assumptions!$AM133)),"")</f>
        <v>6.0861250727999998</v>
      </c>
      <c r="BO133" s="34">
        <f>IFERROR(ABS(SUMIFS('TRA balance'!AF$5:AF$40,'TRA balance'!$C$5:$C$40,Assumptions!$AL133,'TRA balance'!$D$5:$D$40,Assumptions!$AM133)),"")</f>
        <v>5.7178708919999996</v>
      </c>
      <c r="BP133" s="34">
        <f>IFERROR(ABS(SUMIFS('TRA balance'!AG$5:AG$40,'TRA balance'!$C$5:$C$40,Assumptions!$AL133,'TRA balance'!$D$5:$D$40,Assumptions!$AM133)),"")</f>
        <v>105.002997138</v>
      </c>
      <c r="BQ133" s="34">
        <f>IFERROR(ABS(SUMIFS('TRA balance'!AH$5:AH$40,'TRA balance'!$C$5:$C$40,Assumptions!$AL133,'TRA balance'!$D$5:$D$40,Assumptions!$AM133)),"")</f>
        <v>0</v>
      </c>
    </row>
    <row r="134" spans="3:69" x14ac:dyDescent="0.45">
      <c r="C134" t="str">
        <f t="shared" si="241"/>
        <v>MET</v>
      </c>
      <c r="D134" t="str">
        <f t="shared" si="240"/>
        <v>TRL</v>
      </c>
      <c r="E134" t="s">
        <v>100</v>
      </c>
      <c r="F134" s="1">
        <v>0.14784</v>
      </c>
      <c r="G134" s="1">
        <v>0.17555999999999999</v>
      </c>
      <c r="H134" s="1">
        <v>0.16758000000000001</v>
      </c>
      <c r="I134" s="1">
        <v>0.16632</v>
      </c>
      <c r="J134" s="1">
        <v>0.14784</v>
      </c>
      <c r="K134" s="1">
        <v>0.14784</v>
      </c>
      <c r="L134" s="1">
        <v>0.14784</v>
      </c>
      <c r="M134" s="1">
        <v>0.14112</v>
      </c>
      <c r="N134" s="1">
        <v>0.17555999999999999</v>
      </c>
      <c r="O134" s="1">
        <v>0.17555999999999999</v>
      </c>
      <c r="P134" s="1">
        <v>0.14784</v>
      </c>
      <c r="Q134" s="1">
        <v>0.16128000000000001</v>
      </c>
      <c r="R134" s="1">
        <v>0.14784</v>
      </c>
      <c r="S134" s="1">
        <v>0.15959999999999999</v>
      </c>
      <c r="T134" s="1">
        <v>0.16758000000000001</v>
      </c>
      <c r="AL134" s="27" t="s">
        <v>23</v>
      </c>
      <c r="AM134" s="27" t="s">
        <v>44</v>
      </c>
      <c r="AN134" s="34">
        <f>IFERROR(ABS(SUMIFS('TRA balance'!E$5:E$40,'TRA balance'!$C$5:$C$40,Assumptions!$AL134,'TRA balance'!$D$5:$D$40,Assumptions!$AM134)),"")</f>
        <v>0</v>
      </c>
      <c r="AO134" s="34">
        <f>IFERROR(ABS(SUMIFS('TRA balance'!F$5:F$40,'TRA balance'!$C$5:$C$40,Assumptions!$AL134,'TRA balance'!$D$5:$D$40,Assumptions!$AM134)),"")</f>
        <v>0.14324717519999999</v>
      </c>
      <c r="AP134" s="34">
        <f>IFERROR(ABS(SUMIFS('TRA balance'!G$5:G$40,'TRA balance'!$C$5:$C$40,Assumptions!$AL134,'TRA balance'!$D$5:$D$40,Assumptions!$AM134)),"")</f>
        <v>0</v>
      </c>
      <c r="AQ134" s="34">
        <f>IFERROR(ABS(SUMIFS('TRA balance'!H$5:H$40,'TRA balance'!$C$5:$C$40,Assumptions!$AL134,'TRA balance'!$D$5:$D$40,Assumptions!$AM134)),"")</f>
        <v>0.12708194040000001</v>
      </c>
      <c r="AR134" s="34">
        <f>IFERROR(ABS(SUMIFS('TRA balance'!I$5:I$40,'TRA balance'!$C$5:$C$40,Assumptions!$AL134,'TRA balance'!$D$5:$D$40,Assumptions!$AM134)),"")</f>
        <v>3.9983939999999997E-3</v>
      </c>
      <c r="AS134" s="34">
        <f>IFERROR(ABS(SUMIFS('TRA balance'!J$5:J$40,'TRA balance'!$C$5:$C$40,Assumptions!$AL134,'TRA balance'!$D$5:$D$40,Assumptions!$AM134)),"")</f>
        <v>2.8799992367999998</v>
      </c>
      <c r="AT134" s="34">
        <f>IFERROR(ABS(SUMIFS('TRA balance'!K$5:K$40,'TRA balance'!$C$5:$C$40,Assumptions!$AL134,'TRA balance'!$D$5:$D$40,Assumptions!$AM134)),"")</f>
        <v>0</v>
      </c>
      <c r="AU134" s="34">
        <f>IFERROR(ABS(SUMIFS('TRA balance'!L$5:L$40,'TRA balance'!$C$5:$C$40,Assumptions!$AL134,'TRA balance'!$D$5:$D$40,Assumptions!$AM134)),"")</f>
        <v>0</v>
      </c>
      <c r="AV134" s="34">
        <f>IFERROR(ABS(SUMIFS('TRA balance'!M$5:M$40,'TRA balance'!$C$5:$C$40,Assumptions!$AL134,'TRA balance'!$D$5:$D$40,Assumptions!$AM134)),"")</f>
        <v>85.400001791999998</v>
      </c>
      <c r="AW134" s="34">
        <f>IFERROR(ABS(SUMIFS('TRA balance'!N$5:N$40,'TRA balance'!$C$5:$C$40,Assumptions!$AL134,'TRA balance'!$D$5:$D$40,Assumptions!$AM134)),"")</f>
        <v>0</v>
      </c>
      <c r="AX134" s="34">
        <f>IFERROR(ABS(SUMIFS('TRA balance'!O$5:O$40,'TRA balance'!$C$5:$C$40,Assumptions!$AL134,'TRA balance'!$D$5:$D$40,Assumptions!$AM134)),"")</f>
        <v>0</v>
      </c>
      <c r="AY134" s="34">
        <f>IFERROR(ABS(SUMIFS('TRA balance'!P$5:P$40,'TRA balance'!$C$5:$C$40,Assumptions!$AL134,'TRA balance'!$D$5:$D$40,Assumptions!$AM134)),"")</f>
        <v>0</v>
      </c>
      <c r="AZ134" s="34">
        <f>IFERROR(ABS(SUMIFS('TRA balance'!Q$5:Q$40,'TRA balance'!$C$5:$C$40,Assumptions!$AL134,'TRA balance'!$D$5:$D$40,Assumptions!$AM134)),"")</f>
        <v>0</v>
      </c>
      <c r="BA134" s="34">
        <f>IFERROR(ABS(SUMIFS('TRA balance'!R$5:R$40,'TRA balance'!$C$5:$C$40,Assumptions!$AL134,'TRA balance'!$D$5:$D$40,Assumptions!$AM134)),"")</f>
        <v>0</v>
      </c>
      <c r="BB134" s="34">
        <f>IFERROR(ABS(SUMIFS('TRA balance'!S$5:S$40,'TRA balance'!$C$5:$C$40,Assumptions!$AL134,'TRA balance'!$D$5:$D$40,Assumptions!$AM134)),"")</f>
        <v>0</v>
      </c>
      <c r="BC134" s="34">
        <f>IFERROR(ABS(SUMIFS('TRA balance'!T$5:T$40,'TRA balance'!$C$5:$C$40,Assumptions!$AL134,'TRA balance'!$D$5:$D$40,Assumptions!$AM134)),"")</f>
        <v>0</v>
      </c>
      <c r="BD134" s="34">
        <f>IFERROR(ABS(SUMIFS('TRA balance'!U$5:U$40,'TRA balance'!$C$5:$C$40,Assumptions!$AL134,'TRA balance'!$D$5:$D$40,Assumptions!$AM134)),"")</f>
        <v>3.59981064E-2</v>
      </c>
      <c r="BE134" s="34">
        <f>IFERROR(ABS(SUMIFS('TRA balance'!V$5:V$40,'TRA balance'!$C$5:$C$40,Assumptions!$AL134,'TRA balance'!$D$5:$D$40,Assumptions!$AM134)),"")</f>
        <v>0</v>
      </c>
      <c r="BF134" s="34">
        <f>IFERROR(ABS(SUMIFS('TRA balance'!W$5:W$40,'TRA balance'!$C$5:$C$40,Assumptions!$AL134,'TRA balance'!$D$5:$D$40,Assumptions!$AM134)),"")</f>
        <v>0</v>
      </c>
      <c r="BG134" s="34">
        <f>IFERROR(ABS(SUMIFS('TRA balance'!X$5:X$40,'TRA balance'!$C$5:$C$40,Assumptions!$AL134,'TRA balance'!$D$5:$D$40,Assumptions!$AM134)),"")</f>
        <v>0</v>
      </c>
      <c r="BH134" s="34">
        <f>IFERROR(ABS(SUMIFS('TRA balance'!Y$5:Y$40,'TRA balance'!$C$5:$C$40,Assumptions!$AL134,'TRA balance'!$D$5:$D$40,Assumptions!$AM134)),"")</f>
        <v>0</v>
      </c>
      <c r="BI134" s="34">
        <f>IFERROR(ABS(SUMIFS('TRA balance'!Z$5:Z$40,'TRA balance'!$C$5:$C$40,Assumptions!$AL134,'TRA balance'!$D$5:$D$40,Assumptions!$AM134)),"")</f>
        <v>0</v>
      </c>
      <c r="BJ134" s="34">
        <f>IFERROR(ABS(SUMIFS('TRA balance'!AA$5:AA$40,'TRA balance'!$C$5:$C$40,Assumptions!$AL134,'TRA balance'!$D$5:$D$40,Assumptions!$AM134)),"")</f>
        <v>0</v>
      </c>
      <c r="BK134" s="34">
        <f>IFERROR(ABS(SUMIFS('TRA balance'!AB$5:AB$40,'TRA balance'!$C$5:$C$40,Assumptions!$AL134,'TRA balance'!$D$5:$D$40,Assumptions!$AM134)),"")</f>
        <v>0</v>
      </c>
      <c r="BL134" s="34">
        <f>IFERROR(ABS(SUMIFS('TRA balance'!AC$5:AC$40,'TRA balance'!$C$5:$C$40,Assumptions!$AL134,'TRA balance'!$D$5:$D$40,Assumptions!$AM134)),"")</f>
        <v>0</v>
      </c>
      <c r="BM134" s="34">
        <f>IFERROR(ABS(SUMIFS('TRA balance'!AD$5:AD$40,'TRA balance'!$C$5:$C$40,Assumptions!$AL134,'TRA balance'!$D$5:$D$40,Assumptions!$AM134)),"")</f>
        <v>0</v>
      </c>
      <c r="BN134" s="34">
        <f>IFERROR(ABS(SUMIFS('TRA balance'!AE$5:AE$40,'TRA balance'!$C$5:$C$40,Assumptions!$AL134,'TRA balance'!$D$5:$D$40,Assumptions!$AM134)),"")</f>
        <v>0</v>
      </c>
      <c r="BO134" s="34">
        <f>IFERROR(ABS(SUMIFS('TRA balance'!AF$5:AF$40,'TRA balance'!$C$5:$C$40,Assumptions!$AL134,'TRA balance'!$D$5:$D$40,Assumptions!$AM134)),"")</f>
        <v>0</v>
      </c>
      <c r="BP134" s="34">
        <f>IFERROR(ABS(SUMIFS('TRA balance'!AG$5:AG$40,'TRA balance'!$C$5:$C$40,Assumptions!$AL134,'TRA balance'!$D$5:$D$40,Assumptions!$AM134)),"")</f>
        <v>176.0400014976</v>
      </c>
      <c r="BQ134" s="34">
        <f>IFERROR(ABS(SUMIFS('TRA balance'!AH$5:AH$40,'TRA balance'!$C$5:$C$40,Assumptions!$AL134,'TRA balance'!$D$5:$D$40,Assumptions!$AM134)),"")</f>
        <v>0</v>
      </c>
    </row>
    <row r="135" spans="3:69" x14ac:dyDescent="0.45">
      <c r="C135" t="str">
        <f t="shared" si="241"/>
        <v>NGA</v>
      </c>
      <c r="D135" t="str">
        <f t="shared" si="240"/>
        <v>TRL</v>
      </c>
      <c r="E135" t="s">
        <v>101</v>
      </c>
      <c r="F135" s="1">
        <v>0.14784</v>
      </c>
      <c r="G135" s="1">
        <v>0.17555999999999999</v>
      </c>
      <c r="H135" s="1">
        <v>0.16758000000000001</v>
      </c>
      <c r="I135" s="1">
        <v>0.16632</v>
      </c>
      <c r="J135" s="1">
        <v>0.14784</v>
      </c>
      <c r="K135" s="1">
        <v>0.14784</v>
      </c>
      <c r="L135" s="1">
        <v>0.14784</v>
      </c>
      <c r="M135" s="1">
        <v>0.14112</v>
      </c>
      <c r="N135" s="1">
        <v>0.17555999999999999</v>
      </c>
      <c r="O135" s="1">
        <v>0.17555999999999999</v>
      </c>
      <c r="P135" s="1">
        <v>0.14784</v>
      </c>
      <c r="Q135" s="1">
        <v>0.16128000000000001</v>
      </c>
      <c r="R135" s="1">
        <v>0.14784</v>
      </c>
      <c r="S135" s="1">
        <v>0.15959999999999999</v>
      </c>
      <c r="T135" s="1">
        <v>0.16758000000000001</v>
      </c>
      <c r="AL135" s="27" t="s">
        <v>23</v>
      </c>
      <c r="AM135" s="27" t="s">
        <v>47</v>
      </c>
      <c r="AN135" s="34">
        <f>IFERROR(ABS(SUMIFS('TRA balance'!E$5:E$40,'TRA balance'!$C$5:$C$40,Assumptions!$AL135,'TRA balance'!$D$5:$D$40,Assumptions!$AM135)),"")</f>
        <v>0</v>
      </c>
      <c r="AO135" s="34">
        <f>IFERROR(ABS(SUMIFS('TRA balance'!F$5:F$40,'TRA balance'!$C$5:$C$40,Assumptions!$AL135,'TRA balance'!$D$5:$D$40,Assumptions!$AM135)),"")</f>
        <v>0</v>
      </c>
      <c r="AP135" s="34">
        <f>IFERROR(ABS(SUMIFS('TRA balance'!G$5:G$40,'TRA balance'!$C$5:$C$40,Assumptions!$AL135,'TRA balance'!$D$5:$D$40,Assumptions!$AM135)),"")</f>
        <v>0</v>
      </c>
      <c r="AQ135" s="34">
        <f>IFERROR(ABS(SUMIFS('TRA balance'!H$5:H$40,'TRA balance'!$C$5:$C$40,Assumptions!$AL135,'TRA balance'!$D$5:$D$40,Assumptions!$AM135)),"")</f>
        <v>0</v>
      </c>
      <c r="AR135" s="34">
        <f>IFERROR(ABS(SUMIFS('TRA balance'!I$5:I$40,'TRA balance'!$C$5:$C$40,Assumptions!$AL135,'TRA balance'!$D$5:$D$40,Assumptions!$AM135)),"")</f>
        <v>0</v>
      </c>
      <c r="AS135" s="34">
        <f>IFERROR(ABS(SUMIFS('TRA balance'!J$5:J$40,'TRA balance'!$C$5:$C$40,Assumptions!$AL135,'TRA balance'!$D$5:$D$40,Assumptions!$AM135)),"")</f>
        <v>0</v>
      </c>
      <c r="AT135" s="34">
        <f>IFERROR(ABS(SUMIFS('TRA balance'!K$5:K$40,'TRA balance'!$C$5:$C$40,Assumptions!$AL135,'TRA balance'!$D$5:$D$40,Assumptions!$AM135)),"")</f>
        <v>0</v>
      </c>
      <c r="AU135" s="34">
        <f>IFERROR(ABS(SUMIFS('TRA balance'!L$5:L$40,'TRA balance'!$C$5:$C$40,Assumptions!$AL135,'TRA balance'!$D$5:$D$40,Assumptions!$AM135)),"")</f>
        <v>0</v>
      </c>
      <c r="AV135" s="34">
        <f>IFERROR(ABS(SUMIFS('TRA balance'!M$5:M$40,'TRA balance'!$C$5:$C$40,Assumptions!$AL135,'TRA balance'!$D$5:$D$40,Assumptions!$AM135)),"")</f>
        <v>0</v>
      </c>
      <c r="AW135" s="34">
        <f>IFERROR(ABS(SUMIFS('TRA balance'!N$5:N$40,'TRA balance'!$C$5:$C$40,Assumptions!$AL135,'TRA balance'!$D$5:$D$40,Assumptions!$AM135)),"")</f>
        <v>0</v>
      </c>
      <c r="AX135" s="34">
        <f>IFERROR(ABS(SUMIFS('TRA balance'!O$5:O$40,'TRA balance'!$C$5:$C$40,Assumptions!$AL135,'TRA balance'!$D$5:$D$40,Assumptions!$AM135)),"")</f>
        <v>0</v>
      </c>
      <c r="AY135" s="34">
        <f>IFERROR(ABS(SUMIFS('TRA balance'!P$5:P$40,'TRA balance'!$C$5:$C$40,Assumptions!$AL135,'TRA balance'!$D$5:$D$40,Assumptions!$AM135)),"")</f>
        <v>0</v>
      </c>
      <c r="AZ135" s="34">
        <f>IFERROR(ABS(SUMIFS('TRA balance'!Q$5:Q$40,'TRA balance'!$C$5:$C$40,Assumptions!$AL135,'TRA balance'!$D$5:$D$40,Assumptions!$AM135)),"")</f>
        <v>0</v>
      </c>
      <c r="BA135" s="34">
        <f>IFERROR(ABS(SUMIFS('TRA balance'!R$5:R$40,'TRA balance'!$C$5:$C$40,Assumptions!$AL135,'TRA balance'!$D$5:$D$40,Assumptions!$AM135)),"")</f>
        <v>0</v>
      </c>
      <c r="BB135" s="34">
        <f>IFERROR(ABS(SUMIFS('TRA balance'!S$5:S$40,'TRA balance'!$C$5:$C$40,Assumptions!$AL135,'TRA balance'!$D$5:$D$40,Assumptions!$AM135)),"")</f>
        <v>0</v>
      </c>
      <c r="BC135" s="34">
        <f>IFERROR(ABS(SUMIFS('TRA balance'!T$5:T$40,'TRA balance'!$C$5:$C$40,Assumptions!$AL135,'TRA balance'!$D$5:$D$40,Assumptions!$AM135)),"")</f>
        <v>0</v>
      </c>
      <c r="BD135" s="34">
        <f>IFERROR(ABS(SUMIFS('TRA balance'!U$5:U$40,'TRA balance'!$C$5:$C$40,Assumptions!$AL135,'TRA balance'!$D$5:$D$40,Assumptions!$AM135)),"")</f>
        <v>0</v>
      </c>
      <c r="BE135" s="34">
        <f>IFERROR(ABS(SUMIFS('TRA balance'!V$5:V$40,'TRA balance'!$C$5:$C$40,Assumptions!$AL135,'TRA balance'!$D$5:$D$40,Assumptions!$AM135)),"")</f>
        <v>0</v>
      </c>
      <c r="BF135" s="34">
        <f>IFERROR(ABS(SUMIFS('TRA balance'!W$5:W$40,'TRA balance'!$C$5:$C$40,Assumptions!$AL135,'TRA balance'!$D$5:$D$40,Assumptions!$AM135)),"")</f>
        <v>0</v>
      </c>
      <c r="BG135" s="34">
        <f>IFERROR(ABS(SUMIFS('TRA balance'!X$5:X$40,'TRA balance'!$C$5:$C$40,Assumptions!$AL135,'TRA balance'!$D$5:$D$40,Assumptions!$AM135)),"")</f>
        <v>0</v>
      </c>
      <c r="BH135" s="34">
        <f>IFERROR(ABS(SUMIFS('TRA balance'!Y$5:Y$40,'TRA balance'!$C$5:$C$40,Assumptions!$AL135,'TRA balance'!$D$5:$D$40,Assumptions!$AM135)),"")</f>
        <v>0</v>
      </c>
      <c r="BI135" s="34">
        <f>IFERROR(ABS(SUMIFS('TRA balance'!Z$5:Z$40,'TRA balance'!$C$5:$C$40,Assumptions!$AL135,'TRA balance'!$D$5:$D$40,Assumptions!$AM135)),"")</f>
        <v>0</v>
      </c>
      <c r="BJ135" s="34">
        <f>IFERROR(ABS(SUMIFS('TRA balance'!AA$5:AA$40,'TRA balance'!$C$5:$C$40,Assumptions!$AL135,'TRA balance'!$D$5:$D$40,Assumptions!$AM135)),"")</f>
        <v>0</v>
      </c>
      <c r="BK135" s="34">
        <f>IFERROR(ABS(SUMIFS('TRA balance'!AB$5:AB$40,'TRA balance'!$C$5:$C$40,Assumptions!$AL135,'TRA balance'!$D$5:$D$40,Assumptions!$AM135)),"")</f>
        <v>0</v>
      </c>
      <c r="BL135" s="34">
        <f>IFERROR(ABS(SUMIFS('TRA balance'!AC$5:AC$40,'TRA balance'!$C$5:$C$40,Assumptions!$AL135,'TRA balance'!$D$5:$D$40,Assumptions!$AM135)),"")</f>
        <v>0</v>
      </c>
      <c r="BM135" s="34">
        <f>IFERROR(ABS(SUMIFS('TRA balance'!AD$5:AD$40,'TRA balance'!$C$5:$C$40,Assumptions!$AL135,'TRA balance'!$D$5:$D$40,Assumptions!$AM135)),"")</f>
        <v>0</v>
      </c>
      <c r="BN135" s="34">
        <f>IFERROR(ABS(SUMIFS('TRA balance'!AE$5:AE$40,'TRA balance'!$C$5:$C$40,Assumptions!$AL135,'TRA balance'!$D$5:$D$40,Assumptions!$AM135)),"")</f>
        <v>0</v>
      </c>
      <c r="BO135" s="34">
        <f>IFERROR(ABS(SUMIFS('TRA balance'!AF$5:AF$40,'TRA balance'!$C$5:$C$40,Assumptions!$AL135,'TRA balance'!$D$5:$D$40,Assumptions!$AM135)),"")</f>
        <v>0</v>
      </c>
      <c r="BP135" s="34">
        <f>IFERROR(ABS(SUMIFS('TRA balance'!AG$5:AG$40,'TRA balance'!$C$5:$C$40,Assumptions!$AL135,'TRA balance'!$D$5:$D$40,Assumptions!$AM135)),"")</f>
        <v>0</v>
      </c>
      <c r="BQ135" s="34">
        <f>IFERROR(ABS(SUMIFS('TRA balance'!AH$5:AH$40,'TRA balance'!$C$5:$C$40,Assumptions!$AL135,'TRA balance'!$D$5:$D$40,Assumptions!$AM135)),"")</f>
        <v>0</v>
      </c>
    </row>
    <row r="136" spans="3:69" x14ac:dyDescent="0.45">
      <c r="C136" t="str">
        <f t="shared" si="241"/>
        <v>DST</v>
      </c>
      <c r="D136" t="str">
        <f t="shared" si="240"/>
        <v>TRM</v>
      </c>
      <c r="E136" t="s">
        <v>115</v>
      </c>
      <c r="F136" s="1">
        <v>7.6604081632652907E-2</v>
      </c>
      <c r="G136" s="1">
        <v>7.6604081632652907E-2</v>
      </c>
      <c r="H136" s="1">
        <v>8.5115646258503194E-2</v>
      </c>
      <c r="I136" s="1">
        <v>7.6604081632652907E-2</v>
      </c>
      <c r="J136" s="1">
        <v>7.6604081632652907E-2</v>
      </c>
      <c r="K136" s="1">
        <v>7.6604081632652907E-2</v>
      </c>
      <c r="L136" s="1">
        <v>7.6604081632652907E-2</v>
      </c>
      <c r="M136" s="1">
        <v>7.6604081632652907E-2</v>
      </c>
      <c r="N136" s="1">
        <v>7.4476190476190501E-2</v>
      </c>
      <c r="O136" s="1">
        <v>7.6604081632652907E-2</v>
      </c>
      <c r="P136" s="1">
        <v>7.6604081632652907E-2</v>
      </c>
      <c r="Q136" s="1">
        <v>7.6604081632652907E-2</v>
      </c>
      <c r="R136" s="1">
        <v>7.6604081632652907E-2</v>
      </c>
      <c r="S136" s="1">
        <v>7.6604081632652907E-2</v>
      </c>
      <c r="T136" s="1">
        <v>7.6604081632652907E-2</v>
      </c>
    </row>
    <row r="137" spans="3:69" x14ac:dyDescent="0.45">
      <c r="C137" t="str">
        <f t="shared" si="241"/>
        <v>ETH</v>
      </c>
      <c r="D137" t="str">
        <f t="shared" si="240"/>
        <v>TRM</v>
      </c>
      <c r="E137" t="s">
        <v>116</v>
      </c>
      <c r="F137" s="1">
        <v>6.7591836734693905E-2</v>
      </c>
      <c r="G137" s="1">
        <v>6.7591836734693905E-2</v>
      </c>
      <c r="H137" s="1">
        <v>7.5102040816326598E-2</v>
      </c>
      <c r="I137" s="1">
        <v>6.7591836734693905E-2</v>
      </c>
      <c r="J137" s="1">
        <v>6.7591836734693905E-2</v>
      </c>
      <c r="K137" s="1">
        <v>6.7591836734693905E-2</v>
      </c>
      <c r="L137" s="1">
        <v>6.7591836734693905E-2</v>
      </c>
      <c r="M137" s="1">
        <v>6.7591836734693905E-2</v>
      </c>
      <c r="N137" s="1">
        <v>6.5714285714285697E-2</v>
      </c>
      <c r="O137" s="1">
        <v>6.7591836734693905E-2</v>
      </c>
      <c r="P137" s="1">
        <v>6.7591836734693905E-2</v>
      </c>
      <c r="Q137" s="1">
        <v>6.7591836734693905E-2</v>
      </c>
      <c r="R137" s="1">
        <v>6.7591836734693905E-2</v>
      </c>
      <c r="S137" s="1">
        <v>6.7591836734693905E-2</v>
      </c>
      <c r="T137" s="1">
        <v>6.7591836734693905E-2</v>
      </c>
      <c r="AM137" t="s">
        <v>248</v>
      </c>
      <c r="AN137" t="str">
        <f t="shared" ref="AN137:AN168" si="242">LEFT(AM137,3)&amp;AP137</f>
        <v>TRBTRADST</v>
      </c>
      <c r="AO137">
        <v>0.11</v>
      </c>
      <c r="AP137" t="s">
        <v>41</v>
      </c>
    </row>
    <row r="138" spans="3:69" x14ac:dyDescent="0.45">
      <c r="C138" t="str">
        <f t="shared" si="241"/>
        <v>GAS</v>
      </c>
      <c r="D138" t="str">
        <f t="shared" si="240"/>
        <v>TRM</v>
      </c>
      <c r="E138" t="s">
        <v>117</v>
      </c>
      <c r="F138" s="1">
        <v>7.2097959183673704E-2</v>
      </c>
      <c r="G138" s="1">
        <v>7.2097959183673704E-2</v>
      </c>
      <c r="H138" s="1">
        <v>8.0108843537415195E-2</v>
      </c>
      <c r="I138" s="1">
        <v>7.2097959183673704E-2</v>
      </c>
      <c r="J138" s="1">
        <v>7.2097959183673704E-2</v>
      </c>
      <c r="K138" s="1">
        <v>7.2097959183673704E-2</v>
      </c>
      <c r="L138" s="1">
        <v>7.2097959183673704E-2</v>
      </c>
      <c r="M138" s="1">
        <v>7.2097959183673704E-2</v>
      </c>
      <c r="N138" s="1">
        <v>7.0095238095238099E-2</v>
      </c>
      <c r="O138" s="1">
        <v>7.2097959183673704E-2</v>
      </c>
      <c r="P138" s="1">
        <v>7.2097959183673704E-2</v>
      </c>
      <c r="Q138" s="1">
        <v>7.2097959183673704E-2</v>
      </c>
      <c r="R138" s="1">
        <v>7.2097959183673704E-2</v>
      </c>
      <c r="S138" s="1">
        <v>7.2097959183673704E-2</v>
      </c>
      <c r="T138" s="1">
        <v>7.2097959183673704E-2</v>
      </c>
      <c r="AM138" t="s">
        <v>249</v>
      </c>
      <c r="AN138" t="str">
        <f t="shared" si="242"/>
        <v>TRBTRAELC</v>
      </c>
      <c r="AO138">
        <v>0.15</v>
      </c>
      <c r="AP138" t="s">
        <v>37</v>
      </c>
    </row>
    <row r="139" spans="3:69" x14ac:dyDescent="0.45">
      <c r="C139" t="str">
        <f t="shared" si="241"/>
        <v>LPG</v>
      </c>
      <c r="D139" t="str">
        <f t="shared" si="240"/>
        <v>TRM</v>
      </c>
      <c r="E139" t="s">
        <v>118</v>
      </c>
      <c r="F139" s="1">
        <v>6.7591836734693905E-2</v>
      </c>
      <c r="G139" s="1">
        <v>6.7591836734693905E-2</v>
      </c>
      <c r="H139" s="1">
        <v>7.5102040816326598E-2</v>
      </c>
      <c r="I139" s="1">
        <v>6.7591836734693905E-2</v>
      </c>
      <c r="J139" s="1">
        <v>6.7591836734693905E-2</v>
      </c>
      <c r="K139" s="1">
        <v>6.7591836734693905E-2</v>
      </c>
      <c r="L139" s="1">
        <v>6.7591836734693905E-2</v>
      </c>
      <c r="M139" s="1">
        <v>6.7591836734693905E-2</v>
      </c>
      <c r="N139" s="1">
        <v>6.5714285714285697E-2</v>
      </c>
      <c r="O139" s="1">
        <v>6.7591836734693905E-2</v>
      </c>
      <c r="P139" s="1">
        <v>6.7591836734693905E-2</v>
      </c>
      <c r="Q139" s="1">
        <v>6.7591836734693905E-2</v>
      </c>
      <c r="R139" s="1">
        <v>6.7591836734693905E-2</v>
      </c>
      <c r="S139" s="1">
        <v>6.7591836734693905E-2</v>
      </c>
      <c r="T139" s="1">
        <v>6.7591836734693905E-2</v>
      </c>
      <c r="AM139" t="s">
        <v>250</v>
      </c>
      <c r="AN139" t="str">
        <f t="shared" si="242"/>
        <v>TRBTRABGS</v>
      </c>
      <c r="AO139">
        <v>0.11</v>
      </c>
      <c r="AP139" t="s">
        <v>33</v>
      </c>
    </row>
    <row r="140" spans="3:69" x14ac:dyDescent="0.45">
      <c r="C140" t="str">
        <f t="shared" si="241"/>
        <v>MET</v>
      </c>
      <c r="D140" t="str">
        <f t="shared" si="240"/>
        <v>TRM</v>
      </c>
      <c r="E140" t="s">
        <v>119</v>
      </c>
      <c r="F140" s="1">
        <v>6.7591836734693905E-2</v>
      </c>
      <c r="G140" s="1">
        <v>6.7591836734693905E-2</v>
      </c>
      <c r="H140" s="1">
        <v>7.5102040816326598E-2</v>
      </c>
      <c r="I140" s="1">
        <v>6.7591836734693905E-2</v>
      </c>
      <c r="J140" s="1">
        <v>6.7591836734693905E-2</v>
      </c>
      <c r="K140" s="1">
        <v>6.7591836734693905E-2</v>
      </c>
      <c r="L140" s="1">
        <v>6.7591836734693905E-2</v>
      </c>
      <c r="M140" s="1">
        <v>6.7591836734693905E-2</v>
      </c>
      <c r="N140" s="1">
        <v>6.5714285714285697E-2</v>
      </c>
      <c r="O140" s="1">
        <v>6.7591836734693905E-2</v>
      </c>
      <c r="P140" s="1">
        <v>6.7591836734693905E-2</v>
      </c>
      <c r="Q140" s="1">
        <v>6.7591836734693905E-2</v>
      </c>
      <c r="R140" s="1">
        <v>6.7591836734693905E-2</v>
      </c>
      <c r="S140" s="1">
        <v>6.7591836734693905E-2</v>
      </c>
      <c r="T140" s="1">
        <v>6.7591836734693905E-2</v>
      </c>
      <c r="AM140" t="s">
        <v>251</v>
      </c>
      <c r="AN140" t="str">
        <f t="shared" si="242"/>
        <v>TRBTRABGS</v>
      </c>
      <c r="AO140">
        <v>0.18</v>
      </c>
      <c r="AP140" t="s">
        <v>33</v>
      </c>
    </row>
    <row r="141" spans="3:69" x14ac:dyDescent="0.45">
      <c r="C141" t="str">
        <f t="shared" si="241"/>
        <v>NGA</v>
      </c>
      <c r="D141" t="str">
        <f t="shared" si="240"/>
        <v>TRM</v>
      </c>
      <c r="E141" t="s">
        <v>120</v>
      </c>
      <c r="F141" s="1">
        <v>6.7591836734693905E-2</v>
      </c>
      <c r="G141" s="1">
        <v>6.7591836734693905E-2</v>
      </c>
      <c r="H141" s="1">
        <v>7.5102040816326598E-2</v>
      </c>
      <c r="I141" s="1">
        <v>6.7591836734693905E-2</v>
      </c>
      <c r="J141" s="1">
        <v>6.7591836734693905E-2</v>
      </c>
      <c r="K141" s="1">
        <v>6.7591836734693905E-2</v>
      </c>
      <c r="L141" s="1">
        <v>6.7591836734693905E-2</v>
      </c>
      <c r="M141" s="1">
        <v>6.7591836734693905E-2</v>
      </c>
      <c r="N141" s="1">
        <v>6.5714285714285697E-2</v>
      </c>
      <c r="O141" s="1">
        <v>6.7591836734693905E-2</v>
      </c>
      <c r="P141" s="1">
        <v>6.7591836734693905E-2</v>
      </c>
      <c r="Q141" s="1">
        <v>6.7591836734693905E-2</v>
      </c>
      <c r="R141" s="1">
        <v>6.7591836734693905E-2</v>
      </c>
      <c r="S141" s="1">
        <v>6.7591836734693905E-2</v>
      </c>
      <c r="T141" s="1">
        <v>6.7591836734693905E-2</v>
      </c>
      <c r="AM141" t="s">
        <v>252</v>
      </c>
      <c r="AN141" t="str">
        <f t="shared" si="242"/>
        <v>TRBTRAGSL</v>
      </c>
      <c r="AO141">
        <v>0.11</v>
      </c>
      <c r="AP141" t="s">
        <v>42</v>
      </c>
    </row>
    <row r="142" spans="3:69" x14ac:dyDescent="0.45">
      <c r="C142" t="str">
        <f t="shared" si="241"/>
        <v>DST</v>
      </c>
      <c r="D142" t="str">
        <f t="shared" si="240"/>
        <v>TRT</v>
      </c>
      <c r="E142" t="s">
        <v>88</v>
      </c>
      <c r="F142" s="1">
        <v>0.26047999999999999</v>
      </c>
      <c r="G142" s="1">
        <v>0.30931999999999998</v>
      </c>
      <c r="H142" s="1">
        <v>0.31080000000000002</v>
      </c>
      <c r="I142" s="1">
        <v>0.29304000000000002</v>
      </c>
      <c r="J142" s="1">
        <v>0.26047999999999999</v>
      </c>
      <c r="K142" s="1">
        <v>0.26047999999999999</v>
      </c>
      <c r="L142" s="1">
        <v>0.26047999999999999</v>
      </c>
      <c r="M142" s="1">
        <v>0.24864</v>
      </c>
      <c r="N142" s="1">
        <v>0.30931999999999998</v>
      </c>
      <c r="O142" s="1">
        <v>0.30931999999999998</v>
      </c>
      <c r="P142" s="1">
        <v>0.26047999999999999</v>
      </c>
      <c r="Q142" s="1">
        <v>0.28416000000000002</v>
      </c>
      <c r="R142" s="1">
        <v>0.26047999999999999</v>
      </c>
      <c r="S142" s="1">
        <v>0.28120000000000001</v>
      </c>
      <c r="T142" s="1">
        <v>0.29526000000000002</v>
      </c>
      <c r="AM142" t="s">
        <v>253</v>
      </c>
      <c r="AN142" t="str">
        <f t="shared" si="242"/>
        <v>TRBTRAGSL</v>
      </c>
      <c r="AO142">
        <v>0.18</v>
      </c>
      <c r="AP142" t="s">
        <v>42</v>
      </c>
    </row>
    <row r="143" spans="3:69" x14ac:dyDescent="0.45">
      <c r="C143" t="str">
        <f t="shared" si="241"/>
        <v>ELC</v>
      </c>
      <c r="D143" t="str">
        <f t="shared" si="240"/>
        <v>TRT</v>
      </c>
      <c r="E143" t="s">
        <v>89</v>
      </c>
      <c r="F143" s="1">
        <v>0.4224</v>
      </c>
      <c r="G143" s="1">
        <v>0.50160000000000005</v>
      </c>
      <c r="H143" s="1">
        <v>0.504</v>
      </c>
      <c r="I143" s="1">
        <v>0.47520000000000001</v>
      </c>
      <c r="J143" s="1">
        <v>0.4224</v>
      </c>
      <c r="K143" s="1">
        <v>0.4224</v>
      </c>
      <c r="L143" s="1">
        <v>0.4224</v>
      </c>
      <c r="M143" s="1">
        <v>0.4032</v>
      </c>
      <c r="N143" s="1">
        <v>0.50160000000000005</v>
      </c>
      <c r="O143" s="1">
        <v>0.50160000000000005</v>
      </c>
      <c r="P143" s="1">
        <v>0.4224</v>
      </c>
      <c r="Q143" s="1">
        <v>0.46079999999999999</v>
      </c>
      <c r="R143" s="1">
        <v>0.4224</v>
      </c>
      <c r="S143" s="1">
        <v>0.45600000000000002</v>
      </c>
      <c r="T143" s="1">
        <v>0.4788</v>
      </c>
      <c r="AM143" t="s">
        <v>254</v>
      </c>
      <c r="AN143" t="str">
        <f t="shared" si="242"/>
        <v>TRBTRALPG</v>
      </c>
      <c r="AO143">
        <v>0.09</v>
      </c>
      <c r="AP143" t="s">
        <v>39</v>
      </c>
    </row>
    <row r="144" spans="3:69" x14ac:dyDescent="0.45">
      <c r="C144" t="str">
        <f t="shared" si="241"/>
        <v>ETH</v>
      </c>
      <c r="D144" t="str">
        <f t="shared" si="240"/>
        <v>TRT</v>
      </c>
      <c r="E144" t="s">
        <v>90</v>
      </c>
      <c r="F144" s="1">
        <v>0.33291255063258801</v>
      </c>
      <c r="G144" s="1">
        <v>0.39533365387619801</v>
      </c>
      <c r="H144" s="1">
        <v>0.39722520245933801</v>
      </c>
      <c r="I144" s="1">
        <v>0.37452661946166099</v>
      </c>
      <c r="J144" s="1">
        <v>0.33291255063258801</v>
      </c>
      <c r="K144" s="1">
        <v>0.33291255063258801</v>
      </c>
      <c r="L144" s="1">
        <v>0.33291255063258801</v>
      </c>
      <c r="M144" s="1">
        <v>0.31778016196747</v>
      </c>
      <c r="N144" s="1">
        <v>0.39533365387619801</v>
      </c>
      <c r="O144" s="1">
        <v>0.39533365387619801</v>
      </c>
      <c r="P144" s="1">
        <v>0.33291255063258801</v>
      </c>
      <c r="Q144" s="1">
        <v>0.36317732796282298</v>
      </c>
      <c r="R144" s="1">
        <v>0.33291255063258801</v>
      </c>
      <c r="S144" s="1">
        <v>0.35939423079654398</v>
      </c>
      <c r="T144" s="1">
        <v>0.37736394233637099</v>
      </c>
      <c r="AM144" t="s">
        <v>255</v>
      </c>
      <c r="AN144" t="str">
        <f t="shared" si="242"/>
        <v>TRBTRABGS</v>
      </c>
      <c r="AO144">
        <v>0.11</v>
      </c>
      <c r="AP144" t="s">
        <v>33</v>
      </c>
    </row>
    <row r="145" spans="2:42" x14ac:dyDescent="0.45">
      <c r="C145" t="str">
        <f t="shared" si="241"/>
        <v>GAS</v>
      </c>
      <c r="D145" t="str">
        <f t="shared" si="240"/>
        <v>TRT</v>
      </c>
      <c r="E145" t="s">
        <v>91</v>
      </c>
      <c r="F145" s="1">
        <v>0.22528000000000001</v>
      </c>
      <c r="G145" s="1">
        <v>0.26751999999999998</v>
      </c>
      <c r="H145" s="1">
        <v>0.26879999999999998</v>
      </c>
      <c r="I145" s="1">
        <v>0.25344</v>
      </c>
      <c r="J145" s="1">
        <v>0.22528000000000001</v>
      </c>
      <c r="K145" s="1">
        <v>0.22528000000000001</v>
      </c>
      <c r="L145" s="1">
        <v>0.22528000000000001</v>
      </c>
      <c r="M145" s="1">
        <v>0.21504000000000001</v>
      </c>
      <c r="N145" s="1">
        <v>0.26751999999999998</v>
      </c>
      <c r="O145" s="1">
        <v>0.26751999999999998</v>
      </c>
      <c r="P145" s="1">
        <v>0.22528000000000001</v>
      </c>
      <c r="Q145" s="1">
        <v>0.24576000000000001</v>
      </c>
      <c r="R145" s="1">
        <v>0.22528000000000001</v>
      </c>
      <c r="S145" s="1">
        <v>0.2432</v>
      </c>
      <c r="T145" s="1">
        <v>0.25535999999999998</v>
      </c>
      <c r="AM145" t="s">
        <v>256</v>
      </c>
      <c r="AN145" t="str">
        <f t="shared" si="242"/>
        <v>TRBTRANGA</v>
      </c>
      <c r="AO145">
        <v>0.09</v>
      </c>
      <c r="AP145" t="s">
        <v>38</v>
      </c>
    </row>
    <row r="146" spans="2:42" x14ac:dyDescent="0.45">
      <c r="C146" t="str">
        <f t="shared" si="241"/>
        <v>LPG</v>
      </c>
      <c r="D146" t="str">
        <f t="shared" si="240"/>
        <v>TRT</v>
      </c>
      <c r="E146" t="s">
        <v>92</v>
      </c>
      <c r="F146" s="1">
        <v>0.24684709009973099</v>
      </c>
      <c r="G146" s="1">
        <v>0.29313091949343101</v>
      </c>
      <c r="H146" s="1">
        <v>0.29453345977808798</v>
      </c>
      <c r="I146" s="1">
        <v>0.27770297636219798</v>
      </c>
      <c r="J146" s="1">
        <v>0.24684709009973099</v>
      </c>
      <c r="K146" s="1">
        <v>0.24684709009973099</v>
      </c>
      <c r="L146" s="1">
        <v>0.24684709009973099</v>
      </c>
      <c r="M146" s="1">
        <v>0.23562676782247099</v>
      </c>
      <c r="N146" s="1">
        <v>0.29313091949343101</v>
      </c>
      <c r="O146" s="1">
        <v>0.29313091949343101</v>
      </c>
      <c r="P146" s="1">
        <v>0.24684709009973099</v>
      </c>
      <c r="Q146" s="1">
        <v>0.26928773465425199</v>
      </c>
      <c r="R146" s="1">
        <v>0.24684709009973099</v>
      </c>
      <c r="S146" s="1">
        <v>0.26648265408493699</v>
      </c>
      <c r="T146" s="1">
        <v>0.27980678678918403</v>
      </c>
      <c r="AM146" t="s">
        <v>257</v>
      </c>
      <c r="AN146" t="str">
        <f t="shared" si="242"/>
        <v>TRCTRADST</v>
      </c>
      <c r="AO146">
        <v>0.23</v>
      </c>
      <c r="AP146" t="s">
        <v>41</v>
      </c>
    </row>
    <row r="147" spans="2:42" x14ac:dyDescent="0.45">
      <c r="C147" t="str">
        <f t="shared" si="241"/>
        <v>MET</v>
      </c>
      <c r="D147" t="str">
        <f t="shared" si="240"/>
        <v>TRT</v>
      </c>
      <c r="E147" t="s">
        <v>93</v>
      </c>
      <c r="F147" s="1">
        <v>0.33291255063258801</v>
      </c>
      <c r="G147" s="1">
        <v>0.39533365387619801</v>
      </c>
      <c r="H147" s="1">
        <v>0.39722520245933801</v>
      </c>
      <c r="I147" s="1">
        <v>0.37452661946166099</v>
      </c>
      <c r="J147" s="1">
        <v>0.33291255063258801</v>
      </c>
      <c r="K147" s="1">
        <v>0.33291255063258801</v>
      </c>
      <c r="L147" s="1">
        <v>0.33291255063258801</v>
      </c>
      <c r="M147" s="1">
        <v>0.31778016196747</v>
      </c>
      <c r="N147" s="1">
        <v>0.39533365387619801</v>
      </c>
      <c r="O147" s="1">
        <v>0.39533365387619801</v>
      </c>
      <c r="P147" s="1">
        <v>0.33291255063258801</v>
      </c>
      <c r="Q147" s="1">
        <v>0.36317732796282298</v>
      </c>
      <c r="R147" s="1">
        <v>0.33291255063258801</v>
      </c>
      <c r="S147" s="1">
        <v>0.35939423079654398</v>
      </c>
      <c r="T147" s="1">
        <v>0.37736394233637099</v>
      </c>
      <c r="AM147" t="s">
        <v>258</v>
      </c>
      <c r="AN147" t="str">
        <f t="shared" si="242"/>
        <v>TRCTRADST</v>
      </c>
      <c r="AO147">
        <v>0.26</v>
      </c>
      <c r="AP147" t="s">
        <v>41</v>
      </c>
    </row>
    <row r="148" spans="2:42" x14ac:dyDescent="0.45">
      <c r="C148" t="str">
        <f t="shared" si="241"/>
        <v>NGA</v>
      </c>
      <c r="D148" t="str">
        <f t="shared" si="240"/>
        <v>TRT</v>
      </c>
      <c r="E148" t="s">
        <v>94</v>
      </c>
      <c r="F148" s="1">
        <v>0.24684709009973099</v>
      </c>
      <c r="G148" s="1">
        <v>0.29313091949343101</v>
      </c>
      <c r="H148" s="1">
        <v>0.29453345977808798</v>
      </c>
      <c r="I148" s="1">
        <v>0.27770297636219798</v>
      </c>
      <c r="J148" s="1">
        <v>0.24684709009973099</v>
      </c>
      <c r="K148" s="1">
        <v>0.24684709009973099</v>
      </c>
      <c r="L148" s="1">
        <v>0.24684709009973099</v>
      </c>
      <c r="M148" s="1">
        <v>0.23562676782247099</v>
      </c>
      <c r="N148" s="1">
        <v>0.29313091949343101</v>
      </c>
      <c r="O148" s="1">
        <v>0.29313091949343101</v>
      </c>
      <c r="P148" s="1">
        <v>0.24684709009973099</v>
      </c>
      <c r="Q148" s="1">
        <v>0.26928773465425199</v>
      </c>
      <c r="R148" s="1">
        <v>0.24684709009973099</v>
      </c>
      <c r="S148" s="1">
        <v>0.26648265408493699</v>
      </c>
      <c r="T148" s="1">
        <v>0.27980678678918403</v>
      </c>
      <c r="AM148" t="s">
        <v>259</v>
      </c>
      <c r="AN148" t="str">
        <f t="shared" si="242"/>
        <v>TRCTRADST</v>
      </c>
      <c r="AO148">
        <v>0.2</v>
      </c>
      <c r="AP148" t="s">
        <v>41</v>
      </c>
    </row>
    <row r="149" spans="2:42" x14ac:dyDescent="0.45">
      <c r="C149" t="s">
        <v>144</v>
      </c>
      <c r="D149" t="str">
        <f t="shared" si="240"/>
        <v>TRW</v>
      </c>
      <c r="E149" t="s">
        <v>127</v>
      </c>
      <c r="F149" s="1">
        <v>0.49</v>
      </c>
      <c r="G149" s="1">
        <v>0.63</v>
      </c>
      <c r="H149" s="1">
        <v>0.63</v>
      </c>
      <c r="I149" s="1">
        <v>0.63</v>
      </c>
      <c r="J149" s="1">
        <v>0.63</v>
      </c>
      <c r="K149" s="1">
        <v>0.63</v>
      </c>
      <c r="L149" s="1">
        <v>0.63</v>
      </c>
      <c r="M149" s="1">
        <v>0.49</v>
      </c>
      <c r="N149" s="1">
        <v>0.63</v>
      </c>
      <c r="O149" s="1">
        <v>0.63</v>
      </c>
      <c r="P149" s="1">
        <v>0.49</v>
      </c>
      <c r="Q149" s="1">
        <v>0.49</v>
      </c>
      <c r="R149" s="1">
        <v>0.63</v>
      </c>
      <c r="S149" s="1">
        <v>0.49</v>
      </c>
      <c r="T149" s="1">
        <v>0.63</v>
      </c>
      <c r="AM149" t="s">
        <v>260</v>
      </c>
      <c r="AN149" t="str">
        <f t="shared" si="242"/>
        <v>TRCTRABGS</v>
      </c>
      <c r="AO149">
        <v>0.21</v>
      </c>
      <c r="AP149" t="s">
        <v>33</v>
      </c>
    </row>
    <row r="150" spans="2:42" x14ac:dyDescent="0.45">
      <c r="C150" t="str">
        <f t="shared" si="241"/>
        <v>MPG</v>
      </c>
      <c r="D150" t="str">
        <f t="shared" si="240"/>
        <v>TRW</v>
      </c>
      <c r="E150" t="s">
        <v>128</v>
      </c>
      <c r="F150" s="1">
        <v>0.7</v>
      </c>
      <c r="G150" s="1">
        <v>0.9</v>
      </c>
      <c r="H150" s="1">
        <v>0.9</v>
      </c>
      <c r="I150" s="1">
        <v>0.9</v>
      </c>
      <c r="J150" s="1">
        <v>0.9</v>
      </c>
      <c r="K150" s="1">
        <v>0.9</v>
      </c>
      <c r="L150" s="1">
        <v>0.9</v>
      </c>
      <c r="M150" s="1">
        <v>0.7</v>
      </c>
      <c r="N150" s="1">
        <v>0.9</v>
      </c>
      <c r="O150" s="1">
        <v>0.9</v>
      </c>
      <c r="P150" s="1">
        <v>0.7</v>
      </c>
      <c r="Q150" s="1">
        <v>0.7</v>
      </c>
      <c r="R150" s="1">
        <v>0.9</v>
      </c>
      <c r="S150" s="1">
        <v>0.7</v>
      </c>
      <c r="T150" s="1">
        <v>0.9</v>
      </c>
      <c r="AM150" t="s">
        <v>261</v>
      </c>
      <c r="AN150" t="str">
        <f t="shared" si="242"/>
        <v>TRCTRABGS</v>
      </c>
      <c r="AO150">
        <v>0.23</v>
      </c>
      <c r="AP150" t="s">
        <v>33</v>
      </c>
    </row>
    <row r="151" spans="2:42" x14ac:dyDescent="0.45">
      <c r="B151" t="s">
        <v>143</v>
      </c>
      <c r="AM151" t="s">
        <v>262</v>
      </c>
      <c r="AN151" t="str">
        <f t="shared" si="242"/>
        <v>TRCTRABGS</v>
      </c>
      <c r="AO151">
        <v>0.19</v>
      </c>
      <c r="AP151" t="s">
        <v>33</v>
      </c>
    </row>
    <row r="152" spans="2:42" x14ac:dyDescent="0.45">
      <c r="B152" t="s">
        <v>132</v>
      </c>
      <c r="E152" t="str">
        <f t="shared" ref="E152:E157" si="243">LEFT(B152,3)</f>
        <v>TAD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M152" t="s">
        <v>263</v>
      </c>
      <c r="AN152" t="str">
        <f t="shared" si="242"/>
        <v>TRCTRAGSL</v>
      </c>
      <c r="AO152">
        <v>0.19</v>
      </c>
      <c r="AP152" t="s">
        <v>42</v>
      </c>
    </row>
    <row r="153" spans="2:42" x14ac:dyDescent="0.45">
      <c r="B153" t="s">
        <v>131</v>
      </c>
      <c r="E153" t="str">
        <f t="shared" si="243"/>
        <v>TAI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1</v>
      </c>
      <c r="AM153" t="s">
        <v>264</v>
      </c>
      <c r="AN153" t="str">
        <f t="shared" si="242"/>
        <v>TRCTRALPG</v>
      </c>
      <c r="AO153">
        <v>0.21</v>
      </c>
      <c r="AP153" t="s">
        <v>39</v>
      </c>
    </row>
    <row r="154" spans="2:42" x14ac:dyDescent="0.45">
      <c r="B154" t="s">
        <v>137</v>
      </c>
      <c r="E154" t="str">
        <f t="shared" si="243"/>
        <v>TTF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  <c r="AM154" t="s">
        <v>265</v>
      </c>
      <c r="AN154" t="str">
        <f t="shared" si="242"/>
        <v>TRCTRABGS</v>
      </c>
      <c r="AO154">
        <v>0.19</v>
      </c>
      <c r="AP154" t="s">
        <v>33</v>
      </c>
    </row>
    <row r="155" spans="2:42" x14ac:dyDescent="0.45">
      <c r="B155" t="s">
        <v>138</v>
      </c>
      <c r="E155" t="str">
        <f t="shared" si="243"/>
        <v>TTP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  <c r="AM155" t="s">
        <v>266</v>
      </c>
      <c r="AN155" t="str">
        <f t="shared" si="242"/>
        <v>TRCTRANGA</v>
      </c>
      <c r="AO155">
        <v>0.19</v>
      </c>
      <c r="AP155" t="s">
        <v>38</v>
      </c>
    </row>
    <row r="156" spans="2:42" x14ac:dyDescent="0.45">
      <c r="B156" t="s">
        <v>133</v>
      </c>
      <c r="E156" t="str">
        <f t="shared" si="243"/>
        <v>TWD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1</v>
      </c>
      <c r="AM156" t="s">
        <v>267</v>
      </c>
      <c r="AN156" t="str">
        <f t="shared" si="242"/>
        <v>TRETRADST</v>
      </c>
      <c r="AO156">
        <v>0.4</v>
      </c>
      <c r="AP156" t="s">
        <v>41</v>
      </c>
    </row>
    <row r="157" spans="2:42" x14ac:dyDescent="0.45">
      <c r="B157" t="s">
        <v>134</v>
      </c>
      <c r="E157" t="str">
        <f t="shared" si="243"/>
        <v>TWI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M157" t="s">
        <v>268</v>
      </c>
      <c r="AN157" t="str">
        <f t="shared" si="242"/>
        <v>TRETRAGSL</v>
      </c>
      <c r="AO157">
        <v>0.5</v>
      </c>
      <c r="AP157" t="s">
        <v>42</v>
      </c>
    </row>
    <row r="158" spans="2:42" x14ac:dyDescent="0.45">
      <c r="AM158" t="s">
        <v>269</v>
      </c>
      <c r="AN158" t="str">
        <f t="shared" si="242"/>
        <v>TRHTRADST</v>
      </c>
      <c r="AO158">
        <v>0.11</v>
      </c>
      <c r="AP158" t="s">
        <v>41</v>
      </c>
    </row>
    <row r="159" spans="2:42" x14ac:dyDescent="0.45">
      <c r="AM159" t="s">
        <v>270</v>
      </c>
      <c r="AN159" t="str">
        <f t="shared" si="242"/>
        <v>TRHTRADST</v>
      </c>
      <c r="AO159">
        <v>0.13</v>
      </c>
      <c r="AP159" t="s">
        <v>41</v>
      </c>
    </row>
    <row r="160" spans="2:42" x14ac:dyDescent="0.45">
      <c r="D160" t="s">
        <v>172</v>
      </c>
      <c r="F160" t="s">
        <v>173</v>
      </c>
      <c r="AM160" t="s">
        <v>271</v>
      </c>
      <c r="AN160" t="str">
        <f t="shared" si="242"/>
        <v>TRHTRADST</v>
      </c>
      <c r="AO160">
        <v>0.09</v>
      </c>
      <c r="AP160" t="s">
        <v>41</v>
      </c>
    </row>
    <row r="161" spans="3:42" x14ac:dyDescent="0.45">
      <c r="D161" t="s">
        <v>174</v>
      </c>
      <c r="E161" t="s">
        <v>136</v>
      </c>
      <c r="F161" t="s">
        <v>9</v>
      </c>
      <c r="G161" t="s">
        <v>15</v>
      </c>
      <c r="H161" t="s">
        <v>8</v>
      </c>
      <c r="I161" t="s">
        <v>14</v>
      </c>
      <c r="J161" t="s">
        <v>6</v>
      </c>
      <c r="K161" t="s">
        <v>4</v>
      </c>
      <c r="L161" t="s">
        <v>13</v>
      </c>
      <c r="M161" t="s">
        <v>7</v>
      </c>
      <c r="N161" t="s">
        <v>2</v>
      </c>
      <c r="O161" t="s">
        <v>11</v>
      </c>
      <c r="P161" t="s">
        <v>0</v>
      </c>
      <c r="Q161" t="s">
        <v>12</v>
      </c>
      <c r="R161" t="s">
        <v>3</v>
      </c>
      <c r="S161" t="s">
        <v>5</v>
      </c>
      <c r="T161" t="s">
        <v>1</v>
      </c>
      <c r="AM161" t="s">
        <v>272</v>
      </c>
      <c r="AN161" t="str">
        <f t="shared" si="242"/>
        <v>TRHTRABGS</v>
      </c>
      <c r="AO161">
        <v>0.09</v>
      </c>
      <c r="AP161" t="s">
        <v>33</v>
      </c>
    </row>
    <row r="162" spans="3:42" x14ac:dyDescent="0.45">
      <c r="C162" t="str">
        <f t="shared" ref="C162" si="244">MID(E162,4,3)</f>
        <v>DST</v>
      </c>
      <c r="D162" t="str">
        <f t="shared" ref="D162" si="245">LEFT(E162,3)</f>
        <v>TRB</v>
      </c>
      <c r="E162" t="s">
        <v>175</v>
      </c>
      <c r="F162" s="1">
        <v>0.09</v>
      </c>
      <c r="G162" s="1">
        <v>0.09</v>
      </c>
      <c r="H162" s="1">
        <v>0.09</v>
      </c>
      <c r="I162" s="1">
        <v>0.09</v>
      </c>
      <c r="J162" s="1">
        <v>0.09</v>
      </c>
      <c r="K162" s="1">
        <v>0.09</v>
      </c>
      <c r="L162" s="1">
        <v>0.09</v>
      </c>
      <c r="M162" s="1">
        <v>0.09</v>
      </c>
      <c r="N162" s="1">
        <v>0.09</v>
      </c>
      <c r="O162" s="1">
        <v>0.09</v>
      </c>
      <c r="P162" s="1">
        <v>0.09</v>
      </c>
      <c r="Q162" s="1">
        <v>0.09</v>
      </c>
      <c r="R162" s="1">
        <v>0.09</v>
      </c>
      <c r="S162" s="1">
        <v>0.09</v>
      </c>
      <c r="T162" s="1">
        <v>0.09</v>
      </c>
      <c r="AM162" t="s">
        <v>273</v>
      </c>
      <c r="AN162" t="str">
        <f t="shared" si="242"/>
        <v>TRHTRAGSL</v>
      </c>
      <c r="AO162">
        <v>0.08</v>
      </c>
      <c r="AP162" t="s">
        <v>42</v>
      </c>
    </row>
    <row r="163" spans="3:42" x14ac:dyDescent="0.45">
      <c r="C163" t="str">
        <f t="shared" ref="C163:C226" si="246">MID(E163,4,3)</f>
        <v>ELC</v>
      </c>
      <c r="D163" t="str">
        <f t="shared" ref="D163:D226" si="247">LEFT(E163,3)</f>
        <v>TRB</v>
      </c>
      <c r="E163" t="s">
        <v>176</v>
      </c>
      <c r="F163" s="1">
        <v>0.15</v>
      </c>
      <c r="G163" s="1">
        <v>0.15</v>
      </c>
      <c r="H163" s="1">
        <v>0.15</v>
      </c>
      <c r="I163" s="1">
        <v>0.15</v>
      </c>
      <c r="J163" s="1">
        <v>0.15</v>
      </c>
      <c r="K163" s="1">
        <v>0.15</v>
      </c>
      <c r="L163" s="1">
        <v>0.15</v>
      </c>
      <c r="M163" s="1">
        <v>0.15</v>
      </c>
      <c r="N163" s="1">
        <v>0.15</v>
      </c>
      <c r="O163" s="1">
        <v>0.15</v>
      </c>
      <c r="P163" s="1">
        <v>0.15</v>
      </c>
      <c r="Q163" s="1">
        <v>0.15</v>
      </c>
      <c r="R163" s="1">
        <v>0.15</v>
      </c>
      <c r="S163" s="1">
        <v>0.15</v>
      </c>
      <c r="T163" s="1">
        <v>0.15</v>
      </c>
      <c r="AM163" t="s">
        <v>274</v>
      </c>
      <c r="AN163" t="str">
        <f t="shared" si="242"/>
        <v>TRHTRALPG</v>
      </c>
      <c r="AO163">
        <v>0.06</v>
      </c>
      <c r="AP163" t="s">
        <v>39</v>
      </c>
    </row>
    <row r="164" spans="3:42" x14ac:dyDescent="0.45">
      <c r="C164" t="str">
        <f t="shared" si="246"/>
        <v>ETH</v>
      </c>
      <c r="D164" t="str">
        <f t="shared" si="247"/>
        <v>TRB</v>
      </c>
      <c r="E164" t="s">
        <v>177</v>
      </c>
      <c r="F164" s="1">
        <v>0.09</v>
      </c>
      <c r="G164" s="1">
        <v>0.09</v>
      </c>
      <c r="H164" s="1">
        <v>0.09</v>
      </c>
      <c r="I164" s="1">
        <v>0.09</v>
      </c>
      <c r="J164" s="1">
        <v>0.09</v>
      </c>
      <c r="K164" s="1">
        <v>0.09</v>
      </c>
      <c r="L164" s="1">
        <v>0.09</v>
      </c>
      <c r="M164" s="1">
        <v>0.09</v>
      </c>
      <c r="N164" s="1">
        <v>0.09</v>
      </c>
      <c r="O164" s="1">
        <v>0.09</v>
      </c>
      <c r="P164" s="1">
        <v>0.09</v>
      </c>
      <c r="Q164" s="1">
        <v>0.09</v>
      </c>
      <c r="R164" s="1">
        <v>0.09</v>
      </c>
      <c r="S164" s="1">
        <v>0.09</v>
      </c>
      <c r="T164" s="1">
        <v>0.09</v>
      </c>
      <c r="AM164" t="s">
        <v>275</v>
      </c>
      <c r="AN164" t="str">
        <f t="shared" si="242"/>
        <v>TRHTRABGS</v>
      </c>
      <c r="AO164">
        <v>0.1</v>
      </c>
      <c r="AP164" t="s">
        <v>33</v>
      </c>
    </row>
    <row r="165" spans="3:42" x14ac:dyDescent="0.45">
      <c r="C165" t="str">
        <f t="shared" si="246"/>
        <v>GAS</v>
      </c>
      <c r="D165" t="str">
        <f t="shared" si="247"/>
        <v>TRB</v>
      </c>
      <c r="E165" t="s">
        <v>178</v>
      </c>
      <c r="F165" s="1">
        <v>0.09</v>
      </c>
      <c r="G165" s="1">
        <v>0.09</v>
      </c>
      <c r="H165" s="1">
        <v>0.09</v>
      </c>
      <c r="I165" s="1">
        <v>0.09</v>
      </c>
      <c r="J165" s="1">
        <v>0.09</v>
      </c>
      <c r="K165" s="1">
        <v>0.09</v>
      </c>
      <c r="L165" s="1">
        <v>0.09</v>
      </c>
      <c r="M165" s="1">
        <v>0.09</v>
      </c>
      <c r="N165" s="1">
        <v>0.09</v>
      </c>
      <c r="O165" s="1">
        <v>0.09</v>
      </c>
      <c r="P165" s="1">
        <v>0.09</v>
      </c>
      <c r="Q165" s="1">
        <v>0.09</v>
      </c>
      <c r="R165" s="1">
        <v>0.09</v>
      </c>
      <c r="S165" s="1">
        <v>0.09</v>
      </c>
      <c r="T165" s="1">
        <v>0.09</v>
      </c>
      <c r="AM165" t="s">
        <v>276</v>
      </c>
      <c r="AN165" t="str">
        <f t="shared" si="242"/>
        <v>TRHTRANGA</v>
      </c>
      <c r="AO165">
        <v>0.06</v>
      </c>
      <c r="AP165" t="s">
        <v>38</v>
      </c>
    </row>
    <row r="166" spans="3:42" x14ac:dyDescent="0.45">
      <c r="C166" t="str">
        <f t="shared" si="246"/>
        <v>HYB</v>
      </c>
      <c r="D166" t="str">
        <f t="shared" si="247"/>
        <v>TRB</v>
      </c>
      <c r="E166" t="s">
        <v>179</v>
      </c>
      <c r="F166" s="1">
        <v>0.15</v>
      </c>
      <c r="G166" s="1">
        <v>0.15</v>
      </c>
      <c r="H166" s="1">
        <v>0.15</v>
      </c>
      <c r="I166" s="1">
        <v>0.15</v>
      </c>
      <c r="J166" s="1">
        <v>0.15</v>
      </c>
      <c r="K166" s="1">
        <v>0.15</v>
      </c>
      <c r="L166" s="1">
        <v>0.15</v>
      </c>
      <c r="M166" s="1">
        <v>0.15</v>
      </c>
      <c r="N166" s="1">
        <v>0.15</v>
      </c>
      <c r="O166" s="1">
        <v>0.15</v>
      </c>
      <c r="P166" s="1">
        <v>0.15</v>
      </c>
      <c r="Q166" s="1">
        <v>0.15</v>
      </c>
      <c r="R166" s="1">
        <v>0.15</v>
      </c>
      <c r="S166" s="1">
        <v>0.15</v>
      </c>
      <c r="T166" s="1">
        <v>0.15</v>
      </c>
      <c r="AM166" t="s">
        <v>277</v>
      </c>
      <c r="AN166" t="str">
        <f t="shared" si="242"/>
        <v>TRLTRADST</v>
      </c>
      <c r="AO166">
        <v>0.4</v>
      </c>
      <c r="AP166" t="s">
        <v>41</v>
      </c>
    </row>
    <row r="167" spans="3:42" x14ac:dyDescent="0.45">
      <c r="C167" t="str">
        <f t="shared" si="246"/>
        <v>LPG</v>
      </c>
      <c r="D167" t="str">
        <f t="shared" si="247"/>
        <v>TRB</v>
      </c>
      <c r="E167" t="s">
        <v>180</v>
      </c>
      <c r="F167" s="1">
        <v>0.08</v>
      </c>
      <c r="G167" s="1">
        <v>0.08</v>
      </c>
      <c r="H167" s="1">
        <v>0.08</v>
      </c>
      <c r="I167" s="1">
        <v>0.08</v>
      </c>
      <c r="J167" s="1">
        <v>0.08</v>
      </c>
      <c r="K167" s="1">
        <v>0.08</v>
      </c>
      <c r="L167" s="1">
        <v>0.08</v>
      </c>
      <c r="M167" s="1">
        <v>0.08</v>
      </c>
      <c r="N167" s="1">
        <v>0.08</v>
      </c>
      <c r="O167" s="1">
        <v>0.08</v>
      </c>
      <c r="P167" s="1">
        <v>0.08</v>
      </c>
      <c r="Q167" s="1">
        <v>0.08</v>
      </c>
      <c r="R167" s="1">
        <v>0.08</v>
      </c>
      <c r="S167" s="1">
        <v>0.08</v>
      </c>
      <c r="T167" s="1">
        <v>0.08</v>
      </c>
      <c r="AM167" t="s">
        <v>278</v>
      </c>
      <c r="AN167" t="str">
        <f t="shared" si="242"/>
        <v>TRLTRADST</v>
      </c>
      <c r="AO167">
        <v>0.44</v>
      </c>
      <c r="AP167" t="s">
        <v>41</v>
      </c>
    </row>
    <row r="168" spans="3:42" x14ac:dyDescent="0.45">
      <c r="C168" t="str">
        <f t="shared" si="246"/>
        <v>MET</v>
      </c>
      <c r="D168" t="str">
        <f t="shared" si="247"/>
        <v>TRB</v>
      </c>
      <c r="E168" t="s">
        <v>181</v>
      </c>
      <c r="F168" s="1">
        <v>0.09</v>
      </c>
      <c r="G168" s="1">
        <v>0.09</v>
      </c>
      <c r="H168" s="1">
        <v>0.09</v>
      </c>
      <c r="I168" s="1">
        <v>0.09</v>
      </c>
      <c r="J168" s="1">
        <v>0.09</v>
      </c>
      <c r="K168" s="1">
        <v>0.09</v>
      </c>
      <c r="L168" s="1">
        <v>0.09</v>
      </c>
      <c r="M168" s="1">
        <v>0.09</v>
      </c>
      <c r="N168" s="1">
        <v>0.09</v>
      </c>
      <c r="O168" s="1">
        <v>0.09</v>
      </c>
      <c r="P168" s="1">
        <v>0.09</v>
      </c>
      <c r="Q168" s="1">
        <v>0.09</v>
      </c>
      <c r="R168" s="1">
        <v>0.09</v>
      </c>
      <c r="S168" s="1">
        <v>0.09</v>
      </c>
      <c r="T168" s="1">
        <v>0.09</v>
      </c>
      <c r="AM168" t="s">
        <v>279</v>
      </c>
      <c r="AN168" t="str">
        <f t="shared" si="242"/>
        <v>TRLTRADST</v>
      </c>
      <c r="AO168">
        <v>0.48</v>
      </c>
      <c r="AP168" t="s">
        <v>41</v>
      </c>
    </row>
    <row r="169" spans="3:42" x14ac:dyDescent="0.45">
      <c r="C169" t="str">
        <f t="shared" si="246"/>
        <v>NGA</v>
      </c>
      <c r="D169" t="str">
        <f t="shared" si="247"/>
        <v>TRB</v>
      </c>
      <c r="E169" t="s">
        <v>182</v>
      </c>
      <c r="F169" s="1">
        <v>0.09</v>
      </c>
      <c r="G169" s="1">
        <v>0.09</v>
      </c>
      <c r="H169" s="1">
        <v>0.09</v>
      </c>
      <c r="I169" s="1">
        <v>0.09</v>
      </c>
      <c r="J169" s="1">
        <v>0.09</v>
      </c>
      <c r="K169" s="1">
        <v>0.09</v>
      </c>
      <c r="L169" s="1">
        <v>0.09</v>
      </c>
      <c r="M169" s="1">
        <v>0.09</v>
      </c>
      <c r="N169" s="1">
        <v>0.09</v>
      </c>
      <c r="O169" s="1">
        <v>0.09</v>
      </c>
      <c r="P169" s="1">
        <v>0.09</v>
      </c>
      <c r="Q169" s="1">
        <v>0.09</v>
      </c>
      <c r="R169" s="1">
        <v>0.09</v>
      </c>
      <c r="S169" s="1">
        <v>0.09</v>
      </c>
      <c r="T169" s="1">
        <v>0.09</v>
      </c>
      <c r="AM169" t="s">
        <v>280</v>
      </c>
      <c r="AN169" t="str">
        <f t="shared" ref="AN169:AN198" si="248">LEFT(AM169,3)&amp;AP169</f>
        <v>TRLTRABGS</v>
      </c>
      <c r="AO169">
        <v>0.41</v>
      </c>
      <c r="AP169" t="s">
        <v>33</v>
      </c>
    </row>
    <row r="170" spans="3:42" x14ac:dyDescent="0.45">
      <c r="C170" t="str">
        <f t="shared" si="246"/>
        <v>DSA</v>
      </c>
      <c r="D170" t="str">
        <f t="shared" si="247"/>
        <v>TRC</v>
      </c>
      <c r="E170" t="s">
        <v>183</v>
      </c>
      <c r="F170" s="1">
        <v>0.2</v>
      </c>
      <c r="G170" s="1">
        <v>0.2</v>
      </c>
      <c r="H170" s="1">
        <v>0.2</v>
      </c>
      <c r="I170" s="1">
        <v>0.2</v>
      </c>
      <c r="J170" s="1">
        <v>0.2</v>
      </c>
      <c r="K170" s="1">
        <v>0.2</v>
      </c>
      <c r="L170" s="1">
        <v>0.2</v>
      </c>
      <c r="M170" s="1">
        <v>0.2</v>
      </c>
      <c r="N170" s="1">
        <v>0.2</v>
      </c>
      <c r="O170" s="1">
        <v>0.2</v>
      </c>
      <c r="P170" s="1">
        <v>0.2</v>
      </c>
      <c r="Q170" s="1">
        <v>0.2</v>
      </c>
      <c r="R170" s="1">
        <v>0.2</v>
      </c>
      <c r="S170" s="1">
        <v>0.2</v>
      </c>
      <c r="T170" s="1">
        <v>0.2</v>
      </c>
      <c r="AM170" t="s">
        <v>281</v>
      </c>
      <c r="AN170" t="str">
        <f t="shared" si="248"/>
        <v>TRLTRABGS</v>
      </c>
      <c r="AO170">
        <v>0.41</v>
      </c>
      <c r="AP170" t="s">
        <v>33</v>
      </c>
    </row>
    <row r="171" spans="3:42" x14ac:dyDescent="0.45">
      <c r="C171" t="str">
        <f t="shared" si="246"/>
        <v>DSB</v>
      </c>
      <c r="D171" t="str">
        <f t="shared" si="247"/>
        <v>TRC</v>
      </c>
      <c r="E171" t="s">
        <v>184</v>
      </c>
      <c r="F171" s="1">
        <v>0.24</v>
      </c>
      <c r="G171" s="1">
        <v>0.24</v>
      </c>
      <c r="H171" s="1">
        <v>0.24</v>
      </c>
      <c r="I171" s="1">
        <v>0.24</v>
      </c>
      <c r="J171" s="1">
        <v>0.24</v>
      </c>
      <c r="K171" s="1">
        <v>0.24</v>
      </c>
      <c r="L171" s="1">
        <v>0.24</v>
      </c>
      <c r="M171" s="1">
        <v>0.24</v>
      </c>
      <c r="N171" s="1">
        <v>0.24</v>
      </c>
      <c r="O171" s="1">
        <v>0.24</v>
      </c>
      <c r="P171" s="1">
        <v>0.24</v>
      </c>
      <c r="Q171" s="1">
        <v>0.24</v>
      </c>
      <c r="R171" s="1">
        <v>0.24</v>
      </c>
      <c r="S171" s="1">
        <v>0.24</v>
      </c>
      <c r="T171" s="1">
        <v>0.24</v>
      </c>
      <c r="AM171" t="s">
        <v>282</v>
      </c>
      <c r="AN171" t="str">
        <f t="shared" si="248"/>
        <v>TRLTRAELC</v>
      </c>
      <c r="AO171">
        <v>0.7</v>
      </c>
      <c r="AP171" t="s">
        <v>37</v>
      </c>
    </row>
    <row r="172" spans="3:42" x14ac:dyDescent="0.45">
      <c r="C172" t="str">
        <f t="shared" si="246"/>
        <v>DST</v>
      </c>
      <c r="D172" t="str">
        <f t="shared" si="247"/>
        <v>TRC</v>
      </c>
      <c r="E172" t="s">
        <v>185</v>
      </c>
      <c r="F172" s="1">
        <v>0.18</v>
      </c>
      <c r="G172" s="1">
        <v>0.18</v>
      </c>
      <c r="H172" s="1">
        <v>0.18</v>
      </c>
      <c r="I172" s="1">
        <v>0.18</v>
      </c>
      <c r="J172" s="1">
        <v>0.18</v>
      </c>
      <c r="K172" s="1">
        <v>0.18</v>
      </c>
      <c r="L172" s="1">
        <v>0.18</v>
      </c>
      <c r="M172" s="1">
        <v>0.18</v>
      </c>
      <c r="N172" s="1">
        <v>0.18</v>
      </c>
      <c r="O172" s="1">
        <v>0.18</v>
      </c>
      <c r="P172" s="1">
        <v>0.18</v>
      </c>
      <c r="Q172" s="1">
        <v>0.18</v>
      </c>
      <c r="R172" s="1">
        <v>0.18</v>
      </c>
      <c r="S172" s="1">
        <v>0.18</v>
      </c>
      <c r="T172" s="1">
        <v>0.18</v>
      </c>
      <c r="AM172" t="s">
        <v>283</v>
      </c>
      <c r="AN172" t="str">
        <f t="shared" si="248"/>
        <v>TRLTRABGS</v>
      </c>
      <c r="AO172">
        <v>0.39</v>
      </c>
      <c r="AP172" t="s">
        <v>33</v>
      </c>
    </row>
    <row r="173" spans="3:42" x14ac:dyDescent="0.45">
      <c r="C173" t="str">
        <f t="shared" si="246"/>
        <v>ETA</v>
      </c>
      <c r="D173" t="str">
        <f t="shared" si="247"/>
        <v>TRC</v>
      </c>
      <c r="E173" t="s">
        <v>186</v>
      </c>
      <c r="F173" s="1">
        <v>0.18</v>
      </c>
      <c r="G173" s="1">
        <v>0.18</v>
      </c>
      <c r="H173" s="1">
        <v>0.18</v>
      </c>
      <c r="I173" s="1">
        <v>0.18</v>
      </c>
      <c r="J173" s="1">
        <v>0.18</v>
      </c>
      <c r="K173" s="1">
        <v>0.18</v>
      </c>
      <c r="L173" s="1">
        <v>0.18</v>
      </c>
      <c r="M173" s="1">
        <v>0.18</v>
      </c>
      <c r="N173" s="1">
        <v>0.18</v>
      </c>
      <c r="O173" s="1">
        <v>0.18</v>
      </c>
      <c r="P173" s="1">
        <v>0.18</v>
      </c>
      <c r="Q173" s="1">
        <v>0.18</v>
      </c>
      <c r="R173" s="1">
        <v>0.18</v>
      </c>
      <c r="S173" s="1">
        <v>0.18</v>
      </c>
      <c r="T173" s="1">
        <v>0.18</v>
      </c>
      <c r="AM173" t="s">
        <v>284</v>
      </c>
      <c r="AN173" t="str">
        <f t="shared" si="248"/>
        <v>TRLTRAGSL</v>
      </c>
      <c r="AO173">
        <v>0.34</v>
      </c>
      <c r="AP173" t="s">
        <v>42</v>
      </c>
    </row>
    <row r="174" spans="3:42" x14ac:dyDescent="0.45">
      <c r="C174" t="str">
        <f t="shared" si="246"/>
        <v>ETB</v>
      </c>
      <c r="D174" t="str">
        <f t="shared" si="247"/>
        <v>TRC</v>
      </c>
      <c r="E174" t="s">
        <v>187</v>
      </c>
      <c r="F174" s="1">
        <v>0.2</v>
      </c>
      <c r="G174" s="1">
        <v>0.2</v>
      </c>
      <c r="H174" s="1">
        <v>0.2</v>
      </c>
      <c r="I174" s="1">
        <v>0.2</v>
      </c>
      <c r="J174" s="1">
        <v>0.2</v>
      </c>
      <c r="K174" s="1">
        <v>0.2</v>
      </c>
      <c r="L174" s="1">
        <v>0.2</v>
      </c>
      <c r="M174" s="1">
        <v>0.2</v>
      </c>
      <c r="N174" s="1">
        <v>0.2</v>
      </c>
      <c r="O174" s="1">
        <v>0.2</v>
      </c>
      <c r="P174" s="1">
        <v>0.2</v>
      </c>
      <c r="Q174" s="1">
        <v>0.2</v>
      </c>
      <c r="R174" s="1">
        <v>0.2</v>
      </c>
      <c r="S174" s="1">
        <v>0.2</v>
      </c>
      <c r="T174" s="1">
        <v>0.2</v>
      </c>
      <c r="AM174" t="s">
        <v>285</v>
      </c>
      <c r="AN174" t="str">
        <f t="shared" si="248"/>
        <v>TRLTRAGSL</v>
      </c>
      <c r="AO174">
        <v>0.37</v>
      </c>
      <c r="AP174" t="s">
        <v>42</v>
      </c>
    </row>
    <row r="175" spans="3:42" x14ac:dyDescent="0.45">
      <c r="C175" t="str">
        <f t="shared" si="246"/>
        <v>ETH</v>
      </c>
      <c r="D175" t="str">
        <f t="shared" si="247"/>
        <v>TRC</v>
      </c>
      <c r="E175" t="s">
        <v>188</v>
      </c>
      <c r="F175" s="1">
        <v>0.16</v>
      </c>
      <c r="G175" s="1">
        <v>0.16</v>
      </c>
      <c r="H175" s="1">
        <v>0.16</v>
      </c>
      <c r="I175" s="1">
        <v>0.16</v>
      </c>
      <c r="J175" s="1">
        <v>0.16</v>
      </c>
      <c r="K175" s="1">
        <v>0.16</v>
      </c>
      <c r="L175" s="1">
        <v>0.16</v>
      </c>
      <c r="M175" s="1">
        <v>0.16</v>
      </c>
      <c r="N175" s="1">
        <v>0.16</v>
      </c>
      <c r="O175" s="1">
        <v>0.16</v>
      </c>
      <c r="P175" s="1">
        <v>0.16</v>
      </c>
      <c r="Q175" s="1">
        <v>0.16</v>
      </c>
      <c r="R175" s="1">
        <v>0.16</v>
      </c>
      <c r="S175" s="1">
        <v>0.16</v>
      </c>
      <c r="T175" s="1">
        <v>0.16</v>
      </c>
      <c r="AM175" t="s">
        <v>286</v>
      </c>
      <c r="AN175" t="str">
        <f t="shared" si="248"/>
        <v>TRLTRAGSL</v>
      </c>
      <c r="AO175">
        <v>0.41</v>
      </c>
      <c r="AP175" t="s">
        <v>42</v>
      </c>
    </row>
    <row r="176" spans="3:42" x14ac:dyDescent="0.45">
      <c r="C176" t="str">
        <f t="shared" si="246"/>
        <v>GAS</v>
      </c>
      <c r="D176" t="str">
        <f t="shared" si="247"/>
        <v>TRC</v>
      </c>
      <c r="E176" t="s">
        <v>189</v>
      </c>
      <c r="F176" s="1">
        <v>0.16</v>
      </c>
      <c r="G176" s="1">
        <v>0.16</v>
      </c>
      <c r="H176" s="1">
        <v>0.16</v>
      </c>
      <c r="I176" s="1">
        <v>0.16</v>
      </c>
      <c r="J176" s="1">
        <v>0.16</v>
      </c>
      <c r="K176" s="1">
        <v>0.16</v>
      </c>
      <c r="L176" s="1">
        <v>0.16</v>
      </c>
      <c r="M176" s="1">
        <v>0.16</v>
      </c>
      <c r="N176" s="1">
        <v>0.16</v>
      </c>
      <c r="O176" s="1">
        <v>0.16</v>
      </c>
      <c r="P176" s="1">
        <v>0.16</v>
      </c>
      <c r="Q176" s="1">
        <v>0.16</v>
      </c>
      <c r="R176" s="1">
        <v>0.16</v>
      </c>
      <c r="S176" s="1">
        <v>0.16</v>
      </c>
      <c r="T176" s="1">
        <v>0.16</v>
      </c>
      <c r="AM176" t="s">
        <v>287</v>
      </c>
      <c r="AN176" t="str">
        <f t="shared" si="248"/>
        <v>TRLTRALPG</v>
      </c>
      <c r="AO176">
        <v>0.34</v>
      </c>
      <c r="AP176" t="s">
        <v>39</v>
      </c>
    </row>
    <row r="177" spans="3:42" x14ac:dyDescent="0.45">
      <c r="C177" t="str">
        <f t="shared" si="246"/>
        <v>LPG</v>
      </c>
      <c r="D177" t="str">
        <f t="shared" si="247"/>
        <v>TRC</v>
      </c>
      <c r="E177" t="s">
        <v>190</v>
      </c>
      <c r="F177" s="1">
        <v>0.18</v>
      </c>
      <c r="G177" s="1">
        <v>0.18</v>
      </c>
      <c r="H177" s="1">
        <v>0.18</v>
      </c>
      <c r="I177" s="1">
        <v>0.18</v>
      </c>
      <c r="J177" s="1">
        <v>0.18</v>
      </c>
      <c r="K177" s="1">
        <v>0.18</v>
      </c>
      <c r="L177" s="1">
        <v>0.18</v>
      </c>
      <c r="M177" s="1">
        <v>0.18</v>
      </c>
      <c r="N177" s="1">
        <v>0.18</v>
      </c>
      <c r="O177" s="1">
        <v>0.18</v>
      </c>
      <c r="P177" s="1">
        <v>0.18</v>
      </c>
      <c r="Q177" s="1">
        <v>0.18</v>
      </c>
      <c r="R177" s="1">
        <v>0.18</v>
      </c>
      <c r="S177" s="1">
        <v>0.18</v>
      </c>
      <c r="T177" s="1">
        <v>0.18</v>
      </c>
      <c r="AM177" t="s">
        <v>288</v>
      </c>
      <c r="AN177" t="str">
        <f t="shared" si="248"/>
        <v>TRLTRABGS</v>
      </c>
      <c r="AO177">
        <v>0.39</v>
      </c>
      <c r="AP177" t="s">
        <v>33</v>
      </c>
    </row>
    <row r="178" spans="3:42" x14ac:dyDescent="0.45">
      <c r="C178" t="str">
        <f t="shared" si="246"/>
        <v>MET</v>
      </c>
      <c r="D178" t="str">
        <f t="shared" si="247"/>
        <v>TRC</v>
      </c>
      <c r="E178" t="s">
        <v>191</v>
      </c>
      <c r="F178" s="1">
        <v>0.16</v>
      </c>
      <c r="G178" s="1">
        <v>0.16</v>
      </c>
      <c r="H178" s="1">
        <v>0.16</v>
      </c>
      <c r="I178" s="1">
        <v>0.16</v>
      </c>
      <c r="J178" s="1">
        <v>0.16</v>
      </c>
      <c r="K178" s="1">
        <v>0.16</v>
      </c>
      <c r="L178" s="1">
        <v>0.16</v>
      </c>
      <c r="M178" s="1">
        <v>0.16</v>
      </c>
      <c r="N178" s="1">
        <v>0.16</v>
      </c>
      <c r="O178" s="1">
        <v>0.16</v>
      </c>
      <c r="P178" s="1">
        <v>0.16</v>
      </c>
      <c r="Q178" s="1">
        <v>0.16</v>
      </c>
      <c r="R178" s="1">
        <v>0.16</v>
      </c>
      <c r="S178" s="1">
        <v>0.16</v>
      </c>
      <c r="T178" s="1">
        <v>0.16</v>
      </c>
      <c r="AM178" t="s">
        <v>289</v>
      </c>
      <c r="AN178" t="str">
        <f t="shared" si="248"/>
        <v>TRLTRANGA</v>
      </c>
      <c r="AO178">
        <v>0.34</v>
      </c>
      <c r="AP178" t="s">
        <v>38</v>
      </c>
    </row>
    <row r="179" spans="3:42" x14ac:dyDescent="0.45">
      <c r="C179" t="str">
        <f t="shared" si="246"/>
        <v>NGA</v>
      </c>
      <c r="D179" t="str">
        <f t="shared" si="247"/>
        <v>TRC</v>
      </c>
      <c r="E179" t="s">
        <v>192</v>
      </c>
      <c r="F179" s="1">
        <v>0.16</v>
      </c>
      <c r="G179" s="1">
        <v>0.16</v>
      </c>
      <c r="H179" s="1">
        <v>0.16</v>
      </c>
      <c r="I179" s="1">
        <v>0.16</v>
      </c>
      <c r="J179" s="1">
        <v>0.16</v>
      </c>
      <c r="K179" s="1">
        <v>0.16</v>
      </c>
      <c r="L179" s="1">
        <v>0.16</v>
      </c>
      <c r="M179" s="1">
        <v>0.16</v>
      </c>
      <c r="N179" s="1">
        <v>0.16</v>
      </c>
      <c r="O179" s="1">
        <v>0.16</v>
      </c>
      <c r="P179" s="1">
        <v>0.16</v>
      </c>
      <c r="Q179" s="1">
        <v>0.16</v>
      </c>
      <c r="R179" s="1">
        <v>0.16</v>
      </c>
      <c r="S179" s="1">
        <v>0.16</v>
      </c>
      <c r="T179" s="1">
        <v>0.16</v>
      </c>
      <c r="AM179" t="s">
        <v>290</v>
      </c>
      <c r="AN179" t="str">
        <f t="shared" si="248"/>
        <v>TRMTRADST</v>
      </c>
      <c r="AO179">
        <v>0.15</v>
      </c>
      <c r="AP179" t="s">
        <v>41</v>
      </c>
    </row>
    <row r="180" spans="3:42" x14ac:dyDescent="0.45">
      <c r="C180" t="str">
        <f t="shared" si="246"/>
        <v>DST</v>
      </c>
      <c r="D180" t="str">
        <f t="shared" si="247"/>
        <v>TRE</v>
      </c>
      <c r="E180" t="s">
        <v>193</v>
      </c>
      <c r="F180" s="1">
        <v>0.4</v>
      </c>
      <c r="G180" s="1">
        <v>0.4</v>
      </c>
      <c r="H180" s="1">
        <v>0.4</v>
      </c>
      <c r="I180" s="1">
        <v>0.4</v>
      </c>
      <c r="J180" s="1">
        <v>0.4</v>
      </c>
      <c r="K180" s="1">
        <v>0.4</v>
      </c>
      <c r="L180" s="1">
        <v>0.4</v>
      </c>
      <c r="M180" s="1">
        <v>0.4</v>
      </c>
      <c r="N180" s="1">
        <v>0.4</v>
      </c>
      <c r="O180" s="1">
        <v>0.4</v>
      </c>
      <c r="P180" s="1">
        <v>0.4</v>
      </c>
      <c r="Q180" s="1">
        <v>0.4</v>
      </c>
      <c r="R180" s="1">
        <v>0.4</v>
      </c>
      <c r="S180" s="1">
        <v>0.4</v>
      </c>
      <c r="T180" s="1">
        <v>0.4</v>
      </c>
      <c r="AM180" t="s">
        <v>291</v>
      </c>
      <c r="AN180" t="str">
        <f t="shared" si="248"/>
        <v>TRMTRADST</v>
      </c>
      <c r="AO180">
        <v>0.16</v>
      </c>
      <c r="AP180" t="s">
        <v>41</v>
      </c>
    </row>
    <row r="181" spans="3:42" x14ac:dyDescent="0.45">
      <c r="C181" t="str">
        <f t="shared" si="246"/>
        <v>GSL</v>
      </c>
      <c r="D181" t="str">
        <f t="shared" si="247"/>
        <v>TRE</v>
      </c>
      <c r="E181" t="s">
        <v>194</v>
      </c>
      <c r="F181" s="1">
        <v>0.5</v>
      </c>
      <c r="G181" s="1">
        <v>0.5</v>
      </c>
      <c r="H181" s="1">
        <v>0.5</v>
      </c>
      <c r="I181" s="1">
        <v>0.5</v>
      </c>
      <c r="J181" s="1">
        <v>0.5</v>
      </c>
      <c r="K181" s="1">
        <v>0.5</v>
      </c>
      <c r="L181" s="1">
        <v>0.5</v>
      </c>
      <c r="M181" s="1">
        <v>0.5</v>
      </c>
      <c r="N181" s="1">
        <v>0.5</v>
      </c>
      <c r="O181" s="1">
        <v>0.5</v>
      </c>
      <c r="P181" s="1">
        <v>0.5</v>
      </c>
      <c r="Q181" s="1">
        <v>0.5</v>
      </c>
      <c r="R181" s="1">
        <v>0.5</v>
      </c>
      <c r="S181" s="1">
        <v>0.5</v>
      </c>
      <c r="T181" s="1">
        <v>0.5</v>
      </c>
      <c r="AM181" t="s">
        <v>292</v>
      </c>
      <c r="AN181" t="str">
        <f t="shared" si="248"/>
        <v>TRMTRADST</v>
      </c>
      <c r="AO181">
        <v>0.13</v>
      </c>
      <c r="AP181" t="s">
        <v>41</v>
      </c>
    </row>
    <row r="182" spans="3:42" x14ac:dyDescent="0.45">
      <c r="C182" t="str">
        <f t="shared" si="246"/>
        <v>DSA</v>
      </c>
      <c r="D182" t="str">
        <f t="shared" si="247"/>
        <v>TRH</v>
      </c>
      <c r="E182" t="s">
        <v>195</v>
      </c>
      <c r="F182" s="1">
        <v>0.1</v>
      </c>
      <c r="G182" s="1">
        <v>0.1</v>
      </c>
      <c r="H182" s="1">
        <v>0.1</v>
      </c>
      <c r="I182" s="1">
        <v>0.1</v>
      </c>
      <c r="J182" s="1">
        <v>0.1</v>
      </c>
      <c r="K182" s="1">
        <v>0.1</v>
      </c>
      <c r="L182" s="1">
        <v>0.1</v>
      </c>
      <c r="M182" s="1">
        <v>0.1</v>
      </c>
      <c r="N182" s="1">
        <v>0.1</v>
      </c>
      <c r="O182" s="1">
        <v>0.1</v>
      </c>
      <c r="P182" s="1">
        <v>0.1</v>
      </c>
      <c r="Q182" s="1">
        <v>0.1</v>
      </c>
      <c r="R182" s="1">
        <v>0.1</v>
      </c>
      <c r="S182" s="1">
        <v>0.1</v>
      </c>
      <c r="T182" s="1">
        <v>0.1</v>
      </c>
      <c r="AM182" t="s">
        <v>293</v>
      </c>
      <c r="AN182" t="str">
        <f t="shared" si="248"/>
        <v>TRMTRABGS</v>
      </c>
      <c r="AO182">
        <v>0.15</v>
      </c>
      <c r="AP182" t="s">
        <v>33</v>
      </c>
    </row>
    <row r="183" spans="3:42" x14ac:dyDescent="0.45">
      <c r="C183" t="str">
        <f t="shared" si="246"/>
        <v>DSB</v>
      </c>
      <c r="D183" t="str">
        <f t="shared" si="247"/>
        <v>TRH</v>
      </c>
      <c r="E183" t="s">
        <v>196</v>
      </c>
      <c r="F183" s="1">
        <v>0.12</v>
      </c>
      <c r="G183" s="1">
        <v>0.12</v>
      </c>
      <c r="H183" s="1">
        <v>0.12</v>
      </c>
      <c r="I183" s="1">
        <v>0.12</v>
      </c>
      <c r="J183" s="1">
        <v>0.12</v>
      </c>
      <c r="K183" s="1">
        <v>0.12</v>
      </c>
      <c r="L183" s="1">
        <v>0.12</v>
      </c>
      <c r="M183" s="1">
        <v>0.12</v>
      </c>
      <c r="N183" s="1">
        <v>0.12</v>
      </c>
      <c r="O183" s="1">
        <v>0.12</v>
      </c>
      <c r="P183" s="1">
        <v>0.12</v>
      </c>
      <c r="Q183" s="1">
        <v>0.12</v>
      </c>
      <c r="R183" s="1">
        <v>0.12</v>
      </c>
      <c r="S183" s="1">
        <v>0.12</v>
      </c>
      <c r="T183" s="1">
        <v>0.12</v>
      </c>
      <c r="AM183" t="s">
        <v>294</v>
      </c>
      <c r="AN183" t="str">
        <f t="shared" si="248"/>
        <v>TRMTRABGS</v>
      </c>
      <c r="AO183">
        <v>0.12</v>
      </c>
      <c r="AP183" t="s">
        <v>33</v>
      </c>
    </row>
    <row r="184" spans="3:42" x14ac:dyDescent="0.45">
      <c r="C184" t="str">
        <f t="shared" si="246"/>
        <v>DST</v>
      </c>
      <c r="D184" t="str">
        <f t="shared" si="247"/>
        <v>TRH</v>
      </c>
      <c r="E184" t="s">
        <v>197</v>
      </c>
      <c r="F184" s="1">
        <v>0.08</v>
      </c>
      <c r="G184" s="1">
        <v>0.08</v>
      </c>
      <c r="H184" s="1">
        <v>0.08</v>
      </c>
      <c r="I184" s="1">
        <v>0.08</v>
      </c>
      <c r="J184" s="1">
        <v>0.08</v>
      </c>
      <c r="K184" s="1">
        <v>0.08</v>
      </c>
      <c r="L184" s="1">
        <v>0.08</v>
      </c>
      <c r="M184" s="1">
        <v>0.08</v>
      </c>
      <c r="N184" s="1">
        <v>0.08</v>
      </c>
      <c r="O184" s="1">
        <v>0.08</v>
      </c>
      <c r="P184" s="1">
        <v>0.08</v>
      </c>
      <c r="Q184" s="1">
        <v>0.08</v>
      </c>
      <c r="R184" s="1">
        <v>0.08</v>
      </c>
      <c r="S184" s="1">
        <v>0.08</v>
      </c>
      <c r="T184" s="1">
        <v>0.08</v>
      </c>
      <c r="AM184" t="s">
        <v>295</v>
      </c>
      <c r="AN184" t="str">
        <f t="shared" si="248"/>
        <v>TRMTRABGS</v>
      </c>
      <c r="AO184">
        <v>0.12</v>
      </c>
      <c r="AP184" t="s">
        <v>33</v>
      </c>
    </row>
    <row r="185" spans="3:42" x14ac:dyDescent="0.45">
      <c r="C185" t="str">
        <f t="shared" si="246"/>
        <v>ETH</v>
      </c>
      <c r="D185" t="str">
        <f t="shared" si="247"/>
        <v>TRH</v>
      </c>
      <c r="E185" t="s">
        <v>198</v>
      </c>
      <c r="F185" s="1">
        <v>0.08</v>
      </c>
      <c r="G185" s="1">
        <v>0.08</v>
      </c>
      <c r="H185" s="1">
        <v>0.08</v>
      </c>
      <c r="I185" s="1">
        <v>0.08</v>
      </c>
      <c r="J185" s="1">
        <v>0.08</v>
      </c>
      <c r="K185" s="1">
        <v>0.08</v>
      </c>
      <c r="L185" s="1">
        <v>0.08</v>
      </c>
      <c r="M185" s="1">
        <v>0.08</v>
      </c>
      <c r="N185" s="1">
        <v>0.08</v>
      </c>
      <c r="O185" s="1">
        <v>0.08</v>
      </c>
      <c r="P185" s="1">
        <v>0.08</v>
      </c>
      <c r="Q185" s="1">
        <v>0.08</v>
      </c>
      <c r="R185" s="1">
        <v>0.08</v>
      </c>
      <c r="S185" s="1">
        <v>0.08</v>
      </c>
      <c r="T185" s="1">
        <v>0.08</v>
      </c>
      <c r="AM185" t="s">
        <v>296</v>
      </c>
      <c r="AN185" t="str">
        <f t="shared" si="248"/>
        <v>TRMTRAGSL</v>
      </c>
      <c r="AO185">
        <v>0.12</v>
      </c>
      <c r="AP185" t="s">
        <v>42</v>
      </c>
    </row>
    <row r="186" spans="3:42" x14ac:dyDescent="0.45">
      <c r="C186" t="str">
        <f t="shared" si="246"/>
        <v>GAS</v>
      </c>
      <c r="D186" t="str">
        <f t="shared" si="247"/>
        <v>TRH</v>
      </c>
      <c r="E186" t="s">
        <v>199</v>
      </c>
      <c r="F186" s="1">
        <v>0.06</v>
      </c>
      <c r="G186" s="1">
        <v>0.06</v>
      </c>
      <c r="H186" s="1">
        <v>0.06</v>
      </c>
      <c r="I186" s="1">
        <v>0.06</v>
      </c>
      <c r="J186" s="1">
        <v>0.06</v>
      </c>
      <c r="K186" s="1">
        <v>0.06</v>
      </c>
      <c r="L186" s="1">
        <v>0.06</v>
      </c>
      <c r="M186" s="1">
        <v>0.06</v>
      </c>
      <c r="N186" s="1">
        <v>0.06</v>
      </c>
      <c r="O186" s="1">
        <v>0.06</v>
      </c>
      <c r="P186" s="1">
        <v>0.06</v>
      </c>
      <c r="Q186" s="1">
        <v>0.06</v>
      </c>
      <c r="R186" s="1">
        <v>0.06</v>
      </c>
      <c r="S186" s="1">
        <v>0.06</v>
      </c>
      <c r="T186" s="1">
        <v>0.06</v>
      </c>
      <c r="AM186" t="s">
        <v>297</v>
      </c>
      <c r="AN186" t="str">
        <f t="shared" si="248"/>
        <v>TRMTRALPG</v>
      </c>
      <c r="AO186">
        <v>0.15</v>
      </c>
      <c r="AP186" t="s">
        <v>39</v>
      </c>
    </row>
    <row r="187" spans="3:42" x14ac:dyDescent="0.45">
      <c r="C187" t="str">
        <f t="shared" si="246"/>
        <v>LPG</v>
      </c>
      <c r="D187" t="str">
        <f t="shared" si="247"/>
        <v>TRH</v>
      </c>
      <c r="E187" t="s">
        <v>200</v>
      </c>
      <c r="F187" s="1">
        <v>0.05</v>
      </c>
      <c r="G187" s="1">
        <v>0.05</v>
      </c>
      <c r="H187" s="1">
        <v>0.05</v>
      </c>
      <c r="I187" s="1">
        <v>0.05</v>
      </c>
      <c r="J187" s="1">
        <v>0.05</v>
      </c>
      <c r="K187" s="1">
        <v>0.05</v>
      </c>
      <c r="L187" s="1">
        <v>0.05</v>
      </c>
      <c r="M187" s="1">
        <v>0.05</v>
      </c>
      <c r="N187" s="1">
        <v>0.05</v>
      </c>
      <c r="O187" s="1">
        <v>0.05</v>
      </c>
      <c r="P187" s="1">
        <v>0.05</v>
      </c>
      <c r="Q187" s="1">
        <v>0.05</v>
      </c>
      <c r="R187" s="1">
        <v>0.05</v>
      </c>
      <c r="S187" s="1">
        <v>0.05</v>
      </c>
      <c r="T187" s="1">
        <v>0.05</v>
      </c>
      <c r="AM187" t="s">
        <v>298</v>
      </c>
      <c r="AN187" t="str">
        <f t="shared" si="248"/>
        <v>TRMTRABGS</v>
      </c>
      <c r="AO187">
        <v>0.12</v>
      </c>
      <c r="AP187" t="s">
        <v>33</v>
      </c>
    </row>
    <row r="188" spans="3:42" x14ac:dyDescent="0.45">
      <c r="C188" t="str">
        <f t="shared" si="246"/>
        <v>MET</v>
      </c>
      <c r="D188" t="str">
        <f t="shared" si="247"/>
        <v>TRH</v>
      </c>
      <c r="E188" t="s">
        <v>201</v>
      </c>
      <c r="F188" s="1">
        <v>0.08</v>
      </c>
      <c r="G188" s="1">
        <v>0.08</v>
      </c>
      <c r="H188" s="1">
        <v>0.08</v>
      </c>
      <c r="I188" s="1">
        <v>0.08</v>
      </c>
      <c r="J188" s="1">
        <v>0.08</v>
      </c>
      <c r="K188" s="1">
        <v>0.08</v>
      </c>
      <c r="L188" s="1">
        <v>0.08</v>
      </c>
      <c r="M188" s="1">
        <v>0.08</v>
      </c>
      <c r="N188" s="1">
        <v>0.08</v>
      </c>
      <c r="O188" s="1">
        <v>0.08</v>
      </c>
      <c r="P188" s="1">
        <v>0.08</v>
      </c>
      <c r="Q188" s="1">
        <v>0.08</v>
      </c>
      <c r="R188" s="1">
        <v>0.08</v>
      </c>
      <c r="S188" s="1">
        <v>0.08</v>
      </c>
      <c r="T188" s="1">
        <v>0.08</v>
      </c>
      <c r="AM188" t="s">
        <v>299</v>
      </c>
      <c r="AN188" t="str">
        <f t="shared" si="248"/>
        <v>TRMTRANGA</v>
      </c>
      <c r="AO188">
        <v>0.12</v>
      </c>
      <c r="AP188" t="s">
        <v>38</v>
      </c>
    </row>
    <row r="189" spans="3:42" x14ac:dyDescent="0.45">
      <c r="C189" t="str">
        <f t="shared" si="246"/>
        <v>NGA</v>
      </c>
      <c r="D189" t="str">
        <f t="shared" si="247"/>
        <v>TRH</v>
      </c>
      <c r="E189" t="s">
        <v>202</v>
      </c>
      <c r="F189" s="1">
        <v>0.06</v>
      </c>
      <c r="G189" s="1">
        <v>0.06</v>
      </c>
      <c r="H189" s="1">
        <v>0.06</v>
      </c>
      <c r="I189" s="1">
        <v>0.06</v>
      </c>
      <c r="J189" s="1">
        <v>0.06</v>
      </c>
      <c r="K189" s="1">
        <v>0.06</v>
      </c>
      <c r="L189" s="1">
        <v>0.06</v>
      </c>
      <c r="M189" s="1">
        <v>0.06</v>
      </c>
      <c r="N189" s="1">
        <v>0.06</v>
      </c>
      <c r="O189" s="1">
        <v>0.06</v>
      </c>
      <c r="P189" s="1">
        <v>0.06</v>
      </c>
      <c r="Q189" s="1">
        <v>0.06</v>
      </c>
      <c r="R189" s="1">
        <v>0.06</v>
      </c>
      <c r="S189" s="1">
        <v>0.06</v>
      </c>
      <c r="T189" s="1">
        <v>0.06</v>
      </c>
      <c r="AM189" t="s">
        <v>300</v>
      </c>
      <c r="AN189" t="str">
        <f t="shared" si="248"/>
        <v>TRTTRADST</v>
      </c>
      <c r="AO189">
        <v>0.46</v>
      </c>
      <c r="AP189" t="s">
        <v>41</v>
      </c>
    </row>
    <row r="190" spans="3:42" x14ac:dyDescent="0.45">
      <c r="C190" t="s">
        <v>247</v>
      </c>
      <c r="D190" t="str">
        <f t="shared" si="247"/>
        <v>TRL</v>
      </c>
      <c r="E190" t="s">
        <v>203</v>
      </c>
      <c r="F190" s="1">
        <v>0.38</v>
      </c>
      <c r="G190" s="1">
        <v>0.38</v>
      </c>
      <c r="H190" s="1">
        <v>0.38</v>
      </c>
      <c r="I190" s="1">
        <v>0.38</v>
      </c>
      <c r="J190" s="1">
        <v>0.38</v>
      </c>
      <c r="K190" s="1">
        <v>0.38</v>
      </c>
      <c r="L190" s="1">
        <v>0.38</v>
      </c>
      <c r="M190" s="1">
        <v>0.38</v>
      </c>
      <c r="N190" s="1">
        <v>0.38</v>
      </c>
      <c r="O190" s="1">
        <v>0.38</v>
      </c>
      <c r="P190" s="1">
        <v>0.38</v>
      </c>
      <c r="Q190" s="1">
        <v>0.38</v>
      </c>
      <c r="R190" s="1">
        <v>0.38</v>
      </c>
      <c r="S190" s="1">
        <v>0.38</v>
      </c>
      <c r="T190" s="1">
        <v>0.38</v>
      </c>
      <c r="AM190" t="s">
        <v>301</v>
      </c>
      <c r="AN190" t="str">
        <f t="shared" si="248"/>
        <v>TRTTRADST</v>
      </c>
      <c r="AO190">
        <v>0.53</v>
      </c>
      <c r="AP190" t="s">
        <v>41</v>
      </c>
    </row>
    <row r="191" spans="3:42" x14ac:dyDescent="0.45">
      <c r="C191" t="str">
        <f t="shared" si="246"/>
        <v>DCB</v>
      </c>
      <c r="D191" t="str">
        <f t="shared" si="247"/>
        <v>TRL</v>
      </c>
      <c r="E191" t="s">
        <v>204</v>
      </c>
      <c r="F191" s="1">
        <v>0.42</v>
      </c>
      <c r="G191" s="1">
        <v>0.42</v>
      </c>
      <c r="H191" s="1">
        <v>0.42</v>
      </c>
      <c r="I191" s="1">
        <v>0.42</v>
      </c>
      <c r="J191" s="1">
        <v>0.42</v>
      </c>
      <c r="K191" s="1">
        <v>0.42</v>
      </c>
      <c r="L191" s="1">
        <v>0.42</v>
      </c>
      <c r="M191" s="1">
        <v>0.42</v>
      </c>
      <c r="N191" s="1">
        <v>0.42</v>
      </c>
      <c r="O191" s="1">
        <v>0.42</v>
      </c>
      <c r="P191" s="1">
        <v>0.42</v>
      </c>
      <c r="Q191" s="1">
        <v>0.42</v>
      </c>
      <c r="R191" s="1">
        <v>0.42</v>
      </c>
      <c r="S191" s="1">
        <v>0.42</v>
      </c>
      <c r="T191" s="1">
        <v>0.42</v>
      </c>
      <c r="AM191" t="s">
        <v>302</v>
      </c>
      <c r="AN191" t="str">
        <f t="shared" si="248"/>
        <v>TRTTRADST</v>
      </c>
      <c r="AO191">
        <v>0.59</v>
      </c>
      <c r="AP191" t="s">
        <v>41</v>
      </c>
    </row>
    <row r="192" spans="3:42" x14ac:dyDescent="0.45">
      <c r="C192" t="str">
        <f t="shared" si="246"/>
        <v>DCC</v>
      </c>
      <c r="D192" t="str">
        <f t="shared" si="247"/>
        <v>TRL</v>
      </c>
      <c r="E192" t="s">
        <v>205</v>
      </c>
      <c r="F192" s="1">
        <v>0.46</v>
      </c>
      <c r="G192" s="1">
        <v>0.46</v>
      </c>
      <c r="H192" s="1">
        <v>0.46</v>
      </c>
      <c r="I192" s="1">
        <v>0.46</v>
      </c>
      <c r="J192" s="1">
        <v>0.46</v>
      </c>
      <c r="K192" s="1">
        <v>0.46</v>
      </c>
      <c r="L192" s="1">
        <v>0.46</v>
      </c>
      <c r="M192" s="1">
        <v>0.46</v>
      </c>
      <c r="N192" s="1">
        <v>0.46</v>
      </c>
      <c r="O192" s="1">
        <v>0.46</v>
      </c>
      <c r="P192" s="1">
        <v>0.46</v>
      </c>
      <c r="Q192" s="1">
        <v>0.46</v>
      </c>
      <c r="R192" s="1">
        <v>0.46</v>
      </c>
      <c r="S192" s="1">
        <v>0.46</v>
      </c>
      <c r="T192" s="1">
        <v>0.46</v>
      </c>
      <c r="AM192" t="s">
        <v>303</v>
      </c>
      <c r="AN192" t="str">
        <f t="shared" si="248"/>
        <v>TRTTRAELC</v>
      </c>
      <c r="AO192">
        <v>0.78</v>
      </c>
      <c r="AP192" t="s">
        <v>37</v>
      </c>
    </row>
    <row r="193" spans="3:42" x14ac:dyDescent="0.45">
      <c r="C193" t="str">
        <f t="shared" si="246"/>
        <v>DEG</v>
      </c>
      <c r="D193" t="str">
        <f t="shared" si="247"/>
        <v>TRL</v>
      </c>
      <c r="E193" t="s">
        <v>206</v>
      </c>
      <c r="F193" s="1">
        <v>0.38</v>
      </c>
      <c r="G193" s="1">
        <v>0.38</v>
      </c>
      <c r="H193" s="1">
        <v>0.38</v>
      </c>
      <c r="I193" s="1">
        <v>0.38</v>
      </c>
      <c r="J193" s="1">
        <v>0.38</v>
      </c>
      <c r="K193" s="1">
        <v>0.38</v>
      </c>
      <c r="L193" s="1">
        <v>0.38</v>
      </c>
      <c r="M193" s="1">
        <v>0.38</v>
      </c>
      <c r="N193" s="1">
        <v>0.38</v>
      </c>
      <c r="O193" s="1">
        <v>0.38</v>
      </c>
      <c r="P193" s="1">
        <v>0.38</v>
      </c>
      <c r="Q193" s="1">
        <v>0.38</v>
      </c>
      <c r="R193" s="1">
        <v>0.38</v>
      </c>
      <c r="S193" s="1">
        <v>0.38</v>
      </c>
      <c r="T193" s="1">
        <v>0.38</v>
      </c>
      <c r="AM193" t="s">
        <v>304</v>
      </c>
      <c r="AN193" t="str">
        <f t="shared" si="248"/>
        <v>TRTTRABGS</v>
      </c>
      <c r="AO193">
        <v>0.48</v>
      </c>
      <c r="AP193" t="s">
        <v>33</v>
      </c>
    </row>
    <row r="194" spans="3:42" x14ac:dyDescent="0.45">
      <c r="C194" t="str">
        <f t="shared" si="246"/>
        <v>DMG</v>
      </c>
      <c r="D194" t="str">
        <f t="shared" si="247"/>
        <v>TRL</v>
      </c>
      <c r="E194" t="s">
        <v>207</v>
      </c>
      <c r="F194" s="1">
        <v>0.38</v>
      </c>
      <c r="G194" s="1">
        <v>0.38</v>
      </c>
      <c r="H194" s="1">
        <v>0.38</v>
      </c>
      <c r="I194" s="1">
        <v>0.38</v>
      </c>
      <c r="J194" s="1">
        <v>0.38</v>
      </c>
      <c r="K194" s="1">
        <v>0.38</v>
      </c>
      <c r="L194" s="1">
        <v>0.38</v>
      </c>
      <c r="M194" s="1">
        <v>0.38</v>
      </c>
      <c r="N194" s="1">
        <v>0.38</v>
      </c>
      <c r="O194" s="1">
        <v>0.38</v>
      </c>
      <c r="P194" s="1">
        <v>0.38</v>
      </c>
      <c r="Q194" s="1">
        <v>0.38</v>
      </c>
      <c r="R194" s="1">
        <v>0.38</v>
      </c>
      <c r="S194" s="1">
        <v>0.38</v>
      </c>
      <c r="T194" s="1">
        <v>0.38</v>
      </c>
      <c r="AM194" t="s">
        <v>305</v>
      </c>
      <c r="AN194" t="str">
        <f t="shared" si="248"/>
        <v>TRTTRABGS</v>
      </c>
      <c r="AO194">
        <v>0.54</v>
      </c>
      <c r="AP194" t="s">
        <v>33</v>
      </c>
    </row>
    <row r="195" spans="3:42" x14ac:dyDescent="0.45">
      <c r="C195" t="str">
        <f t="shared" si="246"/>
        <v>ELC</v>
      </c>
      <c r="D195" t="str">
        <f t="shared" si="247"/>
        <v>TRL</v>
      </c>
      <c r="E195" t="s">
        <v>208</v>
      </c>
      <c r="F195" s="1">
        <v>0.7</v>
      </c>
      <c r="G195" s="1">
        <v>0.7</v>
      </c>
      <c r="H195" s="1">
        <v>0.7</v>
      </c>
      <c r="I195" s="1">
        <v>0.7</v>
      </c>
      <c r="J195" s="1">
        <v>0.7</v>
      </c>
      <c r="K195" s="1">
        <v>0.7</v>
      </c>
      <c r="L195" s="1">
        <v>0.7</v>
      </c>
      <c r="M195" s="1">
        <v>0.7</v>
      </c>
      <c r="N195" s="1">
        <v>0.7</v>
      </c>
      <c r="O195" s="1">
        <v>0.7</v>
      </c>
      <c r="P195" s="1">
        <v>0.7</v>
      </c>
      <c r="Q195" s="1">
        <v>0.7</v>
      </c>
      <c r="R195" s="1">
        <v>0.7</v>
      </c>
      <c r="S195" s="1">
        <v>0.7</v>
      </c>
      <c r="T195" s="1">
        <v>0.7</v>
      </c>
      <c r="AM195" t="s">
        <v>306</v>
      </c>
      <c r="AN195" t="str">
        <f t="shared" si="248"/>
        <v>TRTTRABGS</v>
      </c>
      <c r="AO195">
        <v>0.41</v>
      </c>
      <c r="AP195" t="s">
        <v>33</v>
      </c>
    </row>
    <row r="196" spans="3:42" x14ac:dyDescent="0.45">
      <c r="C196" t="str">
        <f t="shared" si="246"/>
        <v>GCA</v>
      </c>
      <c r="D196" t="str">
        <f t="shared" si="247"/>
        <v>TRL</v>
      </c>
      <c r="E196" t="s">
        <v>209</v>
      </c>
      <c r="F196" s="1">
        <v>0.31</v>
      </c>
      <c r="G196" s="1">
        <v>0.31</v>
      </c>
      <c r="H196" s="1">
        <v>0.31</v>
      </c>
      <c r="I196" s="1">
        <v>0.31</v>
      </c>
      <c r="J196" s="1">
        <v>0.31</v>
      </c>
      <c r="K196" s="1">
        <v>0.31</v>
      </c>
      <c r="L196" s="1">
        <v>0.31</v>
      </c>
      <c r="M196" s="1">
        <v>0.31</v>
      </c>
      <c r="N196" s="1">
        <v>0.31</v>
      </c>
      <c r="O196" s="1">
        <v>0.31</v>
      </c>
      <c r="P196" s="1">
        <v>0.31</v>
      </c>
      <c r="Q196" s="1">
        <v>0.31</v>
      </c>
      <c r="R196" s="1">
        <v>0.31</v>
      </c>
      <c r="S196" s="1">
        <v>0.31</v>
      </c>
      <c r="T196" s="1">
        <v>0.31</v>
      </c>
      <c r="AM196" t="s">
        <v>307</v>
      </c>
      <c r="AN196" t="str">
        <f t="shared" si="248"/>
        <v>TRTTRAGSL</v>
      </c>
      <c r="AO196">
        <v>0.41</v>
      </c>
      <c r="AP196" t="s">
        <v>42</v>
      </c>
    </row>
    <row r="197" spans="3:42" x14ac:dyDescent="0.45">
      <c r="C197" t="str">
        <f t="shared" si="246"/>
        <v>GCB</v>
      </c>
      <c r="D197" t="str">
        <f t="shared" si="247"/>
        <v>TRL</v>
      </c>
      <c r="E197" t="s">
        <v>210</v>
      </c>
      <c r="F197" s="1">
        <v>0.35</v>
      </c>
      <c r="G197" s="1">
        <v>0.35</v>
      </c>
      <c r="H197" s="1">
        <v>0.35</v>
      </c>
      <c r="I197" s="1">
        <v>0.35</v>
      </c>
      <c r="J197" s="1">
        <v>0.35</v>
      </c>
      <c r="K197" s="1">
        <v>0.35</v>
      </c>
      <c r="L197" s="1">
        <v>0.35</v>
      </c>
      <c r="M197" s="1">
        <v>0.35</v>
      </c>
      <c r="N197" s="1">
        <v>0.35</v>
      </c>
      <c r="O197" s="1">
        <v>0.35</v>
      </c>
      <c r="P197" s="1">
        <v>0.35</v>
      </c>
      <c r="Q197" s="1">
        <v>0.35</v>
      </c>
      <c r="R197" s="1">
        <v>0.35</v>
      </c>
      <c r="S197" s="1">
        <v>0.35</v>
      </c>
      <c r="T197" s="1">
        <v>0.35</v>
      </c>
      <c r="AM197" t="s">
        <v>308</v>
      </c>
      <c r="AN197" t="str">
        <f t="shared" si="248"/>
        <v>TRTTRAGSL</v>
      </c>
      <c r="AO197">
        <v>0.48</v>
      </c>
      <c r="AP197" t="s">
        <v>42</v>
      </c>
    </row>
    <row r="198" spans="3:42" x14ac:dyDescent="0.45">
      <c r="C198" t="str">
        <f t="shared" si="246"/>
        <v>GCC</v>
      </c>
      <c r="D198" t="str">
        <f t="shared" si="247"/>
        <v>TRL</v>
      </c>
      <c r="E198" t="s">
        <v>211</v>
      </c>
      <c r="F198" s="1">
        <v>0.38</v>
      </c>
      <c r="G198" s="1">
        <v>0.38</v>
      </c>
      <c r="H198" s="1">
        <v>0.38</v>
      </c>
      <c r="I198" s="1">
        <v>0.38</v>
      </c>
      <c r="J198" s="1">
        <v>0.38</v>
      </c>
      <c r="K198" s="1">
        <v>0.38</v>
      </c>
      <c r="L198" s="1">
        <v>0.38</v>
      </c>
      <c r="M198" s="1">
        <v>0.38</v>
      </c>
      <c r="N198" s="1">
        <v>0.38</v>
      </c>
      <c r="O198" s="1">
        <v>0.38</v>
      </c>
      <c r="P198" s="1">
        <v>0.38</v>
      </c>
      <c r="Q198" s="1">
        <v>0.38</v>
      </c>
      <c r="R198" s="1">
        <v>0.38</v>
      </c>
      <c r="S198" s="1">
        <v>0.38</v>
      </c>
      <c r="T198" s="1">
        <v>0.38</v>
      </c>
      <c r="AM198" t="s">
        <v>309</v>
      </c>
      <c r="AN198" t="str">
        <f t="shared" si="248"/>
        <v>TRTTRAGSL</v>
      </c>
      <c r="AO198">
        <v>0.54</v>
      </c>
      <c r="AP198" t="s">
        <v>42</v>
      </c>
    </row>
    <row r="199" spans="3:42" x14ac:dyDescent="0.45">
      <c r="C199" t="str">
        <f t="shared" si="246"/>
        <v>HYB</v>
      </c>
      <c r="D199" t="str">
        <f t="shared" si="247"/>
        <v>TRL</v>
      </c>
      <c r="E199" t="s">
        <v>212</v>
      </c>
      <c r="F199" s="1">
        <v>0.47</v>
      </c>
      <c r="G199" s="1">
        <v>0.47</v>
      </c>
      <c r="H199" s="1">
        <v>0.47</v>
      </c>
      <c r="I199" s="1">
        <v>0.47</v>
      </c>
      <c r="J199" s="1">
        <v>0.47</v>
      </c>
      <c r="K199" s="1">
        <v>0.47</v>
      </c>
      <c r="L199" s="1">
        <v>0.47</v>
      </c>
      <c r="M199" s="1">
        <v>0.47</v>
      </c>
      <c r="N199" s="1">
        <v>0.47</v>
      </c>
      <c r="O199" s="1">
        <v>0.47</v>
      </c>
      <c r="P199" s="1">
        <v>0.47</v>
      </c>
      <c r="Q199" s="1">
        <v>0.47</v>
      </c>
      <c r="R199" s="1">
        <v>0.47</v>
      </c>
      <c r="S199" s="1">
        <v>0.47</v>
      </c>
      <c r="T199" s="1">
        <v>0.47</v>
      </c>
      <c r="AM199" t="s">
        <v>310</v>
      </c>
      <c r="AN199" t="str">
        <f t="shared" ref="AN199:AN203" si="249">LEFT(AM199,3)&amp;AP199</f>
        <v>TRTTRALPG</v>
      </c>
      <c r="AO199">
        <v>0.41</v>
      </c>
      <c r="AP199" t="s">
        <v>39</v>
      </c>
    </row>
    <row r="200" spans="3:42" x14ac:dyDescent="0.45">
      <c r="C200" t="str">
        <f t="shared" si="246"/>
        <v>LPG</v>
      </c>
      <c r="D200" t="str">
        <f t="shared" si="247"/>
        <v>TRL</v>
      </c>
      <c r="E200" t="s">
        <v>213</v>
      </c>
      <c r="F200" s="1">
        <v>0.33</v>
      </c>
      <c r="G200" s="1">
        <v>0.33</v>
      </c>
      <c r="H200" s="1">
        <v>0.33</v>
      </c>
      <c r="I200" s="1">
        <v>0.33</v>
      </c>
      <c r="J200" s="1">
        <v>0.33</v>
      </c>
      <c r="K200" s="1">
        <v>0.33</v>
      </c>
      <c r="L200" s="1">
        <v>0.33</v>
      </c>
      <c r="M200" s="1">
        <v>0.33</v>
      </c>
      <c r="N200" s="1">
        <v>0.33</v>
      </c>
      <c r="O200" s="1">
        <v>0.33</v>
      </c>
      <c r="P200" s="1">
        <v>0.33</v>
      </c>
      <c r="Q200" s="1">
        <v>0.33</v>
      </c>
      <c r="R200" s="1">
        <v>0.33</v>
      </c>
      <c r="S200" s="1">
        <v>0.33</v>
      </c>
      <c r="T200" s="1">
        <v>0.33</v>
      </c>
      <c r="AM200" t="s">
        <v>311</v>
      </c>
      <c r="AN200" t="str">
        <f t="shared" si="249"/>
        <v>TRTTRABGS</v>
      </c>
      <c r="AO200">
        <v>0.45</v>
      </c>
      <c r="AP200" t="s">
        <v>33</v>
      </c>
    </row>
    <row r="201" spans="3:42" x14ac:dyDescent="0.45">
      <c r="C201" t="str">
        <f t="shared" si="246"/>
        <v>NGA</v>
      </c>
      <c r="D201" t="str">
        <f t="shared" si="247"/>
        <v>TRL</v>
      </c>
      <c r="E201" t="s">
        <v>214</v>
      </c>
      <c r="F201" s="1">
        <v>0.33</v>
      </c>
      <c r="G201" s="1">
        <v>0.33</v>
      </c>
      <c r="H201" s="1">
        <v>0.33</v>
      </c>
      <c r="I201" s="1">
        <v>0.33</v>
      </c>
      <c r="J201" s="1">
        <v>0.33</v>
      </c>
      <c r="K201" s="1">
        <v>0.33</v>
      </c>
      <c r="L201" s="1">
        <v>0.33</v>
      </c>
      <c r="M201" s="1">
        <v>0.33</v>
      </c>
      <c r="N201" s="1">
        <v>0.33</v>
      </c>
      <c r="O201" s="1">
        <v>0.33</v>
      </c>
      <c r="P201" s="1">
        <v>0.33</v>
      </c>
      <c r="Q201" s="1">
        <v>0.33</v>
      </c>
      <c r="R201" s="1">
        <v>0.33</v>
      </c>
      <c r="S201" s="1">
        <v>0.33</v>
      </c>
      <c r="T201" s="1">
        <v>0.33</v>
      </c>
      <c r="AM201" t="s">
        <v>312</v>
      </c>
      <c r="AN201" t="str">
        <f t="shared" si="249"/>
        <v>TRTTRANGA</v>
      </c>
      <c r="AO201">
        <v>0.44</v>
      </c>
      <c r="AP201" t="s">
        <v>38</v>
      </c>
    </row>
    <row r="202" spans="3:42" x14ac:dyDescent="0.45">
      <c r="C202" t="str">
        <f t="shared" si="246"/>
        <v>DSA</v>
      </c>
      <c r="D202" t="str">
        <f t="shared" si="247"/>
        <v>TRM</v>
      </c>
      <c r="E202" t="s">
        <v>215</v>
      </c>
      <c r="F202" s="1">
        <v>0.13</v>
      </c>
      <c r="G202" s="1">
        <v>0.13</v>
      </c>
      <c r="H202" s="1">
        <v>0.13</v>
      </c>
      <c r="I202" s="1">
        <v>0.13</v>
      </c>
      <c r="J202" s="1">
        <v>0.13</v>
      </c>
      <c r="K202" s="1">
        <v>0.13</v>
      </c>
      <c r="L202" s="1">
        <v>0.13</v>
      </c>
      <c r="M202" s="1">
        <v>0.13</v>
      </c>
      <c r="N202" s="1">
        <v>0.13</v>
      </c>
      <c r="O202" s="1">
        <v>0.13</v>
      </c>
      <c r="P202" s="1">
        <v>0.13</v>
      </c>
      <c r="Q202" s="1">
        <v>0.13</v>
      </c>
      <c r="R202" s="1">
        <v>0.13</v>
      </c>
      <c r="S202" s="1">
        <v>0.13</v>
      </c>
      <c r="T202" s="1">
        <v>0.13</v>
      </c>
      <c r="AM202" t="s">
        <v>313</v>
      </c>
      <c r="AN202" t="str">
        <f t="shared" si="249"/>
        <v>TRWTRAGSL</v>
      </c>
      <c r="AO202">
        <v>0.7</v>
      </c>
      <c r="AP202" t="s">
        <v>42</v>
      </c>
    </row>
    <row r="203" spans="3:42" x14ac:dyDescent="0.45">
      <c r="C203" t="str">
        <f t="shared" si="246"/>
        <v>DSB</v>
      </c>
      <c r="D203" t="str">
        <f t="shared" si="247"/>
        <v>TRM</v>
      </c>
      <c r="E203" t="s">
        <v>216</v>
      </c>
      <c r="F203" s="1">
        <v>0.15</v>
      </c>
      <c r="G203" s="1">
        <v>0.15</v>
      </c>
      <c r="H203" s="1">
        <v>0.15</v>
      </c>
      <c r="I203" s="1">
        <v>0.15</v>
      </c>
      <c r="J203" s="1">
        <v>0.15</v>
      </c>
      <c r="K203" s="1">
        <v>0.15</v>
      </c>
      <c r="L203" s="1">
        <v>0.15</v>
      </c>
      <c r="M203" s="1">
        <v>0.15</v>
      </c>
      <c r="N203" s="1">
        <v>0.15</v>
      </c>
      <c r="O203" s="1">
        <v>0.15</v>
      </c>
      <c r="P203" s="1">
        <v>0.15</v>
      </c>
      <c r="Q203" s="1">
        <v>0.15</v>
      </c>
      <c r="R203" s="1">
        <v>0.15</v>
      </c>
      <c r="S203" s="1">
        <v>0.15</v>
      </c>
      <c r="T203" s="1">
        <v>0.15</v>
      </c>
      <c r="AM203" t="s">
        <v>314</v>
      </c>
      <c r="AN203" t="str">
        <f t="shared" si="249"/>
        <v>TRWTRAGSL</v>
      </c>
      <c r="AO203">
        <v>1</v>
      </c>
      <c r="AP203" t="s">
        <v>42</v>
      </c>
    </row>
    <row r="204" spans="3:42" x14ac:dyDescent="0.45">
      <c r="C204" t="str">
        <f t="shared" si="246"/>
        <v>DST</v>
      </c>
      <c r="D204" t="str">
        <f t="shared" si="247"/>
        <v>TRM</v>
      </c>
      <c r="E204" t="s">
        <v>217</v>
      </c>
      <c r="F204" s="1">
        <v>0.12</v>
      </c>
      <c r="G204" s="1">
        <v>0.12</v>
      </c>
      <c r="H204" s="1">
        <v>0.12</v>
      </c>
      <c r="I204" s="1">
        <v>0.12</v>
      </c>
      <c r="J204" s="1">
        <v>0.12</v>
      </c>
      <c r="K204" s="1">
        <v>0.12</v>
      </c>
      <c r="L204" s="1">
        <v>0.12</v>
      </c>
      <c r="M204" s="1">
        <v>0.12</v>
      </c>
      <c r="N204" s="1">
        <v>0.12</v>
      </c>
      <c r="O204" s="1">
        <v>0.12</v>
      </c>
      <c r="P204" s="1">
        <v>0.12</v>
      </c>
      <c r="Q204" s="1">
        <v>0.12</v>
      </c>
      <c r="R204" s="1">
        <v>0.12</v>
      </c>
      <c r="S204" s="1">
        <v>0.12</v>
      </c>
      <c r="T204" s="1">
        <v>0.12</v>
      </c>
    </row>
    <row r="205" spans="3:42" x14ac:dyDescent="0.45">
      <c r="C205" t="str">
        <f t="shared" si="246"/>
        <v>ETA</v>
      </c>
      <c r="D205" t="str">
        <f t="shared" si="247"/>
        <v>TRM</v>
      </c>
      <c r="E205" t="s">
        <v>218</v>
      </c>
      <c r="F205" s="1">
        <v>0.13</v>
      </c>
      <c r="G205" s="1">
        <v>0.13</v>
      </c>
      <c r="H205" s="1">
        <v>0.13</v>
      </c>
      <c r="I205" s="1">
        <v>0.13</v>
      </c>
      <c r="J205" s="1">
        <v>0.13</v>
      </c>
      <c r="K205" s="1">
        <v>0.13</v>
      </c>
      <c r="L205" s="1">
        <v>0.13</v>
      </c>
      <c r="M205" s="1">
        <v>0.13</v>
      </c>
      <c r="N205" s="1">
        <v>0.13</v>
      </c>
      <c r="O205" s="1">
        <v>0.13</v>
      </c>
      <c r="P205" s="1">
        <v>0.13</v>
      </c>
      <c r="Q205" s="1">
        <v>0.13</v>
      </c>
      <c r="R205" s="1">
        <v>0.13</v>
      </c>
      <c r="S205" s="1">
        <v>0.13</v>
      </c>
      <c r="T205" s="1">
        <v>0.13</v>
      </c>
    </row>
    <row r="206" spans="3:42" x14ac:dyDescent="0.45">
      <c r="C206" t="str">
        <f t="shared" si="246"/>
        <v>ETB</v>
      </c>
      <c r="D206" t="str">
        <f t="shared" si="247"/>
        <v>TRM</v>
      </c>
      <c r="E206" t="s">
        <v>219</v>
      </c>
      <c r="F206" s="1">
        <v>0.1</v>
      </c>
      <c r="G206" s="1">
        <v>0.1</v>
      </c>
      <c r="H206" s="1">
        <v>0.1</v>
      </c>
      <c r="I206" s="1">
        <v>0.1</v>
      </c>
      <c r="J206" s="1">
        <v>0.1</v>
      </c>
      <c r="K206" s="1">
        <v>0.1</v>
      </c>
      <c r="L206" s="1">
        <v>0.1</v>
      </c>
      <c r="M206" s="1">
        <v>0.1</v>
      </c>
      <c r="N206" s="1">
        <v>0.1</v>
      </c>
      <c r="O206" s="1">
        <v>0.1</v>
      </c>
      <c r="P206" s="1">
        <v>0.1</v>
      </c>
      <c r="Q206" s="1">
        <v>0.1</v>
      </c>
      <c r="R206" s="1">
        <v>0.1</v>
      </c>
      <c r="S206" s="1">
        <v>0.1</v>
      </c>
      <c r="T206" s="1">
        <v>0.1</v>
      </c>
    </row>
    <row r="207" spans="3:42" x14ac:dyDescent="0.45">
      <c r="C207" t="str">
        <f t="shared" si="246"/>
        <v>ETH</v>
      </c>
      <c r="D207" t="str">
        <f t="shared" si="247"/>
        <v>TRM</v>
      </c>
      <c r="E207" t="s">
        <v>220</v>
      </c>
      <c r="F207" s="1">
        <v>0.1</v>
      </c>
      <c r="G207" s="1">
        <v>0.1</v>
      </c>
      <c r="H207" s="1">
        <v>0.1</v>
      </c>
      <c r="I207" s="1">
        <v>0.1</v>
      </c>
      <c r="J207" s="1">
        <v>0.1</v>
      </c>
      <c r="K207" s="1">
        <v>0.1</v>
      </c>
      <c r="L207" s="1">
        <v>0.1</v>
      </c>
      <c r="M207" s="1">
        <v>0.1</v>
      </c>
      <c r="N207" s="1">
        <v>0.1</v>
      </c>
      <c r="O207" s="1">
        <v>0.1</v>
      </c>
      <c r="P207" s="1">
        <v>0.1</v>
      </c>
      <c r="Q207" s="1">
        <v>0.1</v>
      </c>
      <c r="R207" s="1">
        <v>0.1</v>
      </c>
      <c r="S207" s="1">
        <v>0.1</v>
      </c>
      <c r="T207" s="1">
        <v>0.1</v>
      </c>
    </row>
    <row r="208" spans="3:42" x14ac:dyDescent="0.45">
      <c r="C208" t="str">
        <f t="shared" si="246"/>
        <v>GAS</v>
      </c>
      <c r="D208" t="str">
        <f t="shared" si="247"/>
        <v>TRM</v>
      </c>
      <c r="E208" t="s">
        <v>221</v>
      </c>
      <c r="F208" s="1">
        <v>0.1</v>
      </c>
      <c r="G208" s="1">
        <v>0.1</v>
      </c>
      <c r="H208" s="1">
        <v>0.1</v>
      </c>
      <c r="I208" s="1">
        <v>0.1</v>
      </c>
      <c r="J208" s="1">
        <v>0.1</v>
      </c>
      <c r="K208" s="1">
        <v>0.1</v>
      </c>
      <c r="L208" s="1">
        <v>0.1</v>
      </c>
      <c r="M208" s="1">
        <v>0.1</v>
      </c>
      <c r="N208" s="1">
        <v>0.1</v>
      </c>
      <c r="O208" s="1">
        <v>0.1</v>
      </c>
      <c r="P208" s="1">
        <v>0.1</v>
      </c>
      <c r="Q208" s="1">
        <v>0.1</v>
      </c>
      <c r="R208" s="1">
        <v>0.1</v>
      </c>
      <c r="S208" s="1">
        <v>0.1</v>
      </c>
      <c r="T208" s="1">
        <v>0.1</v>
      </c>
    </row>
    <row r="209" spans="3:20" x14ac:dyDescent="0.45">
      <c r="C209" t="str">
        <f t="shared" si="246"/>
        <v>LPG</v>
      </c>
      <c r="D209" t="str">
        <f t="shared" si="247"/>
        <v>TRM</v>
      </c>
      <c r="E209" t="s">
        <v>222</v>
      </c>
      <c r="F209" s="1">
        <v>0.13</v>
      </c>
      <c r="G209" s="1">
        <v>0.13</v>
      </c>
      <c r="H209" s="1">
        <v>0.13</v>
      </c>
      <c r="I209" s="1">
        <v>0.13</v>
      </c>
      <c r="J209" s="1">
        <v>0.13</v>
      </c>
      <c r="K209" s="1">
        <v>0.13</v>
      </c>
      <c r="L209" s="1">
        <v>0.13</v>
      </c>
      <c r="M209" s="1">
        <v>0.13</v>
      </c>
      <c r="N209" s="1">
        <v>0.13</v>
      </c>
      <c r="O209" s="1">
        <v>0.13</v>
      </c>
      <c r="P209" s="1">
        <v>0.13</v>
      </c>
      <c r="Q209" s="1">
        <v>0.13</v>
      </c>
      <c r="R209" s="1">
        <v>0.13</v>
      </c>
      <c r="S209" s="1">
        <v>0.13</v>
      </c>
      <c r="T209" s="1">
        <v>0.13</v>
      </c>
    </row>
    <row r="210" spans="3:20" x14ac:dyDescent="0.45">
      <c r="C210" t="str">
        <f t="shared" si="246"/>
        <v>MET</v>
      </c>
      <c r="D210" t="str">
        <f t="shared" si="247"/>
        <v>TRM</v>
      </c>
      <c r="E210" t="s">
        <v>223</v>
      </c>
      <c r="F210" s="1">
        <v>0.1</v>
      </c>
      <c r="G210" s="1">
        <v>0.1</v>
      </c>
      <c r="H210" s="1">
        <v>0.1</v>
      </c>
      <c r="I210" s="1">
        <v>0.1</v>
      </c>
      <c r="J210" s="1">
        <v>0.1</v>
      </c>
      <c r="K210" s="1">
        <v>0.1</v>
      </c>
      <c r="L210" s="1">
        <v>0.1</v>
      </c>
      <c r="M210" s="1">
        <v>0.1</v>
      </c>
      <c r="N210" s="1">
        <v>0.1</v>
      </c>
      <c r="O210" s="1">
        <v>0.1</v>
      </c>
      <c r="P210" s="1">
        <v>0.1</v>
      </c>
      <c r="Q210" s="1">
        <v>0.1</v>
      </c>
      <c r="R210" s="1">
        <v>0.1</v>
      </c>
      <c r="S210" s="1">
        <v>0.1</v>
      </c>
      <c r="T210" s="1">
        <v>0.1</v>
      </c>
    </row>
    <row r="211" spans="3:20" x14ac:dyDescent="0.45">
      <c r="C211" t="str">
        <f t="shared" si="246"/>
        <v>NGA</v>
      </c>
      <c r="D211" t="str">
        <f t="shared" si="247"/>
        <v>TRM</v>
      </c>
      <c r="E211" t="s">
        <v>224</v>
      </c>
      <c r="F211" s="1">
        <v>0.1</v>
      </c>
      <c r="G211" s="1">
        <v>0.1</v>
      </c>
      <c r="H211" s="1">
        <v>0.1</v>
      </c>
      <c r="I211" s="1">
        <v>0.1</v>
      </c>
      <c r="J211" s="1">
        <v>0.1</v>
      </c>
      <c r="K211" s="1">
        <v>0.1</v>
      </c>
      <c r="L211" s="1">
        <v>0.1</v>
      </c>
      <c r="M211" s="1">
        <v>0.1</v>
      </c>
      <c r="N211" s="1">
        <v>0.1</v>
      </c>
      <c r="O211" s="1">
        <v>0.1</v>
      </c>
      <c r="P211" s="1">
        <v>0.1</v>
      </c>
      <c r="Q211" s="1">
        <v>0.1</v>
      </c>
      <c r="R211" s="1">
        <v>0.1</v>
      </c>
      <c r="S211" s="1">
        <v>0.1</v>
      </c>
      <c r="T211" s="1">
        <v>0.1</v>
      </c>
    </row>
    <row r="212" spans="3:20" x14ac:dyDescent="0.45">
      <c r="C212" t="str">
        <f t="shared" si="246"/>
        <v>DCA</v>
      </c>
      <c r="D212" t="str">
        <f t="shared" si="247"/>
        <v>TRT</v>
      </c>
      <c r="E212" t="s">
        <v>225</v>
      </c>
      <c r="F212" s="1">
        <v>0.38</v>
      </c>
      <c r="G212" s="1">
        <v>0.38</v>
      </c>
      <c r="H212" s="1">
        <v>0.38</v>
      </c>
      <c r="I212" s="1">
        <v>0.38</v>
      </c>
      <c r="J212" s="1">
        <v>0.38</v>
      </c>
      <c r="K212" s="1">
        <v>0.38</v>
      </c>
      <c r="L212" s="1">
        <v>0.38</v>
      </c>
      <c r="M212" s="1">
        <v>0.38</v>
      </c>
      <c r="N212" s="1">
        <v>0.38</v>
      </c>
      <c r="O212" s="1">
        <v>0.38</v>
      </c>
      <c r="P212" s="1">
        <v>0.38</v>
      </c>
      <c r="Q212" s="1">
        <v>0.38</v>
      </c>
      <c r="R212" s="1">
        <v>0.38</v>
      </c>
      <c r="S212" s="1">
        <v>0.38</v>
      </c>
      <c r="T212" s="1">
        <v>0.38</v>
      </c>
    </row>
    <row r="213" spans="3:20" x14ac:dyDescent="0.45">
      <c r="C213" t="str">
        <f t="shared" si="246"/>
        <v>DCB</v>
      </c>
      <c r="D213" t="str">
        <f t="shared" si="247"/>
        <v>TRT</v>
      </c>
      <c r="E213" t="s">
        <v>226</v>
      </c>
      <c r="F213" s="1">
        <v>0.43</v>
      </c>
      <c r="G213" s="1">
        <v>0.43</v>
      </c>
      <c r="H213" s="1">
        <v>0.43</v>
      </c>
      <c r="I213" s="1">
        <v>0.43</v>
      </c>
      <c r="J213" s="1">
        <v>0.43</v>
      </c>
      <c r="K213" s="1">
        <v>0.43</v>
      </c>
      <c r="L213" s="1">
        <v>0.43</v>
      </c>
      <c r="M213" s="1">
        <v>0.43</v>
      </c>
      <c r="N213" s="1">
        <v>0.43</v>
      </c>
      <c r="O213" s="1">
        <v>0.43</v>
      </c>
      <c r="P213" s="1">
        <v>0.43</v>
      </c>
      <c r="Q213" s="1">
        <v>0.43</v>
      </c>
      <c r="R213" s="1">
        <v>0.43</v>
      </c>
      <c r="S213" s="1">
        <v>0.43</v>
      </c>
      <c r="T213" s="1">
        <v>0.43</v>
      </c>
    </row>
    <row r="214" spans="3:20" x14ac:dyDescent="0.45">
      <c r="C214" t="str">
        <f t="shared" si="246"/>
        <v>DCC</v>
      </c>
      <c r="D214" t="str">
        <f t="shared" si="247"/>
        <v>TRT</v>
      </c>
      <c r="E214" t="s">
        <v>227</v>
      </c>
      <c r="F214" s="1">
        <v>0.48</v>
      </c>
      <c r="G214" s="1">
        <v>0.48</v>
      </c>
      <c r="H214" s="1">
        <v>0.48</v>
      </c>
      <c r="I214" s="1">
        <v>0.48</v>
      </c>
      <c r="J214" s="1">
        <v>0.48</v>
      </c>
      <c r="K214" s="1">
        <v>0.48</v>
      </c>
      <c r="L214" s="1">
        <v>0.48</v>
      </c>
      <c r="M214" s="1">
        <v>0.48</v>
      </c>
      <c r="N214" s="1">
        <v>0.48</v>
      </c>
      <c r="O214" s="1">
        <v>0.48</v>
      </c>
      <c r="P214" s="1">
        <v>0.48</v>
      </c>
      <c r="Q214" s="1">
        <v>0.48</v>
      </c>
      <c r="R214" s="1">
        <v>0.48</v>
      </c>
      <c r="S214" s="1">
        <v>0.48</v>
      </c>
      <c r="T214" s="1">
        <v>0.48</v>
      </c>
    </row>
    <row r="215" spans="3:20" x14ac:dyDescent="0.45">
      <c r="C215" t="str">
        <f t="shared" si="246"/>
        <v>DEG</v>
      </c>
      <c r="D215" t="str">
        <f t="shared" si="247"/>
        <v>TRT</v>
      </c>
      <c r="E215" t="s">
        <v>228</v>
      </c>
      <c r="F215" s="1">
        <v>0.39</v>
      </c>
      <c r="G215" s="1">
        <v>0.39</v>
      </c>
      <c r="H215" s="1">
        <v>0.39</v>
      </c>
      <c r="I215" s="1">
        <v>0.39</v>
      </c>
      <c r="J215" s="1">
        <v>0.39</v>
      </c>
      <c r="K215" s="1">
        <v>0.39</v>
      </c>
      <c r="L215" s="1">
        <v>0.39</v>
      </c>
      <c r="M215" s="1">
        <v>0.39</v>
      </c>
      <c r="N215" s="1">
        <v>0.39</v>
      </c>
      <c r="O215" s="1">
        <v>0.39</v>
      </c>
      <c r="P215" s="1">
        <v>0.39</v>
      </c>
      <c r="Q215" s="1">
        <v>0.39</v>
      </c>
      <c r="R215" s="1">
        <v>0.39</v>
      </c>
      <c r="S215" s="1">
        <v>0.39</v>
      </c>
      <c r="T215" s="1">
        <v>0.39</v>
      </c>
    </row>
    <row r="216" spans="3:20" x14ac:dyDescent="0.45">
      <c r="C216" t="str">
        <f t="shared" si="246"/>
        <v>DMG</v>
      </c>
      <c r="D216" t="str">
        <f t="shared" si="247"/>
        <v>TRT</v>
      </c>
      <c r="E216" t="s">
        <v>229</v>
      </c>
      <c r="F216" s="1">
        <v>0.39</v>
      </c>
      <c r="G216" s="1">
        <v>0.39</v>
      </c>
      <c r="H216" s="1">
        <v>0.39</v>
      </c>
      <c r="I216" s="1">
        <v>0.39</v>
      </c>
      <c r="J216" s="1">
        <v>0.39</v>
      </c>
      <c r="K216" s="1">
        <v>0.39</v>
      </c>
      <c r="L216" s="1">
        <v>0.39</v>
      </c>
      <c r="M216" s="1">
        <v>0.39</v>
      </c>
      <c r="N216" s="1">
        <v>0.39</v>
      </c>
      <c r="O216" s="1">
        <v>0.39</v>
      </c>
      <c r="P216" s="1">
        <v>0.39</v>
      </c>
      <c r="Q216" s="1">
        <v>0.39</v>
      </c>
      <c r="R216" s="1">
        <v>0.39</v>
      </c>
      <c r="S216" s="1">
        <v>0.39</v>
      </c>
      <c r="T216" s="1">
        <v>0.39</v>
      </c>
    </row>
    <row r="217" spans="3:20" x14ac:dyDescent="0.45">
      <c r="C217" t="str">
        <f t="shared" si="246"/>
        <v>ELC</v>
      </c>
      <c r="D217" t="str">
        <f t="shared" si="247"/>
        <v>TRT</v>
      </c>
      <c r="E217" t="s">
        <v>230</v>
      </c>
      <c r="F217" s="1">
        <v>0.55000000000000004</v>
      </c>
      <c r="G217" s="1">
        <v>0.55000000000000004</v>
      </c>
      <c r="H217" s="1">
        <v>0.55000000000000004</v>
      </c>
      <c r="I217" s="1">
        <v>0.55000000000000004</v>
      </c>
      <c r="J217" s="1">
        <v>0.55000000000000004</v>
      </c>
      <c r="K217" s="1">
        <v>0.55000000000000004</v>
      </c>
      <c r="L217" s="1">
        <v>0.55000000000000004</v>
      </c>
      <c r="M217" s="1">
        <v>0.55000000000000004</v>
      </c>
      <c r="N217" s="1">
        <v>0.55000000000000004</v>
      </c>
      <c r="O217" s="1">
        <v>0.55000000000000004</v>
      </c>
      <c r="P217" s="1">
        <v>0.55000000000000004</v>
      </c>
      <c r="Q217" s="1">
        <v>0.55000000000000004</v>
      </c>
      <c r="R217" s="1">
        <v>0.55000000000000004</v>
      </c>
      <c r="S217" s="1">
        <v>0.55000000000000004</v>
      </c>
      <c r="T217" s="1">
        <v>0.55000000000000004</v>
      </c>
    </row>
    <row r="218" spans="3:20" x14ac:dyDescent="0.45">
      <c r="C218" t="str">
        <f t="shared" si="246"/>
        <v>ETA</v>
      </c>
      <c r="D218" t="str">
        <f t="shared" si="247"/>
        <v>TRT</v>
      </c>
      <c r="E218" t="s">
        <v>231</v>
      </c>
      <c r="F218" s="1">
        <v>0.39</v>
      </c>
      <c r="G218" s="1">
        <v>0.39</v>
      </c>
      <c r="H218" s="1">
        <v>0.39</v>
      </c>
      <c r="I218" s="1">
        <v>0.39</v>
      </c>
      <c r="J218" s="1">
        <v>0.39</v>
      </c>
      <c r="K218" s="1">
        <v>0.39</v>
      </c>
      <c r="L218" s="1">
        <v>0.39</v>
      </c>
      <c r="M218" s="1">
        <v>0.39</v>
      </c>
      <c r="N218" s="1">
        <v>0.39</v>
      </c>
      <c r="O218" s="1">
        <v>0.39</v>
      </c>
      <c r="P218" s="1">
        <v>0.39</v>
      </c>
      <c r="Q218" s="1">
        <v>0.39</v>
      </c>
      <c r="R218" s="1">
        <v>0.39</v>
      </c>
      <c r="S218" s="1">
        <v>0.39</v>
      </c>
      <c r="T218" s="1">
        <v>0.39</v>
      </c>
    </row>
    <row r="219" spans="3:20" x14ac:dyDescent="0.45">
      <c r="C219" t="str">
        <f t="shared" si="246"/>
        <v>ETB</v>
      </c>
      <c r="D219" t="str">
        <f t="shared" si="247"/>
        <v>TRT</v>
      </c>
      <c r="E219" t="s">
        <v>232</v>
      </c>
      <c r="F219" s="1">
        <v>0.44</v>
      </c>
      <c r="G219" s="1">
        <v>0.44</v>
      </c>
      <c r="H219" s="1">
        <v>0.44</v>
      </c>
      <c r="I219" s="1">
        <v>0.44</v>
      </c>
      <c r="J219" s="1">
        <v>0.44</v>
      </c>
      <c r="K219" s="1">
        <v>0.44</v>
      </c>
      <c r="L219" s="1">
        <v>0.44</v>
      </c>
      <c r="M219" s="1">
        <v>0.44</v>
      </c>
      <c r="N219" s="1">
        <v>0.44</v>
      </c>
      <c r="O219" s="1">
        <v>0.44</v>
      </c>
      <c r="P219" s="1">
        <v>0.44</v>
      </c>
      <c r="Q219" s="1">
        <v>0.44</v>
      </c>
      <c r="R219" s="1">
        <v>0.44</v>
      </c>
      <c r="S219" s="1">
        <v>0.44</v>
      </c>
      <c r="T219" s="1">
        <v>0.44</v>
      </c>
    </row>
    <row r="220" spans="3:20" x14ac:dyDescent="0.45">
      <c r="C220" t="str">
        <f t="shared" si="246"/>
        <v>ETH</v>
      </c>
      <c r="D220" t="str">
        <f t="shared" si="247"/>
        <v>TRT</v>
      </c>
      <c r="E220" t="s">
        <v>233</v>
      </c>
      <c r="F220" s="1">
        <v>0.34</v>
      </c>
      <c r="G220" s="1">
        <v>0.34</v>
      </c>
      <c r="H220" s="1">
        <v>0.34</v>
      </c>
      <c r="I220" s="1">
        <v>0.34</v>
      </c>
      <c r="J220" s="1">
        <v>0.34</v>
      </c>
      <c r="K220" s="1">
        <v>0.34</v>
      </c>
      <c r="L220" s="1">
        <v>0.34</v>
      </c>
      <c r="M220" s="1">
        <v>0.34</v>
      </c>
      <c r="N220" s="1">
        <v>0.34</v>
      </c>
      <c r="O220" s="1">
        <v>0.34</v>
      </c>
      <c r="P220" s="1">
        <v>0.34</v>
      </c>
      <c r="Q220" s="1">
        <v>0.34</v>
      </c>
      <c r="R220" s="1">
        <v>0.34</v>
      </c>
      <c r="S220" s="1">
        <v>0.34</v>
      </c>
      <c r="T220" s="1">
        <v>0.34</v>
      </c>
    </row>
    <row r="221" spans="3:20" x14ac:dyDescent="0.45">
      <c r="C221" t="str">
        <f t="shared" si="246"/>
        <v>GCA</v>
      </c>
      <c r="D221" t="str">
        <f t="shared" si="247"/>
        <v>TRT</v>
      </c>
      <c r="E221" t="s">
        <v>234</v>
      </c>
      <c r="F221" s="1">
        <v>0.34</v>
      </c>
      <c r="G221" s="1">
        <v>0.34</v>
      </c>
      <c r="H221" s="1">
        <v>0.34</v>
      </c>
      <c r="I221" s="1">
        <v>0.34</v>
      </c>
      <c r="J221" s="1">
        <v>0.34</v>
      </c>
      <c r="K221" s="1">
        <v>0.34</v>
      </c>
      <c r="L221" s="1">
        <v>0.34</v>
      </c>
      <c r="M221" s="1">
        <v>0.34</v>
      </c>
      <c r="N221" s="1">
        <v>0.34</v>
      </c>
      <c r="O221" s="1">
        <v>0.34</v>
      </c>
      <c r="P221" s="1">
        <v>0.34</v>
      </c>
      <c r="Q221" s="1">
        <v>0.34</v>
      </c>
      <c r="R221" s="1">
        <v>0.34</v>
      </c>
      <c r="S221" s="1">
        <v>0.34</v>
      </c>
      <c r="T221" s="1">
        <v>0.34</v>
      </c>
    </row>
    <row r="222" spans="3:20" x14ac:dyDescent="0.45">
      <c r="C222" t="str">
        <f t="shared" si="246"/>
        <v>GCB</v>
      </c>
      <c r="D222" t="str">
        <f t="shared" si="247"/>
        <v>TRT</v>
      </c>
      <c r="E222" t="s">
        <v>235</v>
      </c>
      <c r="F222" s="1">
        <v>0.39</v>
      </c>
      <c r="G222" s="1">
        <v>0.39</v>
      </c>
      <c r="H222" s="1">
        <v>0.39</v>
      </c>
      <c r="I222" s="1">
        <v>0.39</v>
      </c>
      <c r="J222" s="1">
        <v>0.39</v>
      </c>
      <c r="K222" s="1">
        <v>0.39</v>
      </c>
      <c r="L222" s="1">
        <v>0.39</v>
      </c>
      <c r="M222" s="1">
        <v>0.39</v>
      </c>
      <c r="N222" s="1">
        <v>0.39</v>
      </c>
      <c r="O222" s="1">
        <v>0.39</v>
      </c>
      <c r="P222" s="1">
        <v>0.39</v>
      </c>
      <c r="Q222" s="1">
        <v>0.39</v>
      </c>
      <c r="R222" s="1">
        <v>0.39</v>
      </c>
      <c r="S222" s="1">
        <v>0.39</v>
      </c>
      <c r="T222" s="1">
        <v>0.39</v>
      </c>
    </row>
    <row r="223" spans="3:20" x14ac:dyDescent="0.45">
      <c r="C223" t="str">
        <f t="shared" si="246"/>
        <v>GCC</v>
      </c>
      <c r="D223" t="str">
        <f t="shared" si="247"/>
        <v>TRT</v>
      </c>
      <c r="E223" t="s">
        <v>236</v>
      </c>
      <c r="F223" s="1">
        <v>0.44</v>
      </c>
      <c r="G223" s="1">
        <v>0.44</v>
      </c>
      <c r="H223" s="1">
        <v>0.44</v>
      </c>
      <c r="I223" s="1">
        <v>0.44</v>
      </c>
      <c r="J223" s="1">
        <v>0.44</v>
      </c>
      <c r="K223" s="1">
        <v>0.44</v>
      </c>
      <c r="L223" s="1">
        <v>0.44</v>
      </c>
      <c r="M223" s="1">
        <v>0.44</v>
      </c>
      <c r="N223" s="1">
        <v>0.44</v>
      </c>
      <c r="O223" s="1">
        <v>0.44</v>
      </c>
      <c r="P223" s="1">
        <v>0.44</v>
      </c>
      <c r="Q223" s="1">
        <v>0.44</v>
      </c>
      <c r="R223" s="1">
        <v>0.44</v>
      </c>
      <c r="S223" s="1">
        <v>0.44</v>
      </c>
      <c r="T223" s="1">
        <v>0.44</v>
      </c>
    </row>
    <row r="224" spans="3:20" x14ac:dyDescent="0.45">
      <c r="C224" t="str">
        <f t="shared" si="246"/>
        <v>HYB</v>
      </c>
      <c r="D224" t="str">
        <f t="shared" si="247"/>
        <v>TRT</v>
      </c>
      <c r="E224" t="s">
        <v>237</v>
      </c>
      <c r="F224" s="1">
        <v>0.52</v>
      </c>
      <c r="G224" s="1">
        <v>0.52</v>
      </c>
      <c r="H224" s="1">
        <v>0.52</v>
      </c>
      <c r="I224" s="1">
        <v>0.52</v>
      </c>
      <c r="J224" s="1">
        <v>0.52</v>
      </c>
      <c r="K224" s="1">
        <v>0.52</v>
      </c>
      <c r="L224" s="1">
        <v>0.52</v>
      </c>
      <c r="M224" s="1">
        <v>0.52</v>
      </c>
      <c r="N224" s="1">
        <v>0.52</v>
      </c>
      <c r="O224" s="1">
        <v>0.52</v>
      </c>
      <c r="P224" s="1">
        <v>0.52</v>
      </c>
      <c r="Q224" s="1">
        <v>0.52</v>
      </c>
      <c r="R224" s="1">
        <v>0.52</v>
      </c>
      <c r="S224" s="1">
        <v>0.52</v>
      </c>
      <c r="T224" s="1">
        <v>0.52</v>
      </c>
    </row>
    <row r="225" spans="3:20" x14ac:dyDescent="0.45">
      <c r="C225" t="str">
        <f t="shared" si="246"/>
        <v>LPG</v>
      </c>
      <c r="D225" t="str">
        <f t="shared" si="247"/>
        <v>TRT</v>
      </c>
      <c r="E225" t="s">
        <v>238</v>
      </c>
      <c r="F225" s="1">
        <v>0.34</v>
      </c>
      <c r="G225" s="1">
        <v>0.34</v>
      </c>
      <c r="H225" s="1">
        <v>0.34</v>
      </c>
      <c r="I225" s="1">
        <v>0.34</v>
      </c>
      <c r="J225" s="1">
        <v>0.34</v>
      </c>
      <c r="K225" s="1">
        <v>0.34</v>
      </c>
      <c r="L225" s="1">
        <v>0.34</v>
      </c>
      <c r="M225" s="1">
        <v>0.34</v>
      </c>
      <c r="N225" s="1">
        <v>0.34</v>
      </c>
      <c r="O225" s="1">
        <v>0.34</v>
      </c>
      <c r="P225" s="1">
        <v>0.34</v>
      </c>
      <c r="Q225" s="1">
        <v>0.34</v>
      </c>
      <c r="R225" s="1">
        <v>0.34</v>
      </c>
      <c r="S225" s="1">
        <v>0.34</v>
      </c>
      <c r="T225" s="1">
        <v>0.34</v>
      </c>
    </row>
    <row r="226" spans="3:20" x14ac:dyDescent="0.45">
      <c r="C226" t="str">
        <f t="shared" si="246"/>
        <v>MET</v>
      </c>
      <c r="D226" t="str">
        <f t="shared" si="247"/>
        <v>TRT</v>
      </c>
      <c r="E226" t="s">
        <v>239</v>
      </c>
      <c r="F226" s="1">
        <v>0.37</v>
      </c>
      <c r="G226" s="1">
        <v>0.37</v>
      </c>
      <c r="H226" s="1">
        <v>0.37</v>
      </c>
      <c r="I226" s="1">
        <v>0.37</v>
      </c>
      <c r="J226" s="1">
        <v>0.37</v>
      </c>
      <c r="K226" s="1">
        <v>0.37</v>
      </c>
      <c r="L226" s="1">
        <v>0.37</v>
      </c>
      <c r="M226" s="1">
        <v>0.37</v>
      </c>
      <c r="N226" s="1">
        <v>0.37</v>
      </c>
      <c r="O226" s="1">
        <v>0.37</v>
      </c>
      <c r="P226" s="1">
        <v>0.37</v>
      </c>
      <c r="Q226" s="1">
        <v>0.37</v>
      </c>
      <c r="R226" s="1">
        <v>0.37</v>
      </c>
      <c r="S226" s="1">
        <v>0.37</v>
      </c>
      <c r="T226" s="1">
        <v>0.37</v>
      </c>
    </row>
    <row r="227" spans="3:20" x14ac:dyDescent="0.45">
      <c r="C227" t="str">
        <f t="shared" ref="C227:C233" si="250">MID(E227,4,3)</f>
        <v>NGA</v>
      </c>
      <c r="D227" t="str">
        <f t="shared" ref="D227:D233" si="251">LEFT(E227,3)</f>
        <v>TRT</v>
      </c>
      <c r="E227" t="s">
        <v>240</v>
      </c>
      <c r="F227" s="1">
        <v>0.34</v>
      </c>
      <c r="G227" s="1">
        <v>0.34</v>
      </c>
      <c r="H227" s="1">
        <v>0.34</v>
      </c>
      <c r="I227" s="1">
        <v>0.34</v>
      </c>
      <c r="J227" s="1">
        <v>0.34</v>
      </c>
      <c r="K227" s="1">
        <v>0.34</v>
      </c>
      <c r="L227" s="1">
        <v>0.34</v>
      </c>
      <c r="M227" s="1">
        <v>0.34</v>
      </c>
      <c r="N227" s="1">
        <v>0.34</v>
      </c>
      <c r="O227" s="1">
        <v>0.34</v>
      </c>
      <c r="P227" s="1">
        <v>0.34</v>
      </c>
      <c r="Q227" s="1">
        <v>0.34</v>
      </c>
      <c r="R227" s="1">
        <v>0.34</v>
      </c>
      <c r="S227" s="1">
        <v>0.34</v>
      </c>
      <c r="T227" s="1">
        <v>0.34</v>
      </c>
    </row>
    <row r="228" spans="3:20" x14ac:dyDescent="0.45">
      <c r="C228" t="str">
        <f t="shared" si="250"/>
        <v>MCG</v>
      </c>
      <c r="D228" t="str">
        <f t="shared" si="251"/>
        <v>TRW</v>
      </c>
      <c r="E228" t="s">
        <v>241</v>
      </c>
      <c r="F228" s="1">
        <v>0.7</v>
      </c>
      <c r="G228" s="1">
        <v>0.7</v>
      </c>
      <c r="H228" s="1">
        <v>0.7</v>
      </c>
      <c r="I228" s="1">
        <v>0.7</v>
      </c>
      <c r="J228" s="1">
        <v>0.7</v>
      </c>
      <c r="K228" s="1">
        <v>0.7</v>
      </c>
      <c r="L228" s="1">
        <v>0.7</v>
      </c>
      <c r="M228" s="1">
        <v>0.7</v>
      </c>
      <c r="N228" s="1">
        <v>0.7</v>
      </c>
      <c r="O228" s="1">
        <v>0.7</v>
      </c>
      <c r="P228" s="1">
        <v>0.7</v>
      </c>
      <c r="Q228" s="1">
        <v>0.7</v>
      </c>
      <c r="R228" s="1">
        <v>0.7</v>
      </c>
      <c r="S228" s="1">
        <v>0.7</v>
      </c>
      <c r="T228" s="1">
        <v>0.7</v>
      </c>
    </row>
    <row r="229" spans="3:20" x14ac:dyDescent="0.45">
      <c r="C229" t="str">
        <f t="shared" si="250"/>
        <v>MPG</v>
      </c>
      <c r="D229" t="str">
        <f t="shared" si="251"/>
        <v>TRW</v>
      </c>
      <c r="E229" t="s">
        <v>242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</row>
    <row r="230" spans="3:20" x14ac:dyDescent="0.45">
      <c r="C230" t="str">
        <f t="shared" si="250"/>
        <v>005</v>
      </c>
      <c r="D230" t="str">
        <f t="shared" si="251"/>
        <v>TTF</v>
      </c>
      <c r="E230" t="s">
        <v>243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</row>
    <row r="231" spans="3:20" x14ac:dyDescent="0.45">
      <c r="C231" t="str">
        <f t="shared" si="250"/>
        <v>005</v>
      </c>
      <c r="D231" t="str">
        <f t="shared" si="251"/>
        <v>TTP</v>
      </c>
      <c r="E231" t="s">
        <v>244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</row>
    <row r="232" spans="3:20" x14ac:dyDescent="0.45">
      <c r="C232" t="str">
        <f t="shared" si="250"/>
        <v>005</v>
      </c>
      <c r="D232" t="str">
        <f t="shared" si="251"/>
        <v>TWD</v>
      </c>
      <c r="E232" t="s">
        <v>245</v>
      </c>
      <c r="F232" s="1">
        <v>2.64</v>
      </c>
      <c r="G232" s="1">
        <v>2.64</v>
      </c>
      <c r="H232" s="1">
        <v>2.64</v>
      </c>
      <c r="I232" s="1">
        <v>2.64</v>
      </c>
      <c r="J232" s="1">
        <v>2.64</v>
      </c>
      <c r="K232" s="1">
        <v>2.64</v>
      </c>
      <c r="L232" s="1">
        <v>2.64</v>
      </c>
      <c r="M232" s="1">
        <v>2.64</v>
      </c>
      <c r="N232" s="1">
        <v>2.64</v>
      </c>
      <c r="O232" s="1">
        <v>2.64</v>
      </c>
      <c r="P232" s="1">
        <v>2.64</v>
      </c>
      <c r="Q232" s="1">
        <v>2.64</v>
      </c>
      <c r="R232" s="1">
        <v>2.64</v>
      </c>
      <c r="S232" s="1">
        <v>2.64</v>
      </c>
      <c r="T232" s="1">
        <v>2.64</v>
      </c>
    </row>
    <row r="233" spans="3:20" x14ac:dyDescent="0.45">
      <c r="C233" t="str">
        <f t="shared" si="250"/>
        <v>005</v>
      </c>
      <c r="D233" t="str">
        <f t="shared" si="251"/>
        <v>TWI</v>
      </c>
      <c r="E233" t="s">
        <v>246</v>
      </c>
      <c r="F233" s="1">
        <v>2.64</v>
      </c>
      <c r="G233" s="1">
        <v>2.64</v>
      </c>
      <c r="H233" s="1">
        <v>2.64</v>
      </c>
      <c r="I233" s="1">
        <v>2.64</v>
      </c>
      <c r="J233" s="1">
        <v>2.64</v>
      </c>
      <c r="K233" s="1">
        <v>2.64</v>
      </c>
      <c r="L233" s="1">
        <v>2.64</v>
      </c>
      <c r="M233" s="1">
        <v>2.64</v>
      </c>
      <c r="N233" s="1">
        <v>2.64</v>
      </c>
      <c r="O233" s="1">
        <v>2.64</v>
      </c>
      <c r="P233" s="1">
        <v>2.64</v>
      </c>
      <c r="Q233" s="1">
        <v>2.64</v>
      </c>
      <c r="R233" s="1">
        <v>2.64</v>
      </c>
      <c r="S233" s="1">
        <v>2.64</v>
      </c>
      <c r="T233" s="1">
        <v>2.64</v>
      </c>
    </row>
  </sheetData>
  <sortState xmlns:xlrd2="http://schemas.microsoft.com/office/spreadsheetml/2017/richdata2" ref="BT109:BT168">
    <sortCondition ref="BT109:BT168"/>
  </sortState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4CEA-1051-4673-BC99-F61DD3A29913}">
  <dimension ref="A2:Z103"/>
  <sheetViews>
    <sheetView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Y3" sqref="Y3:Z33"/>
    </sheetView>
  </sheetViews>
  <sheetFormatPr defaultRowHeight="14.25" x14ac:dyDescent="0.45"/>
  <cols>
    <col min="1" max="1" width="3.86328125" bestFit="1" customWidth="1"/>
    <col min="3" max="3" width="8.86328125" bestFit="1" customWidth="1"/>
    <col min="4" max="4" width="5.53125" bestFit="1" customWidth="1"/>
    <col min="5" max="5" width="26.33203125" bestFit="1" customWidth="1"/>
    <col min="6" max="6" width="21.86328125" bestFit="1" customWidth="1"/>
    <col min="7" max="7" width="12.1328125" bestFit="1" customWidth="1"/>
    <col min="8" max="9" width="4.53125" bestFit="1" customWidth="1"/>
    <col min="10" max="10" width="4.86328125" bestFit="1" customWidth="1"/>
    <col min="11" max="11" width="5" bestFit="1" customWidth="1"/>
    <col min="12" max="12" width="4.53125" bestFit="1" customWidth="1"/>
    <col min="13" max="13" width="5.46484375" bestFit="1" customWidth="1"/>
    <col min="14" max="16" width="4.53125" bestFit="1" customWidth="1"/>
    <col min="17" max="17" width="5" bestFit="1" customWidth="1"/>
    <col min="18" max="18" width="4.86328125" bestFit="1" customWidth="1"/>
    <col min="19" max="19" width="5" bestFit="1" customWidth="1"/>
    <col min="20" max="21" width="4.53125" bestFit="1" customWidth="1"/>
    <col min="22" max="22" width="5.46484375" bestFit="1" customWidth="1"/>
    <col min="23" max="23" width="4.6640625" bestFit="1" customWidth="1"/>
    <col min="24" max="24" width="9.6640625" bestFit="1" customWidth="1"/>
    <col min="25" max="25" width="12.33203125" bestFit="1" customWidth="1"/>
    <col min="26" max="26" width="4.46484375" bestFit="1" customWidth="1"/>
    <col min="27" max="27" width="4.1328125" bestFit="1" customWidth="1"/>
    <col min="28" max="29" width="5" bestFit="1" customWidth="1"/>
    <col min="30" max="32" width="4" bestFit="1" customWidth="1"/>
    <col min="33" max="34" width="5" bestFit="1" customWidth="1"/>
    <col min="35" max="35" width="4.46484375" bestFit="1" customWidth="1"/>
    <col min="36" max="36" width="5" bestFit="1" customWidth="1"/>
    <col min="37" max="37" width="4.1328125" bestFit="1" customWidth="1"/>
    <col min="38" max="39" width="5" bestFit="1" customWidth="1"/>
    <col min="41" max="42" width="4.53125" bestFit="1" customWidth="1"/>
    <col min="43" max="43" width="4.86328125" bestFit="1" customWidth="1"/>
    <col min="44" max="49" width="4.53125" bestFit="1" customWidth="1"/>
    <col min="50" max="50" width="5" bestFit="1" customWidth="1"/>
    <col min="51" max="51" width="4.86328125" bestFit="1" customWidth="1"/>
    <col min="52" max="52" width="5" bestFit="1" customWidth="1"/>
    <col min="53" max="54" width="4.53125" bestFit="1" customWidth="1"/>
    <col min="55" max="55" width="5.1328125" bestFit="1" customWidth="1"/>
    <col min="57" max="57" width="12.46484375" bestFit="1" customWidth="1"/>
    <col min="58" max="58" width="5" bestFit="1" customWidth="1"/>
    <col min="59" max="59" width="11.46484375" bestFit="1" customWidth="1"/>
  </cols>
  <sheetData>
    <row r="2" spans="1:26" x14ac:dyDescent="0.45">
      <c r="A2" s="30" t="s">
        <v>135</v>
      </c>
      <c r="B2" t="s">
        <v>48</v>
      </c>
      <c r="C2" s="5" t="s">
        <v>49</v>
      </c>
      <c r="D2" s="5" t="s">
        <v>50</v>
      </c>
      <c r="E2" s="5" t="s">
        <v>51</v>
      </c>
      <c r="F2" s="5" t="s">
        <v>48</v>
      </c>
      <c r="G2" s="5" t="s">
        <v>52</v>
      </c>
      <c r="H2" s="5" t="s">
        <v>9</v>
      </c>
      <c r="I2" s="5" t="s">
        <v>15</v>
      </c>
      <c r="J2" s="5" t="s">
        <v>8</v>
      </c>
      <c r="K2" s="5" t="s">
        <v>14</v>
      </c>
      <c r="L2" s="5" t="s">
        <v>6</v>
      </c>
      <c r="M2" s="5" t="s">
        <v>4</v>
      </c>
      <c r="N2" s="5" t="s">
        <v>13</v>
      </c>
      <c r="O2" s="5" t="s">
        <v>7</v>
      </c>
      <c r="P2" s="5" t="s">
        <v>2</v>
      </c>
      <c r="Q2" s="5" t="s">
        <v>11</v>
      </c>
      <c r="R2" s="5" t="s">
        <v>0</v>
      </c>
      <c r="S2" s="5" t="s">
        <v>12</v>
      </c>
      <c r="T2" s="5" t="s">
        <v>3</v>
      </c>
      <c r="U2" s="5" t="s">
        <v>5</v>
      </c>
      <c r="V2" s="5" t="s">
        <v>1</v>
      </c>
    </row>
    <row r="3" spans="1:26" x14ac:dyDescent="0.45">
      <c r="A3">
        <v>1</v>
      </c>
      <c r="B3" t="str">
        <f>VLOOKUP(F3,'TRA balance'!$AK$5:$AL$14,2,FALSE)</f>
        <v>TRACOA</v>
      </c>
      <c r="C3" s="6" t="str">
        <f>LEFT(G3,2)</f>
        <v>TT</v>
      </c>
      <c r="D3" s="7" t="s">
        <v>17</v>
      </c>
      <c r="E3" s="7" t="s">
        <v>53</v>
      </c>
      <c r="F3" s="8" t="s">
        <v>54</v>
      </c>
      <c r="G3" s="6" t="s">
        <v>55</v>
      </c>
      <c r="H3" s="9">
        <v>0.8</v>
      </c>
      <c r="I3" s="9">
        <v>0.9</v>
      </c>
      <c r="J3" s="9">
        <v>1</v>
      </c>
      <c r="K3" s="10">
        <v>0.75</v>
      </c>
      <c r="L3" s="9">
        <v>1</v>
      </c>
      <c r="M3" s="9">
        <v>0.8</v>
      </c>
      <c r="N3" s="9">
        <v>0.8</v>
      </c>
      <c r="O3" s="9">
        <v>0.8</v>
      </c>
      <c r="P3" s="9">
        <v>7.0000000000000007E-2</v>
      </c>
      <c r="Q3" s="9">
        <v>0.8</v>
      </c>
      <c r="R3" s="9">
        <v>1</v>
      </c>
      <c r="S3" s="9">
        <v>0.8</v>
      </c>
      <c r="T3" s="9">
        <v>0.8</v>
      </c>
      <c r="U3" s="9">
        <v>0.8</v>
      </c>
      <c r="V3" s="9">
        <v>1</v>
      </c>
      <c r="Y3" s="61" t="s">
        <v>319</v>
      </c>
      <c r="Z3" s="61" t="s">
        <v>400</v>
      </c>
    </row>
    <row r="4" spans="1:26" x14ac:dyDescent="0.45">
      <c r="A4">
        <v>1</v>
      </c>
      <c r="B4" t="str">
        <f>VLOOKUP(F4,'TRA balance'!$AK$5:$AL$14,2,FALSE)</f>
        <v>TRACOA</v>
      </c>
      <c r="C4" s="6" t="str">
        <f t="shared" ref="C4:C67" si="0">LEFT(G4,2)</f>
        <v>TT</v>
      </c>
      <c r="D4" s="7" t="s">
        <v>17</v>
      </c>
      <c r="E4" s="7" t="s">
        <v>56</v>
      </c>
      <c r="F4" s="8" t="str">
        <f t="shared" ref="F4:F5" si="1">F3</f>
        <v>Coal</v>
      </c>
      <c r="G4" s="6" t="s">
        <v>57</v>
      </c>
      <c r="H4" s="9">
        <v>0.2</v>
      </c>
      <c r="I4" s="9">
        <v>0.1</v>
      </c>
      <c r="J4" s="9">
        <v>0</v>
      </c>
      <c r="K4" s="10">
        <v>0.25</v>
      </c>
      <c r="L4" s="9">
        <v>0</v>
      </c>
      <c r="M4" s="9">
        <v>0.2</v>
      </c>
      <c r="N4" s="9">
        <v>0.2</v>
      </c>
      <c r="O4" s="9">
        <v>0.2</v>
      </c>
      <c r="P4" s="9">
        <v>0.93</v>
      </c>
      <c r="Q4" s="9">
        <v>0.2</v>
      </c>
      <c r="R4" s="9">
        <v>0</v>
      </c>
      <c r="S4" s="9">
        <v>0.2</v>
      </c>
      <c r="T4" s="9">
        <v>0.2</v>
      </c>
      <c r="U4" s="9">
        <v>0.2</v>
      </c>
      <c r="V4" s="9">
        <v>0</v>
      </c>
      <c r="Y4" s="61" t="s">
        <v>143</v>
      </c>
      <c r="Z4" s="61" t="s">
        <v>5</v>
      </c>
    </row>
    <row r="5" spans="1:26" x14ac:dyDescent="0.45">
      <c r="A5">
        <v>1</v>
      </c>
      <c r="B5" t="str">
        <f>VLOOKUP(F5,'TRA balance'!$AK$5:$AL$14,2,FALSE)</f>
        <v>TRACOA</v>
      </c>
      <c r="C5" s="11"/>
      <c r="D5" s="11"/>
      <c r="E5" s="12" t="s">
        <v>58</v>
      </c>
      <c r="F5" s="13" t="str">
        <f t="shared" si="1"/>
        <v>Coal</v>
      </c>
      <c r="G5" s="11"/>
      <c r="H5" s="32" t="str">
        <f t="shared" ref="H5:V5" si="2">IF(SUM(H3:H4)=1,"-","&lt;&gt;1!!")</f>
        <v>-</v>
      </c>
      <c r="I5" s="12" t="str">
        <f t="shared" si="2"/>
        <v>-</v>
      </c>
      <c r="J5" s="12" t="str">
        <f t="shared" si="2"/>
        <v>-</v>
      </c>
      <c r="K5" s="12" t="str">
        <f t="shared" si="2"/>
        <v>-</v>
      </c>
      <c r="L5" s="12" t="str">
        <f t="shared" si="2"/>
        <v>-</v>
      </c>
      <c r="M5" s="12" t="str">
        <f t="shared" si="2"/>
        <v>-</v>
      </c>
      <c r="N5" s="12" t="str">
        <f t="shared" si="2"/>
        <v>-</v>
      </c>
      <c r="O5" s="12" t="str">
        <f t="shared" si="2"/>
        <v>-</v>
      </c>
      <c r="P5" s="12" t="str">
        <f t="shared" si="2"/>
        <v>-</v>
      </c>
      <c r="Q5" s="12" t="str">
        <f t="shared" si="2"/>
        <v>-</v>
      </c>
      <c r="R5" s="12" t="str">
        <f t="shared" si="2"/>
        <v>-</v>
      </c>
      <c r="S5" s="12" t="str">
        <f t="shared" si="2"/>
        <v>-</v>
      </c>
      <c r="T5" s="12" t="str">
        <f t="shared" si="2"/>
        <v>-</v>
      </c>
      <c r="U5" s="12" t="str">
        <f t="shared" si="2"/>
        <v>-</v>
      </c>
      <c r="V5" s="31" t="str">
        <f t="shared" si="2"/>
        <v>-</v>
      </c>
      <c r="Y5" s="61" t="s">
        <v>413</v>
      </c>
      <c r="Z5" s="61" t="s">
        <v>9</v>
      </c>
    </row>
    <row r="6" spans="1:26" x14ac:dyDescent="0.45">
      <c r="A6">
        <v>1</v>
      </c>
      <c r="B6" t="str">
        <f>VLOOKUP(F6,'TRA balance'!$AK$5:$AL$14,2,FALSE)</f>
        <v>TRADST</v>
      </c>
      <c r="C6" s="14">
        <v>1</v>
      </c>
      <c r="D6" s="15" t="s">
        <v>16</v>
      </c>
      <c r="E6" s="15" t="s">
        <v>59</v>
      </c>
      <c r="F6" s="16" t="s">
        <v>60</v>
      </c>
      <c r="G6" s="14"/>
      <c r="H6" s="17">
        <v>0.1</v>
      </c>
      <c r="I6" s="17">
        <v>0.02</v>
      </c>
      <c r="J6" s="17">
        <v>0.02</v>
      </c>
      <c r="K6" s="17">
        <v>0.1</v>
      </c>
      <c r="L6" s="17">
        <v>7.0000000000000007E-2</v>
      </c>
      <c r="M6" s="101">
        <v>0.35051309933039143</v>
      </c>
      <c r="N6" s="17">
        <v>0.05</v>
      </c>
      <c r="O6" s="17">
        <v>0.25</v>
      </c>
      <c r="P6" s="65">
        <v>0.05</v>
      </c>
      <c r="Q6" s="17">
        <v>0.1</v>
      </c>
      <c r="R6" s="17">
        <v>0.15</v>
      </c>
      <c r="S6" s="17">
        <v>0.08</v>
      </c>
      <c r="T6" s="17">
        <v>0.11</v>
      </c>
      <c r="U6" s="17">
        <v>2.4406421822616497E-2</v>
      </c>
      <c r="V6" s="101">
        <v>0.45342524249014599</v>
      </c>
      <c r="Y6" s="61" t="s">
        <v>414</v>
      </c>
      <c r="Z6" s="61" t="s">
        <v>9</v>
      </c>
    </row>
    <row r="7" spans="1:26" x14ac:dyDescent="0.45">
      <c r="A7">
        <v>1</v>
      </c>
      <c r="B7" t="str">
        <f>VLOOKUP(F7,'TRA balance'!$AK$5:$AL$14,2,FALSE)</f>
        <v>TRADST</v>
      </c>
      <c r="C7" s="6" t="str">
        <f t="shared" si="0"/>
        <v>TR</v>
      </c>
      <c r="D7" s="7" t="s">
        <v>16</v>
      </c>
      <c r="E7" s="18" t="s">
        <v>61</v>
      </c>
      <c r="F7" s="8" t="str">
        <f>F6</f>
        <v>Diesel</v>
      </c>
      <c r="G7" s="6" t="s">
        <v>62</v>
      </c>
      <c r="H7" s="9">
        <v>0.5</v>
      </c>
      <c r="I7" s="9">
        <v>0.3</v>
      </c>
      <c r="J7" s="9">
        <v>0.4</v>
      </c>
      <c r="K7" s="9">
        <v>0.2</v>
      </c>
      <c r="L7" s="9">
        <v>0.3</v>
      </c>
      <c r="M7" s="9">
        <v>0.51</v>
      </c>
      <c r="N7" s="9">
        <v>0.51</v>
      </c>
      <c r="O7" s="9">
        <v>0.4</v>
      </c>
      <c r="P7" s="9">
        <v>0.46</v>
      </c>
      <c r="Q7" s="9">
        <v>0.2</v>
      </c>
      <c r="R7" s="9">
        <v>0.7</v>
      </c>
      <c r="S7" s="9">
        <v>0.34</v>
      </c>
      <c r="T7" s="9">
        <v>0.39</v>
      </c>
      <c r="U7" s="9">
        <v>0.39173710207873419</v>
      </c>
      <c r="V7" s="9">
        <v>0.8</v>
      </c>
      <c r="Y7" s="61" t="s">
        <v>415</v>
      </c>
      <c r="Z7" s="61" t="s">
        <v>6</v>
      </c>
    </row>
    <row r="8" spans="1:26" x14ac:dyDescent="0.45">
      <c r="A8">
        <v>1</v>
      </c>
      <c r="B8" t="str">
        <f>VLOOKUP(F8,'TRA balance'!$AK$5:$AL$14,2,FALSE)</f>
        <v>TRADST</v>
      </c>
      <c r="C8" s="6" t="str">
        <f t="shared" si="0"/>
        <v>TR</v>
      </c>
      <c r="D8" s="7" t="s">
        <v>16</v>
      </c>
      <c r="E8" s="18" t="s">
        <v>63</v>
      </c>
      <c r="F8" s="8" t="str">
        <f t="shared" ref="F8:F11" si="3">F7</f>
        <v>Diesel</v>
      </c>
      <c r="G8" s="6" t="s">
        <v>64</v>
      </c>
      <c r="H8" s="9">
        <v>0.5</v>
      </c>
      <c r="I8" s="9">
        <v>0.7</v>
      </c>
      <c r="J8" s="9">
        <v>0.6</v>
      </c>
      <c r="K8" s="9">
        <v>0.2</v>
      </c>
      <c r="L8" s="9">
        <v>0.69</v>
      </c>
      <c r="M8" s="9">
        <v>0.49</v>
      </c>
      <c r="N8" s="9">
        <v>0.49</v>
      </c>
      <c r="O8" s="9">
        <v>0.35</v>
      </c>
      <c r="P8" s="9">
        <v>0.53</v>
      </c>
      <c r="Q8" s="9">
        <v>0.8</v>
      </c>
      <c r="R8" s="9">
        <v>0.30000000000000004</v>
      </c>
      <c r="S8" s="9">
        <v>0.66</v>
      </c>
      <c r="T8" s="9">
        <v>0.61</v>
      </c>
      <c r="U8" s="9">
        <v>0.60826289792126587</v>
      </c>
      <c r="V8" s="9">
        <v>0.2</v>
      </c>
      <c r="Y8" s="61" t="s">
        <v>416</v>
      </c>
      <c r="Z8" s="61" t="s">
        <v>13</v>
      </c>
    </row>
    <row r="9" spans="1:26" x14ac:dyDescent="0.45">
      <c r="A9">
        <v>1</v>
      </c>
      <c r="B9" t="str">
        <f>VLOOKUP(F9,'TRA balance'!$AK$5:$AL$14,2,FALSE)</f>
        <v>TRADST</v>
      </c>
      <c r="C9" s="6" t="str">
        <f t="shared" si="0"/>
        <v>TR</v>
      </c>
      <c r="D9" s="7" t="s">
        <v>16</v>
      </c>
      <c r="E9" s="18" t="s">
        <v>65</v>
      </c>
      <c r="F9" s="8" t="str">
        <f t="shared" si="3"/>
        <v>Diesel</v>
      </c>
      <c r="G9" s="6" t="s">
        <v>66</v>
      </c>
      <c r="H9" s="9">
        <v>0</v>
      </c>
      <c r="I9" s="9">
        <v>0</v>
      </c>
      <c r="J9" s="9">
        <v>0</v>
      </c>
      <c r="K9" s="9">
        <v>0.6</v>
      </c>
      <c r="L9" s="9">
        <v>0.01</v>
      </c>
      <c r="M9" s="9">
        <v>0</v>
      </c>
      <c r="N9" s="9">
        <v>0</v>
      </c>
      <c r="O9" s="9">
        <v>0.25</v>
      </c>
      <c r="P9" s="9">
        <v>0.01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Y9" s="61" t="s">
        <v>417</v>
      </c>
      <c r="Z9" s="61" t="s">
        <v>2</v>
      </c>
    </row>
    <row r="10" spans="1:26" x14ac:dyDescent="0.45">
      <c r="A10">
        <v>1</v>
      </c>
      <c r="B10" t="str">
        <f>VLOOKUP(F10,'TRA balance'!$AK$5:$AL$14,2,FALSE)</f>
        <v>TRADST</v>
      </c>
      <c r="C10" s="6" t="str">
        <f t="shared" si="0"/>
        <v>TR</v>
      </c>
      <c r="D10" s="7" t="s">
        <v>16</v>
      </c>
      <c r="E10" s="18" t="s">
        <v>67</v>
      </c>
      <c r="F10" s="8" t="str">
        <f t="shared" si="3"/>
        <v>Diesel</v>
      </c>
      <c r="G10" s="6" t="s">
        <v>68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Y10" s="61" t="s">
        <v>418</v>
      </c>
      <c r="Z10" s="61" t="s">
        <v>12</v>
      </c>
    </row>
    <row r="11" spans="1:26" x14ac:dyDescent="0.45">
      <c r="A11">
        <v>1</v>
      </c>
      <c r="B11" t="str">
        <f>VLOOKUP(F11,'TRA balance'!$AK$5:$AL$14,2,FALSE)</f>
        <v>TRADST</v>
      </c>
      <c r="C11" s="6" t="str">
        <f t="shared" si="0"/>
        <v/>
      </c>
      <c r="D11" s="7"/>
      <c r="E11" s="19" t="s">
        <v>69</v>
      </c>
      <c r="F11" s="8" t="str">
        <f t="shared" si="3"/>
        <v>Diesel</v>
      </c>
      <c r="G11" s="6"/>
      <c r="H11" s="32" t="str">
        <f>IF(SUM(H7:H10)=1,"-","&lt;&gt;1!!")</f>
        <v>-</v>
      </c>
      <c r="I11" s="32" t="str">
        <f t="shared" ref="I11:V11" si="4">IF(SUM(I7:I10)=1,"-","&lt;&gt;1!!")</f>
        <v>-</v>
      </c>
      <c r="J11" s="32" t="str">
        <f t="shared" si="4"/>
        <v>-</v>
      </c>
      <c r="K11" s="32" t="str">
        <f t="shared" si="4"/>
        <v>-</v>
      </c>
      <c r="L11" s="32" t="str">
        <f t="shared" si="4"/>
        <v>-</v>
      </c>
      <c r="M11" s="32" t="str">
        <f t="shared" si="4"/>
        <v>-</v>
      </c>
      <c r="N11" s="32" t="str">
        <f t="shared" si="4"/>
        <v>-</v>
      </c>
      <c r="O11" s="32" t="str">
        <f t="shared" si="4"/>
        <v>-</v>
      </c>
      <c r="P11" s="32" t="str">
        <f t="shared" si="4"/>
        <v>-</v>
      </c>
      <c r="Q11" s="32" t="str">
        <f t="shared" si="4"/>
        <v>-</v>
      </c>
      <c r="R11" s="32" t="str">
        <f t="shared" si="4"/>
        <v>-</v>
      </c>
      <c r="S11" s="32" t="str">
        <f t="shared" si="4"/>
        <v>-</v>
      </c>
      <c r="T11" s="32" t="str">
        <f t="shared" si="4"/>
        <v>-</v>
      </c>
      <c r="U11" s="32" t="str">
        <f t="shared" si="4"/>
        <v>-</v>
      </c>
      <c r="V11" s="32" t="str">
        <f t="shared" si="4"/>
        <v>-</v>
      </c>
      <c r="Y11" s="61" t="s">
        <v>419</v>
      </c>
      <c r="Z11" s="61" t="s">
        <v>15</v>
      </c>
    </row>
    <row r="12" spans="1:26" x14ac:dyDescent="0.45">
      <c r="A12">
        <v>1</v>
      </c>
      <c r="B12" t="str">
        <f>VLOOKUP(F12,'TRA balance'!$AK$5:$AL$14,2,FALSE)</f>
        <v>TRADST</v>
      </c>
      <c r="C12" s="14">
        <v>2</v>
      </c>
      <c r="D12" s="15" t="s">
        <v>16</v>
      </c>
      <c r="E12" s="15" t="s">
        <v>70</v>
      </c>
      <c r="F12" s="16" t="str">
        <f>F11</f>
        <v>Diesel</v>
      </c>
      <c r="G12" s="14"/>
      <c r="H12" s="21">
        <f>1-H6</f>
        <v>0.9</v>
      </c>
      <c r="I12" s="21">
        <f t="shared" ref="I12:V12" si="5">1-I6</f>
        <v>0.98</v>
      </c>
      <c r="J12" s="21">
        <f t="shared" si="5"/>
        <v>0.98</v>
      </c>
      <c r="K12" s="21">
        <f t="shared" si="5"/>
        <v>0.9</v>
      </c>
      <c r="L12" s="21">
        <f t="shared" si="5"/>
        <v>0.92999999999999994</v>
      </c>
      <c r="M12" s="21">
        <f t="shared" si="5"/>
        <v>0.64948690066960857</v>
      </c>
      <c r="N12" s="21">
        <f t="shared" si="5"/>
        <v>0.95</v>
      </c>
      <c r="O12" s="21">
        <f t="shared" si="5"/>
        <v>0.75</v>
      </c>
      <c r="P12" s="21">
        <f t="shared" si="5"/>
        <v>0.95</v>
      </c>
      <c r="Q12" s="21">
        <f t="shared" si="5"/>
        <v>0.9</v>
      </c>
      <c r="R12" s="21">
        <f t="shared" si="5"/>
        <v>0.85</v>
      </c>
      <c r="S12" s="21">
        <f t="shared" si="5"/>
        <v>0.92</v>
      </c>
      <c r="T12" s="21">
        <f t="shared" si="5"/>
        <v>0.89</v>
      </c>
      <c r="U12" s="21">
        <f t="shared" si="5"/>
        <v>0.97559357817738346</v>
      </c>
      <c r="V12" s="21">
        <f t="shared" si="5"/>
        <v>0.54657475750985407</v>
      </c>
      <c r="Y12" s="61" t="s">
        <v>420</v>
      </c>
      <c r="Z12" s="61" t="s">
        <v>6</v>
      </c>
    </row>
    <row r="13" spans="1:26" x14ac:dyDescent="0.45">
      <c r="A13">
        <v>2</v>
      </c>
      <c r="B13" t="str">
        <f>VLOOKUP(F13,'TRA balance'!$AK$5:$AL$14,2,FALSE)</f>
        <v>TRADST</v>
      </c>
      <c r="C13" s="6" t="str">
        <f t="shared" si="0"/>
        <v>TR</v>
      </c>
      <c r="D13" s="7" t="s">
        <v>16</v>
      </c>
      <c r="E13" s="18" t="s">
        <v>71</v>
      </c>
      <c r="F13" s="8" t="str">
        <f>F12</f>
        <v>Diesel</v>
      </c>
      <c r="G13" s="6" t="s">
        <v>72</v>
      </c>
      <c r="H13" s="9">
        <v>0.35</v>
      </c>
      <c r="I13" s="9">
        <v>0.15</v>
      </c>
      <c r="J13" s="9">
        <v>0.05</v>
      </c>
      <c r="K13" s="9">
        <v>0.35</v>
      </c>
      <c r="L13" s="9">
        <v>0.1</v>
      </c>
      <c r="M13" s="102">
        <v>0.18784871177674334</v>
      </c>
      <c r="N13" s="9">
        <v>0.1</v>
      </c>
      <c r="O13" s="9">
        <v>0.25</v>
      </c>
      <c r="P13" s="9">
        <v>0.05</v>
      </c>
      <c r="Q13" s="9">
        <v>0.1</v>
      </c>
      <c r="R13" s="9">
        <v>0.1</v>
      </c>
      <c r="S13" s="9">
        <v>0.15</v>
      </c>
      <c r="T13" s="9">
        <v>0.22</v>
      </c>
      <c r="U13" s="9">
        <v>0.04</v>
      </c>
      <c r="V13" s="102">
        <v>0.11108623896935482</v>
      </c>
      <c r="Y13" s="61" t="s">
        <v>421</v>
      </c>
      <c r="Z13" s="61" t="s">
        <v>8</v>
      </c>
    </row>
    <row r="14" spans="1:26" x14ac:dyDescent="0.45">
      <c r="A14">
        <v>2</v>
      </c>
      <c r="B14" t="str">
        <f>VLOOKUP(F14,'TRA balance'!$AK$5:$AL$14,2,FALSE)</f>
        <v>TRADST</v>
      </c>
      <c r="C14" s="6" t="str">
        <f t="shared" si="0"/>
        <v>TR</v>
      </c>
      <c r="D14" s="7" t="s">
        <v>16</v>
      </c>
      <c r="E14" s="18" t="s">
        <v>73</v>
      </c>
      <c r="F14" s="8" t="str">
        <f t="shared" ref="F14:F20" si="6">F13</f>
        <v>Diesel</v>
      </c>
      <c r="G14" s="6" t="s">
        <v>74</v>
      </c>
      <c r="H14" s="9">
        <v>0.35</v>
      </c>
      <c r="I14" s="9">
        <v>0.35</v>
      </c>
      <c r="J14" s="9">
        <v>0.6</v>
      </c>
      <c r="K14" s="9">
        <v>0.35</v>
      </c>
      <c r="L14" s="9">
        <v>0.5</v>
      </c>
      <c r="M14" s="100">
        <f>(1-M13-M16)/3*2</f>
        <v>0.35927560184800655</v>
      </c>
      <c r="N14" s="9">
        <v>0.6</v>
      </c>
      <c r="O14" s="9">
        <v>0.3</v>
      </c>
      <c r="P14" s="9">
        <v>0.5</v>
      </c>
      <c r="Q14" s="9">
        <v>0.5</v>
      </c>
      <c r="R14" s="9">
        <v>0.45</v>
      </c>
      <c r="S14" s="9">
        <v>0.5</v>
      </c>
      <c r="T14" s="9">
        <v>0.38</v>
      </c>
      <c r="U14" s="9">
        <v>0.79999999999999993</v>
      </c>
      <c r="V14" s="100">
        <f>(1-V13-V16)/3*2</f>
        <v>0.38295430560061755</v>
      </c>
      <c r="Y14" s="61" t="s">
        <v>315</v>
      </c>
      <c r="Z14" s="61" t="s">
        <v>14</v>
      </c>
    </row>
    <row r="15" spans="1:26" x14ac:dyDescent="0.45">
      <c r="A15">
        <v>2</v>
      </c>
      <c r="B15" t="str">
        <f>VLOOKUP(F15,'TRA balance'!$AK$5:$AL$14,2,FALSE)</f>
        <v>TRADST</v>
      </c>
      <c r="C15" s="6" t="str">
        <f t="shared" si="0"/>
        <v>TR</v>
      </c>
      <c r="D15" s="7" t="s">
        <v>16</v>
      </c>
      <c r="E15" s="18" t="s">
        <v>75</v>
      </c>
      <c r="F15" s="8" t="str">
        <f t="shared" si="6"/>
        <v>Diesel</v>
      </c>
      <c r="G15" s="6" t="s">
        <v>76</v>
      </c>
      <c r="H15" s="9">
        <v>0.1</v>
      </c>
      <c r="I15" s="9">
        <v>0.3</v>
      </c>
      <c r="J15" s="9">
        <v>0.25</v>
      </c>
      <c r="K15" s="9">
        <v>0.2</v>
      </c>
      <c r="L15" s="9">
        <v>0.3</v>
      </c>
      <c r="M15" s="100">
        <f>1-M13-M14-M16</f>
        <v>0.17963780092400328</v>
      </c>
      <c r="N15" s="9">
        <v>0.2</v>
      </c>
      <c r="O15" s="9">
        <v>0.2</v>
      </c>
      <c r="P15" s="9">
        <v>0.3</v>
      </c>
      <c r="Q15" s="9">
        <v>0.25</v>
      </c>
      <c r="R15" s="9">
        <v>0.3</v>
      </c>
      <c r="S15" s="9">
        <v>0.25</v>
      </c>
      <c r="T15" s="9">
        <v>0.2</v>
      </c>
      <c r="U15" s="9">
        <v>0.11</v>
      </c>
      <c r="V15" s="100">
        <f>1-V13-V14-V16</f>
        <v>0.19147715280030886</v>
      </c>
      <c r="Y15" s="61" t="s">
        <v>422</v>
      </c>
      <c r="Z15" s="61" t="s">
        <v>1</v>
      </c>
    </row>
    <row r="16" spans="1:26" x14ac:dyDescent="0.45">
      <c r="A16">
        <v>2</v>
      </c>
      <c r="B16" t="str">
        <f>VLOOKUP(F16,'TRA balance'!$AK$5:$AL$14,2,FALSE)</f>
        <v>TRADST</v>
      </c>
      <c r="C16" s="6" t="str">
        <f t="shared" si="0"/>
        <v>TR</v>
      </c>
      <c r="D16" s="7" t="s">
        <v>16</v>
      </c>
      <c r="E16" s="18" t="s">
        <v>77</v>
      </c>
      <c r="F16" s="8" t="str">
        <f t="shared" si="6"/>
        <v>Diesel</v>
      </c>
      <c r="G16" s="6" t="s">
        <v>78</v>
      </c>
      <c r="H16" s="9">
        <v>0.2</v>
      </c>
      <c r="I16" s="9">
        <v>0.2</v>
      </c>
      <c r="J16" s="9">
        <v>0.1</v>
      </c>
      <c r="K16" s="9">
        <v>0.1</v>
      </c>
      <c r="L16" s="9">
        <v>0.1</v>
      </c>
      <c r="M16" s="100">
        <v>0.27323788545124683</v>
      </c>
      <c r="N16" s="9">
        <v>0.1</v>
      </c>
      <c r="O16" s="9">
        <v>0.25</v>
      </c>
      <c r="P16" s="9">
        <v>0.15</v>
      </c>
      <c r="Q16" s="9">
        <v>0.15</v>
      </c>
      <c r="R16" s="9">
        <v>0.15</v>
      </c>
      <c r="S16" s="9">
        <v>0.1</v>
      </c>
      <c r="T16" s="9">
        <v>0.2</v>
      </c>
      <c r="U16" s="9">
        <v>0.05</v>
      </c>
      <c r="V16" s="100">
        <v>0.31448230262971888</v>
      </c>
      <c r="Y16" s="61" t="s">
        <v>423</v>
      </c>
      <c r="Z16" s="61" t="s">
        <v>4</v>
      </c>
    </row>
    <row r="17" spans="1:26" x14ac:dyDescent="0.45">
      <c r="A17">
        <v>1</v>
      </c>
      <c r="B17" t="str">
        <f>VLOOKUP(F17,'TRA balance'!$AK$5:$AL$14,2,FALSE)</f>
        <v>TRADST</v>
      </c>
      <c r="C17" s="6" t="str">
        <f t="shared" si="0"/>
        <v/>
      </c>
      <c r="D17" s="7"/>
      <c r="E17" s="19" t="s">
        <v>79</v>
      </c>
      <c r="F17" s="8" t="str">
        <f t="shared" si="6"/>
        <v>Diesel</v>
      </c>
      <c r="G17" s="6"/>
      <c r="H17" s="32" t="str">
        <f>IF(SUM(H13:H16)=1,"-","&lt;&gt;1!!")</f>
        <v>-</v>
      </c>
      <c r="I17" s="32" t="str">
        <f t="shared" ref="I17:V17" si="7">IF(SUM(I13:I16)=1,"-","&lt;&gt;1!!")</f>
        <v>-</v>
      </c>
      <c r="J17" s="32" t="str">
        <f t="shared" si="7"/>
        <v>-</v>
      </c>
      <c r="K17" s="32" t="str">
        <f t="shared" si="7"/>
        <v>-</v>
      </c>
      <c r="L17" s="32" t="str">
        <f t="shared" si="7"/>
        <v>-</v>
      </c>
      <c r="M17" s="32" t="str">
        <f t="shared" si="7"/>
        <v>-</v>
      </c>
      <c r="N17" s="32" t="str">
        <f t="shared" si="7"/>
        <v>-</v>
      </c>
      <c r="O17" s="32" t="str">
        <f t="shared" si="7"/>
        <v>-</v>
      </c>
      <c r="P17" s="32" t="str">
        <f t="shared" si="7"/>
        <v>-</v>
      </c>
      <c r="Q17" s="32" t="str">
        <f t="shared" si="7"/>
        <v>-</v>
      </c>
      <c r="R17" s="32" t="str">
        <f t="shared" si="7"/>
        <v>-</v>
      </c>
      <c r="S17" s="32" t="str">
        <f t="shared" si="7"/>
        <v>-</v>
      </c>
      <c r="T17" s="32" t="str">
        <f t="shared" si="7"/>
        <v>-</v>
      </c>
      <c r="U17" s="32" t="str">
        <f t="shared" si="7"/>
        <v>-</v>
      </c>
      <c r="V17" s="32" t="str">
        <f t="shared" si="7"/>
        <v>-</v>
      </c>
      <c r="Y17" s="61" t="s">
        <v>424</v>
      </c>
      <c r="Z17" s="61" t="s">
        <v>1</v>
      </c>
    </row>
    <row r="18" spans="1:26" x14ac:dyDescent="0.45">
      <c r="A18">
        <v>1</v>
      </c>
      <c r="B18" t="str">
        <f>VLOOKUP(F18,'TRA balance'!$AK$5:$AL$14,2,FALSE)</f>
        <v>TRADST</v>
      </c>
      <c r="C18" s="6" t="str">
        <f t="shared" si="0"/>
        <v>TT</v>
      </c>
      <c r="D18" s="7" t="s">
        <v>17</v>
      </c>
      <c r="E18" s="7" t="s">
        <v>53</v>
      </c>
      <c r="F18" s="8" t="str">
        <f t="shared" si="6"/>
        <v>Diesel</v>
      </c>
      <c r="G18" s="6" t="s">
        <v>55</v>
      </c>
      <c r="H18" s="9">
        <v>0.7</v>
      </c>
      <c r="I18" s="9">
        <v>0.7</v>
      </c>
      <c r="J18" s="9">
        <v>0.95</v>
      </c>
      <c r="K18" s="9">
        <v>0.6</v>
      </c>
      <c r="L18" s="9">
        <v>0.8</v>
      </c>
      <c r="M18" s="9">
        <v>0.9</v>
      </c>
      <c r="N18" s="9">
        <v>0.9</v>
      </c>
      <c r="O18" s="9">
        <v>0.5</v>
      </c>
      <c r="P18" s="9">
        <v>0.3</v>
      </c>
      <c r="Q18" s="9">
        <v>0.7</v>
      </c>
      <c r="R18" s="9">
        <v>0.75</v>
      </c>
      <c r="S18" s="9">
        <v>0.8</v>
      </c>
      <c r="T18" s="9">
        <v>0.9</v>
      </c>
      <c r="U18" s="9">
        <v>0.96032123091737276</v>
      </c>
      <c r="V18" s="9">
        <v>0.9</v>
      </c>
      <c r="Y18" s="61" t="s">
        <v>425</v>
      </c>
      <c r="Z18" s="61" t="s">
        <v>1</v>
      </c>
    </row>
    <row r="19" spans="1:26" x14ac:dyDescent="0.45">
      <c r="A19">
        <v>1</v>
      </c>
      <c r="B19" t="str">
        <f>VLOOKUP(F19,'TRA balance'!$AK$5:$AL$14,2,FALSE)</f>
        <v>TRADST</v>
      </c>
      <c r="C19" s="6" t="str">
        <f t="shared" si="0"/>
        <v>TT</v>
      </c>
      <c r="D19" s="7" t="s">
        <v>17</v>
      </c>
      <c r="E19" s="7" t="s">
        <v>56</v>
      </c>
      <c r="F19" s="8" t="str">
        <f t="shared" si="6"/>
        <v>Diesel</v>
      </c>
      <c r="G19" s="6" t="s">
        <v>57</v>
      </c>
      <c r="H19" s="9">
        <v>0.3</v>
      </c>
      <c r="I19" s="9">
        <v>0.3</v>
      </c>
      <c r="J19" s="9">
        <v>0.05</v>
      </c>
      <c r="K19" s="9">
        <v>0.4</v>
      </c>
      <c r="L19" s="9">
        <v>0.2</v>
      </c>
      <c r="M19" s="9">
        <v>0.1</v>
      </c>
      <c r="N19" s="9">
        <v>0.1</v>
      </c>
      <c r="O19" s="9">
        <v>0.5</v>
      </c>
      <c r="P19" s="9">
        <v>0.7</v>
      </c>
      <c r="Q19" s="9">
        <v>0.3</v>
      </c>
      <c r="R19" s="9">
        <v>0.25</v>
      </c>
      <c r="S19" s="9">
        <v>0.2</v>
      </c>
      <c r="T19" s="9">
        <v>0.1</v>
      </c>
      <c r="U19" s="9">
        <v>3.9678769082627241E-2</v>
      </c>
      <c r="V19" s="9">
        <v>0.1</v>
      </c>
      <c r="Y19" s="61" t="s">
        <v>426</v>
      </c>
      <c r="Z19" s="61" t="s">
        <v>4</v>
      </c>
    </row>
    <row r="20" spans="1:26" x14ac:dyDescent="0.45">
      <c r="A20">
        <v>1</v>
      </c>
      <c r="B20" t="str">
        <f>VLOOKUP(F20,'TRA balance'!$AK$5:$AL$14,2,FALSE)</f>
        <v>TRADST</v>
      </c>
      <c r="C20" s="11"/>
      <c r="D20" s="11"/>
      <c r="E20" s="12" t="s">
        <v>58</v>
      </c>
      <c r="F20" s="13" t="str">
        <f t="shared" si="6"/>
        <v>Diesel</v>
      </c>
      <c r="G20" s="11"/>
      <c r="H20" s="12" t="str">
        <f t="shared" ref="H20:V20" si="8">IF(SUM(H18:H19)=1,"-","&lt;&gt;1!!")</f>
        <v>-</v>
      </c>
      <c r="I20" s="12" t="str">
        <f t="shared" si="8"/>
        <v>-</v>
      </c>
      <c r="J20" s="12" t="str">
        <f t="shared" si="8"/>
        <v>-</v>
      </c>
      <c r="K20" s="12" t="str">
        <f t="shared" si="8"/>
        <v>-</v>
      </c>
      <c r="L20" s="12" t="str">
        <f t="shared" si="8"/>
        <v>-</v>
      </c>
      <c r="M20" s="12" t="str">
        <f t="shared" si="8"/>
        <v>-</v>
      </c>
      <c r="N20" s="12" t="str">
        <f t="shared" si="8"/>
        <v>-</v>
      </c>
      <c r="O20" s="12" t="str">
        <f t="shared" si="8"/>
        <v>-</v>
      </c>
      <c r="P20" s="12" t="str">
        <f t="shared" si="8"/>
        <v>-</v>
      </c>
      <c r="Q20" s="12" t="str">
        <f t="shared" si="8"/>
        <v>-</v>
      </c>
      <c r="R20" s="12" t="str">
        <f t="shared" si="8"/>
        <v>-</v>
      </c>
      <c r="S20" s="12" t="str">
        <f t="shared" si="8"/>
        <v>-</v>
      </c>
      <c r="T20" s="12" t="str">
        <f t="shared" si="8"/>
        <v>-</v>
      </c>
      <c r="U20" s="12" t="str">
        <f t="shared" si="8"/>
        <v>-</v>
      </c>
      <c r="V20" s="12" t="str">
        <f t="shared" si="8"/>
        <v>-</v>
      </c>
      <c r="Y20" s="61" t="s">
        <v>427</v>
      </c>
      <c r="Z20" s="61" t="s">
        <v>1</v>
      </c>
    </row>
    <row r="21" spans="1:26" x14ac:dyDescent="0.45">
      <c r="A21">
        <v>1</v>
      </c>
      <c r="B21" t="str">
        <f>VLOOKUP(F21,'TRA balance'!$AK$5:$AL$14,2,FALSE)</f>
        <v>TRAGSL</v>
      </c>
      <c r="C21" s="14">
        <v>1</v>
      </c>
      <c r="D21" s="15" t="s">
        <v>16</v>
      </c>
      <c r="E21" s="15" t="s">
        <v>59</v>
      </c>
      <c r="F21" s="16" t="s">
        <v>80</v>
      </c>
      <c r="G21" s="14"/>
      <c r="H21" s="17">
        <v>1</v>
      </c>
      <c r="I21" s="17">
        <v>0.9</v>
      </c>
      <c r="J21" s="17">
        <v>0.96</v>
      </c>
      <c r="K21" s="41">
        <v>0.9</v>
      </c>
      <c r="L21" s="17">
        <v>0.9</v>
      </c>
      <c r="M21" s="101">
        <v>0.97</v>
      </c>
      <c r="N21" s="17">
        <v>0.7</v>
      </c>
      <c r="O21" s="17">
        <v>1</v>
      </c>
      <c r="P21" s="17">
        <v>0.9</v>
      </c>
      <c r="Q21" s="17">
        <v>0.7</v>
      </c>
      <c r="R21" s="17">
        <v>0.95</v>
      </c>
      <c r="S21" s="17">
        <v>1</v>
      </c>
      <c r="T21" s="17">
        <v>0.99</v>
      </c>
      <c r="U21" s="17">
        <v>0.8</v>
      </c>
      <c r="V21" s="17">
        <v>0.97</v>
      </c>
      <c r="Y21" s="61" t="s">
        <v>428</v>
      </c>
      <c r="Z21" s="61" t="s">
        <v>11</v>
      </c>
    </row>
    <row r="22" spans="1:26" x14ac:dyDescent="0.45">
      <c r="A22">
        <v>1</v>
      </c>
      <c r="B22" t="str">
        <f>VLOOKUP(F22,'TRA balance'!$AK$5:$AL$14,2,FALSE)</f>
        <v>TRAGSL</v>
      </c>
      <c r="C22" s="6" t="str">
        <f t="shared" si="0"/>
        <v>TR</v>
      </c>
      <c r="D22" s="7" t="s">
        <v>16</v>
      </c>
      <c r="E22" s="18" t="s">
        <v>61</v>
      </c>
      <c r="F22" s="8" t="str">
        <f>F21</f>
        <v>Gasoline</v>
      </c>
      <c r="G22" s="6" t="s">
        <v>62</v>
      </c>
      <c r="H22" s="9">
        <v>0.45</v>
      </c>
      <c r="I22" s="9">
        <v>0.69</v>
      </c>
      <c r="J22" s="9">
        <v>0.6</v>
      </c>
      <c r="K22" s="9">
        <v>0.45</v>
      </c>
      <c r="L22" s="9">
        <v>0.67</v>
      </c>
      <c r="M22" s="100">
        <v>0.99</v>
      </c>
      <c r="N22" s="9">
        <v>0.65</v>
      </c>
      <c r="O22" s="9">
        <v>0.45</v>
      </c>
      <c r="P22" s="9">
        <v>0.7</v>
      </c>
      <c r="Q22" s="9">
        <v>0.55000000000000004</v>
      </c>
      <c r="R22" s="9">
        <v>0.6</v>
      </c>
      <c r="S22" s="9">
        <v>0.45</v>
      </c>
      <c r="T22" s="9">
        <v>0.6</v>
      </c>
      <c r="U22" s="9">
        <v>0.58299999999999996</v>
      </c>
      <c r="V22" s="100">
        <v>0.98</v>
      </c>
      <c r="Y22" s="61" t="s">
        <v>429</v>
      </c>
      <c r="Z22" s="61" t="s">
        <v>1</v>
      </c>
    </row>
    <row r="23" spans="1:26" x14ac:dyDescent="0.45">
      <c r="A23">
        <v>1</v>
      </c>
      <c r="B23" t="str">
        <f>VLOOKUP(F23,'TRA balance'!$AK$5:$AL$14,2,FALSE)</f>
        <v>TRAGSL</v>
      </c>
      <c r="C23" s="6" t="str">
        <f t="shared" si="0"/>
        <v>TR</v>
      </c>
      <c r="D23" s="7" t="s">
        <v>16</v>
      </c>
      <c r="E23" s="18" t="s">
        <v>63</v>
      </c>
      <c r="F23" s="8" t="str">
        <f t="shared" ref="F23:F26" si="9">F22</f>
        <v>Gasoline</v>
      </c>
      <c r="G23" s="6" t="s">
        <v>64</v>
      </c>
      <c r="H23" s="9">
        <v>0.1</v>
      </c>
      <c r="I23" s="9">
        <v>0.28999999999999998</v>
      </c>
      <c r="J23" s="9">
        <v>0.39900000000000002</v>
      </c>
      <c r="K23" s="9">
        <v>0.25</v>
      </c>
      <c r="L23" s="9">
        <v>0.31</v>
      </c>
      <c r="M23" s="9"/>
      <c r="N23" s="9">
        <v>0.33</v>
      </c>
      <c r="O23" s="9">
        <v>0.05</v>
      </c>
      <c r="P23" s="9">
        <v>0.28499999999999998</v>
      </c>
      <c r="Q23" s="9">
        <v>0.42</v>
      </c>
      <c r="R23" s="9">
        <v>0.33</v>
      </c>
      <c r="S23" s="9">
        <v>0.1</v>
      </c>
      <c r="T23" s="9">
        <v>0.38</v>
      </c>
      <c r="U23" s="9">
        <v>0.41499999999999998</v>
      </c>
      <c r="V23" s="9"/>
      <c r="Y23" s="61" t="s">
        <v>412</v>
      </c>
      <c r="Z23" s="61" t="s">
        <v>1</v>
      </c>
    </row>
    <row r="24" spans="1:26" x14ac:dyDescent="0.45">
      <c r="A24">
        <v>1</v>
      </c>
      <c r="B24" t="str">
        <f>VLOOKUP(F24,'TRA balance'!$AK$5:$AL$14,2,FALSE)</f>
        <v>TRAGSL</v>
      </c>
      <c r="C24" s="6" t="str">
        <f t="shared" si="0"/>
        <v>TR</v>
      </c>
      <c r="D24" s="7" t="s">
        <v>16</v>
      </c>
      <c r="E24" s="18" t="s">
        <v>65</v>
      </c>
      <c r="F24" s="8" t="str">
        <f t="shared" si="9"/>
        <v>Gasoline</v>
      </c>
      <c r="G24" s="6" t="s">
        <v>66</v>
      </c>
      <c r="H24" s="9">
        <v>0.1</v>
      </c>
      <c r="I24" s="9">
        <v>0</v>
      </c>
      <c r="J24" s="9">
        <v>0</v>
      </c>
      <c r="K24" s="9">
        <v>0</v>
      </c>
      <c r="L24" s="9">
        <v>5.0000000000000001E-3</v>
      </c>
      <c r="M24" s="100">
        <f>(1-M22)/4</f>
        <v>2.5000000000000022E-3</v>
      </c>
      <c r="N24" s="9">
        <v>5.0000000000000001E-3</v>
      </c>
      <c r="O24" s="9">
        <v>0.1</v>
      </c>
      <c r="P24" s="9">
        <v>5.0000000000000001E-3</v>
      </c>
      <c r="Q24" s="9">
        <v>0.01</v>
      </c>
      <c r="R24" s="9">
        <v>5.0000000000000001E-3</v>
      </c>
      <c r="S24" s="9">
        <v>0.1</v>
      </c>
      <c r="T24" s="9">
        <v>5.0000000000000001E-3</v>
      </c>
      <c r="U24" s="9">
        <v>1E-3</v>
      </c>
      <c r="V24" s="100">
        <f t="shared" ref="V24" si="10">(1-V22)/4</f>
        <v>5.0000000000000044E-3</v>
      </c>
      <c r="Y24" s="61" t="s">
        <v>317</v>
      </c>
      <c r="Z24" s="61" t="s">
        <v>7</v>
      </c>
    </row>
    <row r="25" spans="1:26" x14ac:dyDescent="0.45">
      <c r="A25">
        <v>1</v>
      </c>
      <c r="B25" t="str">
        <f>VLOOKUP(F25,'TRA balance'!$AK$5:$AL$14,2,FALSE)</f>
        <v>TRAGSL</v>
      </c>
      <c r="C25" s="6" t="str">
        <f t="shared" si="0"/>
        <v>TR</v>
      </c>
      <c r="D25" s="7" t="s">
        <v>16</v>
      </c>
      <c r="E25" s="18" t="s">
        <v>67</v>
      </c>
      <c r="F25" s="8" t="str">
        <f t="shared" si="9"/>
        <v>Gasoline</v>
      </c>
      <c r="G25" s="6" t="s">
        <v>68</v>
      </c>
      <c r="H25" s="9">
        <v>0.35</v>
      </c>
      <c r="I25" s="9">
        <v>0.02</v>
      </c>
      <c r="J25" s="9">
        <v>1E-3</v>
      </c>
      <c r="K25" s="9">
        <v>0.3</v>
      </c>
      <c r="L25" s="9">
        <v>1.4999999999999999E-2</v>
      </c>
      <c r="M25" s="100">
        <f>(1-M22)/4*3</f>
        <v>7.5000000000000067E-3</v>
      </c>
      <c r="N25" s="9">
        <v>1.4999999999999999E-2</v>
      </c>
      <c r="O25" s="9">
        <v>0.4</v>
      </c>
      <c r="P25" s="9">
        <v>0.01</v>
      </c>
      <c r="Q25" s="9">
        <v>0.02</v>
      </c>
      <c r="R25" s="9">
        <v>6.5000000000000002E-2</v>
      </c>
      <c r="S25" s="9">
        <v>0.35</v>
      </c>
      <c r="T25" s="9">
        <v>1.4999999999999999E-2</v>
      </c>
      <c r="U25" s="9">
        <v>1E-3</v>
      </c>
      <c r="V25" s="100">
        <f t="shared" ref="V25" si="11">(1-V22)/4*3</f>
        <v>1.5000000000000013E-2</v>
      </c>
      <c r="Y25" s="61" t="s">
        <v>430</v>
      </c>
      <c r="Z25" s="61" t="s">
        <v>6</v>
      </c>
    </row>
    <row r="26" spans="1:26" x14ac:dyDescent="0.45">
      <c r="A26">
        <v>1</v>
      </c>
      <c r="B26" t="str">
        <f>VLOOKUP(F26,'TRA balance'!$AK$5:$AL$14,2,FALSE)</f>
        <v>TRAGSL</v>
      </c>
      <c r="C26" s="6" t="str">
        <f t="shared" si="0"/>
        <v/>
      </c>
      <c r="D26" s="7"/>
      <c r="E26" s="19" t="s">
        <v>69</v>
      </c>
      <c r="F26" s="8" t="str">
        <f t="shared" si="9"/>
        <v>Gasoline</v>
      </c>
      <c r="G26" s="6"/>
      <c r="H26" s="20" t="str">
        <f>IF(SUM(H22:H25)=1,"-","&lt;&gt;1!!")</f>
        <v>-</v>
      </c>
      <c r="I26" s="20" t="str">
        <f t="shared" ref="I26:V26" si="12">IF(SUM(I22:I25)=1,"-","&lt;&gt;1!!")</f>
        <v>-</v>
      </c>
      <c r="J26" s="20" t="str">
        <f t="shared" si="12"/>
        <v>-</v>
      </c>
      <c r="K26" s="20" t="str">
        <f t="shared" si="12"/>
        <v>-</v>
      </c>
      <c r="L26" s="20" t="str">
        <f t="shared" si="12"/>
        <v>-</v>
      </c>
      <c r="M26" s="20" t="str">
        <f t="shared" si="12"/>
        <v>-</v>
      </c>
      <c r="N26" s="20" t="str">
        <f t="shared" si="12"/>
        <v>-</v>
      </c>
      <c r="O26" s="20" t="str">
        <f t="shared" si="12"/>
        <v>-</v>
      </c>
      <c r="P26" s="20" t="str">
        <f t="shared" si="12"/>
        <v>-</v>
      </c>
      <c r="Q26" s="20" t="str">
        <f t="shared" si="12"/>
        <v>-</v>
      </c>
      <c r="R26" s="20" t="str">
        <f t="shared" si="12"/>
        <v>-</v>
      </c>
      <c r="S26" s="20" t="str">
        <f t="shared" si="12"/>
        <v>-</v>
      </c>
      <c r="T26" s="20" t="str">
        <f t="shared" si="12"/>
        <v>-</v>
      </c>
      <c r="U26" s="20" t="str">
        <f t="shared" si="12"/>
        <v>-</v>
      </c>
      <c r="V26" s="20" t="str">
        <f t="shared" si="12"/>
        <v>-</v>
      </c>
      <c r="Y26" s="61" t="s">
        <v>431</v>
      </c>
      <c r="Z26" s="61" t="s">
        <v>0</v>
      </c>
    </row>
    <row r="27" spans="1:26" x14ac:dyDescent="0.45">
      <c r="A27">
        <v>1</v>
      </c>
      <c r="B27" t="str">
        <f>VLOOKUP(F27,'TRA balance'!$AK$5:$AL$14,2,FALSE)</f>
        <v>TRAGSL</v>
      </c>
      <c r="C27" s="14">
        <v>2</v>
      </c>
      <c r="D27" s="15" t="s">
        <v>16</v>
      </c>
      <c r="E27" s="15" t="s">
        <v>70</v>
      </c>
      <c r="F27" s="16" t="str">
        <f>F26</f>
        <v>Gasoline</v>
      </c>
      <c r="G27" s="14"/>
      <c r="H27" s="21">
        <f>1-H21</f>
        <v>0</v>
      </c>
      <c r="I27" s="21">
        <f t="shared" ref="I27:V27" si="13">1-I21</f>
        <v>9.9999999999999978E-2</v>
      </c>
      <c r="J27" s="21">
        <f t="shared" si="13"/>
        <v>4.0000000000000036E-2</v>
      </c>
      <c r="K27" s="21">
        <f t="shared" si="13"/>
        <v>9.9999999999999978E-2</v>
      </c>
      <c r="L27" s="21">
        <f t="shared" si="13"/>
        <v>9.9999999999999978E-2</v>
      </c>
      <c r="M27" s="21">
        <f t="shared" si="13"/>
        <v>3.0000000000000027E-2</v>
      </c>
      <c r="N27" s="21">
        <f t="shared" si="13"/>
        <v>0.30000000000000004</v>
      </c>
      <c r="O27" s="21">
        <f t="shared" si="13"/>
        <v>0</v>
      </c>
      <c r="P27" s="21">
        <f t="shared" si="13"/>
        <v>9.9999999999999978E-2</v>
      </c>
      <c r="Q27" s="21">
        <f t="shared" si="13"/>
        <v>0.30000000000000004</v>
      </c>
      <c r="R27" s="21">
        <f t="shared" si="13"/>
        <v>5.0000000000000044E-2</v>
      </c>
      <c r="S27" s="21">
        <f t="shared" si="13"/>
        <v>0</v>
      </c>
      <c r="T27" s="21">
        <f t="shared" si="13"/>
        <v>1.0000000000000009E-2</v>
      </c>
      <c r="U27" s="21">
        <f t="shared" si="13"/>
        <v>0.19999999999999996</v>
      </c>
      <c r="V27" s="21">
        <f t="shared" si="13"/>
        <v>3.0000000000000027E-2</v>
      </c>
      <c r="Y27" s="61" t="s">
        <v>432</v>
      </c>
      <c r="Z27" s="61" t="s">
        <v>11</v>
      </c>
    </row>
    <row r="28" spans="1:26" x14ac:dyDescent="0.45">
      <c r="A28">
        <v>2</v>
      </c>
      <c r="B28" t="str">
        <f>VLOOKUP(F28,'TRA balance'!$AK$5:$AL$14,2,FALSE)</f>
        <v>TRAGSL</v>
      </c>
      <c r="C28" s="6" t="str">
        <f t="shared" si="0"/>
        <v>TR</v>
      </c>
      <c r="D28" s="7" t="s">
        <v>16</v>
      </c>
      <c r="E28" s="18" t="s">
        <v>71</v>
      </c>
      <c r="F28" s="8" t="str">
        <f>F27</f>
        <v>Gasoline</v>
      </c>
      <c r="G28" s="6" t="s">
        <v>72</v>
      </c>
      <c r="H28" s="9">
        <v>0.05</v>
      </c>
      <c r="I28" s="9">
        <v>0.05</v>
      </c>
      <c r="J28" s="9">
        <v>0.05</v>
      </c>
      <c r="K28" s="9">
        <v>0.1</v>
      </c>
      <c r="L28" s="9">
        <v>0.12</v>
      </c>
      <c r="M28" s="9">
        <v>0.1</v>
      </c>
      <c r="N28" s="9">
        <v>0.05</v>
      </c>
      <c r="O28" s="9">
        <v>0</v>
      </c>
      <c r="P28" s="9">
        <v>0</v>
      </c>
      <c r="Q28" s="9">
        <v>0.1</v>
      </c>
      <c r="R28" s="9">
        <v>0.1</v>
      </c>
      <c r="S28" s="9">
        <v>0.15</v>
      </c>
      <c r="T28" s="9">
        <v>0.1</v>
      </c>
      <c r="U28" s="9">
        <v>5.0000000000000001E-3</v>
      </c>
      <c r="V28" s="9">
        <v>0.05</v>
      </c>
      <c r="Y28" s="61" t="s">
        <v>433</v>
      </c>
      <c r="Z28" s="61" t="s">
        <v>1</v>
      </c>
    </row>
    <row r="29" spans="1:26" x14ac:dyDescent="0.45">
      <c r="A29">
        <v>2</v>
      </c>
      <c r="B29" t="str">
        <f>VLOOKUP(F29,'TRA balance'!$AK$5:$AL$14,2,FALSE)</f>
        <v>TRAGSL</v>
      </c>
      <c r="C29" s="6" t="str">
        <f t="shared" si="0"/>
        <v>TR</v>
      </c>
      <c r="D29" s="7" t="s">
        <v>16</v>
      </c>
      <c r="E29" s="18" t="s">
        <v>73</v>
      </c>
      <c r="F29" s="8" t="str">
        <f t="shared" ref="F29:F35" si="14">F28</f>
        <v>Gasoline</v>
      </c>
      <c r="G29" s="6" t="s">
        <v>74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Y29" s="61" t="s">
        <v>316</v>
      </c>
      <c r="Z29" s="61" t="s">
        <v>13</v>
      </c>
    </row>
    <row r="30" spans="1:26" x14ac:dyDescent="0.45">
      <c r="A30">
        <v>2</v>
      </c>
      <c r="B30" t="str">
        <f>VLOOKUP(F30,'TRA balance'!$AK$5:$AL$14,2,FALSE)</f>
        <v>TRAGSL</v>
      </c>
      <c r="C30" s="6" t="str">
        <f t="shared" si="0"/>
        <v>TR</v>
      </c>
      <c r="D30" s="7" t="s">
        <v>16</v>
      </c>
      <c r="E30" s="18" t="s">
        <v>75</v>
      </c>
      <c r="F30" s="8" t="str">
        <f t="shared" si="14"/>
        <v>Gasoline</v>
      </c>
      <c r="G30" s="6" t="s">
        <v>76</v>
      </c>
      <c r="H30" s="9">
        <v>0.4</v>
      </c>
      <c r="I30" s="9">
        <v>0</v>
      </c>
      <c r="J30" s="9">
        <v>0.05</v>
      </c>
      <c r="K30" s="9">
        <v>0.1</v>
      </c>
      <c r="L30" s="9">
        <v>0.3</v>
      </c>
      <c r="M30" s="9">
        <v>0.4</v>
      </c>
      <c r="N30" s="9">
        <v>0.4</v>
      </c>
      <c r="O30" s="9">
        <v>0.3</v>
      </c>
      <c r="P30" s="9">
        <v>0</v>
      </c>
      <c r="Q30" s="9">
        <v>0.35</v>
      </c>
      <c r="R30" s="9">
        <v>0.15</v>
      </c>
      <c r="S30" s="9">
        <v>0.35</v>
      </c>
      <c r="T30" s="9">
        <v>0.3</v>
      </c>
      <c r="U30" s="9">
        <v>0.3</v>
      </c>
      <c r="V30" s="9">
        <v>0</v>
      </c>
      <c r="Y30" s="61" t="s">
        <v>434</v>
      </c>
      <c r="Z30" s="61" t="s">
        <v>11</v>
      </c>
    </row>
    <row r="31" spans="1:26" x14ac:dyDescent="0.45">
      <c r="A31">
        <v>2</v>
      </c>
      <c r="B31" t="str">
        <f>VLOOKUP(F31,'TRA balance'!$AK$5:$AL$14,2,FALSE)</f>
        <v>TRAGSL</v>
      </c>
      <c r="C31" s="6" t="str">
        <f t="shared" si="0"/>
        <v>TR</v>
      </c>
      <c r="D31" s="7" t="s">
        <v>16</v>
      </c>
      <c r="E31" s="18" t="s">
        <v>77</v>
      </c>
      <c r="F31" s="8" t="str">
        <f t="shared" si="14"/>
        <v>Gasoline</v>
      </c>
      <c r="G31" s="6" t="s">
        <v>78</v>
      </c>
      <c r="H31" s="96">
        <f>1-SUM(H28:H30)</f>
        <v>0.55000000000000004</v>
      </c>
      <c r="I31" s="96">
        <f t="shared" ref="I31:V31" si="15">1-SUM(I28:I30)</f>
        <v>0.95</v>
      </c>
      <c r="J31" s="96">
        <f t="shared" si="15"/>
        <v>0.9</v>
      </c>
      <c r="K31" s="96">
        <f t="shared" si="15"/>
        <v>0.8</v>
      </c>
      <c r="L31" s="96">
        <f t="shared" si="15"/>
        <v>0.58000000000000007</v>
      </c>
      <c r="M31" s="96">
        <f t="shared" si="15"/>
        <v>0.5</v>
      </c>
      <c r="N31" s="96">
        <f t="shared" si="15"/>
        <v>0.55000000000000004</v>
      </c>
      <c r="O31" s="96">
        <f t="shared" si="15"/>
        <v>0.7</v>
      </c>
      <c r="P31" s="96">
        <f t="shared" si="15"/>
        <v>1</v>
      </c>
      <c r="Q31" s="96">
        <f t="shared" si="15"/>
        <v>0.55000000000000004</v>
      </c>
      <c r="R31" s="96">
        <f t="shared" si="15"/>
        <v>0.75</v>
      </c>
      <c r="S31" s="96">
        <f t="shared" si="15"/>
        <v>0.5</v>
      </c>
      <c r="T31" s="96">
        <f t="shared" si="15"/>
        <v>0.6</v>
      </c>
      <c r="U31" s="96">
        <f t="shared" si="15"/>
        <v>0.69500000000000006</v>
      </c>
      <c r="V31" s="96">
        <f t="shared" si="15"/>
        <v>0.95</v>
      </c>
      <c r="Y31" s="61" t="s">
        <v>435</v>
      </c>
      <c r="Z31" s="61" t="s">
        <v>9</v>
      </c>
    </row>
    <row r="32" spans="1:26" x14ac:dyDescent="0.45">
      <c r="A32">
        <v>1</v>
      </c>
      <c r="B32" t="str">
        <f>VLOOKUP(F32,'TRA balance'!$AK$5:$AL$14,2,FALSE)</f>
        <v>TRAGSL</v>
      </c>
      <c r="C32" s="6" t="str">
        <f t="shared" si="0"/>
        <v/>
      </c>
      <c r="D32" s="7"/>
      <c r="E32" s="19" t="s">
        <v>79</v>
      </c>
      <c r="F32" s="8" t="str">
        <f t="shared" si="14"/>
        <v>Gasoline</v>
      </c>
      <c r="G32" s="6"/>
      <c r="H32" s="22" t="str">
        <f>IF(SUM(H28:H31)=1,"-","&lt;&gt;1!!")</f>
        <v>-</v>
      </c>
      <c r="I32" s="22" t="str">
        <f t="shared" ref="I32:V32" si="16">IF(SUM(I28:I31)=1,"-","&lt;&gt;1!!")</f>
        <v>-</v>
      </c>
      <c r="J32" s="22" t="str">
        <f t="shared" si="16"/>
        <v>-</v>
      </c>
      <c r="K32" s="22" t="str">
        <f t="shared" si="16"/>
        <v>-</v>
      </c>
      <c r="L32" s="22" t="str">
        <f t="shared" si="16"/>
        <v>-</v>
      </c>
      <c r="M32" s="22" t="str">
        <f t="shared" si="16"/>
        <v>-</v>
      </c>
      <c r="N32" s="22" t="str">
        <f t="shared" si="16"/>
        <v>-</v>
      </c>
      <c r="O32" s="22" t="str">
        <f t="shared" si="16"/>
        <v>-</v>
      </c>
      <c r="P32" s="22" t="str">
        <f t="shared" si="16"/>
        <v>-</v>
      </c>
      <c r="Q32" s="22" t="str">
        <f t="shared" si="16"/>
        <v>-</v>
      </c>
      <c r="R32" s="22" t="str">
        <f t="shared" si="16"/>
        <v>-</v>
      </c>
      <c r="S32" s="22" t="str">
        <f t="shared" si="16"/>
        <v>-</v>
      </c>
      <c r="T32" s="22" t="str">
        <f t="shared" si="16"/>
        <v>-</v>
      </c>
      <c r="U32" s="22" t="str">
        <f t="shared" si="16"/>
        <v>-</v>
      </c>
      <c r="V32" s="22" t="str">
        <f t="shared" si="16"/>
        <v>-</v>
      </c>
      <c r="Y32" t="s">
        <v>436</v>
      </c>
      <c r="Z32" t="s">
        <v>1</v>
      </c>
    </row>
    <row r="33" spans="1:26" x14ac:dyDescent="0.45">
      <c r="A33">
        <v>1</v>
      </c>
      <c r="B33" t="str">
        <f>VLOOKUP(F33,'TRA balance'!$AK$5:$AL$14,2,FALSE)</f>
        <v>TRAGSL</v>
      </c>
      <c r="C33" s="6" t="str">
        <f t="shared" si="0"/>
        <v>TT</v>
      </c>
      <c r="D33" s="7" t="s">
        <v>17</v>
      </c>
      <c r="E33" s="7" t="s">
        <v>53</v>
      </c>
      <c r="F33" s="8" t="str">
        <f t="shared" si="14"/>
        <v>Gasoline</v>
      </c>
      <c r="G33" s="6" t="s">
        <v>55</v>
      </c>
      <c r="H33" s="23">
        <v>0.5</v>
      </c>
      <c r="I33" s="9">
        <v>0.5</v>
      </c>
      <c r="J33" s="9">
        <v>1</v>
      </c>
      <c r="K33" s="9">
        <v>0.5</v>
      </c>
      <c r="L33" s="9">
        <v>1</v>
      </c>
      <c r="M33" s="9">
        <v>1</v>
      </c>
      <c r="N33" s="23">
        <v>0.5</v>
      </c>
      <c r="O33" s="9">
        <v>1</v>
      </c>
      <c r="P33" s="9">
        <v>7.0000000000000007E-2</v>
      </c>
      <c r="Q33" s="9">
        <v>1</v>
      </c>
      <c r="R33" s="9">
        <v>0.98</v>
      </c>
      <c r="S33" s="9">
        <v>0.5</v>
      </c>
      <c r="T33" s="9">
        <v>0.5</v>
      </c>
      <c r="U33" s="9">
        <v>0.5</v>
      </c>
      <c r="V33" s="9">
        <v>1</v>
      </c>
      <c r="Y33" t="s">
        <v>5</v>
      </c>
      <c r="Z33" t="s">
        <v>5</v>
      </c>
    </row>
    <row r="34" spans="1:26" x14ac:dyDescent="0.45">
      <c r="A34">
        <v>1</v>
      </c>
      <c r="B34" t="str">
        <f>VLOOKUP(F34,'TRA balance'!$AK$5:$AL$14,2,FALSE)</f>
        <v>TRAGSL</v>
      </c>
      <c r="C34" s="6" t="str">
        <f t="shared" si="0"/>
        <v>TT</v>
      </c>
      <c r="D34" s="7" t="s">
        <v>17</v>
      </c>
      <c r="E34" s="7" t="s">
        <v>56</v>
      </c>
      <c r="F34" s="8" t="str">
        <f t="shared" si="14"/>
        <v>Gasoline</v>
      </c>
      <c r="G34" s="6" t="s">
        <v>57</v>
      </c>
      <c r="H34" s="23">
        <v>0.5</v>
      </c>
      <c r="I34" s="9">
        <v>0.5</v>
      </c>
      <c r="J34" s="9">
        <v>0</v>
      </c>
      <c r="K34" s="9">
        <v>0.5</v>
      </c>
      <c r="L34" s="9">
        <v>0</v>
      </c>
      <c r="M34" s="9">
        <v>0</v>
      </c>
      <c r="N34" s="23">
        <v>0.5</v>
      </c>
      <c r="O34" s="9">
        <v>0</v>
      </c>
      <c r="P34" s="9">
        <v>0.93</v>
      </c>
      <c r="Q34" s="9">
        <v>0</v>
      </c>
      <c r="R34" s="9">
        <v>0.02</v>
      </c>
      <c r="S34" s="9">
        <v>0.5</v>
      </c>
      <c r="T34" s="9">
        <v>0.5</v>
      </c>
      <c r="U34" s="9">
        <v>0.5</v>
      </c>
      <c r="V34" s="9">
        <v>0</v>
      </c>
    </row>
    <row r="35" spans="1:26" x14ac:dyDescent="0.45">
      <c r="A35">
        <v>1</v>
      </c>
      <c r="B35" t="str">
        <f>VLOOKUP(F35,'TRA balance'!$AK$5:$AL$14,2,FALSE)</f>
        <v>TRAGSL</v>
      </c>
      <c r="C35" s="11"/>
      <c r="D35" s="11"/>
      <c r="E35" s="12" t="s">
        <v>58</v>
      </c>
      <c r="F35" s="13" t="str">
        <f t="shared" si="14"/>
        <v>Gasoline</v>
      </c>
      <c r="G35" s="11"/>
      <c r="H35" s="12" t="str">
        <f t="shared" ref="H35:V35" si="17">IF(SUM(H33:H34)=1,"-","&lt;&gt;1!!")</f>
        <v>-</v>
      </c>
      <c r="I35" s="12" t="str">
        <f t="shared" si="17"/>
        <v>-</v>
      </c>
      <c r="J35" s="12" t="str">
        <f t="shared" si="17"/>
        <v>-</v>
      </c>
      <c r="K35" s="12" t="str">
        <f t="shared" si="17"/>
        <v>-</v>
      </c>
      <c r="L35" s="12" t="str">
        <f t="shared" si="17"/>
        <v>-</v>
      </c>
      <c r="M35" s="12" t="str">
        <f t="shared" si="17"/>
        <v>-</v>
      </c>
      <c r="N35" s="12" t="str">
        <f t="shared" si="17"/>
        <v>-</v>
      </c>
      <c r="O35" s="12" t="str">
        <f t="shared" si="17"/>
        <v>-</v>
      </c>
      <c r="P35" s="12" t="str">
        <f t="shared" si="17"/>
        <v>-</v>
      </c>
      <c r="Q35" s="12" t="str">
        <f t="shared" si="17"/>
        <v>-</v>
      </c>
      <c r="R35" s="12" t="str">
        <f t="shared" si="17"/>
        <v>-</v>
      </c>
      <c r="S35" s="12" t="str">
        <f t="shared" si="17"/>
        <v>-</v>
      </c>
      <c r="T35" s="12" t="str">
        <f t="shared" si="17"/>
        <v>-</v>
      </c>
      <c r="U35" s="12" t="str">
        <f t="shared" si="17"/>
        <v>-</v>
      </c>
      <c r="V35" s="12" t="str">
        <f t="shared" si="17"/>
        <v>-</v>
      </c>
    </row>
    <row r="36" spans="1:26" x14ac:dyDescent="0.45">
      <c r="A36">
        <v>1</v>
      </c>
      <c r="B36" t="str">
        <f>VLOOKUP(F36,'TRA balance'!$AK$5:$AL$14,2,FALSE)</f>
        <v>TRAHFO</v>
      </c>
      <c r="C36" s="6" t="str">
        <f t="shared" si="0"/>
        <v>TT</v>
      </c>
      <c r="D36" s="7" t="s">
        <v>17</v>
      </c>
      <c r="E36" s="7" t="s">
        <v>53</v>
      </c>
      <c r="F36" s="8" t="s">
        <v>81</v>
      </c>
      <c r="G36" s="6" t="s">
        <v>55</v>
      </c>
      <c r="H36" s="23">
        <f>H18</f>
        <v>0.7</v>
      </c>
      <c r="I36" s="9">
        <v>1</v>
      </c>
      <c r="J36" s="23">
        <f>J18</f>
        <v>0.95</v>
      </c>
      <c r="K36" s="9">
        <v>0.6</v>
      </c>
      <c r="L36" s="9">
        <v>1</v>
      </c>
      <c r="M36" s="23">
        <f>M18</f>
        <v>0.9</v>
      </c>
      <c r="N36" s="9">
        <v>0.9</v>
      </c>
      <c r="O36" s="9">
        <v>0.5</v>
      </c>
      <c r="P36" s="9">
        <v>0.9</v>
      </c>
      <c r="Q36" s="23">
        <f>Q18</f>
        <v>0.7</v>
      </c>
      <c r="R36" s="9">
        <v>1</v>
      </c>
      <c r="S36" s="9">
        <v>0.9</v>
      </c>
      <c r="T36" s="9">
        <v>0.9</v>
      </c>
      <c r="U36" s="9">
        <v>0.9</v>
      </c>
      <c r="V36" s="23">
        <f>V18</f>
        <v>0.9</v>
      </c>
    </row>
    <row r="37" spans="1:26" x14ac:dyDescent="0.45">
      <c r="A37">
        <v>1</v>
      </c>
      <c r="B37" t="str">
        <f>VLOOKUP(F37,'TRA balance'!$AK$5:$AL$14,2,FALSE)</f>
        <v>TRAHFO</v>
      </c>
      <c r="C37" s="6" t="str">
        <f t="shared" si="0"/>
        <v>TT</v>
      </c>
      <c r="D37" s="7" t="s">
        <v>17</v>
      </c>
      <c r="E37" s="7" t="s">
        <v>56</v>
      </c>
      <c r="F37" s="8" t="str">
        <f t="shared" ref="F37:F38" si="18">F36</f>
        <v>Heavy Fuel Oil</v>
      </c>
      <c r="G37" s="6" t="s">
        <v>57</v>
      </c>
      <c r="H37" s="23">
        <f>H19</f>
        <v>0.3</v>
      </c>
      <c r="I37" s="9">
        <v>0</v>
      </c>
      <c r="J37" s="23">
        <f>J19</f>
        <v>0.05</v>
      </c>
      <c r="K37" s="9">
        <v>0.4</v>
      </c>
      <c r="L37" s="9">
        <v>0</v>
      </c>
      <c r="M37" s="23">
        <f>M19</f>
        <v>0.1</v>
      </c>
      <c r="N37" s="9">
        <v>0.1</v>
      </c>
      <c r="O37" s="9">
        <v>0.5</v>
      </c>
      <c r="P37" s="9">
        <v>0.1</v>
      </c>
      <c r="Q37" s="23">
        <f>Q19</f>
        <v>0.3</v>
      </c>
      <c r="R37" s="9">
        <v>0</v>
      </c>
      <c r="S37" s="9">
        <v>0.1</v>
      </c>
      <c r="T37" s="9">
        <v>0.1</v>
      </c>
      <c r="U37" s="9">
        <v>0.1</v>
      </c>
      <c r="V37" s="23">
        <f>V19</f>
        <v>0.1</v>
      </c>
    </row>
    <row r="38" spans="1:26" x14ac:dyDescent="0.45">
      <c r="A38">
        <v>1</v>
      </c>
      <c r="B38" t="str">
        <f>VLOOKUP(F38,'TRA balance'!$AK$5:$AL$14,2,FALSE)</f>
        <v>TRAHFO</v>
      </c>
      <c r="C38" s="11"/>
      <c r="D38" s="11"/>
      <c r="E38" s="12" t="s">
        <v>58</v>
      </c>
      <c r="F38" s="13" t="str">
        <f t="shared" si="18"/>
        <v>Heavy Fuel Oil</v>
      </c>
      <c r="G38" s="11"/>
      <c r="H38" s="12" t="str">
        <f t="shared" ref="H38:V38" si="19">IF(SUM(H36:H37)=1,"-","&lt;&gt;1!!")</f>
        <v>-</v>
      </c>
      <c r="I38" s="12" t="str">
        <f t="shared" si="19"/>
        <v>-</v>
      </c>
      <c r="J38" s="12" t="str">
        <f t="shared" si="19"/>
        <v>-</v>
      </c>
      <c r="K38" s="12" t="str">
        <f t="shared" si="19"/>
        <v>-</v>
      </c>
      <c r="L38" s="12" t="str">
        <f t="shared" si="19"/>
        <v>-</v>
      </c>
      <c r="M38" s="12" t="str">
        <f t="shared" si="19"/>
        <v>-</v>
      </c>
      <c r="N38" s="12" t="str">
        <f t="shared" si="19"/>
        <v>-</v>
      </c>
      <c r="O38" s="12" t="str">
        <f t="shared" si="19"/>
        <v>-</v>
      </c>
      <c r="P38" s="12" t="str">
        <f t="shared" si="19"/>
        <v>-</v>
      </c>
      <c r="Q38" s="12" t="str">
        <f t="shared" si="19"/>
        <v>-</v>
      </c>
      <c r="R38" s="12" t="str">
        <f t="shared" si="19"/>
        <v>-</v>
      </c>
      <c r="S38" s="12" t="str">
        <f t="shared" si="19"/>
        <v>-</v>
      </c>
      <c r="T38" s="12" t="str">
        <f t="shared" si="19"/>
        <v>-</v>
      </c>
      <c r="U38" s="12" t="str">
        <f t="shared" si="19"/>
        <v>-</v>
      </c>
      <c r="V38" s="12" t="str">
        <f t="shared" si="19"/>
        <v>-</v>
      </c>
    </row>
    <row r="39" spans="1:26" x14ac:dyDescent="0.45">
      <c r="A39">
        <v>1</v>
      </c>
      <c r="B39" t="str">
        <f>VLOOKUP(F39,'TRA balance'!$AK$5:$AL$14,2,FALSE)</f>
        <v>TRALPG</v>
      </c>
      <c r="C39" s="14">
        <v>1</v>
      </c>
      <c r="D39" s="15" t="s">
        <v>16</v>
      </c>
      <c r="E39" s="15" t="s">
        <v>59</v>
      </c>
      <c r="F39" s="16" t="s">
        <v>82</v>
      </c>
      <c r="G39" s="14"/>
      <c r="H39" s="17">
        <v>0.6</v>
      </c>
      <c r="I39" s="17">
        <v>0.25</v>
      </c>
      <c r="J39" s="17">
        <v>0.9</v>
      </c>
      <c r="K39" s="17">
        <v>0.4</v>
      </c>
      <c r="L39" s="17">
        <v>0.5</v>
      </c>
      <c r="M39" s="17">
        <v>0.56999999999999995</v>
      </c>
      <c r="N39" s="17">
        <v>0.56999999999999995</v>
      </c>
      <c r="O39" s="17">
        <v>0.25</v>
      </c>
      <c r="P39" s="17">
        <v>0.56999999999999995</v>
      </c>
      <c r="Q39" s="17">
        <v>0.6</v>
      </c>
      <c r="R39" s="17">
        <v>0.65</v>
      </c>
      <c r="S39" s="17">
        <v>0.7</v>
      </c>
      <c r="T39" s="17">
        <v>0.8</v>
      </c>
      <c r="U39" s="17">
        <v>0.71921471715562335</v>
      </c>
      <c r="V39" s="17">
        <v>0.75</v>
      </c>
    </row>
    <row r="40" spans="1:26" x14ac:dyDescent="0.45">
      <c r="A40">
        <v>1</v>
      </c>
      <c r="B40" t="str">
        <f>VLOOKUP(F40,'TRA balance'!$AK$5:$AL$14,2,FALSE)</f>
        <v>TRALPG</v>
      </c>
      <c r="C40" s="6" t="str">
        <f t="shared" si="0"/>
        <v>TR</v>
      </c>
      <c r="D40" s="7" t="s">
        <v>16</v>
      </c>
      <c r="E40" s="18" t="s">
        <v>61</v>
      </c>
      <c r="F40" s="8" t="str">
        <f>F39</f>
        <v>Liquified Petroleum Gases</v>
      </c>
      <c r="G40" s="6" t="s">
        <v>62</v>
      </c>
      <c r="H40" s="9">
        <v>0.7</v>
      </c>
      <c r="I40" s="9">
        <v>0.5</v>
      </c>
      <c r="J40" s="9">
        <v>0.626</v>
      </c>
      <c r="K40" s="9">
        <v>0.67</v>
      </c>
      <c r="L40" s="9">
        <v>0.67</v>
      </c>
      <c r="M40" s="9">
        <v>0.67</v>
      </c>
      <c r="N40" s="9">
        <v>0.67</v>
      </c>
      <c r="O40" s="9">
        <v>0.5</v>
      </c>
      <c r="P40" s="9">
        <v>0.67</v>
      </c>
      <c r="Q40" s="9">
        <v>0.7</v>
      </c>
      <c r="R40" s="9">
        <v>0.2</v>
      </c>
      <c r="S40" s="9">
        <v>0.67</v>
      </c>
      <c r="T40" s="9">
        <v>0.6</v>
      </c>
      <c r="U40" s="9">
        <v>0.34971157676928805</v>
      </c>
      <c r="V40" s="9">
        <v>0.626</v>
      </c>
    </row>
    <row r="41" spans="1:26" x14ac:dyDescent="0.45">
      <c r="A41">
        <v>1</v>
      </c>
      <c r="B41" t="str">
        <f>VLOOKUP(F41,'TRA balance'!$AK$5:$AL$14,2,FALSE)</f>
        <v>TRALPG</v>
      </c>
      <c r="C41" s="6" t="str">
        <f t="shared" si="0"/>
        <v>TR</v>
      </c>
      <c r="D41" s="7" t="s">
        <v>16</v>
      </c>
      <c r="E41" s="18" t="s">
        <v>63</v>
      </c>
      <c r="F41" s="8" t="str">
        <f t="shared" ref="F41" si="20">F40</f>
        <v>Liquified Petroleum Gases</v>
      </c>
      <c r="G41" s="6" t="s">
        <v>64</v>
      </c>
      <c r="H41" s="9">
        <v>0.3</v>
      </c>
      <c r="I41" s="9">
        <v>0.5</v>
      </c>
      <c r="J41" s="9">
        <v>0.374</v>
      </c>
      <c r="K41" s="9">
        <v>0.33</v>
      </c>
      <c r="L41" s="9">
        <v>0.33</v>
      </c>
      <c r="M41" s="9">
        <v>0.33</v>
      </c>
      <c r="N41" s="9">
        <v>0.33</v>
      </c>
      <c r="O41" s="9">
        <v>0.5</v>
      </c>
      <c r="P41" s="9">
        <v>0.33</v>
      </c>
      <c r="Q41" s="9">
        <v>0.3</v>
      </c>
      <c r="R41" s="9">
        <v>0.8</v>
      </c>
      <c r="S41" s="9">
        <v>0.33</v>
      </c>
      <c r="T41" s="9">
        <v>0.4</v>
      </c>
      <c r="U41" s="9">
        <v>0.65028842323071201</v>
      </c>
      <c r="V41" s="9">
        <v>0.374</v>
      </c>
    </row>
    <row r="42" spans="1:26" x14ac:dyDescent="0.45">
      <c r="A42">
        <v>1</v>
      </c>
      <c r="B42" t="str">
        <f>VLOOKUP(F42,'TRA balance'!$AK$5:$AL$14,2,FALSE)</f>
        <v>TRALPG</v>
      </c>
      <c r="C42" s="6" t="str">
        <f t="shared" si="0"/>
        <v/>
      </c>
      <c r="D42" s="7"/>
      <c r="E42" s="19" t="s">
        <v>69</v>
      </c>
      <c r="F42" s="8" t="str">
        <f>F41</f>
        <v>Liquified Petroleum Gases</v>
      </c>
      <c r="G42" s="6"/>
      <c r="H42" s="20" t="str">
        <f>IF(SUM(H40:H41)=1,"-","&lt;&gt;1!!")</f>
        <v>-</v>
      </c>
      <c r="I42" s="20" t="str">
        <f t="shared" ref="I42:V42" si="21">IF(SUM(I40:I41)=1,"-","&lt;&gt;1!!")</f>
        <v>-</v>
      </c>
      <c r="J42" s="20" t="str">
        <f t="shared" si="21"/>
        <v>-</v>
      </c>
      <c r="K42" s="20" t="str">
        <f t="shared" si="21"/>
        <v>-</v>
      </c>
      <c r="L42" s="20" t="str">
        <f t="shared" si="21"/>
        <v>-</v>
      </c>
      <c r="M42" s="20" t="str">
        <f t="shared" si="21"/>
        <v>-</v>
      </c>
      <c r="N42" s="20" t="str">
        <f t="shared" si="21"/>
        <v>-</v>
      </c>
      <c r="O42" s="20" t="str">
        <f t="shared" si="21"/>
        <v>-</v>
      </c>
      <c r="P42" s="20" t="str">
        <f t="shared" si="21"/>
        <v>-</v>
      </c>
      <c r="Q42" s="20" t="str">
        <f t="shared" si="21"/>
        <v>-</v>
      </c>
      <c r="R42" s="20" t="str">
        <f t="shared" si="21"/>
        <v>-</v>
      </c>
      <c r="S42" s="20" t="str">
        <f t="shared" si="21"/>
        <v>-</v>
      </c>
      <c r="T42" s="20" t="str">
        <f t="shared" si="21"/>
        <v>-</v>
      </c>
      <c r="U42" s="20" t="str">
        <f t="shared" si="21"/>
        <v>-</v>
      </c>
      <c r="V42" s="20" t="str">
        <f t="shared" si="21"/>
        <v>-</v>
      </c>
    </row>
    <row r="43" spans="1:26" x14ac:dyDescent="0.45">
      <c r="A43">
        <v>1</v>
      </c>
      <c r="B43" t="str">
        <f>VLOOKUP(F43,'TRA balance'!$AK$5:$AL$14,2,FALSE)</f>
        <v>TRALPG</v>
      </c>
      <c r="C43" s="14">
        <v>2</v>
      </c>
      <c r="D43" s="15" t="s">
        <v>16</v>
      </c>
      <c r="E43" s="15" t="s">
        <v>70</v>
      </c>
      <c r="F43" s="16" t="str">
        <f>F42</f>
        <v>Liquified Petroleum Gases</v>
      </c>
      <c r="G43" s="14"/>
      <c r="H43" s="21">
        <f t="shared" ref="H43:V43" si="22">1-H39</f>
        <v>0.4</v>
      </c>
      <c r="I43" s="21">
        <f t="shared" si="22"/>
        <v>0.75</v>
      </c>
      <c r="J43" s="21">
        <f t="shared" si="22"/>
        <v>9.9999999999999978E-2</v>
      </c>
      <c r="K43" s="21">
        <f t="shared" si="22"/>
        <v>0.6</v>
      </c>
      <c r="L43" s="21">
        <f t="shared" si="22"/>
        <v>0.5</v>
      </c>
      <c r="M43" s="21">
        <f t="shared" si="22"/>
        <v>0.43000000000000005</v>
      </c>
      <c r="N43" s="21">
        <f t="shared" si="22"/>
        <v>0.43000000000000005</v>
      </c>
      <c r="O43" s="21">
        <f t="shared" si="22"/>
        <v>0.75</v>
      </c>
      <c r="P43" s="21">
        <f t="shared" si="22"/>
        <v>0.43000000000000005</v>
      </c>
      <c r="Q43" s="21">
        <f t="shared" si="22"/>
        <v>0.4</v>
      </c>
      <c r="R43" s="21">
        <f t="shared" si="22"/>
        <v>0.35</v>
      </c>
      <c r="S43" s="21">
        <f t="shared" si="22"/>
        <v>0.30000000000000004</v>
      </c>
      <c r="T43" s="21">
        <f t="shared" si="22"/>
        <v>0.19999999999999996</v>
      </c>
      <c r="U43" s="21">
        <f t="shared" si="22"/>
        <v>0.28078528284437665</v>
      </c>
      <c r="V43" s="21">
        <f t="shared" si="22"/>
        <v>0.25</v>
      </c>
    </row>
    <row r="44" spans="1:26" x14ac:dyDescent="0.45">
      <c r="A44">
        <v>2</v>
      </c>
      <c r="B44" t="str">
        <f>VLOOKUP(F44,'TRA balance'!$AK$5:$AL$14,2,FALSE)</f>
        <v>TRALPG</v>
      </c>
      <c r="C44" s="6" t="str">
        <f t="shared" si="0"/>
        <v>TR</v>
      </c>
      <c r="D44" s="7" t="s">
        <v>16</v>
      </c>
      <c r="E44" s="18" t="s">
        <v>71</v>
      </c>
      <c r="F44" s="8" t="str">
        <f>F43</f>
        <v>Liquified Petroleum Gases</v>
      </c>
      <c r="G44" s="6" t="s">
        <v>72</v>
      </c>
      <c r="H44" s="9">
        <v>0.3</v>
      </c>
      <c r="I44" s="9">
        <v>0.8</v>
      </c>
      <c r="J44" s="9">
        <v>0</v>
      </c>
      <c r="K44" s="9">
        <v>0.8</v>
      </c>
      <c r="L44" s="9">
        <v>1</v>
      </c>
      <c r="M44" s="9">
        <v>0</v>
      </c>
      <c r="N44" s="9">
        <v>0</v>
      </c>
      <c r="O44" s="9">
        <v>0.8</v>
      </c>
      <c r="P44" s="9">
        <v>0</v>
      </c>
      <c r="Q44" s="9">
        <v>0.3</v>
      </c>
      <c r="R44" s="9">
        <v>0.8</v>
      </c>
      <c r="S44" s="9">
        <v>0.7</v>
      </c>
      <c r="T44" s="9">
        <v>0</v>
      </c>
      <c r="U44" s="9">
        <v>0.02</v>
      </c>
      <c r="V44" s="9">
        <v>0</v>
      </c>
    </row>
    <row r="45" spans="1:26" x14ac:dyDescent="0.45">
      <c r="A45">
        <v>2</v>
      </c>
      <c r="B45" t="str">
        <f>VLOOKUP(F45,'TRA balance'!$AK$5:$AL$14,2,FALSE)</f>
        <v>TRALPG</v>
      </c>
      <c r="C45" s="6" t="str">
        <f t="shared" si="0"/>
        <v>TR</v>
      </c>
      <c r="D45" s="7" t="s">
        <v>16</v>
      </c>
      <c r="E45" s="18" t="s">
        <v>73</v>
      </c>
      <c r="F45" s="8" t="str">
        <f t="shared" ref="F45:F51" si="23">F44</f>
        <v>Liquified Petroleum Gases</v>
      </c>
      <c r="G45" s="6" t="s">
        <v>74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6" x14ac:dyDescent="0.45">
      <c r="A46">
        <v>2</v>
      </c>
      <c r="B46" t="str">
        <f>VLOOKUP(F46,'TRA balance'!$AK$5:$AL$14,2,FALSE)</f>
        <v>TRALPG</v>
      </c>
      <c r="C46" s="6" t="str">
        <f t="shared" si="0"/>
        <v>TR</v>
      </c>
      <c r="D46" s="7" t="s">
        <v>16</v>
      </c>
      <c r="E46" s="18" t="s">
        <v>75</v>
      </c>
      <c r="F46" s="8" t="str">
        <f t="shared" si="23"/>
        <v>Liquified Petroleum Gases</v>
      </c>
      <c r="G46" s="6" t="s">
        <v>76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6" x14ac:dyDescent="0.45">
      <c r="A47">
        <v>2</v>
      </c>
      <c r="B47" t="str">
        <f>VLOOKUP(F47,'TRA balance'!$AK$5:$AL$14,2,FALSE)</f>
        <v>TRALPG</v>
      </c>
      <c r="C47" s="6" t="str">
        <f t="shared" si="0"/>
        <v>TR</v>
      </c>
      <c r="D47" s="7" t="s">
        <v>16</v>
      </c>
      <c r="E47" s="18" t="s">
        <v>77</v>
      </c>
      <c r="F47" s="8" t="str">
        <f t="shared" si="23"/>
        <v>Liquified Petroleum Gases</v>
      </c>
      <c r="G47" s="6" t="s">
        <v>78</v>
      </c>
      <c r="H47" s="9">
        <f>1-SUM(H44:H46)</f>
        <v>0.7</v>
      </c>
      <c r="I47" s="9">
        <f t="shared" ref="I47:V47" si="24">1-SUM(I44:I46)</f>
        <v>0.19999999999999996</v>
      </c>
      <c r="J47" s="9">
        <f t="shared" si="24"/>
        <v>1</v>
      </c>
      <c r="K47" s="9">
        <f t="shared" si="24"/>
        <v>0.19999999999999996</v>
      </c>
      <c r="L47" s="9">
        <f t="shared" si="24"/>
        <v>0</v>
      </c>
      <c r="M47" s="9">
        <f t="shared" si="24"/>
        <v>1</v>
      </c>
      <c r="N47" s="9">
        <f t="shared" si="24"/>
        <v>1</v>
      </c>
      <c r="O47" s="9">
        <f t="shared" si="24"/>
        <v>0.19999999999999996</v>
      </c>
      <c r="P47" s="9">
        <f t="shared" si="24"/>
        <v>1</v>
      </c>
      <c r="Q47" s="9">
        <f t="shared" si="24"/>
        <v>0.7</v>
      </c>
      <c r="R47" s="9">
        <f t="shared" si="24"/>
        <v>0.19999999999999996</v>
      </c>
      <c r="S47" s="9">
        <f t="shared" si="24"/>
        <v>0.30000000000000004</v>
      </c>
      <c r="T47" s="9">
        <f t="shared" si="24"/>
        <v>1</v>
      </c>
      <c r="U47" s="9">
        <f t="shared" si="24"/>
        <v>0.98</v>
      </c>
      <c r="V47" s="9">
        <f t="shared" si="24"/>
        <v>1</v>
      </c>
    </row>
    <row r="48" spans="1:26" x14ac:dyDescent="0.45">
      <c r="A48">
        <v>1</v>
      </c>
      <c r="B48" t="str">
        <f>VLOOKUP(F48,'TRA balance'!$AK$5:$AL$14,2,FALSE)</f>
        <v>TRALPG</v>
      </c>
      <c r="C48" s="6" t="str">
        <f t="shared" si="0"/>
        <v/>
      </c>
      <c r="D48" s="7"/>
      <c r="E48" s="19" t="s">
        <v>79</v>
      </c>
      <c r="F48" s="8" t="str">
        <f t="shared" si="23"/>
        <v>Liquified Petroleum Gases</v>
      </c>
      <c r="G48" s="6"/>
      <c r="H48" s="22" t="str">
        <f>IF(SUM(H44:H47)=1,"-",SUM(H44:H47))</f>
        <v>-</v>
      </c>
      <c r="I48" s="22" t="str">
        <f t="shared" ref="I48:V48" si="25">IF(SUM(I44:I47)=1,"-",SUM(I44:I47))</f>
        <v>-</v>
      </c>
      <c r="J48" s="22" t="str">
        <f t="shared" si="25"/>
        <v>-</v>
      </c>
      <c r="K48" s="22" t="str">
        <f t="shared" si="25"/>
        <v>-</v>
      </c>
      <c r="L48" s="22" t="str">
        <f t="shared" si="25"/>
        <v>-</v>
      </c>
      <c r="M48" s="22" t="str">
        <f t="shared" si="25"/>
        <v>-</v>
      </c>
      <c r="N48" s="22" t="str">
        <f t="shared" si="25"/>
        <v>-</v>
      </c>
      <c r="O48" s="22" t="str">
        <f t="shared" si="25"/>
        <v>-</v>
      </c>
      <c r="P48" s="22" t="str">
        <f t="shared" si="25"/>
        <v>-</v>
      </c>
      <c r="Q48" s="22" t="str">
        <f t="shared" si="25"/>
        <v>-</v>
      </c>
      <c r="R48" s="22" t="str">
        <f t="shared" si="25"/>
        <v>-</v>
      </c>
      <c r="S48" s="22" t="str">
        <f t="shared" si="25"/>
        <v>-</v>
      </c>
      <c r="T48" s="22" t="str">
        <f t="shared" si="25"/>
        <v>-</v>
      </c>
      <c r="U48" s="22" t="str">
        <f t="shared" si="25"/>
        <v>-</v>
      </c>
      <c r="V48" s="22" t="str">
        <f t="shared" si="25"/>
        <v>-</v>
      </c>
    </row>
    <row r="49" spans="1:22" x14ac:dyDescent="0.45">
      <c r="A49">
        <v>1</v>
      </c>
      <c r="B49" t="str">
        <f>VLOOKUP(F49,'TRA balance'!$AK$5:$AL$14,2,FALSE)</f>
        <v>TRALPG</v>
      </c>
      <c r="C49" s="6" t="str">
        <f t="shared" si="0"/>
        <v>TT</v>
      </c>
      <c r="D49" s="7" t="s">
        <v>17</v>
      </c>
      <c r="E49" s="7" t="s">
        <v>53</v>
      </c>
      <c r="F49" s="8" t="str">
        <f t="shared" si="23"/>
        <v>Liquified Petroleum Gases</v>
      </c>
      <c r="G49" s="6" t="s">
        <v>55</v>
      </c>
      <c r="H49" s="9">
        <v>1</v>
      </c>
      <c r="I49" s="9">
        <v>0.5</v>
      </c>
      <c r="J49" s="9">
        <v>1</v>
      </c>
      <c r="K49" s="9">
        <v>0.5</v>
      </c>
      <c r="L49" s="9">
        <v>1</v>
      </c>
      <c r="M49" s="9">
        <v>1</v>
      </c>
      <c r="N49" s="9">
        <v>1</v>
      </c>
      <c r="O49" s="23">
        <v>0.5</v>
      </c>
      <c r="P49" s="9">
        <v>7.0000000000000007E-2</v>
      </c>
      <c r="Q49" s="9">
        <v>1</v>
      </c>
      <c r="R49" s="9">
        <v>0.98</v>
      </c>
      <c r="S49" s="9">
        <v>0.5</v>
      </c>
      <c r="T49" s="9">
        <v>0.5</v>
      </c>
      <c r="U49" s="9">
        <v>0.5</v>
      </c>
      <c r="V49" s="9">
        <v>1</v>
      </c>
    </row>
    <row r="50" spans="1:22" x14ac:dyDescent="0.45">
      <c r="A50">
        <v>1</v>
      </c>
      <c r="B50" t="str">
        <f>VLOOKUP(F50,'TRA balance'!$AK$5:$AL$14,2,FALSE)</f>
        <v>TRALPG</v>
      </c>
      <c r="C50" s="6" t="str">
        <f t="shared" si="0"/>
        <v>TT</v>
      </c>
      <c r="D50" s="7" t="s">
        <v>17</v>
      </c>
      <c r="E50" s="7" t="s">
        <v>56</v>
      </c>
      <c r="F50" s="8" t="str">
        <f t="shared" si="23"/>
        <v>Liquified Petroleum Gases</v>
      </c>
      <c r="G50" s="6" t="s">
        <v>57</v>
      </c>
      <c r="H50" s="9">
        <v>0</v>
      </c>
      <c r="I50" s="9">
        <v>0.5</v>
      </c>
      <c r="J50" s="9">
        <v>0</v>
      </c>
      <c r="K50" s="9">
        <v>0.5</v>
      </c>
      <c r="L50" s="9">
        <v>0</v>
      </c>
      <c r="M50" s="9">
        <v>0</v>
      </c>
      <c r="N50" s="9">
        <v>0</v>
      </c>
      <c r="O50" s="23">
        <v>0.5</v>
      </c>
      <c r="P50" s="9">
        <v>0.93</v>
      </c>
      <c r="Q50" s="9">
        <v>0</v>
      </c>
      <c r="R50" s="9">
        <v>0.02</v>
      </c>
      <c r="S50" s="9">
        <v>0.5</v>
      </c>
      <c r="T50" s="9">
        <v>0.5</v>
      </c>
      <c r="U50" s="9">
        <v>0.5</v>
      </c>
      <c r="V50" s="9">
        <v>0</v>
      </c>
    </row>
    <row r="51" spans="1:22" x14ac:dyDescent="0.45">
      <c r="A51">
        <v>1</v>
      </c>
      <c r="B51" t="str">
        <f>VLOOKUP(F51,'TRA balance'!$AK$5:$AL$14,2,FALSE)</f>
        <v>TRALPG</v>
      </c>
      <c r="C51" s="11"/>
      <c r="D51" s="11"/>
      <c r="E51" s="12" t="s">
        <v>58</v>
      </c>
      <c r="F51" s="13" t="str">
        <f t="shared" si="23"/>
        <v>Liquified Petroleum Gases</v>
      </c>
      <c r="G51" s="11"/>
      <c r="H51" s="12" t="str">
        <f t="shared" ref="H51:V51" si="26">IF(SUM(H49:H50)=1,"-","&lt;&gt;1!!")</f>
        <v>-</v>
      </c>
      <c r="I51" s="12" t="str">
        <f t="shared" si="26"/>
        <v>-</v>
      </c>
      <c r="J51" s="12" t="str">
        <f t="shared" si="26"/>
        <v>-</v>
      </c>
      <c r="K51" s="12" t="str">
        <f t="shared" si="26"/>
        <v>-</v>
      </c>
      <c r="L51" s="12" t="str">
        <f t="shared" si="26"/>
        <v>-</v>
      </c>
      <c r="M51" s="12" t="str">
        <f t="shared" si="26"/>
        <v>-</v>
      </c>
      <c r="N51" s="12" t="str">
        <f t="shared" si="26"/>
        <v>-</v>
      </c>
      <c r="O51" s="12" t="str">
        <f t="shared" si="26"/>
        <v>-</v>
      </c>
      <c r="P51" s="12" t="str">
        <f t="shared" si="26"/>
        <v>-</v>
      </c>
      <c r="Q51" s="12" t="str">
        <f t="shared" si="26"/>
        <v>-</v>
      </c>
      <c r="R51" s="12" t="str">
        <f t="shared" si="26"/>
        <v>-</v>
      </c>
      <c r="S51" s="12" t="str">
        <f t="shared" si="26"/>
        <v>-</v>
      </c>
      <c r="T51" s="12" t="str">
        <f t="shared" si="26"/>
        <v>-</v>
      </c>
      <c r="U51" s="12" t="str">
        <f t="shared" si="26"/>
        <v>-</v>
      </c>
      <c r="V51" s="12" t="str">
        <f t="shared" si="26"/>
        <v>-</v>
      </c>
    </row>
    <row r="52" spans="1:22" x14ac:dyDescent="0.45">
      <c r="A52">
        <v>1</v>
      </c>
      <c r="B52" t="str">
        <f>VLOOKUP(F52,'TRA balance'!$AK$5:$AL$14,2,FALSE)</f>
        <v>TRANGA</v>
      </c>
      <c r="C52" s="14">
        <v>1</v>
      </c>
      <c r="D52" s="15" t="s">
        <v>16</v>
      </c>
      <c r="E52" s="15" t="s">
        <v>59</v>
      </c>
      <c r="F52" s="16" t="s">
        <v>83</v>
      </c>
      <c r="G52" s="14"/>
      <c r="H52" s="17">
        <v>0.25</v>
      </c>
      <c r="I52" s="17">
        <v>0.25</v>
      </c>
      <c r="J52" s="17">
        <v>0.68200000000000005</v>
      </c>
      <c r="K52" s="17">
        <v>0.4</v>
      </c>
      <c r="L52" s="17">
        <v>0.5</v>
      </c>
      <c r="M52" s="17">
        <v>0</v>
      </c>
      <c r="N52" s="17">
        <v>0.7</v>
      </c>
      <c r="O52" s="17">
        <v>0.25</v>
      </c>
      <c r="P52" s="17">
        <v>0.95</v>
      </c>
      <c r="Q52" s="24">
        <f>V52</f>
        <v>0.68200000000000005</v>
      </c>
      <c r="R52" s="17">
        <v>0.55000000000000004</v>
      </c>
      <c r="S52" s="17">
        <v>0.9</v>
      </c>
      <c r="T52" s="17">
        <v>1</v>
      </c>
      <c r="U52" s="17">
        <v>0.97916979455979025</v>
      </c>
      <c r="V52" s="17">
        <v>0.68200000000000005</v>
      </c>
    </row>
    <row r="53" spans="1:22" x14ac:dyDescent="0.45">
      <c r="A53">
        <v>1</v>
      </c>
      <c r="B53" t="str">
        <f>VLOOKUP(F53,'TRA balance'!$AK$5:$AL$14,2,FALSE)</f>
        <v>TRANGA</v>
      </c>
      <c r="C53" s="6" t="str">
        <f t="shared" si="0"/>
        <v>TR</v>
      </c>
      <c r="D53" s="7" t="s">
        <v>16</v>
      </c>
      <c r="E53" s="18" t="s">
        <v>61</v>
      </c>
      <c r="F53" s="8" t="str">
        <f>F52</f>
        <v>Natural Gas</v>
      </c>
      <c r="G53" s="6" t="s">
        <v>62</v>
      </c>
      <c r="H53" s="9">
        <v>0.5</v>
      </c>
      <c r="I53" s="9">
        <v>0.5</v>
      </c>
      <c r="J53" s="9">
        <v>0.92</v>
      </c>
      <c r="K53" s="9">
        <v>0.67</v>
      </c>
      <c r="L53" s="9">
        <v>0.6</v>
      </c>
      <c r="M53" s="23">
        <f>V53</f>
        <v>0.92</v>
      </c>
      <c r="N53" s="9">
        <v>0.8</v>
      </c>
      <c r="O53" s="9">
        <v>0.5</v>
      </c>
      <c r="P53" s="9">
        <v>0.8</v>
      </c>
      <c r="Q53" s="23">
        <f>V53</f>
        <v>0.92</v>
      </c>
      <c r="R53" s="9">
        <v>0.2</v>
      </c>
      <c r="S53" s="9">
        <v>0.8</v>
      </c>
      <c r="T53" s="9">
        <v>0.6</v>
      </c>
      <c r="U53" s="9">
        <v>0.5236972745320454</v>
      </c>
      <c r="V53" s="9">
        <v>0.92</v>
      </c>
    </row>
    <row r="54" spans="1:22" x14ac:dyDescent="0.45">
      <c r="A54">
        <v>1</v>
      </c>
      <c r="B54" t="str">
        <f>VLOOKUP(F54,'TRA balance'!$AK$5:$AL$14,2,FALSE)</f>
        <v>TRANGA</v>
      </c>
      <c r="C54" s="6" t="str">
        <f t="shared" si="0"/>
        <v>TR</v>
      </c>
      <c r="D54" s="7" t="s">
        <v>16</v>
      </c>
      <c r="E54" s="18" t="s">
        <v>63</v>
      </c>
      <c r="F54" s="8" t="str">
        <f t="shared" ref="F54" si="27">F53</f>
        <v>Natural Gas</v>
      </c>
      <c r="G54" s="6" t="s">
        <v>64</v>
      </c>
      <c r="H54" s="9">
        <v>0.5</v>
      </c>
      <c r="I54" s="9">
        <v>0.5</v>
      </c>
      <c r="J54" s="9">
        <v>0.08</v>
      </c>
      <c r="K54" s="9">
        <v>0.33</v>
      </c>
      <c r="L54" s="9">
        <v>0.4</v>
      </c>
      <c r="M54" s="23">
        <f t="shared" ref="M54" si="28">V54</f>
        <v>0.08</v>
      </c>
      <c r="N54" s="9">
        <v>0.2</v>
      </c>
      <c r="O54" s="9">
        <v>0.5</v>
      </c>
      <c r="P54" s="9">
        <v>0.2</v>
      </c>
      <c r="Q54" s="23">
        <f t="shared" ref="Q54" si="29">V54</f>
        <v>0.08</v>
      </c>
      <c r="R54" s="9">
        <v>0.8</v>
      </c>
      <c r="S54" s="9">
        <v>0.2</v>
      </c>
      <c r="T54" s="9">
        <v>0.4</v>
      </c>
      <c r="U54" s="9">
        <v>0.4763027254679546</v>
      </c>
      <c r="V54" s="9">
        <v>0.08</v>
      </c>
    </row>
    <row r="55" spans="1:22" x14ac:dyDescent="0.45">
      <c r="A55">
        <v>1</v>
      </c>
      <c r="B55" t="str">
        <f>VLOOKUP(F55,'TRA balance'!$AK$5:$AL$14,2,FALSE)</f>
        <v>TRANGA</v>
      </c>
      <c r="C55" s="6" t="str">
        <f t="shared" si="0"/>
        <v/>
      </c>
      <c r="D55" s="7"/>
      <c r="E55" s="19" t="s">
        <v>69</v>
      </c>
      <c r="F55" s="8" t="str">
        <f>F54</f>
        <v>Natural Gas</v>
      </c>
      <c r="G55" s="6"/>
      <c r="H55" s="20" t="str">
        <f>IF(SUM(H53:H54)=1,"-","&lt;&gt;1!!")</f>
        <v>-</v>
      </c>
      <c r="I55" s="20" t="str">
        <f t="shared" ref="I55:V55" si="30">IF(SUM(I53:I54)=1,"-","&lt;&gt;1!!")</f>
        <v>-</v>
      </c>
      <c r="J55" s="20" t="str">
        <f t="shared" si="30"/>
        <v>-</v>
      </c>
      <c r="K55" s="20" t="str">
        <f t="shared" si="30"/>
        <v>-</v>
      </c>
      <c r="L55" s="20" t="str">
        <f t="shared" si="30"/>
        <v>-</v>
      </c>
      <c r="M55" s="20" t="str">
        <f t="shared" si="30"/>
        <v>-</v>
      </c>
      <c r="N55" s="20" t="str">
        <f t="shared" si="30"/>
        <v>-</v>
      </c>
      <c r="O55" s="20" t="str">
        <f t="shared" si="30"/>
        <v>-</v>
      </c>
      <c r="P55" s="20" t="str">
        <f t="shared" si="30"/>
        <v>-</v>
      </c>
      <c r="Q55" s="20" t="str">
        <f t="shared" si="30"/>
        <v>-</v>
      </c>
      <c r="R55" s="20" t="str">
        <f t="shared" si="30"/>
        <v>-</v>
      </c>
      <c r="S55" s="20" t="str">
        <f t="shared" si="30"/>
        <v>-</v>
      </c>
      <c r="T55" s="20" t="str">
        <f t="shared" si="30"/>
        <v>-</v>
      </c>
      <c r="U55" s="20" t="str">
        <f t="shared" si="30"/>
        <v>-</v>
      </c>
      <c r="V55" s="20" t="str">
        <f t="shared" si="30"/>
        <v>-</v>
      </c>
    </row>
    <row r="56" spans="1:22" x14ac:dyDescent="0.45">
      <c r="A56">
        <v>1</v>
      </c>
      <c r="B56" t="str">
        <f>VLOOKUP(F56,'TRA balance'!$AK$5:$AL$14,2,FALSE)</f>
        <v>TRANGA</v>
      </c>
      <c r="C56" s="14">
        <v>2</v>
      </c>
      <c r="D56" s="15" t="s">
        <v>16</v>
      </c>
      <c r="E56" s="15" t="s">
        <v>70</v>
      </c>
      <c r="F56" s="16" t="str">
        <f>F55</f>
        <v>Natural Gas</v>
      </c>
      <c r="G56" s="14"/>
      <c r="H56" s="21">
        <f t="shared" ref="H56:V56" si="31">1-H52</f>
        <v>0.75</v>
      </c>
      <c r="I56" s="21">
        <f t="shared" si="31"/>
        <v>0.75</v>
      </c>
      <c r="J56" s="21">
        <f t="shared" si="31"/>
        <v>0.31799999999999995</v>
      </c>
      <c r="K56" s="21">
        <f t="shared" si="31"/>
        <v>0.6</v>
      </c>
      <c r="L56" s="21">
        <f t="shared" si="31"/>
        <v>0.5</v>
      </c>
      <c r="M56" s="21">
        <f t="shared" si="31"/>
        <v>1</v>
      </c>
      <c r="N56" s="21">
        <f t="shared" si="31"/>
        <v>0.30000000000000004</v>
      </c>
      <c r="O56" s="21">
        <f t="shared" si="31"/>
        <v>0.75</v>
      </c>
      <c r="P56" s="21">
        <f t="shared" si="31"/>
        <v>5.0000000000000044E-2</v>
      </c>
      <c r="Q56" s="21">
        <f t="shared" si="31"/>
        <v>0.31799999999999995</v>
      </c>
      <c r="R56" s="21">
        <f t="shared" si="31"/>
        <v>0.44999999999999996</v>
      </c>
      <c r="S56" s="21">
        <f t="shared" si="31"/>
        <v>9.9999999999999978E-2</v>
      </c>
      <c r="T56" s="21">
        <f t="shared" si="31"/>
        <v>0</v>
      </c>
      <c r="U56" s="21">
        <f t="shared" si="31"/>
        <v>2.0830205440209748E-2</v>
      </c>
      <c r="V56" s="21">
        <f t="shared" si="31"/>
        <v>0.31799999999999995</v>
      </c>
    </row>
    <row r="57" spans="1:22" x14ac:dyDescent="0.45">
      <c r="A57">
        <v>2</v>
      </c>
      <c r="B57" t="str">
        <f>VLOOKUP(F57,'TRA balance'!$AK$5:$AL$14,2,FALSE)</f>
        <v>TRANGA</v>
      </c>
      <c r="C57" s="6" t="str">
        <f t="shared" si="0"/>
        <v>TR</v>
      </c>
      <c r="D57" s="7" t="s">
        <v>16</v>
      </c>
      <c r="E57" s="18" t="s">
        <v>71</v>
      </c>
      <c r="F57" s="8" t="str">
        <f>F56</f>
        <v>Natural Gas</v>
      </c>
      <c r="G57" s="6" t="s">
        <v>72</v>
      </c>
      <c r="H57" s="9">
        <v>0.8</v>
      </c>
      <c r="I57" s="9">
        <v>0.8</v>
      </c>
      <c r="J57" s="9">
        <v>1</v>
      </c>
      <c r="K57" s="9">
        <v>0.8</v>
      </c>
      <c r="L57" s="9">
        <v>0.6</v>
      </c>
      <c r="M57" s="23">
        <f>V57</f>
        <v>1</v>
      </c>
      <c r="N57" s="9">
        <v>0</v>
      </c>
      <c r="O57" s="9">
        <v>0.8</v>
      </c>
      <c r="P57" s="9">
        <v>0</v>
      </c>
      <c r="Q57" s="23">
        <f t="shared" ref="Q57" si="32">V57</f>
        <v>1</v>
      </c>
      <c r="R57" s="9">
        <v>0.8</v>
      </c>
      <c r="S57" s="9">
        <v>0.7</v>
      </c>
      <c r="T57" s="9">
        <v>0</v>
      </c>
      <c r="U57" s="9">
        <v>0.02</v>
      </c>
      <c r="V57" s="9">
        <v>1</v>
      </c>
    </row>
    <row r="58" spans="1:22" x14ac:dyDescent="0.45">
      <c r="A58">
        <v>2</v>
      </c>
      <c r="B58" t="str">
        <f>VLOOKUP(F58,'TRA balance'!$AK$5:$AL$14,2,FALSE)</f>
        <v>TRANGA</v>
      </c>
      <c r="C58" s="6" t="str">
        <f t="shared" si="0"/>
        <v>TR</v>
      </c>
      <c r="D58" s="7" t="s">
        <v>16</v>
      </c>
      <c r="E58" s="18" t="s">
        <v>73</v>
      </c>
      <c r="F58" s="8" t="str">
        <f t="shared" ref="F58:F61" si="33">F57</f>
        <v>Natural Gas</v>
      </c>
      <c r="G58" s="6" t="s">
        <v>74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</row>
    <row r="59" spans="1:22" x14ac:dyDescent="0.45">
      <c r="A59">
        <v>2</v>
      </c>
      <c r="B59" t="str">
        <f>VLOOKUP(F59,'TRA balance'!$AK$5:$AL$14,2,FALSE)</f>
        <v>TRANGA</v>
      </c>
      <c r="C59" s="6" t="str">
        <f t="shared" si="0"/>
        <v>TR</v>
      </c>
      <c r="D59" s="7" t="s">
        <v>16</v>
      </c>
      <c r="E59" s="18" t="s">
        <v>75</v>
      </c>
      <c r="F59" s="8" t="str">
        <f t="shared" si="33"/>
        <v>Natural Gas</v>
      </c>
      <c r="G59" s="6" t="s">
        <v>76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</row>
    <row r="60" spans="1:22" x14ac:dyDescent="0.45">
      <c r="A60">
        <v>2</v>
      </c>
      <c r="B60" t="str">
        <f>VLOOKUP(F60,'TRA balance'!$AK$5:$AL$14,2,FALSE)</f>
        <v>TRANGA</v>
      </c>
      <c r="C60" s="6" t="str">
        <f t="shared" si="0"/>
        <v>TR</v>
      </c>
      <c r="D60" s="7" t="s">
        <v>16</v>
      </c>
      <c r="E60" s="18" t="s">
        <v>77</v>
      </c>
      <c r="F60" s="8" t="str">
        <f t="shared" si="33"/>
        <v>Natural Gas</v>
      </c>
      <c r="G60" s="6" t="s">
        <v>78</v>
      </c>
      <c r="H60" s="9">
        <f>1-SUM(H57:H59)</f>
        <v>0.19999999999999996</v>
      </c>
      <c r="I60" s="9">
        <f t="shared" ref="I60" si="34">1-SUM(I57:I59)</f>
        <v>0.19999999999999996</v>
      </c>
      <c r="J60" s="9">
        <f t="shared" ref="J60" si="35">1-SUM(J57:J59)</f>
        <v>0</v>
      </c>
      <c r="K60" s="9">
        <f t="shared" ref="K60" si="36">1-SUM(K57:K59)</f>
        <v>0.19999999999999996</v>
      </c>
      <c r="L60" s="9">
        <f t="shared" ref="L60" si="37">1-SUM(L57:L59)</f>
        <v>0.4</v>
      </c>
      <c r="M60" s="9">
        <f t="shared" ref="M60" si="38">1-SUM(M57:M59)</f>
        <v>0</v>
      </c>
      <c r="N60" s="9">
        <f t="shared" ref="N60" si="39">1-SUM(N57:N59)</f>
        <v>1</v>
      </c>
      <c r="O60" s="9">
        <f t="shared" ref="O60" si="40">1-SUM(O57:O59)</f>
        <v>0.19999999999999996</v>
      </c>
      <c r="P60" s="9">
        <f t="shared" ref="P60" si="41">1-SUM(P57:P59)</f>
        <v>1</v>
      </c>
      <c r="Q60" s="9">
        <f t="shared" ref="Q60" si="42">1-SUM(Q57:Q59)</f>
        <v>0</v>
      </c>
      <c r="R60" s="9">
        <f t="shared" ref="R60" si="43">1-SUM(R57:R59)</f>
        <v>0.19999999999999996</v>
      </c>
      <c r="S60" s="9">
        <f t="shared" ref="S60" si="44">1-SUM(S57:S59)</f>
        <v>0.30000000000000004</v>
      </c>
      <c r="T60" s="9">
        <f t="shared" ref="T60" si="45">1-SUM(T57:T59)</f>
        <v>1</v>
      </c>
      <c r="U60" s="9">
        <f t="shared" ref="U60" si="46">1-SUM(U57:U59)</f>
        <v>0.98</v>
      </c>
      <c r="V60" s="9">
        <f t="shared" ref="V60" si="47">1-SUM(V57:V59)</f>
        <v>0</v>
      </c>
    </row>
    <row r="61" spans="1:22" x14ac:dyDescent="0.45">
      <c r="A61">
        <v>1</v>
      </c>
      <c r="B61" t="str">
        <f>VLOOKUP(F61,'TRA balance'!$AK$5:$AL$14,2,FALSE)</f>
        <v>TRANGA</v>
      </c>
      <c r="C61" s="11" t="str">
        <f t="shared" si="0"/>
        <v/>
      </c>
      <c r="D61" s="25"/>
      <c r="E61" s="12" t="s">
        <v>79</v>
      </c>
      <c r="F61" s="13" t="str">
        <f t="shared" si="33"/>
        <v>Natural Gas</v>
      </c>
      <c r="G61" s="11"/>
      <c r="H61" s="22" t="str">
        <f>IF(SUM(H57:H60)=1,"-",SUM(H57:H60))</f>
        <v>-</v>
      </c>
      <c r="I61" s="22" t="str">
        <f t="shared" ref="I61" si="48">IF(SUM(I57:I60)=1,"-",SUM(I57:I60))</f>
        <v>-</v>
      </c>
      <c r="J61" s="22" t="str">
        <f t="shared" ref="J61" si="49">IF(SUM(J57:J60)=1,"-",SUM(J57:J60))</f>
        <v>-</v>
      </c>
      <c r="K61" s="22" t="str">
        <f t="shared" ref="K61" si="50">IF(SUM(K57:K60)=1,"-",SUM(K57:K60))</f>
        <v>-</v>
      </c>
      <c r="L61" s="22" t="str">
        <f t="shared" ref="L61" si="51">IF(SUM(L57:L60)=1,"-",SUM(L57:L60))</f>
        <v>-</v>
      </c>
      <c r="M61" s="22" t="str">
        <f t="shared" ref="M61" si="52">IF(SUM(M57:M60)=1,"-",SUM(M57:M60))</f>
        <v>-</v>
      </c>
      <c r="N61" s="22" t="str">
        <f t="shared" ref="N61" si="53">IF(SUM(N57:N60)=1,"-",SUM(N57:N60))</f>
        <v>-</v>
      </c>
      <c r="O61" s="22" t="str">
        <f t="shared" ref="O61" si="54">IF(SUM(O57:O60)=1,"-",SUM(O57:O60))</f>
        <v>-</v>
      </c>
      <c r="P61" s="22" t="str">
        <f t="shared" ref="P61" si="55">IF(SUM(P57:P60)=1,"-",SUM(P57:P60))</f>
        <v>-</v>
      </c>
      <c r="Q61" s="22" t="str">
        <f t="shared" ref="Q61" si="56">IF(SUM(Q57:Q60)=1,"-",SUM(Q57:Q60))</f>
        <v>-</v>
      </c>
      <c r="R61" s="22" t="str">
        <f t="shared" ref="R61" si="57">IF(SUM(R57:R60)=1,"-",SUM(R57:R60))</f>
        <v>-</v>
      </c>
      <c r="S61" s="22" t="str">
        <f t="shared" ref="S61" si="58">IF(SUM(S57:S60)=1,"-",SUM(S57:S60))</f>
        <v>-</v>
      </c>
      <c r="T61" s="22" t="str">
        <f t="shared" ref="T61" si="59">IF(SUM(T57:T60)=1,"-",SUM(T57:T60))</f>
        <v>-</v>
      </c>
      <c r="U61" s="22" t="str">
        <f t="shared" ref="U61" si="60">IF(SUM(U57:U60)=1,"-",SUM(U57:U60))</f>
        <v>-</v>
      </c>
      <c r="V61" s="22" t="str">
        <f t="shared" ref="V61" si="61">IF(SUM(V57:V60)=1,"-",SUM(V57:V60))</f>
        <v>-</v>
      </c>
    </row>
    <row r="62" spans="1:22" x14ac:dyDescent="0.45">
      <c r="A62">
        <v>1</v>
      </c>
      <c r="B62" t="str">
        <f>VLOOKUP(F62,'TRA balance'!$AK$5:$AL$14,2,FALSE)</f>
        <v>TRABDS</v>
      </c>
      <c r="C62" s="14">
        <v>1</v>
      </c>
      <c r="D62" s="15" t="s">
        <v>16</v>
      </c>
      <c r="E62" s="15" t="s">
        <v>59</v>
      </c>
      <c r="F62" s="16" t="s">
        <v>84</v>
      </c>
      <c r="G62" s="14"/>
      <c r="H62" s="93">
        <f>H6</f>
        <v>0.1</v>
      </c>
      <c r="I62" s="93">
        <f t="shared" ref="I62:V62" si="62">I6</f>
        <v>0.02</v>
      </c>
      <c r="J62" s="93">
        <f t="shared" si="62"/>
        <v>0.02</v>
      </c>
      <c r="K62" s="93">
        <f t="shared" si="62"/>
        <v>0.1</v>
      </c>
      <c r="L62" s="93">
        <f t="shared" si="62"/>
        <v>7.0000000000000007E-2</v>
      </c>
      <c r="M62" s="93">
        <f t="shared" si="62"/>
        <v>0.35051309933039143</v>
      </c>
      <c r="N62" s="93">
        <f t="shared" si="62"/>
        <v>0.05</v>
      </c>
      <c r="O62" s="93">
        <f t="shared" si="62"/>
        <v>0.25</v>
      </c>
      <c r="P62" s="93">
        <f t="shared" si="62"/>
        <v>0.05</v>
      </c>
      <c r="Q62" s="93">
        <f t="shared" si="62"/>
        <v>0.1</v>
      </c>
      <c r="R62" s="93">
        <f t="shared" si="62"/>
        <v>0.15</v>
      </c>
      <c r="S62" s="93">
        <f t="shared" si="62"/>
        <v>0.08</v>
      </c>
      <c r="T62" s="93">
        <f t="shared" si="62"/>
        <v>0.11</v>
      </c>
      <c r="U62" s="93">
        <f t="shared" si="62"/>
        <v>2.4406421822616497E-2</v>
      </c>
      <c r="V62" s="93">
        <f t="shared" si="62"/>
        <v>0.45342524249014599</v>
      </c>
    </row>
    <row r="63" spans="1:22" x14ac:dyDescent="0.45">
      <c r="A63">
        <v>1</v>
      </c>
      <c r="B63" t="str">
        <f>VLOOKUP(F63,'TRA balance'!$AK$5:$AL$14,2,FALSE)</f>
        <v>TRABDS</v>
      </c>
      <c r="C63" s="6" t="str">
        <f t="shared" si="0"/>
        <v>TR</v>
      </c>
      <c r="D63" s="7" t="s">
        <v>16</v>
      </c>
      <c r="E63" s="18" t="s">
        <v>61</v>
      </c>
      <c r="F63" s="8" t="str">
        <f>F62</f>
        <v>Bio Diesel</v>
      </c>
      <c r="G63" s="6" t="s">
        <v>62</v>
      </c>
      <c r="H63" s="93">
        <f t="shared" ref="H63:V63" si="63">H7</f>
        <v>0.5</v>
      </c>
      <c r="I63" s="93">
        <f t="shared" si="63"/>
        <v>0.3</v>
      </c>
      <c r="J63" s="93">
        <f t="shared" si="63"/>
        <v>0.4</v>
      </c>
      <c r="K63" s="93">
        <f t="shared" si="63"/>
        <v>0.2</v>
      </c>
      <c r="L63" s="93">
        <f t="shared" si="63"/>
        <v>0.3</v>
      </c>
      <c r="M63" s="93">
        <f t="shared" si="63"/>
        <v>0.51</v>
      </c>
      <c r="N63" s="93">
        <f t="shared" si="63"/>
        <v>0.51</v>
      </c>
      <c r="O63" s="93">
        <f t="shared" si="63"/>
        <v>0.4</v>
      </c>
      <c r="P63" s="93">
        <f t="shared" si="63"/>
        <v>0.46</v>
      </c>
      <c r="Q63" s="93">
        <f t="shared" si="63"/>
        <v>0.2</v>
      </c>
      <c r="R63" s="93">
        <f t="shared" si="63"/>
        <v>0.7</v>
      </c>
      <c r="S63" s="93">
        <f t="shared" si="63"/>
        <v>0.34</v>
      </c>
      <c r="T63" s="93">
        <f t="shared" si="63"/>
        <v>0.39</v>
      </c>
      <c r="U63" s="93">
        <f t="shared" si="63"/>
        <v>0.39173710207873419</v>
      </c>
      <c r="V63" s="93">
        <f t="shared" si="63"/>
        <v>0.8</v>
      </c>
    </row>
    <row r="64" spans="1:22" x14ac:dyDescent="0.45">
      <c r="A64">
        <v>1</v>
      </c>
      <c r="B64" t="str">
        <f>VLOOKUP(F64,'TRA balance'!$AK$5:$AL$14,2,FALSE)</f>
        <v>TRABDS</v>
      </c>
      <c r="C64" s="6" t="str">
        <f t="shared" si="0"/>
        <v>TR</v>
      </c>
      <c r="D64" s="7" t="s">
        <v>16</v>
      </c>
      <c r="E64" s="18" t="s">
        <v>63</v>
      </c>
      <c r="F64" s="8" t="str">
        <f t="shared" ref="F64:F67" si="64">F63</f>
        <v>Bio Diesel</v>
      </c>
      <c r="G64" s="6" t="s">
        <v>64</v>
      </c>
      <c r="H64" s="93">
        <f t="shared" ref="H64:V64" si="65">H8</f>
        <v>0.5</v>
      </c>
      <c r="I64" s="93">
        <f t="shared" si="65"/>
        <v>0.7</v>
      </c>
      <c r="J64" s="93">
        <f t="shared" si="65"/>
        <v>0.6</v>
      </c>
      <c r="K64" s="93">
        <f t="shared" si="65"/>
        <v>0.2</v>
      </c>
      <c r="L64" s="93">
        <f t="shared" si="65"/>
        <v>0.69</v>
      </c>
      <c r="M64" s="93">
        <f t="shared" si="65"/>
        <v>0.49</v>
      </c>
      <c r="N64" s="93">
        <f t="shared" si="65"/>
        <v>0.49</v>
      </c>
      <c r="O64" s="93">
        <f t="shared" si="65"/>
        <v>0.35</v>
      </c>
      <c r="P64" s="93">
        <f t="shared" si="65"/>
        <v>0.53</v>
      </c>
      <c r="Q64" s="93">
        <f t="shared" si="65"/>
        <v>0.8</v>
      </c>
      <c r="R64" s="93">
        <f t="shared" si="65"/>
        <v>0.30000000000000004</v>
      </c>
      <c r="S64" s="93">
        <f t="shared" si="65"/>
        <v>0.66</v>
      </c>
      <c r="T64" s="93">
        <f t="shared" si="65"/>
        <v>0.61</v>
      </c>
      <c r="U64" s="93">
        <f t="shared" si="65"/>
        <v>0.60826289792126587</v>
      </c>
      <c r="V64" s="93">
        <f t="shared" si="65"/>
        <v>0.2</v>
      </c>
    </row>
    <row r="65" spans="1:22" x14ac:dyDescent="0.45">
      <c r="A65">
        <v>1</v>
      </c>
      <c r="B65" t="str">
        <f>VLOOKUP(F65,'TRA balance'!$AK$5:$AL$14,2,FALSE)</f>
        <v>TRABDS</v>
      </c>
      <c r="C65" s="6" t="str">
        <f t="shared" si="0"/>
        <v>TR</v>
      </c>
      <c r="D65" s="7" t="s">
        <v>16</v>
      </c>
      <c r="E65" s="18" t="s">
        <v>65</v>
      </c>
      <c r="F65" s="8" t="str">
        <f t="shared" si="64"/>
        <v>Bio Diesel</v>
      </c>
      <c r="G65" s="6" t="s">
        <v>66</v>
      </c>
      <c r="H65" s="93">
        <f t="shared" ref="H65:V65" si="66">H9</f>
        <v>0</v>
      </c>
      <c r="I65" s="93">
        <f t="shared" si="66"/>
        <v>0</v>
      </c>
      <c r="J65" s="93">
        <f t="shared" si="66"/>
        <v>0</v>
      </c>
      <c r="K65" s="93">
        <f t="shared" si="66"/>
        <v>0.6</v>
      </c>
      <c r="L65" s="93">
        <f t="shared" si="66"/>
        <v>0.01</v>
      </c>
      <c r="M65" s="93">
        <f t="shared" si="66"/>
        <v>0</v>
      </c>
      <c r="N65" s="93">
        <f t="shared" si="66"/>
        <v>0</v>
      </c>
      <c r="O65" s="93">
        <f t="shared" si="66"/>
        <v>0.25</v>
      </c>
      <c r="P65" s="93">
        <f t="shared" si="66"/>
        <v>0.01</v>
      </c>
      <c r="Q65" s="93">
        <f t="shared" si="66"/>
        <v>0</v>
      </c>
      <c r="R65" s="93">
        <f t="shared" si="66"/>
        <v>0</v>
      </c>
      <c r="S65" s="93">
        <f t="shared" si="66"/>
        <v>0</v>
      </c>
      <c r="T65" s="93">
        <f t="shared" si="66"/>
        <v>0</v>
      </c>
      <c r="U65" s="93">
        <f t="shared" si="66"/>
        <v>0</v>
      </c>
      <c r="V65" s="93">
        <f t="shared" si="66"/>
        <v>0</v>
      </c>
    </row>
    <row r="66" spans="1:22" x14ac:dyDescent="0.45">
      <c r="A66">
        <v>1</v>
      </c>
      <c r="B66" t="str">
        <f>VLOOKUP(F66,'TRA balance'!$AK$5:$AL$14,2,FALSE)</f>
        <v>TRABDS</v>
      </c>
      <c r="C66" s="6" t="str">
        <f t="shared" si="0"/>
        <v>TR</v>
      </c>
      <c r="D66" s="7" t="s">
        <v>16</v>
      </c>
      <c r="E66" s="18" t="s">
        <v>67</v>
      </c>
      <c r="F66" s="8" t="str">
        <f t="shared" si="64"/>
        <v>Bio Diesel</v>
      </c>
      <c r="G66" s="6" t="s">
        <v>68</v>
      </c>
      <c r="H66" s="93">
        <f t="shared" ref="H66:V66" si="67">H10</f>
        <v>0</v>
      </c>
      <c r="I66" s="93">
        <f t="shared" si="67"/>
        <v>0</v>
      </c>
      <c r="J66" s="93">
        <f t="shared" si="67"/>
        <v>0</v>
      </c>
      <c r="K66" s="93">
        <f t="shared" si="67"/>
        <v>0</v>
      </c>
      <c r="L66" s="93">
        <f t="shared" si="67"/>
        <v>0</v>
      </c>
      <c r="M66" s="93">
        <f t="shared" si="67"/>
        <v>0</v>
      </c>
      <c r="N66" s="93">
        <f t="shared" si="67"/>
        <v>0</v>
      </c>
      <c r="O66" s="93">
        <f t="shared" si="67"/>
        <v>0</v>
      </c>
      <c r="P66" s="93">
        <f t="shared" si="67"/>
        <v>0</v>
      </c>
      <c r="Q66" s="93">
        <f t="shared" si="67"/>
        <v>0</v>
      </c>
      <c r="R66" s="93">
        <f t="shared" si="67"/>
        <v>0</v>
      </c>
      <c r="S66" s="93">
        <f t="shared" si="67"/>
        <v>0</v>
      </c>
      <c r="T66" s="93">
        <f t="shared" si="67"/>
        <v>0</v>
      </c>
      <c r="U66" s="93">
        <f t="shared" si="67"/>
        <v>0</v>
      </c>
      <c r="V66" s="93">
        <f t="shared" si="67"/>
        <v>0</v>
      </c>
    </row>
    <row r="67" spans="1:22" x14ac:dyDescent="0.45">
      <c r="A67">
        <v>1</v>
      </c>
      <c r="B67" t="str">
        <f>VLOOKUP(F67,'TRA balance'!$AK$5:$AL$14,2,FALSE)</f>
        <v>TRABDS</v>
      </c>
      <c r="C67" s="6" t="str">
        <f t="shared" si="0"/>
        <v/>
      </c>
      <c r="D67" s="7"/>
      <c r="E67" s="19" t="s">
        <v>69</v>
      </c>
      <c r="F67" s="8" t="str">
        <f t="shared" si="64"/>
        <v>Bio Diesel</v>
      </c>
      <c r="G67" s="6"/>
      <c r="H67" s="20" t="str">
        <f>IF(SUM(H63:H66)=1,"-","&lt;&gt;1!!")</f>
        <v>-</v>
      </c>
      <c r="I67" s="20" t="str">
        <f t="shared" ref="I67:V67" si="68">IF(SUM(I63:I66)=1,"-","&lt;&gt;1!!")</f>
        <v>-</v>
      </c>
      <c r="J67" s="20" t="str">
        <f t="shared" si="68"/>
        <v>-</v>
      </c>
      <c r="K67" s="20" t="str">
        <f t="shared" si="68"/>
        <v>-</v>
      </c>
      <c r="L67" s="20" t="str">
        <f t="shared" si="68"/>
        <v>-</v>
      </c>
      <c r="M67" s="20" t="str">
        <f t="shared" si="68"/>
        <v>-</v>
      </c>
      <c r="N67" s="20" t="str">
        <f t="shared" si="68"/>
        <v>-</v>
      </c>
      <c r="O67" s="20" t="str">
        <f t="shared" si="68"/>
        <v>-</v>
      </c>
      <c r="P67" s="20" t="str">
        <f t="shared" si="68"/>
        <v>-</v>
      </c>
      <c r="Q67" s="20" t="str">
        <f t="shared" si="68"/>
        <v>-</v>
      </c>
      <c r="R67" s="20" t="str">
        <f t="shared" si="68"/>
        <v>-</v>
      </c>
      <c r="S67" s="20" t="str">
        <f t="shared" si="68"/>
        <v>-</v>
      </c>
      <c r="T67" s="20" t="str">
        <f t="shared" si="68"/>
        <v>-</v>
      </c>
      <c r="U67" s="20" t="str">
        <f t="shared" si="68"/>
        <v>-</v>
      </c>
      <c r="V67" s="20" t="str">
        <f t="shared" si="68"/>
        <v>-</v>
      </c>
    </row>
    <row r="68" spans="1:22" x14ac:dyDescent="0.45">
      <c r="A68">
        <v>1</v>
      </c>
      <c r="B68" t="str">
        <f>VLOOKUP(F68,'TRA balance'!$AK$5:$AL$14,2,FALSE)</f>
        <v>TRABDS</v>
      </c>
      <c r="C68" s="14">
        <v>2</v>
      </c>
      <c r="D68" s="15" t="s">
        <v>16</v>
      </c>
      <c r="E68" s="15" t="s">
        <v>70</v>
      </c>
      <c r="F68" s="16" t="str">
        <f>F67</f>
        <v>Bio Diesel</v>
      </c>
      <c r="G68" s="14"/>
      <c r="H68" s="21">
        <f>1-H62</f>
        <v>0.9</v>
      </c>
      <c r="I68" s="21">
        <f t="shared" ref="I68:V68" si="69">1-I62</f>
        <v>0.98</v>
      </c>
      <c r="J68" s="21">
        <f t="shared" si="69"/>
        <v>0.98</v>
      </c>
      <c r="K68" s="21">
        <f t="shared" si="69"/>
        <v>0.9</v>
      </c>
      <c r="L68" s="21">
        <f t="shared" si="69"/>
        <v>0.92999999999999994</v>
      </c>
      <c r="M68" s="21">
        <f t="shared" si="69"/>
        <v>0.64948690066960857</v>
      </c>
      <c r="N68" s="21">
        <f t="shared" si="69"/>
        <v>0.95</v>
      </c>
      <c r="O68" s="21">
        <f t="shared" si="69"/>
        <v>0.75</v>
      </c>
      <c r="P68" s="21">
        <f t="shared" si="69"/>
        <v>0.95</v>
      </c>
      <c r="Q68" s="21">
        <f t="shared" si="69"/>
        <v>0.9</v>
      </c>
      <c r="R68" s="21">
        <f t="shared" si="69"/>
        <v>0.85</v>
      </c>
      <c r="S68" s="21">
        <f t="shared" si="69"/>
        <v>0.92</v>
      </c>
      <c r="T68" s="21">
        <f t="shared" si="69"/>
        <v>0.89</v>
      </c>
      <c r="U68" s="21">
        <f t="shared" si="69"/>
        <v>0.97559357817738346</v>
      </c>
      <c r="V68" s="21">
        <f t="shared" si="69"/>
        <v>0.54657475750985407</v>
      </c>
    </row>
    <row r="69" spans="1:22" x14ac:dyDescent="0.45">
      <c r="A69">
        <v>2</v>
      </c>
      <c r="B69" t="str">
        <f>VLOOKUP(F69,'TRA balance'!$AK$5:$AL$14,2,FALSE)</f>
        <v>TRABDS</v>
      </c>
      <c r="C69" s="6" t="str">
        <f t="shared" ref="C69:C102" si="70">LEFT(G69,2)</f>
        <v>TR</v>
      </c>
      <c r="D69" s="7" t="s">
        <v>16</v>
      </c>
      <c r="E69" s="18" t="s">
        <v>71</v>
      </c>
      <c r="F69" s="8" t="str">
        <f>F68</f>
        <v>Bio Diesel</v>
      </c>
      <c r="G69" s="6" t="s">
        <v>72</v>
      </c>
      <c r="H69" s="93">
        <f t="shared" ref="H69:V69" si="71">H13</f>
        <v>0.35</v>
      </c>
      <c r="I69" s="93">
        <f t="shared" si="71"/>
        <v>0.15</v>
      </c>
      <c r="J69" s="93">
        <f t="shared" si="71"/>
        <v>0.05</v>
      </c>
      <c r="K69" s="93">
        <f t="shared" si="71"/>
        <v>0.35</v>
      </c>
      <c r="L69" s="93">
        <f t="shared" si="71"/>
        <v>0.1</v>
      </c>
      <c r="M69" s="93">
        <f t="shared" si="71"/>
        <v>0.18784871177674334</v>
      </c>
      <c r="N69" s="93">
        <f t="shared" si="71"/>
        <v>0.1</v>
      </c>
      <c r="O69" s="93">
        <f t="shared" si="71"/>
        <v>0.25</v>
      </c>
      <c r="P69" s="93">
        <f t="shared" si="71"/>
        <v>0.05</v>
      </c>
      <c r="Q69" s="93">
        <f t="shared" si="71"/>
        <v>0.1</v>
      </c>
      <c r="R69" s="93">
        <f t="shared" si="71"/>
        <v>0.1</v>
      </c>
      <c r="S69" s="93">
        <f t="shared" si="71"/>
        <v>0.15</v>
      </c>
      <c r="T69" s="93">
        <f t="shared" si="71"/>
        <v>0.22</v>
      </c>
      <c r="U69" s="93">
        <f t="shared" si="71"/>
        <v>0.04</v>
      </c>
      <c r="V69" s="93">
        <f t="shared" si="71"/>
        <v>0.11108623896935482</v>
      </c>
    </row>
    <row r="70" spans="1:22" x14ac:dyDescent="0.45">
      <c r="A70">
        <v>2</v>
      </c>
      <c r="B70" t="str">
        <f>VLOOKUP(F70,'TRA balance'!$AK$5:$AL$14,2,FALSE)</f>
        <v>TRABDS</v>
      </c>
      <c r="C70" s="6" t="str">
        <f t="shared" si="70"/>
        <v>TR</v>
      </c>
      <c r="D70" s="7" t="s">
        <v>16</v>
      </c>
      <c r="E70" s="18" t="s">
        <v>73</v>
      </c>
      <c r="F70" s="8" t="str">
        <f t="shared" ref="F70:F76" si="72">F69</f>
        <v>Bio Diesel</v>
      </c>
      <c r="G70" s="6" t="s">
        <v>74</v>
      </c>
      <c r="H70" s="93">
        <f t="shared" ref="H70:V70" si="73">H14</f>
        <v>0.35</v>
      </c>
      <c r="I70" s="93">
        <f t="shared" si="73"/>
        <v>0.35</v>
      </c>
      <c r="J70" s="93">
        <f t="shared" si="73"/>
        <v>0.6</v>
      </c>
      <c r="K70" s="93">
        <f t="shared" si="73"/>
        <v>0.35</v>
      </c>
      <c r="L70" s="93">
        <f t="shared" si="73"/>
        <v>0.5</v>
      </c>
      <c r="M70" s="93">
        <f t="shared" si="73"/>
        <v>0.35927560184800655</v>
      </c>
      <c r="N70" s="93">
        <f t="shared" si="73"/>
        <v>0.6</v>
      </c>
      <c r="O70" s="93">
        <f t="shared" si="73"/>
        <v>0.3</v>
      </c>
      <c r="P70" s="93">
        <f t="shared" si="73"/>
        <v>0.5</v>
      </c>
      <c r="Q70" s="93">
        <f t="shared" si="73"/>
        <v>0.5</v>
      </c>
      <c r="R70" s="93">
        <f t="shared" si="73"/>
        <v>0.45</v>
      </c>
      <c r="S70" s="93">
        <f t="shared" si="73"/>
        <v>0.5</v>
      </c>
      <c r="T70" s="93">
        <f t="shared" si="73"/>
        <v>0.38</v>
      </c>
      <c r="U70" s="93">
        <f t="shared" si="73"/>
        <v>0.79999999999999993</v>
      </c>
      <c r="V70" s="93">
        <f t="shared" si="73"/>
        <v>0.38295430560061755</v>
      </c>
    </row>
    <row r="71" spans="1:22" x14ac:dyDescent="0.45">
      <c r="A71">
        <v>2</v>
      </c>
      <c r="B71" t="str">
        <f>VLOOKUP(F71,'TRA balance'!$AK$5:$AL$14,2,FALSE)</f>
        <v>TRABDS</v>
      </c>
      <c r="C71" s="6" t="str">
        <f t="shared" si="70"/>
        <v>TR</v>
      </c>
      <c r="D71" s="7" t="s">
        <v>16</v>
      </c>
      <c r="E71" s="18" t="s">
        <v>75</v>
      </c>
      <c r="F71" s="8" t="str">
        <f t="shared" si="72"/>
        <v>Bio Diesel</v>
      </c>
      <c r="G71" s="6" t="s">
        <v>76</v>
      </c>
      <c r="H71" s="93">
        <f t="shared" ref="H71:V71" si="74">H15</f>
        <v>0.1</v>
      </c>
      <c r="I71" s="93">
        <f t="shared" si="74"/>
        <v>0.3</v>
      </c>
      <c r="J71" s="93">
        <f t="shared" si="74"/>
        <v>0.25</v>
      </c>
      <c r="K71" s="93">
        <f t="shared" si="74"/>
        <v>0.2</v>
      </c>
      <c r="L71" s="93">
        <f t="shared" si="74"/>
        <v>0.3</v>
      </c>
      <c r="M71" s="93">
        <f t="shared" si="74"/>
        <v>0.17963780092400328</v>
      </c>
      <c r="N71" s="93">
        <f t="shared" si="74"/>
        <v>0.2</v>
      </c>
      <c r="O71" s="93">
        <f t="shared" si="74"/>
        <v>0.2</v>
      </c>
      <c r="P71" s="93">
        <f t="shared" si="74"/>
        <v>0.3</v>
      </c>
      <c r="Q71" s="93">
        <f t="shared" si="74"/>
        <v>0.25</v>
      </c>
      <c r="R71" s="93">
        <f t="shared" si="74"/>
        <v>0.3</v>
      </c>
      <c r="S71" s="93">
        <f t="shared" si="74"/>
        <v>0.25</v>
      </c>
      <c r="T71" s="93">
        <f t="shared" si="74"/>
        <v>0.2</v>
      </c>
      <c r="U71" s="93">
        <f t="shared" si="74"/>
        <v>0.11</v>
      </c>
      <c r="V71" s="93">
        <f t="shared" si="74"/>
        <v>0.19147715280030886</v>
      </c>
    </row>
    <row r="72" spans="1:22" x14ac:dyDescent="0.45">
      <c r="A72">
        <v>2</v>
      </c>
      <c r="B72" t="str">
        <f>VLOOKUP(F72,'TRA balance'!$AK$5:$AL$14,2,FALSE)</f>
        <v>TRABDS</v>
      </c>
      <c r="C72" s="6" t="str">
        <f t="shared" si="70"/>
        <v>TR</v>
      </c>
      <c r="D72" s="7" t="s">
        <v>16</v>
      </c>
      <c r="E72" s="18" t="s">
        <v>77</v>
      </c>
      <c r="F72" s="8" t="str">
        <f t="shared" si="72"/>
        <v>Bio Diesel</v>
      </c>
      <c r="G72" s="6" t="s">
        <v>78</v>
      </c>
      <c r="H72" s="93">
        <f t="shared" ref="H72:V72" si="75">H16</f>
        <v>0.2</v>
      </c>
      <c r="I72" s="93">
        <f t="shared" si="75"/>
        <v>0.2</v>
      </c>
      <c r="J72" s="93">
        <f t="shared" si="75"/>
        <v>0.1</v>
      </c>
      <c r="K72" s="93">
        <f t="shared" si="75"/>
        <v>0.1</v>
      </c>
      <c r="L72" s="93">
        <f t="shared" si="75"/>
        <v>0.1</v>
      </c>
      <c r="M72" s="93">
        <f t="shared" si="75"/>
        <v>0.27323788545124683</v>
      </c>
      <c r="N72" s="93">
        <f t="shared" si="75"/>
        <v>0.1</v>
      </c>
      <c r="O72" s="93">
        <f t="shared" si="75"/>
        <v>0.25</v>
      </c>
      <c r="P72" s="93">
        <f t="shared" si="75"/>
        <v>0.15</v>
      </c>
      <c r="Q72" s="93">
        <f t="shared" si="75"/>
        <v>0.15</v>
      </c>
      <c r="R72" s="93">
        <f t="shared" si="75"/>
        <v>0.15</v>
      </c>
      <c r="S72" s="93">
        <f t="shared" si="75"/>
        <v>0.1</v>
      </c>
      <c r="T72" s="93">
        <f t="shared" si="75"/>
        <v>0.2</v>
      </c>
      <c r="U72" s="93">
        <f t="shared" si="75"/>
        <v>0.05</v>
      </c>
      <c r="V72" s="93">
        <f t="shared" si="75"/>
        <v>0.31448230262971888</v>
      </c>
    </row>
    <row r="73" spans="1:22" x14ac:dyDescent="0.45">
      <c r="A73">
        <v>1</v>
      </c>
      <c r="B73" t="str">
        <f>VLOOKUP(F73,'TRA balance'!$AK$5:$AL$14,2,FALSE)</f>
        <v>TRABDS</v>
      </c>
      <c r="C73" s="6" t="str">
        <f t="shared" si="70"/>
        <v/>
      </c>
      <c r="D73" s="7"/>
      <c r="E73" s="19" t="s">
        <v>79</v>
      </c>
      <c r="F73" s="8" t="str">
        <f t="shared" si="72"/>
        <v>Bio Diesel</v>
      </c>
      <c r="G73" s="6"/>
      <c r="H73" s="22" t="str">
        <f>IF(SUM(H69:H72)=1,"-","&lt;&gt;1!!")</f>
        <v>-</v>
      </c>
      <c r="I73" s="22" t="str">
        <f t="shared" ref="I73:V73" si="76">IF(SUM(I69:I72)=1,"-","&lt;&gt;1!!")</f>
        <v>-</v>
      </c>
      <c r="J73" s="22" t="str">
        <f t="shared" si="76"/>
        <v>-</v>
      </c>
      <c r="K73" s="22" t="str">
        <f t="shared" si="76"/>
        <v>-</v>
      </c>
      <c r="L73" s="22" t="str">
        <f t="shared" si="76"/>
        <v>-</v>
      </c>
      <c r="M73" s="22" t="str">
        <f t="shared" si="76"/>
        <v>-</v>
      </c>
      <c r="N73" s="22" t="str">
        <f t="shared" si="76"/>
        <v>-</v>
      </c>
      <c r="O73" s="22" t="str">
        <f t="shared" si="76"/>
        <v>-</v>
      </c>
      <c r="P73" s="22" t="str">
        <f t="shared" si="76"/>
        <v>-</v>
      </c>
      <c r="Q73" s="22" t="str">
        <f t="shared" si="76"/>
        <v>-</v>
      </c>
      <c r="R73" s="22" t="str">
        <f t="shared" si="76"/>
        <v>-</v>
      </c>
      <c r="S73" s="22" t="str">
        <f t="shared" si="76"/>
        <v>-</v>
      </c>
      <c r="T73" s="22" t="str">
        <f t="shared" si="76"/>
        <v>-</v>
      </c>
      <c r="U73" s="22" t="str">
        <f t="shared" si="76"/>
        <v>-</v>
      </c>
      <c r="V73" s="22" t="str">
        <f t="shared" si="76"/>
        <v>-</v>
      </c>
    </row>
    <row r="74" spans="1:22" x14ac:dyDescent="0.45">
      <c r="A74">
        <v>1</v>
      </c>
      <c r="B74" t="str">
        <f>VLOOKUP(F74,'TRA balance'!$AK$5:$AL$14,2,FALSE)</f>
        <v>TRABDS</v>
      </c>
      <c r="C74" s="6" t="str">
        <f t="shared" si="70"/>
        <v>TT</v>
      </c>
      <c r="D74" s="7" t="s">
        <v>17</v>
      </c>
      <c r="E74" s="7" t="s">
        <v>53</v>
      </c>
      <c r="F74" s="8" t="str">
        <f t="shared" si="72"/>
        <v>Bio Diesel</v>
      </c>
      <c r="G74" s="6" t="s">
        <v>55</v>
      </c>
      <c r="H74" s="93">
        <f t="shared" ref="H74:V74" si="77">H18</f>
        <v>0.7</v>
      </c>
      <c r="I74" s="93">
        <f t="shared" si="77"/>
        <v>0.7</v>
      </c>
      <c r="J74" s="93">
        <f t="shared" si="77"/>
        <v>0.95</v>
      </c>
      <c r="K74" s="93">
        <f t="shared" si="77"/>
        <v>0.6</v>
      </c>
      <c r="L74" s="93">
        <f t="shared" si="77"/>
        <v>0.8</v>
      </c>
      <c r="M74" s="93">
        <f t="shared" si="77"/>
        <v>0.9</v>
      </c>
      <c r="N74" s="93">
        <f t="shared" si="77"/>
        <v>0.9</v>
      </c>
      <c r="O74" s="93">
        <f t="shared" si="77"/>
        <v>0.5</v>
      </c>
      <c r="P74" s="93">
        <f t="shared" si="77"/>
        <v>0.3</v>
      </c>
      <c r="Q74" s="93">
        <f t="shared" si="77"/>
        <v>0.7</v>
      </c>
      <c r="R74" s="93">
        <f t="shared" si="77"/>
        <v>0.75</v>
      </c>
      <c r="S74" s="93">
        <f t="shared" si="77"/>
        <v>0.8</v>
      </c>
      <c r="T74" s="93">
        <f t="shared" si="77"/>
        <v>0.9</v>
      </c>
      <c r="U74" s="93">
        <f t="shared" si="77"/>
        <v>0.96032123091737276</v>
      </c>
      <c r="V74" s="93">
        <f t="shared" si="77"/>
        <v>0.9</v>
      </c>
    </row>
    <row r="75" spans="1:22" x14ac:dyDescent="0.45">
      <c r="A75">
        <v>1</v>
      </c>
      <c r="B75" t="str">
        <f>VLOOKUP(F75,'TRA balance'!$AK$5:$AL$14,2,FALSE)</f>
        <v>TRABDS</v>
      </c>
      <c r="C75" s="6" t="str">
        <f t="shared" si="70"/>
        <v>TT</v>
      </c>
      <c r="D75" s="7" t="s">
        <v>17</v>
      </c>
      <c r="E75" s="7" t="s">
        <v>56</v>
      </c>
      <c r="F75" s="8" t="str">
        <f t="shared" si="72"/>
        <v>Bio Diesel</v>
      </c>
      <c r="G75" s="6" t="s">
        <v>57</v>
      </c>
      <c r="H75" s="93">
        <f t="shared" ref="H75:V75" si="78">H19</f>
        <v>0.3</v>
      </c>
      <c r="I75" s="93">
        <f t="shared" si="78"/>
        <v>0.3</v>
      </c>
      <c r="J75" s="93">
        <f t="shared" si="78"/>
        <v>0.05</v>
      </c>
      <c r="K75" s="93">
        <f t="shared" si="78"/>
        <v>0.4</v>
      </c>
      <c r="L75" s="93">
        <f t="shared" si="78"/>
        <v>0.2</v>
      </c>
      <c r="M75" s="93">
        <f t="shared" si="78"/>
        <v>0.1</v>
      </c>
      <c r="N75" s="93">
        <f t="shared" si="78"/>
        <v>0.1</v>
      </c>
      <c r="O75" s="93">
        <f t="shared" si="78"/>
        <v>0.5</v>
      </c>
      <c r="P75" s="93">
        <f t="shared" si="78"/>
        <v>0.7</v>
      </c>
      <c r="Q75" s="93">
        <f t="shared" si="78"/>
        <v>0.3</v>
      </c>
      <c r="R75" s="93">
        <f t="shared" si="78"/>
        <v>0.25</v>
      </c>
      <c r="S75" s="93">
        <f t="shared" si="78"/>
        <v>0.2</v>
      </c>
      <c r="T75" s="93">
        <f t="shared" si="78"/>
        <v>0.1</v>
      </c>
      <c r="U75" s="93">
        <f t="shared" si="78"/>
        <v>3.9678769082627241E-2</v>
      </c>
      <c r="V75" s="93">
        <f t="shared" si="78"/>
        <v>0.1</v>
      </c>
    </row>
    <row r="76" spans="1:22" x14ac:dyDescent="0.45">
      <c r="A76">
        <v>1</v>
      </c>
      <c r="B76" t="str">
        <f>VLOOKUP(F76,'TRA balance'!$AK$5:$AL$14,2,FALSE)</f>
        <v>TRABDS</v>
      </c>
      <c r="C76" s="11"/>
      <c r="D76" s="11"/>
      <c r="E76" s="12" t="s">
        <v>58</v>
      </c>
      <c r="F76" s="13" t="str">
        <f t="shared" si="72"/>
        <v>Bio Diesel</v>
      </c>
      <c r="G76" s="11"/>
      <c r="H76" s="12" t="str">
        <f t="shared" ref="H76:V76" si="79">IF(SUM(H74:H75)=1,"-","&lt;&gt;1!!")</f>
        <v>-</v>
      </c>
      <c r="I76" s="12" t="str">
        <f t="shared" si="79"/>
        <v>-</v>
      </c>
      <c r="J76" s="12" t="str">
        <f t="shared" si="79"/>
        <v>-</v>
      </c>
      <c r="K76" s="12" t="str">
        <f t="shared" si="79"/>
        <v>-</v>
      </c>
      <c r="L76" s="12" t="str">
        <f t="shared" si="79"/>
        <v>-</v>
      </c>
      <c r="M76" s="12" t="str">
        <f t="shared" si="79"/>
        <v>-</v>
      </c>
      <c r="N76" s="12" t="str">
        <f t="shared" si="79"/>
        <v>-</v>
      </c>
      <c r="O76" s="12" t="str">
        <f t="shared" si="79"/>
        <v>-</v>
      </c>
      <c r="P76" s="12" t="str">
        <f t="shared" si="79"/>
        <v>-</v>
      </c>
      <c r="Q76" s="12" t="str">
        <f t="shared" si="79"/>
        <v>-</v>
      </c>
      <c r="R76" s="12" t="str">
        <f t="shared" si="79"/>
        <v>-</v>
      </c>
      <c r="S76" s="12" t="str">
        <f t="shared" si="79"/>
        <v>-</v>
      </c>
      <c r="T76" s="12" t="str">
        <f t="shared" si="79"/>
        <v>-</v>
      </c>
      <c r="U76" s="12" t="str">
        <f t="shared" si="79"/>
        <v>-</v>
      </c>
      <c r="V76" s="12" t="str">
        <f t="shared" si="79"/>
        <v>-</v>
      </c>
    </row>
    <row r="77" spans="1:22" x14ac:dyDescent="0.45">
      <c r="A77">
        <v>1</v>
      </c>
      <c r="B77" t="str">
        <f>VLOOKUP(F77,'TRA balance'!$AK$5:$AL$14,2,FALSE)</f>
        <v>TRABGS</v>
      </c>
      <c r="C77" s="14">
        <v>1</v>
      </c>
      <c r="D77" s="15" t="s">
        <v>16</v>
      </c>
      <c r="E77" s="15" t="s">
        <v>59</v>
      </c>
      <c r="F77" s="16" t="s">
        <v>85</v>
      </c>
      <c r="G77" s="14"/>
      <c r="H77" s="93">
        <f>H21</f>
        <v>1</v>
      </c>
      <c r="I77" s="93">
        <f t="shared" ref="I77:V77" si="80">I21</f>
        <v>0.9</v>
      </c>
      <c r="J77" s="93">
        <f t="shared" si="80"/>
        <v>0.96</v>
      </c>
      <c r="K77" s="93">
        <f t="shared" si="80"/>
        <v>0.9</v>
      </c>
      <c r="L77" s="93">
        <f t="shared" si="80"/>
        <v>0.9</v>
      </c>
      <c r="M77" s="93">
        <f t="shared" si="80"/>
        <v>0.97</v>
      </c>
      <c r="N77" s="93">
        <f t="shared" si="80"/>
        <v>0.7</v>
      </c>
      <c r="O77" s="93">
        <f t="shared" si="80"/>
        <v>1</v>
      </c>
      <c r="P77" s="93">
        <f t="shared" si="80"/>
        <v>0.9</v>
      </c>
      <c r="Q77" s="93">
        <f t="shared" si="80"/>
        <v>0.7</v>
      </c>
      <c r="R77" s="93">
        <f t="shared" si="80"/>
        <v>0.95</v>
      </c>
      <c r="S77" s="93">
        <f t="shared" si="80"/>
        <v>1</v>
      </c>
      <c r="T77" s="93">
        <f t="shared" si="80"/>
        <v>0.99</v>
      </c>
      <c r="U77" s="93">
        <f t="shared" si="80"/>
        <v>0.8</v>
      </c>
      <c r="V77" s="93">
        <f t="shared" si="80"/>
        <v>0.97</v>
      </c>
    </row>
    <row r="78" spans="1:22" x14ac:dyDescent="0.45">
      <c r="A78">
        <v>1</v>
      </c>
      <c r="B78" t="str">
        <f>VLOOKUP(F78,'TRA balance'!$AK$5:$AL$14,2,FALSE)</f>
        <v>TRABGS</v>
      </c>
      <c r="C78" s="6" t="str">
        <f t="shared" si="70"/>
        <v>TR</v>
      </c>
      <c r="D78" s="7" t="s">
        <v>16</v>
      </c>
      <c r="E78" s="18" t="s">
        <v>61</v>
      </c>
      <c r="F78" s="8" t="str">
        <f>F77</f>
        <v>Bio Gasoline</v>
      </c>
      <c r="G78" s="6" t="s">
        <v>62</v>
      </c>
      <c r="H78" s="93">
        <f t="shared" ref="H78:V78" si="81">H22</f>
        <v>0.45</v>
      </c>
      <c r="I78" s="93">
        <f t="shared" si="81"/>
        <v>0.69</v>
      </c>
      <c r="J78" s="93">
        <f t="shared" si="81"/>
        <v>0.6</v>
      </c>
      <c r="K78" s="93">
        <f t="shared" si="81"/>
        <v>0.45</v>
      </c>
      <c r="L78" s="93">
        <f t="shared" si="81"/>
        <v>0.67</v>
      </c>
      <c r="M78" s="93">
        <f t="shared" si="81"/>
        <v>0.99</v>
      </c>
      <c r="N78" s="93">
        <f t="shared" si="81"/>
        <v>0.65</v>
      </c>
      <c r="O78" s="93">
        <f t="shared" si="81"/>
        <v>0.45</v>
      </c>
      <c r="P78" s="93">
        <f t="shared" si="81"/>
        <v>0.7</v>
      </c>
      <c r="Q78" s="93">
        <f t="shared" si="81"/>
        <v>0.55000000000000004</v>
      </c>
      <c r="R78" s="93">
        <f t="shared" si="81"/>
        <v>0.6</v>
      </c>
      <c r="S78" s="93">
        <f t="shared" si="81"/>
        <v>0.45</v>
      </c>
      <c r="T78" s="93">
        <f t="shared" si="81"/>
        <v>0.6</v>
      </c>
      <c r="U78" s="93">
        <f t="shared" si="81"/>
        <v>0.58299999999999996</v>
      </c>
      <c r="V78" s="93">
        <f t="shared" si="81"/>
        <v>0.98</v>
      </c>
    </row>
    <row r="79" spans="1:22" x14ac:dyDescent="0.45">
      <c r="A79">
        <v>1</v>
      </c>
      <c r="B79" t="str">
        <f>VLOOKUP(F79,'TRA balance'!$AK$5:$AL$14,2,FALSE)</f>
        <v>TRABGS</v>
      </c>
      <c r="C79" s="6" t="str">
        <f t="shared" si="70"/>
        <v>TR</v>
      </c>
      <c r="D79" s="7" t="s">
        <v>16</v>
      </c>
      <c r="E79" s="18" t="s">
        <v>63</v>
      </c>
      <c r="F79" s="8" t="str">
        <f t="shared" ref="F79:F82" si="82">F78</f>
        <v>Bio Gasoline</v>
      </c>
      <c r="G79" s="6" t="s">
        <v>64</v>
      </c>
      <c r="H79" s="93">
        <f t="shared" ref="H79:V79" si="83">H23</f>
        <v>0.1</v>
      </c>
      <c r="I79" s="93">
        <f t="shared" si="83"/>
        <v>0.28999999999999998</v>
      </c>
      <c r="J79" s="93">
        <f t="shared" si="83"/>
        <v>0.39900000000000002</v>
      </c>
      <c r="K79" s="93">
        <f t="shared" si="83"/>
        <v>0.25</v>
      </c>
      <c r="L79" s="93">
        <f t="shared" si="83"/>
        <v>0.31</v>
      </c>
      <c r="M79" s="93">
        <f t="shared" si="83"/>
        <v>0</v>
      </c>
      <c r="N79" s="93">
        <f t="shared" si="83"/>
        <v>0.33</v>
      </c>
      <c r="O79" s="93">
        <f t="shared" si="83"/>
        <v>0.05</v>
      </c>
      <c r="P79" s="93">
        <f t="shared" si="83"/>
        <v>0.28499999999999998</v>
      </c>
      <c r="Q79" s="93">
        <f t="shared" si="83"/>
        <v>0.42</v>
      </c>
      <c r="R79" s="93">
        <f t="shared" si="83"/>
        <v>0.33</v>
      </c>
      <c r="S79" s="93">
        <f t="shared" si="83"/>
        <v>0.1</v>
      </c>
      <c r="T79" s="93">
        <f t="shared" si="83"/>
        <v>0.38</v>
      </c>
      <c r="U79" s="93">
        <f t="shared" si="83"/>
        <v>0.41499999999999998</v>
      </c>
      <c r="V79" s="93">
        <f t="shared" si="83"/>
        <v>0</v>
      </c>
    </row>
    <row r="80" spans="1:22" x14ac:dyDescent="0.45">
      <c r="A80">
        <v>1</v>
      </c>
      <c r="B80" t="str">
        <f>VLOOKUP(F80,'TRA balance'!$AK$5:$AL$14,2,FALSE)</f>
        <v>TRABGS</v>
      </c>
      <c r="C80" s="6" t="str">
        <f t="shared" si="70"/>
        <v>TR</v>
      </c>
      <c r="D80" s="7" t="s">
        <v>16</v>
      </c>
      <c r="E80" s="18" t="s">
        <v>65</v>
      </c>
      <c r="F80" s="8" t="str">
        <f t="shared" si="82"/>
        <v>Bio Gasoline</v>
      </c>
      <c r="G80" s="6" t="s">
        <v>66</v>
      </c>
      <c r="H80" s="93">
        <f t="shared" ref="H80:V80" si="84">H24</f>
        <v>0.1</v>
      </c>
      <c r="I80" s="93">
        <f t="shared" si="84"/>
        <v>0</v>
      </c>
      <c r="J80" s="93">
        <f t="shared" si="84"/>
        <v>0</v>
      </c>
      <c r="K80" s="93">
        <f t="shared" si="84"/>
        <v>0</v>
      </c>
      <c r="L80" s="93">
        <f t="shared" si="84"/>
        <v>5.0000000000000001E-3</v>
      </c>
      <c r="M80" s="93">
        <f t="shared" si="84"/>
        <v>2.5000000000000022E-3</v>
      </c>
      <c r="N80" s="93">
        <f t="shared" si="84"/>
        <v>5.0000000000000001E-3</v>
      </c>
      <c r="O80" s="93">
        <f t="shared" si="84"/>
        <v>0.1</v>
      </c>
      <c r="P80" s="93">
        <f t="shared" si="84"/>
        <v>5.0000000000000001E-3</v>
      </c>
      <c r="Q80" s="93">
        <f t="shared" si="84"/>
        <v>0.01</v>
      </c>
      <c r="R80" s="93">
        <f t="shared" si="84"/>
        <v>5.0000000000000001E-3</v>
      </c>
      <c r="S80" s="93">
        <f t="shared" si="84"/>
        <v>0.1</v>
      </c>
      <c r="T80" s="93">
        <f t="shared" si="84"/>
        <v>5.0000000000000001E-3</v>
      </c>
      <c r="U80" s="93">
        <f t="shared" si="84"/>
        <v>1E-3</v>
      </c>
      <c r="V80" s="93">
        <f t="shared" si="84"/>
        <v>5.0000000000000044E-3</v>
      </c>
    </row>
    <row r="81" spans="1:22" x14ac:dyDescent="0.45">
      <c r="A81">
        <v>1</v>
      </c>
      <c r="B81" t="str">
        <f>VLOOKUP(F81,'TRA balance'!$AK$5:$AL$14,2,FALSE)</f>
        <v>TRABGS</v>
      </c>
      <c r="C81" s="6" t="str">
        <f t="shared" si="70"/>
        <v>TR</v>
      </c>
      <c r="D81" s="7" t="s">
        <v>16</v>
      </c>
      <c r="E81" s="18" t="s">
        <v>67</v>
      </c>
      <c r="F81" s="8" t="str">
        <f t="shared" si="82"/>
        <v>Bio Gasoline</v>
      </c>
      <c r="G81" s="6" t="s">
        <v>68</v>
      </c>
      <c r="H81" s="93">
        <f t="shared" ref="H81:V81" si="85">H25</f>
        <v>0.35</v>
      </c>
      <c r="I81" s="93">
        <f t="shared" si="85"/>
        <v>0.02</v>
      </c>
      <c r="J81" s="93">
        <f t="shared" si="85"/>
        <v>1E-3</v>
      </c>
      <c r="K81" s="93">
        <f t="shared" si="85"/>
        <v>0.3</v>
      </c>
      <c r="L81" s="93">
        <f t="shared" si="85"/>
        <v>1.4999999999999999E-2</v>
      </c>
      <c r="M81" s="93">
        <f t="shared" si="85"/>
        <v>7.5000000000000067E-3</v>
      </c>
      <c r="N81" s="93">
        <f t="shared" si="85"/>
        <v>1.4999999999999999E-2</v>
      </c>
      <c r="O81" s="93">
        <f t="shared" si="85"/>
        <v>0.4</v>
      </c>
      <c r="P81" s="93">
        <f t="shared" si="85"/>
        <v>0.01</v>
      </c>
      <c r="Q81" s="93">
        <f t="shared" si="85"/>
        <v>0.02</v>
      </c>
      <c r="R81" s="93">
        <f t="shared" si="85"/>
        <v>6.5000000000000002E-2</v>
      </c>
      <c r="S81" s="93">
        <f t="shared" si="85"/>
        <v>0.35</v>
      </c>
      <c r="T81" s="93">
        <f t="shared" si="85"/>
        <v>1.4999999999999999E-2</v>
      </c>
      <c r="U81" s="93">
        <f t="shared" si="85"/>
        <v>1E-3</v>
      </c>
      <c r="V81" s="93">
        <f t="shared" si="85"/>
        <v>1.5000000000000013E-2</v>
      </c>
    </row>
    <row r="82" spans="1:22" x14ac:dyDescent="0.45">
      <c r="A82">
        <v>1</v>
      </c>
      <c r="B82" t="str">
        <f>VLOOKUP(F82,'TRA balance'!$AK$5:$AL$14,2,FALSE)</f>
        <v>TRABGS</v>
      </c>
      <c r="C82" s="6" t="str">
        <f t="shared" si="70"/>
        <v/>
      </c>
      <c r="D82" s="7"/>
      <c r="E82" s="19" t="s">
        <v>69</v>
      </c>
      <c r="F82" s="8" t="str">
        <f t="shared" si="82"/>
        <v>Bio Gasoline</v>
      </c>
      <c r="G82" s="6"/>
      <c r="H82" s="20" t="str">
        <f>IF(SUM(H78:H81)=1,"-","&lt;&gt;1!!")</f>
        <v>-</v>
      </c>
      <c r="I82" s="20" t="str">
        <f t="shared" ref="I82:V82" si="86">IF(SUM(I78:I81)=1,"-","&lt;&gt;1!!")</f>
        <v>-</v>
      </c>
      <c r="J82" s="20" t="str">
        <f t="shared" si="86"/>
        <v>-</v>
      </c>
      <c r="K82" s="20" t="str">
        <f t="shared" si="86"/>
        <v>-</v>
      </c>
      <c r="L82" s="20" t="str">
        <f t="shared" si="86"/>
        <v>-</v>
      </c>
      <c r="M82" s="20" t="str">
        <f t="shared" si="86"/>
        <v>-</v>
      </c>
      <c r="N82" s="20" t="str">
        <f t="shared" si="86"/>
        <v>-</v>
      </c>
      <c r="O82" s="20" t="str">
        <f t="shared" si="86"/>
        <v>-</v>
      </c>
      <c r="P82" s="20" t="str">
        <f t="shared" si="86"/>
        <v>-</v>
      </c>
      <c r="Q82" s="20" t="str">
        <f t="shared" si="86"/>
        <v>-</v>
      </c>
      <c r="R82" s="20" t="str">
        <f t="shared" si="86"/>
        <v>-</v>
      </c>
      <c r="S82" s="20" t="str">
        <f t="shared" si="86"/>
        <v>-</v>
      </c>
      <c r="T82" s="20" t="str">
        <f t="shared" si="86"/>
        <v>-</v>
      </c>
      <c r="U82" s="20" t="str">
        <f t="shared" si="86"/>
        <v>-</v>
      </c>
      <c r="V82" s="20" t="str">
        <f t="shared" si="86"/>
        <v>-</v>
      </c>
    </row>
    <row r="83" spans="1:22" x14ac:dyDescent="0.45">
      <c r="A83">
        <v>1</v>
      </c>
      <c r="B83" t="str">
        <f>VLOOKUP(F83,'TRA balance'!$AK$5:$AL$14,2,FALSE)</f>
        <v>TRABGS</v>
      </c>
      <c r="C83" s="14">
        <v>2</v>
      </c>
      <c r="D83" s="15" t="s">
        <v>16</v>
      </c>
      <c r="E83" s="15" t="s">
        <v>70</v>
      </c>
      <c r="F83" s="16" t="str">
        <f>F82</f>
        <v>Bio Gasoline</v>
      </c>
      <c r="G83" s="14"/>
      <c r="H83" s="21">
        <f>1-H77</f>
        <v>0</v>
      </c>
      <c r="I83" s="21">
        <f t="shared" ref="I83:V83" si="87">1-I77</f>
        <v>9.9999999999999978E-2</v>
      </c>
      <c r="J83" s="21">
        <f t="shared" si="87"/>
        <v>4.0000000000000036E-2</v>
      </c>
      <c r="K83" s="21">
        <f t="shared" si="87"/>
        <v>9.9999999999999978E-2</v>
      </c>
      <c r="L83" s="21">
        <f t="shared" si="87"/>
        <v>9.9999999999999978E-2</v>
      </c>
      <c r="M83" s="21">
        <f t="shared" si="87"/>
        <v>3.0000000000000027E-2</v>
      </c>
      <c r="N83" s="21">
        <f t="shared" si="87"/>
        <v>0.30000000000000004</v>
      </c>
      <c r="O83" s="21">
        <f t="shared" si="87"/>
        <v>0</v>
      </c>
      <c r="P83" s="21">
        <f t="shared" si="87"/>
        <v>9.9999999999999978E-2</v>
      </c>
      <c r="Q83" s="21">
        <f t="shared" si="87"/>
        <v>0.30000000000000004</v>
      </c>
      <c r="R83" s="21">
        <f t="shared" si="87"/>
        <v>5.0000000000000044E-2</v>
      </c>
      <c r="S83" s="21">
        <f t="shared" si="87"/>
        <v>0</v>
      </c>
      <c r="T83" s="21">
        <f t="shared" si="87"/>
        <v>1.0000000000000009E-2</v>
      </c>
      <c r="U83" s="21">
        <f t="shared" si="87"/>
        <v>0.19999999999999996</v>
      </c>
      <c r="V83" s="21">
        <f t="shared" si="87"/>
        <v>3.0000000000000027E-2</v>
      </c>
    </row>
    <row r="84" spans="1:22" x14ac:dyDescent="0.45">
      <c r="A84">
        <v>2</v>
      </c>
      <c r="B84" t="str">
        <f>VLOOKUP(F84,'TRA balance'!$AK$5:$AL$14,2,FALSE)</f>
        <v>TRABGS</v>
      </c>
      <c r="C84" s="6" t="str">
        <f t="shared" si="70"/>
        <v>TR</v>
      </c>
      <c r="D84" s="7" t="s">
        <v>16</v>
      </c>
      <c r="E84" s="18" t="s">
        <v>71</v>
      </c>
      <c r="F84" s="8" t="str">
        <f>F83</f>
        <v>Bio Gasoline</v>
      </c>
      <c r="G84" s="6" t="s">
        <v>72</v>
      </c>
      <c r="H84" s="93">
        <f t="shared" ref="H84:V84" si="88">H28</f>
        <v>0.05</v>
      </c>
      <c r="I84" s="93">
        <f t="shared" si="88"/>
        <v>0.05</v>
      </c>
      <c r="J84" s="93">
        <f t="shared" si="88"/>
        <v>0.05</v>
      </c>
      <c r="K84" s="93">
        <f t="shared" si="88"/>
        <v>0.1</v>
      </c>
      <c r="L84" s="93">
        <f t="shared" si="88"/>
        <v>0.12</v>
      </c>
      <c r="M84" s="93">
        <f t="shared" si="88"/>
        <v>0.1</v>
      </c>
      <c r="N84" s="93">
        <f t="shared" si="88"/>
        <v>0.05</v>
      </c>
      <c r="O84" s="93">
        <f t="shared" si="88"/>
        <v>0</v>
      </c>
      <c r="P84" s="93">
        <f t="shared" si="88"/>
        <v>0</v>
      </c>
      <c r="Q84" s="93">
        <f t="shared" si="88"/>
        <v>0.1</v>
      </c>
      <c r="R84" s="93">
        <f t="shared" si="88"/>
        <v>0.1</v>
      </c>
      <c r="S84" s="93">
        <f t="shared" si="88"/>
        <v>0.15</v>
      </c>
      <c r="T84" s="93">
        <f t="shared" si="88"/>
        <v>0.1</v>
      </c>
      <c r="U84" s="93">
        <f t="shared" si="88"/>
        <v>5.0000000000000001E-3</v>
      </c>
      <c r="V84" s="93">
        <f t="shared" si="88"/>
        <v>0.05</v>
      </c>
    </row>
    <row r="85" spans="1:22" x14ac:dyDescent="0.45">
      <c r="A85">
        <v>2</v>
      </c>
      <c r="B85" t="str">
        <f>VLOOKUP(F85,'TRA balance'!$AK$5:$AL$14,2,FALSE)</f>
        <v>TRABGS</v>
      </c>
      <c r="C85" s="6" t="str">
        <f t="shared" si="70"/>
        <v>TR</v>
      </c>
      <c r="D85" s="7" t="s">
        <v>16</v>
      </c>
      <c r="E85" s="18" t="s">
        <v>73</v>
      </c>
      <c r="F85" s="8" t="str">
        <f t="shared" ref="F85:F88" si="89">F84</f>
        <v>Bio Gasoline</v>
      </c>
      <c r="G85" s="6" t="s">
        <v>74</v>
      </c>
      <c r="H85" s="93">
        <f t="shared" ref="H85:V85" si="90">H29</f>
        <v>0</v>
      </c>
      <c r="I85" s="93">
        <f t="shared" si="90"/>
        <v>0</v>
      </c>
      <c r="J85" s="93">
        <f t="shared" si="90"/>
        <v>0</v>
      </c>
      <c r="K85" s="93">
        <f t="shared" si="90"/>
        <v>0</v>
      </c>
      <c r="L85" s="93">
        <f t="shared" si="90"/>
        <v>0</v>
      </c>
      <c r="M85" s="93">
        <f t="shared" si="90"/>
        <v>0</v>
      </c>
      <c r="N85" s="93">
        <f t="shared" si="90"/>
        <v>0</v>
      </c>
      <c r="O85" s="93">
        <f t="shared" si="90"/>
        <v>0</v>
      </c>
      <c r="P85" s="93">
        <f t="shared" si="90"/>
        <v>0</v>
      </c>
      <c r="Q85" s="93">
        <f t="shared" si="90"/>
        <v>0</v>
      </c>
      <c r="R85" s="93">
        <f t="shared" si="90"/>
        <v>0</v>
      </c>
      <c r="S85" s="93">
        <f t="shared" si="90"/>
        <v>0</v>
      </c>
      <c r="T85" s="93">
        <f t="shared" si="90"/>
        <v>0</v>
      </c>
      <c r="U85" s="93">
        <f t="shared" si="90"/>
        <v>0</v>
      </c>
      <c r="V85" s="93">
        <f t="shared" si="90"/>
        <v>0</v>
      </c>
    </row>
    <row r="86" spans="1:22" x14ac:dyDescent="0.45">
      <c r="A86">
        <v>2</v>
      </c>
      <c r="B86" t="str">
        <f>VLOOKUP(F86,'TRA balance'!$AK$5:$AL$14,2,FALSE)</f>
        <v>TRABGS</v>
      </c>
      <c r="C86" s="6" t="str">
        <f t="shared" si="70"/>
        <v>TR</v>
      </c>
      <c r="D86" s="7" t="s">
        <v>16</v>
      </c>
      <c r="E86" s="18" t="s">
        <v>75</v>
      </c>
      <c r="F86" s="8" t="str">
        <f t="shared" si="89"/>
        <v>Bio Gasoline</v>
      </c>
      <c r="G86" s="6" t="s">
        <v>76</v>
      </c>
      <c r="H86" s="93">
        <f t="shared" ref="H86:V86" si="91">H30</f>
        <v>0.4</v>
      </c>
      <c r="I86" s="93">
        <f t="shared" si="91"/>
        <v>0</v>
      </c>
      <c r="J86" s="93">
        <f t="shared" si="91"/>
        <v>0.05</v>
      </c>
      <c r="K86" s="93">
        <f t="shared" si="91"/>
        <v>0.1</v>
      </c>
      <c r="L86" s="93">
        <f t="shared" si="91"/>
        <v>0.3</v>
      </c>
      <c r="M86" s="93">
        <f t="shared" si="91"/>
        <v>0.4</v>
      </c>
      <c r="N86" s="93">
        <f t="shared" si="91"/>
        <v>0.4</v>
      </c>
      <c r="O86" s="93">
        <f t="shared" si="91"/>
        <v>0.3</v>
      </c>
      <c r="P86" s="93">
        <f t="shared" si="91"/>
        <v>0</v>
      </c>
      <c r="Q86" s="93">
        <f t="shared" si="91"/>
        <v>0.35</v>
      </c>
      <c r="R86" s="93">
        <f t="shared" si="91"/>
        <v>0.15</v>
      </c>
      <c r="S86" s="93">
        <f t="shared" si="91"/>
        <v>0.35</v>
      </c>
      <c r="T86" s="93">
        <f t="shared" si="91"/>
        <v>0.3</v>
      </c>
      <c r="U86" s="93">
        <f t="shared" si="91"/>
        <v>0.3</v>
      </c>
      <c r="V86" s="93">
        <f t="shared" si="91"/>
        <v>0</v>
      </c>
    </row>
    <row r="87" spans="1:22" x14ac:dyDescent="0.45">
      <c r="A87">
        <v>2</v>
      </c>
      <c r="B87" t="str">
        <f>VLOOKUP(F87,'TRA balance'!$AK$5:$AL$14,2,FALSE)</f>
        <v>TRABGS</v>
      </c>
      <c r="C87" s="6" t="str">
        <f t="shared" si="70"/>
        <v>TR</v>
      </c>
      <c r="D87" s="7" t="s">
        <v>16</v>
      </c>
      <c r="E87" s="18" t="s">
        <v>77</v>
      </c>
      <c r="F87" s="8" t="str">
        <f t="shared" si="89"/>
        <v>Bio Gasoline</v>
      </c>
      <c r="G87" s="6" t="s">
        <v>78</v>
      </c>
      <c r="H87" s="93">
        <f t="shared" ref="H87:V87" si="92">H31</f>
        <v>0.55000000000000004</v>
      </c>
      <c r="I87" s="93">
        <f t="shared" si="92"/>
        <v>0.95</v>
      </c>
      <c r="J87" s="93">
        <f t="shared" si="92"/>
        <v>0.9</v>
      </c>
      <c r="K87" s="93">
        <f t="shared" si="92"/>
        <v>0.8</v>
      </c>
      <c r="L87" s="93">
        <f t="shared" si="92"/>
        <v>0.58000000000000007</v>
      </c>
      <c r="M87" s="93">
        <f t="shared" si="92"/>
        <v>0.5</v>
      </c>
      <c r="N87" s="93">
        <f t="shared" si="92"/>
        <v>0.55000000000000004</v>
      </c>
      <c r="O87" s="93">
        <f t="shared" si="92"/>
        <v>0.7</v>
      </c>
      <c r="P87" s="93">
        <f t="shared" si="92"/>
        <v>1</v>
      </c>
      <c r="Q87" s="93">
        <f t="shared" si="92"/>
        <v>0.55000000000000004</v>
      </c>
      <c r="R87" s="93">
        <f t="shared" si="92"/>
        <v>0.75</v>
      </c>
      <c r="S87" s="93">
        <f t="shared" si="92"/>
        <v>0.5</v>
      </c>
      <c r="T87" s="93">
        <f t="shared" si="92"/>
        <v>0.6</v>
      </c>
      <c r="U87" s="93">
        <f t="shared" si="92"/>
        <v>0.69500000000000006</v>
      </c>
      <c r="V87" s="93">
        <f t="shared" si="92"/>
        <v>0.95</v>
      </c>
    </row>
    <row r="88" spans="1:22" x14ac:dyDescent="0.45">
      <c r="A88">
        <v>1</v>
      </c>
      <c r="B88" t="str">
        <f>VLOOKUP(F88,'TRA balance'!$AK$5:$AL$14,2,FALSE)</f>
        <v>TRABGS</v>
      </c>
      <c r="C88" s="11" t="str">
        <f t="shared" si="70"/>
        <v/>
      </c>
      <c r="D88" s="25"/>
      <c r="E88" s="12" t="s">
        <v>79</v>
      </c>
      <c r="F88" s="13" t="str">
        <f t="shared" si="89"/>
        <v>Bio Gasoline</v>
      </c>
      <c r="G88" s="11"/>
      <c r="H88" s="26" t="str">
        <f>IF(SUM(H84:H87)=1,"-","&lt;&gt;1!!")</f>
        <v>-</v>
      </c>
      <c r="I88" s="26" t="str">
        <f t="shared" ref="I88:V88" si="93">IF(SUM(I84:I87)=1,"-","&lt;&gt;1!!")</f>
        <v>-</v>
      </c>
      <c r="J88" s="26" t="str">
        <f t="shared" si="93"/>
        <v>-</v>
      </c>
      <c r="K88" s="26" t="str">
        <f t="shared" si="93"/>
        <v>-</v>
      </c>
      <c r="L88" s="26" t="str">
        <f t="shared" si="93"/>
        <v>-</v>
      </c>
      <c r="M88" s="26" t="str">
        <f t="shared" si="93"/>
        <v>-</v>
      </c>
      <c r="N88" s="26" t="str">
        <f t="shared" si="93"/>
        <v>-</v>
      </c>
      <c r="O88" s="26" t="str">
        <f t="shared" si="93"/>
        <v>-</v>
      </c>
      <c r="P88" s="26" t="str">
        <f t="shared" si="93"/>
        <v>-</v>
      </c>
      <c r="Q88" s="26" t="str">
        <f t="shared" si="93"/>
        <v>-</v>
      </c>
      <c r="R88" s="26" t="str">
        <f t="shared" si="93"/>
        <v>-</v>
      </c>
      <c r="S88" s="26" t="str">
        <f t="shared" si="93"/>
        <v>-</v>
      </c>
      <c r="T88" s="26" t="str">
        <f t="shared" si="93"/>
        <v>-</v>
      </c>
      <c r="U88" s="26" t="str">
        <f t="shared" si="93"/>
        <v>-</v>
      </c>
      <c r="V88" s="26" t="str">
        <f t="shared" si="93"/>
        <v>-</v>
      </c>
    </row>
    <row r="89" spans="1:22" x14ac:dyDescent="0.45">
      <c r="A89">
        <v>1</v>
      </c>
      <c r="B89" t="str">
        <f>VLOOKUP(F89,'TRA balance'!$AK$5:$AL$14,2,FALSE)</f>
        <v>TRAELC</v>
      </c>
      <c r="C89" s="14">
        <v>1</v>
      </c>
      <c r="D89" s="15" t="s">
        <v>16</v>
      </c>
      <c r="E89" s="15" t="s">
        <v>59</v>
      </c>
      <c r="F89" s="16" t="s">
        <v>86</v>
      </c>
      <c r="G89" s="14"/>
      <c r="H89" s="17">
        <v>0</v>
      </c>
      <c r="I89" s="17">
        <v>1</v>
      </c>
      <c r="J89" s="17">
        <v>1</v>
      </c>
      <c r="K89" s="17">
        <v>0.8</v>
      </c>
      <c r="L89" s="17">
        <v>0.5</v>
      </c>
      <c r="M89" s="17">
        <v>0</v>
      </c>
      <c r="N89" s="17">
        <v>0</v>
      </c>
      <c r="O89" s="17">
        <v>0</v>
      </c>
      <c r="P89" s="17">
        <v>1</v>
      </c>
      <c r="Q89" s="17">
        <v>0</v>
      </c>
      <c r="R89" s="17">
        <v>0.5</v>
      </c>
      <c r="S89" s="17">
        <v>1</v>
      </c>
      <c r="T89" s="17">
        <v>1</v>
      </c>
      <c r="U89" s="17">
        <v>1</v>
      </c>
      <c r="V89" s="17">
        <v>1</v>
      </c>
    </row>
    <row r="90" spans="1:22" x14ac:dyDescent="0.45">
      <c r="A90">
        <v>1</v>
      </c>
      <c r="B90" t="str">
        <f>VLOOKUP(F90,'TRA balance'!$AK$5:$AL$14,2,FALSE)</f>
        <v>TRAELC</v>
      </c>
      <c r="C90" s="6" t="str">
        <f t="shared" si="70"/>
        <v>TR</v>
      </c>
      <c r="D90" s="7" t="s">
        <v>16</v>
      </c>
      <c r="E90" s="18" t="s">
        <v>61</v>
      </c>
      <c r="F90" s="8" t="str">
        <f>F89</f>
        <v>Electricity</v>
      </c>
      <c r="G90" s="6" t="s">
        <v>62</v>
      </c>
      <c r="H90" s="23">
        <f>L90</f>
        <v>0.7</v>
      </c>
      <c r="I90" s="9">
        <v>0.66005447497292435</v>
      </c>
      <c r="J90" s="9">
        <v>0.66005447497292435</v>
      </c>
      <c r="K90" s="9">
        <v>0.9</v>
      </c>
      <c r="L90" s="9">
        <v>0.7</v>
      </c>
      <c r="M90" s="23">
        <f>V90</f>
        <v>0.66</v>
      </c>
      <c r="N90" s="23">
        <f>V90</f>
        <v>0.66</v>
      </c>
      <c r="O90" s="9">
        <v>0.9</v>
      </c>
      <c r="P90" s="9">
        <v>0.9</v>
      </c>
      <c r="Q90" s="9">
        <v>0.9</v>
      </c>
      <c r="R90" s="9">
        <v>0.7</v>
      </c>
      <c r="S90" s="9">
        <v>0.9</v>
      </c>
      <c r="T90" s="9">
        <v>0.9</v>
      </c>
      <c r="U90" s="9">
        <v>0.66005447497292435</v>
      </c>
      <c r="V90" s="9">
        <v>0.66</v>
      </c>
    </row>
    <row r="91" spans="1:22" x14ac:dyDescent="0.45">
      <c r="A91">
        <v>1</v>
      </c>
      <c r="B91" t="str">
        <f>VLOOKUP(F91,'TRA balance'!$AK$5:$AL$14,2,FALSE)</f>
        <v>TRAELC</v>
      </c>
      <c r="C91" s="6" t="str">
        <f t="shared" si="70"/>
        <v>TR</v>
      </c>
      <c r="D91" s="7" t="s">
        <v>16</v>
      </c>
      <c r="E91" s="18" t="s">
        <v>63</v>
      </c>
      <c r="F91" s="8" t="str">
        <f t="shared" ref="F91:F94" si="94">F90</f>
        <v>Electricity</v>
      </c>
      <c r="G91" s="6" t="s">
        <v>64</v>
      </c>
      <c r="H91" s="23">
        <f t="shared" ref="H91:H93" si="95">L91</f>
        <v>0.3</v>
      </c>
      <c r="I91" s="9">
        <v>0.33994552502707565</v>
      </c>
      <c r="J91" s="9">
        <v>0.33994552502707565</v>
      </c>
      <c r="K91" s="9">
        <v>0.1</v>
      </c>
      <c r="L91" s="9">
        <v>0.3</v>
      </c>
      <c r="M91" s="23">
        <f t="shared" ref="M91:M93" si="96">V91</f>
        <v>0.34</v>
      </c>
      <c r="N91" s="23">
        <f t="shared" ref="N91:N93" si="97">V91</f>
        <v>0.34</v>
      </c>
      <c r="O91" s="9">
        <v>0.1</v>
      </c>
      <c r="P91" s="9">
        <v>0.1</v>
      </c>
      <c r="Q91" s="9">
        <v>0.1</v>
      </c>
      <c r="R91" s="9">
        <v>0.30000000000000004</v>
      </c>
      <c r="S91" s="9">
        <v>0.1</v>
      </c>
      <c r="T91" s="9">
        <v>0.1</v>
      </c>
      <c r="U91" s="9">
        <v>0.33994552502707565</v>
      </c>
      <c r="V91" s="9">
        <v>0.34</v>
      </c>
    </row>
    <row r="92" spans="1:22" x14ac:dyDescent="0.45">
      <c r="A92">
        <v>1</v>
      </c>
      <c r="B92" t="str">
        <f>VLOOKUP(F92,'TRA balance'!$AK$5:$AL$14,2,FALSE)</f>
        <v>TRAELC</v>
      </c>
      <c r="C92" s="6" t="str">
        <f t="shared" si="70"/>
        <v>TR</v>
      </c>
      <c r="D92" s="7" t="s">
        <v>16</v>
      </c>
      <c r="E92" s="18" t="s">
        <v>65</v>
      </c>
      <c r="F92" s="8" t="str">
        <f t="shared" si="94"/>
        <v>Electricity</v>
      </c>
      <c r="G92" s="6" t="s">
        <v>66</v>
      </c>
      <c r="H92" s="23">
        <f t="shared" si="95"/>
        <v>0</v>
      </c>
      <c r="I92" s="9">
        <v>0</v>
      </c>
      <c r="J92" s="9">
        <v>0</v>
      </c>
      <c r="K92" s="9">
        <v>0</v>
      </c>
      <c r="L92" s="9">
        <v>0</v>
      </c>
      <c r="M92" s="23">
        <f t="shared" si="96"/>
        <v>0</v>
      </c>
      <c r="N92" s="23">
        <f t="shared" si="97"/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</row>
    <row r="93" spans="1:22" x14ac:dyDescent="0.45">
      <c r="A93">
        <v>1</v>
      </c>
      <c r="B93" t="str">
        <f>VLOOKUP(F93,'TRA balance'!$AK$5:$AL$14,2,FALSE)</f>
        <v>TRAELC</v>
      </c>
      <c r="C93" s="6" t="str">
        <f t="shared" si="70"/>
        <v>TR</v>
      </c>
      <c r="D93" s="7" t="s">
        <v>16</v>
      </c>
      <c r="E93" s="18" t="s">
        <v>67</v>
      </c>
      <c r="F93" s="8" t="str">
        <f t="shared" si="94"/>
        <v>Electricity</v>
      </c>
      <c r="G93" s="6" t="s">
        <v>68</v>
      </c>
      <c r="H93" s="23">
        <f t="shared" si="95"/>
        <v>0</v>
      </c>
      <c r="I93" s="9">
        <v>0</v>
      </c>
      <c r="J93" s="9">
        <v>0</v>
      </c>
      <c r="K93" s="9">
        <v>0</v>
      </c>
      <c r="L93" s="9">
        <v>0</v>
      </c>
      <c r="M93" s="23">
        <f t="shared" si="96"/>
        <v>0</v>
      </c>
      <c r="N93" s="23">
        <f t="shared" si="97"/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</row>
    <row r="94" spans="1:22" x14ac:dyDescent="0.45">
      <c r="A94">
        <v>1</v>
      </c>
      <c r="B94" t="str">
        <f>VLOOKUP(F94,'TRA balance'!$AK$5:$AL$14,2,FALSE)</f>
        <v>TRAELC</v>
      </c>
      <c r="C94" s="6" t="str">
        <f t="shared" si="70"/>
        <v/>
      </c>
      <c r="D94" s="7"/>
      <c r="E94" s="19" t="s">
        <v>69</v>
      </c>
      <c r="F94" s="8" t="str">
        <f t="shared" si="94"/>
        <v>Electricity</v>
      </c>
      <c r="G94" s="6"/>
      <c r="H94" s="20" t="str">
        <f>IF(SUM(H90:H93)=1,"-","&lt;&gt;1!!")</f>
        <v>-</v>
      </c>
      <c r="I94" s="20" t="str">
        <f t="shared" ref="I94:V94" si="98">IF(SUM(I90:I93)=1,"-","&lt;&gt;1!!")</f>
        <v>-</v>
      </c>
      <c r="J94" s="20" t="str">
        <f t="shared" si="98"/>
        <v>-</v>
      </c>
      <c r="K94" s="20" t="str">
        <f t="shared" si="98"/>
        <v>-</v>
      </c>
      <c r="L94" s="20" t="str">
        <f t="shared" si="98"/>
        <v>-</v>
      </c>
      <c r="M94" s="20" t="str">
        <f t="shared" si="98"/>
        <v>-</v>
      </c>
      <c r="N94" s="20" t="str">
        <f t="shared" si="98"/>
        <v>-</v>
      </c>
      <c r="O94" s="20" t="str">
        <f t="shared" si="98"/>
        <v>-</v>
      </c>
      <c r="P94" s="20" t="str">
        <f t="shared" si="98"/>
        <v>-</v>
      </c>
      <c r="Q94" s="20" t="str">
        <f t="shared" si="98"/>
        <v>-</v>
      </c>
      <c r="R94" s="20" t="str">
        <f t="shared" si="98"/>
        <v>-</v>
      </c>
      <c r="S94" s="20" t="str">
        <f t="shared" si="98"/>
        <v>-</v>
      </c>
      <c r="T94" s="20" t="str">
        <f t="shared" si="98"/>
        <v>-</v>
      </c>
      <c r="U94" s="20" t="str">
        <f t="shared" si="98"/>
        <v>-</v>
      </c>
      <c r="V94" s="20" t="str">
        <f t="shared" si="98"/>
        <v>-</v>
      </c>
    </row>
    <row r="95" spans="1:22" x14ac:dyDescent="0.45">
      <c r="A95">
        <v>1</v>
      </c>
      <c r="B95" t="str">
        <f>VLOOKUP(F95,'TRA balance'!$AK$5:$AL$14,2,FALSE)</f>
        <v>TRAELC</v>
      </c>
      <c r="C95" s="14">
        <v>2</v>
      </c>
      <c r="D95" s="15" t="s">
        <v>16</v>
      </c>
      <c r="E95" s="15" t="s">
        <v>70</v>
      </c>
      <c r="F95" s="16" t="str">
        <f>F94</f>
        <v>Electricity</v>
      </c>
      <c r="G95" s="14"/>
      <c r="H95" s="21">
        <f>1-H89</f>
        <v>1</v>
      </c>
      <c r="I95" s="21">
        <f t="shared" ref="I95:V95" si="99">1-I89</f>
        <v>0</v>
      </c>
      <c r="J95" s="21">
        <f t="shared" si="99"/>
        <v>0</v>
      </c>
      <c r="K95" s="21">
        <f t="shared" si="99"/>
        <v>0.19999999999999996</v>
      </c>
      <c r="L95" s="21">
        <f t="shared" si="99"/>
        <v>0.5</v>
      </c>
      <c r="M95" s="21">
        <f t="shared" si="99"/>
        <v>1</v>
      </c>
      <c r="N95" s="21">
        <f t="shared" si="99"/>
        <v>1</v>
      </c>
      <c r="O95" s="21">
        <f t="shared" si="99"/>
        <v>1</v>
      </c>
      <c r="P95" s="21">
        <f t="shared" si="99"/>
        <v>0</v>
      </c>
      <c r="Q95" s="21">
        <f t="shared" si="99"/>
        <v>1</v>
      </c>
      <c r="R95" s="21">
        <f t="shared" si="99"/>
        <v>0.5</v>
      </c>
      <c r="S95" s="21">
        <f t="shared" si="99"/>
        <v>0</v>
      </c>
      <c r="T95" s="21">
        <f t="shared" si="99"/>
        <v>0</v>
      </c>
      <c r="U95" s="21">
        <f t="shared" si="99"/>
        <v>0</v>
      </c>
      <c r="V95" s="21">
        <f t="shared" si="99"/>
        <v>0</v>
      </c>
    </row>
    <row r="96" spans="1:22" x14ac:dyDescent="0.45">
      <c r="A96">
        <v>2</v>
      </c>
      <c r="B96" t="str">
        <f>VLOOKUP(F96,'TRA balance'!$AK$5:$AL$14,2,FALSE)</f>
        <v>TRAELC</v>
      </c>
      <c r="C96" s="6" t="str">
        <f t="shared" si="70"/>
        <v>TR</v>
      </c>
      <c r="D96" s="7" t="s">
        <v>16</v>
      </c>
      <c r="E96" s="18" t="s">
        <v>71</v>
      </c>
      <c r="F96" s="8" t="str">
        <f>F95</f>
        <v>Electricity</v>
      </c>
      <c r="G96" s="6" t="s">
        <v>72</v>
      </c>
      <c r="H96" s="23">
        <v>1</v>
      </c>
      <c r="I96" s="23">
        <v>1</v>
      </c>
      <c r="J96" s="23">
        <v>1</v>
      </c>
      <c r="K96" s="23">
        <v>0.5</v>
      </c>
      <c r="L96" s="9">
        <v>1</v>
      </c>
      <c r="M96" s="23">
        <v>1</v>
      </c>
      <c r="N96" s="23">
        <v>1</v>
      </c>
      <c r="O96" s="23">
        <v>1</v>
      </c>
      <c r="P96" s="23">
        <v>1</v>
      </c>
      <c r="Q96" s="23">
        <v>1</v>
      </c>
      <c r="R96" s="9">
        <v>1</v>
      </c>
      <c r="S96" s="23">
        <v>1</v>
      </c>
      <c r="T96" s="23">
        <v>1</v>
      </c>
      <c r="U96" s="23">
        <v>1</v>
      </c>
      <c r="V96" s="23">
        <v>1</v>
      </c>
    </row>
    <row r="97" spans="1:22" x14ac:dyDescent="0.45">
      <c r="A97">
        <v>2</v>
      </c>
      <c r="B97" t="str">
        <f>VLOOKUP(F97,'TRA balance'!$AK$5:$AL$14,2,FALSE)</f>
        <v>TRAELC</v>
      </c>
      <c r="C97" s="6" t="str">
        <f t="shared" si="70"/>
        <v>TR</v>
      </c>
      <c r="D97" s="7" t="s">
        <v>16</v>
      </c>
      <c r="E97" s="18" t="s">
        <v>73</v>
      </c>
      <c r="F97" s="8" t="str">
        <f t="shared" ref="F97:F103" si="100">F96</f>
        <v>Electricity</v>
      </c>
      <c r="G97" s="6" t="s">
        <v>74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</row>
    <row r="98" spans="1:22" x14ac:dyDescent="0.45">
      <c r="A98">
        <v>2</v>
      </c>
      <c r="B98" t="str">
        <f>VLOOKUP(F98,'TRA balance'!$AK$5:$AL$14,2,FALSE)</f>
        <v>TRAELC</v>
      </c>
      <c r="C98" s="6" t="str">
        <f t="shared" si="70"/>
        <v>TR</v>
      </c>
      <c r="D98" s="7" t="s">
        <v>16</v>
      </c>
      <c r="E98" s="18" t="s">
        <v>75</v>
      </c>
      <c r="F98" s="8" t="str">
        <f t="shared" si="100"/>
        <v>Electricity</v>
      </c>
      <c r="G98" s="6" t="s">
        <v>76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</row>
    <row r="99" spans="1:22" x14ac:dyDescent="0.45">
      <c r="A99">
        <v>2</v>
      </c>
      <c r="B99" t="str">
        <f>VLOOKUP(F99,'TRA balance'!$AK$5:$AL$14,2,FALSE)</f>
        <v>TRAELC</v>
      </c>
      <c r="C99" s="6" t="str">
        <f t="shared" si="70"/>
        <v>TR</v>
      </c>
      <c r="D99" s="7" t="s">
        <v>16</v>
      </c>
      <c r="E99" s="18" t="s">
        <v>77</v>
      </c>
      <c r="F99" s="8" t="str">
        <f t="shared" si="100"/>
        <v>Electricity</v>
      </c>
      <c r="G99" s="6" t="s">
        <v>78</v>
      </c>
      <c r="H99" s="9">
        <v>0</v>
      </c>
      <c r="I99" s="9">
        <v>0</v>
      </c>
      <c r="J99" s="9">
        <v>0</v>
      </c>
      <c r="K99" s="9">
        <v>0.5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</row>
    <row r="100" spans="1:22" x14ac:dyDescent="0.45">
      <c r="A100">
        <v>1</v>
      </c>
      <c r="B100" t="str">
        <f>VLOOKUP(F100,'TRA balance'!$AK$5:$AL$14,2,FALSE)</f>
        <v>TRAELC</v>
      </c>
      <c r="C100" s="6" t="str">
        <f t="shared" si="70"/>
        <v/>
      </c>
      <c r="D100" s="7"/>
      <c r="E100" s="19" t="s">
        <v>79</v>
      </c>
      <c r="F100" s="8" t="str">
        <f t="shared" si="100"/>
        <v>Electricity</v>
      </c>
      <c r="G100" s="6"/>
      <c r="H100" s="22" t="str">
        <f>IF(SUM(H96:H99)=1,"-","&lt;&gt;1!!")</f>
        <v>-</v>
      </c>
      <c r="I100" s="22" t="str">
        <f t="shared" ref="I100:V100" si="101">IF(SUM(I96:I99)=1,"-","&lt;&gt;1!!")</f>
        <v>-</v>
      </c>
      <c r="J100" s="22" t="str">
        <f t="shared" si="101"/>
        <v>-</v>
      </c>
      <c r="K100" s="22" t="str">
        <f t="shared" si="101"/>
        <v>-</v>
      </c>
      <c r="L100" s="22" t="str">
        <f t="shared" si="101"/>
        <v>-</v>
      </c>
      <c r="M100" s="22" t="str">
        <f t="shared" si="101"/>
        <v>-</v>
      </c>
      <c r="N100" s="22" t="str">
        <f t="shared" si="101"/>
        <v>-</v>
      </c>
      <c r="O100" s="22" t="str">
        <f t="shared" si="101"/>
        <v>-</v>
      </c>
      <c r="P100" s="22" t="str">
        <f t="shared" si="101"/>
        <v>-</v>
      </c>
      <c r="Q100" s="22" t="str">
        <f t="shared" si="101"/>
        <v>-</v>
      </c>
      <c r="R100" s="22" t="str">
        <f t="shared" si="101"/>
        <v>-</v>
      </c>
      <c r="S100" s="22" t="str">
        <f t="shared" si="101"/>
        <v>-</v>
      </c>
      <c r="T100" s="22" t="str">
        <f t="shared" si="101"/>
        <v>-</v>
      </c>
      <c r="U100" s="22" t="str">
        <f t="shared" si="101"/>
        <v>-</v>
      </c>
      <c r="V100" s="22" t="str">
        <f t="shared" si="101"/>
        <v>-</v>
      </c>
    </row>
    <row r="101" spans="1:22" x14ac:dyDescent="0.45">
      <c r="A101">
        <v>1</v>
      </c>
      <c r="B101" t="str">
        <f>VLOOKUP(F101,'TRA balance'!$AK$5:$AL$14,2,FALSE)</f>
        <v>TRAELC</v>
      </c>
      <c r="C101" s="6" t="str">
        <f t="shared" si="70"/>
        <v>TT</v>
      </c>
      <c r="D101" s="7" t="s">
        <v>17</v>
      </c>
      <c r="E101" s="7" t="s">
        <v>53</v>
      </c>
      <c r="F101" s="8" t="str">
        <f t="shared" si="100"/>
        <v>Electricity</v>
      </c>
      <c r="G101" s="6" t="s">
        <v>55</v>
      </c>
      <c r="H101" s="9">
        <v>0.3</v>
      </c>
      <c r="I101" s="9">
        <v>0.3</v>
      </c>
      <c r="J101" s="9">
        <v>0</v>
      </c>
      <c r="K101" s="9">
        <v>0.2</v>
      </c>
      <c r="L101" s="9">
        <v>0.05</v>
      </c>
      <c r="M101" s="9">
        <v>0.1</v>
      </c>
      <c r="N101" s="9">
        <v>0.2</v>
      </c>
      <c r="O101" s="9">
        <v>0.3</v>
      </c>
      <c r="P101" s="9">
        <v>0</v>
      </c>
      <c r="Q101" s="9">
        <v>0.1</v>
      </c>
      <c r="R101" s="9">
        <v>0.05</v>
      </c>
      <c r="S101" s="9">
        <v>0.05</v>
      </c>
      <c r="T101" s="9">
        <v>0.2</v>
      </c>
      <c r="U101" s="9">
        <v>0</v>
      </c>
      <c r="V101" s="9">
        <v>0</v>
      </c>
    </row>
    <row r="102" spans="1:22" x14ac:dyDescent="0.45">
      <c r="A102">
        <v>1</v>
      </c>
      <c r="B102" t="str">
        <f>VLOOKUP(F102,'TRA balance'!$AK$5:$AL$14,2,FALSE)</f>
        <v>TRAELC</v>
      </c>
      <c r="C102" s="6" t="str">
        <f t="shared" si="70"/>
        <v>TT</v>
      </c>
      <c r="D102" s="7" t="s">
        <v>17</v>
      </c>
      <c r="E102" s="7" t="s">
        <v>56</v>
      </c>
      <c r="F102" s="8" t="str">
        <f t="shared" si="100"/>
        <v>Electricity</v>
      </c>
      <c r="G102" s="6" t="s">
        <v>57</v>
      </c>
      <c r="H102" s="9">
        <v>0.7</v>
      </c>
      <c r="I102" s="9">
        <v>0.7</v>
      </c>
      <c r="J102" s="9">
        <v>1</v>
      </c>
      <c r="K102" s="9">
        <v>0.8</v>
      </c>
      <c r="L102" s="9">
        <v>0.95</v>
      </c>
      <c r="M102" s="9">
        <v>0.9</v>
      </c>
      <c r="N102" s="9">
        <v>0.8</v>
      </c>
      <c r="O102" s="9">
        <v>0.7</v>
      </c>
      <c r="P102" s="9">
        <v>1</v>
      </c>
      <c r="Q102" s="9">
        <v>0.9</v>
      </c>
      <c r="R102" s="9">
        <v>0.95</v>
      </c>
      <c r="S102" s="9">
        <v>0.95</v>
      </c>
      <c r="T102" s="9">
        <v>0.8</v>
      </c>
      <c r="U102" s="9">
        <v>1</v>
      </c>
      <c r="V102" s="9">
        <v>1</v>
      </c>
    </row>
    <row r="103" spans="1:22" x14ac:dyDescent="0.45">
      <c r="A103">
        <v>1</v>
      </c>
      <c r="B103" t="str">
        <f>VLOOKUP(F103,'TRA balance'!$AK$5:$AL$14,2,FALSE)</f>
        <v>TRAELC</v>
      </c>
      <c r="C103" s="11"/>
      <c r="D103" s="11"/>
      <c r="E103" s="12" t="s">
        <v>58</v>
      </c>
      <c r="F103" s="13" t="str">
        <f t="shared" si="100"/>
        <v>Electricity</v>
      </c>
      <c r="G103" s="11"/>
      <c r="H103" s="12" t="str">
        <f t="shared" ref="H103:V103" si="102">IF(SUM(H101:H102)=1,"-","&lt;&gt;1!!")</f>
        <v>-</v>
      </c>
      <c r="I103" s="12" t="str">
        <f t="shared" si="102"/>
        <v>-</v>
      </c>
      <c r="J103" s="12" t="str">
        <f t="shared" si="102"/>
        <v>-</v>
      </c>
      <c r="K103" s="12" t="str">
        <f t="shared" si="102"/>
        <v>-</v>
      </c>
      <c r="L103" s="12" t="str">
        <f t="shared" si="102"/>
        <v>-</v>
      </c>
      <c r="M103" s="12" t="str">
        <f t="shared" si="102"/>
        <v>-</v>
      </c>
      <c r="N103" s="12" t="str">
        <f t="shared" si="102"/>
        <v>-</v>
      </c>
      <c r="O103" s="12" t="str">
        <f t="shared" si="102"/>
        <v>-</v>
      </c>
      <c r="P103" s="12" t="str">
        <f t="shared" si="102"/>
        <v>-</v>
      </c>
      <c r="Q103" s="12" t="str">
        <f t="shared" si="102"/>
        <v>-</v>
      </c>
      <c r="R103" s="12" t="str">
        <f t="shared" si="102"/>
        <v>-</v>
      </c>
      <c r="S103" s="12" t="str">
        <f t="shared" si="102"/>
        <v>-</v>
      </c>
      <c r="T103" s="12" t="str">
        <f t="shared" si="102"/>
        <v>-</v>
      </c>
      <c r="U103" s="12" t="str">
        <f t="shared" si="102"/>
        <v>-</v>
      </c>
      <c r="V103" s="12" t="str">
        <f t="shared" si="102"/>
        <v>-</v>
      </c>
    </row>
  </sheetData>
  <pageMargins left="0.7" right="0.7" top="0.75" bottom="0.75" header="0.3" footer="0.3"/>
  <pageSetup paperSize="9" orientation="portrait" horizontalDpi="4294967293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072C-E7DB-4908-9C50-139FC3414B0F}">
  <dimension ref="A1:AK639"/>
  <sheetViews>
    <sheetView zoomScaleNormal="100" workbookViewId="0">
      <selection activeCell="J11" sqref="J11"/>
    </sheetView>
  </sheetViews>
  <sheetFormatPr defaultRowHeight="14.25" x14ac:dyDescent="0.45"/>
  <cols>
    <col min="6" max="6" width="12.06640625" bestFit="1" customWidth="1"/>
    <col min="7" max="7" width="14.73046875" bestFit="1" customWidth="1"/>
    <col min="8" max="8" width="10.796875" bestFit="1" customWidth="1"/>
    <col min="9" max="9" width="6.6640625" bestFit="1" customWidth="1"/>
    <col min="10" max="10" width="10.6640625" bestFit="1" customWidth="1"/>
    <col min="11" max="11" width="8.46484375" bestFit="1" customWidth="1"/>
    <col min="12" max="12" width="9.53125" bestFit="1" customWidth="1"/>
    <col min="13" max="13" width="11.06640625" bestFit="1" customWidth="1"/>
    <col min="14" max="14" width="5.1328125" bestFit="1" customWidth="1"/>
    <col min="15" max="15" width="6.6640625" bestFit="1" customWidth="1"/>
    <col min="16" max="16" width="5.265625" bestFit="1" customWidth="1"/>
    <col min="17" max="17" width="8.3984375" bestFit="1" customWidth="1"/>
    <col min="18" max="18" width="11.796875" bestFit="1" customWidth="1"/>
    <col min="19" max="19" width="12.33203125" bestFit="1" customWidth="1"/>
    <col min="20" max="20" width="8.53125" bestFit="1" customWidth="1"/>
    <col min="21" max="21" width="11.9296875" bestFit="1" customWidth="1"/>
    <col min="22" max="22" width="12.46484375" bestFit="1" customWidth="1"/>
    <col min="23" max="23" width="11.9296875" bestFit="1" customWidth="1"/>
    <col min="24" max="24" width="6.06640625" bestFit="1" customWidth="1"/>
    <col min="25" max="25" width="8.1328125" bestFit="1" customWidth="1"/>
    <col min="26" max="26" width="4.796875" bestFit="1" customWidth="1"/>
    <col min="27" max="27" width="11.33203125" bestFit="1" customWidth="1"/>
    <col min="28" max="28" width="6.59765625" bestFit="1" customWidth="1"/>
    <col min="29" max="29" width="12.6640625" bestFit="1" customWidth="1"/>
    <col min="30" max="30" width="6.6640625" bestFit="1" customWidth="1"/>
    <col min="31" max="31" width="5.86328125" bestFit="1" customWidth="1"/>
    <col min="32" max="32" width="10.46484375" bestFit="1" customWidth="1"/>
    <col min="33" max="33" width="10.19921875" bestFit="1" customWidth="1"/>
    <col min="34" max="34" width="4.19921875" bestFit="1" customWidth="1"/>
    <col min="35" max="35" width="5.19921875" bestFit="1" customWidth="1"/>
    <col min="36" max="36" width="11.46484375" bestFit="1" customWidth="1"/>
    <col min="37" max="37" width="12.86328125" bestFit="1" customWidth="1"/>
    <col min="38" max="38" width="11.46484375" bestFit="1" customWidth="1"/>
    <col min="39" max="39" width="12.86328125" bestFit="1" customWidth="1"/>
    <col min="40" max="40" width="11.46484375" bestFit="1" customWidth="1"/>
    <col min="41" max="41" width="18" bestFit="1" customWidth="1"/>
    <col min="42" max="42" width="16.46484375" bestFit="1" customWidth="1"/>
  </cols>
  <sheetData>
    <row r="1" spans="1:35" x14ac:dyDescent="0.45">
      <c r="A1" t="s">
        <v>318</v>
      </c>
      <c r="B1" t="s">
        <v>326</v>
      </c>
      <c r="C1" t="s">
        <v>319</v>
      </c>
      <c r="D1" t="s">
        <v>320</v>
      </c>
      <c r="F1" s="43" t="s">
        <v>324</v>
      </c>
      <c r="G1" s="43" t="s">
        <v>325</v>
      </c>
    </row>
    <row r="2" spans="1:35" x14ac:dyDescent="0.45">
      <c r="A2" t="s">
        <v>321</v>
      </c>
      <c r="B2">
        <v>2005</v>
      </c>
      <c r="C2" t="s">
        <v>413</v>
      </c>
      <c r="D2">
        <v>7.4080000000000004</v>
      </c>
      <c r="F2" s="43" t="s">
        <v>323</v>
      </c>
      <c r="G2" t="s">
        <v>413</v>
      </c>
      <c r="H2" t="s">
        <v>414</v>
      </c>
      <c r="I2" t="s">
        <v>415</v>
      </c>
      <c r="J2" t="s">
        <v>416</v>
      </c>
      <c r="K2" t="s">
        <v>417</v>
      </c>
      <c r="L2" t="s">
        <v>418</v>
      </c>
      <c r="M2" t="s">
        <v>419</v>
      </c>
      <c r="N2" t="s">
        <v>420</v>
      </c>
      <c r="O2" t="s">
        <v>421</v>
      </c>
      <c r="P2" t="s">
        <v>315</v>
      </c>
      <c r="Q2" t="s">
        <v>422</v>
      </c>
      <c r="R2" t="s">
        <v>423</v>
      </c>
      <c r="S2" t="s">
        <v>424</v>
      </c>
      <c r="T2" t="s">
        <v>425</v>
      </c>
      <c r="U2" t="s">
        <v>426</v>
      </c>
      <c r="V2" t="s">
        <v>427</v>
      </c>
      <c r="W2" t="s">
        <v>428</v>
      </c>
      <c r="X2" t="s">
        <v>429</v>
      </c>
      <c r="Y2" t="s">
        <v>412</v>
      </c>
      <c r="Z2" t="s">
        <v>317</v>
      </c>
      <c r="AA2" t="s">
        <v>430</v>
      </c>
      <c r="AB2" t="s">
        <v>431</v>
      </c>
      <c r="AC2" t="s">
        <v>432</v>
      </c>
      <c r="AD2" t="s">
        <v>433</v>
      </c>
      <c r="AE2" t="s">
        <v>316</v>
      </c>
      <c r="AF2" t="s">
        <v>434</v>
      </c>
      <c r="AG2" t="s">
        <v>435</v>
      </c>
      <c r="AH2" t="s">
        <v>436</v>
      </c>
      <c r="AI2" t="s">
        <v>5</v>
      </c>
    </row>
    <row r="3" spans="1:35" x14ac:dyDescent="0.45">
      <c r="A3" t="s">
        <v>321</v>
      </c>
      <c r="B3">
        <v>2006</v>
      </c>
      <c r="C3" t="s">
        <v>413</v>
      </c>
      <c r="D3">
        <v>8.0644279999999995</v>
      </c>
      <c r="F3" s="44" t="s">
        <v>321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</row>
    <row r="4" spans="1:35" x14ac:dyDescent="0.45">
      <c r="A4" t="s">
        <v>321</v>
      </c>
      <c r="B4">
        <v>2007</v>
      </c>
      <c r="C4" t="s">
        <v>413</v>
      </c>
      <c r="D4">
        <v>8.4715699999999998</v>
      </c>
      <c r="F4" s="45">
        <v>2005</v>
      </c>
      <c r="G4" s="40">
        <v>7.4080000000000004</v>
      </c>
      <c r="H4" s="40">
        <v>5.2352020000000001</v>
      </c>
      <c r="I4" s="40">
        <v>6.8250000000000002</v>
      </c>
      <c r="J4" s="40">
        <v>2.4257469999999999</v>
      </c>
      <c r="K4" s="40">
        <v>68.212999999999994</v>
      </c>
      <c r="L4" s="40">
        <v>27.494779000000001</v>
      </c>
      <c r="M4" s="40">
        <v>13.193</v>
      </c>
      <c r="N4" s="40">
        <v>18.925913524999999</v>
      </c>
      <c r="O4" s="40">
        <v>18.123999999999999</v>
      </c>
      <c r="P4" s="40">
        <v>21.693999999999999</v>
      </c>
      <c r="Q4" s="40">
        <v>8.5394769999999998</v>
      </c>
      <c r="R4" s="40">
        <v>24.450523</v>
      </c>
      <c r="S4" s="40">
        <v>13.922157</v>
      </c>
      <c r="T4" s="40">
        <v>39.531129</v>
      </c>
      <c r="U4" s="40">
        <v>11.140781</v>
      </c>
      <c r="V4" s="40">
        <v>24.45</v>
      </c>
      <c r="W4" s="40">
        <v>19.835536999999999</v>
      </c>
      <c r="X4" s="40">
        <v>30.1</v>
      </c>
      <c r="Y4" s="40">
        <v>46.09</v>
      </c>
      <c r="Z4" s="40">
        <v>7.6260000000000003</v>
      </c>
      <c r="AA4" s="40">
        <v>11.520078</v>
      </c>
      <c r="AB4" s="40">
        <v>14.3</v>
      </c>
      <c r="AC4" s="40">
        <v>14.902664</v>
      </c>
      <c r="AD4" s="40">
        <v>2.2160000000000002</v>
      </c>
      <c r="AE4" s="40">
        <v>25.57</v>
      </c>
      <c r="AF4" s="40">
        <v>2.16</v>
      </c>
      <c r="AG4" s="40">
        <v>4.5750000000000002</v>
      </c>
      <c r="AH4" s="40">
        <v>30.477058</v>
      </c>
      <c r="AI4" s="40">
        <v>132.90899999999999</v>
      </c>
    </row>
    <row r="5" spans="1:35" x14ac:dyDescent="0.45">
      <c r="A5" t="s">
        <v>321</v>
      </c>
      <c r="B5">
        <v>2008</v>
      </c>
      <c r="C5" t="s">
        <v>413</v>
      </c>
      <c r="D5">
        <v>8.8680289999999999</v>
      </c>
      <c r="F5" s="45">
        <v>2006</v>
      </c>
      <c r="G5" s="40">
        <v>8.0644279999999995</v>
      </c>
      <c r="H5" s="40">
        <v>6.6282420000000002</v>
      </c>
      <c r="I5" s="40">
        <v>7.0270000000000001</v>
      </c>
      <c r="J5" s="40">
        <v>2.8949790000000002</v>
      </c>
      <c r="K5" s="40">
        <v>69.128</v>
      </c>
      <c r="L5" s="40">
        <v>28.898498</v>
      </c>
      <c r="M5" s="40">
        <v>13.513999999999999</v>
      </c>
      <c r="N5" s="40">
        <v>19.892111395000001</v>
      </c>
      <c r="O5" s="40">
        <v>18.739000000000001</v>
      </c>
      <c r="P5" s="40">
        <v>26.574000000000002</v>
      </c>
      <c r="Q5" s="40">
        <v>8.7172870000000007</v>
      </c>
      <c r="R5" s="40">
        <v>26.000249</v>
      </c>
      <c r="S5" s="40">
        <v>14.252860999999999</v>
      </c>
      <c r="T5" s="40">
        <v>40.425015999999999</v>
      </c>
      <c r="U5" s="40">
        <v>10.364566999999999</v>
      </c>
      <c r="V5" s="40">
        <v>25.343</v>
      </c>
      <c r="W5" s="40">
        <v>20.610371000000001</v>
      </c>
      <c r="X5" s="40">
        <v>30.4</v>
      </c>
      <c r="Y5" s="40">
        <v>46.57</v>
      </c>
      <c r="Z5" s="40">
        <v>8.5719999999999992</v>
      </c>
      <c r="AA5" s="40">
        <v>12.284973000000001</v>
      </c>
      <c r="AB5" s="40">
        <v>16.411999999999999</v>
      </c>
      <c r="AC5" s="40">
        <v>15.721219</v>
      </c>
      <c r="AD5" s="40">
        <v>2.282</v>
      </c>
      <c r="AE5" s="40">
        <v>26.794</v>
      </c>
      <c r="AF5" s="40">
        <v>2.29</v>
      </c>
      <c r="AG5" s="40">
        <v>4.8899999999999997</v>
      </c>
      <c r="AH5" s="40">
        <v>30.817036000000002</v>
      </c>
      <c r="AI5" s="40">
        <v>135.047</v>
      </c>
    </row>
    <row r="6" spans="1:35" x14ac:dyDescent="0.45">
      <c r="A6" t="s">
        <v>321</v>
      </c>
      <c r="B6">
        <v>2009</v>
      </c>
      <c r="C6" t="s">
        <v>413</v>
      </c>
      <c r="D6">
        <v>9.4617059999999995</v>
      </c>
      <c r="F6" s="45">
        <v>2007</v>
      </c>
      <c r="G6" s="40">
        <v>8.4715699999999998</v>
      </c>
      <c r="H6" s="40">
        <v>7.0369700000000002</v>
      </c>
      <c r="I6" s="40">
        <v>7.548</v>
      </c>
      <c r="J6" s="40">
        <v>3.4579529999999998</v>
      </c>
      <c r="K6" s="40">
        <v>69.724000000000004</v>
      </c>
      <c r="L6" s="40">
        <v>33.296093999999997</v>
      </c>
      <c r="M6" s="40">
        <v>13.801</v>
      </c>
      <c r="N6" s="40">
        <v>21.296756030000001</v>
      </c>
      <c r="O6" s="40">
        <v>19.199000000000002</v>
      </c>
      <c r="P6" s="40">
        <v>32.35</v>
      </c>
      <c r="Q6" s="40">
        <v>8.8138799999999993</v>
      </c>
      <c r="R6" s="40">
        <v>27.565572</v>
      </c>
      <c r="S6" s="40">
        <v>14.602900999999999</v>
      </c>
      <c r="T6" s="40">
        <v>41.107529999999997</v>
      </c>
      <c r="U6" s="40">
        <v>11.159127</v>
      </c>
      <c r="V6" s="40">
        <v>26.138999999999999</v>
      </c>
      <c r="W6" s="40">
        <v>21.535450000000001</v>
      </c>
      <c r="X6" s="40">
        <v>30.7</v>
      </c>
      <c r="Y6" s="40">
        <v>41.183999999999997</v>
      </c>
      <c r="Z6" s="40">
        <v>9.4440000000000008</v>
      </c>
      <c r="AA6" s="40">
        <v>13.176600000000001</v>
      </c>
      <c r="AB6" s="40">
        <v>17.696999999999999</v>
      </c>
      <c r="AC6" s="40">
        <v>16.676894999999998</v>
      </c>
      <c r="AD6" s="40">
        <v>2.363</v>
      </c>
      <c r="AE6" s="40">
        <v>29.405000000000001</v>
      </c>
      <c r="AF6" s="40">
        <v>2.4500000000000002</v>
      </c>
      <c r="AG6" s="40">
        <v>5.1609999999999996</v>
      </c>
      <c r="AH6" s="40">
        <v>31.105988</v>
      </c>
      <c r="AI6" s="40">
        <v>135.22200000000001</v>
      </c>
    </row>
    <row r="7" spans="1:35" x14ac:dyDescent="0.45">
      <c r="A7" t="s">
        <v>321</v>
      </c>
      <c r="B7">
        <v>2010</v>
      </c>
      <c r="C7" t="s">
        <v>413</v>
      </c>
      <c r="D7">
        <v>10.341404000000001</v>
      </c>
      <c r="F7" s="45">
        <v>2008</v>
      </c>
      <c r="G7" s="40">
        <v>8.8680289999999999</v>
      </c>
      <c r="H7" s="40">
        <v>7.5913899999999996</v>
      </c>
      <c r="I7" s="40">
        <v>8.1980000000000004</v>
      </c>
      <c r="J7" s="40">
        <v>4.0926799999999997</v>
      </c>
      <c r="K7" s="40">
        <v>70.349000000000004</v>
      </c>
      <c r="L7" s="40">
        <v>32.858829999999998</v>
      </c>
      <c r="M7" s="40">
        <v>14.103</v>
      </c>
      <c r="N7" s="40">
        <v>22.91713966</v>
      </c>
      <c r="O7" s="40">
        <v>19.613</v>
      </c>
      <c r="P7" s="40">
        <v>38.79</v>
      </c>
      <c r="Q7" s="40">
        <v>8.8337219999999999</v>
      </c>
      <c r="R7" s="40">
        <v>29.488693000000001</v>
      </c>
      <c r="S7" s="40">
        <v>14.882281000000001</v>
      </c>
      <c r="T7" s="40">
        <v>41.794944000000001</v>
      </c>
      <c r="U7" s="40">
        <v>12.035263</v>
      </c>
      <c r="V7" s="40">
        <v>26.553000000000001</v>
      </c>
      <c r="W7" s="40">
        <v>22.582678000000001</v>
      </c>
      <c r="X7" s="40">
        <v>30.85</v>
      </c>
      <c r="Y7" s="40">
        <v>41.320999999999998</v>
      </c>
      <c r="Z7" s="40">
        <v>10.606</v>
      </c>
      <c r="AA7" s="40">
        <v>14.209678</v>
      </c>
      <c r="AB7" s="40">
        <v>19.420999999999999</v>
      </c>
      <c r="AC7" s="40">
        <v>17.986143666666699</v>
      </c>
      <c r="AD7" s="40">
        <v>2.4079999999999999</v>
      </c>
      <c r="AE7" s="40">
        <v>32.021000000000001</v>
      </c>
      <c r="AF7" s="40">
        <v>2.62</v>
      </c>
      <c r="AG7" s="40">
        <v>5.2759999999999998</v>
      </c>
      <c r="AH7" s="40">
        <v>31.252476000000001</v>
      </c>
      <c r="AI7" s="40">
        <v>135.88200000000001</v>
      </c>
    </row>
    <row r="8" spans="1:35" x14ac:dyDescent="0.45">
      <c r="A8" t="s">
        <v>321</v>
      </c>
      <c r="B8">
        <v>2011</v>
      </c>
      <c r="C8" t="s">
        <v>413</v>
      </c>
      <c r="D8">
        <v>10.914955000000001</v>
      </c>
      <c r="F8" s="45">
        <v>2009</v>
      </c>
      <c r="G8" s="40">
        <v>9.4617059999999995</v>
      </c>
      <c r="H8" s="40">
        <v>7.8151419999999998</v>
      </c>
      <c r="I8" s="40">
        <v>8.7140000000000004</v>
      </c>
      <c r="J8" s="40">
        <v>4.3520029999999998</v>
      </c>
      <c r="K8" s="40">
        <v>71.043999999999997</v>
      </c>
      <c r="L8" s="40">
        <v>34.581547</v>
      </c>
      <c r="M8" s="40">
        <v>14.352</v>
      </c>
      <c r="N8" s="40">
        <v>24.814742644999999</v>
      </c>
      <c r="O8" s="40">
        <v>19.876999999999999</v>
      </c>
      <c r="P8" s="40">
        <v>48.863</v>
      </c>
      <c r="Q8" s="40">
        <v>8.8766040000000004</v>
      </c>
      <c r="R8" s="40">
        <v>30.024294000000001</v>
      </c>
      <c r="S8" s="40">
        <v>15.016429</v>
      </c>
      <c r="T8" s="40">
        <v>42.191960000000002</v>
      </c>
      <c r="U8" s="40">
        <v>12.359646</v>
      </c>
      <c r="V8" s="40">
        <v>26.44</v>
      </c>
      <c r="W8" s="40">
        <v>23.401726</v>
      </c>
      <c r="X8" s="40">
        <v>31.05</v>
      </c>
      <c r="Y8" s="40">
        <v>41.738</v>
      </c>
      <c r="Z8" s="40">
        <v>11.744</v>
      </c>
      <c r="AA8" s="40">
        <v>14.472860000000001</v>
      </c>
      <c r="AB8" s="40">
        <v>20.518999999999998</v>
      </c>
      <c r="AC8" s="40">
        <v>18.880660333333299</v>
      </c>
      <c r="AD8" s="40">
        <v>2.448</v>
      </c>
      <c r="AE8" s="40">
        <v>33.084000000000003</v>
      </c>
      <c r="AF8" s="40">
        <v>2.83</v>
      </c>
      <c r="AG8" s="40">
        <v>5.4109999999999996</v>
      </c>
      <c r="AH8" s="40">
        <v>31.035791</v>
      </c>
      <c r="AI8" s="40">
        <v>132.5</v>
      </c>
    </row>
    <row r="9" spans="1:35" x14ac:dyDescent="0.45">
      <c r="A9" t="s">
        <v>321</v>
      </c>
      <c r="B9">
        <v>2012</v>
      </c>
      <c r="C9" t="s">
        <v>413</v>
      </c>
      <c r="D9">
        <v>11.497769999999999</v>
      </c>
      <c r="F9" s="45">
        <v>2010</v>
      </c>
      <c r="G9" s="40">
        <v>10.341404000000001</v>
      </c>
      <c r="H9" s="40">
        <v>8.1680989999999998</v>
      </c>
      <c r="I9" s="40">
        <v>9.7769999999999992</v>
      </c>
      <c r="J9" s="40">
        <v>4.9862830000000002</v>
      </c>
      <c r="K9" s="40">
        <v>71.978999999999999</v>
      </c>
      <c r="L9" s="40">
        <v>36.990822999999999</v>
      </c>
      <c r="M9" s="40">
        <v>14.596304999999999</v>
      </c>
      <c r="N9" s="40">
        <v>26.887691905000001</v>
      </c>
      <c r="O9" s="40">
        <v>20.268000000000001</v>
      </c>
      <c r="P9" s="40">
        <v>62.067</v>
      </c>
      <c r="Q9" s="40">
        <v>8.9902829999999998</v>
      </c>
      <c r="R9" s="40">
        <v>30.727219000000002</v>
      </c>
      <c r="S9" s="40">
        <v>15.224715</v>
      </c>
      <c r="T9" s="40">
        <v>42.664873</v>
      </c>
      <c r="U9" s="40">
        <v>12.489995</v>
      </c>
      <c r="V9" s="40">
        <v>26.626999999999999</v>
      </c>
      <c r="W9" s="40">
        <v>24.335685999999999</v>
      </c>
      <c r="X9" s="40">
        <v>31.3</v>
      </c>
      <c r="Y9" s="40">
        <v>42.302</v>
      </c>
      <c r="Z9" s="40">
        <v>13.268000000000001</v>
      </c>
      <c r="AA9" s="40">
        <v>14.876384</v>
      </c>
      <c r="AB9" s="40">
        <v>21.152999999999999</v>
      </c>
      <c r="AC9" s="40">
        <v>19.947797000000001</v>
      </c>
      <c r="AD9" s="40">
        <v>2.5099999999999998</v>
      </c>
      <c r="AE9" s="40">
        <v>34.353999999999999</v>
      </c>
      <c r="AF9" s="40">
        <v>3.11</v>
      </c>
      <c r="AG9" s="40">
        <v>5.3190689999999998</v>
      </c>
      <c r="AH9" s="40">
        <v>31.258196999999999</v>
      </c>
      <c r="AI9" s="40">
        <v>129.053</v>
      </c>
    </row>
    <row r="10" spans="1:35" x14ac:dyDescent="0.45">
      <c r="A10" t="s">
        <v>321</v>
      </c>
      <c r="B10">
        <v>2013</v>
      </c>
      <c r="C10" t="s">
        <v>413</v>
      </c>
      <c r="D10">
        <v>12.123381</v>
      </c>
      <c r="F10" s="45">
        <v>2011</v>
      </c>
      <c r="G10" s="40">
        <v>10.914955000000001</v>
      </c>
      <c r="H10" s="40">
        <v>8.5718429999999994</v>
      </c>
      <c r="I10" s="40">
        <v>10.632</v>
      </c>
      <c r="J10" s="40">
        <v>5.620063</v>
      </c>
      <c r="K10" s="40">
        <v>72.805999999999997</v>
      </c>
      <c r="L10" s="40">
        <v>39.627600000000001</v>
      </c>
      <c r="M10" s="40">
        <v>14.836</v>
      </c>
      <c r="N10" s="40">
        <v>28.945932710000001</v>
      </c>
      <c r="O10" s="40">
        <v>20.608000000000001</v>
      </c>
      <c r="P10" s="40">
        <v>75.302999999999997</v>
      </c>
      <c r="Q10" s="40">
        <v>9.1364959999999993</v>
      </c>
      <c r="R10" s="40">
        <v>31.616613000000001</v>
      </c>
      <c r="S10" s="40">
        <v>15.45181</v>
      </c>
      <c r="T10" s="40">
        <v>43.026591000000003</v>
      </c>
      <c r="U10" s="40">
        <v>12.588917</v>
      </c>
      <c r="V10" s="40">
        <v>26.798999999999999</v>
      </c>
      <c r="W10" s="40">
        <v>25.428014999999998</v>
      </c>
      <c r="X10" s="40">
        <v>31.55</v>
      </c>
      <c r="Y10" s="40">
        <v>42.927999999999997</v>
      </c>
      <c r="Z10" s="40">
        <v>15.026999999999999</v>
      </c>
      <c r="AA10" s="40">
        <v>15.639431999999999</v>
      </c>
      <c r="AB10" s="40">
        <v>22.373999999999999</v>
      </c>
      <c r="AC10" s="40">
        <v>22.121991000000001</v>
      </c>
      <c r="AD10" s="40">
        <v>2.5761120000000002</v>
      </c>
      <c r="AE10" s="40">
        <v>36.414999999999999</v>
      </c>
      <c r="AF10" s="40">
        <v>3.41</v>
      </c>
      <c r="AG10" s="40">
        <v>5.5069220000000003</v>
      </c>
      <c r="AH10" s="40">
        <v>31.362715999999999</v>
      </c>
      <c r="AI10" s="40">
        <v>127.577</v>
      </c>
    </row>
    <row r="11" spans="1:35" x14ac:dyDescent="0.45">
      <c r="A11" t="s">
        <v>321</v>
      </c>
      <c r="B11">
        <v>2014</v>
      </c>
      <c r="C11" t="s">
        <v>413</v>
      </c>
      <c r="D11">
        <v>12.821766</v>
      </c>
      <c r="F11" s="45">
        <v>2012</v>
      </c>
      <c r="G11" s="40">
        <v>11.497769999999999</v>
      </c>
      <c r="H11" s="40">
        <v>9.0576910000000002</v>
      </c>
      <c r="I11" s="40">
        <v>11.263</v>
      </c>
      <c r="J11" s="40">
        <v>5.9242866666666698</v>
      </c>
      <c r="K11" s="40">
        <v>73.998000000000005</v>
      </c>
      <c r="L11" s="40">
        <v>43.093556999999997</v>
      </c>
      <c r="M11" s="40">
        <v>15.139234999999999</v>
      </c>
      <c r="N11" s="40">
        <v>31.122621939999998</v>
      </c>
      <c r="O11" s="40">
        <v>20.652000000000001</v>
      </c>
      <c r="P11" s="40">
        <v>87.849000000000004</v>
      </c>
      <c r="Q11" s="40">
        <v>9.2471899999999998</v>
      </c>
      <c r="R11" s="40">
        <v>32.826813999999999</v>
      </c>
      <c r="S11" s="40">
        <v>15.547013</v>
      </c>
      <c r="T11" s="40">
        <v>42.970168999999999</v>
      </c>
      <c r="U11" s="40">
        <v>12.799029000000001</v>
      </c>
      <c r="V11" s="40">
        <v>26.745000000000001</v>
      </c>
      <c r="W11" s="40">
        <v>26.228052999999999</v>
      </c>
      <c r="X11" s="40">
        <v>31.6</v>
      </c>
      <c r="Y11" s="40">
        <v>43.430999999999997</v>
      </c>
      <c r="Z11" s="40">
        <v>16.896000000000001</v>
      </c>
      <c r="AA11" s="40">
        <v>16.46208</v>
      </c>
      <c r="AB11" s="40">
        <v>23.57</v>
      </c>
      <c r="AC11" s="40">
        <v>24.065127</v>
      </c>
      <c r="AD11" s="40">
        <v>2.6430699999999998</v>
      </c>
      <c r="AE11" s="40">
        <v>38.481999999999999</v>
      </c>
      <c r="AF11" s="40">
        <v>3.6890000000000001</v>
      </c>
      <c r="AG11" s="40">
        <v>5.733314</v>
      </c>
      <c r="AH11" s="40">
        <v>31.481999999999999</v>
      </c>
      <c r="AI11" s="40">
        <v>120.901628</v>
      </c>
    </row>
    <row r="12" spans="1:35" x14ac:dyDescent="0.45">
      <c r="A12" t="s">
        <v>321</v>
      </c>
      <c r="B12">
        <v>2015</v>
      </c>
      <c r="C12" t="s">
        <v>413</v>
      </c>
      <c r="D12">
        <v>13.794338</v>
      </c>
      <c r="F12" s="45">
        <v>2013</v>
      </c>
      <c r="G12" s="40">
        <v>12.123381</v>
      </c>
      <c r="H12" s="40">
        <v>9.5199680000000004</v>
      </c>
      <c r="I12" s="40">
        <v>12.237463</v>
      </c>
      <c r="J12" s="40">
        <v>6.1950213333333304</v>
      </c>
      <c r="K12" s="40">
        <v>75.113848000000004</v>
      </c>
      <c r="L12" s="40">
        <v>44.962614000000002</v>
      </c>
      <c r="M12" s="40">
        <v>15.895021</v>
      </c>
      <c r="N12" s="40">
        <v>33.091826185000002</v>
      </c>
      <c r="O12" s="40">
        <v>21.261659999999999</v>
      </c>
      <c r="P12" s="40">
        <v>101.854635</v>
      </c>
      <c r="Q12" s="40">
        <v>9.3512160000000009</v>
      </c>
      <c r="R12" s="40">
        <v>33.758389000000001</v>
      </c>
      <c r="S12" s="40">
        <v>15.866707</v>
      </c>
      <c r="T12" s="40">
        <v>42.817799000000001</v>
      </c>
      <c r="U12" s="40">
        <v>13.164839000000001</v>
      </c>
      <c r="V12" s="40">
        <v>26.504538</v>
      </c>
      <c r="W12" s="40">
        <v>27.394863000000001</v>
      </c>
      <c r="X12" s="40">
        <v>31.65</v>
      </c>
      <c r="Y12" s="40">
        <v>43.851230000000001</v>
      </c>
      <c r="Z12" s="40">
        <v>18.917999999999999</v>
      </c>
      <c r="AA12" s="40">
        <v>16.685293999999999</v>
      </c>
      <c r="AB12" s="40">
        <v>24.82</v>
      </c>
      <c r="AC12" s="40">
        <v>25.967972</v>
      </c>
      <c r="AD12" s="40">
        <v>2.700466</v>
      </c>
      <c r="AE12" s="40">
        <v>41.224527000000002</v>
      </c>
      <c r="AF12" s="40">
        <v>3.8675000000000002</v>
      </c>
      <c r="AG12" s="40">
        <v>5.9672219999999996</v>
      </c>
      <c r="AH12" s="40">
        <v>32.103000000000002</v>
      </c>
      <c r="AI12" s="40">
        <v>120.213973</v>
      </c>
    </row>
    <row r="13" spans="1:35" x14ac:dyDescent="0.45">
      <c r="A13" t="s">
        <v>321</v>
      </c>
      <c r="B13">
        <v>2005</v>
      </c>
      <c r="C13" t="s">
        <v>414</v>
      </c>
      <c r="D13">
        <v>5.2352020000000001</v>
      </c>
      <c r="F13" s="45">
        <v>2014</v>
      </c>
      <c r="G13" s="40">
        <v>12.821766</v>
      </c>
      <c r="H13" s="40">
        <v>10.067513</v>
      </c>
      <c r="I13" s="40">
        <v>13.137313000000001</v>
      </c>
      <c r="J13" s="40">
        <v>6.7312329999999996</v>
      </c>
      <c r="K13" s="40">
        <v>76.415232000000003</v>
      </c>
      <c r="L13" s="40">
        <v>48.842317000000001</v>
      </c>
      <c r="M13" s="40">
        <v>16.278517999999998</v>
      </c>
      <c r="N13" s="40">
        <v>34.676231829999999</v>
      </c>
      <c r="O13" s="40">
        <v>21.729596000000001</v>
      </c>
      <c r="P13" s="40">
        <v>117.995017</v>
      </c>
      <c r="Q13" s="40">
        <v>9.5025580000000005</v>
      </c>
      <c r="R13" s="40">
        <v>34.079185000000003</v>
      </c>
      <c r="S13" s="40">
        <v>16.020775</v>
      </c>
      <c r="T13" s="40">
        <v>42.927397999999997</v>
      </c>
      <c r="U13" s="40">
        <v>13.578645</v>
      </c>
      <c r="V13" s="40">
        <v>26.525511999999999</v>
      </c>
      <c r="W13" s="40">
        <v>28.431460999999999</v>
      </c>
      <c r="X13" s="40">
        <v>31.8</v>
      </c>
      <c r="Y13" s="40">
        <v>44.403123999999998</v>
      </c>
      <c r="Z13" s="40">
        <v>20.442</v>
      </c>
      <c r="AA13" s="40">
        <v>17.381653</v>
      </c>
      <c r="AB13" s="40">
        <v>25.543907999999998</v>
      </c>
      <c r="AC13" s="40">
        <v>27.695111000000001</v>
      </c>
      <c r="AD13" s="40">
        <v>2.7570060000000001</v>
      </c>
      <c r="AE13" s="40">
        <v>43.383783000000001</v>
      </c>
      <c r="AF13" s="40">
        <v>4.1100000000000003</v>
      </c>
      <c r="AG13" s="40">
        <v>6.1883319999999999</v>
      </c>
      <c r="AH13" s="40">
        <v>32.612782000000003</v>
      </c>
      <c r="AI13" s="40">
        <v>120.983811</v>
      </c>
    </row>
    <row r="14" spans="1:35" x14ac:dyDescent="0.45">
      <c r="A14" t="s">
        <v>321</v>
      </c>
      <c r="B14">
        <v>2006</v>
      </c>
      <c r="C14" t="s">
        <v>414</v>
      </c>
      <c r="D14">
        <v>6.6282420000000002</v>
      </c>
      <c r="F14" s="45">
        <v>2015</v>
      </c>
      <c r="G14" s="40">
        <v>13.794338</v>
      </c>
      <c r="H14" s="40">
        <v>10.632235</v>
      </c>
      <c r="I14" s="40">
        <v>13.53839</v>
      </c>
      <c r="J14" s="40">
        <v>6.7608009999999998</v>
      </c>
      <c r="K14" s="40">
        <v>77.549548000000001</v>
      </c>
      <c r="L14" s="40">
        <v>51.635837000000002</v>
      </c>
      <c r="M14" s="40">
        <v>16.628401</v>
      </c>
      <c r="N14" s="40">
        <v>35.471423000000001</v>
      </c>
      <c r="O14" s="40">
        <v>22.067778000000001</v>
      </c>
      <c r="P14" s="40">
        <v>136.34480300000001</v>
      </c>
      <c r="Q14" s="40">
        <v>9.6740639999999996</v>
      </c>
      <c r="R14" s="40">
        <v>35.232221000000003</v>
      </c>
      <c r="S14" s="40">
        <v>16.289404999999999</v>
      </c>
      <c r="T14" s="40">
        <v>43.219213000000003</v>
      </c>
      <c r="U14" s="40">
        <v>14.099563</v>
      </c>
      <c r="V14" s="40">
        <v>26.948705</v>
      </c>
      <c r="W14" s="40">
        <v>29.509689999999999</v>
      </c>
      <c r="X14" s="40">
        <v>32</v>
      </c>
      <c r="Y14" s="40">
        <v>45.071209000000003</v>
      </c>
      <c r="Z14" s="40">
        <v>22.468</v>
      </c>
      <c r="AA14" s="40">
        <v>17.922999000000001</v>
      </c>
      <c r="AB14" s="40">
        <v>26.937356000000001</v>
      </c>
      <c r="AC14" s="40">
        <v>29.563624999999998</v>
      </c>
      <c r="AD14" s="40">
        <v>2.818711</v>
      </c>
      <c r="AE14" s="40">
        <v>44.253107999999997</v>
      </c>
      <c r="AF14" s="40">
        <v>4.4000000000000004</v>
      </c>
      <c r="AG14" s="40">
        <v>6.383756</v>
      </c>
      <c r="AH14" s="40">
        <v>33.542448</v>
      </c>
      <c r="AI14" s="40">
        <v>122.321991</v>
      </c>
    </row>
    <row r="15" spans="1:35" x14ac:dyDescent="0.45">
      <c r="A15" t="s">
        <v>321</v>
      </c>
      <c r="B15">
        <v>2007</v>
      </c>
      <c r="C15" t="s">
        <v>414</v>
      </c>
      <c r="D15">
        <v>7.0369700000000002</v>
      </c>
      <c r="F15" s="44" t="s">
        <v>322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</row>
    <row r="16" spans="1:35" x14ac:dyDescent="0.45">
      <c r="A16" t="s">
        <v>321</v>
      </c>
      <c r="B16">
        <v>2008</v>
      </c>
      <c r="C16" t="s">
        <v>414</v>
      </c>
      <c r="D16">
        <v>7.5913899999999996</v>
      </c>
      <c r="F16" s="45">
        <v>2005</v>
      </c>
      <c r="G16" s="40">
        <v>2.8679999999999999</v>
      </c>
      <c r="H16" s="40">
        <v>3.34293</v>
      </c>
      <c r="I16" s="40">
        <v>2.59</v>
      </c>
      <c r="J16" s="40">
        <v>0.76782300000000003</v>
      </c>
      <c r="K16" s="40">
        <v>22.870999999999999</v>
      </c>
      <c r="L16" s="40">
        <v>13.320069935287</v>
      </c>
      <c r="M16" s="40">
        <v>3.0150000000000001</v>
      </c>
      <c r="N16" s="40">
        <v>4.1126820000000004</v>
      </c>
      <c r="O16" s="40">
        <v>0.78600000000000003</v>
      </c>
      <c r="P16" s="40">
        <v>10.401999999999999</v>
      </c>
      <c r="Q16" s="40">
        <v>1.0406899999999999</v>
      </c>
      <c r="R16" s="40">
        <v>3.9361570000000001</v>
      </c>
      <c r="S16" s="40">
        <v>2.0626180000000001</v>
      </c>
      <c r="T16" s="40">
        <v>5.803312</v>
      </c>
      <c r="U16" s="40">
        <v>1.570282</v>
      </c>
      <c r="V16" s="40">
        <v>6.2309999999999999</v>
      </c>
      <c r="W16" s="40">
        <v>4.9243639999999997</v>
      </c>
      <c r="X16" s="40">
        <v>6.1980000000000004</v>
      </c>
      <c r="Y16" s="40">
        <v>3.133</v>
      </c>
      <c r="Z16" s="40">
        <v>2.706</v>
      </c>
      <c r="AA16" s="40">
        <v>5.6563730000000003</v>
      </c>
      <c r="AB16" s="40">
        <v>7.25</v>
      </c>
      <c r="AC16" s="40">
        <v>5.0019879999999999</v>
      </c>
      <c r="AD16" s="40">
        <v>0.52100000000000002</v>
      </c>
      <c r="AE16" s="40">
        <v>5.6420000000000003</v>
      </c>
      <c r="AF16" s="40">
        <v>1.42</v>
      </c>
      <c r="AG16" s="40">
        <v>2.2970000000000002</v>
      </c>
      <c r="AH16" s="40">
        <v>3.9167649999999998</v>
      </c>
      <c r="AI16" s="40">
        <v>104.788</v>
      </c>
    </row>
    <row r="17" spans="1:37" x14ac:dyDescent="0.45">
      <c r="A17" t="s">
        <v>321</v>
      </c>
      <c r="B17">
        <v>2009</v>
      </c>
      <c r="C17" t="s">
        <v>414</v>
      </c>
      <c r="D17">
        <v>7.8151419999999998</v>
      </c>
      <c r="F17" s="45">
        <v>2006</v>
      </c>
      <c r="G17" s="40">
        <v>2.9976430000000001</v>
      </c>
      <c r="H17" s="40">
        <v>3.513242</v>
      </c>
      <c r="I17" s="40">
        <v>2.7</v>
      </c>
      <c r="J17" s="40">
        <v>0.86273900000000003</v>
      </c>
      <c r="K17" s="40">
        <v>22.626000000000001</v>
      </c>
      <c r="L17" s="40">
        <v>13.6447438752403</v>
      </c>
      <c r="M17" s="40">
        <v>3.1320000000000001</v>
      </c>
      <c r="N17" s="40">
        <v>4.192272</v>
      </c>
      <c r="O17" s="40">
        <v>0.84099999999999997</v>
      </c>
      <c r="P17" s="40">
        <v>10.909000000000001</v>
      </c>
      <c r="Q17" s="40">
        <v>1.1029249999999999</v>
      </c>
      <c r="R17" s="40">
        <v>4.1339480000000002</v>
      </c>
      <c r="S17" s="40">
        <v>2.106544</v>
      </c>
      <c r="T17" s="40">
        <v>5.9928270000000001</v>
      </c>
      <c r="U17" s="40">
        <v>1.508275</v>
      </c>
      <c r="V17" s="40">
        <v>6.51</v>
      </c>
      <c r="W17" s="40">
        <v>5.3106549999999997</v>
      </c>
      <c r="X17" s="40">
        <v>6.2610000000000001</v>
      </c>
      <c r="Y17" s="40">
        <v>3.1720000000000002</v>
      </c>
      <c r="Z17" s="40">
        <v>2.948</v>
      </c>
      <c r="AA17" s="40">
        <v>6.0851220000000001</v>
      </c>
      <c r="AB17" s="40">
        <v>7.7729999999999997</v>
      </c>
      <c r="AC17" s="40">
        <v>5.2311310000000004</v>
      </c>
      <c r="AD17" s="40">
        <v>0.54500000000000004</v>
      </c>
      <c r="AE17" s="40">
        <v>5.7530000000000001</v>
      </c>
      <c r="AF17" s="40">
        <v>1.44</v>
      </c>
      <c r="AG17" s="40">
        <v>2.4820000000000002</v>
      </c>
      <c r="AH17" s="40">
        <v>4.1179870000000003</v>
      </c>
      <c r="AI17" s="40">
        <v>109.596</v>
      </c>
    </row>
    <row r="18" spans="1:37" x14ac:dyDescent="0.45">
      <c r="A18" t="s">
        <v>321</v>
      </c>
      <c r="B18">
        <v>2010</v>
      </c>
      <c r="C18" t="s">
        <v>414</v>
      </c>
      <c r="D18">
        <v>8.1680989999999998</v>
      </c>
      <c r="F18" s="45">
        <v>2007</v>
      </c>
      <c r="G18" s="40">
        <v>3.1997300000000002</v>
      </c>
      <c r="H18" s="40">
        <v>3.8583750000000001</v>
      </c>
      <c r="I18" s="40">
        <v>2.8839999999999999</v>
      </c>
      <c r="J18" s="40">
        <v>0.98304899999999995</v>
      </c>
      <c r="K18" s="40">
        <v>22.419</v>
      </c>
      <c r="L18" s="40">
        <v>15.4477627254902</v>
      </c>
      <c r="M18" s="40">
        <v>3.2360000000000002</v>
      </c>
      <c r="N18" s="40">
        <v>4.3458259999999997</v>
      </c>
      <c r="O18" s="40">
        <v>0.872</v>
      </c>
      <c r="P18" s="40">
        <v>11.754</v>
      </c>
      <c r="Q18" s="40">
        <v>1.155745</v>
      </c>
      <c r="R18" s="40">
        <v>4.3837380000000001</v>
      </c>
      <c r="S18" s="40">
        <v>2.174668</v>
      </c>
      <c r="T18" s="40">
        <v>6.140047</v>
      </c>
      <c r="U18" s="40">
        <v>1.623791</v>
      </c>
      <c r="V18" s="40">
        <v>6.7619999999999996</v>
      </c>
      <c r="W18" s="40">
        <v>5.6293639999999998</v>
      </c>
      <c r="X18" s="40">
        <v>6.3330000000000002</v>
      </c>
      <c r="Y18" s="40">
        <v>2.8370000000000002</v>
      </c>
      <c r="Z18" s="40">
        <v>3.6419999999999999</v>
      </c>
      <c r="AA18" s="40">
        <v>6.6200609999999998</v>
      </c>
      <c r="AB18" s="40">
        <v>8.1720000000000006</v>
      </c>
      <c r="AC18" s="40">
        <v>5.5350000000000001</v>
      </c>
      <c r="AD18" s="40">
        <v>0.57099999999999995</v>
      </c>
      <c r="AE18" s="40">
        <v>6.05</v>
      </c>
      <c r="AF18" s="40">
        <v>1.54</v>
      </c>
      <c r="AG18" s="40">
        <v>2.6419999999999999</v>
      </c>
      <c r="AH18" s="40">
        <v>4.2479880000000003</v>
      </c>
      <c r="AI18" s="40">
        <v>113.479</v>
      </c>
    </row>
    <row r="19" spans="1:37" x14ac:dyDescent="0.45">
      <c r="A19" t="s">
        <v>321</v>
      </c>
      <c r="B19">
        <v>2011</v>
      </c>
      <c r="C19" t="s">
        <v>414</v>
      </c>
      <c r="D19">
        <v>8.5718429999999994</v>
      </c>
      <c r="F19" s="45">
        <v>2008</v>
      </c>
      <c r="G19" s="40">
        <v>3.5495649999999999</v>
      </c>
      <c r="H19" s="40">
        <v>4.3895970000000002</v>
      </c>
      <c r="I19" s="40">
        <v>3.1230000000000002</v>
      </c>
      <c r="J19" s="40">
        <v>1.06298</v>
      </c>
      <c r="K19" s="40">
        <v>21.972999999999999</v>
      </c>
      <c r="L19" s="40">
        <v>15.949635000000001</v>
      </c>
      <c r="M19" s="40">
        <v>3.3679999999999999</v>
      </c>
      <c r="N19" s="40">
        <v>4.592854</v>
      </c>
      <c r="O19" s="40">
        <v>0.90700000000000003</v>
      </c>
      <c r="P19" s="40">
        <v>12.736000000000001</v>
      </c>
      <c r="Q19" s="40">
        <v>1.158004</v>
      </c>
      <c r="R19" s="40">
        <v>4.6989479999999997</v>
      </c>
      <c r="S19" s="40">
        <v>2.2194349999999998</v>
      </c>
      <c r="T19" s="40">
        <v>6.2797109999999998</v>
      </c>
      <c r="U19" s="40">
        <v>1.7622690000000001</v>
      </c>
      <c r="V19" s="40">
        <v>6.8170000000000002</v>
      </c>
      <c r="W19" s="40">
        <v>6.0018159999999998</v>
      </c>
      <c r="X19" s="40">
        <v>6.3620000000000001</v>
      </c>
      <c r="Y19" s="40">
        <v>2.859</v>
      </c>
      <c r="Z19" s="40">
        <v>3.9540000000000002</v>
      </c>
      <c r="AA19" s="40">
        <v>7.2183809999999999</v>
      </c>
      <c r="AB19" s="40">
        <v>8.7870000000000008</v>
      </c>
      <c r="AC19" s="40">
        <v>5.8105226666666701</v>
      </c>
      <c r="AD19" s="40">
        <v>0.57999999999999996</v>
      </c>
      <c r="AE19" s="40">
        <v>6.2430000000000003</v>
      </c>
      <c r="AF19" s="40">
        <v>1.61</v>
      </c>
      <c r="AG19" s="40">
        <v>2.7410000000000001</v>
      </c>
      <c r="AH19" s="40">
        <v>4.2852059999999996</v>
      </c>
      <c r="AI19" s="40">
        <v>113.931</v>
      </c>
    </row>
    <row r="20" spans="1:37" x14ac:dyDescent="0.45">
      <c r="A20" t="s">
        <v>321</v>
      </c>
      <c r="B20">
        <v>2012</v>
      </c>
      <c r="C20" t="s">
        <v>414</v>
      </c>
      <c r="D20">
        <v>9.0576910000000002</v>
      </c>
      <c r="F20" s="45">
        <v>2009</v>
      </c>
      <c r="G20" s="40">
        <v>3.7944529999999999</v>
      </c>
      <c r="H20" s="40">
        <v>4.5615139999999998</v>
      </c>
      <c r="I20" s="40">
        <v>3.2069999999999999</v>
      </c>
      <c r="J20" s="40">
        <v>1.09198</v>
      </c>
      <c r="K20" s="40">
        <v>21.606000000000002</v>
      </c>
      <c r="L20" s="40">
        <v>16.396377999999999</v>
      </c>
      <c r="M20" s="40">
        <v>3.4790000000000001</v>
      </c>
      <c r="N20" s="40">
        <v>4.8525640000000001</v>
      </c>
      <c r="O20" s="40">
        <v>0.91500000000000004</v>
      </c>
      <c r="P20" s="40">
        <v>14.481999999999999</v>
      </c>
      <c r="Q20" s="40">
        <v>1.1382810000000001</v>
      </c>
      <c r="R20" s="40">
        <v>4.8024579999999997</v>
      </c>
      <c r="S20" s="40">
        <v>2.218874</v>
      </c>
      <c r="T20" s="40">
        <v>6.3467539999999998</v>
      </c>
      <c r="U20" s="40">
        <v>1.785874</v>
      </c>
      <c r="V20" s="40">
        <v>6.7590000000000003</v>
      </c>
      <c r="W20" s="40">
        <v>6.1406599999999996</v>
      </c>
      <c r="X20" s="40">
        <v>6.3879999999999999</v>
      </c>
      <c r="Y20" s="40">
        <v>2.8929999999999998</v>
      </c>
      <c r="Z20" s="40">
        <v>4.4329999999999998</v>
      </c>
      <c r="AA20" s="40">
        <v>7.5220440000000002</v>
      </c>
      <c r="AB20" s="40">
        <v>9.173</v>
      </c>
      <c r="AC20" s="40">
        <v>6.0245273333333298</v>
      </c>
      <c r="AD20" s="40">
        <v>0.58299999999999996</v>
      </c>
      <c r="AE20" s="40">
        <v>6.2190000000000003</v>
      </c>
      <c r="AF20" s="40">
        <v>1.68</v>
      </c>
      <c r="AG20" s="40">
        <v>2.81</v>
      </c>
      <c r="AH20" s="40">
        <v>4.1815189999999998</v>
      </c>
      <c r="AI20" s="40">
        <v>116.47199999999999</v>
      </c>
    </row>
    <row r="21" spans="1:37" x14ac:dyDescent="0.45">
      <c r="A21" t="s">
        <v>321</v>
      </c>
      <c r="B21">
        <v>2013</v>
      </c>
      <c r="C21" t="s">
        <v>414</v>
      </c>
      <c r="D21">
        <v>9.5199680000000004</v>
      </c>
      <c r="F21" s="45">
        <v>2010</v>
      </c>
      <c r="G21" s="40">
        <v>3.9928439999999998</v>
      </c>
      <c r="H21" s="40">
        <v>4.6867809999999999</v>
      </c>
      <c r="I21" s="40">
        <v>3.5289999999999999</v>
      </c>
      <c r="J21" s="40">
        <v>1.0965830000000001</v>
      </c>
      <c r="K21" s="40">
        <v>21.324000000000002</v>
      </c>
      <c r="L21" s="40">
        <v>17.024431</v>
      </c>
      <c r="M21" s="40">
        <v>3.5819999999999999</v>
      </c>
      <c r="N21" s="40">
        <v>5.222702</v>
      </c>
      <c r="O21" s="40">
        <v>0.96299999999999997</v>
      </c>
      <c r="P21" s="40">
        <v>16.513000000000002</v>
      </c>
      <c r="Q21" s="40">
        <v>1.1293340000000001</v>
      </c>
      <c r="R21" s="40">
        <v>4.9373519999999997</v>
      </c>
      <c r="S21" s="40">
        <v>2.20641</v>
      </c>
      <c r="T21" s="40">
        <v>6.4161720000000004</v>
      </c>
      <c r="U21" s="40">
        <v>1.7975429999999999</v>
      </c>
      <c r="V21" s="40">
        <v>6.7190000000000003</v>
      </c>
      <c r="W21" s="40">
        <v>6.4050960000000003</v>
      </c>
      <c r="X21" s="40">
        <v>6.444</v>
      </c>
      <c r="Y21" s="40">
        <v>2.96</v>
      </c>
      <c r="Z21" s="40">
        <v>4.6820000000000004</v>
      </c>
      <c r="AA21" s="40">
        <v>7.9624160000000002</v>
      </c>
      <c r="AB21" s="40">
        <v>9.3290000000000006</v>
      </c>
      <c r="AC21" s="40">
        <v>6.3115170000000003</v>
      </c>
      <c r="AD21" s="40">
        <v>0.58899999999999997</v>
      </c>
      <c r="AE21" s="40">
        <v>6.3070000000000004</v>
      </c>
      <c r="AF21" s="40">
        <v>1.76</v>
      </c>
      <c r="AG21" s="40">
        <v>2.8375349999999999</v>
      </c>
      <c r="AH21" s="40">
        <v>4.2204550000000003</v>
      </c>
      <c r="AI21" s="40">
        <v>119.179</v>
      </c>
    </row>
    <row r="22" spans="1:37" x14ac:dyDescent="0.45">
      <c r="A22" t="s">
        <v>321</v>
      </c>
      <c r="B22">
        <v>2014</v>
      </c>
      <c r="C22" t="s">
        <v>414</v>
      </c>
      <c r="D22">
        <v>10.067513</v>
      </c>
      <c r="F22" s="45">
        <v>2011</v>
      </c>
      <c r="G22" s="40">
        <v>4.1577570000000001</v>
      </c>
      <c r="H22" s="40">
        <v>4.8195699999999997</v>
      </c>
      <c r="I22" s="40">
        <v>3.7770000000000001</v>
      </c>
      <c r="J22" s="40">
        <v>1.1638299999999999</v>
      </c>
      <c r="K22" s="40">
        <v>21.143999999999998</v>
      </c>
      <c r="L22" s="40">
        <v>17.783567000000001</v>
      </c>
      <c r="M22" s="40">
        <v>3.1669999999999998</v>
      </c>
      <c r="N22" s="40">
        <v>5.7636240000000001</v>
      </c>
      <c r="O22" s="40">
        <v>1.008</v>
      </c>
      <c r="P22" s="40">
        <v>18.844000000000001</v>
      </c>
      <c r="Q22" s="40">
        <v>1.137864</v>
      </c>
      <c r="R22" s="40">
        <v>5.1253010000000003</v>
      </c>
      <c r="S22" s="40">
        <v>2.20465</v>
      </c>
      <c r="T22" s="40">
        <v>6.4708810000000003</v>
      </c>
      <c r="U22" s="40">
        <v>1.8376049999999999</v>
      </c>
      <c r="V22" s="40">
        <v>6.67</v>
      </c>
      <c r="W22" s="40">
        <v>6.6490200000000002</v>
      </c>
      <c r="X22" s="40">
        <v>6.5170000000000003</v>
      </c>
      <c r="Y22" s="40">
        <v>3.056</v>
      </c>
      <c r="Z22" s="40">
        <v>5.0860000000000003</v>
      </c>
      <c r="AA22" s="40">
        <v>8.4356539999999995</v>
      </c>
      <c r="AB22" s="40">
        <v>9.5909999999999993</v>
      </c>
      <c r="AC22" s="40">
        <v>6.7776536666666702</v>
      </c>
      <c r="AD22" s="40">
        <v>0.59218099999999996</v>
      </c>
      <c r="AE22" s="40">
        <v>6.4470000000000001</v>
      </c>
      <c r="AF22" s="40">
        <v>1.87</v>
      </c>
      <c r="AG22" s="40">
        <v>2.8975650000000002</v>
      </c>
      <c r="AH22" s="40">
        <v>4.269641</v>
      </c>
      <c r="AI22" s="40">
        <v>121.355</v>
      </c>
    </row>
    <row r="23" spans="1:37" x14ac:dyDescent="0.45">
      <c r="A23" t="s">
        <v>321</v>
      </c>
      <c r="B23">
        <v>2015</v>
      </c>
      <c r="C23" t="s">
        <v>414</v>
      </c>
      <c r="D23">
        <v>10.632235</v>
      </c>
      <c r="F23" s="45">
        <v>2012</v>
      </c>
      <c r="G23" s="40">
        <v>4.4210079999999996</v>
      </c>
      <c r="H23" s="40">
        <v>4.9413140000000002</v>
      </c>
      <c r="I23" s="40">
        <v>3.9569999999999999</v>
      </c>
      <c r="J23" s="40">
        <v>1.2357959999999999</v>
      </c>
      <c r="K23" s="40">
        <v>20.998000000000001</v>
      </c>
      <c r="L23" s="40">
        <v>18.761140000000001</v>
      </c>
      <c r="M23" s="40">
        <v>3.7771210000000002</v>
      </c>
      <c r="N23" s="40">
        <v>6.2080700000000002</v>
      </c>
      <c r="O23" s="40">
        <v>1.0529999999999999</v>
      </c>
      <c r="P23" s="40">
        <v>21.978000000000002</v>
      </c>
      <c r="Q23" s="40">
        <v>1.132714</v>
      </c>
      <c r="R23" s="40">
        <v>5.186553</v>
      </c>
      <c r="S23" s="40">
        <v>2.1832060000000002</v>
      </c>
      <c r="T23" s="40">
        <v>6.4321799999999998</v>
      </c>
      <c r="U23" s="40">
        <v>1.869</v>
      </c>
      <c r="V23" s="40">
        <v>6.5430000000000001</v>
      </c>
      <c r="W23" s="40">
        <v>7.2840090000000002</v>
      </c>
      <c r="X23" s="40">
        <v>6.5380000000000003</v>
      </c>
      <c r="Y23" s="40">
        <v>3.1070000000000002</v>
      </c>
      <c r="Z23" s="40">
        <v>5.726</v>
      </c>
      <c r="AA23" s="40">
        <v>8.9638109999999998</v>
      </c>
      <c r="AB23" s="40">
        <v>9.7230000000000008</v>
      </c>
      <c r="AC23" s="40">
        <v>7.3034853333333301</v>
      </c>
      <c r="AD23" s="40">
        <v>0.60342200000000001</v>
      </c>
      <c r="AE23" s="40">
        <v>6.94</v>
      </c>
      <c r="AF23" s="40">
        <v>2.0138889999999998</v>
      </c>
      <c r="AG23" s="40">
        <v>2.9663689999999998</v>
      </c>
      <c r="AH23" s="40">
        <v>4.2789999999999999</v>
      </c>
      <c r="AI23" s="40">
        <v>130.59545900000001</v>
      </c>
    </row>
    <row r="24" spans="1:37" x14ac:dyDescent="0.45">
      <c r="A24" t="s">
        <v>321</v>
      </c>
      <c r="B24">
        <v>2005</v>
      </c>
      <c r="C24" t="s">
        <v>415</v>
      </c>
      <c r="D24">
        <v>6.8250000000000002</v>
      </c>
      <c r="F24" s="45">
        <v>2013</v>
      </c>
      <c r="G24" s="40">
        <v>4.6194930000000003</v>
      </c>
      <c r="H24" s="40">
        <v>5.1137920000000001</v>
      </c>
      <c r="I24" s="40">
        <v>4.231535</v>
      </c>
      <c r="J24" s="40">
        <v>1.2811319999999999</v>
      </c>
      <c r="K24" s="40">
        <v>20.905737999999999</v>
      </c>
      <c r="L24" s="40">
        <v>19.662590999999999</v>
      </c>
      <c r="M24" s="40">
        <v>3.9828429999999999</v>
      </c>
      <c r="N24" s="40">
        <v>6.6792470000000002</v>
      </c>
      <c r="O24" s="40">
        <v>1.0721339999999999</v>
      </c>
      <c r="P24" s="40">
        <v>25.479208</v>
      </c>
      <c r="Q24" s="40">
        <v>1.1273390000000001</v>
      </c>
      <c r="R24" s="40">
        <v>5.2960589999999996</v>
      </c>
      <c r="S24" s="40">
        <v>2.2123569999999999</v>
      </c>
      <c r="T24" s="40">
        <v>6.3701499999999998</v>
      </c>
      <c r="U24" s="40">
        <v>1.8862080000000001</v>
      </c>
      <c r="V24" s="40">
        <v>6.4032660000000003</v>
      </c>
      <c r="W24" s="40">
        <v>7.6217100000000002</v>
      </c>
      <c r="X24" s="40">
        <v>6.55</v>
      </c>
      <c r="Y24" s="40">
        <v>3.1634690000000001</v>
      </c>
      <c r="Z24" s="40">
        <v>5.9080000000000004</v>
      </c>
      <c r="AA24" s="40">
        <v>9.1223849999999995</v>
      </c>
      <c r="AB24" s="40">
        <v>10.050316</v>
      </c>
      <c r="AC24" s="40">
        <v>7.5937799999999998</v>
      </c>
      <c r="AD24" s="40">
        <v>0.61136699999999999</v>
      </c>
      <c r="AE24" s="40">
        <v>6.9070859999999996</v>
      </c>
      <c r="AF24" s="40">
        <v>2.0825</v>
      </c>
      <c r="AG24" s="40">
        <v>3.0454659999999998</v>
      </c>
      <c r="AH24" s="40">
        <v>4.3647179999999999</v>
      </c>
      <c r="AI24" s="40">
        <v>132.50072299999999</v>
      </c>
    </row>
    <row r="25" spans="1:37" x14ac:dyDescent="0.45">
      <c r="A25" t="s">
        <v>321</v>
      </c>
      <c r="B25">
        <v>2006</v>
      </c>
      <c r="C25" t="s">
        <v>415</v>
      </c>
      <c r="D25">
        <v>7.0270000000000001</v>
      </c>
      <c r="F25" s="45">
        <v>2014</v>
      </c>
      <c r="G25" s="40">
        <v>4.8339270000000001</v>
      </c>
      <c r="H25" s="40">
        <v>5.3239979999999996</v>
      </c>
      <c r="I25" s="40">
        <v>4.5107010000000001</v>
      </c>
      <c r="J25" s="40">
        <v>1.2883880000000001</v>
      </c>
      <c r="K25" s="40">
        <v>20.891189000000001</v>
      </c>
      <c r="L25" s="40">
        <v>20.818173000000002</v>
      </c>
      <c r="M25" s="40">
        <v>4.1545310000000004</v>
      </c>
      <c r="N25" s="40">
        <v>7.1111019999999998</v>
      </c>
      <c r="O25" s="40">
        <v>1.120204</v>
      </c>
      <c r="P25" s="40">
        <v>28.634872999999999</v>
      </c>
      <c r="Q25" s="40">
        <v>1.1379729999999999</v>
      </c>
      <c r="R25" s="40">
        <v>5.2482240000000004</v>
      </c>
      <c r="S25" s="40">
        <v>2.2199680000000002</v>
      </c>
      <c r="T25" s="40">
        <v>6.3456159999999997</v>
      </c>
      <c r="U25" s="40">
        <v>1.983017</v>
      </c>
      <c r="V25" s="40">
        <v>6.336843</v>
      </c>
      <c r="W25" s="40">
        <v>7.7908609999999996</v>
      </c>
      <c r="X25" s="40">
        <v>6.6079999999999997</v>
      </c>
      <c r="Y25" s="40">
        <v>3.2444570000000001</v>
      </c>
      <c r="Z25" s="40">
        <v>6.0679999999999996</v>
      </c>
      <c r="AA25" s="40">
        <v>9.5734890000000004</v>
      </c>
      <c r="AB25" s="40">
        <v>10.210521999999999</v>
      </c>
      <c r="AC25" s="40">
        <v>7.8313959999999998</v>
      </c>
      <c r="AD25" s="40">
        <v>0.618502</v>
      </c>
      <c r="AE25" s="40">
        <v>7.116403</v>
      </c>
      <c r="AF25" s="40">
        <v>2.13</v>
      </c>
      <c r="AG25" s="40">
        <v>3.130862</v>
      </c>
      <c r="AH25" s="40">
        <v>4.5005759999999997</v>
      </c>
      <c r="AI25" s="40">
        <v>137.04311799999999</v>
      </c>
    </row>
    <row r="26" spans="1:37" x14ac:dyDescent="0.45">
      <c r="A26" t="s">
        <v>321</v>
      </c>
      <c r="B26">
        <v>2007</v>
      </c>
      <c r="C26" t="s">
        <v>415</v>
      </c>
      <c r="D26">
        <v>7.548</v>
      </c>
      <c r="F26" s="45">
        <v>2015</v>
      </c>
      <c r="G26" s="40">
        <v>5.2694720000000004</v>
      </c>
      <c r="H26" s="40">
        <v>5.5067769999999996</v>
      </c>
      <c r="I26" s="40">
        <v>4.6427769999999997</v>
      </c>
      <c r="J26" s="40">
        <v>1.312379</v>
      </c>
      <c r="K26" s="40">
        <v>20.844667999999999</v>
      </c>
      <c r="L26" s="40">
        <v>21.573640999999999</v>
      </c>
      <c r="M26" s="40">
        <v>4.2800380000000002</v>
      </c>
      <c r="N26" s="40">
        <v>7.2719009999999997</v>
      </c>
      <c r="O26" s="40">
        <v>1.1467700000000001</v>
      </c>
      <c r="P26" s="40">
        <v>27.173950999999999</v>
      </c>
      <c r="Q26" s="40">
        <v>1.1517170000000001</v>
      </c>
      <c r="R26" s="40">
        <v>5.3950610000000001</v>
      </c>
      <c r="S26" s="40">
        <v>2.269936</v>
      </c>
      <c r="T26" s="40">
        <v>6.1467340000000004</v>
      </c>
      <c r="U26" s="40">
        <v>2.1013229999999998</v>
      </c>
      <c r="V26" s="40">
        <v>6.3859709999999996</v>
      </c>
      <c r="W26" s="40">
        <v>7.9527289999999997</v>
      </c>
      <c r="X26" s="40">
        <v>6.6520000000000001</v>
      </c>
      <c r="Y26" s="40">
        <v>3.3558849999999998</v>
      </c>
      <c r="Z26" s="40">
        <v>6.3920000000000003</v>
      </c>
      <c r="AA26" s="40">
        <v>10.114943999999999</v>
      </c>
      <c r="AB26" s="40">
        <v>10.416238</v>
      </c>
      <c r="AC26" s="40">
        <v>8.1383279999999996</v>
      </c>
      <c r="AD26" s="40">
        <v>0.62629800000000002</v>
      </c>
      <c r="AE26" s="40">
        <v>7.1022780000000001</v>
      </c>
      <c r="AF26" s="40">
        <v>2.2000000000000002</v>
      </c>
      <c r="AG26" s="40">
        <v>3.216656</v>
      </c>
      <c r="AH26" s="40">
        <v>4.677162</v>
      </c>
      <c r="AI26" s="40">
        <v>141.87237500000001</v>
      </c>
    </row>
    <row r="27" spans="1:37" x14ac:dyDescent="0.45">
      <c r="A27" t="s">
        <v>321</v>
      </c>
      <c r="B27">
        <v>2008</v>
      </c>
      <c r="C27" t="s">
        <v>415</v>
      </c>
      <c r="D27">
        <v>8.1980000000000004</v>
      </c>
    </row>
    <row r="28" spans="1:37" x14ac:dyDescent="0.45">
      <c r="A28" t="s">
        <v>321</v>
      </c>
      <c r="B28">
        <v>2009</v>
      </c>
      <c r="C28" t="s">
        <v>415</v>
      </c>
      <c r="D28">
        <v>8.7140000000000004</v>
      </c>
    </row>
    <row r="29" spans="1:37" x14ac:dyDescent="0.45">
      <c r="A29" t="s">
        <v>321</v>
      </c>
      <c r="B29">
        <v>2010</v>
      </c>
      <c r="C29" t="s">
        <v>415</v>
      </c>
      <c r="D29">
        <v>9.7769999999999992</v>
      </c>
    </row>
    <row r="30" spans="1:37" x14ac:dyDescent="0.45">
      <c r="A30" t="s">
        <v>321</v>
      </c>
      <c r="B30">
        <v>2011</v>
      </c>
      <c r="C30" t="s">
        <v>415</v>
      </c>
      <c r="D30">
        <v>10.632</v>
      </c>
    </row>
    <row r="31" spans="1:37" x14ac:dyDescent="0.45">
      <c r="A31" t="s">
        <v>321</v>
      </c>
      <c r="B31">
        <v>2012</v>
      </c>
      <c r="C31" t="s">
        <v>415</v>
      </c>
      <c r="D31">
        <v>11.263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1"/>
      <c r="Y31" s="1"/>
      <c r="Z31" s="1"/>
      <c r="AA31" s="1"/>
      <c r="AB31" s="1"/>
      <c r="AC31" s="1"/>
      <c r="AD31" s="1"/>
      <c r="AE31" s="1"/>
    </row>
    <row r="32" spans="1:37" ht="14.65" thickBot="1" x14ac:dyDescent="0.5">
      <c r="A32" t="s">
        <v>321</v>
      </c>
      <c r="B32">
        <v>2013</v>
      </c>
      <c r="C32" t="s">
        <v>415</v>
      </c>
      <c r="D32">
        <v>12.237463</v>
      </c>
      <c r="F32" s="55"/>
      <c r="G32" s="64" t="str">
        <f>'TRA balance'!E4</f>
        <v>Africa_north</v>
      </c>
      <c r="H32" s="64" t="str">
        <f>'TRA balance'!F4</f>
        <v>Africa_other</v>
      </c>
      <c r="I32" s="64" t="str">
        <f>'TRA balance'!G4</f>
        <v>Arg-Chi</v>
      </c>
      <c r="J32" s="64" t="str">
        <f>'TRA balance'!H4</f>
        <v>Asia_central</v>
      </c>
      <c r="K32" s="64" t="str">
        <f>'TRA balance'!I4</f>
        <v>Asia_east</v>
      </c>
      <c r="L32" s="64" t="str">
        <f>'TRA balance'!J4</f>
        <v>Asia_other</v>
      </c>
      <c r="M32" s="64" t="str">
        <f>'TRA balance'!K4</f>
        <v>Australia_NZ</v>
      </c>
      <c r="N32" s="64" t="str">
        <f>'TRA balance'!L4</f>
        <v>Brazil</v>
      </c>
      <c r="O32" s="64" t="str">
        <f>'TRA balance'!M4</f>
        <v>Canada</v>
      </c>
      <c r="P32" s="64" t="str">
        <f>'TRA balance'!N4</f>
        <v>China</v>
      </c>
      <c r="Q32" s="64" t="str">
        <f>'TRA balance'!O4</f>
        <v>EU_north</v>
      </c>
      <c r="R32" s="64" t="str">
        <f>'TRA balance'!P4</f>
        <v>EU_northeast</v>
      </c>
      <c r="S32" s="64" t="str">
        <f>'TRA balance'!Q4</f>
        <v>EU_northwest</v>
      </c>
      <c r="T32" s="64" t="str">
        <f>'TRA balance'!R4</f>
        <v>EU_south</v>
      </c>
      <c r="U32" s="64" t="str">
        <f>'TRA balance'!S4</f>
        <v>EU_southeast</v>
      </c>
      <c r="V32" s="64" t="str">
        <f>'TRA balance'!T4</f>
        <v>EU_southwest</v>
      </c>
      <c r="W32" s="64" t="str">
        <f>'TRA balance'!U4</f>
        <v>Europe_other</v>
      </c>
      <c r="X32" s="64" t="str">
        <f>'TRA balance'!V4</f>
        <v>France</v>
      </c>
      <c r="Y32" s="64" t="str">
        <f>'TRA balance'!W4</f>
        <v>Germany</v>
      </c>
      <c r="Z32" s="64" t="str">
        <f>'TRA balance'!X4</f>
        <v>India</v>
      </c>
      <c r="AA32" s="64" t="str">
        <f>'TRA balance'!Y4</f>
        <v>LatAm_other</v>
      </c>
      <c r="AB32" s="64" t="str">
        <f>'TRA balance'!Z4</f>
        <v>Mexico</v>
      </c>
      <c r="AC32" s="64" t="str">
        <f>'TRA balance'!AA4</f>
        <v>MidEast_other</v>
      </c>
      <c r="AD32" s="64" t="str">
        <f>'TRA balance'!AB4</f>
        <v>Nor-Ice</v>
      </c>
      <c r="AE32" s="64" t="str">
        <f>'TRA balance'!AC4</f>
        <v>Russia</v>
      </c>
      <c r="AF32" s="64" t="str">
        <f>'TRA balance'!AD4</f>
        <v>SaudiArabia</v>
      </c>
      <c r="AG32" s="64" t="str">
        <f>'TRA balance'!AE4</f>
        <v>SouthAfrica</v>
      </c>
      <c r="AH32" s="64" t="str">
        <f>'TRA balance'!AF4</f>
        <v>UK</v>
      </c>
      <c r="AI32" s="64" t="str">
        <f>'TRA balance'!AG4</f>
        <v>USA</v>
      </c>
      <c r="AJ32" s="64" t="str">
        <f>'TRA balance'!AH4</f>
        <v>\I:</v>
      </c>
      <c r="AK32" s="64">
        <f>'TRA balance'!AI4</f>
        <v>0</v>
      </c>
    </row>
    <row r="33" spans="1:37" x14ac:dyDescent="0.45">
      <c r="A33" t="s">
        <v>321</v>
      </c>
      <c r="B33">
        <v>2014</v>
      </c>
      <c r="C33" t="s">
        <v>415</v>
      </c>
      <c r="D33">
        <v>13.137313000000001</v>
      </c>
      <c r="F33" s="54" t="s">
        <v>321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1"/>
      <c r="Y33" s="1"/>
      <c r="Z33" s="1"/>
      <c r="AA33" s="1"/>
      <c r="AB33" s="1"/>
      <c r="AC33" s="1"/>
      <c r="AD33" s="1"/>
      <c r="AE33" s="1"/>
    </row>
    <row r="34" spans="1:37" x14ac:dyDescent="0.45">
      <c r="A34" t="s">
        <v>321</v>
      </c>
      <c r="B34">
        <v>2015</v>
      </c>
      <c r="C34" t="s">
        <v>415</v>
      </c>
      <c r="D34">
        <v>13.53839</v>
      </c>
      <c r="F34" s="60">
        <v>2005</v>
      </c>
      <c r="G34" s="2">
        <f>GETPIVOTDATA("mVeh",$F$1,"veh_type",$F$33,"year",$F34,"ActiveReg",G$32)</f>
        <v>7.4080000000000004</v>
      </c>
      <c r="H34" s="2">
        <f t="shared" ref="H34:AD44" si="0">GETPIVOTDATA("mVeh",$F$1,"veh_type",$F$33,"year",$F34,"ActiveReg",H$32)</f>
        <v>5.2352020000000001</v>
      </c>
      <c r="I34" s="2">
        <f t="shared" si="0"/>
        <v>6.8250000000000002</v>
      </c>
      <c r="J34" s="2">
        <f t="shared" si="0"/>
        <v>2.4257469999999999</v>
      </c>
      <c r="K34" s="2">
        <f t="shared" si="0"/>
        <v>68.212999999999994</v>
      </c>
      <c r="L34" s="2">
        <f t="shared" si="0"/>
        <v>27.494779000000001</v>
      </c>
      <c r="M34" s="2">
        <f t="shared" si="0"/>
        <v>13.193</v>
      </c>
      <c r="N34" s="2">
        <f t="shared" si="0"/>
        <v>18.925913524999999</v>
      </c>
      <c r="O34" s="2">
        <f t="shared" si="0"/>
        <v>18.123999999999999</v>
      </c>
      <c r="P34" s="2">
        <f t="shared" si="0"/>
        <v>21.693999999999999</v>
      </c>
      <c r="Q34" s="2">
        <f t="shared" si="0"/>
        <v>8.5394769999999998</v>
      </c>
      <c r="R34" s="2">
        <f t="shared" si="0"/>
        <v>24.450523</v>
      </c>
      <c r="S34" s="2">
        <f t="shared" si="0"/>
        <v>13.922157</v>
      </c>
      <c r="T34" s="2">
        <f t="shared" si="0"/>
        <v>39.531129</v>
      </c>
      <c r="U34" s="2">
        <f t="shared" si="0"/>
        <v>11.140781</v>
      </c>
      <c r="V34" s="2">
        <f t="shared" si="0"/>
        <v>24.45</v>
      </c>
      <c r="W34" s="2">
        <f t="shared" si="0"/>
        <v>19.835536999999999</v>
      </c>
      <c r="X34" s="2">
        <f t="shared" si="0"/>
        <v>30.1</v>
      </c>
      <c r="Y34" s="2">
        <f t="shared" si="0"/>
        <v>46.09</v>
      </c>
      <c r="Z34" s="2">
        <f t="shared" si="0"/>
        <v>7.6260000000000003</v>
      </c>
      <c r="AA34" s="2">
        <f t="shared" si="0"/>
        <v>11.520078</v>
      </c>
      <c r="AB34" s="2">
        <f t="shared" si="0"/>
        <v>14.3</v>
      </c>
      <c r="AC34" s="2">
        <f t="shared" si="0"/>
        <v>14.902664</v>
      </c>
      <c r="AD34" s="2">
        <f t="shared" si="0"/>
        <v>2.2160000000000002</v>
      </c>
      <c r="AE34" s="2">
        <f>IFERROR(GETPIVOTDATA("mVeh",$F$1,"veh_type",$F$33,"year",$F34,"ActiveReg",AE$32),0)</f>
        <v>25.57</v>
      </c>
      <c r="AF34" s="2">
        <f t="shared" ref="AF34:AK44" si="1">IFERROR(GETPIVOTDATA("mVeh",$F$1,"veh_type",$F$33,"year",$F34,"ActiveReg",AF$32),0)</f>
        <v>2.16</v>
      </c>
      <c r="AG34" s="2">
        <f t="shared" si="1"/>
        <v>4.5750000000000002</v>
      </c>
      <c r="AH34" s="2">
        <f t="shared" si="1"/>
        <v>30.477058</v>
      </c>
      <c r="AI34" s="2">
        <f t="shared" si="1"/>
        <v>132.90899999999999</v>
      </c>
      <c r="AJ34" s="2">
        <f t="shared" si="1"/>
        <v>0</v>
      </c>
      <c r="AK34" s="2">
        <f t="shared" si="1"/>
        <v>0</v>
      </c>
    </row>
    <row r="35" spans="1:37" x14ac:dyDescent="0.45">
      <c r="A35" t="s">
        <v>321</v>
      </c>
      <c r="B35">
        <v>2005</v>
      </c>
      <c r="C35" t="s">
        <v>416</v>
      </c>
      <c r="D35">
        <v>2.4257469999999999</v>
      </c>
      <c r="F35" s="60">
        <v>2006</v>
      </c>
      <c r="G35" s="2">
        <f t="shared" ref="G35:G44" si="2">GETPIVOTDATA("mVeh",$F$1,"veh_type",$F$33,"year",$F35,"ActiveReg",G$32)</f>
        <v>8.0644279999999995</v>
      </c>
      <c r="H35" s="2">
        <f t="shared" si="0"/>
        <v>6.6282420000000002</v>
      </c>
      <c r="I35" s="2">
        <f t="shared" si="0"/>
        <v>7.0270000000000001</v>
      </c>
      <c r="J35" s="2">
        <f t="shared" si="0"/>
        <v>2.8949790000000002</v>
      </c>
      <c r="K35" s="2">
        <f t="shared" si="0"/>
        <v>69.128</v>
      </c>
      <c r="L35" s="2">
        <f t="shared" si="0"/>
        <v>28.898498</v>
      </c>
      <c r="M35" s="2">
        <f t="shared" si="0"/>
        <v>13.513999999999999</v>
      </c>
      <c r="N35" s="2">
        <f t="shared" si="0"/>
        <v>19.892111395000001</v>
      </c>
      <c r="O35" s="2">
        <f t="shared" si="0"/>
        <v>18.739000000000001</v>
      </c>
      <c r="P35" s="2">
        <f t="shared" si="0"/>
        <v>26.574000000000002</v>
      </c>
      <c r="Q35" s="2">
        <f t="shared" si="0"/>
        <v>8.7172870000000007</v>
      </c>
      <c r="R35" s="2">
        <f t="shared" si="0"/>
        <v>26.000249</v>
      </c>
      <c r="S35" s="2">
        <f t="shared" si="0"/>
        <v>14.252860999999999</v>
      </c>
      <c r="T35" s="2">
        <f t="shared" si="0"/>
        <v>40.425015999999999</v>
      </c>
      <c r="U35" s="2">
        <f t="shared" si="0"/>
        <v>10.364566999999999</v>
      </c>
      <c r="V35" s="2">
        <f t="shared" si="0"/>
        <v>25.343</v>
      </c>
      <c r="W35" s="2">
        <f t="shared" si="0"/>
        <v>20.610371000000001</v>
      </c>
      <c r="X35" s="2">
        <f t="shared" si="0"/>
        <v>30.4</v>
      </c>
      <c r="Y35" s="2">
        <f t="shared" si="0"/>
        <v>46.57</v>
      </c>
      <c r="Z35" s="2">
        <f t="shared" si="0"/>
        <v>8.5719999999999992</v>
      </c>
      <c r="AA35" s="2">
        <f t="shared" si="0"/>
        <v>12.284973000000001</v>
      </c>
      <c r="AB35" s="2">
        <f t="shared" si="0"/>
        <v>16.411999999999999</v>
      </c>
      <c r="AC35" s="2">
        <f t="shared" si="0"/>
        <v>15.721219</v>
      </c>
      <c r="AD35" s="2">
        <f t="shared" si="0"/>
        <v>2.282</v>
      </c>
      <c r="AE35" s="2">
        <f t="shared" ref="AE35:AE44" si="3">IFERROR(GETPIVOTDATA("mVeh",$F$1,"veh_type",$F$33,"year",$F35,"ActiveReg",AE$32),0)</f>
        <v>26.794</v>
      </c>
      <c r="AF35" s="2">
        <f t="shared" si="1"/>
        <v>2.29</v>
      </c>
      <c r="AG35" s="2">
        <f t="shared" si="1"/>
        <v>4.8899999999999997</v>
      </c>
      <c r="AH35" s="2">
        <f t="shared" si="1"/>
        <v>30.817036000000002</v>
      </c>
      <c r="AI35" s="2">
        <f t="shared" si="1"/>
        <v>135.047</v>
      </c>
      <c r="AJ35" s="2">
        <f t="shared" si="1"/>
        <v>0</v>
      </c>
      <c r="AK35" s="2">
        <f t="shared" si="1"/>
        <v>0</v>
      </c>
    </row>
    <row r="36" spans="1:37" x14ac:dyDescent="0.45">
      <c r="A36" t="s">
        <v>321</v>
      </c>
      <c r="B36">
        <v>2006</v>
      </c>
      <c r="C36" t="s">
        <v>416</v>
      </c>
      <c r="D36">
        <v>2.8949790000000002</v>
      </c>
      <c r="F36" s="60">
        <v>2007</v>
      </c>
      <c r="G36" s="2">
        <f t="shared" si="2"/>
        <v>8.4715699999999998</v>
      </c>
      <c r="H36" s="2">
        <f t="shared" si="0"/>
        <v>7.0369700000000002</v>
      </c>
      <c r="I36" s="2">
        <f t="shared" si="0"/>
        <v>7.548</v>
      </c>
      <c r="J36" s="2">
        <f t="shared" si="0"/>
        <v>3.4579529999999998</v>
      </c>
      <c r="K36" s="2">
        <f t="shared" si="0"/>
        <v>69.724000000000004</v>
      </c>
      <c r="L36" s="2">
        <f t="shared" si="0"/>
        <v>33.296093999999997</v>
      </c>
      <c r="M36" s="2">
        <f t="shared" si="0"/>
        <v>13.801</v>
      </c>
      <c r="N36" s="2">
        <f t="shared" si="0"/>
        <v>21.296756030000001</v>
      </c>
      <c r="O36" s="2">
        <f t="shared" si="0"/>
        <v>19.199000000000002</v>
      </c>
      <c r="P36" s="2">
        <f t="shared" si="0"/>
        <v>32.35</v>
      </c>
      <c r="Q36" s="2">
        <f t="shared" si="0"/>
        <v>8.8138799999999993</v>
      </c>
      <c r="R36" s="2">
        <f t="shared" si="0"/>
        <v>27.565572</v>
      </c>
      <c r="S36" s="2">
        <f t="shared" si="0"/>
        <v>14.602900999999999</v>
      </c>
      <c r="T36" s="2">
        <f t="shared" si="0"/>
        <v>41.107529999999997</v>
      </c>
      <c r="U36" s="2">
        <f t="shared" si="0"/>
        <v>11.159127</v>
      </c>
      <c r="V36" s="2">
        <f t="shared" si="0"/>
        <v>26.138999999999999</v>
      </c>
      <c r="W36" s="2">
        <f t="shared" si="0"/>
        <v>21.535450000000001</v>
      </c>
      <c r="X36" s="2">
        <f t="shared" si="0"/>
        <v>30.7</v>
      </c>
      <c r="Y36" s="2">
        <f t="shared" si="0"/>
        <v>41.183999999999997</v>
      </c>
      <c r="Z36" s="2">
        <f t="shared" si="0"/>
        <v>9.4440000000000008</v>
      </c>
      <c r="AA36" s="2">
        <f t="shared" si="0"/>
        <v>13.176600000000001</v>
      </c>
      <c r="AB36" s="2">
        <f t="shared" si="0"/>
        <v>17.696999999999999</v>
      </c>
      <c r="AC36" s="2">
        <f t="shared" si="0"/>
        <v>16.676894999999998</v>
      </c>
      <c r="AD36" s="2">
        <f t="shared" si="0"/>
        <v>2.363</v>
      </c>
      <c r="AE36" s="2">
        <f t="shared" si="3"/>
        <v>29.405000000000001</v>
      </c>
      <c r="AF36" s="2">
        <f t="shared" si="1"/>
        <v>2.4500000000000002</v>
      </c>
      <c r="AG36" s="2">
        <f t="shared" si="1"/>
        <v>5.1609999999999996</v>
      </c>
      <c r="AH36" s="2">
        <f t="shared" si="1"/>
        <v>31.105988</v>
      </c>
      <c r="AI36" s="2">
        <f t="shared" si="1"/>
        <v>135.22200000000001</v>
      </c>
      <c r="AJ36" s="2">
        <f t="shared" si="1"/>
        <v>0</v>
      </c>
      <c r="AK36" s="2">
        <f t="shared" si="1"/>
        <v>0</v>
      </c>
    </row>
    <row r="37" spans="1:37" x14ac:dyDescent="0.45">
      <c r="A37" t="s">
        <v>321</v>
      </c>
      <c r="B37">
        <v>2007</v>
      </c>
      <c r="C37" t="s">
        <v>416</v>
      </c>
      <c r="D37">
        <v>3.4579529999999998</v>
      </c>
      <c r="F37" s="60">
        <v>2008</v>
      </c>
      <c r="G37" s="2">
        <f t="shared" si="2"/>
        <v>8.8680289999999999</v>
      </c>
      <c r="H37" s="2">
        <f t="shared" si="0"/>
        <v>7.5913899999999996</v>
      </c>
      <c r="I37" s="2">
        <f t="shared" si="0"/>
        <v>8.1980000000000004</v>
      </c>
      <c r="J37" s="2">
        <f t="shared" si="0"/>
        <v>4.0926799999999997</v>
      </c>
      <c r="K37" s="2">
        <f t="shared" si="0"/>
        <v>70.349000000000004</v>
      </c>
      <c r="L37" s="2">
        <f t="shared" si="0"/>
        <v>32.858829999999998</v>
      </c>
      <c r="M37" s="2">
        <f t="shared" si="0"/>
        <v>14.103</v>
      </c>
      <c r="N37" s="2">
        <f t="shared" si="0"/>
        <v>22.91713966</v>
      </c>
      <c r="O37" s="2">
        <f t="shared" si="0"/>
        <v>19.613</v>
      </c>
      <c r="P37" s="2">
        <f t="shared" si="0"/>
        <v>38.79</v>
      </c>
      <c r="Q37" s="2">
        <f t="shared" si="0"/>
        <v>8.8337219999999999</v>
      </c>
      <c r="R37" s="2">
        <f t="shared" si="0"/>
        <v>29.488693000000001</v>
      </c>
      <c r="S37" s="2">
        <f t="shared" si="0"/>
        <v>14.882281000000001</v>
      </c>
      <c r="T37" s="2">
        <f t="shared" si="0"/>
        <v>41.794944000000001</v>
      </c>
      <c r="U37" s="2">
        <f t="shared" si="0"/>
        <v>12.035263</v>
      </c>
      <c r="V37" s="2">
        <f t="shared" si="0"/>
        <v>26.553000000000001</v>
      </c>
      <c r="W37" s="2">
        <f t="shared" si="0"/>
        <v>22.582678000000001</v>
      </c>
      <c r="X37" s="2">
        <f t="shared" si="0"/>
        <v>30.85</v>
      </c>
      <c r="Y37" s="2">
        <f t="shared" si="0"/>
        <v>41.320999999999998</v>
      </c>
      <c r="Z37" s="2">
        <f t="shared" si="0"/>
        <v>10.606</v>
      </c>
      <c r="AA37" s="2">
        <f t="shared" si="0"/>
        <v>14.209678</v>
      </c>
      <c r="AB37" s="2">
        <f t="shared" si="0"/>
        <v>19.420999999999999</v>
      </c>
      <c r="AC37" s="2">
        <f t="shared" si="0"/>
        <v>17.986143666666699</v>
      </c>
      <c r="AD37" s="2">
        <f t="shared" si="0"/>
        <v>2.4079999999999999</v>
      </c>
      <c r="AE37" s="2">
        <f t="shared" si="3"/>
        <v>32.021000000000001</v>
      </c>
      <c r="AF37" s="2">
        <f t="shared" si="1"/>
        <v>2.62</v>
      </c>
      <c r="AG37" s="2">
        <f t="shared" si="1"/>
        <v>5.2759999999999998</v>
      </c>
      <c r="AH37" s="2">
        <f t="shared" si="1"/>
        <v>31.252476000000001</v>
      </c>
      <c r="AI37" s="2">
        <f t="shared" si="1"/>
        <v>135.88200000000001</v>
      </c>
      <c r="AJ37" s="2">
        <f t="shared" si="1"/>
        <v>0</v>
      </c>
      <c r="AK37" s="2">
        <f t="shared" si="1"/>
        <v>0</v>
      </c>
    </row>
    <row r="38" spans="1:37" x14ac:dyDescent="0.45">
      <c r="A38" t="s">
        <v>321</v>
      </c>
      <c r="B38">
        <v>2008</v>
      </c>
      <c r="C38" t="s">
        <v>416</v>
      </c>
      <c r="D38">
        <v>4.0926799999999997</v>
      </c>
      <c r="F38" s="60">
        <v>2009</v>
      </c>
      <c r="G38" s="2">
        <f t="shared" si="2"/>
        <v>9.4617059999999995</v>
      </c>
      <c r="H38" s="2">
        <f t="shared" si="0"/>
        <v>7.8151419999999998</v>
      </c>
      <c r="I38" s="2">
        <f t="shared" si="0"/>
        <v>8.7140000000000004</v>
      </c>
      <c r="J38" s="2">
        <f t="shared" si="0"/>
        <v>4.3520029999999998</v>
      </c>
      <c r="K38" s="2">
        <f t="shared" si="0"/>
        <v>71.043999999999997</v>
      </c>
      <c r="L38" s="2">
        <f t="shared" si="0"/>
        <v>34.581547</v>
      </c>
      <c r="M38" s="2">
        <f t="shared" si="0"/>
        <v>14.352</v>
      </c>
      <c r="N38" s="2">
        <f t="shared" si="0"/>
        <v>24.814742644999999</v>
      </c>
      <c r="O38" s="2">
        <f t="shared" si="0"/>
        <v>19.876999999999999</v>
      </c>
      <c r="P38" s="2">
        <f t="shared" si="0"/>
        <v>48.863</v>
      </c>
      <c r="Q38" s="2">
        <f t="shared" si="0"/>
        <v>8.8766040000000004</v>
      </c>
      <c r="R38" s="2">
        <f t="shared" si="0"/>
        <v>30.024294000000001</v>
      </c>
      <c r="S38" s="2">
        <f t="shared" si="0"/>
        <v>15.016429</v>
      </c>
      <c r="T38" s="2">
        <f t="shared" si="0"/>
        <v>42.191960000000002</v>
      </c>
      <c r="U38" s="2">
        <f t="shared" si="0"/>
        <v>12.359646</v>
      </c>
      <c r="V38" s="2">
        <f t="shared" si="0"/>
        <v>26.44</v>
      </c>
      <c r="W38" s="2">
        <f t="shared" si="0"/>
        <v>23.401726</v>
      </c>
      <c r="X38" s="2">
        <f t="shared" si="0"/>
        <v>31.05</v>
      </c>
      <c r="Y38" s="2">
        <f t="shared" si="0"/>
        <v>41.738</v>
      </c>
      <c r="Z38" s="2">
        <f t="shared" si="0"/>
        <v>11.744</v>
      </c>
      <c r="AA38" s="2">
        <f t="shared" si="0"/>
        <v>14.472860000000001</v>
      </c>
      <c r="AB38" s="2">
        <f t="shared" si="0"/>
        <v>20.518999999999998</v>
      </c>
      <c r="AC38" s="2">
        <f t="shared" si="0"/>
        <v>18.880660333333299</v>
      </c>
      <c r="AD38" s="2">
        <f t="shared" si="0"/>
        <v>2.448</v>
      </c>
      <c r="AE38" s="2">
        <f t="shared" si="3"/>
        <v>33.084000000000003</v>
      </c>
      <c r="AF38" s="2">
        <f t="shared" si="1"/>
        <v>2.83</v>
      </c>
      <c r="AG38" s="2">
        <f t="shared" si="1"/>
        <v>5.4109999999999996</v>
      </c>
      <c r="AH38" s="2">
        <f t="shared" si="1"/>
        <v>31.035791</v>
      </c>
      <c r="AI38" s="2">
        <f t="shared" si="1"/>
        <v>132.5</v>
      </c>
      <c r="AJ38" s="2">
        <f t="shared" si="1"/>
        <v>0</v>
      </c>
      <c r="AK38" s="2">
        <f t="shared" si="1"/>
        <v>0</v>
      </c>
    </row>
    <row r="39" spans="1:37" x14ac:dyDescent="0.45">
      <c r="A39" t="s">
        <v>321</v>
      </c>
      <c r="B39">
        <v>2009</v>
      </c>
      <c r="C39" t="s">
        <v>416</v>
      </c>
      <c r="D39">
        <v>4.3520029999999998</v>
      </c>
      <c r="F39" s="60">
        <v>2010</v>
      </c>
      <c r="G39" s="2">
        <f t="shared" si="2"/>
        <v>10.341404000000001</v>
      </c>
      <c r="H39" s="2">
        <f t="shared" si="0"/>
        <v>8.1680989999999998</v>
      </c>
      <c r="I39" s="2">
        <f t="shared" si="0"/>
        <v>9.7769999999999992</v>
      </c>
      <c r="J39" s="2">
        <f t="shared" si="0"/>
        <v>4.9862830000000002</v>
      </c>
      <c r="K39" s="2">
        <f t="shared" si="0"/>
        <v>71.978999999999999</v>
      </c>
      <c r="L39" s="2">
        <f t="shared" si="0"/>
        <v>36.990822999999999</v>
      </c>
      <c r="M39" s="2">
        <f t="shared" si="0"/>
        <v>14.596304999999999</v>
      </c>
      <c r="N39" s="2">
        <f t="shared" si="0"/>
        <v>26.887691905000001</v>
      </c>
      <c r="O39" s="2">
        <f t="shared" si="0"/>
        <v>20.268000000000001</v>
      </c>
      <c r="P39" s="2">
        <f t="shared" si="0"/>
        <v>62.067</v>
      </c>
      <c r="Q39" s="2">
        <f t="shared" si="0"/>
        <v>8.9902829999999998</v>
      </c>
      <c r="R39" s="2">
        <f t="shared" si="0"/>
        <v>30.727219000000002</v>
      </c>
      <c r="S39" s="2">
        <f t="shared" si="0"/>
        <v>15.224715</v>
      </c>
      <c r="T39" s="2">
        <f t="shared" si="0"/>
        <v>42.664873</v>
      </c>
      <c r="U39" s="2">
        <f t="shared" si="0"/>
        <v>12.489995</v>
      </c>
      <c r="V39" s="2">
        <f t="shared" si="0"/>
        <v>26.626999999999999</v>
      </c>
      <c r="W39" s="2">
        <f t="shared" si="0"/>
        <v>24.335685999999999</v>
      </c>
      <c r="X39" s="2">
        <f t="shared" si="0"/>
        <v>31.3</v>
      </c>
      <c r="Y39" s="2">
        <f t="shared" si="0"/>
        <v>42.302</v>
      </c>
      <c r="Z39" s="2">
        <f t="shared" si="0"/>
        <v>13.268000000000001</v>
      </c>
      <c r="AA39" s="2">
        <f t="shared" si="0"/>
        <v>14.876384</v>
      </c>
      <c r="AB39" s="2">
        <f t="shared" si="0"/>
        <v>21.152999999999999</v>
      </c>
      <c r="AC39" s="2">
        <f t="shared" si="0"/>
        <v>19.947797000000001</v>
      </c>
      <c r="AD39" s="2">
        <f t="shared" si="0"/>
        <v>2.5099999999999998</v>
      </c>
      <c r="AE39" s="2">
        <f t="shared" si="3"/>
        <v>34.353999999999999</v>
      </c>
      <c r="AF39" s="2">
        <f t="shared" si="1"/>
        <v>3.11</v>
      </c>
      <c r="AG39" s="2">
        <f t="shared" si="1"/>
        <v>5.3190689999999998</v>
      </c>
      <c r="AH39" s="2">
        <f t="shared" si="1"/>
        <v>31.258196999999999</v>
      </c>
      <c r="AI39" s="2">
        <f t="shared" si="1"/>
        <v>129.053</v>
      </c>
      <c r="AJ39" s="2">
        <f t="shared" si="1"/>
        <v>0</v>
      </c>
      <c r="AK39" s="2">
        <f t="shared" si="1"/>
        <v>0</v>
      </c>
    </row>
    <row r="40" spans="1:37" x14ac:dyDescent="0.45">
      <c r="A40" t="s">
        <v>321</v>
      </c>
      <c r="B40">
        <v>2010</v>
      </c>
      <c r="C40" t="s">
        <v>416</v>
      </c>
      <c r="D40">
        <v>4.9862830000000002</v>
      </c>
      <c r="F40" s="60">
        <v>2011</v>
      </c>
      <c r="G40" s="2">
        <f t="shared" si="2"/>
        <v>10.914955000000001</v>
      </c>
      <c r="H40" s="2">
        <f t="shared" si="0"/>
        <v>8.5718429999999994</v>
      </c>
      <c r="I40" s="2">
        <f t="shared" si="0"/>
        <v>10.632</v>
      </c>
      <c r="J40" s="2">
        <f t="shared" si="0"/>
        <v>5.620063</v>
      </c>
      <c r="K40" s="2">
        <f t="shared" si="0"/>
        <v>72.805999999999997</v>
      </c>
      <c r="L40" s="2">
        <f t="shared" si="0"/>
        <v>39.627600000000001</v>
      </c>
      <c r="M40" s="2">
        <f t="shared" si="0"/>
        <v>14.836</v>
      </c>
      <c r="N40" s="2">
        <f t="shared" si="0"/>
        <v>28.945932710000001</v>
      </c>
      <c r="O40" s="2">
        <f t="shared" si="0"/>
        <v>20.608000000000001</v>
      </c>
      <c r="P40" s="2">
        <f t="shared" si="0"/>
        <v>75.302999999999997</v>
      </c>
      <c r="Q40" s="2">
        <f t="shared" si="0"/>
        <v>9.1364959999999993</v>
      </c>
      <c r="R40" s="2">
        <f t="shared" si="0"/>
        <v>31.616613000000001</v>
      </c>
      <c r="S40" s="2">
        <f t="shared" si="0"/>
        <v>15.45181</v>
      </c>
      <c r="T40" s="2">
        <f t="shared" si="0"/>
        <v>43.026591000000003</v>
      </c>
      <c r="U40" s="2">
        <f t="shared" si="0"/>
        <v>12.588917</v>
      </c>
      <c r="V40" s="2">
        <f t="shared" si="0"/>
        <v>26.798999999999999</v>
      </c>
      <c r="W40" s="2">
        <f t="shared" si="0"/>
        <v>25.428014999999998</v>
      </c>
      <c r="X40" s="2">
        <f t="shared" si="0"/>
        <v>31.55</v>
      </c>
      <c r="Y40" s="2">
        <f t="shared" si="0"/>
        <v>42.927999999999997</v>
      </c>
      <c r="Z40" s="2">
        <f t="shared" si="0"/>
        <v>15.026999999999999</v>
      </c>
      <c r="AA40" s="2">
        <f t="shared" si="0"/>
        <v>15.639431999999999</v>
      </c>
      <c r="AB40" s="2">
        <f t="shared" si="0"/>
        <v>22.373999999999999</v>
      </c>
      <c r="AC40" s="2">
        <f t="shared" si="0"/>
        <v>22.121991000000001</v>
      </c>
      <c r="AD40" s="2">
        <f t="shared" si="0"/>
        <v>2.5761120000000002</v>
      </c>
      <c r="AE40" s="2">
        <f t="shared" si="3"/>
        <v>36.414999999999999</v>
      </c>
      <c r="AF40" s="2">
        <f t="shared" si="1"/>
        <v>3.41</v>
      </c>
      <c r="AG40" s="2">
        <f t="shared" si="1"/>
        <v>5.5069220000000003</v>
      </c>
      <c r="AH40" s="2">
        <f t="shared" si="1"/>
        <v>31.362715999999999</v>
      </c>
      <c r="AI40" s="2">
        <f t="shared" si="1"/>
        <v>127.577</v>
      </c>
      <c r="AJ40" s="2">
        <f t="shared" si="1"/>
        <v>0</v>
      </c>
      <c r="AK40" s="2">
        <f t="shared" si="1"/>
        <v>0</v>
      </c>
    </row>
    <row r="41" spans="1:37" x14ac:dyDescent="0.45">
      <c r="A41" t="s">
        <v>321</v>
      </c>
      <c r="B41">
        <v>2011</v>
      </c>
      <c r="C41" t="s">
        <v>416</v>
      </c>
      <c r="D41">
        <v>5.620063</v>
      </c>
      <c r="F41" s="60">
        <v>2012</v>
      </c>
      <c r="G41" s="2">
        <f t="shared" si="2"/>
        <v>11.497769999999999</v>
      </c>
      <c r="H41" s="2">
        <f t="shared" si="0"/>
        <v>9.0576910000000002</v>
      </c>
      <c r="I41" s="2">
        <f t="shared" si="0"/>
        <v>11.263</v>
      </c>
      <c r="J41" s="2">
        <f t="shared" si="0"/>
        <v>5.9242866666666698</v>
      </c>
      <c r="K41" s="2">
        <f t="shared" si="0"/>
        <v>73.998000000000005</v>
      </c>
      <c r="L41" s="2">
        <f t="shared" si="0"/>
        <v>43.093556999999997</v>
      </c>
      <c r="M41" s="2">
        <f t="shared" si="0"/>
        <v>15.139234999999999</v>
      </c>
      <c r="N41" s="2">
        <f t="shared" si="0"/>
        <v>31.122621939999998</v>
      </c>
      <c r="O41" s="2">
        <f t="shared" si="0"/>
        <v>20.652000000000001</v>
      </c>
      <c r="P41" s="2">
        <f t="shared" si="0"/>
        <v>87.849000000000004</v>
      </c>
      <c r="Q41" s="2">
        <f t="shared" si="0"/>
        <v>9.2471899999999998</v>
      </c>
      <c r="R41" s="2">
        <f t="shared" si="0"/>
        <v>32.826813999999999</v>
      </c>
      <c r="S41" s="2">
        <f t="shared" si="0"/>
        <v>15.547013</v>
      </c>
      <c r="T41" s="2">
        <f t="shared" si="0"/>
        <v>42.970168999999999</v>
      </c>
      <c r="U41" s="2">
        <f t="shared" si="0"/>
        <v>12.799029000000001</v>
      </c>
      <c r="V41" s="2">
        <f t="shared" si="0"/>
        <v>26.745000000000001</v>
      </c>
      <c r="W41" s="2">
        <f t="shared" si="0"/>
        <v>26.228052999999999</v>
      </c>
      <c r="X41" s="2">
        <f t="shared" si="0"/>
        <v>31.6</v>
      </c>
      <c r="Y41" s="2">
        <f t="shared" si="0"/>
        <v>43.430999999999997</v>
      </c>
      <c r="Z41" s="2">
        <f t="shared" si="0"/>
        <v>16.896000000000001</v>
      </c>
      <c r="AA41" s="2">
        <f t="shared" si="0"/>
        <v>16.46208</v>
      </c>
      <c r="AB41" s="2">
        <f t="shared" si="0"/>
        <v>23.57</v>
      </c>
      <c r="AC41" s="2">
        <f t="shared" si="0"/>
        <v>24.065127</v>
      </c>
      <c r="AD41" s="2">
        <f t="shared" si="0"/>
        <v>2.6430699999999998</v>
      </c>
      <c r="AE41" s="2">
        <f t="shared" si="3"/>
        <v>38.481999999999999</v>
      </c>
      <c r="AF41" s="2">
        <f t="shared" si="1"/>
        <v>3.6890000000000001</v>
      </c>
      <c r="AG41" s="2">
        <f t="shared" si="1"/>
        <v>5.733314</v>
      </c>
      <c r="AH41" s="2">
        <f t="shared" si="1"/>
        <v>31.481999999999999</v>
      </c>
      <c r="AI41" s="2">
        <f t="shared" si="1"/>
        <v>120.901628</v>
      </c>
      <c r="AJ41" s="2">
        <f t="shared" si="1"/>
        <v>0</v>
      </c>
      <c r="AK41" s="2">
        <f t="shared" si="1"/>
        <v>0</v>
      </c>
    </row>
    <row r="42" spans="1:37" x14ac:dyDescent="0.45">
      <c r="A42" t="s">
        <v>321</v>
      </c>
      <c r="B42">
        <v>2012</v>
      </c>
      <c r="C42" t="s">
        <v>416</v>
      </c>
      <c r="D42">
        <v>5.9242866666666698</v>
      </c>
      <c r="F42" s="60">
        <v>2013</v>
      </c>
      <c r="G42" s="2">
        <f t="shared" si="2"/>
        <v>12.123381</v>
      </c>
      <c r="H42" s="2">
        <f t="shared" si="0"/>
        <v>9.5199680000000004</v>
      </c>
      <c r="I42" s="2">
        <f t="shared" si="0"/>
        <v>12.237463</v>
      </c>
      <c r="J42" s="2">
        <f t="shared" si="0"/>
        <v>6.1950213333333304</v>
      </c>
      <c r="K42" s="2">
        <f t="shared" si="0"/>
        <v>75.113848000000004</v>
      </c>
      <c r="L42" s="2">
        <f t="shared" si="0"/>
        <v>44.962614000000002</v>
      </c>
      <c r="M42" s="2">
        <f t="shared" si="0"/>
        <v>15.895021</v>
      </c>
      <c r="N42" s="2">
        <f t="shared" si="0"/>
        <v>33.091826185000002</v>
      </c>
      <c r="O42" s="2">
        <f t="shared" si="0"/>
        <v>21.261659999999999</v>
      </c>
      <c r="P42" s="2">
        <f t="shared" si="0"/>
        <v>101.854635</v>
      </c>
      <c r="Q42" s="2">
        <f t="shared" si="0"/>
        <v>9.3512160000000009</v>
      </c>
      <c r="R42" s="2">
        <f t="shared" si="0"/>
        <v>33.758389000000001</v>
      </c>
      <c r="S42" s="2">
        <f t="shared" si="0"/>
        <v>15.866707</v>
      </c>
      <c r="T42" s="2">
        <f t="shared" si="0"/>
        <v>42.817799000000001</v>
      </c>
      <c r="U42" s="2">
        <f t="shared" si="0"/>
        <v>13.164839000000001</v>
      </c>
      <c r="V42" s="2">
        <f t="shared" si="0"/>
        <v>26.504538</v>
      </c>
      <c r="W42" s="2">
        <f t="shared" si="0"/>
        <v>27.394863000000001</v>
      </c>
      <c r="X42" s="2">
        <f t="shared" si="0"/>
        <v>31.65</v>
      </c>
      <c r="Y42" s="2">
        <f t="shared" si="0"/>
        <v>43.851230000000001</v>
      </c>
      <c r="Z42" s="2">
        <f t="shared" si="0"/>
        <v>18.917999999999999</v>
      </c>
      <c r="AA42" s="2">
        <f t="shared" si="0"/>
        <v>16.685293999999999</v>
      </c>
      <c r="AB42" s="2">
        <f t="shared" si="0"/>
        <v>24.82</v>
      </c>
      <c r="AC42" s="2">
        <f t="shared" si="0"/>
        <v>25.967972</v>
      </c>
      <c r="AD42" s="2">
        <f t="shared" si="0"/>
        <v>2.700466</v>
      </c>
      <c r="AE42" s="2">
        <f t="shared" si="3"/>
        <v>41.224527000000002</v>
      </c>
      <c r="AF42" s="2">
        <f t="shared" si="1"/>
        <v>3.8675000000000002</v>
      </c>
      <c r="AG42" s="2">
        <f t="shared" si="1"/>
        <v>5.9672219999999996</v>
      </c>
      <c r="AH42" s="2">
        <f t="shared" si="1"/>
        <v>32.103000000000002</v>
      </c>
      <c r="AI42" s="2">
        <f t="shared" si="1"/>
        <v>120.213973</v>
      </c>
      <c r="AJ42" s="2">
        <f t="shared" si="1"/>
        <v>0</v>
      </c>
      <c r="AK42" s="2">
        <f t="shared" si="1"/>
        <v>0</v>
      </c>
    </row>
    <row r="43" spans="1:37" x14ac:dyDescent="0.45">
      <c r="A43" t="s">
        <v>321</v>
      </c>
      <c r="B43">
        <v>2013</v>
      </c>
      <c r="C43" t="s">
        <v>416</v>
      </c>
      <c r="D43">
        <v>6.1950213333333304</v>
      </c>
      <c r="F43" s="60">
        <v>2014</v>
      </c>
      <c r="G43" s="2">
        <f t="shared" si="2"/>
        <v>12.821766</v>
      </c>
      <c r="H43" s="2">
        <f t="shared" si="0"/>
        <v>10.067513</v>
      </c>
      <c r="I43" s="2">
        <f t="shared" si="0"/>
        <v>13.137313000000001</v>
      </c>
      <c r="J43" s="2">
        <f t="shared" si="0"/>
        <v>6.7312329999999996</v>
      </c>
      <c r="K43" s="2">
        <f t="shared" si="0"/>
        <v>76.415232000000003</v>
      </c>
      <c r="L43" s="2">
        <f t="shared" si="0"/>
        <v>48.842317000000001</v>
      </c>
      <c r="M43" s="2">
        <f t="shared" si="0"/>
        <v>16.278517999999998</v>
      </c>
      <c r="N43" s="2">
        <f t="shared" si="0"/>
        <v>34.676231829999999</v>
      </c>
      <c r="O43" s="2">
        <f t="shared" si="0"/>
        <v>21.729596000000001</v>
      </c>
      <c r="P43" s="2">
        <f t="shared" si="0"/>
        <v>117.995017</v>
      </c>
      <c r="Q43" s="2">
        <f t="shared" si="0"/>
        <v>9.5025580000000005</v>
      </c>
      <c r="R43" s="2">
        <f t="shared" si="0"/>
        <v>34.079185000000003</v>
      </c>
      <c r="S43" s="2">
        <f t="shared" si="0"/>
        <v>16.020775</v>
      </c>
      <c r="T43" s="2">
        <f t="shared" si="0"/>
        <v>42.927397999999997</v>
      </c>
      <c r="U43" s="2">
        <f t="shared" si="0"/>
        <v>13.578645</v>
      </c>
      <c r="V43" s="2">
        <f t="shared" si="0"/>
        <v>26.525511999999999</v>
      </c>
      <c r="W43" s="2">
        <f t="shared" si="0"/>
        <v>28.431460999999999</v>
      </c>
      <c r="X43" s="2">
        <f t="shared" si="0"/>
        <v>31.8</v>
      </c>
      <c r="Y43" s="2">
        <f t="shared" si="0"/>
        <v>44.403123999999998</v>
      </c>
      <c r="Z43" s="2">
        <f t="shared" si="0"/>
        <v>20.442</v>
      </c>
      <c r="AA43" s="2">
        <f t="shared" si="0"/>
        <v>17.381653</v>
      </c>
      <c r="AB43" s="2">
        <f t="shared" si="0"/>
        <v>25.543907999999998</v>
      </c>
      <c r="AC43" s="2">
        <f t="shared" si="0"/>
        <v>27.695111000000001</v>
      </c>
      <c r="AD43" s="2">
        <f t="shared" si="0"/>
        <v>2.7570060000000001</v>
      </c>
      <c r="AE43" s="2">
        <f t="shared" si="3"/>
        <v>43.383783000000001</v>
      </c>
      <c r="AF43" s="2">
        <f t="shared" si="1"/>
        <v>4.1100000000000003</v>
      </c>
      <c r="AG43" s="2">
        <f t="shared" si="1"/>
        <v>6.1883319999999999</v>
      </c>
      <c r="AH43" s="2">
        <f t="shared" si="1"/>
        <v>32.612782000000003</v>
      </c>
      <c r="AI43" s="2">
        <f t="shared" si="1"/>
        <v>120.983811</v>
      </c>
      <c r="AJ43" s="2">
        <f t="shared" si="1"/>
        <v>0</v>
      </c>
      <c r="AK43" s="2">
        <f t="shared" si="1"/>
        <v>0</v>
      </c>
    </row>
    <row r="44" spans="1:37" x14ac:dyDescent="0.45">
      <c r="A44" t="s">
        <v>321</v>
      </c>
      <c r="B44">
        <v>2014</v>
      </c>
      <c r="C44" t="s">
        <v>416</v>
      </c>
      <c r="D44">
        <v>6.7312329999999996</v>
      </c>
      <c r="F44" s="60">
        <v>2015</v>
      </c>
      <c r="G44" s="2">
        <f t="shared" si="2"/>
        <v>13.794338</v>
      </c>
      <c r="H44" s="2">
        <f t="shared" si="0"/>
        <v>10.632235</v>
      </c>
      <c r="I44" s="2">
        <f t="shared" si="0"/>
        <v>13.53839</v>
      </c>
      <c r="J44" s="2">
        <f t="shared" si="0"/>
        <v>6.7608009999999998</v>
      </c>
      <c r="K44" s="2">
        <f t="shared" si="0"/>
        <v>77.549548000000001</v>
      </c>
      <c r="L44" s="2">
        <f t="shared" si="0"/>
        <v>51.635837000000002</v>
      </c>
      <c r="M44" s="2">
        <f t="shared" si="0"/>
        <v>16.628401</v>
      </c>
      <c r="N44" s="2">
        <f t="shared" si="0"/>
        <v>35.471423000000001</v>
      </c>
      <c r="O44" s="2">
        <f t="shared" si="0"/>
        <v>22.067778000000001</v>
      </c>
      <c r="P44" s="2">
        <f t="shared" si="0"/>
        <v>136.34480300000001</v>
      </c>
      <c r="Q44" s="2">
        <f t="shared" si="0"/>
        <v>9.6740639999999996</v>
      </c>
      <c r="R44" s="2">
        <f t="shared" si="0"/>
        <v>35.232221000000003</v>
      </c>
      <c r="S44" s="2">
        <f t="shared" si="0"/>
        <v>16.289404999999999</v>
      </c>
      <c r="T44" s="2">
        <f t="shared" si="0"/>
        <v>43.219213000000003</v>
      </c>
      <c r="U44" s="2">
        <f t="shared" si="0"/>
        <v>14.099563</v>
      </c>
      <c r="V44" s="2">
        <f t="shared" si="0"/>
        <v>26.948705</v>
      </c>
      <c r="W44" s="2">
        <f t="shared" si="0"/>
        <v>29.509689999999999</v>
      </c>
      <c r="X44" s="2">
        <f t="shared" si="0"/>
        <v>32</v>
      </c>
      <c r="Y44" s="2">
        <f t="shared" si="0"/>
        <v>45.071209000000003</v>
      </c>
      <c r="Z44" s="2">
        <f t="shared" si="0"/>
        <v>22.468</v>
      </c>
      <c r="AA44" s="2">
        <f t="shared" si="0"/>
        <v>17.922999000000001</v>
      </c>
      <c r="AB44" s="2">
        <f t="shared" si="0"/>
        <v>26.937356000000001</v>
      </c>
      <c r="AC44" s="2">
        <f t="shared" si="0"/>
        <v>29.563624999999998</v>
      </c>
      <c r="AD44" s="2">
        <f t="shared" si="0"/>
        <v>2.818711</v>
      </c>
      <c r="AE44" s="2">
        <f t="shared" si="3"/>
        <v>44.253107999999997</v>
      </c>
      <c r="AF44" s="2">
        <f t="shared" si="1"/>
        <v>4.4000000000000004</v>
      </c>
      <c r="AG44" s="2">
        <f t="shared" si="1"/>
        <v>6.383756</v>
      </c>
      <c r="AH44" s="2">
        <f t="shared" si="1"/>
        <v>33.542448</v>
      </c>
      <c r="AI44" s="2">
        <f t="shared" si="1"/>
        <v>122.321991</v>
      </c>
      <c r="AJ44" s="2">
        <f t="shared" si="1"/>
        <v>0</v>
      </c>
      <c r="AK44" s="2">
        <f t="shared" si="1"/>
        <v>0</v>
      </c>
    </row>
    <row r="45" spans="1:37" x14ac:dyDescent="0.45">
      <c r="A45" t="s">
        <v>321</v>
      </c>
      <c r="B45">
        <v>2015</v>
      </c>
      <c r="C45" t="s">
        <v>416</v>
      </c>
      <c r="D45">
        <v>6.7608009999999998</v>
      </c>
      <c r="F45" s="47">
        <v>2019</v>
      </c>
      <c r="G45" s="62" cm="1">
        <f t="array" ref="G45">TREND(G40:G44,$F$40:$F$44,$F45)</f>
        <v>16.480099200000041</v>
      </c>
      <c r="H45" s="62" cm="1">
        <f t="array" ref="H45">TREND(H40:H44,$F$40:$F$44,$F45)</f>
        <v>12.648213599999849</v>
      </c>
      <c r="I45" s="62" cm="1">
        <f t="array" ref="I45">TREND(I40:I44,$F$40:$F$44,$F45)</f>
        <v>16.773889000000054</v>
      </c>
      <c r="J45" s="62" cm="1">
        <f t="array" ref="J45">TREND(J40:J44,$F$40:$F$44,$F45)</f>
        <v>8.0993343999999752</v>
      </c>
      <c r="K45" s="62" cm="1">
        <f t="array" ref="K45">TREND(K40:K44,$F$40:$F$44,$F45)</f>
        <v>82.319122399999742</v>
      </c>
      <c r="L45" s="62" cm="1">
        <f t="array" ref="L45">TREND(L40:L44,$F$40:$F$44,$F45)</f>
        <v>63.491525399999773</v>
      </c>
      <c r="M45" s="62" cm="1">
        <f t="array" ref="M45">TREND(M40:M44,$F$40:$F$44,$F45)</f>
        <v>18.589885999999979</v>
      </c>
      <c r="N45" s="62" cm="1">
        <f t="array" ref="N45">TREND(N40:N44,$F$40:$F$44,$F45)</f>
        <v>42.624361414999839</v>
      </c>
      <c r="O45" s="62" cm="1">
        <f t="array" ref="O45">TREND(O40:O44,$F$40:$F$44,$F45)</f>
        <v>23.662098000000015</v>
      </c>
      <c r="P45" s="62" cm="1">
        <f t="array" ref="P45">TREND(P40:P44,$F$40:$F$44,$F45)</f>
        <v>195.20706480000081</v>
      </c>
      <c r="Q45" s="62" cm="1">
        <f t="array" ref="Q45">TREND(Q40:Q44,$F$40:$F$44,$F45)</f>
        <v>10.180607199999997</v>
      </c>
      <c r="R45" s="62" cm="1">
        <f t="array" ref="R45">TREND(R40:R44,$F$40:$F$44,$F45)</f>
        <v>38.592796599999929</v>
      </c>
      <c r="S45" s="62" cm="1">
        <f t="array" ref="S45">TREND(S40:S44,$F$40:$F$44,$F45)</f>
        <v>17.124513200000024</v>
      </c>
      <c r="T45" s="62" cm="1">
        <f t="array" ref="T45">TREND(T40:T44,$F$40:$F$44,$F45)</f>
        <v>43.197717799999999</v>
      </c>
      <c r="U45" s="62" cm="1">
        <f t="array" ref="U45">TREND(U40:U44,$F$40:$F$44,$F45)</f>
        <v>15.526743399999987</v>
      </c>
      <c r="V45" s="62" cm="1">
        <f t="array" ref="V45">TREND(V40:V44,$F$40:$F$44,$F45)</f>
        <v>26.752504199999997</v>
      </c>
      <c r="W45" s="62" cm="1">
        <f t="array" ref="W45">TREND(W40:W44,$F$40:$F$44,$F45)</f>
        <v>33.618471199999931</v>
      </c>
      <c r="X45" s="62" cm="1">
        <f t="array" ref="X45">TREND(X40:X44,$F$40:$F$44,$F45)</f>
        <v>32.379999999999995</v>
      </c>
      <c r="Y45" s="62" cm="1">
        <f t="array" ref="Y45">TREND(Y40:Y44,$F$40:$F$44,$F45)</f>
        <v>47.092037800000185</v>
      </c>
      <c r="Z45" s="62" cm="1">
        <f t="array" ref="Z45">TREND(Z40:Z44,$F$40:$F$44,$F45)</f>
        <v>29.806999999999789</v>
      </c>
      <c r="AA45" s="62" cm="1">
        <f t="array" ref="AA45">TREND(AA40:AA44,$F$40:$F$44,$F45)</f>
        <v>20.11031580000008</v>
      </c>
      <c r="AB45" s="62" cm="1">
        <f t="array" ref="AB45">TREND(AB40:AB44,$F$40:$F$44,$F45)</f>
        <v>31.309424800000215</v>
      </c>
      <c r="AC45" s="62" cm="1">
        <f t="array" ref="AC45">TREND(AC40:AC44,$F$40:$F$44,$F45)</f>
        <v>36.99071640000011</v>
      </c>
      <c r="AD45" s="62" cm="1">
        <f t="array" ref="AD45">TREND(AD40:AD44,$F$40:$F$44,$F45)</f>
        <v>3.0585533999999939</v>
      </c>
      <c r="AE45" s="62" cm="1">
        <f t="array" ref="AE45">TREND(AE40:AE44,$F$40:$F$44,$F45)</f>
        <v>53.09848300000067</v>
      </c>
      <c r="AF45" s="62" cm="1">
        <f t="array" ref="AF45">TREND(AF40:AF44,$F$40:$F$44,$F45)</f>
        <v>5.3359000000000378</v>
      </c>
      <c r="AG45" s="62" cm="1">
        <f t="array" ref="AG45">TREND(AG40:AG44,$F$40:$F$44,$F45)</f>
        <v>7.2811207999999965</v>
      </c>
      <c r="AH45" s="62" cm="1">
        <f t="array" ref="AH45">TREND(AH40:AH44,$F$40:$F$44,$F45)</f>
        <v>35.514736800000037</v>
      </c>
      <c r="AI45" s="62" cm="1">
        <f t="array" ref="AI45">TREND(AI40:AI44,$F$40:$F$44,$F45)</f>
        <v>116.14297959999976</v>
      </c>
      <c r="AJ45" s="62" cm="1">
        <f t="array" ref="AJ45">TREND(AJ40:AJ44,$F$40:$F$44,$F45)</f>
        <v>0</v>
      </c>
      <c r="AK45" s="62" cm="1">
        <f t="array" ref="AK45">TREND(AK40:AK44,$F$40:$F$44,$F45)</f>
        <v>0</v>
      </c>
    </row>
    <row r="46" spans="1:37" x14ac:dyDescent="0.45">
      <c r="A46" t="s">
        <v>321</v>
      </c>
      <c r="B46">
        <v>2005</v>
      </c>
      <c r="C46" t="s">
        <v>417</v>
      </c>
      <c r="D46">
        <v>68.212999999999994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45">
      <c r="A47" t="s">
        <v>321</v>
      </c>
      <c r="B47">
        <v>2006</v>
      </c>
      <c r="C47" t="s">
        <v>417</v>
      </c>
      <c r="D47">
        <v>69.128</v>
      </c>
      <c r="F47" s="46" t="s">
        <v>322</v>
      </c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45">
      <c r="A48" t="s">
        <v>321</v>
      </c>
      <c r="B48">
        <v>2007</v>
      </c>
      <c r="C48" t="s">
        <v>417</v>
      </c>
      <c r="D48">
        <v>69.724000000000004</v>
      </c>
      <c r="F48" s="45">
        <v>2005</v>
      </c>
      <c r="G48" s="2">
        <f>GETPIVOTDATA("mVeh",$F$1,"veh_type",$F$47,"year",$F48,"ActiveReg",G$32)</f>
        <v>2.8679999999999999</v>
      </c>
      <c r="H48" s="2">
        <f t="shared" ref="H48:W58" si="4">GETPIVOTDATA("mVeh",$F$1,"veh_type",$F$47,"year",$F48,"ActiveReg",H$32)</f>
        <v>3.34293</v>
      </c>
      <c r="I48" s="2">
        <f t="shared" si="4"/>
        <v>2.59</v>
      </c>
      <c r="J48" s="2">
        <f t="shared" si="4"/>
        <v>0.76782300000000003</v>
      </c>
      <c r="K48" s="2">
        <f t="shared" si="4"/>
        <v>22.870999999999999</v>
      </c>
      <c r="L48" s="2">
        <f t="shared" si="4"/>
        <v>13.320069935287</v>
      </c>
      <c r="M48" s="2">
        <f t="shared" si="4"/>
        <v>3.0150000000000001</v>
      </c>
      <c r="N48" s="2">
        <f t="shared" si="4"/>
        <v>4.1126820000000004</v>
      </c>
      <c r="O48" s="2">
        <f t="shared" si="4"/>
        <v>0.78600000000000003</v>
      </c>
      <c r="P48" s="2">
        <f t="shared" si="4"/>
        <v>10.401999999999999</v>
      </c>
      <c r="Q48" s="2">
        <f t="shared" si="4"/>
        <v>1.0406899999999999</v>
      </c>
      <c r="R48" s="2">
        <f t="shared" si="4"/>
        <v>3.9361570000000001</v>
      </c>
      <c r="S48" s="2">
        <f t="shared" si="4"/>
        <v>2.0626180000000001</v>
      </c>
      <c r="T48" s="2">
        <f t="shared" si="4"/>
        <v>5.803312</v>
      </c>
      <c r="U48" s="2">
        <f t="shared" si="4"/>
        <v>1.570282</v>
      </c>
      <c r="V48" s="2">
        <f t="shared" si="4"/>
        <v>6.2309999999999999</v>
      </c>
      <c r="W48" s="2">
        <f t="shared" si="4"/>
        <v>4.9243639999999997</v>
      </c>
      <c r="X48" s="2">
        <f t="shared" ref="X48:AD58" si="5">GETPIVOTDATA("mVeh",$F$1,"veh_type",$F$47,"year",$F48,"ActiveReg",X$32)</f>
        <v>6.1980000000000004</v>
      </c>
      <c r="Y48" s="2">
        <f t="shared" si="5"/>
        <v>3.133</v>
      </c>
      <c r="Z48" s="2">
        <f t="shared" si="5"/>
        <v>2.706</v>
      </c>
      <c r="AA48" s="2">
        <f t="shared" si="5"/>
        <v>5.6563730000000003</v>
      </c>
      <c r="AB48" s="2">
        <f t="shared" si="5"/>
        <v>7.25</v>
      </c>
      <c r="AC48" s="2">
        <f t="shared" si="5"/>
        <v>5.0019879999999999</v>
      </c>
      <c r="AD48" s="2">
        <f>IFERROR(GETPIVOTDATA("mVeh",$F$1,"veh_type",$F$47,"year",$F48,"ActiveReg",AD$32),0)</f>
        <v>0.52100000000000002</v>
      </c>
      <c r="AE48" s="2">
        <f t="shared" ref="AE48:AK58" si="6">IFERROR(GETPIVOTDATA("mVeh",$F$1,"veh_type",$F$47,"year",$F48,"ActiveReg",AE$32),0)</f>
        <v>5.6420000000000003</v>
      </c>
      <c r="AF48" s="2">
        <f t="shared" si="6"/>
        <v>1.42</v>
      </c>
      <c r="AG48" s="2">
        <f t="shared" si="6"/>
        <v>2.2970000000000002</v>
      </c>
      <c r="AH48" s="2">
        <f t="shared" si="6"/>
        <v>3.9167649999999998</v>
      </c>
      <c r="AI48" s="2">
        <f t="shared" si="6"/>
        <v>104.788</v>
      </c>
      <c r="AJ48" s="2">
        <f t="shared" si="6"/>
        <v>0</v>
      </c>
      <c r="AK48" s="2">
        <f t="shared" si="6"/>
        <v>0</v>
      </c>
    </row>
    <row r="49" spans="1:37" x14ac:dyDescent="0.45">
      <c r="A49" t="s">
        <v>321</v>
      </c>
      <c r="B49">
        <v>2008</v>
      </c>
      <c r="C49" t="s">
        <v>417</v>
      </c>
      <c r="D49">
        <v>70.349000000000004</v>
      </c>
      <c r="F49" s="45">
        <v>2006</v>
      </c>
      <c r="G49" s="2">
        <f t="shared" ref="G49:G58" si="7">GETPIVOTDATA("mVeh",$F$1,"veh_type",$F$47,"year",$F49,"ActiveReg",G$32)</f>
        <v>2.9976430000000001</v>
      </c>
      <c r="H49" s="2">
        <f t="shared" si="4"/>
        <v>3.513242</v>
      </c>
      <c r="I49" s="2">
        <f t="shared" si="4"/>
        <v>2.7</v>
      </c>
      <c r="J49" s="2">
        <f t="shared" si="4"/>
        <v>0.86273900000000003</v>
      </c>
      <c r="K49" s="2">
        <f t="shared" si="4"/>
        <v>22.626000000000001</v>
      </c>
      <c r="L49" s="2">
        <f t="shared" si="4"/>
        <v>13.6447438752403</v>
      </c>
      <c r="M49" s="2">
        <f t="shared" si="4"/>
        <v>3.1320000000000001</v>
      </c>
      <c r="N49" s="2">
        <f t="shared" si="4"/>
        <v>4.192272</v>
      </c>
      <c r="O49" s="2">
        <f t="shared" si="4"/>
        <v>0.84099999999999997</v>
      </c>
      <c r="P49" s="2">
        <f t="shared" si="4"/>
        <v>10.909000000000001</v>
      </c>
      <c r="Q49" s="2">
        <f t="shared" si="4"/>
        <v>1.1029249999999999</v>
      </c>
      <c r="R49" s="2">
        <f t="shared" si="4"/>
        <v>4.1339480000000002</v>
      </c>
      <c r="S49" s="2">
        <f t="shared" si="4"/>
        <v>2.106544</v>
      </c>
      <c r="T49" s="2">
        <f t="shared" si="4"/>
        <v>5.9928270000000001</v>
      </c>
      <c r="U49" s="2">
        <f t="shared" si="4"/>
        <v>1.508275</v>
      </c>
      <c r="V49" s="2">
        <f t="shared" si="4"/>
        <v>6.51</v>
      </c>
      <c r="W49" s="2">
        <f t="shared" si="4"/>
        <v>5.3106549999999997</v>
      </c>
      <c r="X49" s="2">
        <f t="shared" si="5"/>
        <v>6.2610000000000001</v>
      </c>
      <c r="Y49" s="2">
        <f t="shared" si="5"/>
        <v>3.1720000000000002</v>
      </c>
      <c r="Z49" s="2">
        <f t="shared" si="5"/>
        <v>2.948</v>
      </c>
      <c r="AA49" s="2">
        <f t="shared" si="5"/>
        <v>6.0851220000000001</v>
      </c>
      <c r="AB49" s="2">
        <f t="shared" si="5"/>
        <v>7.7729999999999997</v>
      </c>
      <c r="AC49" s="2">
        <f t="shared" si="5"/>
        <v>5.2311310000000004</v>
      </c>
      <c r="AD49" s="2">
        <f t="shared" si="5"/>
        <v>0.54500000000000004</v>
      </c>
      <c r="AE49" s="2">
        <f t="shared" si="6"/>
        <v>5.7530000000000001</v>
      </c>
      <c r="AF49" s="2">
        <f t="shared" si="6"/>
        <v>1.44</v>
      </c>
      <c r="AG49" s="2">
        <f t="shared" si="6"/>
        <v>2.4820000000000002</v>
      </c>
      <c r="AH49" s="2">
        <f t="shared" si="6"/>
        <v>4.1179870000000003</v>
      </c>
      <c r="AI49" s="2">
        <f t="shared" si="6"/>
        <v>109.596</v>
      </c>
      <c r="AJ49" s="2">
        <f t="shared" si="6"/>
        <v>0</v>
      </c>
      <c r="AK49" s="2">
        <f t="shared" si="6"/>
        <v>0</v>
      </c>
    </row>
    <row r="50" spans="1:37" x14ac:dyDescent="0.45">
      <c r="A50" t="s">
        <v>321</v>
      </c>
      <c r="B50">
        <v>2009</v>
      </c>
      <c r="C50" t="s">
        <v>417</v>
      </c>
      <c r="D50">
        <v>71.043999999999997</v>
      </c>
      <c r="F50" s="45">
        <v>2007</v>
      </c>
      <c r="G50" s="2">
        <f t="shared" si="7"/>
        <v>3.1997300000000002</v>
      </c>
      <c r="H50" s="2">
        <f t="shared" si="4"/>
        <v>3.8583750000000001</v>
      </c>
      <c r="I50" s="2">
        <f t="shared" si="4"/>
        <v>2.8839999999999999</v>
      </c>
      <c r="J50" s="2">
        <f t="shared" si="4"/>
        <v>0.98304899999999995</v>
      </c>
      <c r="K50" s="2">
        <f t="shared" si="4"/>
        <v>22.419</v>
      </c>
      <c r="L50" s="2">
        <f t="shared" si="4"/>
        <v>15.4477627254902</v>
      </c>
      <c r="M50" s="2">
        <f t="shared" si="4"/>
        <v>3.2360000000000002</v>
      </c>
      <c r="N50" s="2">
        <f t="shared" si="4"/>
        <v>4.3458259999999997</v>
      </c>
      <c r="O50" s="2">
        <f t="shared" si="4"/>
        <v>0.872</v>
      </c>
      <c r="P50" s="2">
        <f t="shared" si="4"/>
        <v>11.754</v>
      </c>
      <c r="Q50" s="2">
        <f t="shared" si="4"/>
        <v>1.155745</v>
      </c>
      <c r="R50" s="2">
        <f t="shared" si="4"/>
        <v>4.3837380000000001</v>
      </c>
      <c r="S50" s="2">
        <f t="shared" si="4"/>
        <v>2.174668</v>
      </c>
      <c r="T50" s="2">
        <f t="shared" si="4"/>
        <v>6.140047</v>
      </c>
      <c r="U50" s="2">
        <f t="shared" si="4"/>
        <v>1.623791</v>
      </c>
      <c r="V50" s="2">
        <f t="shared" si="4"/>
        <v>6.7619999999999996</v>
      </c>
      <c r="W50" s="2">
        <f t="shared" si="4"/>
        <v>5.6293639999999998</v>
      </c>
      <c r="X50" s="2">
        <f t="shared" si="5"/>
        <v>6.3330000000000002</v>
      </c>
      <c r="Y50" s="2">
        <f t="shared" si="5"/>
        <v>2.8370000000000002</v>
      </c>
      <c r="Z50" s="2">
        <f t="shared" si="5"/>
        <v>3.6419999999999999</v>
      </c>
      <c r="AA50" s="2">
        <f t="shared" si="5"/>
        <v>6.6200609999999998</v>
      </c>
      <c r="AB50" s="2">
        <f t="shared" si="5"/>
        <v>8.1720000000000006</v>
      </c>
      <c r="AC50" s="2">
        <f t="shared" si="5"/>
        <v>5.5350000000000001</v>
      </c>
      <c r="AD50" s="2">
        <f t="shared" si="5"/>
        <v>0.57099999999999995</v>
      </c>
      <c r="AE50" s="2">
        <f t="shared" si="6"/>
        <v>6.05</v>
      </c>
      <c r="AF50" s="2">
        <f t="shared" si="6"/>
        <v>1.54</v>
      </c>
      <c r="AG50" s="2">
        <f t="shared" si="6"/>
        <v>2.6419999999999999</v>
      </c>
      <c r="AH50" s="2">
        <f t="shared" si="6"/>
        <v>4.2479880000000003</v>
      </c>
      <c r="AI50" s="2">
        <f t="shared" si="6"/>
        <v>113.479</v>
      </c>
      <c r="AJ50" s="2">
        <f t="shared" si="6"/>
        <v>0</v>
      </c>
      <c r="AK50" s="2">
        <f t="shared" si="6"/>
        <v>0</v>
      </c>
    </row>
    <row r="51" spans="1:37" x14ac:dyDescent="0.45">
      <c r="A51" t="s">
        <v>321</v>
      </c>
      <c r="B51">
        <v>2010</v>
      </c>
      <c r="C51" t="s">
        <v>417</v>
      </c>
      <c r="D51">
        <v>71.978999999999999</v>
      </c>
      <c r="F51" s="45">
        <v>2008</v>
      </c>
      <c r="G51" s="2">
        <f t="shared" si="7"/>
        <v>3.5495649999999999</v>
      </c>
      <c r="H51" s="2">
        <f t="shared" si="4"/>
        <v>4.3895970000000002</v>
      </c>
      <c r="I51" s="2">
        <f t="shared" si="4"/>
        <v>3.1230000000000002</v>
      </c>
      <c r="J51" s="2">
        <f t="shared" si="4"/>
        <v>1.06298</v>
      </c>
      <c r="K51" s="2">
        <f t="shared" si="4"/>
        <v>21.972999999999999</v>
      </c>
      <c r="L51" s="2">
        <f t="shared" si="4"/>
        <v>15.949635000000001</v>
      </c>
      <c r="M51" s="2">
        <f t="shared" si="4"/>
        <v>3.3679999999999999</v>
      </c>
      <c r="N51" s="2">
        <f t="shared" si="4"/>
        <v>4.592854</v>
      </c>
      <c r="O51" s="2">
        <f t="shared" si="4"/>
        <v>0.90700000000000003</v>
      </c>
      <c r="P51" s="2">
        <f t="shared" si="4"/>
        <v>12.736000000000001</v>
      </c>
      <c r="Q51" s="2">
        <f t="shared" si="4"/>
        <v>1.158004</v>
      </c>
      <c r="R51" s="2">
        <f t="shared" si="4"/>
        <v>4.6989479999999997</v>
      </c>
      <c r="S51" s="2">
        <f t="shared" si="4"/>
        <v>2.2194349999999998</v>
      </c>
      <c r="T51" s="2">
        <f t="shared" si="4"/>
        <v>6.2797109999999998</v>
      </c>
      <c r="U51" s="2">
        <f t="shared" si="4"/>
        <v>1.7622690000000001</v>
      </c>
      <c r="V51" s="2">
        <f t="shared" si="4"/>
        <v>6.8170000000000002</v>
      </c>
      <c r="W51" s="2">
        <f t="shared" si="4"/>
        <v>6.0018159999999998</v>
      </c>
      <c r="X51" s="2">
        <f t="shared" si="5"/>
        <v>6.3620000000000001</v>
      </c>
      <c r="Y51" s="2">
        <f t="shared" si="5"/>
        <v>2.859</v>
      </c>
      <c r="Z51" s="2">
        <f t="shared" si="5"/>
        <v>3.9540000000000002</v>
      </c>
      <c r="AA51" s="2">
        <f t="shared" si="5"/>
        <v>7.2183809999999999</v>
      </c>
      <c r="AB51" s="2">
        <f t="shared" si="5"/>
        <v>8.7870000000000008</v>
      </c>
      <c r="AC51" s="2">
        <f t="shared" si="5"/>
        <v>5.8105226666666701</v>
      </c>
      <c r="AD51" s="2">
        <f t="shared" si="5"/>
        <v>0.57999999999999996</v>
      </c>
      <c r="AE51" s="2">
        <f t="shared" si="6"/>
        <v>6.2430000000000003</v>
      </c>
      <c r="AF51" s="2">
        <f t="shared" si="6"/>
        <v>1.61</v>
      </c>
      <c r="AG51" s="2">
        <f t="shared" si="6"/>
        <v>2.7410000000000001</v>
      </c>
      <c r="AH51" s="2">
        <f t="shared" si="6"/>
        <v>4.2852059999999996</v>
      </c>
      <c r="AI51" s="2">
        <f t="shared" si="6"/>
        <v>113.931</v>
      </c>
      <c r="AJ51" s="2">
        <f t="shared" si="6"/>
        <v>0</v>
      </c>
      <c r="AK51" s="2">
        <f t="shared" si="6"/>
        <v>0</v>
      </c>
    </row>
    <row r="52" spans="1:37" x14ac:dyDescent="0.45">
      <c r="A52" t="s">
        <v>321</v>
      </c>
      <c r="B52">
        <v>2011</v>
      </c>
      <c r="C52" t="s">
        <v>417</v>
      </c>
      <c r="D52">
        <v>72.805999999999997</v>
      </c>
      <c r="F52" s="45">
        <v>2009</v>
      </c>
      <c r="G52" s="2">
        <f t="shared" si="7"/>
        <v>3.7944529999999999</v>
      </c>
      <c r="H52" s="2">
        <f t="shared" si="4"/>
        <v>4.5615139999999998</v>
      </c>
      <c r="I52" s="2">
        <f t="shared" si="4"/>
        <v>3.2069999999999999</v>
      </c>
      <c r="J52" s="2">
        <f t="shared" si="4"/>
        <v>1.09198</v>
      </c>
      <c r="K52" s="2">
        <f t="shared" si="4"/>
        <v>21.606000000000002</v>
      </c>
      <c r="L52" s="2">
        <f t="shared" si="4"/>
        <v>16.396377999999999</v>
      </c>
      <c r="M52" s="2">
        <f t="shared" si="4"/>
        <v>3.4790000000000001</v>
      </c>
      <c r="N52" s="2">
        <f t="shared" si="4"/>
        <v>4.8525640000000001</v>
      </c>
      <c r="O52" s="2">
        <f t="shared" si="4"/>
        <v>0.91500000000000004</v>
      </c>
      <c r="P52" s="2">
        <f t="shared" si="4"/>
        <v>14.481999999999999</v>
      </c>
      <c r="Q52" s="2">
        <f t="shared" si="4"/>
        <v>1.1382810000000001</v>
      </c>
      <c r="R52" s="2">
        <f t="shared" si="4"/>
        <v>4.8024579999999997</v>
      </c>
      <c r="S52" s="2">
        <f t="shared" si="4"/>
        <v>2.218874</v>
      </c>
      <c r="T52" s="2">
        <f t="shared" si="4"/>
        <v>6.3467539999999998</v>
      </c>
      <c r="U52" s="2">
        <f t="shared" si="4"/>
        <v>1.785874</v>
      </c>
      <c r="V52" s="2">
        <f t="shared" si="4"/>
        <v>6.7590000000000003</v>
      </c>
      <c r="W52" s="2">
        <f t="shared" si="4"/>
        <v>6.1406599999999996</v>
      </c>
      <c r="X52" s="2">
        <f t="shared" si="5"/>
        <v>6.3879999999999999</v>
      </c>
      <c r="Y52" s="2">
        <f t="shared" si="5"/>
        <v>2.8929999999999998</v>
      </c>
      <c r="Z52" s="2">
        <f t="shared" si="5"/>
        <v>4.4329999999999998</v>
      </c>
      <c r="AA52" s="2">
        <f t="shared" si="5"/>
        <v>7.5220440000000002</v>
      </c>
      <c r="AB52" s="2">
        <f t="shared" si="5"/>
        <v>9.173</v>
      </c>
      <c r="AC52" s="2">
        <f t="shared" si="5"/>
        <v>6.0245273333333298</v>
      </c>
      <c r="AD52" s="2">
        <f t="shared" si="5"/>
        <v>0.58299999999999996</v>
      </c>
      <c r="AE52" s="2">
        <f t="shared" si="6"/>
        <v>6.2190000000000003</v>
      </c>
      <c r="AF52" s="2">
        <f t="shared" si="6"/>
        <v>1.68</v>
      </c>
      <c r="AG52" s="2">
        <f t="shared" si="6"/>
        <v>2.81</v>
      </c>
      <c r="AH52" s="2">
        <f t="shared" si="6"/>
        <v>4.1815189999999998</v>
      </c>
      <c r="AI52" s="2">
        <f t="shared" si="6"/>
        <v>116.47199999999999</v>
      </c>
      <c r="AJ52" s="2">
        <f t="shared" si="6"/>
        <v>0</v>
      </c>
      <c r="AK52" s="2">
        <f t="shared" si="6"/>
        <v>0</v>
      </c>
    </row>
    <row r="53" spans="1:37" x14ac:dyDescent="0.45">
      <c r="A53" t="s">
        <v>321</v>
      </c>
      <c r="B53">
        <v>2012</v>
      </c>
      <c r="C53" t="s">
        <v>417</v>
      </c>
      <c r="D53">
        <v>73.998000000000005</v>
      </c>
      <c r="F53" s="45">
        <v>2010</v>
      </c>
      <c r="G53" s="2">
        <f t="shared" si="7"/>
        <v>3.9928439999999998</v>
      </c>
      <c r="H53" s="2">
        <f t="shared" si="4"/>
        <v>4.6867809999999999</v>
      </c>
      <c r="I53" s="2">
        <f t="shared" si="4"/>
        <v>3.5289999999999999</v>
      </c>
      <c r="J53" s="2">
        <f t="shared" si="4"/>
        <v>1.0965830000000001</v>
      </c>
      <c r="K53" s="2">
        <f t="shared" si="4"/>
        <v>21.324000000000002</v>
      </c>
      <c r="L53" s="2">
        <f t="shared" si="4"/>
        <v>17.024431</v>
      </c>
      <c r="M53" s="2">
        <f t="shared" si="4"/>
        <v>3.5819999999999999</v>
      </c>
      <c r="N53" s="2">
        <f t="shared" si="4"/>
        <v>5.222702</v>
      </c>
      <c r="O53" s="2">
        <f t="shared" si="4"/>
        <v>0.96299999999999997</v>
      </c>
      <c r="P53" s="2">
        <f t="shared" si="4"/>
        <v>16.513000000000002</v>
      </c>
      <c r="Q53" s="2">
        <f t="shared" si="4"/>
        <v>1.1293340000000001</v>
      </c>
      <c r="R53" s="2">
        <f t="shared" si="4"/>
        <v>4.9373519999999997</v>
      </c>
      <c r="S53" s="2">
        <f t="shared" si="4"/>
        <v>2.20641</v>
      </c>
      <c r="T53" s="2">
        <f t="shared" si="4"/>
        <v>6.4161720000000004</v>
      </c>
      <c r="U53" s="2">
        <f t="shared" si="4"/>
        <v>1.7975429999999999</v>
      </c>
      <c r="V53" s="2">
        <f t="shared" si="4"/>
        <v>6.7190000000000003</v>
      </c>
      <c r="W53" s="2">
        <f t="shared" si="4"/>
        <v>6.4050960000000003</v>
      </c>
      <c r="X53" s="2">
        <f t="shared" si="5"/>
        <v>6.444</v>
      </c>
      <c r="Y53" s="2">
        <f t="shared" si="5"/>
        <v>2.96</v>
      </c>
      <c r="Z53" s="2">
        <f t="shared" si="5"/>
        <v>4.6820000000000004</v>
      </c>
      <c r="AA53" s="2">
        <f t="shared" si="5"/>
        <v>7.9624160000000002</v>
      </c>
      <c r="AB53" s="2">
        <f t="shared" si="5"/>
        <v>9.3290000000000006</v>
      </c>
      <c r="AC53" s="2">
        <f t="shared" si="5"/>
        <v>6.3115170000000003</v>
      </c>
      <c r="AD53" s="2">
        <f t="shared" si="5"/>
        <v>0.58899999999999997</v>
      </c>
      <c r="AE53" s="2">
        <f t="shared" si="6"/>
        <v>6.3070000000000004</v>
      </c>
      <c r="AF53" s="2">
        <f t="shared" si="6"/>
        <v>1.76</v>
      </c>
      <c r="AG53" s="2">
        <f t="shared" si="6"/>
        <v>2.8375349999999999</v>
      </c>
      <c r="AH53" s="2">
        <f t="shared" si="6"/>
        <v>4.2204550000000003</v>
      </c>
      <c r="AI53" s="2">
        <f t="shared" si="6"/>
        <v>119.179</v>
      </c>
      <c r="AJ53" s="2">
        <f t="shared" si="6"/>
        <v>0</v>
      </c>
      <c r="AK53" s="2">
        <f t="shared" si="6"/>
        <v>0</v>
      </c>
    </row>
    <row r="54" spans="1:37" x14ac:dyDescent="0.45">
      <c r="A54" t="s">
        <v>321</v>
      </c>
      <c r="B54">
        <v>2013</v>
      </c>
      <c r="C54" t="s">
        <v>417</v>
      </c>
      <c r="D54">
        <v>75.113848000000004</v>
      </c>
      <c r="F54" s="45">
        <v>2011</v>
      </c>
      <c r="G54" s="2">
        <f t="shared" si="7"/>
        <v>4.1577570000000001</v>
      </c>
      <c r="H54" s="2">
        <f t="shared" si="4"/>
        <v>4.8195699999999997</v>
      </c>
      <c r="I54" s="2">
        <f t="shared" si="4"/>
        <v>3.7770000000000001</v>
      </c>
      <c r="J54" s="2">
        <f t="shared" si="4"/>
        <v>1.1638299999999999</v>
      </c>
      <c r="K54" s="2">
        <f t="shared" si="4"/>
        <v>21.143999999999998</v>
      </c>
      <c r="L54" s="2">
        <f t="shared" si="4"/>
        <v>17.783567000000001</v>
      </c>
      <c r="M54" s="2">
        <f t="shared" si="4"/>
        <v>3.1669999999999998</v>
      </c>
      <c r="N54" s="2">
        <f t="shared" si="4"/>
        <v>5.7636240000000001</v>
      </c>
      <c r="O54" s="2">
        <f t="shared" si="4"/>
        <v>1.008</v>
      </c>
      <c r="P54" s="2">
        <f t="shared" si="4"/>
        <v>18.844000000000001</v>
      </c>
      <c r="Q54" s="2">
        <f t="shared" si="4"/>
        <v>1.137864</v>
      </c>
      <c r="R54" s="2">
        <f t="shared" si="4"/>
        <v>5.1253010000000003</v>
      </c>
      <c r="S54" s="2">
        <f t="shared" si="4"/>
        <v>2.20465</v>
      </c>
      <c r="T54" s="2">
        <f t="shared" si="4"/>
        <v>6.4708810000000003</v>
      </c>
      <c r="U54" s="2">
        <f t="shared" si="4"/>
        <v>1.8376049999999999</v>
      </c>
      <c r="V54" s="2">
        <f t="shared" si="4"/>
        <v>6.67</v>
      </c>
      <c r="W54" s="2">
        <f t="shared" si="4"/>
        <v>6.6490200000000002</v>
      </c>
      <c r="X54" s="2">
        <f t="shared" si="5"/>
        <v>6.5170000000000003</v>
      </c>
      <c r="Y54" s="2">
        <f t="shared" si="5"/>
        <v>3.056</v>
      </c>
      <c r="Z54" s="2">
        <f t="shared" si="5"/>
        <v>5.0860000000000003</v>
      </c>
      <c r="AA54" s="2">
        <f t="shared" si="5"/>
        <v>8.4356539999999995</v>
      </c>
      <c r="AB54" s="2">
        <f t="shared" si="5"/>
        <v>9.5909999999999993</v>
      </c>
      <c r="AC54" s="2">
        <f t="shared" si="5"/>
        <v>6.7776536666666702</v>
      </c>
      <c r="AD54" s="2">
        <f t="shared" si="5"/>
        <v>0.59218099999999996</v>
      </c>
      <c r="AE54" s="2">
        <f t="shared" si="6"/>
        <v>6.4470000000000001</v>
      </c>
      <c r="AF54" s="2">
        <f t="shared" si="6"/>
        <v>1.87</v>
      </c>
      <c r="AG54" s="2">
        <f t="shared" si="6"/>
        <v>2.8975650000000002</v>
      </c>
      <c r="AH54" s="2">
        <f t="shared" si="6"/>
        <v>4.269641</v>
      </c>
      <c r="AI54" s="2">
        <f t="shared" si="6"/>
        <v>121.355</v>
      </c>
      <c r="AJ54" s="2">
        <f t="shared" si="6"/>
        <v>0</v>
      </c>
      <c r="AK54" s="2">
        <f t="shared" si="6"/>
        <v>0</v>
      </c>
    </row>
    <row r="55" spans="1:37" x14ac:dyDescent="0.45">
      <c r="A55" t="s">
        <v>321</v>
      </c>
      <c r="B55">
        <v>2014</v>
      </c>
      <c r="C55" t="s">
        <v>417</v>
      </c>
      <c r="D55">
        <v>76.415232000000003</v>
      </c>
      <c r="F55" s="45">
        <v>2012</v>
      </c>
      <c r="G55" s="2">
        <f t="shared" si="7"/>
        <v>4.4210079999999996</v>
      </c>
      <c r="H55" s="2">
        <f t="shared" si="4"/>
        <v>4.9413140000000002</v>
      </c>
      <c r="I55" s="2">
        <f t="shared" si="4"/>
        <v>3.9569999999999999</v>
      </c>
      <c r="J55" s="2">
        <f t="shared" si="4"/>
        <v>1.2357959999999999</v>
      </c>
      <c r="K55" s="2">
        <f t="shared" si="4"/>
        <v>20.998000000000001</v>
      </c>
      <c r="L55" s="2">
        <f t="shared" si="4"/>
        <v>18.761140000000001</v>
      </c>
      <c r="M55" s="2">
        <f t="shared" si="4"/>
        <v>3.7771210000000002</v>
      </c>
      <c r="N55" s="2">
        <f t="shared" si="4"/>
        <v>6.2080700000000002</v>
      </c>
      <c r="O55" s="2">
        <f t="shared" si="4"/>
        <v>1.0529999999999999</v>
      </c>
      <c r="P55" s="2">
        <f t="shared" si="4"/>
        <v>21.978000000000002</v>
      </c>
      <c r="Q55" s="2">
        <f t="shared" si="4"/>
        <v>1.132714</v>
      </c>
      <c r="R55" s="2">
        <f t="shared" si="4"/>
        <v>5.186553</v>
      </c>
      <c r="S55" s="2">
        <f t="shared" si="4"/>
        <v>2.1832060000000002</v>
      </c>
      <c r="T55" s="2">
        <f t="shared" si="4"/>
        <v>6.4321799999999998</v>
      </c>
      <c r="U55" s="2">
        <f t="shared" si="4"/>
        <v>1.869</v>
      </c>
      <c r="V55" s="2">
        <f t="shared" si="4"/>
        <v>6.5430000000000001</v>
      </c>
      <c r="W55" s="2">
        <f t="shared" si="4"/>
        <v>7.2840090000000002</v>
      </c>
      <c r="X55" s="2">
        <f t="shared" si="5"/>
        <v>6.5380000000000003</v>
      </c>
      <c r="Y55" s="2">
        <f t="shared" si="5"/>
        <v>3.1070000000000002</v>
      </c>
      <c r="Z55" s="2">
        <f t="shared" si="5"/>
        <v>5.726</v>
      </c>
      <c r="AA55" s="2">
        <f t="shared" si="5"/>
        <v>8.9638109999999998</v>
      </c>
      <c r="AB55" s="2">
        <f t="shared" si="5"/>
        <v>9.7230000000000008</v>
      </c>
      <c r="AC55" s="2">
        <f t="shared" si="5"/>
        <v>7.3034853333333301</v>
      </c>
      <c r="AD55" s="2">
        <f t="shared" si="5"/>
        <v>0.60342200000000001</v>
      </c>
      <c r="AE55" s="2">
        <f t="shared" si="6"/>
        <v>6.94</v>
      </c>
      <c r="AF55" s="2">
        <f t="shared" si="6"/>
        <v>2.0138889999999998</v>
      </c>
      <c r="AG55" s="2">
        <f t="shared" si="6"/>
        <v>2.9663689999999998</v>
      </c>
      <c r="AH55" s="2">
        <f t="shared" si="6"/>
        <v>4.2789999999999999</v>
      </c>
      <c r="AI55" s="2">
        <f t="shared" si="6"/>
        <v>130.59545900000001</v>
      </c>
      <c r="AJ55" s="2">
        <f t="shared" si="6"/>
        <v>0</v>
      </c>
      <c r="AK55" s="2">
        <f t="shared" si="6"/>
        <v>0</v>
      </c>
    </row>
    <row r="56" spans="1:37" x14ac:dyDescent="0.45">
      <c r="A56" t="s">
        <v>321</v>
      </c>
      <c r="B56">
        <v>2015</v>
      </c>
      <c r="C56" t="s">
        <v>417</v>
      </c>
      <c r="D56">
        <v>77.549548000000001</v>
      </c>
      <c r="F56" s="45">
        <v>2013</v>
      </c>
      <c r="G56" s="2">
        <f t="shared" si="7"/>
        <v>4.6194930000000003</v>
      </c>
      <c r="H56" s="2">
        <f t="shared" si="4"/>
        <v>5.1137920000000001</v>
      </c>
      <c r="I56" s="2">
        <f t="shared" si="4"/>
        <v>4.231535</v>
      </c>
      <c r="J56" s="2">
        <f t="shared" si="4"/>
        <v>1.2811319999999999</v>
      </c>
      <c r="K56" s="2">
        <f t="shared" si="4"/>
        <v>20.905737999999999</v>
      </c>
      <c r="L56" s="2">
        <f t="shared" si="4"/>
        <v>19.662590999999999</v>
      </c>
      <c r="M56" s="2">
        <f t="shared" si="4"/>
        <v>3.9828429999999999</v>
      </c>
      <c r="N56" s="2">
        <f t="shared" si="4"/>
        <v>6.6792470000000002</v>
      </c>
      <c r="O56" s="2">
        <f t="shared" si="4"/>
        <v>1.0721339999999999</v>
      </c>
      <c r="P56" s="2">
        <f t="shared" si="4"/>
        <v>25.479208</v>
      </c>
      <c r="Q56" s="2">
        <f t="shared" si="4"/>
        <v>1.1273390000000001</v>
      </c>
      <c r="R56" s="2">
        <f t="shared" si="4"/>
        <v>5.2960589999999996</v>
      </c>
      <c r="S56" s="2">
        <f t="shared" si="4"/>
        <v>2.2123569999999999</v>
      </c>
      <c r="T56" s="2">
        <f t="shared" si="4"/>
        <v>6.3701499999999998</v>
      </c>
      <c r="U56" s="2">
        <f t="shared" si="4"/>
        <v>1.8862080000000001</v>
      </c>
      <c r="V56" s="2">
        <f t="shared" si="4"/>
        <v>6.4032660000000003</v>
      </c>
      <c r="W56" s="2">
        <f t="shared" si="4"/>
        <v>7.6217100000000002</v>
      </c>
      <c r="X56" s="2">
        <f t="shared" si="5"/>
        <v>6.55</v>
      </c>
      <c r="Y56" s="2">
        <f t="shared" si="5"/>
        <v>3.1634690000000001</v>
      </c>
      <c r="Z56" s="2">
        <f t="shared" si="5"/>
        <v>5.9080000000000004</v>
      </c>
      <c r="AA56" s="2">
        <f t="shared" si="5"/>
        <v>9.1223849999999995</v>
      </c>
      <c r="AB56" s="2">
        <f t="shared" si="5"/>
        <v>10.050316</v>
      </c>
      <c r="AC56" s="2">
        <f t="shared" si="5"/>
        <v>7.5937799999999998</v>
      </c>
      <c r="AD56" s="2">
        <f t="shared" si="5"/>
        <v>0.61136699999999999</v>
      </c>
      <c r="AE56" s="2">
        <f t="shared" si="6"/>
        <v>6.9070859999999996</v>
      </c>
      <c r="AF56" s="2">
        <f t="shared" si="6"/>
        <v>2.0825</v>
      </c>
      <c r="AG56" s="2">
        <f t="shared" si="6"/>
        <v>3.0454659999999998</v>
      </c>
      <c r="AH56" s="2">
        <f t="shared" si="6"/>
        <v>4.3647179999999999</v>
      </c>
      <c r="AI56" s="2">
        <f t="shared" si="6"/>
        <v>132.50072299999999</v>
      </c>
      <c r="AJ56" s="2">
        <f t="shared" si="6"/>
        <v>0</v>
      </c>
      <c r="AK56" s="2">
        <f t="shared" si="6"/>
        <v>0</v>
      </c>
    </row>
    <row r="57" spans="1:37" x14ac:dyDescent="0.45">
      <c r="A57" t="s">
        <v>321</v>
      </c>
      <c r="B57">
        <v>2005</v>
      </c>
      <c r="C57" t="s">
        <v>418</v>
      </c>
      <c r="D57">
        <v>27.494779000000001</v>
      </c>
      <c r="F57" s="45">
        <v>2014</v>
      </c>
      <c r="G57" s="2">
        <f t="shared" si="7"/>
        <v>4.8339270000000001</v>
      </c>
      <c r="H57" s="2">
        <f t="shared" si="4"/>
        <v>5.3239979999999996</v>
      </c>
      <c r="I57" s="2">
        <f t="shared" si="4"/>
        <v>4.5107010000000001</v>
      </c>
      <c r="J57" s="2">
        <f t="shared" si="4"/>
        <v>1.2883880000000001</v>
      </c>
      <c r="K57" s="2">
        <f t="shared" si="4"/>
        <v>20.891189000000001</v>
      </c>
      <c r="L57" s="2">
        <f t="shared" si="4"/>
        <v>20.818173000000002</v>
      </c>
      <c r="M57" s="2">
        <f t="shared" si="4"/>
        <v>4.1545310000000004</v>
      </c>
      <c r="N57" s="2">
        <f t="shared" si="4"/>
        <v>7.1111019999999998</v>
      </c>
      <c r="O57" s="2">
        <f t="shared" si="4"/>
        <v>1.120204</v>
      </c>
      <c r="P57" s="2">
        <f t="shared" si="4"/>
        <v>28.634872999999999</v>
      </c>
      <c r="Q57" s="2">
        <f t="shared" si="4"/>
        <v>1.1379729999999999</v>
      </c>
      <c r="R57" s="2">
        <f t="shared" si="4"/>
        <v>5.2482240000000004</v>
      </c>
      <c r="S57" s="2">
        <f t="shared" si="4"/>
        <v>2.2199680000000002</v>
      </c>
      <c r="T57" s="2">
        <f t="shared" si="4"/>
        <v>6.3456159999999997</v>
      </c>
      <c r="U57" s="2">
        <f t="shared" si="4"/>
        <v>1.983017</v>
      </c>
      <c r="V57" s="2">
        <f t="shared" si="4"/>
        <v>6.336843</v>
      </c>
      <c r="W57" s="2">
        <f t="shared" si="4"/>
        <v>7.7908609999999996</v>
      </c>
      <c r="X57" s="2">
        <f t="shared" si="5"/>
        <v>6.6079999999999997</v>
      </c>
      <c r="Y57" s="2">
        <f t="shared" si="5"/>
        <v>3.2444570000000001</v>
      </c>
      <c r="Z57" s="2">
        <f t="shared" si="5"/>
        <v>6.0679999999999996</v>
      </c>
      <c r="AA57" s="2">
        <f t="shared" si="5"/>
        <v>9.5734890000000004</v>
      </c>
      <c r="AB57" s="2">
        <f t="shared" si="5"/>
        <v>10.210521999999999</v>
      </c>
      <c r="AC57" s="2">
        <f t="shared" si="5"/>
        <v>7.8313959999999998</v>
      </c>
      <c r="AD57" s="2">
        <f t="shared" si="5"/>
        <v>0.618502</v>
      </c>
      <c r="AE57" s="2">
        <f t="shared" si="6"/>
        <v>7.116403</v>
      </c>
      <c r="AF57" s="2">
        <f t="shared" si="6"/>
        <v>2.13</v>
      </c>
      <c r="AG57" s="2">
        <f t="shared" si="6"/>
        <v>3.130862</v>
      </c>
      <c r="AH57" s="2">
        <f t="shared" si="6"/>
        <v>4.5005759999999997</v>
      </c>
      <c r="AI57" s="2">
        <f t="shared" si="6"/>
        <v>137.04311799999999</v>
      </c>
      <c r="AJ57" s="2">
        <f t="shared" si="6"/>
        <v>0</v>
      </c>
      <c r="AK57" s="2">
        <f t="shared" si="6"/>
        <v>0</v>
      </c>
    </row>
    <row r="58" spans="1:37" x14ac:dyDescent="0.45">
      <c r="A58" t="s">
        <v>321</v>
      </c>
      <c r="B58">
        <v>2006</v>
      </c>
      <c r="C58" t="s">
        <v>418</v>
      </c>
      <c r="D58">
        <v>28.898498</v>
      </c>
      <c r="F58" s="45">
        <v>2015</v>
      </c>
      <c r="G58" s="2">
        <f t="shared" si="7"/>
        <v>5.2694720000000004</v>
      </c>
      <c r="H58" s="2">
        <f t="shared" si="4"/>
        <v>5.5067769999999996</v>
      </c>
      <c r="I58" s="2">
        <f t="shared" si="4"/>
        <v>4.6427769999999997</v>
      </c>
      <c r="J58" s="2">
        <f t="shared" si="4"/>
        <v>1.312379</v>
      </c>
      <c r="K58" s="2">
        <f t="shared" si="4"/>
        <v>20.844667999999999</v>
      </c>
      <c r="L58" s="2">
        <f t="shared" si="4"/>
        <v>21.573640999999999</v>
      </c>
      <c r="M58" s="2">
        <f t="shared" si="4"/>
        <v>4.2800380000000002</v>
      </c>
      <c r="N58" s="2">
        <f t="shared" si="4"/>
        <v>7.2719009999999997</v>
      </c>
      <c r="O58" s="2">
        <f t="shared" si="4"/>
        <v>1.1467700000000001</v>
      </c>
      <c r="P58" s="2">
        <f t="shared" si="4"/>
        <v>27.173950999999999</v>
      </c>
      <c r="Q58" s="2">
        <f t="shared" si="4"/>
        <v>1.1517170000000001</v>
      </c>
      <c r="R58" s="2">
        <f t="shared" si="4"/>
        <v>5.3950610000000001</v>
      </c>
      <c r="S58" s="2">
        <f t="shared" si="4"/>
        <v>2.269936</v>
      </c>
      <c r="T58" s="2">
        <f t="shared" si="4"/>
        <v>6.1467340000000004</v>
      </c>
      <c r="U58" s="2">
        <f t="shared" si="4"/>
        <v>2.1013229999999998</v>
      </c>
      <c r="V58" s="2">
        <f t="shared" si="4"/>
        <v>6.3859709999999996</v>
      </c>
      <c r="W58" s="2">
        <f t="shared" si="4"/>
        <v>7.9527289999999997</v>
      </c>
      <c r="X58" s="2">
        <f t="shared" si="5"/>
        <v>6.6520000000000001</v>
      </c>
      <c r="Y58" s="2">
        <f t="shared" si="5"/>
        <v>3.3558849999999998</v>
      </c>
      <c r="Z58" s="2">
        <f t="shared" si="5"/>
        <v>6.3920000000000003</v>
      </c>
      <c r="AA58" s="2">
        <f t="shared" si="5"/>
        <v>10.114943999999999</v>
      </c>
      <c r="AB58" s="2">
        <f t="shared" si="5"/>
        <v>10.416238</v>
      </c>
      <c r="AC58" s="2">
        <f t="shared" si="5"/>
        <v>8.1383279999999996</v>
      </c>
      <c r="AD58" s="2">
        <f t="shared" si="5"/>
        <v>0.62629800000000002</v>
      </c>
      <c r="AE58" s="2">
        <f t="shared" si="6"/>
        <v>7.1022780000000001</v>
      </c>
      <c r="AF58" s="2">
        <f t="shared" si="6"/>
        <v>2.2000000000000002</v>
      </c>
      <c r="AG58" s="2">
        <f t="shared" si="6"/>
        <v>3.216656</v>
      </c>
      <c r="AH58" s="2">
        <f t="shared" si="6"/>
        <v>4.677162</v>
      </c>
      <c r="AI58" s="2">
        <f t="shared" si="6"/>
        <v>141.87237500000001</v>
      </c>
      <c r="AJ58" s="2">
        <f t="shared" si="6"/>
        <v>0</v>
      </c>
      <c r="AK58" s="2">
        <f t="shared" si="6"/>
        <v>0</v>
      </c>
    </row>
    <row r="59" spans="1:37" x14ac:dyDescent="0.45">
      <c r="A59" t="s">
        <v>321</v>
      </c>
      <c r="B59">
        <v>2007</v>
      </c>
      <c r="C59" t="s">
        <v>418</v>
      </c>
      <c r="D59">
        <v>33.296093999999997</v>
      </c>
      <c r="F59" s="47">
        <v>2019</v>
      </c>
      <c r="G59" s="62" cm="1">
        <f t="array" ref="G59">TREND(G54:G58,$F$40:$F$44,$F59)</f>
        <v>6.2421408000000156</v>
      </c>
      <c r="H59" s="62" cm="1">
        <f t="array" ref="H59">TREND(H54:H58,$F$40:$F$44,$F59)</f>
        <v>6.1953489999999647</v>
      </c>
      <c r="I59" s="62" cm="1">
        <f t="array" ref="I59">TREND(I54:I58,$F$40:$F$44,$F59)</f>
        <v>5.5949556000000484</v>
      </c>
      <c r="J59" s="62" cm="1">
        <f t="array" ref="J59">TREND(J54:J58,$F$40:$F$44,$F59)</f>
        <v>1.4661190000000062</v>
      </c>
      <c r="K59" s="62" cm="1">
        <f t="array" ref="K59">TREND(K54:K58,$F$40:$F$44,$F59)</f>
        <v>20.533433999999971</v>
      </c>
      <c r="L59" s="62" cm="1">
        <f t="array" ref="L59">TREND(L54:L58,$F$40:$F$44,$F59)</f>
        <v>25.50213100000019</v>
      </c>
      <c r="M59" s="62" cm="1">
        <f t="array" ref="M59">TREND(M54:M58,$F$40:$F$44,$F59)</f>
        <v>5.4343982000000324</v>
      </c>
      <c r="N59" s="62" cm="1">
        <f t="array" ref="N59">TREND(N54:N58,$F$40:$F$44,$F59)</f>
        <v>8.9585404000000608</v>
      </c>
      <c r="O59" s="62" cm="1">
        <f t="array" ref="O59">TREND(O54:O58,$F$40:$F$44,$F59)</f>
        <v>1.2868679999999983</v>
      </c>
      <c r="P59" s="62" cm="1">
        <f t="array" ref="P59">TREND(P54:P58,$F$40:$F$44,$F59)</f>
        <v>38.412071400000059</v>
      </c>
      <c r="Q59" s="62" cm="1">
        <f t="array" ref="Q59">TREND(Q54:Q58,$F$40:$F$44,$F59)</f>
        <v>1.1573003999999996</v>
      </c>
      <c r="R59" s="62" cm="1">
        <f t="array" ref="R59">TREND(R54:R58,$F$40:$F$44,$F59)</f>
        <v>5.6109541999999948</v>
      </c>
      <c r="S59" s="62" cm="1">
        <f t="array" ref="S59">TREND(S54:S58,$F$40:$F$44,$F59)</f>
        <v>2.318423800000005</v>
      </c>
      <c r="T59" s="62" cm="1">
        <f t="array" ref="T59">TREND(T54:T58,$F$40:$F$44,$F59)</f>
        <v>5.9121973999999966</v>
      </c>
      <c r="U59" s="62" cm="1">
        <f t="array" ref="U59">TREND(U54:U58,$F$40:$F$44,$F59)</f>
        <v>2.3203023999999886</v>
      </c>
      <c r="V59" s="62" cm="1">
        <f t="array" ref="V59">TREND(V54:V58,$F$40:$F$44,$F59)</f>
        <v>6.0032870000000003</v>
      </c>
      <c r="W59" s="62" cm="1">
        <f t="array" ref="W59">TREND(W54:W58,$F$40:$F$44,$F59)</f>
        <v>9.328227800000036</v>
      </c>
      <c r="X59" s="62" cm="1">
        <f t="array" ref="X59">TREND(X54:X58,$F$40:$F$44,$F59)</f>
        <v>6.7770000000000081</v>
      </c>
      <c r="Y59" s="62" cm="1">
        <f t="array" ref="Y59">TREND(Y54:Y58,$F$40:$F$44,$F59)</f>
        <v>3.6276983999999857</v>
      </c>
      <c r="Z59" s="62" cm="1">
        <f t="array" ref="Z59">TREND(Z54:Z58,$F$40:$F$44,$F59)</f>
        <v>7.6083999999999605</v>
      </c>
      <c r="AA59" s="62" cm="1">
        <f t="array" ref="AA59">TREND(AA54:AA58,$F$40:$F$44,$F59)</f>
        <v>11.623011399999996</v>
      </c>
      <c r="AB59" s="62" cm="1">
        <f t="array" ref="AB59">TREND(AB54:AB58,$F$40:$F$44,$F59)</f>
        <v>11.281014000000027</v>
      </c>
      <c r="AC59" s="62" cm="1">
        <f t="array" ref="AC59">TREND(AC54:AC58,$F$40:$F$44,$F59)</f>
        <v>9.4784841999999117</v>
      </c>
      <c r="AD59" s="62" cm="1">
        <f t="array" ref="AD59">TREND(AD54:AD58,$F$40:$F$44,$F59)</f>
        <v>0.66034240000000111</v>
      </c>
      <c r="AE59" s="62" cm="1">
        <f t="array" ref="AE59">TREND(AE54:AE58,$F$40:$F$44,$F59)</f>
        <v>7.7947288000000299</v>
      </c>
      <c r="AF59" s="62" cm="1">
        <f t="array" ref="AF59">TREND(AF54:AF58,$F$40:$F$44,$F59)</f>
        <v>2.5249443999999812</v>
      </c>
      <c r="AG59" s="62" cm="1">
        <f t="array" ref="AG59">TREND(AG54:AG58,$F$40:$F$44,$F59)</f>
        <v>3.5329886000000101</v>
      </c>
      <c r="AH59" s="62" cm="1">
        <f t="array" ref="AH59">TREND(AH54:AH58,$F$40:$F$44,$F59)</f>
        <v>5.0401902000000121</v>
      </c>
      <c r="AI59" s="62" cm="1">
        <f t="array" ref="AI59">TREND(AI54:AI58,$F$40:$F$44,$F59)</f>
        <v>161.16278039999997</v>
      </c>
      <c r="AJ59" s="62" cm="1">
        <f t="array" ref="AJ59">TREND(AJ54:AJ58,$F$40:$F$44,$F59)</f>
        <v>0</v>
      </c>
      <c r="AK59" s="62" cm="1">
        <f t="array" ref="AK59">TREND(AK54:AK58,$F$40:$F$44,$F59)</f>
        <v>0</v>
      </c>
    </row>
    <row r="60" spans="1:37" x14ac:dyDescent="0.45">
      <c r="A60" t="s">
        <v>321</v>
      </c>
      <c r="B60">
        <v>2008</v>
      </c>
      <c r="C60" t="s">
        <v>418</v>
      </c>
      <c r="D60">
        <v>32.858829999999998</v>
      </c>
    </row>
    <row r="61" spans="1:37" x14ac:dyDescent="0.45">
      <c r="A61" t="s">
        <v>321</v>
      </c>
      <c r="B61">
        <v>2009</v>
      </c>
      <c r="C61" t="s">
        <v>418</v>
      </c>
      <c r="D61">
        <v>34.581547</v>
      </c>
    </row>
    <row r="62" spans="1:37" x14ac:dyDescent="0.45">
      <c r="A62" t="s">
        <v>321</v>
      </c>
      <c r="B62">
        <v>2010</v>
      </c>
      <c r="C62" t="s">
        <v>418</v>
      </c>
      <c r="D62">
        <v>36.990822999999999</v>
      </c>
    </row>
    <row r="63" spans="1:37" x14ac:dyDescent="0.45">
      <c r="A63" t="s">
        <v>321</v>
      </c>
      <c r="B63">
        <v>2011</v>
      </c>
      <c r="C63" t="s">
        <v>418</v>
      </c>
      <c r="D63">
        <v>39.627600000000001</v>
      </c>
    </row>
    <row r="64" spans="1:37" x14ac:dyDescent="0.45">
      <c r="A64" t="s">
        <v>321</v>
      </c>
      <c r="B64">
        <v>2012</v>
      </c>
      <c r="C64" t="s">
        <v>418</v>
      </c>
      <c r="D64">
        <v>43.093556999999997</v>
      </c>
    </row>
    <row r="65" spans="1:4" x14ac:dyDescent="0.45">
      <c r="A65" t="s">
        <v>321</v>
      </c>
      <c r="B65">
        <v>2013</v>
      </c>
      <c r="C65" t="s">
        <v>418</v>
      </c>
      <c r="D65">
        <v>44.962614000000002</v>
      </c>
    </row>
    <row r="66" spans="1:4" x14ac:dyDescent="0.45">
      <c r="A66" t="s">
        <v>321</v>
      </c>
      <c r="B66">
        <v>2014</v>
      </c>
      <c r="C66" t="s">
        <v>418</v>
      </c>
      <c r="D66">
        <v>48.842317000000001</v>
      </c>
    </row>
    <row r="67" spans="1:4" x14ac:dyDescent="0.45">
      <c r="A67" t="s">
        <v>321</v>
      </c>
      <c r="B67">
        <v>2015</v>
      </c>
      <c r="C67" t="s">
        <v>418</v>
      </c>
      <c r="D67">
        <v>51.635837000000002</v>
      </c>
    </row>
    <row r="68" spans="1:4" x14ac:dyDescent="0.45">
      <c r="A68" t="s">
        <v>321</v>
      </c>
      <c r="B68">
        <v>2005</v>
      </c>
      <c r="C68" t="s">
        <v>419</v>
      </c>
      <c r="D68">
        <v>13.193</v>
      </c>
    </row>
    <row r="69" spans="1:4" x14ac:dyDescent="0.45">
      <c r="A69" t="s">
        <v>321</v>
      </c>
      <c r="B69">
        <v>2006</v>
      </c>
      <c r="C69" t="s">
        <v>419</v>
      </c>
      <c r="D69">
        <v>13.513999999999999</v>
      </c>
    </row>
    <row r="70" spans="1:4" x14ac:dyDescent="0.45">
      <c r="A70" t="s">
        <v>321</v>
      </c>
      <c r="B70">
        <v>2007</v>
      </c>
      <c r="C70" t="s">
        <v>419</v>
      </c>
      <c r="D70">
        <v>13.801</v>
      </c>
    </row>
    <row r="71" spans="1:4" x14ac:dyDescent="0.45">
      <c r="A71" t="s">
        <v>321</v>
      </c>
      <c r="B71">
        <v>2008</v>
      </c>
      <c r="C71" t="s">
        <v>419</v>
      </c>
      <c r="D71">
        <v>14.103</v>
      </c>
    </row>
    <row r="72" spans="1:4" x14ac:dyDescent="0.45">
      <c r="A72" t="s">
        <v>321</v>
      </c>
      <c r="B72">
        <v>2009</v>
      </c>
      <c r="C72" t="s">
        <v>419</v>
      </c>
      <c r="D72">
        <v>14.352</v>
      </c>
    </row>
    <row r="73" spans="1:4" x14ac:dyDescent="0.45">
      <c r="A73" t="s">
        <v>321</v>
      </c>
      <c r="B73">
        <v>2010</v>
      </c>
      <c r="C73" t="s">
        <v>419</v>
      </c>
      <c r="D73">
        <v>14.596304999999999</v>
      </c>
    </row>
    <row r="74" spans="1:4" x14ac:dyDescent="0.45">
      <c r="A74" t="s">
        <v>321</v>
      </c>
      <c r="B74">
        <v>2011</v>
      </c>
      <c r="C74" t="s">
        <v>419</v>
      </c>
      <c r="D74">
        <v>14.836</v>
      </c>
    </row>
    <row r="75" spans="1:4" x14ac:dyDescent="0.45">
      <c r="A75" t="s">
        <v>321</v>
      </c>
      <c r="B75">
        <v>2012</v>
      </c>
      <c r="C75" t="s">
        <v>419</v>
      </c>
      <c r="D75">
        <v>15.139234999999999</v>
      </c>
    </row>
    <row r="76" spans="1:4" x14ac:dyDescent="0.45">
      <c r="A76" t="s">
        <v>321</v>
      </c>
      <c r="B76">
        <v>2013</v>
      </c>
      <c r="C76" t="s">
        <v>419</v>
      </c>
      <c r="D76">
        <v>15.895021</v>
      </c>
    </row>
    <row r="77" spans="1:4" x14ac:dyDescent="0.45">
      <c r="A77" t="s">
        <v>321</v>
      </c>
      <c r="B77">
        <v>2014</v>
      </c>
      <c r="C77" t="s">
        <v>419</v>
      </c>
      <c r="D77">
        <v>16.278517999999998</v>
      </c>
    </row>
    <row r="78" spans="1:4" x14ac:dyDescent="0.45">
      <c r="A78" t="s">
        <v>321</v>
      </c>
      <c r="B78">
        <v>2015</v>
      </c>
      <c r="C78" t="s">
        <v>419</v>
      </c>
      <c r="D78">
        <v>16.628401</v>
      </c>
    </row>
    <row r="79" spans="1:4" x14ac:dyDescent="0.45">
      <c r="A79" t="s">
        <v>321</v>
      </c>
      <c r="B79">
        <v>2005</v>
      </c>
      <c r="C79" t="s">
        <v>420</v>
      </c>
      <c r="D79">
        <v>18.925913524999999</v>
      </c>
    </row>
    <row r="80" spans="1:4" x14ac:dyDescent="0.45">
      <c r="A80" t="s">
        <v>321</v>
      </c>
      <c r="B80">
        <v>2006</v>
      </c>
      <c r="C80" t="s">
        <v>420</v>
      </c>
      <c r="D80">
        <v>19.892111395000001</v>
      </c>
    </row>
    <row r="81" spans="1:4" x14ac:dyDescent="0.45">
      <c r="A81" t="s">
        <v>321</v>
      </c>
      <c r="B81">
        <v>2007</v>
      </c>
      <c r="C81" t="s">
        <v>420</v>
      </c>
      <c r="D81">
        <v>21.296756030000001</v>
      </c>
    </row>
    <row r="82" spans="1:4" x14ac:dyDescent="0.45">
      <c r="A82" t="s">
        <v>321</v>
      </c>
      <c r="B82">
        <v>2008</v>
      </c>
      <c r="C82" t="s">
        <v>420</v>
      </c>
      <c r="D82">
        <v>22.91713966</v>
      </c>
    </row>
    <row r="83" spans="1:4" x14ac:dyDescent="0.45">
      <c r="A83" t="s">
        <v>321</v>
      </c>
      <c r="B83">
        <v>2009</v>
      </c>
      <c r="C83" t="s">
        <v>420</v>
      </c>
      <c r="D83">
        <v>24.814742644999999</v>
      </c>
    </row>
    <row r="84" spans="1:4" x14ac:dyDescent="0.45">
      <c r="A84" t="s">
        <v>321</v>
      </c>
      <c r="B84">
        <v>2010</v>
      </c>
      <c r="C84" t="s">
        <v>420</v>
      </c>
      <c r="D84">
        <v>26.887691905000001</v>
      </c>
    </row>
    <row r="85" spans="1:4" x14ac:dyDescent="0.45">
      <c r="A85" t="s">
        <v>321</v>
      </c>
      <c r="B85">
        <v>2011</v>
      </c>
      <c r="C85" t="s">
        <v>420</v>
      </c>
      <c r="D85">
        <v>28.945932710000001</v>
      </c>
    </row>
    <row r="86" spans="1:4" x14ac:dyDescent="0.45">
      <c r="A86" t="s">
        <v>321</v>
      </c>
      <c r="B86">
        <v>2012</v>
      </c>
      <c r="C86" t="s">
        <v>420</v>
      </c>
      <c r="D86">
        <v>31.122621939999998</v>
      </c>
    </row>
    <row r="87" spans="1:4" x14ac:dyDescent="0.45">
      <c r="A87" t="s">
        <v>321</v>
      </c>
      <c r="B87">
        <v>2013</v>
      </c>
      <c r="C87" t="s">
        <v>420</v>
      </c>
      <c r="D87">
        <v>33.091826185000002</v>
      </c>
    </row>
    <row r="88" spans="1:4" x14ac:dyDescent="0.45">
      <c r="A88" t="s">
        <v>321</v>
      </c>
      <c r="B88">
        <v>2014</v>
      </c>
      <c r="C88" t="s">
        <v>420</v>
      </c>
      <c r="D88">
        <v>34.676231829999999</v>
      </c>
    </row>
    <row r="89" spans="1:4" x14ac:dyDescent="0.45">
      <c r="A89" t="s">
        <v>321</v>
      </c>
      <c r="B89">
        <v>2015</v>
      </c>
      <c r="C89" t="s">
        <v>420</v>
      </c>
      <c r="D89">
        <v>35.471423000000001</v>
      </c>
    </row>
    <row r="90" spans="1:4" x14ac:dyDescent="0.45">
      <c r="A90" t="s">
        <v>321</v>
      </c>
      <c r="B90">
        <v>2005</v>
      </c>
      <c r="C90" t="s">
        <v>421</v>
      </c>
      <c r="D90">
        <v>18.123999999999999</v>
      </c>
    </row>
    <row r="91" spans="1:4" x14ac:dyDescent="0.45">
      <c r="A91" t="s">
        <v>321</v>
      </c>
      <c r="B91">
        <v>2006</v>
      </c>
      <c r="C91" t="s">
        <v>421</v>
      </c>
      <c r="D91">
        <v>18.739000000000001</v>
      </c>
    </row>
    <row r="92" spans="1:4" x14ac:dyDescent="0.45">
      <c r="A92" t="s">
        <v>321</v>
      </c>
      <c r="B92">
        <v>2007</v>
      </c>
      <c r="C92" t="s">
        <v>421</v>
      </c>
      <c r="D92">
        <v>19.199000000000002</v>
      </c>
    </row>
    <row r="93" spans="1:4" x14ac:dyDescent="0.45">
      <c r="A93" t="s">
        <v>321</v>
      </c>
      <c r="B93">
        <v>2008</v>
      </c>
      <c r="C93" t="s">
        <v>421</v>
      </c>
      <c r="D93">
        <v>19.613</v>
      </c>
    </row>
    <row r="94" spans="1:4" x14ac:dyDescent="0.45">
      <c r="A94" t="s">
        <v>321</v>
      </c>
      <c r="B94">
        <v>2009</v>
      </c>
      <c r="C94" t="s">
        <v>421</v>
      </c>
      <c r="D94">
        <v>19.876999999999999</v>
      </c>
    </row>
    <row r="95" spans="1:4" x14ac:dyDescent="0.45">
      <c r="A95" t="s">
        <v>321</v>
      </c>
      <c r="B95">
        <v>2010</v>
      </c>
      <c r="C95" t="s">
        <v>421</v>
      </c>
      <c r="D95">
        <v>20.268000000000001</v>
      </c>
    </row>
    <row r="96" spans="1:4" x14ac:dyDescent="0.45">
      <c r="A96" t="s">
        <v>321</v>
      </c>
      <c r="B96">
        <v>2011</v>
      </c>
      <c r="C96" t="s">
        <v>421</v>
      </c>
      <c r="D96">
        <v>20.608000000000001</v>
      </c>
    </row>
    <row r="97" spans="1:4" x14ac:dyDescent="0.45">
      <c r="A97" t="s">
        <v>321</v>
      </c>
      <c r="B97">
        <v>2012</v>
      </c>
      <c r="C97" t="s">
        <v>421</v>
      </c>
      <c r="D97">
        <v>20.652000000000001</v>
      </c>
    </row>
    <row r="98" spans="1:4" x14ac:dyDescent="0.45">
      <c r="A98" t="s">
        <v>321</v>
      </c>
      <c r="B98">
        <v>2013</v>
      </c>
      <c r="C98" t="s">
        <v>421</v>
      </c>
      <c r="D98">
        <v>21.261659999999999</v>
      </c>
    </row>
    <row r="99" spans="1:4" x14ac:dyDescent="0.45">
      <c r="A99" t="s">
        <v>321</v>
      </c>
      <c r="B99">
        <v>2014</v>
      </c>
      <c r="C99" t="s">
        <v>421</v>
      </c>
      <c r="D99">
        <v>21.729596000000001</v>
      </c>
    </row>
    <row r="100" spans="1:4" x14ac:dyDescent="0.45">
      <c r="A100" t="s">
        <v>321</v>
      </c>
      <c r="B100">
        <v>2015</v>
      </c>
      <c r="C100" t="s">
        <v>421</v>
      </c>
      <c r="D100">
        <v>22.067778000000001</v>
      </c>
    </row>
    <row r="101" spans="1:4" x14ac:dyDescent="0.45">
      <c r="A101" t="s">
        <v>321</v>
      </c>
      <c r="B101">
        <v>2005</v>
      </c>
      <c r="C101" t="s">
        <v>315</v>
      </c>
      <c r="D101">
        <v>21.693999999999999</v>
      </c>
    </row>
    <row r="102" spans="1:4" x14ac:dyDescent="0.45">
      <c r="A102" t="s">
        <v>321</v>
      </c>
      <c r="B102">
        <v>2006</v>
      </c>
      <c r="C102" t="s">
        <v>315</v>
      </c>
      <c r="D102">
        <v>26.574000000000002</v>
      </c>
    </row>
    <row r="103" spans="1:4" x14ac:dyDescent="0.45">
      <c r="A103" t="s">
        <v>321</v>
      </c>
      <c r="B103">
        <v>2007</v>
      </c>
      <c r="C103" t="s">
        <v>315</v>
      </c>
      <c r="D103">
        <v>32.35</v>
      </c>
    </row>
    <row r="104" spans="1:4" x14ac:dyDescent="0.45">
      <c r="A104" t="s">
        <v>321</v>
      </c>
      <c r="B104">
        <v>2008</v>
      </c>
      <c r="C104" t="s">
        <v>315</v>
      </c>
      <c r="D104">
        <v>38.79</v>
      </c>
    </row>
    <row r="105" spans="1:4" x14ac:dyDescent="0.45">
      <c r="A105" t="s">
        <v>321</v>
      </c>
      <c r="B105">
        <v>2009</v>
      </c>
      <c r="C105" t="s">
        <v>315</v>
      </c>
      <c r="D105">
        <v>48.863</v>
      </c>
    </row>
    <row r="106" spans="1:4" x14ac:dyDescent="0.45">
      <c r="A106" t="s">
        <v>321</v>
      </c>
      <c r="B106">
        <v>2010</v>
      </c>
      <c r="C106" t="s">
        <v>315</v>
      </c>
      <c r="D106">
        <v>62.067</v>
      </c>
    </row>
    <row r="107" spans="1:4" x14ac:dyDescent="0.45">
      <c r="A107" t="s">
        <v>321</v>
      </c>
      <c r="B107">
        <v>2011</v>
      </c>
      <c r="C107" t="s">
        <v>315</v>
      </c>
      <c r="D107">
        <v>75.302999999999997</v>
      </c>
    </row>
    <row r="108" spans="1:4" x14ac:dyDescent="0.45">
      <c r="A108" t="s">
        <v>321</v>
      </c>
      <c r="B108">
        <v>2012</v>
      </c>
      <c r="C108" t="s">
        <v>315</v>
      </c>
      <c r="D108">
        <v>87.849000000000004</v>
      </c>
    </row>
    <row r="109" spans="1:4" x14ac:dyDescent="0.45">
      <c r="A109" t="s">
        <v>321</v>
      </c>
      <c r="B109">
        <v>2013</v>
      </c>
      <c r="C109" t="s">
        <v>315</v>
      </c>
      <c r="D109">
        <v>101.854635</v>
      </c>
    </row>
    <row r="110" spans="1:4" x14ac:dyDescent="0.45">
      <c r="A110" t="s">
        <v>321</v>
      </c>
      <c r="B110">
        <v>2014</v>
      </c>
      <c r="C110" t="s">
        <v>315</v>
      </c>
      <c r="D110">
        <v>117.995017</v>
      </c>
    </row>
    <row r="111" spans="1:4" x14ac:dyDescent="0.45">
      <c r="A111" t="s">
        <v>321</v>
      </c>
      <c r="B111">
        <v>2015</v>
      </c>
      <c r="C111" t="s">
        <v>315</v>
      </c>
      <c r="D111">
        <v>136.34480300000001</v>
      </c>
    </row>
    <row r="112" spans="1:4" x14ac:dyDescent="0.45">
      <c r="A112" t="s">
        <v>321</v>
      </c>
      <c r="B112">
        <v>2005</v>
      </c>
      <c r="C112" t="s">
        <v>422</v>
      </c>
      <c r="D112">
        <v>8.5394769999999998</v>
      </c>
    </row>
    <row r="113" spans="1:4" x14ac:dyDescent="0.45">
      <c r="A113" t="s">
        <v>321</v>
      </c>
      <c r="B113">
        <v>2006</v>
      </c>
      <c r="C113" t="s">
        <v>422</v>
      </c>
      <c r="D113">
        <v>8.7172870000000007</v>
      </c>
    </row>
    <row r="114" spans="1:4" x14ac:dyDescent="0.45">
      <c r="A114" t="s">
        <v>321</v>
      </c>
      <c r="B114">
        <v>2007</v>
      </c>
      <c r="C114" t="s">
        <v>422</v>
      </c>
      <c r="D114">
        <v>8.8138799999999993</v>
      </c>
    </row>
    <row r="115" spans="1:4" x14ac:dyDescent="0.45">
      <c r="A115" t="s">
        <v>321</v>
      </c>
      <c r="B115">
        <v>2008</v>
      </c>
      <c r="C115" t="s">
        <v>422</v>
      </c>
      <c r="D115">
        <v>8.8337219999999999</v>
      </c>
    </row>
    <row r="116" spans="1:4" x14ac:dyDescent="0.45">
      <c r="A116" t="s">
        <v>321</v>
      </c>
      <c r="B116">
        <v>2009</v>
      </c>
      <c r="C116" t="s">
        <v>422</v>
      </c>
      <c r="D116">
        <v>8.8766040000000004</v>
      </c>
    </row>
    <row r="117" spans="1:4" x14ac:dyDescent="0.45">
      <c r="A117" t="s">
        <v>321</v>
      </c>
      <c r="B117">
        <v>2010</v>
      </c>
      <c r="C117" t="s">
        <v>422</v>
      </c>
      <c r="D117">
        <v>8.9902829999999998</v>
      </c>
    </row>
    <row r="118" spans="1:4" x14ac:dyDescent="0.45">
      <c r="A118" t="s">
        <v>321</v>
      </c>
      <c r="B118">
        <v>2011</v>
      </c>
      <c r="C118" t="s">
        <v>422</v>
      </c>
      <c r="D118">
        <v>9.1364959999999993</v>
      </c>
    </row>
    <row r="119" spans="1:4" x14ac:dyDescent="0.45">
      <c r="A119" t="s">
        <v>321</v>
      </c>
      <c r="B119">
        <v>2012</v>
      </c>
      <c r="C119" t="s">
        <v>422</v>
      </c>
      <c r="D119">
        <v>9.2471899999999998</v>
      </c>
    </row>
    <row r="120" spans="1:4" x14ac:dyDescent="0.45">
      <c r="A120" t="s">
        <v>321</v>
      </c>
      <c r="B120">
        <v>2013</v>
      </c>
      <c r="C120" t="s">
        <v>422</v>
      </c>
      <c r="D120">
        <v>9.3512160000000009</v>
      </c>
    </row>
    <row r="121" spans="1:4" x14ac:dyDescent="0.45">
      <c r="A121" t="s">
        <v>321</v>
      </c>
      <c r="B121">
        <v>2014</v>
      </c>
      <c r="C121" t="s">
        <v>422</v>
      </c>
      <c r="D121">
        <v>9.5025580000000005</v>
      </c>
    </row>
    <row r="122" spans="1:4" x14ac:dyDescent="0.45">
      <c r="A122" t="s">
        <v>321</v>
      </c>
      <c r="B122">
        <v>2015</v>
      </c>
      <c r="C122" t="s">
        <v>422</v>
      </c>
      <c r="D122">
        <v>9.6740639999999996</v>
      </c>
    </row>
    <row r="123" spans="1:4" x14ac:dyDescent="0.45">
      <c r="A123" t="s">
        <v>321</v>
      </c>
      <c r="B123">
        <v>2005</v>
      </c>
      <c r="C123" t="s">
        <v>423</v>
      </c>
      <c r="D123">
        <v>24.450523</v>
      </c>
    </row>
    <row r="124" spans="1:4" x14ac:dyDescent="0.45">
      <c r="A124" t="s">
        <v>321</v>
      </c>
      <c r="B124">
        <v>2006</v>
      </c>
      <c r="C124" t="s">
        <v>423</v>
      </c>
      <c r="D124">
        <v>26.000249</v>
      </c>
    </row>
    <row r="125" spans="1:4" x14ac:dyDescent="0.45">
      <c r="A125" t="s">
        <v>321</v>
      </c>
      <c r="B125">
        <v>2007</v>
      </c>
      <c r="C125" t="s">
        <v>423</v>
      </c>
      <c r="D125">
        <v>27.565572</v>
      </c>
    </row>
    <row r="126" spans="1:4" x14ac:dyDescent="0.45">
      <c r="A126" t="s">
        <v>321</v>
      </c>
      <c r="B126">
        <v>2008</v>
      </c>
      <c r="C126" t="s">
        <v>423</v>
      </c>
      <c r="D126">
        <v>29.488693000000001</v>
      </c>
    </row>
    <row r="127" spans="1:4" x14ac:dyDescent="0.45">
      <c r="A127" t="s">
        <v>321</v>
      </c>
      <c r="B127">
        <v>2009</v>
      </c>
      <c r="C127" t="s">
        <v>423</v>
      </c>
      <c r="D127">
        <v>30.024294000000001</v>
      </c>
    </row>
    <row r="128" spans="1:4" x14ac:dyDescent="0.45">
      <c r="A128" t="s">
        <v>321</v>
      </c>
      <c r="B128">
        <v>2010</v>
      </c>
      <c r="C128" t="s">
        <v>423</v>
      </c>
      <c r="D128">
        <v>30.727219000000002</v>
      </c>
    </row>
    <row r="129" spans="1:4" x14ac:dyDescent="0.45">
      <c r="A129" t="s">
        <v>321</v>
      </c>
      <c r="B129">
        <v>2011</v>
      </c>
      <c r="C129" t="s">
        <v>423</v>
      </c>
      <c r="D129">
        <v>31.616613000000001</v>
      </c>
    </row>
    <row r="130" spans="1:4" x14ac:dyDescent="0.45">
      <c r="A130" t="s">
        <v>321</v>
      </c>
      <c r="B130">
        <v>2012</v>
      </c>
      <c r="C130" t="s">
        <v>423</v>
      </c>
      <c r="D130">
        <v>32.826813999999999</v>
      </c>
    </row>
    <row r="131" spans="1:4" x14ac:dyDescent="0.45">
      <c r="A131" t="s">
        <v>321</v>
      </c>
      <c r="B131">
        <v>2013</v>
      </c>
      <c r="C131" t="s">
        <v>423</v>
      </c>
      <c r="D131">
        <v>33.758389000000001</v>
      </c>
    </row>
    <row r="132" spans="1:4" x14ac:dyDescent="0.45">
      <c r="A132" t="s">
        <v>321</v>
      </c>
      <c r="B132">
        <v>2014</v>
      </c>
      <c r="C132" t="s">
        <v>423</v>
      </c>
      <c r="D132">
        <v>34.079185000000003</v>
      </c>
    </row>
    <row r="133" spans="1:4" x14ac:dyDescent="0.45">
      <c r="A133" t="s">
        <v>321</v>
      </c>
      <c r="B133">
        <v>2015</v>
      </c>
      <c r="C133" t="s">
        <v>423</v>
      </c>
      <c r="D133">
        <v>35.232221000000003</v>
      </c>
    </row>
    <row r="134" spans="1:4" x14ac:dyDescent="0.45">
      <c r="A134" t="s">
        <v>321</v>
      </c>
      <c r="B134">
        <v>2005</v>
      </c>
      <c r="C134" t="s">
        <v>424</v>
      </c>
      <c r="D134">
        <v>13.922157</v>
      </c>
    </row>
    <row r="135" spans="1:4" x14ac:dyDescent="0.45">
      <c r="A135" t="s">
        <v>321</v>
      </c>
      <c r="B135">
        <v>2006</v>
      </c>
      <c r="C135" t="s">
        <v>424</v>
      </c>
      <c r="D135">
        <v>14.252860999999999</v>
      </c>
    </row>
    <row r="136" spans="1:4" x14ac:dyDescent="0.45">
      <c r="A136" t="s">
        <v>321</v>
      </c>
      <c r="B136">
        <v>2007</v>
      </c>
      <c r="C136" t="s">
        <v>424</v>
      </c>
      <c r="D136">
        <v>14.602900999999999</v>
      </c>
    </row>
    <row r="137" spans="1:4" x14ac:dyDescent="0.45">
      <c r="A137" t="s">
        <v>321</v>
      </c>
      <c r="B137">
        <v>2008</v>
      </c>
      <c r="C137" t="s">
        <v>424</v>
      </c>
      <c r="D137">
        <v>14.882281000000001</v>
      </c>
    </row>
    <row r="138" spans="1:4" x14ac:dyDescent="0.45">
      <c r="A138" t="s">
        <v>321</v>
      </c>
      <c r="B138">
        <v>2009</v>
      </c>
      <c r="C138" t="s">
        <v>424</v>
      </c>
      <c r="D138">
        <v>15.016429</v>
      </c>
    </row>
    <row r="139" spans="1:4" x14ac:dyDescent="0.45">
      <c r="A139" t="s">
        <v>321</v>
      </c>
      <c r="B139">
        <v>2010</v>
      </c>
      <c r="C139" t="s">
        <v>424</v>
      </c>
      <c r="D139">
        <v>15.224715</v>
      </c>
    </row>
    <row r="140" spans="1:4" x14ac:dyDescent="0.45">
      <c r="A140" t="s">
        <v>321</v>
      </c>
      <c r="B140">
        <v>2011</v>
      </c>
      <c r="C140" t="s">
        <v>424</v>
      </c>
      <c r="D140">
        <v>15.45181</v>
      </c>
    </row>
    <row r="141" spans="1:4" x14ac:dyDescent="0.45">
      <c r="A141" t="s">
        <v>321</v>
      </c>
      <c r="B141">
        <v>2012</v>
      </c>
      <c r="C141" t="s">
        <v>424</v>
      </c>
      <c r="D141">
        <v>15.547013</v>
      </c>
    </row>
    <row r="142" spans="1:4" x14ac:dyDescent="0.45">
      <c r="A142" t="s">
        <v>321</v>
      </c>
      <c r="B142">
        <v>2013</v>
      </c>
      <c r="C142" t="s">
        <v>424</v>
      </c>
      <c r="D142">
        <v>15.866707</v>
      </c>
    </row>
    <row r="143" spans="1:4" x14ac:dyDescent="0.45">
      <c r="A143" t="s">
        <v>321</v>
      </c>
      <c r="B143">
        <v>2014</v>
      </c>
      <c r="C143" t="s">
        <v>424</v>
      </c>
      <c r="D143">
        <v>16.020775</v>
      </c>
    </row>
    <row r="144" spans="1:4" x14ac:dyDescent="0.45">
      <c r="A144" t="s">
        <v>321</v>
      </c>
      <c r="B144">
        <v>2015</v>
      </c>
      <c r="C144" t="s">
        <v>424</v>
      </c>
      <c r="D144">
        <v>16.289404999999999</v>
      </c>
    </row>
    <row r="145" spans="1:4" x14ac:dyDescent="0.45">
      <c r="A145" t="s">
        <v>321</v>
      </c>
      <c r="B145">
        <v>2005</v>
      </c>
      <c r="C145" t="s">
        <v>425</v>
      </c>
      <c r="D145">
        <v>39.531129</v>
      </c>
    </row>
    <row r="146" spans="1:4" x14ac:dyDescent="0.45">
      <c r="A146" t="s">
        <v>321</v>
      </c>
      <c r="B146">
        <v>2006</v>
      </c>
      <c r="C146" t="s">
        <v>425</v>
      </c>
      <c r="D146">
        <v>40.425015999999999</v>
      </c>
    </row>
    <row r="147" spans="1:4" x14ac:dyDescent="0.45">
      <c r="A147" t="s">
        <v>321</v>
      </c>
      <c r="B147">
        <v>2007</v>
      </c>
      <c r="C147" t="s">
        <v>425</v>
      </c>
      <c r="D147">
        <v>41.107529999999997</v>
      </c>
    </row>
    <row r="148" spans="1:4" x14ac:dyDescent="0.45">
      <c r="A148" t="s">
        <v>321</v>
      </c>
      <c r="B148">
        <v>2008</v>
      </c>
      <c r="C148" t="s">
        <v>425</v>
      </c>
      <c r="D148">
        <v>41.794944000000001</v>
      </c>
    </row>
    <row r="149" spans="1:4" x14ac:dyDescent="0.45">
      <c r="A149" t="s">
        <v>321</v>
      </c>
      <c r="B149">
        <v>2009</v>
      </c>
      <c r="C149" t="s">
        <v>425</v>
      </c>
      <c r="D149">
        <v>42.191960000000002</v>
      </c>
    </row>
    <row r="150" spans="1:4" x14ac:dyDescent="0.45">
      <c r="A150" t="s">
        <v>321</v>
      </c>
      <c r="B150">
        <v>2010</v>
      </c>
      <c r="C150" t="s">
        <v>425</v>
      </c>
      <c r="D150">
        <v>42.664873</v>
      </c>
    </row>
    <row r="151" spans="1:4" x14ac:dyDescent="0.45">
      <c r="A151" t="s">
        <v>321</v>
      </c>
      <c r="B151">
        <v>2011</v>
      </c>
      <c r="C151" t="s">
        <v>425</v>
      </c>
      <c r="D151">
        <v>43.026591000000003</v>
      </c>
    </row>
    <row r="152" spans="1:4" x14ac:dyDescent="0.45">
      <c r="A152" t="s">
        <v>321</v>
      </c>
      <c r="B152">
        <v>2012</v>
      </c>
      <c r="C152" t="s">
        <v>425</v>
      </c>
      <c r="D152">
        <v>42.970168999999999</v>
      </c>
    </row>
    <row r="153" spans="1:4" x14ac:dyDescent="0.45">
      <c r="A153" t="s">
        <v>321</v>
      </c>
      <c r="B153">
        <v>2013</v>
      </c>
      <c r="C153" t="s">
        <v>425</v>
      </c>
      <c r="D153">
        <v>42.817799000000001</v>
      </c>
    </row>
    <row r="154" spans="1:4" x14ac:dyDescent="0.45">
      <c r="A154" t="s">
        <v>321</v>
      </c>
      <c r="B154">
        <v>2014</v>
      </c>
      <c r="C154" t="s">
        <v>425</v>
      </c>
      <c r="D154">
        <v>42.927397999999997</v>
      </c>
    </row>
    <row r="155" spans="1:4" x14ac:dyDescent="0.45">
      <c r="A155" t="s">
        <v>321</v>
      </c>
      <c r="B155">
        <v>2015</v>
      </c>
      <c r="C155" t="s">
        <v>425</v>
      </c>
      <c r="D155">
        <v>43.219213000000003</v>
      </c>
    </row>
    <row r="156" spans="1:4" x14ac:dyDescent="0.45">
      <c r="A156" t="s">
        <v>321</v>
      </c>
      <c r="B156">
        <v>2005</v>
      </c>
      <c r="C156" t="s">
        <v>426</v>
      </c>
      <c r="D156">
        <v>11.140781</v>
      </c>
    </row>
    <row r="157" spans="1:4" x14ac:dyDescent="0.45">
      <c r="A157" t="s">
        <v>321</v>
      </c>
      <c r="B157">
        <v>2006</v>
      </c>
      <c r="C157" t="s">
        <v>426</v>
      </c>
      <c r="D157">
        <v>10.364566999999999</v>
      </c>
    </row>
    <row r="158" spans="1:4" x14ac:dyDescent="0.45">
      <c r="A158" t="s">
        <v>321</v>
      </c>
      <c r="B158">
        <v>2007</v>
      </c>
      <c r="C158" t="s">
        <v>426</v>
      </c>
      <c r="D158">
        <v>11.159127</v>
      </c>
    </row>
    <row r="159" spans="1:4" x14ac:dyDescent="0.45">
      <c r="A159" t="s">
        <v>321</v>
      </c>
      <c r="B159">
        <v>2008</v>
      </c>
      <c r="C159" t="s">
        <v>426</v>
      </c>
      <c r="D159">
        <v>12.035263</v>
      </c>
    </row>
    <row r="160" spans="1:4" x14ac:dyDescent="0.45">
      <c r="A160" t="s">
        <v>321</v>
      </c>
      <c r="B160">
        <v>2009</v>
      </c>
      <c r="C160" t="s">
        <v>426</v>
      </c>
      <c r="D160">
        <v>12.359646</v>
      </c>
    </row>
    <row r="161" spans="1:4" x14ac:dyDescent="0.45">
      <c r="A161" t="s">
        <v>321</v>
      </c>
      <c r="B161">
        <v>2010</v>
      </c>
      <c r="C161" t="s">
        <v>426</v>
      </c>
      <c r="D161">
        <v>12.489995</v>
      </c>
    </row>
    <row r="162" spans="1:4" x14ac:dyDescent="0.45">
      <c r="A162" t="s">
        <v>321</v>
      </c>
      <c r="B162">
        <v>2011</v>
      </c>
      <c r="C162" t="s">
        <v>426</v>
      </c>
      <c r="D162">
        <v>12.588917</v>
      </c>
    </row>
    <row r="163" spans="1:4" x14ac:dyDescent="0.45">
      <c r="A163" t="s">
        <v>321</v>
      </c>
      <c r="B163">
        <v>2012</v>
      </c>
      <c r="C163" t="s">
        <v>426</v>
      </c>
      <c r="D163">
        <v>12.799029000000001</v>
      </c>
    </row>
    <row r="164" spans="1:4" x14ac:dyDescent="0.45">
      <c r="A164" t="s">
        <v>321</v>
      </c>
      <c r="B164">
        <v>2013</v>
      </c>
      <c r="C164" t="s">
        <v>426</v>
      </c>
      <c r="D164">
        <v>13.164839000000001</v>
      </c>
    </row>
    <row r="165" spans="1:4" x14ac:dyDescent="0.45">
      <c r="A165" t="s">
        <v>321</v>
      </c>
      <c r="B165">
        <v>2014</v>
      </c>
      <c r="C165" t="s">
        <v>426</v>
      </c>
      <c r="D165">
        <v>13.578645</v>
      </c>
    </row>
    <row r="166" spans="1:4" x14ac:dyDescent="0.45">
      <c r="A166" t="s">
        <v>321</v>
      </c>
      <c r="B166">
        <v>2015</v>
      </c>
      <c r="C166" t="s">
        <v>426</v>
      </c>
      <c r="D166">
        <v>14.099563</v>
      </c>
    </row>
    <row r="167" spans="1:4" x14ac:dyDescent="0.45">
      <c r="A167" t="s">
        <v>321</v>
      </c>
      <c r="B167">
        <v>2005</v>
      </c>
      <c r="C167" t="s">
        <v>427</v>
      </c>
      <c r="D167">
        <v>24.45</v>
      </c>
    </row>
    <row r="168" spans="1:4" x14ac:dyDescent="0.45">
      <c r="A168" t="s">
        <v>321</v>
      </c>
      <c r="B168">
        <v>2006</v>
      </c>
      <c r="C168" t="s">
        <v>427</v>
      </c>
      <c r="D168">
        <v>25.343</v>
      </c>
    </row>
    <row r="169" spans="1:4" x14ac:dyDescent="0.45">
      <c r="A169" t="s">
        <v>321</v>
      </c>
      <c r="B169">
        <v>2007</v>
      </c>
      <c r="C169" t="s">
        <v>427</v>
      </c>
      <c r="D169">
        <v>26.138999999999999</v>
      </c>
    </row>
    <row r="170" spans="1:4" x14ac:dyDescent="0.45">
      <c r="A170" t="s">
        <v>321</v>
      </c>
      <c r="B170">
        <v>2008</v>
      </c>
      <c r="C170" t="s">
        <v>427</v>
      </c>
      <c r="D170">
        <v>26.553000000000001</v>
      </c>
    </row>
    <row r="171" spans="1:4" x14ac:dyDescent="0.45">
      <c r="A171" t="s">
        <v>321</v>
      </c>
      <c r="B171">
        <v>2009</v>
      </c>
      <c r="C171" t="s">
        <v>427</v>
      </c>
      <c r="D171">
        <v>26.44</v>
      </c>
    </row>
    <row r="172" spans="1:4" x14ac:dyDescent="0.45">
      <c r="A172" t="s">
        <v>321</v>
      </c>
      <c r="B172">
        <v>2010</v>
      </c>
      <c r="C172" t="s">
        <v>427</v>
      </c>
      <c r="D172">
        <v>26.626999999999999</v>
      </c>
    </row>
    <row r="173" spans="1:4" x14ac:dyDescent="0.45">
      <c r="A173" t="s">
        <v>321</v>
      </c>
      <c r="B173">
        <v>2011</v>
      </c>
      <c r="C173" t="s">
        <v>427</v>
      </c>
      <c r="D173">
        <v>26.798999999999999</v>
      </c>
    </row>
    <row r="174" spans="1:4" x14ac:dyDescent="0.45">
      <c r="A174" t="s">
        <v>321</v>
      </c>
      <c r="B174">
        <v>2012</v>
      </c>
      <c r="C174" t="s">
        <v>427</v>
      </c>
      <c r="D174">
        <v>26.745000000000001</v>
      </c>
    </row>
    <row r="175" spans="1:4" x14ac:dyDescent="0.45">
      <c r="A175" t="s">
        <v>321</v>
      </c>
      <c r="B175">
        <v>2013</v>
      </c>
      <c r="C175" t="s">
        <v>427</v>
      </c>
      <c r="D175">
        <v>26.504538</v>
      </c>
    </row>
    <row r="176" spans="1:4" x14ac:dyDescent="0.45">
      <c r="A176" t="s">
        <v>321</v>
      </c>
      <c r="B176">
        <v>2014</v>
      </c>
      <c r="C176" t="s">
        <v>427</v>
      </c>
      <c r="D176">
        <v>26.525511999999999</v>
      </c>
    </row>
    <row r="177" spans="1:4" x14ac:dyDescent="0.45">
      <c r="A177" t="s">
        <v>321</v>
      </c>
      <c r="B177">
        <v>2015</v>
      </c>
      <c r="C177" t="s">
        <v>427</v>
      </c>
      <c r="D177">
        <v>26.948705</v>
      </c>
    </row>
    <row r="178" spans="1:4" x14ac:dyDescent="0.45">
      <c r="A178" t="s">
        <v>321</v>
      </c>
      <c r="B178">
        <v>2005</v>
      </c>
      <c r="C178" t="s">
        <v>428</v>
      </c>
      <c r="D178">
        <v>19.835536999999999</v>
      </c>
    </row>
    <row r="179" spans="1:4" x14ac:dyDescent="0.45">
      <c r="A179" t="s">
        <v>321</v>
      </c>
      <c r="B179">
        <v>2006</v>
      </c>
      <c r="C179" t="s">
        <v>428</v>
      </c>
      <c r="D179">
        <v>20.610371000000001</v>
      </c>
    </row>
    <row r="180" spans="1:4" x14ac:dyDescent="0.45">
      <c r="A180" t="s">
        <v>321</v>
      </c>
      <c r="B180">
        <v>2007</v>
      </c>
      <c r="C180" t="s">
        <v>428</v>
      </c>
      <c r="D180">
        <v>21.535450000000001</v>
      </c>
    </row>
    <row r="181" spans="1:4" x14ac:dyDescent="0.45">
      <c r="A181" t="s">
        <v>321</v>
      </c>
      <c r="B181">
        <v>2008</v>
      </c>
      <c r="C181" t="s">
        <v>428</v>
      </c>
      <c r="D181">
        <v>22.582678000000001</v>
      </c>
    </row>
    <row r="182" spans="1:4" x14ac:dyDescent="0.45">
      <c r="A182" t="s">
        <v>321</v>
      </c>
      <c r="B182">
        <v>2009</v>
      </c>
      <c r="C182" t="s">
        <v>428</v>
      </c>
      <c r="D182">
        <v>23.401726</v>
      </c>
    </row>
    <row r="183" spans="1:4" x14ac:dyDescent="0.45">
      <c r="A183" t="s">
        <v>321</v>
      </c>
      <c r="B183">
        <v>2010</v>
      </c>
      <c r="C183" t="s">
        <v>428</v>
      </c>
      <c r="D183">
        <v>24.335685999999999</v>
      </c>
    </row>
    <row r="184" spans="1:4" x14ac:dyDescent="0.45">
      <c r="A184" t="s">
        <v>321</v>
      </c>
      <c r="B184">
        <v>2011</v>
      </c>
      <c r="C184" t="s">
        <v>428</v>
      </c>
      <c r="D184">
        <v>25.428014999999998</v>
      </c>
    </row>
    <row r="185" spans="1:4" x14ac:dyDescent="0.45">
      <c r="A185" t="s">
        <v>321</v>
      </c>
      <c r="B185">
        <v>2012</v>
      </c>
      <c r="C185" t="s">
        <v>428</v>
      </c>
      <c r="D185">
        <v>26.228052999999999</v>
      </c>
    </row>
    <row r="186" spans="1:4" x14ac:dyDescent="0.45">
      <c r="A186" t="s">
        <v>321</v>
      </c>
      <c r="B186">
        <v>2013</v>
      </c>
      <c r="C186" t="s">
        <v>428</v>
      </c>
      <c r="D186">
        <v>27.394863000000001</v>
      </c>
    </row>
    <row r="187" spans="1:4" x14ac:dyDescent="0.45">
      <c r="A187" t="s">
        <v>321</v>
      </c>
      <c r="B187">
        <v>2014</v>
      </c>
      <c r="C187" t="s">
        <v>428</v>
      </c>
      <c r="D187">
        <v>28.431460999999999</v>
      </c>
    </row>
    <row r="188" spans="1:4" x14ac:dyDescent="0.45">
      <c r="A188" t="s">
        <v>321</v>
      </c>
      <c r="B188">
        <v>2015</v>
      </c>
      <c r="C188" t="s">
        <v>428</v>
      </c>
      <c r="D188">
        <v>29.509689999999999</v>
      </c>
    </row>
    <row r="189" spans="1:4" x14ac:dyDescent="0.45">
      <c r="A189" t="s">
        <v>321</v>
      </c>
      <c r="B189">
        <v>2005</v>
      </c>
      <c r="C189" t="s">
        <v>429</v>
      </c>
      <c r="D189">
        <v>30.1</v>
      </c>
    </row>
    <row r="190" spans="1:4" x14ac:dyDescent="0.45">
      <c r="A190" t="s">
        <v>321</v>
      </c>
      <c r="B190">
        <v>2006</v>
      </c>
      <c r="C190" t="s">
        <v>429</v>
      </c>
      <c r="D190">
        <v>30.4</v>
      </c>
    </row>
    <row r="191" spans="1:4" x14ac:dyDescent="0.45">
      <c r="A191" t="s">
        <v>321</v>
      </c>
      <c r="B191">
        <v>2007</v>
      </c>
      <c r="C191" t="s">
        <v>429</v>
      </c>
      <c r="D191">
        <v>30.7</v>
      </c>
    </row>
    <row r="192" spans="1:4" x14ac:dyDescent="0.45">
      <c r="A192" t="s">
        <v>321</v>
      </c>
      <c r="B192">
        <v>2008</v>
      </c>
      <c r="C192" t="s">
        <v>429</v>
      </c>
      <c r="D192">
        <v>30.85</v>
      </c>
    </row>
    <row r="193" spans="1:4" x14ac:dyDescent="0.45">
      <c r="A193" t="s">
        <v>321</v>
      </c>
      <c r="B193">
        <v>2009</v>
      </c>
      <c r="C193" t="s">
        <v>429</v>
      </c>
      <c r="D193">
        <v>31.05</v>
      </c>
    </row>
    <row r="194" spans="1:4" x14ac:dyDescent="0.45">
      <c r="A194" t="s">
        <v>321</v>
      </c>
      <c r="B194">
        <v>2010</v>
      </c>
      <c r="C194" t="s">
        <v>429</v>
      </c>
      <c r="D194">
        <v>31.3</v>
      </c>
    </row>
    <row r="195" spans="1:4" x14ac:dyDescent="0.45">
      <c r="A195" t="s">
        <v>321</v>
      </c>
      <c r="B195">
        <v>2011</v>
      </c>
      <c r="C195" t="s">
        <v>429</v>
      </c>
      <c r="D195">
        <v>31.55</v>
      </c>
    </row>
    <row r="196" spans="1:4" x14ac:dyDescent="0.45">
      <c r="A196" t="s">
        <v>321</v>
      </c>
      <c r="B196">
        <v>2012</v>
      </c>
      <c r="C196" t="s">
        <v>429</v>
      </c>
      <c r="D196">
        <v>31.6</v>
      </c>
    </row>
    <row r="197" spans="1:4" x14ac:dyDescent="0.45">
      <c r="A197" t="s">
        <v>321</v>
      </c>
      <c r="B197">
        <v>2013</v>
      </c>
      <c r="C197" t="s">
        <v>429</v>
      </c>
      <c r="D197">
        <v>31.65</v>
      </c>
    </row>
    <row r="198" spans="1:4" x14ac:dyDescent="0.45">
      <c r="A198" t="s">
        <v>321</v>
      </c>
      <c r="B198">
        <v>2014</v>
      </c>
      <c r="C198" t="s">
        <v>429</v>
      </c>
      <c r="D198">
        <v>31.8</v>
      </c>
    </row>
    <row r="199" spans="1:4" x14ac:dyDescent="0.45">
      <c r="A199" t="s">
        <v>321</v>
      </c>
      <c r="B199">
        <v>2015</v>
      </c>
      <c r="C199" t="s">
        <v>429</v>
      </c>
      <c r="D199">
        <v>32</v>
      </c>
    </row>
    <row r="200" spans="1:4" x14ac:dyDescent="0.45">
      <c r="A200" t="s">
        <v>321</v>
      </c>
      <c r="B200">
        <v>2005</v>
      </c>
      <c r="C200" t="s">
        <v>412</v>
      </c>
      <c r="D200">
        <v>46.09</v>
      </c>
    </row>
    <row r="201" spans="1:4" x14ac:dyDescent="0.45">
      <c r="A201" t="s">
        <v>321</v>
      </c>
      <c r="B201">
        <v>2006</v>
      </c>
      <c r="C201" t="s">
        <v>412</v>
      </c>
      <c r="D201">
        <v>46.57</v>
      </c>
    </row>
    <row r="202" spans="1:4" x14ac:dyDescent="0.45">
      <c r="A202" t="s">
        <v>321</v>
      </c>
      <c r="B202">
        <v>2007</v>
      </c>
      <c r="C202" t="s">
        <v>412</v>
      </c>
      <c r="D202">
        <v>41.183999999999997</v>
      </c>
    </row>
    <row r="203" spans="1:4" x14ac:dyDescent="0.45">
      <c r="A203" t="s">
        <v>321</v>
      </c>
      <c r="B203">
        <v>2008</v>
      </c>
      <c r="C203" t="s">
        <v>412</v>
      </c>
      <c r="D203">
        <v>41.320999999999998</v>
      </c>
    </row>
    <row r="204" spans="1:4" x14ac:dyDescent="0.45">
      <c r="A204" t="s">
        <v>321</v>
      </c>
      <c r="B204">
        <v>2009</v>
      </c>
      <c r="C204" t="s">
        <v>412</v>
      </c>
      <c r="D204">
        <v>41.738</v>
      </c>
    </row>
    <row r="205" spans="1:4" x14ac:dyDescent="0.45">
      <c r="A205" t="s">
        <v>321</v>
      </c>
      <c r="B205">
        <v>2010</v>
      </c>
      <c r="C205" t="s">
        <v>412</v>
      </c>
      <c r="D205">
        <v>42.302</v>
      </c>
    </row>
    <row r="206" spans="1:4" x14ac:dyDescent="0.45">
      <c r="A206" t="s">
        <v>321</v>
      </c>
      <c r="B206">
        <v>2011</v>
      </c>
      <c r="C206" t="s">
        <v>412</v>
      </c>
      <c r="D206">
        <v>42.927999999999997</v>
      </c>
    </row>
    <row r="207" spans="1:4" x14ac:dyDescent="0.45">
      <c r="A207" t="s">
        <v>321</v>
      </c>
      <c r="B207">
        <v>2012</v>
      </c>
      <c r="C207" t="s">
        <v>412</v>
      </c>
      <c r="D207">
        <v>43.430999999999997</v>
      </c>
    </row>
    <row r="208" spans="1:4" x14ac:dyDescent="0.45">
      <c r="A208" t="s">
        <v>321</v>
      </c>
      <c r="B208">
        <v>2013</v>
      </c>
      <c r="C208" t="s">
        <v>412</v>
      </c>
      <c r="D208">
        <v>43.851230000000001</v>
      </c>
    </row>
    <row r="209" spans="1:4" x14ac:dyDescent="0.45">
      <c r="A209" t="s">
        <v>321</v>
      </c>
      <c r="B209">
        <v>2014</v>
      </c>
      <c r="C209" t="s">
        <v>412</v>
      </c>
      <c r="D209">
        <v>44.403123999999998</v>
      </c>
    </row>
    <row r="210" spans="1:4" x14ac:dyDescent="0.45">
      <c r="A210" t="s">
        <v>321</v>
      </c>
      <c r="B210">
        <v>2015</v>
      </c>
      <c r="C210" t="s">
        <v>412</v>
      </c>
      <c r="D210">
        <v>45.071209000000003</v>
      </c>
    </row>
    <row r="211" spans="1:4" x14ac:dyDescent="0.45">
      <c r="A211" t="s">
        <v>321</v>
      </c>
      <c r="B211">
        <v>2005</v>
      </c>
      <c r="C211" t="s">
        <v>317</v>
      </c>
      <c r="D211">
        <v>7.6260000000000003</v>
      </c>
    </row>
    <row r="212" spans="1:4" x14ac:dyDescent="0.45">
      <c r="A212" t="s">
        <v>321</v>
      </c>
      <c r="B212">
        <v>2006</v>
      </c>
      <c r="C212" t="s">
        <v>317</v>
      </c>
      <c r="D212">
        <v>8.5719999999999992</v>
      </c>
    </row>
    <row r="213" spans="1:4" x14ac:dyDescent="0.45">
      <c r="A213" t="s">
        <v>321</v>
      </c>
      <c r="B213">
        <v>2007</v>
      </c>
      <c r="C213" t="s">
        <v>317</v>
      </c>
      <c r="D213">
        <v>9.4440000000000008</v>
      </c>
    </row>
    <row r="214" spans="1:4" x14ac:dyDescent="0.45">
      <c r="A214" t="s">
        <v>321</v>
      </c>
      <c r="B214">
        <v>2008</v>
      </c>
      <c r="C214" t="s">
        <v>317</v>
      </c>
      <c r="D214">
        <v>10.606</v>
      </c>
    </row>
    <row r="215" spans="1:4" x14ac:dyDescent="0.45">
      <c r="A215" t="s">
        <v>321</v>
      </c>
      <c r="B215">
        <v>2009</v>
      </c>
      <c r="C215" t="s">
        <v>317</v>
      </c>
      <c r="D215">
        <v>11.744</v>
      </c>
    </row>
    <row r="216" spans="1:4" x14ac:dyDescent="0.45">
      <c r="A216" t="s">
        <v>321</v>
      </c>
      <c r="B216">
        <v>2010</v>
      </c>
      <c r="C216" t="s">
        <v>317</v>
      </c>
      <c r="D216">
        <v>13.268000000000001</v>
      </c>
    </row>
    <row r="217" spans="1:4" x14ac:dyDescent="0.45">
      <c r="A217" t="s">
        <v>321</v>
      </c>
      <c r="B217">
        <v>2011</v>
      </c>
      <c r="C217" t="s">
        <v>317</v>
      </c>
      <c r="D217">
        <v>15.026999999999999</v>
      </c>
    </row>
    <row r="218" spans="1:4" x14ac:dyDescent="0.45">
      <c r="A218" t="s">
        <v>321</v>
      </c>
      <c r="B218">
        <v>2012</v>
      </c>
      <c r="C218" t="s">
        <v>317</v>
      </c>
      <c r="D218">
        <v>16.896000000000001</v>
      </c>
    </row>
    <row r="219" spans="1:4" x14ac:dyDescent="0.45">
      <c r="A219" t="s">
        <v>321</v>
      </c>
      <c r="B219">
        <v>2013</v>
      </c>
      <c r="C219" t="s">
        <v>317</v>
      </c>
      <c r="D219">
        <v>18.917999999999999</v>
      </c>
    </row>
    <row r="220" spans="1:4" x14ac:dyDescent="0.45">
      <c r="A220" t="s">
        <v>321</v>
      </c>
      <c r="B220">
        <v>2014</v>
      </c>
      <c r="C220" t="s">
        <v>317</v>
      </c>
      <c r="D220">
        <v>20.442</v>
      </c>
    </row>
    <row r="221" spans="1:4" x14ac:dyDescent="0.45">
      <c r="A221" t="s">
        <v>321</v>
      </c>
      <c r="B221">
        <v>2015</v>
      </c>
      <c r="C221" t="s">
        <v>317</v>
      </c>
      <c r="D221">
        <v>22.468</v>
      </c>
    </row>
    <row r="222" spans="1:4" x14ac:dyDescent="0.45">
      <c r="A222" t="s">
        <v>321</v>
      </c>
      <c r="B222">
        <v>2005</v>
      </c>
      <c r="C222" t="s">
        <v>430</v>
      </c>
      <c r="D222">
        <v>11.520078</v>
      </c>
    </row>
    <row r="223" spans="1:4" x14ac:dyDescent="0.45">
      <c r="A223" t="s">
        <v>321</v>
      </c>
      <c r="B223">
        <v>2006</v>
      </c>
      <c r="C223" t="s">
        <v>430</v>
      </c>
      <c r="D223">
        <v>12.284973000000001</v>
      </c>
    </row>
    <row r="224" spans="1:4" x14ac:dyDescent="0.45">
      <c r="A224" t="s">
        <v>321</v>
      </c>
      <c r="B224">
        <v>2007</v>
      </c>
      <c r="C224" t="s">
        <v>430</v>
      </c>
      <c r="D224">
        <v>13.176600000000001</v>
      </c>
    </row>
    <row r="225" spans="1:4" x14ac:dyDescent="0.45">
      <c r="A225" t="s">
        <v>321</v>
      </c>
      <c r="B225">
        <v>2008</v>
      </c>
      <c r="C225" t="s">
        <v>430</v>
      </c>
      <c r="D225">
        <v>14.209678</v>
      </c>
    </row>
    <row r="226" spans="1:4" x14ac:dyDescent="0.45">
      <c r="A226" t="s">
        <v>321</v>
      </c>
      <c r="B226">
        <v>2009</v>
      </c>
      <c r="C226" t="s">
        <v>430</v>
      </c>
      <c r="D226">
        <v>14.472860000000001</v>
      </c>
    </row>
    <row r="227" spans="1:4" x14ac:dyDescent="0.45">
      <c r="A227" t="s">
        <v>321</v>
      </c>
      <c r="B227">
        <v>2010</v>
      </c>
      <c r="C227" t="s">
        <v>430</v>
      </c>
      <c r="D227">
        <v>14.876384</v>
      </c>
    </row>
    <row r="228" spans="1:4" x14ac:dyDescent="0.45">
      <c r="A228" t="s">
        <v>321</v>
      </c>
      <c r="B228">
        <v>2011</v>
      </c>
      <c r="C228" t="s">
        <v>430</v>
      </c>
      <c r="D228">
        <v>15.639431999999999</v>
      </c>
    </row>
    <row r="229" spans="1:4" x14ac:dyDescent="0.45">
      <c r="A229" t="s">
        <v>321</v>
      </c>
      <c r="B229">
        <v>2012</v>
      </c>
      <c r="C229" t="s">
        <v>430</v>
      </c>
      <c r="D229">
        <v>16.46208</v>
      </c>
    </row>
    <row r="230" spans="1:4" x14ac:dyDescent="0.45">
      <c r="A230" t="s">
        <v>321</v>
      </c>
      <c r="B230">
        <v>2013</v>
      </c>
      <c r="C230" t="s">
        <v>430</v>
      </c>
      <c r="D230">
        <v>16.685293999999999</v>
      </c>
    </row>
    <row r="231" spans="1:4" x14ac:dyDescent="0.45">
      <c r="A231" t="s">
        <v>321</v>
      </c>
      <c r="B231">
        <v>2014</v>
      </c>
      <c r="C231" t="s">
        <v>430</v>
      </c>
      <c r="D231">
        <v>17.381653</v>
      </c>
    </row>
    <row r="232" spans="1:4" x14ac:dyDescent="0.45">
      <c r="A232" t="s">
        <v>321</v>
      </c>
      <c r="B232">
        <v>2015</v>
      </c>
      <c r="C232" t="s">
        <v>430</v>
      </c>
      <c r="D232">
        <v>17.922999000000001</v>
      </c>
    </row>
    <row r="233" spans="1:4" x14ac:dyDescent="0.45">
      <c r="A233" t="s">
        <v>321</v>
      </c>
      <c r="B233">
        <v>2005</v>
      </c>
      <c r="C233" t="s">
        <v>431</v>
      </c>
      <c r="D233">
        <v>14.3</v>
      </c>
    </row>
    <row r="234" spans="1:4" x14ac:dyDescent="0.45">
      <c r="A234" t="s">
        <v>321</v>
      </c>
      <c r="B234">
        <v>2006</v>
      </c>
      <c r="C234" t="s">
        <v>431</v>
      </c>
      <c r="D234">
        <v>16.411999999999999</v>
      </c>
    </row>
    <row r="235" spans="1:4" x14ac:dyDescent="0.45">
      <c r="A235" t="s">
        <v>321</v>
      </c>
      <c r="B235">
        <v>2007</v>
      </c>
      <c r="C235" t="s">
        <v>431</v>
      </c>
      <c r="D235">
        <v>17.696999999999999</v>
      </c>
    </row>
    <row r="236" spans="1:4" x14ac:dyDescent="0.45">
      <c r="A236" t="s">
        <v>321</v>
      </c>
      <c r="B236">
        <v>2008</v>
      </c>
      <c r="C236" t="s">
        <v>431</v>
      </c>
      <c r="D236">
        <v>19.420999999999999</v>
      </c>
    </row>
    <row r="237" spans="1:4" x14ac:dyDescent="0.45">
      <c r="A237" t="s">
        <v>321</v>
      </c>
      <c r="B237">
        <v>2009</v>
      </c>
      <c r="C237" t="s">
        <v>431</v>
      </c>
      <c r="D237">
        <v>20.518999999999998</v>
      </c>
    </row>
    <row r="238" spans="1:4" x14ac:dyDescent="0.45">
      <c r="A238" t="s">
        <v>321</v>
      </c>
      <c r="B238">
        <v>2010</v>
      </c>
      <c r="C238" t="s">
        <v>431</v>
      </c>
      <c r="D238">
        <v>21.152999999999999</v>
      </c>
    </row>
    <row r="239" spans="1:4" x14ac:dyDescent="0.45">
      <c r="A239" t="s">
        <v>321</v>
      </c>
      <c r="B239">
        <v>2011</v>
      </c>
      <c r="C239" t="s">
        <v>431</v>
      </c>
      <c r="D239">
        <v>22.373999999999999</v>
      </c>
    </row>
    <row r="240" spans="1:4" x14ac:dyDescent="0.45">
      <c r="A240" t="s">
        <v>321</v>
      </c>
      <c r="B240">
        <v>2012</v>
      </c>
      <c r="C240" t="s">
        <v>431</v>
      </c>
      <c r="D240">
        <v>23.57</v>
      </c>
    </row>
    <row r="241" spans="1:4" x14ac:dyDescent="0.45">
      <c r="A241" t="s">
        <v>321</v>
      </c>
      <c r="B241">
        <v>2013</v>
      </c>
      <c r="C241" t="s">
        <v>431</v>
      </c>
      <c r="D241">
        <v>24.82</v>
      </c>
    </row>
    <row r="242" spans="1:4" x14ac:dyDescent="0.45">
      <c r="A242" t="s">
        <v>321</v>
      </c>
      <c r="B242">
        <v>2014</v>
      </c>
      <c r="C242" t="s">
        <v>431</v>
      </c>
      <c r="D242">
        <v>25.543907999999998</v>
      </c>
    </row>
    <row r="243" spans="1:4" x14ac:dyDescent="0.45">
      <c r="A243" t="s">
        <v>321</v>
      </c>
      <c r="B243">
        <v>2015</v>
      </c>
      <c r="C243" t="s">
        <v>431</v>
      </c>
      <c r="D243">
        <v>26.937356000000001</v>
      </c>
    </row>
    <row r="244" spans="1:4" x14ac:dyDescent="0.45">
      <c r="A244" t="s">
        <v>321</v>
      </c>
      <c r="B244">
        <v>2005</v>
      </c>
      <c r="C244" t="s">
        <v>432</v>
      </c>
      <c r="D244">
        <v>14.902664</v>
      </c>
    </row>
    <row r="245" spans="1:4" x14ac:dyDescent="0.45">
      <c r="A245" t="s">
        <v>321</v>
      </c>
      <c r="B245">
        <v>2006</v>
      </c>
      <c r="C245" t="s">
        <v>432</v>
      </c>
      <c r="D245">
        <v>15.721219</v>
      </c>
    </row>
    <row r="246" spans="1:4" x14ac:dyDescent="0.45">
      <c r="A246" t="s">
        <v>321</v>
      </c>
      <c r="B246">
        <v>2007</v>
      </c>
      <c r="C246" t="s">
        <v>432</v>
      </c>
      <c r="D246">
        <v>16.676894999999998</v>
      </c>
    </row>
    <row r="247" spans="1:4" x14ac:dyDescent="0.45">
      <c r="A247" t="s">
        <v>321</v>
      </c>
      <c r="B247">
        <v>2008</v>
      </c>
      <c r="C247" t="s">
        <v>432</v>
      </c>
      <c r="D247">
        <v>17.986143666666699</v>
      </c>
    </row>
    <row r="248" spans="1:4" x14ac:dyDescent="0.45">
      <c r="A248" t="s">
        <v>321</v>
      </c>
      <c r="B248">
        <v>2009</v>
      </c>
      <c r="C248" t="s">
        <v>432</v>
      </c>
      <c r="D248">
        <v>18.880660333333299</v>
      </c>
    </row>
    <row r="249" spans="1:4" x14ac:dyDescent="0.45">
      <c r="A249" t="s">
        <v>321</v>
      </c>
      <c r="B249">
        <v>2010</v>
      </c>
      <c r="C249" t="s">
        <v>432</v>
      </c>
      <c r="D249">
        <v>19.947797000000001</v>
      </c>
    </row>
    <row r="250" spans="1:4" x14ac:dyDescent="0.45">
      <c r="A250" t="s">
        <v>321</v>
      </c>
      <c r="B250">
        <v>2011</v>
      </c>
      <c r="C250" t="s">
        <v>432</v>
      </c>
      <c r="D250">
        <v>22.121991000000001</v>
      </c>
    </row>
    <row r="251" spans="1:4" x14ac:dyDescent="0.45">
      <c r="A251" t="s">
        <v>321</v>
      </c>
      <c r="B251">
        <v>2012</v>
      </c>
      <c r="C251" t="s">
        <v>432</v>
      </c>
      <c r="D251">
        <v>24.065127</v>
      </c>
    </row>
    <row r="252" spans="1:4" x14ac:dyDescent="0.45">
      <c r="A252" t="s">
        <v>321</v>
      </c>
      <c r="B252">
        <v>2013</v>
      </c>
      <c r="C252" t="s">
        <v>432</v>
      </c>
      <c r="D252">
        <v>25.967972</v>
      </c>
    </row>
    <row r="253" spans="1:4" x14ac:dyDescent="0.45">
      <c r="A253" t="s">
        <v>321</v>
      </c>
      <c r="B253">
        <v>2014</v>
      </c>
      <c r="C253" t="s">
        <v>432</v>
      </c>
      <c r="D253">
        <v>27.695111000000001</v>
      </c>
    </row>
    <row r="254" spans="1:4" x14ac:dyDescent="0.45">
      <c r="A254" t="s">
        <v>321</v>
      </c>
      <c r="B254">
        <v>2015</v>
      </c>
      <c r="C254" t="s">
        <v>432</v>
      </c>
      <c r="D254">
        <v>29.563624999999998</v>
      </c>
    </row>
    <row r="255" spans="1:4" x14ac:dyDescent="0.45">
      <c r="A255" t="s">
        <v>321</v>
      </c>
      <c r="B255">
        <v>2005</v>
      </c>
      <c r="C255" t="s">
        <v>433</v>
      </c>
      <c r="D255">
        <v>2.2160000000000002</v>
      </c>
    </row>
    <row r="256" spans="1:4" x14ac:dyDescent="0.45">
      <c r="A256" t="s">
        <v>321</v>
      </c>
      <c r="B256">
        <v>2006</v>
      </c>
      <c r="C256" t="s">
        <v>433</v>
      </c>
      <c r="D256">
        <v>2.282</v>
      </c>
    </row>
    <row r="257" spans="1:4" x14ac:dyDescent="0.45">
      <c r="A257" t="s">
        <v>321</v>
      </c>
      <c r="B257">
        <v>2007</v>
      </c>
      <c r="C257" t="s">
        <v>433</v>
      </c>
      <c r="D257">
        <v>2.363</v>
      </c>
    </row>
    <row r="258" spans="1:4" x14ac:dyDescent="0.45">
      <c r="A258" t="s">
        <v>321</v>
      </c>
      <c r="B258">
        <v>2008</v>
      </c>
      <c r="C258" t="s">
        <v>433</v>
      </c>
      <c r="D258">
        <v>2.4079999999999999</v>
      </c>
    </row>
    <row r="259" spans="1:4" x14ac:dyDescent="0.45">
      <c r="A259" t="s">
        <v>321</v>
      </c>
      <c r="B259">
        <v>2009</v>
      </c>
      <c r="C259" t="s">
        <v>433</v>
      </c>
      <c r="D259">
        <v>2.448</v>
      </c>
    </row>
    <row r="260" spans="1:4" x14ac:dyDescent="0.45">
      <c r="A260" t="s">
        <v>321</v>
      </c>
      <c r="B260">
        <v>2010</v>
      </c>
      <c r="C260" t="s">
        <v>433</v>
      </c>
      <c r="D260">
        <v>2.5099999999999998</v>
      </c>
    </row>
    <row r="261" spans="1:4" x14ac:dyDescent="0.45">
      <c r="A261" t="s">
        <v>321</v>
      </c>
      <c r="B261">
        <v>2011</v>
      </c>
      <c r="C261" t="s">
        <v>433</v>
      </c>
      <c r="D261">
        <v>2.5761120000000002</v>
      </c>
    </row>
    <row r="262" spans="1:4" x14ac:dyDescent="0.45">
      <c r="A262" t="s">
        <v>321</v>
      </c>
      <c r="B262">
        <v>2012</v>
      </c>
      <c r="C262" t="s">
        <v>433</v>
      </c>
      <c r="D262">
        <v>2.6430699999999998</v>
      </c>
    </row>
    <row r="263" spans="1:4" x14ac:dyDescent="0.45">
      <c r="A263" t="s">
        <v>321</v>
      </c>
      <c r="B263">
        <v>2013</v>
      </c>
      <c r="C263" t="s">
        <v>433</v>
      </c>
      <c r="D263">
        <v>2.700466</v>
      </c>
    </row>
    <row r="264" spans="1:4" x14ac:dyDescent="0.45">
      <c r="A264" t="s">
        <v>321</v>
      </c>
      <c r="B264">
        <v>2014</v>
      </c>
      <c r="C264" t="s">
        <v>433</v>
      </c>
      <c r="D264">
        <v>2.7570060000000001</v>
      </c>
    </row>
    <row r="265" spans="1:4" x14ac:dyDescent="0.45">
      <c r="A265" t="s">
        <v>321</v>
      </c>
      <c r="B265">
        <v>2015</v>
      </c>
      <c r="C265" t="s">
        <v>433</v>
      </c>
      <c r="D265">
        <v>2.818711</v>
      </c>
    </row>
    <row r="266" spans="1:4" x14ac:dyDescent="0.45">
      <c r="A266" t="s">
        <v>321</v>
      </c>
      <c r="B266">
        <v>2005</v>
      </c>
      <c r="C266" t="s">
        <v>316</v>
      </c>
      <c r="D266">
        <v>25.57</v>
      </c>
    </row>
    <row r="267" spans="1:4" x14ac:dyDescent="0.45">
      <c r="A267" t="s">
        <v>321</v>
      </c>
      <c r="B267">
        <v>2006</v>
      </c>
      <c r="C267" t="s">
        <v>316</v>
      </c>
      <c r="D267">
        <v>26.794</v>
      </c>
    </row>
    <row r="268" spans="1:4" x14ac:dyDescent="0.45">
      <c r="A268" t="s">
        <v>321</v>
      </c>
      <c r="B268">
        <v>2007</v>
      </c>
      <c r="C268" t="s">
        <v>316</v>
      </c>
      <c r="D268">
        <v>29.405000000000001</v>
      </c>
    </row>
    <row r="269" spans="1:4" x14ac:dyDescent="0.45">
      <c r="A269" t="s">
        <v>321</v>
      </c>
      <c r="B269">
        <v>2008</v>
      </c>
      <c r="C269" t="s">
        <v>316</v>
      </c>
      <c r="D269">
        <v>32.021000000000001</v>
      </c>
    </row>
    <row r="270" spans="1:4" x14ac:dyDescent="0.45">
      <c r="A270" t="s">
        <v>321</v>
      </c>
      <c r="B270">
        <v>2009</v>
      </c>
      <c r="C270" t="s">
        <v>316</v>
      </c>
      <c r="D270">
        <v>33.084000000000003</v>
      </c>
    </row>
    <row r="271" spans="1:4" x14ac:dyDescent="0.45">
      <c r="A271" t="s">
        <v>321</v>
      </c>
      <c r="B271">
        <v>2010</v>
      </c>
      <c r="C271" t="s">
        <v>316</v>
      </c>
      <c r="D271">
        <v>34.353999999999999</v>
      </c>
    </row>
    <row r="272" spans="1:4" x14ac:dyDescent="0.45">
      <c r="A272" t="s">
        <v>321</v>
      </c>
      <c r="B272">
        <v>2011</v>
      </c>
      <c r="C272" t="s">
        <v>316</v>
      </c>
      <c r="D272">
        <v>36.414999999999999</v>
      </c>
    </row>
    <row r="273" spans="1:4" x14ac:dyDescent="0.45">
      <c r="A273" t="s">
        <v>321</v>
      </c>
      <c r="B273">
        <v>2012</v>
      </c>
      <c r="C273" t="s">
        <v>316</v>
      </c>
      <c r="D273">
        <v>38.481999999999999</v>
      </c>
    </row>
    <row r="274" spans="1:4" x14ac:dyDescent="0.45">
      <c r="A274" t="s">
        <v>321</v>
      </c>
      <c r="B274">
        <v>2013</v>
      </c>
      <c r="C274" t="s">
        <v>316</v>
      </c>
      <c r="D274">
        <v>41.224527000000002</v>
      </c>
    </row>
    <row r="275" spans="1:4" x14ac:dyDescent="0.45">
      <c r="A275" t="s">
        <v>321</v>
      </c>
      <c r="B275">
        <v>2014</v>
      </c>
      <c r="C275" t="s">
        <v>316</v>
      </c>
      <c r="D275">
        <v>43.383783000000001</v>
      </c>
    </row>
    <row r="276" spans="1:4" x14ac:dyDescent="0.45">
      <c r="A276" t="s">
        <v>321</v>
      </c>
      <c r="B276">
        <v>2015</v>
      </c>
      <c r="C276" t="s">
        <v>316</v>
      </c>
      <c r="D276">
        <v>44.253107999999997</v>
      </c>
    </row>
    <row r="277" spans="1:4" x14ac:dyDescent="0.45">
      <c r="A277" t="s">
        <v>321</v>
      </c>
      <c r="B277">
        <v>2005</v>
      </c>
      <c r="C277" t="s">
        <v>434</v>
      </c>
      <c r="D277">
        <v>2.16</v>
      </c>
    </row>
    <row r="278" spans="1:4" x14ac:dyDescent="0.45">
      <c r="A278" t="s">
        <v>321</v>
      </c>
      <c r="B278">
        <v>2006</v>
      </c>
      <c r="C278" t="s">
        <v>434</v>
      </c>
      <c r="D278">
        <v>2.29</v>
      </c>
    </row>
    <row r="279" spans="1:4" x14ac:dyDescent="0.45">
      <c r="A279" t="s">
        <v>321</v>
      </c>
      <c r="B279">
        <v>2007</v>
      </c>
      <c r="C279" t="s">
        <v>434</v>
      </c>
      <c r="D279">
        <v>2.4500000000000002</v>
      </c>
    </row>
    <row r="280" spans="1:4" x14ac:dyDescent="0.45">
      <c r="A280" t="s">
        <v>321</v>
      </c>
      <c r="B280">
        <v>2008</v>
      </c>
      <c r="C280" t="s">
        <v>434</v>
      </c>
      <c r="D280">
        <v>2.62</v>
      </c>
    </row>
    <row r="281" spans="1:4" x14ac:dyDescent="0.45">
      <c r="A281" t="s">
        <v>321</v>
      </c>
      <c r="B281">
        <v>2009</v>
      </c>
      <c r="C281" t="s">
        <v>434</v>
      </c>
      <c r="D281">
        <v>2.83</v>
      </c>
    </row>
    <row r="282" spans="1:4" x14ac:dyDescent="0.45">
      <c r="A282" t="s">
        <v>321</v>
      </c>
      <c r="B282">
        <v>2010</v>
      </c>
      <c r="C282" t="s">
        <v>434</v>
      </c>
      <c r="D282">
        <v>3.11</v>
      </c>
    </row>
    <row r="283" spans="1:4" x14ac:dyDescent="0.45">
      <c r="A283" t="s">
        <v>321</v>
      </c>
      <c r="B283">
        <v>2011</v>
      </c>
      <c r="C283" t="s">
        <v>434</v>
      </c>
      <c r="D283">
        <v>3.41</v>
      </c>
    </row>
    <row r="284" spans="1:4" x14ac:dyDescent="0.45">
      <c r="A284" t="s">
        <v>321</v>
      </c>
      <c r="B284">
        <v>2012</v>
      </c>
      <c r="C284" t="s">
        <v>434</v>
      </c>
      <c r="D284">
        <v>3.6890000000000001</v>
      </c>
    </row>
    <row r="285" spans="1:4" x14ac:dyDescent="0.45">
      <c r="A285" t="s">
        <v>321</v>
      </c>
      <c r="B285">
        <v>2013</v>
      </c>
      <c r="C285" t="s">
        <v>434</v>
      </c>
      <c r="D285">
        <v>3.8675000000000002</v>
      </c>
    </row>
    <row r="286" spans="1:4" x14ac:dyDescent="0.45">
      <c r="A286" t="s">
        <v>321</v>
      </c>
      <c r="B286">
        <v>2014</v>
      </c>
      <c r="C286" t="s">
        <v>434</v>
      </c>
      <c r="D286">
        <v>4.1100000000000003</v>
      </c>
    </row>
    <row r="287" spans="1:4" x14ac:dyDescent="0.45">
      <c r="A287" t="s">
        <v>321</v>
      </c>
      <c r="B287">
        <v>2015</v>
      </c>
      <c r="C287" t="s">
        <v>434</v>
      </c>
      <c r="D287">
        <v>4.4000000000000004</v>
      </c>
    </row>
    <row r="288" spans="1:4" x14ac:dyDescent="0.45">
      <c r="A288" t="s">
        <v>321</v>
      </c>
      <c r="B288">
        <v>2005</v>
      </c>
      <c r="C288" t="s">
        <v>435</v>
      </c>
      <c r="D288">
        <v>4.5750000000000002</v>
      </c>
    </row>
    <row r="289" spans="1:4" x14ac:dyDescent="0.45">
      <c r="A289" t="s">
        <v>321</v>
      </c>
      <c r="B289">
        <v>2006</v>
      </c>
      <c r="C289" t="s">
        <v>435</v>
      </c>
      <c r="D289">
        <v>4.8899999999999997</v>
      </c>
    </row>
    <row r="290" spans="1:4" x14ac:dyDescent="0.45">
      <c r="A290" t="s">
        <v>321</v>
      </c>
      <c r="B290">
        <v>2007</v>
      </c>
      <c r="C290" t="s">
        <v>435</v>
      </c>
      <c r="D290">
        <v>5.1609999999999996</v>
      </c>
    </row>
    <row r="291" spans="1:4" x14ac:dyDescent="0.45">
      <c r="A291" t="s">
        <v>321</v>
      </c>
      <c r="B291">
        <v>2008</v>
      </c>
      <c r="C291" t="s">
        <v>435</v>
      </c>
      <c r="D291">
        <v>5.2759999999999998</v>
      </c>
    </row>
    <row r="292" spans="1:4" x14ac:dyDescent="0.45">
      <c r="A292" t="s">
        <v>321</v>
      </c>
      <c r="B292">
        <v>2009</v>
      </c>
      <c r="C292" t="s">
        <v>435</v>
      </c>
      <c r="D292">
        <v>5.4109999999999996</v>
      </c>
    </row>
    <row r="293" spans="1:4" x14ac:dyDescent="0.45">
      <c r="A293" t="s">
        <v>321</v>
      </c>
      <c r="B293">
        <v>2010</v>
      </c>
      <c r="C293" t="s">
        <v>435</v>
      </c>
      <c r="D293">
        <v>5.3190689999999998</v>
      </c>
    </row>
    <row r="294" spans="1:4" x14ac:dyDescent="0.45">
      <c r="A294" t="s">
        <v>321</v>
      </c>
      <c r="B294">
        <v>2011</v>
      </c>
      <c r="C294" t="s">
        <v>435</v>
      </c>
      <c r="D294">
        <v>5.5069220000000003</v>
      </c>
    </row>
    <row r="295" spans="1:4" x14ac:dyDescent="0.45">
      <c r="A295" t="s">
        <v>321</v>
      </c>
      <c r="B295">
        <v>2012</v>
      </c>
      <c r="C295" t="s">
        <v>435</v>
      </c>
      <c r="D295">
        <v>5.733314</v>
      </c>
    </row>
    <row r="296" spans="1:4" x14ac:dyDescent="0.45">
      <c r="A296" t="s">
        <v>321</v>
      </c>
      <c r="B296">
        <v>2013</v>
      </c>
      <c r="C296" t="s">
        <v>435</v>
      </c>
      <c r="D296">
        <v>5.9672219999999996</v>
      </c>
    </row>
    <row r="297" spans="1:4" x14ac:dyDescent="0.45">
      <c r="A297" t="s">
        <v>321</v>
      </c>
      <c r="B297">
        <v>2014</v>
      </c>
      <c r="C297" t="s">
        <v>435</v>
      </c>
      <c r="D297">
        <v>6.1883319999999999</v>
      </c>
    </row>
    <row r="298" spans="1:4" x14ac:dyDescent="0.45">
      <c r="A298" t="s">
        <v>321</v>
      </c>
      <c r="B298">
        <v>2015</v>
      </c>
      <c r="C298" t="s">
        <v>435</v>
      </c>
      <c r="D298">
        <v>6.383756</v>
      </c>
    </row>
    <row r="299" spans="1:4" x14ac:dyDescent="0.45">
      <c r="A299" t="s">
        <v>321</v>
      </c>
      <c r="B299">
        <v>2005</v>
      </c>
      <c r="C299" t="s">
        <v>436</v>
      </c>
      <c r="D299">
        <v>30.477058</v>
      </c>
    </row>
    <row r="300" spans="1:4" x14ac:dyDescent="0.45">
      <c r="A300" t="s">
        <v>321</v>
      </c>
      <c r="B300">
        <v>2006</v>
      </c>
      <c r="C300" t="s">
        <v>436</v>
      </c>
      <c r="D300">
        <v>30.817036000000002</v>
      </c>
    </row>
    <row r="301" spans="1:4" x14ac:dyDescent="0.45">
      <c r="A301" t="s">
        <v>321</v>
      </c>
      <c r="B301">
        <v>2007</v>
      </c>
      <c r="C301" t="s">
        <v>436</v>
      </c>
      <c r="D301">
        <v>31.105988</v>
      </c>
    </row>
    <row r="302" spans="1:4" x14ac:dyDescent="0.45">
      <c r="A302" t="s">
        <v>321</v>
      </c>
      <c r="B302">
        <v>2008</v>
      </c>
      <c r="C302" t="s">
        <v>436</v>
      </c>
      <c r="D302">
        <v>31.252476000000001</v>
      </c>
    </row>
    <row r="303" spans="1:4" x14ac:dyDescent="0.45">
      <c r="A303" t="s">
        <v>321</v>
      </c>
      <c r="B303">
        <v>2009</v>
      </c>
      <c r="C303" t="s">
        <v>436</v>
      </c>
      <c r="D303">
        <v>31.035791</v>
      </c>
    </row>
    <row r="304" spans="1:4" x14ac:dyDescent="0.45">
      <c r="A304" t="s">
        <v>321</v>
      </c>
      <c r="B304">
        <v>2010</v>
      </c>
      <c r="C304" t="s">
        <v>436</v>
      </c>
      <c r="D304">
        <v>31.258196999999999</v>
      </c>
    </row>
    <row r="305" spans="1:4" x14ac:dyDescent="0.45">
      <c r="A305" t="s">
        <v>321</v>
      </c>
      <c r="B305">
        <v>2011</v>
      </c>
      <c r="C305" t="s">
        <v>436</v>
      </c>
      <c r="D305">
        <v>31.362715999999999</v>
      </c>
    </row>
    <row r="306" spans="1:4" x14ac:dyDescent="0.45">
      <c r="A306" t="s">
        <v>321</v>
      </c>
      <c r="B306">
        <v>2012</v>
      </c>
      <c r="C306" t="s">
        <v>436</v>
      </c>
      <c r="D306">
        <v>31.481999999999999</v>
      </c>
    </row>
    <row r="307" spans="1:4" x14ac:dyDescent="0.45">
      <c r="A307" t="s">
        <v>321</v>
      </c>
      <c r="B307">
        <v>2013</v>
      </c>
      <c r="C307" t="s">
        <v>436</v>
      </c>
      <c r="D307">
        <v>32.103000000000002</v>
      </c>
    </row>
    <row r="308" spans="1:4" x14ac:dyDescent="0.45">
      <c r="A308" t="s">
        <v>321</v>
      </c>
      <c r="B308">
        <v>2014</v>
      </c>
      <c r="C308" t="s">
        <v>436</v>
      </c>
      <c r="D308">
        <v>32.612782000000003</v>
      </c>
    </row>
    <row r="309" spans="1:4" x14ac:dyDescent="0.45">
      <c r="A309" t="s">
        <v>321</v>
      </c>
      <c r="B309">
        <v>2015</v>
      </c>
      <c r="C309" t="s">
        <v>436</v>
      </c>
      <c r="D309">
        <v>33.542448</v>
      </c>
    </row>
    <row r="310" spans="1:4" x14ac:dyDescent="0.45">
      <c r="A310" t="s">
        <v>321</v>
      </c>
      <c r="B310">
        <v>2005</v>
      </c>
      <c r="C310" t="s">
        <v>5</v>
      </c>
      <c r="D310">
        <v>132.90899999999999</v>
      </c>
    </row>
    <row r="311" spans="1:4" x14ac:dyDescent="0.45">
      <c r="A311" t="s">
        <v>321</v>
      </c>
      <c r="B311">
        <v>2006</v>
      </c>
      <c r="C311" t="s">
        <v>5</v>
      </c>
      <c r="D311">
        <v>135.047</v>
      </c>
    </row>
    <row r="312" spans="1:4" x14ac:dyDescent="0.45">
      <c r="A312" t="s">
        <v>321</v>
      </c>
      <c r="B312">
        <v>2007</v>
      </c>
      <c r="C312" t="s">
        <v>5</v>
      </c>
      <c r="D312">
        <v>135.22200000000001</v>
      </c>
    </row>
    <row r="313" spans="1:4" x14ac:dyDescent="0.45">
      <c r="A313" t="s">
        <v>321</v>
      </c>
      <c r="B313">
        <v>2008</v>
      </c>
      <c r="C313" t="s">
        <v>5</v>
      </c>
      <c r="D313">
        <v>135.88200000000001</v>
      </c>
    </row>
    <row r="314" spans="1:4" x14ac:dyDescent="0.45">
      <c r="A314" t="s">
        <v>321</v>
      </c>
      <c r="B314">
        <v>2009</v>
      </c>
      <c r="C314" t="s">
        <v>5</v>
      </c>
      <c r="D314">
        <v>132.5</v>
      </c>
    </row>
    <row r="315" spans="1:4" x14ac:dyDescent="0.45">
      <c r="A315" t="s">
        <v>321</v>
      </c>
      <c r="B315">
        <v>2010</v>
      </c>
      <c r="C315" t="s">
        <v>5</v>
      </c>
      <c r="D315">
        <v>129.053</v>
      </c>
    </row>
    <row r="316" spans="1:4" x14ac:dyDescent="0.45">
      <c r="A316" t="s">
        <v>321</v>
      </c>
      <c r="B316">
        <v>2011</v>
      </c>
      <c r="C316" t="s">
        <v>5</v>
      </c>
      <c r="D316">
        <v>127.577</v>
      </c>
    </row>
    <row r="317" spans="1:4" x14ac:dyDescent="0.45">
      <c r="A317" t="s">
        <v>321</v>
      </c>
      <c r="B317">
        <v>2012</v>
      </c>
      <c r="C317" t="s">
        <v>5</v>
      </c>
      <c r="D317">
        <v>120.901628</v>
      </c>
    </row>
    <row r="318" spans="1:4" x14ac:dyDescent="0.45">
      <c r="A318" t="s">
        <v>321</v>
      </c>
      <c r="B318">
        <v>2013</v>
      </c>
      <c r="C318" t="s">
        <v>5</v>
      </c>
      <c r="D318">
        <v>120.213973</v>
      </c>
    </row>
    <row r="319" spans="1:4" x14ac:dyDescent="0.45">
      <c r="A319" t="s">
        <v>321</v>
      </c>
      <c r="B319">
        <v>2014</v>
      </c>
      <c r="C319" t="s">
        <v>5</v>
      </c>
      <c r="D319">
        <v>120.983811</v>
      </c>
    </row>
    <row r="320" spans="1:4" x14ac:dyDescent="0.45">
      <c r="A320" t="s">
        <v>321</v>
      </c>
      <c r="B320">
        <v>2015</v>
      </c>
      <c r="C320" t="s">
        <v>5</v>
      </c>
      <c r="D320">
        <v>122.321991</v>
      </c>
    </row>
    <row r="321" spans="1:4" x14ac:dyDescent="0.45">
      <c r="A321" t="s">
        <v>322</v>
      </c>
      <c r="B321">
        <v>2005</v>
      </c>
      <c r="C321" t="s">
        <v>413</v>
      </c>
      <c r="D321">
        <v>2.8679999999999999</v>
      </c>
    </row>
    <row r="322" spans="1:4" x14ac:dyDescent="0.45">
      <c r="A322" t="s">
        <v>322</v>
      </c>
      <c r="B322">
        <v>2006</v>
      </c>
      <c r="C322" t="s">
        <v>413</v>
      </c>
      <c r="D322">
        <v>2.9976430000000001</v>
      </c>
    </row>
    <row r="323" spans="1:4" x14ac:dyDescent="0.45">
      <c r="A323" t="s">
        <v>322</v>
      </c>
      <c r="B323">
        <v>2007</v>
      </c>
      <c r="C323" t="s">
        <v>413</v>
      </c>
      <c r="D323">
        <v>3.1997300000000002</v>
      </c>
    </row>
    <row r="324" spans="1:4" x14ac:dyDescent="0.45">
      <c r="A324" t="s">
        <v>322</v>
      </c>
      <c r="B324">
        <v>2008</v>
      </c>
      <c r="C324" t="s">
        <v>413</v>
      </c>
      <c r="D324">
        <v>3.5495649999999999</v>
      </c>
    </row>
    <row r="325" spans="1:4" x14ac:dyDescent="0.45">
      <c r="A325" t="s">
        <v>322</v>
      </c>
      <c r="B325">
        <v>2009</v>
      </c>
      <c r="C325" t="s">
        <v>413</v>
      </c>
      <c r="D325">
        <v>3.7944529999999999</v>
      </c>
    </row>
    <row r="326" spans="1:4" x14ac:dyDescent="0.45">
      <c r="A326" t="s">
        <v>322</v>
      </c>
      <c r="B326">
        <v>2010</v>
      </c>
      <c r="C326" t="s">
        <v>413</v>
      </c>
      <c r="D326">
        <v>3.9928439999999998</v>
      </c>
    </row>
    <row r="327" spans="1:4" x14ac:dyDescent="0.45">
      <c r="A327" t="s">
        <v>322</v>
      </c>
      <c r="B327">
        <v>2011</v>
      </c>
      <c r="C327" t="s">
        <v>413</v>
      </c>
      <c r="D327">
        <v>4.1577570000000001</v>
      </c>
    </row>
    <row r="328" spans="1:4" x14ac:dyDescent="0.45">
      <c r="A328" t="s">
        <v>322</v>
      </c>
      <c r="B328">
        <v>2012</v>
      </c>
      <c r="C328" t="s">
        <v>413</v>
      </c>
      <c r="D328">
        <v>4.4210079999999996</v>
      </c>
    </row>
    <row r="329" spans="1:4" x14ac:dyDescent="0.45">
      <c r="A329" t="s">
        <v>322</v>
      </c>
      <c r="B329">
        <v>2013</v>
      </c>
      <c r="C329" t="s">
        <v>413</v>
      </c>
      <c r="D329">
        <v>4.6194930000000003</v>
      </c>
    </row>
    <row r="330" spans="1:4" x14ac:dyDescent="0.45">
      <c r="A330" t="s">
        <v>322</v>
      </c>
      <c r="B330">
        <v>2014</v>
      </c>
      <c r="C330" t="s">
        <v>413</v>
      </c>
      <c r="D330">
        <v>4.8339270000000001</v>
      </c>
    </row>
    <row r="331" spans="1:4" x14ac:dyDescent="0.45">
      <c r="A331" t="s">
        <v>322</v>
      </c>
      <c r="B331">
        <v>2015</v>
      </c>
      <c r="C331" t="s">
        <v>413</v>
      </c>
      <c r="D331">
        <v>5.2694720000000004</v>
      </c>
    </row>
    <row r="332" spans="1:4" x14ac:dyDescent="0.45">
      <c r="A332" t="s">
        <v>322</v>
      </c>
      <c r="B332">
        <v>2005</v>
      </c>
      <c r="C332" t="s">
        <v>414</v>
      </c>
      <c r="D332">
        <v>3.34293</v>
      </c>
    </row>
    <row r="333" spans="1:4" x14ac:dyDescent="0.45">
      <c r="A333" t="s">
        <v>322</v>
      </c>
      <c r="B333">
        <v>2006</v>
      </c>
      <c r="C333" t="s">
        <v>414</v>
      </c>
      <c r="D333">
        <v>3.513242</v>
      </c>
    </row>
    <row r="334" spans="1:4" x14ac:dyDescent="0.45">
      <c r="A334" t="s">
        <v>322</v>
      </c>
      <c r="B334">
        <v>2007</v>
      </c>
      <c r="C334" t="s">
        <v>414</v>
      </c>
      <c r="D334">
        <v>3.8583750000000001</v>
      </c>
    </row>
    <row r="335" spans="1:4" x14ac:dyDescent="0.45">
      <c r="A335" t="s">
        <v>322</v>
      </c>
      <c r="B335">
        <v>2008</v>
      </c>
      <c r="C335" t="s">
        <v>414</v>
      </c>
      <c r="D335">
        <v>4.3895970000000002</v>
      </c>
    </row>
    <row r="336" spans="1:4" x14ac:dyDescent="0.45">
      <c r="A336" t="s">
        <v>322</v>
      </c>
      <c r="B336">
        <v>2009</v>
      </c>
      <c r="C336" t="s">
        <v>414</v>
      </c>
      <c r="D336">
        <v>4.5615139999999998</v>
      </c>
    </row>
    <row r="337" spans="1:4" x14ac:dyDescent="0.45">
      <c r="A337" t="s">
        <v>322</v>
      </c>
      <c r="B337">
        <v>2010</v>
      </c>
      <c r="C337" t="s">
        <v>414</v>
      </c>
      <c r="D337">
        <v>4.6867809999999999</v>
      </c>
    </row>
    <row r="338" spans="1:4" x14ac:dyDescent="0.45">
      <c r="A338" t="s">
        <v>322</v>
      </c>
      <c r="B338">
        <v>2011</v>
      </c>
      <c r="C338" t="s">
        <v>414</v>
      </c>
      <c r="D338">
        <v>4.8195699999999997</v>
      </c>
    </row>
    <row r="339" spans="1:4" x14ac:dyDescent="0.45">
      <c r="A339" t="s">
        <v>322</v>
      </c>
      <c r="B339">
        <v>2012</v>
      </c>
      <c r="C339" t="s">
        <v>414</v>
      </c>
      <c r="D339">
        <v>4.9413140000000002</v>
      </c>
    </row>
    <row r="340" spans="1:4" x14ac:dyDescent="0.45">
      <c r="A340" t="s">
        <v>322</v>
      </c>
      <c r="B340">
        <v>2013</v>
      </c>
      <c r="C340" t="s">
        <v>414</v>
      </c>
      <c r="D340">
        <v>5.1137920000000001</v>
      </c>
    </row>
    <row r="341" spans="1:4" x14ac:dyDescent="0.45">
      <c r="A341" t="s">
        <v>322</v>
      </c>
      <c r="B341">
        <v>2014</v>
      </c>
      <c r="C341" t="s">
        <v>414</v>
      </c>
      <c r="D341">
        <v>5.3239979999999996</v>
      </c>
    </row>
    <row r="342" spans="1:4" x14ac:dyDescent="0.45">
      <c r="A342" t="s">
        <v>322</v>
      </c>
      <c r="B342">
        <v>2015</v>
      </c>
      <c r="C342" t="s">
        <v>414</v>
      </c>
      <c r="D342">
        <v>5.5067769999999996</v>
      </c>
    </row>
    <row r="343" spans="1:4" x14ac:dyDescent="0.45">
      <c r="A343" t="s">
        <v>322</v>
      </c>
      <c r="B343">
        <v>2005</v>
      </c>
      <c r="C343" t="s">
        <v>415</v>
      </c>
      <c r="D343">
        <v>2.59</v>
      </c>
    </row>
    <row r="344" spans="1:4" x14ac:dyDescent="0.45">
      <c r="A344" t="s">
        <v>322</v>
      </c>
      <c r="B344">
        <v>2006</v>
      </c>
      <c r="C344" t="s">
        <v>415</v>
      </c>
      <c r="D344">
        <v>2.7</v>
      </c>
    </row>
    <row r="345" spans="1:4" x14ac:dyDescent="0.45">
      <c r="A345" t="s">
        <v>322</v>
      </c>
      <c r="B345">
        <v>2007</v>
      </c>
      <c r="C345" t="s">
        <v>415</v>
      </c>
      <c r="D345">
        <v>2.8839999999999999</v>
      </c>
    </row>
    <row r="346" spans="1:4" x14ac:dyDescent="0.45">
      <c r="A346" t="s">
        <v>322</v>
      </c>
      <c r="B346">
        <v>2008</v>
      </c>
      <c r="C346" t="s">
        <v>415</v>
      </c>
      <c r="D346">
        <v>3.1230000000000002</v>
      </c>
    </row>
    <row r="347" spans="1:4" x14ac:dyDescent="0.45">
      <c r="A347" t="s">
        <v>322</v>
      </c>
      <c r="B347">
        <v>2009</v>
      </c>
      <c r="C347" t="s">
        <v>415</v>
      </c>
      <c r="D347">
        <v>3.2069999999999999</v>
      </c>
    </row>
    <row r="348" spans="1:4" x14ac:dyDescent="0.45">
      <c r="A348" t="s">
        <v>322</v>
      </c>
      <c r="B348">
        <v>2010</v>
      </c>
      <c r="C348" t="s">
        <v>415</v>
      </c>
      <c r="D348">
        <v>3.5289999999999999</v>
      </c>
    </row>
    <row r="349" spans="1:4" x14ac:dyDescent="0.45">
      <c r="A349" t="s">
        <v>322</v>
      </c>
      <c r="B349">
        <v>2011</v>
      </c>
      <c r="C349" t="s">
        <v>415</v>
      </c>
      <c r="D349">
        <v>3.7770000000000001</v>
      </c>
    </row>
    <row r="350" spans="1:4" x14ac:dyDescent="0.45">
      <c r="A350" t="s">
        <v>322</v>
      </c>
      <c r="B350">
        <v>2012</v>
      </c>
      <c r="C350" t="s">
        <v>415</v>
      </c>
      <c r="D350">
        <v>3.9569999999999999</v>
      </c>
    </row>
    <row r="351" spans="1:4" x14ac:dyDescent="0.45">
      <c r="A351" t="s">
        <v>322</v>
      </c>
      <c r="B351">
        <v>2013</v>
      </c>
      <c r="C351" t="s">
        <v>415</v>
      </c>
      <c r="D351">
        <v>4.231535</v>
      </c>
    </row>
    <row r="352" spans="1:4" x14ac:dyDescent="0.45">
      <c r="A352" t="s">
        <v>322</v>
      </c>
      <c r="B352">
        <v>2014</v>
      </c>
      <c r="C352" t="s">
        <v>415</v>
      </c>
      <c r="D352">
        <v>4.5107010000000001</v>
      </c>
    </row>
    <row r="353" spans="1:4" x14ac:dyDescent="0.45">
      <c r="A353" t="s">
        <v>322</v>
      </c>
      <c r="B353">
        <v>2015</v>
      </c>
      <c r="C353" t="s">
        <v>415</v>
      </c>
      <c r="D353">
        <v>4.6427769999999997</v>
      </c>
    </row>
    <row r="354" spans="1:4" x14ac:dyDescent="0.45">
      <c r="A354" t="s">
        <v>322</v>
      </c>
      <c r="B354">
        <v>2005</v>
      </c>
      <c r="C354" t="s">
        <v>416</v>
      </c>
      <c r="D354">
        <v>0.76782300000000003</v>
      </c>
    </row>
    <row r="355" spans="1:4" x14ac:dyDescent="0.45">
      <c r="A355" t="s">
        <v>322</v>
      </c>
      <c r="B355">
        <v>2006</v>
      </c>
      <c r="C355" t="s">
        <v>416</v>
      </c>
      <c r="D355">
        <v>0.86273900000000003</v>
      </c>
    </row>
    <row r="356" spans="1:4" x14ac:dyDescent="0.45">
      <c r="A356" t="s">
        <v>322</v>
      </c>
      <c r="B356">
        <v>2007</v>
      </c>
      <c r="C356" t="s">
        <v>416</v>
      </c>
      <c r="D356">
        <v>0.98304899999999995</v>
      </c>
    </row>
    <row r="357" spans="1:4" x14ac:dyDescent="0.45">
      <c r="A357" t="s">
        <v>322</v>
      </c>
      <c r="B357">
        <v>2008</v>
      </c>
      <c r="C357" t="s">
        <v>416</v>
      </c>
      <c r="D357">
        <v>1.06298</v>
      </c>
    </row>
    <row r="358" spans="1:4" x14ac:dyDescent="0.45">
      <c r="A358" t="s">
        <v>322</v>
      </c>
      <c r="B358">
        <v>2009</v>
      </c>
      <c r="C358" t="s">
        <v>416</v>
      </c>
      <c r="D358">
        <v>1.09198</v>
      </c>
    </row>
    <row r="359" spans="1:4" x14ac:dyDescent="0.45">
      <c r="A359" t="s">
        <v>322</v>
      </c>
      <c r="B359">
        <v>2010</v>
      </c>
      <c r="C359" t="s">
        <v>416</v>
      </c>
      <c r="D359">
        <v>1.0965830000000001</v>
      </c>
    </row>
    <row r="360" spans="1:4" x14ac:dyDescent="0.45">
      <c r="A360" t="s">
        <v>322</v>
      </c>
      <c r="B360">
        <v>2011</v>
      </c>
      <c r="C360" t="s">
        <v>416</v>
      </c>
      <c r="D360">
        <v>1.1638299999999999</v>
      </c>
    </row>
    <row r="361" spans="1:4" x14ac:dyDescent="0.45">
      <c r="A361" t="s">
        <v>322</v>
      </c>
      <c r="B361">
        <v>2012</v>
      </c>
      <c r="C361" t="s">
        <v>416</v>
      </c>
      <c r="D361">
        <v>1.2357959999999999</v>
      </c>
    </row>
    <row r="362" spans="1:4" x14ac:dyDescent="0.45">
      <c r="A362" t="s">
        <v>322</v>
      </c>
      <c r="B362">
        <v>2013</v>
      </c>
      <c r="C362" t="s">
        <v>416</v>
      </c>
      <c r="D362">
        <v>1.2811319999999999</v>
      </c>
    </row>
    <row r="363" spans="1:4" x14ac:dyDescent="0.45">
      <c r="A363" t="s">
        <v>322</v>
      </c>
      <c r="B363">
        <v>2014</v>
      </c>
      <c r="C363" t="s">
        <v>416</v>
      </c>
      <c r="D363">
        <v>1.2883880000000001</v>
      </c>
    </row>
    <row r="364" spans="1:4" x14ac:dyDescent="0.45">
      <c r="A364" t="s">
        <v>322</v>
      </c>
      <c r="B364">
        <v>2015</v>
      </c>
      <c r="C364" t="s">
        <v>416</v>
      </c>
      <c r="D364">
        <v>1.312379</v>
      </c>
    </row>
    <row r="365" spans="1:4" x14ac:dyDescent="0.45">
      <c r="A365" t="s">
        <v>322</v>
      </c>
      <c r="B365">
        <v>2005</v>
      </c>
      <c r="C365" t="s">
        <v>417</v>
      </c>
      <c r="D365">
        <v>22.870999999999999</v>
      </c>
    </row>
    <row r="366" spans="1:4" x14ac:dyDescent="0.45">
      <c r="A366" t="s">
        <v>322</v>
      </c>
      <c r="B366">
        <v>2006</v>
      </c>
      <c r="C366" t="s">
        <v>417</v>
      </c>
      <c r="D366">
        <v>22.626000000000001</v>
      </c>
    </row>
    <row r="367" spans="1:4" x14ac:dyDescent="0.45">
      <c r="A367" t="s">
        <v>322</v>
      </c>
      <c r="B367">
        <v>2007</v>
      </c>
      <c r="C367" t="s">
        <v>417</v>
      </c>
      <c r="D367">
        <v>22.419</v>
      </c>
    </row>
    <row r="368" spans="1:4" x14ac:dyDescent="0.45">
      <c r="A368" t="s">
        <v>322</v>
      </c>
      <c r="B368">
        <v>2008</v>
      </c>
      <c r="C368" t="s">
        <v>417</v>
      </c>
      <c r="D368">
        <v>21.972999999999999</v>
      </c>
    </row>
    <row r="369" spans="1:4" x14ac:dyDescent="0.45">
      <c r="A369" t="s">
        <v>322</v>
      </c>
      <c r="B369">
        <v>2009</v>
      </c>
      <c r="C369" t="s">
        <v>417</v>
      </c>
      <c r="D369">
        <v>21.606000000000002</v>
      </c>
    </row>
    <row r="370" spans="1:4" x14ac:dyDescent="0.45">
      <c r="A370" t="s">
        <v>322</v>
      </c>
      <c r="B370">
        <v>2010</v>
      </c>
      <c r="C370" t="s">
        <v>417</v>
      </c>
      <c r="D370">
        <v>21.324000000000002</v>
      </c>
    </row>
    <row r="371" spans="1:4" x14ac:dyDescent="0.45">
      <c r="A371" t="s">
        <v>322</v>
      </c>
      <c r="B371">
        <v>2011</v>
      </c>
      <c r="C371" t="s">
        <v>417</v>
      </c>
      <c r="D371">
        <v>21.143999999999998</v>
      </c>
    </row>
    <row r="372" spans="1:4" x14ac:dyDescent="0.45">
      <c r="A372" t="s">
        <v>322</v>
      </c>
      <c r="B372">
        <v>2012</v>
      </c>
      <c r="C372" t="s">
        <v>417</v>
      </c>
      <c r="D372">
        <v>20.998000000000001</v>
      </c>
    </row>
    <row r="373" spans="1:4" x14ac:dyDescent="0.45">
      <c r="A373" t="s">
        <v>322</v>
      </c>
      <c r="B373">
        <v>2013</v>
      </c>
      <c r="C373" t="s">
        <v>417</v>
      </c>
      <c r="D373">
        <v>20.905737999999999</v>
      </c>
    </row>
    <row r="374" spans="1:4" x14ac:dyDescent="0.45">
      <c r="A374" t="s">
        <v>322</v>
      </c>
      <c r="B374">
        <v>2014</v>
      </c>
      <c r="C374" t="s">
        <v>417</v>
      </c>
      <c r="D374">
        <v>20.891189000000001</v>
      </c>
    </row>
    <row r="375" spans="1:4" x14ac:dyDescent="0.45">
      <c r="A375" t="s">
        <v>322</v>
      </c>
      <c r="B375">
        <v>2015</v>
      </c>
      <c r="C375" t="s">
        <v>417</v>
      </c>
      <c r="D375">
        <v>20.844667999999999</v>
      </c>
    </row>
    <row r="376" spans="1:4" x14ac:dyDescent="0.45">
      <c r="A376" t="s">
        <v>322</v>
      </c>
      <c r="B376">
        <v>2005</v>
      </c>
      <c r="C376" t="s">
        <v>418</v>
      </c>
      <c r="D376">
        <v>13.320069935287</v>
      </c>
    </row>
    <row r="377" spans="1:4" x14ac:dyDescent="0.45">
      <c r="A377" t="s">
        <v>322</v>
      </c>
      <c r="B377">
        <v>2006</v>
      </c>
      <c r="C377" t="s">
        <v>418</v>
      </c>
      <c r="D377">
        <v>13.6447438752403</v>
      </c>
    </row>
    <row r="378" spans="1:4" x14ac:dyDescent="0.45">
      <c r="A378" t="s">
        <v>322</v>
      </c>
      <c r="B378">
        <v>2007</v>
      </c>
      <c r="C378" t="s">
        <v>418</v>
      </c>
      <c r="D378">
        <v>15.4477627254902</v>
      </c>
    </row>
    <row r="379" spans="1:4" x14ac:dyDescent="0.45">
      <c r="A379" t="s">
        <v>322</v>
      </c>
      <c r="B379">
        <v>2008</v>
      </c>
      <c r="C379" t="s">
        <v>418</v>
      </c>
      <c r="D379">
        <v>15.949635000000001</v>
      </c>
    </row>
    <row r="380" spans="1:4" x14ac:dyDescent="0.45">
      <c r="A380" t="s">
        <v>322</v>
      </c>
      <c r="B380">
        <v>2009</v>
      </c>
      <c r="C380" t="s">
        <v>418</v>
      </c>
      <c r="D380">
        <v>16.396377999999999</v>
      </c>
    </row>
    <row r="381" spans="1:4" x14ac:dyDescent="0.45">
      <c r="A381" t="s">
        <v>322</v>
      </c>
      <c r="B381">
        <v>2010</v>
      </c>
      <c r="C381" t="s">
        <v>418</v>
      </c>
      <c r="D381">
        <v>17.024431</v>
      </c>
    </row>
    <row r="382" spans="1:4" x14ac:dyDescent="0.45">
      <c r="A382" t="s">
        <v>322</v>
      </c>
      <c r="B382">
        <v>2011</v>
      </c>
      <c r="C382" t="s">
        <v>418</v>
      </c>
      <c r="D382">
        <v>17.783567000000001</v>
      </c>
    </row>
    <row r="383" spans="1:4" x14ac:dyDescent="0.45">
      <c r="A383" t="s">
        <v>322</v>
      </c>
      <c r="B383">
        <v>2012</v>
      </c>
      <c r="C383" t="s">
        <v>418</v>
      </c>
      <c r="D383">
        <v>18.761140000000001</v>
      </c>
    </row>
    <row r="384" spans="1:4" x14ac:dyDescent="0.45">
      <c r="A384" t="s">
        <v>322</v>
      </c>
      <c r="B384">
        <v>2013</v>
      </c>
      <c r="C384" t="s">
        <v>418</v>
      </c>
      <c r="D384">
        <v>19.662590999999999</v>
      </c>
    </row>
    <row r="385" spans="1:4" x14ac:dyDescent="0.45">
      <c r="A385" t="s">
        <v>322</v>
      </c>
      <c r="B385">
        <v>2014</v>
      </c>
      <c r="C385" t="s">
        <v>418</v>
      </c>
      <c r="D385">
        <v>20.818173000000002</v>
      </c>
    </row>
    <row r="386" spans="1:4" x14ac:dyDescent="0.45">
      <c r="A386" t="s">
        <v>322</v>
      </c>
      <c r="B386">
        <v>2015</v>
      </c>
      <c r="C386" t="s">
        <v>418</v>
      </c>
      <c r="D386">
        <v>21.573640999999999</v>
      </c>
    </row>
    <row r="387" spans="1:4" x14ac:dyDescent="0.45">
      <c r="A387" t="s">
        <v>322</v>
      </c>
      <c r="B387">
        <v>2005</v>
      </c>
      <c r="C387" t="s">
        <v>419</v>
      </c>
      <c r="D387">
        <v>3.0150000000000001</v>
      </c>
    </row>
    <row r="388" spans="1:4" x14ac:dyDescent="0.45">
      <c r="A388" t="s">
        <v>322</v>
      </c>
      <c r="B388">
        <v>2006</v>
      </c>
      <c r="C388" t="s">
        <v>419</v>
      </c>
      <c r="D388">
        <v>3.1320000000000001</v>
      </c>
    </row>
    <row r="389" spans="1:4" x14ac:dyDescent="0.45">
      <c r="A389" t="s">
        <v>322</v>
      </c>
      <c r="B389">
        <v>2007</v>
      </c>
      <c r="C389" t="s">
        <v>419</v>
      </c>
      <c r="D389">
        <v>3.2360000000000002</v>
      </c>
    </row>
    <row r="390" spans="1:4" x14ac:dyDescent="0.45">
      <c r="A390" t="s">
        <v>322</v>
      </c>
      <c r="B390">
        <v>2008</v>
      </c>
      <c r="C390" t="s">
        <v>419</v>
      </c>
      <c r="D390">
        <v>3.3679999999999999</v>
      </c>
    </row>
    <row r="391" spans="1:4" x14ac:dyDescent="0.45">
      <c r="A391" t="s">
        <v>322</v>
      </c>
      <c r="B391">
        <v>2009</v>
      </c>
      <c r="C391" t="s">
        <v>419</v>
      </c>
      <c r="D391">
        <v>3.4790000000000001</v>
      </c>
    </row>
    <row r="392" spans="1:4" x14ac:dyDescent="0.45">
      <c r="A392" t="s">
        <v>322</v>
      </c>
      <c r="B392">
        <v>2010</v>
      </c>
      <c r="C392" t="s">
        <v>419</v>
      </c>
      <c r="D392">
        <v>3.5819999999999999</v>
      </c>
    </row>
    <row r="393" spans="1:4" x14ac:dyDescent="0.45">
      <c r="A393" t="s">
        <v>322</v>
      </c>
      <c r="B393">
        <v>2011</v>
      </c>
      <c r="C393" t="s">
        <v>419</v>
      </c>
      <c r="D393">
        <v>3.1669999999999998</v>
      </c>
    </row>
    <row r="394" spans="1:4" x14ac:dyDescent="0.45">
      <c r="A394" t="s">
        <v>322</v>
      </c>
      <c r="B394">
        <v>2012</v>
      </c>
      <c r="C394" t="s">
        <v>419</v>
      </c>
      <c r="D394">
        <v>3.7771210000000002</v>
      </c>
    </row>
    <row r="395" spans="1:4" x14ac:dyDescent="0.45">
      <c r="A395" t="s">
        <v>322</v>
      </c>
      <c r="B395">
        <v>2013</v>
      </c>
      <c r="C395" t="s">
        <v>419</v>
      </c>
      <c r="D395">
        <v>3.9828429999999999</v>
      </c>
    </row>
    <row r="396" spans="1:4" x14ac:dyDescent="0.45">
      <c r="A396" t="s">
        <v>322</v>
      </c>
      <c r="B396">
        <v>2014</v>
      </c>
      <c r="C396" t="s">
        <v>419</v>
      </c>
      <c r="D396">
        <v>4.1545310000000004</v>
      </c>
    </row>
    <row r="397" spans="1:4" x14ac:dyDescent="0.45">
      <c r="A397" t="s">
        <v>322</v>
      </c>
      <c r="B397">
        <v>2015</v>
      </c>
      <c r="C397" t="s">
        <v>419</v>
      </c>
      <c r="D397">
        <v>4.2800380000000002</v>
      </c>
    </row>
    <row r="398" spans="1:4" x14ac:dyDescent="0.45">
      <c r="A398" t="s">
        <v>322</v>
      </c>
      <c r="B398">
        <v>2005</v>
      </c>
      <c r="C398" t="s">
        <v>420</v>
      </c>
      <c r="D398">
        <v>4.1126820000000004</v>
      </c>
    </row>
    <row r="399" spans="1:4" x14ac:dyDescent="0.45">
      <c r="A399" t="s">
        <v>322</v>
      </c>
      <c r="B399">
        <v>2006</v>
      </c>
      <c r="C399" t="s">
        <v>420</v>
      </c>
      <c r="D399">
        <v>4.192272</v>
      </c>
    </row>
    <row r="400" spans="1:4" x14ac:dyDescent="0.45">
      <c r="A400" t="s">
        <v>322</v>
      </c>
      <c r="B400">
        <v>2007</v>
      </c>
      <c r="C400" t="s">
        <v>420</v>
      </c>
      <c r="D400">
        <v>4.3458259999999997</v>
      </c>
    </row>
    <row r="401" spans="1:4" x14ac:dyDescent="0.45">
      <c r="A401" t="s">
        <v>322</v>
      </c>
      <c r="B401">
        <v>2008</v>
      </c>
      <c r="C401" t="s">
        <v>420</v>
      </c>
      <c r="D401">
        <v>4.592854</v>
      </c>
    </row>
    <row r="402" spans="1:4" x14ac:dyDescent="0.45">
      <c r="A402" t="s">
        <v>322</v>
      </c>
      <c r="B402">
        <v>2009</v>
      </c>
      <c r="C402" t="s">
        <v>420</v>
      </c>
      <c r="D402">
        <v>4.8525640000000001</v>
      </c>
    </row>
    <row r="403" spans="1:4" x14ac:dyDescent="0.45">
      <c r="A403" t="s">
        <v>322</v>
      </c>
      <c r="B403">
        <v>2010</v>
      </c>
      <c r="C403" t="s">
        <v>420</v>
      </c>
      <c r="D403">
        <v>5.222702</v>
      </c>
    </row>
    <row r="404" spans="1:4" x14ac:dyDescent="0.45">
      <c r="A404" t="s">
        <v>322</v>
      </c>
      <c r="B404">
        <v>2011</v>
      </c>
      <c r="C404" t="s">
        <v>420</v>
      </c>
      <c r="D404">
        <v>5.7636240000000001</v>
      </c>
    </row>
    <row r="405" spans="1:4" x14ac:dyDescent="0.45">
      <c r="A405" t="s">
        <v>322</v>
      </c>
      <c r="B405">
        <v>2012</v>
      </c>
      <c r="C405" t="s">
        <v>420</v>
      </c>
      <c r="D405">
        <v>6.2080700000000002</v>
      </c>
    </row>
    <row r="406" spans="1:4" x14ac:dyDescent="0.45">
      <c r="A406" t="s">
        <v>322</v>
      </c>
      <c r="B406">
        <v>2013</v>
      </c>
      <c r="C406" t="s">
        <v>420</v>
      </c>
      <c r="D406">
        <v>6.6792470000000002</v>
      </c>
    </row>
    <row r="407" spans="1:4" x14ac:dyDescent="0.45">
      <c r="A407" t="s">
        <v>322</v>
      </c>
      <c r="B407">
        <v>2014</v>
      </c>
      <c r="C407" t="s">
        <v>420</v>
      </c>
      <c r="D407">
        <v>7.1111019999999998</v>
      </c>
    </row>
    <row r="408" spans="1:4" x14ac:dyDescent="0.45">
      <c r="A408" t="s">
        <v>322</v>
      </c>
      <c r="B408">
        <v>2015</v>
      </c>
      <c r="C408" t="s">
        <v>420</v>
      </c>
      <c r="D408">
        <v>7.2719009999999997</v>
      </c>
    </row>
    <row r="409" spans="1:4" x14ac:dyDescent="0.45">
      <c r="A409" t="s">
        <v>322</v>
      </c>
      <c r="B409">
        <v>2005</v>
      </c>
      <c r="C409" t="s">
        <v>421</v>
      </c>
      <c r="D409">
        <v>0.78600000000000003</v>
      </c>
    </row>
    <row r="410" spans="1:4" x14ac:dyDescent="0.45">
      <c r="A410" t="s">
        <v>322</v>
      </c>
      <c r="B410">
        <v>2006</v>
      </c>
      <c r="C410" t="s">
        <v>421</v>
      </c>
      <c r="D410">
        <v>0.84099999999999997</v>
      </c>
    </row>
    <row r="411" spans="1:4" x14ac:dyDescent="0.45">
      <c r="A411" t="s">
        <v>322</v>
      </c>
      <c r="B411">
        <v>2007</v>
      </c>
      <c r="C411" t="s">
        <v>421</v>
      </c>
      <c r="D411">
        <v>0.872</v>
      </c>
    </row>
    <row r="412" spans="1:4" x14ac:dyDescent="0.45">
      <c r="A412" t="s">
        <v>322</v>
      </c>
      <c r="B412">
        <v>2008</v>
      </c>
      <c r="C412" t="s">
        <v>421</v>
      </c>
      <c r="D412">
        <v>0.90700000000000003</v>
      </c>
    </row>
    <row r="413" spans="1:4" x14ac:dyDescent="0.45">
      <c r="A413" t="s">
        <v>322</v>
      </c>
      <c r="B413">
        <v>2009</v>
      </c>
      <c r="C413" t="s">
        <v>421</v>
      </c>
      <c r="D413">
        <v>0.91500000000000004</v>
      </c>
    </row>
    <row r="414" spans="1:4" x14ac:dyDescent="0.45">
      <c r="A414" t="s">
        <v>322</v>
      </c>
      <c r="B414">
        <v>2010</v>
      </c>
      <c r="C414" t="s">
        <v>421</v>
      </c>
      <c r="D414">
        <v>0.96299999999999997</v>
      </c>
    </row>
    <row r="415" spans="1:4" x14ac:dyDescent="0.45">
      <c r="A415" t="s">
        <v>322</v>
      </c>
      <c r="B415">
        <v>2011</v>
      </c>
      <c r="C415" t="s">
        <v>421</v>
      </c>
      <c r="D415">
        <v>1.008</v>
      </c>
    </row>
    <row r="416" spans="1:4" x14ac:dyDescent="0.45">
      <c r="A416" t="s">
        <v>322</v>
      </c>
      <c r="B416">
        <v>2012</v>
      </c>
      <c r="C416" t="s">
        <v>421</v>
      </c>
      <c r="D416">
        <v>1.0529999999999999</v>
      </c>
    </row>
    <row r="417" spans="1:4" x14ac:dyDescent="0.45">
      <c r="A417" t="s">
        <v>322</v>
      </c>
      <c r="B417">
        <v>2013</v>
      </c>
      <c r="C417" t="s">
        <v>421</v>
      </c>
      <c r="D417">
        <v>1.0721339999999999</v>
      </c>
    </row>
    <row r="418" spans="1:4" x14ac:dyDescent="0.45">
      <c r="A418" t="s">
        <v>322</v>
      </c>
      <c r="B418">
        <v>2014</v>
      </c>
      <c r="C418" t="s">
        <v>421</v>
      </c>
      <c r="D418">
        <v>1.120204</v>
      </c>
    </row>
    <row r="419" spans="1:4" x14ac:dyDescent="0.45">
      <c r="A419" t="s">
        <v>322</v>
      </c>
      <c r="B419">
        <v>2015</v>
      </c>
      <c r="C419" t="s">
        <v>421</v>
      </c>
      <c r="D419">
        <v>1.1467700000000001</v>
      </c>
    </row>
    <row r="420" spans="1:4" x14ac:dyDescent="0.45">
      <c r="A420" t="s">
        <v>322</v>
      </c>
      <c r="B420">
        <v>2005</v>
      </c>
      <c r="C420" t="s">
        <v>315</v>
      </c>
      <c r="D420">
        <v>10.401999999999999</v>
      </c>
    </row>
    <row r="421" spans="1:4" x14ac:dyDescent="0.45">
      <c r="A421" t="s">
        <v>322</v>
      </c>
      <c r="B421">
        <v>2006</v>
      </c>
      <c r="C421" t="s">
        <v>315</v>
      </c>
      <c r="D421">
        <v>10.909000000000001</v>
      </c>
    </row>
    <row r="422" spans="1:4" x14ac:dyDescent="0.45">
      <c r="A422" t="s">
        <v>322</v>
      </c>
      <c r="B422">
        <v>2007</v>
      </c>
      <c r="C422" t="s">
        <v>315</v>
      </c>
      <c r="D422">
        <v>11.754</v>
      </c>
    </row>
    <row r="423" spans="1:4" x14ac:dyDescent="0.45">
      <c r="A423" t="s">
        <v>322</v>
      </c>
      <c r="B423">
        <v>2008</v>
      </c>
      <c r="C423" t="s">
        <v>315</v>
      </c>
      <c r="D423">
        <v>12.736000000000001</v>
      </c>
    </row>
    <row r="424" spans="1:4" x14ac:dyDescent="0.45">
      <c r="A424" t="s">
        <v>322</v>
      </c>
      <c r="B424">
        <v>2009</v>
      </c>
      <c r="C424" t="s">
        <v>315</v>
      </c>
      <c r="D424">
        <v>14.481999999999999</v>
      </c>
    </row>
    <row r="425" spans="1:4" x14ac:dyDescent="0.45">
      <c r="A425" t="s">
        <v>322</v>
      </c>
      <c r="B425">
        <v>2010</v>
      </c>
      <c r="C425" t="s">
        <v>315</v>
      </c>
      <c r="D425">
        <v>16.513000000000002</v>
      </c>
    </row>
    <row r="426" spans="1:4" x14ac:dyDescent="0.45">
      <c r="A426" t="s">
        <v>322</v>
      </c>
      <c r="B426">
        <v>2011</v>
      </c>
      <c r="C426" t="s">
        <v>315</v>
      </c>
      <c r="D426">
        <v>18.844000000000001</v>
      </c>
    </row>
    <row r="427" spans="1:4" x14ac:dyDescent="0.45">
      <c r="A427" t="s">
        <v>322</v>
      </c>
      <c r="B427">
        <v>2012</v>
      </c>
      <c r="C427" t="s">
        <v>315</v>
      </c>
      <c r="D427">
        <v>21.978000000000002</v>
      </c>
    </row>
    <row r="428" spans="1:4" x14ac:dyDescent="0.45">
      <c r="A428" t="s">
        <v>322</v>
      </c>
      <c r="B428">
        <v>2013</v>
      </c>
      <c r="C428" t="s">
        <v>315</v>
      </c>
      <c r="D428">
        <v>25.479208</v>
      </c>
    </row>
    <row r="429" spans="1:4" x14ac:dyDescent="0.45">
      <c r="A429" t="s">
        <v>322</v>
      </c>
      <c r="B429">
        <v>2014</v>
      </c>
      <c r="C429" t="s">
        <v>315</v>
      </c>
      <c r="D429">
        <v>28.634872999999999</v>
      </c>
    </row>
    <row r="430" spans="1:4" x14ac:dyDescent="0.45">
      <c r="A430" t="s">
        <v>322</v>
      </c>
      <c r="B430">
        <v>2015</v>
      </c>
      <c r="C430" t="s">
        <v>315</v>
      </c>
      <c r="D430">
        <v>27.173950999999999</v>
      </c>
    </row>
    <row r="431" spans="1:4" x14ac:dyDescent="0.45">
      <c r="A431" t="s">
        <v>322</v>
      </c>
      <c r="B431">
        <v>2005</v>
      </c>
      <c r="C431" t="s">
        <v>422</v>
      </c>
      <c r="D431">
        <v>1.0406899999999999</v>
      </c>
    </row>
    <row r="432" spans="1:4" x14ac:dyDescent="0.45">
      <c r="A432" t="s">
        <v>322</v>
      </c>
      <c r="B432">
        <v>2006</v>
      </c>
      <c r="C432" t="s">
        <v>422</v>
      </c>
      <c r="D432">
        <v>1.1029249999999999</v>
      </c>
    </row>
    <row r="433" spans="1:4" x14ac:dyDescent="0.45">
      <c r="A433" t="s">
        <v>322</v>
      </c>
      <c r="B433">
        <v>2007</v>
      </c>
      <c r="C433" t="s">
        <v>422</v>
      </c>
      <c r="D433">
        <v>1.155745</v>
      </c>
    </row>
    <row r="434" spans="1:4" x14ac:dyDescent="0.45">
      <c r="A434" t="s">
        <v>322</v>
      </c>
      <c r="B434">
        <v>2008</v>
      </c>
      <c r="C434" t="s">
        <v>422</v>
      </c>
      <c r="D434">
        <v>1.158004</v>
      </c>
    </row>
    <row r="435" spans="1:4" x14ac:dyDescent="0.45">
      <c r="A435" t="s">
        <v>322</v>
      </c>
      <c r="B435">
        <v>2009</v>
      </c>
      <c r="C435" t="s">
        <v>422</v>
      </c>
      <c r="D435">
        <v>1.1382810000000001</v>
      </c>
    </row>
    <row r="436" spans="1:4" x14ac:dyDescent="0.45">
      <c r="A436" t="s">
        <v>322</v>
      </c>
      <c r="B436">
        <v>2010</v>
      </c>
      <c r="C436" t="s">
        <v>422</v>
      </c>
      <c r="D436">
        <v>1.1293340000000001</v>
      </c>
    </row>
    <row r="437" spans="1:4" x14ac:dyDescent="0.45">
      <c r="A437" t="s">
        <v>322</v>
      </c>
      <c r="B437">
        <v>2011</v>
      </c>
      <c r="C437" t="s">
        <v>422</v>
      </c>
      <c r="D437">
        <v>1.137864</v>
      </c>
    </row>
    <row r="438" spans="1:4" x14ac:dyDescent="0.45">
      <c r="A438" t="s">
        <v>322</v>
      </c>
      <c r="B438">
        <v>2012</v>
      </c>
      <c r="C438" t="s">
        <v>422</v>
      </c>
      <c r="D438">
        <v>1.132714</v>
      </c>
    </row>
    <row r="439" spans="1:4" x14ac:dyDescent="0.45">
      <c r="A439" t="s">
        <v>322</v>
      </c>
      <c r="B439">
        <v>2013</v>
      </c>
      <c r="C439" t="s">
        <v>422</v>
      </c>
      <c r="D439">
        <v>1.1273390000000001</v>
      </c>
    </row>
    <row r="440" spans="1:4" x14ac:dyDescent="0.45">
      <c r="A440" t="s">
        <v>322</v>
      </c>
      <c r="B440">
        <v>2014</v>
      </c>
      <c r="C440" t="s">
        <v>422</v>
      </c>
      <c r="D440">
        <v>1.1379729999999999</v>
      </c>
    </row>
    <row r="441" spans="1:4" x14ac:dyDescent="0.45">
      <c r="A441" t="s">
        <v>322</v>
      </c>
      <c r="B441">
        <v>2015</v>
      </c>
      <c r="C441" t="s">
        <v>422</v>
      </c>
      <c r="D441">
        <v>1.1517170000000001</v>
      </c>
    </row>
    <row r="442" spans="1:4" x14ac:dyDescent="0.45">
      <c r="A442" t="s">
        <v>322</v>
      </c>
      <c r="B442">
        <v>2005</v>
      </c>
      <c r="C442" t="s">
        <v>423</v>
      </c>
      <c r="D442">
        <v>3.9361570000000001</v>
      </c>
    </row>
    <row r="443" spans="1:4" x14ac:dyDescent="0.45">
      <c r="A443" t="s">
        <v>322</v>
      </c>
      <c r="B443">
        <v>2006</v>
      </c>
      <c r="C443" t="s">
        <v>423</v>
      </c>
      <c r="D443">
        <v>4.1339480000000002</v>
      </c>
    </row>
    <row r="444" spans="1:4" x14ac:dyDescent="0.45">
      <c r="A444" t="s">
        <v>322</v>
      </c>
      <c r="B444">
        <v>2007</v>
      </c>
      <c r="C444" t="s">
        <v>423</v>
      </c>
      <c r="D444">
        <v>4.3837380000000001</v>
      </c>
    </row>
    <row r="445" spans="1:4" x14ac:dyDescent="0.45">
      <c r="A445" t="s">
        <v>322</v>
      </c>
      <c r="B445">
        <v>2008</v>
      </c>
      <c r="C445" t="s">
        <v>423</v>
      </c>
      <c r="D445">
        <v>4.6989479999999997</v>
      </c>
    </row>
    <row r="446" spans="1:4" x14ac:dyDescent="0.45">
      <c r="A446" t="s">
        <v>322</v>
      </c>
      <c r="B446">
        <v>2009</v>
      </c>
      <c r="C446" t="s">
        <v>423</v>
      </c>
      <c r="D446">
        <v>4.8024579999999997</v>
      </c>
    </row>
    <row r="447" spans="1:4" x14ac:dyDescent="0.45">
      <c r="A447" t="s">
        <v>322</v>
      </c>
      <c r="B447">
        <v>2010</v>
      </c>
      <c r="C447" t="s">
        <v>423</v>
      </c>
      <c r="D447">
        <v>4.9373519999999997</v>
      </c>
    </row>
    <row r="448" spans="1:4" x14ac:dyDescent="0.45">
      <c r="A448" t="s">
        <v>322</v>
      </c>
      <c r="B448">
        <v>2011</v>
      </c>
      <c r="C448" t="s">
        <v>423</v>
      </c>
      <c r="D448">
        <v>5.1253010000000003</v>
      </c>
    </row>
    <row r="449" spans="1:4" x14ac:dyDescent="0.45">
      <c r="A449" t="s">
        <v>322</v>
      </c>
      <c r="B449">
        <v>2012</v>
      </c>
      <c r="C449" t="s">
        <v>423</v>
      </c>
      <c r="D449">
        <v>5.186553</v>
      </c>
    </row>
    <row r="450" spans="1:4" x14ac:dyDescent="0.45">
      <c r="A450" t="s">
        <v>322</v>
      </c>
      <c r="B450">
        <v>2013</v>
      </c>
      <c r="C450" t="s">
        <v>423</v>
      </c>
      <c r="D450">
        <v>5.2960589999999996</v>
      </c>
    </row>
    <row r="451" spans="1:4" x14ac:dyDescent="0.45">
      <c r="A451" t="s">
        <v>322</v>
      </c>
      <c r="B451">
        <v>2014</v>
      </c>
      <c r="C451" t="s">
        <v>423</v>
      </c>
      <c r="D451">
        <v>5.2482240000000004</v>
      </c>
    </row>
    <row r="452" spans="1:4" x14ac:dyDescent="0.45">
      <c r="A452" t="s">
        <v>322</v>
      </c>
      <c r="B452">
        <v>2015</v>
      </c>
      <c r="C452" t="s">
        <v>423</v>
      </c>
      <c r="D452">
        <v>5.3950610000000001</v>
      </c>
    </row>
    <row r="453" spans="1:4" x14ac:dyDescent="0.45">
      <c r="A453" t="s">
        <v>322</v>
      </c>
      <c r="B453">
        <v>2005</v>
      </c>
      <c r="C453" t="s">
        <v>424</v>
      </c>
      <c r="D453">
        <v>2.0626180000000001</v>
      </c>
    </row>
    <row r="454" spans="1:4" x14ac:dyDescent="0.45">
      <c r="A454" t="s">
        <v>322</v>
      </c>
      <c r="B454">
        <v>2006</v>
      </c>
      <c r="C454" t="s">
        <v>424</v>
      </c>
      <c r="D454">
        <v>2.106544</v>
      </c>
    </row>
    <row r="455" spans="1:4" x14ac:dyDescent="0.45">
      <c r="A455" t="s">
        <v>322</v>
      </c>
      <c r="B455">
        <v>2007</v>
      </c>
      <c r="C455" t="s">
        <v>424</v>
      </c>
      <c r="D455">
        <v>2.174668</v>
      </c>
    </row>
    <row r="456" spans="1:4" x14ac:dyDescent="0.45">
      <c r="A456" t="s">
        <v>322</v>
      </c>
      <c r="B456">
        <v>2008</v>
      </c>
      <c r="C456" t="s">
        <v>424</v>
      </c>
      <c r="D456">
        <v>2.2194349999999998</v>
      </c>
    </row>
    <row r="457" spans="1:4" x14ac:dyDescent="0.45">
      <c r="A457" t="s">
        <v>322</v>
      </c>
      <c r="B457">
        <v>2009</v>
      </c>
      <c r="C457" t="s">
        <v>424</v>
      </c>
      <c r="D457">
        <v>2.218874</v>
      </c>
    </row>
    <row r="458" spans="1:4" x14ac:dyDescent="0.45">
      <c r="A458" t="s">
        <v>322</v>
      </c>
      <c r="B458">
        <v>2010</v>
      </c>
      <c r="C458" t="s">
        <v>424</v>
      </c>
      <c r="D458">
        <v>2.20641</v>
      </c>
    </row>
    <row r="459" spans="1:4" x14ac:dyDescent="0.45">
      <c r="A459" t="s">
        <v>322</v>
      </c>
      <c r="B459">
        <v>2011</v>
      </c>
      <c r="C459" t="s">
        <v>424</v>
      </c>
      <c r="D459">
        <v>2.20465</v>
      </c>
    </row>
    <row r="460" spans="1:4" x14ac:dyDescent="0.45">
      <c r="A460" t="s">
        <v>322</v>
      </c>
      <c r="B460">
        <v>2012</v>
      </c>
      <c r="C460" t="s">
        <v>424</v>
      </c>
      <c r="D460">
        <v>2.1832060000000002</v>
      </c>
    </row>
    <row r="461" spans="1:4" x14ac:dyDescent="0.45">
      <c r="A461" t="s">
        <v>322</v>
      </c>
      <c r="B461">
        <v>2013</v>
      </c>
      <c r="C461" t="s">
        <v>424</v>
      </c>
      <c r="D461">
        <v>2.2123569999999999</v>
      </c>
    </row>
    <row r="462" spans="1:4" x14ac:dyDescent="0.45">
      <c r="A462" t="s">
        <v>322</v>
      </c>
      <c r="B462">
        <v>2014</v>
      </c>
      <c r="C462" t="s">
        <v>424</v>
      </c>
      <c r="D462">
        <v>2.2199680000000002</v>
      </c>
    </row>
    <row r="463" spans="1:4" x14ac:dyDescent="0.45">
      <c r="A463" t="s">
        <v>322</v>
      </c>
      <c r="B463">
        <v>2015</v>
      </c>
      <c r="C463" t="s">
        <v>424</v>
      </c>
      <c r="D463">
        <v>2.269936</v>
      </c>
    </row>
    <row r="464" spans="1:4" x14ac:dyDescent="0.45">
      <c r="A464" t="s">
        <v>322</v>
      </c>
      <c r="B464">
        <v>2005</v>
      </c>
      <c r="C464" t="s">
        <v>425</v>
      </c>
      <c r="D464">
        <v>5.803312</v>
      </c>
    </row>
    <row r="465" spans="1:4" x14ac:dyDescent="0.45">
      <c r="A465" t="s">
        <v>322</v>
      </c>
      <c r="B465">
        <v>2006</v>
      </c>
      <c r="C465" t="s">
        <v>425</v>
      </c>
      <c r="D465">
        <v>5.9928270000000001</v>
      </c>
    </row>
    <row r="466" spans="1:4" x14ac:dyDescent="0.45">
      <c r="A466" t="s">
        <v>322</v>
      </c>
      <c r="B466">
        <v>2007</v>
      </c>
      <c r="C466" t="s">
        <v>425</v>
      </c>
      <c r="D466">
        <v>6.140047</v>
      </c>
    </row>
    <row r="467" spans="1:4" x14ac:dyDescent="0.45">
      <c r="A467" t="s">
        <v>322</v>
      </c>
      <c r="B467">
        <v>2008</v>
      </c>
      <c r="C467" t="s">
        <v>425</v>
      </c>
      <c r="D467">
        <v>6.2797109999999998</v>
      </c>
    </row>
    <row r="468" spans="1:4" x14ac:dyDescent="0.45">
      <c r="A468" t="s">
        <v>322</v>
      </c>
      <c r="B468">
        <v>2009</v>
      </c>
      <c r="C468" t="s">
        <v>425</v>
      </c>
      <c r="D468">
        <v>6.3467539999999998</v>
      </c>
    </row>
    <row r="469" spans="1:4" x14ac:dyDescent="0.45">
      <c r="A469" t="s">
        <v>322</v>
      </c>
      <c r="B469">
        <v>2010</v>
      </c>
      <c r="C469" t="s">
        <v>425</v>
      </c>
      <c r="D469">
        <v>6.4161720000000004</v>
      </c>
    </row>
    <row r="470" spans="1:4" x14ac:dyDescent="0.45">
      <c r="A470" t="s">
        <v>322</v>
      </c>
      <c r="B470">
        <v>2011</v>
      </c>
      <c r="C470" t="s">
        <v>425</v>
      </c>
      <c r="D470">
        <v>6.4708810000000003</v>
      </c>
    </row>
    <row r="471" spans="1:4" x14ac:dyDescent="0.45">
      <c r="A471" t="s">
        <v>322</v>
      </c>
      <c r="B471">
        <v>2012</v>
      </c>
      <c r="C471" t="s">
        <v>425</v>
      </c>
      <c r="D471">
        <v>6.4321799999999998</v>
      </c>
    </row>
    <row r="472" spans="1:4" x14ac:dyDescent="0.45">
      <c r="A472" t="s">
        <v>322</v>
      </c>
      <c r="B472">
        <v>2013</v>
      </c>
      <c r="C472" t="s">
        <v>425</v>
      </c>
      <c r="D472">
        <v>6.3701499999999998</v>
      </c>
    </row>
    <row r="473" spans="1:4" x14ac:dyDescent="0.45">
      <c r="A473" t="s">
        <v>322</v>
      </c>
      <c r="B473">
        <v>2014</v>
      </c>
      <c r="C473" t="s">
        <v>425</v>
      </c>
      <c r="D473">
        <v>6.3456159999999997</v>
      </c>
    </row>
    <row r="474" spans="1:4" x14ac:dyDescent="0.45">
      <c r="A474" t="s">
        <v>322</v>
      </c>
      <c r="B474">
        <v>2015</v>
      </c>
      <c r="C474" t="s">
        <v>425</v>
      </c>
      <c r="D474">
        <v>6.1467340000000004</v>
      </c>
    </row>
    <row r="475" spans="1:4" x14ac:dyDescent="0.45">
      <c r="A475" t="s">
        <v>322</v>
      </c>
      <c r="B475">
        <v>2005</v>
      </c>
      <c r="C475" t="s">
        <v>426</v>
      </c>
      <c r="D475">
        <v>1.570282</v>
      </c>
    </row>
    <row r="476" spans="1:4" x14ac:dyDescent="0.45">
      <c r="A476" t="s">
        <v>322</v>
      </c>
      <c r="B476">
        <v>2006</v>
      </c>
      <c r="C476" t="s">
        <v>426</v>
      </c>
      <c r="D476">
        <v>1.508275</v>
      </c>
    </row>
    <row r="477" spans="1:4" x14ac:dyDescent="0.45">
      <c r="A477" t="s">
        <v>322</v>
      </c>
      <c r="B477">
        <v>2007</v>
      </c>
      <c r="C477" t="s">
        <v>426</v>
      </c>
      <c r="D477">
        <v>1.623791</v>
      </c>
    </row>
    <row r="478" spans="1:4" x14ac:dyDescent="0.45">
      <c r="A478" t="s">
        <v>322</v>
      </c>
      <c r="B478">
        <v>2008</v>
      </c>
      <c r="C478" t="s">
        <v>426</v>
      </c>
      <c r="D478">
        <v>1.7622690000000001</v>
      </c>
    </row>
    <row r="479" spans="1:4" x14ac:dyDescent="0.45">
      <c r="A479" t="s">
        <v>322</v>
      </c>
      <c r="B479">
        <v>2009</v>
      </c>
      <c r="C479" t="s">
        <v>426</v>
      </c>
      <c r="D479">
        <v>1.785874</v>
      </c>
    </row>
    <row r="480" spans="1:4" x14ac:dyDescent="0.45">
      <c r="A480" t="s">
        <v>322</v>
      </c>
      <c r="B480">
        <v>2010</v>
      </c>
      <c r="C480" t="s">
        <v>426</v>
      </c>
      <c r="D480">
        <v>1.7975429999999999</v>
      </c>
    </row>
    <row r="481" spans="1:4" x14ac:dyDescent="0.45">
      <c r="A481" t="s">
        <v>322</v>
      </c>
      <c r="B481">
        <v>2011</v>
      </c>
      <c r="C481" t="s">
        <v>426</v>
      </c>
      <c r="D481">
        <v>1.8376049999999999</v>
      </c>
    </row>
    <row r="482" spans="1:4" x14ac:dyDescent="0.45">
      <c r="A482" t="s">
        <v>322</v>
      </c>
      <c r="B482">
        <v>2012</v>
      </c>
      <c r="C482" t="s">
        <v>426</v>
      </c>
      <c r="D482">
        <v>1.869</v>
      </c>
    </row>
    <row r="483" spans="1:4" x14ac:dyDescent="0.45">
      <c r="A483" t="s">
        <v>322</v>
      </c>
      <c r="B483">
        <v>2013</v>
      </c>
      <c r="C483" t="s">
        <v>426</v>
      </c>
      <c r="D483">
        <v>1.8862080000000001</v>
      </c>
    </row>
    <row r="484" spans="1:4" x14ac:dyDescent="0.45">
      <c r="A484" t="s">
        <v>322</v>
      </c>
      <c r="B484">
        <v>2014</v>
      </c>
      <c r="C484" t="s">
        <v>426</v>
      </c>
      <c r="D484">
        <v>1.983017</v>
      </c>
    </row>
    <row r="485" spans="1:4" x14ac:dyDescent="0.45">
      <c r="A485" t="s">
        <v>322</v>
      </c>
      <c r="B485">
        <v>2015</v>
      </c>
      <c r="C485" t="s">
        <v>426</v>
      </c>
      <c r="D485">
        <v>2.1013229999999998</v>
      </c>
    </row>
    <row r="486" spans="1:4" x14ac:dyDescent="0.45">
      <c r="A486" t="s">
        <v>322</v>
      </c>
      <c r="B486">
        <v>2005</v>
      </c>
      <c r="C486" t="s">
        <v>427</v>
      </c>
      <c r="D486">
        <v>6.2309999999999999</v>
      </c>
    </row>
    <row r="487" spans="1:4" x14ac:dyDescent="0.45">
      <c r="A487" t="s">
        <v>322</v>
      </c>
      <c r="B487">
        <v>2006</v>
      </c>
      <c r="C487" t="s">
        <v>427</v>
      </c>
      <c r="D487">
        <v>6.51</v>
      </c>
    </row>
    <row r="488" spans="1:4" x14ac:dyDescent="0.45">
      <c r="A488" t="s">
        <v>322</v>
      </c>
      <c r="B488">
        <v>2007</v>
      </c>
      <c r="C488" t="s">
        <v>427</v>
      </c>
      <c r="D488">
        <v>6.7619999999999996</v>
      </c>
    </row>
    <row r="489" spans="1:4" x14ac:dyDescent="0.45">
      <c r="A489" t="s">
        <v>322</v>
      </c>
      <c r="B489">
        <v>2008</v>
      </c>
      <c r="C489" t="s">
        <v>427</v>
      </c>
      <c r="D489">
        <v>6.8170000000000002</v>
      </c>
    </row>
    <row r="490" spans="1:4" x14ac:dyDescent="0.45">
      <c r="A490" t="s">
        <v>322</v>
      </c>
      <c r="B490">
        <v>2009</v>
      </c>
      <c r="C490" t="s">
        <v>427</v>
      </c>
      <c r="D490">
        <v>6.7590000000000003</v>
      </c>
    </row>
    <row r="491" spans="1:4" x14ac:dyDescent="0.45">
      <c r="A491" t="s">
        <v>322</v>
      </c>
      <c r="B491">
        <v>2010</v>
      </c>
      <c r="C491" t="s">
        <v>427</v>
      </c>
      <c r="D491">
        <v>6.7190000000000003</v>
      </c>
    </row>
    <row r="492" spans="1:4" x14ac:dyDescent="0.45">
      <c r="A492" t="s">
        <v>322</v>
      </c>
      <c r="B492">
        <v>2011</v>
      </c>
      <c r="C492" t="s">
        <v>427</v>
      </c>
      <c r="D492">
        <v>6.67</v>
      </c>
    </row>
    <row r="493" spans="1:4" x14ac:dyDescent="0.45">
      <c r="A493" t="s">
        <v>322</v>
      </c>
      <c r="B493">
        <v>2012</v>
      </c>
      <c r="C493" t="s">
        <v>427</v>
      </c>
      <c r="D493">
        <v>6.5430000000000001</v>
      </c>
    </row>
    <row r="494" spans="1:4" x14ac:dyDescent="0.45">
      <c r="A494" t="s">
        <v>322</v>
      </c>
      <c r="B494">
        <v>2013</v>
      </c>
      <c r="C494" t="s">
        <v>427</v>
      </c>
      <c r="D494">
        <v>6.4032660000000003</v>
      </c>
    </row>
    <row r="495" spans="1:4" x14ac:dyDescent="0.45">
      <c r="A495" t="s">
        <v>322</v>
      </c>
      <c r="B495">
        <v>2014</v>
      </c>
      <c r="C495" t="s">
        <v>427</v>
      </c>
      <c r="D495">
        <v>6.336843</v>
      </c>
    </row>
    <row r="496" spans="1:4" x14ac:dyDescent="0.45">
      <c r="A496" t="s">
        <v>322</v>
      </c>
      <c r="B496">
        <v>2015</v>
      </c>
      <c r="C496" t="s">
        <v>427</v>
      </c>
      <c r="D496">
        <v>6.3859709999999996</v>
      </c>
    </row>
    <row r="497" spans="1:4" x14ac:dyDescent="0.45">
      <c r="A497" t="s">
        <v>322</v>
      </c>
      <c r="B497">
        <v>2005</v>
      </c>
      <c r="C497" t="s">
        <v>428</v>
      </c>
      <c r="D497">
        <v>4.9243639999999997</v>
      </c>
    </row>
    <row r="498" spans="1:4" x14ac:dyDescent="0.45">
      <c r="A498" t="s">
        <v>322</v>
      </c>
      <c r="B498">
        <v>2006</v>
      </c>
      <c r="C498" t="s">
        <v>428</v>
      </c>
      <c r="D498">
        <v>5.3106549999999997</v>
      </c>
    </row>
    <row r="499" spans="1:4" x14ac:dyDescent="0.45">
      <c r="A499" t="s">
        <v>322</v>
      </c>
      <c r="B499">
        <v>2007</v>
      </c>
      <c r="C499" t="s">
        <v>428</v>
      </c>
      <c r="D499">
        <v>5.6293639999999998</v>
      </c>
    </row>
    <row r="500" spans="1:4" x14ac:dyDescent="0.45">
      <c r="A500" t="s">
        <v>322</v>
      </c>
      <c r="B500">
        <v>2008</v>
      </c>
      <c r="C500" t="s">
        <v>428</v>
      </c>
      <c r="D500">
        <v>6.0018159999999998</v>
      </c>
    </row>
    <row r="501" spans="1:4" x14ac:dyDescent="0.45">
      <c r="A501" t="s">
        <v>322</v>
      </c>
      <c r="B501">
        <v>2009</v>
      </c>
      <c r="C501" t="s">
        <v>428</v>
      </c>
      <c r="D501">
        <v>6.1406599999999996</v>
      </c>
    </row>
    <row r="502" spans="1:4" x14ac:dyDescent="0.45">
      <c r="A502" t="s">
        <v>322</v>
      </c>
      <c r="B502">
        <v>2010</v>
      </c>
      <c r="C502" t="s">
        <v>428</v>
      </c>
      <c r="D502">
        <v>6.4050960000000003</v>
      </c>
    </row>
    <row r="503" spans="1:4" x14ac:dyDescent="0.45">
      <c r="A503" t="s">
        <v>322</v>
      </c>
      <c r="B503">
        <v>2011</v>
      </c>
      <c r="C503" t="s">
        <v>428</v>
      </c>
      <c r="D503">
        <v>6.6490200000000002</v>
      </c>
    </row>
    <row r="504" spans="1:4" x14ac:dyDescent="0.45">
      <c r="A504" t="s">
        <v>322</v>
      </c>
      <c r="B504">
        <v>2012</v>
      </c>
      <c r="C504" t="s">
        <v>428</v>
      </c>
      <c r="D504">
        <v>7.2840090000000002</v>
      </c>
    </row>
    <row r="505" spans="1:4" x14ac:dyDescent="0.45">
      <c r="A505" t="s">
        <v>322</v>
      </c>
      <c r="B505">
        <v>2013</v>
      </c>
      <c r="C505" t="s">
        <v>428</v>
      </c>
      <c r="D505">
        <v>7.6217100000000002</v>
      </c>
    </row>
    <row r="506" spans="1:4" x14ac:dyDescent="0.45">
      <c r="A506" t="s">
        <v>322</v>
      </c>
      <c r="B506">
        <v>2014</v>
      </c>
      <c r="C506" t="s">
        <v>428</v>
      </c>
      <c r="D506">
        <v>7.7908609999999996</v>
      </c>
    </row>
    <row r="507" spans="1:4" x14ac:dyDescent="0.45">
      <c r="A507" t="s">
        <v>322</v>
      </c>
      <c r="B507">
        <v>2015</v>
      </c>
      <c r="C507" t="s">
        <v>428</v>
      </c>
      <c r="D507">
        <v>7.9527289999999997</v>
      </c>
    </row>
    <row r="508" spans="1:4" x14ac:dyDescent="0.45">
      <c r="A508" t="s">
        <v>322</v>
      </c>
      <c r="B508">
        <v>2005</v>
      </c>
      <c r="C508" t="s">
        <v>429</v>
      </c>
      <c r="D508">
        <v>6.1980000000000004</v>
      </c>
    </row>
    <row r="509" spans="1:4" x14ac:dyDescent="0.45">
      <c r="A509" t="s">
        <v>322</v>
      </c>
      <c r="B509">
        <v>2006</v>
      </c>
      <c r="C509" t="s">
        <v>429</v>
      </c>
      <c r="D509">
        <v>6.2610000000000001</v>
      </c>
    </row>
    <row r="510" spans="1:4" x14ac:dyDescent="0.45">
      <c r="A510" t="s">
        <v>322</v>
      </c>
      <c r="B510">
        <v>2007</v>
      </c>
      <c r="C510" t="s">
        <v>429</v>
      </c>
      <c r="D510">
        <v>6.3330000000000002</v>
      </c>
    </row>
    <row r="511" spans="1:4" x14ac:dyDescent="0.45">
      <c r="A511" t="s">
        <v>322</v>
      </c>
      <c r="B511">
        <v>2008</v>
      </c>
      <c r="C511" t="s">
        <v>429</v>
      </c>
      <c r="D511">
        <v>6.3620000000000001</v>
      </c>
    </row>
    <row r="512" spans="1:4" x14ac:dyDescent="0.45">
      <c r="A512" t="s">
        <v>322</v>
      </c>
      <c r="B512">
        <v>2009</v>
      </c>
      <c r="C512" t="s">
        <v>429</v>
      </c>
      <c r="D512">
        <v>6.3879999999999999</v>
      </c>
    </row>
    <row r="513" spans="1:4" x14ac:dyDescent="0.45">
      <c r="A513" t="s">
        <v>322</v>
      </c>
      <c r="B513">
        <v>2010</v>
      </c>
      <c r="C513" t="s">
        <v>429</v>
      </c>
      <c r="D513">
        <v>6.444</v>
      </c>
    </row>
    <row r="514" spans="1:4" x14ac:dyDescent="0.45">
      <c r="A514" t="s">
        <v>322</v>
      </c>
      <c r="B514">
        <v>2011</v>
      </c>
      <c r="C514" t="s">
        <v>429</v>
      </c>
      <c r="D514">
        <v>6.5170000000000003</v>
      </c>
    </row>
    <row r="515" spans="1:4" x14ac:dyDescent="0.45">
      <c r="A515" t="s">
        <v>322</v>
      </c>
      <c r="B515">
        <v>2012</v>
      </c>
      <c r="C515" t="s">
        <v>429</v>
      </c>
      <c r="D515">
        <v>6.5380000000000003</v>
      </c>
    </row>
    <row r="516" spans="1:4" x14ac:dyDescent="0.45">
      <c r="A516" t="s">
        <v>322</v>
      </c>
      <c r="B516">
        <v>2013</v>
      </c>
      <c r="C516" t="s">
        <v>429</v>
      </c>
      <c r="D516">
        <v>6.55</v>
      </c>
    </row>
    <row r="517" spans="1:4" x14ac:dyDescent="0.45">
      <c r="A517" t="s">
        <v>322</v>
      </c>
      <c r="B517">
        <v>2014</v>
      </c>
      <c r="C517" t="s">
        <v>429</v>
      </c>
      <c r="D517">
        <v>6.6079999999999997</v>
      </c>
    </row>
    <row r="518" spans="1:4" x14ac:dyDescent="0.45">
      <c r="A518" t="s">
        <v>322</v>
      </c>
      <c r="B518">
        <v>2015</v>
      </c>
      <c r="C518" t="s">
        <v>429</v>
      </c>
      <c r="D518">
        <v>6.6520000000000001</v>
      </c>
    </row>
    <row r="519" spans="1:4" x14ac:dyDescent="0.45">
      <c r="A519" t="s">
        <v>322</v>
      </c>
      <c r="B519">
        <v>2005</v>
      </c>
      <c r="C519" t="s">
        <v>412</v>
      </c>
      <c r="D519">
        <v>3.133</v>
      </c>
    </row>
    <row r="520" spans="1:4" x14ac:dyDescent="0.45">
      <c r="A520" t="s">
        <v>322</v>
      </c>
      <c r="B520">
        <v>2006</v>
      </c>
      <c r="C520" t="s">
        <v>412</v>
      </c>
      <c r="D520">
        <v>3.1720000000000002</v>
      </c>
    </row>
    <row r="521" spans="1:4" x14ac:dyDescent="0.45">
      <c r="A521" t="s">
        <v>322</v>
      </c>
      <c r="B521">
        <v>2007</v>
      </c>
      <c r="C521" t="s">
        <v>412</v>
      </c>
      <c r="D521">
        <v>2.8370000000000002</v>
      </c>
    </row>
    <row r="522" spans="1:4" x14ac:dyDescent="0.45">
      <c r="A522" t="s">
        <v>322</v>
      </c>
      <c r="B522">
        <v>2008</v>
      </c>
      <c r="C522" t="s">
        <v>412</v>
      </c>
      <c r="D522">
        <v>2.859</v>
      </c>
    </row>
    <row r="523" spans="1:4" x14ac:dyDescent="0.45">
      <c r="A523" t="s">
        <v>322</v>
      </c>
      <c r="B523">
        <v>2009</v>
      </c>
      <c r="C523" t="s">
        <v>412</v>
      </c>
      <c r="D523">
        <v>2.8929999999999998</v>
      </c>
    </row>
    <row r="524" spans="1:4" x14ac:dyDescent="0.45">
      <c r="A524" t="s">
        <v>322</v>
      </c>
      <c r="B524">
        <v>2010</v>
      </c>
      <c r="C524" t="s">
        <v>412</v>
      </c>
      <c r="D524">
        <v>2.96</v>
      </c>
    </row>
    <row r="525" spans="1:4" x14ac:dyDescent="0.45">
      <c r="A525" t="s">
        <v>322</v>
      </c>
      <c r="B525">
        <v>2011</v>
      </c>
      <c r="C525" t="s">
        <v>412</v>
      </c>
      <c r="D525">
        <v>3.056</v>
      </c>
    </row>
    <row r="526" spans="1:4" x14ac:dyDescent="0.45">
      <c r="A526" t="s">
        <v>322</v>
      </c>
      <c r="B526">
        <v>2012</v>
      </c>
      <c r="C526" t="s">
        <v>412</v>
      </c>
      <c r="D526">
        <v>3.1070000000000002</v>
      </c>
    </row>
    <row r="527" spans="1:4" x14ac:dyDescent="0.45">
      <c r="A527" t="s">
        <v>322</v>
      </c>
      <c r="B527">
        <v>2013</v>
      </c>
      <c r="C527" t="s">
        <v>412</v>
      </c>
      <c r="D527">
        <v>3.1634690000000001</v>
      </c>
    </row>
    <row r="528" spans="1:4" x14ac:dyDescent="0.45">
      <c r="A528" t="s">
        <v>322</v>
      </c>
      <c r="B528">
        <v>2014</v>
      </c>
      <c r="C528" t="s">
        <v>412</v>
      </c>
      <c r="D528">
        <v>3.2444570000000001</v>
      </c>
    </row>
    <row r="529" spans="1:4" x14ac:dyDescent="0.45">
      <c r="A529" t="s">
        <v>322</v>
      </c>
      <c r="B529">
        <v>2015</v>
      </c>
      <c r="C529" t="s">
        <v>412</v>
      </c>
      <c r="D529">
        <v>3.3558849999999998</v>
      </c>
    </row>
    <row r="530" spans="1:4" x14ac:dyDescent="0.45">
      <c r="A530" t="s">
        <v>322</v>
      </c>
      <c r="B530">
        <v>2005</v>
      </c>
      <c r="C530" t="s">
        <v>317</v>
      </c>
      <c r="D530">
        <v>2.706</v>
      </c>
    </row>
    <row r="531" spans="1:4" x14ac:dyDescent="0.45">
      <c r="A531" t="s">
        <v>322</v>
      </c>
      <c r="B531">
        <v>2006</v>
      </c>
      <c r="C531" t="s">
        <v>317</v>
      </c>
      <c r="D531">
        <v>2.948</v>
      </c>
    </row>
    <row r="532" spans="1:4" x14ac:dyDescent="0.45">
      <c r="A532" t="s">
        <v>322</v>
      </c>
      <c r="B532">
        <v>2007</v>
      </c>
      <c r="C532" t="s">
        <v>317</v>
      </c>
      <c r="D532">
        <v>3.6419999999999999</v>
      </c>
    </row>
    <row r="533" spans="1:4" x14ac:dyDescent="0.45">
      <c r="A533" t="s">
        <v>322</v>
      </c>
      <c r="B533">
        <v>2008</v>
      </c>
      <c r="C533" t="s">
        <v>317</v>
      </c>
      <c r="D533">
        <v>3.9540000000000002</v>
      </c>
    </row>
    <row r="534" spans="1:4" x14ac:dyDescent="0.45">
      <c r="A534" t="s">
        <v>322</v>
      </c>
      <c r="B534">
        <v>2009</v>
      </c>
      <c r="C534" t="s">
        <v>317</v>
      </c>
      <c r="D534">
        <v>4.4329999999999998</v>
      </c>
    </row>
    <row r="535" spans="1:4" x14ac:dyDescent="0.45">
      <c r="A535" t="s">
        <v>322</v>
      </c>
      <c r="B535">
        <v>2010</v>
      </c>
      <c r="C535" t="s">
        <v>317</v>
      </c>
      <c r="D535">
        <v>4.6820000000000004</v>
      </c>
    </row>
    <row r="536" spans="1:4" x14ac:dyDescent="0.45">
      <c r="A536" t="s">
        <v>322</v>
      </c>
      <c r="B536">
        <v>2011</v>
      </c>
      <c r="C536" t="s">
        <v>317</v>
      </c>
      <c r="D536">
        <v>5.0860000000000003</v>
      </c>
    </row>
    <row r="537" spans="1:4" x14ac:dyDescent="0.45">
      <c r="A537" t="s">
        <v>322</v>
      </c>
      <c r="B537">
        <v>2012</v>
      </c>
      <c r="C537" t="s">
        <v>317</v>
      </c>
      <c r="D537">
        <v>5.726</v>
      </c>
    </row>
    <row r="538" spans="1:4" x14ac:dyDescent="0.45">
      <c r="A538" t="s">
        <v>322</v>
      </c>
      <c r="B538">
        <v>2013</v>
      </c>
      <c r="C538" t="s">
        <v>317</v>
      </c>
      <c r="D538">
        <v>5.9080000000000004</v>
      </c>
    </row>
    <row r="539" spans="1:4" x14ac:dyDescent="0.45">
      <c r="A539" t="s">
        <v>322</v>
      </c>
      <c r="B539">
        <v>2014</v>
      </c>
      <c r="C539" t="s">
        <v>317</v>
      </c>
      <c r="D539">
        <v>6.0679999999999996</v>
      </c>
    </row>
    <row r="540" spans="1:4" x14ac:dyDescent="0.45">
      <c r="A540" t="s">
        <v>322</v>
      </c>
      <c r="B540">
        <v>2015</v>
      </c>
      <c r="C540" t="s">
        <v>317</v>
      </c>
      <c r="D540">
        <v>6.3920000000000003</v>
      </c>
    </row>
    <row r="541" spans="1:4" x14ac:dyDescent="0.45">
      <c r="A541" t="s">
        <v>322</v>
      </c>
      <c r="B541">
        <v>2005</v>
      </c>
      <c r="C541" t="s">
        <v>430</v>
      </c>
      <c r="D541">
        <v>5.6563730000000003</v>
      </c>
    </row>
    <row r="542" spans="1:4" x14ac:dyDescent="0.45">
      <c r="A542" t="s">
        <v>322</v>
      </c>
      <c r="B542">
        <v>2006</v>
      </c>
      <c r="C542" t="s">
        <v>430</v>
      </c>
      <c r="D542">
        <v>6.0851220000000001</v>
      </c>
    </row>
    <row r="543" spans="1:4" x14ac:dyDescent="0.45">
      <c r="A543" t="s">
        <v>322</v>
      </c>
      <c r="B543">
        <v>2007</v>
      </c>
      <c r="C543" t="s">
        <v>430</v>
      </c>
      <c r="D543">
        <v>6.6200609999999998</v>
      </c>
    </row>
    <row r="544" spans="1:4" x14ac:dyDescent="0.45">
      <c r="A544" t="s">
        <v>322</v>
      </c>
      <c r="B544">
        <v>2008</v>
      </c>
      <c r="C544" t="s">
        <v>430</v>
      </c>
      <c r="D544">
        <v>7.2183809999999999</v>
      </c>
    </row>
    <row r="545" spans="1:4" x14ac:dyDescent="0.45">
      <c r="A545" t="s">
        <v>322</v>
      </c>
      <c r="B545">
        <v>2009</v>
      </c>
      <c r="C545" t="s">
        <v>430</v>
      </c>
      <c r="D545">
        <v>7.5220440000000002</v>
      </c>
    </row>
    <row r="546" spans="1:4" x14ac:dyDescent="0.45">
      <c r="A546" t="s">
        <v>322</v>
      </c>
      <c r="B546">
        <v>2010</v>
      </c>
      <c r="C546" t="s">
        <v>430</v>
      </c>
      <c r="D546">
        <v>7.9624160000000002</v>
      </c>
    </row>
    <row r="547" spans="1:4" x14ac:dyDescent="0.45">
      <c r="A547" t="s">
        <v>322</v>
      </c>
      <c r="B547">
        <v>2011</v>
      </c>
      <c r="C547" t="s">
        <v>430</v>
      </c>
      <c r="D547">
        <v>8.4356539999999995</v>
      </c>
    </row>
    <row r="548" spans="1:4" x14ac:dyDescent="0.45">
      <c r="A548" t="s">
        <v>322</v>
      </c>
      <c r="B548">
        <v>2012</v>
      </c>
      <c r="C548" t="s">
        <v>430</v>
      </c>
      <c r="D548">
        <v>8.9638109999999998</v>
      </c>
    </row>
    <row r="549" spans="1:4" x14ac:dyDescent="0.45">
      <c r="A549" t="s">
        <v>322</v>
      </c>
      <c r="B549">
        <v>2013</v>
      </c>
      <c r="C549" t="s">
        <v>430</v>
      </c>
      <c r="D549">
        <v>9.1223849999999995</v>
      </c>
    </row>
    <row r="550" spans="1:4" x14ac:dyDescent="0.45">
      <c r="A550" t="s">
        <v>322</v>
      </c>
      <c r="B550">
        <v>2014</v>
      </c>
      <c r="C550" t="s">
        <v>430</v>
      </c>
      <c r="D550">
        <v>9.5734890000000004</v>
      </c>
    </row>
    <row r="551" spans="1:4" x14ac:dyDescent="0.45">
      <c r="A551" t="s">
        <v>322</v>
      </c>
      <c r="B551">
        <v>2015</v>
      </c>
      <c r="C551" t="s">
        <v>430</v>
      </c>
      <c r="D551">
        <v>10.114943999999999</v>
      </c>
    </row>
    <row r="552" spans="1:4" x14ac:dyDescent="0.45">
      <c r="A552" t="s">
        <v>322</v>
      </c>
      <c r="B552">
        <v>2005</v>
      </c>
      <c r="C552" t="s">
        <v>431</v>
      </c>
      <c r="D552">
        <v>7.25</v>
      </c>
    </row>
    <row r="553" spans="1:4" x14ac:dyDescent="0.45">
      <c r="A553" t="s">
        <v>322</v>
      </c>
      <c r="B553">
        <v>2006</v>
      </c>
      <c r="C553" t="s">
        <v>431</v>
      </c>
      <c r="D553">
        <v>7.7729999999999997</v>
      </c>
    </row>
    <row r="554" spans="1:4" x14ac:dyDescent="0.45">
      <c r="A554" t="s">
        <v>322</v>
      </c>
      <c r="B554">
        <v>2007</v>
      </c>
      <c r="C554" t="s">
        <v>431</v>
      </c>
      <c r="D554">
        <v>8.1720000000000006</v>
      </c>
    </row>
    <row r="555" spans="1:4" x14ac:dyDescent="0.45">
      <c r="A555" t="s">
        <v>322</v>
      </c>
      <c r="B555">
        <v>2008</v>
      </c>
      <c r="C555" t="s">
        <v>431</v>
      </c>
      <c r="D555">
        <v>8.7870000000000008</v>
      </c>
    </row>
    <row r="556" spans="1:4" x14ac:dyDescent="0.45">
      <c r="A556" t="s">
        <v>322</v>
      </c>
      <c r="B556">
        <v>2009</v>
      </c>
      <c r="C556" t="s">
        <v>431</v>
      </c>
      <c r="D556">
        <v>9.173</v>
      </c>
    </row>
    <row r="557" spans="1:4" x14ac:dyDescent="0.45">
      <c r="A557" t="s">
        <v>322</v>
      </c>
      <c r="B557">
        <v>2010</v>
      </c>
      <c r="C557" t="s">
        <v>431</v>
      </c>
      <c r="D557">
        <v>9.3290000000000006</v>
      </c>
    </row>
    <row r="558" spans="1:4" x14ac:dyDescent="0.45">
      <c r="A558" t="s">
        <v>322</v>
      </c>
      <c r="B558">
        <v>2011</v>
      </c>
      <c r="C558" t="s">
        <v>431</v>
      </c>
      <c r="D558">
        <v>9.5909999999999993</v>
      </c>
    </row>
    <row r="559" spans="1:4" x14ac:dyDescent="0.45">
      <c r="A559" t="s">
        <v>322</v>
      </c>
      <c r="B559">
        <v>2012</v>
      </c>
      <c r="C559" t="s">
        <v>431</v>
      </c>
      <c r="D559">
        <v>9.7230000000000008</v>
      </c>
    </row>
    <row r="560" spans="1:4" x14ac:dyDescent="0.45">
      <c r="A560" t="s">
        <v>322</v>
      </c>
      <c r="B560">
        <v>2013</v>
      </c>
      <c r="C560" t="s">
        <v>431</v>
      </c>
      <c r="D560">
        <v>10.050316</v>
      </c>
    </row>
    <row r="561" spans="1:4" x14ac:dyDescent="0.45">
      <c r="A561" t="s">
        <v>322</v>
      </c>
      <c r="B561">
        <v>2014</v>
      </c>
      <c r="C561" t="s">
        <v>431</v>
      </c>
      <c r="D561">
        <v>10.210521999999999</v>
      </c>
    </row>
    <row r="562" spans="1:4" x14ac:dyDescent="0.45">
      <c r="A562" t="s">
        <v>322</v>
      </c>
      <c r="B562">
        <v>2015</v>
      </c>
      <c r="C562" t="s">
        <v>431</v>
      </c>
      <c r="D562">
        <v>10.416238</v>
      </c>
    </row>
    <row r="563" spans="1:4" x14ac:dyDescent="0.45">
      <c r="A563" t="s">
        <v>322</v>
      </c>
      <c r="B563">
        <v>2005</v>
      </c>
      <c r="C563" t="s">
        <v>432</v>
      </c>
      <c r="D563">
        <v>5.0019879999999999</v>
      </c>
    </row>
    <row r="564" spans="1:4" x14ac:dyDescent="0.45">
      <c r="A564" t="s">
        <v>322</v>
      </c>
      <c r="B564">
        <v>2006</v>
      </c>
      <c r="C564" t="s">
        <v>432</v>
      </c>
      <c r="D564">
        <v>5.2311310000000004</v>
      </c>
    </row>
    <row r="565" spans="1:4" x14ac:dyDescent="0.45">
      <c r="A565" t="s">
        <v>322</v>
      </c>
      <c r="B565">
        <v>2007</v>
      </c>
      <c r="C565" t="s">
        <v>432</v>
      </c>
      <c r="D565">
        <v>5.5350000000000001</v>
      </c>
    </row>
    <row r="566" spans="1:4" x14ac:dyDescent="0.45">
      <c r="A566" t="s">
        <v>322</v>
      </c>
      <c r="B566">
        <v>2008</v>
      </c>
      <c r="C566" t="s">
        <v>432</v>
      </c>
      <c r="D566">
        <v>5.8105226666666701</v>
      </c>
    </row>
    <row r="567" spans="1:4" x14ac:dyDescent="0.45">
      <c r="A567" t="s">
        <v>322</v>
      </c>
      <c r="B567">
        <v>2009</v>
      </c>
      <c r="C567" t="s">
        <v>432</v>
      </c>
      <c r="D567">
        <v>6.0245273333333298</v>
      </c>
    </row>
    <row r="568" spans="1:4" x14ac:dyDescent="0.45">
      <c r="A568" t="s">
        <v>322</v>
      </c>
      <c r="B568">
        <v>2010</v>
      </c>
      <c r="C568" t="s">
        <v>432</v>
      </c>
      <c r="D568">
        <v>6.3115170000000003</v>
      </c>
    </row>
    <row r="569" spans="1:4" x14ac:dyDescent="0.45">
      <c r="A569" t="s">
        <v>322</v>
      </c>
      <c r="B569">
        <v>2011</v>
      </c>
      <c r="C569" t="s">
        <v>432</v>
      </c>
      <c r="D569">
        <v>6.7776536666666702</v>
      </c>
    </row>
    <row r="570" spans="1:4" x14ac:dyDescent="0.45">
      <c r="A570" t="s">
        <v>322</v>
      </c>
      <c r="B570">
        <v>2012</v>
      </c>
      <c r="C570" t="s">
        <v>432</v>
      </c>
      <c r="D570">
        <v>7.3034853333333301</v>
      </c>
    </row>
    <row r="571" spans="1:4" x14ac:dyDescent="0.45">
      <c r="A571" t="s">
        <v>322</v>
      </c>
      <c r="B571">
        <v>2013</v>
      </c>
      <c r="C571" t="s">
        <v>432</v>
      </c>
      <c r="D571">
        <v>7.5937799999999998</v>
      </c>
    </row>
    <row r="572" spans="1:4" x14ac:dyDescent="0.45">
      <c r="A572" t="s">
        <v>322</v>
      </c>
      <c r="B572">
        <v>2014</v>
      </c>
      <c r="C572" t="s">
        <v>432</v>
      </c>
      <c r="D572">
        <v>7.8313959999999998</v>
      </c>
    </row>
    <row r="573" spans="1:4" x14ac:dyDescent="0.45">
      <c r="A573" t="s">
        <v>322</v>
      </c>
      <c r="B573">
        <v>2015</v>
      </c>
      <c r="C573" t="s">
        <v>432</v>
      </c>
      <c r="D573">
        <v>8.1383279999999996</v>
      </c>
    </row>
    <row r="574" spans="1:4" x14ac:dyDescent="0.45">
      <c r="A574" t="s">
        <v>322</v>
      </c>
      <c r="B574">
        <v>2005</v>
      </c>
      <c r="C574" t="s">
        <v>433</v>
      </c>
      <c r="D574">
        <v>0.52100000000000002</v>
      </c>
    </row>
    <row r="575" spans="1:4" x14ac:dyDescent="0.45">
      <c r="A575" t="s">
        <v>322</v>
      </c>
      <c r="B575">
        <v>2006</v>
      </c>
      <c r="C575" t="s">
        <v>433</v>
      </c>
      <c r="D575">
        <v>0.54500000000000004</v>
      </c>
    </row>
    <row r="576" spans="1:4" x14ac:dyDescent="0.45">
      <c r="A576" t="s">
        <v>322</v>
      </c>
      <c r="B576">
        <v>2007</v>
      </c>
      <c r="C576" t="s">
        <v>433</v>
      </c>
      <c r="D576">
        <v>0.57099999999999995</v>
      </c>
    </row>
    <row r="577" spans="1:4" x14ac:dyDescent="0.45">
      <c r="A577" t="s">
        <v>322</v>
      </c>
      <c r="B577">
        <v>2008</v>
      </c>
      <c r="C577" t="s">
        <v>433</v>
      </c>
      <c r="D577">
        <v>0.57999999999999996</v>
      </c>
    </row>
    <row r="578" spans="1:4" x14ac:dyDescent="0.45">
      <c r="A578" t="s">
        <v>322</v>
      </c>
      <c r="B578">
        <v>2009</v>
      </c>
      <c r="C578" t="s">
        <v>433</v>
      </c>
      <c r="D578">
        <v>0.58299999999999996</v>
      </c>
    </row>
    <row r="579" spans="1:4" x14ac:dyDescent="0.45">
      <c r="A579" t="s">
        <v>322</v>
      </c>
      <c r="B579">
        <v>2010</v>
      </c>
      <c r="C579" t="s">
        <v>433</v>
      </c>
      <c r="D579">
        <v>0.58899999999999997</v>
      </c>
    </row>
    <row r="580" spans="1:4" x14ac:dyDescent="0.45">
      <c r="A580" t="s">
        <v>322</v>
      </c>
      <c r="B580">
        <v>2011</v>
      </c>
      <c r="C580" t="s">
        <v>433</v>
      </c>
      <c r="D580">
        <v>0.59218099999999996</v>
      </c>
    </row>
    <row r="581" spans="1:4" x14ac:dyDescent="0.45">
      <c r="A581" t="s">
        <v>322</v>
      </c>
      <c r="B581">
        <v>2012</v>
      </c>
      <c r="C581" t="s">
        <v>433</v>
      </c>
      <c r="D581">
        <v>0.60342200000000001</v>
      </c>
    </row>
    <row r="582" spans="1:4" x14ac:dyDescent="0.45">
      <c r="A582" t="s">
        <v>322</v>
      </c>
      <c r="B582">
        <v>2013</v>
      </c>
      <c r="C582" t="s">
        <v>433</v>
      </c>
      <c r="D582">
        <v>0.61136699999999999</v>
      </c>
    </row>
    <row r="583" spans="1:4" x14ac:dyDescent="0.45">
      <c r="A583" t="s">
        <v>322</v>
      </c>
      <c r="B583">
        <v>2014</v>
      </c>
      <c r="C583" t="s">
        <v>433</v>
      </c>
      <c r="D583">
        <v>0.618502</v>
      </c>
    </row>
    <row r="584" spans="1:4" x14ac:dyDescent="0.45">
      <c r="A584" t="s">
        <v>322</v>
      </c>
      <c r="B584">
        <v>2015</v>
      </c>
      <c r="C584" t="s">
        <v>433</v>
      </c>
      <c r="D584">
        <v>0.62629800000000002</v>
      </c>
    </row>
    <row r="585" spans="1:4" x14ac:dyDescent="0.45">
      <c r="A585" t="s">
        <v>322</v>
      </c>
      <c r="B585">
        <v>2005</v>
      </c>
      <c r="C585" t="s">
        <v>316</v>
      </c>
      <c r="D585">
        <v>5.6420000000000003</v>
      </c>
    </row>
    <row r="586" spans="1:4" x14ac:dyDescent="0.45">
      <c r="A586" t="s">
        <v>322</v>
      </c>
      <c r="B586">
        <v>2006</v>
      </c>
      <c r="C586" t="s">
        <v>316</v>
      </c>
      <c r="D586">
        <v>5.7530000000000001</v>
      </c>
    </row>
    <row r="587" spans="1:4" x14ac:dyDescent="0.45">
      <c r="A587" t="s">
        <v>322</v>
      </c>
      <c r="B587">
        <v>2007</v>
      </c>
      <c r="C587" t="s">
        <v>316</v>
      </c>
      <c r="D587">
        <v>6.05</v>
      </c>
    </row>
    <row r="588" spans="1:4" x14ac:dyDescent="0.45">
      <c r="A588" t="s">
        <v>322</v>
      </c>
      <c r="B588">
        <v>2008</v>
      </c>
      <c r="C588" t="s">
        <v>316</v>
      </c>
      <c r="D588">
        <v>6.2430000000000003</v>
      </c>
    </row>
    <row r="589" spans="1:4" x14ac:dyDescent="0.45">
      <c r="A589" t="s">
        <v>322</v>
      </c>
      <c r="B589">
        <v>2009</v>
      </c>
      <c r="C589" t="s">
        <v>316</v>
      </c>
      <c r="D589">
        <v>6.2190000000000003</v>
      </c>
    </row>
    <row r="590" spans="1:4" x14ac:dyDescent="0.45">
      <c r="A590" t="s">
        <v>322</v>
      </c>
      <c r="B590">
        <v>2010</v>
      </c>
      <c r="C590" t="s">
        <v>316</v>
      </c>
      <c r="D590">
        <v>6.3070000000000004</v>
      </c>
    </row>
    <row r="591" spans="1:4" x14ac:dyDescent="0.45">
      <c r="A591" t="s">
        <v>322</v>
      </c>
      <c r="B591">
        <v>2011</v>
      </c>
      <c r="C591" t="s">
        <v>316</v>
      </c>
      <c r="D591">
        <v>6.4470000000000001</v>
      </c>
    </row>
    <row r="592" spans="1:4" x14ac:dyDescent="0.45">
      <c r="A592" t="s">
        <v>322</v>
      </c>
      <c r="B592">
        <v>2012</v>
      </c>
      <c r="C592" t="s">
        <v>316</v>
      </c>
      <c r="D592">
        <v>6.94</v>
      </c>
    </row>
    <row r="593" spans="1:4" x14ac:dyDescent="0.45">
      <c r="A593" t="s">
        <v>322</v>
      </c>
      <c r="B593">
        <v>2013</v>
      </c>
      <c r="C593" t="s">
        <v>316</v>
      </c>
      <c r="D593">
        <v>6.9070859999999996</v>
      </c>
    </row>
    <row r="594" spans="1:4" x14ac:dyDescent="0.45">
      <c r="A594" t="s">
        <v>322</v>
      </c>
      <c r="B594">
        <v>2014</v>
      </c>
      <c r="C594" t="s">
        <v>316</v>
      </c>
      <c r="D594">
        <v>7.116403</v>
      </c>
    </row>
    <row r="595" spans="1:4" x14ac:dyDescent="0.45">
      <c r="A595" t="s">
        <v>322</v>
      </c>
      <c r="B595">
        <v>2015</v>
      </c>
      <c r="C595" t="s">
        <v>316</v>
      </c>
      <c r="D595">
        <v>7.1022780000000001</v>
      </c>
    </row>
    <row r="596" spans="1:4" x14ac:dyDescent="0.45">
      <c r="A596" t="s">
        <v>322</v>
      </c>
      <c r="B596">
        <v>2005</v>
      </c>
      <c r="C596" t="s">
        <v>434</v>
      </c>
      <c r="D596">
        <v>1.42</v>
      </c>
    </row>
    <row r="597" spans="1:4" x14ac:dyDescent="0.45">
      <c r="A597" t="s">
        <v>322</v>
      </c>
      <c r="B597">
        <v>2006</v>
      </c>
      <c r="C597" t="s">
        <v>434</v>
      </c>
      <c r="D597">
        <v>1.44</v>
      </c>
    </row>
    <row r="598" spans="1:4" x14ac:dyDescent="0.45">
      <c r="A598" t="s">
        <v>322</v>
      </c>
      <c r="B598">
        <v>2007</v>
      </c>
      <c r="C598" t="s">
        <v>434</v>
      </c>
      <c r="D598">
        <v>1.54</v>
      </c>
    </row>
    <row r="599" spans="1:4" x14ac:dyDescent="0.45">
      <c r="A599" t="s">
        <v>322</v>
      </c>
      <c r="B599">
        <v>2008</v>
      </c>
      <c r="C599" t="s">
        <v>434</v>
      </c>
      <c r="D599">
        <v>1.61</v>
      </c>
    </row>
    <row r="600" spans="1:4" x14ac:dyDescent="0.45">
      <c r="A600" t="s">
        <v>322</v>
      </c>
      <c r="B600">
        <v>2009</v>
      </c>
      <c r="C600" t="s">
        <v>434</v>
      </c>
      <c r="D600">
        <v>1.68</v>
      </c>
    </row>
    <row r="601" spans="1:4" x14ac:dyDescent="0.45">
      <c r="A601" t="s">
        <v>322</v>
      </c>
      <c r="B601">
        <v>2010</v>
      </c>
      <c r="C601" t="s">
        <v>434</v>
      </c>
      <c r="D601">
        <v>1.76</v>
      </c>
    </row>
    <row r="602" spans="1:4" x14ac:dyDescent="0.45">
      <c r="A602" t="s">
        <v>322</v>
      </c>
      <c r="B602">
        <v>2011</v>
      </c>
      <c r="C602" t="s">
        <v>434</v>
      </c>
      <c r="D602">
        <v>1.87</v>
      </c>
    </row>
    <row r="603" spans="1:4" x14ac:dyDescent="0.45">
      <c r="A603" t="s">
        <v>322</v>
      </c>
      <c r="B603">
        <v>2012</v>
      </c>
      <c r="C603" t="s">
        <v>434</v>
      </c>
      <c r="D603">
        <v>2.0138889999999998</v>
      </c>
    </row>
    <row r="604" spans="1:4" x14ac:dyDescent="0.45">
      <c r="A604" t="s">
        <v>322</v>
      </c>
      <c r="B604">
        <v>2013</v>
      </c>
      <c r="C604" t="s">
        <v>434</v>
      </c>
      <c r="D604">
        <v>2.0825</v>
      </c>
    </row>
    <row r="605" spans="1:4" x14ac:dyDescent="0.45">
      <c r="A605" t="s">
        <v>322</v>
      </c>
      <c r="B605">
        <v>2014</v>
      </c>
      <c r="C605" t="s">
        <v>434</v>
      </c>
      <c r="D605">
        <v>2.13</v>
      </c>
    </row>
    <row r="606" spans="1:4" x14ac:dyDescent="0.45">
      <c r="A606" t="s">
        <v>322</v>
      </c>
      <c r="B606">
        <v>2015</v>
      </c>
      <c r="C606" t="s">
        <v>434</v>
      </c>
      <c r="D606">
        <v>2.2000000000000002</v>
      </c>
    </row>
    <row r="607" spans="1:4" x14ac:dyDescent="0.45">
      <c r="A607" t="s">
        <v>322</v>
      </c>
      <c r="B607">
        <v>2005</v>
      </c>
      <c r="C607" t="s">
        <v>435</v>
      </c>
      <c r="D607">
        <v>2.2970000000000002</v>
      </c>
    </row>
    <row r="608" spans="1:4" x14ac:dyDescent="0.45">
      <c r="A608" t="s">
        <v>322</v>
      </c>
      <c r="B608">
        <v>2006</v>
      </c>
      <c r="C608" t="s">
        <v>435</v>
      </c>
      <c r="D608">
        <v>2.4820000000000002</v>
      </c>
    </row>
    <row r="609" spans="1:4" x14ac:dyDescent="0.45">
      <c r="A609" t="s">
        <v>322</v>
      </c>
      <c r="B609">
        <v>2007</v>
      </c>
      <c r="C609" t="s">
        <v>435</v>
      </c>
      <c r="D609">
        <v>2.6419999999999999</v>
      </c>
    </row>
    <row r="610" spans="1:4" x14ac:dyDescent="0.45">
      <c r="A610" t="s">
        <v>322</v>
      </c>
      <c r="B610">
        <v>2008</v>
      </c>
      <c r="C610" t="s">
        <v>435</v>
      </c>
      <c r="D610">
        <v>2.7410000000000001</v>
      </c>
    </row>
    <row r="611" spans="1:4" x14ac:dyDescent="0.45">
      <c r="A611" t="s">
        <v>322</v>
      </c>
      <c r="B611">
        <v>2009</v>
      </c>
      <c r="C611" t="s">
        <v>435</v>
      </c>
      <c r="D611">
        <v>2.81</v>
      </c>
    </row>
    <row r="612" spans="1:4" x14ac:dyDescent="0.45">
      <c r="A612" t="s">
        <v>322</v>
      </c>
      <c r="B612">
        <v>2010</v>
      </c>
      <c r="C612" t="s">
        <v>435</v>
      </c>
      <c r="D612">
        <v>2.8375349999999999</v>
      </c>
    </row>
    <row r="613" spans="1:4" x14ac:dyDescent="0.45">
      <c r="A613" t="s">
        <v>322</v>
      </c>
      <c r="B613">
        <v>2011</v>
      </c>
      <c r="C613" t="s">
        <v>435</v>
      </c>
      <c r="D613">
        <v>2.8975650000000002</v>
      </c>
    </row>
    <row r="614" spans="1:4" x14ac:dyDescent="0.45">
      <c r="A614" t="s">
        <v>322</v>
      </c>
      <c r="B614">
        <v>2012</v>
      </c>
      <c r="C614" t="s">
        <v>435</v>
      </c>
      <c r="D614">
        <v>2.9663689999999998</v>
      </c>
    </row>
    <row r="615" spans="1:4" x14ac:dyDescent="0.45">
      <c r="A615" t="s">
        <v>322</v>
      </c>
      <c r="B615">
        <v>2013</v>
      </c>
      <c r="C615" t="s">
        <v>435</v>
      </c>
      <c r="D615">
        <v>3.0454659999999998</v>
      </c>
    </row>
    <row r="616" spans="1:4" x14ac:dyDescent="0.45">
      <c r="A616" t="s">
        <v>322</v>
      </c>
      <c r="B616">
        <v>2014</v>
      </c>
      <c r="C616" t="s">
        <v>435</v>
      </c>
      <c r="D616">
        <v>3.130862</v>
      </c>
    </row>
    <row r="617" spans="1:4" x14ac:dyDescent="0.45">
      <c r="A617" t="s">
        <v>322</v>
      </c>
      <c r="B617">
        <v>2015</v>
      </c>
      <c r="C617" t="s">
        <v>435</v>
      </c>
      <c r="D617">
        <v>3.216656</v>
      </c>
    </row>
    <row r="618" spans="1:4" x14ac:dyDescent="0.45">
      <c r="A618" t="s">
        <v>322</v>
      </c>
      <c r="B618">
        <v>2005</v>
      </c>
      <c r="C618" t="s">
        <v>436</v>
      </c>
      <c r="D618">
        <v>3.9167649999999998</v>
      </c>
    </row>
    <row r="619" spans="1:4" x14ac:dyDescent="0.45">
      <c r="A619" t="s">
        <v>322</v>
      </c>
      <c r="B619">
        <v>2006</v>
      </c>
      <c r="C619" t="s">
        <v>436</v>
      </c>
      <c r="D619">
        <v>4.1179870000000003</v>
      </c>
    </row>
    <row r="620" spans="1:4" x14ac:dyDescent="0.45">
      <c r="A620" t="s">
        <v>322</v>
      </c>
      <c r="B620">
        <v>2007</v>
      </c>
      <c r="C620" t="s">
        <v>436</v>
      </c>
      <c r="D620">
        <v>4.2479880000000003</v>
      </c>
    </row>
    <row r="621" spans="1:4" x14ac:dyDescent="0.45">
      <c r="A621" t="s">
        <v>322</v>
      </c>
      <c r="B621">
        <v>2008</v>
      </c>
      <c r="C621" t="s">
        <v>436</v>
      </c>
      <c r="D621">
        <v>4.2852059999999996</v>
      </c>
    </row>
    <row r="622" spans="1:4" x14ac:dyDescent="0.45">
      <c r="A622" t="s">
        <v>322</v>
      </c>
      <c r="B622">
        <v>2009</v>
      </c>
      <c r="C622" t="s">
        <v>436</v>
      </c>
      <c r="D622">
        <v>4.1815189999999998</v>
      </c>
    </row>
    <row r="623" spans="1:4" x14ac:dyDescent="0.45">
      <c r="A623" t="s">
        <v>322</v>
      </c>
      <c r="B623">
        <v>2010</v>
      </c>
      <c r="C623" t="s">
        <v>436</v>
      </c>
      <c r="D623">
        <v>4.2204550000000003</v>
      </c>
    </row>
    <row r="624" spans="1:4" x14ac:dyDescent="0.45">
      <c r="A624" t="s">
        <v>322</v>
      </c>
      <c r="B624">
        <v>2011</v>
      </c>
      <c r="C624" t="s">
        <v>436</v>
      </c>
      <c r="D624">
        <v>4.269641</v>
      </c>
    </row>
    <row r="625" spans="1:4" x14ac:dyDescent="0.45">
      <c r="A625" t="s">
        <v>322</v>
      </c>
      <c r="B625">
        <v>2012</v>
      </c>
      <c r="C625" t="s">
        <v>436</v>
      </c>
      <c r="D625">
        <v>4.2789999999999999</v>
      </c>
    </row>
    <row r="626" spans="1:4" x14ac:dyDescent="0.45">
      <c r="A626" t="s">
        <v>322</v>
      </c>
      <c r="B626">
        <v>2013</v>
      </c>
      <c r="C626" t="s">
        <v>436</v>
      </c>
      <c r="D626">
        <v>4.3647179999999999</v>
      </c>
    </row>
    <row r="627" spans="1:4" x14ac:dyDescent="0.45">
      <c r="A627" t="s">
        <v>322</v>
      </c>
      <c r="B627">
        <v>2014</v>
      </c>
      <c r="C627" t="s">
        <v>436</v>
      </c>
      <c r="D627">
        <v>4.5005759999999997</v>
      </c>
    </row>
    <row r="628" spans="1:4" x14ac:dyDescent="0.45">
      <c r="A628" t="s">
        <v>322</v>
      </c>
      <c r="B628">
        <v>2015</v>
      </c>
      <c r="C628" t="s">
        <v>436</v>
      </c>
      <c r="D628">
        <v>4.677162</v>
      </c>
    </row>
    <row r="629" spans="1:4" x14ac:dyDescent="0.45">
      <c r="A629" t="s">
        <v>322</v>
      </c>
      <c r="B629">
        <v>2005</v>
      </c>
      <c r="C629" t="s">
        <v>5</v>
      </c>
      <c r="D629">
        <v>104.788</v>
      </c>
    </row>
    <row r="630" spans="1:4" x14ac:dyDescent="0.45">
      <c r="A630" t="s">
        <v>322</v>
      </c>
      <c r="B630">
        <v>2006</v>
      </c>
      <c r="C630" t="s">
        <v>5</v>
      </c>
      <c r="D630">
        <v>109.596</v>
      </c>
    </row>
    <row r="631" spans="1:4" x14ac:dyDescent="0.45">
      <c r="A631" t="s">
        <v>322</v>
      </c>
      <c r="B631">
        <v>2007</v>
      </c>
      <c r="C631" t="s">
        <v>5</v>
      </c>
      <c r="D631">
        <v>113.479</v>
      </c>
    </row>
    <row r="632" spans="1:4" x14ac:dyDescent="0.45">
      <c r="A632" t="s">
        <v>322</v>
      </c>
      <c r="B632">
        <v>2008</v>
      </c>
      <c r="C632" t="s">
        <v>5</v>
      </c>
      <c r="D632">
        <v>113.931</v>
      </c>
    </row>
    <row r="633" spans="1:4" x14ac:dyDescent="0.45">
      <c r="A633" t="s">
        <v>322</v>
      </c>
      <c r="B633">
        <v>2009</v>
      </c>
      <c r="C633" t="s">
        <v>5</v>
      </c>
      <c r="D633">
        <v>116.47199999999999</v>
      </c>
    </row>
    <row r="634" spans="1:4" x14ac:dyDescent="0.45">
      <c r="A634" t="s">
        <v>322</v>
      </c>
      <c r="B634">
        <v>2010</v>
      </c>
      <c r="C634" t="s">
        <v>5</v>
      </c>
      <c r="D634">
        <v>119.179</v>
      </c>
    </row>
    <row r="635" spans="1:4" x14ac:dyDescent="0.45">
      <c r="A635" t="s">
        <v>322</v>
      </c>
      <c r="B635">
        <v>2011</v>
      </c>
      <c r="C635" t="s">
        <v>5</v>
      </c>
      <c r="D635">
        <v>121.355</v>
      </c>
    </row>
    <row r="636" spans="1:4" x14ac:dyDescent="0.45">
      <c r="A636" t="s">
        <v>322</v>
      </c>
      <c r="B636">
        <v>2012</v>
      </c>
      <c r="C636" t="s">
        <v>5</v>
      </c>
      <c r="D636">
        <v>130.59545900000001</v>
      </c>
    </row>
    <row r="637" spans="1:4" x14ac:dyDescent="0.45">
      <c r="A637" t="s">
        <v>322</v>
      </c>
      <c r="B637">
        <v>2013</v>
      </c>
      <c r="C637" t="s">
        <v>5</v>
      </c>
      <c r="D637">
        <v>132.50072299999999</v>
      </c>
    </row>
    <row r="638" spans="1:4" x14ac:dyDescent="0.45">
      <c r="A638" t="s">
        <v>322</v>
      </c>
      <c r="B638">
        <v>2014</v>
      </c>
      <c r="C638" t="s">
        <v>5</v>
      </c>
      <c r="D638">
        <v>137.04311799999999</v>
      </c>
    </row>
    <row r="639" spans="1:4" x14ac:dyDescent="0.45">
      <c r="A639" t="s">
        <v>322</v>
      </c>
      <c r="B639">
        <v>2015</v>
      </c>
      <c r="C639" t="s">
        <v>5</v>
      </c>
      <c r="D639">
        <v>141.87237500000001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D4FE-6C06-42D8-8074-909216D02A2B}">
  <dimension ref="A1:DH77"/>
  <sheetViews>
    <sheetView zoomScaleNormal="100" workbookViewId="0"/>
  </sheetViews>
  <sheetFormatPr defaultRowHeight="14.25" x14ac:dyDescent="0.45"/>
  <cols>
    <col min="1" max="1" width="5" bestFit="1" customWidth="1"/>
    <col min="3" max="3" width="18.53125" bestFit="1" customWidth="1"/>
    <col min="4" max="4" width="9.46484375" bestFit="1" customWidth="1"/>
    <col min="5" max="5" width="9.46484375" customWidth="1"/>
    <col min="6" max="6" width="11.1328125" bestFit="1" customWidth="1"/>
    <col min="7" max="7" width="4.46484375" bestFit="1" customWidth="1"/>
    <col min="8" max="8" width="4.53125" bestFit="1" customWidth="1"/>
    <col min="9" max="9" width="4.86328125" bestFit="1" customWidth="1"/>
    <col min="10" max="15" width="4.53125" bestFit="1" customWidth="1"/>
    <col min="16" max="16" width="5" bestFit="1" customWidth="1"/>
    <col min="17" max="17" width="4.86328125" bestFit="1" customWidth="1"/>
    <col min="18" max="18" width="5" bestFit="1" customWidth="1"/>
    <col min="19" max="20" width="4.53125" bestFit="1" customWidth="1"/>
    <col min="21" max="21" width="5.1328125" bestFit="1" customWidth="1"/>
    <col min="22" max="22" width="6.86328125" bestFit="1" customWidth="1"/>
    <col min="23" max="36" width="5.1328125" customWidth="1"/>
    <col min="37" max="37" width="5.53125" bestFit="1" customWidth="1"/>
    <col min="38" max="38" width="8.1328125" bestFit="1" customWidth="1"/>
    <col min="40" max="40" width="16.46484375" bestFit="1" customWidth="1"/>
    <col min="41" max="45" width="6.53125" bestFit="1" customWidth="1"/>
    <col min="46" max="46" width="5.53125" bestFit="1" customWidth="1"/>
    <col min="47" max="47" width="6.53125" bestFit="1" customWidth="1"/>
    <col min="48" max="48" width="6.46484375" bestFit="1" customWidth="1"/>
    <col min="49" max="52" width="6.53125" bestFit="1" customWidth="1"/>
    <col min="53" max="53" width="5.53125" bestFit="1" customWidth="1"/>
    <col min="54" max="54" width="7.53125" bestFit="1" customWidth="1"/>
    <col min="55" max="55" width="6.53125" bestFit="1" customWidth="1"/>
    <col min="56" max="70" width="6.53125" customWidth="1"/>
    <col min="74" max="85" width="6.53125" bestFit="1" customWidth="1"/>
    <col min="86" max="86" width="6" bestFit="1" customWidth="1"/>
    <col min="87" max="87" width="7.53125" bestFit="1" customWidth="1"/>
    <col min="88" max="88" width="6.53125" bestFit="1" customWidth="1"/>
    <col min="89" max="103" width="6.53125" customWidth="1"/>
    <col min="106" max="106" width="18.53125" bestFit="1" customWidth="1"/>
    <col min="107" max="107" width="42.6640625" bestFit="1" customWidth="1"/>
    <col min="108" max="108" width="5.86328125" bestFit="1" customWidth="1"/>
    <col min="109" max="109" width="7.86328125" bestFit="1" customWidth="1"/>
    <col min="110" max="110" width="5" bestFit="1" customWidth="1"/>
    <col min="111" max="111" width="10.33203125" bestFit="1" customWidth="1"/>
    <col min="112" max="112" width="7.86328125" bestFit="1" customWidth="1"/>
  </cols>
  <sheetData>
    <row r="1" spans="1:112" x14ac:dyDescent="0.45">
      <c r="A1" s="27"/>
      <c r="B1" s="27"/>
      <c r="C1" s="27"/>
      <c r="D1" s="27"/>
      <c r="E1" s="27"/>
      <c r="F1" s="27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4"/>
      <c r="AL1" s="33"/>
      <c r="AM1" s="33"/>
      <c r="AN1" s="27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27"/>
      <c r="BT1" s="27"/>
      <c r="BU1" s="27" t="s">
        <v>147</v>
      </c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 t="s">
        <v>148</v>
      </c>
      <c r="DB1" s="27"/>
      <c r="DC1" s="27"/>
      <c r="DD1" s="27"/>
      <c r="DE1" s="27"/>
      <c r="DF1" s="27"/>
      <c r="DG1" s="27"/>
      <c r="DH1" s="27"/>
    </row>
    <row r="2" spans="1:112" x14ac:dyDescent="0.45">
      <c r="A2" s="27"/>
      <c r="B2" s="27"/>
      <c r="C2" s="27"/>
      <c r="D2" s="27"/>
      <c r="E2" s="27"/>
      <c r="F2" s="27" t="s">
        <v>398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 t="s">
        <v>142</v>
      </c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36" t="s">
        <v>146</v>
      </c>
      <c r="BV2" s="36" t="str">
        <f t="shared" ref="BV2:CL2" si="0">G3</f>
        <v>Africa_north</v>
      </c>
      <c r="BW2" s="36" t="str">
        <f t="shared" si="0"/>
        <v>Africa_other</v>
      </c>
      <c r="BX2" s="36" t="str">
        <f t="shared" si="0"/>
        <v>Arg-Chi</v>
      </c>
      <c r="BY2" s="36" t="str">
        <f t="shared" si="0"/>
        <v>Asia_central</v>
      </c>
      <c r="BZ2" s="36" t="str">
        <f t="shared" si="0"/>
        <v>Asia_east</v>
      </c>
      <c r="CA2" s="36" t="str">
        <f t="shared" si="0"/>
        <v>Asia_other</v>
      </c>
      <c r="CB2" s="36" t="str">
        <f t="shared" si="0"/>
        <v>Australia_NZ</v>
      </c>
      <c r="CC2" s="36" t="str">
        <f t="shared" si="0"/>
        <v>Brazil</v>
      </c>
      <c r="CD2" s="36" t="str">
        <f t="shared" si="0"/>
        <v>Canada</v>
      </c>
      <c r="CE2" s="36" t="str">
        <f t="shared" si="0"/>
        <v>China</v>
      </c>
      <c r="CF2" s="36" t="str">
        <f t="shared" si="0"/>
        <v>EU_north</v>
      </c>
      <c r="CG2" s="36" t="str">
        <f t="shared" si="0"/>
        <v>EU_northeast</v>
      </c>
      <c r="CH2" s="36" t="str">
        <f t="shared" si="0"/>
        <v>EU_northwest</v>
      </c>
      <c r="CI2" s="36" t="str">
        <f t="shared" si="0"/>
        <v>EU_south</v>
      </c>
      <c r="CJ2" s="36" t="str">
        <f t="shared" si="0"/>
        <v>EU_southeast</v>
      </c>
      <c r="CK2" s="36" t="str">
        <f t="shared" si="0"/>
        <v>EU_southwest</v>
      </c>
      <c r="CL2" s="36" t="str">
        <f t="shared" si="0"/>
        <v>Europe_other</v>
      </c>
      <c r="CM2" s="36" t="str">
        <f t="shared" ref="CM2:CY2" si="1">X3</f>
        <v>France</v>
      </c>
      <c r="CN2" s="36" t="str">
        <f t="shared" si="1"/>
        <v>Germany</v>
      </c>
      <c r="CO2" s="36" t="str">
        <f t="shared" si="1"/>
        <v>India</v>
      </c>
      <c r="CP2" s="36" t="str">
        <f t="shared" si="1"/>
        <v>LatAm_other</v>
      </c>
      <c r="CQ2" s="36" t="str">
        <f t="shared" si="1"/>
        <v>Mexico</v>
      </c>
      <c r="CR2" s="36" t="str">
        <f t="shared" si="1"/>
        <v>MidEast_other</v>
      </c>
      <c r="CS2" s="36" t="str">
        <f t="shared" si="1"/>
        <v>Nor-Ice</v>
      </c>
      <c r="CT2" s="36" t="str">
        <f t="shared" si="1"/>
        <v>Russia</v>
      </c>
      <c r="CU2" s="36" t="str">
        <f t="shared" si="1"/>
        <v>SaudiArabia</v>
      </c>
      <c r="CV2" s="36" t="str">
        <f t="shared" si="1"/>
        <v>SouthAfrica</v>
      </c>
      <c r="CW2" s="36" t="str">
        <f t="shared" si="1"/>
        <v>UK</v>
      </c>
      <c r="CX2" s="36" t="str">
        <f t="shared" si="1"/>
        <v>USA</v>
      </c>
      <c r="CY2" s="36" t="str">
        <f t="shared" si="1"/>
        <v>\I:</v>
      </c>
      <c r="CZ2" s="27"/>
      <c r="DA2" s="36" t="s">
        <v>149</v>
      </c>
      <c r="DB2" s="36" t="s">
        <v>139</v>
      </c>
      <c r="DC2" s="36" t="s">
        <v>150</v>
      </c>
      <c r="DD2" s="36" t="s">
        <v>151</v>
      </c>
      <c r="DE2" s="36" t="s">
        <v>152</v>
      </c>
      <c r="DF2" s="36" t="s">
        <v>153</v>
      </c>
      <c r="DG2" s="36" t="s">
        <v>154</v>
      </c>
      <c r="DH2" s="36" t="s">
        <v>155</v>
      </c>
    </row>
    <row r="3" spans="1:112" x14ac:dyDescent="0.45">
      <c r="A3" s="27"/>
      <c r="B3" s="27"/>
      <c r="C3" s="36" t="s">
        <v>145</v>
      </c>
      <c r="D3" s="36" t="s">
        <v>140</v>
      </c>
      <c r="E3" s="36" t="s">
        <v>397</v>
      </c>
      <c r="F3" s="36" t="s">
        <v>141</v>
      </c>
      <c r="G3" s="36" t="str">
        <f>'TRA balance'!E4</f>
        <v>Africa_north</v>
      </c>
      <c r="H3" s="36" t="str">
        <f>'TRA balance'!F4</f>
        <v>Africa_other</v>
      </c>
      <c r="I3" s="36" t="str">
        <f>'TRA balance'!G4</f>
        <v>Arg-Chi</v>
      </c>
      <c r="J3" s="36" t="str">
        <f>'TRA balance'!H4</f>
        <v>Asia_central</v>
      </c>
      <c r="K3" s="36" t="str">
        <f>'TRA balance'!I4</f>
        <v>Asia_east</v>
      </c>
      <c r="L3" s="36" t="str">
        <f>'TRA balance'!J4</f>
        <v>Asia_other</v>
      </c>
      <c r="M3" s="36" t="str">
        <f>'TRA balance'!K4</f>
        <v>Australia_NZ</v>
      </c>
      <c r="N3" s="36" t="str">
        <f>'TRA balance'!L4</f>
        <v>Brazil</v>
      </c>
      <c r="O3" s="36" t="str">
        <f>'TRA balance'!M4</f>
        <v>Canada</v>
      </c>
      <c r="P3" s="36" t="str">
        <f>'TRA balance'!N4</f>
        <v>China</v>
      </c>
      <c r="Q3" s="36" t="str">
        <f>'TRA balance'!O4</f>
        <v>EU_north</v>
      </c>
      <c r="R3" s="36" t="str">
        <f>'TRA balance'!P4</f>
        <v>EU_northeast</v>
      </c>
      <c r="S3" s="36" t="str">
        <f>'TRA balance'!Q4</f>
        <v>EU_northwest</v>
      </c>
      <c r="T3" s="36" t="str">
        <f>'TRA balance'!R4</f>
        <v>EU_south</v>
      </c>
      <c r="U3" s="36" t="str">
        <f>'TRA balance'!S4</f>
        <v>EU_southeast</v>
      </c>
      <c r="V3" s="36" t="str">
        <f>'TRA balance'!T4</f>
        <v>EU_southwest</v>
      </c>
      <c r="W3" s="36" t="str">
        <f>'TRA balance'!U4</f>
        <v>Europe_other</v>
      </c>
      <c r="X3" s="36" t="str">
        <f>'TRA balance'!V4</f>
        <v>France</v>
      </c>
      <c r="Y3" s="36" t="str">
        <f>'TRA balance'!W4</f>
        <v>Germany</v>
      </c>
      <c r="Z3" s="36" t="str">
        <f>'TRA balance'!X4</f>
        <v>India</v>
      </c>
      <c r="AA3" s="36" t="str">
        <f>'TRA balance'!Y4</f>
        <v>LatAm_other</v>
      </c>
      <c r="AB3" s="36" t="str">
        <f>'TRA balance'!Z4</f>
        <v>Mexico</v>
      </c>
      <c r="AC3" s="36" t="str">
        <f>'TRA balance'!AA4</f>
        <v>MidEast_other</v>
      </c>
      <c r="AD3" s="36" t="str">
        <f>'TRA balance'!AB4</f>
        <v>Nor-Ice</v>
      </c>
      <c r="AE3" s="36" t="str">
        <f>'TRA balance'!AC4</f>
        <v>Russia</v>
      </c>
      <c r="AF3" s="36" t="str">
        <f>'TRA balance'!AD4</f>
        <v>SaudiArabia</v>
      </c>
      <c r="AG3" s="36" t="str">
        <f>'TRA balance'!AE4</f>
        <v>SouthAfrica</v>
      </c>
      <c r="AH3" s="36" t="str">
        <f>'TRA balance'!AF4</f>
        <v>UK</v>
      </c>
      <c r="AI3" s="36" t="str">
        <f>'TRA balance'!AG4</f>
        <v>USA</v>
      </c>
      <c r="AJ3" s="36" t="str">
        <f>'TRA balance'!AH4</f>
        <v>\I:</v>
      </c>
      <c r="AM3" s="27"/>
      <c r="AN3" s="36" t="s">
        <v>139</v>
      </c>
      <c r="AO3" s="36" t="str">
        <f t="shared" ref="AO3" si="2">G3</f>
        <v>Africa_north</v>
      </c>
      <c r="AP3" s="36" t="str">
        <f t="shared" ref="AP3" si="3">H3</f>
        <v>Africa_other</v>
      </c>
      <c r="AQ3" s="36" t="str">
        <f t="shared" ref="AQ3" si="4">I3</f>
        <v>Arg-Chi</v>
      </c>
      <c r="AR3" s="36" t="str">
        <f t="shared" ref="AR3" si="5">J3</f>
        <v>Asia_central</v>
      </c>
      <c r="AS3" s="36" t="str">
        <f t="shared" ref="AS3" si="6">K3</f>
        <v>Asia_east</v>
      </c>
      <c r="AT3" s="36" t="str">
        <f t="shared" ref="AT3" si="7">L3</f>
        <v>Asia_other</v>
      </c>
      <c r="AU3" s="36" t="str">
        <f t="shared" ref="AU3" si="8">M3</f>
        <v>Australia_NZ</v>
      </c>
      <c r="AV3" s="36" t="str">
        <f t="shared" ref="AV3" si="9">N3</f>
        <v>Brazil</v>
      </c>
      <c r="AW3" s="36" t="str">
        <f t="shared" ref="AW3" si="10">O3</f>
        <v>Canada</v>
      </c>
      <c r="AX3" s="36" t="str">
        <f t="shared" ref="AX3" si="11">P3</f>
        <v>China</v>
      </c>
      <c r="AY3" s="36" t="str">
        <f t="shared" ref="AY3" si="12">Q3</f>
        <v>EU_north</v>
      </c>
      <c r="AZ3" s="36" t="str">
        <f t="shared" ref="AZ3" si="13">R3</f>
        <v>EU_northeast</v>
      </c>
      <c r="BA3" s="36" t="str">
        <f t="shared" ref="BA3" si="14">S3</f>
        <v>EU_northwest</v>
      </c>
      <c r="BB3" s="36" t="str">
        <f t="shared" ref="BB3" si="15">T3</f>
        <v>EU_south</v>
      </c>
      <c r="BC3" s="36" t="str">
        <f t="shared" ref="BC3" si="16">U3</f>
        <v>EU_southeast</v>
      </c>
      <c r="BD3" s="36" t="str">
        <f t="shared" ref="BD3" si="17">V3</f>
        <v>EU_southwest</v>
      </c>
      <c r="BE3" s="36" t="str">
        <f t="shared" ref="BE3" si="18">W3</f>
        <v>Europe_other</v>
      </c>
      <c r="BF3" s="36" t="str">
        <f t="shared" ref="BF3" si="19">X3</f>
        <v>France</v>
      </c>
      <c r="BG3" s="36" t="str">
        <f t="shared" ref="BG3" si="20">Y3</f>
        <v>Germany</v>
      </c>
      <c r="BH3" s="36" t="str">
        <f t="shared" ref="BH3" si="21">Z3</f>
        <v>India</v>
      </c>
      <c r="BI3" s="36" t="str">
        <f t="shared" ref="BI3" si="22">AA3</f>
        <v>LatAm_other</v>
      </c>
      <c r="BJ3" s="36" t="str">
        <f t="shared" ref="BJ3" si="23">AB3</f>
        <v>Mexico</v>
      </c>
      <c r="BK3" s="36" t="str">
        <f t="shared" ref="BK3" si="24">AC3</f>
        <v>MidEast_other</v>
      </c>
      <c r="BL3" s="36" t="str">
        <f t="shared" ref="BL3" si="25">AD3</f>
        <v>Nor-Ice</v>
      </c>
      <c r="BM3" s="36" t="str">
        <f t="shared" ref="BM3" si="26">AE3</f>
        <v>Russia</v>
      </c>
      <c r="BN3" s="36" t="str">
        <f t="shared" ref="BN3" si="27">AF3</f>
        <v>SaudiArabia</v>
      </c>
      <c r="BO3" s="36" t="str">
        <f t="shared" ref="BO3" si="28">AG3</f>
        <v>SouthAfrica</v>
      </c>
      <c r="BP3" s="36" t="str">
        <f t="shared" ref="BP3" si="29">AH3</f>
        <v>UK</v>
      </c>
      <c r="BQ3" s="36" t="str">
        <f t="shared" ref="BQ3" si="30">AI3</f>
        <v>USA</v>
      </c>
      <c r="BR3" s="36" t="str">
        <f t="shared" ref="BR3" si="31">AJ3</f>
        <v>\I:</v>
      </c>
      <c r="BS3" s="27"/>
      <c r="BT3" s="27"/>
      <c r="BU3" s="27" t="s">
        <v>55</v>
      </c>
      <c r="BV3" s="35">
        <f ca="1">SUMIF(Assumptions!$G$3:$G$103,'non-road'!$BU3,Assumptions!AN$3:AN$103)</f>
        <v>7.1712979966799999</v>
      </c>
      <c r="BW3" s="35">
        <f ca="1">SUMIF(Assumptions!$G$3:$G$103,'non-road'!$BU3,Assumptions!AO$3:AO$103)</f>
        <v>10.730680058520001</v>
      </c>
      <c r="BX3" s="35">
        <f ca="1">SUMIF(Assumptions!$G$3:$G$103,'non-road'!$BU3,Assumptions!AP$3:AP$103)</f>
        <v>1.6823303463600001</v>
      </c>
      <c r="BY3" s="35">
        <f ca="1">SUMIF(Assumptions!$G$3:$G$103,'non-road'!$BU3,Assumptions!AQ$3:AQ$103)</f>
        <v>8.8082086806</v>
      </c>
      <c r="BZ3" s="35">
        <f ca="1">SUMIF(Assumptions!$G$3:$G$103,'non-road'!$BU3,Assumptions!AR$3:AR$103)</f>
        <v>3.1475366778959999</v>
      </c>
      <c r="CA3" s="35">
        <f ca="1">SUMIF(Assumptions!$G$3:$G$103,'non-road'!$BU3,Assumptions!AS$3:AS$103)</f>
        <v>56.075578392239997</v>
      </c>
      <c r="CB3" s="35">
        <f ca="1">SUMIF(Assumptions!$G$3:$G$103,'non-road'!$BU3,Assumptions!AT$3:AT$103)</f>
        <v>38.104672629959992</v>
      </c>
      <c r="CC3" s="35">
        <f ca="1">SUMIF(Assumptions!$G$3:$G$103,'non-road'!$BU3,Assumptions!AU$3:AU$103)</f>
        <v>36.547546025520006</v>
      </c>
      <c r="CD3" s="35">
        <f ca="1">SUMIF(Assumptions!$G$3:$G$103,'non-road'!$BU3,Assumptions!AV$3:AV$103)</f>
        <v>89.317288893059995</v>
      </c>
      <c r="CE3" s="35">
        <f ca="1">SUMIF(Assumptions!$G$3:$G$103,'non-road'!$BU3,Assumptions!AW$3:AW$103)</f>
        <v>138.68937280367999</v>
      </c>
      <c r="CF3" s="35">
        <f ca="1">SUMIF(Assumptions!$G$3:$G$103,'non-road'!$BU3,Assumptions!AX$3:AX$103)</f>
        <v>4.0980201620399992</v>
      </c>
      <c r="CG3" s="35">
        <f ca="1">SUMIF(Assumptions!$G$3:$G$103,'non-road'!$BU3,Assumptions!AY$3:AY$103)</f>
        <v>14.514990832800001</v>
      </c>
      <c r="CH3" s="35">
        <f ca="1">SUMIF(Assumptions!$G$3:$G$103,'non-road'!$BU3,Assumptions!AZ$3:AZ$103)</f>
        <v>3.2476815007200002</v>
      </c>
      <c r="CI3" s="35">
        <f ca="1">SUMIF(Assumptions!$G$3:$G$103,'non-road'!$BU3,Assumptions!BA$3:BA$103)</f>
        <v>2.0584649221200002</v>
      </c>
      <c r="CJ3" s="35">
        <f ca="1">SUMIF(Assumptions!$G$3:$G$103,'non-road'!$BU3,Assumptions!BB$3:BB$103)</f>
        <v>8.593148255760001</v>
      </c>
      <c r="CK3" s="35">
        <f ca="1">SUMIF(Assumptions!$G$3:$G$103,'non-road'!$BU3,Assumptions!BC$3:BC$103)</f>
        <v>3.4793162107200004</v>
      </c>
      <c r="CL3" s="35">
        <f ca="1">SUMIF(Assumptions!$G$3:$G$103,'non-road'!$BU3,Assumptions!BD$3:BD$103)</f>
        <v>14.704399990079999</v>
      </c>
      <c r="CM3" s="35">
        <f ca="1">SUMIF(Assumptions!$G$3:$G$103,'non-road'!$BU3,Assumptions!BE$3:BE$103)</f>
        <v>4.7294540787599999</v>
      </c>
      <c r="CN3" s="35">
        <f ca="1">SUMIF(Assumptions!$G$3:$G$103,'non-road'!$BU3,Assumptions!BF$3:BF$103)</f>
        <v>10.19603156004</v>
      </c>
      <c r="CO3" s="35">
        <f ca="1">SUMIF(Assumptions!$G$3:$G$103,'non-road'!$BU3,Assumptions!BG$3:BG$103)</f>
        <v>75.657849078239991</v>
      </c>
      <c r="CP3" s="35">
        <f ca="1">SUMIF(Assumptions!$G$3:$G$103,'non-road'!$BU3,Assumptions!BH$3:BH$103)</f>
        <v>0.1626802074</v>
      </c>
      <c r="CQ3" s="35">
        <f ca="1">SUMIF(Assumptions!$G$3:$G$103,'non-road'!$BU3,Assumptions!BI$3:BI$103)</f>
        <v>20.499374362859999</v>
      </c>
      <c r="CR3" s="35">
        <f ca="1">SUMIF(Assumptions!$G$3:$G$103,'non-road'!$BU3,Assumptions!BJ$3:BJ$103)</f>
        <v>2.40085514592</v>
      </c>
      <c r="CS3" s="35">
        <f ca="1">SUMIF(Assumptions!$G$3:$G$103,'non-road'!$BU3,Assumptions!BK$3:BK$103)</f>
        <v>0.51252837803999995</v>
      </c>
      <c r="CT3" s="35">
        <f ca="1">SUMIF(Assumptions!$G$3:$G$103,'non-road'!$BU3,Assumptions!BL$3:BL$103)</f>
        <v>186.83170960896004</v>
      </c>
      <c r="CU3" s="35">
        <f ca="1">SUMIF(Assumptions!$G$3:$G$103,'non-road'!$BU3,Assumptions!BM$3:BM$103)</f>
        <v>0</v>
      </c>
      <c r="CV3" s="35">
        <f ca="1">SUMIF(Assumptions!$G$3:$G$103,'non-road'!$BU3,Assumptions!BN$3:BN$103)</f>
        <v>9.1734291061199986</v>
      </c>
      <c r="CW3" s="35">
        <f ca="1">SUMIF(Assumptions!$G$3:$G$103,'non-road'!$BU3,Assumptions!BO$3:BO$103)</f>
        <v>24.738562744559999</v>
      </c>
      <c r="CX3" s="35">
        <f ca="1">SUMIF(Assumptions!$G$3:$G$103,'non-road'!$BU3,Assumptions!BP$3:BP$103)</f>
        <v>556.99713338623064</v>
      </c>
      <c r="CY3" s="35">
        <f ca="1">SUMIF(Assumptions!$G$3:$G$103,'non-road'!$BU3,Assumptions!BQ$3:BQ$103)</f>
        <v>0</v>
      </c>
      <c r="CZ3" s="27"/>
      <c r="DA3" s="27" t="str">
        <f>IF(DB3="","\I:","DMD")</f>
        <v>DMD</v>
      </c>
      <c r="DB3" s="27" t="str">
        <f t="shared" ref="DB3:DB9" si="32">C4</f>
        <v>TTF_Generic</v>
      </c>
      <c r="DC3" s="27" t="s">
        <v>165</v>
      </c>
      <c r="DD3" s="27" t="s">
        <v>160</v>
      </c>
      <c r="DE3" s="27" t="s">
        <v>161</v>
      </c>
      <c r="DF3" s="27"/>
      <c r="DG3" s="27"/>
      <c r="DH3" s="27"/>
    </row>
    <row r="4" spans="1:112" x14ac:dyDescent="0.45">
      <c r="A4" s="27" t="s">
        <v>28</v>
      </c>
      <c r="B4" s="27"/>
      <c r="C4" s="27" t="str">
        <f>IF(F4&lt;&gt;F3,F4&amp;"_Generic","")</f>
        <v>TTF_Generic</v>
      </c>
      <c r="D4" s="27" t="s">
        <v>29</v>
      </c>
      <c r="E4" s="27"/>
      <c r="F4" s="27" t="s">
        <v>55</v>
      </c>
      <c r="G4" s="33">
        <f ca="1">SUMIFS(Assumptions!AN$3:AN$103,Assumptions!$G$3:$G$103,'non-road'!$F4,Assumptions!$B$3:$B$103,'non-road'!$D4)/SUMIF(Assumptions!$G$3:$G$103,'non-road'!$F4,Assumptions!AN$3:AN$103)</f>
        <v>0</v>
      </c>
      <c r="H4" s="33">
        <f ca="1">SUMIFS(Assumptions!AO$3:AO$103,Assumptions!$G$3:$G$103,'non-road'!$F4,Assumptions!$B$3:$B$103,'non-road'!$D4)/SUMIF(Assumptions!$G$3:$G$103,'non-road'!$F4,Assumptions!AO$3:AO$103)</f>
        <v>1.0896383111074381E-2</v>
      </c>
      <c r="I4" s="33">
        <f ca="1">SUMIFS(Assumptions!AP$3:AP$103,Assumptions!$G$3:$G$103,'non-road'!$F4,Assumptions!$B$3:$B$103,'non-road'!$D4)/SUMIF(Assumptions!$G$3:$G$103,'non-road'!$F4,Assumptions!AP$3:AP$103)</f>
        <v>0</v>
      </c>
      <c r="J4" s="33">
        <f ca="1">SUMIFS(Assumptions!AQ$3:AQ$103,Assumptions!$G$3:$G$103,'non-road'!$F4,Assumptions!$B$3:$B$103,'non-road'!$D4)/SUMIF(Assumptions!$G$3:$G$103,'non-road'!$F4,Assumptions!AQ$3:AQ$103)</f>
        <v>6.4498008251241981E-2</v>
      </c>
      <c r="K4" s="33">
        <f ca="1">SUMIFS(Assumptions!AR$3:AR$103,Assumptions!$G$3:$G$103,'non-road'!$F4,Assumptions!$B$3:$B$103,'non-road'!$D4)/SUMIF(Assumptions!$G$3:$G$103,'non-road'!$F4,Assumptions!AR$3:AR$103)</f>
        <v>8.0039775666221531E-4</v>
      </c>
      <c r="L4" s="33">
        <f ca="1">SUMIFS(Assumptions!AS$3:AS$103,Assumptions!$G$3:$G$103,'non-road'!$F4,Assumptions!$B$3:$B$103,'non-road'!$D4)/SUMIF(Assumptions!$G$3:$G$103,'non-road'!$F4,Assumptions!AS$3:AS$103)</f>
        <v>1.0722756450483775E-2</v>
      </c>
      <c r="M4" s="33">
        <f ca="1">SUMIFS(Assumptions!AT$3:AT$103,Assumptions!$G$3:$G$103,'non-road'!$F4,Assumptions!$B$3:$B$103,'non-road'!$D4)/SUMIF(Assumptions!$G$3:$G$103,'non-road'!$F4,Assumptions!AT$3:AT$103)</f>
        <v>0</v>
      </c>
      <c r="N4" s="33">
        <f ca="1">SUMIFS(Assumptions!AU$3:AU$103,Assumptions!$G$3:$G$103,'non-road'!$F4,Assumptions!$B$3:$B$103,'non-road'!$D4)/SUMIF(Assumptions!$G$3:$G$103,'non-road'!$F4,Assumptions!AU$3:AU$103)</f>
        <v>0</v>
      </c>
      <c r="O4" s="33">
        <f ca="1">SUMIFS(Assumptions!AV$3:AV$103,Assumptions!$G$3:$G$103,'non-road'!$F4,Assumptions!$B$3:$B$103,'non-road'!$D4)/SUMIF(Assumptions!$G$3:$G$103,'non-road'!$F4,Assumptions!AV$3:AV$103)</f>
        <v>0</v>
      </c>
      <c r="P4" s="33">
        <f ca="1">SUMIFS(Assumptions!AW$3:AW$103,Assumptions!$G$3:$G$103,'non-road'!$F4,Assumptions!$B$3:$B$103,'non-road'!$D4)/SUMIF(Assumptions!$G$3:$G$103,'non-road'!$F4,Assumptions!AW$3:AW$103)</f>
        <v>0</v>
      </c>
      <c r="Q4" s="33">
        <f ca="1">SUMIFS(Assumptions!AX$3:AX$103,Assumptions!$G$3:$G$103,'non-road'!$F4,Assumptions!$B$3:$B$103,'non-road'!$D4)/SUMIF(Assumptions!$G$3:$G$103,'non-road'!$F4,Assumptions!AX$3:AX$103)</f>
        <v>0</v>
      </c>
      <c r="R4" s="33">
        <f ca="1">SUMIFS(Assumptions!AY$3:AY$103,Assumptions!$G$3:$G$103,'non-road'!$F4,Assumptions!$B$3:$B$103,'non-road'!$D4)/SUMIF(Assumptions!$G$3:$G$103,'non-road'!$F4,Assumptions!AY$3:AY$103)</f>
        <v>9.6248867125912148E-4</v>
      </c>
      <c r="S4" s="33">
        <f ca="1">SUMIFS(Assumptions!AZ$3:AZ$103,Assumptions!$G$3:$G$103,'non-road'!$F4,Assumptions!$B$3:$B$103,'non-road'!$D4)/SUMIF(Assumptions!$G$3:$G$103,'non-road'!$F4,Assumptions!AZ$3:AZ$103)</f>
        <v>8.0959613786545591E-4</v>
      </c>
      <c r="T4" s="33">
        <f ca="1">SUMIFS(Assumptions!BA$3:BA$103,Assumptions!$G$3:$G$103,'non-road'!$F4,Assumptions!$B$3:$B$103,'non-road'!$D4)/SUMIF(Assumptions!$G$3:$G$103,'non-road'!$F4,Assumptions!BA$3:BA$103)</f>
        <v>0</v>
      </c>
      <c r="U4" s="33">
        <f ca="1">SUMIFS(Assumptions!BB$3:BB$103,Assumptions!$G$3:$G$103,'non-road'!$F4,Assumptions!$B$3:$B$103,'non-road'!$D4)/SUMIF(Assumptions!$G$3:$G$103,'non-road'!$F4,Assumptions!BB$3:BB$103)</f>
        <v>4.0030437944489627E-4</v>
      </c>
      <c r="V4" s="33">
        <f ca="1">SUMIFS(Assumptions!BC$3:BC$103,Assumptions!$G$3:$G$103,'non-road'!$F4,Assumptions!$B$3:$B$103,'non-road'!$D4)/SUMIF(Assumptions!$G$3:$G$103,'non-road'!$F4,Assumptions!BC$3:BC$103)</f>
        <v>0</v>
      </c>
      <c r="W4" s="33">
        <f ca="1">SUMIFS(Assumptions!BD$3:BD$103,Assumptions!$G$3:$G$103,'non-road'!$F4,Assumptions!$B$3:$B$103,'non-road'!$D4)/SUMIF(Assumptions!$G$3:$G$103,'non-road'!$F4,Assumptions!BD$3:BD$103)</f>
        <v>2.3958641554750262E-2</v>
      </c>
      <c r="X4" s="33">
        <f ca="1">SUMIFS(Assumptions!BE$3:BE$103,Assumptions!$G$3:$G$103,'non-road'!$F4,Assumptions!$B$3:$B$103,'non-road'!$D4)/SUMIF(Assumptions!$G$3:$G$103,'non-road'!$F4,Assumptions!BE$3:BE$103)</f>
        <v>0</v>
      </c>
      <c r="Y4" s="33">
        <f ca="1">SUMIFS(Assumptions!BF$3:BF$103,Assumptions!$G$3:$G$103,'non-road'!$F4,Assumptions!$B$3:$B$103,'non-road'!$D4)/SUMIF(Assumptions!$G$3:$G$103,'non-road'!$F4,Assumptions!BF$3:BF$103)</f>
        <v>0</v>
      </c>
      <c r="Z4" s="33">
        <f ca="1">SUMIFS(Assumptions!BG$3:BG$103,Assumptions!$G$3:$G$103,'non-road'!$F4,Assumptions!$B$3:$B$103,'non-road'!$D4)/SUMIF(Assumptions!$G$3:$G$103,'non-road'!$F4,Assumptions!BG$3:BG$103)</f>
        <v>0</v>
      </c>
      <c r="AA4" s="33">
        <f ca="1">SUMIFS(Assumptions!BH$3:BH$103,Assumptions!$G$3:$G$103,'non-road'!$F4,Assumptions!$B$3:$B$103,'non-road'!$D4)/SUMIF(Assumptions!$G$3:$G$103,'non-road'!$F4,Assumptions!BH$3:BH$103)</f>
        <v>0</v>
      </c>
      <c r="AB4" s="33">
        <f ca="1">SUMIFS(Assumptions!BI$3:BI$103,Assumptions!$G$3:$G$103,'non-road'!$F4,Assumptions!$B$3:$B$103,'non-road'!$D4)/SUMIF(Assumptions!$G$3:$G$103,'non-road'!$F4,Assumptions!BI$3:BI$103)</f>
        <v>0</v>
      </c>
      <c r="AC4" s="33">
        <f ca="1">SUMIFS(Assumptions!BJ$3:BJ$103,Assumptions!$G$3:$G$103,'non-road'!$F4,Assumptions!$B$3:$B$103,'non-road'!$D4)/SUMIF(Assumptions!$G$3:$G$103,'non-road'!$F4,Assumptions!BJ$3:BJ$103)</f>
        <v>0</v>
      </c>
      <c r="AD4" s="33">
        <f ca="1">SUMIFS(Assumptions!BK$3:BK$103,Assumptions!$G$3:$G$103,'non-road'!$F4,Assumptions!$B$3:$B$103,'non-road'!$D4)/SUMIF(Assumptions!$G$3:$G$103,'non-road'!$F4,Assumptions!BK$3:BK$103)</f>
        <v>0</v>
      </c>
      <c r="AE4" s="33">
        <f ca="1">SUMIFS(Assumptions!BL$3:BL$103,Assumptions!$G$3:$G$103,'non-road'!$F4,Assumptions!$B$3:$B$103,'non-road'!$D4)/SUMIF(Assumptions!$G$3:$G$103,'non-road'!$F4,Assumptions!BL$3:BL$103)</f>
        <v>0</v>
      </c>
      <c r="AF4" s="33" t="e">
        <f ca="1">SUMIFS(Assumptions!BM$3:BM$103,Assumptions!$G$3:$G$103,'non-road'!$F4,Assumptions!$B$3:$B$103,'non-road'!$D4)/SUMIF(Assumptions!$G$3:$G$103,'non-road'!$F4,Assumptions!BM$3:BM$103)</f>
        <v>#DIV/0!</v>
      </c>
      <c r="AG4" s="33">
        <f ca="1">SUMIFS(Assumptions!BN$3:BN$103,Assumptions!$G$3:$G$103,'non-road'!$F4,Assumptions!$B$3:$B$103,'non-road'!$D4)/SUMIF(Assumptions!$G$3:$G$103,'non-road'!$F4,Assumptions!BN$3:BN$103)</f>
        <v>0</v>
      </c>
      <c r="AH4" s="33">
        <f ca="1">SUMIFS(Assumptions!BO$3:BO$103,Assumptions!$G$3:$G$103,'non-road'!$F4,Assumptions!$B$3:$B$103,'non-road'!$D4)/SUMIF(Assumptions!$G$3:$G$103,'non-road'!$F4,Assumptions!BO$3:BO$103)</f>
        <v>1.6600932569953326E-2</v>
      </c>
      <c r="AI4" s="33">
        <f ca="1">SUMIFS(Assumptions!BP$3:BP$103,Assumptions!$G$3:$G$103,'non-road'!$F4,Assumptions!$B$3:$B$103,'non-road'!$D4)/SUMIF(Assumptions!$G$3:$G$103,'non-road'!$F4,Assumptions!BP$3:BP$103)</f>
        <v>0</v>
      </c>
      <c r="AJ4" s="33" t="e">
        <f ca="1">SUMIFS(Assumptions!BQ$3:BQ$103,Assumptions!$G$3:$G$103,'non-road'!$F4,Assumptions!$B$3:$B$103,'non-road'!$D4)/SUMIF(Assumptions!$G$3:$G$103,'non-road'!$F4,Assumptions!BQ$3:BQ$103)</f>
        <v>#DIV/0!</v>
      </c>
      <c r="AK4" s="34"/>
      <c r="AL4" s="33"/>
      <c r="AM4" s="33"/>
      <c r="AN4" s="27" t="str">
        <f>IF(C4="","\I:",C4)</f>
        <v>TTF_Generic</v>
      </c>
      <c r="AO4" s="33">
        <f>VLOOKUP($F4,Assumptions!$E$152:$AM$157,COLUMN()-COLUMN($AM$4),FALSE)</f>
        <v>1</v>
      </c>
      <c r="AP4" s="33">
        <f>VLOOKUP($F4,Assumptions!$E$152:$AM$157,COLUMN()-COLUMN($AM$4),FALSE)</f>
        <v>1</v>
      </c>
      <c r="AQ4" s="33">
        <f>VLOOKUP($F4,Assumptions!$E$152:$AM$157,COLUMN()-COLUMN($AM$4),FALSE)</f>
        <v>1</v>
      </c>
      <c r="AR4" s="33">
        <f>VLOOKUP($F4,Assumptions!$E$152:$AM$157,COLUMN()-COLUMN($AM$4),FALSE)</f>
        <v>1</v>
      </c>
      <c r="AS4" s="33">
        <f>VLOOKUP($F4,Assumptions!$E$152:$AM$157,COLUMN()-COLUMN($AM$4),FALSE)</f>
        <v>1</v>
      </c>
      <c r="AT4" s="33">
        <f>VLOOKUP($F4,Assumptions!$E$152:$AM$157,COLUMN()-COLUMN($AM$4),FALSE)</f>
        <v>1</v>
      </c>
      <c r="AU4" s="33">
        <f>VLOOKUP($F4,Assumptions!$E$152:$AM$157,COLUMN()-COLUMN($AM$4),FALSE)</f>
        <v>1</v>
      </c>
      <c r="AV4" s="33">
        <f>VLOOKUP($F4,Assumptions!$E$152:$AM$157,COLUMN()-COLUMN($AM$4),FALSE)</f>
        <v>1</v>
      </c>
      <c r="AW4" s="33">
        <f>VLOOKUP($F4,Assumptions!$E$152:$AM$157,COLUMN()-COLUMN($AM$4),FALSE)</f>
        <v>1</v>
      </c>
      <c r="AX4" s="33">
        <f>VLOOKUP($F4,Assumptions!$E$152:$AM$157,COLUMN()-COLUMN($AM$4),FALSE)</f>
        <v>1</v>
      </c>
      <c r="AY4" s="33">
        <f>VLOOKUP($F4,Assumptions!$E$152:$AM$157,COLUMN()-COLUMN($AM$4),FALSE)</f>
        <v>1</v>
      </c>
      <c r="AZ4" s="33">
        <f>VLOOKUP($F4,Assumptions!$E$152:$AM$157,COLUMN()-COLUMN($AM$4),FALSE)</f>
        <v>1</v>
      </c>
      <c r="BA4" s="33">
        <f>VLOOKUP($F4,Assumptions!$E$152:$AM$157,COLUMN()-COLUMN($AM$4),FALSE)</f>
        <v>1</v>
      </c>
      <c r="BB4" s="33">
        <f>VLOOKUP($F4,Assumptions!$E$152:$AM$157,COLUMN()-COLUMN($AM$4),FALSE)</f>
        <v>1</v>
      </c>
      <c r="BC4" s="33">
        <f>VLOOKUP($F4,Assumptions!$E$152:$AM$157,COLUMN()-COLUMN($AM$4),FALSE)</f>
        <v>1</v>
      </c>
      <c r="BD4" s="33">
        <f>VLOOKUP($F4,Assumptions!$E$152:$AM$157,COLUMN()-COLUMN($AM$4),FALSE)</f>
        <v>1</v>
      </c>
      <c r="BE4" s="33">
        <f>VLOOKUP($F4,Assumptions!$E$152:$AM$157,COLUMN()-COLUMN($AM$4),FALSE)</f>
        <v>1</v>
      </c>
      <c r="BF4" s="33">
        <f>VLOOKUP($F4,Assumptions!$E$152:$AM$157,COLUMN()-COLUMN($AM$4),FALSE)</f>
        <v>1</v>
      </c>
      <c r="BG4" s="33">
        <f>VLOOKUP($F4,Assumptions!$E$152:$AM$157,COLUMN()-COLUMN($AM$4),FALSE)</f>
        <v>1</v>
      </c>
      <c r="BH4" s="33">
        <f>VLOOKUP($F4,Assumptions!$E$152:$AM$157,COLUMN()-COLUMN($AM$4),FALSE)</f>
        <v>1</v>
      </c>
      <c r="BI4" s="33">
        <f>VLOOKUP($F4,Assumptions!$E$152:$AM$157,COLUMN()-COLUMN($AM$4),FALSE)</f>
        <v>1</v>
      </c>
      <c r="BJ4" s="33">
        <f>VLOOKUP($F4,Assumptions!$E$152:$AM$157,COLUMN()-COLUMN($AM$4),FALSE)</f>
        <v>1</v>
      </c>
      <c r="BK4" s="33">
        <f>VLOOKUP($F4,Assumptions!$E$152:$AM$157,COLUMN()-COLUMN($AM$4),FALSE)</f>
        <v>1</v>
      </c>
      <c r="BL4" s="33">
        <f>VLOOKUP($F4,Assumptions!$E$152:$AM$157,COLUMN()-COLUMN($AM$4),FALSE)</f>
        <v>1</v>
      </c>
      <c r="BM4" s="33">
        <f>VLOOKUP($F4,Assumptions!$E$152:$AM$157,COLUMN()-COLUMN($AM$4),FALSE)</f>
        <v>1</v>
      </c>
      <c r="BN4" s="33">
        <f>VLOOKUP($F4,Assumptions!$E$152:$AM$157,COLUMN()-COLUMN($AM$4),FALSE)</f>
        <v>1</v>
      </c>
      <c r="BO4" s="33">
        <f>VLOOKUP($F4,Assumptions!$E$152:$AM$157,COLUMN()-COLUMN($AM$4),FALSE)</f>
        <v>1</v>
      </c>
      <c r="BP4" s="33">
        <f>VLOOKUP($F4,Assumptions!$E$152:$AM$157,COLUMN()-COLUMN($AM$4),FALSE)</f>
        <v>1</v>
      </c>
      <c r="BQ4" s="33">
        <f>VLOOKUP($F4,Assumptions!$E$152:$AM$157,COLUMN()-COLUMN($AM$4),FALSE)</f>
        <v>1</v>
      </c>
      <c r="BR4" s="33">
        <f>VLOOKUP($F4,Assumptions!$E$152:$AM$157,COLUMN()-COLUMN($AM$4),FALSE)</f>
        <v>1</v>
      </c>
      <c r="BS4" s="27"/>
      <c r="BT4" s="27"/>
      <c r="BU4" s="27" t="s">
        <v>57</v>
      </c>
      <c r="BV4" s="35">
        <f ca="1">SUMIF(Assumptions!$G$3:$G$103,'non-road'!$BU4,Assumptions!AN$3:AN$103)</f>
        <v>7.5225989869200003</v>
      </c>
      <c r="BW4" s="35">
        <f ca="1">SUMIF(Assumptions!$G$3:$G$103,'non-road'!$BU4,Assumptions!AO$3:AO$103)</f>
        <v>4.6819188262799996</v>
      </c>
      <c r="BX4" s="35">
        <f ca="1">SUMIF(Assumptions!$G$3:$G$103,'non-road'!$BU4,Assumptions!AP$3:AP$103)</f>
        <v>3.8279129468399997</v>
      </c>
      <c r="BY4" s="35">
        <f ca="1">SUMIF(Assumptions!$G$3:$G$103,'non-road'!$BU4,Assumptions!AQ$3:AQ$103)</f>
        <v>18.179117001000002</v>
      </c>
      <c r="BZ4" s="35">
        <f ca="1">SUMIF(Assumptions!$G$3:$G$103,'non-road'!$BU4,Assumptions!AR$3:AR$103)</f>
        <v>79.973418215303994</v>
      </c>
      <c r="CA4" s="35">
        <f ca="1">SUMIF(Assumptions!$G$3:$G$103,'non-road'!$BU4,Assumptions!AS$3:AS$103)</f>
        <v>31.27828572936</v>
      </c>
      <c r="CB4" s="35">
        <f ca="1">SUMIF(Assumptions!$G$3:$G$103,'non-road'!$BU4,Assumptions!AT$3:AT$103)</f>
        <v>23.159624586839996</v>
      </c>
      <c r="CC4" s="35">
        <f ca="1">SUMIF(Assumptions!$G$3:$G$103,'non-road'!$BU4,Assumptions!AU$3:AU$103)</f>
        <v>16.732552898880002</v>
      </c>
      <c r="CD4" s="35">
        <f ca="1">SUMIF(Assumptions!$G$3:$G$103,'non-road'!$BU4,Assumptions!AV$3:AV$103)</f>
        <v>4.70090994174</v>
      </c>
      <c r="CE4" s="35">
        <f ca="1">SUMIF(Assumptions!$G$3:$G$103,'non-road'!$BU4,Assumptions!AW$3:AW$103)</f>
        <v>326.52113141232002</v>
      </c>
      <c r="CF4" s="35">
        <f ca="1">SUMIF(Assumptions!$G$3:$G$103,'non-road'!$BU4,Assumptions!AX$3:AX$103)</f>
        <v>13.709968419959999</v>
      </c>
      <c r="CG4" s="35">
        <f ca="1">SUMIF(Assumptions!$G$3:$G$103,'non-road'!$BU4,Assumptions!AY$3:AY$103)</f>
        <v>24.9896401164</v>
      </c>
      <c r="CH4" s="35">
        <f ca="1">SUMIF(Assumptions!$G$3:$G$103,'non-road'!$BU4,Assumptions!AZ$3:AZ$103)</f>
        <v>12.70707448968</v>
      </c>
      <c r="CI4" s="35">
        <f ca="1">SUMIF(Assumptions!$G$3:$G$103,'non-road'!$BU4,Assumptions!BA$3:BA$103)</f>
        <v>20.863222564680001</v>
      </c>
      <c r="CJ4" s="35">
        <f ca="1">SUMIF(Assumptions!$G$3:$G$103,'non-road'!$BU4,Assumptions!BB$3:BB$103)</f>
        <v>10.30771235664</v>
      </c>
      <c r="CK4" s="35">
        <f ca="1">SUMIF(Assumptions!$G$3:$G$103,'non-road'!$BU4,Assumptions!BC$3:BC$103)</f>
        <v>14.619332587680001</v>
      </c>
      <c r="CL4" s="35">
        <f ca="1">SUMIF(Assumptions!$G$3:$G$103,'non-road'!$BU4,Assumptions!BD$3:BD$103)</f>
        <v>39.663463068719999</v>
      </c>
      <c r="CM4" s="35">
        <f ca="1">SUMIF(Assumptions!$G$3:$G$103,'non-road'!$BU4,Assumptions!BE$3:BE$103)</f>
        <v>31.01840309844</v>
      </c>
      <c r="CN4" s="35">
        <f ca="1">SUMIF(Assumptions!$G$3:$G$103,'non-road'!$BU4,Assumptions!BF$3:BF$103)</f>
        <v>41.701292928359997</v>
      </c>
      <c r="CO4" s="35">
        <f ca="1">SUMIF(Assumptions!$G$3:$G$103,'non-road'!$BU4,Assumptions!BG$3:BG$103)</f>
        <v>103.23096836975999</v>
      </c>
      <c r="CP4" s="35">
        <f ca="1">SUMIF(Assumptions!$G$3:$G$103,'non-road'!$BU4,Assumptions!BH$3:BH$103)</f>
        <v>1.5069193362</v>
      </c>
      <c r="CQ4" s="35">
        <f ca="1">SUMIF(Assumptions!$G$3:$G$103,'non-road'!$BU4,Assumptions!BI$3:BI$103)</f>
        <v>10.54928548314</v>
      </c>
      <c r="CR4" s="35">
        <f ca="1">SUMIF(Assumptions!$G$3:$G$103,'non-road'!$BU4,Assumptions!BJ$3:BJ$103)</f>
        <v>1.0289379196799999</v>
      </c>
      <c r="CS4" s="35">
        <f ca="1">SUMIF(Assumptions!$G$3:$G$103,'non-road'!$BU4,Assumptions!BK$3:BK$103)</f>
        <v>2.1701469747599997</v>
      </c>
      <c r="CT4" s="35">
        <f ca="1">SUMIF(Assumptions!$G$3:$G$103,'non-road'!$BU4,Assumptions!BL$3:BL$103)</f>
        <v>169.35751198224</v>
      </c>
      <c r="CU4" s="35">
        <f ca="1">SUMIF(Assumptions!$G$3:$G$103,'non-road'!$BU4,Assumptions!BM$3:BM$103)</f>
        <v>0</v>
      </c>
      <c r="CV4" s="35">
        <f ca="1">SUMIF(Assumptions!$G$3:$G$103,'non-road'!$BU4,Assumptions!BN$3:BN$103)</f>
        <v>9.6621006790799999</v>
      </c>
      <c r="CW4" s="35">
        <f ca="1">SUMIF(Assumptions!$G$3:$G$103,'non-road'!$BU4,Assumptions!BO$3:BO$103)</f>
        <v>23.059871983440001</v>
      </c>
      <c r="CX4" s="35">
        <f ca="1">SUMIF(Assumptions!$G$3:$G$103,'non-road'!$BU4,Assumptions!BP$3:BP$103)</f>
        <v>49.415654294569336</v>
      </c>
      <c r="CY4" s="35">
        <f ca="1">SUMIF(Assumptions!$G$3:$G$103,'non-road'!$BU4,Assumptions!BQ$3:BQ$103)</f>
        <v>0</v>
      </c>
      <c r="CZ4" s="27"/>
      <c r="DA4" s="27" t="str">
        <f t="shared" ref="DA4:DA40" si="33">IF(DB4="","\I:","DMD")</f>
        <v>\I:</v>
      </c>
      <c r="DB4" s="27" t="str">
        <f t="shared" si="32"/>
        <v/>
      </c>
      <c r="DC4" s="27" t="s">
        <v>169</v>
      </c>
      <c r="DD4" s="27" t="s">
        <v>160</v>
      </c>
      <c r="DE4" s="27" t="s">
        <v>161</v>
      </c>
      <c r="DF4" s="27"/>
      <c r="DG4" s="27"/>
      <c r="DH4" s="27"/>
    </row>
    <row r="5" spans="1:112" x14ac:dyDescent="0.45">
      <c r="A5" s="27" t="s">
        <v>30</v>
      </c>
      <c r="B5" s="27"/>
      <c r="C5" s="27" t="str">
        <f t="shared" ref="C5:C10" si="34">IF(F5&lt;&gt;F4,F5&amp;"_Generic","")</f>
        <v/>
      </c>
      <c r="D5" s="27" t="s">
        <v>41</v>
      </c>
      <c r="E5" s="27"/>
      <c r="F5" s="27" t="s">
        <v>55</v>
      </c>
      <c r="G5" s="33">
        <f ca="1">SUMIFS(Assumptions!AN$3:AN$103,Assumptions!$G$3:$G$103,'non-road'!$F5,Assumptions!$B$3:$B$103,'non-road'!$D5)/SUMIF(Assumptions!$G$3:$G$103,'non-road'!$F5,Assumptions!AN$3:AN$103)</f>
        <v>0.26040953971576131</v>
      </c>
      <c r="H5" s="33">
        <f ca="1">SUMIFS(Assumptions!AO$3:AO$103,Assumptions!$G$3:$G$103,'non-road'!$F5,Assumptions!$B$3:$B$103,'non-road'!$D5)/SUMIF(Assumptions!$G$3:$G$103,'non-road'!$F5,Assumptions!AO$3:AO$103)</f>
        <v>0.98401855746842071</v>
      </c>
      <c r="I5" s="33">
        <f ca="1">SUMIFS(Assumptions!AP$3:AP$103,Assumptions!$G$3:$G$103,'non-road'!$F5,Assumptions!$B$3:$B$103,'non-road'!$D5)/SUMIF(Assumptions!$G$3:$G$103,'non-road'!$F5,Assumptions!AP$3:AP$103)</f>
        <v>0.89198061708083043</v>
      </c>
      <c r="J5" s="33">
        <f ca="1">SUMIFS(Assumptions!AQ$3:AQ$103,Assumptions!$G$3:$G$103,'non-road'!$F5,Assumptions!$B$3:$B$103,'non-road'!$D5)/SUMIF(Assumptions!$G$3:$G$103,'non-road'!$F5,Assumptions!AQ$3:AQ$103)</f>
        <v>0.43060830985008347</v>
      </c>
      <c r="K5" s="33">
        <f ca="1">SUMIFS(Assumptions!AR$3:AR$103,Assumptions!$G$3:$G$103,'non-road'!$F5,Assumptions!$B$3:$B$103,'non-road'!$D5)/SUMIF(Assumptions!$G$3:$G$103,'non-road'!$F5,Assumptions!AR$3:AR$103)</f>
        <v>0.9991996022433377</v>
      </c>
      <c r="L5" s="33">
        <f ca="1">SUMIFS(Assumptions!AS$3:AS$103,Assumptions!$G$3:$G$103,'non-road'!$F5,Assumptions!$B$3:$B$103,'non-road'!$D5)/SUMIF(Assumptions!$G$3:$G$103,'non-road'!$F5,Assumptions!AS$3:AS$103)</f>
        <v>0.97271040922492269</v>
      </c>
      <c r="M5" s="33">
        <f ca="1">SUMIFS(Assumptions!AT$3:AT$103,Assumptions!$G$3:$G$103,'non-road'!$F5,Assumptions!$B$3:$B$103,'non-road'!$D5)/SUMIF(Assumptions!$G$3:$G$103,'non-road'!$F5,Assumptions!AT$3:AT$103)</f>
        <v>0.90544641049383612</v>
      </c>
      <c r="N5" s="33">
        <f ca="1">SUMIFS(Assumptions!AU$3:AU$103,Assumptions!$G$3:$G$103,'non-road'!$F5,Assumptions!$B$3:$B$103,'non-road'!$D5)/SUMIF(Assumptions!$G$3:$G$103,'non-road'!$F5,Assumptions!AU$3:AU$103)</f>
        <v>0.89277175078667292</v>
      </c>
      <c r="O5" s="33">
        <f ca="1">SUMIFS(Assumptions!AV$3:AV$103,Assumptions!$G$3:$G$103,'non-road'!$F5,Assumptions!$B$3:$B$103,'non-road'!$D5)/SUMIF(Assumptions!$G$3:$G$103,'non-road'!$F5,Assumptions!AV$3:AV$103)</f>
        <v>1</v>
      </c>
      <c r="P5" s="33">
        <f ca="1">SUMIFS(Assumptions!AW$3:AW$103,Assumptions!$G$3:$G$103,'non-road'!$F5,Assumptions!$B$3:$B$103,'non-road'!$D5)/SUMIF(Assumptions!$G$3:$G$103,'non-road'!$F5,Assumptions!AW$3:AW$103)</f>
        <v>0.49369974466351607</v>
      </c>
      <c r="Q5" s="33">
        <f ca="1">SUMIFS(Assumptions!AX$3:AX$103,Assumptions!$G$3:$G$103,'non-road'!$F5,Assumptions!$B$3:$B$103,'non-road'!$D5)/SUMIF(Assumptions!$G$3:$G$103,'non-road'!$F5,Assumptions!AX$3:AX$103)</f>
        <v>0.99997854505431327</v>
      </c>
      <c r="R5" s="33">
        <f ca="1">SUMIFS(Assumptions!AY$3:AY$103,Assumptions!$G$3:$G$103,'non-road'!$F5,Assumptions!$B$3:$B$103,'non-road'!$D5)/SUMIF(Assumptions!$G$3:$G$103,'non-road'!$F5,Assumptions!AY$3:AY$103)</f>
        <v>0.79366106830242822</v>
      </c>
      <c r="S5" s="33">
        <f ca="1">SUMIFS(Assumptions!AZ$3:AZ$103,Assumptions!$G$3:$G$103,'non-road'!$F5,Assumptions!$B$3:$B$103,'non-road'!$D5)/SUMIF(Assumptions!$G$3:$G$103,'non-road'!$F5,Assumptions!AZ$3:AZ$103)</f>
        <v>0.97997319566417429</v>
      </c>
      <c r="T5" s="33">
        <f ca="1">SUMIFS(Assumptions!BA$3:BA$103,Assumptions!$G$3:$G$103,'non-road'!$F5,Assumptions!$B$3:$B$103,'non-road'!$D5)/SUMIF(Assumptions!$G$3:$G$103,'non-road'!$F5,Assumptions!BA$3:BA$103)</f>
        <v>0.99508802802935947</v>
      </c>
      <c r="U5" s="33">
        <f ca="1">SUMIFS(Assumptions!BB$3:BB$103,Assumptions!$G$3:$G$103,'non-road'!$F5,Assumptions!$B$3:$B$103,'non-road'!$D5)/SUMIF(Assumptions!$G$3:$G$103,'non-road'!$F5,Assumptions!BB$3:BB$103)</f>
        <v>0.8771591758524081</v>
      </c>
      <c r="V5" s="33">
        <f ca="1">SUMIFS(Assumptions!BC$3:BC$103,Assumptions!$G$3:$G$103,'non-road'!$F5,Assumptions!$B$3:$B$103,'non-road'!$D5)/SUMIF(Assumptions!$G$3:$G$103,'non-road'!$F5,Assumptions!BC$3:BC$103)</f>
        <v>1</v>
      </c>
      <c r="W5" s="33">
        <f ca="1">SUMIFS(Assumptions!BD$3:BD$103,Assumptions!$G$3:$G$103,'non-road'!$F5,Assumptions!$B$3:$B$103,'non-road'!$D5)/SUMIF(Assumptions!$G$3:$G$103,'non-road'!$F5,Assumptions!BD$3:BD$103)</f>
        <v>0.7102289591119304</v>
      </c>
      <c r="X5" s="33">
        <f ca="1">SUMIFS(Assumptions!BE$3:BE$103,Assumptions!$G$3:$G$103,'non-road'!$F5,Assumptions!$B$3:$B$103,'non-road'!$D5)/SUMIF(Assumptions!$G$3:$G$103,'non-road'!$F5,Assumptions!BE$3:BE$103)</f>
        <v>0.93493147683533806</v>
      </c>
      <c r="Y5" s="33">
        <f ca="1">SUMIFS(Assumptions!BF$3:BF$103,Assumptions!$G$3:$G$103,'non-road'!$F5,Assumptions!$B$3:$B$103,'non-road'!$D5)/SUMIF(Assumptions!$G$3:$G$103,'non-road'!$F5,Assumptions!BF$3:BF$103)</f>
        <v>0.94759202872868475</v>
      </c>
      <c r="Z5" s="33">
        <f ca="1">SUMIFS(Assumptions!BG$3:BG$103,Assumptions!$G$3:$G$103,'non-road'!$F5,Assumptions!$B$3:$B$103,'non-road'!$D5)/SUMIF(Assumptions!$G$3:$G$103,'non-road'!$F5,Assumptions!BG$3:BG$103)</f>
        <v>0.72666630467839011</v>
      </c>
      <c r="AA5" s="33">
        <f ca="1">SUMIFS(Assumptions!BH$3:BH$103,Assumptions!$G$3:$G$103,'non-road'!$F5,Assumptions!$B$3:$B$103,'non-road'!$D5)/SUMIF(Assumptions!$G$3:$G$103,'non-road'!$F5,Assumptions!BH$3:BH$103)</f>
        <v>0.38089845710388498</v>
      </c>
      <c r="AB5" s="33">
        <f ca="1">SUMIFS(Assumptions!BI$3:BI$103,Assumptions!$G$3:$G$103,'non-road'!$F5,Assumptions!$B$3:$B$103,'non-road'!$D5)/SUMIF(Assumptions!$G$3:$G$103,'non-road'!$F5,Assumptions!BI$3:BI$103)</f>
        <v>0.99028848228555277</v>
      </c>
      <c r="AC5" s="33">
        <f ca="1">SUMIFS(Assumptions!BJ$3:BJ$103,Assumptions!$G$3:$G$103,'non-road'!$F5,Assumptions!$B$3:$B$103,'non-road'!$D5)/SUMIF(Assumptions!$G$3:$G$103,'non-road'!$F5,Assumptions!BJ$3:BJ$103)</f>
        <v>1</v>
      </c>
      <c r="AD5" s="33">
        <f ca="1">SUMIFS(Assumptions!BK$3:BK$103,Assumptions!$G$3:$G$103,'non-road'!$F5,Assumptions!$B$3:$B$103,'non-road'!$D5)/SUMIF(Assumptions!$G$3:$G$103,'non-road'!$F5,Assumptions!BK$3:BK$103)</f>
        <v>1</v>
      </c>
      <c r="AE5" s="33">
        <f ca="1">SUMIFS(Assumptions!BL$3:BL$103,Assumptions!$G$3:$G$103,'non-road'!$F5,Assumptions!$B$3:$B$103,'non-road'!$D5)/SUMIF(Assumptions!$G$3:$G$103,'non-road'!$F5,Assumptions!BL$3:BL$103)</f>
        <v>0.79258805900697271</v>
      </c>
      <c r="AF5" s="33" t="e">
        <f ca="1">SUMIFS(Assumptions!BM$3:BM$103,Assumptions!$G$3:$G$103,'non-road'!$F5,Assumptions!$B$3:$B$103,'non-road'!$D5)/SUMIF(Assumptions!$G$3:$G$103,'non-road'!$F5,Assumptions!BM$3:BM$103)</f>
        <v>#DIV/0!</v>
      </c>
      <c r="AG5" s="33">
        <f ca="1">SUMIFS(Assumptions!BN$3:BN$103,Assumptions!$G$3:$G$103,'non-road'!$F5,Assumptions!$B$3:$B$103,'non-road'!$D5)/SUMIF(Assumptions!$G$3:$G$103,'non-road'!$F5,Assumptions!BN$3:BN$103)</f>
        <v>0.38520327302715579</v>
      </c>
      <c r="AH5" s="33">
        <f ca="1">SUMIFS(Assumptions!BO$3:BO$103,Assumptions!$G$3:$G$103,'non-road'!$F5,Assumptions!$B$3:$B$103,'non-road'!$D5)/SUMIF(Assumptions!$G$3:$G$103,'non-road'!$F5,Assumptions!BO$3:BO$103)</f>
        <v>0.98339906743004668</v>
      </c>
      <c r="AI5" s="33">
        <f ca="1">SUMIFS(Assumptions!BP$3:BP$103,Assumptions!$G$3:$G$103,'non-road'!$F5,Assumptions!$B$3:$B$103,'non-road'!$D5)/SUMIF(Assumptions!$G$3:$G$103,'non-road'!$F5,Assumptions!BP$3:BP$103)</f>
        <v>0.97032982919176747</v>
      </c>
      <c r="AJ5" s="33" t="e">
        <f ca="1">SUMIFS(Assumptions!BQ$3:BQ$103,Assumptions!$G$3:$G$103,'non-road'!$F5,Assumptions!$B$3:$B$103,'non-road'!$D5)/SUMIF(Assumptions!$G$3:$G$103,'non-road'!$F5,Assumptions!BQ$3:BQ$103)</f>
        <v>#DIV/0!</v>
      </c>
      <c r="AK5" s="34"/>
      <c r="AL5" s="33"/>
      <c r="AM5" s="33"/>
      <c r="AN5" s="27" t="str">
        <f t="shared" ref="AN5:AN11" si="35">IF(C5="","\I:",C5)</f>
        <v>\I: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27"/>
      <c r="BT5" s="27"/>
      <c r="BU5" s="27" t="s">
        <v>18</v>
      </c>
      <c r="BV5" s="27">
        <f>SUMIF(Assumptions!$AL$105:$AL$128,'non-road'!$BU5,Assumptions!AN$105:AN$128)</f>
        <v>99.123030097200001</v>
      </c>
      <c r="BW5" s="27">
        <f>SUMIF(Assumptions!$AL$105:$AL$128,'non-road'!$BU5,Assumptions!AO$105:AO$128)</f>
        <v>192.09280397040001</v>
      </c>
      <c r="BX5" s="27">
        <f>SUMIF(Assumptions!$AL$105:$AL$128,'non-road'!$BU5,Assumptions!AP$105:AP$128)</f>
        <v>79.985694834</v>
      </c>
      <c r="BY5" s="27">
        <f>SUMIF(Assumptions!$AL$105:$AL$128,'non-road'!$BU5,Assumptions!AQ$105:AQ$128)</f>
        <v>68.640798236400002</v>
      </c>
      <c r="BZ5" s="27">
        <f>SUMIF(Assumptions!$AL$105:$AL$128,'non-road'!$BU5,Assumptions!AR$105:AR$128)</f>
        <v>541.37213084159998</v>
      </c>
      <c r="CA5" s="27">
        <f>SUMIF(Assumptions!$AL$105:$AL$128,'non-road'!$BU5,Assumptions!AS$105:AS$128)</f>
        <v>1095.7451465376</v>
      </c>
      <c r="CB5" s="27">
        <f>SUMIF(Assumptions!$AL$105:$AL$128,'non-road'!$BU5,Assumptions!AT$105:AT$128)</f>
        <v>265.72400822520001</v>
      </c>
      <c r="CC5" s="27">
        <f>SUMIF(Assumptions!$AL$105:$AL$128,'non-road'!$BU5,Assumptions!AU$105:AU$128)</f>
        <v>101.4462184284</v>
      </c>
      <c r="CD5" s="27">
        <f>SUMIF(Assumptions!$AL$105:$AL$128,'non-road'!$BU5,Assumptions!AV$105:AV$128)</f>
        <v>35.947601031600001</v>
      </c>
      <c r="CE5" s="27">
        <f>SUMIF(Assumptions!$AL$105:$AL$128,'non-road'!$BU5,Assumptions!AW$105:AW$128)</f>
        <v>739.07707225679997</v>
      </c>
      <c r="CF5" s="27">
        <f>SUMIF(Assumptions!$AL$105:$AL$128,'non-road'!$BU5,Assumptions!AX$105:AX$128)</f>
        <v>115.4657935908</v>
      </c>
      <c r="CG5" s="27">
        <f>SUMIF(Assumptions!$AL$105:$AL$128,'non-road'!$BU5,Assumptions!AY$105:AY$128)</f>
        <v>118.5745135248</v>
      </c>
      <c r="CH5" s="27">
        <f>SUMIF(Assumptions!$AL$105:$AL$128,'non-road'!$BU5,Assumptions!AZ$105:AZ$128)</f>
        <v>306.15462535680001</v>
      </c>
      <c r="CI5" s="27">
        <f>SUMIF(Assumptions!$AL$105:$AL$128,'non-road'!$BU5,Assumptions!BA$105:BA$128)</f>
        <v>233.41009741920001</v>
      </c>
      <c r="CJ5" s="27">
        <f>SUMIF(Assumptions!$AL$105:$AL$128,'non-road'!$BU5,Assumptions!BB$105:BB$128)</f>
        <v>37.673998703999999</v>
      </c>
      <c r="CK5" s="27">
        <f>SUMIF(Assumptions!$AL$105:$AL$128,'non-road'!$BU5,Assumptions!BC$105:BC$128)</f>
        <v>260.69910716160001</v>
      </c>
      <c r="CL5" s="27">
        <f>SUMIF(Assumptions!$AL$105:$AL$128,'non-road'!$BU5,Assumptions!BD$105:BD$128)</f>
        <v>287.25336281160003</v>
      </c>
      <c r="CM5" s="27">
        <f>SUMIF(Assumptions!$AL$105:$AL$128,'non-road'!$BU5,Assumptions!BE$105:BE$128)</f>
        <v>260.04602497680003</v>
      </c>
      <c r="CN5" s="27">
        <f>SUMIF(Assumptions!$AL$105:$AL$128,'non-road'!$BU5,Assumptions!BF$105:BF$128)</f>
        <v>409.87600114679998</v>
      </c>
      <c r="CO5" s="27">
        <f>SUMIF(Assumptions!$AL$105:$AL$128,'non-road'!$BU5,Assumptions!BG$105:BG$128)</f>
        <v>177.46910706240001</v>
      </c>
      <c r="CP5" s="27">
        <f>SUMIF(Assumptions!$AL$105:$AL$128,'non-road'!$BU5,Assumptions!BH$105:BH$128)</f>
        <v>242.4319689708</v>
      </c>
      <c r="CQ5" s="27">
        <f>SUMIF(Assumptions!$AL$105:$AL$128,'non-road'!$BU5,Assumptions!BI$105:BI$128)</f>
        <v>176.72738613480001</v>
      </c>
      <c r="CR5" s="27">
        <f>SUMIF(Assumptions!$AL$105:$AL$128,'non-road'!$BU5,Assumptions!BJ$105:BJ$128)</f>
        <v>762.82424179199995</v>
      </c>
      <c r="CS5" s="27">
        <f>SUMIF(Assumptions!$AL$105:$AL$128,'non-road'!$BU5,Assumptions!BK$105:BK$128)</f>
        <v>35.984771442000003</v>
      </c>
      <c r="CT5" s="27">
        <f>SUMIF(Assumptions!$AL$105:$AL$128,'non-road'!$BU5,Assumptions!BL$105:BL$128)</f>
        <v>245.09999889720001</v>
      </c>
      <c r="CU5" s="27">
        <f>SUMIF(Assumptions!$AL$105:$AL$128,'non-road'!$BU5,Assumptions!BM$105:BM$128)</f>
        <v>153.09619095959999</v>
      </c>
      <c r="CV5" s="27">
        <f>SUMIF(Assumptions!$AL$105:$AL$128,'non-road'!$BU5,Assumptions!BN$105:BN$128)</f>
        <v>46.072598086799999</v>
      </c>
      <c r="CW5" s="27">
        <f>SUMIF(Assumptions!$AL$105:$AL$128,'non-road'!$BU5,Assumptions!BO$105:BO$128)</f>
        <v>493.59478083840003</v>
      </c>
      <c r="CX5" s="27">
        <f>SUMIF(Assumptions!$AL$105:$AL$128,'non-road'!$BU5,Assumptions!BP$105:BP$128)</f>
        <v>1072.1840007132</v>
      </c>
      <c r="CY5" s="27">
        <f>SUMIF(Assumptions!$AL$105:$AL$128,'non-road'!$BU5,Assumptions!BQ$105:BQ$128)</f>
        <v>0</v>
      </c>
      <c r="CZ5" s="27"/>
      <c r="DA5" s="27" t="str">
        <f t="shared" si="33"/>
        <v>\I:</v>
      </c>
      <c r="DB5" s="27" t="str">
        <f t="shared" si="32"/>
        <v/>
      </c>
      <c r="DC5" s="27" t="s">
        <v>169</v>
      </c>
      <c r="DD5" s="27" t="s">
        <v>160</v>
      </c>
      <c r="DE5" s="27" t="s">
        <v>161</v>
      </c>
      <c r="DF5" s="27"/>
      <c r="DG5" s="27"/>
      <c r="DH5" s="27"/>
    </row>
    <row r="6" spans="1:112" x14ac:dyDescent="0.45">
      <c r="A6" s="27" t="s">
        <v>144</v>
      </c>
      <c r="B6" s="27"/>
      <c r="C6" s="27" t="str">
        <f t="shared" si="34"/>
        <v/>
      </c>
      <c r="D6" s="27" t="s">
        <v>42</v>
      </c>
      <c r="E6" s="27"/>
      <c r="F6" s="27" t="s">
        <v>55</v>
      </c>
      <c r="G6" s="33">
        <f ca="1">SUMIFS(Assumptions!AN$3:AN$103,Assumptions!$G$3:$G$103,'non-road'!$F6,Assumptions!$B$3:$B$103,'non-road'!$D6)/SUMIF(Assumptions!$G$3:$G$103,'non-road'!$F6,Assumptions!AN$3:AN$103)</f>
        <v>0</v>
      </c>
      <c r="H6" s="33">
        <f ca="1">SUMIFS(Assumptions!AO$3:AO$103,Assumptions!$G$3:$G$103,'non-road'!$F6,Assumptions!$B$3:$B$103,'non-road'!$D6)/SUMIF(Assumptions!$G$3:$G$103,'non-road'!$F6,Assumptions!AO$3:AO$103)</f>
        <v>0</v>
      </c>
      <c r="I6" s="33">
        <f ca="1">SUMIFS(Assumptions!AP$3:AP$103,Assumptions!$G$3:$G$103,'non-road'!$F6,Assumptions!$B$3:$B$103,'non-road'!$D6)/SUMIF(Assumptions!$G$3:$G$103,'non-road'!$F6,Assumptions!AP$3:AP$103)</f>
        <v>0</v>
      </c>
      <c r="J6" s="33">
        <f ca="1">SUMIFS(Assumptions!AQ$3:AQ$103,Assumptions!$G$3:$G$103,'non-road'!$F6,Assumptions!$B$3:$B$103,'non-road'!$D6)/SUMIF(Assumptions!$G$3:$G$103,'non-road'!$F6,Assumptions!AQ$3:AQ$103)</f>
        <v>4.6931642174926425E-3</v>
      </c>
      <c r="K6" s="33">
        <f ca="1">SUMIFS(Assumptions!AR$3:AR$103,Assumptions!$G$3:$G$103,'non-road'!$F6,Assumptions!$B$3:$B$103,'non-road'!$D6)/SUMIF(Assumptions!$G$3:$G$103,'non-road'!$F6,Assumptions!AR$3:AR$103)</f>
        <v>0</v>
      </c>
      <c r="L6" s="33">
        <f ca="1">SUMIFS(Assumptions!AS$3:AS$103,Assumptions!$G$3:$G$103,'non-road'!$F6,Assumptions!$B$3:$B$103,'non-road'!$D6)/SUMIF(Assumptions!$G$3:$G$103,'non-road'!$F6,Assumptions!AS$3:AS$103)</f>
        <v>0</v>
      </c>
      <c r="M6" s="33">
        <f ca="1">SUMIFS(Assumptions!AT$3:AT$103,Assumptions!$G$3:$G$103,'non-road'!$F6,Assumptions!$B$3:$B$103,'non-road'!$D6)/SUMIF(Assumptions!$G$3:$G$103,'non-road'!$F6,Assumptions!AT$3:AT$103)</f>
        <v>5.8465173067735103E-4</v>
      </c>
      <c r="N6" s="33">
        <f ca="1">SUMIFS(Assumptions!AU$3:AU$103,Assumptions!$G$3:$G$103,'non-road'!$F6,Assumptions!$B$3:$B$103,'non-road'!$D6)/SUMIF(Assumptions!$G$3:$G$103,'non-road'!$F6,Assumptions!AU$3:AU$103)</f>
        <v>0</v>
      </c>
      <c r="O6" s="33">
        <f ca="1">SUMIFS(Assumptions!AV$3:AV$103,Assumptions!$G$3:$G$103,'non-road'!$F6,Assumptions!$B$3:$B$103,'non-road'!$D6)/SUMIF(Assumptions!$G$3:$G$103,'non-road'!$F6,Assumptions!AV$3:AV$103)</f>
        <v>0</v>
      </c>
      <c r="P6" s="33">
        <f ca="1">SUMIFS(Assumptions!AW$3:AW$103,Assumptions!$G$3:$G$103,'non-road'!$F6,Assumptions!$B$3:$B$103,'non-road'!$D6)/SUMIF(Assumptions!$G$3:$G$103,'non-road'!$F6,Assumptions!AW$3:AW$103)</f>
        <v>0</v>
      </c>
      <c r="Q6" s="33">
        <f ca="1">SUMIFS(Assumptions!AX$3:AX$103,Assumptions!$G$3:$G$103,'non-road'!$F6,Assumptions!$B$3:$B$103,'non-road'!$D6)/SUMIF(Assumptions!$G$3:$G$103,'non-road'!$F6,Assumptions!AX$3:AX$103)</f>
        <v>2.1454945686805E-5</v>
      </c>
      <c r="R6" s="33">
        <f ca="1">SUMIFS(Assumptions!AY$3:AY$103,Assumptions!$G$3:$G$103,'non-road'!$F6,Assumptions!$B$3:$B$103,'non-road'!$D6)/SUMIF(Assumptions!$G$3:$G$103,'non-road'!$F6,Assumptions!AY$3:AY$103)</f>
        <v>0</v>
      </c>
      <c r="S6" s="33">
        <f ca="1">SUMIFS(Assumptions!AZ$3:AZ$103,Assumptions!$G$3:$G$103,'non-road'!$F6,Assumptions!$B$3:$B$103,'non-road'!$D6)/SUMIF(Assumptions!$G$3:$G$103,'non-road'!$F6,Assumptions!AZ$3:AZ$103)</f>
        <v>0</v>
      </c>
      <c r="T6" s="33">
        <f ca="1">SUMIFS(Assumptions!BA$3:BA$103,Assumptions!$G$3:$G$103,'non-road'!$F6,Assumptions!$B$3:$B$103,'non-road'!$D6)/SUMIF(Assumptions!$G$3:$G$103,'non-road'!$F6,Assumptions!BA$3:BA$103)</f>
        <v>4.9119719706404415E-3</v>
      </c>
      <c r="U6" s="33">
        <f ca="1">SUMIFS(Assumptions!BB$3:BB$103,Assumptions!$G$3:$G$103,'non-road'!$F6,Assumptions!$B$3:$B$103,'non-road'!$D6)/SUMIF(Assumptions!$G$3:$G$103,'non-road'!$F6,Assumptions!BB$3:BB$103)</f>
        <v>0</v>
      </c>
      <c r="V6" s="33">
        <f ca="1">SUMIFS(Assumptions!BC$3:BC$103,Assumptions!$G$3:$G$103,'non-road'!$F6,Assumptions!$B$3:$B$103,'non-road'!$D6)/SUMIF(Assumptions!$G$3:$G$103,'non-road'!$F6,Assumptions!BC$3:BC$103)</f>
        <v>0</v>
      </c>
      <c r="W6" s="33">
        <f ca="1">SUMIFS(Assumptions!BD$3:BD$103,Assumptions!$G$3:$G$103,'non-road'!$F6,Assumptions!$B$3:$B$103,'non-road'!$D6)/SUMIF(Assumptions!$G$3:$G$103,'non-road'!$F6,Assumptions!BD$3:BD$103)</f>
        <v>0</v>
      </c>
      <c r="X6" s="33">
        <f ca="1">SUMIFS(Assumptions!BE$3:BE$103,Assumptions!$G$3:$G$103,'non-road'!$F6,Assumptions!$B$3:$B$103,'non-road'!$D6)/SUMIF(Assumptions!$G$3:$G$103,'non-road'!$F6,Assumptions!BE$3:BE$103)</f>
        <v>0</v>
      </c>
      <c r="Y6" s="33">
        <f ca="1">SUMIFS(Assumptions!BF$3:BF$103,Assumptions!$G$3:$G$103,'non-road'!$F6,Assumptions!$B$3:$B$103,'non-road'!$D6)/SUMIF(Assumptions!$G$3:$G$103,'non-road'!$F6,Assumptions!BF$3:BF$103)</f>
        <v>0</v>
      </c>
      <c r="Z6" s="33">
        <f ca="1">SUMIFS(Assumptions!BG$3:BG$103,Assumptions!$G$3:$G$103,'non-road'!$F6,Assumptions!$B$3:$B$103,'non-road'!$D6)/SUMIF(Assumptions!$G$3:$G$103,'non-road'!$F6,Assumptions!BG$3:BG$103)</f>
        <v>0</v>
      </c>
      <c r="AA6" s="33">
        <f ca="1">SUMIFS(Assumptions!BH$3:BH$103,Assumptions!$G$3:$G$103,'non-road'!$F6,Assumptions!$B$3:$B$103,'non-road'!$D6)/SUMIF(Assumptions!$G$3:$G$103,'non-road'!$F6,Assumptions!BH$3:BH$103)</f>
        <v>0.13658298053042686</v>
      </c>
      <c r="AB6" s="33">
        <f ca="1">SUMIFS(Assumptions!BI$3:BI$103,Assumptions!$G$3:$G$103,'non-road'!$F6,Assumptions!$B$3:$B$103,'non-road'!$D6)/SUMIF(Assumptions!$G$3:$G$103,'non-road'!$F6,Assumptions!BI$3:BI$103)</f>
        <v>0</v>
      </c>
      <c r="AC6" s="33">
        <f ca="1">SUMIFS(Assumptions!BJ$3:BJ$103,Assumptions!$G$3:$G$103,'non-road'!$F6,Assumptions!$B$3:$B$103,'non-road'!$D6)/SUMIF(Assumptions!$G$3:$G$103,'non-road'!$F6,Assumptions!BJ$3:BJ$103)</f>
        <v>0</v>
      </c>
      <c r="AD6" s="33">
        <f ca="1">SUMIFS(Assumptions!BK$3:BK$103,Assumptions!$G$3:$G$103,'non-road'!$F6,Assumptions!$B$3:$B$103,'non-road'!$D6)/SUMIF(Assumptions!$G$3:$G$103,'non-road'!$F6,Assumptions!BK$3:BK$103)</f>
        <v>0</v>
      </c>
      <c r="AE6" s="33">
        <f ca="1">SUMIFS(Assumptions!BL$3:BL$103,Assumptions!$G$3:$G$103,'non-road'!$F6,Assumptions!$B$3:$B$103,'non-road'!$D6)/SUMIF(Assumptions!$G$3:$G$103,'non-road'!$F6,Assumptions!BL$3:BL$103)</f>
        <v>3.2028850169623559E-3</v>
      </c>
      <c r="AF6" s="33" t="e">
        <f ca="1">SUMIFS(Assumptions!BM$3:BM$103,Assumptions!$G$3:$G$103,'non-road'!$F6,Assumptions!$B$3:$B$103,'non-road'!$D6)/SUMIF(Assumptions!$G$3:$G$103,'non-road'!$F6,Assumptions!BM$3:BM$103)</f>
        <v>#DIV/0!</v>
      </c>
      <c r="AG6" s="33">
        <f ca="1">SUMIFS(Assumptions!BN$3:BN$103,Assumptions!$G$3:$G$103,'non-road'!$F6,Assumptions!$B$3:$B$103,'non-road'!$D6)/SUMIF(Assumptions!$G$3:$G$103,'non-road'!$F6,Assumptions!BN$3:BN$103)</f>
        <v>7.2884702619432223E-2</v>
      </c>
      <c r="AH6" s="33">
        <f ca="1">SUMIFS(Assumptions!BO$3:BO$103,Assumptions!$G$3:$G$103,'non-road'!$F6,Assumptions!$B$3:$B$103,'non-road'!$D6)/SUMIF(Assumptions!$G$3:$G$103,'non-road'!$F6,Assumptions!BO$3:BO$103)</f>
        <v>0</v>
      </c>
      <c r="AI6" s="33">
        <f ca="1">SUMIFS(Assumptions!BP$3:BP$103,Assumptions!$G$3:$G$103,'non-road'!$F6,Assumptions!$B$3:$B$103,'non-road'!$D6)/SUMIF(Assumptions!$G$3:$G$103,'non-road'!$F6,Assumptions!BP$3:BP$103)</f>
        <v>0</v>
      </c>
      <c r="AJ6" s="33" t="e">
        <f ca="1">SUMIFS(Assumptions!BQ$3:BQ$103,Assumptions!$G$3:$G$103,'non-road'!$F6,Assumptions!$B$3:$B$103,'non-road'!$D6)/SUMIF(Assumptions!$G$3:$G$103,'non-road'!$F6,Assumptions!BQ$3:BQ$103)</f>
        <v>#DIV/0!</v>
      </c>
      <c r="AK6" s="34"/>
      <c r="AL6" s="33"/>
      <c r="AM6" s="33"/>
      <c r="AN6" s="27" t="str">
        <f t="shared" si="35"/>
        <v>\I: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27"/>
      <c r="BT6" s="27"/>
      <c r="BU6" s="27" t="s">
        <v>20</v>
      </c>
      <c r="BV6" s="27">
        <f>SUMIF(Assumptions!$AL$105:$AL$128,'non-road'!$BU6,Assumptions!AN$105:AN$128)</f>
        <v>28.904666554800002</v>
      </c>
      <c r="BW6" s="27">
        <f>SUMIF(Assumptions!$AL$105:$AL$128,'non-road'!$BU6,Assumptions!AO$105:AO$128)</f>
        <v>22.6721667672</v>
      </c>
      <c r="BX6" s="27">
        <f>SUMIF(Assumptions!$AL$105:$AL$128,'non-road'!$BU6,Assumptions!AP$105:AP$128)</f>
        <v>52.585056629999997</v>
      </c>
      <c r="BY6" s="27">
        <f>SUMIF(Assumptions!$AL$105:$AL$128,'non-road'!$BU6,Assumptions!AQ$105:AQ$128)</f>
        <v>25.455057364799998</v>
      </c>
      <c r="BZ6" s="27">
        <f>SUMIF(Assumptions!$AL$105:$AL$128,'non-road'!$BU6,Assumptions!AR$105:AR$128)</f>
        <v>193.83090374880001</v>
      </c>
      <c r="CA6" s="27">
        <f>SUMIF(Assumptions!$AL$105:$AL$128,'non-road'!$BU6,Assumptions!AS$105:AS$128)</f>
        <v>278.04230651519998</v>
      </c>
      <c r="CB6" s="27">
        <f>SUMIF(Assumptions!$AL$105:$AL$128,'non-road'!$BU6,Assumptions!AT$105:AT$128)</f>
        <v>137.98737372240001</v>
      </c>
      <c r="CC6" s="27">
        <f>SUMIF(Assumptions!$AL$105:$AL$128,'non-road'!$BU6,Assumptions!AU$105:AU$128)</f>
        <v>140.16918637800001</v>
      </c>
      <c r="CD6" s="27">
        <f>SUMIF(Assumptions!$AL$105:$AL$128,'non-road'!$BU6,Assumptions!AV$105:AV$128)</f>
        <v>290.2215988584</v>
      </c>
      <c r="CE6" s="27">
        <f>SUMIF(Assumptions!$AL$105:$AL$128,'non-road'!$BU6,Assumptions!AW$105:AW$128)</f>
        <v>1141.9091299080001</v>
      </c>
      <c r="CF6" s="27">
        <f>SUMIF(Assumptions!$AL$105:$AL$128,'non-road'!$BU6,Assumptions!AX$105:AX$128)</f>
        <v>10.7713929204</v>
      </c>
      <c r="CG6" s="27">
        <f>SUMIF(Assumptions!$AL$105:$AL$128,'non-road'!$BU6,Assumptions!AY$105:AY$128)</f>
        <v>4.7938525056000003</v>
      </c>
      <c r="CH6" s="27">
        <f>SUMIF(Assumptions!$AL$105:$AL$128,'non-road'!$BU6,Assumptions!AZ$105:AZ$128)</f>
        <v>0.79756027920000006</v>
      </c>
      <c r="CI6" s="27">
        <f>SUMIF(Assumptions!$AL$105:$AL$128,'non-road'!$BU6,Assumptions!BA$105:BA$128)</f>
        <v>47.447853029999997</v>
      </c>
      <c r="CJ6" s="27">
        <f>SUMIF(Assumptions!$AL$105:$AL$128,'non-road'!$BU6,Assumptions!BB$105:BB$128)</f>
        <v>3.6679717439999999</v>
      </c>
      <c r="CK6" s="27">
        <f>SUMIF(Assumptions!$AL$105:$AL$128,'non-road'!$BU6,Assumptions!BC$105:BC$128)</f>
        <v>104.06784605039999</v>
      </c>
      <c r="CL6" s="27">
        <f>SUMIF(Assumptions!$AL$105:$AL$128,'non-road'!$BU6,Assumptions!BD$105:BD$128)</f>
        <v>61.495019204400002</v>
      </c>
      <c r="CM6" s="27">
        <f>SUMIF(Assumptions!$AL$105:$AL$128,'non-road'!$BU6,Assumptions!BE$105:BE$128)</f>
        <v>67.799230502399993</v>
      </c>
      <c r="CN6" s="27">
        <f>SUMIF(Assumptions!$AL$105:$AL$128,'non-road'!$BU6,Assumptions!BF$105:BF$128)</f>
        <v>30.753000590399999</v>
      </c>
      <c r="CO6" s="27">
        <f>SUMIF(Assumptions!$AL$105:$AL$128,'non-road'!$BU6,Assumptions!BG$105:BG$128)</f>
        <v>179.28629130600001</v>
      </c>
      <c r="CP6" s="27">
        <f>SUMIF(Assumptions!$AL$105:$AL$128,'non-road'!$BU6,Assumptions!BH$105:BH$128)</f>
        <v>37.480932795599998</v>
      </c>
      <c r="CQ6" s="27">
        <f>SUMIF(Assumptions!$AL$105:$AL$128,'non-road'!$BU6,Assumptions!BI$105:BI$128)</f>
        <v>0.54145372319999996</v>
      </c>
      <c r="CR6" s="27">
        <f>SUMIF(Assumptions!$AL$105:$AL$128,'non-road'!$BU6,Assumptions!BJ$105:BJ$128)</f>
        <v>60.200674171199999</v>
      </c>
      <c r="CS6" s="27">
        <f>SUMIF(Assumptions!$AL$105:$AL$128,'non-road'!$BU6,Assumptions!BK$105:BK$128)</f>
        <v>15.0798403944</v>
      </c>
      <c r="CT6" s="27">
        <f>SUMIF(Assumptions!$AL$105:$AL$128,'non-road'!$BU6,Assumptions!BL$105:BL$128)</f>
        <v>245.14399797839999</v>
      </c>
      <c r="CU6" s="27">
        <f>SUMIF(Assumptions!$AL$105:$AL$128,'non-road'!$BU6,Assumptions!BM$105:BM$128)</f>
        <v>40.847534488800001</v>
      </c>
      <c r="CV6" s="27">
        <f>SUMIF(Assumptions!$AL$105:$AL$128,'non-road'!$BU6,Assumptions!BN$105:BN$128)</f>
        <v>52.743296735999998</v>
      </c>
      <c r="CW6" s="27">
        <f>SUMIF(Assumptions!$AL$105:$AL$128,'non-road'!$BU6,Assumptions!BO$105:BO$128)</f>
        <v>37.125494409600002</v>
      </c>
      <c r="CX6" s="27">
        <f>SUMIF(Assumptions!$AL$105:$AL$128,'non-road'!$BU6,Assumptions!BP$105:BP$128)</f>
        <v>2524.0834341827999</v>
      </c>
      <c r="CY6" s="27">
        <f>SUMIF(Assumptions!$AL$105:$AL$128,'non-road'!$BU6,Assumptions!BQ$105:BQ$128)</f>
        <v>0</v>
      </c>
      <c r="CZ6" s="27"/>
      <c r="DA6" s="27" t="str">
        <f t="shared" si="33"/>
        <v>\I:</v>
      </c>
      <c r="DB6" s="27" t="str">
        <f t="shared" si="32"/>
        <v/>
      </c>
      <c r="DC6" s="27" t="s">
        <v>169</v>
      </c>
      <c r="DD6" s="27" t="s">
        <v>160</v>
      </c>
      <c r="DE6" s="27" t="s">
        <v>161</v>
      </c>
      <c r="DF6" s="27"/>
      <c r="DG6" s="27"/>
      <c r="DH6" s="27"/>
    </row>
    <row r="7" spans="1:112" x14ac:dyDescent="0.45">
      <c r="A7" s="27" t="s">
        <v>36</v>
      </c>
      <c r="B7" s="27"/>
      <c r="C7" s="27" t="str">
        <f t="shared" si="34"/>
        <v/>
      </c>
      <c r="D7" s="27" t="s">
        <v>45</v>
      </c>
      <c r="E7" s="27"/>
      <c r="F7" s="27" t="s">
        <v>55</v>
      </c>
      <c r="G7" s="33">
        <f ca="1">SUMIFS(Assumptions!AN$3:AN$103,Assumptions!$G$3:$G$103,'non-road'!$F7,Assumptions!$B$3:$B$103,'non-road'!$D7)/SUMIF(Assumptions!$G$3:$G$103,'non-road'!$F7,Assumptions!AN$3:AN$103)</f>
        <v>0.41387224024075636</v>
      </c>
      <c r="H7" s="33">
        <f ca="1">SUMIFS(Assumptions!AO$3:AO$103,Assumptions!$G$3:$G$103,'non-road'!$F7,Assumptions!$B$3:$B$103,'non-road'!$D7)/SUMIF(Assumptions!$G$3:$G$103,'non-road'!$F7,Assumptions!AO$3:AO$103)</f>
        <v>0</v>
      </c>
      <c r="I7" s="33">
        <f ca="1">SUMIFS(Assumptions!AP$3:AP$103,Assumptions!$G$3:$G$103,'non-road'!$F7,Assumptions!$B$3:$B$103,'non-road'!$D7)/SUMIF(Assumptions!$G$3:$G$103,'non-road'!$F7,Assumptions!AP$3:AP$103)</f>
        <v>0</v>
      </c>
      <c r="J7" s="33">
        <f ca="1">SUMIFS(Assumptions!AQ$3:AQ$103,Assumptions!$G$3:$G$103,'non-road'!$F7,Assumptions!$B$3:$B$103,'non-road'!$D7)/SUMIF(Assumptions!$G$3:$G$103,'non-road'!$F7,Assumptions!AQ$3:AQ$103)</f>
        <v>1.4352569357086173E-3</v>
      </c>
      <c r="K7" s="33">
        <f ca="1">SUMIFS(Assumptions!AR$3:AR$103,Assumptions!$G$3:$G$103,'non-road'!$F7,Assumptions!$B$3:$B$103,'non-road'!$D7)/SUMIF(Assumptions!$G$3:$G$103,'non-road'!$F7,Assumptions!AR$3:AR$103)</f>
        <v>0</v>
      </c>
      <c r="L7" s="33">
        <f ca="1">SUMIFS(Assumptions!AS$3:AS$103,Assumptions!$G$3:$G$103,'non-road'!$F7,Assumptions!$B$3:$B$103,'non-road'!$D7)/SUMIF(Assumptions!$G$3:$G$103,'non-road'!$F7,Assumptions!AS$3:AS$103)</f>
        <v>1.3251281311845193E-4</v>
      </c>
      <c r="M7" s="33">
        <f ca="1">SUMIFS(Assumptions!AT$3:AT$103,Assumptions!$G$3:$G$103,'non-road'!$F7,Assumptions!$B$3:$B$103,'non-road'!$D7)/SUMIF(Assumptions!$G$3:$G$103,'non-road'!$F7,Assumptions!AT$3:AT$103)</f>
        <v>4.4719649386521685E-5</v>
      </c>
      <c r="N7" s="33">
        <f ca="1">SUMIFS(Assumptions!AU$3:AU$103,Assumptions!$G$3:$G$103,'non-road'!$F7,Assumptions!$B$3:$B$103,'non-road'!$D7)/SUMIF(Assumptions!$G$3:$G$103,'non-road'!$F7,Assumptions!AU$3:AU$103)</f>
        <v>0</v>
      </c>
      <c r="O7" s="33">
        <f ca="1">SUMIFS(Assumptions!AV$3:AV$103,Assumptions!$G$3:$G$103,'non-road'!$F7,Assumptions!$B$3:$B$103,'non-road'!$D7)/SUMIF(Assumptions!$G$3:$G$103,'non-road'!$F7,Assumptions!AV$3:AV$103)</f>
        <v>0</v>
      </c>
      <c r="P7" s="33">
        <f ca="1">SUMIFS(Assumptions!AW$3:AW$103,Assumptions!$G$3:$G$103,'non-road'!$F7,Assumptions!$B$3:$B$103,'non-road'!$D7)/SUMIF(Assumptions!$G$3:$G$103,'non-road'!$F7,Assumptions!AW$3:AW$103)</f>
        <v>0</v>
      </c>
      <c r="Q7" s="33">
        <f ca="1">SUMIFS(Assumptions!AX$3:AX$103,Assumptions!$G$3:$G$103,'non-road'!$F7,Assumptions!$B$3:$B$103,'non-road'!$D7)/SUMIF(Assumptions!$G$3:$G$103,'non-road'!$F7,Assumptions!AX$3:AX$103)</f>
        <v>0</v>
      </c>
      <c r="R7" s="33">
        <f ca="1">SUMIFS(Assumptions!AY$3:AY$103,Assumptions!$G$3:$G$103,'non-road'!$F7,Assumptions!$B$3:$B$103,'non-road'!$D7)/SUMIF(Assumptions!$G$3:$G$103,'non-road'!$F7,Assumptions!AY$3:AY$103)</f>
        <v>0</v>
      </c>
      <c r="S7" s="33">
        <f ca="1">SUMIFS(Assumptions!AZ$3:AZ$103,Assumptions!$G$3:$G$103,'non-road'!$F7,Assumptions!$B$3:$B$103,'non-road'!$D7)/SUMIF(Assumptions!$G$3:$G$103,'non-road'!$F7,Assumptions!AZ$3:AZ$103)</f>
        <v>0</v>
      </c>
      <c r="T7" s="33">
        <f ca="1">SUMIFS(Assumptions!BA$3:BA$103,Assumptions!$G$3:$G$103,'non-road'!$F7,Assumptions!$B$3:$B$103,'non-road'!$D7)/SUMIF(Assumptions!$G$3:$G$103,'non-road'!$F7,Assumptions!BA$3:BA$103)</f>
        <v>0</v>
      </c>
      <c r="U7" s="33">
        <f ca="1">SUMIFS(Assumptions!BB$3:BB$103,Assumptions!$G$3:$G$103,'non-road'!$F7,Assumptions!$B$3:$B$103,'non-road'!$D7)/SUMIF(Assumptions!$G$3:$G$103,'non-road'!$F7,Assumptions!BB$3:BB$103)</f>
        <v>0</v>
      </c>
      <c r="V7" s="33">
        <f ca="1">SUMIFS(Assumptions!BC$3:BC$103,Assumptions!$G$3:$G$103,'non-road'!$F7,Assumptions!$B$3:$B$103,'non-road'!$D7)/SUMIF(Assumptions!$G$3:$G$103,'non-road'!$F7,Assumptions!BC$3:BC$103)</f>
        <v>0</v>
      </c>
      <c r="W7" s="33">
        <f ca="1">SUMIFS(Assumptions!BD$3:BD$103,Assumptions!$G$3:$G$103,'non-road'!$F7,Assumptions!$B$3:$B$103,'non-road'!$D7)/SUMIF(Assumptions!$G$3:$G$103,'non-road'!$F7,Assumptions!BD$3:BD$103)</f>
        <v>0</v>
      </c>
      <c r="X7" s="33">
        <f ca="1">SUMIFS(Assumptions!BE$3:BE$103,Assumptions!$G$3:$G$103,'non-road'!$F7,Assumptions!$B$3:$B$103,'non-road'!$D7)/SUMIF(Assumptions!$G$3:$G$103,'non-road'!$F7,Assumptions!BE$3:BE$103)</f>
        <v>0</v>
      </c>
      <c r="Y7" s="33">
        <f ca="1">SUMIFS(Assumptions!BF$3:BF$103,Assumptions!$G$3:$G$103,'non-road'!$F7,Assumptions!$B$3:$B$103,'non-road'!$D7)/SUMIF(Assumptions!$G$3:$G$103,'non-road'!$F7,Assumptions!BF$3:BF$103)</f>
        <v>0</v>
      </c>
      <c r="Z7" s="33">
        <f ca="1">SUMIFS(Assumptions!BG$3:BG$103,Assumptions!$G$3:$G$103,'non-road'!$F7,Assumptions!$B$3:$B$103,'non-road'!$D7)/SUMIF(Assumptions!$G$3:$G$103,'non-road'!$F7,Assumptions!BG$3:BG$103)</f>
        <v>0</v>
      </c>
      <c r="AA7" s="33">
        <f ca="1">SUMIFS(Assumptions!BH$3:BH$103,Assumptions!$G$3:$G$103,'non-road'!$F7,Assumptions!$B$3:$B$103,'non-road'!$D7)/SUMIF(Assumptions!$G$3:$G$103,'non-road'!$F7,Assumptions!BH$3:BH$103)</f>
        <v>0</v>
      </c>
      <c r="AB7" s="33">
        <f ca="1">SUMIFS(Assumptions!BI$3:BI$103,Assumptions!$G$3:$G$103,'non-road'!$F7,Assumptions!$B$3:$B$103,'non-road'!$D7)/SUMIF(Assumptions!$G$3:$G$103,'non-road'!$F7,Assumptions!BI$3:BI$103)</f>
        <v>0</v>
      </c>
      <c r="AC7" s="33">
        <f ca="1">SUMIFS(Assumptions!BJ$3:BJ$103,Assumptions!$G$3:$G$103,'non-road'!$F7,Assumptions!$B$3:$B$103,'non-road'!$D7)/SUMIF(Assumptions!$G$3:$G$103,'non-road'!$F7,Assumptions!BJ$3:BJ$103)</f>
        <v>0</v>
      </c>
      <c r="AD7" s="33">
        <f ca="1">SUMIFS(Assumptions!BK$3:BK$103,Assumptions!$G$3:$G$103,'non-road'!$F7,Assumptions!$B$3:$B$103,'non-road'!$D7)/SUMIF(Assumptions!$G$3:$G$103,'non-road'!$F7,Assumptions!BK$3:BK$103)</f>
        <v>0</v>
      </c>
      <c r="AE7" s="33">
        <f ca="1">SUMIFS(Assumptions!BL$3:BL$103,Assumptions!$G$3:$G$103,'non-road'!$F7,Assumptions!$B$3:$B$103,'non-road'!$D7)/SUMIF(Assumptions!$G$3:$G$103,'non-road'!$F7,Assumptions!BL$3:BL$103)</f>
        <v>4.2004986950157597E-4</v>
      </c>
      <c r="AF7" s="33" t="e">
        <f ca="1">SUMIFS(Assumptions!BM$3:BM$103,Assumptions!$G$3:$G$103,'non-road'!$F7,Assumptions!$B$3:$B$103,'non-road'!$D7)/SUMIF(Assumptions!$G$3:$G$103,'non-road'!$F7,Assumptions!BM$3:BM$103)</f>
        <v>#DIV/0!</v>
      </c>
      <c r="AG7" s="33">
        <f ca="1">SUMIFS(Assumptions!BN$3:BN$103,Assumptions!$G$3:$G$103,'non-road'!$F7,Assumptions!$B$3:$B$103,'non-road'!$D7)/SUMIF(Assumptions!$G$3:$G$103,'non-road'!$F7,Assumptions!BN$3:BN$103)</f>
        <v>0.23581051319149998</v>
      </c>
      <c r="AH7" s="33">
        <f ca="1">SUMIFS(Assumptions!BO$3:BO$103,Assumptions!$G$3:$G$103,'non-road'!$F7,Assumptions!$B$3:$B$103,'non-road'!$D7)/SUMIF(Assumptions!$G$3:$G$103,'non-road'!$F7,Assumptions!BO$3:BO$103)</f>
        <v>0</v>
      </c>
      <c r="AI7" s="33">
        <f ca="1">SUMIFS(Assumptions!BP$3:BP$103,Assumptions!$G$3:$G$103,'non-road'!$F7,Assumptions!$B$3:$B$103,'non-road'!$D7)/SUMIF(Assumptions!$G$3:$G$103,'non-road'!$F7,Assumptions!BP$3:BP$103)</f>
        <v>0</v>
      </c>
      <c r="AJ7" s="33" t="e">
        <f ca="1">SUMIFS(Assumptions!BQ$3:BQ$103,Assumptions!$G$3:$G$103,'non-road'!$F7,Assumptions!$B$3:$B$103,'non-road'!$D7)/SUMIF(Assumptions!$G$3:$G$103,'non-road'!$F7,Assumptions!BQ$3:BQ$103)</f>
        <v>#DIV/0!</v>
      </c>
      <c r="AK7" s="34"/>
      <c r="AL7" s="33"/>
      <c r="AM7" s="33"/>
      <c r="AN7" s="27" t="str">
        <f t="shared" si="35"/>
        <v>\I: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27"/>
      <c r="BT7" s="27"/>
      <c r="BU7" s="27" t="s">
        <v>21</v>
      </c>
      <c r="BV7" s="27">
        <f>SUMIF(Assumptions!$AL$105:$AL$128,'non-road'!$BU7,Assumptions!AN$105:AN$128)</f>
        <v>12.033072539999999</v>
      </c>
      <c r="BW7" s="27">
        <f>SUMIF(Assumptions!$AL$105:$AL$128,'non-road'!$BU7,Assumptions!AO$105:AO$128)</f>
        <v>23.5543757688</v>
      </c>
      <c r="BX7" s="27">
        <f>SUMIF(Assumptions!$AL$105:$AL$128,'non-road'!$BU7,Assumptions!AP$105:AP$128)</f>
        <v>27.114261083999999</v>
      </c>
      <c r="BY7" s="27">
        <f>SUMIF(Assumptions!$AL$105:$AL$128,'non-road'!$BU7,Assumptions!AQ$105:AQ$128)</f>
        <v>1.3265792063999999</v>
      </c>
      <c r="BZ7" s="27">
        <f>SUMIF(Assumptions!$AL$105:$AL$128,'non-road'!$BU7,Assumptions!AR$105:AR$128)</f>
        <v>146.88037138319999</v>
      </c>
      <c r="CA7" s="27">
        <f>SUMIF(Assumptions!$AL$105:$AL$128,'non-road'!$BU7,Assumptions!AS$105:AS$128)</f>
        <v>259.30507023360002</v>
      </c>
      <c r="CB7" s="27">
        <f>SUMIF(Assumptions!$AL$105:$AL$128,'non-road'!$BU7,Assumptions!AT$105:AT$128)</f>
        <v>33.6053585736</v>
      </c>
      <c r="CC7" s="27">
        <f>SUMIF(Assumptions!$AL$105:$AL$128,'non-road'!$BU7,Assumptions!AU$105:AU$128)</f>
        <v>54.311533851600004</v>
      </c>
      <c r="CD7" s="27">
        <f>SUMIF(Assumptions!$AL$105:$AL$128,'non-road'!$BU7,Assumptions!AV$105:AV$128)</f>
        <v>53.076000797999995</v>
      </c>
      <c r="CE7" s="27">
        <f>SUMIF(Assumptions!$AL$105:$AL$128,'non-road'!$BU7,Assumptions!AW$105:AW$128)</f>
        <v>1018.0260679932001</v>
      </c>
      <c r="CF7" s="27">
        <f>SUMIF(Assumptions!$AL$105:$AL$128,'non-road'!$BU7,Assumptions!AX$105:AX$128)</f>
        <v>16.446864088799998</v>
      </c>
      <c r="CG7" s="27">
        <f>SUMIF(Assumptions!$AL$105:$AL$128,'non-road'!$BU7,Assumptions!AY$105:AY$128)</f>
        <v>1.9498639356</v>
      </c>
      <c r="CH7" s="27">
        <f>SUMIF(Assumptions!$AL$105:$AL$128,'non-road'!$BU7,Assumptions!AZ$105:AZ$128)</f>
        <v>21.6387766044</v>
      </c>
      <c r="CI7" s="27">
        <f>SUMIF(Assumptions!$AL$105:$AL$128,'non-road'!$BU7,Assumptions!BA$105:BA$128)</f>
        <v>52.803406623599997</v>
      </c>
      <c r="CJ7" s="27">
        <f>SUMIF(Assumptions!$AL$105:$AL$128,'non-road'!$BU7,Assumptions!BB$105:BB$128)</f>
        <v>4.1350260311999998</v>
      </c>
      <c r="CK7" s="27">
        <f>SUMIF(Assumptions!$AL$105:$AL$128,'non-road'!$BU7,Assumptions!BC$105:BC$128)</f>
        <v>46.700438054399996</v>
      </c>
      <c r="CL7" s="27">
        <f>SUMIF(Assumptions!$AL$105:$AL$128,'non-road'!$BU7,Assumptions!BD$105:BD$128)</f>
        <v>25.2715959756</v>
      </c>
      <c r="CM7" s="27">
        <f>SUMIF(Assumptions!$AL$105:$AL$128,'non-road'!$BU7,Assumptions!BE$105:BE$128)</f>
        <v>21.093370541999999</v>
      </c>
      <c r="CN7" s="27">
        <f>SUMIF(Assumptions!$AL$105:$AL$128,'non-road'!$BU7,Assumptions!BF$105:BF$128)</f>
        <v>11.2463979408</v>
      </c>
      <c r="CO7" s="27">
        <f>SUMIF(Assumptions!$AL$105:$AL$128,'non-road'!$BU7,Assumptions!BG$105:BG$128)</f>
        <v>64.375403626800008</v>
      </c>
      <c r="CP7" s="27">
        <f>SUMIF(Assumptions!$AL$105:$AL$128,'non-road'!$BU7,Assumptions!BH$105:BH$128)</f>
        <v>24.831383263199999</v>
      </c>
      <c r="CQ7" s="27">
        <f>SUMIF(Assumptions!$AL$105:$AL$128,'non-road'!$BU7,Assumptions!BI$105:BI$128)</f>
        <v>28.7770110228</v>
      </c>
      <c r="CR7" s="27">
        <f>SUMIF(Assumptions!$AL$105:$AL$128,'non-road'!$BU7,Assumptions!BJ$105:BJ$128)</f>
        <v>0</v>
      </c>
      <c r="CS7" s="27">
        <f>SUMIF(Assumptions!$AL$105:$AL$128,'non-road'!$BU7,Assumptions!BK$105:BK$128)</f>
        <v>42.699791555999994</v>
      </c>
      <c r="CT7" s="27">
        <f>SUMIF(Assumptions!$AL$105:$AL$128,'non-road'!$BU7,Assumptions!BL$105:BL$128)</f>
        <v>25.551659401199998</v>
      </c>
      <c r="CU7" s="27">
        <f>SUMIF(Assumptions!$AL$105:$AL$128,'non-road'!$BU7,Assumptions!BM$105:BM$128)</f>
        <v>0</v>
      </c>
      <c r="CV7" s="27">
        <f>SUMIF(Assumptions!$AL$105:$AL$128,'non-road'!$BU7,Assumptions!BN$105:BN$128)</f>
        <v>11.0551951584</v>
      </c>
      <c r="CW7" s="27">
        <f>SUMIF(Assumptions!$AL$105:$AL$128,'non-road'!$BU7,Assumptions!BO$105:BO$128)</f>
        <v>37.178976592799998</v>
      </c>
      <c r="CX7" s="27">
        <f>SUMIF(Assumptions!$AL$105:$AL$128,'non-road'!$BU7,Assumptions!BP$105:BP$128)</f>
        <v>363.82728456719997</v>
      </c>
      <c r="CY7" s="27">
        <f>SUMIF(Assumptions!$AL$105:$AL$128,'non-road'!$BU7,Assumptions!BQ$105:BQ$128)</f>
        <v>0</v>
      </c>
      <c r="CZ7" s="27"/>
      <c r="DA7" s="27" t="str">
        <f t="shared" si="33"/>
        <v>\I:</v>
      </c>
      <c r="DB7" s="27" t="str">
        <f t="shared" si="32"/>
        <v/>
      </c>
      <c r="DC7" s="27" t="s">
        <v>169</v>
      </c>
      <c r="DD7" s="27" t="s">
        <v>160</v>
      </c>
      <c r="DE7" s="27" t="s">
        <v>161</v>
      </c>
      <c r="DF7" s="27"/>
      <c r="DG7" s="27"/>
      <c r="DH7" s="27"/>
    </row>
    <row r="8" spans="1:112" x14ac:dyDescent="0.45">
      <c r="A8" s="27" t="s">
        <v>10</v>
      </c>
      <c r="B8" s="27"/>
      <c r="C8" s="27" t="str">
        <f t="shared" si="34"/>
        <v/>
      </c>
      <c r="D8" s="27" t="s">
        <v>39</v>
      </c>
      <c r="E8" s="27"/>
      <c r="F8" s="27" t="s">
        <v>55</v>
      </c>
      <c r="G8" s="33">
        <f ca="1">SUMIFS(Assumptions!AN$3:AN$103,Assumptions!$G$3:$G$103,'non-road'!$F8,Assumptions!$B$3:$B$103,'non-road'!$D8)/SUMIF(Assumptions!$G$3:$G$103,'non-road'!$F8,Assumptions!AN$3:AN$103)</f>
        <v>0</v>
      </c>
      <c r="H8" s="33">
        <f ca="1">SUMIFS(Assumptions!AO$3:AO$103,Assumptions!$G$3:$G$103,'non-road'!$F8,Assumptions!$B$3:$B$103,'non-road'!$D8)/SUMIF(Assumptions!$G$3:$G$103,'non-road'!$F8,Assumptions!AO$3:AO$103)</f>
        <v>0</v>
      </c>
      <c r="I8" s="33">
        <f ca="1">SUMIFS(Assumptions!AP$3:AP$103,Assumptions!$G$3:$G$103,'non-road'!$F8,Assumptions!$B$3:$B$103,'non-road'!$D8)/SUMIF(Assumptions!$G$3:$G$103,'non-road'!$F8,Assumptions!AP$3:AP$103)</f>
        <v>0</v>
      </c>
      <c r="J8" s="33">
        <f ca="1">SUMIFS(Assumptions!AQ$3:AQ$103,Assumptions!$G$3:$G$103,'non-road'!$F8,Assumptions!$B$3:$B$103,'non-road'!$D8)/SUMIF(Assumptions!$G$3:$G$103,'non-road'!$F8,Assumptions!AQ$3:AQ$103)</f>
        <v>0</v>
      </c>
      <c r="K8" s="33">
        <f ca="1">SUMIFS(Assumptions!AR$3:AR$103,Assumptions!$G$3:$G$103,'non-road'!$F8,Assumptions!$B$3:$B$103,'non-road'!$D8)/SUMIF(Assumptions!$G$3:$G$103,'non-road'!$F8,Assumptions!AR$3:AR$103)</f>
        <v>0</v>
      </c>
      <c r="L8" s="33">
        <f ca="1">SUMIFS(Assumptions!AS$3:AS$103,Assumptions!$G$3:$G$103,'non-road'!$F8,Assumptions!$B$3:$B$103,'non-road'!$D8)/SUMIF(Assumptions!$G$3:$G$103,'non-road'!$F8,Assumptions!AS$3:AS$103)</f>
        <v>0</v>
      </c>
      <c r="M8" s="33">
        <f ca="1">SUMIFS(Assumptions!AT$3:AT$103,Assumptions!$G$3:$G$103,'non-road'!$F8,Assumptions!$B$3:$B$103,'non-road'!$D8)/SUMIF(Assumptions!$G$3:$G$103,'non-road'!$F8,Assumptions!AT$3:AT$103)</f>
        <v>0</v>
      </c>
      <c r="N8" s="33">
        <f ca="1">SUMIFS(Assumptions!AU$3:AU$103,Assumptions!$G$3:$G$103,'non-road'!$F8,Assumptions!$B$3:$B$103,'non-road'!$D8)/SUMIF(Assumptions!$G$3:$G$103,'non-road'!$F8,Assumptions!AU$3:AU$103)</f>
        <v>0</v>
      </c>
      <c r="O8" s="33">
        <f ca="1">SUMIFS(Assumptions!AV$3:AV$103,Assumptions!$G$3:$G$103,'non-road'!$F8,Assumptions!$B$3:$B$103,'non-road'!$D8)/SUMIF(Assumptions!$G$3:$G$103,'non-road'!$F8,Assumptions!AV$3:AV$103)</f>
        <v>0</v>
      </c>
      <c r="P8" s="33">
        <f ca="1">SUMIFS(Assumptions!AW$3:AW$103,Assumptions!$G$3:$G$103,'non-road'!$F8,Assumptions!$B$3:$B$103,'non-road'!$D8)/SUMIF(Assumptions!$G$3:$G$103,'non-road'!$F8,Assumptions!AW$3:AW$103)</f>
        <v>0</v>
      </c>
      <c r="Q8" s="33">
        <f ca="1">SUMIFS(Assumptions!AX$3:AX$103,Assumptions!$G$3:$G$103,'non-road'!$F8,Assumptions!$B$3:$B$103,'non-road'!$D8)/SUMIF(Assumptions!$G$3:$G$103,'non-road'!$F8,Assumptions!AX$3:AX$103)</f>
        <v>0</v>
      </c>
      <c r="R8" s="33">
        <f ca="1">SUMIFS(Assumptions!AY$3:AY$103,Assumptions!$G$3:$G$103,'non-road'!$F8,Assumptions!$B$3:$B$103,'non-road'!$D8)/SUMIF(Assumptions!$G$3:$G$103,'non-road'!$F8,Assumptions!AY$3:AY$103)</f>
        <v>0</v>
      </c>
      <c r="S8" s="33">
        <f ca="1">SUMIFS(Assumptions!AZ$3:AZ$103,Assumptions!$G$3:$G$103,'non-road'!$F8,Assumptions!$B$3:$B$103,'non-road'!$D8)/SUMIF(Assumptions!$G$3:$G$103,'non-road'!$F8,Assumptions!AZ$3:AZ$103)</f>
        <v>0</v>
      </c>
      <c r="T8" s="33">
        <f ca="1">SUMIFS(Assumptions!BA$3:BA$103,Assumptions!$G$3:$G$103,'non-road'!$F8,Assumptions!$B$3:$B$103,'non-road'!$D8)/SUMIF(Assumptions!$G$3:$G$103,'non-road'!$F8,Assumptions!BA$3:BA$103)</f>
        <v>0</v>
      </c>
      <c r="U8" s="33">
        <f ca="1">SUMIFS(Assumptions!BB$3:BB$103,Assumptions!$G$3:$G$103,'non-road'!$F8,Assumptions!$B$3:$B$103,'non-road'!$D8)/SUMIF(Assumptions!$G$3:$G$103,'non-road'!$F8,Assumptions!BB$3:BB$103)</f>
        <v>0</v>
      </c>
      <c r="V8" s="33">
        <f ca="1">SUMIFS(Assumptions!BC$3:BC$103,Assumptions!$G$3:$G$103,'non-road'!$F8,Assumptions!$B$3:$B$103,'non-road'!$D8)/SUMIF(Assumptions!$G$3:$G$103,'non-road'!$F8,Assumptions!BC$3:BC$103)</f>
        <v>0</v>
      </c>
      <c r="W8" s="33">
        <f ca="1">SUMIFS(Assumptions!BD$3:BD$103,Assumptions!$G$3:$G$103,'non-road'!$F8,Assumptions!$B$3:$B$103,'non-road'!$D8)/SUMIF(Assumptions!$G$3:$G$103,'non-road'!$F8,Assumptions!BD$3:BD$103)</f>
        <v>0</v>
      </c>
      <c r="X8" s="33">
        <f ca="1">SUMIFS(Assumptions!BE$3:BE$103,Assumptions!$G$3:$G$103,'non-road'!$F8,Assumptions!$B$3:$B$103,'non-road'!$D8)/SUMIF(Assumptions!$G$3:$G$103,'non-road'!$F8,Assumptions!BE$3:BE$103)</f>
        <v>0</v>
      </c>
      <c r="Y8" s="33">
        <f ca="1">SUMIFS(Assumptions!BF$3:BF$103,Assumptions!$G$3:$G$103,'non-road'!$F8,Assumptions!$B$3:$B$103,'non-road'!$D8)/SUMIF(Assumptions!$G$3:$G$103,'non-road'!$F8,Assumptions!BF$3:BF$103)</f>
        <v>0</v>
      </c>
      <c r="Z8" s="33">
        <f ca="1">SUMIFS(Assumptions!BG$3:BG$103,Assumptions!$G$3:$G$103,'non-road'!$F8,Assumptions!$B$3:$B$103,'non-road'!$D8)/SUMIF(Assumptions!$G$3:$G$103,'non-road'!$F8,Assumptions!BG$3:BG$103)</f>
        <v>0</v>
      </c>
      <c r="AA8" s="33">
        <f ca="1">SUMIFS(Assumptions!BH$3:BH$103,Assumptions!$G$3:$G$103,'non-road'!$F8,Assumptions!$B$3:$B$103,'non-road'!$D8)/SUMIF(Assumptions!$G$3:$G$103,'non-road'!$F8,Assumptions!BH$3:BH$103)</f>
        <v>0</v>
      </c>
      <c r="AB8" s="33">
        <f ca="1">SUMIFS(Assumptions!BI$3:BI$103,Assumptions!$G$3:$G$103,'non-road'!$F8,Assumptions!$B$3:$B$103,'non-road'!$D8)/SUMIF(Assumptions!$G$3:$G$103,'non-road'!$F8,Assumptions!BI$3:BI$103)</f>
        <v>0</v>
      </c>
      <c r="AC8" s="33">
        <f ca="1">SUMIFS(Assumptions!BJ$3:BJ$103,Assumptions!$G$3:$G$103,'non-road'!$F8,Assumptions!$B$3:$B$103,'non-road'!$D8)/SUMIF(Assumptions!$G$3:$G$103,'non-road'!$F8,Assumptions!BJ$3:BJ$103)</f>
        <v>0</v>
      </c>
      <c r="AD8" s="33">
        <f ca="1">SUMIFS(Assumptions!BK$3:BK$103,Assumptions!$G$3:$G$103,'non-road'!$F8,Assumptions!$B$3:$B$103,'non-road'!$D8)/SUMIF(Assumptions!$G$3:$G$103,'non-road'!$F8,Assumptions!BK$3:BK$103)</f>
        <v>0</v>
      </c>
      <c r="AE8" s="33">
        <f ca="1">SUMIFS(Assumptions!BL$3:BL$103,Assumptions!$G$3:$G$103,'non-road'!$F8,Assumptions!$B$3:$B$103,'non-road'!$D8)/SUMIF(Assumptions!$G$3:$G$103,'non-road'!$F8,Assumptions!BL$3:BL$103)</f>
        <v>0</v>
      </c>
      <c r="AF8" s="33" t="e">
        <f ca="1">SUMIFS(Assumptions!BM$3:BM$103,Assumptions!$G$3:$G$103,'non-road'!$F8,Assumptions!$B$3:$B$103,'non-road'!$D8)/SUMIF(Assumptions!$G$3:$G$103,'non-road'!$F8,Assumptions!BM$3:BM$103)</f>
        <v>#DIV/0!</v>
      </c>
      <c r="AG8" s="33">
        <f ca="1">SUMIFS(Assumptions!BN$3:BN$103,Assumptions!$G$3:$G$103,'non-road'!$F8,Assumptions!$B$3:$B$103,'non-road'!$D8)/SUMIF(Assumptions!$G$3:$G$103,'non-road'!$F8,Assumptions!BN$3:BN$103)</f>
        <v>0</v>
      </c>
      <c r="AH8" s="33">
        <f ca="1">SUMIFS(Assumptions!BO$3:BO$103,Assumptions!$G$3:$G$103,'non-road'!$F8,Assumptions!$B$3:$B$103,'non-road'!$D8)/SUMIF(Assumptions!$G$3:$G$103,'non-road'!$F8,Assumptions!BO$3:BO$103)</f>
        <v>0</v>
      </c>
      <c r="AI8" s="33">
        <f ca="1">SUMIFS(Assumptions!BP$3:BP$103,Assumptions!$G$3:$G$103,'non-road'!$F8,Assumptions!$B$3:$B$103,'non-road'!$D8)/SUMIF(Assumptions!$G$3:$G$103,'non-road'!$F8,Assumptions!BP$3:BP$103)</f>
        <v>0</v>
      </c>
      <c r="AJ8" s="33" t="e">
        <f ca="1">SUMIFS(Assumptions!BQ$3:BQ$103,Assumptions!$G$3:$G$103,'non-road'!$F8,Assumptions!$B$3:$B$103,'non-road'!$D8)/SUMIF(Assumptions!$G$3:$G$103,'non-road'!$F8,Assumptions!BQ$3:BQ$103)</f>
        <v>#DIV/0!</v>
      </c>
      <c r="AK8" s="34"/>
      <c r="AL8" s="33"/>
      <c r="AM8" s="33"/>
      <c r="AN8" s="27" t="str">
        <f t="shared" si="35"/>
        <v>\I: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27"/>
      <c r="BT8" s="27"/>
      <c r="BU8" s="27" t="s">
        <v>22</v>
      </c>
      <c r="BV8" s="27">
        <f>SUMIF(Assumptions!$AL$105:$AL$128,'non-road'!$BU8,Assumptions!AN$105:AN$128)</f>
        <v>35.846569360800004</v>
      </c>
      <c r="BW8" s="27">
        <f>SUMIF(Assumptions!$AL$105:$AL$128,'non-road'!$BU8,Assumptions!AO$105:AO$128)</f>
        <v>88.426882346399992</v>
      </c>
      <c r="BX8" s="27">
        <f>SUMIF(Assumptions!$AL$105:$AL$128,'non-road'!$BU8,Assumptions!AP$105:AP$128)</f>
        <v>23.019110136000002</v>
      </c>
      <c r="BY8" s="27">
        <f>SUMIF(Assumptions!$AL$105:$AL$128,'non-road'!$BU8,Assumptions!AQ$105:AQ$128)</f>
        <v>1.4358128184000001</v>
      </c>
      <c r="BZ8" s="27">
        <f>SUMIF(Assumptions!$AL$105:$AL$128,'non-road'!$BU8,Assumptions!AR$105:AR$128)</f>
        <v>536.45126757119999</v>
      </c>
      <c r="CA8" s="27">
        <f>SUMIF(Assumptions!$AL$105:$AL$128,'non-road'!$BU8,Assumptions!AS$105:AS$128)</f>
        <v>2100.7845061812</v>
      </c>
      <c r="CB8" s="27">
        <f>SUMIF(Assumptions!$AL$105:$AL$128,'non-road'!$BU8,Assumptions!AT$105:AT$128)</f>
        <v>45.769226745600001</v>
      </c>
      <c r="CC8" s="27">
        <f>SUMIF(Assumptions!$AL$105:$AL$128,'non-road'!$BU8,Assumptions!AU$105:AU$128)</f>
        <v>139.15394599320001</v>
      </c>
      <c r="CD8" s="27">
        <f>SUMIF(Assumptions!$AL$105:$AL$128,'non-road'!$BU8,Assumptions!AV$105:AV$128)</f>
        <v>23.499599864399997</v>
      </c>
      <c r="CE8" s="27">
        <f>SUMIF(Assumptions!$AL$105:$AL$128,'non-road'!$BU8,Assumptions!AW$105:AW$128)</f>
        <v>879.69327071040004</v>
      </c>
      <c r="CF8" s="27">
        <f>SUMIF(Assumptions!$AL$105:$AL$128,'non-road'!$BU8,Assumptions!AX$105:AX$128)</f>
        <v>128.55937001040002</v>
      </c>
      <c r="CG8" s="27">
        <f>SUMIF(Assumptions!$AL$105:$AL$128,'non-road'!$BU8,Assumptions!AY$105:AY$128)</f>
        <v>40.199974693200005</v>
      </c>
      <c r="CH8" s="27">
        <f>SUMIF(Assumptions!$AL$105:$AL$128,'non-road'!$BU8,Assumptions!AZ$105:AZ$128)</f>
        <v>816.86822656319998</v>
      </c>
      <c r="CI8" s="27">
        <f>SUMIF(Assumptions!$AL$105:$AL$128,'non-road'!$BU8,Assumptions!BA$105:BA$128)</f>
        <v>322.91296224480004</v>
      </c>
      <c r="CJ8" s="27">
        <f>SUMIF(Assumptions!$AL$105:$AL$128,'non-road'!$BU8,Assumptions!BB$105:BB$128)</f>
        <v>13.4524019268</v>
      </c>
      <c r="CK8" s="27">
        <f>SUMIF(Assumptions!$AL$105:$AL$128,'non-road'!$BU8,Assumptions!BC$105:BC$128)</f>
        <v>337.72532473439998</v>
      </c>
      <c r="CL8" s="27">
        <f>SUMIF(Assumptions!$AL$105:$AL$128,'non-road'!$BU8,Assumptions!BD$105:BD$128)</f>
        <v>39.020297738400004</v>
      </c>
      <c r="CM8" s="27">
        <f>SUMIF(Assumptions!$AL$105:$AL$128,'non-road'!$BU8,Assumptions!BE$105:BE$128)</f>
        <v>71.088116814000003</v>
      </c>
      <c r="CN8" s="27">
        <f>SUMIF(Assumptions!$AL$105:$AL$128,'non-road'!$BU8,Assumptions!BF$105:BF$128)</f>
        <v>56.795599972799998</v>
      </c>
      <c r="CO8" s="27">
        <f>SUMIF(Assumptions!$AL$105:$AL$128,'non-road'!$BU8,Assumptions!BG$105:BG$128)</f>
        <v>68.148941346000001</v>
      </c>
      <c r="CP8" s="27">
        <f>SUMIF(Assumptions!$AL$105:$AL$128,'non-road'!$BU8,Assumptions!BH$105:BH$128)</f>
        <v>338.07709548360003</v>
      </c>
      <c r="CQ8" s="27">
        <f>SUMIF(Assumptions!$AL$105:$AL$128,'non-road'!$BU8,Assumptions!BI$105:BI$128)</f>
        <v>33.049803707999999</v>
      </c>
      <c r="CR8" s="27">
        <f>SUMIF(Assumptions!$AL$105:$AL$128,'non-road'!$BU8,Assumptions!BJ$105:BJ$128)</f>
        <v>869.30892232919996</v>
      </c>
      <c r="CS8" s="27">
        <f>SUMIF(Assumptions!$AL$105:$AL$128,'non-road'!$BU8,Assumptions!BK$105:BK$128)</f>
        <v>16.476100513200002</v>
      </c>
      <c r="CT8" s="27">
        <f>SUMIF(Assumptions!$AL$105:$AL$128,'non-road'!$BU8,Assumptions!BL$105:BL$128)</f>
        <v>452.4944431788</v>
      </c>
      <c r="CU8" s="27">
        <f>SUMIF(Assumptions!$AL$105:$AL$128,'non-road'!$BU8,Assumptions!BM$105:BM$128)</f>
        <v>135.01029096720001</v>
      </c>
      <c r="CV8" s="27">
        <f>SUMIF(Assumptions!$AL$105:$AL$128,'non-road'!$BU8,Assumptions!BN$105:BN$128)</f>
        <v>126.36496346039999</v>
      </c>
      <c r="CW8" s="27">
        <f>SUMIF(Assumptions!$AL$105:$AL$128,'non-road'!$BU8,Assumptions!BO$105:BO$128)</f>
        <v>267.3133677468</v>
      </c>
      <c r="CX8" s="27">
        <f>SUMIF(Assumptions!$AL$105:$AL$128,'non-road'!$BU8,Assumptions!BP$105:BP$128)</f>
        <v>958.55684452920013</v>
      </c>
      <c r="CY8" s="27">
        <f>SUMIF(Assumptions!$AL$105:$AL$128,'non-road'!$BU8,Assumptions!BQ$105:BQ$128)</f>
        <v>0</v>
      </c>
      <c r="CZ8" s="27"/>
      <c r="DA8" s="27" t="str">
        <f t="shared" si="33"/>
        <v>\I:</v>
      </c>
      <c r="DB8" s="27" t="str">
        <f t="shared" si="32"/>
        <v/>
      </c>
      <c r="DC8" s="27" t="s">
        <v>169</v>
      </c>
      <c r="DD8" s="27" t="s">
        <v>160</v>
      </c>
      <c r="DE8" s="27" t="s">
        <v>161</v>
      </c>
      <c r="DF8" s="27"/>
      <c r="DG8" s="27"/>
      <c r="DH8" s="27"/>
    </row>
    <row r="9" spans="1:112" x14ac:dyDescent="0.45">
      <c r="A9" s="27" t="s">
        <v>30</v>
      </c>
      <c r="B9" s="27"/>
      <c r="C9" s="27" t="str">
        <f t="shared" si="34"/>
        <v/>
      </c>
      <c r="D9" s="27" t="s">
        <v>32</v>
      </c>
      <c r="E9" s="27" t="s">
        <v>399</v>
      </c>
      <c r="F9" s="27" t="s">
        <v>55</v>
      </c>
      <c r="G9" s="33">
        <f ca="1">SUMIFS(Assumptions!AN$3:AN$103,Assumptions!$G$3:$G$103,'non-road'!$F9,Assumptions!$B$3:$B$103,'non-road'!$D9)/SUMIF(Assumptions!$G$3:$G$103,'non-road'!$F9,Assumptions!AN$3:AN$103)</f>
        <v>0</v>
      </c>
      <c r="H9" s="33">
        <f ca="1">SUMIFS(Assumptions!AO$3:AO$103,Assumptions!$G$3:$G$103,'non-road'!$F9,Assumptions!$B$3:$B$103,'non-road'!$D9)/SUMIF(Assumptions!$G$3:$G$103,'non-road'!$F9,Assumptions!AO$3:AO$103)</f>
        <v>0</v>
      </c>
      <c r="I9" s="33">
        <f ca="1">SUMIFS(Assumptions!AP$3:AP$103,Assumptions!$G$3:$G$103,'non-road'!$F9,Assumptions!$B$3:$B$103,'non-road'!$D9)/SUMIF(Assumptions!$G$3:$G$103,'non-road'!$F9,Assumptions!AP$3:AP$103)</f>
        <v>0</v>
      </c>
      <c r="J9" s="33">
        <f ca="1">SUMIFS(Assumptions!AQ$3:AQ$103,Assumptions!$G$3:$G$103,'non-road'!$F9,Assumptions!$B$3:$B$103,'non-road'!$D9)/SUMIF(Assumptions!$G$3:$G$103,'non-road'!$F9,Assumptions!AQ$3:AQ$103)</f>
        <v>0</v>
      </c>
      <c r="K9" s="33">
        <f ca="1">SUMIFS(Assumptions!AR$3:AR$103,Assumptions!$G$3:$G$103,'non-road'!$F9,Assumptions!$B$3:$B$103,'non-road'!$D9)/SUMIF(Assumptions!$G$3:$G$103,'non-road'!$F9,Assumptions!AR$3:AR$103)</f>
        <v>0</v>
      </c>
      <c r="L9" s="33">
        <f ca="1">SUMIFS(Assumptions!AS$3:AS$103,Assumptions!$G$3:$G$103,'non-road'!$F9,Assumptions!$B$3:$B$103,'non-road'!$D9)/SUMIF(Assumptions!$G$3:$G$103,'non-road'!$F9,Assumptions!AS$3:AS$103)</f>
        <v>1.7978975320556248E-5</v>
      </c>
      <c r="M9" s="33">
        <f ca="1">SUMIFS(Assumptions!AT$3:AT$103,Assumptions!$G$3:$G$103,'non-road'!$F9,Assumptions!$B$3:$B$103,'non-road'!$D9)/SUMIF(Assumptions!$G$3:$G$103,'non-road'!$F9,Assumptions!AT$3:AT$103)</f>
        <v>0</v>
      </c>
      <c r="N9" s="33">
        <f ca="1">SUMIFS(Assumptions!AU$3:AU$103,Assumptions!$G$3:$G$103,'non-road'!$F9,Assumptions!$B$3:$B$103,'non-road'!$D9)/SUMIF(Assumptions!$G$3:$G$103,'non-road'!$F9,Assumptions!AU$3:AU$103)</f>
        <v>9.6143997282509885E-2</v>
      </c>
      <c r="O9" s="33">
        <f ca="1">SUMIFS(Assumptions!AV$3:AV$103,Assumptions!$G$3:$G$103,'non-road'!$F9,Assumptions!$B$3:$B$103,'non-road'!$D9)/SUMIF(Assumptions!$G$3:$G$103,'non-road'!$F9,Assumptions!AV$3:AV$103)</f>
        <v>0</v>
      </c>
      <c r="P9" s="33">
        <f ca="1">SUMIFS(Assumptions!AW$3:AW$103,Assumptions!$G$3:$G$103,'non-road'!$F9,Assumptions!$B$3:$B$103,'non-road'!$D9)/SUMIF(Assumptions!$G$3:$G$103,'non-road'!$F9,Assumptions!AW$3:AW$103)</f>
        <v>0</v>
      </c>
      <c r="Q9" s="33">
        <f ca="1">SUMIFS(Assumptions!AX$3:AX$103,Assumptions!$G$3:$G$103,'non-road'!$F9,Assumptions!$B$3:$B$103,'non-road'!$D9)/SUMIF(Assumptions!$G$3:$G$103,'non-road'!$F9,Assumptions!AX$3:AX$103)</f>
        <v>0</v>
      </c>
      <c r="R9" s="33">
        <f ca="1">SUMIFS(Assumptions!AY$3:AY$103,Assumptions!$G$3:$G$103,'non-road'!$F9,Assumptions!$B$3:$B$103,'non-road'!$D9)/SUMIF(Assumptions!$G$3:$G$103,'non-road'!$F9,Assumptions!AY$3:AY$103)</f>
        <v>2.4206584313234563E-2</v>
      </c>
      <c r="S9" s="33">
        <f ca="1">SUMIFS(Assumptions!AZ$3:AZ$103,Assumptions!$G$3:$G$103,'non-road'!$F9,Assumptions!$B$3:$B$103,'non-road'!$D9)/SUMIF(Assumptions!$G$3:$G$103,'non-road'!$F9,Assumptions!AZ$3:AZ$103)</f>
        <v>1.9217208197960176E-2</v>
      </c>
      <c r="T9" s="33">
        <f ca="1">SUMIFS(Assumptions!BA$3:BA$103,Assumptions!$G$3:$G$103,'non-road'!$F9,Assumptions!$B$3:$B$103,'non-road'!$D9)/SUMIF(Assumptions!$G$3:$G$103,'non-road'!$F9,Assumptions!BA$3:BA$103)</f>
        <v>0</v>
      </c>
      <c r="U9" s="33">
        <f ca="1">SUMIFS(Assumptions!BB$3:BB$103,Assumptions!$G$3:$G$103,'non-road'!$F9,Assumptions!$B$3:$B$103,'non-road'!$D9)/SUMIF(Assumptions!$G$3:$G$103,'non-road'!$F9,Assumptions!BB$3:BB$103)</f>
        <v>0</v>
      </c>
      <c r="V9" s="33">
        <f ca="1">SUMIFS(Assumptions!BC$3:BC$103,Assumptions!$G$3:$G$103,'non-road'!$F9,Assumptions!$B$3:$B$103,'non-road'!$D9)/SUMIF(Assumptions!$G$3:$G$103,'non-road'!$F9,Assumptions!BC$3:BC$103)</f>
        <v>0</v>
      </c>
      <c r="W9" s="33">
        <f ca="1">SUMIFS(Assumptions!BD$3:BD$103,Assumptions!$G$3:$G$103,'non-road'!$F9,Assumptions!$B$3:$B$103,'non-road'!$D9)/SUMIF(Assumptions!$G$3:$G$103,'non-road'!$F9,Assumptions!BD$3:BD$103)</f>
        <v>6.1806580112967638E-4</v>
      </c>
      <c r="X9" s="33">
        <f ca="1">SUMIFS(Assumptions!BE$3:BE$103,Assumptions!$G$3:$G$103,'non-road'!$F9,Assumptions!$B$3:$B$103,'non-road'!$D9)/SUMIF(Assumptions!$G$3:$G$103,'non-road'!$F9,Assumptions!BE$3:BE$103)</f>
        <v>6.5068523164661954E-2</v>
      </c>
      <c r="Y9" s="33">
        <f ca="1">SUMIFS(Assumptions!BF$3:BF$103,Assumptions!$G$3:$G$103,'non-road'!$F9,Assumptions!$B$3:$B$103,'non-road'!$D9)/SUMIF(Assumptions!$G$3:$G$103,'non-road'!$F9,Assumptions!BF$3:BF$103)</f>
        <v>5.240797127131526E-2</v>
      </c>
      <c r="Z9" s="33">
        <f ca="1">SUMIFS(Assumptions!BG$3:BG$103,Assumptions!$G$3:$G$103,'non-road'!$F9,Assumptions!$B$3:$B$103,'non-road'!$D9)/SUMIF(Assumptions!$G$3:$G$103,'non-road'!$F9,Assumptions!BG$3:BG$103)</f>
        <v>0</v>
      </c>
      <c r="AA9" s="33">
        <f ca="1">SUMIFS(Assumptions!BH$3:BH$103,Assumptions!$G$3:$G$103,'non-road'!$F9,Assumptions!$B$3:$B$103,'non-road'!$D9)/SUMIF(Assumptions!$G$3:$G$103,'non-road'!$F9,Assumptions!BH$3:BH$103)</f>
        <v>0</v>
      </c>
      <c r="AB9" s="33">
        <f ca="1">SUMIFS(Assumptions!BI$3:BI$103,Assumptions!$G$3:$G$103,'non-road'!$F9,Assumptions!$B$3:$B$103,'non-road'!$D9)/SUMIF(Assumptions!$G$3:$G$103,'non-road'!$F9,Assumptions!BI$3:BI$103)</f>
        <v>0</v>
      </c>
      <c r="AC9" s="33">
        <f ca="1">SUMIFS(Assumptions!BJ$3:BJ$103,Assumptions!$G$3:$G$103,'non-road'!$F9,Assumptions!$B$3:$B$103,'non-road'!$D9)/SUMIF(Assumptions!$G$3:$G$103,'non-road'!$F9,Assumptions!BJ$3:BJ$103)</f>
        <v>0</v>
      </c>
      <c r="AD9" s="33">
        <f ca="1">SUMIFS(Assumptions!BK$3:BK$103,Assumptions!$G$3:$G$103,'non-road'!$F9,Assumptions!$B$3:$B$103,'non-road'!$D9)/SUMIF(Assumptions!$G$3:$G$103,'non-road'!$F9,Assumptions!BK$3:BK$103)</f>
        <v>0</v>
      </c>
      <c r="AE9" s="33">
        <f ca="1">SUMIFS(Assumptions!BL$3:BL$103,Assumptions!$G$3:$G$103,'non-road'!$F9,Assumptions!$B$3:$B$103,'non-road'!$D9)/SUMIF(Assumptions!$G$3:$G$103,'non-road'!$F9,Assumptions!BL$3:BL$103)</f>
        <v>0</v>
      </c>
      <c r="AF9" s="33" t="e">
        <f ca="1">SUMIFS(Assumptions!BM$3:BM$103,Assumptions!$G$3:$G$103,'non-road'!$F9,Assumptions!$B$3:$B$103,'non-road'!$D9)/SUMIF(Assumptions!$G$3:$G$103,'non-road'!$F9,Assumptions!BM$3:BM$103)</f>
        <v>#DIV/0!</v>
      </c>
      <c r="AG9" s="33">
        <f ca="1">SUMIFS(Assumptions!BN$3:BN$103,Assumptions!$G$3:$G$103,'non-road'!$F9,Assumptions!$B$3:$B$103,'non-road'!$D9)/SUMIF(Assumptions!$G$3:$G$103,'non-road'!$F9,Assumptions!BN$3:BN$103)</f>
        <v>0</v>
      </c>
      <c r="AH9" s="33">
        <f ca="1">SUMIFS(Assumptions!BO$3:BO$103,Assumptions!$G$3:$G$103,'non-road'!$F9,Assumptions!$B$3:$B$103,'non-road'!$D9)/SUMIF(Assumptions!$G$3:$G$103,'non-road'!$F9,Assumptions!BO$3:BO$103)</f>
        <v>0</v>
      </c>
      <c r="AI9" s="33">
        <f ca="1">SUMIFS(Assumptions!BP$3:BP$103,Assumptions!$G$3:$G$103,'non-road'!$F9,Assumptions!$B$3:$B$103,'non-road'!$D9)/SUMIF(Assumptions!$G$3:$G$103,'non-road'!$F9,Assumptions!BP$3:BP$103)</f>
        <v>2.9670170808232543E-2</v>
      </c>
      <c r="AJ9" s="33" t="e">
        <f ca="1">SUMIFS(Assumptions!BQ$3:BQ$103,Assumptions!$G$3:$G$103,'non-road'!$F9,Assumptions!$B$3:$B$103,'non-road'!$D9)/SUMIF(Assumptions!$G$3:$G$103,'non-road'!$F9,Assumptions!BQ$3:BQ$103)</f>
        <v>#DIV/0!</v>
      </c>
      <c r="AK9" s="34"/>
      <c r="AL9" s="33"/>
      <c r="AM9" s="33"/>
      <c r="AN9" s="27" t="str">
        <f t="shared" si="35"/>
        <v>\I: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27"/>
      <c r="BT9" s="27"/>
      <c r="BU9" s="27" t="s">
        <v>23</v>
      </c>
      <c r="BV9" s="27">
        <f>SUMIF(Assumptions!$AL$105:$AL$135,'non-road'!$BU9,Assumptions!AN$105:AN$135)</f>
        <v>2.8450310831999999</v>
      </c>
      <c r="BW9" s="27">
        <f>SUMIF(Assumptions!$AL$105:$AL$135,'non-road'!$BU9,Assumptions!AO$105:AO$135)</f>
        <v>4.6319154551999997</v>
      </c>
      <c r="BX9" s="27">
        <f>SUMIF(Assumptions!$AL$105:$AL$135,'non-road'!$BU9,Assumptions!AP$105:AP$135)</f>
        <v>0</v>
      </c>
      <c r="BY9" s="27">
        <f>SUMIF(Assumptions!$AL$105:$AL$135,'non-road'!$BU9,Assumptions!AQ$105:AQ$135)</f>
        <v>9.0245050488</v>
      </c>
      <c r="BZ9" s="27">
        <f>SUMIF(Assumptions!$AL$105:$AL$135,'non-road'!$BU9,Assumptions!AR$105:AR$135)</f>
        <v>86.866604337600009</v>
      </c>
      <c r="CA9" s="27">
        <f>SUMIF(Assumptions!$AL$105:$AL$135,'non-road'!$BU9,Assumptions!AS$105:AS$135)</f>
        <v>6.8147915579999996</v>
      </c>
      <c r="CB9" s="27">
        <f>SUMIF(Assumptions!$AL$105:$AL$135,'non-road'!$BU9,Assumptions!AT$105:AT$135)</f>
        <v>0</v>
      </c>
      <c r="CC9" s="27">
        <f>SUMIF(Assumptions!$AL$105:$AL$135,'non-road'!$BU9,Assumptions!AU$105:AU$135)</f>
        <v>6.1607003544000003</v>
      </c>
      <c r="CD9" s="27">
        <f>SUMIF(Assumptions!$AL$105:$AL$135,'non-road'!$BU9,Assumptions!AV$105:AV$135)</f>
        <v>129.5830007424</v>
      </c>
      <c r="CE9" s="27">
        <f>SUMIF(Assumptions!$AL$105:$AL$135,'non-road'!$BU9,Assumptions!AW$105:AW$135)</f>
        <v>1413.8515702728</v>
      </c>
      <c r="CF9" s="27">
        <f>SUMIF(Assumptions!$AL$105:$AL$135,'non-road'!$BU9,Assumptions!AX$105:AX$135)</f>
        <v>1.7354411604</v>
      </c>
      <c r="CG9" s="27">
        <f>SUMIF(Assumptions!$AL$105:$AL$135,'non-road'!$BU9,Assumptions!AY$105:AY$135)</f>
        <v>28.168233555600001</v>
      </c>
      <c r="CH9" s="27">
        <f>SUMIF(Assumptions!$AL$105:$AL$135,'non-road'!$BU9,Assumptions!AZ$105:AZ$135)</f>
        <v>7.1100865619999993</v>
      </c>
      <c r="CI9" s="27">
        <f>SUMIF(Assumptions!$AL$105:$AL$135,'non-road'!$BU9,Assumptions!BA$105:BA$135)</f>
        <v>10.088241137999999</v>
      </c>
      <c r="CJ9" s="27">
        <f>SUMIF(Assumptions!$AL$105:$AL$135,'non-road'!$BU9,Assumptions!BB$105:BB$135)</f>
        <v>6.8050153800000004</v>
      </c>
      <c r="CK9" s="27">
        <f>SUMIF(Assumptions!$AL$105:$AL$135,'non-road'!$BU9,Assumptions!BC$105:BC$135)</f>
        <v>10.991359018800001</v>
      </c>
      <c r="CL9" s="27">
        <f>SUMIF(Assumptions!$AL$105:$AL$135,'non-road'!$BU9,Assumptions!BD$105:BD$135)</f>
        <v>27.588885105599999</v>
      </c>
      <c r="CM9" s="27">
        <f>SUMIF(Assumptions!$AL$105:$AL$135,'non-road'!$BU9,Assumptions!BE$105:BE$135)</f>
        <v>12.396298374000001</v>
      </c>
      <c r="CN9" s="27">
        <f>SUMIF(Assumptions!$AL$105:$AL$135,'non-road'!$BU9,Assumptions!BF$105:BF$135)</f>
        <v>13.18800132</v>
      </c>
      <c r="CO9" s="27">
        <f>SUMIF(Assumptions!$AL$105:$AL$135,'non-road'!$BU9,Assumptions!BG$105:BG$135)</f>
        <v>0</v>
      </c>
      <c r="CP9" s="27">
        <f>SUMIF(Assumptions!$AL$105:$AL$135,'non-road'!$BU9,Assumptions!BH$105:BH$135)</f>
        <v>2.902561902</v>
      </c>
      <c r="CQ9" s="27">
        <f>SUMIF(Assumptions!$AL$105:$AL$135,'non-road'!$BU9,Assumptions!BI$105:BI$135)</f>
        <v>2.5819618788000001</v>
      </c>
      <c r="CR9" s="27">
        <f>SUMIF(Assumptions!$AL$105:$AL$135,'non-road'!$BU9,Assumptions!BJ$105:BJ$135)</f>
        <v>9.9543221531999997</v>
      </c>
      <c r="CS9" s="27">
        <f>SUMIF(Assumptions!$AL$105:$AL$135,'non-road'!$BU9,Assumptions!BK$105:BK$135)</f>
        <v>2.1224563920000001</v>
      </c>
      <c r="CT9" s="27">
        <f>SUMIF(Assumptions!$AL$105:$AL$135,'non-road'!$BU9,Assumptions!BL$105:BL$135)</f>
        <v>0</v>
      </c>
      <c r="CU9" s="27">
        <f>SUMIF(Assumptions!$AL$105:$AL$135,'non-road'!$BU9,Assumptions!BM$105:BM$135)</f>
        <v>0</v>
      </c>
      <c r="CV9" s="27">
        <f>SUMIF(Assumptions!$AL$105:$AL$135,'non-road'!$BU9,Assumptions!BN$105:BN$135)</f>
        <v>9.6880500468000008</v>
      </c>
      <c r="CW9" s="27">
        <f>SUMIF(Assumptions!$AL$105:$AL$135,'non-road'!$BU9,Assumptions!BO$105:BO$135)</f>
        <v>5.7178708919999996</v>
      </c>
      <c r="CX9" s="27">
        <f>SUMIF(Assumptions!$AL$105:$AL$135,'non-road'!$BU9,Assumptions!BP$105:BP$135)</f>
        <v>281.04299863559999</v>
      </c>
      <c r="CY9" s="27">
        <f>SUMIF(Assumptions!$AL$105:$AL$135,'non-road'!$BU9,Assumptions!BQ$105:BQ$135)</f>
        <v>0</v>
      </c>
      <c r="CZ9" s="27"/>
      <c r="DA9" s="27" t="str">
        <f t="shared" si="33"/>
        <v>\I:</v>
      </c>
      <c r="DB9" s="27" t="str">
        <f t="shared" si="32"/>
        <v/>
      </c>
      <c r="DC9" s="27" t="s">
        <v>169</v>
      </c>
      <c r="DD9" s="27" t="s">
        <v>160</v>
      </c>
      <c r="DE9" s="27" t="s">
        <v>161</v>
      </c>
      <c r="DF9" s="27"/>
      <c r="DG9" s="27"/>
      <c r="DH9" s="27"/>
    </row>
    <row r="10" spans="1:112" x14ac:dyDescent="0.45">
      <c r="A10" s="27" t="s">
        <v>27</v>
      </c>
      <c r="B10" s="27"/>
      <c r="C10" s="27" t="str">
        <f t="shared" si="34"/>
        <v/>
      </c>
      <c r="D10" s="27" t="s">
        <v>37</v>
      </c>
      <c r="E10" s="27" t="s">
        <v>399</v>
      </c>
      <c r="F10" s="27" t="s">
        <v>55</v>
      </c>
      <c r="G10" s="33">
        <f ca="1">SUMIFS(Assumptions!AN$3:AN$103,Assumptions!$G$3:$G$103,'non-road'!$F10,Assumptions!$B$3:$B$103,'non-road'!$D10)/SUMIF(Assumptions!$G$3:$G$103,'non-road'!$F10,Assumptions!AN$3:AN$103)</f>
        <v>0.32571822004348228</v>
      </c>
      <c r="H10" s="33">
        <f ca="1">SUMIFS(Assumptions!AO$3:AO$103,Assumptions!$G$3:$G$103,'non-road'!$F10,Assumptions!$B$3:$B$103,'non-road'!$D10)/SUMIF(Assumptions!$G$3:$G$103,'non-road'!$F10,Assumptions!AO$3:AO$103)</f>
        <v>5.0850594205047884E-3</v>
      </c>
      <c r="I10" s="33">
        <f ca="1">SUMIFS(Assumptions!AP$3:AP$103,Assumptions!$G$3:$G$103,'non-road'!$F10,Assumptions!$B$3:$B$103,'non-road'!$D10)/SUMIF(Assumptions!$G$3:$G$103,'non-road'!$F10,Assumptions!AP$3:AP$103)</f>
        <v>0.10801938291916956</v>
      </c>
      <c r="J10" s="33">
        <f ca="1">SUMIFS(Assumptions!AQ$3:AQ$103,Assumptions!$G$3:$G$103,'non-road'!$F10,Assumptions!$B$3:$B$103,'non-road'!$D10)/SUMIF(Assumptions!$G$3:$G$103,'non-road'!$F10,Assumptions!AQ$3:AQ$103)</f>
        <v>0.49876526074547328</v>
      </c>
      <c r="K10" s="33">
        <f ca="1">SUMIFS(Assumptions!AR$3:AR$103,Assumptions!$G$3:$G$103,'non-road'!$F10,Assumptions!$B$3:$B$103,'non-road'!$D10)/SUMIF(Assumptions!$G$3:$G$103,'non-road'!$F10,Assumptions!AR$3:AR$103)</f>
        <v>0</v>
      </c>
      <c r="L10" s="33">
        <f ca="1">SUMIFS(Assumptions!AS$3:AS$103,Assumptions!$G$3:$G$103,'non-road'!$F10,Assumptions!$B$3:$B$103,'non-road'!$D10)/SUMIF(Assumptions!$G$3:$G$103,'non-road'!$F10,Assumptions!AS$3:AS$103)</f>
        <v>1.6416342536154576E-2</v>
      </c>
      <c r="M10" s="33">
        <f ca="1">SUMIFS(Assumptions!AT$3:AT$103,Assumptions!$G$3:$G$103,'non-road'!$F10,Assumptions!$B$3:$B$103,'non-road'!$D10)/SUMIF(Assumptions!$G$3:$G$103,'non-road'!$F10,Assumptions!AT$3:AT$103)</f>
        <v>9.3924218126100134E-2</v>
      </c>
      <c r="N10" s="33">
        <f ca="1">SUMIFS(Assumptions!AU$3:AU$103,Assumptions!$G$3:$G$103,'non-road'!$F10,Assumptions!$B$3:$B$103,'non-road'!$D10)/SUMIF(Assumptions!$G$3:$G$103,'non-road'!$F10,Assumptions!AU$3:AU$103)</f>
        <v>1.1084251930817184E-2</v>
      </c>
      <c r="O10" s="33">
        <f ca="1">SUMIFS(Assumptions!AV$3:AV$103,Assumptions!$G$3:$G$103,'non-road'!$F10,Assumptions!$B$3:$B$103,'non-road'!$D10)/SUMIF(Assumptions!$G$3:$G$103,'non-road'!$F10,Assumptions!AV$3:AV$103)</f>
        <v>0</v>
      </c>
      <c r="P10" s="33">
        <f ca="1">SUMIFS(Assumptions!AW$3:AW$103,Assumptions!$G$3:$G$103,'non-road'!$F10,Assumptions!$B$3:$B$103,'non-road'!$D10)/SUMIF(Assumptions!$G$3:$G$103,'non-road'!$F10,Assumptions!AW$3:AW$103)</f>
        <v>0.50630025533648404</v>
      </c>
      <c r="Q10" s="33">
        <f ca="1">SUMIFS(Assumptions!AX$3:AX$103,Assumptions!$G$3:$G$103,'non-road'!$F10,Assumptions!$B$3:$B$103,'non-road'!$D10)/SUMIF(Assumptions!$G$3:$G$103,'non-road'!$F10,Assumptions!AX$3:AX$103)</f>
        <v>0</v>
      </c>
      <c r="R10" s="33">
        <f ca="1">SUMIFS(Assumptions!AY$3:AY$103,Assumptions!$G$3:$G$103,'non-road'!$F10,Assumptions!$B$3:$B$103,'non-road'!$D10)/SUMIF(Assumptions!$G$3:$G$103,'non-road'!$F10,Assumptions!AY$3:AY$103)</f>
        <v>0.18116985871307811</v>
      </c>
      <c r="S10" s="33">
        <f ca="1">SUMIFS(Assumptions!AZ$3:AZ$103,Assumptions!$G$3:$G$103,'non-road'!$F10,Assumptions!$B$3:$B$103,'non-road'!$D10)/SUMIF(Assumptions!$G$3:$G$103,'non-road'!$F10,Assumptions!AZ$3:AZ$103)</f>
        <v>0</v>
      </c>
      <c r="T10" s="33">
        <f ca="1">SUMIFS(Assumptions!BA$3:BA$103,Assumptions!$G$3:$G$103,'non-road'!$F10,Assumptions!$B$3:$B$103,'non-road'!$D10)/SUMIF(Assumptions!$G$3:$G$103,'non-road'!$F10,Assumptions!BA$3:BA$103)</f>
        <v>0</v>
      </c>
      <c r="U10" s="33">
        <f ca="1">SUMIFS(Assumptions!BB$3:BB$103,Assumptions!$G$3:$G$103,'non-road'!$F10,Assumptions!$B$3:$B$103,'non-road'!$D10)/SUMIF(Assumptions!$G$3:$G$103,'non-road'!$F10,Assumptions!BB$3:BB$103)</f>
        <v>0.12244051976814696</v>
      </c>
      <c r="V10" s="33">
        <f ca="1">SUMIFS(Assumptions!BC$3:BC$103,Assumptions!$G$3:$G$103,'non-road'!$F10,Assumptions!$B$3:$B$103,'non-road'!$D10)/SUMIF(Assumptions!$G$3:$G$103,'non-road'!$F10,Assumptions!BC$3:BC$103)</f>
        <v>0</v>
      </c>
      <c r="W10" s="33">
        <f ca="1">SUMIFS(Assumptions!BD$3:BD$103,Assumptions!$G$3:$G$103,'non-road'!$F10,Assumptions!$B$3:$B$103,'non-road'!$D10)/SUMIF(Assumptions!$G$3:$G$103,'non-road'!$F10,Assumptions!BD$3:BD$103)</f>
        <v>0.26519433353218957</v>
      </c>
      <c r="X10" s="33">
        <f ca="1">SUMIFS(Assumptions!BE$3:BE$103,Assumptions!$G$3:$G$103,'non-road'!$F10,Assumptions!$B$3:$B$103,'non-road'!$D10)/SUMIF(Assumptions!$G$3:$G$103,'non-road'!$F10,Assumptions!BE$3:BE$103)</f>
        <v>0</v>
      </c>
      <c r="Y10" s="33">
        <f ca="1">SUMIFS(Assumptions!BF$3:BF$103,Assumptions!$G$3:$G$103,'non-road'!$F10,Assumptions!$B$3:$B$103,'non-road'!$D10)/SUMIF(Assumptions!$G$3:$G$103,'non-road'!$F10,Assumptions!BF$3:BF$103)</f>
        <v>0</v>
      </c>
      <c r="Z10" s="33">
        <f ca="1">SUMIFS(Assumptions!BG$3:BG$103,Assumptions!$G$3:$G$103,'non-road'!$F10,Assumptions!$B$3:$B$103,'non-road'!$D10)/SUMIF(Assumptions!$G$3:$G$103,'non-road'!$F10,Assumptions!BG$3:BG$103)</f>
        <v>0.27333369532160995</v>
      </c>
      <c r="AA10" s="33">
        <f ca="1">SUMIFS(Assumptions!BH$3:BH$103,Assumptions!$G$3:$G$103,'non-road'!$F10,Assumptions!$B$3:$B$103,'non-road'!$D10)/SUMIF(Assumptions!$G$3:$G$103,'non-road'!$F10,Assumptions!BH$3:BH$103)</f>
        <v>0.4825185623656883</v>
      </c>
      <c r="AB10" s="33">
        <f ca="1">SUMIFS(Assumptions!BI$3:BI$103,Assumptions!$G$3:$G$103,'non-road'!$F10,Assumptions!$B$3:$B$103,'non-road'!$D10)/SUMIF(Assumptions!$G$3:$G$103,'non-road'!$F10,Assumptions!BI$3:BI$103)</f>
        <v>9.711517714447216E-3</v>
      </c>
      <c r="AC10" s="33">
        <f ca="1">SUMIFS(Assumptions!BJ$3:BJ$103,Assumptions!$G$3:$G$103,'non-road'!$F10,Assumptions!$B$3:$B$103,'non-road'!$D10)/SUMIF(Assumptions!$G$3:$G$103,'non-road'!$F10,Assumptions!BJ$3:BJ$103)</f>
        <v>0</v>
      </c>
      <c r="AD10" s="33">
        <f ca="1">SUMIFS(Assumptions!BK$3:BK$103,Assumptions!$G$3:$G$103,'non-road'!$F10,Assumptions!$B$3:$B$103,'non-road'!$D10)/SUMIF(Assumptions!$G$3:$G$103,'non-road'!$F10,Assumptions!BK$3:BK$103)</f>
        <v>0</v>
      </c>
      <c r="AE10" s="33">
        <f ca="1">SUMIFS(Assumptions!BL$3:BL$103,Assumptions!$G$3:$G$103,'non-road'!$F10,Assumptions!$B$3:$B$103,'non-road'!$D10)/SUMIF(Assumptions!$G$3:$G$103,'non-road'!$F10,Assumptions!BL$3:BL$103)</f>
        <v>0.20378900610656323</v>
      </c>
      <c r="AF10" s="33" t="e">
        <f ca="1">SUMIFS(Assumptions!BM$3:BM$103,Assumptions!$G$3:$G$103,'non-road'!$F10,Assumptions!$B$3:$B$103,'non-road'!$D10)/SUMIF(Assumptions!$G$3:$G$103,'non-road'!$F10,Assumptions!BM$3:BM$103)</f>
        <v>#DIV/0!</v>
      </c>
      <c r="AG10" s="33">
        <f ca="1">SUMIFS(Assumptions!BN$3:BN$103,Assumptions!$G$3:$G$103,'non-road'!$F10,Assumptions!$B$3:$B$103,'non-road'!$D10)/SUMIF(Assumptions!$G$3:$G$103,'non-road'!$F10,Assumptions!BN$3:BN$103)</f>
        <v>0.30610151116191209</v>
      </c>
      <c r="AH10" s="33">
        <f ca="1">SUMIFS(Assumptions!BO$3:BO$103,Assumptions!$G$3:$G$103,'non-road'!$F10,Assumptions!$B$3:$B$103,'non-road'!$D10)/SUMIF(Assumptions!$G$3:$G$103,'non-road'!$F10,Assumptions!BO$3:BO$103)</f>
        <v>0</v>
      </c>
      <c r="AI10" s="33">
        <f ca="1">SUMIFS(Assumptions!BP$3:BP$103,Assumptions!$G$3:$G$103,'non-road'!$F10,Assumptions!$B$3:$B$103,'non-road'!$D10)/SUMIF(Assumptions!$G$3:$G$103,'non-road'!$F10,Assumptions!BP$3:BP$103)</f>
        <v>0</v>
      </c>
      <c r="AJ10" s="33" t="e">
        <f ca="1">SUMIFS(Assumptions!BQ$3:BQ$103,Assumptions!$G$3:$G$103,'non-road'!$F10,Assumptions!$B$3:$B$103,'non-road'!$D10)/SUMIF(Assumptions!$G$3:$G$103,'non-road'!$F10,Assumptions!BQ$3:BQ$103)</f>
        <v>#DIV/0!</v>
      </c>
      <c r="AK10" s="34"/>
      <c r="AL10" s="33"/>
      <c r="AM10" s="33"/>
      <c r="AN10" s="27" t="str">
        <f t="shared" si="35"/>
        <v>\I:</v>
      </c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27"/>
      <c r="BT10" s="27"/>
      <c r="CZ10" s="27"/>
      <c r="DA10" s="27" t="str">
        <f t="shared" si="33"/>
        <v>DMD</v>
      </c>
      <c r="DB10" s="27" t="str">
        <f t="shared" ref="DB10:DB16" si="36">C11</f>
        <v>TTP_Generic</v>
      </c>
      <c r="DC10" s="27" t="s">
        <v>166</v>
      </c>
      <c r="DD10" s="27" t="s">
        <v>160</v>
      </c>
      <c r="DE10" s="27" t="s">
        <v>161</v>
      </c>
      <c r="DF10" s="27"/>
      <c r="DG10" s="27"/>
      <c r="DH10" s="27"/>
    </row>
    <row r="11" spans="1:112" x14ac:dyDescent="0.45">
      <c r="A11" s="27" t="s">
        <v>28</v>
      </c>
      <c r="B11" s="27"/>
      <c r="C11" s="27" t="str">
        <f>IF(F11&lt;&gt;F10,F11&amp;"_Generic","")</f>
        <v>TTP_Generic</v>
      </c>
      <c r="D11" s="27" t="s">
        <v>29</v>
      </c>
      <c r="E11" s="27"/>
      <c r="F11" s="27" t="s">
        <v>57</v>
      </c>
      <c r="G11" s="33">
        <f ca="1">SUMIFS(Assumptions!AN$3:AN$103,Assumptions!$G$3:$G$103,'non-road'!$F11,Assumptions!$B$3:$B$103,'non-road'!$D11)/SUMIF(Assumptions!$G$3:$G$103,'non-road'!$F11,Assumptions!AN$3:AN$103)</f>
        <v>0</v>
      </c>
      <c r="H11" s="33">
        <f ca="1">SUMIFS(Assumptions!AO$3:AO$103,Assumptions!$G$3:$G$103,'non-road'!$F11,Assumptions!$B$3:$B$103,'non-road'!$D11)/SUMIF(Assumptions!$G$3:$G$103,'non-road'!$F11,Assumptions!AO$3:AO$103)</f>
        <v>6.2434658362553663E-3</v>
      </c>
      <c r="I11" s="33">
        <f ca="1">SUMIFS(Assumptions!AP$3:AP$103,Assumptions!$G$3:$G$103,'non-road'!$F11,Assumptions!$B$3:$B$103,'non-road'!$D11)/SUMIF(Assumptions!$G$3:$G$103,'non-road'!$F11,Assumptions!AP$3:AP$103)</f>
        <v>0</v>
      </c>
      <c r="J11" s="33">
        <f ca="1">SUMIFS(Assumptions!AQ$3:AQ$103,Assumptions!$G$3:$G$103,'non-road'!$F11,Assumptions!$B$3:$B$103,'non-road'!$D11)/SUMIF(Assumptions!$G$3:$G$103,'non-road'!$F11,Assumptions!AQ$3:AQ$103)</f>
        <v>7.8126995404775319E-3</v>
      </c>
      <c r="K11" s="33">
        <f ca="1">SUMIFS(Assumptions!AR$3:AR$103,Assumptions!$G$3:$G$103,'non-road'!$F11,Assumptions!$B$3:$B$103,'non-road'!$D11)/SUMIF(Assumptions!$G$3:$G$103,'non-road'!$F11,Assumptions!AR$3:AR$103)</f>
        <v>4.1851970630905178E-4</v>
      </c>
      <c r="L11" s="33">
        <f ca="1">SUMIFS(Assumptions!AS$3:AS$103,Assumptions!$G$3:$G$103,'non-road'!$F11,Assumptions!$B$3:$B$103,'non-road'!$D11)/SUMIF(Assumptions!$G$3:$G$103,'non-road'!$F11,Assumptions!AS$3:AS$103)</f>
        <v>4.8059281055450537E-3</v>
      </c>
      <c r="M11" s="33">
        <f ca="1">SUMIFS(Assumptions!AT$3:AT$103,Assumptions!$G$3:$G$103,'non-road'!$F11,Assumptions!$B$3:$B$103,'non-road'!$D11)/SUMIF(Assumptions!$G$3:$G$103,'non-road'!$F11,Assumptions!AT$3:AT$103)</f>
        <v>0</v>
      </c>
      <c r="N11" s="33">
        <f ca="1">SUMIFS(Assumptions!AU$3:AU$103,Assumptions!$G$3:$G$103,'non-road'!$F11,Assumptions!$B$3:$B$103,'non-road'!$D11)/SUMIF(Assumptions!$G$3:$G$103,'non-road'!$F11,Assumptions!AU$3:AU$103)</f>
        <v>0</v>
      </c>
      <c r="O11" s="33">
        <f ca="1">SUMIFS(Assumptions!AV$3:AV$103,Assumptions!$G$3:$G$103,'non-road'!$F11,Assumptions!$B$3:$B$103,'non-road'!$D11)/SUMIF(Assumptions!$G$3:$G$103,'non-road'!$F11,Assumptions!AV$3:AV$103)</f>
        <v>0</v>
      </c>
      <c r="P11" s="33">
        <f ca="1">SUMIFS(Assumptions!AW$3:AW$103,Assumptions!$G$3:$G$103,'non-road'!$F11,Assumptions!$B$3:$B$103,'non-road'!$D11)/SUMIF(Assumptions!$G$3:$G$103,'non-road'!$F11,Assumptions!AW$3:AW$103)</f>
        <v>0</v>
      </c>
      <c r="Q11" s="33">
        <f ca="1">SUMIFS(Assumptions!AX$3:AX$103,Assumptions!$G$3:$G$103,'non-road'!$F11,Assumptions!$B$3:$B$103,'non-road'!$D11)/SUMIF(Assumptions!$G$3:$G$103,'non-road'!$F11,Assumptions!AX$3:AX$103)</f>
        <v>0</v>
      </c>
      <c r="R11" s="33">
        <f ca="1">SUMIFS(Assumptions!AY$3:AY$103,Assumptions!$G$3:$G$103,'non-road'!$F11,Assumptions!$B$3:$B$103,'non-road'!$D11)/SUMIF(Assumptions!$G$3:$G$103,'non-road'!$F11,Assumptions!AY$3:AY$103)</f>
        <v>1.3976305956114535E-4</v>
      </c>
      <c r="S11" s="33">
        <f ca="1">SUMIFS(Assumptions!AZ$3:AZ$103,Assumptions!$G$3:$G$103,'non-road'!$F11,Assumptions!$B$3:$B$103,'non-road'!$D11)/SUMIF(Assumptions!$G$3:$G$103,'non-road'!$F11,Assumptions!AZ$3:AZ$103)</f>
        <v>0</v>
      </c>
      <c r="T11" s="33">
        <f ca="1">SUMIFS(Assumptions!BA$3:BA$103,Assumptions!$G$3:$G$103,'non-road'!$F11,Assumptions!$B$3:$B$103,'non-road'!$D11)/SUMIF(Assumptions!$G$3:$G$103,'non-road'!$F11,Assumptions!BA$3:BA$103)</f>
        <v>0</v>
      </c>
      <c r="U11" s="33">
        <f ca="1">SUMIFS(Assumptions!BB$3:BB$103,Assumptions!$G$3:$G$103,'non-road'!$F11,Assumptions!$B$3:$B$103,'non-road'!$D11)/SUMIF(Assumptions!$G$3:$G$103,'non-road'!$F11,Assumptions!BB$3:BB$103)</f>
        <v>8.342963891944726E-5</v>
      </c>
      <c r="V11" s="33">
        <f ca="1">SUMIFS(Assumptions!BC$3:BC$103,Assumptions!$G$3:$G$103,'non-road'!$F11,Assumptions!$B$3:$B$103,'non-road'!$D11)/SUMIF(Assumptions!$G$3:$G$103,'non-road'!$F11,Assumptions!BC$3:BC$103)</f>
        <v>0</v>
      </c>
      <c r="W11" s="33">
        <f ca="1">SUMIFS(Assumptions!BD$3:BD$103,Assumptions!$G$3:$G$103,'non-road'!$F11,Assumptions!$B$3:$B$103,'non-road'!$D11)/SUMIF(Assumptions!$G$3:$G$103,'non-road'!$F11,Assumptions!BD$3:BD$103)</f>
        <v>2.2205414087873368E-3</v>
      </c>
      <c r="X11" s="33">
        <f ca="1">SUMIFS(Assumptions!BE$3:BE$103,Assumptions!$G$3:$G$103,'non-road'!$F11,Assumptions!$B$3:$B$103,'non-road'!$D11)/SUMIF(Assumptions!$G$3:$G$103,'non-road'!$F11,Assumptions!BE$3:BE$103)</f>
        <v>0</v>
      </c>
      <c r="Y11" s="33">
        <f ca="1">SUMIFS(Assumptions!BF$3:BF$103,Assumptions!$G$3:$G$103,'non-road'!$F11,Assumptions!$B$3:$B$103,'non-road'!$D11)/SUMIF(Assumptions!$G$3:$G$103,'non-road'!$F11,Assumptions!BF$3:BF$103)</f>
        <v>0</v>
      </c>
      <c r="Z11" s="33">
        <f ca="1">SUMIFS(Assumptions!BG$3:BG$103,Assumptions!$G$3:$G$103,'non-road'!$F11,Assumptions!$B$3:$B$103,'non-road'!$D11)/SUMIF(Assumptions!$G$3:$G$103,'non-road'!$F11,Assumptions!BG$3:BG$103)</f>
        <v>0</v>
      </c>
      <c r="AA11" s="33">
        <f ca="1">SUMIFS(Assumptions!BH$3:BH$103,Assumptions!$G$3:$G$103,'non-road'!$F11,Assumptions!$B$3:$B$103,'non-road'!$D11)/SUMIF(Assumptions!$G$3:$G$103,'non-road'!$F11,Assumptions!BH$3:BH$103)</f>
        <v>0</v>
      </c>
      <c r="AB11" s="33">
        <f ca="1">SUMIFS(Assumptions!BI$3:BI$103,Assumptions!$G$3:$G$103,'non-road'!$F11,Assumptions!$B$3:$B$103,'non-road'!$D11)/SUMIF(Assumptions!$G$3:$G$103,'non-road'!$F11,Assumptions!BI$3:BI$103)</f>
        <v>0</v>
      </c>
      <c r="AC11" s="33">
        <f ca="1">SUMIFS(Assumptions!BJ$3:BJ$103,Assumptions!$G$3:$G$103,'non-road'!$F11,Assumptions!$B$3:$B$103,'non-road'!$D11)/SUMIF(Assumptions!$G$3:$G$103,'non-road'!$F11,Assumptions!BJ$3:BJ$103)</f>
        <v>0</v>
      </c>
      <c r="AD11" s="33">
        <f ca="1">SUMIFS(Assumptions!BK$3:BK$103,Assumptions!$G$3:$G$103,'non-road'!$F11,Assumptions!$B$3:$B$103,'non-road'!$D11)/SUMIF(Assumptions!$G$3:$G$103,'non-road'!$F11,Assumptions!BK$3:BK$103)</f>
        <v>0</v>
      </c>
      <c r="AE11" s="33">
        <f ca="1">SUMIFS(Assumptions!BL$3:BL$103,Assumptions!$G$3:$G$103,'non-road'!$F11,Assumptions!$B$3:$B$103,'non-road'!$D11)/SUMIF(Assumptions!$G$3:$G$103,'non-road'!$F11,Assumptions!BL$3:BL$103)</f>
        <v>0</v>
      </c>
      <c r="AF11" s="33" t="e">
        <f ca="1">SUMIFS(Assumptions!BM$3:BM$103,Assumptions!$G$3:$G$103,'non-road'!$F11,Assumptions!$B$3:$B$103,'non-road'!$D11)/SUMIF(Assumptions!$G$3:$G$103,'non-road'!$F11,Assumptions!BM$3:BM$103)</f>
        <v>#DIV/0!</v>
      </c>
      <c r="AG11" s="33">
        <f ca="1">SUMIFS(Assumptions!BN$3:BN$103,Assumptions!$G$3:$G$103,'non-road'!$F11,Assumptions!$B$3:$B$103,'non-road'!$D11)/SUMIF(Assumptions!$G$3:$G$103,'non-road'!$F11,Assumptions!BN$3:BN$103)</f>
        <v>0</v>
      </c>
      <c r="AH11" s="33">
        <f ca="1">SUMIFS(Assumptions!BO$3:BO$103,Assumptions!$G$3:$G$103,'non-road'!$F11,Assumptions!$B$3:$B$103,'non-road'!$D11)/SUMIF(Assumptions!$G$3:$G$103,'non-road'!$F11,Assumptions!BO$3:BO$103)</f>
        <v>0</v>
      </c>
      <c r="AI11" s="33">
        <f ca="1">SUMIFS(Assumptions!BP$3:BP$103,Assumptions!$G$3:$G$103,'non-road'!$F11,Assumptions!$B$3:$B$103,'non-road'!$D11)/SUMIF(Assumptions!$G$3:$G$103,'non-road'!$F11,Assumptions!BP$3:BP$103)</f>
        <v>0</v>
      </c>
      <c r="AJ11" s="33" t="e">
        <f ca="1">SUMIFS(Assumptions!BQ$3:BQ$103,Assumptions!$G$3:$G$103,'non-road'!$F11,Assumptions!$B$3:$B$103,'non-road'!$D11)/SUMIF(Assumptions!$G$3:$G$103,'non-road'!$F11,Assumptions!BQ$3:BQ$103)</f>
        <v>#DIV/0!</v>
      </c>
      <c r="AK11" s="34"/>
      <c r="AL11" s="33"/>
      <c r="AM11" s="33"/>
      <c r="AN11" s="27" t="str">
        <f t="shared" si="35"/>
        <v>TTP_Generic</v>
      </c>
      <c r="AO11" s="33">
        <f>VLOOKUP($F11,Assumptions!$E$152:$AM$157,COLUMN()-COLUMN($AM$4),FALSE)</f>
        <v>1</v>
      </c>
      <c r="AP11" s="33">
        <f>VLOOKUP($F11,Assumptions!$E$152:$AM$157,COLUMN()-COLUMN($AM$4),FALSE)</f>
        <v>1</v>
      </c>
      <c r="AQ11" s="33">
        <f>VLOOKUP($F11,Assumptions!$E$152:$AM$157,COLUMN()-COLUMN($AM$4),FALSE)</f>
        <v>1</v>
      </c>
      <c r="AR11" s="33">
        <f>VLOOKUP($F11,Assumptions!$E$152:$AM$157,COLUMN()-COLUMN($AM$4),FALSE)</f>
        <v>1</v>
      </c>
      <c r="AS11" s="33">
        <f>VLOOKUP($F11,Assumptions!$E$152:$AM$157,COLUMN()-COLUMN($AM$4),FALSE)</f>
        <v>1</v>
      </c>
      <c r="AT11" s="33">
        <f>VLOOKUP($F11,Assumptions!$E$152:$AM$157,COLUMN()-COLUMN($AM$4),FALSE)</f>
        <v>1</v>
      </c>
      <c r="AU11" s="33">
        <f>VLOOKUP($F11,Assumptions!$E$152:$AM$157,COLUMN()-COLUMN($AM$4),FALSE)</f>
        <v>1</v>
      </c>
      <c r="AV11" s="33">
        <f>VLOOKUP($F11,Assumptions!$E$152:$AM$157,COLUMN()-COLUMN($AM$4),FALSE)</f>
        <v>1</v>
      </c>
      <c r="AW11" s="33">
        <f>VLOOKUP($F11,Assumptions!$E$152:$AM$157,COLUMN()-COLUMN($AM$4),FALSE)</f>
        <v>1</v>
      </c>
      <c r="AX11" s="33">
        <f>VLOOKUP($F11,Assumptions!$E$152:$AM$157,COLUMN()-COLUMN($AM$4),FALSE)</f>
        <v>1</v>
      </c>
      <c r="AY11" s="33">
        <f>VLOOKUP($F11,Assumptions!$E$152:$AM$157,COLUMN()-COLUMN($AM$4),FALSE)</f>
        <v>1</v>
      </c>
      <c r="AZ11" s="33">
        <f>VLOOKUP($F11,Assumptions!$E$152:$AM$157,COLUMN()-COLUMN($AM$4),FALSE)</f>
        <v>1</v>
      </c>
      <c r="BA11" s="33">
        <f>VLOOKUP($F11,Assumptions!$E$152:$AM$157,COLUMN()-COLUMN($AM$4),FALSE)</f>
        <v>1</v>
      </c>
      <c r="BB11" s="33">
        <f>VLOOKUP($F11,Assumptions!$E$152:$AM$157,COLUMN()-COLUMN($AM$4),FALSE)</f>
        <v>1</v>
      </c>
      <c r="BC11" s="33">
        <f>VLOOKUP($F11,Assumptions!$E$152:$AM$157,COLUMN()-COLUMN($AM$4),FALSE)</f>
        <v>1</v>
      </c>
      <c r="BD11" s="33">
        <f>VLOOKUP($F11,Assumptions!$E$152:$AM$157,COLUMN()-COLUMN($AM$4),FALSE)</f>
        <v>1</v>
      </c>
      <c r="BE11" s="33">
        <f>VLOOKUP($F11,Assumptions!$E$152:$AM$157,COLUMN()-COLUMN($AM$4),FALSE)</f>
        <v>1</v>
      </c>
      <c r="BF11" s="33">
        <f>VLOOKUP($F11,Assumptions!$E$152:$AM$157,COLUMN()-COLUMN($AM$4),FALSE)</f>
        <v>1</v>
      </c>
      <c r="BG11" s="33">
        <f>VLOOKUP($F11,Assumptions!$E$152:$AM$157,COLUMN()-COLUMN($AM$4),FALSE)</f>
        <v>1</v>
      </c>
      <c r="BH11" s="33">
        <f>VLOOKUP($F11,Assumptions!$E$152:$AM$157,COLUMN()-COLUMN($AM$4),FALSE)</f>
        <v>1</v>
      </c>
      <c r="BI11" s="33">
        <f>VLOOKUP($F11,Assumptions!$E$152:$AM$157,COLUMN()-COLUMN($AM$4),FALSE)</f>
        <v>1</v>
      </c>
      <c r="BJ11" s="33">
        <f>VLOOKUP($F11,Assumptions!$E$152:$AM$157,COLUMN()-COLUMN($AM$4),FALSE)</f>
        <v>1</v>
      </c>
      <c r="BK11" s="33">
        <f>VLOOKUP($F11,Assumptions!$E$152:$AM$157,COLUMN()-COLUMN($AM$4),FALSE)</f>
        <v>1</v>
      </c>
      <c r="BL11" s="33">
        <f>VLOOKUP($F11,Assumptions!$E$152:$AM$157,COLUMN()-COLUMN($AM$4),FALSE)</f>
        <v>1</v>
      </c>
      <c r="BM11" s="33">
        <f>VLOOKUP($F11,Assumptions!$E$152:$AM$157,COLUMN()-COLUMN($AM$4),FALSE)</f>
        <v>1</v>
      </c>
      <c r="BN11" s="33">
        <f>VLOOKUP($F11,Assumptions!$E$152:$AM$157,COLUMN()-COLUMN($AM$4),FALSE)</f>
        <v>1</v>
      </c>
      <c r="BO11" s="33">
        <f>VLOOKUP($F11,Assumptions!$E$152:$AM$157,COLUMN()-COLUMN($AM$4),FALSE)</f>
        <v>1</v>
      </c>
      <c r="BP11" s="33">
        <f>VLOOKUP($F11,Assumptions!$E$152:$AM$157,COLUMN()-COLUMN($AM$4),FALSE)</f>
        <v>1</v>
      </c>
      <c r="BQ11" s="33">
        <f>VLOOKUP($F11,Assumptions!$E$152:$AM$157,COLUMN()-COLUMN($AM$4),FALSE)</f>
        <v>1</v>
      </c>
      <c r="BR11" s="33">
        <f>VLOOKUP($F11,Assumptions!$E$152:$AM$157,COLUMN()-COLUMN($AM$4),FALSE)</f>
        <v>1</v>
      </c>
      <c r="BS11" s="27"/>
      <c r="BT11" s="27"/>
      <c r="BU11" s="27"/>
      <c r="BV11" s="27" t="str">
        <f t="shared" ref="BV11:CL11" si="37">BV2</f>
        <v>Africa_north</v>
      </c>
      <c r="BW11" s="27" t="str">
        <f t="shared" si="37"/>
        <v>Africa_other</v>
      </c>
      <c r="BX11" s="27" t="str">
        <f t="shared" si="37"/>
        <v>Arg-Chi</v>
      </c>
      <c r="BY11" s="27" t="str">
        <f t="shared" si="37"/>
        <v>Asia_central</v>
      </c>
      <c r="BZ11" s="27" t="str">
        <f t="shared" si="37"/>
        <v>Asia_east</v>
      </c>
      <c r="CA11" s="27" t="str">
        <f t="shared" si="37"/>
        <v>Asia_other</v>
      </c>
      <c r="CB11" s="27" t="str">
        <f t="shared" si="37"/>
        <v>Australia_NZ</v>
      </c>
      <c r="CC11" s="27" t="str">
        <f t="shared" si="37"/>
        <v>Brazil</v>
      </c>
      <c r="CD11" s="27" t="str">
        <f t="shared" si="37"/>
        <v>Canada</v>
      </c>
      <c r="CE11" s="27" t="str">
        <f t="shared" si="37"/>
        <v>China</v>
      </c>
      <c r="CF11" s="27" t="str">
        <f t="shared" si="37"/>
        <v>EU_north</v>
      </c>
      <c r="CG11" s="27" t="str">
        <f t="shared" si="37"/>
        <v>EU_northeast</v>
      </c>
      <c r="CH11" s="27" t="str">
        <f t="shared" si="37"/>
        <v>EU_northwest</v>
      </c>
      <c r="CI11" s="27" t="str">
        <f t="shared" si="37"/>
        <v>EU_south</v>
      </c>
      <c r="CJ11" s="27" t="str">
        <f t="shared" si="37"/>
        <v>EU_southeast</v>
      </c>
      <c r="CK11" s="27" t="str">
        <f t="shared" si="37"/>
        <v>EU_southwest</v>
      </c>
      <c r="CL11" s="27" t="str">
        <f t="shared" si="37"/>
        <v>Europe_other</v>
      </c>
      <c r="CM11" s="27" t="str">
        <f t="shared" ref="CM11:CY11" si="38">CM2</f>
        <v>France</v>
      </c>
      <c r="CN11" s="27" t="str">
        <f t="shared" si="38"/>
        <v>Germany</v>
      </c>
      <c r="CO11" s="27" t="str">
        <f t="shared" si="38"/>
        <v>India</v>
      </c>
      <c r="CP11" s="27" t="str">
        <f t="shared" si="38"/>
        <v>LatAm_other</v>
      </c>
      <c r="CQ11" s="27" t="str">
        <f t="shared" si="38"/>
        <v>Mexico</v>
      </c>
      <c r="CR11" s="27" t="str">
        <f t="shared" si="38"/>
        <v>MidEast_other</v>
      </c>
      <c r="CS11" s="27" t="str">
        <f t="shared" si="38"/>
        <v>Nor-Ice</v>
      </c>
      <c r="CT11" s="27" t="str">
        <f t="shared" si="38"/>
        <v>Russia</v>
      </c>
      <c r="CU11" s="27" t="str">
        <f t="shared" si="38"/>
        <v>SaudiArabia</v>
      </c>
      <c r="CV11" s="27" t="str">
        <f t="shared" si="38"/>
        <v>SouthAfrica</v>
      </c>
      <c r="CW11" s="27" t="str">
        <f t="shared" si="38"/>
        <v>UK</v>
      </c>
      <c r="CX11" s="27" t="str">
        <f t="shared" si="38"/>
        <v>USA</v>
      </c>
      <c r="CY11" s="27" t="str">
        <f t="shared" si="38"/>
        <v>\I:</v>
      </c>
      <c r="CZ11" s="27"/>
      <c r="DA11" s="27" t="str">
        <f t="shared" si="33"/>
        <v>\I:</v>
      </c>
      <c r="DB11" s="27" t="str">
        <f t="shared" si="36"/>
        <v/>
      </c>
      <c r="DC11" s="27" t="s">
        <v>169</v>
      </c>
      <c r="DD11" s="27" t="s">
        <v>160</v>
      </c>
      <c r="DE11" s="27" t="s">
        <v>161</v>
      </c>
      <c r="DF11" s="27"/>
      <c r="DG11" s="27"/>
      <c r="DH11" s="27"/>
    </row>
    <row r="12" spans="1:112" x14ac:dyDescent="0.45">
      <c r="A12" s="27" t="s">
        <v>30</v>
      </c>
      <c r="B12" s="27"/>
      <c r="C12" s="27" t="str">
        <f t="shared" ref="C12:C41" si="39">IF(F12&lt;&gt;F11,F12&amp;"_Generic","")</f>
        <v/>
      </c>
      <c r="D12" s="27" t="s">
        <v>41</v>
      </c>
      <c r="E12" s="27"/>
      <c r="F12" s="27" t="s">
        <v>57</v>
      </c>
      <c r="G12" s="33">
        <f ca="1">SUMIFS(Assumptions!AN$3:AN$103,Assumptions!$G$3:$G$103,'non-road'!$F12,Assumptions!$B$3:$B$103,'non-road'!$D12)/SUMIF(Assumptions!$G$3:$G$103,'non-road'!$F12,Assumptions!AN$3:AN$103)</f>
        <v>0.10639224253633757</v>
      </c>
      <c r="H12" s="33">
        <f ca="1">SUMIFS(Assumptions!AO$3:AO$103,Assumptions!$G$3:$G$103,'non-road'!$F12,Assumptions!$B$3:$B$103,'non-road'!$D12)/SUMIF(Assumptions!$G$3:$G$103,'non-road'!$F12,Assumptions!AO$3:AO$103)</f>
        <v>0.96656234062810786</v>
      </c>
      <c r="I12" s="33">
        <f ca="1">SUMIFS(Assumptions!AP$3:AP$103,Assumptions!$G$3:$G$103,'non-road'!$F12,Assumptions!$B$3:$B$103,'non-road'!$D12)/SUMIF(Assumptions!$G$3:$G$103,'non-road'!$F12,Assumptions!AP$3:AP$103)</f>
        <v>9.8004191926489154E-2</v>
      </c>
      <c r="J12" s="33">
        <f ca="1">SUMIFS(Assumptions!AQ$3:AQ$103,Assumptions!$G$3:$G$103,'non-road'!$F12,Assumptions!$B$3:$B$103,'non-road'!$D12)/SUMIF(Assumptions!$G$3:$G$103,'non-road'!$F12,Assumptions!AQ$3:AQ$103)</f>
        <v>2.318220316293788E-2</v>
      </c>
      <c r="K12" s="33">
        <f ca="1">SUMIFS(Assumptions!AR$3:AR$103,Assumptions!$G$3:$G$103,'non-road'!$F12,Assumptions!$B$3:$B$103,'non-road'!$D12)/SUMIF(Assumptions!$G$3:$G$103,'non-road'!$F12,Assumptions!AR$3:AR$103)</f>
        <v>9.1760163428849184E-2</v>
      </c>
      <c r="L12" s="33">
        <f ca="1">SUMIFS(Assumptions!AS$3:AS$103,Assumptions!$G$3:$G$103,'non-road'!$F12,Assumptions!$B$3:$B$103,'non-road'!$D12)/SUMIF(Assumptions!$G$3:$G$103,'non-road'!$F12,Assumptions!AS$3:AS$103)</f>
        <v>0.43596777711382007</v>
      </c>
      <c r="M12" s="33">
        <f ca="1">SUMIFS(Assumptions!AT$3:AT$103,Assumptions!$G$3:$G$103,'non-road'!$F12,Assumptions!$B$3:$B$103,'non-road'!$D12)/SUMIF(Assumptions!$G$3:$G$103,'non-road'!$F12,Assumptions!AT$3:AT$103)</f>
        <v>0.63845851818177202</v>
      </c>
      <c r="N12" s="33">
        <f ca="1">SUMIFS(Assumptions!AU$3:AU$103,Assumptions!$G$3:$G$103,'non-road'!$F12,Assumptions!$B$3:$B$103,'non-road'!$D12)/SUMIF(Assumptions!$G$3:$G$103,'non-road'!$F12,Assumptions!AU$3:AU$103)</f>
        <v>0.48750206930981838</v>
      </c>
      <c r="O12" s="33">
        <f ca="1">SUMIFS(Assumptions!AV$3:AV$103,Assumptions!$G$3:$G$103,'non-road'!$F12,Assumptions!$B$3:$B$103,'non-road'!$D12)/SUMIF(Assumptions!$G$3:$G$103,'non-road'!$F12,Assumptions!AV$3:AV$103)</f>
        <v>1</v>
      </c>
      <c r="P12" s="33">
        <f ca="1">SUMIFS(Assumptions!AW$3:AW$103,Assumptions!$G$3:$G$103,'non-road'!$F12,Assumptions!$B$3:$B$103,'non-road'!$D12)/SUMIF(Assumptions!$G$3:$G$103,'non-road'!$F12,Assumptions!AW$3:AW$103)</f>
        <v>0.13979882944494071</v>
      </c>
      <c r="Q12" s="33">
        <f ca="1">SUMIFS(Assumptions!AX$3:AX$103,Assumptions!$G$3:$G$103,'non-road'!$F12,Assumptions!$B$3:$B$103,'non-road'!$D12)/SUMIF(Assumptions!$G$3:$G$103,'non-road'!$F12,Assumptions!AX$3:AX$103)</f>
        <v>3.3211294906930824E-2</v>
      </c>
      <c r="R12" s="33">
        <f ca="1">SUMIFS(Assumptions!AY$3:AY$103,Assumptions!$G$3:$G$103,'non-road'!$F12,Assumptions!$B$3:$B$103,'non-road'!$D12)/SUMIF(Assumptions!$G$3:$G$103,'non-road'!$F12,Assumptions!AY$3:AY$103)</f>
        <v>5.1221150832019113E-2</v>
      </c>
      <c r="S12" s="33">
        <f ca="1">SUMIFS(Assumptions!AZ$3:AZ$103,Assumptions!$G$3:$G$103,'non-road'!$F12,Assumptions!$B$3:$B$103,'non-road'!$D12)/SUMIF(Assumptions!$G$3:$G$103,'non-road'!$F12,Assumptions!AZ$3:AZ$103)</f>
        <v>2.7829124471348349E-2</v>
      </c>
      <c r="T12" s="33">
        <f ca="1">SUMIFS(Assumptions!BA$3:BA$103,Assumptions!$G$3:$G$103,'non-road'!$F12,Assumptions!$B$3:$B$103,'non-road'!$D12)/SUMIF(Assumptions!$G$3:$G$103,'non-road'!$F12,Assumptions!BA$3:BA$103)</f>
        <v>1.0908902782128322E-2</v>
      </c>
      <c r="U12" s="33">
        <f ca="1">SUMIFS(Assumptions!BB$3:BB$103,Assumptions!$G$3:$G$103,'non-road'!$F12,Assumptions!$B$3:$B$103,'non-road'!$D12)/SUMIF(Assumptions!$G$3:$G$103,'non-road'!$F12,Assumptions!BB$3:BB$103)</f>
        <v>8.1250476247573686E-2</v>
      </c>
      <c r="V12" s="33">
        <f ca="1">SUMIFS(Assumptions!BC$3:BC$103,Assumptions!$G$3:$G$103,'non-road'!$F12,Assumptions!$B$3:$B$103,'non-road'!$D12)/SUMIF(Assumptions!$G$3:$G$103,'non-road'!$F12,Assumptions!BC$3:BC$103)</f>
        <v>2.6443798837013095E-2</v>
      </c>
      <c r="W12" s="33">
        <f ca="1">SUMIFS(Assumptions!BD$3:BD$103,Assumptions!$G$3:$G$103,'non-road'!$F12,Assumptions!$B$3:$B$103,'non-road'!$D12)/SUMIF(Assumptions!$G$3:$G$103,'non-road'!$F12,Assumptions!BD$3:BD$103)</f>
        <v>0.11284394709875342</v>
      </c>
      <c r="X12" s="33">
        <f ca="1">SUMIFS(Assumptions!BE$3:BE$103,Assumptions!$G$3:$G$103,'non-road'!$F12,Assumptions!$B$3:$B$103,'non-road'!$D12)/SUMIF(Assumptions!$G$3:$G$103,'non-road'!$F12,Assumptions!BE$3:BE$103)</f>
        <v>1.5839039784246951E-2</v>
      </c>
      <c r="Y12" s="33">
        <f ca="1">SUMIFS(Assumptions!BF$3:BF$103,Assumptions!$G$3:$G$103,'non-road'!$F12,Assumptions!$B$3:$B$103,'non-road'!$D12)/SUMIF(Assumptions!$G$3:$G$103,'non-road'!$F12,Assumptions!BF$3:BF$103)</f>
        <v>2.5743082001899426E-2</v>
      </c>
      <c r="Z12" s="33">
        <f ca="1">SUMIFS(Assumptions!BG$3:BG$103,Assumptions!$G$3:$G$103,'non-road'!$F12,Assumptions!$B$3:$B$103,'non-road'!$D12)/SUMIF(Assumptions!$G$3:$G$103,'non-road'!$F12,Assumptions!BG$3:BG$103)</f>
        <v>0.53257283621205487</v>
      </c>
      <c r="AA12" s="33">
        <f ca="1">SUMIFS(Assumptions!BH$3:BH$103,Assumptions!$G$3:$G$103,'non-road'!$F12,Assumptions!$B$3:$B$103,'non-road'!$D12)/SUMIF(Assumptions!$G$3:$G$103,'non-road'!$F12,Assumptions!BH$3:BH$103)</f>
        <v>1.0280019393117668E-2</v>
      </c>
      <c r="AB12" s="33">
        <f ca="1">SUMIFS(Assumptions!BI$3:BI$103,Assumptions!$G$3:$G$103,'non-road'!$F12,Assumptions!$B$3:$B$103,'non-road'!$D12)/SUMIF(Assumptions!$G$3:$G$103,'non-road'!$F12,Assumptions!BI$3:BI$103)</f>
        <v>0.64144294758301201</v>
      </c>
      <c r="AC12" s="33">
        <f ca="1">SUMIFS(Assumptions!BJ$3:BJ$103,Assumptions!$G$3:$G$103,'non-road'!$F12,Assumptions!$B$3:$B$103,'non-road'!$D12)/SUMIF(Assumptions!$G$3:$G$103,'non-road'!$F12,Assumptions!BJ$3:BJ$103)</f>
        <v>1</v>
      </c>
      <c r="AD12" s="33">
        <f ca="1">SUMIFS(Assumptions!BK$3:BK$103,Assumptions!$G$3:$G$103,'non-road'!$F12,Assumptions!$B$3:$B$103,'non-road'!$D12)/SUMIF(Assumptions!$G$3:$G$103,'non-road'!$F12,Assumptions!BK$3:BK$103)</f>
        <v>2.6241355181161375E-2</v>
      </c>
      <c r="AE12" s="33">
        <f ca="1">SUMIFS(Assumptions!BL$3:BL$103,Assumptions!$G$3:$G$103,'non-road'!$F12,Assumptions!$B$3:$B$103,'non-road'!$D12)/SUMIF(Assumptions!$G$3:$G$103,'non-road'!$F12,Assumptions!BL$3:BL$103)</f>
        <v>9.7151864220852618E-2</v>
      </c>
      <c r="AF12" s="33" t="e">
        <f ca="1">SUMIFS(Assumptions!BM$3:BM$103,Assumptions!$G$3:$G$103,'non-road'!$F12,Assumptions!$B$3:$B$103,'non-road'!$D12)/SUMIF(Assumptions!$G$3:$G$103,'non-road'!$F12,Assumptions!BM$3:BM$103)</f>
        <v>#DIV/0!</v>
      </c>
      <c r="AG12" s="33">
        <f ca="1">SUMIFS(Assumptions!BN$3:BN$103,Assumptions!$G$3:$G$103,'non-road'!$F12,Assumptions!$B$3:$B$103,'non-road'!$D12)/SUMIF(Assumptions!$G$3:$G$103,'non-road'!$F12,Assumptions!BN$3:BN$103)</f>
        <v>0.15673765100781362</v>
      </c>
      <c r="AH12" s="33">
        <f ca="1">SUMIFS(Assumptions!BO$3:BO$103,Assumptions!$G$3:$G$103,'non-road'!$F12,Assumptions!$B$3:$B$103,'non-road'!$D12)/SUMIF(Assumptions!$G$3:$G$103,'non-road'!$F12,Assumptions!BO$3:BO$103)</f>
        <v>0.1172208470099564</v>
      </c>
      <c r="AI12" s="33">
        <f ca="1">SUMIFS(Assumptions!BP$3:BP$103,Assumptions!$G$3:$G$103,'non-road'!$F12,Assumptions!$B$3:$B$103,'non-road'!$D12)/SUMIF(Assumptions!$G$3:$G$103,'non-road'!$F12,Assumptions!BP$3:BP$103)</f>
        <v>0.45190739993275464</v>
      </c>
      <c r="AJ12" s="33" t="e">
        <f ca="1">SUMIFS(Assumptions!BQ$3:BQ$103,Assumptions!$G$3:$G$103,'non-road'!$F12,Assumptions!$B$3:$B$103,'non-road'!$D12)/SUMIF(Assumptions!$G$3:$G$103,'non-road'!$F12,Assumptions!BQ$3:BQ$103)</f>
        <v>#DIV/0!</v>
      </c>
      <c r="AK12" s="34"/>
      <c r="AL12" s="33"/>
      <c r="AM12" s="33"/>
      <c r="AN12" s="27" t="str">
        <f t="shared" ref="AN12:AN41" si="40">IF(C12="","\I:",C12)</f>
        <v>\I:</v>
      </c>
      <c r="AO12" s="33">
        <f>VLOOKUP($F12,Assumptions!$E$152:$AM$157,COLUMN()-COLUMN($AM$4),FALSE)</f>
        <v>1</v>
      </c>
      <c r="AP12" s="33">
        <f>VLOOKUP($F12,Assumptions!$E$152:$AM$157,COLUMN()-COLUMN($AM$4),FALSE)</f>
        <v>1</v>
      </c>
      <c r="AQ12" s="33">
        <f>VLOOKUP($F12,Assumptions!$E$152:$AM$157,COLUMN()-COLUMN($AM$4),FALSE)</f>
        <v>1</v>
      </c>
      <c r="AR12" s="33">
        <f>VLOOKUP($F12,Assumptions!$E$152:$AM$157,COLUMN()-COLUMN($AM$4),FALSE)</f>
        <v>1</v>
      </c>
      <c r="AS12" s="33">
        <f>VLOOKUP($F12,Assumptions!$E$152:$AM$157,COLUMN()-COLUMN($AM$4),FALSE)</f>
        <v>1</v>
      </c>
      <c r="AT12" s="33">
        <f>VLOOKUP($F12,Assumptions!$E$152:$AM$157,COLUMN()-COLUMN($AM$4),FALSE)</f>
        <v>1</v>
      </c>
      <c r="AU12" s="33">
        <f>VLOOKUP($F12,Assumptions!$E$152:$AM$157,COLUMN()-COLUMN($AM$4),FALSE)</f>
        <v>1</v>
      </c>
      <c r="AV12" s="33">
        <f>VLOOKUP($F12,Assumptions!$E$152:$AM$157,COLUMN()-COLUMN($AM$4),FALSE)</f>
        <v>1</v>
      </c>
      <c r="AW12" s="33">
        <f>VLOOKUP($F12,Assumptions!$E$152:$AM$157,COLUMN()-COLUMN($AM$4),FALSE)</f>
        <v>1</v>
      </c>
      <c r="AX12" s="33">
        <f>VLOOKUP($F12,Assumptions!$E$152:$AM$157,COLUMN()-COLUMN($AM$4),FALSE)</f>
        <v>1</v>
      </c>
      <c r="AY12" s="33">
        <f>VLOOKUP($F12,Assumptions!$E$152:$AM$157,COLUMN()-COLUMN($AM$4),FALSE)</f>
        <v>1</v>
      </c>
      <c r="AZ12" s="33">
        <f>VLOOKUP($F12,Assumptions!$E$152:$AM$157,COLUMN()-COLUMN($AM$4),FALSE)</f>
        <v>1</v>
      </c>
      <c r="BA12" s="33">
        <f>VLOOKUP($F12,Assumptions!$E$152:$AM$157,COLUMN()-COLUMN($AM$4),FALSE)</f>
        <v>1</v>
      </c>
      <c r="BB12" s="33">
        <f>VLOOKUP($F12,Assumptions!$E$152:$AM$157,COLUMN()-COLUMN($AM$4),FALSE)</f>
        <v>1</v>
      </c>
      <c r="BC12" s="33">
        <f>VLOOKUP($F12,Assumptions!$E$152:$AM$157,COLUMN()-COLUMN($AM$4),FALSE)</f>
        <v>1</v>
      </c>
      <c r="BD12" s="33">
        <f>VLOOKUP($F12,Assumptions!$E$152:$AM$157,COLUMN()-COLUMN($AM$4),FALSE)</f>
        <v>1</v>
      </c>
      <c r="BE12" s="33">
        <f>VLOOKUP($F12,Assumptions!$E$152:$AM$157,COLUMN()-COLUMN($AM$4),FALSE)</f>
        <v>1</v>
      </c>
      <c r="BF12" s="33">
        <f>VLOOKUP($F12,Assumptions!$E$152:$AM$157,COLUMN()-COLUMN($AM$4),FALSE)</f>
        <v>1</v>
      </c>
      <c r="BG12" s="33">
        <f>VLOOKUP($F12,Assumptions!$E$152:$AM$157,COLUMN()-COLUMN($AM$4),FALSE)</f>
        <v>1</v>
      </c>
      <c r="BH12" s="33">
        <f>VLOOKUP($F12,Assumptions!$E$152:$AM$157,COLUMN()-COLUMN($AM$4),FALSE)</f>
        <v>1</v>
      </c>
      <c r="BI12" s="33">
        <f>VLOOKUP($F12,Assumptions!$E$152:$AM$157,COLUMN()-COLUMN($AM$4),FALSE)</f>
        <v>1</v>
      </c>
      <c r="BJ12" s="33">
        <f>VLOOKUP($F12,Assumptions!$E$152:$AM$157,COLUMN()-COLUMN($AM$4),FALSE)</f>
        <v>1</v>
      </c>
      <c r="BK12" s="33">
        <f>VLOOKUP($F12,Assumptions!$E$152:$AM$157,COLUMN()-COLUMN($AM$4),FALSE)</f>
        <v>1</v>
      </c>
      <c r="BL12" s="33">
        <f>VLOOKUP($F12,Assumptions!$E$152:$AM$157,COLUMN()-COLUMN($AM$4),FALSE)</f>
        <v>1</v>
      </c>
      <c r="BM12" s="33">
        <f>VLOOKUP($F12,Assumptions!$E$152:$AM$157,COLUMN()-COLUMN($AM$4),FALSE)</f>
        <v>1</v>
      </c>
      <c r="BN12" s="33">
        <f>VLOOKUP($F12,Assumptions!$E$152:$AM$157,COLUMN()-COLUMN($AM$4),FALSE)</f>
        <v>1</v>
      </c>
      <c r="BO12" s="33">
        <f>VLOOKUP($F12,Assumptions!$E$152:$AM$157,COLUMN()-COLUMN($AM$4),FALSE)</f>
        <v>1</v>
      </c>
      <c r="BP12" s="33">
        <f>VLOOKUP($F12,Assumptions!$E$152:$AM$157,COLUMN()-COLUMN($AM$4),FALSE)</f>
        <v>1</v>
      </c>
      <c r="BQ12" s="33">
        <f>VLOOKUP($F12,Assumptions!$E$152:$AM$157,COLUMN()-COLUMN($AM$4),FALSE)</f>
        <v>1</v>
      </c>
      <c r="BR12" s="33">
        <f>VLOOKUP($F12,Assumptions!$E$152:$AM$157,COLUMN()-COLUMN($AM$4),FALSE)</f>
        <v>1</v>
      </c>
      <c r="BS12" s="27"/>
      <c r="BT12" s="27"/>
      <c r="BU12" s="27" t="str">
        <f t="shared" ref="BU12:BU17" si="41">BU3</f>
        <v>TTF</v>
      </c>
      <c r="BV12" s="33">
        <f ca="1">IFERROR(BV3/BV$20,"")</f>
        <v>3.5531835601509015E-3</v>
      </c>
      <c r="BW12" s="33">
        <f t="shared" ref="BW12:CY12" ca="1" si="42">IFERROR(BW3/BW$20,"")</f>
        <v>3.854495128881215E-3</v>
      </c>
      <c r="BX12" s="33">
        <f t="shared" ca="1" si="42"/>
        <v>1.657125467991844E-3</v>
      </c>
      <c r="BY12" s="33">
        <f t="shared" ca="1" si="42"/>
        <v>8.7927931556395326E-3</v>
      </c>
      <c r="BZ12" s="33">
        <f t="shared" ca="1" si="42"/>
        <v>4.9688323701977722E-4</v>
      </c>
      <c r="CA12" s="33">
        <f t="shared" ca="1" si="42"/>
        <v>5.3412850102243442E-3</v>
      </c>
      <c r="CB12" s="33">
        <f t="shared" ca="1" si="42"/>
        <v>3.4281127116968867E-2</v>
      </c>
      <c r="CC12" s="33">
        <f t="shared" ca="1" si="42"/>
        <v>1.3412288031443013E-2</v>
      </c>
      <c r="CD12" s="33">
        <f t="shared" ca="1" si="42"/>
        <v>5.6299742125902948E-2</v>
      </c>
      <c r="CE12" s="33">
        <f t="shared" ca="1" si="42"/>
        <v>6.391641544193292E-3</v>
      </c>
      <c r="CF12" s="33">
        <f t="shared" ca="1" si="42"/>
        <v>5.0027102910786651E-3</v>
      </c>
      <c r="CG12" s="33">
        <f t="shared" ca="1" si="42"/>
        <v>7.7545989410251022E-3</v>
      </c>
      <c r="CH12" s="33">
        <f t="shared" ca="1" si="42"/>
        <v>2.1395224699362015E-3</v>
      </c>
      <c r="CI12" s="33">
        <f t="shared" ca="1" si="42"/>
        <v>1.0206644879128929E-3</v>
      </c>
      <c r="CJ12" s="33">
        <f t="shared" ca="1" si="42"/>
        <v>1.0664676311944779E-2</v>
      </c>
      <c r="CK12" s="33">
        <f t="shared" ca="1" si="42"/>
        <v>2.1014551273623367E-3</v>
      </c>
      <c r="CL12" s="33">
        <f t="shared" ca="1" si="42"/>
        <v>5.4394288533351565E-3</v>
      </c>
      <c r="CM12" s="33">
        <f t="shared" ca="1" si="42"/>
        <v>2.0443102816764158E-3</v>
      </c>
      <c r="CN12" s="33">
        <f t="shared" ca="1" si="42"/>
        <v>3.1676794427809379E-3</v>
      </c>
      <c r="CO12" s="33">
        <f t="shared" ca="1" si="42"/>
        <v>9.0629367431004845E-3</v>
      </c>
      <c r="CP12" s="33">
        <f t="shared" ca="1" si="42"/>
        <v>6.0917054426883335E-5</v>
      </c>
      <c r="CQ12" s="33">
        <f t="shared" ca="1" si="42"/>
        <v>1.1499769640164031E-2</v>
      </c>
      <c r="CR12" s="33">
        <f t="shared" ca="1" si="42"/>
        <v>6.1596330605527951E-4</v>
      </c>
      <c r="CS12" s="33">
        <f t="shared" ca="1" si="42"/>
        <v>1.8219415668683074E-3</v>
      </c>
      <c r="CT12" s="33">
        <f t="shared" ca="1" si="42"/>
        <v>8.0856076206883731E-2</v>
      </c>
      <c r="CU12" s="33">
        <f t="shared" ca="1" si="42"/>
        <v>0</v>
      </c>
      <c r="CV12" s="33">
        <f t="shared" ca="1" si="42"/>
        <v>1.4658442321527869E-2</v>
      </c>
      <c r="CW12" s="33">
        <f t="shared" ca="1" si="42"/>
        <v>1.0459758790274259E-2</v>
      </c>
      <c r="CX12" s="33">
        <f t="shared" ca="1" si="42"/>
        <v>3.3372905697762786E-2</v>
      </c>
      <c r="CY12" s="33" t="str">
        <f t="shared" ca="1" si="42"/>
        <v/>
      </c>
      <c r="CZ12" s="27"/>
      <c r="DA12" s="27" t="str">
        <f t="shared" si="33"/>
        <v>\I:</v>
      </c>
      <c r="DB12" s="27" t="str">
        <f t="shared" si="36"/>
        <v/>
      </c>
      <c r="DC12" s="27" t="s">
        <v>169</v>
      </c>
      <c r="DD12" s="27" t="s">
        <v>160</v>
      </c>
      <c r="DE12" s="27" t="s">
        <v>161</v>
      </c>
      <c r="DF12" s="27"/>
      <c r="DG12" s="27"/>
      <c r="DH12" s="27"/>
    </row>
    <row r="13" spans="1:112" x14ac:dyDescent="0.45">
      <c r="A13" s="27" t="s">
        <v>144</v>
      </c>
      <c r="B13" s="27"/>
      <c r="C13" s="27" t="str">
        <f t="shared" si="39"/>
        <v/>
      </c>
      <c r="D13" s="27" t="s">
        <v>42</v>
      </c>
      <c r="E13" s="27"/>
      <c r="F13" s="27" t="s">
        <v>57</v>
      </c>
      <c r="G13" s="33">
        <f ca="1">SUMIFS(Assumptions!AN$3:AN$103,Assumptions!$G$3:$G$103,'non-road'!$F13,Assumptions!$B$3:$B$103,'non-road'!$D13)/SUMIF(Assumptions!$G$3:$G$103,'non-road'!$F13,Assumptions!AN$3:AN$103)</f>
        <v>0</v>
      </c>
      <c r="H13" s="33">
        <f ca="1">SUMIFS(Assumptions!AO$3:AO$103,Assumptions!$G$3:$G$103,'non-road'!$F13,Assumptions!$B$3:$B$103,'non-road'!$D13)/SUMIF(Assumptions!$G$3:$G$103,'non-road'!$F13,Assumptions!AO$3:AO$103)</f>
        <v>0</v>
      </c>
      <c r="I13" s="33">
        <f ca="1">SUMIFS(Assumptions!AP$3:AP$103,Assumptions!$G$3:$G$103,'non-road'!$F13,Assumptions!$B$3:$B$103,'non-road'!$D13)/SUMIF(Assumptions!$G$3:$G$103,'non-road'!$F13,Assumptions!AP$3:AP$103)</f>
        <v>0</v>
      </c>
      <c r="J13" s="33">
        <f ca="1">SUMIFS(Assumptions!AQ$3:AQ$103,Assumptions!$G$3:$G$103,'non-road'!$F13,Assumptions!$B$3:$B$103,'non-road'!$D13)/SUMIF(Assumptions!$G$3:$G$103,'non-road'!$F13,Assumptions!AQ$3:AQ$103)</f>
        <v>2.2739481679845091E-3</v>
      </c>
      <c r="K13" s="33">
        <f ca="1">SUMIFS(Assumptions!AR$3:AR$103,Assumptions!$G$3:$G$103,'non-road'!$F13,Assumptions!$B$3:$B$103,'non-road'!$D13)/SUMIF(Assumptions!$G$3:$G$103,'non-road'!$F13,Assumptions!AR$3:AR$103)</f>
        <v>0</v>
      </c>
      <c r="L13" s="33">
        <f ca="1">SUMIFS(Assumptions!AS$3:AS$103,Assumptions!$G$3:$G$103,'non-road'!$F13,Assumptions!$B$3:$B$103,'non-road'!$D13)/SUMIF(Assumptions!$G$3:$G$103,'non-road'!$F13,Assumptions!AS$3:AS$103)</f>
        <v>0</v>
      </c>
      <c r="M13" s="33">
        <f ca="1">SUMIFS(Assumptions!AT$3:AT$103,Assumptions!$G$3:$G$103,'non-road'!$F13,Assumptions!$B$3:$B$103,'non-road'!$D13)/SUMIF(Assumptions!$G$3:$G$103,'non-road'!$F13,Assumptions!AT$3:AT$103)</f>
        <v>9.6193108469724571E-4</v>
      </c>
      <c r="N13" s="33">
        <f ca="1">SUMIFS(Assumptions!AU$3:AU$103,Assumptions!$G$3:$G$103,'non-road'!$F13,Assumptions!$B$3:$B$103,'non-road'!$D13)/SUMIF(Assumptions!$G$3:$G$103,'non-road'!$F13,Assumptions!AU$3:AU$103)</f>
        <v>0</v>
      </c>
      <c r="O13" s="33">
        <f ca="1">SUMIFS(Assumptions!AV$3:AV$103,Assumptions!$G$3:$G$103,'non-road'!$F13,Assumptions!$B$3:$B$103,'non-road'!$D13)/SUMIF(Assumptions!$G$3:$G$103,'non-road'!$F13,Assumptions!AV$3:AV$103)</f>
        <v>0</v>
      </c>
      <c r="P13" s="33">
        <f ca="1">SUMIFS(Assumptions!AW$3:AW$103,Assumptions!$G$3:$G$103,'non-road'!$F13,Assumptions!$B$3:$B$103,'non-road'!$D13)/SUMIF(Assumptions!$G$3:$G$103,'non-road'!$F13,Assumptions!AW$3:AW$103)</f>
        <v>0</v>
      </c>
      <c r="Q13" s="33">
        <f ca="1">SUMIFS(Assumptions!AX$3:AX$103,Assumptions!$G$3:$G$103,'non-road'!$F13,Assumptions!$B$3:$B$103,'non-road'!$D13)/SUMIF(Assumptions!$G$3:$G$103,'non-road'!$F13,Assumptions!AX$3:AX$103)</f>
        <v>0</v>
      </c>
      <c r="R13" s="33">
        <f ca="1">SUMIFS(Assumptions!AY$3:AY$103,Assumptions!$G$3:$G$103,'non-road'!$F13,Assumptions!$B$3:$B$103,'non-road'!$D13)/SUMIF(Assumptions!$G$3:$G$103,'non-road'!$F13,Assumptions!AY$3:AY$103)</f>
        <v>0</v>
      </c>
      <c r="S13" s="33">
        <f ca="1">SUMIFS(Assumptions!AZ$3:AZ$103,Assumptions!$G$3:$G$103,'non-road'!$F13,Assumptions!$B$3:$B$103,'non-road'!$D13)/SUMIF(Assumptions!$G$3:$G$103,'non-road'!$F13,Assumptions!AZ$3:AZ$103)</f>
        <v>0</v>
      </c>
      <c r="T13" s="33">
        <f ca="1">SUMIFS(Assumptions!BA$3:BA$103,Assumptions!$G$3:$G$103,'non-road'!$F13,Assumptions!$B$3:$B$103,'non-road'!$D13)/SUMIF(Assumptions!$G$3:$G$103,'non-road'!$F13,Assumptions!BA$3:BA$103)</f>
        <v>0</v>
      </c>
      <c r="U13" s="33">
        <f ca="1">SUMIFS(Assumptions!BB$3:BB$103,Assumptions!$G$3:$G$103,'non-road'!$F13,Assumptions!$B$3:$B$103,'non-road'!$D13)/SUMIF(Assumptions!$G$3:$G$103,'non-road'!$F13,Assumptions!BB$3:BB$103)</f>
        <v>0</v>
      </c>
      <c r="V13" s="33">
        <f ca="1">SUMIFS(Assumptions!BC$3:BC$103,Assumptions!$G$3:$G$103,'non-road'!$F13,Assumptions!$B$3:$B$103,'non-road'!$D13)/SUMIF(Assumptions!$G$3:$G$103,'non-road'!$F13,Assumptions!BC$3:BC$103)</f>
        <v>0</v>
      </c>
      <c r="W13" s="33">
        <f ca="1">SUMIFS(Assumptions!BD$3:BD$103,Assumptions!$G$3:$G$103,'non-road'!$F13,Assumptions!$B$3:$B$103,'non-road'!$D13)/SUMIF(Assumptions!$G$3:$G$103,'non-road'!$F13,Assumptions!BD$3:BD$103)</f>
        <v>0</v>
      </c>
      <c r="X13" s="33">
        <f ca="1">SUMIFS(Assumptions!BE$3:BE$103,Assumptions!$G$3:$G$103,'non-road'!$F13,Assumptions!$B$3:$B$103,'non-road'!$D13)/SUMIF(Assumptions!$G$3:$G$103,'non-road'!$F13,Assumptions!BE$3:BE$103)</f>
        <v>0</v>
      </c>
      <c r="Y13" s="33">
        <f ca="1">SUMIFS(Assumptions!BF$3:BF$103,Assumptions!$G$3:$G$103,'non-road'!$F13,Assumptions!$B$3:$B$103,'non-road'!$D13)/SUMIF(Assumptions!$G$3:$G$103,'non-road'!$F13,Assumptions!BF$3:BF$103)</f>
        <v>0</v>
      </c>
      <c r="Z13" s="33">
        <f ca="1">SUMIFS(Assumptions!BG$3:BG$103,Assumptions!$G$3:$G$103,'non-road'!$F13,Assumptions!$B$3:$B$103,'non-road'!$D13)/SUMIF(Assumptions!$G$3:$G$103,'non-road'!$F13,Assumptions!BG$3:BG$103)</f>
        <v>0</v>
      </c>
      <c r="AA13" s="33">
        <f ca="1">SUMIFS(Assumptions!BH$3:BH$103,Assumptions!$G$3:$G$103,'non-road'!$F13,Assumptions!$B$3:$B$103,'non-road'!$D13)/SUMIF(Assumptions!$G$3:$G$103,'non-road'!$F13,Assumptions!BH$3:BH$103)</f>
        <v>0</v>
      </c>
      <c r="AB13" s="33">
        <f ca="1">SUMIFS(Assumptions!BI$3:BI$103,Assumptions!$G$3:$G$103,'non-road'!$F13,Assumptions!$B$3:$B$103,'non-road'!$D13)/SUMIF(Assumptions!$G$3:$G$103,'non-road'!$F13,Assumptions!BI$3:BI$103)</f>
        <v>0</v>
      </c>
      <c r="AC13" s="33">
        <f ca="1">SUMIFS(Assumptions!BJ$3:BJ$103,Assumptions!$G$3:$G$103,'non-road'!$F13,Assumptions!$B$3:$B$103,'non-road'!$D13)/SUMIF(Assumptions!$G$3:$G$103,'non-road'!$F13,Assumptions!BJ$3:BJ$103)</f>
        <v>0</v>
      </c>
      <c r="AD13" s="33">
        <f ca="1">SUMIFS(Assumptions!BK$3:BK$103,Assumptions!$G$3:$G$103,'non-road'!$F13,Assumptions!$B$3:$B$103,'non-road'!$D13)/SUMIF(Assumptions!$G$3:$G$103,'non-road'!$F13,Assumptions!BK$3:BK$103)</f>
        <v>0</v>
      </c>
      <c r="AE13" s="33">
        <f ca="1">SUMIFS(Assumptions!BL$3:BL$103,Assumptions!$G$3:$G$103,'non-road'!$F13,Assumptions!$B$3:$B$103,'non-road'!$D13)/SUMIF(Assumptions!$G$3:$G$103,'non-road'!$F13,Assumptions!BL$3:BL$103)</f>
        <v>3.5333566040032069E-3</v>
      </c>
      <c r="AF13" s="33" t="e">
        <f ca="1">SUMIFS(Assumptions!BM$3:BM$103,Assumptions!$G$3:$G$103,'non-road'!$F13,Assumptions!$B$3:$B$103,'non-road'!$D13)/SUMIF(Assumptions!$G$3:$G$103,'non-road'!$F13,Assumptions!BM$3:BM$103)</f>
        <v>#DIV/0!</v>
      </c>
      <c r="AG13" s="33">
        <f ca="1">SUMIFS(Assumptions!BN$3:BN$103,Assumptions!$G$3:$G$103,'non-road'!$F13,Assumptions!$B$3:$B$103,'non-road'!$D13)/SUMIF(Assumptions!$G$3:$G$103,'non-road'!$F13,Assumptions!BN$3:BN$103)</f>
        <v>6.9198477081452089E-2</v>
      </c>
      <c r="AH13" s="33">
        <f ca="1">SUMIFS(Assumptions!BO$3:BO$103,Assumptions!$G$3:$G$103,'non-road'!$F13,Assumptions!$B$3:$B$103,'non-road'!$D13)/SUMIF(Assumptions!$G$3:$G$103,'non-road'!$F13,Assumptions!BO$3:BO$103)</f>
        <v>0</v>
      </c>
      <c r="AI13" s="33">
        <f ca="1">SUMIFS(Assumptions!BP$3:BP$103,Assumptions!$G$3:$G$103,'non-road'!$F13,Assumptions!$B$3:$B$103,'non-road'!$D13)/SUMIF(Assumptions!$G$3:$G$103,'non-road'!$F13,Assumptions!BP$3:BP$103)</f>
        <v>0</v>
      </c>
      <c r="AJ13" s="33" t="e">
        <f ca="1">SUMIFS(Assumptions!BQ$3:BQ$103,Assumptions!$G$3:$G$103,'non-road'!$F13,Assumptions!$B$3:$B$103,'non-road'!$D13)/SUMIF(Assumptions!$G$3:$G$103,'non-road'!$F13,Assumptions!BQ$3:BQ$103)</f>
        <v>#DIV/0!</v>
      </c>
      <c r="AK13" s="34"/>
      <c r="AL13" s="33"/>
      <c r="AM13" s="33"/>
      <c r="AN13" s="27" t="str">
        <f t="shared" si="40"/>
        <v>\I:</v>
      </c>
      <c r="AO13" s="33">
        <f>VLOOKUP($F13,Assumptions!$E$152:$AM$157,COLUMN()-COLUMN($AM$4),FALSE)</f>
        <v>1</v>
      </c>
      <c r="AP13" s="33">
        <f>VLOOKUP($F13,Assumptions!$E$152:$AM$157,COLUMN()-COLUMN($AM$4),FALSE)</f>
        <v>1</v>
      </c>
      <c r="AQ13" s="33">
        <f>VLOOKUP($F13,Assumptions!$E$152:$AM$157,COLUMN()-COLUMN($AM$4),FALSE)</f>
        <v>1</v>
      </c>
      <c r="AR13" s="33">
        <f>VLOOKUP($F13,Assumptions!$E$152:$AM$157,COLUMN()-COLUMN($AM$4),FALSE)</f>
        <v>1</v>
      </c>
      <c r="AS13" s="33">
        <f>VLOOKUP($F13,Assumptions!$E$152:$AM$157,COLUMN()-COLUMN($AM$4),FALSE)</f>
        <v>1</v>
      </c>
      <c r="AT13" s="33">
        <f>VLOOKUP($F13,Assumptions!$E$152:$AM$157,COLUMN()-COLUMN($AM$4),FALSE)</f>
        <v>1</v>
      </c>
      <c r="AU13" s="33">
        <f>VLOOKUP($F13,Assumptions!$E$152:$AM$157,COLUMN()-COLUMN($AM$4),FALSE)</f>
        <v>1</v>
      </c>
      <c r="AV13" s="33">
        <f>VLOOKUP($F13,Assumptions!$E$152:$AM$157,COLUMN()-COLUMN($AM$4),FALSE)</f>
        <v>1</v>
      </c>
      <c r="AW13" s="33">
        <f>VLOOKUP($F13,Assumptions!$E$152:$AM$157,COLUMN()-COLUMN($AM$4),FALSE)</f>
        <v>1</v>
      </c>
      <c r="AX13" s="33">
        <f>VLOOKUP($F13,Assumptions!$E$152:$AM$157,COLUMN()-COLUMN($AM$4),FALSE)</f>
        <v>1</v>
      </c>
      <c r="AY13" s="33">
        <f>VLOOKUP($F13,Assumptions!$E$152:$AM$157,COLUMN()-COLUMN($AM$4),FALSE)</f>
        <v>1</v>
      </c>
      <c r="AZ13" s="33">
        <f>VLOOKUP($F13,Assumptions!$E$152:$AM$157,COLUMN()-COLUMN($AM$4),FALSE)</f>
        <v>1</v>
      </c>
      <c r="BA13" s="33">
        <f>VLOOKUP($F13,Assumptions!$E$152:$AM$157,COLUMN()-COLUMN($AM$4),FALSE)</f>
        <v>1</v>
      </c>
      <c r="BB13" s="33">
        <f>VLOOKUP($F13,Assumptions!$E$152:$AM$157,COLUMN()-COLUMN($AM$4),FALSE)</f>
        <v>1</v>
      </c>
      <c r="BC13" s="33">
        <f>VLOOKUP($F13,Assumptions!$E$152:$AM$157,COLUMN()-COLUMN($AM$4),FALSE)</f>
        <v>1</v>
      </c>
      <c r="BD13" s="33">
        <f>VLOOKUP($F13,Assumptions!$E$152:$AM$157,COLUMN()-COLUMN($AM$4),FALSE)</f>
        <v>1</v>
      </c>
      <c r="BE13" s="33">
        <f>VLOOKUP($F13,Assumptions!$E$152:$AM$157,COLUMN()-COLUMN($AM$4),FALSE)</f>
        <v>1</v>
      </c>
      <c r="BF13" s="33">
        <f>VLOOKUP($F13,Assumptions!$E$152:$AM$157,COLUMN()-COLUMN($AM$4),FALSE)</f>
        <v>1</v>
      </c>
      <c r="BG13" s="33">
        <f>VLOOKUP($F13,Assumptions!$E$152:$AM$157,COLUMN()-COLUMN($AM$4),FALSE)</f>
        <v>1</v>
      </c>
      <c r="BH13" s="33">
        <f>VLOOKUP($F13,Assumptions!$E$152:$AM$157,COLUMN()-COLUMN($AM$4),FALSE)</f>
        <v>1</v>
      </c>
      <c r="BI13" s="33">
        <f>VLOOKUP($F13,Assumptions!$E$152:$AM$157,COLUMN()-COLUMN($AM$4),FALSE)</f>
        <v>1</v>
      </c>
      <c r="BJ13" s="33">
        <f>VLOOKUP($F13,Assumptions!$E$152:$AM$157,COLUMN()-COLUMN($AM$4),FALSE)</f>
        <v>1</v>
      </c>
      <c r="BK13" s="33">
        <f>VLOOKUP($F13,Assumptions!$E$152:$AM$157,COLUMN()-COLUMN($AM$4),FALSE)</f>
        <v>1</v>
      </c>
      <c r="BL13" s="33">
        <f>VLOOKUP($F13,Assumptions!$E$152:$AM$157,COLUMN()-COLUMN($AM$4),FALSE)</f>
        <v>1</v>
      </c>
      <c r="BM13" s="33">
        <f>VLOOKUP($F13,Assumptions!$E$152:$AM$157,COLUMN()-COLUMN($AM$4),FALSE)</f>
        <v>1</v>
      </c>
      <c r="BN13" s="33">
        <f>VLOOKUP($F13,Assumptions!$E$152:$AM$157,COLUMN()-COLUMN($AM$4),FALSE)</f>
        <v>1</v>
      </c>
      <c r="BO13" s="33">
        <f>VLOOKUP($F13,Assumptions!$E$152:$AM$157,COLUMN()-COLUMN($AM$4),FALSE)</f>
        <v>1</v>
      </c>
      <c r="BP13" s="33">
        <f>VLOOKUP($F13,Assumptions!$E$152:$AM$157,COLUMN()-COLUMN($AM$4),FALSE)</f>
        <v>1</v>
      </c>
      <c r="BQ13" s="33">
        <f>VLOOKUP($F13,Assumptions!$E$152:$AM$157,COLUMN()-COLUMN($AM$4),FALSE)</f>
        <v>1</v>
      </c>
      <c r="BR13" s="33">
        <f>VLOOKUP($F13,Assumptions!$E$152:$AM$157,COLUMN()-COLUMN($AM$4),FALSE)</f>
        <v>1</v>
      </c>
      <c r="BS13" s="27"/>
      <c r="BT13" s="27"/>
      <c r="BU13" s="27" t="str">
        <f t="shared" si="41"/>
        <v>TTP</v>
      </c>
      <c r="BV13" s="33">
        <f t="shared" ref="BV13:CY13" ca="1" si="43">IFERROR(BV4/BV$20,"")</f>
        <v>3.7272436680648915E-3</v>
      </c>
      <c r="BW13" s="33">
        <f t="shared" ca="1" si="43"/>
        <v>1.6817604486665234E-3</v>
      </c>
      <c r="BX13" s="33">
        <f t="shared" ca="1" si="43"/>
        <v>3.7705626883501931E-3</v>
      </c>
      <c r="BY13" s="33">
        <f t="shared" ca="1" si="43"/>
        <v>1.8147301152619231E-2</v>
      </c>
      <c r="BZ13" s="33">
        <f t="shared" ca="1" si="43"/>
        <v>1.2624936572596043E-2</v>
      </c>
      <c r="CA13" s="33">
        <f t="shared" ca="1" si="43"/>
        <v>2.9793047794022219E-3</v>
      </c>
      <c r="CB13" s="33">
        <f t="shared" ca="1" si="43"/>
        <v>2.0835713303530699E-2</v>
      </c>
      <c r="CC13" s="33">
        <f t="shared" ca="1" si="43"/>
        <v>6.1405441236582238E-3</v>
      </c>
      <c r="CD13" s="33">
        <f t="shared" ca="1" si="43"/>
        <v>2.9631443224159447E-3</v>
      </c>
      <c r="CE13" s="33">
        <f t="shared" ca="1" si="43"/>
        <v>1.5048060182276671E-2</v>
      </c>
      <c r="CF13" s="33">
        <f t="shared" ca="1" si="43"/>
        <v>1.6736618511597245E-2</v>
      </c>
      <c r="CG13" s="33">
        <f t="shared" ca="1" si="43"/>
        <v>1.3350655127203551E-2</v>
      </c>
      <c r="CH13" s="33">
        <f t="shared" ca="1" si="43"/>
        <v>8.3712246388065355E-3</v>
      </c>
      <c r="CI13" s="33">
        <f t="shared" ca="1" si="43"/>
        <v>1.0344772041711988E-2</v>
      </c>
      <c r="CJ13" s="33">
        <f t="shared" ca="1" si="43"/>
        <v>1.2792565952357903E-2</v>
      </c>
      <c r="CK13" s="33">
        <f t="shared" ca="1" si="43"/>
        <v>8.829858962039536E-3</v>
      </c>
      <c r="CL13" s="33">
        <f t="shared" ca="1" si="43"/>
        <v>1.4672246782237811E-2</v>
      </c>
      <c r="CM13" s="33">
        <f t="shared" ca="1" si="43"/>
        <v>1.3407729374116276E-2</v>
      </c>
      <c r="CN13" s="33">
        <f t="shared" ca="1" si="43"/>
        <v>1.2955660991111511E-2</v>
      </c>
      <c r="CO13" s="33">
        <f t="shared" ca="1" si="43"/>
        <v>1.2365878063710686E-2</v>
      </c>
      <c r="CP13" s="33">
        <f t="shared" ca="1" si="43"/>
        <v>5.6427938399725879E-4</v>
      </c>
      <c r="CQ13" s="33">
        <f t="shared" ca="1" si="43"/>
        <v>5.9179539227416289E-3</v>
      </c>
      <c r="CR13" s="33">
        <f t="shared" ca="1" si="43"/>
        <v>2.639842740236912E-4</v>
      </c>
      <c r="CS13" s="33">
        <f t="shared" ca="1" si="43"/>
        <v>7.7144625525889859E-3</v>
      </c>
      <c r="CT13" s="33">
        <f t="shared" ca="1" si="43"/>
        <v>7.3293681911410974E-2</v>
      </c>
      <c r="CU13" s="33">
        <f t="shared" ca="1" si="43"/>
        <v>0</v>
      </c>
      <c r="CV13" s="33">
        <f t="shared" ca="1" si="43"/>
        <v>1.5439302344921477E-2</v>
      </c>
      <c r="CW13" s="33">
        <f t="shared" ca="1" si="43"/>
        <v>9.7499883551006063E-3</v>
      </c>
      <c r="CX13" s="33">
        <f t="shared" ca="1" si="43"/>
        <v>2.9607764060472579E-3</v>
      </c>
      <c r="CY13" s="33" t="str">
        <f t="shared" ca="1" si="43"/>
        <v/>
      </c>
      <c r="CZ13" s="27"/>
      <c r="DA13" s="27" t="str">
        <f t="shared" si="33"/>
        <v>\I:</v>
      </c>
      <c r="DB13" s="27" t="str">
        <f t="shared" si="36"/>
        <v/>
      </c>
      <c r="DC13" s="27" t="s">
        <v>169</v>
      </c>
      <c r="DD13" s="27" t="s">
        <v>160</v>
      </c>
      <c r="DE13" s="27" t="s">
        <v>161</v>
      </c>
      <c r="DF13" s="27"/>
      <c r="DG13" s="27"/>
      <c r="DH13" s="27"/>
    </row>
    <row r="14" spans="1:112" x14ac:dyDescent="0.45">
      <c r="A14" s="27" t="s">
        <v>36</v>
      </c>
      <c r="B14" s="27"/>
      <c r="C14" s="27" t="str">
        <f t="shared" si="39"/>
        <v/>
      </c>
      <c r="D14" s="27" t="s">
        <v>45</v>
      </c>
      <c r="E14" s="27"/>
      <c r="F14" s="27" t="s">
        <v>57</v>
      </c>
      <c r="G14" s="33">
        <f ca="1">SUMIFS(Assumptions!AN$3:AN$103,Assumptions!$G$3:$G$103,'non-road'!$F14,Assumptions!$B$3:$B$103,'non-road'!$D14)/SUMIF(Assumptions!$G$3:$G$103,'non-road'!$F14,Assumptions!AN$3:AN$103)</f>
        <v>0.16909056331351763</v>
      </c>
      <c r="H14" s="33">
        <f ca="1">SUMIFS(Assumptions!AO$3:AO$103,Assumptions!$G$3:$G$103,'non-road'!$F14,Assumptions!$B$3:$B$103,'non-road'!$D14)/SUMIF(Assumptions!$G$3:$G$103,'non-road'!$F14,Assumptions!AO$3:AO$103)</f>
        <v>0</v>
      </c>
      <c r="I14" s="33">
        <f ca="1">SUMIFS(Assumptions!AP$3:AP$103,Assumptions!$G$3:$G$103,'non-road'!$F14,Assumptions!$B$3:$B$103,'non-road'!$D14)/SUMIF(Assumptions!$G$3:$G$103,'non-road'!$F14,Assumptions!AP$3:AP$103)</f>
        <v>0</v>
      </c>
      <c r="J14" s="33">
        <f ca="1">SUMIFS(Assumptions!AQ$3:AQ$103,Assumptions!$G$3:$G$103,'non-road'!$F14,Assumptions!$B$3:$B$103,'non-road'!$D14)/SUMIF(Assumptions!$G$3:$G$103,'non-road'!$F14,Assumptions!AQ$3:AQ$103)</f>
        <v>7.726840637654356E-5</v>
      </c>
      <c r="K14" s="33">
        <f ca="1">SUMIFS(Assumptions!AR$3:AR$103,Assumptions!$G$3:$G$103,'non-road'!$F14,Assumptions!$B$3:$B$103,'non-road'!$D14)/SUMIF(Assumptions!$G$3:$G$103,'non-road'!$F14,Assumptions!AR$3:AR$103)</f>
        <v>0</v>
      </c>
      <c r="L14" s="33">
        <f ca="1">SUMIFS(Assumptions!AS$3:AS$103,Assumptions!$G$3:$G$103,'non-road'!$F14,Assumptions!$B$3:$B$103,'non-road'!$D14)/SUMIF(Assumptions!$G$3:$G$103,'non-road'!$F14,Assumptions!AS$3:AS$103)</f>
        <v>2.6396490112787709E-5</v>
      </c>
      <c r="M14" s="33">
        <f ca="1">SUMIFS(Assumptions!AT$3:AT$103,Assumptions!$G$3:$G$103,'non-road'!$F14,Assumptions!$B$3:$B$103,'non-road'!$D14)/SUMIF(Assumptions!$G$3:$G$103,'non-road'!$F14,Assumptions!AT$3:AT$103)</f>
        <v>0</v>
      </c>
      <c r="N14" s="33">
        <f ca="1">SUMIFS(Assumptions!AU$3:AU$103,Assumptions!$G$3:$G$103,'non-road'!$F14,Assumptions!$B$3:$B$103,'non-road'!$D14)/SUMIF(Assumptions!$G$3:$G$103,'non-road'!$F14,Assumptions!AU$3:AU$103)</f>
        <v>0</v>
      </c>
      <c r="O14" s="33">
        <f ca="1">SUMIFS(Assumptions!AV$3:AV$103,Assumptions!$G$3:$G$103,'non-road'!$F14,Assumptions!$B$3:$B$103,'non-road'!$D14)/SUMIF(Assumptions!$G$3:$G$103,'non-road'!$F14,Assumptions!AV$3:AV$103)</f>
        <v>0</v>
      </c>
      <c r="P14" s="33">
        <f ca="1">SUMIFS(Assumptions!AW$3:AW$103,Assumptions!$G$3:$G$103,'non-road'!$F14,Assumptions!$B$3:$B$103,'non-road'!$D14)/SUMIF(Assumptions!$G$3:$G$103,'non-road'!$F14,Assumptions!AW$3:AW$103)</f>
        <v>0</v>
      </c>
      <c r="Q14" s="33">
        <f ca="1">SUMIFS(Assumptions!AX$3:AX$103,Assumptions!$G$3:$G$103,'non-road'!$F14,Assumptions!$B$3:$B$103,'non-road'!$D14)/SUMIF(Assumptions!$G$3:$G$103,'non-road'!$F14,Assumptions!AX$3:AX$103)</f>
        <v>0</v>
      </c>
      <c r="R14" s="33">
        <f ca="1">SUMIFS(Assumptions!AY$3:AY$103,Assumptions!$G$3:$G$103,'non-road'!$F14,Assumptions!$B$3:$B$103,'non-road'!$D14)/SUMIF(Assumptions!$G$3:$G$103,'non-road'!$F14,Assumptions!AY$3:AY$103)</f>
        <v>0</v>
      </c>
      <c r="S14" s="33">
        <f ca="1">SUMIFS(Assumptions!AZ$3:AZ$103,Assumptions!$G$3:$G$103,'non-road'!$F14,Assumptions!$B$3:$B$103,'non-road'!$D14)/SUMIF(Assumptions!$G$3:$G$103,'non-road'!$F14,Assumptions!AZ$3:AZ$103)</f>
        <v>0</v>
      </c>
      <c r="T14" s="33">
        <f ca="1">SUMIFS(Assumptions!BA$3:BA$103,Assumptions!$G$3:$G$103,'non-road'!$F14,Assumptions!$B$3:$B$103,'non-road'!$D14)/SUMIF(Assumptions!$G$3:$G$103,'non-road'!$F14,Assumptions!BA$3:BA$103)</f>
        <v>0</v>
      </c>
      <c r="U14" s="33">
        <f ca="1">SUMIFS(Assumptions!BB$3:BB$103,Assumptions!$G$3:$G$103,'non-road'!$F14,Assumptions!$B$3:$B$103,'non-road'!$D14)/SUMIF(Assumptions!$G$3:$G$103,'non-road'!$F14,Assumptions!BB$3:BB$103)</f>
        <v>0</v>
      </c>
      <c r="V14" s="33">
        <f ca="1">SUMIFS(Assumptions!BC$3:BC$103,Assumptions!$G$3:$G$103,'non-road'!$F14,Assumptions!$B$3:$B$103,'non-road'!$D14)/SUMIF(Assumptions!$G$3:$G$103,'non-road'!$F14,Assumptions!BC$3:BC$103)</f>
        <v>0</v>
      </c>
      <c r="W14" s="33">
        <f ca="1">SUMIFS(Assumptions!BD$3:BD$103,Assumptions!$G$3:$G$103,'non-road'!$F14,Assumptions!$B$3:$B$103,'non-road'!$D14)/SUMIF(Assumptions!$G$3:$G$103,'non-road'!$F14,Assumptions!BD$3:BD$103)</f>
        <v>0</v>
      </c>
      <c r="X14" s="33">
        <f ca="1">SUMIFS(Assumptions!BE$3:BE$103,Assumptions!$G$3:$G$103,'non-road'!$F14,Assumptions!$B$3:$B$103,'non-road'!$D14)/SUMIF(Assumptions!$G$3:$G$103,'non-road'!$F14,Assumptions!BE$3:BE$103)</f>
        <v>0</v>
      </c>
      <c r="Y14" s="33">
        <f ca="1">SUMIFS(Assumptions!BF$3:BF$103,Assumptions!$G$3:$G$103,'non-road'!$F14,Assumptions!$B$3:$B$103,'non-road'!$D14)/SUMIF(Assumptions!$G$3:$G$103,'non-road'!$F14,Assumptions!BF$3:BF$103)</f>
        <v>0</v>
      </c>
      <c r="Z14" s="33">
        <f ca="1">SUMIFS(Assumptions!BG$3:BG$103,Assumptions!$G$3:$G$103,'non-road'!$F14,Assumptions!$B$3:$B$103,'non-road'!$D14)/SUMIF(Assumptions!$G$3:$G$103,'non-road'!$F14,Assumptions!BG$3:BG$103)</f>
        <v>0</v>
      </c>
      <c r="AA14" s="33">
        <f ca="1">SUMIFS(Assumptions!BH$3:BH$103,Assumptions!$G$3:$G$103,'non-road'!$F14,Assumptions!$B$3:$B$103,'non-road'!$D14)/SUMIF(Assumptions!$G$3:$G$103,'non-road'!$F14,Assumptions!BH$3:BH$103)</f>
        <v>0</v>
      </c>
      <c r="AB14" s="33">
        <f ca="1">SUMIFS(Assumptions!BI$3:BI$103,Assumptions!$G$3:$G$103,'non-road'!$F14,Assumptions!$B$3:$B$103,'non-road'!$D14)/SUMIF(Assumptions!$G$3:$G$103,'non-road'!$F14,Assumptions!BI$3:BI$103)</f>
        <v>0</v>
      </c>
      <c r="AC14" s="33">
        <f ca="1">SUMIFS(Assumptions!BJ$3:BJ$103,Assumptions!$G$3:$G$103,'non-road'!$F14,Assumptions!$B$3:$B$103,'non-road'!$D14)/SUMIF(Assumptions!$G$3:$G$103,'non-road'!$F14,Assumptions!BJ$3:BJ$103)</f>
        <v>0</v>
      </c>
      <c r="AD14" s="33">
        <f ca="1">SUMIFS(Assumptions!BK$3:BK$103,Assumptions!$G$3:$G$103,'non-road'!$F14,Assumptions!$B$3:$B$103,'non-road'!$D14)/SUMIF(Assumptions!$G$3:$G$103,'non-road'!$F14,Assumptions!BK$3:BK$103)</f>
        <v>0</v>
      </c>
      <c r="AE14" s="33">
        <f ca="1">SUMIFS(Assumptions!BL$3:BL$103,Assumptions!$G$3:$G$103,'non-road'!$F14,Assumptions!$B$3:$B$103,'non-road'!$D14)/SUMIF(Assumptions!$G$3:$G$103,'non-road'!$F14,Assumptions!BL$3:BL$103)</f>
        <v>5.1487815674302207E-5</v>
      </c>
      <c r="AF14" s="33" t="e">
        <f ca="1">SUMIFS(Assumptions!BM$3:BM$103,Assumptions!$G$3:$G$103,'non-road'!$F14,Assumptions!$B$3:$B$103,'non-road'!$D14)/SUMIF(Assumptions!$G$3:$G$103,'non-road'!$F14,Assumptions!BM$3:BM$103)</f>
        <v>#DIV/0!</v>
      </c>
      <c r="AG14" s="33">
        <f ca="1">SUMIFS(Assumptions!BN$3:BN$103,Assumptions!$G$3:$G$103,'non-road'!$F14,Assumptions!$B$3:$B$103,'non-road'!$D14)/SUMIF(Assumptions!$G$3:$G$103,'non-road'!$F14,Assumptions!BN$3:BN$103)</f>
        <v>9.5950342348148074E-2</v>
      </c>
      <c r="AH14" s="33">
        <f ca="1">SUMIFS(Assumptions!BO$3:BO$103,Assumptions!$G$3:$G$103,'non-road'!$F14,Assumptions!$B$3:$B$103,'non-road'!$D14)/SUMIF(Assumptions!$G$3:$G$103,'non-road'!$F14,Assumptions!BO$3:BO$103)</f>
        <v>0</v>
      </c>
      <c r="AI14" s="33">
        <f ca="1">SUMIFS(Assumptions!BP$3:BP$103,Assumptions!$G$3:$G$103,'non-road'!$F14,Assumptions!$B$3:$B$103,'non-road'!$D14)/SUMIF(Assumptions!$G$3:$G$103,'non-road'!$F14,Assumptions!BP$3:BP$103)</f>
        <v>0</v>
      </c>
      <c r="AJ14" s="33" t="e">
        <f ca="1">SUMIFS(Assumptions!BQ$3:BQ$103,Assumptions!$G$3:$G$103,'non-road'!$F14,Assumptions!$B$3:$B$103,'non-road'!$D14)/SUMIF(Assumptions!$G$3:$G$103,'non-road'!$F14,Assumptions!BQ$3:BQ$103)</f>
        <v>#DIV/0!</v>
      </c>
      <c r="AK14" s="34"/>
      <c r="AL14" s="33"/>
      <c r="AM14" s="33"/>
      <c r="AN14" s="27" t="str">
        <f t="shared" si="40"/>
        <v>\I:</v>
      </c>
      <c r="AO14" s="33">
        <f>VLOOKUP($F14,Assumptions!$E$152:$AM$157,COLUMN()-COLUMN($AM$4),FALSE)</f>
        <v>1</v>
      </c>
      <c r="AP14" s="33">
        <f>VLOOKUP($F14,Assumptions!$E$152:$AM$157,COLUMN()-COLUMN($AM$4),FALSE)</f>
        <v>1</v>
      </c>
      <c r="AQ14" s="33">
        <f>VLOOKUP($F14,Assumptions!$E$152:$AM$157,COLUMN()-COLUMN($AM$4),FALSE)</f>
        <v>1</v>
      </c>
      <c r="AR14" s="33">
        <f>VLOOKUP($F14,Assumptions!$E$152:$AM$157,COLUMN()-COLUMN($AM$4),FALSE)</f>
        <v>1</v>
      </c>
      <c r="AS14" s="33">
        <f>VLOOKUP($F14,Assumptions!$E$152:$AM$157,COLUMN()-COLUMN($AM$4),FALSE)</f>
        <v>1</v>
      </c>
      <c r="AT14" s="33">
        <f>VLOOKUP($F14,Assumptions!$E$152:$AM$157,COLUMN()-COLUMN($AM$4),FALSE)</f>
        <v>1</v>
      </c>
      <c r="AU14" s="33">
        <f>VLOOKUP($F14,Assumptions!$E$152:$AM$157,COLUMN()-COLUMN($AM$4),FALSE)</f>
        <v>1</v>
      </c>
      <c r="AV14" s="33">
        <f>VLOOKUP($F14,Assumptions!$E$152:$AM$157,COLUMN()-COLUMN($AM$4),FALSE)</f>
        <v>1</v>
      </c>
      <c r="AW14" s="33">
        <f>VLOOKUP($F14,Assumptions!$E$152:$AM$157,COLUMN()-COLUMN($AM$4),FALSE)</f>
        <v>1</v>
      </c>
      <c r="AX14" s="33">
        <f>VLOOKUP($F14,Assumptions!$E$152:$AM$157,COLUMN()-COLUMN($AM$4),FALSE)</f>
        <v>1</v>
      </c>
      <c r="AY14" s="33">
        <f>VLOOKUP($F14,Assumptions!$E$152:$AM$157,COLUMN()-COLUMN($AM$4),FALSE)</f>
        <v>1</v>
      </c>
      <c r="AZ14" s="33">
        <f>VLOOKUP($F14,Assumptions!$E$152:$AM$157,COLUMN()-COLUMN($AM$4),FALSE)</f>
        <v>1</v>
      </c>
      <c r="BA14" s="33">
        <f>VLOOKUP($F14,Assumptions!$E$152:$AM$157,COLUMN()-COLUMN($AM$4),FALSE)</f>
        <v>1</v>
      </c>
      <c r="BB14" s="33">
        <f>VLOOKUP($F14,Assumptions!$E$152:$AM$157,COLUMN()-COLUMN($AM$4),FALSE)</f>
        <v>1</v>
      </c>
      <c r="BC14" s="33">
        <f>VLOOKUP($F14,Assumptions!$E$152:$AM$157,COLUMN()-COLUMN($AM$4),FALSE)</f>
        <v>1</v>
      </c>
      <c r="BD14" s="33">
        <f>VLOOKUP($F14,Assumptions!$E$152:$AM$157,COLUMN()-COLUMN($AM$4),FALSE)</f>
        <v>1</v>
      </c>
      <c r="BE14" s="33">
        <f>VLOOKUP($F14,Assumptions!$E$152:$AM$157,COLUMN()-COLUMN($AM$4),FALSE)</f>
        <v>1</v>
      </c>
      <c r="BF14" s="33">
        <f>VLOOKUP($F14,Assumptions!$E$152:$AM$157,COLUMN()-COLUMN($AM$4),FALSE)</f>
        <v>1</v>
      </c>
      <c r="BG14" s="33">
        <f>VLOOKUP($F14,Assumptions!$E$152:$AM$157,COLUMN()-COLUMN($AM$4),FALSE)</f>
        <v>1</v>
      </c>
      <c r="BH14" s="33">
        <f>VLOOKUP($F14,Assumptions!$E$152:$AM$157,COLUMN()-COLUMN($AM$4),FALSE)</f>
        <v>1</v>
      </c>
      <c r="BI14" s="33">
        <f>VLOOKUP($F14,Assumptions!$E$152:$AM$157,COLUMN()-COLUMN($AM$4),FALSE)</f>
        <v>1</v>
      </c>
      <c r="BJ14" s="33">
        <f>VLOOKUP($F14,Assumptions!$E$152:$AM$157,COLUMN()-COLUMN($AM$4),FALSE)</f>
        <v>1</v>
      </c>
      <c r="BK14" s="33">
        <f>VLOOKUP($F14,Assumptions!$E$152:$AM$157,COLUMN()-COLUMN($AM$4),FALSE)</f>
        <v>1</v>
      </c>
      <c r="BL14" s="33">
        <f>VLOOKUP($F14,Assumptions!$E$152:$AM$157,COLUMN()-COLUMN($AM$4),FALSE)</f>
        <v>1</v>
      </c>
      <c r="BM14" s="33">
        <f>VLOOKUP($F14,Assumptions!$E$152:$AM$157,COLUMN()-COLUMN($AM$4),FALSE)</f>
        <v>1</v>
      </c>
      <c r="BN14" s="33">
        <f>VLOOKUP($F14,Assumptions!$E$152:$AM$157,COLUMN()-COLUMN($AM$4),FALSE)</f>
        <v>1</v>
      </c>
      <c r="BO14" s="33">
        <f>VLOOKUP($F14,Assumptions!$E$152:$AM$157,COLUMN()-COLUMN($AM$4),FALSE)</f>
        <v>1</v>
      </c>
      <c r="BP14" s="33">
        <f>VLOOKUP($F14,Assumptions!$E$152:$AM$157,COLUMN()-COLUMN($AM$4),FALSE)</f>
        <v>1</v>
      </c>
      <c r="BQ14" s="33">
        <f>VLOOKUP($F14,Assumptions!$E$152:$AM$157,COLUMN()-COLUMN($AM$4),FALSE)</f>
        <v>1</v>
      </c>
      <c r="BR14" s="33">
        <f>VLOOKUP($F14,Assumptions!$E$152:$AM$157,COLUMN()-COLUMN($AM$4),FALSE)</f>
        <v>1</v>
      </c>
      <c r="BS14" s="27"/>
      <c r="BT14" s="27"/>
      <c r="BU14" s="27" t="str">
        <f t="shared" si="41"/>
        <v>TAI</v>
      </c>
      <c r="BV14" s="33">
        <f t="shared" ref="BV14:CY14" si="44">IFERROR(BV5/BV$20,"")</f>
        <v>4.9112771653997432E-2</v>
      </c>
      <c r="BW14" s="33">
        <f t="shared" si="44"/>
        <v>6.9000359078748019E-2</v>
      </c>
      <c r="BX14" s="33">
        <f t="shared" si="44"/>
        <v>7.8787339401700143E-2</v>
      </c>
      <c r="BY14" s="33">
        <f t="shared" si="44"/>
        <v>6.8520667801610216E-2</v>
      </c>
      <c r="BZ14" s="33">
        <f t="shared" si="44"/>
        <v>8.5463257249374855E-2</v>
      </c>
      <c r="CA14" s="33">
        <f t="shared" si="44"/>
        <v>0.10437140898108477</v>
      </c>
      <c r="CB14" s="33">
        <f t="shared" si="44"/>
        <v>0.23906040585784522</v>
      </c>
      <c r="CC14" s="33">
        <f t="shared" si="44"/>
        <v>3.7228926404861779E-2</v>
      </c>
      <c r="CD14" s="33">
        <f t="shared" si="44"/>
        <v>2.2659002453008587E-2</v>
      </c>
      <c r="CE14" s="33">
        <f t="shared" si="44"/>
        <v>3.4061122520787447E-2</v>
      </c>
      <c r="CF14" s="33">
        <f t="shared" si="44"/>
        <v>0.14095633770057134</v>
      </c>
      <c r="CG14" s="33">
        <f t="shared" si="44"/>
        <v>6.3348148655675438E-2</v>
      </c>
      <c r="CH14" s="33">
        <f t="shared" si="44"/>
        <v>0.2016899440664229</v>
      </c>
      <c r="CI14" s="33">
        <f t="shared" si="44"/>
        <v>0.11573352307150861</v>
      </c>
      <c r="CJ14" s="33">
        <f t="shared" si="44"/>
        <v>4.6755972269589628E-2</v>
      </c>
      <c r="CK14" s="33">
        <f t="shared" si="44"/>
        <v>0.15745837465291995</v>
      </c>
      <c r="CL14" s="33">
        <f t="shared" si="44"/>
        <v>0.10626031874466635</v>
      </c>
      <c r="CM14" s="33">
        <f t="shared" si="44"/>
        <v>0.11240510082477356</v>
      </c>
      <c r="CN14" s="33">
        <f t="shared" si="44"/>
        <v>0.12733932562649708</v>
      </c>
      <c r="CO14" s="33">
        <f t="shared" si="44"/>
        <v>2.1258749895173127E-2</v>
      </c>
      <c r="CP14" s="33">
        <f t="shared" si="44"/>
        <v>9.0780812765368507E-2</v>
      </c>
      <c r="CQ14" s="33">
        <f t="shared" si="44"/>
        <v>9.9140792966862831E-2</v>
      </c>
      <c r="CR14" s="33">
        <f t="shared" si="44"/>
        <v>0.19571015882062259</v>
      </c>
      <c r="CS14" s="33">
        <f t="shared" si="44"/>
        <v>0.12791906492115965</v>
      </c>
      <c r="CT14" s="33">
        <f t="shared" si="44"/>
        <v>0.10607312982693332</v>
      </c>
      <c r="CU14" s="33">
        <f t="shared" si="44"/>
        <v>8.9379924313929257E-2</v>
      </c>
      <c r="CV14" s="33">
        <f t="shared" si="44"/>
        <v>7.3620509173361964E-2</v>
      </c>
      <c r="CW14" s="33">
        <f t="shared" si="44"/>
        <v>0.2086977485724496</v>
      </c>
      <c r="CX14" s="33">
        <f t="shared" si="44"/>
        <v>6.4240717593855051E-2</v>
      </c>
      <c r="CY14" s="33" t="str">
        <f t="shared" si="44"/>
        <v/>
      </c>
      <c r="CZ14" s="27"/>
      <c r="DA14" s="27" t="str">
        <f t="shared" si="33"/>
        <v>\I:</v>
      </c>
      <c r="DB14" s="27" t="str">
        <f t="shared" si="36"/>
        <v/>
      </c>
      <c r="DC14" s="27" t="s">
        <v>169</v>
      </c>
      <c r="DD14" s="27" t="s">
        <v>160</v>
      </c>
      <c r="DE14" s="27" t="s">
        <v>161</v>
      </c>
      <c r="DF14" s="27"/>
      <c r="DG14" s="27"/>
      <c r="DH14" s="27"/>
    </row>
    <row r="15" spans="1:112" x14ac:dyDescent="0.45">
      <c r="A15" s="27" t="s">
        <v>10</v>
      </c>
      <c r="B15" s="27"/>
      <c r="C15" s="27" t="str">
        <f t="shared" si="39"/>
        <v/>
      </c>
      <c r="D15" s="27" t="s">
        <v>39</v>
      </c>
      <c r="E15" s="27"/>
      <c r="F15" s="27" t="s">
        <v>57</v>
      </c>
      <c r="G15" s="33">
        <f ca="1">SUMIFS(Assumptions!AN$3:AN$103,Assumptions!$G$3:$G$103,'non-road'!$F15,Assumptions!$B$3:$B$103,'non-road'!$D15)/SUMIF(Assumptions!$G$3:$G$103,'non-road'!$F15,Assumptions!AN$3:AN$103)</f>
        <v>0</v>
      </c>
      <c r="H15" s="33">
        <f ca="1">SUMIFS(Assumptions!AO$3:AO$103,Assumptions!$G$3:$G$103,'non-road'!$F15,Assumptions!$B$3:$B$103,'non-road'!$D15)/SUMIF(Assumptions!$G$3:$G$103,'non-road'!$F15,Assumptions!AO$3:AO$103)</f>
        <v>0</v>
      </c>
      <c r="I15" s="33">
        <f ca="1">SUMIFS(Assumptions!AP$3:AP$103,Assumptions!$G$3:$G$103,'non-road'!$F15,Assumptions!$B$3:$B$103,'non-road'!$D15)/SUMIF(Assumptions!$G$3:$G$103,'non-road'!$F15,Assumptions!AP$3:AP$103)</f>
        <v>0</v>
      </c>
      <c r="J15" s="33">
        <f ca="1">SUMIFS(Assumptions!AQ$3:AQ$103,Assumptions!$G$3:$G$103,'non-road'!$F15,Assumptions!$B$3:$B$103,'non-road'!$D15)/SUMIF(Assumptions!$G$3:$G$103,'non-road'!$F15,Assumptions!AQ$3:AQ$103)</f>
        <v>0</v>
      </c>
      <c r="K15" s="33">
        <f ca="1">SUMIFS(Assumptions!AR$3:AR$103,Assumptions!$G$3:$G$103,'non-road'!$F15,Assumptions!$B$3:$B$103,'non-road'!$D15)/SUMIF(Assumptions!$G$3:$G$103,'non-road'!$F15,Assumptions!AR$3:AR$103)</f>
        <v>0</v>
      </c>
      <c r="L15" s="33">
        <f ca="1">SUMIFS(Assumptions!AS$3:AS$103,Assumptions!$G$3:$G$103,'non-road'!$F15,Assumptions!$B$3:$B$103,'non-road'!$D15)/SUMIF(Assumptions!$G$3:$G$103,'non-road'!$F15,Assumptions!AS$3:AS$103)</f>
        <v>0</v>
      </c>
      <c r="M15" s="33">
        <f ca="1">SUMIFS(Assumptions!AT$3:AT$103,Assumptions!$G$3:$G$103,'non-road'!$F15,Assumptions!$B$3:$B$103,'non-road'!$D15)/SUMIF(Assumptions!$G$3:$G$103,'non-road'!$F15,Assumptions!AT$3:AT$103)</f>
        <v>0</v>
      </c>
      <c r="N15" s="33">
        <f ca="1">SUMIFS(Assumptions!AU$3:AU$103,Assumptions!$G$3:$G$103,'non-road'!$F15,Assumptions!$B$3:$B$103,'non-road'!$D15)/SUMIF(Assumptions!$G$3:$G$103,'non-road'!$F15,Assumptions!AU$3:AU$103)</f>
        <v>0</v>
      </c>
      <c r="O15" s="33">
        <f ca="1">SUMIFS(Assumptions!AV$3:AV$103,Assumptions!$G$3:$G$103,'non-road'!$F15,Assumptions!$B$3:$B$103,'non-road'!$D15)/SUMIF(Assumptions!$G$3:$G$103,'non-road'!$F15,Assumptions!AV$3:AV$103)</f>
        <v>0</v>
      </c>
      <c r="P15" s="33">
        <f ca="1">SUMIFS(Assumptions!AW$3:AW$103,Assumptions!$G$3:$G$103,'non-road'!$F15,Assumptions!$B$3:$B$103,'non-road'!$D15)/SUMIF(Assumptions!$G$3:$G$103,'non-road'!$F15,Assumptions!AW$3:AW$103)</f>
        <v>0</v>
      </c>
      <c r="Q15" s="33">
        <f ca="1">SUMIFS(Assumptions!AX$3:AX$103,Assumptions!$G$3:$G$103,'non-road'!$F15,Assumptions!$B$3:$B$103,'non-road'!$D15)/SUMIF(Assumptions!$G$3:$G$103,'non-road'!$F15,Assumptions!AX$3:AX$103)</f>
        <v>0</v>
      </c>
      <c r="R15" s="33">
        <f ca="1">SUMIFS(Assumptions!AY$3:AY$103,Assumptions!$G$3:$G$103,'non-road'!$F15,Assumptions!$B$3:$B$103,'non-road'!$D15)/SUMIF(Assumptions!$G$3:$G$103,'non-road'!$F15,Assumptions!AY$3:AY$103)</f>
        <v>0</v>
      </c>
      <c r="S15" s="33">
        <f ca="1">SUMIFS(Assumptions!AZ$3:AZ$103,Assumptions!$G$3:$G$103,'non-road'!$F15,Assumptions!$B$3:$B$103,'non-road'!$D15)/SUMIF(Assumptions!$G$3:$G$103,'non-road'!$F15,Assumptions!AZ$3:AZ$103)</f>
        <v>0</v>
      </c>
      <c r="T15" s="33">
        <f ca="1">SUMIFS(Assumptions!BA$3:BA$103,Assumptions!$G$3:$G$103,'non-road'!$F15,Assumptions!$B$3:$B$103,'non-road'!$D15)/SUMIF(Assumptions!$G$3:$G$103,'non-road'!$F15,Assumptions!BA$3:BA$103)</f>
        <v>0</v>
      </c>
      <c r="U15" s="33">
        <f ca="1">SUMIFS(Assumptions!BB$3:BB$103,Assumptions!$G$3:$G$103,'non-road'!$F15,Assumptions!$B$3:$B$103,'non-road'!$D15)/SUMIF(Assumptions!$G$3:$G$103,'non-road'!$F15,Assumptions!BB$3:BB$103)</f>
        <v>0</v>
      </c>
      <c r="V15" s="33">
        <f ca="1">SUMIFS(Assumptions!BC$3:BC$103,Assumptions!$G$3:$G$103,'non-road'!$F15,Assumptions!$B$3:$B$103,'non-road'!$D15)/SUMIF(Assumptions!$G$3:$G$103,'non-road'!$F15,Assumptions!BC$3:BC$103)</f>
        <v>0</v>
      </c>
      <c r="W15" s="33">
        <f ca="1">SUMIFS(Assumptions!BD$3:BD$103,Assumptions!$G$3:$G$103,'non-road'!$F15,Assumptions!$B$3:$B$103,'non-road'!$D15)/SUMIF(Assumptions!$G$3:$G$103,'non-road'!$F15,Assumptions!BD$3:BD$103)</f>
        <v>0</v>
      </c>
      <c r="X15" s="33">
        <f ca="1">SUMIFS(Assumptions!BE$3:BE$103,Assumptions!$G$3:$G$103,'non-road'!$F15,Assumptions!$B$3:$B$103,'non-road'!$D15)/SUMIF(Assumptions!$G$3:$G$103,'non-road'!$F15,Assumptions!BE$3:BE$103)</f>
        <v>0</v>
      </c>
      <c r="Y15" s="33">
        <f ca="1">SUMIFS(Assumptions!BF$3:BF$103,Assumptions!$G$3:$G$103,'non-road'!$F15,Assumptions!$B$3:$B$103,'non-road'!$D15)/SUMIF(Assumptions!$G$3:$G$103,'non-road'!$F15,Assumptions!BF$3:BF$103)</f>
        <v>0</v>
      </c>
      <c r="Z15" s="33">
        <f ca="1">SUMIFS(Assumptions!BG$3:BG$103,Assumptions!$G$3:$G$103,'non-road'!$F15,Assumptions!$B$3:$B$103,'non-road'!$D15)/SUMIF(Assumptions!$G$3:$G$103,'non-road'!$F15,Assumptions!BG$3:BG$103)</f>
        <v>0</v>
      </c>
      <c r="AA15" s="33">
        <f ca="1">SUMIFS(Assumptions!BH$3:BH$103,Assumptions!$G$3:$G$103,'non-road'!$F15,Assumptions!$B$3:$B$103,'non-road'!$D15)/SUMIF(Assumptions!$G$3:$G$103,'non-road'!$F15,Assumptions!BH$3:BH$103)</f>
        <v>0</v>
      </c>
      <c r="AB15" s="33">
        <f ca="1">SUMIFS(Assumptions!BI$3:BI$103,Assumptions!$G$3:$G$103,'non-road'!$F15,Assumptions!$B$3:$B$103,'non-road'!$D15)/SUMIF(Assumptions!$G$3:$G$103,'non-road'!$F15,Assumptions!BI$3:BI$103)</f>
        <v>0</v>
      </c>
      <c r="AC15" s="33">
        <f ca="1">SUMIFS(Assumptions!BJ$3:BJ$103,Assumptions!$G$3:$G$103,'non-road'!$F15,Assumptions!$B$3:$B$103,'non-road'!$D15)/SUMIF(Assumptions!$G$3:$G$103,'non-road'!$F15,Assumptions!BJ$3:BJ$103)</f>
        <v>0</v>
      </c>
      <c r="AD15" s="33">
        <f ca="1">SUMIFS(Assumptions!BK$3:BK$103,Assumptions!$G$3:$G$103,'non-road'!$F15,Assumptions!$B$3:$B$103,'non-road'!$D15)/SUMIF(Assumptions!$G$3:$G$103,'non-road'!$F15,Assumptions!BK$3:BK$103)</f>
        <v>0</v>
      </c>
      <c r="AE15" s="33">
        <f ca="1">SUMIFS(Assumptions!BL$3:BL$103,Assumptions!$G$3:$G$103,'non-road'!$F15,Assumptions!$B$3:$B$103,'non-road'!$D15)/SUMIF(Assumptions!$G$3:$G$103,'non-road'!$F15,Assumptions!BL$3:BL$103)</f>
        <v>0</v>
      </c>
      <c r="AF15" s="33" t="e">
        <f ca="1">SUMIFS(Assumptions!BM$3:BM$103,Assumptions!$G$3:$G$103,'non-road'!$F15,Assumptions!$B$3:$B$103,'non-road'!$D15)/SUMIF(Assumptions!$G$3:$G$103,'non-road'!$F15,Assumptions!BM$3:BM$103)</f>
        <v>#DIV/0!</v>
      </c>
      <c r="AG15" s="33">
        <f ca="1">SUMIFS(Assumptions!BN$3:BN$103,Assumptions!$G$3:$G$103,'non-road'!$F15,Assumptions!$B$3:$B$103,'non-road'!$D15)/SUMIF(Assumptions!$G$3:$G$103,'non-road'!$F15,Assumptions!BN$3:BN$103)</f>
        <v>0</v>
      </c>
      <c r="AH15" s="33">
        <f ca="1">SUMIFS(Assumptions!BO$3:BO$103,Assumptions!$G$3:$G$103,'non-road'!$F15,Assumptions!$B$3:$B$103,'non-road'!$D15)/SUMIF(Assumptions!$G$3:$G$103,'non-road'!$F15,Assumptions!BO$3:BO$103)</f>
        <v>0</v>
      </c>
      <c r="AI15" s="33">
        <f ca="1">SUMIFS(Assumptions!BP$3:BP$103,Assumptions!$G$3:$G$103,'non-road'!$F15,Assumptions!$B$3:$B$103,'non-road'!$D15)/SUMIF(Assumptions!$G$3:$G$103,'non-road'!$F15,Assumptions!BP$3:BP$103)</f>
        <v>0</v>
      </c>
      <c r="AJ15" s="33" t="e">
        <f ca="1">SUMIFS(Assumptions!BQ$3:BQ$103,Assumptions!$G$3:$G$103,'non-road'!$F15,Assumptions!$B$3:$B$103,'non-road'!$D15)/SUMIF(Assumptions!$G$3:$G$103,'non-road'!$F15,Assumptions!BQ$3:BQ$103)</f>
        <v>#DIV/0!</v>
      </c>
      <c r="AK15" s="34"/>
      <c r="AL15" s="33"/>
      <c r="AM15" s="33"/>
      <c r="AN15" s="27" t="str">
        <f t="shared" si="40"/>
        <v>\I:</v>
      </c>
      <c r="AO15" s="33">
        <f>VLOOKUP($F15,Assumptions!$E$152:$AM$157,COLUMN()-COLUMN($AM$4),FALSE)</f>
        <v>1</v>
      </c>
      <c r="AP15" s="33">
        <f>VLOOKUP($F15,Assumptions!$E$152:$AM$157,COLUMN()-COLUMN($AM$4),FALSE)</f>
        <v>1</v>
      </c>
      <c r="AQ15" s="33">
        <f>VLOOKUP($F15,Assumptions!$E$152:$AM$157,COLUMN()-COLUMN($AM$4),FALSE)</f>
        <v>1</v>
      </c>
      <c r="AR15" s="33">
        <f>VLOOKUP($F15,Assumptions!$E$152:$AM$157,COLUMN()-COLUMN($AM$4),FALSE)</f>
        <v>1</v>
      </c>
      <c r="AS15" s="33">
        <f>VLOOKUP($F15,Assumptions!$E$152:$AM$157,COLUMN()-COLUMN($AM$4),FALSE)</f>
        <v>1</v>
      </c>
      <c r="AT15" s="33">
        <f>VLOOKUP($F15,Assumptions!$E$152:$AM$157,COLUMN()-COLUMN($AM$4),FALSE)</f>
        <v>1</v>
      </c>
      <c r="AU15" s="33">
        <f>VLOOKUP($F15,Assumptions!$E$152:$AM$157,COLUMN()-COLUMN($AM$4),FALSE)</f>
        <v>1</v>
      </c>
      <c r="AV15" s="33">
        <f>VLOOKUP($F15,Assumptions!$E$152:$AM$157,COLUMN()-COLUMN($AM$4),FALSE)</f>
        <v>1</v>
      </c>
      <c r="AW15" s="33">
        <f>VLOOKUP($F15,Assumptions!$E$152:$AM$157,COLUMN()-COLUMN($AM$4),FALSE)</f>
        <v>1</v>
      </c>
      <c r="AX15" s="33">
        <f>VLOOKUP($F15,Assumptions!$E$152:$AM$157,COLUMN()-COLUMN($AM$4),FALSE)</f>
        <v>1</v>
      </c>
      <c r="AY15" s="33">
        <f>VLOOKUP($F15,Assumptions!$E$152:$AM$157,COLUMN()-COLUMN($AM$4),FALSE)</f>
        <v>1</v>
      </c>
      <c r="AZ15" s="33">
        <f>VLOOKUP($F15,Assumptions!$E$152:$AM$157,COLUMN()-COLUMN($AM$4),FALSE)</f>
        <v>1</v>
      </c>
      <c r="BA15" s="33">
        <f>VLOOKUP($F15,Assumptions!$E$152:$AM$157,COLUMN()-COLUMN($AM$4),FALSE)</f>
        <v>1</v>
      </c>
      <c r="BB15" s="33">
        <f>VLOOKUP($F15,Assumptions!$E$152:$AM$157,COLUMN()-COLUMN($AM$4),FALSE)</f>
        <v>1</v>
      </c>
      <c r="BC15" s="33">
        <f>VLOOKUP($F15,Assumptions!$E$152:$AM$157,COLUMN()-COLUMN($AM$4),FALSE)</f>
        <v>1</v>
      </c>
      <c r="BD15" s="33">
        <f>VLOOKUP($F15,Assumptions!$E$152:$AM$157,COLUMN()-COLUMN($AM$4),FALSE)</f>
        <v>1</v>
      </c>
      <c r="BE15" s="33">
        <f>VLOOKUP($F15,Assumptions!$E$152:$AM$157,COLUMN()-COLUMN($AM$4),FALSE)</f>
        <v>1</v>
      </c>
      <c r="BF15" s="33">
        <f>VLOOKUP($F15,Assumptions!$E$152:$AM$157,COLUMN()-COLUMN($AM$4),FALSE)</f>
        <v>1</v>
      </c>
      <c r="BG15" s="33">
        <f>VLOOKUP($F15,Assumptions!$E$152:$AM$157,COLUMN()-COLUMN($AM$4),FALSE)</f>
        <v>1</v>
      </c>
      <c r="BH15" s="33">
        <f>VLOOKUP($F15,Assumptions!$E$152:$AM$157,COLUMN()-COLUMN($AM$4),FALSE)</f>
        <v>1</v>
      </c>
      <c r="BI15" s="33">
        <f>VLOOKUP($F15,Assumptions!$E$152:$AM$157,COLUMN()-COLUMN($AM$4),FALSE)</f>
        <v>1</v>
      </c>
      <c r="BJ15" s="33">
        <f>VLOOKUP($F15,Assumptions!$E$152:$AM$157,COLUMN()-COLUMN($AM$4),FALSE)</f>
        <v>1</v>
      </c>
      <c r="BK15" s="33">
        <f>VLOOKUP($F15,Assumptions!$E$152:$AM$157,COLUMN()-COLUMN($AM$4),FALSE)</f>
        <v>1</v>
      </c>
      <c r="BL15" s="33">
        <f>VLOOKUP($F15,Assumptions!$E$152:$AM$157,COLUMN()-COLUMN($AM$4),FALSE)</f>
        <v>1</v>
      </c>
      <c r="BM15" s="33">
        <f>VLOOKUP($F15,Assumptions!$E$152:$AM$157,COLUMN()-COLUMN($AM$4),FALSE)</f>
        <v>1</v>
      </c>
      <c r="BN15" s="33">
        <f>VLOOKUP($F15,Assumptions!$E$152:$AM$157,COLUMN()-COLUMN($AM$4),FALSE)</f>
        <v>1</v>
      </c>
      <c r="BO15" s="33">
        <f>VLOOKUP($F15,Assumptions!$E$152:$AM$157,COLUMN()-COLUMN($AM$4),FALSE)</f>
        <v>1</v>
      </c>
      <c r="BP15" s="33">
        <f>VLOOKUP($F15,Assumptions!$E$152:$AM$157,COLUMN()-COLUMN($AM$4),FALSE)</f>
        <v>1</v>
      </c>
      <c r="BQ15" s="33">
        <f>VLOOKUP($F15,Assumptions!$E$152:$AM$157,COLUMN()-COLUMN($AM$4),FALSE)</f>
        <v>1</v>
      </c>
      <c r="BR15" s="33">
        <f>VLOOKUP($F15,Assumptions!$E$152:$AM$157,COLUMN()-COLUMN($AM$4),FALSE)</f>
        <v>1</v>
      </c>
      <c r="BS15" s="27"/>
      <c r="BT15" s="27"/>
      <c r="BU15" s="27" t="str">
        <f t="shared" si="41"/>
        <v>TAD</v>
      </c>
      <c r="BV15" s="33">
        <f t="shared" ref="BV15:CY15" si="45">IFERROR(BV6/BV$20,"")</f>
        <v>1.4321477933521417E-2</v>
      </c>
      <c r="BW15" s="33">
        <f t="shared" si="45"/>
        <v>8.1439159390432839E-3</v>
      </c>
      <c r="BX15" s="33">
        <f t="shared" si="45"/>
        <v>5.1797220900109332E-2</v>
      </c>
      <c r="BY15" s="33">
        <f t="shared" si="45"/>
        <v>2.5410507662765636E-2</v>
      </c>
      <c r="BZ15" s="33">
        <f t="shared" si="45"/>
        <v>3.0598953005228462E-2</v>
      </c>
      <c r="CA15" s="33">
        <f t="shared" si="45"/>
        <v>2.6483956948420095E-2</v>
      </c>
      <c r="CB15" s="33">
        <f t="shared" si="45"/>
        <v>0.1241412764531931</v>
      </c>
      <c r="CC15" s="33">
        <f t="shared" si="45"/>
        <v>5.1439554916273084E-2</v>
      </c>
      <c r="CD15" s="33">
        <f t="shared" si="45"/>
        <v>0.18293660026625316</v>
      </c>
      <c r="CE15" s="33">
        <f t="shared" si="45"/>
        <v>5.2626049760460987E-2</v>
      </c>
      <c r="CF15" s="33">
        <f t="shared" si="45"/>
        <v>1.3149315054934324E-2</v>
      </c>
      <c r="CG15" s="33">
        <f t="shared" si="45"/>
        <v>2.5611041709617949E-3</v>
      </c>
      <c r="CH15" s="33">
        <f t="shared" si="45"/>
        <v>5.2542040778896814E-4</v>
      </c>
      <c r="CI15" s="33">
        <f t="shared" si="45"/>
        <v>2.3526433749259671E-2</v>
      </c>
      <c r="CJ15" s="33">
        <f t="shared" si="45"/>
        <v>4.5522002189242921E-3</v>
      </c>
      <c r="CK15" s="33">
        <f t="shared" si="45"/>
        <v>6.2855427742484912E-2</v>
      </c>
      <c r="CL15" s="33">
        <f t="shared" si="45"/>
        <v>2.2748142190261049E-2</v>
      </c>
      <c r="CM15" s="33">
        <f t="shared" si="45"/>
        <v>2.9306271230810924E-2</v>
      </c>
      <c r="CN15" s="33">
        <f t="shared" si="45"/>
        <v>9.5542709141690774E-3</v>
      </c>
      <c r="CO15" s="33">
        <f t="shared" si="45"/>
        <v>2.1476427585603825E-2</v>
      </c>
      <c r="CP15" s="33">
        <f t="shared" si="45"/>
        <v>1.4035069536553355E-2</v>
      </c>
      <c r="CQ15" s="33">
        <f t="shared" si="45"/>
        <v>3.0374551815055622E-4</v>
      </c>
      <c r="CR15" s="33">
        <f t="shared" si="45"/>
        <v>1.5445082704079403E-2</v>
      </c>
      <c r="CS15" s="33">
        <f t="shared" si="45"/>
        <v>5.3605984006904868E-2</v>
      </c>
      <c r="CT15" s="33">
        <f t="shared" si="45"/>
        <v>0.10609217152531517</v>
      </c>
      <c r="CU15" s="33">
        <f t="shared" si="45"/>
        <v>2.3847422448171784E-2</v>
      </c>
      <c r="CV15" s="33">
        <f t="shared" si="45"/>
        <v>8.4279778489386586E-2</v>
      </c>
      <c r="CW15" s="33">
        <f t="shared" si="45"/>
        <v>1.569710093928087E-2</v>
      </c>
      <c r="CX15" s="33">
        <f t="shared" si="45"/>
        <v>0.15123237333406031</v>
      </c>
      <c r="CY15" s="33" t="str">
        <f t="shared" si="45"/>
        <v/>
      </c>
      <c r="CZ15" s="27"/>
      <c r="DA15" s="27" t="str">
        <f t="shared" si="33"/>
        <v>\I:</v>
      </c>
      <c r="DB15" s="27" t="str">
        <f t="shared" si="36"/>
        <v/>
      </c>
      <c r="DC15" s="27" t="s">
        <v>169</v>
      </c>
      <c r="DD15" s="27" t="s">
        <v>160</v>
      </c>
      <c r="DE15" s="27" t="s">
        <v>161</v>
      </c>
      <c r="DF15" s="27"/>
      <c r="DG15" s="27"/>
      <c r="DH15" s="27"/>
    </row>
    <row r="16" spans="1:112" x14ac:dyDescent="0.45">
      <c r="A16" s="27" t="s">
        <v>30</v>
      </c>
      <c r="B16" s="27"/>
      <c r="C16" s="27" t="str">
        <f t="shared" si="39"/>
        <v/>
      </c>
      <c r="D16" s="27" t="s">
        <v>32</v>
      </c>
      <c r="E16" s="27" t="s">
        <v>399</v>
      </c>
      <c r="F16" s="27" t="s">
        <v>57</v>
      </c>
      <c r="G16" s="33">
        <f ca="1">SUMIFS(Assumptions!AN$3:AN$103,Assumptions!$G$3:$G$103,'non-road'!$F16,Assumptions!$B$3:$B$103,'non-road'!$D16)/SUMIF(Assumptions!$G$3:$G$103,'non-road'!$F16,Assumptions!AN$3:AN$103)</f>
        <v>0</v>
      </c>
      <c r="H16" s="33">
        <f ca="1">SUMIFS(Assumptions!AO$3:AO$103,Assumptions!$G$3:$G$103,'non-road'!$F16,Assumptions!$B$3:$B$103,'non-road'!$D16)/SUMIF(Assumptions!$G$3:$G$103,'non-road'!$F16,Assumptions!AO$3:AO$103)</f>
        <v>0</v>
      </c>
      <c r="I16" s="33">
        <f ca="1">SUMIFS(Assumptions!AP$3:AP$103,Assumptions!$G$3:$G$103,'non-road'!$F16,Assumptions!$B$3:$B$103,'non-road'!$D16)/SUMIF(Assumptions!$G$3:$G$103,'non-road'!$F16,Assumptions!AP$3:AP$103)</f>
        <v>0</v>
      </c>
      <c r="J16" s="33">
        <f ca="1">SUMIFS(Assumptions!AQ$3:AQ$103,Assumptions!$G$3:$G$103,'non-road'!$F16,Assumptions!$B$3:$B$103,'non-road'!$D16)/SUMIF(Assumptions!$G$3:$G$103,'non-road'!$F16,Assumptions!AQ$3:AQ$103)</f>
        <v>0</v>
      </c>
      <c r="K16" s="33">
        <f ca="1">SUMIFS(Assumptions!AR$3:AR$103,Assumptions!$G$3:$G$103,'non-road'!$F16,Assumptions!$B$3:$B$103,'non-road'!$D16)/SUMIF(Assumptions!$G$3:$G$103,'non-road'!$F16,Assumptions!AR$3:AR$103)</f>
        <v>0</v>
      </c>
      <c r="L16" s="33">
        <f ca="1">SUMIFS(Assumptions!AS$3:AS$103,Assumptions!$G$3:$G$103,'non-road'!$F16,Assumptions!$B$3:$B$103,'non-road'!$D16)/SUMIF(Assumptions!$G$3:$G$103,'non-road'!$F16,Assumptions!AS$3:AS$103)</f>
        <v>8.0581577321998987E-6</v>
      </c>
      <c r="M16" s="33">
        <f ca="1">SUMIFS(Assumptions!AT$3:AT$103,Assumptions!$G$3:$G$103,'non-road'!$F16,Assumptions!$B$3:$B$103,'non-road'!$D16)/SUMIF(Assumptions!$G$3:$G$103,'non-road'!$F16,Assumptions!AT$3:AT$103)</f>
        <v>0</v>
      </c>
      <c r="N16" s="33">
        <f ca="1">SUMIFS(Assumptions!AU$3:AU$103,Assumptions!$G$3:$G$103,'non-road'!$F16,Assumptions!$B$3:$B$103,'non-road'!$D16)/SUMIF(Assumptions!$G$3:$G$103,'non-road'!$F16,Assumptions!AU$3:AU$103)</f>
        <v>5.2499866383138694E-2</v>
      </c>
      <c r="O16" s="33">
        <f ca="1">SUMIFS(Assumptions!AV$3:AV$103,Assumptions!$G$3:$G$103,'non-road'!$F16,Assumptions!$B$3:$B$103,'non-road'!$D16)/SUMIF(Assumptions!$G$3:$G$103,'non-road'!$F16,Assumptions!AV$3:AV$103)</f>
        <v>0</v>
      </c>
      <c r="P16" s="33">
        <f ca="1">SUMIFS(Assumptions!AW$3:AW$103,Assumptions!$G$3:$G$103,'non-road'!$F16,Assumptions!$B$3:$B$103,'non-road'!$D16)/SUMIF(Assumptions!$G$3:$G$103,'non-road'!$F16,Assumptions!AW$3:AW$103)</f>
        <v>0</v>
      </c>
      <c r="Q16" s="33">
        <f ca="1">SUMIFS(Assumptions!AX$3:AX$103,Assumptions!$G$3:$G$103,'non-road'!$F16,Assumptions!$B$3:$B$103,'non-road'!$D16)/SUMIF(Assumptions!$G$3:$G$103,'non-road'!$F16,Assumptions!AX$3:AX$103)</f>
        <v>0</v>
      </c>
      <c r="R16" s="33">
        <f ca="1">SUMIFS(Assumptions!AY$3:AY$103,Assumptions!$G$3:$G$103,'non-road'!$F16,Assumptions!$B$3:$B$103,'non-road'!$D16)/SUMIF(Assumptions!$G$3:$G$103,'non-road'!$F16,Assumptions!AY$3:AY$103)</f>
        <v>1.562240049002517E-3</v>
      </c>
      <c r="S16" s="33">
        <f ca="1">SUMIFS(Assumptions!AZ$3:AZ$103,Assumptions!$G$3:$G$103,'non-road'!$F16,Assumptions!$B$3:$B$103,'non-road'!$D16)/SUMIF(Assumptions!$G$3:$G$103,'non-road'!$F16,Assumptions!AZ$3:AZ$103)</f>
        <v>5.4572725182589475E-4</v>
      </c>
      <c r="T16" s="33">
        <f ca="1">SUMIFS(Assumptions!BA$3:BA$103,Assumptions!$G$3:$G$103,'non-road'!$F16,Assumptions!$B$3:$B$103,'non-road'!$D16)/SUMIF(Assumptions!$G$3:$G$103,'non-road'!$F16,Assumptions!BA$3:BA$103)</f>
        <v>0</v>
      </c>
      <c r="U16" s="33">
        <f ca="1">SUMIFS(Assumptions!BB$3:BB$103,Assumptions!$G$3:$G$103,'non-road'!$F16,Assumptions!$B$3:$B$103,'non-road'!$D16)/SUMIF(Assumptions!$G$3:$G$103,'non-road'!$F16,Assumptions!BB$3:BB$103)</f>
        <v>0</v>
      </c>
      <c r="V16" s="33">
        <f ca="1">SUMIFS(Assumptions!BC$3:BC$103,Assumptions!$G$3:$G$103,'non-road'!$F16,Assumptions!$B$3:$B$103,'non-road'!$D16)/SUMIF(Assumptions!$G$3:$G$103,'non-road'!$F16,Assumptions!BC$3:BC$103)</f>
        <v>0</v>
      </c>
      <c r="W16" s="33">
        <f ca="1">SUMIFS(Assumptions!BD$3:BD$103,Assumptions!$G$3:$G$103,'non-road'!$F16,Assumptions!$B$3:$B$103,'non-road'!$D16)/SUMIF(Assumptions!$G$3:$G$103,'non-road'!$F16,Assumptions!BD$3:BD$103)</f>
        <v>9.820070509858526E-5</v>
      </c>
      <c r="X16" s="33">
        <f ca="1">SUMIFS(Assumptions!BE$3:BE$103,Assumptions!$G$3:$G$103,'non-road'!$F16,Assumptions!$B$3:$B$103,'non-road'!$D16)/SUMIF(Assumptions!$G$3:$G$103,'non-road'!$F16,Assumptions!BE$3:BE$103)</f>
        <v>1.102351298082127E-3</v>
      </c>
      <c r="Y16" s="33">
        <f ca="1">SUMIFS(Assumptions!BF$3:BF$103,Assumptions!$G$3:$G$103,'non-road'!$F16,Assumptions!$B$3:$B$103,'non-road'!$D16)/SUMIF(Assumptions!$G$3:$G$103,'non-road'!$F16,Assumptions!BF$3:BF$103)</f>
        <v>1.4237590240187062E-3</v>
      </c>
      <c r="Z16" s="33">
        <f ca="1">SUMIFS(Assumptions!BG$3:BG$103,Assumptions!$G$3:$G$103,'non-road'!$F16,Assumptions!$B$3:$B$103,'non-road'!$D16)/SUMIF(Assumptions!$G$3:$G$103,'non-road'!$F16,Assumptions!BG$3:BG$103)</f>
        <v>0</v>
      </c>
      <c r="AA16" s="33">
        <f ca="1">SUMIFS(Assumptions!BH$3:BH$103,Assumptions!$G$3:$G$103,'non-road'!$F16,Assumptions!$B$3:$B$103,'non-road'!$D16)/SUMIF(Assumptions!$G$3:$G$103,'non-road'!$F16,Assumptions!BH$3:BH$103)</f>
        <v>0</v>
      </c>
      <c r="AB16" s="33">
        <f ca="1">SUMIFS(Assumptions!BI$3:BI$103,Assumptions!$G$3:$G$103,'non-road'!$F16,Assumptions!$B$3:$B$103,'non-road'!$D16)/SUMIF(Assumptions!$G$3:$G$103,'non-road'!$F16,Assumptions!BI$3:BI$103)</f>
        <v>0</v>
      </c>
      <c r="AC16" s="33">
        <f ca="1">SUMIFS(Assumptions!BJ$3:BJ$103,Assumptions!$G$3:$G$103,'non-road'!$F16,Assumptions!$B$3:$B$103,'non-road'!$D16)/SUMIF(Assumptions!$G$3:$G$103,'non-road'!$F16,Assumptions!BJ$3:BJ$103)</f>
        <v>0</v>
      </c>
      <c r="AD16" s="33">
        <f ca="1">SUMIFS(Assumptions!BK$3:BK$103,Assumptions!$G$3:$G$103,'non-road'!$F16,Assumptions!$B$3:$B$103,'non-road'!$D16)/SUMIF(Assumptions!$G$3:$G$103,'non-road'!$F16,Assumptions!BK$3:BK$103)</f>
        <v>0</v>
      </c>
      <c r="AE16" s="33">
        <f ca="1">SUMIFS(Assumptions!BL$3:BL$103,Assumptions!$G$3:$G$103,'non-road'!$F16,Assumptions!$B$3:$B$103,'non-road'!$D16)/SUMIF(Assumptions!$G$3:$G$103,'non-road'!$F16,Assumptions!BL$3:BL$103)</f>
        <v>0</v>
      </c>
      <c r="AF16" s="33" t="e">
        <f ca="1">SUMIFS(Assumptions!BM$3:BM$103,Assumptions!$G$3:$G$103,'non-road'!$F16,Assumptions!$B$3:$B$103,'non-road'!$D16)/SUMIF(Assumptions!$G$3:$G$103,'non-road'!$F16,Assumptions!BM$3:BM$103)</f>
        <v>#DIV/0!</v>
      </c>
      <c r="AG16" s="33">
        <f ca="1">SUMIFS(Assumptions!BN$3:BN$103,Assumptions!$G$3:$G$103,'non-road'!$F16,Assumptions!$B$3:$B$103,'non-road'!$D16)/SUMIF(Assumptions!$G$3:$G$103,'non-road'!$F16,Assumptions!BN$3:BN$103)</f>
        <v>0</v>
      </c>
      <c r="AH16" s="33">
        <f ca="1">SUMIFS(Assumptions!BO$3:BO$103,Assumptions!$G$3:$G$103,'non-road'!$F16,Assumptions!$B$3:$B$103,'non-road'!$D16)/SUMIF(Assumptions!$G$3:$G$103,'non-road'!$F16,Assumptions!BO$3:BO$103)</f>
        <v>0</v>
      </c>
      <c r="AI16" s="33">
        <f ca="1">SUMIFS(Assumptions!BP$3:BP$103,Assumptions!$G$3:$G$103,'non-road'!$F16,Assumptions!$B$3:$B$103,'non-road'!$D16)/SUMIF(Assumptions!$G$3:$G$103,'non-road'!$F16,Assumptions!BP$3:BP$103)</f>
        <v>1.3818156818571029E-2</v>
      </c>
      <c r="AJ16" s="33" t="e">
        <f ca="1">SUMIFS(Assumptions!BQ$3:BQ$103,Assumptions!$G$3:$G$103,'non-road'!$F16,Assumptions!$B$3:$B$103,'non-road'!$D16)/SUMIF(Assumptions!$G$3:$G$103,'non-road'!$F16,Assumptions!BQ$3:BQ$103)</f>
        <v>#DIV/0!</v>
      </c>
      <c r="AK16" s="34"/>
      <c r="AL16" s="33"/>
      <c r="AM16" s="33"/>
      <c r="AN16" s="27" t="str">
        <f t="shared" si="40"/>
        <v>\I:</v>
      </c>
      <c r="AO16" s="33">
        <f>VLOOKUP($F16,Assumptions!$E$152:$AM$157,COLUMN()-COLUMN($AM$4),FALSE)</f>
        <v>1</v>
      </c>
      <c r="AP16" s="33">
        <f>VLOOKUP($F16,Assumptions!$E$152:$AM$157,COLUMN()-COLUMN($AM$4),FALSE)</f>
        <v>1</v>
      </c>
      <c r="AQ16" s="33">
        <f>VLOOKUP($F16,Assumptions!$E$152:$AM$157,COLUMN()-COLUMN($AM$4),FALSE)</f>
        <v>1</v>
      </c>
      <c r="AR16" s="33">
        <f>VLOOKUP($F16,Assumptions!$E$152:$AM$157,COLUMN()-COLUMN($AM$4),FALSE)</f>
        <v>1</v>
      </c>
      <c r="AS16" s="33">
        <f>VLOOKUP($F16,Assumptions!$E$152:$AM$157,COLUMN()-COLUMN($AM$4),FALSE)</f>
        <v>1</v>
      </c>
      <c r="AT16" s="33">
        <f>VLOOKUP($F16,Assumptions!$E$152:$AM$157,COLUMN()-COLUMN($AM$4),FALSE)</f>
        <v>1</v>
      </c>
      <c r="AU16" s="33">
        <f>VLOOKUP($F16,Assumptions!$E$152:$AM$157,COLUMN()-COLUMN($AM$4),FALSE)</f>
        <v>1</v>
      </c>
      <c r="AV16" s="33">
        <f>VLOOKUP($F16,Assumptions!$E$152:$AM$157,COLUMN()-COLUMN($AM$4),FALSE)</f>
        <v>1</v>
      </c>
      <c r="AW16" s="33">
        <f>VLOOKUP($F16,Assumptions!$E$152:$AM$157,COLUMN()-COLUMN($AM$4),FALSE)</f>
        <v>1</v>
      </c>
      <c r="AX16" s="33">
        <f>VLOOKUP($F16,Assumptions!$E$152:$AM$157,COLUMN()-COLUMN($AM$4),FALSE)</f>
        <v>1</v>
      </c>
      <c r="AY16" s="33">
        <f>VLOOKUP($F16,Assumptions!$E$152:$AM$157,COLUMN()-COLUMN($AM$4),FALSE)</f>
        <v>1</v>
      </c>
      <c r="AZ16" s="33">
        <f>VLOOKUP($F16,Assumptions!$E$152:$AM$157,COLUMN()-COLUMN($AM$4),FALSE)</f>
        <v>1</v>
      </c>
      <c r="BA16" s="33">
        <f>VLOOKUP($F16,Assumptions!$E$152:$AM$157,COLUMN()-COLUMN($AM$4),FALSE)</f>
        <v>1</v>
      </c>
      <c r="BB16" s="33">
        <f>VLOOKUP($F16,Assumptions!$E$152:$AM$157,COLUMN()-COLUMN($AM$4),FALSE)</f>
        <v>1</v>
      </c>
      <c r="BC16" s="33">
        <f>VLOOKUP($F16,Assumptions!$E$152:$AM$157,COLUMN()-COLUMN($AM$4),FALSE)</f>
        <v>1</v>
      </c>
      <c r="BD16" s="33">
        <f>VLOOKUP($F16,Assumptions!$E$152:$AM$157,COLUMN()-COLUMN($AM$4),FALSE)</f>
        <v>1</v>
      </c>
      <c r="BE16" s="33">
        <f>VLOOKUP($F16,Assumptions!$E$152:$AM$157,COLUMN()-COLUMN($AM$4),FALSE)</f>
        <v>1</v>
      </c>
      <c r="BF16" s="33">
        <f>VLOOKUP($F16,Assumptions!$E$152:$AM$157,COLUMN()-COLUMN($AM$4),FALSE)</f>
        <v>1</v>
      </c>
      <c r="BG16" s="33">
        <f>VLOOKUP($F16,Assumptions!$E$152:$AM$157,COLUMN()-COLUMN($AM$4),FALSE)</f>
        <v>1</v>
      </c>
      <c r="BH16" s="33">
        <f>VLOOKUP($F16,Assumptions!$E$152:$AM$157,COLUMN()-COLUMN($AM$4),FALSE)</f>
        <v>1</v>
      </c>
      <c r="BI16" s="33">
        <f>VLOOKUP($F16,Assumptions!$E$152:$AM$157,COLUMN()-COLUMN($AM$4),FALSE)</f>
        <v>1</v>
      </c>
      <c r="BJ16" s="33">
        <f>VLOOKUP($F16,Assumptions!$E$152:$AM$157,COLUMN()-COLUMN($AM$4),FALSE)</f>
        <v>1</v>
      </c>
      <c r="BK16" s="33">
        <f>VLOOKUP($F16,Assumptions!$E$152:$AM$157,COLUMN()-COLUMN($AM$4),FALSE)</f>
        <v>1</v>
      </c>
      <c r="BL16" s="33">
        <f>VLOOKUP($F16,Assumptions!$E$152:$AM$157,COLUMN()-COLUMN($AM$4),FALSE)</f>
        <v>1</v>
      </c>
      <c r="BM16" s="33">
        <f>VLOOKUP($F16,Assumptions!$E$152:$AM$157,COLUMN()-COLUMN($AM$4),FALSE)</f>
        <v>1</v>
      </c>
      <c r="BN16" s="33">
        <f>VLOOKUP($F16,Assumptions!$E$152:$AM$157,COLUMN()-COLUMN($AM$4),FALSE)</f>
        <v>1</v>
      </c>
      <c r="BO16" s="33">
        <f>VLOOKUP($F16,Assumptions!$E$152:$AM$157,COLUMN()-COLUMN($AM$4),FALSE)</f>
        <v>1</v>
      </c>
      <c r="BP16" s="33">
        <f>VLOOKUP($F16,Assumptions!$E$152:$AM$157,COLUMN()-COLUMN($AM$4),FALSE)</f>
        <v>1</v>
      </c>
      <c r="BQ16" s="33">
        <f>VLOOKUP($F16,Assumptions!$E$152:$AM$157,COLUMN()-COLUMN($AM$4),FALSE)</f>
        <v>1</v>
      </c>
      <c r="BR16" s="33">
        <f>VLOOKUP($F16,Assumptions!$E$152:$AM$157,COLUMN()-COLUMN($AM$4),FALSE)</f>
        <v>1</v>
      </c>
      <c r="BS16" s="27"/>
      <c r="BT16" s="27"/>
      <c r="BU16" s="27" t="str">
        <f t="shared" si="41"/>
        <v>TWD</v>
      </c>
      <c r="BV16" s="33">
        <f t="shared" ref="BV16:CY16" si="46">IFERROR(BV7/BV$20,"")</f>
        <v>5.9620609193796279E-3</v>
      </c>
      <c r="BW16" s="33">
        <f t="shared" si="46"/>
        <v>8.4608082777187284E-3</v>
      </c>
      <c r="BX16" s="33">
        <f t="shared" si="46"/>
        <v>2.670803191851932E-2</v>
      </c>
      <c r="BY16" s="33">
        <f t="shared" si="46"/>
        <v>1.3242575181192334E-3</v>
      </c>
      <c r="BZ16" s="33">
        <f t="shared" si="46"/>
        <v>2.318714660263696E-2</v>
      </c>
      <c r="CA16" s="33">
        <f t="shared" si="46"/>
        <v>2.4699206400081726E-2</v>
      </c>
      <c r="CB16" s="33">
        <f t="shared" si="46"/>
        <v>3.0233288716594618E-2</v>
      </c>
      <c r="CC16" s="33">
        <f t="shared" si="46"/>
        <v>1.9931350108663343E-2</v>
      </c>
      <c r="CD16" s="33">
        <f t="shared" si="46"/>
        <v>3.3455618671759765E-2</v>
      </c>
      <c r="CE16" s="33">
        <f t="shared" si="46"/>
        <v>4.6916772191823115E-2</v>
      </c>
      <c r="CF16" s="33">
        <f t="shared" si="46"/>
        <v>2.007771874700913E-2</v>
      </c>
      <c r="CG16" s="33">
        <f t="shared" si="46"/>
        <v>1.0417101177893069E-3</v>
      </c>
      <c r="CH16" s="33">
        <f t="shared" si="46"/>
        <v>1.425529220053745E-2</v>
      </c>
      <c r="CI16" s="33">
        <f t="shared" si="46"/>
        <v>2.6181919061330067E-2</v>
      </c>
      <c r="CJ16" s="33">
        <f t="shared" si="46"/>
        <v>5.1318460768617867E-3</v>
      </c>
      <c r="CK16" s="33">
        <f t="shared" si="46"/>
        <v>2.820636845168421E-2</v>
      </c>
      <c r="CL16" s="33">
        <f t="shared" si="46"/>
        <v>9.3484296137376372E-3</v>
      </c>
      <c r="CM16" s="33">
        <f t="shared" si="46"/>
        <v>9.1176261691342797E-3</v>
      </c>
      <c r="CN16" s="33">
        <f t="shared" si="46"/>
        <v>3.4940048343932617E-3</v>
      </c>
      <c r="CO16" s="33">
        <f t="shared" si="46"/>
        <v>7.7114300497481466E-3</v>
      </c>
      <c r="CP16" s="33">
        <f t="shared" si="46"/>
        <v>9.2983329067181548E-3</v>
      </c>
      <c r="CQ16" s="33">
        <f t="shared" si="46"/>
        <v>1.6143370613994245E-2</v>
      </c>
      <c r="CR16" s="33">
        <f t="shared" si="46"/>
        <v>0</v>
      </c>
      <c r="CS16" s="33">
        <f t="shared" si="46"/>
        <v>0.15178969295319131</v>
      </c>
      <c r="CT16" s="33">
        <f t="shared" si="46"/>
        <v>1.105811708344333E-2</v>
      </c>
      <c r="CU16" s="33">
        <f t="shared" si="46"/>
        <v>0</v>
      </c>
      <c r="CV16" s="33">
        <f t="shared" si="46"/>
        <v>1.7665361415888477E-2</v>
      </c>
      <c r="CW16" s="33">
        <f t="shared" si="46"/>
        <v>1.5719713842933577E-2</v>
      </c>
      <c r="CX16" s="33">
        <f t="shared" si="46"/>
        <v>2.1798987697329554E-2</v>
      </c>
      <c r="CY16" s="33" t="str">
        <f t="shared" si="46"/>
        <v/>
      </c>
      <c r="CZ16" s="27"/>
      <c r="DA16" s="27" t="str">
        <f t="shared" si="33"/>
        <v>\I:</v>
      </c>
      <c r="DB16" s="27" t="str">
        <f t="shared" si="36"/>
        <v/>
      </c>
      <c r="DC16" s="27" t="s">
        <v>169</v>
      </c>
      <c r="DD16" s="27" t="s">
        <v>160</v>
      </c>
      <c r="DE16" s="27" t="s">
        <v>161</v>
      </c>
      <c r="DF16" s="27"/>
      <c r="DG16" s="27"/>
      <c r="DH16" s="27"/>
    </row>
    <row r="17" spans="1:109" x14ac:dyDescent="0.45">
      <c r="A17" s="27" t="s">
        <v>27</v>
      </c>
      <c r="B17" s="27"/>
      <c r="C17" s="27" t="str">
        <f t="shared" si="39"/>
        <v/>
      </c>
      <c r="D17" s="27" t="s">
        <v>37</v>
      </c>
      <c r="E17" s="27" t="s">
        <v>399</v>
      </c>
      <c r="F17" s="27" t="s">
        <v>57</v>
      </c>
      <c r="G17" s="33">
        <f ca="1">SUMIFS(Assumptions!AN$3:AN$103,Assumptions!$G$3:$G$103,'non-road'!$F17,Assumptions!$B$3:$B$103,'non-road'!$D17)/SUMIF(Assumptions!$G$3:$G$103,'non-road'!$F17,Assumptions!AN$3:AN$103)</f>
        <v>0.72451719415014471</v>
      </c>
      <c r="H17" s="33">
        <f ca="1">SUMIFS(Assumptions!AO$3:AO$103,Assumptions!$G$3:$G$103,'non-road'!$F17,Assumptions!$B$3:$B$103,'non-road'!$D17)/SUMIF(Assumptions!$G$3:$G$103,'non-road'!$F17,Assumptions!AO$3:AO$103)</f>
        <v>2.7194193535636839E-2</v>
      </c>
      <c r="I17" s="33">
        <f ca="1">SUMIFS(Assumptions!AP$3:AP$103,Assumptions!$G$3:$G$103,'non-road'!$F17,Assumptions!$B$3:$B$103,'non-road'!$D17)/SUMIF(Assumptions!$G$3:$G$103,'non-road'!$F17,Assumptions!AP$3:AP$103)</f>
        <v>0.90199580807351087</v>
      </c>
      <c r="J17" s="33">
        <f ca="1">SUMIFS(Assumptions!AQ$3:AQ$103,Assumptions!$G$3:$G$103,'non-road'!$F17,Assumptions!$B$3:$B$103,'non-road'!$D17)/SUMIF(Assumptions!$G$3:$G$103,'non-road'!$F17,Assumptions!AQ$3:AQ$103)</f>
        <v>0.96665388072222347</v>
      </c>
      <c r="K17" s="33">
        <f ca="1">SUMIFS(Assumptions!AR$3:AR$103,Assumptions!$G$3:$G$103,'non-road'!$F17,Assumptions!$B$3:$B$103,'non-road'!$D17)/SUMIF(Assumptions!$G$3:$G$103,'non-road'!$F17,Assumptions!AR$3:AR$103)</f>
        <v>0.9078213168648418</v>
      </c>
      <c r="L17" s="33">
        <f ca="1">SUMIFS(Assumptions!AS$3:AS$103,Assumptions!$G$3:$G$103,'non-road'!$F17,Assumptions!$B$3:$B$103,'non-road'!$D17)/SUMIF(Assumptions!$G$3:$G$103,'non-road'!$F17,Assumptions!AS$3:AS$103)</f>
        <v>0.55919184013278989</v>
      </c>
      <c r="M17" s="33">
        <f ca="1">SUMIFS(Assumptions!AT$3:AT$103,Assumptions!$G$3:$G$103,'non-road'!$F17,Assumptions!$B$3:$B$103,'non-road'!$D17)/SUMIF(Assumptions!$G$3:$G$103,'non-road'!$F17,Assumptions!AT$3:AT$103)</f>
        <v>0.36057955073353076</v>
      </c>
      <c r="N17" s="33">
        <f ca="1">SUMIFS(Assumptions!AU$3:AU$103,Assumptions!$G$3:$G$103,'non-road'!$F17,Assumptions!$B$3:$B$103,'non-road'!$D17)/SUMIF(Assumptions!$G$3:$G$103,'non-road'!$F17,Assumptions!AU$3:AU$103)</f>
        <v>0.45999806430704282</v>
      </c>
      <c r="O17" s="33">
        <f ca="1">SUMIFS(Assumptions!AV$3:AV$103,Assumptions!$G$3:$G$103,'non-road'!$F17,Assumptions!$B$3:$B$103,'non-road'!$D17)/SUMIF(Assumptions!$G$3:$G$103,'non-road'!$F17,Assumptions!AV$3:AV$103)</f>
        <v>0</v>
      </c>
      <c r="P17" s="33">
        <f ca="1">SUMIFS(Assumptions!AW$3:AW$103,Assumptions!$G$3:$G$103,'non-road'!$F17,Assumptions!$B$3:$B$103,'non-road'!$D17)/SUMIF(Assumptions!$G$3:$G$103,'non-road'!$F17,Assumptions!AW$3:AW$103)</f>
        <v>0.86020117055505929</v>
      </c>
      <c r="Q17" s="33">
        <f ca="1">SUMIFS(Assumptions!AX$3:AX$103,Assumptions!$G$3:$G$103,'non-road'!$F17,Assumptions!$B$3:$B$103,'non-road'!$D17)/SUMIF(Assumptions!$G$3:$G$103,'non-road'!$F17,Assumptions!AX$3:AX$103)</f>
        <v>0.96678870509306924</v>
      </c>
      <c r="R17" s="33">
        <f ca="1">SUMIFS(Assumptions!AY$3:AY$103,Assumptions!$G$3:$G$103,'non-road'!$F17,Assumptions!$B$3:$B$103,'non-road'!$D17)/SUMIF(Assumptions!$G$3:$G$103,'non-road'!$F17,Assumptions!AY$3:AY$103)</f>
        <v>0.94707684605941722</v>
      </c>
      <c r="S17" s="33">
        <f ca="1">SUMIFS(Assumptions!AZ$3:AZ$103,Assumptions!$G$3:$G$103,'non-road'!$F17,Assumptions!$B$3:$B$103,'non-road'!$D17)/SUMIF(Assumptions!$G$3:$G$103,'non-road'!$F17,Assumptions!AZ$3:AZ$103)</f>
        <v>0.97162514827682578</v>
      </c>
      <c r="T17" s="33">
        <f ca="1">SUMIFS(Assumptions!BA$3:BA$103,Assumptions!$G$3:$G$103,'non-road'!$F17,Assumptions!$B$3:$B$103,'non-road'!$D17)/SUMIF(Assumptions!$G$3:$G$103,'non-road'!$F17,Assumptions!BA$3:BA$103)</f>
        <v>0.9890910972178717</v>
      </c>
      <c r="U17" s="33">
        <f ca="1">SUMIFS(Assumptions!BB$3:BB$103,Assumptions!$G$3:$G$103,'non-road'!$F17,Assumptions!$B$3:$B$103,'non-road'!$D17)/SUMIF(Assumptions!$G$3:$G$103,'non-road'!$F17,Assumptions!BB$3:BB$103)</f>
        <v>0.91866609411350686</v>
      </c>
      <c r="V17" s="33">
        <f ca="1">SUMIFS(Assumptions!BC$3:BC$103,Assumptions!$G$3:$G$103,'non-road'!$F17,Assumptions!$B$3:$B$103,'non-road'!$D17)/SUMIF(Assumptions!$G$3:$G$103,'non-road'!$F17,Assumptions!BC$3:BC$103)</f>
        <v>0.97355620116298691</v>
      </c>
      <c r="W17" s="33">
        <f ca="1">SUMIFS(Assumptions!BD$3:BD$103,Assumptions!$G$3:$G$103,'non-road'!$F17,Assumptions!$B$3:$B$103,'non-road'!$D17)/SUMIF(Assumptions!$G$3:$G$103,'non-road'!$F17,Assumptions!BD$3:BD$103)</f>
        <v>0.88483731078736061</v>
      </c>
      <c r="X17" s="33">
        <f ca="1">SUMIFS(Assumptions!BE$3:BE$103,Assumptions!$G$3:$G$103,'non-road'!$F17,Assumptions!$B$3:$B$103,'non-road'!$D17)/SUMIF(Assumptions!$G$3:$G$103,'non-road'!$F17,Assumptions!BE$3:BE$103)</f>
        <v>0.98305860891767083</v>
      </c>
      <c r="Y17" s="33">
        <f ca="1">SUMIFS(Assumptions!BF$3:BF$103,Assumptions!$G$3:$G$103,'non-road'!$F17,Assumptions!$B$3:$B$103,'non-road'!$D17)/SUMIF(Assumptions!$G$3:$G$103,'non-road'!$F17,Assumptions!BF$3:BF$103)</f>
        <v>0.97283315897408185</v>
      </c>
      <c r="Z17" s="33">
        <f ca="1">SUMIFS(Assumptions!BG$3:BG$103,Assumptions!$G$3:$G$103,'non-road'!$F17,Assumptions!$B$3:$B$103,'non-road'!$D17)/SUMIF(Assumptions!$G$3:$G$103,'non-road'!$F17,Assumptions!BG$3:BG$103)</f>
        <v>0.46742716378794519</v>
      </c>
      <c r="AA17" s="33">
        <f ca="1">SUMIFS(Assumptions!BH$3:BH$103,Assumptions!$G$3:$G$103,'non-road'!$F17,Assumptions!$B$3:$B$103,'non-road'!$D17)/SUMIF(Assumptions!$G$3:$G$103,'non-road'!$F17,Assumptions!BH$3:BH$103)</f>
        <v>0.98971998060688227</v>
      </c>
      <c r="AB17" s="33">
        <f ca="1">SUMIFS(Assumptions!BI$3:BI$103,Assumptions!$G$3:$G$103,'non-road'!$F17,Assumptions!$B$3:$B$103,'non-road'!$D17)/SUMIF(Assumptions!$G$3:$G$103,'non-road'!$F17,Assumptions!BI$3:BI$103)</f>
        <v>0.35855705241698804</v>
      </c>
      <c r="AC17" s="33">
        <f ca="1">SUMIFS(Assumptions!BJ$3:BJ$103,Assumptions!$G$3:$G$103,'non-road'!$F17,Assumptions!$B$3:$B$103,'non-road'!$D17)/SUMIF(Assumptions!$G$3:$G$103,'non-road'!$F17,Assumptions!BJ$3:BJ$103)</f>
        <v>0</v>
      </c>
      <c r="AD17" s="33">
        <f ca="1">SUMIFS(Assumptions!BK$3:BK$103,Assumptions!$G$3:$G$103,'non-road'!$F17,Assumptions!$B$3:$B$103,'non-road'!$D17)/SUMIF(Assumptions!$G$3:$G$103,'non-road'!$F17,Assumptions!BK$3:BK$103)</f>
        <v>0.97375864481883867</v>
      </c>
      <c r="AE17" s="33">
        <f ca="1">SUMIFS(Assumptions!BL$3:BL$103,Assumptions!$G$3:$G$103,'non-road'!$F17,Assumptions!$B$3:$B$103,'non-road'!$D17)/SUMIF(Assumptions!$G$3:$G$103,'non-road'!$F17,Assumptions!BL$3:BL$103)</f>
        <v>0.89926329135946992</v>
      </c>
      <c r="AF17" s="33" t="e">
        <f ca="1">SUMIFS(Assumptions!BM$3:BM$103,Assumptions!$G$3:$G$103,'non-road'!$F17,Assumptions!$B$3:$B$103,'non-road'!$D17)/SUMIF(Assumptions!$G$3:$G$103,'non-road'!$F17,Assumptions!BM$3:BM$103)</f>
        <v>#DIV/0!</v>
      </c>
      <c r="AG17" s="33">
        <f ca="1">SUMIFS(Assumptions!BN$3:BN$103,Assumptions!$G$3:$G$103,'non-road'!$F17,Assumptions!$B$3:$B$103,'non-road'!$D17)/SUMIF(Assumptions!$G$3:$G$103,'non-road'!$F17,Assumptions!BN$3:BN$103)</f>
        <v>0.67811352956258619</v>
      </c>
      <c r="AH17" s="33">
        <f ca="1">SUMIFS(Assumptions!BO$3:BO$103,Assumptions!$G$3:$G$103,'non-road'!$F17,Assumptions!$B$3:$B$103,'non-road'!$D17)/SUMIF(Assumptions!$G$3:$G$103,'non-road'!$F17,Assumptions!BO$3:BO$103)</f>
        <v>0.88277915299004361</v>
      </c>
      <c r="AI17" s="33">
        <f ca="1">SUMIFS(Assumptions!BP$3:BP$103,Assumptions!$G$3:$G$103,'non-road'!$F17,Assumptions!$B$3:$B$103,'non-road'!$D17)/SUMIF(Assumptions!$G$3:$G$103,'non-road'!$F17,Assumptions!BP$3:BP$103)</f>
        <v>0.53427444324867446</v>
      </c>
      <c r="AJ17" s="33" t="e">
        <f ca="1">SUMIFS(Assumptions!BQ$3:BQ$103,Assumptions!$G$3:$G$103,'non-road'!$F17,Assumptions!$B$3:$B$103,'non-road'!$D17)/SUMIF(Assumptions!$G$3:$G$103,'non-road'!$F17,Assumptions!BQ$3:BQ$103)</f>
        <v>#DIV/0!</v>
      </c>
      <c r="AK17" s="34"/>
      <c r="AL17" s="33"/>
      <c r="AM17" s="33"/>
      <c r="AN17" s="27" t="str">
        <f t="shared" si="40"/>
        <v>\I:</v>
      </c>
      <c r="AO17" s="33">
        <f>VLOOKUP($F17,Assumptions!$E$152:$AM$157,COLUMN()-COLUMN($AM$4),FALSE)</f>
        <v>1</v>
      </c>
      <c r="AP17" s="33">
        <f>VLOOKUP($F17,Assumptions!$E$152:$AM$157,COLUMN()-COLUMN($AM$4),FALSE)</f>
        <v>1</v>
      </c>
      <c r="AQ17" s="33">
        <f>VLOOKUP($F17,Assumptions!$E$152:$AM$157,COLUMN()-COLUMN($AM$4),FALSE)</f>
        <v>1</v>
      </c>
      <c r="AR17" s="33">
        <f>VLOOKUP($F17,Assumptions!$E$152:$AM$157,COLUMN()-COLUMN($AM$4),FALSE)</f>
        <v>1</v>
      </c>
      <c r="AS17" s="33">
        <f>VLOOKUP($F17,Assumptions!$E$152:$AM$157,COLUMN()-COLUMN($AM$4),FALSE)</f>
        <v>1</v>
      </c>
      <c r="AT17" s="33">
        <f>VLOOKUP($F17,Assumptions!$E$152:$AM$157,COLUMN()-COLUMN($AM$4),FALSE)</f>
        <v>1</v>
      </c>
      <c r="AU17" s="33">
        <f>VLOOKUP($F17,Assumptions!$E$152:$AM$157,COLUMN()-COLUMN($AM$4),FALSE)</f>
        <v>1</v>
      </c>
      <c r="AV17" s="33">
        <f>VLOOKUP($F17,Assumptions!$E$152:$AM$157,COLUMN()-COLUMN($AM$4),FALSE)</f>
        <v>1</v>
      </c>
      <c r="AW17" s="33">
        <f>VLOOKUP($F17,Assumptions!$E$152:$AM$157,COLUMN()-COLUMN($AM$4),FALSE)</f>
        <v>1</v>
      </c>
      <c r="AX17" s="33">
        <f>VLOOKUP($F17,Assumptions!$E$152:$AM$157,COLUMN()-COLUMN($AM$4),FALSE)</f>
        <v>1</v>
      </c>
      <c r="AY17" s="33">
        <f>VLOOKUP($F17,Assumptions!$E$152:$AM$157,COLUMN()-COLUMN($AM$4),FALSE)</f>
        <v>1</v>
      </c>
      <c r="AZ17" s="33">
        <f>VLOOKUP($F17,Assumptions!$E$152:$AM$157,COLUMN()-COLUMN($AM$4),FALSE)</f>
        <v>1</v>
      </c>
      <c r="BA17" s="33">
        <f>VLOOKUP($F17,Assumptions!$E$152:$AM$157,COLUMN()-COLUMN($AM$4),FALSE)</f>
        <v>1</v>
      </c>
      <c r="BB17" s="33">
        <f>VLOOKUP($F17,Assumptions!$E$152:$AM$157,COLUMN()-COLUMN($AM$4),FALSE)</f>
        <v>1</v>
      </c>
      <c r="BC17" s="33">
        <f>VLOOKUP($F17,Assumptions!$E$152:$AM$157,COLUMN()-COLUMN($AM$4),FALSE)</f>
        <v>1</v>
      </c>
      <c r="BD17" s="33">
        <f>VLOOKUP($F17,Assumptions!$E$152:$AM$157,COLUMN()-COLUMN($AM$4),FALSE)</f>
        <v>1</v>
      </c>
      <c r="BE17" s="33">
        <f>VLOOKUP($F17,Assumptions!$E$152:$AM$157,COLUMN()-COLUMN($AM$4),FALSE)</f>
        <v>1</v>
      </c>
      <c r="BF17" s="33">
        <f>VLOOKUP($F17,Assumptions!$E$152:$AM$157,COLUMN()-COLUMN($AM$4),FALSE)</f>
        <v>1</v>
      </c>
      <c r="BG17" s="33">
        <f>VLOOKUP($F17,Assumptions!$E$152:$AM$157,COLUMN()-COLUMN($AM$4),FALSE)</f>
        <v>1</v>
      </c>
      <c r="BH17" s="33">
        <f>VLOOKUP($F17,Assumptions!$E$152:$AM$157,COLUMN()-COLUMN($AM$4),FALSE)</f>
        <v>1</v>
      </c>
      <c r="BI17" s="33">
        <f>VLOOKUP($F17,Assumptions!$E$152:$AM$157,COLUMN()-COLUMN($AM$4),FALSE)</f>
        <v>1</v>
      </c>
      <c r="BJ17" s="33">
        <f>VLOOKUP($F17,Assumptions!$E$152:$AM$157,COLUMN()-COLUMN($AM$4),FALSE)</f>
        <v>1</v>
      </c>
      <c r="BK17" s="33">
        <f>VLOOKUP($F17,Assumptions!$E$152:$AM$157,COLUMN()-COLUMN($AM$4),FALSE)</f>
        <v>1</v>
      </c>
      <c r="BL17" s="33">
        <f>VLOOKUP($F17,Assumptions!$E$152:$AM$157,COLUMN()-COLUMN($AM$4),FALSE)</f>
        <v>1</v>
      </c>
      <c r="BM17" s="33">
        <f>VLOOKUP($F17,Assumptions!$E$152:$AM$157,COLUMN()-COLUMN($AM$4),FALSE)</f>
        <v>1</v>
      </c>
      <c r="BN17" s="33">
        <f>VLOOKUP($F17,Assumptions!$E$152:$AM$157,COLUMN()-COLUMN($AM$4),FALSE)</f>
        <v>1</v>
      </c>
      <c r="BO17" s="33">
        <f>VLOOKUP($F17,Assumptions!$E$152:$AM$157,COLUMN()-COLUMN($AM$4),FALSE)</f>
        <v>1</v>
      </c>
      <c r="BP17" s="33">
        <f>VLOOKUP($F17,Assumptions!$E$152:$AM$157,COLUMN()-COLUMN($AM$4),FALSE)</f>
        <v>1</v>
      </c>
      <c r="BQ17" s="33">
        <f>VLOOKUP($F17,Assumptions!$E$152:$AM$157,COLUMN()-COLUMN($AM$4),FALSE)</f>
        <v>1</v>
      </c>
      <c r="BR17" s="33">
        <f>VLOOKUP($F17,Assumptions!$E$152:$AM$157,COLUMN()-COLUMN($AM$4),FALSE)</f>
        <v>1</v>
      </c>
      <c r="BS17" s="27"/>
      <c r="BT17" s="27"/>
      <c r="BU17" s="27" t="str">
        <f t="shared" si="41"/>
        <v>TWI</v>
      </c>
      <c r="BV17" s="33">
        <f t="shared" ref="BV17:CY17" si="47">IFERROR(BV8/BV$20,"")</f>
        <v>1.7761002401457882E-2</v>
      </c>
      <c r="BW17" s="33">
        <f t="shared" si="47"/>
        <v>3.1763223337902838E-2</v>
      </c>
      <c r="BX17" s="33">
        <f t="shared" si="47"/>
        <v>2.2674235021325637E-2</v>
      </c>
      <c r="BY17" s="33">
        <f t="shared" si="47"/>
        <v>1.4332999569155358E-3</v>
      </c>
      <c r="BZ17" s="33">
        <f t="shared" si="47"/>
        <v>8.4686429297567617E-2</v>
      </c>
      <c r="CA17" s="33">
        <f t="shared" si="47"/>
        <v>0.20010295237775014</v>
      </c>
      <c r="CB17" s="33">
        <f t="shared" si="47"/>
        <v>4.117659519997121E-2</v>
      </c>
      <c r="CC17" s="33">
        <f t="shared" si="47"/>
        <v>5.1066980066717317E-2</v>
      </c>
      <c r="CD17" s="33">
        <f t="shared" si="47"/>
        <v>1.4812601555916944E-2</v>
      </c>
      <c r="CE17" s="33">
        <f t="shared" si="47"/>
        <v>4.0541563795078873E-2</v>
      </c>
      <c r="CF17" s="33">
        <f t="shared" si="47"/>
        <v>0.15694048782948389</v>
      </c>
      <c r="CG17" s="33">
        <f t="shared" si="47"/>
        <v>2.1476739791022645E-2</v>
      </c>
      <c r="CH17" s="33">
        <f t="shared" si="47"/>
        <v>0.53814018564364807</v>
      </c>
      <c r="CI17" s="33">
        <f t="shared" si="47"/>
        <v>0.16011241664035053</v>
      </c>
      <c r="CJ17" s="33">
        <f t="shared" si="47"/>
        <v>1.6695337715294169E-2</v>
      </c>
      <c r="CK17" s="33">
        <f t="shared" si="47"/>
        <v>0.20398106188697021</v>
      </c>
      <c r="CL17" s="33">
        <f t="shared" si="47"/>
        <v>1.4434328060116026E-2</v>
      </c>
      <c r="CM17" s="33">
        <f t="shared" si="47"/>
        <v>3.0727894951033521E-2</v>
      </c>
      <c r="CN17" s="33">
        <f t="shared" si="47"/>
        <v>1.7645125303392288E-2</v>
      </c>
      <c r="CO17" s="33">
        <f t="shared" si="47"/>
        <v>8.1634562976982648E-3</v>
      </c>
      <c r="CP17" s="33">
        <f t="shared" si="47"/>
        <v>0.12659598334183766</v>
      </c>
      <c r="CQ17" s="33">
        <f t="shared" si="47"/>
        <v>1.8540328234759536E-2</v>
      </c>
      <c r="CR17" s="33">
        <f t="shared" si="47"/>
        <v>0.22302986445942316</v>
      </c>
      <c r="CS17" s="33">
        <f t="shared" si="47"/>
        <v>5.8569424974467578E-2</v>
      </c>
      <c r="CT17" s="33">
        <f t="shared" si="47"/>
        <v>0.1958282416696456</v>
      </c>
      <c r="CU17" s="33">
        <f t="shared" si="47"/>
        <v>7.8821096152772843E-2</v>
      </c>
      <c r="CV17" s="33">
        <f t="shared" si="47"/>
        <v>0.2019216049874403</v>
      </c>
      <c r="CW17" s="33">
        <f t="shared" si="47"/>
        <v>0.11302327370098547</v>
      </c>
      <c r="CX17" s="33">
        <f t="shared" si="47"/>
        <v>5.7432660351298091E-2</v>
      </c>
      <c r="CY17" s="33" t="str">
        <f t="shared" si="47"/>
        <v/>
      </c>
      <c r="CZ17" s="27"/>
      <c r="DA17" s="27" t="str">
        <f t="shared" si="33"/>
        <v>DMD</v>
      </c>
      <c r="DB17" s="27" t="str">
        <f t="shared" ref="DB17:DB40" si="48">C18</f>
        <v>TAI_Generic</v>
      </c>
      <c r="DC17" s="27" t="s">
        <v>164</v>
      </c>
      <c r="DD17" s="27" t="s">
        <v>160</v>
      </c>
      <c r="DE17" s="27" t="s">
        <v>161</v>
      </c>
    </row>
    <row r="18" spans="1:109" x14ac:dyDescent="0.45">
      <c r="C18" s="27" t="str">
        <f t="shared" si="39"/>
        <v>TAI_Generic</v>
      </c>
      <c r="D18" s="27" t="s">
        <v>42</v>
      </c>
      <c r="E18" s="27"/>
      <c r="F18" s="27" t="s">
        <v>18</v>
      </c>
      <c r="G18" s="33">
        <f>SUMIFS(Assumptions!AN$105:AN$128,Assumptions!$AL$105:$AL$128,'non-road'!$F18,Assumptions!$AM$105:$AM$128,'non-road'!$D18)/SUMIF(Assumptions!$AL$105:$AL$128,'non-road'!$F18,Assumptions!AN$105:AN$128)</f>
        <v>0</v>
      </c>
      <c r="H18" s="33">
        <f>SUMIFS(Assumptions!AO$105:AO$128,Assumptions!$AL$105:$AL$128,'non-road'!$F18,Assumptions!$AM$105:$AM$128,'non-road'!$D18)/SUMIF(Assumptions!$AL$105:$AL$128,'non-road'!$F18,Assumptions!AO$105:AO$128)</f>
        <v>0</v>
      </c>
      <c r="I18" s="33">
        <f>SUMIFS(Assumptions!AP$105:AP$128,Assumptions!$AL$105:$AL$128,'non-road'!$F18,Assumptions!$AM$105:$AM$128,'non-road'!$D18)/SUMIF(Assumptions!$AL$105:$AL$128,'non-road'!$F18,Assumptions!AP$105:AP$128)</f>
        <v>0</v>
      </c>
      <c r="J18" s="33">
        <f>SUMIFS(Assumptions!AQ$105:AQ$128,Assumptions!$AL$105:$AL$128,'non-road'!$F18,Assumptions!$AM$105:$AM$128,'non-road'!$D18)/SUMIF(Assumptions!$AL$105:$AL$128,'non-road'!$F18,Assumptions!AQ$105:AQ$128)</f>
        <v>0</v>
      </c>
      <c r="K18" s="33">
        <f>SUMIFS(Assumptions!AR$105:AR$128,Assumptions!$AL$105:$AL$128,'non-road'!$F18,Assumptions!$AM$105:$AM$128,'non-road'!$D18)/SUMIF(Assumptions!$AL$105:$AL$128,'non-road'!$F18,Assumptions!AR$105:AR$128)</f>
        <v>0</v>
      </c>
      <c r="L18" s="33">
        <f>SUMIFS(Assumptions!AS$105:AS$128,Assumptions!$AL$105:$AL$128,'non-road'!$F18,Assumptions!$AM$105:$AM$128,'non-road'!$D18)/SUMIF(Assumptions!$AL$105:$AL$128,'non-road'!$F18,Assumptions!AS$105:AS$128)</f>
        <v>0</v>
      </c>
      <c r="M18" s="33">
        <f>SUMIFS(Assumptions!AT$105:AT$128,Assumptions!$AL$105:$AL$128,'non-road'!$F18,Assumptions!$AM$105:$AM$128,'non-road'!$D18)/SUMIF(Assumptions!$AL$105:$AL$128,'non-road'!$F18,Assumptions!AT$105:AT$128)</f>
        <v>0</v>
      </c>
      <c r="N18" s="33">
        <f>SUMIFS(Assumptions!AU$105:AU$128,Assumptions!$AL$105:$AL$128,'non-road'!$F18,Assumptions!$AM$105:$AM$128,'non-road'!$D18)/SUMIF(Assumptions!$AL$105:$AL$128,'non-road'!$F18,Assumptions!AU$105:AU$128)</f>
        <v>0</v>
      </c>
      <c r="O18" s="33">
        <f>SUMIFS(Assumptions!AV$105:AV$128,Assumptions!$AL$105:$AL$128,'non-road'!$F18,Assumptions!$AM$105:$AM$128,'non-road'!$D18)/SUMIF(Assumptions!$AL$105:$AL$128,'non-road'!$F18,Assumptions!AV$105:AV$128)</f>
        <v>0</v>
      </c>
      <c r="P18" s="33">
        <f>SUMIFS(Assumptions!AW$105:AW$128,Assumptions!$AL$105:$AL$128,'non-road'!$F18,Assumptions!$AM$105:$AM$128,'non-road'!$D18)/SUMIF(Assumptions!$AL$105:$AL$128,'non-road'!$F18,Assumptions!AW$105:AW$128)</f>
        <v>0</v>
      </c>
      <c r="Q18" s="33">
        <f>SUMIFS(Assumptions!AX$105:AX$128,Assumptions!$AL$105:$AL$128,'non-road'!$F18,Assumptions!$AM$105:$AM$128,'non-road'!$D18)/SUMIF(Assumptions!$AL$105:$AL$128,'non-road'!$F18,Assumptions!AX$105:AX$128)</f>
        <v>0</v>
      </c>
      <c r="R18" s="33">
        <f>SUMIFS(Assumptions!AY$105:AY$128,Assumptions!$AL$105:$AL$128,'non-road'!$F18,Assumptions!$AM$105:$AM$128,'non-road'!$D18)/SUMIF(Assumptions!$AL$105:$AL$128,'non-road'!$F18,Assumptions!AY$105:AY$128)</f>
        <v>0</v>
      </c>
      <c r="S18" s="33">
        <f>SUMIFS(Assumptions!AZ$105:AZ$128,Assumptions!$AL$105:$AL$128,'non-road'!$F18,Assumptions!$AM$105:$AM$128,'non-road'!$D18)/SUMIF(Assumptions!$AL$105:$AL$128,'non-road'!$F18,Assumptions!AZ$105:AZ$128)</f>
        <v>0</v>
      </c>
      <c r="T18" s="33">
        <f>SUMIFS(Assumptions!BA$105:BA$128,Assumptions!$AL$105:$AL$128,'non-road'!$F18,Assumptions!$AM$105:$AM$128,'non-road'!$D18)/SUMIF(Assumptions!$AL$105:$AL$128,'non-road'!$F18,Assumptions!BA$105:BA$128)</f>
        <v>0</v>
      </c>
      <c r="U18" s="33">
        <f>SUMIFS(Assumptions!BB$105:BB$128,Assumptions!$AL$105:$AL$128,'non-road'!$F18,Assumptions!$AM$105:$AM$128,'non-road'!$D18)/SUMIF(Assumptions!$AL$105:$AL$128,'non-road'!$F18,Assumptions!BB$105:BB$128)</f>
        <v>0</v>
      </c>
      <c r="V18" s="33">
        <f>SUMIFS(Assumptions!BC$105:BC$128,Assumptions!$AL$105:$AL$128,'non-road'!$F18,Assumptions!$AM$105:$AM$128,'non-road'!$D18)/SUMIF(Assumptions!$AL$105:$AL$128,'non-road'!$F18,Assumptions!BC$105:BC$128)</f>
        <v>0</v>
      </c>
      <c r="W18" s="33">
        <f>SUMIFS(Assumptions!BD$105:BD$128,Assumptions!$AL$105:$AL$128,'non-road'!$F18,Assumptions!$AM$105:$AM$128,'non-road'!$D18)/SUMIF(Assumptions!$AL$105:$AL$128,'non-road'!$F18,Assumptions!BD$105:BD$128)</f>
        <v>0</v>
      </c>
      <c r="X18" s="33">
        <f>SUMIFS(Assumptions!BE$105:BE$128,Assumptions!$AL$105:$AL$128,'non-road'!$F18,Assumptions!$AM$105:$AM$128,'non-road'!$D18)/SUMIF(Assumptions!$AL$105:$AL$128,'non-road'!$F18,Assumptions!BE$105:BE$128)</f>
        <v>0</v>
      </c>
      <c r="Y18" s="33">
        <f>SUMIFS(Assumptions!BF$105:BF$128,Assumptions!$AL$105:$AL$128,'non-road'!$F18,Assumptions!$AM$105:$AM$128,'non-road'!$D18)/SUMIF(Assumptions!$AL$105:$AL$128,'non-road'!$F18,Assumptions!BF$105:BF$128)</f>
        <v>0</v>
      </c>
      <c r="Z18" s="33">
        <f>SUMIFS(Assumptions!BG$105:BG$128,Assumptions!$AL$105:$AL$128,'non-road'!$F18,Assumptions!$AM$105:$AM$128,'non-road'!$D18)/SUMIF(Assumptions!$AL$105:$AL$128,'non-road'!$F18,Assumptions!BG$105:BG$128)</f>
        <v>0</v>
      </c>
      <c r="AA18" s="33">
        <f>SUMIFS(Assumptions!BH$105:BH$128,Assumptions!$AL$105:$AL$128,'non-road'!$F18,Assumptions!$AM$105:$AM$128,'non-road'!$D18)/SUMIF(Assumptions!$AL$105:$AL$128,'non-road'!$F18,Assumptions!BH$105:BH$128)</f>
        <v>0</v>
      </c>
      <c r="AB18" s="33">
        <f>SUMIFS(Assumptions!BI$105:BI$128,Assumptions!$AL$105:$AL$128,'non-road'!$F18,Assumptions!$AM$105:$AM$128,'non-road'!$D18)/SUMIF(Assumptions!$AL$105:$AL$128,'non-road'!$F18,Assumptions!BI$105:BI$128)</f>
        <v>0</v>
      </c>
      <c r="AC18" s="33">
        <f>SUMIFS(Assumptions!BJ$105:BJ$128,Assumptions!$AL$105:$AL$128,'non-road'!$F18,Assumptions!$AM$105:$AM$128,'non-road'!$D18)/SUMIF(Assumptions!$AL$105:$AL$128,'non-road'!$F18,Assumptions!BJ$105:BJ$128)</f>
        <v>0</v>
      </c>
      <c r="AD18" s="33">
        <f>SUMIFS(Assumptions!BK$105:BK$128,Assumptions!$AL$105:$AL$128,'non-road'!$F18,Assumptions!$AM$105:$AM$128,'non-road'!$D18)/SUMIF(Assumptions!$AL$105:$AL$128,'non-road'!$F18,Assumptions!BK$105:BK$128)</f>
        <v>0</v>
      </c>
      <c r="AE18" s="33">
        <f>SUMIFS(Assumptions!BL$105:BL$128,Assumptions!$AL$105:$AL$128,'non-road'!$F18,Assumptions!$AM$105:$AM$128,'non-road'!$D18)/SUMIF(Assumptions!$AL$105:$AL$128,'non-road'!$F18,Assumptions!BL$105:BL$128)</f>
        <v>0</v>
      </c>
      <c r="AF18" s="33">
        <f>SUMIFS(Assumptions!BM$105:BM$128,Assumptions!$AL$105:$AL$128,'non-road'!$F18,Assumptions!$AM$105:$AM$128,'non-road'!$D18)/SUMIF(Assumptions!$AL$105:$AL$128,'non-road'!$F18,Assumptions!BM$105:BM$128)</f>
        <v>0</v>
      </c>
      <c r="AG18" s="33">
        <f>SUMIFS(Assumptions!BN$105:BN$128,Assumptions!$AL$105:$AL$128,'non-road'!$F18,Assumptions!$AM$105:$AM$128,'non-road'!$D18)/SUMIF(Assumptions!$AL$105:$AL$128,'non-road'!$F18,Assumptions!BN$105:BN$128)</f>
        <v>0</v>
      </c>
      <c r="AH18" s="33">
        <f>SUMIFS(Assumptions!BO$105:BO$128,Assumptions!$AL$105:$AL$128,'non-road'!$F18,Assumptions!$AM$105:$AM$128,'non-road'!$D18)/SUMIF(Assumptions!$AL$105:$AL$128,'non-road'!$F18,Assumptions!BO$105:BO$128)</f>
        <v>0</v>
      </c>
      <c r="AI18" s="33">
        <f>SUMIFS(Assumptions!BP$105:BP$128,Assumptions!$AL$105:$AL$128,'non-road'!$F18,Assumptions!$AM$105:$AM$128,'non-road'!$D18)/SUMIF(Assumptions!$AL$105:$AL$128,'non-road'!$F18,Assumptions!BP$105:BP$128)</f>
        <v>0</v>
      </c>
      <c r="AJ18" s="33" t="e">
        <f>SUMIFS(Assumptions!BQ$105:BQ$128,Assumptions!$AL$105:$AL$128,'non-road'!$F18,Assumptions!$AM$105:$AM$128,'non-road'!$D18)/SUMIF(Assumptions!$AL$105:$AL$128,'non-road'!$F18,Assumptions!BQ$105:BQ$128)</f>
        <v>#DIV/0!</v>
      </c>
      <c r="AN18" s="27" t="str">
        <f t="shared" si="40"/>
        <v>TAI_Generic</v>
      </c>
      <c r="AO18" s="33">
        <f>VLOOKUP($F18,Assumptions!$E$152:$AM$157,COLUMN()-COLUMN($AM$4),FALSE)</f>
        <v>1</v>
      </c>
      <c r="AP18" s="33">
        <f>VLOOKUP($F18,Assumptions!$E$152:$AM$157,COLUMN()-COLUMN($AM$4),FALSE)</f>
        <v>1</v>
      </c>
      <c r="AQ18" s="33">
        <f>VLOOKUP($F18,Assumptions!$E$152:$AM$157,COLUMN()-COLUMN($AM$4),FALSE)</f>
        <v>1</v>
      </c>
      <c r="AR18" s="33">
        <f>VLOOKUP($F18,Assumptions!$E$152:$AM$157,COLUMN()-COLUMN($AM$4),FALSE)</f>
        <v>1</v>
      </c>
      <c r="AS18" s="33">
        <f>VLOOKUP($F18,Assumptions!$E$152:$AM$157,COLUMN()-COLUMN($AM$4),FALSE)</f>
        <v>1</v>
      </c>
      <c r="AT18" s="33">
        <f>VLOOKUP($F18,Assumptions!$E$152:$AM$157,COLUMN()-COLUMN($AM$4),FALSE)</f>
        <v>1</v>
      </c>
      <c r="AU18" s="33">
        <f>VLOOKUP($F18,Assumptions!$E$152:$AM$157,COLUMN()-COLUMN($AM$4),FALSE)</f>
        <v>1</v>
      </c>
      <c r="AV18" s="33">
        <f>VLOOKUP($F18,Assumptions!$E$152:$AM$157,COLUMN()-COLUMN($AM$4),FALSE)</f>
        <v>1</v>
      </c>
      <c r="AW18" s="33">
        <f>VLOOKUP($F18,Assumptions!$E$152:$AM$157,COLUMN()-COLUMN($AM$4),FALSE)</f>
        <v>1</v>
      </c>
      <c r="AX18" s="33">
        <f>VLOOKUP($F18,Assumptions!$E$152:$AM$157,COLUMN()-COLUMN($AM$4),FALSE)</f>
        <v>1</v>
      </c>
      <c r="AY18" s="33">
        <f>VLOOKUP($F18,Assumptions!$E$152:$AM$157,COLUMN()-COLUMN($AM$4),FALSE)</f>
        <v>1</v>
      </c>
      <c r="AZ18" s="33">
        <f>VLOOKUP($F18,Assumptions!$E$152:$AM$157,COLUMN()-COLUMN($AM$4),FALSE)</f>
        <v>1</v>
      </c>
      <c r="BA18" s="33">
        <f>VLOOKUP($F18,Assumptions!$E$152:$AM$157,COLUMN()-COLUMN($AM$4),FALSE)</f>
        <v>1</v>
      </c>
      <c r="BB18" s="33">
        <f>VLOOKUP($F18,Assumptions!$E$152:$AM$157,COLUMN()-COLUMN($AM$4),FALSE)</f>
        <v>1</v>
      </c>
      <c r="BC18" s="33">
        <f>VLOOKUP($F18,Assumptions!$E$152:$AM$157,COLUMN()-COLUMN($AM$4),FALSE)</f>
        <v>1</v>
      </c>
      <c r="BD18" s="33">
        <f>VLOOKUP($F18,Assumptions!$E$152:$AM$157,COLUMN()-COLUMN($AM$4),FALSE)</f>
        <v>1</v>
      </c>
      <c r="BE18" s="33">
        <f>VLOOKUP($F18,Assumptions!$E$152:$AM$157,COLUMN()-COLUMN($AM$4),FALSE)</f>
        <v>1</v>
      </c>
      <c r="BF18" s="33">
        <f>VLOOKUP($F18,Assumptions!$E$152:$AM$157,COLUMN()-COLUMN($AM$4),FALSE)</f>
        <v>1</v>
      </c>
      <c r="BG18" s="33">
        <f>VLOOKUP($F18,Assumptions!$E$152:$AM$157,COLUMN()-COLUMN($AM$4),FALSE)</f>
        <v>1</v>
      </c>
      <c r="BH18" s="33">
        <f>VLOOKUP($F18,Assumptions!$E$152:$AM$157,COLUMN()-COLUMN($AM$4),FALSE)</f>
        <v>1</v>
      </c>
      <c r="BI18" s="33">
        <f>VLOOKUP($F18,Assumptions!$E$152:$AM$157,COLUMN()-COLUMN($AM$4),FALSE)</f>
        <v>1</v>
      </c>
      <c r="BJ18" s="33">
        <f>VLOOKUP($F18,Assumptions!$E$152:$AM$157,COLUMN()-COLUMN($AM$4),FALSE)</f>
        <v>1</v>
      </c>
      <c r="BK18" s="33">
        <f>VLOOKUP($F18,Assumptions!$E$152:$AM$157,COLUMN()-COLUMN($AM$4),FALSE)</f>
        <v>1</v>
      </c>
      <c r="BL18" s="33">
        <f>VLOOKUP($F18,Assumptions!$E$152:$AM$157,COLUMN()-COLUMN($AM$4),FALSE)</f>
        <v>1</v>
      </c>
      <c r="BM18" s="33">
        <f>VLOOKUP($F18,Assumptions!$E$152:$AM$157,COLUMN()-COLUMN($AM$4),FALSE)</f>
        <v>1</v>
      </c>
      <c r="BN18" s="33">
        <f>VLOOKUP($F18,Assumptions!$E$152:$AM$157,COLUMN()-COLUMN($AM$4),FALSE)</f>
        <v>1</v>
      </c>
      <c r="BO18" s="33">
        <f>VLOOKUP($F18,Assumptions!$E$152:$AM$157,COLUMN()-COLUMN($AM$4),FALSE)</f>
        <v>1</v>
      </c>
      <c r="BP18" s="33">
        <f>VLOOKUP($F18,Assumptions!$E$152:$AM$157,COLUMN()-COLUMN($AM$4),FALSE)</f>
        <v>1</v>
      </c>
      <c r="BQ18" s="33">
        <f>VLOOKUP($F18,Assumptions!$E$152:$AM$157,COLUMN()-COLUMN($AM$4),FALSE)</f>
        <v>1</v>
      </c>
      <c r="BR18" s="33">
        <f>VLOOKUP($F18,Assumptions!$E$152:$AM$157,COLUMN()-COLUMN($AM$4),FALSE)</f>
        <v>1</v>
      </c>
      <c r="BS18" s="27"/>
      <c r="BT18" s="27"/>
      <c r="CZ18" s="27"/>
      <c r="DA18" s="27" t="str">
        <f t="shared" si="33"/>
        <v>\I:</v>
      </c>
      <c r="DB18" s="27" t="str">
        <f t="shared" si="48"/>
        <v/>
      </c>
      <c r="DC18" s="27" t="s">
        <v>169</v>
      </c>
      <c r="DD18" s="27" t="s">
        <v>160</v>
      </c>
      <c r="DE18" s="27" t="s">
        <v>161</v>
      </c>
    </row>
    <row r="19" spans="1:109" ht="14.65" thickBot="1" x14ac:dyDescent="0.5">
      <c r="C19" s="27" t="str">
        <f t="shared" si="39"/>
        <v/>
      </c>
      <c r="D19" s="27" t="s">
        <v>41</v>
      </c>
      <c r="E19" s="27"/>
      <c r="F19" s="27" t="s">
        <v>18</v>
      </c>
      <c r="G19" s="33">
        <f>SUMIFS(Assumptions!AN$105:AN$128,Assumptions!$AL$105:$AL$128,'non-road'!$F19,Assumptions!$AM$105:$AM$128,'non-road'!$D19)/SUMIF(Assumptions!$AL$105:$AL$128,'non-road'!$F19,Assumptions!AN$105:AN$128)</f>
        <v>0</v>
      </c>
      <c r="H19" s="33">
        <f>SUMIFS(Assumptions!AO$105:AO$128,Assumptions!$AL$105:$AL$128,'non-road'!$F19,Assumptions!$AM$105:$AM$128,'non-road'!$D19)/SUMIF(Assumptions!$AL$105:$AL$128,'non-road'!$F19,Assumptions!AO$105:AO$128)</f>
        <v>0</v>
      </c>
      <c r="I19" s="33">
        <f>SUMIFS(Assumptions!AP$105:AP$128,Assumptions!$AL$105:$AL$128,'non-road'!$F19,Assumptions!$AM$105:$AM$128,'non-road'!$D19)/SUMIF(Assumptions!$AL$105:$AL$128,'non-road'!$F19,Assumptions!AP$105:AP$128)</f>
        <v>0</v>
      </c>
      <c r="J19" s="33">
        <f>SUMIFS(Assumptions!AQ$105:AQ$128,Assumptions!$AL$105:$AL$128,'non-road'!$F19,Assumptions!$AM$105:$AM$128,'non-road'!$D19)/SUMIF(Assumptions!$AL$105:$AL$128,'non-road'!$F19,Assumptions!AQ$105:AQ$128)</f>
        <v>0</v>
      </c>
      <c r="K19" s="33">
        <f>SUMIFS(Assumptions!AR$105:AR$128,Assumptions!$AL$105:$AL$128,'non-road'!$F19,Assumptions!$AM$105:$AM$128,'non-road'!$D19)/SUMIF(Assumptions!$AL$105:$AL$128,'non-road'!$F19,Assumptions!AR$105:AR$128)</f>
        <v>0</v>
      </c>
      <c r="L19" s="33">
        <f>SUMIFS(Assumptions!AS$105:AS$128,Assumptions!$AL$105:$AL$128,'non-road'!$F19,Assumptions!$AM$105:$AM$128,'non-road'!$D19)/SUMIF(Assumptions!$AL$105:$AL$128,'non-road'!$F19,Assumptions!AS$105:AS$128)</f>
        <v>0</v>
      </c>
      <c r="M19" s="33">
        <f>SUMIFS(Assumptions!AT$105:AT$128,Assumptions!$AL$105:$AL$128,'non-road'!$F19,Assumptions!$AM$105:$AM$128,'non-road'!$D19)/SUMIF(Assumptions!$AL$105:$AL$128,'non-road'!$F19,Assumptions!AT$105:AT$128)</f>
        <v>0</v>
      </c>
      <c r="N19" s="33">
        <f>SUMIFS(Assumptions!AU$105:AU$128,Assumptions!$AL$105:$AL$128,'non-road'!$F19,Assumptions!$AM$105:$AM$128,'non-road'!$D19)/SUMIF(Assumptions!$AL$105:$AL$128,'non-road'!$F19,Assumptions!AU$105:AU$128)</f>
        <v>0</v>
      </c>
      <c r="O19" s="33">
        <f>SUMIFS(Assumptions!AV$105:AV$128,Assumptions!$AL$105:$AL$128,'non-road'!$F19,Assumptions!$AM$105:$AM$128,'non-road'!$D19)/SUMIF(Assumptions!$AL$105:$AL$128,'non-road'!$F19,Assumptions!AV$105:AV$128)</f>
        <v>0</v>
      </c>
      <c r="P19" s="33">
        <f>SUMIFS(Assumptions!AW$105:AW$128,Assumptions!$AL$105:$AL$128,'non-road'!$F19,Assumptions!$AM$105:$AM$128,'non-road'!$D19)/SUMIF(Assumptions!$AL$105:$AL$128,'non-road'!$F19,Assumptions!AW$105:AW$128)</f>
        <v>0</v>
      </c>
      <c r="Q19" s="33">
        <f>SUMIFS(Assumptions!AX$105:AX$128,Assumptions!$AL$105:$AL$128,'non-road'!$F19,Assumptions!$AM$105:$AM$128,'non-road'!$D19)/SUMIF(Assumptions!$AL$105:$AL$128,'non-road'!$F19,Assumptions!AX$105:AX$128)</f>
        <v>0</v>
      </c>
      <c r="R19" s="33">
        <f>SUMIFS(Assumptions!AY$105:AY$128,Assumptions!$AL$105:$AL$128,'non-road'!$F19,Assumptions!$AM$105:$AM$128,'non-road'!$D19)/SUMIF(Assumptions!$AL$105:$AL$128,'non-road'!$F19,Assumptions!AY$105:AY$128)</f>
        <v>0</v>
      </c>
      <c r="S19" s="33">
        <f>SUMIFS(Assumptions!AZ$105:AZ$128,Assumptions!$AL$105:$AL$128,'non-road'!$F19,Assumptions!$AM$105:$AM$128,'non-road'!$D19)/SUMIF(Assumptions!$AL$105:$AL$128,'non-road'!$F19,Assumptions!AZ$105:AZ$128)</f>
        <v>0</v>
      </c>
      <c r="T19" s="33">
        <f>SUMIFS(Assumptions!BA$105:BA$128,Assumptions!$AL$105:$AL$128,'non-road'!$F19,Assumptions!$AM$105:$AM$128,'non-road'!$D19)/SUMIF(Assumptions!$AL$105:$AL$128,'non-road'!$F19,Assumptions!BA$105:BA$128)</f>
        <v>0</v>
      </c>
      <c r="U19" s="33">
        <f>SUMIFS(Assumptions!BB$105:BB$128,Assumptions!$AL$105:$AL$128,'non-road'!$F19,Assumptions!$AM$105:$AM$128,'non-road'!$D19)/SUMIF(Assumptions!$AL$105:$AL$128,'non-road'!$F19,Assumptions!BB$105:BB$128)</f>
        <v>0</v>
      </c>
      <c r="V19" s="33">
        <f>SUMIFS(Assumptions!BC$105:BC$128,Assumptions!$AL$105:$AL$128,'non-road'!$F19,Assumptions!$AM$105:$AM$128,'non-road'!$D19)/SUMIF(Assumptions!$AL$105:$AL$128,'non-road'!$F19,Assumptions!BC$105:BC$128)</f>
        <v>0</v>
      </c>
      <c r="W19" s="33">
        <f>SUMIFS(Assumptions!BD$105:BD$128,Assumptions!$AL$105:$AL$128,'non-road'!$F19,Assumptions!$AM$105:$AM$128,'non-road'!$D19)/SUMIF(Assumptions!$AL$105:$AL$128,'non-road'!$F19,Assumptions!BD$105:BD$128)</f>
        <v>0</v>
      </c>
      <c r="X19" s="33">
        <f>SUMIFS(Assumptions!BE$105:BE$128,Assumptions!$AL$105:$AL$128,'non-road'!$F19,Assumptions!$AM$105:$AM$128,'non-road'!$D19)/SUMIF(Assumptions!$AL$105:$AL$128,'non-road'!$F19,Assumptions!BE$105:BE$128)</f>
        <v>0</v>
      </c>
      <c r="Y19" s="33">
        <f>SUMIFS(Assumptions!BF$105:BF$128,Assumptions!$AL$105:$AL$128,'non-road'!$F19,Assumptions!$AM$105:$AM$128,'non-road'!$D19)/SUMIF(Assumptions!$AL$105:$AL$128,'non-road'!$F19,Assumptions!BF$105:BF$128)</f>
        <v>0</v>
      </c>
      <c r="Z19" s="33">
        <f>SUMIFS(Assumptions!BG$105:BG$128,Assumptions!$AL$105:$AL$128,'non-road'!$F19,Assumptions!$AM$105:$AM$128,'non-road'!$D19)/SUMIF(Assumptions!$AL$105:$AL$128,'non-road'!$F19,Assumptions!BG$105:BG$128)</f>
        <v>0</v>
      </c>
      <c r="AA19" s="33">
        <f>SUMIFS(Assumptions!BH$105:BH$128,Assumptions!$AL$105:$AL$128,'non-road'!$F19,Assumptions!$AM$105:$AM$128,'non-road'!$D19)/SUMIF(Assumptions!$AL$105:$AL$128,'non-road'!$F19,Assumptions!BH$105:BH$128)</f>
        <v>0</v>
      </c>
      <c r="AB19" s="33">
        <f>SUMIFS(Assumptions!BI$105:BI$128,Assumptions!$AL$105:$AL$128,'non-road'!$F19,Assumptions!$AM$105:$AM$128,'non-road'!$D19)/SUMIF(Assumptions!$AL$105:$AL$128,'non-road'!$F19,Assumptions!BI$105:BI$128)</f>
        <v>0</v>
      </c>
      <c r="AC19" s="33">
        <f>SUMIFS(Assumptions!BJ$105:BJ$128,Assumptions!$AL$105:$AL$128,'non-road'!$F19,Assumptions!$AM$105:$AM$128,'non-road'!$D19)/SUMIF(Assumptions!$AL$105:$AL$128,'non-road'!$F19,Assumptions!BJ$105:BJ$128)</f>
        <v>0</v>
      </c>
      <c r="AD19" s="33">
        <f>SUMIFS(Assumptions!BK$105:BK$128,Assumptions!$AL$105:$AL$128,'non-road'!$F19,Assumptions!$AM$105:$AM$128,'non-road'!$D19)/SUMIF(Assumptions!$AL$105:$AL$128,'non-road'!$F19,Assumptions!BK$105:BK$128)</f>
        <v>0</v>
      </c>
      <c r="AE19" s="33">
        <f>SUMIFS(Assumptions!BL$105:BL$128,Assumptions!$AL$105:$AL$128,'non-road'!$F19,Assumptions!$AM$105:$AM$128,'non-road'!$D19)/SUMIF(Assumptions!$AL$105:$AL$128,'non-road'!$F19,Assumptions!BL$105:BL$128)</f>
        <v>0</v>
      </c>
      <c r="AF19" s="33">
        <f>SUMIFS(Assumptions!BM$105:BM$128,Assumptions!$AL$105:$AL$128,'non-road'!$F19,Assumptions!$AM$105:$AM$128,'non-road'!$D19)/SUMIF(Assumptions!$AL$105:$AL$128,'non-road'!$F19,Assumptions!BM$105:BM$128)</f>
        <v>0</v>
      </c>
      <c r="AG19" s="33">
        <f>SUMIFS(Assumptions!BN$105:BN$128,Assumptions!$AL$105:$AL$128,'non-road'!$F19,Assumptions!$AM$105:$AM$128,'non-road'!$D19)/SUMIF(Assumptions!$AL$105:$AL$128,'non-road'!$F19,Assumptions!BN$105:BN$128)</f>
        <v>0</v>
      </c>
      <c r="AH19" s="33">
        <f>SUMIFS(Assumptions!BO$105:BO$128,Assumptions!$AL$105:$AL$128,'non-road'!$F19,Assumptions!$AM$105:$AM$128,'non-road'!$D19)/SUMIF(Assumptions!$AL$105:$AL$128,'non-road'!$F19,Assumptions!BO$105:BO$128)</f>
        <v>0</v>
      </c>
      <c r="AI19" s="33">
        <f>SUMIFS(Assumptions!BP$105:BP$128,Assumptions!$AL$105:$AL$128,'non-road'!$F19,Assumptions!$AM$105:$AM$128,'non-road'!$D19)/SUMIF(Assumptions!$AL$105:$AL$128,'non-road'!$F19,Assumptions!BP$105:BP$128)</f>
        <v>0</v>
      </c>
      <c r="AJ19" s="33" t="e">
        <f>SUMIFS(Assumptions!BQ$105:BQ$128,Assumptions!$AL$105:$AL$128,'non-road'!$F19,Assumptions!$AM$105:$AM$128,'non-road'!$D19)/SUMIF(Assumptions!$AL$105:$AL$128,'non-road'!$F19,Assumptions!BQ$105:BQ$128)</f>
        <v>#DIV/0!</v>
      </c>
      <c r="AN19" s="27" t="str">
        <f t="shared" si="40"/>
        <v>\I:</v>
      </c>
      <c r="AO19" s="33">
        <f>VLOOKUP($F19,Assumptions!$E$152:$AM$157,COLUMN()-COLUMN($AM$4),FALSE)</f>
        <v>1</v>
      </c>
      <c r="AP19" s="33">
        <f>VLOOKUP($F19,Assumptions!$E$152:$AM$157,COLUMN()-COLUMN($AM$4),FALSE)</f>
        <v>1</v>
      </c>
      <c r="AQ19" s="33">
        <f>VLOOKUP($F19,Assumptions!$E$152:$AM$157,COLUMN()-COLUMN($AM$4),FALSE)</f>
        <v>1</v>
      </c>
      <c r="AR19" s="33">
        <f>VLOOKUP($F19,Assumptions!$E$152:$AM$157,COLUMN()-COLUMN($AM$4),FALSE)</f>
        <v>1</v>
      </c>
      <c r="AS19" s="33">
        <f>VLOOKUP($F19,Assumptions!$E$152:$AM$157,COLUMN()-COLUMN($AM$4),FALSE)</f>
        <v>1</v>
      </c>
      <c r="AT19" s="33">
        <f>VLOOKUP($F19,Assumptions!$E$152:$AM$157,COLUMN()-COLUMN($AM$4),FALSE)</f>
        <v>1</v>
      </c>
      <c r="AU19" s="33">
        <f>VLOOKUP($F19,Assumptions!$E$152:$AM$157,COLUMN()-COLUMN($AM$4),FALSE)</f>
        <v>1</v>
      </c>
      <c r="AV19" s="33">
        <f>VLOOKUP($F19,Assumptions!$E$152:$AM$157,COLUMN()-COLUMN($AM$4),FALSE)</f>
        <v>1</v>
      </c>
      <c r="AW19" s="33">
        <f>VLOOKUP($F19,Assumptions!$E$152:$AM$157,COLUMN()-COLUMN($AM$4),FALSE)</f>
        <v>1</v>
      </c>
      <c r="AX19" s="33">
        <f>VLOOKUP($F19,Assumptions!$E$152:$AM$157,COLUMN()-COLUMN($AM$4),FALSE)</f>
        <v>1</v>
      </c>
      <c r="AY19" s="33">
        <f>VLOOKUP($F19,Assumptions!$E$152:$AM$157,COLUMN()-COLUMN($AM$4),FALSE)</f>
        <v>1</v>
      </c>
      <c r="AZ19" s="33">
        <f>VLOOKUP($F19,Assumptions!$E$152:$AM$157,COLUMN()-COLUMN($AM$4),FALSE)</f>
        <v>1</v>
      </c>
      <c r="BA19" s="33">
        <f>VLOOKUP($F19,Assumptions!$E$152:$AM$157,COLUMN()-COLUMN($AM$4),FALSE)</f>
        <v>1</v>
      </c>
      <c r="BB19" s="33">
        <f>VLOOKUP($F19,Assumptions!$E$152:$AM$157,COLUMN()-COLUMN($AM$4),FALSE)</f>
        <v>1</v>
      </c>
      <c r="BC19" s="33">
        <f>VLOOKUP($F19,Assumptions!$E$152:$AM$157,COLUMN()-COLUMN($AM$4),FALSE)</f>
        <v>1</v>
      </c>
      <c r="BD19" s="33">
        <f>VLOOKUP($F19,Assumptions!$E$152:$AM$157,COLUMN()-COLUMN($AM$4),FALSE)</f>
        <v>1</v>
      </c>
      <c r="BE19" s="33">
        <f>VLOOKUP($F19,Assumptions!$E$152:$AM$157,COLUMN()-COLUMN($AM$4),FALSE)</f>
        <v>1</v>
      </c>
      <c r="BF19" s="33">
        <f>VLOOKUP($F19,Assumptions!$E$152:$AM$157,COLUMN()-COLUMN($AM$4),FALSE)</f>
        <v>1</v>
      </c>
      <c r="BG19" s="33">
        <f>VLOOKUP($F19,Assumptions!$E$152:$AM$157,COLUMN()-COLUMN($AM$4),FALSE)</f>
        <v>1</v>
      </c>
      <c r="BH19" s="33">
        <f>VLOOKUP($F19,Assumptions!$E$152:$AM$157,COLUMN()-COLUMN($AM$4),FALSE)</f>
        <v>1</v>
      </c>
      <c r="BI19" s="33">
        <f>VLOOKUP($F19,Assumptions!$E$152:$AM$157,COLUMN()-COLUMN($AM$4),FALSE)</f>
        <v>1</v>
      </c>
      <c r="BJ19" s="33">
        <f>VLOOKUP($F19,Assumptions!$E$152:$AM$157,COLUMN()-COLUMN($AM$4),FALSE)</f>
        <v>1</v>
      </c>
      <c r="BK19" s="33">
        <f>VLOOKUP($F19,Assumptions!$E$152:$AM$157,COLUMN()-COLUMN($AM$4),FALSE)</f>
        <v>1</v>
      </c>
      <c r="BL19" s="33">
        <f>VLOOKUP($F19,Assumptions!$E$152:$AM$157,COLUMN()-COLUMN($AM$4),FALSE)</f>
        <v>1</v>
      </c>
      <c r="BM19" s="33">
        <f>VLOOKUP($F19,Assumptions!$E$152:$AM$157,COLUMN()-COLUMN($AM$4),FALSE)</f>
        <v>1</v>
      </c>
      <c r="BN19" s="33">
        <f>VLOOKUP($F19,Assumptions!$E$152:$AM$157,COLUMN()-COLUMN($AM$4),FALSE)</f>
        <v>1</v>
      </c>
      <c r="BO19" s="33">
        <f>VLOOKUP($F19,Assumptions!$E$152:$AM$157,COLUMN()-COLUMN($AM$4),FALSE)</f>
        <v>1</v>
      </c>
      <c r="BP19" s="33">
        <f>VLOOKUP($F19,Assumptions!$E$152:$AM$157,COLUMN()-COLUMN($AM$4),FALSE)</f>
        <v>1</v>
      </c>
      <c r="BQ19" s="33">
        <f>VLOOKUP($F19,Assumptions!$E$152:$AM$157,COLUMN()-COLUMN($AM$4),FALSE)</f>
        <v>1</v>
      </c>
      <c r="BR19" s="33">
        <f>VLOOKUP($F19,Assumptions!$E$152:$AM$157,COLUMN()-COLUMN($AM$4),FALSE)</f>
        <v>1</v>
      </c>
      <c r="BS19" s="27"/>
      <c r="BT19" s="49" t="str">
        <f>'TRA balance'!C57</f>
        <v>Year</v>
      </c>
      <c r="BU19" s="49" t="str">
        <f>'TRA balance'!D57</f>
        <v>Drvr</v>
      </c>
      <c r="BV19" s="49" t="str">
        <f>'TRA balance'!E57</f>
        <v>Africa_north</v>
      </c>
      <c r="BW19" s="49" t="str">
        <f>'TRA balance'!F57</f>
        <v>Africa_other</v>
      </c>
      <c r="BX19" s="49" t="str">
        <f>'TRA balance'!G57</f>
        <v>Arg-Chi</v>
      </c>
      <c r="BY19" s="49" t="str">
        <f>'TRA balance'!H57</f>
        <v>Asia_central</v>
      </c>
      <c r="BZ19" s="49" t="str">
        <f>'TRA balance'!I57</f>
        <v>Asia_east</v>
      </c>
      <c r="CA19" s="49" t="str">
        <f>'TRA balance'!J57</f>
        <v>Asia_other</v>
      </c>
      <c r="CB19" s="49" t="str">
        <f>'TRA balance'!K57</f>
        <v>Australia_NZ</v>
      </c>
      <c r="CC19" s="49" t="str">
        <f>'TRA balance'!L57</f>
        <v>Brazil</v>
      </c>
      <c r="CD19" s="49" t="str">
        <f>'TRA balance'!M57</f>
        <v>Canada</v>
      </c>
      <c r="CE19" s="49" t="str">
        <f>'TRA balance'!N57</f>
        <v>China</v>
      </c>
      <c r="CF19" s="49" t="str">
        <f>'TRA balance'!O57</f>
        <v>EU_north</v>
      </c>
      <c r="CG19" s="49" t="str">
        <f>'TRA balance'!P57</f>
        <v>EU_northeast</v>
      </c>
      <c r="CH19" s="49" t="str">
        <f>'TRA balance'!Q57</f>
        <v>EU_northwest</v>
      </c>
      <c r="CI19" s="49" t="str">
        <f>'TRA balance'!R57</f>
        <v>EU_south</v>
      </c>
      <c r="CJ19" s="49" t="str">
        <f>'TRA balance'!S57</f>
        <v>EU_southeast</v>
      </c>
      <c r="CK19" s="49" t="str">
        <f>'TRA balance'!T57</f>
        <v>EU_southwest</v>
      </c>
      <c r="CL19" s="49" t="str">
        <f>'TRA balance'!U57</f>
        <v>Europe_other</v>
      </c>
      <c r="CM19" s="49" t="str">
        <f>'TRA balance'!V57</f>
        <v>France</v>
      </c>
      <c r="CN19" s="49" t="str">
        <f>'TRA balance'!W57</f>
        <v>Germany</v>
      </c>
      <c r="CO19" s="49" t="str">
        <f>'TRA balance'!X57</f>
        <v>India</v>
      </c>
      <c r="CP19" s="49" t="str">
        <f>'TRA balance'!Y57</f>
        <v>LatAm_other</v>
      </c>
      <c r="CQ19" s="49" t="str">
        <f>'TRA balance'!Z57</f>
        <v>Mexico</v>
      </c>
      <c r="CR19" s="49" t="str">
        <f>'TRA balance'!AA57</f>
        <v>MidEast_other</v>
      </c>
      <c r="CS19" s="49" t="str">
        <f>'TRA balance'!AB57</f>
        <v>Nor-Ice</v>
      </c>
      <c r="CT19" s="49" t="str">
        <f>'TRA balance'!AC57</f>
        <v>Russia</v>
      </c>
      <c r="CU19" s="49" t="str">
        <f>'TRA balance'!AD57</f>
        <v>SaudiArabia</v>
      </c>
      <c r="CV19" s="49" t="str">
        <f>'TRA balance'!AE57</f>
        <v>SouthAfrica</v>
      </c>
      <c r="CW19" s="49" t="str">
        <f>'TRA balance'!AF57</f>
        <v>UK</v>
      </c>
      <c r="CX19" s="49" t="str">
        <f>'TRA balance'!AG57</f>
        <v>USA</v>
      </c>
      <c r="CY19" s="49">
        <f>'TRA balance'!AH57</f>
        <v>0</v>
      </c>
      <c r="CZ19" s="27"/>
      <c r="DA19" s="27" t="str">
        <f t="shared" si="33"/>
        <v>\I:</v>
      </c>
      <c r="DB19" s="27" t="str">
        <f t="shared" si="48"/>
        <v/>
      </c>
      <c r="DC19" s="27" t="s">
        <v>169</v>
      </c>
      <c r="DD19" s="27" t="s">
        <v>160</v>
      </c>
      <c r="DE19" s="27" t="s">
        <v>161</v>
      </c>
    </row>
    <row r="20" spans="1:109" ht="15" thickTop="1" thickBot="1" x14ac:dyDescent="0.5">
      <c r="C20" s="27" t="str">
        <f t="shared" si="39"/>
        <v/>
      </c>
      <c r="D20" s="27" t="s">
        <v>45</v>
      </c>
      <c r="E20" s="27"/>
      <c r="F20" s="27" t="s">
        <v>18</v>
      </c>
      <c r="G20" s="33">
        <f>SUMIFS(Assumptions!AN$105:AN$128,Assumptions!$AL$105:$AL$128,'non-road'!$F20,Assumptions!$AM$105:$AM$128,'non-road'!$D20)/SUMIF(Assumptions!$AL$105:$AL$128,'non-road'!$F20,Assumptions!AN$105:AN$128)</f>
        <v>0</v>
      </c>
      <c r="H20" s="33">
        <f>SUMIFS(Assumptions!AO$105:AO$128,Assumptions!$AL$105:$AL$128,'non-road'!$F20,Assumptions!$AM$105:$AM$128,'non-road'!$D20)/SUMIF(Assumptions!$AL$105:$AL$128,'non-road'!$F20,Assumptions!AO$105:AO$128)</f>
        <v>0</v>
      </c>
      <c r="I20" s="33">
        <f>SUMIFS(Assumptions!AP$105:AP$128,Assumptions!$AL$105:$AL$128,'non-road'!$F20,Assumptions!$AM$105:$AM$128,'non-road'!$D20)/SUMIF(Assumptions!$AL$105:$AL$128,'non-road'!$F20,Assumptions!AP$105:AP$128)</f>
        <v>0</v>
      </c>
      <c r="J20" s="33">
        <f>SUMIFS(Assumptions!AQ$105:AQ$128,Assumptions!$AL$105:$AL$128,'non-road'!$F20,Assumptions!$AM$105:$AM$128,'non-road'!$D20)/SUMIF(Assumptions!$AL$105:$AL$128,'non-road'!$F20,Assumptions!AQ$105:AQ$128)</f>
        <v>0</v>
      </c>
      <c r="K20" s="33">
        <f>SUMIFS(Assumptions!AR$105:AR$128,Assumptions!$AL$105:$AL$128,'non-road'!$F20,Assumptions!$AM$105:$AM$128,'non-road'!$D20)/SUMIF(Assumptions!$AL$105:$AL$128,'non-road'!$F20,Assumptions!AR$105:AR$128)</f>
        <v>0</v>
      </c>
      <c r="L20" s="33">
        <f>SUMIFS(Assumptions!AS$105:AS$128,Assumptions!$AL$105:$AL$128,'non-road'!$F20,Assumptions!$AM$105:$AM$128,'non-road'!$D20)/SUMIF(Assumptions!$AL$105:$AL$128,'non-road'!$F20,Assumptions!AS$105:AS$128)</f>
        <v>0</v>
      </c>
      <c r="M20" s="33">
        <f>SUMIFS(Assumptions!AT$105:AT$128,Assumptions!$AL$105:$AL$128,'non-road'!$F20,Assumptions!$AM$105:$AM$128,'non-road'!$D20)/SUMIF(Assumptions!$AL$105:$AL$128,'non-road'!$F20,Assumptions!AT$105:AT$128)</f>
        <v>0</v>
      </c>
      <c r="N20" s="33">
        <f>SUMIFS(Assumptions!AU$105:AU$128,Assumptions!$AL$105:$AL$128,'non-road'!$F20,Assumptions!$AM$105:$AM$128,'non-road'!$D20)/SUMIF(Assumptions!$AL$105:$AL$128,'non-road'!$F20,Assumptions!AU$105:AU$128)</f>
        <v>0</v>
      </c>
      <c r="O20" s="33">
        <f>SUMIFS(Assumptions!AV$105:AV$128,Assumptions!$AL$105:$AL$128,'non-road'!$F20,Assumptions!$AM$105:$AM$128,'non-road'!$D20)/SUMIF(Assumptions!$AL$105:$AL$128,'non-road'!$F20,Assumptions!AV$105:AV$128)</f>
        <v>0</v>
      </c>
      <c r="P20" s="33">
        <f>SUMIFS(Assumptions!AW$105:AW$128,Assumptions!$AL$105:$AL$128,'non-road'!$F20,Assumptions!$AM$105:$AM$128,'non-road'!$D20)/SUMIF(Assumptions!$AL$105:$AL$128,'non-road'!$F20,Assumptions!AW$105:AW$128)</f>
        <v>0</v>
      </c>
      <c r="Q20" s="33">
        <f>SUMIFS(Assumptions!AX$105:AX$128,Assumptions!$AL$105:$AL$128,'non-road'!$F20,Assumptions!$AM$105:$AM$128,'non-road'!$D20)/SUMIF(Assumptions!$AL$105:$AL$128,'non-road'!$F20,Assumptions!AX$105:AX$128)</f>
        <v>0</v>
      </c>
      <c r="R20" s="33">
        <f>SUMIFS(Assumptions!AY$105:AY$128,Assumptions!$AL$105:$AL$128,'non-road'!$F20,Assumptions!$AM$105:$AM$128,'non-road'!$D20)/SUMIF(Assumptions!$AL$105:$AL$128,'non-road'!$F20,Assumptions!AY$105:AY$128)</f>
        <v>0</v>
      </c>
      <c r="S20" s="33">
        <f>SUMIFS(Assumptions!AZ$105:AZ$128,Assumptions!$AL$105:$AL$128,'non-road'!$F20,Assumptions!$AM$105:$AM$128,'non-road'!$D20)/SUMIF(Assumptions!$AL$105:$AL$128,'non-road'!$F20,Assumptions!AZ$105:AZ$128)</f>
        <v>0</v>
      </c>
      <c r="T20" s="33">
        <f>SUMIFS(Assumptions!BA$105:BA$128,Assumptions!$AL$105:$AL$128,'non-road'!$F20,Assumptions!$AM$105:$AM$128,'non-road'!$D20)/SUMIF(Assumptions!$AL$105:$AL$128,'non-road'!$F20,Assumptions!BA$105:BA$128)</f>
        <v>0</v>
      </c>
      <c r="U20" s="33">
        <f>SUMIFS(Assumptions!BB$105:BB$128,Assumptions!$AL$105:$AL$128,'non-road'!$F20,Assumptions!$AM$105:$AM$128,'non-road'!$D20)/SUMIF(Assumptions!$AL$105:$AL$128,'non-road'!$F20,Assumptions!BB$105:BB$128)</f>
        <v>0</v>
      </c>
      <c r="V20" s="33">
        <f>SUMIFS(Assumptions!BC$105:BC$128,Assumptions!$AL$105:$AL$128,'non-road'!$F20,Assumptions!$AM$105:$AM$128,'non-road'!$D20)/SUMIF(Assumptions!$AL$105:$AL$128,'non-road'!$F20,Assumptions!BC$105:BC$128)</f>
        <v>0</v>
      </c>
      <c r="W20" s="33">
        <f>SUMIFS(Assumptions!BD$105:BD$128,Assumptions!$AL$105:$AL$128,'non-road'!$F20,Assumptions!$AM$105:$AM$128,'non-road'!$D20)/SUMIF(Assumptions!$AL$105:$AL$128,'non-road'!$F20,Assumptions!BD$105:BD$128)</f>
        <v>1.7684734138105819E-2</v>
      </c>
      <c r="X20" s="33">
        <f>SUMIFS(Assumptions!BE$105:BE$128,Assumptions!$AL$105:$AL$128,'non-road'!$F20,Assumptions!$AM$105:$AM$128,'non-road'!$D20)/SUMIF(Assumptions!$AL$105:$AL$128,'non-road'!$F20,Assumptions!BE$105:BE$128)</f>
        <v>0</v>
      </c>
      <c r="Y20" s="33">
        <f>SUMIFS(Assumptions!BF$105:BF$128,Assumptions!$AL$105:$AL$128,'non-road'!$F20,Assumptions!$AM$105:$AM$128,'non-road'!$D20)/SUMIF(Assumptions!$AL$105:$AL$128,'non-road'!$F20,Assumptions!BF$105:BF$128)</f>
        <v>0</v>
      </c>
      <c r="Z20" s="33">
        <f>SUMIFS(Assumptions!BG$105:BG$128,Assumptions!$AL$105:$AL$128,'non-road'!$F20,Assumptions!$AM$105:$AM$128,'non-road'!$D20)/SUMIF(Assumptions!$AL$105:$AL$128,'non-road'!$F20,Assumptions!BG$105:BG$128)</f>
        <v>0</v>
      </c>
      <c r="AA20" s="33">
        <f>SUMIFS(Assumptions!BH$105:BH$128,Assumptions!$AL$105:$AL$128,'non-road'!$F20,Assumptions!$AM$105:$AM$128,'non-road'!$D20)/SUMIF(Assumptions!$AL$105:$AL$128,'non-road'!$F20,Assumptions!BH$105:BH$128)</f>
        <v>0</v>
      </c>
      <c r="AB20" s="33">
        <f>SUMIFS(Assumptions!BI$105:BI$128,Assumptions!$AL$105:$AL$128,'non-road'!$F20,Assumptions!$AM$105:$AM$128,'non-road'!$D20)/SUMIF(Assumptions!$AL$105:$AL$128,'non-road'!$F20,Assumptions!BI$105:BI$128)</f>
        <v>0</v>
      </c>
      <c r="AC20" s="33">
        <f>SUMIFS(Assumptions!BJ$105:BJ$128,Assumptions!$AL$105:$AL$128,'non-road'!$F20,Assumptions!$AM$105:$AM$128,'non-road'!$D20)/SUMIF(Assumptions!$AL$105:$AL$128,'non-road'!$F20,Assumptions!BJ$105:BJ$128)</f>
        <v>0</v>
      </c>
      <c r="AD20" s="33">
        <f>SUMIFS(Assumptions!BK$105:BK$128,Assumptions!$AL$105:$AL$128,'non-road'!$F20,Assumptions!$AM$105:$AM$128,'non-road'!$D20)/SUMIF(Assumptions!$AL$105:$AL$128,'non-road'!$F20,Assumptions!BK$105:BK$128)</f>
        <v>0</v>
      </c>
      <c r="AE20" s="33">
        <f>SUMIFS(Assumptions!BL$105:BL$128,Assumptions!$AL$105:$AL$128,'non-road'!$F20,Assumptions!$AM$105:$AM$128,'non-road'!$D20)/SUMIF(Assumptions!$AL$105:$AL$128,'non-road'!$F20,Assumptions!BL$105:BL$128)</f>
        <v>0</v>
      </c>
      <c r="AF20" s="33">
        <f>SUMIFS(Assumptions!BM$105:BM$128,Assumptions!$AL$105:$AL$128,'non-road'!$F20,Assumptions!$AM$105:$AM$128,'non-road'!$D20)/SUMIF(Assumptions!$AL$105:$AL$128,'non-road'!$F20,Assumptions!BM$105:BM$128)</f>
        <v>0</v>
      </c>
      <c r="AG20" s="33">
        <f>SUMIFS(Assumptions!BN$105:BN$128,Assumptions!$AL$105:$AL$128,'non-road'!$F20,Assumptions!$AM$105:$AM$128,'non-road'!$D20)/SUMIF(Assumptions!$AL$105:$AL$128,'non-road'!$F20,Assumptions!BN$105:BN$128)</f>
        <v>0</v>
      </c>
      <c r="AH20" s="33">
        <f>SUMIFS(Assumptions!BO$105:BO$128,Assumptions!$AL$105:$AL$128,'non-road'!$F20,Assumptions!$AM$105:$AM$128,'non-road'!$D20)/SUMIF(Assumptions!$AL$105:$AL$128,'non-road'!$F20,Assumptions!BO$105:BO$128)</f>
        <v>0</v>
      </c>
      <c r="AI20" s="33">
        <f>SUMIFS(Assumptions!BP$105:BP$128,Assumptions!$AL$105:$AL$128,'non-road'!$F20,Assumptions!$AM$105:$AM$128,'non-road'!$D20)/SUMIF(Assumptions!$AL$105:$AL$128,'non-road'!$F20,Assumptions!BP$105:BP$128)</f>
        <v>0</v>
      </c>
      <c r="AJ20" s="33" t="e">
        <f>SUMIFS(Assumptions!BQ$105:BQ$128,Assumptions!$AL$105:$AL$128,'non-road'!$F20,Assumptions!$AM$105:$AM$128,'non-road'!$D20)/SUMIF(Assumptions!$AL$105:$AL$128,'non-road'!$F20,Assumptions!BQ$105:BQ$128)</f>
        <v>#DIV/0!</v>
      </c>
      <c r="AN20" s="27" t="str">
        <f t="shared" si="40"/>
        <v>\I:</v>
      </c>
      <c r="AO20" s="33">
        <f>VLOOKUP($F20,Assumptions!$E$152:$AM$157,COLUMN()-COLUMN($AM$4),FALSE)</f>
        <v>1</v>
      </c>
      <c r="AP20" s="33">
        <f>VLOOKUP($F20,Assumptions!$E$152:$AM$157,COLUMN()-COLUMN($AM$4),FALSE)</f>
        <v>1</v>
      </c>
      <c r="AQ20" s="33">
        <f>VLOOKUP($F20,Assumptions!$E$152:$AM$157,COLUMN()-COLUMN($AM$4),FALSE)</f>
        <v>1</v>
      </c>
      <c r="AR20" s="33">
        <f>VLOOKUP($F20,Assumptions!$E$152:$AM$157,COLUMN()-COLUMN($AM$4),FALSE)</f>
        <v>1</v>
      </c>
      <c r="AS20" s="33">
        <f>VLOOKUP($F20,Assumptions!$E$152:$AM$157,COLUMN()-COLUMN($AM$4),FALSE)</f>
        <v>1</v>
      </c>
      <c r="AT20" s="33">
        <f>VLOOKUP($F20,Assumptions!$E$152:$AM$157,COLUMN()-COLUMN($AM$4),FALSE)</f>
        <v>1</v>
      </c>
      <c r="AU20" s="33">
        <f>VLOOKUP($F20,Assumptions!$E$152:$AM$157,COLUMN()-COLUMN($AM$4),FALSE)</f>
        <v>1</v>
      </c>
      <c r="AV20" s="33">
        <f>VLOOKUP($F20,Assumptions!$E$152:$AM$157,COLUMN()-COLUMN($AM$4),FALSE)</f>
        <v>1</v>
      </c>
      <c r="AW20" s="33">
        <f>VLOOKUP($F20,Assumptions!$E$152:$AM$157,COLUMN()-COLUMN($AM$4),FALSE)</f>
        <v>1</v>
      </c>
      <c r="AX20" s="33">
        <f>VLOOKUP($F20,Assumptions!$E$152:$AM$157,COLUMN()-COLUMN($AM$4),FALSE)</f>
        <v>1</v>
      </c>
      <c r="AY20" s="33">
        <f>VLOOKUP($F20,Assumptions!$E$152:$AM$157,COLUMN()-COLUMN($AM$4),FALSE)</f>
        <v>1</v>
      </c>
      <c r="AZ20" s="33">
        <f>VLOOKUP($F20,Assumptions!$E$152:$AM$157,COLUMN()-COLUMN($AM$4),FALSE)</f>
        <v>1</v>
      </c>
      <c r="BA20" s="33">
        <f>VLOOKUP($F20,Assumptions!$E$152:$AM$157,COLUMN()-COLUMN($AM$4),FALSE)</f>
        <v>1</v>
      </c>
      <c r="BB20" s="33">
        <f>VLOOKUP($F20,Assumptions!$E$152:$AM$157,COLUMN()-COLUMN($AM$4),FALSE)</f>
        <v>1</v>
      </c>
      <c r="BC20" s="33">
        <f>VLOOKUP($F20,Assumptions!$E$152:$AM$157,COLUMN()-COLUMN($AM$4),FALSE)</f>
        <v>1</v>
      </c>
      <c r="BD20" s="33">
        <f>VLOOKUP($F20,Assumptions!$E$152:$AM$157,COLUMN()-COLUMN($AM$4),FALSE)</f>
        <v>1</v>
      </c>
      <c r="BE20" s="33">
        <f>VLOOKUP($F20,Assumptions!$E$152:$AM$157,COLUMN()-COLUMN($AM$4),FALSE)</f>
        <v>1</v>
      </c>
      <c r="BF20" s="33">
        <f>VLOOKUP($F20,Assumptions!$E$152:$AM$157,COLUMN()-COLUMN($AM$4),FALSE)</f>
        <v>1</v>
      </c>
      <c r="BG20" s="33">
        <f>VLOOKUP($F20,Assumptions!$E$152:$AM$157,COLUMN()-COLUMN($AM$4),FALSE)</f>
        <v>1</v>
      </c>
      <c r="BH20" s="33">
        <f>VLOOKUP($F20,Assumptions!$E$152:$AM$157,COLUMN()-COLUMN($AM$4),FALSE)</f>
        <v>1</v>
      </c>
      <c r="BI20" s="33">
        <f>VLOOKUP($F20,Assumptions!$E$152:$AM$157,COLUMN()-COLUMN($AM$4),FALSE)</f>
        <v>1</v>
      </c>
      <c r="BJ20" s="33">
        <f>VLOOKUP($F20,Assumptions!$E$152:$AM$157,COLUMN()-COLUMN($AM$4),FALSE)</f>
        <v>1</v>
      </c>
      <c r="BK20" s="33">
        <f>VLOOKUP($F20,Assumptions!$E$152:$AM$157,COLUMN()-COLUMN($AM$4),FALSE)</f>
        <v>1</v>
      </c>
      <c r="BL20" s="33">
        <f>VLOOKUP($F20,Assumptions!$E$152:$AM$157,COLUMN()-COLUMN($AM$4),FALSE)</f>
        <v>1</v>
      </c>
      <c r="BM20" s="33">
        <f>VLOOKUP($F20,Assumptions!$E$152:$AM$157,COLUMN()-COLUMN($AM$4),FALSE)</f>
        <v>1</v>
      </c>
      <c r="BN20" s="33">
        <f>VLOOKUP($F20,Assumptions!$E$152:$AM$157,COLUMN()-COLUMN($AM$4),FALSE)</f>
        <v>1</v>
      </c>
      <c r="BO20" s="33">
        <f>VLOOKUP($F20,Assumptions!$E$152:$AM$157,COLUMN()-COLUMN($AM$4),FALSE)</f>
        <v>1</v>
      </c>
      <c r="BP20" s="33">
        <f>VLOOKUP($F20,Assumptions!$E$152:$AM$157,COLUMN()-COLUMN($AM$4),FALSE)</f>
        <v>1</v>
      </c>
      <c r="BQ20" s="33">
        <f>VLOOKUP($F20,Assumptions!$E$152:$AM$157,COLUMN()-COLUMN($AM$4),FALSE)</f>
        <v>1</v>
      </c>
      <c r="BR20" s="33">
        <f>VLOOKUP($F20,Assumptions!$E$152:$AM$157,COLUMN()-COLUMN($AM$4),FALSE)</f>
        <v>1</v>
      </c>
      <c r="BS20" s="27"/>
      <c r="BT20" s="49">
        <f>'TRA balance'!C58</f>
        <v>2019</v>
      </c>
      <c r="BU20" s="49" t="str">
        <f>'TRA balance'!D58</f>
        <v>GDP</v>
      </c>
      <c r="BV20" s="94">
        <f>'TRA balance'!E58</f>
        <v>2018.2739999999999</v>
      </c>
      <c r="BW20" s="94">
        <f>'TRA balance'!F58</f>
        <v>2783.9391930000002</v>
      </c>
      <c r="BX20" s="94">
        <f>'TRA balance'!G58</f>
        <v>1015.21</v>
      </c>
      <c r="BY20" s="94">
        <f>'TRA balance'!H58</f>
        <v>1001.7532</v>
      </c>
      <c r="BZ20" s="94">
        <f>'TRA balance'!I58</f>
        <v>6334.56</v>
      </c>
      <c r="CA20" s="94">
        <f>'TRA balance'!J58</f>
        <v>10498.5182938</v>
      </c>
      <c r="CB20" s="94">
        <f>'TRA balance'!K58</f>
        <v>1111.5350000000001</v>
      </c>
      <c r="CC20" s="94">
        <f>'TRA balance'!L58</f>
        <v>2724.93</v>
      </c>
      <c r="CD20" s="94">
        <f>'TRA balance'!M58</f>
        <v>1586.46</v>
      </c>
      <c r="CE20" s="94">
        <f>'TRA balance'!N58</f>
        <v>21698.553</v>
      </c>
      <c r="CF20" s="94">
        <f>'TRA balance'!O58</f>
        <v>819.16</v>
      </c>
      <c r="CG20" s="94">
        <f>'TRA balance'!P58</f>
        <v>1871.7913000000001</v>
      </c>
      <c r="CH20" s="94">
        <f>'TRA balance'!Q58</f>
        <v>1517.9468999999999</v>
      </c>
      <c r="CI20" s="94">
        <f>'TRA balance'!R58</f>
        <v>2016.78901</v>
      </c>
      <c r="CJ20" s="94">
        <f>'TRA balance'!S58</f>
        <v>805.75800000000004</v>
      </c>
      <c r="CK20" s="94">
        <f>'TRA balance'!T58</f>
        <v>1655.67</v>
      </c>
      <c r="CL20" s="94">
        <f>'TRA balance'!U58</f>
        <v>2703.2985239</v>
      </c>
      <c r="CM20" s="94">
        <f>'TRA balance'!V58</f>
        <v>2313.4717470000001</v>
      </c>
      <c r="CN20" s="94">
        <f>'TRA balance'!W58</f>
        <v>3218.77</v>
      </c>
      <c r="CO20" s="94">
        <f>'TRA balance'!X58</f>
        <v>8348.0499999999993</v>
      </c>
      <c r="CP20" s="94">
        <f>'TRA balance'!Y58</f>
        <v>2670.5199213999999</v>
      </c>
      <c r="CQ20" s="94">
        <f>'TRA balance'!Z58</f>
        <v>1782.59</v>
      </c>
      <c r="CR20" s="94">
        <f>'TRA balance'!AA58</f>
        <v>3897.7242999999999</v>
      </c>
      <c r="CS20" s="94">
        <f>'TRA balance'!AB58</f>
        <v>281.30889999999999</v>
      </c>
      <c r="CT20" s="94">
        <f>'TRA balance'!AC58</f>
        <v>2310.67</v>
      </c>
      <c r="CU20" s="94">
        <f>'TRA balance'!AD58</f>
        <v>1712.87</v>
      </c>
      <c r="CV20" s="94">
        <f>'TRA balance'!AE58</f>
        <v>625.81200000000001</v>
      </c>
      <c r="CW20" s="94">
        <f>'TRA balance'!AF58</f>
        <v>2365.1179000000002</v>
      </c>
      <c r="CX20" s="94">
        <f>'TRA balance'!AG58</f>
        <v>16690.099999999999</v>
      </c>
      <c r="CY20" s="94">
        <f>'TRA balance'!AH58</f>
        <v>0</v>
      </c>
      <c r="CZ20" s="27"/>
      <c r="DA20" s="27" t="str">
        <f t="shared" si="33"/>
        <v>\I:</v>
      </c>
      <c r="DB20" s="27" t="str">
        <f t="shared" si="48"/>
        <v/>
      </c>
      <c r="DC20" s="27" t="s">
        <v>169</v>
      </c>
      <c r="DD20" s="27" t="s">
        <v>160</v>
      </c>
      <c r="DE20" s="27" t="s">
        <v>161</v>
      </c>
    </row>
    <row r="21" spans="1:109" ht="15" thickTop="1" thickBot="1" x14ac:dyDescent="0.5">
      <c r="C21" s="27" t="str">
        <f t="shared" si="39"/>
        <v/>
      </c>
      <c r="D21" s="27" t="s">
        <v>43</v>
      </c>
      <c r="E21" s="27" t="s">
        <v>399</v>
      </c>
      <c r="F21" s="27" t="s">
        <v>18</v>
      </c>
      <c r="G21" s="33">
        <f>SUMIFS(Assumptions!AN$105:AN$128,Assumptions!$AL$105:$AL$128,'non-road'!$F21,Assumptions!$AM$105:$AM$128,'non-road'!$D21)/SUMIF(Assumptions!$AL$105:$AL$128,'non-road'!$F21,Assumptions!AN$105:AN$128)</f>
        <v>1</v>
      </c>
      <c r="H21" s="33">
        <f>SUMIFS(Assumptions!AO$105:AO$128,Assumptions!$AL$105:$AL$128,'non-road'!$F21,Assumptions!$AM$105:$AM$128,'non-road'!$D21)/SUMIF(Assumptions!$AL$105:$AL$128,'non-road'!$F21,Assumptions!AO$105:AO$128)</f>
        <v>1</v>
      </c>
      <c r="I21" s="33">
        <f>SUMIFS(Assumptions!AP$105:AP$128,Assumptions!$AL$105:$AL$128,'non-road'!$F21,Assumptions!$AM$105:$AM$128,'non-road'!$D21)/SUMIF(Assumptions!$AL$105:$AL$128,'non-road'!$F21,Assumptions!AP$105:AP$128)</f>
        <v>1</v>
      </c>
      <c r="J21" s="33">
        <f>SUMIFS(Assumptions!AQ$105:AQ$128,Assumptions!$AL$105:$AL$128,'non-road'!$F21,Assumptions!$AM$105:$AM$128,'non-road'!$D21)/SUMIF(Assumptions!$AL$105:$AL$128,'non-road'!$F21,Assumptions!AQ$105:AQ$128)</f>
        <v>1</v>
      </c>
      <c r="K21" s="33">
        <f>SUMIFS(Assumptions!AR$105:AR$128,Assumptions!$AL$105:$AL$128,'non-road'!$F21,Assumptions!$AM$105:$AM$128,'non-road'!$D21)/SUMIF(Assumptions!$AL$105:$AL$128,'non-road'!$F21,Assumptions!AR$105:AR$128)</f>
        <v>1</v>
      </c>
      <c r="L21" s="33">
        <f>SUMIFS(Assumptions!AS$105:AS$128,Assumptions!$AL$105:$AL$128,'non-road'!$F21,Assumptions!$AM$105:$AM$128,'non-road'!$D21)/SUMIF(Assumptions!$AL$105:$AL$128,'non-road'!$F21,Assumptions!AS$105:AS$128)</f>
        <v>1</v>
      </c>
      <c r="M21" s="33">
        <f>SUMIFS(Assumptions!AT$105:AT$128,Assumptions!$AL$105:$AL$128,'non-road'!$F21,Assumptions!$AM$105:$AM$128,'non-road'!$D21)/SUMIF(Assumptions!$AL$105:$AL$128,'non-road'!$F21,Assumptions!AT$105:AT$128)</f>
        <v>1</v>
      </c>
      <c r="N21" s="33">
        <f>SUMIFS(Assumptions!AU$105:AU$128,Assumptions!$AL$105:$AL$128,'non-road'!$F21,Assumptions!$AM$105:$AM$128,'non-road'!$D21)/SUMIF(Assumptions!$AL$105:$AL$128,'non-road'!$F21,Assumptions!AU$105:AU$128)</f>
        <v>1</v>
      </c>
      <c r="O21" s="33">
        <f>SUMIFS(Assumptions!AV$105:AV$128,Assumptions!$AL$105:$AL$128,'non-road'!$F21,Assumptions!$AM$105:$AM$128,'non-road'!$D21)/SUMIF(Assumptions!$AL$105:$AL$128,'non-road'!$F21,Assumptions!AV$105:AV$128)</f>
        <v>1</v>
      </c>
      <c r="P21" s="33">
        <f>SUMIFS(Assumptions!AW$105:AW$128,Assumptions!$AL$105:$AL$128,'non-road'!$F21,Assumptions!$AM$105:$AM$128,'non-road'!$D21)/SUMIF(Assumptions!$AL$105:$AL$128,'non-road'!$F21,Assumptions!AW$105:AW$128)</f>
        <v>1</v>
      </c>
      <c r="Q21" s="33">
        <f>SUMIFS(Assumptions!AX$105:AX$128,Assumptions!$AL$105:$AL$128,'non-road'!$F21,Assumptions!$AM$105:$AM$128,'non-road'!$D21)/SUMIF(Assumptions!$AL$105:$AL$128,'non-road'!$F21,Assumptions!AX$105:AX$128)</f>
        <v>1</v>
      </c>
      <c r="R21" s="33">
        <f>SUMIFS(Assumptions!AY$105:AY$128,Assumptions!$AL$105:$AL$128,'non-road'!$F21,Assumptions!$AM$105:$AM$128,'non-road'!$D21)/SUMIF(Assumptions!$AL$105:$AL$128,'non-road'!$F21,Assumptions!AY$105:AY$128)</f>
        <v>1</v>
      </c>
      <c r="S21" s="33">
        <f>SUMIFS(Assumptions!AZ$105:AZ$128,Assumptions!$AL$105:$AL$128,'non-road'!$F21,Assumptions!$AM$105:$AM$128,'non-road'!$D21)/SUMIF(Assumptions!$AL$105:$AL$128,'non-road'!$F21,Assumptions!AZ$105:AZ$128)</f>
        <v>1</v>
      </c>
      <c r="T21" s="33">
        <f>SUMIFS(Assumptions!BA$105:BA$128,Assumptions!$AL$105:$AL$128,'non-road'!$F21,Assumptions!$AM$105:$AM$128,'non-road'!$D21)/SUMIF(Assumptions!$AL$105:$AL$128,'non-road'!$F21,Assumptions!BA$105:BA$128)</f>
        <v>1</v>
      </c>
      <c r="U21" s="33">
        <f>SUMIFS(Assumptions!BB$105:BB$128,Assumptions!$AL$105:$AL$128,'non-road'!$F21,Assumptions!$AM$105:$AM$128,'non-road'!$D21)/SUMIF(Assumptions!$AL$105:$AL$128,'non-road'!$F21,Assumptions!BB$105:BB$128)</f>
        <v>1</v>
      </c>
      <c r="V21" s="33">
        <f>SUMIFS(Assumptions!BC$105:BC$128,Assumptions!$AL$105:$AL$128,'non-road'!$F21,Assumptions!$AM$105:$AM$128,'non-road'!$D21)/SUMIF(Assumptions!$AL$105:$AL$128,'non-road'!$F21,Assumptions!BC$105:BC$128)</f>
        <v>1</v>
      </c>
      <c r="W21" s="33">
        <f>SUMIFS(Assumptions!BD$105:BD$128,Assumptions!$AL$105:$AL$128,'non-road'!$F21,Assumptions!$AM$105:$AM$128,'non-road'!$D21)/SUMIF(Assumptions!$AL$105:$AL$128,'non-road'!$F21,Assumptions!BD$105:BD$128)</f>
        <v>0.9823152658618941</v>
      </c>
      <c r="X21" s="33">
        <f>SUMIFS(Assumptions!BE$105:BE$128,Assumptions!$AL$105:$AL$128,'non-road'!$F21,Assumptions!$AM$105:$AM$128,'non-road'!$D21)/SUMIF(Assumptions!$AL$105:$AL$128,'non-road'!$F21,Assumptions!BE$105:BE$128)</f>
        <v>1</v>
      </c>
      <c r="Y21" s="33">
        <f>SUMIFS(Assumptions!BF$105:BF$128,Assumptions!$AL$105:$AL$128,'non-road'!$F21,Assumptions!$AM$105:$AM$128,'non-road'!$D21)/SUMIF(Assumptions!$AL$105:$AL$128,'non-road'!$F21,Assumptions!BF$105:BF$128)</f>
        <v>1</v>
      </c>
      <c r="Z21" s="33">
        <f>SUMIFS(Assumptions!BG$105:BG$128,Assumptions!$AL$105:$AL$128,'non-road'!$F21,Assumptions!$AM$105:$AM$128,'non-road'!$D21)/SUMIF(Assumptions!$AL$105:$AL$128,'non-road'!$F21,Assumptions!BG$105:BG$128)</f>
        <v>1</v>
      </c>
      <c r="AA21" s="33">
        <f>SUMIFS(Assumptions!BH$105:BH$128,Assumptions!$AL$105:$AL$128,'non-road'!$F21,Assumptions!$AM$105:$AM$128,'non-road'!$D21)/SUMIF(Assumptions!$AL$105:$AL$128,'non-road'!$F21,Assumptions!BH$105:BH$128)</f>
        <v>1</v>
      </c>
      <c r="AB21" s="33">
        <f>SUMIFS(Assumptions!BI$105:BI$128,Assumptions!$AL$105:$AL$128,'non-road'!$F21,Assumptions!$AM$105:$AM$128,'non-road'!$D21)/SUMIF(Assumptions!$AL$105:$AL$128,'non-road'!$F21,Assumptions!BI$105:BI$128)</f>
        <v>1</v>
      </c>
      <c r="AC21" s="33">
        <f>SUMIFS(Assumptions!BJ$105:BJ$128,Assumptions!$AL$105:$AL$128,'non-road'!$F21,Assumptions!$AM$105:$AM$128,'non-road'!$D21)/SUMIF(Assumptions!$AL$105:$AL$128,'non-road'!$F21,Assumptions!BJ$105:BJ$128)</f>
        <v>1</v>
      </c>
      <c r="AD21" s="33">
        <f>SUMIFS(Assumptions!BK$105:BK$128,Assumptions!$AL$105:$AL$128,'non-road'!$F21,Assumptions!$AM$105:$AM$128,'non-road'!$D21)/SUMIF(Assumptions!$AL$105:$AL$128,'non-road'!$F21,Assumptions!BK$105:BK$128)</f>
        <v>1</v>
      </c>
      <c r="AE21" s="33">
        <f>SUMIFS(Assumptions!BL$105:BL$128,Assumptions!$AL$105:$AL$128,'non-road'!$F21,Assumptions!$AM$105:$AM$128,'non-road'!$D21)/SUMIF(Assumptions!$AL$105:$AL$128,'non-road'!$F21,Assumptions!BL$105:BL$128)</f>
        <v>1</v>
      </c>
      <c r="AF21" s="33">
        <f>SUMIFS(Assumptions!BM$105:BM$128,Assumptions!$AL$105:$AL$128,'non-road'!$F21,Assumptions!$AM$105:$AM$128,'non-road'!$D21)/SUMIF(Assumptions!$AL$105:$AL$128,'non-road'!$F21,Assumptions!BM$105:BM$128)</f>
        <v>1</v>
      </c>
      <c r="AG21" s="33">
        <f>SUMIFS(Assumptions!BN$105:BN$128,Assumptions!$AL$105:$AL$128,'non-road'!$F21,Assumptions!$AM$105:$AM$128,'non-road'!$D21)/SUMIF(Assumptions!$AL$105:$AL$128,'non-road'!$F21,Assumptions!BN$105:BN$128)</f>
        <v>1</v>
      </c>
      <c r="AH21" s="33">
        <f>SUMIFS(Assumptions!BO$105:BO$128,Assumptions!$AL$105:$AL$128,'non-road'!$F21,Assumptions!$AM$105:$AM$128,'non-road'!$D21)/SUMIF(Assumptions!$AL$105:$AL$128,'non-road'!$F21,Assumptions!BO$105:BO$128)</f>
        <v>1</v>
      </c>
      <c r="AI21" s="33">
        <f>SUMIFS(Assumptions!BP$105:BP$128,Assumptions!$AL$105:$AL$128,'non-road'!$F21,Assumptions!$AM$105:$AM$128,'non-road'!$D21)/SUMIF(Assumptions!$AL$105:$AL$128,'non-road'!$F21,Assumptions!BP$105:BP$128)</f>
        <v>1</v>
      </c>
      <c r="AJ21" s="33" t="e">
        <f>SUMIFS(Assumptions!BQ$105:BQ$128,Assumptions!$AL$105:$AL$128,'non-road'!$F21,Assumptions!$AM$105:$AM$128,'non-road'!$D21)/SUMIF(Assumptions!$AL$105:$AL$128,'non-road'!$F21,Assumptions!BQ$105:BQ$128)</f>
        <v>#DIV/0!</v>
      </c>
      <c r="AN21" s="27" t="str">
        <f t="shared" si="40"/>
        <v>\I:</v>
      </c>
      <c r="AO21" s="33">
        <f>VLOOKUP($F21,Assumptions!$E$152:$AM$157,COLUMN()-COLUMN($AM$4),FALSE)</f>
        <v>1</v>
      </c>
      <c r="AP21" s="33">
        <f>VLOOKUP($F21,Assumptions!$E$152:$AM$157,COLUMN()-COLUMN($AM$4),FALSE)</f>
        <v>1</v>
      </c>
      <c r="AQ21" s="33">
        <f>VLOOKUP($F21,Assumptions!$E$152:$AM$157,COLUMN()-COLUMN($AM$4),FALSE)</f>
        <v>1</v>
      </c>
      <c r="AR21" s="33">
        <f>VLOOKUP($F21,Assumptions!$E$152:$AM$157,COLUMN()-COLUMN($AM$4),FALSE)</f>
        <v>1</v>
      </c>
      <c r="AS21" s="33">
        <f>VLOOKUP($F21,Assumptions!$E$152:$AM$157,COLUMN()-COLUMN($AM$4),FALSE)</f>
        <v>1</v>
      </c>
      <c r="AT21" s="33">
        <f>VLOOKUP($F21,Assumptions!$E$152:$AM$157,COLUMN()-COLUMN($AM$4),FALSE)</f>
        <v>1</v>
      </c>
      <c r="AU21" s="33">
        <f>VLOOKUP($F21,Assumptions!$E$152:$AM$157,COLUMN()-COLUMN($AM$4),FALSE)</f>
        <v>1</v>
      </c>
      <c r="AV21" s="33">
        <f>VLOOKUP($F21,Assumptions!$E$152:$AM$157,COLUMN()-COLUMN($AM$4),FALSE)</f>
        <v>1</v>
      </c>
      <c r="AW21" s="33">
        <f>VLOOKUP($F21,Assumptions!$E$152:$AM$157,COLUMN()-COLUMN($AM$4),FALSE)</f>
        <v>1</v>
      </c>
      <c r="AX21" s="33">
        <f>VLOOKUP($F21,Assumptions!$E$152:$AM$157,COLUMN()-COLUMN($AM$4),FALSE)</f>
        <v>1</v>
      </c>
      <c r="AY21" s="33">
        <f>VLOOKUP($F21,Assumptions!$E$152:$AM$157,COLUMN()-COLUMN($AM$4),FALSE)</f>
        <v>1</v>
      </c>
      <c r="AZ21" s="33">
        <f>VLOOKUP($F21,Assumptions!$E$152:$AM$157,COLUMN()-COLUMN($AM$4),FALSE)</f>
        <v>1</v>
      </c>
      <c r="BA21" s="33">
        <f>VLOOKUP($F21,Assumptions!$E$152:$AM$157,COLUMN()-COLUMN($AM$4),FALSE)</f>
        <v>1</v>
      </c>
      <c r="BB21" s="33">
        <f>VLOOKUP($F21,Assumptions!$E$152:$AM$157,COLUMN()-COLUMN($AM$4),FALSE)</f>
        <v>1</v>
      </c>
      <c r="BC21" s="33">
        <f>VLOOKUP($F21,Assumptions!$E$152:$AM$157,COLUMN()-COLUMN($AM$4),FALSE)</f>
        <v>1</v>
      </c>
      <c r="BD21" s="33">
        <f>VLOOKUP($F21,Assumptions!$E$152:$AM$157,COLUMN()-COLUMN($AM$4),FALSE)</f>
        <v>1</v>
      </c>
      <c r="BE21" s="33">
        <f>VLOOKUP($F21,Assumptions!$E$152:$AM$157,COLUMN()-COLUMN($AM$4),FALSE)</f>
        <v>1</v>
      </c>
      <c r="BF21" s="33">
        <f>VLOOKUP($F21,Assumptions!$E$152:$AM$157,COLUMN()-COLUMN($AM$4),FALSE)</f>
        <v>1</v>
      </c>
      <c r="BG21" s="33">
        <f>VLOOKUP($F21,Assumptions!$E$152:$AM$157,COLUMN()-COLUMN($AM$4),FALSE)</f>
        <v>1</v>
      </c>
      <c r="BH21" s="33">
        <f>VLOOKUP($F21,Assumptions!$E$152:$AM$157,COLUMN()-COLUMN($AM$4),FALSE)</f>
        <v>1</v>
      </c>
      <c r="BI21" s="33">
        <f>VLOOKUP($F21,Assumptions!$E$152:$AM$157,COLUMN()-COLUMN($AM$4),FALSE)</f>
        <v>1</v>
      </c>
      <c r="BJ21" s="33">
        <f>VLOOKUP($F21,Assumptions!$E$152:$AM$157,COLUMN()-COLUMN($AM$4),FALSE)</f>
        <v>1</v>
      </c>
      <c r="BK21" s="33">
        <f>VLOOKUP($F21,Assumptions!$E$152:$AM$157,COLUMN()-COLUMN($AM$4),FALSE)</f>
        <v>1</v>
      </c>
      <c r="BL21" s="33">
        <f>VLOOKUP($F21,Assumptions!$E$152:$AM$157,COLUMN()-COLUMN($AM$4),FALSE)</f>
        <v>1</v>
      </c>
      <c r="BM21" s="33">
        <f>VLOOKUP($F21,Assumptions!$E$152:$AM$157,COLUMN()-COLUMN($AM$4),FALSE)</f>
        <v>1</v>
      </c>
      <c r="BN21" s="33">
        <f>VLOOKUP($F21,Assumptions!$E$152:$AM$157,COLUMN()-COLUMN($AM$4),FALSE)</f>
        <v>1</v>
      </c>
      <c r="BO21" s="33">
        <f>VLOOKUP($F21,Assumptions!$E$152:$AM$157,COLUMN()-COLUMN($AM$4),FALSE)</f>
        <v>1</v>
      </c>
      <c r="BP21" s="33">
        <f>VLOOKUP($F21,Assumptions!$E$152:$AM$157,COLUMN()-COLUMN($AM$4),FALSE)</f>
        <v>1</v>
      </c>
      <c r="BQ21" s="33">
        <f>VLOOKUP($F21,Assumptions!$E$152:$AM$157,COLUMN()-COLUMN($AM$4),FALSE)</f>
        <v>1</v>
      </c>
      <c r="BR21" s="33">
        <f>VLOOKUP($F21,Assumptions!$E$152:$AM$157,COLUMN()-COLUMN($AM$4),FALSE)</f>
        <v>1</v>
      </c>
      <c r="BS21" s="27"/>
      <c r="BT21" s="49">
        <f>'TRA balance'!C59</f>
        <v>2019</v>
      </c>
      <c r="BU21" s="49" t="str">
        <f>'TRA balance'!D59</f>
        <v>POP</v>
      </c>
      <c r="BV21" s="94">
        <f>'TRA balance'!E59</f>
        <v>198.38505000000001</v>
      </c>
      <c r="BW21" s="94">
        <f>'TRA balance'!F59</f>
        <v>1039.485625</v>
      </c>
      <c r="BX21" s="94">
        <f>'TRA balance'!G59</f>
        <v>63.890700000000002</v>
      </c>
      <c r="BY21" s="94">
        <f>'TRA balance'!H59</f>
        <v>90.515600000000006</v>
      </c>
      <c r="BZ21" s="94">
        <f>'TRA balance'!I59</f>
        <v>177.97409999999999</v>
      </c>
      <c r="CA21" s="94">
        <f>'TRA balance'!J59</f>
        <v>1196.67780103</v>
      </c>
      <c r="CB21" s="94">
        <f>'TRA balance'!K59</f>
        <v>30.344999999999999</v>
      </c>
      <c r="CC21" s="94">
        <f>'TRA balance'!L59</f>
        <v>211.05</v>
      </c>
      <c r="CD21" s="94">
        <f>'TRA balance'!M59</f>
        <v>37.593400000000003</v>
      </c>
      <c r="CE21" s="94">
        <f>'TRA balance'!N59</f>
        <v>1405.2274</v>
      </c>
      <c r="CF21" s="94">
        <f>'TRA balance'!O59</f>
        <v>21.614930000000001</v>
      </c>
      <c r="CG21" s="94">
        <f>'TRA balance'!P59</f>
        <v>69.006330000000005</v>
      </c>
      <c r="CH21" s="94">
        <f>'TRA balance'!Q59</f>
        <v>34.388241000000001</v>
      </c>
      <c r="CI21" s="94">
        <f>'TRA balance'!R59</f>
        <v>72.185137699999999</v>
      </c>
      <c r="CJ21" s="94">
        <f>'TRA balance'!S59</f>
        <v>42.27214</v>
      </c>
      <c r="CK21" s="94">
        <f>'TRA balance'!T59</f>
        <v>57.419800000000002</v>
      </c>
      <c r="CL21" s="94">
        <f>'TRA balance'!U59</f>
        <v>164.817550463</v>
      </c>
      <c r="CM21" s="94">
        <f>'TRA balance'!V59</f>
        <v>68.440616300000002</v>
      </c>
      <c r="CN21" s="94">
        <f>'TRA balance'!W59</f>
        <v>83.093000000000004</v>
      </c>
      <c r="CO21" s="94">
        <f>'TRA balance'!X59</f>
        <v>1366.42</v>
      </c>
      <c r="CP21" s="94">
        <f>'TRA balance'!Y59</f>
        <v>245.14508555</v>
      </c>
      <c r="CQ21" s="94">
        <f>'TRA balance'!Z59</f>
        <v>127.57599999999999</v>
      </c>
      <c r="CR21" s="94">
        <f>'TRA balance'!AA59</f>
        <v>222.57825</v>
      </c>
      <c r="CS21" s="94">
        <f>'TRA balance'!AB59</f>
        <v>5.7084630000000001</v>
      </c>
      <c r="CT21" s="94">
        <f>'TRA balance'!AC59</f>
        <v>144.40600000000001</v>
      </c>
      <c r="CU21" s="94">
        <f>'TRA balance'!AD59</f>
        <v>34.268500000000003</v>
      </c>
      <c r="CV21" s="94">
        <f>'TRA balance'!AE59</f>
        <v>58.558300000000003</v>
      </c>
      <c r="CW21" s="94">
        <f>'TRA balance'!AF59</f>
        <v>66.878303259999996</v>
      </c>
      <c r="CX21" s="94">
        <f>'TRA balance'!AG59</f>
        <v>328.33</v>
      </c>
      <c r="CY21" s="94">
        <f>'TRA balance'!AH59</f>
        <v>0</v>
      </c>
      <c r="CZ21" s="27"/>
      <c r="DA21" s="27" t="str">
        <f t="shared" si="33"/>
        <v>DMD</v>
      </c>
      <c r="DB21" s="27" t="str">
        <f t="shared" si="48"/>
        <v>TAD_Generic</v>
      </c>
      <c r="DC21" s="27" t="s">
        <v>163</v>
      </c>
      <c r="DD21" s="27" t="s">
        <v>160</v>
      </c>
      <c r="DE21" s="27" t="s">
        <v>161</v>
      </c>
    </row>
    <row r="22" spans="1:109" ht="14.65" thickTop="1" x14ac:dyDescent="0.45">
      <c r="C22" s="27" t="str">
        <f t="shared" si="39"/>
        <v>TAD_Generic</v>
      </c>
      <c r="D22" s="27" t="s">
        <v>42</v>
      </c>
      <c r="E22" s="27"/>
      <c r="F22" s="27" t="s">
        <v>20</v>
      </c>
      <c r="G22" s="33">
        <f>SUMIFS(Assumptions!AN$105:AN$128,Assumptions!$AL$105:$AL$128,'non-road'!$F22,Assumptions!$AM$105:$AM$128,'non-road'!$D22)/SUMIF(Assumptions!$AL$105:$AL$128,'non-road'!$F22,Assumptions!AN$105:AN$128)</f>
        <v>0</v>
      </c>
      <c r="H22" s="33">
        <f>SUMIFS(Assumptions!AO$105:AO$128,Assumptions!$AL$105:$AL$128,'non-road'!$F22,Assumptions!$AM$105:$AM$128,'non-road'!$D22)/SUMIF(Assumptions!$AL$105:$AL$128,'non-road'!$F22,Assumptions!AO$105:AO$128)</f>
        <v>0</v>
      </c>
      <c r="I22" s="33">
        <f>SUMIFS(Assumptions!AP$105:AP$128,Assumptions!$AL$105:$AL$128,'non-road'!$F22,Assumptions!$AM$105:$AM$128,'non-road'!$D22)/SUMIF(Assumptions!$AL$105:$AL$128,'non-road'!$F22,Assumptions!AP$105:AP$128)</f>
        <v>3.4376548849596629E-3</v>
      </c>
      <c r="J22" s="33">
        <f>SUMIFS(Assumptions!AQ$105:AQ$128,Assumptions!$AL$105:$AL$128,'non-road'!$F22,Assumptions!$AM$105:$AM$128,'non-road'!$D22)/SUMIF(Assumptions!$AL$105:$AL$128,'non-road'!$F22,Assumptions!AQ$105:AQ$128)</f>
        <v>0</v>
      </c>
      <c r="K22" s="33">
        <f>SUMIFS(Assumptions!AR$105:AR$128,Assumptions!$AL$105:$AL$128,'non-road'!$F22,Assumptions!$AM$105:$AM$128,'non-road'!$D22)/SUMIF(Assumptions!$AL$105:$AL$128,'non-road'!$F22,Assumptions!AR$105:AR$128)</f>
        <v>0</v>
      </c>
      <c r="L22" s="33">
        <f>SUMIFS(Assumptions!AS$105:AS$128,Assumptions!$AL$105:$AL$128,'non-road'!$F22,Assumptions!$AM$105:$AM$128,'non-road'!$D22)/SUMIF(Assumptions!$AL$105:$AL$128,'non-road'!$F22,Assumptions!AS$105:AS$128)</f>
        <v>3.2224419773723135E-5</v>
      </c>
      <c r="M22" s="33">
        <f>SUMIFS(Assumptions!AT$105:AT$128,Assumptions!$AL$105:$AL$128,'non-road'!$F22,Assumptions!$AM$105:$AM$128,'non-road'!$D22)/SUMIF(Assumptions!$AL$105:$AL$128,'non-road'!$F22,Assumptions!AT$105:AT$128)</f>
        <v>0</v>
      </c>
      <c r="N22" s="33">
        <f>SUMIFS(Assumptions!AU$105:AU$128,Assumptions!$AL$105:$AL$128,'non-road'!$F22,Assumptions!$AM$105:$AM$128,'non-road'!$D22)/SUMIF(Assumptions!$AL$105:$AL$128,'non-road'!$F22,Assumptions!AU$105:AU$128)</f>
        <v>0</v>
      </c>
      <c r="O22" s="33">
        <f>SUMIFS(Assumptions!AV$105:AV$128,Assumptions!$AL$105:$AL$128,'non-road'!$F22,Assumptions!$AM$105:$AM$128,'non-road'!$D22)/SUMIF(Assumptions!$AL$105:$AL$128,'non-road'!$F22,Assumptions!AV$105:AV$128)</f>
        <v>0</v>
      </c>
      <c r="P22" s="33">
        <f>SUMIFS(Assumptions!AW$105:AW$128,Assumptions!$AL$105:$AL$128,'non-road'!$F22,Assumptions!$AM$105:$AM$128,'non-road'!$D22)/SUMIF(Assumptions!$AL$105:$AL$128,'non-road'!$F22,Assumptions!AW$105:AW$128)</f>
        <v>0</v>
      </c>
      <c r="Q22" s="33">
        <f>SUMIFS(Assumptions!AX$105:AX$128,Assumptions!$AL$105:$AL$128,'non-road'!$F22,Assumptions!$AM$105:$AM$128,'non-road'!$D22)/SUMIF(Assumptions!$AL$105:$AL$128,'non-road'!$F22,Assumptions!AX$105:AX$128)</f>
        <v>4.275658713811893E-6</v>
      </c>
      <c r="R22" s="33">
        <f>SUMIFS(Assumptions!AY$105:AY$128,Assumptions!$AL$105:$AL$128,'non-road'!$F22,Assumptions!$AM$105:$AM$128,'non-road'!$D22)/SUMIF(Assumptions!$AL$105:$AL$128,'non-road'!$F22,Assumptions!AY$105:AY$128)</f>
        <v>0</v>
      </c>
      <c r="S22" s="33">
        <f>SUMIFS(Assumptions!AZ$105:AZ$128,Assumptions!$AL$105:$AL$128,'non-road'!$F22,Assumptions!$AM$105:$AM$128,'non-road'!$D22)/SUMIF(Assumptions!$AL$105:$AL$128,'non-road'!$F22,Assumptions!AZ$105:AZ$128)</f>
        <v>3.878337375455395E-2</v>
      </c>
      <c r="T22" s="33">
        <f>SUMIFS(Assumptions!BA$105:BA$128,Assumptions!$AL$105:$AL$128,'non-road'!$F22,Assumptions!$AM$105:$AM$128,'non-road'!$D22)/SUMIF(Assumptions!$AL$105:$AL$128,'non-road'!$F22,Assumptions!BA$105:BA$128)</f>
        <v>0</v>
      </c>
      <c r="U22" s="33">
        <f>SUMIFS(Assumptions!BB$105:BB$128,Assumptions!$AL$105:$AL$128,'non-road'!$F22,Assumptions!$AM$105:$AM$128,'non-road'!$D22)/SUMIF(Assumptions!$AL$105:$AL$128,'non-road'!$F22,Assumptions!BB$105:BB$128)</f>
        <v>0</v>
      </c>
      <c r="V22" s="33">
        <f>SUMIFS(Assumptions!BC$105:BC$128,Assumptions!$AL$105:$AL$128,'non-road'!$F22,Assumptions!$AM$105:$AM$128,'non-road'!$D22)/SUMIF(Assumptions!$AL$105:$AL$128,'non-road'!$F22,Assumptions!BC$105:BC$128)</f>
        <v>0</v>
      </c>
      <c r="W22" s="33">
        <f>SUMIFS(Assumptions!BD$105:BD$128,Assumptions!$AL$105:$AL$128,'non-road'!$F22,Assumptions!$AM$105:$AM$128,'non-road'!$D22)/SUMIF(Assumptions!$AL$105:$AL$128,'non-road'!$F22,Assumptions!BD$105:BD$128)</f>
        <v>0</v>
      </c>
      <c r="X22" s="33">
        <f>SUMIFS(Assumptions!BE$105:BE$128,Assumptions!$AL$105:$AL$128,'non-road'!$F22,Assumptions!$AM$105:$AM$128,'non-road'!$D22)/SUMIF(Assumptions!$AL$105:$AL$128,'non-road'!$F22,Assumptions!BE$105:BE$128)</f>
        <v>0</v>
      </c>
      <c r="Y22" s="33">
        <f>SUMIFS(Assumptions!BF$105:BF$128,Assumptions!$AL$105:$AL$128,'non-road'!$F22,Assumptions!$AM$105:$AM$128,'non-road'!$D22)/SUMIF(Assumptions!$AL$105:$AL$128,'non-road'!$F22,Assumptions!BF$105:BF$128)</f>
        <v>0</v>
      </c>
      <c r="Z22" s="33">
        <f>SUMIFS(Assumptions!BG$105:BG$128,Assumptions!$AL$105:$AL$128,'non-road'!$F22,Assumptions!$AM$105:$AM$128,'non-road'!$D22)/SUMIF(Assumptions!$AL$105:$AL$128,'non-road'!$F22,Assumptions!BG$105:BG$128)</f>
        <v>0</v>
      </c>
      <c r="AA22" s="33">
        <f>SUMIFS(Assumptions!BH$105:BH$128,Assumptions!$AL$105:$AL$128,'non-road'!$F22,Assumptions!$AM$105:$AM$128,'non-road'!$D22)/SUMIF(Assumptions!$AL$105:$AL$128,'non-road'!$F22,Assumptions!BH$105:BH$128)</f>
        <v>1.3610000796455206E-2</v>
      </c>
      <c r="AB22" s="33">
        <f>SUMIFS(Assumptions!BI$105:BI$128,Assumptions!$AL$105:$AL$128,'non-road'!$F22,Assumptions!$AM$105:$AM$128,'non-road'!$D22)/SUMIF(Assumptions!$AL$105:$AL$128,'non-road'!$F22,Assumptions!BI$105:BI$128)</f>
        <v>0</v>
      </c>
      <c r="AC22" s="33">
        <f>SUMIFS(Assumptions!BJ$105:BJ$128,Assumptions!$AL$105:$AL$128,'non-road'!$F22,Assumptions!$AM$105:$AM$128,'non-road'!$D22)/SUMIF(Assumptions!$AL$105:$AL$128,'non-road'!$F22,Assumptions!BJ$105:BJ$128)</f>
        <v>0</v>
      </c>
      <c r="AD22" s="33">
        <f>SUMIFS(Assumptions!BK$105:BK$128,Assumptions!$AL$105:$AL$128,'non-road'!$F22,Assumptions!$AM$105:$AM$128,'non-road'!$D22)/SUMIF(Assumptions!$AL$105:$AL$128,'non-road'!$F22,Assumptions!BK$105:BK$128)</f>
        <v>0</v>
      </c>
      <c r="AE22" s="33">
        <f>SUMIFS(Assumptions!BL$105:BL$128,Assumptions!$AL$105:$AL$128,'non-road'!$F22,Assumptions!$AM$105:$AM$128,'non-road'!$D22)/SUMIF(Assumptions!$AL$105:$AL$128,'non-road'!$F22,Assumptions!BL$105:BL$128)</f>
        <v>0</v>
      </c>
      <c r="AF22" s="33">
        <f>SUMIFS(Assumptions!BM$105:BM$128,Assumptions!$AL$105:$AL$128,'non-road'!$F22,Assumptions!$AM$105:$AM$128,'non-road'!$D22)/SUMIF(Assumptions!$AL$105:$AL$128,'non-road'!$F22,Assumptions!BM$105:BM$128)</f>
        <v>0</v>
      </c>
      <c r="AG22" s="33">
        <f>SUMIFS(Assumptions!BN$105:BN$128,Assumptions!$AL$105:$AL$128,'non-road'!$F22,Assumptions!$AM$105:$AM$128,'non-road'!$D22)/SUMIF(Assumptions!$AL$105:$AL$128,'non-road'!$F22,Assumptions!BN$105:BN$128)</f>
        <v>0</v>
      </c>
      <c r="AH22" s="33">
        <f>SUMIFS(Assumptions!BO$105:BO$128,Assumptions!$AL$105:$AL$128,'non-road'!$F22,Assumptions!$AM$105:$AM$128,'non-road'!$D22)/SUMIF(Assumptions!$AL$105:$AL$128,'non-road'!$F22,Assumptions!BO$105:BO$128)</f>
        <v>0</v>
      </c>
      <c r="AI22" s="33">
        <f>SUMIFS(Assumptions!BP$105:BP$128,Assumptions!$AL$105:$AL$128,'non-road'!$F22,Assumptions!$AM$105:$AM$128,'non-road'!$D22)/SUMIF(Assumptions!$AL$105:$AL$128,'non-road'!$F22,Assumptions!BP$105:BP$128)</f>
        <v>0</v>
      </c>
      <c r="AJ22" s="33" t="e">
        <f>SUMIFS(Assumptions!BQ$105:BQ$128,Assumptions!$AL$105:$AL$128,'non-road'!$F22,Assumptions!$AM$105:$AM$128,'non-road'!$D22)/SUMIF(Assumptions!$AL$105:$AL$128,'non-road'!$F22,Assumptions!BQ$105:BQ$128)</f>
        <v>#DIV/0!</v>
      </c>
      <c r="AN22" s="27" t="str">
        <f t="shared" si="40"/>
        <v>TAD_Generic</v>
      </c>
      <c r="AO22" s="33">
        <f>VLOOKUP($F22,Assumptions!$E$152:$AM$157,COLUMN()-COLUMN($AM$4),FALSE)</f>
        <v>1</v>
      </c>
      <c r="AP22" s="33">
        <f>VLOOKUP($F22,Assumptions!$E$152:$AM$157,COLUMN()-COLUMN($AM$4),FALSE)</f>
        <v>1</v>
      </c>
      <c r="AQ22" s="33">
        <f>VLOOKUP($F22,Assumptions!$E$152:$AM$157,COLUMN()-COLUMN($AM$4),FALSE)</f>
        <v>1</v>
      </c>
      <c r="AR22" s="33">
        <f>VLOOKUP($F22,Assumptions!$E$152:$AM$157,COLUMN()-COLUMN($AM$4),FALSE)</f>
        <v>1</v>
      </c>
      <c r="AS22" s="33">
        <f>VLOOKUP($F22,Assumptions!$E$152:$AM$157,COLUMN()-COLUMN($AM$4),FALSE)</f>
        <v>1</v>
      </c>
      <c r="AT22" s="33">
        <f>VLOOKUP($F22,Assumptions!$E$152:$AM$157,COLUMN()-COLUMN($AM$4),FALSE)</f>
        <v>1</v>
      </c>
      <c r="AU22" s="33">
        <f>VLOOKUP($F22,Assumptions!$E$152:$AM$157,COLUMN()-COLUMN($AM$4),FALSE)</f>
        <v>1</v>
      </c>
      <c r="AV22" s="33">
        <f>VLOOKUP($F22,Assumptions!$E$152:$AM$157,COLUMN()-COLUMN($AM$4),FALSE)</f>
        <v>1</v>
      </c>
      <c r="AW22" s="33">
        <f>VLOOKUP($F22,Assumptions!$E$152:$AM$157,COLUMN()-COLUMN($AM$4),FALSE)</f>
        <v>1</v>
      </c>
      <c r="AX22" s="33">
        <f>VLOOKUP($F22,Assumptions!$E$152:$AM$157,COLUMN()-COLUMN($AM$4),FALSE)</f>
        <v>1</v>
      </c>
      <c r="AY22" s="33">
        <f>VLOOKUP($F22,Assumptions!$E$152:$AM$157,COLUMN()-COLUMN($AM$4),FALSE)</f>
        <v>1</v>
      </c>
      <c r="AZ22" s="33">
        <f>VLOOKUP($F22,Assumptions!$E$152:$AM$157,COLUMN()-COLUMN($AM$4),FALSE)</f>
        <v>1</v>
      </c>
      <c r="BA22" s="33">
        <f>VLOOKUP($F22,Assumptions!$E$152:$AM$157,COLUMN()-COLUMN($AM$4),FALSE)</f>
        <v>1</v>
      </c>
      <c r="BB22" s="33">
        <f>VLOOKUP($F22,Assumptions!$E$152:$AM$157,COLUMN()-COLUMN($AM$4),FALSE)</f>
        <v>1</v>
      </c>
      <c r="BC22" s="33">
        <f>VLOOKUP($F22,Assumptions!$E$152:$AM$157,COLUMN()-COLUMN($AM$4),FALSE)</f>
        <v>1</v>
      </c>
      <c r="BD22" s="33">
        <f>VLOOKUP($F22,Assumptions!$E$152:$AM$157,COLUMN()-COLUMN($AM$4),FALSE)</f>
        <v>1</v>
      </c>
      <c r="BE22" s="33">
        <f>VLOOKUP($F22,Assumptions!$E$152:$AM$157,COLUMN()-COLUMN($AM$4),FALSE)</f>
        <v>1</v>
      </c>
      <c r="BF22" s="33">
        <f>VLOOKUP($F22,Assumptions!$E$152:$AM$157,COLUMN()-COLUMN($AM$4),FALSE)</f>
        <v>1</v>
      </c>
      <c r="BG22" s="33">
        <f>VLOOKUP($F22,Assumptions!$E$152:$AM$157,COLUMN()-COLUMN($AM$4),FALSE)</f>
        <v>1</v>
      </c>
      <c r="BH22" s="33">
        <f>VLOOKUP($F22,Assumptions!$E$152:$AM$157,COLUMN()-COLUMN($AM$4),FALSE)</f>
        <v>1</v>
      </c>
      <c r="BI22" s="33">
        <f>VLOOKUP($F22,Assumptions!$E$152:$AM$157,COLUMN()-COLUMN($AM$4),FALSE)</f>
        <v>1</v>
      </c>
      <c r="BJ22" s="33">
        <f>VLOOKUP($F22,Assumptions!$E$152:$AM$157,COLUMN()-COLUMN($AM$4),FALSE)</f>
        <v>1</v>
      </c>
      <c r="BK22" s="33">
        <f>VLOOKUP($F22,Assumptions!$E$152:$AM$157,COLUMN()-COLUMN($AM$4),FALSE)</f>
        <v>1</v>
      </c>
      <c r="BL22" s="33">
        <f>VLOOKUP($F22,Assumptions!$E$152:$AM$157,COLUMN()-COLUMN($AM$4),FALSE)</f>
        <v>1</v>
      </c>
      <c r="BM22" s="33">
        <f>VLOOKUP($F22,Assumptions!$E$152:$AM$157,COLUMN()-COLUMN($AM$4),FALSE)</f>
        <v>1</v>
      </c>
      <c r="BN22" s="33">
        <f>VLOOKUP($F22,Assumptions!$E$152:$AM$157,COLUMN()-COLUMN($AM$4),FALSE)</f>
        <v>1</v>
      </c>
      <c r="BO22" s="33">
        <f>VLOOKUP($F22,Assumptions!$E$152:$AM$157,COLUMN()-COLUMN($AM$4),FALSE)</f>
        <v>1</v>
      </c>
      <c r="BP22" s="33">
        <f>VLOOKUP($F22,Assumptions!$E$152:$AM$157,COLUMN()-COLUMN($AM$4),FALSE)</f>
        <v>1</v>
      </c>
      <c r="BQ22" s="33">
        <f>VLOOKUP($F22,Assumptions!$E$152:$AM$157,COLUMN()-COLUMN($AM$4),FALSE)</f>
        <v>1</v>
      </c>
      <c r="BR22" s="33">
        <f>VLOOKUP($F22,Assumptions!$E$152:$AM$157,COLUMN()-COLUMN($AM$4),FALSE)</f>
        <v>1</v>
      </c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 t="str">
        <f t="shared" si="33"/>
        <v>\I:</v>
      </c>
      <c r="DB22" s="27" t="str">
        <f t="shared" si="48"/>
        <v/>
      </c>
      <c r="DC22" s="27" t="s">
        <v>169</v>
      </c>
      <c r="DD22" s="27" t="s">
        <v>160</v>
      </c>
      <c r="DE22" s="27" t="s">
        <v>161</v>
      </c>
    </row>
    <row r="23" spans="1:109" x14ac:dyDescent="0.45">
      <c r="C23" s="27" t="str">
        <f t="shared" si="39"/>
        <v/>
      </c>
      <c r="D23" s="27" t="s">
        <v>41</v>
      </c>
      <c r="E23" s="27"/>
      <c r="F23" s="27" t="s">
        <v>20</v>
      </c>
      <c r="G23" s="33">
        <f>SUMIFS(Assumptions!AN$105:AN$128,Assumptions!$AL$105:$AL$128,'non-road'!$F23,Assumptions!$AM$105:$AM$128,'non-road'!$D23)/SUMIF(Assumptions!$AL$105:$AL$128,'non-road'!$F23,Assumptions!AN$105:AN$128)</f>
        <v>0</v>
      </c>
      <c r="H23" s="33">
        <f>SUMIFS(Assumptions!AO$105:AO$128,Assumptions!$AL$105:$AL$128,'non-road'!$F23,Assumptions!$AM$105:$AM$128,'non-road'!$D23)/SUMIF(Assumptions!$AL$105:$AL$128,'non-road'!$F23,Assumptions!AO$105:AO$128)</f>
        <v>2.0396465179014301E-3</v>
      </c>
      <c r="I23" s="33">
        <f>SUMIFS(Assumptions!AP$105:AP$128,Assumptions!$AL$105:$AL$128,'non-road'!$F23,Assumptions!$AM$105:$AM$128,'non-road'!$D23)/SUMIF(Assumptions!$AL$105:$AL$128,'non-road'!$F23,Assumptions!AP$105:AP$128)</f>
        <v>5.8693960257887815E-3</v>
      </c>
      <c r="J23" s="33">
        <f>SUMIFS(Assumptions!AQ$105:AQ$128,Assumptions!$AL$105:$AL$128,'non-road'!$F23,Assumptions!$AM$105:$AM$128,'non-road'!$D23)/SUMIF(Assumptions!$AL$105:$AL$128,'non-road'!$F23,Assumptions!AQ$105:AQ$128)</f>
        <v>5.0264513713856756E-4</v>
      </c>
      <c r="K23" s="33">
        <f>SUMIFS(Assumptions!AR$105:AR$128,Assumptions!$AL$105:$AL$128,'non-road'!$F23,Assumptions!$AM$105:$AM$128,'non-road'!$D23)/SUMIF(Assumptions!$AL$105:$AL$128,'non-road'!$F23,Assumptions!AR$105:AR$128)</f>
        <v>2.8901162258728212E-4</v>
      </c>
      <c r="L23" s="33">
        <f>SUMIFS(Assumptions!AS$105:AS$128,Assumptions!$AL$105:$AL$128,'non-road'!$F23,Assumptions!$AM$105:$AM$128,'non-road'!$D23)/SUMIF(Assumptions!$AL$105:$AL$128,'non-road'!$F23,Assumptions!AS$105:AS$128)</f>
        <v>0</v>
      </c>
      <c r="M23" s="33">
        <f>SUMIFS(Assumptions!AT$105:AT$128,Assumptions!$AL$105:$AL$128,'non-road'!$F23,Assumptions!$AM$105:$AM$128,'non-road'!$D23)/SUMIF(Assumptions!$AL$105:$AL$128,'non-road'!$F23,Assumptions!AT$105:AT$128)</f>
        <v>0</v>
      </c>
      <c r="N23" s="33">
        <f>SUMIFS(Assumptions!AU$105:AU$128,Assumptions!$AL$105:$AL$128,'non-road'!$F23,Assumptions!$AM$105:$AM$128,'non-road'!$D23)/SUMIF(Assumptions!$AL$105:$AL$128,'non-road'!$F23,Assumptions!AU$105:AU$128)</f>
        <v>0</v>
      </c>
      <c r="O23" s="33">
        <f>SUMIFS(Assumptions!AV$105:AV$128,Assumptions!$AL$105:$AL$128,'non-road'!$F23,Assumptions!$AM$105:$AM$128,'non-road'!$D23)/SUMIF(Assumptions!$AL$105:$AL$128,'non-road'!$F23,Assumptions!AV$105:AV$128)</f>
        <v>0</v>
      </c>
      <c r="P23" s="33">
        <f>SUMIFS(Assumptions!AW$105:AW$128,Assumptions!$AL$105:$AL$128,'non-road'!$F23,Assumptions!$AM$105:$AM$128,'non-road'!$D23)/SUMIF(Assumptions!$AL$105:$AL$128,'non-road'!$F23,Assumptions!AW$105:AW$128)</f>
        <v>0</v>
      </c>
      <c r="Q23" s="33">
        <f>SUMIFS(Assumptions!AX$105:AX$128,Assumptions!$AL$105:$AL$128,'non-road'!$F23,Assumptions!$AM$105:$AM$128,'non-road'!$D23)/SUMIF(Assumptions!$AL$105:$AL$128,'non-road'!$F23,Assumptions!AX$105:AX$128)</f>
        <v>0</v>
      </c>
      <c r="R23" s="33">
        <f>SUMIFS(Assumptions!AY$105:AY$128,Assumptions!$AL$105:$AL$128,'non-road'!$F23,Assumptions!$AM$105:$AM$128,'non-road'!$D23)/SUMIF(Assumptions!$AL$105:$AL$128,'non-road'!$F23,Assumptions!AY$105:AY$128)</f>
        <v>0</v>
      </c>
      <c r="S23" s="33">
        <f>SUMIFS(Assumptions!AZ$105:AZ$128,Assumptions!$AL$105:$AL$128,'non-road'!$F23,Assumptions!$AM$105:$AM$128,'non-road'!$D23)/SUMIF(Assumptions!$AL$105:$AL$128,'non-road'!$F23,Assumptions!AZ$105:AZ$128)</f>
        <v>0</v>
      </c>
      <c r="T23" s="33">
        <f>SUMIFS(Assumptions!BA$105:BA$128,Assumptions!$AL$105:$AL$128,'non-road'!$F23,Assumptions!$AM$105:$AM$128,'non-road'!$D23)/SUMIF(Assumptions!$AL$105:$AL$128,'non-road'!$F23,Assumptions!BA$105:BA$128)</f>
        <v>0</v>
      </c>
      <c r="U23" s="33">
        <f>SUMIFS(Assumptions!BB$105:BB$128,Assumptions!$AL$105:$AL$128,'non-road'!$F23,Assumptions!$AM$105:$AM$128,'non-road'!$D23)/SUMIF(Assumptions!$AL$105:$AL$128,'non-road'!$F23,Assumptions!BB$105:BB$128)</f>
        <v>0</v>
      </c>
      <c r="V23" s="33">
        <f>SUMIFS(Assumptions!BC$105:BC$128,Assumptions!$AL$105:$AL$128,'non-road'!$F23,Assumptions!$AM$105:$AM$128,'non-road'!$D23)/SUMIF(Assumptions!$AL$105:$AL$128,'non-road'!$F23,Assumptions!BC$105:BC$128)</f>
        <v>0</v>
      </c>
      <c r="W23" s="33">
        <f>SUMIFS(Assumptions!BD$105:BD$128,Assumptions!$AL$105:$AL$128,'non-road'!$F23,Assumptions!$AM$105:$AM$128,'non-road'!$D23)/SUMIF(Assumptions!$AL$105:$AL$128,'non-road'!$F23,Assumptions!BD$105:BD$128)</f>
        <v>0</v>
      </c>
      <c r="X23" s="33">
        <f>SUMIFS(Assumptions!BE$105:BE$128,Assumptions!$AL$105:$AL$128,'non-road'!$F23,Assumptions!$AM$105:$AM$128,'non-road'!$D23)/SUMIF(Assumptions!$AL$105:$AL$128,'non-road'!$F23,Assumptions!BE$105:BE$128)</f>
        <v>0</v>
      </c>
      <c r="Y23" s="33">
        <f>SUMIFS(Assumptions!BF$105:BF$128,Assumptions!$AL$105:$AL$128,'non-road'!$F23,Assumptions!$AM$105:$AM$128,'non-road'!$D23)/SUMIF(Assumptions!$AL$105:$AL$128,'non-road'!$F23,Assumptions!BF$105:BF$128)</f>
        <v>0</v>
      </c>
      <c r="Z23" s="33">
        <f>SUMIFS(Assumptions!BG$105:BG$128,Assumptions!$AL$105:$AL$128,'non-road'!$F23,Assumptions!$AM$105:$AM$128,'non-road'!$D23)/SUMIF(Assumptions!$AL$105:$AL$128,'non-road'!$F23,Assumptions!BG$105:BG$128)</f>
        <v>0</v>
      </c>
      <c r="AA23" s="33">
        <f>SUMIFS(Assumptions!BH$105:BH$128,Assumptions!$AL$105:$AL$128,'non-road'!$F23,Assumptions!$AM$105:$AM$128,'non-road'!$D23)/SUMIF(Assumptions!$AL$105:$AL$128,'non-road'!$F23,Assumptions!BH$105:BH$128)</f>
        <v>0</v>
      </c>
      <c r="AB23" s="33">
        <f>SUMIFS(Assumptions!BI$105:BI$128,Assumptions!$AL$105:$AL$128,'non-road'!$F23,Assumptions!$AM$105:$AM$128,'non-road'!$D23)/SUMIF(Assumptions!$AL$105:$AL$128,'non-road'!$F23,Assumptions!BI$105:BI$128)</f>
        <v>0</v>
      </c>
      <c r="AC23" s="33">
        <f>SUMIFS(Assumptions!BJ$105:BJ$128,Assumptions!$AL$105:$AL$128,'non-road'!$F23,Assumptions!$AM$105:$AM$128,'non-road'!$D23)/SUMIF(Assumptions!$AL$105:$AL$128,'non-road'!$F23,Assumptions!BJ$105:BJ$128)</f>
        <v>0</v>
      </c>
      <c r="AD23" s="33">
        <f>SUMIFS(Assumptions!BK$105:BK$128,Assumptions!$AL$105:$AL$128,'non-road'!$F23,Assumptions!$AM$105:$AM$128,'non-road'!$D23)/SUMIF(Assumptions!$AL$105:$AL$128,'non-road'!$F23,Assumptions!BK$105:BK$128)</f>
        <v>0</v>
      </c>
      <c r="AE23" s="33">
        <f>SUMIFS(Assumptions!BL$105:BL$128,Assumptions!$AL$105:$AL$128,'non-road'!$F23,Assumptions!$AM$105:$AM$128,'non-road'!$D23)/SUMIF(Assumptions!$AL$105:$AL$128,'non-road'!$F23,Assumptions!BL$105:BL$128)</f>
        <v>0</v>
      </c>
      <c r="AF23" s="33">
        <f>SUMIFS(Assumptions!BM$105:BM$128,Assumptions!$AL$105:$AL$128,'non-road'!$F23,Assumptions!$AM$105:$AM$128,'non-road'!$D23)/SUMIF(Assumptions!$AL$105:$AL$128,'non-road'!$F23,Assumptions!BM$105:BM$128)</f>
        <v>0</v>
      </c>
      <c r="AG23" s="33">
        <f>SUMIFS(Assumptions!BN$105:BN$128,Assumptions!$AL$105:$AL$128,'non-road'!$F23,Assumptions!$AM$105:$AM$128,'non-road'!$D23)/SUMIF(Assumptions!$AL$105:$AL$128,'non-road'!$F23,Assumptions!BN$105:BN$128)</f>
        <v>1.4147070216995093E-2</v>
      </c>
      <c r="AH23" s="33">
        <f>SUMIFS(Assumptions!BO$105:BO$128,Assumptions!$AL$105:$AL$128,'non-road'!$F23,Assumptions!$AM$105:$AM$128,'non-road'!$D23)/SUMIF(Assumptions!$AL$105:$AL$128,'non-road'!$F23,Assumptions!BO$105:BO$128)</f>
        <v>0</v>
      </c>
      <c r="AI23" s="33">
        <f>SUMIFS(Assumptions!BP$105:BP$128,Assumptions!$AL$105:$AL$128,'non-road'!$F23,Assumptions!$AM$105:$AM$128,'non-road'!$D23)/SUMIF(Assumptions!$AL$105:$AL$128,'non-road'!$F23,Assumptions!BP$105:BP$128)</f>
        <v>0</v>
      </c>
      <c r="AJ23" s="33" t="e">
        <f>SUMIFS(Assumptions!BQ$105:BQ$128,Assumptions!$AL$105:$AL$128,'non-road'!$F23,Assumptions!$AM$105:$AM$128,'non-road'!$D23)/SUMIF(Assumptions!$AL$105:$AL$128,'non-road'!$F23,Assumptions!BQ$105:BQ$128)</f>
        <v>#DIV/0!</v>
      </c>
      <c r="AN23" s="27" t="str">
        <f t="shared" si="40"/>
        <v>\I:</v>
      </c>
      <c r="AO23" s="33">
        <f>VLOOKUP($F23,Assumptions!$E$152:$AM$157,COLUMN()-COLUMN($AM$4),FALSE)</f>
        <v>1</v>
      </c>
      <c r="AP23" s="33">
        <f>VLOOKUP($F23,Assumptions!$E$152:$AM$157,COLUMN()-COLUMN($AM$4),FALSE)</f>
        <v>1</v>
      </c>
      <c r="AQ23" s="33">
        <f>VLOOKUP($F23,Assumptions!$E$152:$AM$157,COLUMN()-COLUMN($AM$4),FALSE)</f>
        <v>1</v>
      </c>
      <c r="AR23" s="33">
        <f>VLOOKUP($F23,Assumptions!$E$152:$AM$157,COLUMN()-COLUMN($AM$4),FALSE)</f>
        <v>1</v>
      </c>
      <c r="AS23" s="33">
        <f>VLOOKUP($F23,Assumptions!$E$152:$AM$157,COLUMN()-COLUMN($AM$4),FALSE)</f>
        <v>1</v>
      </c>
      <c r="AT23" s="33">
        <f>VLOOKUP($F23,Assumptions!$E$152:$AM$157,COLUMN()-COLUMN($AM$4),FALSE)</f>
        <v>1</v>
      </c>
      <c r="AU23" s="33">
        <f>VLOOKUP($F23,Assumptions!$E$152:$AM$157,COLUMN()-COLUMN($AM$4),FALSE)</f>
        <v>1</v>
      </c>
      <c r="AV23" s="33">
        <f>VLOOKUP($F23,Assumptions!$E$152:$AM$157,COLUMN()-COLUMN($AM$4),FALSE)</f>
        <v>1</v>
      </c>
      <c r="AW23" s="33">
        <f>VLOOKUP($F23,Assumptions!$E$152:$AM$157,COLUMN()-COLUMN($AM$4),FALSE)</f>
        <v>1</v>
      </c>
      <c r="AX23" s="33">
        <f>VLOOKUP($F23,Assumptions!$E$152:$AM$157,COLUMN()-COLUMN($AM$4),FALSE)</f>
        <v>1</v>
      </c>
      <c r="AY23" s="33">
        <f>VLOOKUP($F23,Assumptions!$E$152:$AM$157,COLUMN()-COLUMN($AM$4),FALSE)</f>
        <v>1</v>
      </c>
      <c r="AZ23" s="33">
        <f>VLOOKUP($F23,Assumptions!$E$152:$AM$157,COLUMN()-COLUMN($AM$4),FALSE)</f>
        <v>1</v>
      </c>
      <c r="BA23" s="33">
        <f>VLOOKUP($F23,Assumptions!$E$152:$AM$157,COLUMN()-COLUMN($AM$4),FALSE)</f>
        <v>1</v>
      </c>
      <c r="BB23" s="33">
        <f>VLOOKUP($F23,Assumptions!$E$152:$AM$157,COLUMN()-COLUMN($AM$4),FALSE)</f>
        <v>1</v>
      </c>
      <c r="BC23" s="33">
        <f>VLOOKUP($F23,Assumptions!$E$152:$AM$157,COLUMN()-COLUMN($AM$4),FALSE)</f>
        <v>1</v>
      </c>
      <c r="BD23" s="33">
        <f>VLOOKUP($F23,Assumptions!$E$152:$AM$157,COLUMN()-COLUMN($AM$4),FALSE)</f>
        <v>1</v>
      </c>
      <c r="BE23" s="33">
        <f>VLOOKUP($F23,Assumptions!$E$152:$AM$157,COLUMN()-COLUMN($AM$4),FALSE)</f>
        <v>1</v>
      </c>
      <c r="BF23" s="33">
        <f>VLOOKUP($F23,Assumptions!$E$152:$AM$157,COLUMN()-COLUMN($AM$4),FALSE)</f>
        <v>1</v>
      </c>
      <c r="BG23" s="33">
        <f>VLOOKUP($F23,Assumptions!$E$152:$AM$157,COLUMN()-COLUMN($AM$4),FALSE)</f>
        <v>1</v>
      </c>
      <c r="BH23" s="33">
        <f>VLOOKUP($F23,Assumptions!$E$152:$AM$157,COLUMN()-COLUMN($AM$4),FALSE)</f>
        <v>1</v>
      </c>
      <c r="BI23" s="33">
        <f>VLOOKUP($F23,Assumptions!$E$152:$AM$157,COLUMN()-COLUMN($AM$4),FALSE)</f>
        <v>1</v>
      </c>
      <c r="BJ23" s="33">
        <f>VLOOKUP($F23,Assumptions!$E$152:$AM$157,COLUMN()-COLUMN($AM$4),FALSE)</f>
        <v>1</v>
      </c>
      <c r="BK23" s="33">
        <f>VLOOKUP($F23,Assumptions!$E$152:$AM$157,COLUMN()-COLUMN($AM$4),FALSE)</f>
        <v>1</v>
      </c>
      <c r="BL23" s="33">
        <f>VLOOKUP($F23,Assumptions!$E$152:$AM$157,COLUMN()-COLUMN($AM$4),FALSE)</f>
        <v>1</v>
      </c>
      <c r="BM23" s="33">
        <f>VLOOKUP($F23,Assumptions!$E$152:$AM$157,COLUMN()-COLUMN($AM$4),FALSE)</f>
        <v>1</v>
      </c>
      <c r="BN23" s="33">
        <f>VLOOKUP($F23,Assumptions!$E$152:$AM$157,COLUMN()-COLUMN($AM$4),FALSE)</f>
        <v>1</v>
      </c>
      <c r="BO23" s="33">
        <f>VLOOKUP($F23,Assumptions!$E$152:$AM$157,COLUMN()-COLUMN($AM$4),FALSE)</f>
        <v>1</v>
      </c>
      <c r="BP23" s="33">
        <f>VLOOKUP($F23,Assumptions!$E$152:$AM$157,COLUMN()-COLUMN($AM$4),FALSE)</f>
        <v>1</v>
      </c>
      <c r="BQ23" s="33">
        <f>VLOOKUP($F23,Assumptions!$E$152:$AM$157,COLUMN()-COLUMN($AM$4),FALSE)</f>
        <v>1</v>
      </c>
      <c r="BR23" s="33">
        <f>VLOOKUP($F23,Assumptions!$E$152:$AM$157,COLUMN()-COLUMN($AM$4),FALSE)</f>
        <v>1</v>
      </c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 t="str">
        <f t="shared" si="33"/>
        <v>\I:</v>
      </c>
      <c r="DB23" s="27" t="str">
        <f t="shared" si="48"/>
        <v/>
      </c>
      <c r="DC23" s="27" t="s">
        <v>169</v>
      </c>
      <c r="DD23" s="27" t="s">
        <v>160</v>
      </c>
      <c r="DE23" s="27" t="s">
        <v>161</v>
      </c>
    </row>
    <row r="24" spans="1:109" x14ac:dyDescent="0.45">
      <c r="C24" s="27" t="str">
        <f t="shared" si="39"/>
        <v/>
      </c>
      <c r="D24" s="27" t="s">
        <v>42</v>
      </c>
      <c r="E24" s="27"/>
      <c r="F24" s="27" t="s">
        <v>20</v>
      </c>
      <c r="G24" s="33">
        <f>SUMIFS(Assumptions!AN$105:AN$128,Assumptions!$AL$105:$AL$128,'non-road'!$F24,Assumptions!$AM$105:$AM$128,'non-road'!$D24)/SUMIF(Assumptions!$AL$105:$AL$128,'non-road'!$F24,Assumptions!AN$105:AN$128)</f>
        <v>0</v>
      </c>
      <c r="H24" s="33">
        <f>SUMIFS(Assumptions!AO$105:AO$128,Assumptions!$AL$105:$AL$128,'non-road'!$F24,Assumptions!$AM$105:$AM$128,'non-road'!$D24)/SUMIF(Assumptions!$AL$105:$AL$128,'non-road'!$F24,Assumptions!AO$105:AO$128)</f>
        <v>0</v>
      </c>
      <c r="I24" s="33">
        <f>SUMIFS(Assumptions!AP$105:AP$128,Assumptions!$AL$105:$AL$128,'non-road'!$F24,Assumptions!$AM$105:$AM$128,'non-road'!$D24)/SUMIF(Assumptions!$AL$105:$AL$128,'non-road'!$F24,Assumptions!AP$105:AP$128)</f>
        <v>3.4376548849596629E-3</v>
      </c>
      <c r="J24" s="33">
        <f>SUMIFS(Assumptions!AQ$105:AQ$128,Assumptions!$AL$105:$AL$128,'non-road'!$F24,Assumptions!$AM$105:$AM$128,'non-road'!$D24)/SUMIF(Assumptions!$AL$105:$AL$128,'non-road'!$F24,Assumptions!AQ$105:AQ$128)</f>
        <v>0</v>
      </c>
      <c r="K24" s="33">
        <f>SUMIFS(Assumptions!AR$105:AR$128,Assumptions!$AL$105:$AL$128,'non-road'!$F24,Assumptions!$AM$105:$AM$128,'non-road'!$D24)/SUMIF(Assumptions!$AL$105:$AL$128,'non-road'!$F24,Assumptions!AR$105:AR$128)</f>
        <v>0</v>
      </c>
      <c r="L24" s="33">
        <f>SUMIFS(Assumptions!AS$105:AS$128,Assumptions!$AL$105:$AL$128,'non-road'!$F24,Assumptions!$AM$105:$AM$128,'non-road'!$D24)/SUMIF(Assumptions!$AL$105:$AL$128,'non-road'!$F24,Assumptions!AS$105:AS$128)</f>
        <v>3.2224419773723135E-5</v>
      </c>
      <c r="M24" s="33">
        <f>SUMIFS(Assumptions!AT$105:AT$128,Assumptions!$AL$105:$AL$128,'non-road'!$F24,Assumptions!$AM$105:$AM$128,'non-road'!$D24)/SUMIF(Assumptions!$AL$105:$AL$128,'non-road'!$F24,Assumptions!AT$105:AT$128)</f>
        <v>0</v>
      </c>
      <c r="N24" s="33">
        <f>SUMIFS(Assumptions!AU$105:AU$128,Assumptions!$AL$105:$AL$128,'non-road'!$F24,Assumptions!$AM$105:$AM$128,'non-road'!$D24)/SUMIF(Assumptions!$AL$105:$AL$128,'non-road'!$F24,Assumptions!AU$105:AU$128)</f>
        <v>0</v>
      </c>
      <c r="O24" s="33">
        <f>SUMIFS(Assumptions!AV$105:AV$128,Assumptions!$AL$105:$AL$128,'non-road'!$F24,Assumptions!$AM$105:$AM$128,'non-road'!$D24)/SUMIF(Assumptions!$AL$105:$AL$128,'non-road'!$F24,Assumptions!AV$105:AV$128)</f>
        <v>0</v>
      </c>
      <c r="P24" s="33">
        <f>SUMIFS(Assumptions!AW$105:AW$128,Assumptions!$AL$105:$AL$128,'non-road'!$F24,Assumptions!$AM$105:$AM$128,'non-road'!$D24)/SUMIF(Assumptions!$AL$105:$AL$128,'non-road'!$F24,Assumptions!AW$105:AW$128)</f>
        <v>0</v>
      </c>
      <c r="Q24" s="33">
        <f>SUMIFS(Assumptions!AX$105:AX$128,Assumptions!$AL$105:$AL$128,'non-road'!$F24,Assumptions!$AM$105:$AM$128,'non-road'!$D24)/SUMIF(Assumptions!$AL$105:$AL$128,'non-road'!$F24,Assumptions!AX$105:AX$128)</f>
        <v>4.275658713811893E-6</v>
      </c>
      <c r="R24" s="33">
        <f>SUMIFS(Assumptions!AY$105:AY$128,Assumptions!$AL$105:$AL$128,'non-road'!$F24,Assumptions!$AM$105:$AM$128,'non-road'!$D24)/SUMIF(Assumptions!$AL$105:$AL$128,'non-road'!$F24,Assumptions!AY$105:AY$128)</f>
        <v>0</v>
      </c>
      <c r="S24" s="33">
        <f>SUMIFS(Assumptions!AZ$105:AZ$128,Assumptions!$AL$105:$AL$128,'non-road'!$F24,Assumptions!$AM$105:$AM$128,'non-road'!$D24)/SUMIF(Assumptions!$AL$105:$AL$128,'non-road'!$F24,Assumptions!AZ$105:AZ$128)</f>
        <v>3.878337375455395E-2</v>
      </c>
      <c r="T24" s="33">
        <f>SUMIFS(Assumptions!BA$105:BA$128,Assumptions!$AL$105:$AL$128,'non-road'!$F24,Assumptions!$AM$105:$AM$128,'non-road'!$D24)/SUMIF(Assumptions!$AL$105:$AL$128,'non-road'!$F24,Assumptions!BA$105:BA$128)</f>
        <v>0</v>
      </c>
      <c r="U24" s="33">
        <f>SUMIFS(Assumptions!BB$105:BB$128,Assumptions!$AL$105:$AL$128,'non-road'!$F24,Assumptions!$AM$105:$AM$128,'non-road'!$D24)/SUMIF(Assumptions!$AL$105:$AL$128,'non-road'!$F24,Assumptions!BB$105:BB$128)</f>
        <v>0</v>
      </c>
      <c r="V24" s="33">
        <f>SUMIFS(Assumptions!BC$105:BC$128,Assumptions!$AL$105:$AL$128,'non-road'!$F24,Assumptions!$AM$105:$AM$128,'non-road'!$D24)/SUMIF(Assumptions!$AL$105:$AL$128,'non-road'!$F24,Assumptions!BC$105:BC$128)</f>
        <v>0</v>
      </c>
      <c r="W24" s="33">
        <f>SUMIFS(Assumptions!BD$105:BD$128,Assumptions!$AL$105:$AL$128,'non-road'!$F24,Assumptions!$AM$105:$AM$128,'non-road'!$D24)/SUMIF(Assumptions!$AL$105:$AL$128,'non-road'!$F24,Assumptions!BD$105:BD$128)</f>
        <v>0</v>
      </c>
      <c r="X24" s="33">
        <f>SUMIFS(Assumptions!BE$105:BE$128,Assumptions!$AL$105:$AL$128,'non-road'!$F24,Assumptions!$AM$105:$AM$128,'non-road'!$D24)/SUMIF(Assumptions!$AL$105:$AL$128,'non-road'!$F24,Assumptions!BE$105:BE$128)</f>
        <v>0</v>
      </c>
      <c r="Y24" s="33">
        <f>SUMIFS(Assumptions!BF$105:BF$128,Assumptions!$AL$105:$AL$128,'non-road'!$F24,Assumptions!$AM$105:$AM$128,'non-road'!$D24)/SUMIF(Assumptions!$AL$105:$AL$128,'non-road'!$F24,Assumptions!BF$105:BF$128)</f>
        <v>0</v>
      </c>
      <c r="Z24" s="33">
        <f>SUMIFS(Assumptions!BG$105:BG$128,Assumptions!$AL$105:$AL$128,'non-road'!$F24,Assumptions!$AM$105:$AM$128,'non-road'!$D24)/SUMIF(Assumptions!$AL$105:$AL$128,'non-road'!$F24,Assumptions!BG$105:BG$128)</f>
        <v>0</v>
      </c>
      <c r="AA24" s="33">
        <f>SUMIFS(Assumptions!BH$105:BH$128,Assumptions!$AL$105:$AL$128,'non-road'!$F24,Assumptions!$AM$105:$AM$128,'non-road'!$D24)/SUMIF(Assumptions!$AL$105:$AL$128,'non-road'!$F24,Assumptions!BH$105:BH$128)</f>
        <v>1.3610000796455206E-2</v>
      </c>
      <c r="AB24" s="33">
        <f>SUMIFS(Assumptions!BI$105:BI$128,Assumptions!$AL$105:$AL$128,'non-road'!$F24,Assumptions!$AM$105:$AM$128,'non-road'!$D24)/SUMIF(Assumptions!$AL$105:$AL$128,'non-road'!$F24,Assumptions!BI$105:BI$128)</f>
        <v>0</v>
      </c>
      <c r="AC24" s="33">
        <f>SUMIFS(Assumptions!BJ$105:BJ$128,Assumptions!$AL$105:$AL$128,'non-road'!$F24,Assumptions!$AM$105:$AM$128,'non-road'!$D24)/SUMIF(Assumptions!$AL$105:$AL$128,'non-road'!$F24,Assumptions!BJ$105:BJ$128)</f>
        <v>0</v>
      </c>
      <c r="AD24" s="33">
        <f>SUMIFS(Assumptions!BK$105:BK$128,Assumptions!$AL$105:$AL$128,'non-road'!$F24,Assumptions!$AM$105:$AM$128,'non-road'!$D24)/SUMIF(Assumptions!$AL$105:$AL$128,'non-road'!$F24,Assumptions!BK$105:BK$128)</f>
        <v>0</v>
      </c>
      <c r="AE24" s="33">
        <f>SUMIFS(Assumptions!BL$105:BL$128,Assumptions!$AL$105:$AL$128,'non-road'!$F24,Assumptions!$AM$105:$AM$128,'non-road'!$D24)/SUMIF(Assumptions!$AL$105:$AL$128,'non-road'!$F24,Assumptions!BL$105:BL$128)</f>
        <v>0</v>
      </c>
      <c r="AF24" s="33">
        <f>SUMIFS(Assumptions!BM$105:BM$128,Assumptions!$AL$105:$AL$128,'non-road'!$F24,Assumptions!$AM$105:$AM$128,'non-road'!$D24)/SUMIF(Assumptions!$AL$105:$AL$128,'non-road'!$F24,Assumptions!BM$105:BM$128)</f>
        <v>0</v>
      </c>
      <c r="AG24" s="33">
        <f>SUMIFS(Assumptions!BN$105:BN$128,Assumptions!$AL$105:$AL$128,'non-road'!$F24,Assumptions!$AM$105:$AM$128,'non-road'!$D24)/SUMIF(Assumptions!$AL$105:$AL$128,'non-road'!$F24,Assumptions!BN$105:BN$128)</f>
        <v>0</v>
      </c>
      <c r="AH24" s="33">
        <f>SUMIFS(Assumptions!BO$105:BO$128,Assumptions!$AL$105:$AL$128,'non-road'!$F24,Assumptions!$AM$105:$AM$128,'non-road'!$D24)/SUMIF(Assumptions!$AL$105:$AL$128,'non-road'!$F24,Assumptions!BO$105:BO$128)</f>
        <v>0</v>
      </c>
      <c r="AI24" s="33">
        <f>SUMIFS(Assumptions!BP$105:BP$128,Assumptions!$AL$105:$AL$128,'non-road'!$F24,Assumptions!$AM$105:$AM$128,'non-road'!$D24)/SUMIF(Assumptions!$AL$105:$AL$128,'non-road'!$F24,Assumptions!BP$105:BP$128)</f>
        <v>0</v>
      </c>
      <c r="AJ24" s="33" t="e">
        <f>SUMIFS(Assumptions!BQ$105:BQ$128,Assumptions!$AL$105:$AL$128,'non-road'!$F24,Assumptions!$AM$105:$AM$128,'non-road'!$D24)/SUMIF(Assumptions!$AL$105:$AL$128,'non-road'!$F24,Assumptions!BQ$105:BQ$128)</f>
        <v>#DIV/0!</v>
      </c>
      <c r="AN24" s="27" t="str">
        <f t="shared" si="40"/>
        <v>\I:</v>
      </c>
      <c r="AO24" s="33">
        <f>VLOOKUP($F24,Assumptions!$E$152:$AM$157,COLUMN()-COLUMN($AM$4),FALSE)</f>
        <v>1</v>
      </c>
      <c r="AP24" s="33">
        <f>VLOOKUP($F24,Assumptions!$E$152:$AM$157,COLUMN()-COLUMN($AM$4),FALSE)</f>
        <v>1</v>
      </c>
      <c r="AQ24" s="33">
        <f>VLOOKUP($F24,Assumptions!$E$152:$AM$157,COLUMN()-COLUMN($AM$4),FALSE)</f>
        <v>1</v>
      </c>
      <c r="AR24" s="33">
        <f>VLOOKUP($F24,Assumptions!$E$152:$AM$157,COLUMN()-COLUMN($AM$4),FALSE)</f>
        <v>1</v>
      </c>
      <c r="AS24" s="33">
        <f>VLOOKUP($F24,Assumptions!$E$152:$AM$157,COLUMN()-COLUMN($AM$4),FALSE)</f>
        <v>1</v>
      </c>
      <c r="AT24" s="33">
        <f>VLOOKUP($F24,Assumptions!$E$152:$AM$157,COLUMN()-COLUMN($AM$4),FALSE)</f>
        <v>1</v>
      </c>
      <c r="AU24" s="33">
        <f>VLOOKUP($F24,Assumptions!$E$152:$AM$157,COLUMN()-COLUMN($AM$4),FALSE)</f>
        <v>1</v>
      </c>
      <c r="AV24" s="33">
        <f>VLOOKUP($F24,Assumptions!$E$152:$AM$157,COLUMN()-COLUMN($AM$4),FALSE)</f>
        <v>1</v>
      </c>
      <c r="AW24" s="33">
        <f>VLOOKUP($F24,Assumptions!$E$152:$AM$157,COLUMN()-COLUMN($AM$4),FALSE)</f>
        <v>1</v>
      </c>
      <c r="AX24" s="33">
        <f>VLOOKUP($F24,Assumptions!$E$152:$AM$157,COLUMN()-COLUMN($AM$4),FALSE)</f>
        <v>1</v>
      </c>
      <c r="AY24" s="33">
        <f>VLOOKUP($F24,Assumptions!$E$152:$AM$157,COLUMN()-COLUMN($AM$4),FALSE)</f>
        <v>1</v>
      </c>
      <c r="AZ24" s="33">
        <f>VLOOKUP($F24,Assumptions!$E$152:$AM$157,COLUMN()-COLUMN($AM$4),FALSE)</f>
        <v>1</v>
      </c>
      <c r="BA24" s="33">
        <f>VLOOKUP($F24,Assumptions!$E$152:$AM$157,COLUMN()-COLUMN($AM$4),FALSE)</f>
        <v>1</v>
      </c>
      <c r="BB24" s="33">
        <f>VLOOKUP($F24,Assumptions!$E$152:$AM$157,COLUMN()-COLUMN($AM$4),FALSE)</f>
        <v>1</v>
      </c>
      <c r="BC24" s="33">
        <f>VLOOKUP($F24,Assumptions!$E$152:$AM$157,COLUMN()-COLUMN($AM$4),FALSE)</f>
        <v>1</v>
      </c>
      <c r="BD24" s="33">
        <f>VLOOKUP($F24,Assumptions!$E$152:$AM$157,COLUMN()-COLUMN($AM$4),FALSE)</f>
        <v>1</v>
      </c>
      <c r="BE24" s="33">
        <f>VLOOKUP($F24,Assumptions!$E$152:$AM$157,COLUMN()-COLUMN($AM$4),FALSE)</f>
        <v>1</v>
      </c>
      <c r="BF24" s="33">
        <f>VLOOKUP($F24,Assumptions!$E$152:$AM$157,COLUMN()-COLUMN($AM$4),FALSE)</f>
        <v>1</v>
      </c>
      <c r="BG24" s="33">
        <f>VLOOKUP($F24,Assumptions!$E$152:$AM$157,COLUMN()-COLUMN($AM$4),FALSE)</f>
        <v>1</v>
      </c>
      <c r="BH24" s="33">
        <f>VLOOKUP($F24,Assumptions!$E$152:$AM$157,COLUMN()-COLUMN($AM$4),FALSE)</f>
        <v>1</v>
      </c>
      <c r="BI24" s="33">
        <f>VLOOKUP($F24,Assumptions!$E$152:$AM$157,COLUMN()-COLUMN($AM$4),FALSE)</f>
        <v>1</v>
      </c>
      <c r="BJ24" s="33">
        <f>VLOOKUP($F24,Assumptions!$E$152:$AM$157,COLUMN()-COLUMN($AM$4),FALSE)</f>
        <v>1</v>
      </c>
      <c r="BK24" s="33">
        <f>VLOOKUP($F24,Assumptions!$E$152:$AM$157,COLUMN()-COLUMN($AM$4),FALSE)</f>
        <v>1</v>
      </c>
      <c r="BL24" s="33">
        <f>VLOOKUP($F24,Assumptions!$E$152:$AM$157,COLUMN()-COLUMN($AM$4),FALSE)</f>
        <v>1</v>
      </c>
      <c r="BM24" s="33">
        <f>VLOOKUP($F24,Assumptions!$E$152:$AM$157,COLUMN()-COLUMN($AM$4),FALSE)</f>
        <v>1</v>
      </c>
      <c r="BN24" s="33">
        <f>VLOOKUP($F24,Assumptions!$E$152:$AM$157,COLUMN()-COLUMN($AM$4),FALSE)</f>
        <v>1</v>
      </c>
      <c r="BO24" s="33">
        <f>VLOOKUP($F24,Assumptions!$E$152:$AM$157,COLUMN()-COLUMN($AM$4),FALSE)</f>
        <v>1</v>
      </c>
      <c r="BP24" s="33">
        <f>VLOOKUP($F24,Assumptions!$E$152:$AM$157,COLUMN()-COLUMN($AM$4),FALSE)</f>
        <v>1</v>
      </c>
      <c r="BQ24" s="33">
        <f>VLOOKUP($F24,Assumptions!$E$152:$AM$157,COLUMN()-COLUMN($AM$4),FALSE)</f>
        <v>1</v>
      </c>
      <c r="BR24" s="33">
        <f>VLOOKUP($F24,Assumptions!$E$152:$AM$157,COLUMN()-COLUMN($AM$4),FALSE)</f>
        <v>1</v>
      </c>
      <c r="BS24" s="27"/>
      <c r="CZ24" s="27"/>
      <c r="DA24" s="27" t="str">
        <f t="shared" si="33"/>
        <v>\I:</v>
      </c>
      <c r="DB24" s="27" t="str">
        <f t="shared" si="48"/>
        <v/>
      </c>
      <c r="DC24" s="27" t="s">
        <v>169</v>
      </c>
      <c r="DD24" s="27" t="s">
        <v>160</v>
      </c>
      <c r="DE24" s="27" t="s">
        <v>161</v>
      </c>
    </row>
    <row r="25" spans="1:109" x14ac:dyDescent="0.45">
      <c r="C25" s="27" t="str">
        <f t="shared" si="39"/>
        <v/>
      </c>
      <c r="D25" s="27" t="s">
        <v>45</v>
      </c>
      <c r="E25" s="27"/>
      <c r="F25" s="27" t="s">
        <v>20</v>
      </c>
      <c r="G25" s="33">
        <f>SUMIFS(Assumptions!AN$105:AN$128,Assumptions!$AL$105:$AL$128,'non-road'!$F25,Assumptions!$AM$105:$AM$128,'non-road'!$D25)/SUMIF(Assumptions!$AL$105:$AL$128,'non-road'!$F25,Assumptions!AN$105:AN$128)</f>
        <v>4.1513603961666691E-4</v>
      </c>
      <c r="H25" s="33">
        <f>SUMIFS(Assumptions!AO$105:AO$128,Assumptions!$AL$105:$AL$128,'non-road'!$F25,Assumptions!$AM$105:$AM$128,'non-road'!$D25)/SUMIF(Assumptions!$AL$105:$AL$128,'non-road'!$F25,Assumptions!AO$105:AO$128)</f>
        <v>0</v>
      </c>
      <c r="I25" s="33">
        <f>SUMIFS(Assumptions!AP$105:AP$128,Assumptions!$AL$105:$AL$128,'non-road'!$F25,Assumptions!$AM$105:$AM$128,'non-road'!$D25)/SUMIF(Assumptions!$AL$105:$AL$128,'non-road'!$F25,Assumptions!AP$105:AP$128)</f>
        <v>0</v>
      </c>
      <c r="J25" s="33">
        <f>SUMIFS(Assumptions!AQ$105:AQ$128,Assumptions!$AL$105:$AL$128,'non-road'!$F25,Assumptions!$AM$105:$AM$128,'non-road'!$D25)/SUMIF(Assumptions!$AL$105:$AL$128,'non-road'!$F25,Assumptions!AQ$105:AQ$128)</f>
        <v>0</v>
      </c>
      <c r="K25" s="33">
        <f>SUMIFS(Assumptions!AR$105:AR$128,Assumptions!$AL$105:$AL$128,'non-road'!$F25,Assumptions!$AM$105:$AM$128,'non-road'!$D25)/SUMIF(Assumptions!$AL$105:$AL$128,'non-road'!$F25,Assumptions!AR$105:AR$128)</f>
        <v>3.0672384459935773E-6</v>
      </c>
      <c r="L25" s="33">
        <f>SUMIFS(Assumptions!AS$105:AS$128,Assumptions!$AL$105:$AL$128,'non-road'!$F25,Assumptions!$AM$105:$AM$128,'non-road'!$D25)/SUMIF(Assumptions!$AL$105:$AL$128,'non-road'!$F25,Assumptions!AS$105:AS$128)</f>
        <v>0</v>
      </c>
      <c r="M25" s="33">
        <f>SUMIFS(Assumptions!AT$105:AT$128,Assumptions!$AL$105:$AL$128,'non-road'!$F25,Assumptions!$AM$105:$AM$128,'non-road'!$D25)/SUMIF(Assumptions!$AL$105:$AL$128,'non-road'!$F25,Assumptions!AT$105:AT$128)</f>
        <v>0</v>
      </c>
      <c r="N25" s="33">
        <f>SUMIFS(Assumptions!AU$105:AU$128,Assumptions!$AL$105:$AL$128,'non-road'!$F25,Assumptions!$AM$105:$AM$128,'non-road'!$D25)/SUMIF(Assumptions!$AL$105:$AL$128,'non-road'!$F25,Assumptions!AU$105:AU$128)</f>
        <v>0</v>
      </c>
      <c r="O25" s="33">
        <f>SUMIFS(Assumptions!AV$105:AV$128,Assumptions!$AL$105:$AL$128,'non-road'!$F25,Assumptions!$AM$105:$AM$128,'non-road'!$D25)/SUMIF(Assumptions!$AL$105:$AL$128,'non-road'!$F25,Assumptions!AV$105:AV$128)</f>
        <v>0</v>
      </c>
      <c r="P25" s="33">
        <f>SUMIFS(Assumptions!AW$105:AW$128,Assumptions!$AL$105:$AL$128,'non-road'!$F25,Assumptions!$AM$105:$AM$128,'non-road'!$D25)/SUMIF(Assumptions!$AL$105:$AL$128,'non-road'!$F25,Assumptions!AW$105:AW$128)</f>
        <v>0</v>
      </c>
      <c r="Q25" s="33">
        <f>SUMIFS(Assumptions!AX$105:AX$128,Assumptions!$AL$105:$AL$128,'non-road'!$F25,Assumptions!$AM$105:$AM$128,'non-road'!$D25)/SUMIF(Assumptions!$AL$105:$AL$128,'non-road'!$F25,Assumptions!AX$105:AX$128)</f>
        <v>0</v>
      </c>
      <c r="R25" s="33">
        <f>SUMIFS(Assumptions!AY$105:AY$128,Assumptions!$AL$105:$AL$128,'non-road'!$F25,Assumptions!$AM$105:$AM$128,'non-road'!$D25)/SUMIF(Assumptions!$AL$105:$AL$128,'non-road'!$F25,Assumptions!AY$105:AY$128)</f>
        <v>0</v>
      </c>
      <c r="S25" s="33">
        <f>SUMIFS(Assumptions!AZ$105:AZ$128,Assumptions!$AL$105:$AL$128,'non-road'!$F25,Assumptions!$AM$105:$AM$128,'non-road'!$D25)/SUMIF(Assumptions!$AL$105:$AL$128,'non-road'!$F25,Assumptions!AZ$105:AZ$128)</f>
        <v>0</v>
      </c>
      <c r="T25" s="33">
        <f>SUMIFS(Assumptions!BA$105:BA$128,Assumptions!$AL$105:$AL$128,'non-road'!$F25,Assumptions!$AM$105:$AM$128,'non-road'!$D25)/SUMIF(Assumptions!$AL$105:$AL$128,'non-road'!$F25,Assumptions!BA$105:BA$128)</f>
        <v>0</v>
      </c>
      <c r="U25" s="33">
        <f>SUMIFS(Assumptions!BB$105:BB$128,Assumptions!$AL$105:$AL$128,'non-road'!$F25,Assumptions!$AM$105:$AM$128,'non-road'!$D25)/SUMIF(Assumptions!$AL$105:$AL$128,'non-road'!$F25,Assumptions!BB$105:BB$128)</f>
        <v>0</v>
      </c>
      <c r="V25" s="33">
        <f>SUMIFS(Assumptions!BC$105:BC$128,Assumptions!$AL$105:$AL$128,'non-road'!$F25,Assumptions!$AM$105:$AM$128,'non-road'!$D25)/SUMIF(Assumptions!$AL$105:$AL$128,'non-road'!$F25,Assumptions!BC$105:BC$128)</f>
        <v>0</v>
      </c>
      <c r="W25" s="33">
        <f>SUMIFS(Assumptions!BD$105:BD$128,Assumptions!$AL$105:$AL$128,'non-road'!$F25,Assumptions!$AM$105:$AM$128,'non-road'!$D25)/SUMIF(Assumptions!$AL$105:$AL$128,'non-road'!$F25,Assumptions!BD$105:BD$128)</f>
        <v>0.12423772792078995</v>
      </c>
      <c r="X25" s="33">
        <f>SUMIFS(Assumptions!BE$105:BE$128,Assumptions!$AL$105:$AL$128,'non-road'!$F25,Assumptions!$AM$105:$AM$128,'non-road'!$D25)/SUMIF(Assumptions!$AL$105:$AL$128,'non-road'!$F25,Assumptions!BE$105:BE$128)</f>
        <v>0</v>
      </c>
      <c r="Y25" s="33">
        <f>SUMIFS(Assumptions!BF$105:BF$128,Assumptions!$AL$105:$AL$128,'non-road'!$F25,Assumptions!$AM$105:$AM$128,'non-road'!$D25)/SUMIF(Assumptions!$AL$105:$AL$128,'non-road'!$F25,Assumptions!BF$105:BF$128)</f>
        <v>0</v>
      </c>
      <c r="Z25" s="33">
        <f>SUMIFS(Assumptions!BG$105:BG$128,Assumptions!$AL$105:$AL$128,'non-road'!$F25,Assumptions!$AM$105:$AM$128,'non-road'!$D25)/SUMIF(Assumptions!$AL$105:$AL$128,'non-road'!$F25,Assumptions!BG$105:BG$128)</f>
        <v>0</v>
      </c>
      <c r="AA25" s="33">
        <f>SUMIFS(Assumptions!BH$105:BH$128,Assumptions!$AL$105:$AL$128,'non-road'!$F25,Assumptions!$AM$105:$AM$128,'non-road'!$D25)/SUMIF(Assumptions!$AL$105:$AL$128,'non-road'!$F25,Assumptions!BH$105:BH$128)</f>
        <v>0</v>
      </c>
      <c r="AB25" s="33">
        <f>SUMIFS(Assumptions!BI$105:BI$128,Assumptions!$AL$105:$AL$128,'non-road'!$F25,Assumptions!$AM$105:$AM$128,'non-road'!$D25)/SUMIF(Assumptions!$AL$105:$AL$128,'non-road'!$F25,Assumptions!BI$105:BI$128)</f>
        <v>0</v>
      </c>
      <c r="AC25" s="33">
        <f>SUMIFS(Assumptions!BJ$105:BJ$128,Assumptions!$AL$105:$AL$128,'non-road'!$F25,Assumptions!$AM$105:$AM$128,'non-road'!$D25)/SUMIF(Assumptions!$AL$105:$AL$128,'non-road'!$F25,Assumptions!BJ$105:BJ$128)</f>
        <v>0</v>
      </c>
      <c r="AD25" s="33">
        <f>SUMIFS(Assumptions!BK$105:BK$128,Assumptions!$AL$105:$AL$128,'non-road'!$F25,Assumptions!$AM$105:$AM$128,'non-road'!$D25)/SUMIF(Assumptions!$AL$105:$AL$128,'non-road'!$F25,Assumptions!BK$105:BK$128)</f>
        <v>0</v>
      </c>
      <c r="AE25" s="33">
        <f>SUMIFS(Assumptions!BL$105:BL$128,Assumptions!$AL$105:$AL$128,'non-road'!$F25,Assumptions!$AM$105:$AM$128,'non-road'!$D25)/SUMIF(Assumptions!$AL$105:$AL$128,'non-road'!$F25,Assumptions!BL$105:BL$128)</f>
        <v>0</v>
      </c>
      <c r="AF25" s="33">
        <f>SUMIFS(Assumptions!BM$105:BM$128,Assumptions!$AL$105:$AL$128,'non-road'!$F25,Assumptions!$AM$105:$AM$128,'non-road'!$D25)/SUMIF(Assumptions!$AL$105:$AL$128,'non-road'!$F25,Assumptions!BM$105:BM$128)</f>
        <v>0</v>
      </c>
      <c r="AG25" s="33">
        <f>SUMIFS(Assumptions!BN$105:BN$128,Assumptions!$AL$105:$AL$128,'non-road'!$F25,Assumptions!$AM$105:$AM$128,'non-road'!$D25)/SUMIF(Assumptions!$AL$105:$AL$128,'non-road'!$F25,Assumptions!BN$105:BN$128)</f>
        <v>0</v>
      </c>
      <c r="AH25" s="33">
        <f>SUMIFS(Assumptions!BO$105:BO$128,Assumptions!$AL$105:$AL$128,'non-road'!$F25,Assumptions!$AM$105:$AM$128,'non-road'!$D25)/SUMIF(Assumptions!$AL$105:$AL$128,'non-road'!$F25,Assumptions!BO$105:BO$128)</f>
        <v>0</v>
      </c>
      <c r="AI25" s="33">
        <f>SUMIFS(Assumptions!BP$105:BP$128,Assumptions!$AL$105:$AL$128,'non-road'!$F25,Assumptions!$AM$105:$AM$128,'non-road'!$D25)/SUMIF(Assumptions!$AL$105:$AL$128,'non-road'!$F25,Assumptions!BP$105:BP$128)</f>
        <v>0</v>
      </c>
      <c r="AJ25" s="33" t="e">
        <f>SUMIFS(Assumptions!BQ$105:BQ$128,Assumptions!$AL$105:$AL$128,'non-road'!$F25,Assumptions!$AM$105:$AM$128,'non-road'!$D25)/SUMIF(Assumptions!$AL$105:$AL$128,'non-road'!$F25,Assumptions!BQ$105:BQ$128)</f>
        <v>#DIV/0!</v>
      </c>
      <c r="AN25" s="27" t="str">
        <f t="shared" si="40"/>
        <v>\I:</v>
      </c>
      <c r="AO25" s="33">
        <f>VLOOKUP($F25,Assumptions!$E$152:$AM$157,COLUMN()-COLUMN($AM$4),FALSE)</f>
        <v>1</v>
      </c>
      <c r="AP25" s="33">
        <f>VLOOKUP($F25,Assumptions!$E$152:$AM$157,COLUMN()-COLUMN($AM$4),FALSE)</f>
        <v>1</v>
      </c>
      <c r="AQ25" s="33">
        <f>VLOOKUP($F25,Assumptions!$E$152:$AM$157,COLUMN()-COLUMN($AM$4),FALSE)</f>
        <v>1</v>
      </c>
      <c r="AR25" s="33">
        <f>VLOOKUP($F25,Assumptions!$E$152:$AM$157,COLUMN()-COLUMN($AM$4),FALSE)</f>
        <v>1</v>
      </c>
      <c r="AS25" s="33">
        <f>VLOOKUP($F25,Assumptions!$E$152:$AM$157,COLUMN()-COLUMN($AM$4),FALSE)</f>
        <v>1</v>
      </c>
      <c r="AT25" s="33">
        <f>VLOOKUP($F25,Assumptions!$E$152:$AM$157,COLUMN()-COLUMN($AM$4),FALSE)</f>
        <v>1</v>
      </c>
      <c r="AU25" s="33">
        <f>VLOOKUP($F25,Assumptions!$E$152:$AM$157,COLUMN()-COLUMN($AM$4),FALSE)</f>
        <v>1</v>
      </c>
      <c r="AV25" s="33">
        <f>VLOOKUP($F25,Assumptions!$E$152:$AM$157,COLUMN()-COLUMN($AM$4),FALSE)</f>
        <v>1</v>
      </c>
      <c r="AW25" s="33">
        <f>VLOOKUP($F25,Assumptions!$E$152:$AM$157,COLUMN()-COLUMN($AM$4),FALSE)</f>
        <v>1</v>
      </c>
      <c r="AX25" s="33">
        <f>VLOOKUP($F25,Assumptions!$E$152:$AM$157,COLUMN()-COLUMN($AM$4),FALSE)</f>
        <v>1</v>
      </c>
      <c r="AY25" s="33">
        <f>VLOOKUP($F25,Assumptions!$E$152:$AM$157,COLUMN()-COLUMN($AM$4),FALSE)</f>
        <v>1</v>
      </c>
      <c r="AZ25" s="33">
        <f>VLOOKUP($F25,Assumptions!$E$152:$AM$157,COLUMN()-COLUMN($AM$4),FALSE)</f>
        <v>1</v>
      </c>
      <c r="BA25" s="33">
        <f>VLOOKUP($F25,Assumptions!$E$152:$AM$157,COLUMN()-COLUMN($AM$4),FALSE)</f>
        <v>1</v>
      </c>
      <c r="BB25" s="33">
        <f>VLOOKUP($F25,Assumptions!$E$152:$AM$157,COLUMN()-COLUMN($AM$4),FALSE)</f>
        <v>1</v>
      </c>
      <c r="BC25" s="33">
        <f>VLOOKUP($F25,Assumptions!$E$152:$AM$157,COLUMN()-COLUMN($AM$4),FALSE)</f>
        <v>1</v>
      </c>
      <c r="BD25" s="33">
        <f>VLOOKUP($F25,Assumptions!$E$152:$AM$157,COLUMN()-COLUMN($AM$4),FALSE)</f>
        <v>1</v>
      </c>
      <c r="BE25" s="33">
        <f>VLOOKUP($F25,Assumptions!$E$152:$AM$157,COLUMN()-COLUMN($AM$4),FALSE)</f>
        <v>1</v>
      </c>
      <c r="BF25" s="33">
        <f>VLOOKUP($F25,Assumptions!$E$152:$AM$157,COLUMN()-COLUMN($AM$4),FALSE)</f>
        <v>1</v>
      </c>
      <c r="BG25" s="33">
        <f>VLOOKUP($F25,Assumptions!$E$152:$AM$157,COLUMN()-COLUMN($AM$4),FALSE)</f>
        <v>1</v>
      </c>
      <c r="BH25" s="33">
        <f>VLOOKUP($F25,Assumptions!$E$152:$AM$157,COLUMN()-COLUMN($AM$4),FALSE)</f>
        <v>1</v>
      </c>
      <c r="BI25" s="33">
        <f>VLOOKUP($F25,Assumptions!$E$152:$AM$157,COLUMN()-COLUMN($AM$4),FALSE)</f>
        <v>1</v>
      </c>
      <c r="BJ25" s="33">
        <f>VLOOKUP($F25,Assumptions!$E$152:$AM$157,COLUMN()-COLUMN($AM$4),FALSE)</f>
        <v>1</v>
      </c>
      <c r="BK25" s="33">
        <f>VLOOKUP($F25,Assumptions!$E$152:$AM$157,COLUMN()-COLUMN($AM$4),FALSE)</f>
        <v>1</v>
      </c>
      <c r="BL25" s="33">
        <f>VLOOKUP($F25,Assumptions!$E$152:$AM$157,COLUMN()-COLUMN($AM$4),FALSE)</f>
        <v>1</v>
      </c>
      <c r="BM25" s="33">
        <f>VLOOKUP($F25,Assumptions!$E$152:$AM$157,COLUMN()-COLUMN($AM$4),FALSE)</f>
        <v>1</v>
      </c>
      <c r="BN25" s="33">
        <f>VLOOKUP($F25,Assumptions!$E$152:$AM$157,COLUMN()-COLUMN($AM$4),FALSE)</f>
        <v>1</v>
      </c>
      <c r="BO25" s="33">
        <f>VLOOKUP($F25,Assumptions!$E$152:$AM$157,COLUMN()-COLUMN($AM$4),FALSE)</f>
        <v>1</v>
      </c>
      <c r="BP25" s="33">
        <f>VLOOKUP($F25,Assumptions!$E$152:$AM$157,COLUMN()-COLUMN($AM$4),FALSE)</f>
        <v>1</v>
      </c>
      <c r="BQ25" s="33">
        <f>VLOOKUP($F25,Assumptions!$E$152:$AM$157,COLUMN()-COLUMN($AM$4),FALSE)</f>
        <v>1</v>
      </c>
      <c r="BR25" s="33">
        <f>VLOOKUP($F25,Assumptions!$E$152:$AM$157,COLUMN()-COLUMN($AM$4),FALSE)</f>
        <v>1</v>
      </c>
      <c r="BS25" s="27"/>
      <c r="CZ25" s="27"/>
      <c r="DA25" s="27" t="str">
        <f t="shared" si="33"/>
        <v>\I:</v>
      </c>
      <c r="DB25" s="27" t="str">
        <f t="shared" si="48"/>
        <v/>
      </c>
      <c r="DC25" s="27" t="s">
        <v>169</v>
      </c>
      <c r="DD25" s="27" t="s">
        <v>160</v>
      </c>
      <c r="DE25" s="27" t="s">
        <v>161</v>
      </c>
    </row>
    <row r="26" spans="1:109" x14ac:dyDescent="0.45">
      <c r="C26" s="27" t="str">
        <f t="shared" si="39"/>
        <v/>
      </c>
      <c r="D26" s="27" t="s">
        <v>43</v>
      </c>
      <c r="E26" s="27" t="s">
        <v>399</v>
      </c>
      <c r="F26" s="27" t="s">
        <v>20</v>
      </c>
      <c r="G26" s="33">
        <f>SUMIFS(Assumptions!AN$105:AN$128,Assumptions!$AL$105:$AL$128,'non-road'!$F26,Assumptions!$AM$105:$AM$128,'non-road'!$D26)/SUMIF(Assumptions!$AL$105:$AL$128,'non-road'!$F26,Assumptions!AN$105:AN$128)</f>
        <v>0.99958486396038326</v>
      </c>
      <c r="H26" s="33">
        <f>SUMIFS(Assumptions!AO$105:AO$128,Assumptions!$AL$105:$AL$128,'non-road'!$F26,Assumptions!$AM$105:$AM$128,'non-road'!$D26)/SUMIF(Assumptions!$AL$105:$AL$128,'non-road'!$F26,Assumptions!AO$105:AO$128)</f>
        <v>0.99796035348209855</v>
      </c>
      <c r="I26" s="33">
        <f>SUMIFS(Assumptions!AP$105:AP$128,Assumptions!$AL$105:$AL$128,'non-road'!$F26,Assumptions!$AM$105:$AM$128,'non-road'!$D26)/SUMIF(Assumptions!$AL$105:$AL$128,'non-road'!$F26,Assumptions!AP$105:AP$128)</f>
        <v>0.99069294908925154</v>
      </c>
      <c r="J26" s="33">
        <f>SUMIFS(Assumptions!AQ$105:AQ$128,Assumptions!$AL$105:$AL$128,'non-road'!$F26,Assumptions!$AM$105:$AM$128,'non-road'!$D26)/SUMIF(Assumptions!$AL$105:$AL$128,'non-road'!$F26,Assumptions!AQ$105:AQ$128)</f>
        <v>0.9994973548628614</v>
      </c>
      <c r="K26" s="33">
        <f>SUMIFS(Assumptions!AR$105:AR$128,Assumptions!$AL$105:$AL$128,'non-road'!$F26,Assumptions!$AM$105:$AM$128,'non-road'!$D26)/SUMIF(Assumptions!$AL$105:$AL$128,'non-road'!$F26,Assumptions!AR$105:AR$128)</f>
        <v>0.99970792113896667</v>
      </c>
      <c r="L26" s="33">
        <f>SUMIFS(Assumptions!AS$105:AS$128,Assumptions!$AL$105:$AL$128,'non-road'!$F26,Assumptions!$AM$105:$AM$128,'non-road'!$D26)/SUMIF(Assumptions!$AL$105:$AL$128,'non-road'!$F26,Assumptions!AS$105:AS$128)</f>
        <v>0.9999677755802262</v>
      </c>
      <c r="M26" s="33">
        <f>SUMIFS(Assumptions!AT$105:AT$128,Assumptions!$AL$105:$AL$128,'non-road'!$F26,Assumptions!$AM$105:$AM$128,'non-road'!$D26)/SUMIF(Assumptions!$AL$105:$AL$128,'non-road'!$F26,Assumptions!AT$105:AT$128)</f>
        <v>1</v>
      </c>
      <c r="N26" s="33">
        <f>SUMIFS(Assumptions!AU$105:AU$128,Assumptions!$AL$105:$AL$128,'non-road'!$F26,Assumptions!$AM$105:$AM$128,'non-road'!$D26)/SUMIF(Assumptions!$AL$105:$AL$128,'non-road'!$F26,Assumptions!AU$105:AU$128)</f>
        <v>1</v>
      </c>
      <c r="O26" s="33">
        <f>SUMIFS(Assumptions!AV$105:AV$128,Assumptions!$AL$105:$AL$128,'non-road'!$F26,Assumptions!$AM$105:$AM$128,'non-road'!$D26)/SUMIF(Assumptions!$AL$105:$AL$128,'non-road'!$F26,Assumptions!AV$105:AV$128)</f>
        <v>1</v>
      </c>
      <c r="P26" s="33">
        <f>SUMIFS(Assumptions!AW$105:AW$128,Assumptions!$AL$105:$AL$128,'non-road'!$F26,Assumptions!$AM$105:$AM$128,'non-road'!$D26)/SUMIF(Assumptions!$AL$105:$AL$128,'non-road'!$F26,Assumptions!AW$105:AW$128)</f>
        <v>1</v>
      </c>
      <c r="Q26" s="33">
        <f>SUMIFS(Assumptions!AX$105:AX$128,Assumptions!$AL$105:$AL$128,'non-road'!$F26,Assumptions!$AM$105:$AM$128,'non-road'!$D26)/SUMIF(Assumptions!$AL$105:$AL$128,'non-road'!$F26,Assumptions!AX$105:AX$128)</f>
        <v>0.99999572434128614</v>
      </c>
      <c r="R26" s="33">
        <f>SUMIFS(Assumptions!AY$105:AY$128,Assumptions!$AL$105:$AL$128,'non-road'!$F26,Assumptions!$AM$105:$AM$128,'non-road'!$D26)/SUMIF(Assumptions!$AL$105:$AL$128,'non-road'!$F26,Assumptions!AY$105:AY$128)</f>
        <v>1</v>
      </c>
      <c r="S26" s="33">
        <f>SUMIFS(Assumptions!AZ$105:AZ$128,Assumptions!$AL$105:$AL$128,'non-road'!$F26,Assumptions!$AM$105:$AM$128,'non-road'!$D26)/SUMIF(Assumptions!$AL$105:$AL$128,'non-road'!$F26,Assumptions!AZ$105:AZ$128)</f>
        <v>0.96121662624544602</v>
      </c>
      <c r="T26" s="33">
        <f>SUMIFS(Assumptions!BA$105:BA$128,Assumptions!$AL$105:$AL$128,'non-road'!$F26,Assumptions!$AM$105:$AM$128,'non-road'!$D26)/SUMIF(Assumptions!$AL$105:$AL$128,'non-road'!$F26,Assumptions!BA$105:BA$128)</f>
        <v>1</v>
      </c>
      <c r="U26" s="33">
        <f>SUMIFS(Assumptions!BB$105:BB$128,Assumptions!$AL$105:$AL$128,'non-road'!$F26,Assumptions!$AM$105:$AM$128,'non-road'!$D26)/SUMIF(Assumptions!$AL$105:$AL$128,'non-road'!$F26,Assumptions!BB$105:BB$128)</f>
        <v>1</v>
      </c>
      <c r="V26" s="33">
        <f>SUMIFS(Assumptions!BC$105:BC$128,Assumptions!$AL$105:$AL$128,'non-road'!$F26,Assumptions!$AM$105:$AM$128,'non-road'!$D26)/SUMIF(Assumptions!$AL$105:$AL$128,'non-road'!$F26,Assumptions!BC$105:BC$128)</f>
        <v>1</v>
      </c>
      <c r="W26" s="33">
        <f>SUMIFS(Assumptions!BD$105:BD$128,Assumptions!$AL$105:$AL$128,'non-road'!$F26,Assumptions!$AM$105:$AM$128,'non-road'!$D26)/SUMIF(Assumptions!$AL$105:$AL$128,'non-road'!$F26,Assumptions!BD$105:BD$128)</f>
        <v>0.87576227207921009</v>
      </c>
      <c r="X26" s="33">
        <f>SUMIFS(Assumptions!BE$105:BE$128,Assumptions!$AL$105:$AL$128,'non-road'!$F26,Assumptions!$AM$105:$AM$128,'non-road'!$D26)/SUMIF(Assumptions!$AL$105:$AL$128,'non-road'!$F26,Assumptions!BE$105:BE$128)</f>
        <v>1</v>
      </c>
      <c r="Y26" s="33">
        <f>SUMIFS(Assumptions!BF$105:BF$128,Assumptions!$AL$105:$AL$128,'non-road'!$F26,Assumptions!$AM$105:$AM$128,'non-road'!$D26)/SUMIF(Assumptions!$AL$105:$AL$128,'non-road'!$F26,Assumptions!BF$105:BF$128)</f>
        <v>1</v>
      </c>
      <c r="Z26" s="33">
        <f>SUMIFS(Assumptions!BG$105:BG$128,Assumptions!$AL$105:$AL$128,'non-road'!$F26,Assumptions!$AM$105:$AM$128,'non-road'!$D26)/SUMIF(Assumptions!$AL$105:$AL$128,'non-road'!$F26,Assumptions!BG$105:BG$128)</f>
        <v>1</v>
      </c>
      <c r="AA26" s="33">
        <f>SUMIFS(Assumptions!BH$105:BH$128,Assumptions!$AL$105:$AL$128,'non-road'!$F26,Assumptions!$AM$105:$AM$128,'non-road'!$D26)/SUMIF(Assumptions!$AL$105:$AL$128,'non-road'!$F26,Assumptions!BH$105:BH$128)</f>
        <v>0.98638999920354475</v>
      </c>
      <c r="AB26" s="33">
        <f>SUMIFS(Assumptions!BI$105:BI$128,Assumptions!$AL$105:$AL$128,'non-road'!$F26,Assumptions!$AM$105:$AM$128,'non-road'!$D26)/SUMIF(Assumptions!$AL$105:$AL$128,'non-road'!$F26,Assumptions!BI$105:BI$128)</f>
        <v>1</v>
      </c>
      <c r="AC26" s="33">
        <f>SUMIFS(Assumptions!BJ$105:BJ$128,Assumptions!$AL$105:$AL$128,'non-road'!$F26,Assumptions!$AM$105:$AM$128,'non-road'!$D26)/SUMIF(Assumptions!$AL$105:$AL$128,'non-road'!$F26,Assumptions!BJ$105:BJ$128)</f>
        <v>1</v>
      </c>
      <c r="AD26" s="33">
        <f>SUMIFS(Assumptions!BK$105:BK$128,Assumptions!$AL$105:$AL$128,'non-road'!$F26,Assumptions!$AM$105:$AM$128,'non-road'!$D26)/SUMIF(Assumptions!$AL$105:$AL$128,'non-road'!$F26,Assumptions!BK$105:BK$128)</f>
        <v>1</v>
      </c>
      <c r="AE26" s="33">
        <f>SUMIFS(Assumptions!BL$105:BL$128,Assumptions!$AL$105:$AL$128,'non-road'!$F26,Assumptions!$AM$105:$AM$128,'non-road'!$D26)/SUMIF(Assumptions!$AL$105:$AL$128,'non-road'!$F26,Assumptions!BL$105:BL$128)</f>
        <v>1</v>
      </c>
      <c r="AF26" s="33">
        <f>SUMIFS(Assumptions!BM$105:BM$128,Assumptions!$AL$105:$AL$128,'non-road'!$F26,Assumptions!$AM$105:$AM$128,'non-road'!$D26)/SUMIF(Assumptions!$AL$105:$AL$128,'non-road'!$F26,Assumptions!BM$105:BM$128)</f>
        <v>1</v>
      </c>
      <c r="AG26" s="33">
        <f>SUMIFS(Assumptions!BN$105:BN$128,Assumptions!$AL$105:$AL$128,'non-road'!$F26,Assumptions!$AM$105:$AM$128,'non-road'!$D26)/SUMIF(Assumptions!$AL$105:$AL$128,'non-road'!$F26,Assumptions!BN$105:BN$128)</f>
        <v>0.98585292978300498</v>
      </c>
      <c r="AH26" s="33">
        <f>SUMIFS(Assumptions!BO$105:BO$128,Assumptions!$AL$105:$AL$128,'non-road'!$F26,Assumptions!$AM$105:$AM$128,'non-road'!$D26)/SUMIF(Assumptions!$AL$105:$AL$128,'non-road'!$F26,Assumptions!BO$105:BO$128)</f>
        <v>1</v>
      </c>
      <c r="AI26" s="33">
        <f>SUMIFS(Assumptions!BP$105:BP$128,Assumptions!$AL$105:$AL$128,'non-road'!$F26,Assumptions!$AM$105:$AM$128,'non-road'!$D26)/SUMIF(Assumptions!$AL$105:$AL$128,'non-road'!$F26,Assumptions!BP$105:BP$128)</f>
        <v>1</v>
      </c>
      <c r="AJ26" s="33" t="e">
        <f>SUMIFS(Assumptions!BQ$105:BQ$128,Assumptions!$AL$105:$AL$128,'non-road'!$F26,Assumptions!$AM$105:$AM$128,'non-road'!$D26)/SUMIF(Assumptions!$AL$105:$AL$128,'non-road'!$F26,Assumptions!BQ$105:BQ$128)</f>
        <v>#DIV/0!</v>
      </c>
      <c r="AN26" s="27" t="str">
        <f t="shared" si="40"/>
        <v>\I:</v>
      </c>
      <c r="AO26" s="33">
        <f>VLOOKUP($F26,Assumptions!$E$152:$AM$157,COLUMN()-COLUMN($AM$4),FALSE)</f>
        <v>1</v>
      </c>
      <c r="AP26" s="33">
        <f>VLOOKUP($F26,Assumptions!$E$152:$AM$157,COLUMN()-COLUMN($AM$4),FALSE)</f>
        <v>1</v>
      </c>
      <c r="AQ26" s="33">
        <f>VLOOKUP($F26,Assumptions!$E$152:$AM$157,COLUMN()-COLUMN($AM$4),FALSE)</f>
        <v>1</v>
      </c>
      <c r="AR26" s="33">
        <f>VLOOKUP($F26,Assumptions!$E$152:$AM$157,COLUMN()-COLUMN($AM$4),FALSE)</f>
        <v>1</v>
      </c>
      <c r="AS26" s="33">
        <f>VLOOKUP($F26,Assumptions!$E$152:$AM$157,COLUMN()-COLUMN($AM$4),FALSE)</f>
        <v>1</v>
      </c>
      <c r="AT26" s="33">
        <f>VLOOKUP($F26,Assumptions!$E$152:$AM$157,COLUMN()-COLUMN($AM$4),FALSE)</f>
        <v>1</v>
      </c>
      <c r="AU26" s="33">
        <f>VLOOKUP($F26,Assumptions!$E$152:$AM$157,COLUMN()-COLUMN($AM$4),FALSE)</f>
        <v>1</v>
      </c>
      <c r="AV26" s="33">
        <f>VLOOKUP($F26,Assumptions!$E$152:$AM$157,COLUMN()-COLUMN($AM$4),FALSE)</f>
        <v>1</v>
      </c>
      <c r="AW26" s="33">
        <f>VLOOKUP($F26,Assumptions!$E$152:$AM$157,COLUMN()-COLUMN($AM$4),FALSE)</f>
        <v>1</v>
      </c>
      <c r="AX26" s="33">
        <f>VLOOKUP($F26,Assumptions!$E$152:$AM$157,COLUMN()-COLUMN($AM$4),FALSE)</f>
        <v>1</v>
      </c>
      <c r="AY26" s="33">
        <f>VLOOKUP($F26,Assumptions!$E$152:$AM$157,COLUMN()-COLUMN($AM$4),FALSE)</f>
        <v>1</v>
      </c>
      <c r="AZ26" s="33">
        <f>VLOOKUP($F26,Assumptions!$E$152:$AM$157,COLUMN()-COLUMN($AM$4),FALSE)</f>
        <v>1</v>
      </c>
      <c r="BA26" s="33">
        <f>VLOOKUP($F26,Assumptions!$E$152:$AM$157,COLUMN()-COLUMN($AM$4),FALSE)</f>
        <v>1</v>
      </c>
      <c r="BB26" s="33">
        <f>VLOOKUP($F26,Assumptions!$E$152:$AM$157,COLUMN()-COLUMN($AM$4),FALSE)</f>
        <v>1</v>
      </c>
      <c r="BC26" s="33">
        <f>VLOOKUP($F26,Assumptions!$E$152:$AM$157,COLUMN()-COLUMN($AM$4),FALSE)</f>
        <v>1</v>
      </c>
      <c r="BD26" s="33">
        <f>VLOOKUP($F26,Assumptions!$E$152:$AM$157,COLUMN()-COLUMN($AM$4),FALSE)</f>
        <v>1</v>
      </c>
      <c r="BE26" s="33">
        <f>VLOOKUP($F26,Assumptions!$E$152:$AM$157,COLUMN()-COLUMN($AM$4),FALSE)</f>
        <v>1</v>
      </c>
      <c r="BF26" s="33">
        <f>VLOOKUP($F26,Assumptions!$E$152:$AM$157,COLUMN()-COLUMN($AM$4),FALSE)</f>
        <v>1</v>
      </c>
      <c r="BG26" s="33">
        <f>VLOOKUP($F26,Assumptions!$E$152:$AM$157,COLUMN()-COLUMN($AM$4),FALSE)</f>
        <v>1</v>
      </c>
      <c r="BH26" s="33">
        <f>VLOOKUP($F26,Assumptions!$E$152:$AM$157,COLUMN()-COLUMN($AM$4),FALSE)</f>
        <v>1</v>
      </c>
      <c r="BI26" s="33">
        <f>VLOOKUP($F26,Assumptions!$E$152:$AM$157,COLUMN()-COLUMN($AM$4),FALSE)</f>
        <v>1</v>
      </c>
      <c r="BJ26" s="33">
        <f>VLOOKUP($F26,Assumptions!$E$152:$AM$157,COLUMN()-COLUMN($AM$4),FALSE)</f>
        <v>1</v>
      </c>
      <c r="BK26" s="33">
        <f>VLOOKUP($F26,Assumptions!$E$152:$AM$157,COLUMN()-COLUMN($AM$4),FALSE)</f>
        <v>1</v>
      </c>
      <c r="BL26" s="33">
        <f>VLOOKUP($F26,Assumptions!$E$152:$AM$157,COLUMN()-COLUMN($AM$4),FALSE)</f>
        <v>1</v>
      </c>
      <c r="BM26" s="33">
        <f>VLOOKUP($F26,Assumptions!$E$152:$AM$157,COLUMN()-COLUMN($AM$4),FALSE)</f>
        <v>1</v>
      </c>
      <c r="BN26" s="33">
        <f>VLOOKUP($F26,Assumptions!$E$152:$AM$157,COLUMN()-COLUMN($AM$4),FALSE)</f>
        <v>1</v>
      </c>
      <c r="BO26" s="33">
        <f>VLOOKUP($F26,Assumptions!$E$152:$AM$157,COLUMN()-COLUMN($AM$4),FALSE)</f>
        <v>1</v>
      </c>
      <c r="BP26" s="33">
        <f>VLOOKUP($F26,Assumptions!$E$152:$AM$157,COLUMN()-COLUMN($AM$4),FALSE)</f>
        <v>1</v>
      </c>
      <c r="BQ26" s="33">
        <f>VLOOKUP($F26,Assumptions!$E$152:$AM$157,COLUMN()-COLUMN($AM$4),FALSE)</f>
        <v>1</v>
      </c>
      <c r="BR26" s="33">
        <f>VLOOKUP($F26,Assumptions!$E$152:$AM$157,COLUMN()-COLUMN($AM$4),FALSE)</f>
        <v>1</v>
      </c>
      <c r="BS26" s="27"/>
      <c r="CZ26" s="27"/>
      <c r="DA26" s="27" t="str">
        <f t="shared" si="33"/>
        <v>DMD</v>
      </c>
      <c r="DB26" s="27" t="str">
        <f t="shared" si="48"/>
        <v>TWD_Generic</v>
      </c>
      <c r="DC26" s="27" t="s">
        <v>167</v>
      </c>
      <c r="DD26" s="27" t="s">
        <v>160</v>
      </c>
      <c r="DE26" s="27" t="s">
        <v>161</v>
      </c>
    </row>
    <row r="27" spans="1:109" x14ac:dyDescent="0.45">
      <c r="C27" s="27" t="str">
        <f t="shared" si="39"/>
        <v>TWD_Generic</v>
      </c>
      <c r="D27" s="27" t="s">
        <v>32</v>
      </c>
      <c r="E27" s="27" t="s">
        <v>399</v>
      </c>
      <c r="F27" s="27" t="s">
        <v>21</v>
      </c>
      <c r="G27" s="33">
        <f>SUMIFS(Assumptions!AN$105:AN$128,Assumptions!$AL$105:$AL$128,'non-road'!$F27,Assumptions!$AM$105:$AM$128,'non-road'!$D27)/SUMIF(Assumptions!$AL$105:$AL$128,'non-road'!$F27,Assumptions!AN$105:AN$128)</f>
        <v>0</v>
      </c>
      <c r="H27" s="33">
        <f>SUMIFS(Assumptions!AO$105:AO$128,Assumptions!$AL$105:$AL$128,'non-road'!$F27,Assumptions!$AM$105:$AM$128,'non-road'!$D27)/SUMIF(Assumptions!$AL$105:$AL$128,'non-road'!$F27,Assumptions!AO$105:AO$128)</f>
        <v>0</v>
      </c>
      <c r="I27" s="33">
        <f>SUMIFS(Assumptions!AP$105:AP$128,Assumptions!$AL$105:$AL$128,'non-road'!$F27,Assumptions!$AM$105:$AM$128,'non-road'!$D27)/SUMIF(Assumptions!$AL$105:$AL$128,'non-road'!$F27,Assumptions!AP$105:AP$128)</f>
        <v>0</v>
      </c>
      <c r="J27" s="33">
        <f>SUMIFS(Assumptions!AQ$105:AQ$128,Assumptions!$AL$105:$AL$128,'non-road'!$F27,Assumptions!$AM$105:$AM$128,'non-road'!$D27)/SUMIF(Assumptions!$AL$105:$AL$128,'non-road'!$F27,Assumptions!AQ$105:AQ$128)</f>
        <v>0</v>
      </c>
      <c r="K27" s="33">
        <f>SUMIFS(Assumptions!AR$105:AR$128,Assumptions!$AL$105:$AL$128,'non-road'!$F27,Assumptions!$AM$105:$AM$128,'non-road'!$D27)/SUMIF(Assumptions!$AL$105:$AL$128,'non-road'!$F27,Assumptions!AR$105:AR$128)</f>
        <v>0</v>
      </c>
      <c r="L27" s="33">
        <f>SUMIFS(Assumptions!AS$105:AS$128,Assumptions!$AL$105:$AL$128,'non-road'!$F27,Assumptions!$AM$105:$AM$128,'non-road'!$D27)/SUMIF(Assumptions!$AL$105:$AL$128,'non-road'!$F27,Assumptions!AS$105:AS$128)</f>
        <v>9.8942499261148393E-4</v>
      </c>
      <c r="M27" s="33">
        <f>SUMIFS(Assumptions!AT$105:AT$128,Assumptions!$AL$105:$AL$128,'non-road'!$F27,Assumptions!$AM$105:$AM$128,'non-road'!$D27)/SUMIF(Assumptions!$AL$105:$AL$128,'non-road'!$F27,Assumptions!AT$105:AT$128)</f>
        <v>0</v>
      </c>
      <c r="N27" s="33">
        <f>SUMIFS(Assumptions!AU$105:AU$128,Assumptions!$AL$105:$AL$128,'non-road'!$F27,Assumptions!$AM$105:$AM$128,'non-road'!$D27)/SUMIF(Assumptions!$AL$105:$AL$128,'non-road'!$F27,Assumptions!AU$105:AU$128)</f>
        <v>0</v>
      </c>
      <c r="O27" s="33">
        <f>SUMIFS(Assumptions!AV$105:AV$128,Assumptions!$AL$105:$AL$128,'non-road'!$F27,Assumptions!$AM$105:$AM$128,'non-road'!$D27)/SUMIF(Assumptions!$AL$105:$AL$128,'non-road'!$F27,Assumptions!AV$105:AV$128)</f>
        <v>0</v>
      </c>
      <c r="P27" s="33">
        <f>SUMIFS(Assumptions!AW$105:AW$128,Assumptions!$AL$105:$AL$128,'non-road'!$F27,Assumptions!$AM$105:$AM$128,'non-road'!$D27)/SUMIF(Assumptions!$AL$105:$AL$128,'non-road'!$F27,Assumptions!AW$105:AW$128)</f>
        <v>0</v>
      </c>
      <c r="Q27" s="33">
        <f>SUMIFS(Assumptions!AX$105:AX$128,Assumptions!$AL$105:$AL$128,'non-road'!$F27,Assumptions!$AM$105:$AM$128,'non-road'!$D27)/SUMIF(Assumptions!$AL$105:$AL$128,'non-road'!$F27,Assumptions!AX$105:AX$128)</f>
        <v>1.0227158751469479E-2</v>
      </c>
      <c r="R27" s="33">
        <f>SUMIFS(Assumptions!AY$105:AY$128,Assumptions!$AL$105:$AL$128,'non-road'!$F27,Assumptions!$AM$105:$AM$128,'non-road'!$D27)/SUMIF(Assumptions!$AL$105:$AL$128,'non-road'!$F27,Assumptions!AY$105:AY$128)</f>
        <v>0</v>
      </c>
      <c r="S27" s="33">
        <f>SUMIFS(Assumptions!AZ$105:AZ$128,Assumptions!$AL$105:$AL$128,'non-road'!$F27,Assumptions!$AM$105:$AM$128,'non-road'!$D27)/SUMIF(Assumptions!$AL$105:$AL$128,'non-road'!$F27,Assumptions!AZ$105:AZ$128)</f>
        <v>5.4646246671799202E-3</v>
      </c>
      <c r="T27" s="33">
        <f>SUMIFS(Assumptions!BA$105:BA$128,Assumptions!$AL$105:$AL$128,'non-road'!$F27,Assumptions!$AM$105:$AM$128,'non-road'!$D27)/SUMIF(Assumptions!$AL$105:$AL$128,'non-road'!$F27,Assumptions!BA$105:BA$128)</f>
        <v>3.2128445274244268E-4</v>
      </c>
      <c r="U27" s="33">
        <f>SUMIFS(Assumptions!BB$105:BB$128,Assumptions!$AL$105:$AL$128,'non-road'!$F27,Assumptions!$AM$105:$AM$128,'non-road'!$D27)/SUMIF(Assumptions!$AL$105:$AL$128,'non-road'!$F27,Assumptions!BB$105:BB$128)</f>
        <v>0</v>
      </c>
      <c r="V27" s="33">
        <f>SUMIFS(Assumptions!BC$105:BC$128,Assumptions!$AL$105:$AL$128,'non-road'!$F27,Assumptions!$AM$105:$AM$128,'non-road'!$D27)/SUMIF(Assumptions!$AL$105:$AL$128,'non-road'!$F27,Assumptions!BC$105:BC$128)</f>
        <v>2.2690091488342338E-3</v>
      </c>
      <c r="W27" s="33">
        <f>SUMIFS(Assumptions!BD$105:BD$128,Assumptions!$AL$105:$AL$128,'non-road'!$F27,Assumptions!$AM$105:$AM$128,'non-road'!$D27)/SUMIF(Assumptions!$AL$105:$AL$128,'non-road'!$F27,Assumptions!BD$105:BD$128)</f>
        <v>1.1462857046293938E-3</v>
      </c>
      <c r="X27" s="33">
        <f>SUMIFS(Assumptions!BE$105:BE$128,Assumptions!$AL$105:$AL$128,'non-road'!$F27,Assumptions!$AM$105:$AM$128,'non-road'!$D27)/SUMIF(Assumptions!$AL$105:$AL$128,'non-road'!$F27,Assumptions!BE$105:BE$128)</f>
        <v>8.4568182427181872E-3</v>
      </c>
      <c r="Y27" s="33">
        <f>SUMIFS(Assumptions!BF$105:BF$128,Assumptions!$AL$105:$AL$128,'non-road'!$F27,Assumptions!$AM$105:$AM$128,'non-road'!$D27)/SUMIF(Assumptions!$AL$105:$AL$128,'non-road'!$F27,Assumptions!BF$105:BF$128)</f>
        <v>0</v>
      </c>
      <c r="Z27" s="33">
        <f>SUMIFS(Assumptions!BG$105:BG$128,Assumptions!$AL$105:$AL$128,'non-road'!$F27,Assumptions!$AM$105:$AM$128,'non-road'!$D27)/SUMIF(Assumptions!$AL$105:$AL$128,'non-road'!$F27,Assumptions!BG$105:BG$128)</f>
        <v>0</v>
      </c>
      <c r="AA27" s="33">
        <f>SUMIFS(Assumptions!BH$105:BH$128,Assumptions!$AL$105:$AL$128,'non-road'!$F27,Assumptions!$AM$105:$AM$128,'non-road'!$D27)/SUMIF(Assumptions!$AL$105:$AL$128,'non-road'!$F27,Assumptions!BH$105:BH$128)</f>
        <v>0</v>
      </c>
      <c r="AB27" s="33">
        <f>SUMIFS(Assumptions!BI$105:BI$128,Assumptions!$AL$105:$AL$128,'non-road'!$F27,Assumptions!$AM$105:$AM$128,'non-road'!$D27)/SUMIF(Assumptions!$AL$105:$AL$128,'non-road'!$F27,Assumptions!BI$105:BI$128)</f>
        <v>0</v>
      </c>
      <c r="AC27" s="33" t="e">
        <f>SUMIFS(Assumptions!BJ$105:BJ$128,Assumptions!$AL$105:$AL$128,'non-road'!$F27,Assumptions!$AM$105:$AM$128,'non-road'!$D27)/SUMIF(Assumptions!$AL$105:$AL$128,'non-road'!$F27,Assumptions!BJ$105:BJ$128)</f>
        <v>#DIV/0!</v>
      </c>
      <c r="AD27" s="33">
        <f>SUMIFS(Assumptions!BK$105:BK$128,Assumptions!$AL$105:$AL$128,'non-road'!$F27,Assumptions!$AM$105:$AM$128,'non-road'!$D27)/SUMIF(Assumptions!$AL$105:$AL$128,'non-road'!$F27,Assumptions!BK$105:BK$128)</f>
        <v>9.8052000898156351E-7</v>
      </c>
      <c r="AE27" s="33">
        <f>SUMIFS(Assumptions!BL$105:BL$128,Assumptions!$AL$105:$AL$128,'non-road'!$F27,Assumptions!$AM$105:$AM$128,'non-road'!$D27)/SUMIF(Assumptions!$AL$105:$AL$128,'non-road'!$F27,Assumptions!BL$105:BL$128)</f>
        <v>0</v>
      </c>
      <c r="AF27" s="33" t="e">
        <f>SUMIFS(Assumptions!BM$105:BM$128,Assumptions!$AL$105:$AL$128,'non-road'!$F27,Assumptions!$AM$105:$AM$128,'non-road'!$D27)/SUMIF(Assumptions!$AL$105:$AL$128,'non-road'!$F27,Assumptions!BM$105:BM$128)</f>
        <v>#DIV/0!</v>
      </c>
      <c r="AG27" s="33">
        <f>SUMIFS(Assumptions!BN$105:BN$128,Assumptions!$AL$105:$AL$128,'non-road'!$F27,Assumptions!$AM$105:$AM$128,'non-road'!$D27)/SUMIF(Assumptions!$AL$105:$AL$128,'non-road'!$F27,Assumptions!BN$105:BN$128)</f>
        <v>0</v>
      </c>
      <c r="AH27" s="33">
        <f>SUMIFS(Assumptions!BO$105:BO$128,Assumptions!$AL$105:$AL$128,'non-road'!$F27,Assumptions!$AM$105:$AM$128,'non-road'!$D27)/SUMIF(Assumptions!$AL$105:$AL$128,'non-road'!$F27,Assumptions!BO$105:BO$128)</f>
        <v>0</v>
      </c>
      <c r="AI27" s="33">
        <f>SUMIFS(Assumptions!BP$105:BP$128,Assumptions!$AL$105:$AL$128,'non-road'!$F27,Assumptions!$AM$105:$AM$128,'non-road'!$D27)/SUMIF(Assumptions!$AL$105:$AL$128,'non-road'!$F27,Assumptions!BP$105:BP$128)</f>
        <v>1.2404657038761499E-2</v>
      </c>
      <c r="AJ27" s="33" t="e">
        <f>SUMIFS(Assumptions!BQ$105:BQ$128,Assumptions!$AL$105:$AL$128,'non-road'!$F27,Assumptions!$AM$105:$AM$128,'non-road'!$D27)/SUMIF(Assumptions!$AL$105:$AL$128,'non-road'!$F27,Assumptions!BQ$105:BQ$128)</f>
        <v>#DIV/0!</v>
      </c>
      <c r="AN27" s="27" t="str">
        <f t="shared" si="40"/>
        <v>TWD_Generic</v>
      </c>
      <c r="AO27" s="33">
        <f>VLOOKUP($F27,Assumptions!$E$152:$AM$157,COLUMN()-COLUMN($AM$4),FALSE)</f>
        <v>1</v>
      </c>
      <c r="AP27" s="33">
        <f>VLOOKUP($F27,Assumptions!$E$152:$AM$157,COLUMN()-COLUMN($AM$4),FALSE)</f>
        <v>1</v>
      </c>
      <c r="AQ27" s="33">
        <f>VLOOKUP($F27,Assumptions!$E$152:$AM$157,COLUMN()-COLUMN($AM$4),FALSE)</f>
        <v>1</v>
      </c>
      <c r="AR27" s="33">
        <f>VLOOKUP($F27,Assumptions!$E$152:$AM$157,COLUMN()-COLUMN($AM$4),FALSE)</f>
        <v>1</v>
      </c>
      <c r="AS27" s="33">
        <f>VLOOKUP($F27,Assumptions!$E$152:$AM$157,COLUMN()-COLUMN($AM$4),FALSE)</f>
        <v>1</v>
      </c>
      <c r="AT27" s="33">
        <f>VLOOKUP($F27,Assumptions!$E$152:$AM$157,COLUMN()-COLUMN($AM$4),FALSE)</f>
        <v>1</v>
      </c>
      <c r="AU27" s="33">
        <f>VLOOKUP($F27,Assumptions!$E$152:$AM$157,COLUMN()-COLUMN($AM$4),FALSE)</f>
        <v>1</v>
      </c>
      <c r="AV27" s="33">
        <f>VLOOKUP($F27,Assumptions!$E$152:$AM$157,COLUMN()-COLUMN($AM$4),FALSE)</f>
        <v>1</v>
      </c>
      <c r="AW27" s="33">
        <f>VLOOKUP($F27,Assumptions!$E$152:$AM$157,COLUMN()-COLUMN($AM$4),FALSE)</f>
        <v>1</v>
      </c>
      <c r="AX27" s="33">
        <f>VLOOKUP($F27,Assumptions!$E$152:$AM$157,COLUMN()-COLUMN($AM$4),FALSE)</f>
        <v>1</v>
      </c>
      <c r="AY27" s="33">
        <f>VLOOKUP($F27,Assumptions!$E$152:$AM$157,COLUMN()-COLUMN($AM$4),FALSE)</f>
        <v>1</v>
      </c>
      <c r="AZ27" s="33">
        <f>VLOOKUP($F27,Assumptions!$E$152:$AM$157,COLUMN()-COLUMN($AM$4),FALSE)</f>
        <v>1</v>
      </c>
      <c r="BA27" s="33">
        <f>VLOOKUP($F27,Assumptions!$E$152:$AM$157,COLUMN()-COLUMN($AM$4),FALSE)</f>
        <v>1</v>
      </c>
      <c r="BB27" s="33">
        <f>VLOOKUP($F27,Assumptions!$E$152:$AM$157,COLUMN()-COLUMN($AM$4),FALSE)</f>
        <v>1</v>
      </c>
      <c r="BC27" s="33">
        <f>VLOOKUP($F27,Assumptions!$E$152:$AM$157,COLUMN()-COLUMN($AM$4),FALSE)</f>
        <v>1</v>
      </c>
      <c r="BD27" s="33">
        <f>VLOOKUP($F27,Assumptions!$E$152:$AM$157,COLUMN()-COLUMN($AM$4),FALSE)</f>
        <v>1</v>
      </c>
      <c r="BE27" s="33">
        <f>VLOOKUP($F27,Assumptions!$E$152:$AM$157,COLUMN()-COLUMN($AM$4),FALSE)</f>
        <v>1</v>
      </c>
      <c r="BF27" s="33">
        <f>VLOOKUP($F27,Assumptions!$E$152:$AM$157,COLUMN()-COLUMN($AM$4),FALSE)</f>
        <v>1</v>
      </c>
      <c r="BG27" s="33">
        <f>VLOOKUP($F27,Assumptions!$E$152:$AM$157,COLUMN()-COLUMN($AM$4),FALSE)</f>
        <v>1</v>
      </c>
      <c r="BH27" s="33">
        <f>VLOOKUP($F27,Assumptions!$E$152:$AM$157,COLUMN()-COLUMN($AM$4),FALSE)</f>
        <v>1</v>
      </c>
      <c r="BI27" s="33">
        <f>VLOOKUP($F27,Assumptions!$E$152:$AM$157,COLUMN()-COLUMN($AM$4),FALSE)</f>
        <v>1</v>
      </c>
      <c r="BJ27" s="33">
        <f>VLOOKUP($F27,Assumptions!$E$152:$AM$157,COLUMN()-COLUMN($AM$4),FALSE)</f>
        <v>1</v>
      </c>
      <c r="BK27" s="33">
        <f>VLOOKUP($F27,Assumptions!$E$152:$AM$157,COLUMN()-COLUMN($AM$4),FALSE)</f>
        <v>1</v>
      </c>
      <c r="BL27" s="33">
        <f>VLOOKUP($F27,Assumptions!$E$152:$AM$157,COLUMN()-COLUMN($AM$4),FALSE)</f>
        <v>1</v>
      </c>
      <c r="BM27" s="33">
        <f>VLOOKUP($F27,Assumptions!$E$152:$AM$157,COLUMN()-COLUMN($AM$4),FALSE)</f>
        <v>1</v>
      </c>
      <c r="BN27" s="33">
        <f>VLOOKUP($F27,Assumptions!$E$152:$AM$157,COLUMN()-COLUMN($AM$4),FALSE)</f>
        <v>1</v>
      </c>
      <c r="BO27" s="33">
        <f>VLOOKUP($F27,Assumptions!$E$152:$AM$157,COLUMN()-COLUMN($AM$4),FALSE)</f>
        <v>1</v>
      </c>
      <c r="BP27" s="33">
        <f>VLOOKUP($F27,Assumptions!$E$152:$AM$157,COLUMN()-COLUMN($AM$4),FALSE)</f>
        <v>1</v>
      </c>
      <c r="BQ27" s="33">
        <f>VLOOKUP($F27,Assumptions!$E$152:$AM$157,COLUMN()-COLUMN($AM$4),FALSE)</f>
        <v>1</v>
      </c>
      <c r="BR27" s="33">
        <f>VLOOKUP($F27,Assumptions!$E$152:$AM$157,COLUMN()-COLUMN($AM$4),FALSE)</f>
        <v>1</v>
      </c>
      <c r="BS27" s="27"/>
      <c r="CZ27" s="27"/>
      <c r="DA27" s="27" t="str">
        <f t="shared" si="33"/>
        <v>\I:</v>
      </c>
      <c r="DB27" s="27" t="str">
        <f t="shared" si="48"/>
        <v/>
      </c>
      <c r="DC27" s="27" t="s">
        <v>169</v>
      </c>
      <c r="DD27" s="27" t="s">
        <v>160</v>
      </c>
      <c r="DE27" s="27" t="s">
        <v>161</v>
      </c>
    </row>
    <row r="28" spans="1:109" x14ac:dyDescent="0.45">
      <c r="C28" s="27" t="str">
        <f t="shared" si="39"/>
        <v/>
      </c>
      <c r="D28" s="27" t="s">
        <v>33</v>
      </c>
      <c r="E28" s="27" t="s">
        <v>399</v>
      </c>
      <c r="F28" s="27" t="s">
        <v>21</v>
      </c>
      <c r="G28" s="33">
        <f>SUMIFS(Assumptions!AN$105:AN$128,Assumptions!$AL$105:$AL$128,'non-road'!$F28,Assumptions!$AM$105:$AM$128,'non-road'!$D28)/SUMIF(Assumptions!$AL$105:$AL$128,'non-road'!$F28,Assumptions!AN$105:AN$128)</f>
        <v>0</v>
      </c>
      <c r="H28" s="33">
        <f>SUMIFS(Assumptions!AO$105:AO$128,Assumptions!$AL$105:$AL$128,'non-road'!$F28,Assumptions!$AM$105:$AM$128,'non-road'!$D28)/SUMIF(Assumptions!$AL$105:$AL$128,'non-road'!$F28,Assumptions!AO$105:AO$128)</f>
        <v>0</v>
      </c>
      <c r="I28" s="33">
        <f>SUMIFS(Assumptions!AP$105:AP$128,Assumptions!$AL$105:$AL$128,'non-road'!$F28,Assumptions!$AM$105:$AM$128,'non-road'!$D28)/SUMIF(Assumptions!$AL$105:$AL$128,'non-road'!$F28,Assumptions!AP$105:AP$128)</f>
        <v>0</v>
      </c>
      <c r="J28" s="33">
        <f>SUMIFS(Assumptions!AQ$105:AQ$128,Assumptions!$AL$105:$AL$128,'non-road'!$F28,Assumptions!$AM$105:$AM$128,'non-road'!$D28)/SUMIF(Assumptions!$AL$105:$AL$128,'non-road'!$F28,Assumptions!AQ$105:AQ$128)</f>
        <v>0</v>
      </c>
      <c r="K28" s="33">
        <f>SUMIFS(Assumptions!AR$105:AR$128,Assumptions!$AL$105:$AL$128,'non-road'!$F28,Assumptions!$AM$105:$AM$128,'non-road'!$D28)/SUMIF(Assumptions!$AL$105:$AL$128,'non-road'!$F28,Assumptions!AR$105:AR$128)</f>
        <v>0</v>
      </c>
      <c r="L28" s="33">
        <f>SUMIFS(Assumptions!AS$105:AS$128,Assumptions!$AL$105:$AL$128,'non-road'!$F28,Assumptions!$AM$105:$AM$128,'non-road'!$D28)/SUMIF(Assumptions!$AL$105:$AL$128,'non-road'!$F28,Assumptions!AS$105:AS$128)</f>
        <v>0</v>
      </c>
      <c r="M28" s="33">
        <f>SUMIFS(Assumptions!AT$105:AT$128,Assumptions!$AL$105:$AL$128,'non-road'!$F28,Assumptions!$AM$105:$AM$128,'non-road'!$D28)/SUMIF(Assumptions!$AL$105:$AL$128,'non-road'!$F28,Assumptions!AT$105:AT$128)</f>
        <v>0</v>
      </c>
      <c r="N28" s="33">
        <f>SUMIFS(Assumptions!AU$105:AU$128,Assumptions!$AL$105:$AL$128,'non-road'!$F28,Assumptions!$AM$105:$AM$128,'non-road'!$D28)/SUMIF(Assumptions!$AL$105:$AL$128,'non-road'!$F28,Assumptions!AU$105:AU$128)</f>
        <v>0</v>
      </c>
      <c r="O28" s="33">
        <f>SUMIFS(Assumptions!AV$105:AV$128,Assumptions!$AL$105:$AL$128,'non-road'!$F28,Assumptions!$AM$105:$AM$128,'non-road'!$D28)/SUMIF(Assumptions!$AL$105:$AL$128,'non-road'!$F28,Assumptions!AV$105:AV$128)</f>
        <v>0</v>
      </c>
      <c r="P28" s="33">
        <f>SUMIFS(Assumptions!AW$105:AW$128,Assumptions!$AL$105:$AL$128,'non-road'!$F28,Assumptions!$AM$105:$AM$128,'non-road'!$D28)/SUMIF(Assumptions!$AL$105:$AL$128,'non-road'!$F28,Assumptions!AW$105:AW$128)</f>
        <v>0</v>
      </c>
      <c r="Q28" s="33">
        <f>SUMIFS(Assumptions!AX$105:AX$128,Assumptions!$AL$105:$AL$128,'non-road'!$F28,Assumptions!$AM$105:$AM$128,'non-road'!$D28)/SUMIF(Assumptions!$AL$105:$AL$128,'non-road'!$F28,Assumptions!AX$105:AX$128)</f>
        <v>0</v>
      </c>
      <c r="R28" s="33">
        <f>SUMIFS(Assumptions!AY$105:AY$128,Assumptions!$AL$105:$AL$128,'non-road'!$F28,Assumptions!$AM$105:$AM$128,'non-road'!$D28)/SUMIF(Assumptions!$AL$105:$AL$128,'non-road'!$F28,Assumptions!AY$105:AY$128)</f>
        <v>0</v>
      </c>
      <c r="S28" s="33">
        <f>SUMIFS(Assumptions!AZ$105:AZ$128,Assumptions!$AL$105:$AL$128,'non-road'!$F28,Assumptions!$AM$105:$AM$128,'non-road'!$D28)/SUMIF(Assumptions!$AL$105:$AL$128,'non-road'!$F28,Assumptions!AZ$105:AZ$128)</f>
        <v>0</v>
      </c>
      <c r="T28" s="33">
        <f>SUMIFS(Assumptions!BA$105:BA$128,Assumptions!$AL$105:$AL$128,'non-road'!$F28,Assumptions!$AM$105:$AM$128,'non-road'!$D28)/SUMIF(Assumptions!$AL$105:$AL$128,'non-road'!$F28,Assumptions!BA$105:BA$128)</f>
        <v>0</v>
      </c>
      <c r="U28" s="33">
        <f>SUMIFS(Assumptions!BB$105:BB$128,Assumptions!$AL$105:$AL$128,'non-road'!$F28,Assumptions!$AM$105:$AM$128,'non-road'!$D28)/SUMIF(Assumptions!$AL$105:$AL$128,'non-road'!$F28,Assumptions!BB$105:BB$128)</f>
        <v>0</v>
      </c>
      <c r="V28" s="33">
        <f>SUMIFS(Assumptions!BC$105:BC$128,Assumptions!$AL$105:$AL$128,'non-road'!$F28,Assumptions!$AM$105:$AM$128,'non-road'!$D28)/SUMIF(Assumptions!$AL$105:$AL$128,'non-road'!$F28,Assumptions!BC$105:BC$128)</f>
        <v>0</v>
      </c>
      <c r="W28" s="33">
        <f>SUMIFS(Assumptions!BD$105:BD$128,Assumptions!$AL$105:$AL$128,'non-road'!$F28,Assumptions!$AM$105:$AM$128,'non-road'!$D28)/SUMIF(Assumptions!$AL$105:$AL$128,'non-road'!$F28,Assumptions!BD$105:BD$128)</f>
        <v>0</v>
      </c>
      <c r="X28" s="33">
        <f>SUMIFS(Assumptions!BE$105:BE$128,Assumptions!$AL$105:$AL$128,'non-road'!$F28,Assumptions!$AM$105:$AM$128,'non-road'!$D28)/SUMIF(Assumptions!$AL$105:$AL$128,'non-road'!$F28,Assumptions!BE$105:BE$128)</f>
        <v>0</v>
      </c>
      <c r="Y28" s="33">
        <f>SUMIFS(Assumptions!BF$105:BF$128,Assumptions!$AL$105:$AL$128,'non-road'!$F28,Assumptions!$AM$105:$AM$128,'non-road'!$D28)/SUMIF(Assumptions!$AL$105:$AL$128,'non-road'!$F28,Assumptions!BF$105:BF$128)</f>
        <v>0</v>
      </c>
      <c r="Z28" s="33">
        <f>SUMIFS(Assumptions!BG$105:BG$128,Assumptions!$AL$105:$AL$128,'non-road'!$F28,Assumptions!$AM$105:$AM$128,'non-road'!$D28)/SUMIF(Assumptions!$AL$105:$AL$128,'non-road'!$F28,Assumptions!BG$105:BG$128)</f>
        <v>0</v>
      </c>
      <c r="AA28" s="33">
        <f>SUMIFS(Assumptions!BH$105:BH$128,Assumptions!$AL$105:$AL$128,'non-road'!$F28,Assumptions!$AM$105:$AM$128,'non-road'!$D28)/SUMIF(Assumptions!$AL$105:$AL$128,'non-road'!$F28,Assumptions!BH$105:BH$128)</f>
        <v>0</v>
      </c>
      <c r="AB28" s="33">
        <f>SUMIFS(Assumptions!BI$105:BI$128,Assumptions!$AL$105:$AL$128,'non-road'!$F28,Assumptions!$AM$105:$AM$128,'non-road'!$D28)/SUMIF(Assumptions!$AL$105:$AL$128,'non-road'!$F28,Assumptions!BI$105:BI$128)</f>
        <v>0</v>
      </c>
      <c r="AC28" s="33" t="e">
        <f>SUMIFS(Assumptions!BJ$105:BJ$128,Assumptions!$AL$105:$AL$128,'non-road'!$F28,Assumptions!$AM$105:$AM$128,'non-road'!$D28)/SUMIF(Assumptions!$AL$105:$AL$128,'non-road'!$F28,Assumptions!BJ$105:BJ$128)</f>
        <v>#DIV/0!</v>
      </c>
      <c r="AD28" s="33">
        <f>SUMIFS(Assumptions!BK$105:BK$128,Assumptions!$AL$105:$AL$128,'non-road'!$F28,Assumptions!$AM$105:$AM$128,'non-road'!$D28)/SUMIF(Assumptions!$AL$105:$AL$128,'non-road'!$F28,Assumptions!BK$105:BK$128)</f>
        <v>0</v>
      </c>
      <c r="AE28" s="33">
        <f>SUMIFS(Assumptions!BL$105:BL$128,Assumptions!$AL$105:$AL$128,'non-road'!$F28,Assumptions!$AM$105:$AM$128,'non-road'!$D28)/SUMIF(Assumptions!$AL$105:$AL$128,'non-road'!$F28,Assumptions!BL$105:BL$128)</f>
        <v>0</v>
      </c>
      <c r="AF28" s="33" t="e">
        <f>SUMIFS(Assumptions!BM$105:BM$128,Assumptions!$AL$105:$AL$128,'non-road'!$F28,Assumptions!$AM$105:$AM$128,'non-road'!$D28)/SUMIF(Assumptions!$AL$105:$AL$128,'non-road'!$F28,Assumptions!BM$105:BM$128)</f>
        <v>#DIV/0!</v>
      </c>
      <c r="AG28" s="33">
        <f>SUMIFS(Assumptions!BN$105:BN$128,Assumptions!$AL$105:$AL$128,'non-road'!$F28,Assumptions!$AM$105:$AM$128,'non-road'!$D28)/SUMIF(Assumptions!$AL$105:$AL$128,'non-road'!$F28,Assumptions!BN$105:BN$128)</f>
        <v>0</v>
      </c>
      <c r="AH28" s="33">
        <f>SUMIFS(Assumptions!BO$105:BO$128,Assumptions!$AL$105:$AL$128,'non-road'!$F28,Assumptions!$AM$105:$AM$128,'non-road'!$D28)/SUMIF(Assumptions!$AL$105:$AL$128,'non-road'!$F28,Assumptions!BO$105:BO$128)</f>
        <v>0</v>
      </c>
      <c r="AI28" s="33">
        <f>SUMIFS(Assumptions!BP$105:BP$128,Assumptions!$AL$105:$AL$128,'non-road'!$F28,Assumptions!$AM$105:$AM$128,'non-road'!$D28)/SUMIF(Assumptions!$AL$105:$AL$128,'non-road'!$F28,Assumptions!BP$105:BP$128)</f>
        <v>0</v>
      </c>
      <c r="AJ28" s="33" t="e">
        <f>SUMIFS(Assumptions!BQ$105:BQ$128,Assumptions!$AL$105:$AL$128,'non-road'!$F28,Assumptions!$AM$105:$AM$128,'non-road'!$D28)/SUMIF(Assumptions!$AL$105:$AL$128,'non-road'!$F28,Assumptions!BQ$105:BQ$128)</f>
        <v>#DIV/0!</v>
      </c>
      <c r="AN28" s="27" t="str">
        <f t="shared" si="40"/>
        <v>\I:</v>
      </c>
      <c r="AO28" s="33">
        <f>VLOOKUP($F28,Assumptions!$E$152:$AM$157,COLUMN()-COLUMN($AM$4),FALSE)</f>
        <v>1</v>
      </c>
      <c r="AP28" s="33">
        <f>VLOOKUP($F28,Assumptions!$E$152:$AM$157,COLUMN()-COLUMN($AM$4),FALSE)</f>
        <v>1</v>
      </c>
      <c r="AQ28" s="33">
        <f>VLOOKUP($F28,Assumptions!$E$152:$AM$157,COLUMN()-COLUMN($AM$4),FALSE)</f>
        <v>1</v>
      </c>
      <c r="AR28" s="33">
        <f>VLOOKUP($F28,Assumptions!$E$152:$AM$157,COLUMN()-COLUMN($AM$4),FALSE)</f>
        <v>1</v>
      </c>
      <c r="AS28" s="33">
        <f>VLOOKUP($F28,Assumptions!$E$152:$AM$157,COLUMN()-COLUMN($AM$4),FALSE)</f>
        <v>1</v>
      </c>
      <c r="AT28" s="33">
        <f>VLOOKUP($F28,Assumptions!$E$152:$AM$157,COLUMN()-COLUMN($AM$4),FALSE)</f>
        <v>1</v>
      </c>
      <c r="AU28" s="33">
        <f>VLOOKUP($F28,Assumptions!$E$152:$AM$157,COLUMN()-COLUMN($AM$4),FALSE)</f>
        <v>1</v>
      </c>
      <c r="AV28" s="33">
        <f>VLOOKUP($F28,Assumptions!$E$152:$AM$157,COLUMN()-COLUMN($AM$4),FALSE)</f>
        <v>1</v>
      </c>
      <c r="AW28" s="33">
        <f>VLOOKUP($F28,Assumptions!$E$152:$AM$157,COLUMN()-COLUMN($AM$4),FALSE)</f>
        <v>1</v>
      </c>
      <c r="AX28" s="33">
        <f>VLOOKUP($F28,Assumptions!$E$152:$AM$157,COLUMN()-COLUMN($AM$4),FALSE)</f>
        <v>1</v>
      </c>
      <c r="AY28" s="33">
        <f>VLOOKUP($F28,Assumptions!$E$152:$AM$157,COLUMN()-COLUMN($AM$4),FALSE)</f>
        <v>1</v>
      </c>
      <c r="AZ28" s="33">
        <f>VLOOKUP($F28,Assumptions!$E$152:$AM$157,COLUMN()-COLUMN($AM$4),FALSE)</f>
        <v>1</v>
      </c>
      <c r="BA28" s="33">
        <f>VLOOKUP($F28,Assumptions!$E$152:$AM$157,COLUMN()-COLUMN($AM$4),FALSE)</f>
        <v>1</v>
      </c>
      <c r="BB28" s="33">
        <f>VLOOKUP($F28,Assumptions!$E$152:$AM$157,COLUMN()-COLUMN($AM$4),FALSE)</f>
        <v>1</v>
      </c>
      <c r="BC28" s="33">
        <f>VLOOKUP($F28,Assumptions!$E$152:$AM$157,COLUMN()-COLUMN($AM$4),FALSE)</f>
        <v>1</v>
      </c>
      <c r="BD28" s="33">
        <f>VLOOKUP($F28,Assumptions!$E$152:$AM$157,COLUMN()-COLUMN($AM$4),FALSE)</f>
        <v>1</v>
      </c>
      <c r="BE28" s="33">
        <f>VLOOKUP($F28,Assumptions!$E$152:$AM$157,COLUMN()-COLUMN($AM$4),FALSE)</f>
        <v>1</v>
      </c>
      <c r="BF28" s="33">
        <f>VLOOKUP($F28,Assumptions!$E$152:$AM$157,COLUMN()-COLUMN($AM$4),FALSE)</f>
        <v>1</v>
      </c>
      <c r="BG28" s="33">
        <f>VLOOKUP($F28,Assumptions!$E$152:$AM$157,COLUMN()-COLUMN($AM$4),FALSE)</f>
        <v>1</v>
      </c>
      <c r="BH28" s="33">
        <f>VLOOKUP($F28,Assumptions!$E$152:$AM$157,COLUMN()-COLUMN($AM$4),FALSE)</f>
        <v>1</v>
      </c>
      <c r="BI28" s="33">
        <f>VLOOKUP($F28,Assumptions!$E$152:$AM$157,COLUMN()-COLUMN($AM$4),FALSE)</f>
        <v>1</v>
      </c>
      <c r="BJ28" s="33">
        <f>VLOOKUP($F28,Assumptions!$E$152:$AM$157,COLUMN()-COLUMN($AM$4),FALSE)</f>
        <v>1</v>
      </c>
      <c r="BK28" s="33">
        <f>VLOOKUP($F28,Assumptions!$E$152:$AM$157,COLUMN()-COLUMN($AM$4),FALSE)</f>
        <v>1</v>
      </c>
      <c r="BL28" s="33">
        <f>VLOOKUP($F28,Assumptions!$E$152:$AM$157,COLUMN()-COLUMN($AM$4),FALSE)</f>
        <v>1</v>
      </c>
      <c r="BM28" s="33">
        <f>VLOOKUP($F28,Assumptions!$E$152:$AM$157,COLUMN()-COLUMN($AM$4),FALSE)</f>
        <v>1</v>
      </c>
      <c r="BN28" s="33">
        <f>VLOOKUP($F28,Assumptions!$E$152:$AM$157,COLUMN()-COLUMN($AM$4),FALSE)</f>
        <v>1</v>
      </c>
      <c r="BO28" s="33">
        <f>VLOOKUP($F28,Assumptions!$E$152:$AM$157,COLUMN()-COLUMN($AM$4),FALSE)</f>
        <v>1</v>
      </c>
      <c r="BP28" s="33">
        <f>VLOOKUP($F28,Assumptions!$E$152:$AM$157,COLUMN()-COLUMN($AM$4),FALSE)</f>
        <v>1</v>
      </c>
      <c r="BQ28" s="33">
        <f>VLOOKUP($F28,Assumptions!$E$152:$AM$157,COLUMN()-COLUMN($AM$4),FALSE)</f>
        <v>1</v>
      </c>
      <c r="BR28" s="33">
        <f>VLOOKUP($F28,Assumptions!$E$152:$AM$157,COLUMN()-COLUMN($AM$4),FALSE)</f>
        <v>1</v>
      </c>
      <c r="BS28" s="27"/>
      <c r="CZ28" s="27"/>
      <c r="DA28" s="27" t="str">
        <f t="shared" si="33"/>
        <v>\I:</v>
      </c>
      <c r="DB28" s="27" t="str">
        <f t="shared" si="48"/>
        <v/>
      </c>
      <c r="DC28" s="27" t="s">
        <v>169</v>
      </c>
      <c r="DD28" s="27" t="s">
        <v>160</v>
      </c>
      <c r="DE28" s="27" t="s">
        <v>161</v>
      </c>
    </row>
    <row r="29" spans="1:109" x14ac:dyDescent="0.45">
      <c r="C29" s="27" t="str">
        <f t="shared" si="39"/>
        <v/>
      </c>
      <c r="D29" s="27" t="s">
        <v>41</v>
      </c>
      <c r="E29" s="27"/>
      <c r="F29" s="27" t="s">
        <v>21</v>
      </c>
      <c r="G29" s="33">
        <f>SUMIFS(Assumptions!AN$105:AN$128,Assumptions!$AL$105:$AL$128,'non-road'!$F29,Assumptions!$AM$105:$AM$128,'non-road'!$D29)/SUMIF(Assumptions!$AL$105:$AL$128,'non-road'!$F29,Assumptions!AN$105:AN$128)</f>
        <v>0.18711748229849867</v>
      </c>
      <c r="H29" s="33">
        <f>SUMIFS(Assumptions!AO$105:AO$128,Assumptions!$AL$105:$AL$128,'non-road'!$F29,Assumptions!$AM$105:$AM$128,'non-road'!$D29)/SUMIF(Assumptions!$AL$105:$AL$128,'non-road'!$F29,Assumptions!AO$105:AO$128)</f>
        <v>0.86872581039079144</v>
      </c>
      <c r="I29" s="33">
        <f>SUMIFS(Assumptions!AP$105:AP$128,Assumptions!$AL$105:$AL$128,'non-road'!$F29,Assumptions!$AM$105:$AM$128,'non-road'!$D29)/SUMIF(Assumptions!$AL$105:$AL$128,'non-road'!$F29,Assumptions!AP$105:AP$128)</f>
        <v>0.65103943250058294</v>
      </c>
      <c r="J29" s="33">
        <f>SUMIFS(Assumptions!AQ$105:AQ$128,Assumptions!$AL$105:$AL$128,'non-road'!$F29,Assumptions!$AM$105:$AM$128,'non-road'!$D29)/SUMIF(Assumptions!$AL$105:$AL$128,'non-road'!$F29,Assumptions!AQ$105:AQ$128)</f>
        <v>1</v>
      </c>
      <c r="K29" s="33">
        <f>SUMIFS(Assumptions!AR$105:AR$128,Assumptions!$AL$105:$AL$128,'non-road'!$F29,Assumptions!$AM$105:$AM$128,'non-road'!$D29)/SUMIF(Assumptions!$AL$105:$AL$128,'non-road'!$F29,Assumptions!AR$105:AR$128)</f>
        <v>0.35771526263181563</v>
      </c>
      <c r="L29" s="33">
        <f>SUMIFS(Assumptions!AS$105:AS$128,Assumptions!$AL$105:$AL$128,'non-road'!$F29,Assumptions!$AM$105:$AM$128,'non-road'!$D29)/SUMIF(Assumptions!$AL$105:$AL$128,'non-road'!$F29,Assumptions!AS$105:AS$128)</f>
        <v>0.89705310586348497</v>
      </c>
      <c r="M29" s="33">
        <f>SUMIFS(Assumptions!AT$105:AT$128,Assumptions!$AL$105:$AL$128,'non-road'!$F29,Assumptions!$AM$105:$AM$128,'non-road'!$D29)/SUMIF(Assumptions!$AL$105:$AL$128,'non-road'!$F29,Assumptions!AT$105:AT$128)</f>
        <v>0.43496918084615188</v>
      </c>
      <c r="N29" s="33">
        <f>SUMIFS(Assumptions!AU$105:AU$128,Assumptions!$AL$105:$AL$128,'non-road'!$F29,Assumptions!$AM$105:$AM$128,'non-road'!$D29)/SUMIF(Assumptions!$AL$105:$AL$128,'non-road'!$F29,Assumptions!AU$105:AU$128)</f>
        <v>0.24529191023772812</v>
      </c>
      <c r="O29" s="33">
        <f>SUMIFS(Assumptions!AV$105:AV$128,Assumptions!$AL$105:$AL$128,'non-road'!$F29,Assumptions!$AM$105:$AM$128,'non-road'!$D29)/SUMIF(Assumptions!$AL$105:$AL$128,'non-road'!$F29,Assumptions!AV$105:AV$128)</f>
        <v>0.59554602296997283</v>
      </c>
      <c r="P29" s="33">
        <f>SUMIFS(Assumptions!AW$105:AW$128,Assumptions!$AL$105:$AL$128,'non-road'!$F29,Assumptions!$AM$105:$AM$128,'non-road'!$D29)/SUMIF(Assumptions!$AL$105:$AL$128,'non-road'!$F29,Assumptions!AW$105:AW$128)</f>
        <v>0.6116816937750158</v>
      </c>
      <c r="Q29" s="33">
        <f>SUMIFS(Assumptions!AX$105:AX$128,Assumptions!$AL$105:$AL$128,'non-road'!$F29,Assumptions!$AM$105:$AM$128,'non-road'!$D29)/SUMIF(Assumptions!$AL$105:$AL$128,'non-road'!$F29,Assumptions!AX$105:AX$128)</f>
        <v>0.66843996816916174</v>
      </c>
      <c r="R29" s="33">
        <f>SUMIFS(Assumptions!AY$105:AY$128,Assumptions!$AL$105:$AL$128,'non-road'!$F29,Assumptions!$AM$105:$AM$128,'non-road'!$D29)/SUMIF(Assumptions!$AL$105:$AL$128,'non-road'!$F29,Assumptions!AY$105:AY$128)</f>
        <v>0.94748956984606536</v>
      </c>
      <c r="S29" s="33">
        <f>SUMIFS(Assumptions!AZ$105:AZ$128,Assumptions!$AL$105:$AL$128,'non-road'!$F29,Assumptions!$AM$105:$AM$128,'non-road'!$D29)/SUMIF(Assumptions!$AL$105:$AL$128,'non-road'!$F29,Assumptions!AZ$105:AZ$128)</f>
        <v>0.99315601374756624</v>
      </c>
      <c r="T29" s="33">
        <f>SUMIFS(Assumptions!BA$105:BA$128,Assumptions!$AL$105:$AL$128,'non-road'!$F29,Assumptions!$AM$105:$AM$128,'non-road'!$D29)/SUMIF(Assumptions!$AL$105:$AL$128,'non-road'!$F29,Assumptions!BA$105:BA$128)</f>
        <v>0.44163212184831813</v>
      </c>
      <c r="U29" s="33">
        <f>SUMIFS(Assumptions!BB$105:BB$128,Assumptions!$AL$105:$AL$128,'non-road'!$F29,Assumptions!$AM$105:$AM$128,'non-road'!$D29)/SUMIF(Assumptions!$AL$105:$AL$128,'non-road'!$F29,Assumptions!BB$105:BB$128)</f>
        <v>1</v>
      </c>
      <c r="V29" s="33">
        <f>SUMIFS(Assumptions!BC$105:BC$128,Assumptions!$AL$105:$AL$128,'non-road'!$F29,Assumptions!$AM$105:$AM$128,'non-road'!$D29)/SUMIF(Assumptions!$AL$105:$AL$128,'non-road'!$F29,Assumptions!BC$105:BC$128)</f>
        <v>0.44306041271599028</v>
      </c>
      <c r="W29" s="33">
        <f>SUMIFS(Assumptions!BD$105:BD$128,Assumptions!$AL$105:$AL$128,'non-road'!$F29,Assumptions!$AM$105:$AM$128,'non-road'!$D29)/SUMIF(Assumptions!$AL$105:$AL$128,'non-road'!$F29,Assumptions!BD$105:BD$128)</f>
        <v>0.91085379646876408</v>
      </c>
      <c r="X29" s="33">
        <f>SUMIFS(Assumptions!BE$105:BE$128,Assumptions!$AL$105:$AL$128,'non-road'!$F29,Assumptions!$AM$105:$AM$128,'non-road'!$D29)/SUMIF(Assumptions!$AL$105:$AL$128,'non-road'!$F29,Assumptions!BE$105:BE$128)</f>
        <v>0.34754156605760345</v>
      </c>
      <c r="Y29" s="33">
        <f>SUMIFS(Assumptions!BF$105:BF$128,Assumptions!$AL$105:$AL$128,'non-road'!$F29,Assumptions!$AM$105:$AM$128,'non-road'!$D29)/SUMIF(Assumptions!$AL$105:$AL$128,'non-road'!$F29,Assumptions!BF$105:BF$128)</f>
        <v>1</v>
      </c>
      <c r="Z29" s="33">
        <f>SUMIFS(Assumptions!BG$105:BG$128,Assumptions!$AL$105:$AL$128,'non-road'!$F29,Assumptions!$AM$105:$AM$128,'non-road'!$D29)/SUMIF(Assumptions!$AL$105:$AL$128,'non-road'!$F29,Assumptions!BG$105:BG$128)</f>
        <v>0.5449544384712055</v>
      </c>
      <c r="AA29" s="33">
        <f>SUMIFS(Assumptions!BH$105:BH$128,Assumptions!$AL$105:$AL$128,'non-road'!$F29,Assumptions!$AM$105:$AM$128,'non-road'!$D29)/SUMIF(Assumptions!$AL$105:$AL$128,'non-road'!$F29,Assumptions!BH$105:BH$128)</f>
        <v>0.69802595705118664</v>
      </c>
      <c r="AB29" s="33">
        <f>SUMIFS(Assumptions!BI$105:BI$128,Assumptions!$AL$105:$AL$128,'non-road'!$F29,Assumptions!$AM$105:$AM$128,'non-road'!$D29)/SUMIF(Assumptions!$AL$105:$AL$128,'non-road'!$F29,Assumptions!BI$105:BI$128)</f>
        <v>0.90780139470711985</v>
      </c>
      <c r="AC29" s="33" t="e">
        <f>SUMIFS(Assumptions!BJ$105:BJ$128,Assumptions!$AL$105:$AL$128,'non-road'!$F29,Assumptions!$AM$105:$AM$128,'non-road'!$D29)/SUMIF(Assumptions!$AL$105:$AL$128,'non-road'!$F29,Assumptions!BJ$105:BJ$128)</f>
        <v>#DIV/0!</v>
      </c>
      <c r="AD29" s="33">
        <f>SUMIFS(Assumptions!BK$105:BK$128,Assumptions!$AL$105:$AL$128,'non-road'!$F29,Assumptions!$AM$105:$AM$128,'non-road'!$D29)/SUMIF(Assumptions!$AL$105:$AL$128,'non-road'!$F29,Assumptions!BK$105:BK$128)</f>
        <v>0.85675798903190326</v>
      </c>
      <c r="AE29" s="33">
        <f>SUMIFS(Assumptions!BL$105:BL$128,Assumptions!$AL$105:$AL$128,'non-road'!$F29,Assumptions!$AM$105:$AM$128,'non-road'!$D29)/SUMIF(Assumptions!$AL$105:$AL$128,'non-road'!$F29,Assumptions!BL$105:BL$128)</f>
        <v>0.66948515863500502</v>
      </c>
      <c r="AF29" s="33" t="e">
        <f>SUMIFS(Assumptions!BM$105:BM$128,Assumptions!$AL$105:$AL$128,'non-road'!$F29,Assumptions!$AM$105:$AM$128,'non-road'!$D29)/SUMIF(Assumptions!$AL$105:$AL$128,'non-road'!$F29,Assumptions!BM$105:BM$128)</f>
        <v>#DIV/0!</v>
      </c>
      <c r="AG29" s="33">
        <f>SUMIFS(Assumptions!BN$105:BN$128,Assumptions!$AL$105:$AL$128,'non-road'!$F29,Assumptions!$AM$105:$AM$128,'non-road'!$D29)/SUMIF(Assumptions!$AL$105:$AL$128,'non-road'!$F29,Assumptions!BN$105:BN$128)</f>
        <v>0.99654192709832423</v>
      </c>
      <c r="AH29" s="33">
        <f>SUMIFS(Assumptions!BO$105:BO$128,Assumptions!$AL$105:$AL$128,'non-road'!$F29,Assumptions!$AM$105:$AM$128,'non-road'!$D29)/SUMIF(Assumptions!$AL$105:$AL$128,'non-road'!$F29,Assumptions!BO$105:BO$128)</f>
        <v>0.99111322171078842</v>
      </c>
      <c r="AI29" s="33">
        <f>SUMIFS(Assumptions!BP$105:BP$128,Assumptions!$AL$105:$AL$128,'non-road'!$F29,Assumptions!$AM$105:$AM$128,'non-road'!$D29)/SUMIF(Assumptions!$AL$105:$AL$128,'non-road'!$F29,Assumptions!BP$105:BP$128)</f>
        <v>0.40335778963849089</v>
      </c>
      <c r="AJ29" s="33" t="e">
        <f>SUMIFS(Assumptions!BQ$105:BQ$128,Assumptions!$AL$105:$AL$128,'non-road'!$F29,Assumptions!$AM$105:$AM$128,'non-road'!$D29)/SUMIF(Assumptions!$AL$105:$AL$128,'non-road'!$F29,Assumptions!BQ$105:BQ$128)</f>
        <v>#DIV/0!</v>
      </c>
      <c r="AN29" s="27" t="str">
        <f t="shared" si="40"/>
        <v>\I:</v>
      </c>
      <c r="AO29" s="33">
        <f>VLOOKUP($F29,Assumptions!$E$152:$AM$157,COLUMN()-COLUMN($AM$4),FALSE)</f>
        <v>1</v>
      </c>
      <c r="AP29" s="33">
        <f>VLOOKUP($F29,Assumptions!$E$152:$AM$157,COLUMN()-COLUMN($AM$4),FALSE)</f>
        <v>1</v>
      </c>
      <c r="AQ29" s="33">
        <f>VLOOKUP($F29,Assumptions!$E$152:$AM$157,COLUMN()-COLUMN($AM$4),FALSE)</f>
        <v>1</v>
      </c>
      <c r="AR29" s="33">
        <f>VLOOKUP($F29,Assumptions!$E$152:$AM$157,COLUMN()-COLUMN($AM$4),FALSE)</f>
        <v>1</v>
      </c>
      <c r="AS29" s="33">
        <f>VLOOKUP($F29,Assumptions!$E$152:$AM$157,COLUMN()-COLUMN($AM$4),FALSE)</f>
        <v>1</v>
      </c>
      <c r="AT29" s="33">
        <f>VLOOKUP($F29,Assumptions!$E$152:$AM$157,COLUMN()-COLUMN($AM$4),FALSE)</f>
        <v>1</v>
      </c>
      <c r="AU29" s="33">
        <f>VLOOKUP($F29,Assumptions!$E$152:$AM$157,COLUMN()-COLUMN($AM$4),FALSE)</f>
        <v>1</v>
      </c>
      <c r="AV29" s="33">
        <f>VLOOKUP($F29,Assumptions!$E$152:$AM$157,COLUMN()-COLUMN($AM$4),FALSE)</f>
        <v>1</v>
      </c>
      <c r="AW29" s="33">
        <f>VLOOKUP($F29,Assumptions!$E$152:$AM$157,COLUMN()-COLUMN($AM$4),FALSE)</f>
        <v>1</v>
      </c>
      <c r="AX29" s="33">
        <f>VLOOKUP($F29,Assumptions!$E$152:$AM$157,COLUMN()-COLUMN($AM$4),FALSE)</f>
        <v>1</v>
      </c>
      <c r="AY29" s="33">
        <f>VLOOKUP($F29,Assumptions!$E$152:$AM$157,COLUMN()-COLUMN($AM$4),FALSE)</f>
        <v>1</v>
      </c>
      <c r="AZ29" s="33">
        <f>VLOOKUP($F29,Assumptions!$E$152:$AM$157,COLUMN()-COLUMN($AM$4),FALSE)</f>
        <v>1</v>
      </c>
      <c r="BA29" s="33">
        <f>VLOOKUP($F29,Assumptions!$E$152:$AM$157,COLUMN()-COLUMN($AM$4),FALSE)</f>
        <v>1</v>
      </c>
      <c r="BB29" s="33">
        <f>VLOOKUP($F29,Assumptions!$E$152:$AM$157,COLUMN()-COLUMN($AM$4),FALSE)</f>
        <v>1</v>
      </c>
      <c r="BC29" s="33">
        <f>VLOOKUP($F29,Assumptions!$E$152:$AM$157,COLUMN()-COLUMN($AM$4),FALSE)</f>
        <v>1</v>
      </c>
      <c r="BD29" s="33">
        <f>VLOOKUP($F29,Assumptions!$E$152:$AM$157,COLUMN()-COLUMN($AM$4),FALSE)</f>
        <v>1</v>
      </c>
      <c r="BE29" s="33">
        <f>VLOOKUP($F29,Assumptions!$E$152:$AM$157,COLUMN()-COLUMN($AM$4),FALSE)</f>
        <v>1</v>
      </c>
      <c r="BF29" s="33">
        <f>VLOOKUP($F29,Assumptions!$E$152:$AM$157,COLUMN()-COLUMN($AM$4),FALSE)</f>
        <v>1</v>
      </c>
      <c r="BG29" s="33">
        <f>VLOOKUP($F29,Assumptions!$E$152:$AM$157,COLUMN()-COLUMN($AM$4),FALSE)</f>
        <v>1</v>
      </c>
      <c r="BH29" s="33">
        <f>VLOOKUP($F29,Assumptions!$E$152:$AM$157,COLUMN()-COLUMN($AM$4),FALSE)</f>
        <v>1</v>
      </c>
      <c r="BI29" s="33">
        <f>VLOOKUP($F29,Assumptions!$E$152:$AM$157,COLUMN()-COLUMN($AM$4),FALSE)</f>
        <v>1</v>
      </c>
      <c r="BJ29" s="33">
        <f>VLOOKUP($F29,Assumptions!$E$152:$AM$157,COLUMN()-COLUMN($AM$4),FALSE)</f>
        <v>1</v>
      </c>
      <c r="BK29" s="33">
        <f>VLOOKUP($F29,Assumptions!$E$152:$AM$157,COLUMN()-COLUMN($AM$4),FALSE)</f>
        <v>1</v>
      </c>
      <c r="BL29" s="33">
        <f>VLOOKUP($F29,Assumptions!$E$152:$AM$157,COLUMN()-COLUMN($AM$4),FALSE)</f>
        <v>1</v>
      </c>
      <c r="BM29" s="33">
        <f>VLOOKUP($F29,Assumptions!$E$152:$AM$157,COLUMN()-COLUMN($AM$4),FALSE)</f>
        <v>1</v>
      </c>
      <c r="BN29" s="33">
        <f>VLOOKUP($F29,Assumptions!$E$152:$AM$157,COLUMN()-COLUMN($AM$4),FALSE)</f>
        <v>1</v>
      </c>
      <c r="BO29" s="33">
        <f>VLOOKUP($F29,Assumptions!$E$152:$AM$157,COLUMN()-COLUMN($AM$4),FALSE)</f>
        <v>1</v>
      </c>
      <c r="BP29" s="33">
        <f>VLOOKUP($F29,Assumptions!$E$152:$AM$157,COLUMN()-COLUMN($AM$4),FALSE)</f>
        <v>1</v>
      </c>
      <c r="BQ29" s="33">
        <f>VLOOKUP($F29,Assumptions!$E$152:$AM$157,COLUMN()-COLUMN($AM$4),FALSE)</f>
        <v>1</v>
      </c>
      <c r="BR29" s="33">
        <f>VLOOKUP($F29,Assumptions!$E$152:$AM$157,COLUMN()-COLUMN($AM$4),FALSE)</f>
        <v>1</v>
      </c>
      <c r="BS29" s="27"/>
      <c r="CZ29" s="27"/>
      <c r="DA29" s="27" t="str">
        <f t="shared" si="33"/>
        <v>\I:</v>
      </c>
      <c r="DB29" s="27" t="str">
        <f t="shared" si="48"/>
        <v/>
      </c>
      <c r="DC29" s="27" t="s">
        <v>169</v>
      </c>
      <c r="DD29" s="27" t="s">
        <v>160</v>
      </c>
      <c r="DE29" s="27" t="s">
        <v>161</v>
      </c>
    </row>
    <row r="30" spans="1:109" x14ac:dyDescent="0.45">
      <c r="C30" s="27" t="str">
        <f t="shared" si="39"/>
        <v/>
      </c>
      <c r="D30" s="27" t="s">
        <v>42</v>
      </c>
      <c r="E30" s="27"/>
      <c r="F30" s="27" t="s">
        <v>21</v>
      </c>
      <c r="G30" s="33">
        <f>SUMIFS(Assumptions!AN$105:AN$128,Assumptions!$AL$105:$AL$128,'non-road'!$F30,Assumptions!$AM$105:$AM$128,'non-road'!$D30)/SUMIF(Assumptions!$AL$105:$AL$128,'non-road'!$F30,Assumptions!AN$105:AN$128)</f>
        <v>0</v>
      </c>
      <c r="H30" s="33">
        <f>SUMIFS(Assumptions!AO$105:AO$128,Assumptions!$AL$105:$AL$128,'non-road'!$F30,Assumptions!$AM$105:$AM$128,'non-road'!$D30)/SUMIF(Assumptions!$AL$105:$AL$128,'non-road'!$F30,Assumptions!AO$105:AO$128)</f>
        <v>0.12009511069051415</v>
      </c>
      <c r="I30" s="33">
        <f>SUMIFS(Assumptions!AP$105:AP$128,Assumptions!$AL$105:$AL$128,'non-road'!$F30,Assumptions!$AM$105:$AM$128,'non-road'!$D30)/SUMIF(Assumptions!$AL$105:$AL$128,'non-road'!$F30,Assumptions!AP$105:AP$128)</f>
        <v>7.7330133891691493E-4</v>
      </c>
      <c r="J30" s="33">
        <f>SUMIFS(Assumptions!AQ$105:AQ$128,Assumptions!$AL$105:$AL$128,'non-road'!$F30,Assumptions!$AM$105:$AM$128,'non-road'!$D30)/SUMIF(Assumptions!$AL$105:$AL$128,'non-road'!$F30,Assumptions!AQ$105:AQ$128)</f>
        <v>0</v>
      </c>
      <c r="K30" s="33">
        <f>SUMIFS(Assumptions!AR$105:AR$128,Assumptions!$AL$105:$AL$128,'non-road'!$F30,Assumptions!$AM$105:$AM$128,'non-road'!$D30)/SUMIF(Assumptions!$AL$105:$AL$128,'non-road'!$F30,Assumptions!AR$105:AR$128)</f>
        <v>0</v>
      </c>
      <c r="L30" s="33">
        <f>SUMIFS(Assumptions!AS$105:AS$128,Assumptions!$AL$105:$AL$128,'non-road'!$F30,Assumptions!$AM$105:$AM$128,'non-road'!$D30)/SUMIF(Assumptions!$AL$105:$AL$128,'non-road'!$F30,Assumptions!AS$105:AS$128)</f>
        <v>3.5087087612300276E-2</v>
      </c>
      <c r="M30" s="33">
        <f>SUMIFS(Assumptions!AT$105:AT$128,Assumptions!$AL$105:$AL$128,'non-road'!$F30,Assumptions!$AM$105:$AM$128,'non-road'!$D30)/SUMIF(Assumptions!$AL$105:$AL$128,'non-road'!$F30,Assumptions!AT$105:AT$128)</f>
        <v>0.33453950425727169</v>
      </c>
      <c r="N30" s="33">
        <f>SUMIFS(Assumptions!AU$105:AU$128,Assumptions!$AL$105:$AL$128,'non-road'!$F30,Assumptions!$AM$105:$AM$128,'non-road'!$D30)/SUMIF(Assumptions!$AL$105:$AL$128,'non-road'!$F30,Assumptions!AU$105:AU$128)</f>
        <v>0</v>
      </c>
      <c r="O30" s="33">
        <f>SUMIFS(Assumptions!AV$105:AV$128,Assumptions!$AL$105:$AL$128,'non-road'!$F30,Assumptions!$AM$105:$AM$128,'non-road'!$D30)/SUMIF(Assumptions!$AL$105:$AL$128,'non-road'!$F30,Assumptions!AV$105:AV$128)</f>
        <v>0</v>
      </c>
      <c r="P30" s="33">
        <f>SUMIFS(Assumptions!AW$105:AW$128,Assumptions!$AL$105:$AL$128,'non-road'!$F30,Assumptions!$AM$105:$AM$128,'non-road'!$D30)/SUMIF(Assumptions!$AL$105:$AL$128,'non-road'!$F30,Assumptions!AW$105:AW$128)</f>
        <v>0</v>
      </c>
      <c r="Q30" s="33">
        <f>SUMIFS(Assumptions!AX$105:AX$128,Assumptions!$AL$105:$AL$128,'non-road'!$F30,Assumptions!$AM$105:$AM$128,'non-road'!$D30)/SUMIF(Assumptions!$AL$105:$AL$128,'non-road'!$F30,Assumptions!AX$105:AX$128)</f>
        <v>8.2933793179993415E-2</v>
      </c>
      <c r="R30" s="33">
        <f>SUMIFS(Assumptions!AY$105:AY$128,Assumptions!$AL$105:$AL$128,'non-road'!$F30,Assumptions!$AM$105:$AM$128,'non-road'!$D30)/SUMIF(Assumptions!$AL$105:$AL$128,'non-road'!$F30,Assumptions!AY$105:AY$128)</f>
        <v>5.2510430153934688E-2</v>
      </c>
      <c r="S30" s="33">
        <f>SUMIFS(Assumptions!AZ$105:AZ$128,Assumptions!$AL$105:$AL$128,'non-road'!$F30,Assumptions!$AM$105:$AM$128,'non-road'!$D30)/SUMIF(Assumptions!$AL$105:$AL$128,'non-road'!$F30,Assumptions!AZ$105:AZ$128)</f>
        <v>8.5327319272964801E-5</v>
      </c>
      <c r="T30" s="33">
        <f>SUMIFS(Assumptions!BA$105:BA$128,Assumptions!$AL$105:$AL$128,'non-road'!$F30,Assumptions!$AM$105:$AM$128,'non-road'!$D30)/SUMIF(Assumptions!$AL$105:$AL$128,'non-road'!$F30,Assumptions!BA$105:BA$128)</f>
        <v>3.8328949766953805E-4</v>
      </c>
      <c r="U30" s="33">
        <f>SUMIFS(Assumptions!BB$105:BB$128,Assumptions!$AL$105:$AL$128,'non-road'!$F30,Assumptions!$AM$105:$AM$128,'non-road'!$D30)/SUMIF(Assumptions!$AL$105:$AL$128,'non-road'!$F30,Assumptions!BB$105:BB$128)</f>
        <v>0</v>
      </c>
      <c r="V30" s="33">
        <f>SUMIFS(Assumptions!BC$105:BC$128,Assumptions!$AL$105:$AL$128,'non-road'!$F30,Assumptions!$AM$105:$AM$128,'non-road'!$D30)/SUMIF(Assumptions!$AL$105:$AL$128,'non-road'!$F30,Assumptions!BC$105:BC$128)</f>
        <v>0</v>
      </c>
      <c r="W30" s="33">
        <f>SUMIFS(Assumptions!BD$105:BD$128,Assumptions!$AL$105:$AL$128,'non-road'!$F30,Assumptions!$AM$105:$AM$128,'non-road'!$D30)/SUMIF(Assumptions!$AL$105:$AL$128,'non-road'!$F30,Assumptions!BD$105:BD$128)</f>
        <v>3.260179684715931E-2</v>
      </c>
      <c r="X30" s="33">
        <f>SUMIFS(Assumptions!BE$105:BE$128,Assumptions!$AL$105:$AL$128,'non-road'!$F30,Assumptions!$AM$105:$AM$128,'non-road'!$D30)/SUMIF(Assumptions!$AL$105:$AL$128,'non-road'!$F30,Assumptions!BE$105:BE$128)</f>
        <v>0.62153584759228009</v>
      </c>
      <c r="Y30" s="33">
        <f>SUMIFS(Assumptions!BF$105:BF$128,Assumptions!$AL$105:$AL$128,'non-road'!$F30,Assumptions!$AM$105:$AM$128,'non-road'!$D30)/SUMIF(Assumptions!$AL$105:$AL$128,'non-road'!$F30,Assumptions!BF$105:BF$128)</f>
        <v>0</v>
      </c>
      <c r="Z30" s="33">
        <f>SUMIFS(Assumptions!BG$105:BG$128,Assumptions!$AL$105:$AL$128,'non-road'!$F30,Assumptions!$AM$105:$AM$128,'non-road'!$D30)/SUMIF(Assumptions!$AL$105:$AL$128,'non-road'!$F30,Assumptions!BG$105:BG$128)</f>
        <v>0</v>
      </c>
      <c r="AA30" s="33">
        <f>SUMIFS(Assumptions!BH$105:BH$128,Assumptions!$AL$105:$AL$128,'non-road'!$F30,Assumptions!$AM$105:$AM$128,'non-road'!$D30)/SUMIF(Assumptions!$AL$105:$AL$128,'non-road'!$F30,Assumptions!BH$105:BH$128)</f>
        <v>1.2688011918648079E-2</v>
      </c>
      <c r="AB30" s="33">
        <f>SUMIFS(Assumptions!BI$105:BI$128,Assumptions!$AL$105:$AL$128,'non-road'!$F30,Assumptions!$AM$105:$AM$128,'non-road'!$D30)/SUMIF(Assumptions!$AL$105:$AL$128,'non-road'!$F30,Assumptions!BI$105:BI$128)</f>
        <v>0</v>
      </c>
      <c r="AC30" s="33" t="e">
        <f>SUMIFS(Assumptions!BJ$105:BJ$128,Assumptions!$AL$105:$AL$128,'non-road'!$F30,Assumptions!$AM$105:$AM$128,'non-road'!$D30)/SUMIF(Assumptions!$AL$105:$AL$128,'non-road'!$F30,Assumptions!BJ$105:BJ$128)</f>
        <v>#DIV/0!</v>
      </c>
      <c r="AD30" s="33">
        <f>SUMIFS(Assumptions!BK$105:BK$128,Assumptions!$AL$105:$AL$128,'non-road'!$F30,Assumptions!$AM$105:$AM$128,'non-road'!$D30)/SUMIF(Assumptions!$AL$105:$AL$128,'non-road'!$F30,Assumptions!BK$105:BK$128)</f>
        <v>6.175903328571275E-2</v>
      </c>
      <c r="AE30" s="33">
        <f>SUMIFS(Assumptions!BL$105:BL$128,Assumptions!$AL$105:$AL$128,'non-road'!$F30,Assumptions!$AM$105:$AM$128,'non-road'!$D30)/SUMIF(Assumptions!$AL$105:$AL$128,'non-road'!$F30,Assumptions!BL$105:BL$128)</f>
        <v>2.2902684604997389E-2</v>
      </c>
      <c r="AF30" s="33" t="e">
        <f>SUMIFS(Assumptions!BM$105:BM$128,Assumptions!$AL$105:$AL$128,'non-road'!$F30,Assumptions!$AM$105:$AM$128,'non-road'!$D30)/SUMIF(Assumptions!$AL$105:$AL$128,'non-road'!$F30,Assumptions!BM$105:BM$128)</f>
        <v>#DIV/0!</v>
      </c>
      <c r="AG30" s="33">
        <f>SUMIFS(Assumptions!BN$105:BN$128,Assumptions!$AL$105:$AL$128,'non-road'!$F30,Assumptions!$AM$105:$AM$128,'non-road'!$D30)/SUMIF(Assumptions!$AL$105:$AL$128,'non-road'!$F30,Assumptions!BN$105:BN$128)</f>
        <v>3.4580729016757505E-3</v>
      </c>
      <c r="AH30" s="33">
        <f>SUMIFS(Assumptions!BO$105:BO$128,Assumptions!$AL$105:$AL$128,'non-road'!$F30,Assumptions!$AM$105:$AM$128,'non-road'!$D30)/SUMIF(Assumptions!$AL$105:$AL$128,'non-road'!$F30,Assumptions!BO$105:BO$128)</f>
        <v>0</v>
      </c>
      <c r="AI30" s="33">
        <f>SUMIFS(Assumptions!BP$105:BP$128,Assumptions!$AL$105:$AL$128,'non-road'!$F30,Assumptions!$AM$105:$AM$128,'non-road'!$D30)/SUMIF(Assumptions!$AL$105:$AL$128,'non-road'!$F30,Assumptions!BP$105:BP$128)</f>
        <v>0.54478871444890276</v>
      </c>
      <c r="AJ30" s="33" t="e">
        <f>SUMIFS(Assumptions!BQ$105:BQ$128,Assumptions!$AL$105:$AL$128,'non-road'!$F30,Assumptions!$AM$105:$AM$128,'non-road'!$D30)/SUMIF(Assumptions!$AL$105:$AL$128,'non-road'!$F30,Assumptions!BQ$105:BQ$128)</f>
        <v>#DIV/0!</v>
      </c>
      <c r="AN30" s="27" t="str">
        <f t="shared" si="40"/>
        <v>\I:</v>
      </c>
      <c r="AO30" s="33">
        <f>VLOOKUP($F30,Assumptions!$E$152:$AM$157,COLUMN()-COLUMN($AM$4),FALSE)</f>
        <v>1</v>
      </c>
      <c r="AP30" s="33">
        <f>VLOOKUP($F30,Assumptions!$E$152:$AM$157,COLUMN()-COLUMN($AM$4),FALSE)</f>
        <v>1</v>
      </c>
      <c r="AQ30" s="33">
        <f>VLOOKUP($F30,Assumptions!$E$152:$AM$157,COLUMN()-COLUMN($AM$4),FALSE)</f>
        <v>1</v>
      </c>
      <c r="AR30" s="33">
        <f>VLOOKUP($F30,Assumptions!$E$152:$AM$157,COLUMN()-COLUMN($AM$4),FALSE)</f>
        <v>1</v>
      </c>
      <c r="AS30" s="33">
        <f>VLOOKUP($F30,Assumptions!$E$152:$AM$157,COLUMN()-COLUMN($AM$4),FALSE)</f>
        <v>1</v>
      </c>
      <c r="AT30" s="33">
        <f>VLOOKUP($F30,Assumptions!$E$152:$AM$157,COLUMN()-COLUMN($AM$4),FALSE)</f>
        <v>1</v>
      </c>
      <c r="AU30" s="33">
        <f>VLOOKUP($F30,Assumptions!$E$152:$AM$157,COLUMN()-COLUMN($AM$4),FALSE)</f>
        <v>1</v>
      </c>
      <c r="AV30" s="33">
        <f>VLOOKUP($F30,Assumptions!$E$152:$AM$157,COLUMN()-COLUMN($AM$4),FALSE)</f>
        <v>1</v>
      </c>
      <c r="AW30" s="33">
        <f>VLOOKUP($F30,Assumptions!$E$152:$AM$157,COLUMN()-COLUMN($AM$4),FALSE)</f>
        <v>1</v>
      </c>
      <c r="AX30" s="33">
        <f>VLOOKUP($F30,Assumptions!$E$152:$AM$157,COLUMN()-COLUMN($AM$4),FALSE)</f>
        <v>1</v>
      </c>
      <c r="AY30" s="33">
        <f>VLOOKUP($F30,Assumptions!$E$152:$AM$157,COLUMN()-COLUMN($AM$4),FALSE)</f>
        <v>1</v>
      </c>
      <c r="AZ30" s="33">
        <f>VLOOKUP($F30,Assumptions!$E$152:$AM$157,COLUMN()-COLUMN($AM$4),FALSE)</f>
        <v>1</v>
      </c>
      <c r="BA30" s="33">
        <f>VLOOKUP($F30,Assumptions!$E$152:$AM$157,COLUMN()-COLUMN($AM$4),FALSE)</f>
        <v>1</v>
      </c>
      <c r="BB30" s="33">
        <f>VLOOKUP($F30,Assumptions!$E$152:$AM$157,COLUMN()-COLUMN($AM$4),FALSE)</f>
        <v>1</v>
      </c>
      <c r="BC30" s="33">
        <f>VLOOKUP($F30,Assumptions!$E$152:$AM$157,COLUMN()-COLUMN($AM$4),FALSE)</f>
        <v>1</v>
      </c>
      <c r="BD30" s="33">
        <f>VLOOKUP($F30,Assumptions!$E$152:$AM$157,COLUMN()-COLUMN($AM$4),FALSE)</f>
        <v>1</v>
      </c>
      <c r="BE30" s="33">
        <f>VLOOKUP($F30,Assumptions!$E$152:$AM$157,COLUMN()-COLUMN($AM$4),FALSE)</f>
        <v>1</v>
      </c>
      <c r="BF30" s="33">
        <f>VLOOKUP($F30,Assumptions!$E$152:$AM$157,COLUMN()-COLUMN($AM$4),FALSE)</f>
        <v>1</v>
      </c>
      <c r="BG30" s="33">
        <f>VLOOKUP($F30,Assumptions!$E$152:$AM$157,COLUMN()-COLUMN($AM$4),FALSE)</f>
        <v>1</v>
      </c>
      <c r="BH30" s="33">
        <f>VLOOKUP($F30,Assumptions!$E$152:$AM$157,COLUMN()-COLUMN($AM$4),FALSE)</f>
        <v>1</v>
      </c>
      <c r="BI30" s="33">
        <f>VLOOKUP($F30,Assumptions!$E$152:$AM$157,COLUMN()-COLUMN($AM$4),FALSE)</f>
        <v>1</v>
      </c>
      <c r="BJ30" s="33">
        <f>VLOOKUP($F30,Assumptions!$E$152:$AM$157,COLUMN()-COLUMN($AM$4),FALSE)</f>
        <v>1</v>
      </c>
      <c r="BK30" s="33">
        <f>VLOOKUP($F30,Assumptions!$E$152:$AM$157,COLUMN()-COLUMN($AM$4),FALSE)</f>
        <v>1</v>
      </c>
      <c r="BL30" s="33">
        <f>VLOOKUP($F30,Assumptions!$E$152:$AM$157,COLUMN()-COLUMN($AM$4),FALSE)</f>
        <v>1</v>
      </c>
      <c r="BM30" s="33">
        <f>VLOOKUP($F30,Assumptions!$E$152:$AM$157,COLUMN()-COLUMN($AM$4),FALSE)</f>
        <v>1</v>
      </c>
      <c r="BN30" s="33">
        <f>VLOOKUP($F30,Assumptions!$E$152:$AM$157,COLUMN()-COLUMN($AM$4),FALSE)</f>
        <v>1</v>
      </c>
      <c r="BO30" s="33">
        <f>VLOOKUP($F30,Assumptions!$E$152:$AM$157,COLUMN()-COLUMN($AM$4),FALSE)</f>
        <v>1</v>
      </c>
      <c r="BP30" s="33">
        <f>VLOOKUP($F30,Assumptions!$E$152:$AM$157,COLUMN()-COLUMN($AM$4),FALSE)</f>
        <v>1</v>
      </c>
      <c r="BQ30" s="33">
        <f>VLOOKUP($F30,Assumptions!$E$152:$AM$157,COLUMN()-COLUMN($AM$4),FALSE)</f>
        <v>1</v>
      </c>
      <c r="BR30" s="33">
        <f>VLOOKUP($F30,Assumptions!$E$152:$AM$157,COLUMN()-COLUMN($AM$4),FALSE)</f>
        <v>1</v>
      </c>
      <c r="BS30" s="27"/>
      <c r="CZ30" s="27"/>
      <c r="DA30" s="27" t="str">
        <f t="shared" si="33"/>
        <v>\I:</v>
      </c>
      <c r="DB30" s="27" t="str">
        <f t="shared" si="48"/>
        <v/>
      </c>
      <c r="DC30" s="27" t="s">
        <v>169</v>
      </c>
      <c r="DD30" s="27" t="s">
        <v>160</v>
      </c>
      <c r="DE30" s="27" t="s">
        <v>161</v>
      </c>
    </row>
    <row r="31" spans="1:109" x14ac:dyDescent="0.45">
      <c r="C31" s="27" t="str">
        <f t="shared" si="39"/>
        <v/>
      </c>
      <c r="D31" s="27" t="s">
        <v>45</v>
      </c>
      <c r="E31" s="27"/>
      <c r="F31" s="27" t="s">
        <v>21</v>
      </c>
      <c r="G31" s="33">
        <f>SUMIFS(Assumptions!AN$105:AN$128,Assumptions!$AL$105:$AL$128,'non-road'!$F31,Assumptions!$AM$105:$AM$128,'non-road'!$D31)/SUMIF(Assumptions!$AL$105:$AL$128,'non-road'!$F31,Assumptions!AN$105:AN$128)</f>
        <v>0.81288251770150133</v>
      </c>
      <c r="H31" s="33">
        <f>SUMIFS(Assumptions!AO$105:AO$128,Assumptions!$AL$105:$AL$128,'non-road'!$F31,Assumptions!$AM$105:$AM$128,'non-road'!$D31)/SUMIF(Assumptions!$AL$105:$AL$128,'non-road'!$F31,Assumptions!AO$105:AO$128)</f>
        <v>1.1179078918694473E-2</v>
      </c>
      <c r="I31" s="33">
        <f>SUMIFS(Assumptions!AP$105:AP$128,Assumptions!$AL$105:$AL$128,'non-road'!$F31,Assumptions!$AM$105:$AM$128,'non-road'!$D31)/SUMIF(Assumptions!$AL$105:$AL$128,'non-road'!$F31,Assumptions!AP$105:AP$128)</f>
        <v>0.34818726616050022</v>
      </c>
      <c r="J31" s="33">
        <f>SUMIFS(Assumptions!AQ$105:AQ$128,Assumptions!$AL$105:$AL$128,'non-road'!$F31,Assumptions!$AM$105:$AM$128,'non-road'!$D31)/SUMIF(Assumptions!$AL$105:$AL$128,'non-road'!$F31,Assumptions!AQ$105:AQ$128)</f>
        <v>0</v>
      </c>
      <c r="K31" s="33">
        <f>SUMIFS(Assumptions!AR$105:AR$128,Assumptions!$AL$105:$AL$128,'non-road'!$F31,Assumptions!$AM$105:$AM$128,'non-road'!$D31)/SUMIF(Assumptions!$AL$105:$AL$128,'non-road'!$F31,Assumptions!AR$105:AR$128)</f>
        <v>0.64228473736818448</v>
      </c>
      <c r="L31" s="33">
        <f>SUMIFS(Assumptions!AS$105:AS$128,Assumptions!$AL$105:$AL$128,'non-road'!$F31,Assumptions!$AM$105:$AM$128,'non-road'!$D31)/SUMIF(Assumptions!$AL$105:$AL$128,'non-road'!$F31,Assumptions!AS$105:AS$128)</f>
        <v>6.6870381531603212E-2</v>
      </c>
      <c r="M31" s="33">
        <f>SUMIFS(Assumptions!AT$105:AT$128,Assumptions!$AL$105:$AL$128,'non-road'!$F31,Assumptions!$AM$105:$AM$128,'non-road'!$D31)/SUMIF(Assumptions!$AL$105:$AL$128,'non-road'!$F31,Assumptions!AT$105:AT$128)</f>
        <v>0.23049131489657634</v>
      </c>
      <c r="N31" s="33">
        <f>SUMIFS(Assumptions!AU$105:AU$128,Assumptions!$AL$105:$AL$128,'non-road'!$F31,Assumptions!$AM$105:$AM$128,'non-road'!$D31)/SUMIF(Assumptions!$AL$105:$AL$128,'non-road'!$F31,Assumptions!AU$105:AU$128)</f>
        <v>0.75470808976227188</v>
      </c>
      <c r="O31" s="33">
        <f>SUMIFS(Assumptions!AV$105:AV$128,Assumptions!$AL$105:$AL$128,'non-road'!$F31,Assumptions!$AM$105:$AM$128,'non-road'!$D31)/SUMIF(Assumptions!$AL$105:$AL$128,'non-road'!$F31,Assumptions!AV$105:AV$128)</f>
        <v>0.40445397703002728</v>
      </c>
      <c r="P31" s="33">
        <f>SUMIFS(Assumptions!AW$105:AW$128,Assumptions!$AL$105:$AL$128,'non-road'!$F31,Assumptions!$AM$105:$AM$128,'non-road'!$D31)/SUMIF(Assumptions!$AL$105:$AL$128,'non-road'!$F31,Assumptions!AW$105:AW$128)</f>
        <v>0.38831830622498414</v>
      </c>
      <c r="Q31" s="33">
        <f>SUMIFS(Assumptions!AX$105:AX$128,Assumptions!$AL$105:$AL$128,'non-road'!$F31,Assumptions!$AM$105:$AM$128,'non-road'!$D31)/SUMIF(Assumptions!$AL$105:$AL$128,'non-road'!$F31,Assumptions!AX$105:AX$128)</f>
        <v>0.23839907989937548</v>
      </c>
      <c r="R31" s="33">
        <f>SUMIFS(Assumptions!AY$105:AY$128,Assumptions!$AL$105:$AL$128,'non-road'!$F31,Assumptions!$AM$105:$AM$128,'non-road'!$D31)/SUMIF(Assumptions!$AL$105:$AL$128,'non-road'!$F31,Assumptions!AY$105:AY$128)</f>
        <v>0</v>
      </c>
      <c r="S31" s="33">
        <f>SUMIFS(Assumptions!AZ$105:AZ$128,Assumptions!$AL$105:$AL$128,'non-road'!$F31,Assumptions!$AM$105:$AM$128,'non-road'!$D31)/SUMIF(Assumptions!$AL$105:$AL$128,'non-road'!$F31,Assumptions!AZ$105:AZ$128)</f>
        <v>1.2940342659809264E-3</v>
      </c>
      <c r="T31" s="33">
        <f>SUMIFS(Assumptions!BA$105:BA$128,Assumptions!$AL$105:$AL$128,'non-road'!$F31,Assumptions!$AM$105:$AM$128,'non-road'!$D31)/SUMIF(Assumptions!$AL$105:$AL$128,'non-road'!$F31,Assumptions!BA$105:BA$128)</f>
        <v>0.55766330420126997</v>
      </c>
      <c r="U31" s="33">
        <f>SUMIFS(Assumptions!BB$105:BB$128,Assumptions!$AL$105:$AL$128,'non-road'!$F31,Assumptions!$AM$105:$AM$128,'non-road'!$D31)/SUMIF(Assumptions!$AL$105:$AL$128,'non-road'!$F31,Assumptions!BB$105:BB$128)</f>
        <v>0</v>
      </c>
      <c r="V31" s="33">
        <f>SUMIFS(Assumptions!BC$105:BC$128,Assumptions!$AL$105:$AL$128,'non-road'!$F31,Assumptions!$AM$105:$AM$128,'non-road'!$D31)/SUMIF(Assumptions!$AL$105:$AL$128,'non-road'!$F31,Assumptions!BC$105:BC$128)</f>
        <v>0.55467057813517562</v>
      </c>
      <c r="W31" s="33">
        <f>SUMIFS(Assumptions!BD$105:BD$128,Assumptions!$AL$105:$AL$128,'non-road'!$F31,Assumptions!$AM$105:$AM$128,'non-road'!$D31)/SUMIF(Assumptions!$AL$105:$AL$128,'non-road'!$F31,Assumptions!BD$105:BD$128)</f>
        <v>5.5398120979447213E-2</v>
      </c>
      <c r="X31" s="33">
        <f>SUMIFS(Assumptions!BE$105:BE$128,Assumptions!$AL$105:$AL$128,'non-road'!$F31,Assumptions!$AM$105:$AM$128,'non-road'!$D31)/SUMIF(Assumptions!$AL$105:$AL$128,'non-road'!$F31,Assumptions!BE$105:BE$128)</f>
        <v>2.2465768107398375E-2</v>
      </c>
      <c r="Y31" s="33">
        <f>SUMIFS(Assumptions!BF$105:BF$128,Assumptions!$AL$105:$AL$128,'non-road'!$F31,Assumptions!$AM$105:$AM$128,'non-road'!$D31)/SUMIF(Assumptions!$AL$105:$AL$128,'non-road'!$F31,Assumptions!BF$105:BF$128)</f>
        <v>0</v>
      </c>
      <c r="Z31" s="33">
        <f>SUMIFS(Assumptions!BG$105:BG$128,Assumptions!$AL$105:$AL$128,'non-road'!$F31,Assumptions!$AM$105:$AM$128,'non-road'!$D31)/SUMIF(Assumptions!$AL$105:$AL$128,'non-road'!$F31,Assumptions!BG$105:BG$128)</f>
        <v>0.45504556152879444</v>
      </c>
      <c r="AA31" s="33">
        <f>SUMIFS(Assumptions!BH$105:BH$128,Assumptions!$AL$105:$AL$128,'non-road'!$F31,Assumptions!$AM$105:$AM$128,'non-road'!$D31)/SUMIF(Assumptions!$AL$105:$AL$128,'non-road'!$F31,Assumptions!BH$105:BH$128)</f>
        <v>0.2892860310301652</v>
      </c>
      <c r="AB31" s="33">
        <f>SUMIFS(Assumptions!BI$105:BI$128,Assumptions!$AL$105:$AL$128,'non-road'!$F31,Assumptions!$AM$105:$AM$128,'non-road'!$D31)/SUMIF(Assumptions!$AL$105:$AL$128,'non-road'!$F31,Assumptions!BI$105:BI$128)</f>
        <v>9.2198605292880209E-2</v>
      </c>
      <c r="AC31" s="33" t="e">
        <f>SUMIFS(Assumptions!BJ$105:BJ$128,Assumptions!$AL$105:$AL$128,'non-road'!$F31,Assumptions!$AM$105:$AM$128,'non-road'!$D31)/SUMIF(Assumptions!$AL$105:$AL$128,'non-road'!$F31,Assumptions!BJ$105:BJ$128)</f>
        <v>#DIV/0!</v>
      </c>
      <c r="AD31" s="33">
        <f>SUMIFS(Assumptions!BK$105:BK$128,Assumptions!$AL$105:$AL$128,'non-road'!$F31,Assumptions!$AM$105:$AM$128,'non-road'!$D31)/SUMIF(Assumptions!$AL$105:$AL$128,'non-road'!$F31,Assumptions!BK$105:BK$128)</f>
        <v>7.6122670897283678E-3</v>
      </c>
      <c r="AE31" s="33">
        <f>SUMIFS(Assumptions!BL$105:BL$128,Assumptions!$AL$105:$AL$128,'non-road'!$F31,Assumptions!$AM$105:$AM$128,'non-road'!$D31)/SUMIF(Assumptions!$AL$105:$AL$128,'non-road'!$F31,Assumptions!BL$105:BL$128)</f>
        <v>0.30761215675999759</v>
      </c>
      <c r="AF31" s="33" t="e">
        <f>SUMIFS(Assumptions!BM$105:BM$128,Assumptions!$AL$105:$AL$128,'non-road'!$F31,Assumptions!$AM$105:$AM$128,'non-road'!$D31)/SUMIF(Assumptions!$AL$105:$AL$128,'non-road'!$F31,Assumptions!BM$105:BM$128)</f>
        <v>#DIV/0!</v>
      </c>
      <c r="AG31" s="33">
        <f>SUMIFS(Assumptions!BN$105:BN$128,Assumptions!$AL$105:$AL$128,'non-road'!$F31,Assumptions!$AM$105:$AM$128,'non-road'!$D31)/SUMIF(Assumptions!$AL$105:$AL$128,'non-road'!$F31,Assumptions!BN$105:BN$128)</f>
        <v>0</v>
      </c>
      <c r="AH31" s="33">
        <f>SUMIFS(Assumptions!BO$105:BO$128,Assumptions!$AL$105:$AL$128,'non-road'!$F31,Assumptions!$AM$105:$AM$128,'non-road'!$D31)/SUMIF(Assumptions!$AL$105:$AL$128,'non-road'!$F31,Assumptions!BO$105:BO$128)</f>
        <v>8.8867782892115658E-3</v>
      </c>
      <c r="AI31" s="33">
        <f>SUMIFS(Assumptions!BP$105:BP$128,Assumptions!$AL$105:$AL$128,'non-road'!$F31,Assumptions!$AM$105:$AM$128,'non-road'!$D31)/SUMIF(Assumptions!$AL$105:$AL$128,'non-road'!$F31,Assumptions!BP$105:BP$128)</f>
        <v>3.9448838873844934E-2</v>
      </c>
      <c r="AJ31" s="33" t="e">
        <f>SUMIFS(Assumptions!BQ$105:BQ$128,Assumptions!$AL$105:$AL$128,'non-road'!$F31,Assumptions!$AM$105:$AM$128,'non-road'!$D31)/SUMIF(Assumptions!$AL$105:$AL$128,'non-road'!$F31,Assumptions!BQ$105:BQ$128)</f>
        <v>#DIV/0!</v>
      </c>
      <c r="AN31" s="27" t="str">
        <f t="shared" si="40"/>
        <v>\I:</v>
      </c>
      <c r="AO31" s="33">
        <f>VLOOKUP($F31,Assumptions!$E$152:$AM$157,COLUMN()-COLUMN($AM$4),FALSE)</f>
        <v>1</v>
      </c>
      <c r="AP31" s="33">
        <f>VLOOKUP($F31,Assumptions!$E$152:$AM$157,COLUMN()-COLUMN($AM$4),FALSE)</f>
        <v>1</v>
      </c>
      <c r="AQ31" s="33">
        <f>VLOOKUP($F31,Assumptions!$E$152:$AM$157,COLUMN()-COLUMN($AM$4),FALSE)</f>
        <v>1</v>
      </c>
      <c r="AR31" s="33">
        <f>VLOOKUP($F31,Assumptions!$E$152:$AM$157,COLUMN()-COLUMN($AM$4),FALSE)</f>
        <v>1</v>
      </c>
      <c r="AS31" s="33">
        <f>VLOOKUP($F31,Assumptions!$E$152:$AM$157,COLUMN()-COLUMN($AM$4),FALSE)</f>
        <v>1</v>
      </c>
      <c r="AT31" s="33">
        <f>VLOOKUP($F31,Assumptions!$E$152:$AM$157,COLUMN()-COLUMN($AM$4),FALSE)</f>
        <v>1</v>
      </c>
      <c r="AU31" s="33">
        <f>VLOOKUP($F31,Assumptions!$E$152:$AM$157,COLUMN()-COLUMN($AM$4),FALSE)</f>
        <v>1</v>
      </c>
      <c r="AV31" s="33">
        <f>VLOOKUP($F31,Assumptions!$E$152:$AM$157,COLUMN()-COLUMN($AM$4),FALSE)</f>
        <v>1</v>
      </c>
      <c r="AW31" s="33">
        <f>VLOOKUP($F31,Assumptions!$E$152:$AM$157,COLUMN()-COLUMN($AM$4),FALSE)</f>
        <v>1</v>
      </c>
      <c r="AX31" s="33">
        <f>VLOOKUP($F31,Assumptions!$E$152:$AM$157,COLUMN()-COLUMN($AM$4),FALSE)</f>
        <v>1</v>
      </c>
      <c r="AY31" s="33">
        <f>VLOOKUP($F31,Assumptions!$E$152:$AM$157,COLUMN()-COLUMN($AM$4),FALSE)</f>
        <v>1</v>
      </c>
      <c r="AZ31" s="33">
        <f>VLOOKUP($F31,Assumptions!$E$152:$AM$157,COLUMN()-COLUMN($AM$4),FALSE)</f>
        <v>1</v>
      </c>
      <c r="BA31" s="33">
        <f>VLOOKUP($F31,Assumptions!$E$152:$AM$157,COLUMN()-COLUMN($AM$4),FALSE)</f>
        <v>1</v>
      </c>
      <c r="BB31" s="33">
        <f>VLOOKUP($F31,Assumptions!$E$152:$AM$157,COLUMN()-COLUMN($AM$4),FALSE)</f>
        <v>1</v>
      </c>
      <c r="BC31" s="33">
        <f>VLOOKUP($F31,Assumptions!$E$152:$AM$157,COLUMN()-COLUMN($AM$4),FALSE)</f>
        <v>1</v>
      </c>
      <c r="BD31" s="33">
        <f>VLOOKUP($F31,Assumptions!$E$152:$AM$157,COLUMN()-COLUMN($AM$4),FALSE)</f>
        <v>1</v>
      </c>
      <c r="BE31" s="33">
        <f>VLOOKUP($F31,Assumptions!$E$152:$AM$157,COLUMN()-COLUMN($AM$4),FALSE)</f>
        <v>1</v>
      </c>
      <c r="BF31" s="33">
        <f>VLOOKUP($F31,Assumptions!$E$152:$AM$157,COLUMN()-COLUMN($AM$4),FALSE)</f>
        <v>1</v>
      </c>
      <c r="BG31" s="33">
        <f>VLOOKUP($F31,Assumptions!$E$152:$AM$157,COLUMN()-COLUMN($AM$4),FALSE)</f>
        <v>1</v>
      </c>
      <c r="BH31" s="33">
        <f>VLOOKUP($F31,Assumptions!$E$152:$AM$157,COLUMN()-COLUMN($AM$4),FALSE)</f>
        <v>1</v>
      </c>
      <c r="BI31" s="33">
        <f>VLOOKUP($F31,Assumptions!$E$152:$AM$157,COLUMN()-COLUMN($AM$4),FALSE)</f>
        <v>1</v>
      </c>
      <c r="BJ31" s="33">
        <f>VLOOKUP($F31,Assumptions!$E$152:$AM$157,COLUMN()-COLUMN($AM$4),FALSE)</f>
        <v>1</v>
      </c>
      <c r="BK31" s="33">
        <f>VLOOKUP($F31,Assumptions!$E$152:$AM$157,COLUMN()-COLUMN($AM$4),FALSE)</f>
        <v>1</v>
      </c>
      <c r="BL31" s="33">
        <f>VLOOKUP($F31,Assumptions!$E$152:$AM$157,COLUMN()-COLUMN($AM$4),FALSE)</f>
        <v>1</v>
      </c>
      <c r="BM31" s="33">
        <f>VLOOKUP($F31,Assumptions!$E$152:$AM$157,COLUMN()-COLUMN($AM$4),FALSE)</f>
        <v>1</v>
      </c>
      <c r="BN31" s="33">
        <f>VLOOKUP($F31,Assumptions!$E$152:$AM$157,COLUMN()-COLUMN($AM$4),FALSE)</f>
        <v>1</v>
      </c>
      <c r="BO31" s="33">
        <f>VLOOKUP($F31,Assumptions!$E$152:$AM$157,COLUMN()-COLUMN($AM$4),FALSE)</f>
        <v>1</v>
      </c>
      <c r="BP31" s="33">
        <f>VLOOKUP($F31,Assumptions!$E$152:$AM$157,COLUMN()-COLUMN($AM$4),FALSE)</f>
        <v>1</v>
      </c>
      <c r="BQ31" s="33">
        <f>VLOOKUP($F31,Assumptions!$E$152:$AM$157,COLUMN()-COLUMN($AM$4),FALSE)</f>
        <v>1</v>
      </c>
      <c r="BR31" s="33">
        <f>VLOOKUP($F31,Assumptions!$E$152:$AM$157,COLUMN()-COLUMN($AM$4),FALSE)</f>
        <v>1</v>
      </c>
      <c r="BS31" s="27"/>
      <c r="CZ31" s="27"/>
      <c r="DA31" s="27" t="str">
        <f t="shared" si="33"/>
        <v>\I:</v>
      </c>
      <c r="DB31" s="27" t="str">
        <f t="shared" si="48"/>
        <v/>
      </c>
      <c r="DC31" s="27" t="s">
        <v>169</v>
      </c>
      <c r="DD31" s="27" t="s">
        <v>160</v>
      </c>
      <c r="DE31" s="27" t="s">
        <v>161</v>
      </c>
    </row>
    <row r="32" spans="1:109" x14ac:dyDescent="0.45">
      <c r="C32" s="27" t="str">
        <f t="shared" si="39"/>
        <v/>
      </c>
      <c r="D32" s="27" t="s">
        <v>43</v>
      </c>
      <c r="E32" s="27"/>
      <c r="F32" s="27" t="s">
        <v>21</v>
      </c>
      <c r="G32" s="33">
        <f>SUMIFS(Assumptions!AN$105:AN$128,Assumptions!$AL$105:$AL$128,'non-road'!$F32,Assumptions!$AM$105:$AM$128,'non-road'!$D32)/SUMIF(Assumptions!$AL$105:$AL$128,'non-road'!$F32,Assumptions!AN$105:AN$128)</f>
        <v>0</v>
      </c>
      <c r="H32" s="33">
        <f>SUMIFS(Assumptions!AO$105:AO$128,Assumptions!$AL$105:$AL$128,'non-road'!$F32,Assumptions!$AM$105:$AM$128,'non-road'!$D32)/SUMIF(Assumptions!$AL$105:$AL$128,'non-road'!$F32,Assumptions!AO$105:AO$128)</f>
        <v>0</v>
      </c>
      <c r="I32" s="33">
        <f>SUMIFS(Assumptions!AP$105:AP$128,Assumptions!$AL$105:$AL$128,'non-road'!$F32,Assumptions!$AM$105:$AM$128,'non-road'!$D32)/SUMIF(Assumptions!$AL$105:$AL$128,'non-road'!$F32,Assumptions!AP$105:AP$128)</f>
        <v>0</v>
      </c>
      <c r="J32" s="33">
        <f>SUMIFS(Assumptions!AQ$105:AQ$128,Assumptions!$AL$105:$AL$128,'non-road'!$F32,Assumptions!$AM$105:$AM$128,'non-road'!$D32)/SUMIF(Assumptions!$AL$105:$AL$128,'non-road'!$F32,Assumptions!AQ$105:AQ$128)</f>
        <v>0</v>
      </c>
      <c r="K32" s="33">
        <f>SUMIFS(Assumptions!AR$105:AR$128,Assumptions!$AL$105:$AL$128,'non-road'!$F32,Assumptions!$AM$105:$AM$128,'non-road'!$D32)/SUMIF(Assumptions!$AL$105:$AL$128,'non-road'!$F32,Assumptions!AR$105:AR$128)</f>
        <v>0</v>
      </c>
      <c r="L32" s="33">
        <f>SUMIFS(Assumptions!AS$105:AS$128,Assumptions!$AL$105:$AL$128,'non-road'!$F32,Assumptions!$AM$105:$AM$128,'non-road'!$D32)/SUMIF(Assumptions!$AL$105:$AL$128,'non-road'!$F32,Assumptions!AS$105:AS$128)</f>
        <v>0</v>
      </c>
      <c r="M32" s="33">
        <f>SUMIFS(Assumptions!AT$105:AT$128,Assumptions!$AL$105:$AL$128,'non-road'!$F32,Assumptions!$AM$105:$AM$128,'non-road'!$D32)/SUMIF(Assumptions!$AL$105:$AL$128,'non-road'!$F32,Assumptions!AT$105:AT$128)</f>
        <v>0</v>
      </c>
      <c r="N32" s="33">
        <f>SUMIFS(Assumptions!AU$105:AU$128,Assumptions!$AL$105:$AL$128,'non-road'!$F32,Assumptions!$AM$105:$AM$128,'non-road'!$D32)/SUMIF(Assumptions!$AL$105:$AL$128,'non-road'!$F32,Assumptions!AU$105:AU$128)</f>
        <v>0</v>
      </c>
      <c r="O32" s="33">
        <f>SUMIFS(Assumptions!AV$105:AV$128,Assumptions!$AL$105:$AL$128,'non-road'!$F32,Assumptions!$AM$105:$AM$128,'non-road'!$D32)/SUMIF(Assumptions!$AL$105:$AL$128,'non-road'!$F32,Assumptions!AV$105:AV$128)</f>
        <v>0</v>
      </c>
      <c r="P32" s="33">
        <f>SUMIFS(Assumptions!AW$105:AW$128,Assumptions!$AL$105:$AL$128,'non-road'!$F32,Assumptions!$AM$105:$AM$128,'non-road'!$D32)/SUMIF(Assumptions!$AL$105:$AL$128,'non-road'!$F32,Assumptions!AW$105:AW$128)</f>
        <v>0</v>
      </c>
      <c r="Q32" s="33">
        <f>SUMIFS(Assumptions!AX$105:AX$128,Assumptions!$AL$105:$AL$128,'non-road'!$F32,Assumptions!$AM$105:$AM$128,'non-road'!$D32)/SUMIF(Assumptions!$AL$105:$AL$128,'non-road'!$F32,Assumptions!AX$105:AX$128)</f>
        <v>0</v>
      </c>
      <c r="R32" s="33">
        <f>SUMIFS(Assumptions!AY$105:AY$128,Assumptions!$AL$105:$AL$128,'non-road'!$F32,Assumptions!$AM$105:$AM$128,'non-road'!$D32)/SUMIF(Assumptions!$AL$105:$AL$128,'non-road'!$F32,Assumptions!AY$105:AY$128)</f>
        <v>0</v>
      </c>
      <c r="S32" s="33">
        <f>SUMIFS(Assumptions!AZ$105:AZ$128,Assumptions!$AL$105:$AL$128,'non-road'!$F32,Assumptions!$AM$105:$AM$128,'non-road'!$D32)/SUMIF(Assumptions!$AL$105:$AL$128,'non-road'!$F32,Assumptions!AZ$105:AZ$128)</f>
        <v>0</v>
      </c>
      <c r="T32" s="33">
        <f>SUMIFS(Assumptions!BA$105:BA$128,Assumptions!$AL$105:$AL$128,'non-road'!$F32,Assumptions!$AM$105:$AM$128,'non-road'!$D32)/SUMIF(Assumptions!$AL$105:$AL$128,'non-road'!$F32,Assumptions!BA$105:BA$128)</f>
        <v>0</v>
      </c>
      <c r="U32" s="33">
        <f>SUMIFS(Assumptions!BB$105:BB$128,Assumptions!$AL$105:$AL$128,'non-road'!$F32,Assumptions!$AM$105:$AM$128,'non-road'!$D32)/SUMIF(Assumptions!$AL$105:$AL$128,'non-road'!$F32,Assumptions!BB$105:BB$128)</f>
        <v>0</v>
      </c>
      <c r="V32" s="33">
        <f>SUMIFS(Assumptions!BC$105:BC$128,Assumptions!$AL$105:$AL$128,'non-road'!$F32,Assumptions!$AM$105:$AM$128,'non-road'!$D32)/SUMIF(Assumptions!$AL$105:$AL$128,'non-road'!$F32,Assumptions!BC$105:BC$128)</f>
        <v>0</v>
      </c>
      <c r="W32" s="33">
        <f>SUMIFS(Assumptions!BD$105:BD$128,Assumptions!$AL$105:$AL$128,'non-road'!$F32,Assumptions!$AM$105:$AM$128,'non-road'!$D32)/SUMIF(Assumptions!$AL$105:$AL$128,'non-road'!$F32,Assumptions!BD$105:BD$128)</f>
        <v>0</v>
      </c>
      <c r="X32" s="33">
        <f>SUMIFS(Assumptions!BE$105:BE$128,Assumptions!$AL$105:$AL$128,'non-road'!$F32,Assumptions!$AM$105:$AM$128,'non-road'!$D32)/SUMIF(Assumptions!$AL$105:$AL$128,'non-road'!$F32,Assumptions!BE$105:BE$128)</f>
        <v>0</v>
      </c>
      <c r="Y32" s="33">
        <f>SUMIFS(Assumptions!BF$105:BF$128,Assumptions!$AL$105:$AL$128,'non-road'!$F32,Assumptions!$AM$105:$AM$128,'non-road'!$D32)/SUMIF(Assumptions!$AL$105:$AL$128,'non-road'!$F32,Assumptions!BF$105:BF$128)</f>
        <v>0</v>
      </c>
      <c r="Z32" s="33">
        <f>SUMIFS(Assumptions!BG$105:BG$128,Assumptions!$AL$105:$AL$128,'non-road'!$F32,Assumptions!$AM$105:$AM$128,'non-road'!$D32)/SUMIF(Assumptions!$AL$105:$AL$128,'non-road'!$F32,Assumptions!BG$105:BG$128)</f>
        <v>0</v>
      </c>
      <c r="AA32" s="33">
        <f>SUMIFS(Assumptions!BH$105:BH$128,Assumptions!$AL$105:$AL$128,'non-road'!$F32,Assumptions!$AM$105:$AM$128,'non-road'!$D32)/SUMIF(Assumptions!$AL$105:$AL$128,'non-road'!$F32,Assumptions!BH$105:BH$128)</f>
        <v>0</v>
      </c>
      <c r="AB32" s="33">
        <f>SUMIFS(Assumptions!BI$105:BI$128,Assumptions!$AL$105:$AL$128,'non-road'!$F32,Assumptions!$AM$105:$AM$128,'non-road'!$D32)/SUMIF(Assumptions!$AL$105:$AL$128,'non-road'!$F32,Assumptions!BI$105:BI$128)</f>
        <v>0</v>
      </c>
      <c r="AC32" s="33" t="e">
        <f>SUMIFS(Assumptions!BJ$105:BJ$128,Assumptions!$AL$105:$AL$128,'non-road'!$F32,Assumptions!$AM$105:$AM$128,'non-road'!$D32)/SUMIF(Assumptions!$AL$105:$AL$128,'non-road'!$F32,Assumptions!BJ$105:BJ$128)</f>
        <v>#DIV/0!</v>
      </c>
      <c r="AD32" s="33">
        <f>SUMIFS(Assumptions!BK$105:BK$128,Assumptions!$AL$105:$AL$128,'non-road'!$F32,Assumptions!$AM$105:$AM$128,'non-road'!$D32)/SUMIF(Assumptions!$AL$105:$AL$128,'non-road'!$F32,Assumptions!BK$105:BK$128)</f>
        <v>0</v>
      </c>
      <c r="AE32" s="33">
        <f>SUMIFS(Assumptions!BL$105:BL$128,Assumptions!$AL$105:$AL$128,'non-road'!$F32,Assumptions!$AM$105:$AM$128,'non-road'!$D32)/SUMIF(Assumptions!$AL$105:$AL$128,'non-road'!$F32,Assumptions!BL$105:BL$128)</f>
        <v>0</v>
      </c>
      <c r="AF32" s="33" t="e">
        <f>SUMIFS(Assumptions!BM$105:BM$128,Assumptions!$AL$105:$AL$128,'non-road'!$F32,Assumptions!$AM$105:$AM$128,'non-road'!$D32)/SUMIF(Assumptions!$AL$105:$AL$128,'non-road'!$F32,Assumptions!BM$105:BM$128)</f>
        <v>#DIV/0!</v>
      </c>
      <c r="AG32" s="33">
        <f>SUMIFS(Assumptions!BN$105:BN$128,Assumptions!$AL$105:$AL$128,'non-road'!$F32,Assumptions!$AM$105:$AM$128,'non-road'!$D32)/SUMIF(Assumptions!$AL$105:$AL$128,'non-road'!$F32,Assumptions!BN$105:BN$128)</f>
        <v>0</v>
      </c>
      <c r="AH32" s="33">
        <f>SUMIFS(Assumptions!BO$105:BO$128,Assumptions!$AL$105:$AL$128,'non-road'!$F32,Assumptions!$AM$105:$AM$128,'non-road'!$D32)/SUMIF(Assumptions!$AL$105:$AL$128,'non-road'!$F32,Assumptions!BO$105:BO$128)</f>
        <v>0</v>
      </c>
      <c r="AI32" s="33">
        <f>SUMIFS(Assumptions!BP$105:BP$128,Assumptions!$AL$105:$AL$128,'non-road'!$F32,Assumptions!$AM$105:$AM$128,'non-road'!$D32)/SUMIF(Assumptions!$AL$105:$AL$128,'non-road'!$F32,Assumptions!BP$105:BP$128)</f>
        <v>0</v>
      </c>
      <c r="AJ32" s="33" t="e">
        <f>SUMIFS(Assumptions!BQ$105:BQ$128,Assumptions!$AL$105:$AL$128,'non-road'!$F32,Assumptions!$AM$105:$AM$128,'non-road'!$D32)/SUMIF(Assumptions!$AL$105:$AL$128,'non-road'!$F32,Assumptions!BQ$105:BQ$128)</f>
        <v>#DIV/0!</v>
      </c>
      <c r="AN32" s="27" t="str">
        <f t="shared" si="40"/>
        <v>\I:</v>
      </c>
      <c r="AO32" s="33">
        <f>VLOOKUP($F32,Assumptions!$E$152:$AM$157,COLUMN()-COLUMN($AM$4),FALSE)</f>
        <v>1</v>
      </c>
      <c r="AP32" s="33">
        <f>VLOOKUP($F32,Assumptions!$E$152:$AM$157,COLUMN()-COLUMN($AM$4),FALSE)</f>
        <v>1</v>
      </c>
      <c r="AQ32" s="33">
        <f>VLOOKUP($F32,Assumptions!$E$152:$AM$157,COLUMN()-COLUMN($AM$4),FALSE)</f>
        <v>1</v>
      </c>
      <c r="AR32" s="33">
        <f>VLOOKUP($F32,Assumptions!$E$152:$AM$157,COLUMN()-COLUMN($AM$4),FALSE)</f>
        <v>1</v>
      </c>
      <c r="AS32" s="33">
        <f>VLOOKUP($F32,Assumptions!$E$152:$AM$157,COLUMN()-COLUMN($AM$4),FALSE)</f>
        <v>1</v>
      </c>
      <c r="AT32" s="33">
        <f>VLOOKUP($F32,Assumptions!$E$152:$AM$157,COLUMN()-COLUMN($AM$4),FALSE)</f>
        <v>1</v>
      </c>
      <c r="AU32" s="33">
        <f>VLOOKUP($F32,Assumptions!$E$152:$AM$157,COLUMN()-COLUMN($AM$4),FALSE)</f>
        <v>1</v>
      </c>
      <c r="AV32" s="33">
        <f>VLOOKUP($F32,Assumptions!$E$152:$AM$157,COLUMN()-COLUMN($AM$4),FALSE)</f>
        <v>1</v>
      </c>
      <c r="AW32" s="33">
        <f>VLOOKUP($F32,Assumptions!$E$152:$AM$157,COLUMN()-COLUMN($AM$4),FALSE)</f>
        <v>1</v>
      </c>
      <c r="AX32" s="33">
        <f>VLOOKUP($F32,Assumptions!$E$152:$AM$157,COLUMN()-COLUMN($AM$4),FALSE)</f>
        <v>1</v>
      </c>
      <c r="AY32" s="33">
        <f>VLOOKUP($F32,Assumptions!$E$152:$AM$157,COLUMN()-COLUMN($AM$4),FALSE)</f>
        <v>1</v>
      </c>
      <c r="AZ32" s="33">
        <f>VLOOKUP($F32,Assumptions!$E$152:$AM$157,COLUMN()-COLUMN($AM$4),FALSE)</f>
        <v>1</v>
      </c>
      <c r="BA32" s="33">
        <f>VLOOKUP($F32,Assumptions!$E$152:$AM$157,COLUMN()-COLUMN($AM$4),FALSE)</f>
        <v>1</v>
      </c>
      <c r="BB32" s="33">
        <f>VLOOKUP($F32,Assumptions!$E$152:$AM$157,COLUMN()-COLUMN($AM$4),FALSE)</f>
        <v>1</v>
      </c>
      <c r="BC32" s="33">
        <f>VLOOKUP($F32,Assumptions!$E$152:$AM$157,COLUMN()-COLUMN($AM$4),FALSE)</f>
        <v>1</v>
      </c>
      <c r="BD32" s="33">
        <f>VLOOKUP($F32,Assumptions!$E$152:$AM$157,COLUMN()-COLUMN($AM$4),FALSE)</f>
        <v>1</v>
      </c>
      <c r="BE32" s="33">
        <f>VLOOKUP($F32,Assumptions!$E$152:$AM$157,COLUMN()-COLUMN($AM$4),FALSE)</f>
        <v>1</v>
      </c>
      <c r="BF32" s="33">
        <f>VLOOKUP($F32,Assumptions!$E$152:$AM$157,COLUMN()-COLUMN($AM$4),FALSE)</f>
        <v>1</v>
      </c>
      <c r="BG32" s="33">
        <f>VLOOKUP($F32,Assumptions!$E$152:$AM$157,COLUMN()-COLUMN($AM$4),FALSE)</f>
        <v>1</v>
      </c>
      <c r="BH32" s="33">
        <f>VLOOKUP($F32,Assumptions!$E$152:$AM$157,COLUMN()-COLUMN($AM$4),FALSE)</f>
        <v>1</v>
      </c>
      <c r="BI32" s="33">
        <f>VLOOKUP($F32,Assumptions!$E$152:$AM$157,COLUMN()-COLUMN($AM$4),FALSE)</f>
        <v>1</v>
      </c>
      <c r="BJ32" s="33">
        <f>VLOOKUP($F32,Assumptions!$E$152:$AM$157,COLUMN()-COLUMN($AM$4),FALSE)</f>
        <v>1</v>
      </c>
      <c r="BK32" s="33">
        <f>VLOOKUP($F32,Assumptions!$E$152:$AM$157,COLUMN()-COLUMN($AM$4),FALSE)</f>
        <v>1</v>
      </c>
      <c r="BL32" s="33">
        <f>VLOOKUP($F32,Assumptions!$E$152:$AM$157,COLUMN()-COLUMN($AM$4),FALSE)</f>
        <v>1</v>
      </c>
      <c r="BM32" s="33">
        <f>VLOOKUP($F32,Assumptions!$E$152:$AM$157,COLUMN()-COLUMN($AM$4),FALSE)</f>
        <v>1</v>
      </c>
      <c r="BN32" s="33">
        <f>VLOOKUP($F32,Assumptions!$E$152:$AM$157,COLUMN()-COLUMN($AM$4),FALSE)</f>
        <v>1</v>
      </c>
      <c r="BO32" s="33">
        <f>VLOOKUP($F32,Assumptions!$E$152:$AM$157,COLUMN()-COLUMN($AM$4),FALSE)</f>
        <v>1</v>
      </c>
      <c r="BP32" s="33">
        <f>VLOOKUP($F32,Assumptions!$E$152:$AM$157,COLUMN()-COLUMN($AM$4),FALSE)</f>
        <v>1</v>
      </c>
      <c r="BQ32" s="33">
        <f>VLOOKUP($F32,Assumptions!$E$152:$AM$157,COLUMN()-COLUMN($AM$4),FALSE)</f>
        <v>1</v>
      </c>
      <c r="BR32" s="33">
        <f>VLOOKUP($F32,Assumptions!$E$152:$AM$157,COLUMN()-COLUMN($AM$4),FALSE)</f>
        <v>1</v>
      </c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 t="str">
        <f t="shared" si="33"/>
        <v>\I:</v>
      </c>
      <c r="DB32" s="27" t="str">
        <f t="shared" si="48"/>
        <v/>
      </c>
      <c r="DC32" s="27" t="s">
        <v>169</v>
      </c>
      <c r="DD32" s="27" t="s">
        <v>160</v>
      </c>
      <c r="DE32" s="27" t="s">
        <v>161</v>
      </c>
    </row>
    <row r="33" spans="3:109" x14ac:dyDescent="0.45">
      <c r="C33" s="27" t="str">
        <f t="shared" si="39"/>
        <v/>
      </c>
      <c r="D33" s="27" t="s">
        <v>39</v>
      </c>
      <c r="E33" s="27"/>
      <c r="F33" s="27" t="s">
        <v>21</v>
      </c>
      <c r="G33" s="33">
        <f>SUMIFS(Assumptions!AN$105:AN$128,Assumptions!$AL$105:$AL$128,'non-road'!$F33,Assumptions!$AM$105:$AM$128,'non-road'!$D33)/SUMIF(Assumptions!$AL$105:$AL$128,'non-road'!$F33,Assumptions!AN$105:AN$128)</f>
        <v>0</v>
      </c>
      <c r="H33" s="33">
        <f>SUMIFS(Assumptions!AO$105:AO$128,Assumptions!$AL$105:$AL$128,'non-road'!$F33,Assumptions!$AM$105:$AM$128,'non-road'!$D33)/SUMIF(Assumptions!$AL$105:$AL$128,'non-road'!$F33,Assumptions!AO$105:AO$128)</f>
        <v>0</v>
      </c>
      <c r="I33" s="33">
        <f>SUMIFS(Assumptions!AP$105:AP$128,Assumptions!$AL$105:$AL$128,'non-road'!$F33,Assumptions!$AM$105:$AM$128,'non-road'!$D33)/SUMIF(Assumptions!$AL$105:$AL$128,'non-road'!$F33,Assumptions!AP$105:AP$128)</f>
        <v>0</v>
      </c>
      <c r="J33" s="33">
        <f>SUMIFS(Assumptions!AQ$105:AQ$128,Assumptions!$AL$105:$AL$128,'non-road'!$F33,Assumptions!$AM$105:$AM$128,'non-road'!$D33)/SUMIF(Assumptions!$AL$105:$AL$128,'non-road'!$F33,Assumptions!AQ$105:AQ$128)</f>
        <v>0</v>
      </c>
      <c r="K33" s="33">
        <f>SUMIFS(Assumptions!AR$105:AR$128,Assumptions!$AL$105:$AL$128,'non-road'!$F33,Assumptions!$AM$105:$AM$128,'non-road'!$D33)/SUMIF(Assumptions!$AL$105:$AL$128,'non-road'!$F33,Assumptions!AR$105:AR$128)</f>
        <v>0</v>
      </c>
      <c r="L33" s="33">
        <f>SUMIFS(Assumptions!AS$105:AS$128,Assumptions!$AL$105:$AL$128,'non-road'!$F33,Assumptions!$AM$105:$AM$128,'non-road'!$D33)/SUMIF(Assumptions!$AL$105:$AL$128,'non-road'!$F33,Assumptions!AS$105:AS$128)</f>
        <v>0</v>
      </c>
      <c r="M33" s="33">
        <f>SUMIFS(Assumptions!AT$105:AT$128,Assumptions!$AL$105:$AL$128,'non-road'!$F33,Assumptions!$AM$105:$AM$128,'non-road'!$D33)/SUMIF(Assumptions!$AL$105:$AL$128,'non-road'!$F33,Assumptions!AT$105:AT$128)</f>
        <v>0</v>
      </c>
      <c r="N33" s="33">
        <f>SUMIFS(Assumptions!AU$105:AU$128,Assumptions!$AL$105:$AL$128,'non-road'!$F33,Assumptions!$AM$105:$AM$128,'non-road'!$D33)/SUMIF(Assumptions!$AL$105:$AL$128,'non-road'!$F33,Assumptions!AU$105:AU$128)</f>
        <v>0</v>
      </c>
      <c r="O33" s="33">
        <f>SUMIFS(Assumptions!AV$105:AV$128,Assumptions!$AL$105:$AL$128,'non-road'!$F33,Assumptions!$AM$105:$AM$128,'non-road'!$D33)/SUMIF(Assumptions!$AL$105:$AL$128,'non-road'!$F33,Assumptions!AV$105:AV$128)</f>
        <v>0</v>
      </c>
      <c r="P33" s="33">
        <f>SUMIFS(Assumptions!AW$105:AW$128,Assumptions!$AL$105:$AL$128,'non-road'!$F33,Assumptions!$AM$105:$AM$128,'non-road'!$D33)/SUMIF(Assumptions!$AL$105:$AL$128,'non-road'!$F33,Assumptions!AW$105:AW$128)</f>
        <v>0</v>
      </c>
      <c r="Q33" s="33">
        <f>SUMIFS(Assumptions!AX$105:AX$128,Assumptions!$AL$105:$AL$128,'non-road'!$F33,Assumptions!$AM$105:$AM$128,'non-road'!$D33)/SUMIF(Assumptions!$AL$105:$AL$128,'non-road'!$F33,Assumptions!AX$105:AX$128)</f>
        <v>0</v>
      </c>
      <c r="R33" s="33">
        <f>SUMIFS(Assumptions!AY$105:AY$128,Assumptions!$AL$105:$AL$128,'non-road'!$F33,Assumptions!$AM$105:$AM$128,'non-road'!$D33)/SUMIF(Assumptions!$AL$105:$AL$128,'non-road'!$F33,Assumptions!AY$105:AY$128)</f>
        <v>0</v>
      </c>
      <c r="S33" s="33">
        <f>SUMIFS(Assumptions!AZ$105:AZ$128,Assumptions!$AL$105:$AL$128,'non-road'!$F33,Assumptions!$AM$105:$AM$128,'non-road'!$D33)/SUMIF(Assumptions!$AL$105:$AL$128,'non-road'!$F33,Assumptions!AZ$105:AZ$128)</f>
        <v>0</v>
      </c>
      <c r="T33" s="33">
        <f>SUMIFS(Assumptions!BA$105:BA$128,Assumptions!$AL$105:$AL$128,'non-road'!$F33,Assumptions!$AM$105:$AM$128,'non-road'!$D33)/SUMIF(Assumptions!$AL$105:$AL$128,'non-road'!$F33,Assumptions!BA$105:BA$128)</f>
        <v>0</v>
      </c>
      <c r="U33" s="33">
        <f>SUMIFS(Assumptions!BB$105:BB$128,Assumptions!$AL$105:$AL$128,'non-road'!$F33,Assumptions!$AM$105:$AM$128,'non-road'!$D33)/SUMIF(Assumptions!$AL$105:$AL$128,'non-road'!$F33,Assumptions!BB$105:BB$128)</f>
        <v>0</v>
      </c>
      <c r="V33" s="33">
        <f>SUMIFS(Assumptions!BC$105:BC$128,Assumptions!$AL$105:$AL$128,'non-road'!$F33,Assumptions!$AM$105:$AM$128,'non-road'!$D33)/SUMIF(Assumptions!$AL$105:$AL$128,'non-road'!$F33,Assumptions!BC$105:BC$128)</f>
        <v>0</v>
      </c>
      <c r="W33" s="33">
        <f>SUMIFS(Assumptions!BD$105:BD$128,Assumptions!$AL$105:$AL$128,'non-road'!$F33,Assumptions!$AM$105:$AM$128,'non-road'!$D33)/SUMIF(Assumptions!$AL$105:$AL$128,'non-road'!$F33,Assumptions!BD$105:BD$128)</f>
        <v>0</v>
      </c>
      <c r="X33" s="33">
        <f>SUMIFS(Assumptions!BE$105:BE$128,Assumptions!$AL$105:$AL$128,'non-road'!$F33,Assumptions!$AM$105:$AM$128,'non-road'!$D33)/SUMIF(Assumptions!$AL$105:$AL$128,'non-road'!$F33,Assumptions!BE$105:BE$128)</f>
        <v>0</v>
      </c>
      <c r="Y33" s="33">
        <f>SUMIFS(Assumptions!BF$105:BF$128,Assumptions!$AL$105:$AL$128,'non-road'!$F33,Assumptions!$AM$105:$AM$128,'non-road'!$D33)/SUMIF(Assumptions!$AL$105:$AL$128,'non-road'!$F33,Assumptions!BF$105:BF$128)</f>
        <v>0</v>
      </c>
      <c r="Z33" s="33">
        <f>SUMIFS(Assumptions!BG$105:BG$128,Assumptions!$AL$105:$AL$128,'non-road'!$F33,Assumptions!$AM$105:$AM$128,'non-road'!$D33)/SUMIF(Assumptions!$AL$105:$AL$128,'non-road'!$F33,Assumptions!BG$105:BG$128)</f>
        <v>0</v>
      </c>
      <c r="AA33" s="33">
        <f>SUMIFS(Assumptions!BH$105:BH$128,Assumptions!$AL$105:$AL$128,'non-road'!$F33,Assumptions!$AM$105:$AM$128,'non-road'!$D33)/SUMIF(Assumptions!$AL$105:$AL$128,'non-road'!$F33,Assumptions!BH$105:BH$128)</f>
        <v>0</v>
      </c>
      <c r="AB33" s="33">
        <f>SUMIFS(Assumptions!BI$105:BI$128,Assumptions!$AL$105:$AL$128,'non-road'!$F33,Assumptions!$AM$105:$AM$128,'non-road'!$D33)/SUMIF(Assumptions!$AL$105:$AL$128,'non-road'!$F33,Assumptions!BI$105:BI$128)</f>
        <v>0</v>
      </c>
      <c r="AC33" s="33" t="e">
        <f>SUMIFS(Assumptions!BJ$105:BJ$128,Assumptions!$AL$105:$AL$128,'non-road'!$F33,Assumptions!$AM$105:$AM$128,'non-road'!$D33)/SUMIF(Assumptions!$AL$105:$AL$128,'non-road'!$F33,Assumptions!BJ$105:BJ$128)</f>
        <v>#DIV/0!</v>
      </c>
      <c r="AD33" s="33">
        <f>SUMIFS(Assumptions!BK$105:BK$128,Assumptions!$AL$105:$AL$128,'non-road'!$F33,Assumptions!$AM$105:$AM$128,'non-road'!$D33)/SUMIF(Assumptions!$AL$105:$AL$128,'non-road'!$F33,Assumptions!BK$105:BK$128)</f>
        <v>0</v>
      </c>
      <c r="AE33" s="33">
        <f>SUMIFS(Assumptions!BL$105:BL$128,Assumptions!$AL$105:$AL$128,'non-road'!$F33,Assumptions!$AM$105:$AM$128,'non-road'!$D33)/SUMIF(Assumptions!$AL$105:$AL$128,'non-road'!$F33,Assumptions!BL$105:BL$128)</f>
        <v>0</v>
      </c>
      <c r="AF33" s="33" t="e">
        <f>SUMIFS(Assumptions!BM$105:BM$128,Assumptions!$AL$105:$AL$128,'non-road'!$F33,Assumptions!$AM$105:$AM$128,'non-road'!$D33)/SUMIF(Assumptions!$AL$105:$AL$128,'non-road'!$F33,Assumptions!BM$105:BM$128)</f>
        <v>#DIV/0!</v>
      </c>
      <c r="AG33" s="33">
        <f>SUMIFS(Assumptions!BN$105:BN$128,Assumptions!$AL$105:$AL$128,'non-road'!$F33,Assumptions!$AM$105:$AM$128,'non-road'!$D33)/SUMIF(Assumptions!$AL$105:$AL$128,'non-road'!$F33,Assumptions!BN$105:BN$128)</f>
        <v>0</v>
      </c>
      <c r="AH33" s="33">
        <f>SUMIFS(Assumptions!BO$105:BO$128,Assumptions!$AL$105:$AL$128,'non-road'!$F33,Assumptions!$AM$105:$AM$128,'non-road'!$D33)/SUMIF(Assumptions!$AL$105:$AL$128,'non-road'!$F33,Assumptions!BO$105:BO$128)</f>
        <v>0</v>
      </c>
      <c r="AI33" s="33">
        <f>SUMIFS(Assumptions!BP$105:BP$128,Assumptions!$AL$105:$AL$128,'non-road'!$F33,Assumptions!$AM$105:$AM$128,'non-road'!$D33)/SUMIF(Assumptions!$AL$105:$AL$128,'non-road'!$F33,Assumptions!BP$105:BP$128)</f>
        <v>0</v>
      </c>
      <c r="AJ33" s="33" t="e">
        <f>SUMIFS(Assumptions!BQ$105:BQ$128,Assumptions!$AL$105:$AL$128,'non-road'!$F33,Assumptions!$AM$105:$AM$128,'non-road'!$D33)/SUMIF(Assumptions!$AL$105:$AL$128,'non-road'!$F33,Assumptions!BQ$105:BQ$128)</f>
        <v>#DIV/0!</v>
      </c>
      <c r="AN33" s="27" t="str">
        <f t="shared" si="40"/>
        <v>\I:</v>
      </c>
      <c r="AO33" s="33">
        <f>VLOOKUP($F33,Assumptions!$E$152:$AM$157,COLUMN()-COLUMN($AM$4),FALSE)</f>
        <v>1</v>
      </c>
      <c r="AP33" s="33">
        <f>VLOOKUP($F33,Assumptions!$E$152:$AM$157,COLUMN()-COLUMN($AM$4),FALSE)</f>
        <v>1</v>
      </c>
      <c r="AQ33" s="33">
        <f>VLOOKUP($F33,Assumptions!$E$152:$AM$157,COLUMN()-COLUMN($AM$4),FALSE)</f>
        <v>1</v>
      </c>
      <c r="AR33" s="33">
        <f>VLOOKUP($F33,Assumptions!$E$152:$AM$157,COLUMN()-COLUMN($AM$4),FALSE)</f>
        <v>1</v>
      </c>
      <c r="AS33" s="33">
        <f>VLOOKUP($F33,Assumptions!$E$152:$AM$157,COLUMN()-COLUMN($AM$4),FALSE)</f>
        <v>1</v>
      </c>
      <c r="AT33" s="33">
        <f>VLOOKUP($F33,Assumptions!$E$152:$AM$157,COLUMN()-COLUMN($AM$4),FALSE)</f>
        <v>1</v>
      </c>
      <c r="AU33" s="33">
        <f>VLOOKUP($F33,Assumptions!$E$152:$AM$157,COLUMN()-COLUMN($AM$4),FALSE)</f>
        <v>1</v>
      </c>
      <c r="AV33" s="33">
        <f>VLOOKUP($F33,Assumptions!$E$152:$AM$157,COLUMN()-COLUMN($AM$4),FALSE)</f>
        <v>1</v>
      </c>
      <c r="AW33" s="33">
        <f>VLOOKUP($F33,Assumptions!$E$152:$AM$157,COLUMN()-COLUMN($AM$4),FALSE)</f>
        <v>1</v>
      </c>
      <c r="AX33" s="33">
        <f>VLOOKUP($F33,Assumptions!$E$152:$AM$157,COLUMN()-COLUMN($AM$4),FALSE)</f>
        <v>1</v>
      </c>
      <c r="AY33" s="33">
        <f>VLOOKUP($F33,Assumptions!$E$152:$AM$157,COLUMN()-COLUMN($AM$4),FALSE)</f>
        <v>1</v>
      </c>
      <c r="AZ33" s="33">
        <f>VLOOKUP($F33,Assumptions!$E$152:$AM$157,COLUMN()-COLUMN($AM$4),FALSE)</f>
        <v>1</v>
      </c>
      <c r="BA33" s="33">
        <f>VLOOKUP($F33,Assumptions!$E$152:$AM$157,COLUMN()-COLUMN($AM$4),FALSE)</f>
        <v>1</v>
      </c>
      <c r="BB33" s="33">
        <f>VLOOKUP($F33,Assumptions!$E$152:$AM$157,COLUMN()-COLUMN($AM$4),FALSE)</f>
        <v>1</v>
      </c>
      <c r="BC33" s="33">
        <f>VLOOKUP($F33,Assumptions!$E$152:$AM$157,COLUMN()-COLUMN($AM$4),FALSE)</f>
        <v>1</v>
      </c>
      <c r="BD33" s="33">
        <f>VLOOKUP($F33,Assumptions!$E$152:$AM$157,COLUMN()-COLUMN($AM$4),FALSE)</f>
        <v>1</v>
      </c>
      <c r="BE33" s="33">
        <f>VLOOKUP($F33,Assumptions!$E$152:$AM$157,COLUMN()-COLUMN($AM$4),FALSE)</f>
        <v>1</v>
      </c>
      <c r="BF33" s="33">
        <f>VLOOKUP($F33,Assumptions!$E$152:$AM$157,COLUMN()-COLUMN($AM$4),FALSE)</f>
        <v>1</v>
      </c>
      <c r="BG33" s="33">
        <f>VLOOKUP($F33,Assumptions!$E$152:$AM$157,COLUMN()-COLUMN($AM$4),FALSE)</f>
        <v>1</v>
      </c>
      <c r="BH33" s="33">
        <f>VLOOKUP($F33,Assumptions!$E$152:$AM$157,COLUMN()-COLUMN($AM$4),FALSE)</f>
        <v>1</v>
      </c>
      <c r="BI33" s="33">
        <f>VLOOKUP($F33,Assumptions!$E$152:$AM$157,COLUMN()-COLUMN($AM$4),FALSE)</f>
        <v>1</v>
      </c>
      <c r="BJ33" s="33">
        <f>VLOOKUP($F33,Assumptions!$E$152:$AM$157,COLUMN()-COLUMN($AM$4),FALSE)</f>
        <v>1</v>
      </c>
      <c r="BK33" s="33">
        <f>VLOOKUP($F33,Assumptions!$E$152:$AM$157,COLUMN()-COLUMN($AM$4),FALSE)</f>
        <v>1</v>
      </c>
      <c r="BL33" s="33">
        <f>VLOOKUP($F33,Assumptions!$E$152:$AM$157,COLUMN()-COLUMN($AM$4),FALSE)</f>
        <v>1</v>
      </c>
      <c r="BM33" s="33">
        <f>VLOOKUP($F33,Assumptions!$E$152:$AM$157,COLUMN()-COLUMN($AM$4),FALSE)</f>
        <v>1</v>
      </c>
      <c r="BN33" s="33">
        <f>VLOOKUP($F33,Assumptions!$E$152:$AM$157,COLUMN()-COLUMN($AM$4),FALSE)</f>
        <v>1</v>
      </c>
      <c r="BO33" s="33">
        <f>VLOOKUP($F33,Assumptions!$E$152:$AM$157,COLUMN()-COLUMN($AM$4),FALSE)</f>
        <v>1</v>
      </c>
      <c r="BP33" s="33">
        <f>VLOOKUP($F33,Assumptions!$E$152:$AM$157,COLUMN()-COLUMN($AM$4),FALSE)</f>
        <v>1</v>
      </c>
      <c r="BQ33" s="33">
        <f>VLOOKUP($F33,Assumptions!$E$152:$AM$157,COLUMN()-COLUMN($AM$4),FALSE)</f>
        <v>1</v>
      </c>
      <c r="BR33" s="33">
        <f>VLOOKUP($F33,Assumptions!$E$152:$AM$157,COLUMN()-COLUMN($AM$4),FALSE)</f>
        <v>1</v>
      </c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 t="str">
        <f t="shared" si="33"/>
        <v>\I:</v>
      </c>
      <c r="DB33" s="27" t="str">
        <f t="shared" si="48"/>
        <v/>
      </c>
      <c r="DC33" s="27" t="s">
        <v>169</v>
      </c>
      <c r="DD33" s="27" t="s">
        <v>160</v>
      </c>
      <c r="DE33" s="27" t="s">
        <v>161</v>
      </c>
    </row>
    <row r="34" spans="3:109" x14ac:dyDescent="0.45">
      <c r="C34" s="27" t="str">
        <f t="shared" si="39"/>
        <v/>
      </c>
      <c r="D34" s="27" t="s">
        <v>38</v>
      </c>
      <c r="E34" s="27"/>
      <c r="F34" s="27" t="s">
        <v>21</v>
      </c>
      <c r="G34" s="33">
        <f>SUMIFS(Assumptions!AN$105:AN$128,Assumptions!$AL$105:$AL$128,'non-road'!$F34,Assumptions!$AM$105:$AM$128,'non-road'!$D34)/SUMIF(Assumptions!$AL$105:$AL$128,'non-road'!$F34,Assumptions!AN$105:AN$128)</f>
        <v>0</v>
      </c>
      <c r="H34" s="33">
        <f>SUMIFS(Assumptions!AO$105:AO$128,Assumptions!$AL$105:$AL$128,'non-road'!$F34,Assumptions!$AM$105:$AM$128,'non-road'!$D34)/SUMIF(Assumptions!$AL$105:$AL$128,'non-road'!$F34,Assumptions!AO$105:AO$128)</f>
        <v>0</v>
      </c>
      <c r="I34" s="33">
        <f>SUMIFS(Assumptions!AP$105:AP$128,Assumptions!$AL$105:$AL$128,'non-road'!$F34,Assumptions!$AM$105:$AM$128,'non-road'!$D34)/SUMIF(Assumptions!$AL$105:$AL$128,'non-road'!$F34,Assumptions!AP$105:AP$128)</f>
        <v>0</v>
      </c>
      <c r="J34" s="33">
        <f>SUMIFS(Assumptions!AQ$105:AQ$128,Assumptions!$AL$105:$AL$128,'non-road'!$F34,Assumptions!$AM$105:$AM$128,'non-road'!$D34)/SUMIF(Assumptions!$AL$105:$AL$128,'non-road'!$F34,Assumptions!AQ$105:AQ$128)</f>
        <v>0</v>
      </c>
      <c r="K34" s="33">
        <f>SUMIFS(Assumptions!AR$105:AR$128,Assumptions!$AL$105:$AL$128,'non-road'!$F34,Assumptions!$AM$105:$AM$128,'non-road'!$D34)/SUMIF(Assumptions!$AL$105:$AL$128,'non-road'!$F34,Assumptions!AR$105:AR$128)</f>
        <v>0</v>
      </c>
      <c r="L34" s="33">
        <f>SUMIFS(Assumptions!AS$105:AS$128,Assumptions!$AL$105:$AL$128,'non-road'!$F34,Assumptions!$AM$105:$AM$128,'non-road'!$D34)/SUMIF(Assumptions!$AL$105:$AL$128,'non-road'!$F34,Assumptions!AS$105:AS$128)</f>
        <v>0</v>
      </c>
      <c r="M34" s="33">
        <f>SUMIFS(Assumptions!AT$105:AT$128,Assumptions!$AL$105:$AL$128,'non-road'!$F34,Assumptions!$AM$105:$AM$128,'non-road'!$D34)/SUMIF(Assumptions!$AL$105:$AL$128,'non-road'!$F34,Assumptions!AT$105:AT$128)</f>
        <v>0</v>
      </c>
      <c r="N34" s="33">
        <f>SUMIFS(Assumptions!AU$105:AU$128,Assumptions!$AL$105:$AL$128,'non-road'!$F34,Assumptions!$AM$105:$AM$128,'non-road'!$D34)/SUMIF(Assumptions!$AL$105:$AL$128,'non-road'!$F34,Assumptions!AU$105:AU$128)</f>
        <v>0</v>
      </c>
      <c r="O34" s="33">
        <f>SUMIFS(Assumptions!AV$105:AV$128,Assumptions!$AL$105:$AL$128,'non-road'!$F34,Assumptions!$AM$105:$AM$128,'non-road'!$D34)/SUMIF(Assumptions!$AL$105:$AL$128,'non-road'!$F34,Assumptions!AV$105:AV$128)</f>
        <v>0</v>
      </c>
      <c r="P34" s="33">
        <f>SUMIFS(Assumptions!AW$105:AW$128,Assumptions!$AL$105:$AL$128,'non-road'!$F34,Assumptions!$AM$105:$AM$128,'non-road'!$D34)/SUMIF(Assumptions!$AL$105:$AL$128,'non-road'!$F34,Assumptions!AW$105:AW$128)</f>
        <v>0</v>
      </c>
      <c r="Q34" s="33">
        <f>SUMIFS(Assumptions!AX$105:AX$128,Assumptions!$AL$105:$AL$128,'non-road'!$F34,Assumptions!$AM$105:$AM$128,'non-road'!$D34)/SUMIF(Assumptions!$AL$105:$AL$128,'non-road'!$F34,Assumptions!AX$105:AX$128)</f>
        <v>0</v>
      </c>
      <c r="R34" s="33">
        <f>SUMIFS(Assumptions!AY$105:AY$128,Assumptions!$AL$105:$AL$128,'non-road'!$F34,Assumptions!$AM$105:$AM$128,'non-road'!$D34)/SUMIF(Assumptions!$AL$105:$AL$128,'non-road'!$F34,Assumptions!AY$105:AY$128)</f>
        <v>0</v>
      </c>
      <c r="S34" s="33">
        <f>SUMIFS(Assumptions!AZ$105:AZ$128,Assumptions!$AL$105:$AL$128,'non-road'!$F34,Assumptions!$AM$105:$AM$128,'non-road'!$D34)/SUMIF(Assumptions!$AL$105:$AL$128,'non-road'!$F34,Assumptions!AZ$105:AZ$128)</f>
        <v>0</v>
      </c>
      <c r="T34" s="33">
        <f>SUMIFS(Assumptions!BA$105:BA$128,Assumptions!$AL$105:$AL$128,'non-road'!$F34,Assumptions!$AM$105:$AM$128,'non-road'!$D34)/SUMIF(Assumptions!$AL$105:$AL$128,'non-road'!$F34,Assumptions!BA$105:BA$128)</f>
        <v>0</v>
      </c>
      <c r="U34" s="33">
        <f>SUMIFS(Assumptions!BB$105:BB$128,Assumptions!$AL$105:$AL$128,'non-road'!$F34,Assumptions!$AM$105:$AM$128,'non-road'!$D34)/SUMIF(Assumptions!$AL$105:$AL$128,'non-road'!$F34,Assumptions!BB$105:BB$128)</f>
        <v>0</v>
      </c>
      <c r="V34" s="33">
        <f>SUMIFS(Assumptions!BC$105:BC$128,Assumptions!$AL$105:$AL$128,'non-road'!$F34,Assumptions!$AM$105:$AM$128,'non-road'!$D34)/SUMIF(Assumptions!$AL$105:$AL$128,'non-road'!$F34,Assumptions!BC$105:BC$128)</f>
        <v>0</v>
      </c>
      <c r="W34" s="33">
        <f>SUMIFS(Assumptions!BD$105:BD$128,Assumptions!$AL$105:$AL$128,'non-road'!$F34,Assumptions!$AM$105:$AM$128,'non-road'!$D34)/SUMIF(Assumptions!$AL$105:$AL$128,'non-road'!$F34,Assumptions!BD$105:BD$128)</f>
        <v>0</v>
      </c>
      <c r="X34" s="33">
        <f>SUMIFS(Assumptions!BE$105:BE$128,Assumptions!$AL$105:$AL$128,'non-road'!$F34,Assumptions!$AM$105:$AM$128,'non-road'!$D34)/SUMIF(Assumptions!$AL$105:$AL$128,'non-road'!$F34,Assumptions!BE$105:BE$128)</f>
        <v>0</v>
      </c>
      <c r="Y34" s="33">
        <f>SUMIFS(Assumptions!BF$105:BF$128,Assumptions!$AL$105:$AL$128,'non-road'!$F34,Assumptions!$AM$105:$AM$128,'non-road'!$D34)/SUMIF(Assumptions!$AL$105:$AL$128,'non-road'!$F34,Assumptions!BF$105:BF$128)</f>
        <v>0</v>
      </c>
      <c r="Z34" s="33">
        <f>SUMIFS(Assumptions!BG$105:BG$128,Assumptions!$AL$105:$AL$128,'non-road'!$F34,Assumptions!$AM$105:$AM$128,'non-road'!$D34)/SUMIF(Assumptions!$AL$105:$AL$128,'non-road'!$F34,Assumptions!BG$105:BG$128)</f>
        <v>0</v>
      </c>
      <c r="AA34" s="33">
        <f>SUMIFS(Assumptions!BH$105:BH$128,Assumptions!$AL$105:$AL$128,'non-road'!$F34,Assumptions!$AM$105:$AM$128,'non-road'!$D34)/SUMIF(Assumptions!$AL$105:$AL$128,'non-road'!$F34,Assumptions!BH$105:BH$128)</f>
        <v>0</v>
      </c>
      <c r="AB34" s="33">
        <f>SUMIFS(Assumptions!BI$105:BI$128,Assumptions!$AL$105:$AL$128,'non-road'!$F34,Assumptions!$AM$105:$AM$128,'non-road'!$D34)/SUMIF(Assumptions!$AL$105:$AL$128,'non-road'!$F34,Assumptions!BI$105:BI$128)</f>
        <v>0</v>
      </c>
      <c r="AC34" s="33" t="e">
        <f>SUMIFS(Assumptions!BJ$105:BJ$128,Assumptions!$AL$105:$AL$128,'non-road'!$F34,Assumptions!$AM$105:$AM$128,'non-road'!$D34)/SUMIF(Assumptions!$AL$105:$AL$128,'non-road'!$F34,Assumptions!BJ$105:BJ$128)</f>
        <v>#DIV/0!</v>
      </c>
      <c r="AD34" s="33">
        <f>SUMIFS(Assumptions!BK$105:BK$128,Assumptions!$AL$105:$AL$128,'non-road'!$F34,Assumptions!$AM$105:$AM$128,'non-road'!$D34)/SUMIF(Assumptions!$AL$105:$AL$128,'non-road'!$F34,Assumptions!BK$105:BK$128)</f>
        <v>7.386973007264673E-2</v>
      </c>
      <c r="AE34" s="33">
        <f>SUMIFS(Assumptions!BL$105:BL$128,Assumptions!$AL$105:$AL$128,'non-road'!$F34,Assumptions!$AM$105:$AM$128,'non-road'!$D34)/SUMIF(Assumptions!$AL$105:$AL$128,'non-road'!$F34,Assumptions!BL$105:BL$128)</f>
        <v>0</v>
      </c>
      <c r="AF34" s="33" t="e">
        <f>SUMIFS(Assumptions!BM$105:BM$128,Assumptions!$AL$105:$AL$128,'non-road'!$F34,Assumptions!$AM$105:$AM$128,'non-road'!$D34)/SUMIF(Assumptions!$AL$105:$AL$128,'non-road'!$F34,Assumptions!BM$105:BM$128)</f>
        <v>#DIV/0!</v>
      </c>
      <c r="AG34" s="33">
        <f>SUMIFS(Assumptions!BN$105:BN$128,Assumptions!$AL$105:$AL$128,'non-road'!$F34,Assumptions!$AM$105:$AM$128,'non-road'!$D34)/SUMIF(Assumptions!$AL$105:$AL$128,'non-road'!$F34,Assumptions!BN$105:BN$128)</f>
        <v>0</v>
      </c>
      <c r="AH34" s="33">
        <f>SUMIFS(Assumptions!BO$105:BO$128,Assumptions!$AL$105:$AL$128,'non-road'!$F34,Assumptions!$AM$105:$AM$128,'non-road'!$D34)/SUMIF(Assumptions!$AL$105:$AL$128,'non-road'!$F34,Assumptions!BO$105:BO$128)</f>
        <v>0</v>
      </c>
      <c r="AI34" s="33">
        <f>SUMIFS(Assumptions!BP$105:BP$128,Assumptions!$AL$105:$AL$128,'non-road'!$F34,Assumptions!$AM$105:$AM$128,'non-road'!$D34)/SUMIF(Assumptions!$AL$105:$AL$128,'non-road'!$F34,Assumptions!BP$105:BP$128)</f>
        <v>0</v>
      </c>
      <c r="AJ34" s="33" t="e">
        <f>SUMIFS(Assumptions!BQ$105:BQ$128,Assumptions!$AL$105:$AL$128,'non-road'!$F34,Assumptions!$AM$105:$AM$128,'non-road'!$D34)/SUMIF(Assumptions!$AL$105:$AL$128,'non-road'!$F34,Assumptions!BQ$105:BQ$128)</f>
        <v>#DIV/0!</v>
      </c>
      <c r="AN34" s="27" t="str">
        <f t="shared" si="40"/>
        <v>\I:</v>
      </c>
      <c r="AO34" s="33">
        <f>VLOOKUP($F34,Assumptions!$E$152:$AM$157,COLUMN()-COLUMN($AM$4),FALSE)</f>
        <v>1</v>
      </c>
      <c r="AP34" s="33">
        <f>VLOOKUP($F34,Assumptions!$E$152:$AM$157,COLUMN()-COLUMN($AM$4),FALSE)</f>
        <v>1</v>
      </c>
      <c r="AQ34" s="33">
        <f>VLOOKUP($F34,Assumptions!$E$152:$AM$157,COLUMN()-COLUMN($AM$4),FALSE)</f>
        <v>1</v>
      </c>
      <c r="AR34" s="33">
        <f>VLOOKUP($F34,Assumptions!$E$152:$AM$157,COLUMN()-COLUMN($AM$4),FALSE)</f>
        <v>1</v>
      </c>
      <c r="AS34" s="33">
        <f>VLOOKUP($F34,Assumptions!$E$152:$AM$157,COLUMN()-COLUMN($AM$4),FALSE)</f>
        <v>1</v>
      </c>
      <c r="AT34" s="33">
        <f>VLOOKUP($F34,Assumptions!$E$152:$AM$157,COLUMN()-COLUMN($AM$4),FALSE)</f>
        <v>1</v>
      </c>
      <c r="AU34" s="33">
        <f>VLOOKUP($F34,Assumptions!$E$152:$AM$157,COLUMN()-COLUMN($AM$4),FALSE)</f>
        <v>1</v>
      </c>
      <c r="AV34" s="33">
        <f>VLOOKUP($F34,Assumptions!$E$152:$AM$157,COLUMN()-COLUMN($AM$4),FALSE)</f>
        <v>1</v>
      </c>
      <c r="AW34" s="33">
        <f>VLOOKUP($F34,Assumptions!$E$152:$AM$157,COLUMN()-COLUMN($AM$4),FALSE)</f>
        <v>1</v>
      </c>
      <c r="AX34" s="33">
        <f>VLOOKUP($F34,Assumptions!$E$152:$AM$157,COLUMN()-COLUMN($AM$4),FALSE)</f>
        <v>1</v>
      </c>
      <c r="AY34" s="33">
        <f>VLOOKUP($F34,Assumptions!$E$152:$AM$157,COLUMN()-COLUMN($AM$4),FALSE)</f>
        <v>1</v>
      </c>
      <c r="AZ34" s="33">
        <f>VLOOKUP($F34,Assumptions!$E$152:$AM$157,COLUMN()-COLUMN($AM$4),FALSE)</f>
        <v>1</v>
      </c>
      <c r="BA34" s="33">
        <f>VLOOKUP($F34,Assumptions!$E$152:$AM$157,COLUMN()-COLUMN($AM$4),FALSE)</f>
        <v>1</v>
      </c>
      <c r="BB34" s="33">
        <f>VLOOKUP($F34,Assumptions!$E$152:$AM$157,COLUMN()-COLUMN($AM$4),FALSE)</f>
        <v>1</v>
      </c>
      <c r="BC34" s="33">
        <f>VLOOKUP($F34,Assumptions!$E$152:$AM$157,COLUMN()-COLUMN($AM$4),FALSE)</f>
        <v>1</v>
      </c>
      <c r="BD34" s="33">
        <f>VLOOKUP($F34,Assumptions!$E$152:$AM$157,COLUMN()-COLUMN($AM$4),FALSE)</f>
        <v>1</v>
      </c>
      <c r="BE34" s="33">
        <f>VLOOKUP($F34,Assumptions!$E$152:$AM$157,COLUMN()-COLUMN($AM$4),FALSE)</f>
        <v>1</v>
      </c>
      <c r="BF34" s="33">
        <f>VLOOKUP($F34,Assumptions!$E$152:$AM$157,COLUMN()-COLUMN($AM$4),FALSE)</f>
        <v>1</v>
      </c>
      <c r="BG34" s="33">
        <f>VLOOKUP($F34,Assumptions!$E$152:$AM$157,COLUMN()-COLUMN($AM$4),FALSE)</f>
        <v>1</v>
      </c>
      <c r="BH34" s="33">
        <f>VLOOKUP($F34,Assumptions!$E$152:$AM$157,COLUMN()-COLUMN($AM$4),FALSE)</f>
        <v>1</v>
      </c>
      <c r="BI34" s="33">
        <f>VLOOKUP($F34,Assumptions!$E$152:$AM$157,COLUMN()-COLUMN($AM$4),FALSE)</f>
        <v>1</v>
      </c>
      <c r="BJ34" s="33">
        <f>VLOOKUP($F34,Assumptions!$E$152:$AM$157,COLUMN()-COLUMN($AM$4),FALSE)</f>
        <v>1</v>
      </c>
      <c r="BK34" s="33">
        <f>VLOOKUP($F34,Assumptions!$E$152:$AM$157,COLUMN()-COLUMN($AM$4),FALSE)</f>
        <v>1</v>
      </c>
      <c r="BL34" s="33">
        <f>VLOOKUP($F34,Assumptions!$E$152:$AM$157,COLUMN()-COLUMN($AM$4),FALSE)</f>
        <v>1</v>
      </c>
      <c r="BM34" s="33">
        <f>VLOOKUP($F34,Assumptions!$E$152:$AM$157,COLUMN()-COLUMN($AM$4),FALSE)</f>
        <v>1</v>
      </c>
      <c r="BN34" s="33">
        <f>VLOOKUP($F34,Assumptions!$E$152:$AM$157,COLUMN()-COLUMN($AM$4),FALSE)</f>
        <v>1</v>
      </c>
      <c r="BO34" s="33">
        <f>VLOOKUP($F34,Assumptions!$E$152:$AM$157,COLUMN()-COLUMN($AM$4),FALSE)</f>
        <v>1</v>
      </c>
      <c r="BP34" s="33">
        <f>VLOOKUP($F34,Assumptions!$E$152:$AM$157,COLUMN()-COLUMN($AM$4),FALSE)</f>
        <v>1</v>
      </c>
      <c r="BQ34" s="33">
        <f>VLOOKUP($F34,Assumptions!$E$152:$AM$157,COLUMN()-COLUMN($AM$4),FALSE)</f>
        <v>1</v>
      </c>
      <c r="BR34" s="33">
        <f>VLOOKUP($F34,Assumptions!$E$152:$AM$157,COLUMN()-COLUMN($AM$4),FALSE)</f>
        <v>1</v>
      </c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 t="str">
        <f t="shared" si="33"/>
        <v>DMD</v>
      </c>
      <c r="DB34" s="27" t="str">
        <f t="shared" si="48"/>
        <v>TWI_Generic</v>
      </c>
      <c r="DC34" s="27" t="s">
        <v>168</v>
      </c>
      <c r="DD34" s="27" t="s">
        <v>160</v>
      </c>
      <c r="DE34" s="27" t="s">
        <v>161</v>
      </c>
    </row>
    <row r="35" spans="3:109" x14ac:dyDescent="0.45">
      <c r="C35" s="27" t="str">
        <f t="shared" si="39"/>
        <v>TWI_Generic</v>
      </c>
      <c r="D35" s="27" t="s">
        <v>32</v>
      </c>
      <c r="E35" s="27" t="s">
        <v>399</v>
      </c>
      <c r="F35" s="27" t="s">
        <v>22</v>
      </c>
      <c r="G35" s="33">
        <f>SUMIFS(Assumptions!AN$105:AN$128,Assumptions!$AL$105:$AL$128,'non-road'!$F35,Assumptions!$AM$105:$AM$128,'non-road'!$D35)/SUMIF(Assumptions!$AL$105:$AL$128,'non-road'!$F35,Assumptions!AN$105:AN$128)</f>
        <v>0</v>
      </c>
      <c r="H35" s="33">
        <f>SUMIFS(Assumptions!AO$105:AO$128,Assumptions!$AL$105:$AL$128,'non-road'!$F35,Assumptions!$AM$105:$AM$128,'non-road'!$D35)/SUMIF(Assumptions!$AL$105:$AL$128,'non-road'!$F35,Assumptions!AO$105:AO$128)</f>
        <v>0</v>
      </c>
      <c r="I35" s="33">
        <f>SUMIFS(Assumptions!AP$105:AP$128,Assumptions!$AL$105:$AL$128,'non-road'!$F35,Assumptions!$AM$105:$AM$128,'non-road'!$D35)/SUMIF(Assumptions!$AL$105:$AL$128,'non-road'!$F35,Assumptions!AP$105:AP$128)</f>
        <v>0</v>
      </c>
      <c r="J35" s="33">
        <f>SUMIFS(Assumptions!AQ$105:AQ$128,Assumptions!$AL$105:$AL$128,'non-road'!$F35,Assumptions!$AM$105:$AM$128,'non-road'!$D35)/SUMIF(Assumptions!$AL$105:$AL$128,'non-road'!$F35,Assumptions!AQ$105:AQ$128)</f>
        <v>0</v>
      </c>
      <c r="K35" s="33">
        <f>SUMIFS(Assumptions!AR$105:AR$128,Assumptions!$AL$105:$AL$128,'non-road'!$F35,Assumptions!$AM$105:$AM$128,'non-road'!$D35)/SUMIF(Assumptions!$AL$105:$AL$128,'non-road'!$F35,Assumptions!AR$105:AR$128)</f>
        <v>0</v>
      </c>
      <c r="L35" s="33">
        <f>SUMIFS(Assumptions!AS$105:AS$128,Assumptions!$AL$105:$AL$128,'non-road'!$F35,Assumptions!$AM$105:$AM$128,'non-road'!$D35)/SUMIF(Assumptions!$AL$105:$AL$128,'non-road'!$F35,Assumptions!AS$105:AS$128)</f>
        <v>0</v>
      </c>
      <c r="M35" s="33">
        <f>SUMIFS(Assumptions!AT$105:AT$128,Assumptions!$AL$105:$AL$128,'non-road'!$F35,Assumptions!$AM$105:$AM$128,'non-road'!$D35)/SUMIF(Assumptions!$AL$105:$AL$128,'non-road'!$F35,Assumptions!AT$105:AT$128)</f>
        <v>0</v>
      </c>
      <c r="N35" s="33">
        <f>SUMIFS(Assumptions!AU$105:AU$128,Assumptions!$AL$105:$AL$128,'non-road'!$F35,Assumptions!$AM$105:$AM$128,'non-road'!$D35)/SUMIF(Assumptions!$AL$105:$AL$128,'non-road'!$F35,Assumptions!AU$105:AU$128)</f>
        <v>0</v>
      </c>
      <c r="O35" s="33">
        <f>SUMIFS(Assumptions!AV$105:AV$128,Assumptions!$AL$105:$AL$128,'non-road'!$F35,Assumptions!$AM$105:$AM$128,'non-road'!$D35)/SUMIF(Assumptions!$AL$105:$AL$128,'non-road'!$F35,Assumptions!AV$105:AV$128)</f>
        <v>0</v>
      </c>
      <c r="P35" s="33">
        <f>SUMIFS(Assumptions!AW$105:AW$128,Assumptions!$AL$105:$AL$128,'non-road'!$F35,Assumptions!$AM$105:$AM$128,'non-road'!$D35)/SUMIF(Assumptions!$AL$105:$AL$128,'non-road'!$F35,Assumptions!AW$105:AW$128)</f>
        <v>0</v>
      </c>
      <c r="Q35" s="33">
        <f>SUMIFS(Assumptions!AX$105:AX$128,Assumptions!$AL$105:$AL$128,'non-road'!$F35,Assumptions!$AM$105:$AM$128,'non-road'!$D35)/SUMIF(Assumptions!$AL$105:$AL$128,'non-road'!$F35,Assumptions!AX$105:AX$128)</f>
        <v>0</v>
      </c>
      <c r="R35" s="33">
        <f>SUMIFS(Assumptions!AY$105:AY$128,Assumptions!$AL$105:$AL$128,'non-road'!$F35,Assumptions!$AM$105:$AM$128,'non-road'!$D35)/SUMIF(Assumptions!$AL$105:$AL$128,'non-road'!$F35,Assumptions!AY$105:AY$128)</f>
        <v>0</v>
      </c>
      <c r="S35" s="33">
        <f>SUMIFS(Assumptions!AZ$105:AZ$128,Assumptions!$AL$105:$AL$128,'non-road'!$F35,Assumptions!$AM$105:$AM$128,'non-road'!$D35)/SUMIF(Assumptions!$AL$105:$AL$128,'non-road'!$F35,Assumptions!AZ$105:AZ$128)</f>
        <v>2.4259526214375042E-3</v>
      </c>
      <c r="T35" s="33">
        <f>SUMIFS(Assumptions!BA$105:BA$128,Assumptions!$AL$105:$AL$128,'non-road'!$F35,Assumptions!$AM$105:$AM$128,'non-road'!$D35)/SUMIF(Assumptions!$AL$105:$AL$128,'non-road'!$F35,Assumptions!BA$105:BA$128)</f>
        <v>4.7843517623451443E-6</v>
      </c>
      <c r="U35" s="33">
        <f>SUMIFS(Assumptions!BB$105:BB$128,Assumptions!$AL$105:$AL$128,'non-road'!$F35,Assumptions!$AM$105:$AM$128,'non-road'!$D35)/SUMIF(Assumptions!$AL$105:$AL$128,'non-road'!$F35,Assumptions!BB$105:BB$128)</f>
        <v>0</v>
      </c>
      <c r="V35" s="33">
        <f>SUMIFS(Assumptions!BC$105:BC$128,Assumptions!$AL$105:$AL$128,'non-road'!$F35,Assumptions!$AM$105:$AM$128,'non-road'!$D35)/SUMIF(Assumptions!$AL$105:$AL$128,'non-road'!$F35,Assumptions!BC$105:BC$128)</f>
        <v>0</v>
      </c>
      <c r="W35" s="33">
        <f>SUMIFS(Assumptions!BD$105:BD$128,Assumptions!$AL$105:$AL$128,'non-road'!$F35,Assumptions!$AM$105:$AM$128,'non-road'!$D35)/SUMIF(Assumptions!$AL$105:$AL$128,'non-road'!$F35,Assumptions!BD$105:BD$128)</f>
        <v>0</v>
      </c>
      <c r="X35" s="33">
        <f>SUMIFS(Assumptions!BE$105:BE$128,Assumptions!$AL$105:$AL$128,'non-road'!$F35,Assumptions!$AM$105:$AM$128,'non-road'!$D35)/SUMIF(Assumptions!$AL$105:$AL$128,'non-road'!$F35,Assumptions!BE$105:BE$128)</f>
        <v>0</v>
      </c>
      <c r="Y35" s="33">
        <f>SUMIFS(Assumptions!BF$105:BF$128,Assumptions!$AL$105:$AL$128,'non-road'!$F35,Assumptions!$AM$105:$AM$128,'non-road'!$D35)/SUMIF(Assumptions!$AL$105:$AL$128,'non-road'!$F35,Assumptions!BF$105:BF$128)</f>
        <v>0</v>
      </c>
      <c r="Z35" s="33">
        <f>SUMIFS(Assumptions!BG$105:BG$128,Assumptions!$AL$105:$AL$128,'non-road'!$F35,Assumptions!$AM$105:$AM$128,'non-road'!$D35)/SUMIF(Assumptions!$AL$105:$AL$128,'non-road'!$F35,Assumptions!BG$105:BG$128)</f>
        <v>0</v>
      </c>
      <c r="AA35" s="33">
        <f>SUMIFS(Assumptions!BH$105:BH$128,Assumptions!$AL$105:$AL$128,'non-road'!$F35,Assumptions!$AM$105:$AM$128,'non-road'!$D35)/SUMIF(Assumptions!$AL$105:$AL$128,'non-road'!$F35,Assumptions!BH$105:BH$128)</f>
        <v>0</v>
      </c>
      <c r="AB35" s="33">
        <f>SUMIFS(Assumptions!BI$105:BI$128,Assumptions!$AL$105:$AL$128,'non-road'!$F35,Assumptions!$AM$105:$AM$128,'non-road'!$D35)/SUMIF(Assumptions!$AL$105:$AL$128,'non-road'!$F35,Assumptions!BI$105:BI$128)</f>
        <v>0</v>
      </c>
      <c r="AC35" s="33">
        <f>SUMIFS(Assumptions!BJ$105:BJ$128,Assumptions!$AL$105:$AL$128,'non-road'!$F35,Assumptions!$AM$105:$AM$128,'non-road'!$D35)/SUMIF(Assumptions!$AL$105:$AL$128,'non-road'!$F35,Assumptions!BJ$105:BJ$128)</f>
        <v>0</v>
      </c>
      <c r="AD35" s="33">
        <f>SUMIFS(Assumptions!BK$105:BK$128,Assumptions!$AL$105:$AL$128,'non-road'!$F35,Assumptions!$AM$105:$AM$128,'non-road'!$D35)/SUMIF(Assumptions!$AL$105:$AL$128,'non-road'!$F35,Assumptions!BK$105:BK$128)</f>
        <v>0</v>
      </c>
      <c r="AE35" s="33">
        <f>SUMIFS(Assumptions!BL$105:BL$128,Assumptions!$AL$105:$AL$128,'non-road'!$F35,Assumptions!$AM$105:$AM$128,'non-road'!$D35)/SUMIF(Assumptions!$AL$105:$AL$128,'non-road'!$F35,Assumptions!BL$105:BL$128)</f>
        <v>0</v>
      </c>
      <c r="AF35" s="33">
        <f>SUMIFS(Assumptions!BM$105:BM$128,Assumptions!$AL$105:$AL$128,'non-road'!$F35,Assumptions!$AM$105:$AM$128,'non-road'!$D35)/SUMIF(Assumptions!$AL$105:$AL$128,'non-road'!$F35,Assumptions!BM$105:BM$128)</f>
        <v>0</v>
      </c>
      <c r="AG35" s="33">
        <f>SUMIFS(Assumptions!BN$105:BN$128,Assumptions!$AL$105:$AL$128,'non-road'!$F35,Assumptions!$AM$105:$AM$128,'non-road'!$D35)/SUMIF(Assumptions!$AL$105:$AL$128,'non-road'!$F35,Assumptions!BN$105:BN$128)</f>
        <v>0</v>
      </c>
      <c r="AH35" s="33">
        <f>SUMIFS(Assumptions!BO$105:BO$128,Assumptions!$AL$105:$AL$128,'non-road'!$F35,Assumptions!$AM$105:$AM$128,'non-road'!$D35)/SUMIF(Assumptions!$AL$105:$AL$128,'non-road'!$F35,Assumptions!BO$105:BO$128)</f>
        <v>0</v>
      </c>
      <c r="AI35" s="33">
        <f>SUMIFS(Assumptions!BP$105:BP$128,Assumptions!$AL$105:$AL$128,'non-road'!$F35,Assumptions!$AM$105:$AM$128,'non-road'!$D35)/SUMIF(Assumptions!$AL$105:$AL$128,'non-road'!$F35,Assumptions!BP$105:BP$128)</f>
        <v>8.9392160693491079E-3</v>
      </c>
      <c r="AJ35" s="33" t="e">
        <f>SUMIFS(Assumptions!BQ$105:BQ$128,Assumptions!$AL$105:$AL$128,'non-road'!$F35,Assumptions!$AM$105:$AM$128,'non-road'!$D35)/SUMIF(Assumptions!$AL$105:$AL$128,'non-road'!$F35,Assumptions!BQ$105:BQ$128)</f>
        <v>#DIV/0!</v>
      </c>
      <c r="AN35" s="27" t="str">
        <f t="shared" si="40"/>
        <v>TWI_Generic</v>
      </c>
      <c r="AO35" s="33">
        <f>VLOOKUP($F35,Assumptions!$E$152:$AM$157,COLUMN()-COLUMN($AM$4),FALSE)</f>
        <v>1</v>
      </c>
      <c r="AP35" s="33">
        <f>VLOOKUP($F35,Assumptions!$E$152:$AM$157,COLUMN()-COLUMN($AM$4),FALSE)</f>
        <v>1</v>
      </c>
      <c r="AQ35" s="33">
        <f>VLOOKUP($F35,Assumptions!$E$152:$AM$157,COLUMN()-COLUMN($AM$4),FALSE)</f>
        <v>1</v>
      </c>
      <c r="AR35" s="33">
        <f>VLOOKUP($F35,Assumptions!$E$152:$AM$157,COLUMN()-COLUMN($AM$4),FALSE)</f>
        <v>1</v>
      </c>
      <c r="AS35" s="33">
        <f>VLOOKUP($F35,Assumptions!$E$152:$AM$157,COLUMN()-COLUMN($AM$4),FALSE)</f>
        <v>1</v>
      </c>
      <c r="AT35" s="33">
        <f>VLOOKUP($F35,Assumptions!$E$152:$AM$157,COLUMN()-COLUMN($AM$4),FALSE)</f>
        <v>1</v>
      </c>
      <c r="AU35" s="33">
        <f>VLOOKUP($F35,Assumptions!$E$152:$AM$157,COLUMN()-COLUMN($AM$4),FALSE)</f>
        <v>1</v>
      </c>
      <c r="AV35" s="33">
        <f>VLOOKUP($F35,Assumptions!$E$152:$AM$157,COLUMN()-COLUMN($AM$4),FALSE)</f>
        <v>1</v>
      </c>
      <c r="AW35" s="33">
        <f>VLOOKUP($F35,Assumptions!$E$152:$AM$157,COLUMN()-COLUMN($AM$4),FALSE)</f>
        <v>1</v>
      </c>
      <c r="AX35" s="33">
        <f>VLOOKUP($F35,Assumptions!$E$152:$AM$157,COLUMN()-COLUMN($AM$4),FALSE)</f>
        <v>1</v>
      </c>
      <c r="AY35" s="33">
        <f>VLOOKUP($F35,Assumptions!$E$152:$AM$157,COLUMN()-COLUMN($AM$4),FALSE)</f>
        <v>1</v>
      </c>
      <c r="AZ35" s="33">
        <f>VLOOKUP($F35,Assumptions!$E$152:$AM$157,COLUMN()-COLUMN($AM$4),FALSE)</f>
        <v>1</v>
      </c>
      <c r="BA35" s="33">
        <f>VLOOKUP($F35,Assumptions!$E$152:$AM$157,COLUMN()-COLUMN($AM$4),FALSE)</f>
        <v>1</v>
      </c>
      <c r="BB35" s="33">
        <f>VLOOKUP($F35,Assumptions!$E$152:$AM$157,COLUMN()-COLUMN($AM$4),FALSE)</f>
        <v>1</v>
      </c>
      <c r="BC35" s="33">
        <f>VLOOKUP($F35,Assumptions!$E$152:$AM$157,COLUMN()-COLUMN($AM$4),FALSE)</f>
        <v>1</v>
      </c>
      <c r="BD35" s="33">
        <f>VLOOKUP($F35,Assumptions!$E$152:$AM$157,COLUMN()-COLUMN($AM$4),FALSE)</f>
        <v>1</v>
      </c>
      <c r="BE35" s="33">
        <f>VLOOKUP($F35,Assumptions!$E$152:$AM$157,COLUMN()-COLUMN($AM$4),FALSE)</f>
        <v>1</v>
      </c>
      <c r="BF35" s="33">
        <f>VLOOKUP($F35,Assumptions!$E$152:$AM$157,COLUMN()-COLUMN($AM$4),FALSE)</f>
        <v>1</v>
      </c>
      <c r="BG35" s="33">
        <f>VLOOKUP($F35,Assumptions!$E$152:$AM$157,COLUMN()-COLUMN($AM$4),FALSE)</f>
        <v>1</v>
      </c>
      <c r="BH35" s="33">
        <f>VLOOKUP($F35,Assumptions!$E$152:$AM$157,COLUMN()-COLUMN($AM$4),FALSE)</f>
        <v>1</v>
      </c>
      <c r="BI35" s="33">
        <f>VLOOKUP($F35,Assumptions!$E$152:$AM$157,COLUMN()-COLUMN($AM$4),FALSE)</f>
        <v>1</v>
      </c>
      <c r="BJ35" s="33">
        <f>VLOOKUP($F35,Assumptions!$E$152:$AM$157,COLUMN()-COLUMN($AM$4),FALSE)</f>
        <v>1</v>
      </c>
      <c r="BK35" s="33">
        <f>VLOOKUP($F35,Assumptions!$E$152:$AM$157,COLUMN()-COLUMN($AM$4),FALSE)</f>
        <v>1</v>
      </c>
      <c r="BL35" s="33">
        <f>VLOOKUP($F35,Assumptions!$E$152:$AM$157,COLUMN()-COLUMN($AM$4),FALSE)</f>
        <v>1</v>
      </c>
      <c r="BM35" s="33">
        <f>VLOOKUP($F35,Assumptions!$E$152:$AM$157,COLUMN()-COLUMN($AM$4),FALSE)</f>
        <v>1</v>
      </c>
      <c r="BN35" s="33">
        <f>VLOOKUP($F35,Assumptions!$E$152:$AM$157,COLUMN()-COLUMN($AM$4),FALSE)</f>
        <v>1</v>
      </c>
      <c r="BO35" s="33">
        <f>VLOOKUP($F35,Assumptions!$E$152:$AM$157,COLUMN()-COLUMN($AM$4),FALSE)</f>
        <v>1</v>
      </c>
      <c r="BP35" s="33">
        <f>VLOOKUP($F35,Assumptions!$E$152:$AM$157,COLUMN()-COLUMN($AM$4),FALSE)</f>
        <v>1</v>
      </c>
      <c r="BQ35" s="33">
        <f>VLOOKUP($F35,Assumptions!$E$152:$AM$157,COLUMN()-COLUMN($AM$4),FALSE)</f>
        <v>1</v>
      </c>
      <c r="BR35" s="33">
        <f>VLOOKUP($F35,Assumptions!$E$152:$AM$157,COLUMN()-COLUMN($AM$4),FALSE)</f>
        <v>1</v>
      </c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 t="str">
        <f t="shared" si="33"/>
        <v>\I:</v>
      </c>
      <c r="DB35" s="27" t="str">
        <f t="shared" si="48"/>
        <v/>
      </c>
      <c r="DC35" s="27" t="s">
        <v>169</v>
      </c>
      <c r="DD35" s="27" t="s">
        <v>160</v>
      </c>
      <c r="DE35" s="27" t="s">
        <v>161</v>
      </c>
    </row>
    <row r="36" spans="3:109" x14ac:dyDescent="0.45">
      <c r="C36" s="27" t="str">
        <f t="shared" si="39"/>
        <v/>
      </c>
      <c r="D36" s="27" t="s">
        <v>41</v>
      </c>
      <c r="E36" s="27"/>
      <c r="F36" s="27" t="s">
        <v>22</v>
      </c>
      <c r="G36" s="33">
        <f>SUMIFS(Assumptions!AN$105:AN$128,Assumptions!$AL$105:$AL$128,'non-road'!$F36,Assumptions!$AM$105:$AM$128,'non-road'!$D36)/SUMIF(Assumptions!$AL$105:$AL$128,'non-road'!$F36,Assumptions!AN$105:AN$128)</f>
        <v>0.25506207452025892</v>
      </c>
      <c r="H36" s="33">
        <f>SUMIFS(Assumptions!AO$105:AO$128,Assumptions!$AL$105:$AL$128,'non-road'!$F36,Assumptions!$AM$105:$AM$128,'non-road'!$D36)/SUMIF(Assumptions!$AL$105:$AL$128,'non-road'!$F36,Assumptions!AO$105:AO$128)</f>
        <v>0.39602170375766593</v>
      </c>
      <c r="I36" s="33">
        <f>SUMIFS(Assumptions!AP$105:AP$128,Assumptions!$AL$105:$AL$128,'non-road'!$F36,Assumptions!$AM$105:$AM$128,'non-road'!$D36)/SUMIF(Assumptions!$AL$105:$AL$128,'non-road'!$F36,Assumptions!AP$105:AP$128)</f>
        <v>0.14755311912288424</v>
      </c>
      <c r="J36" s="33">
        <f>SUMIFS(Assumptions!AQ$105:AQ$128,Assumptions!$AL$105:$AL$128,'non-road'!$F36,Assumptions!$AM$105:$AM$128,'non-road'!$D36)/SUMIF(Assumptions!$AL$105:$AL$128,'non-road'!$F36,Assumptions!AQ$105:AQ$128)</f>
        <v>1</v>
      </c>
      <c r="K36" s="33">
        <f>SUMIFS(Assumptions!AR$105:AR$128,Assumptions!$AL$105:$AL$128,'non-road'!$F36,Assumptions!$AM$105:$AM$128,'non-road'!$D36)/SUMIF(Assumptions!$AL$105:$AL$128,'non-road'!$F36,Assumptions!AR$105:AR$128)</f>
        <v>0.12586167722725838</v>
      </c>
      <c r="L36" s="33">
        <f>SUMIFS(Assumptions!AS$105:AS$128,Assumptions!$AL$105:$AL$128,'non-road'!$F36,Assumptions!$AM$105:$AM$128,'non-road'!$D36)/SUMIF(Assumptions!$AL$105:$AL$128,'non-road'!$F36,Assumptions!AS$105:AS$128)</f>
        <v>9.3632744807302826E-2</v>
      </c>
      <c r="M36" s="33">
        <f>SUMIFS(Assumptions!AT$105:AT$128,Assumptions!$AL$105:$AL$128,'non-road'!$F36,Assumptions!$AM$105:$AM$128,'non-road'!$D36)/SUMIF(Assumptions!$AL$105:$AL$128,'non-road'!$F36,Assumptions!AT$105:AT$128)</f>
        <v>0.11335497418904422</v>
      </c>
      <c r="N36" s="33">
        <f>SUMIFS(Assumptions!AU$105:AU$128,Assumptions!$AL$105:$AL$128,'non-road'!$F36,Assumptions!$AM$105:$AM$128,'non-road'!$D36)/SUMIF(Assumptions!$AL$105:$AL$128,'non-road'!$F36,Assumptions!AU$105:AU$128)</f>
        <v>0.14169982990610672</v>
      </c>
      <c r="O36" s="33">
        <f>SUMIFS(Assumptions!AV$105:AV$128,Assumptions!$AL$105:$AL$128,'non-road'!$F36,Assumptions!$AM$105:$AM$128,'non-road'!$D36)/SUMIF(Assumptions!$AL$105:$AL$128,'non-road'!$F36,Assumptions!AV$105:AV$128)</f>
        <v>0.1994076735195357</v>
      </c>
      <c r="P36" s="33">
        <f>SUMIFS(Assumptions!AW$105:AW$128,Assumptions!$AL$105:$AL$128,'non-road'!$F36,Assumptions!$AM$105:$AM$128,'non-road'!$D36)/SUMIF(Assumptions!$AL$105:$AL$128,'non-road'!$F36,Assumptions!AW$105:AW$128)</f>
        <v>0.20220408792436734</v>
      </c>
      <c r="Q36" s="33">
        <f>SUMIFS(Assumptions!AX$105:AX$128,Assumptions!$AL$105:$AL$128,'non-road'!$F36,Assumptions!$AM$105:$AM$128,'non-road'!$D36)/SUMIF(Assumptions!$AL$105:$AL$128,'non-road'!$F36,Assumptions!AX$105:AX$128)</f>
        <v>0.30219337808871644</v>
      </c>
      <c r="R36" s="33">
        <f>SUMIFS(Assumptions!AY$105:AY$128,Assumptions!$AL$105:$AL$128,'non-road'!$F36,Assumptions!$AM$105:$AM$128,'non-road'!$D36)/SUMIF(Assumptions!$AL$105:$AL$128,'non-road'!$F36,Assumptions!AY$105:AY$128)</f>
        <v>0.6314987743187358</v>
      </c>
      <c r="S36" s="33">
        <f>SUMIFS(Assumptions!AZ$105:AZ$128,Assumptions!$AL$105:$AL$128,'non-road'!$F36,Assumptions!$AM$105:$AM$128,'non-road'!$D36)/SUMIF(Assumptions!$AL$105:$AL$128,'non-road'!$F36,Assumptions!AZ$105:AZ$128)</f>
        <v>0.16953311402238205</v>
      </c>
      <c r="T36" s="33">
        <f>SUMIFS(Assumptions!BA$105:BA$128,Assumptions!$AL$105:$AL$128,'non-road'!$F36,Assumptions!$AM$105:$AM$128,'non-road'!$D36)/SUMIF(Assumptions!$AL$105:$AL$128,'non-road'!$F36,Assumptions!BA$105:BA$128)</f>
        <v>0.1848721364487787</v>
      </c>
      <c r="U36" s="33">
        <f>SUMIFS(Assumptions!BB$105:BB$128,Assumptions!$AL$105:$AL$128,'non-road'!$F36,Assumptions!$AM$105:$AM$128,'non-road'!$D36)/SUMIF(Assumptions!$AL$105:$AL$128,'non-road'!$F36,Assumptions!BB$105:BB$128)</f>
        <v>0.44309069479444924</v>
      </c>
      <c r="V36" s="33">
        <f>SUMIFS(Assumptions!BC$105:BC$128,Assumptions!$AL$105:$AL$128,'non-road'!$F36,Assumptions!$AM$105:$AM$128,'non-road'!$D36)/SUMIF(Assumptions!$AL$105:$AL$128,'non-road'!$F36,Assumptions!BC$105:BC$128)</f>
        <v>0.22040283293572668</v>
      </c>
      <c r="W36" s="33">
        <f>SUMIFS(Assumptions!BD$105:BD$128,Assumptions!$AL$105:$AL$128,'non-road'!$F36,Assumptions!$AM$105:$AM$128,'non-road'!$D36)/SUMIF(Assumptions!$AL$105:$AL$128,'non-road'!$F36,Assumptions!BD$105:BD$128)</f>
        <v>0.21271743135449347</v>
      </c>
      <c r="X36" s="33">
        <f>SUMIFS(Assumptions!BE$105:BE$128,Assumptions!$AL$105:$AL$128,'non-road'!$F36,Assumptions!$AM$105:$AM$128,'non-road'!$D36)/SUMIF(Assumptions!$AL$105:$AL$128,'non-road'!$F36,Assumptions!BE$105:BE$128)</f>
        <v>8.341588087240169E-2</v>
      </c>
      <c r="Y36" s="33">
        <f>SUMIFS(Assumptions!BF$105:BF$128,Assumptions!$AL$105:$AL$128,'non-road'!$F36,Assumptions!$AM$105:$AM$128,'non-road'!$D36)/SUMIF(Assumptions!$AL$105:$AL$128,'non-road'!$F36,Assumptions!BF$105:BF$128)</f>
        <v>0.52954104694031789</v>
      </c>
      <c r="Z36" s="33">
        <f>SUMIFS(Assumptions!BG$105:BG$128,Assumptions!$AL$105:$AL$128,'non-road'!$F36,Assumptions!$AM$105:$AM$128,'non-road'!$D36)/SUMIF(Assumptions!$AL$105:$AL$128,'non-road'!$F36,Assumptions!BG$105:BG$128)</f>
        <v>3.4945547715977569E-2</v>
      </c>
      <c r="AA36" s="33">
        <f>SUMIFS(Assumptions!BH$105:BH$128,Assumptions!$AL$105:$AL$128,'non-road'!$F36,Assumptions!$AM$105:$AM$128,'non-road'!$D36)/SUMIF(Assumptions!$AL$105:$AL$128,'non-road'!$F36,Assumptions!BH$105:BH$128)</f>
        <v>0.1949468377220992</v>
      </c>
      <c r="AB36" s="33">
        <f>SUMIFS(Assumptions!BI$105:BI$128,Assumptions!$AL$105:$AL$128,'non-road'!$F36,Assumptions!$AM$105:$AM$128,'non-road'!$D36)/SUMIF(Assumptions!$AL$105:$AL$128,'non-road'!$F36,Assumptions!BI$105:BI$128)</f>
        <v>0.9087194903348319</v>
      </c>
      <c r="AC36" s="33">
        <f>SUMIFS(Assumptions!BJ$105:BJ$128,Assumptions!$AL$105:$AL$128,'non-road'!$F36,Assumptions!$AM$105:$AM$128,'non-road'!$D36)/SUMIF(Assumptions!$AL$105:$AL$128,'non-road'!$F36,Assumptions!BJ$105:BJ$128)</f>
        <v>4.0957676673789772E-2</v>
      </c>
      <c r="AD36" s="33">
        <f>SUMIFS(Assumptions!BK$105:BK$128,Assumptions!$AL$105:$AL$128,'non-road'!$F36,Assumptions!$AM$105:$AM$128,'non-road'!$D36)/SUMIF(Assumptions!$AL$105:$AL$128,'non-road'!$F36,Assumptions!BK$105:BK$128)</f>
        <v>0.73292947917653994</v>
      </c>
      <c r="AE36" s="33">
        <f>SUMIFS(Assumptions!BL$105:BL$128,Assumptions!$AL$105:$AL$128,'non-road'!$F36,Assumptions!$AM$105:$AM$128,'non-road'!$D36)/SUMIF(Assumptions!$AL$105:$AL$128,'non-road'!$F36,Assumptions!BL$105:BL$128)</f>
        <v>0.80446168652056194</v>
      </c>
      <c r="AF36" s="33">
        <f>SUMIFS(Assumptions!BM$105:BM$128,Assumptions!$AL$105:$AL$128,'non-road'!$F36,Assumptions!$AM$105:$AM$128,'non-road'!$D36)/SUMIF(Assumptions!$AL$105:$AL$128,'non-road'!$F36,Assumptions!BM$105:BM$128)</f>
        <v>0</v>
      </c>
      <c r="AG36" s="33">
        <f>SUMIFS(Assumptions!BN$105:BN$128,Assumptions!$AL$105:$AL$128,'non-road'!$F36,Assumptions!$AM$105:$AM$128,'non-road'!$D36)/SUMIF(Assumptions!$AL$105:$AL$128,'non-road'!$F36,Assumptions!BN$105:BN$128)</f>
        <v>0.54346574899078925</v>
      </c>
      <c r="AH36" s="33">
        <f>SUMIFS(Assumptions!BO$105:BO$128,Assumptions!$AL$105:$AL$128,'non-road'!$F36,Assumptions!$AM$105:$AM$128,'non-road'!$D36)/SUMIF(Assumptions!$AL$105:$AL$128,'non-road'!$F36,Assumptions!BO$105:BO$128)</f>
        <v>0.32786271917166093</v>
      </c>
      <c r="AI36" s="33">
        <f>SUMIFS(Assumptions!BP$105:BP$128,Assumptions!$AL$105:$AL$128,'non-road'!$F36,Assumptions!$AM$105:$AM$128,'non-road'!$D36)/SUMIF(Assumptions!$AL$105:$AL$128,'non-road'!$F36,Assumptions!BP$105:BP$128)</f>
        <v>0.44548318002291604</v>
      </c>
      <c r="AJ36" s="33" t="e">
        <f>SUMIFS(Assumptions!BQ$105:BQ$128,Assumptions!$AL$105:$AL$128,'non-road'!$F36,Assumptions!$AM$105:$AM$128,'non-road'!$D36)/SUMIF(Assumptions!$AL$105:$AL$128,'non-road'!$F36,Assumptions!BQ$105:BQ$128)</f>
        <v>#DIV/0!</v>
      </c>
      <c r="AN36" s="27" t="str">
        <f t="shared" si="40"/>
        <v>\I:</v>
      </c>
      <c r="AO36" s="33">
        <f>VLOOKUP($F36,Assumptions!$E$152:$AM$157,COLUMN()-COLUMN($AM$4),FALSE)</f>
        <v>1</v>
      </c>
      <c r="AP36" s="33">
        <f>VLOOKUP($F36,Assumptions!$E$152:$AM$157,COLUMN()-COLUMN($AM$4),FALSE)</f>
        <v>1</v>
      </c>
      <c r="AQ36" s="33">
        <f>VLOOKUP($F36,Assumptions!$E$152:$AM$157,COLUMN()-COLUMN($AM$4),FALSE)</f>
        <v>1</v>
      </c>
      <c r="AR36" s="33">
        <f>VLOOKUP($F36,Assumptions!$E$152:$AM$157,COLUMN()-COLUMN($AM$4),FALSE)</f>
        <v>1</v>
      </c>
      <c r="AS36" s="33">
        <f>VLOOKUP($F36,Assumptions!$E$152:$AM$157,COLUMN()-COLUMN($AM$4),FALSE)</f>
        <v>1</v>
      </c>
      <c r="AT36" s="33">
        <f>VLOOKUP($F36,Assumptions!$E$152:$AM$157,COLUMN()-COLUMN($AM$4),FALSE)</f>
        <v>1</v>
      </c>
      <c r="AU36" s="33">
        <f>VLOOKUP($F36,Assumptions!$E$152:$AM$157,COLUMN()-COLUMN($AM$4),FALSE)</f>
        <v>1</v>
      </c>
      <c r="AV36" s="33">
        <f>VLOOKUP($F36,Assumptions!$E$152:$AM$157,COLUMN()-COLUMN($AM$4),FALSE)</f>
        <v>1</v>
      </c>
      <c r="AW36" s="33">
        <f>VLOOKUP($F36,Assumptions!$E$152:$AM$157,COLUMN()-COLUMN($AM$4),FALSE)</f>
        <v>1</v>
      </c>
      <c r="AX36" s="33">
        <f>VLOOKUP($F36,Assumptions!$E$152:$AM$157,COLUMN()-COLUMN($AM$4),FALSE)</f>
        <v>1</v>
      </c>
      <c r="AY36" s="33">
        <f>VLOOKUP($F36,Assumptions!$E$152:$AM$157,COLUMN()-COLUMN($AM$4),FALSE)</f>
        <v>1</v>
      </c>
      <c r="AZ36" s="33">
        <f>VLOOKUP($F36,Assumptions!$E$152:$AM$157,COLUMN()-COLUMN($AM$4),FALSE)</f>
        <v>1</v>
      </c>
      <c r="BA36" s="33">
        <f>VLOOKUP($F36,Assumptions!$E$152:$AM$157,COLUMN()-COLUMN($AM$4),FALSE)</f>
        <v>1</v>
      </c>
      <c r="BB36" s="33">
        <f>VLOOKUP($F36,Assumptions!$E$152:$AM$157,COLUMN()-COLUMN($AM$4),FALSE)</f>
        <v>1</v>
      </c>
      <c r="BC36" s="33">
        <f>VLOOKUP($F36,Assumptions!$E$152:$AM$157,COLUMN()-COLUMN($AM$4),FALSE)</f>
        <v>1</v>
      </c>
      <c r="BD36" s="33">
        <f>VLOOKUP($F36,Assumptions!$E$152:$AM$157,COLUMN()-COLUMN($AM$4),FALSE)</f>
        <v>1</v>
      </c>
      <c r="BE36" s="33">
        <f>VLOOKUP($F36,Assumptions!$E$152:$AM$157,COLUMN()-COLUMN($AM$4),FALSE)</f>
        <v>1</v>
      </c>
      <c r="BF36" s="33">
        <f>VLOOKUP($F36,Assumptions!$E$152:$AM$157,COLUMN()-COLUMN($AM$4),FALSE)</f>
        <v>1</v>
      </c>
      <c r="BG36" s="33">
        <f>VLOOKUP($F36,Assumptions!$E$152:$AM$157,COLUMN()-COLUMN($AM$4),FALSE)</f>
        <v>1</v>
      </c>
      <c r="BH36" s="33">
        <f>VLOOKUP($F36,Assumptions!$E$152:$AM$157,COLUMN()-COLUMN($AM$4),FALSE)</f>
        <v>1</v>
      </c>
      <c r="BI36" s="33">
        <f>VLOOKUP($F36,Assumptions!$E$152:$AM$157,COLUMN()-COLUMN($AM$4),FALSE)</f>
        <v>1</v>
      </c>
      <c r="BJ36" s="33">
        <f>VLOOKUP($F36,Assumptions!$E$152:$AM$157,COLUMN()-COLUMN($AM$4),FALSE)</f>
        <v>1</v>
      </c>
      <c r="BK36" s="33">
        <f>VLOOKUP($F36,Assumptions!$E$152:$AM$157,COLUMN()-COLUMN($AM$4),FALSE)</f>
        <v>1</v>
      </c>
      <c r="BL36" s="33">
        <f>VLOOKUP($F36,Assumptions!$E$152:$AM$157,COLUMN()-COLUMN($AM$4),FALSE)</f>
        <v>1</v>
      </c>
      <c r="BM36" s="33">
        <f>VLOOKUP($F36,Assumptions!$E$152:$AM$157,COLUMN()-COLUMN($AM$4),FALSE)</f>
        <v>1</v>
      </c>
      <c r="BN36" s="33">
        <f>VLOOKUP($F36,Assumptions!$E$152:$AM$157,COLUMN()-COLUMN($AM$4),FALSE)</f>
        <v>1</v>
      </c>
      <c r="BO36" s="33">
        <f>VLOOKUP($F36,Assumptions!$E$152:$AM$157,COLUMN()-COLUMN($AM$4),FALSE)</f>
        <v>1</v>
      </c>
      <c r="BP36" s="33">
        <f>VLOOKUP($F36,Assumptions!$E$152:$AM$157,COLUMN()-COLUMN($AM$4),FALSE)</f>
        <v>1</v>
      </c>
      <c r="BQ36" s="33">
        <f>VLOOKUP($F36,Assumptions!$E$152:$AM$157,COLUMN()-COLUMN($AM$4),FALSE)</f>
        <v>1</v>
      </c>
      <c r="BR36" s="33">
        <f>VLOOKUP($F36,Assumptions!$E$152:$AM$157,COLUMN()-COLUMN($AM$4),FALSE)</f>
        <v>1</v>
      </c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 t="str">
        <f t="shared" si="33"/>
        <v>\I:</v>
      </c>
      <c r="DB36" s="27" t="str">
        <f t="shared" si="48"/>
        <v/>
      </c>
      <c r="DC36" s="27" t="s">
        <v>169</v>
      </c>
      <c r="DD36" s="27" t="s">
        <v>160</v>
      </c>
      <c r="DE36" s="27" t="s">
        <v>161</v>
      </c>
    </row>
    <row r="37" spans="3:109" x14ac:dyDescent="0.45">
      <c r="C37" s="27" t="str">
        <f t="shared" si="39"/>
        <v/>
      </c>
      <c r="D37" s="27" t="s">
        <v>42</v>
      </c>
      <c r="E37" s="27"/>
      <c r="F37" s="27" t="s">
        <v>22</v>
      </c>
      <c r="G37" s="33">
        <f>SUMIFS(Assumptions!AN$105:AN$128,Assumptions!$AL$105:$AL$128,'non-road'!$F37,Assumptions!$AM$105:$AM$128,'non-road'!$D37)/SUMIF(Assumptions!$AL$105:$AL$128,'non-road'!$F37,Assumptions!AN$105:AN$128)</f>
        <v>0</v>
      </c>
      <c r="H37" s="33">
        <f>SUMIFS(Assumptions!AO$105:AO$128,Assumptions!$AL$105:$AL$128,'non-road'!$F37,Assumptions!$AM$105:$AM$128,'non-road'!$D37)/SUMIF(Assumptions!$AL$105:$AL$128,'non-road'!$F37,Assumptions!AO$105:AO$128)</f>
        <v>0</v>
      </c>
      <c r="I37" s="33">
        <f>SUMIFS(Assumptions!AP$105:AP$128,Assumptions!$AL$105:$AL$128,'non-road'!$F37,Assumptions!$AM$105:$AM$128,'non-road'!$D37)/SUMIF(Assumptions!$AL$105:$AL$128,'non-road'!$F37,Assumptions!AP$105:AP$128)</f>
        <v>0</v>
      </c>
      <c r="J37" s="33">
        <f>SUMIFS(Assumptions!AQ$105:AQ$128,Assumptions!$AL$105:$AL$128,'non-road'!$F37,Assumptions!$AM$105:$AM$128,'non-road'!$D37)/SUMIF(Assumptions!$AL$105:$AL$128,'non-road'!$F37,Assumptions!AQ$105:AQ$128)</f>
        <v>0</v>
      </c>
      <c r="K37" s="33">
        <f>SUMIFS(Assumptions!AR$105:AR$128,Assumptions!$AL$105:$AL$128,'non-road'!$F37,Assumptions!$AM$105:$AM$128,'non-road'!$D37)/SUMIF(Assumptions!$AL$105:$AL$128,'non-road'!$F37,Assumptions!AR$105:AR$128)</f>
        <v>0</v>
      </c>
      <c r="L37" s="33">
        <f>SUMIFS(Assumptions!AS$105:AS$128,Assumptions!$AL$105:$AL$128,'non-road'!$F37,Assumptions!$AM$105:$AM$128,'non-road'!$D37)/SUMIF(Assumptions!$AL$105:$AL$128,'non-road'!$F37,Assumptions!AS$105:AS$128)</f>
        <v>0</v>
      </c>
      <c r="M37" s="33">
        <f>SUMIFS(Assumptions!AT$105:AT$128,Assumptions!$AL$105:$AL$128,'non-road'!$F37,Assumptions!$AM$105:$AM$128,'non-road'!$D37)/SUMIF(Assumptions!$AL$105:$AL$128,'non-road'!$F37,Assumptions!AT$105:AT$128)</f>
        <v>0</v>
      </c>
      <c r="N37" s="33">
        <f>SUMIFS(Assumptions!AU$105:AU$128,Assumptions!$AL$105:$AL$128,'non-road'!$F37,Assumptions!$AM$105:$AM$128,'non-road'!$D37)/SUMIF(Assumptions!$AL$105:$AL$128,'non-road'!$F37,Assumptions!AU$105:AU$128)</f>
        <v>0</v>
      </c>
      <c r="O37" s="33">
        <f>SUMIFS(Assumptions!AV$105:AV$128,Assumptions!$AL$105:$AL$128,'non-road'!$F37,Assumptions!$AM$105:$AM$128,'non-road'!$D37)/SUMIF(Assumptions!$AL$105:$AL$128,'non-road'!$F37,Assumptions!AV$105:AV$128)</f>
        <v>0</v>
      </c>
      <c r="P37" s="33">
        <f>SUMIFS(Assumptions!AW$105:AW$128,Assumptions!$AL$105:$AL$128,'non-road'!$F37,Assumptions!$AM$105:$AM$128,'non-road'!$D37)/SUMIF(Assumptions!$AL$105:$AL$128,'non-road'!$F37,Assumptions!AW$105:AW$128)</f>
        <v>0</v>
      </c>
      <c r="Q37" s="33">
        <f>SUMIFS(Assumptions!AX$105:AX$128,Assumptions!$AL$105:$AL$128,'non-road'!$F37,Assumptions!$AM$105:$AM$128,'non-road'!$D37)/SUMIF(Assumptions!$AL$105:$AL$128,'non-road'!$F37,Assumptions!AX$105:AX$128)</f>
        <v>0</v>
      </c>
      <c r="R37" s="33">
        <f>SUMIFS(Assumptions!AY$105:AY$128,Assumptions!$AL$105:$AL$128,'non-road'!$F37,Assumptions!$AM$105:$AM$128,'non-road'!$D37)/SUMIF(Assumptions!$AL$105:$AL$128,'non-road'!$F37,Assumptions!AY$105:AY$128)</f>
        <v>0</v>
      </c>
      <c r="S37" s="33">
        <f>SUMIFS(Assumptions!AZ$105:AZ$128,Assumptions!$AL$105:$AL$128,'non-road'!$F37,Assumptions!$AM$105:$AM$128,'non-road'!$D37)/SUMIF(Assumptions!$AL$105:$AL$128,'non-road'!$F37,Assumptions!AZ$105:AZ$128)</f>
        <v>0</v>
      </c>
      <c r="T37" s="33">
        <f>SUMIFS(Assumptions!BA$105:BA$128,Assumptions!$AL$105:$AL$128,'non-road'!$F37,Assumptions!$AM$105:$AM$128,'non-road'!$D37)/SUMIF(Assumptions!$AL$105:$AL$128,'non-road'!$F37,Assumptions!BA$105:BA$128)</f>
        <v>0</v>
      </c>
      <c r="U37" s="33">
        <f>SUMIFS(Assumptions!BB$105:BB$128,Assumptions!$AL$105:$AL$128,'non-road'!$F37,Assumptions!$AM$105:$AM$128,'non-road'!$D37)/SUMIF(Assumptions!$AL$105:$AL$128,'non-road'!$F37,Assumptions!BB$105:BB$128)</f>
        <v>0</v>
      </c>
      <c r="V37" s="33">
        <f>SUMIFS(Assumptions!BC$105:BC$128,Assumptions!$AL$105:$AL$128,'non-road'!$F37,Assumptions!$AM$105:$AM$128,'non-road'!$D37)/SUMIF(Assumptions!$AL$105:$AL$128,'non-road'!$F37,Assumptions!BC$105:BC$128)</f>
        <v>0</v>
      </c>
      <c r="W37" s="33">
        <f>SUMIFS(Assumptions!BD$105:BD$128,Assumptions!$AL$105:$AL$128,'non-road'!$F37,Assumptions!$AM$105:$AM$128,'non-road'!$D37)/SUMIF(Assumptions!$AL$105:$AL$128,'non-road'!$F37,Assumptions!BD$105:BD$128)</f>
        <v>0</v>
      </c>
      <c r="X37" s="33">
        <f>SUMIFS(Assumptions!BE$105:BE$128,Assumptions!$AL$105:$AL$128,'non-road'!$F37,Assumptions!$AM$105:$AM$128,'non-road'!$D37)/SUMIF(Assumptions!$AL$105:$AL$128,'non-road'!$F37,Assumptions!BE$105:BE$128)</f>
        <v>0</v>
      </c>
      <c r="Y37" s="33">
        <f>SUMIFS(Assumptions!BF$105:BF$128,Assumptions!$AL$105:$AL$128,'non-road'!$F37,Assumptions!$AM$105:$AM$128,'non-road'!$D37)/SUMIF(Assumptions!$AL$105:$AL$128,'non-road'!$F37,Assumptions!BF$105:BF$128)</f>
        <v>0</v>
      </c>
      <c r="Z37" s="33">
        <f>SUMIFS(Assumptions!BG$105:BG$128,Assumptions!$AL$105:$AL$128,'non-road'!$F37,Assumptions!$AM$105:$AM$128,'non-road'!$D37)/SUMIF(Assumptions!$AL$105:$AL$128,'non-road'!$F37,Assumptions!BG$105:BG$128)</f>
        <v>0</v>
      </c>
      <c r="AA37" s="33">
        <f>SUMIFS(Assumptions!BH$105:BH$128,Assumptions!$AL$105:$AL$128,'non-road'!$F37,Assumptions!$AM$105:$AM$128,'non-road'!$D37)/SUMIF(Assumptions!$AL$105:$AL$128,'non-road'!$F37,Assumptions!BH$105:BH$128)</f>
        <v>0</v>
      </c>
      <c r="AB37" s="33">
        <f>SUMIFS(Assumptions!BI$105:BI$128,Assumptions!$AL$105:$AL$128,'non-road'!$F37,Assumptions!$AM$105:$AM$128,'non-road'!$D37)/SUMIF(Assumptions!$AL$105:$AL$128,'non-road'!$F37,Assumptions!BI$105:BI$128)</f>
        <v>0</v>
      </c>
      <c r="AC37" s="33">
        <f>SUMIFS(Assumptions!BJ$105:BJ$128,Assumptions!$AL$105:$AL$128,'non-road'!$F37,Assumptions!$AM$105:$AM$128,'non-road'!$D37)/SUMIF(Assumptions!$AL$105:$AL$128,'non-road'!$F37,Assumptions!BJ$105:BJ$128)</f>
        <v>0</v>
      </c>
      <c r="AD37" s="33">
        <f>SUMIFS(Assumptions!BK$105:BK$128,Assumptions!$AL$105:$AL$128,'non-road'!$F37,Assumptions!$AM$105:$AM$128,'non-road'!$D37)/SUMIF(Assumptions!$AL$105:$AL$128,'non-road'!$F37,Assumptions!BK$105:BK$128)</f>
        <v>0</v>
      </c>
      <c r="AE37" s="33">
        <f>SUMIFS(Assumptions!BL$105:BL$128,Assumptions!$AL$105:$AL$128,'non-road'!$F37,Assumptions!$AM$105:$AM$128,'non-road'!$D37)/SUMIF(Assumptions!$AL$105:$AL$128,'non-road'!$F37,Assumptions!BL$105:BL$128)</f>
        <v>0</v>
      </c>
      <c r="AF37" s="33">
        <f>SUMIFS(Assumptions!BM$105:BM$128,Assumptions!$AL$105:$AL$128,'non-road'!$F37,Assumptions!$AM$105:$AM$128,'non-road'!$D37)/SUMIF(Assumptions!$AL$105:$AL$128,'non-road'!$F37,Assumptions!BM$105:BM$128)</f>
        <v>0</v>
      </c>
      <c r="AG37" s="33">
        <f>SUMIFS(Assumptions!BN$105:BN$128,Assumptions!$AL$105:$AL$128,'non-road'!$F37,Assumptions!$AM$105:$AM$128,'non-road'!$D37)/SUMIF(Assumptions!$AL$105:$AL$128,'non-road'!$F37,Assumptions!BN$105:BN$128)</f>
        <v>0</v>
      </c>
      <c r="AH37" s="33">
        <f>SUMIFS(Assumptions!BO$105:BO$128,Assumptions!$AL$105:$AL$128,'non-road'!$F37,Assumptions!$AM$105:$AM$128,'non-road'!$D37)/SUMIF(Assumptions!$AL$105:$AL$128,'non-road'!$F37,Assumptions!BO$105:BO$128)</f>
        <v>0</v>
      </c>
      <c r="AI37" s="33">
        <f>SUMIFS(Assumptions!BP$105:BP$128,Assumptions!$AL$105:$AL$128,'non-road'!$F37,Assumptions!$AM$105:$AM$128,'non-road'!$D37)/SUMIF(Assumptions!$AL$105:$AL$128,'non-road'!$F37,Assumptions!BP$105:BP$128)</f>
        <v>0</v>
      </c>
      <c r="AJ37" s="33" t="e">
        <f>SUMIFS(Assumptions!BQ$105:BQ$128,Assumptions!$AL$105:$AL$128,'non-road'!$F37,Assumptions!$AM$105:$AM$128,'non-road'!$D37)/SUMIF(Assumptions!$AL$105:$AL$128,'non-road'!$F37,Assumptions!BQ$105:BQ$128)</f>
        <v>#DIV/0!</v>
      </c>
      <c r="AN37" s="27" t="str">
        <f t="shared" si="40"/>
        <v>\I:</v>
      </c>
      <c r="AO37" s="33">
        <f>VLOOKUP($F37,Assumptions!$E$152:$AM$157,COLUMN()-COLUMN($AM$4),FALSE)</f>
        <v>1</v>
      </c>
      <c r="AP37" s="33">
        <f>VLOOKUP($F37,Assumptions!$E$152:$AM$157,COLUMN()-COLUMN($AM$4),FALSE)</f>
        <v>1</v>
      </c>
      <c r="AQ37" s="33">
        <f>VLOOKUP($F37,Assumptions!$E$152:$AM$157,COLUMN()-COLUMN($AM$4),FALSE)</f>
        <v>1</v>
      </c>
      <c r="AR37" s="33">
        <f>VLOOKUP($F37,Assumptions!$E$152:$AM$157,COLUMN()-COLUMN($AM$4),FALSE)</f>
        <v>1</v>
      </c>
      <c r="AS37" s="33">
        <f>VLOOKUP($F37,Assumptions!$E$152:$AM$157,COLUMN()-COLUMN($AM$4),FALSE)</f>
        <v>1</v>
      </c>
      <c r="AT37" s="33">
        <f>VLOOKUP($F37,Assumptions!$E$152:$AM$157,COLUMN()-COLUMN($AM$4),FALSE)</f>
        <v>1</v>
      </c>
      <c r="AU37" s="33">
        <f>VLOOKUP($F37,Assumptions!$E$152:$AM$157,COLUMN()-COLUMN($AM$4),FALSE)</f>
        <v>1</v>
      </c>
      <c r="AV37" s="33">
        <f>VLOOKUP($F37,Assumptions!$E$152:$AM$157,COLUMN()-COLUMN($AM$4),FALSE)</f>
        <v>1</v>
      </c>
      <c r="AW37" s="33">
        <f>VLOOKUP($F37,Assumptions!$E$152:$AM$157,COLUMN()-COLUMN($AM$4),FALSE)</f>
        <v>1</v>
      </c>
      <c r="AX37" s="33">
        <f>VLOOKUP($F37,Assumptions!$E$152:$AM$157,COLUMN()-COLUMN($AM$4),FALSE)</f>
        <v>1</v>
      </c>
      <c r="AY37" s="33">
        <f>VLOOKUP($F37,Assumptions!$E$152:$AM$157,COLUMN()-COLUMN($AM$4),FALSE)</f>
        <v>1</v>
      </c>
      <c r="AZ37" s="33">
        <f>VLOOKUP($F37,Assumptions!$E$152:$AM$157,COLUMN()-COLUMN($AM$4),FALSE)</f>
        <v>1</v>
      </c>
      <c r="BA37" s="33">
        <f>VLOOKUP($F37,Assumptions!$E$152:$AM$157,COLUMN()-COLUMN($AM$4),FALSE)</f>
        <v>1</v>
      </c>
      <c r="BB37" s="33">
        <f>VLOOKUP($F37,Assumptions!$E$152:$AM$157,COLUMN()-COLUMN($AM$4),FALSE)</f>
        <v>1</v>
      </c>
      <c r="BC37" s="33">
        <f>VLOOKUP($F37,Assumptions!$E$152:$AM$157,COLUMN()-COLUMN($AM$4),FALSE)</f>
        <v>1</v>
      </c>
      <c r="BD37" s="33">
        <f>VLOOKUP($F37,Assumptions!$E$152:$AM$157,COLUMN()-COLUMN($AM$4),FALSE)</f>
        <v>1</v>
      </c>
      <c r="BE37" s="33">
        <f>VLOOKUP($F37,Assumptions!$E$152:$AM$157,COLUMN()-COLUMN($AM$4),FALSE)</f>
        <v>1</v>
      </c>
      <c r="BF37" s="33">
        <f>VLOOKUP($F37,Assumptions!$E$152:$AM$157,COLUMN()-COLUMN($AM$4),FALSE)</f>
        <v>1</v>
      </c>
      <c r="BG37" s="33">
        <f>VLOOKUP($F37,Assumptions!$E$152:$AM$157,COLUMN()-COLUMN($AM$4),FALSE)</f>
        <v>1</v>
      </c>
      <c r="BH37" s="33">
        <f>VLOOKUP($F37,Assumptions!$E$152:$AM$157,COLUMN()-COLUMN($AM$4),FALSE)</f>
        <v>1</v>
      </c>
      <c r="BI37" s="33">
        <f>VLOOKUP($F37,Assumptions!$E$152:$AM$157,COLUMN()-COLUMN($AM$4),FALSE)</f>
        <v>1</v>
      </c>
      <c r="BJ37" s="33">
        <f>VLOOKUP($F37,Assumptions!$E$152:$AM$157,COLUMN()-COLUMN($AM$4),FALSE)</f>
        <v>1</v>
      </c>
      <c r="BK37" s="33">
        <f>VLOOKUP($F37,Assumptions!$E$152:$AM$157,COLUMN()-COLUMN($AM$4),FALSE)</f>
        <v>1</v>
      </c>
      <c r="BL37" s="33">
        <f>VLOOKUP($F37,Assumptions!$E$152:$AM$157,COLUMN()-COLUMN($AM$4),FALSE)</f>
        <v>1</v>
      </c>
      <c r="BM37" s="33">
        <f>VLOOKUP($F37,Assumptions!$E$152:$AM$157,COLUMN()-COLUMN($AM$4),FALSE)</f>
        <v>1</v>
      </c>
      <c r="BN37" s="33">
        <f>VLOOKUP($F37,Assumptions!$E$152:$AM$157,COLUMN()-COLUMN($AM$4),FALSE)</f>
        <v>1</v>
      </c>
      <c r="BO37" s="33">
        <f>VLOOKUP($F37,Assumptions!$E$152:$AM$157,COLUMN()-COLUMN($AM$4),FALSE)</f>
        <v>1</v>
      </c>
      <c r="BP37" s="33">
        <f>VLOOKUP($F37,Assumptions!$E$152:$AM$157,COLUMN()-COLUMN($AM$4),FALSE)</f>
        <v>1</v>
      </c>
      <c r="BQ37" s="33">
        <f>VLOOKUP($F37,Assumptions!$E$152:$AM$157,COLUMN()-COLUMN($AM$4),FALSE)</f>
        <v>1</v>
      </c>
      <c r="BR37" s="33">
        <f>VLOOKUP($F37,Assumptions!$E$152:$AM$157,COLUMN()-COLUMN($AM$4),FALSE)</f>
        <v>1</v>
      </c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 t="str">
        <f t="shared" si="33"/>
        <v>\I:</v>
      </c>
      <c r="DB37" s="27" t="str">
        <f t="shared" si="48"/>
        <v/>
      </c>
      <c r="DC37" s="27" t="s">
        <v>169</v>
      </c>
      <c r="DD37" s="27" t="s">
        <v>160</v>
      </c>
      <c r="DE37" s="27" t="s">
        <v>161</v>
      </c>
    </row>
    <row r="38" spans="3:109" x14ac:dyDescent="0.45">
      <c r="C38" s="27" t="str">
        <f t="shared" si="39"/>
        <v/>
      </c>
      <c r="D38" s="27" t="s">
        <v>45</v>
      </c>
      <c r="E38" s="27"/>
      <c r="F38" s="27" t="s">
        <v>22</v>
      </c>
      <c r="G38" s="33">
        <f>SUMIFS(Assumptions!AN$105:AN$128,Assumptions!$AL$105:$AL$128,'non-road'!$F38,Assumptions!$AM$105:$AM$128,'non-road'!$D38)/SUMIF(Assumptions!$AL$105:$AL$128,'non-road'!$F38,Assumptions!AN$105:AN$128)</f>
        <v>0.74493792547974103</v>
      </c>
      <c r="H38" s="33">
        <f>SUMIFS(Assumptions!AO$105:AO$128,Assumptions!$AL$105:$AL$128,'non-road'!$F38,Assumptions!$AM$105:$AM$128,'non-road'!$D38)/SUMIF(Assumptions!$AL$105:$AL$128,'non-road'!$F38,Assumptions!AO$105:AO$128)</f>
        <v>0.60397829624233412</v>
      </c>
      <c r="I38" s="33">
        <f>SUMIFS(Assumptions!AP$105:AP$128,Assumptions!$AL$105:$AL$128,'non-road'!$F38,Assumptions!$AM$105:$AM$128,'non-road'!$D38)/SUMIF(Assumptions!$AL$105:$AL$128,'non-road'!$F38,Assumptions!AP$105:AP$128)</f>
        <v>0.85244688087711573</v>
      </c>
      <c r="J38" s="33">
        <f>SUMIFS(Assumptions!AQ$105:AQ$128,Assumptions!$AL$105:$AL$128,'non-road'!$F38,Assumptions!$AM$105:$AM$128,'non-road'!$D38)/SUMIF(Assumptions!$AL$105:$AL$128,'non-road'!$F38,Assumptions!AQ$105:AQ$128)</f>
        <v>0</v>
      </c>
      <c r="K38" s="33">
        <f>SUMIFS(Assumptions!AR$105:AR$128,Assumptions!$AL$105:$AL$128,'non-road'!$F38,Assumptions!$AM$105:$AM$128,'non-road'!$D38)/SUMIF(Assumptions!$AL$105:$AL$128,'non-road'!$F38,Assumptions!AR$105:AR$128)</f>
        <v>0.87413832277274162</v>
      </c>
      <c r="L38" s="33">
        <f>SUMIFS(Assumptions!AS$105:AS$128,Assumptions!$AL$105:$AL$128,'non-road'!$F38,Assumptions!$AM$105:$AM$128,'non-road'!$D38)/SUMIF(Assumptions!$AL$105:$AL$128,'non-road'!$F38,Assumptions!AS$105:AS$128)</f>
        <v>0.90636725519269723</v>
      </c>
      <c r="M38" s="33">
        <f>SUMIFS(Assumptions!AT$105:AT$128,Assumptions!$AL$105:$AL$128,'non-road'!$F38,Assumptions!$AM$105:$AM$128,'non-road'!$D38)/SUMIF(Assumptions!$AL$105:$AL$128,'non-road'!$F38,Assumptions!AT$105:AT$128)</f>
        <v>0.88664502581095572</v>
      </c>
      <c r="N38" s="33">
        <f>SUMIFS(Assumptions!AU$105:AU$128,Assumptions!$AL$105:$AL$128,'non-road'!$F38,Assumptions!$AM$105:$AM$128,'non-road'!$D38)/SUMIF(Assumptions!$AL$105:$AL$128,'non-road'!$F38,Assumptions!AU$105:AU$128)</f>
        <v>0.85830017009389326</v>
      </c>
      <c r="O38" s="33">
        <f>SUMIFS(Assumptions!AV$105:AV$128,Assumptions!$AL$105:$AL$128,'non-road'!$F38,Assumptions!$AM$105:$AM$128,'non-road'!$D38)/SUMIF(Assumptions!$AL$105:$AL$128,'non-road'!$F38,Assumptions!AV$105:AV$128)</f>
        <v>0.80059232648046441</v>
      </c>
      <c r="P38" s="33">
        <f>SUMIFS(Assumptions!AW$105:AW$128,Assumptions!$AL$105:$AL$128,'non-road'!$F38,Assumptions!$AM$105:$AM$128,'non-road'!$D38)/SUMIF(Assumptions!$AL$105:$AL$128,'non-road'!$F38,Assumptions!AW$105:AW$128)</f>
        <v>0.79779591207563261</v>
      </c>
      <c r="Q38" s="33">
        <f>SUMIFS(Assumptions!AX$105:AX$128,Assumptions!$AL$105:$AL$128,'non-road'!$F38,Assumptions!$AM$105:$AM$128,'non-road'!$D38)/SUMIF(Assumptions!$AL$105:$AL$128,'non-road'!$F38,Assumptions!AX$105:AX$128)</f>
        <v>0.69203573986713551</v>
      </c>
      <c r="R38" s="33">
        <f>SUMIFS(Assumptions!AY$105:AY$128,Assumptions!$AL$105:$AL$128,'non-road'!$F38,Assumptions!$AM$105:$AM$128,'non-road'!$D38)/SUMIF(Assumptions!$AL$105:$AL$128,'non-road'!$F38,Assumptions!AY$105:AY$128)</f>
        <v>0.34729975705088284</v>
      </c>
      <c r="S38" s="33">
        <f>SUMIFS(Assumptions!AZ$105:AZ$128,Assumptions!$AL$105:$AL$128,'non-road'!$F38,Assumptions!$AM$105:$AM$128,'non-road'!$D38)/SUMIF(Assumptions!$AL$105:$AL$128,'non-road'!$F38,Assumptions!AZ$105:AZ$128)</f>
        <v>0.82452808228634145</v>
      </c>
      <c r="T38" s="33">
        <f>SUMIFS(Assumptions!BA$105:BA$128,Assumptions!$AL$105:$AL$128,'non-road'!$F38,Assumptions!$AM$105:$AM$128,'non-road'!$D38)/SUMIF(Assumptions!$AL$105:$AL$128,'non-road'!$F38,Assumptions!BA$105:BA$128)</f>
        <v>0.81512307919945892</v>
      </c>
      <c r="U38" s="33">
        <f>SUMIFS(Assumptions!BB$105:BB$128,Assumptions!$AL$105:$AL$128,'non-road'!$F38,Assumptions!$AM$105:$AM$128,'non-road'!$D38)/SUMIF(Assumptions!$AL$105:$AL$128,'non-road'!$F38,Assumptions!BB$105:BB$128)</f>
        <v>0.55690930520555071</v>
      </c>
      <c r="V38" s="33">
        <f>SUMIFS(Assumptions!BC$105:BC$128,Assumptions!$AL$105:$AL$128,'non-road'!$F38,Assumptions!$AM$105:$AM$128,'non-road'!$D38)/SUMIF(Assumptions!$AL$105:$AL$128,'non-road'!$F38,Assumptions!BC$105:BC$128)</f>
        <v>0.77518144704098879</v>
      </c>
      <c r="W38" s="33">
        <f>SUMIFS(Assumptions!BD$105:BD$128,Assumptions!$AL$105:$AL$128,'non-road'!$F38,Assumptions!$AM$105:$AM$128,'non-road'!$D38)/SUMIF(Assumptions!$AL$105:$AL$128,'non-road'!$F38,Assumptions!BD$105:BD$128)</f>
        <v>0.78728256864550639</v>
      </c>
      <c r="X38" s="33">
        <f>SUMIFS(Assumptions!BE$105:BE$128,Assumptions!$AL$105:$AL$128,'non-road'!$F38,Assumptions!$AM$105:$AM$128,'non-road'!$D38)/SUMIF(Assumptions!$AL$105:$AL$128,'non-road'!$F38,Assumptions!BE$105:BE$128)</f>
        <v>0.9165841191275983</v>
      </c>
      <c r="Y38" s="33">
        <f>SUMIFS(Assumptions!BF$105:BF$128,Assumptions!$AL$105:$AL$128,'non-road'!$F38,Assumptions!$AM$105:$AM$128,'non-road'!$D38)/SUMIF(Assumptions!$AL$105:$AL$128,'non-road'!$F38,Assumptions!BF$105:BF$128)</f>
        <v>0.47045895305968216</v>
      </c>
      <c r="Z38" s="33">
        <f>SUMIFS(Assumptions!BG$105:BG$128,Assumptions!$AL$105:$AL$128,'non-road'!$F38,Assumptions!$AM$105:$AM$128,'non-road'!$D38)/SUMIF(Assumptions!$AL$105:$AL$128,'non-road'!$F38,Assumptions!BG$105:BG$128)</f>
        <v>0.96505445228402231</v>
      </c>
      <c r="AA38" s="33">
        <f>SUMIFS(Assumptions!BH$105:BH$128,Assumptions!$AL$105:$AL$128,'non-road'!$F38,Assumptions!$AM$105:$AM$128,'non-road'!$D38)/SUMIF(Assumptions!$AL$105:$AL$128,'non-road'!$F38,Assumptions!BH$105:BH$128)</f>
        <v>0.80505316227790069</v>
      </c>
      <c r="AB38" s="33">
        <f>SUMIFS(Assumptions!BI$105:BI$128,Assumptions!$AL$105:$AL$128,'non-road'!$F38,Assumptions!$AM$105:$AM$128,'non-road'!$D38)/SUMIF(Assumptions!$AL$105:$AL$128,'non-road'!$F38,Assumptions!BI$105:BI$128)</f>
        <v>9.1280509665168028E-2</v>
      </c>
      <c r="AC38" s="33">
        <f>SUMIFS(Assumptions!BJ$105:BJ$128,Assumptions!$AL$105:$AL$128,'non-road'!$F38,Assumptions!$AM$105:$AM$128,'non-road'!$D38)/SUMIF(Assumptions!$AL$105:$AL$128,'non-road'!$F38,Assumptions!BJ$105:BJ$128)</f>
        <v>0.9590423233262102</v>
      </c>
      <c r="AD38" s="33">
        <f>SUMIFS(Assumptions!BK$105:BK$128,Assumptions!$AL$105:$AL$128,'non-road'!$F38,Assumptions!$AM$105:$AM$128,'non-road'!$D38)/SUMIF(Assumptions!$AL$105:$AL$128,'non-road'!$F38,Assumptions!BK$105:BK$128)</f>
        <v>0.13345153000483576</v>
      </c>
      <c r="AE38" s="33">
        <f>SUMIFS(Assumptions!BL$105:BL$128,Assumptions!$AL$105:$AL$128,'non-road'!$F38,Assumptions!$AM$105:$AM$128,'non-road'!$D38)/SUMIF(Assumptions!$AL$105:$AL$128,'non-road'!$F38,Assumptions!BL$105:BL$128)</f>
        <v>0.19553831347943815</v>
      </c>
      <c r="AF38" s="33">
        <f>SUMIFS(Assumptions!BM$105:BM$128,Assumptions!$AL$105:$AL$128,'non-road'!$F38,Assumptions!$AM$105:$AM$128,'non-road'!$D38)/SUMIF(Assumptions!$AL$105:$AL$128,'non-road'!$F38,Assumptions!BM$105:BM$128)</f>
        <v>1</v>
      </c>
      <c r="AG38" s="33">
        <f>SUMIFS(Assumptions!BN$105:BN$128,Assumptions!$AL$105:$AL$128,'non-road'!$F38,Assumptions!$AM$105:$AM$128,'non-road'!$D38)/SUMIF(Assumptions!$AL$105:$AL$128,'non-road'!$F38,Assumptions!BN$105:BN$128)</f>
        <v>0.45653425100921075</v>
      </c>
      <c r="AH38" s="33">
        <f>SUMIFS(Assumptions!BO$105:BO$128,Assumptions!$AL$105:$AL$128,'non-road'!$F38,Assumptions!$AM$105:$AM$128,'non-road'!$D38)/SUMIF(Assumptions!$AL$105:$AL$128,'non-road'!$F38,Assumptions!BO$105:BO$128)</f>
        <v>0.67213728082833912</v>
      </c>
      <c r="AI38" s="33">
        <f>SUMIFS(Assumptions!BP$105:BP$128,Assumptions!$AL$105:$AL$128,'non-road'!$F38,Assumptions!$AM$105:$AM$128,'non-road'!$D38)/SUMIF(Assumptions!$AL$105:$AL$128,'non-road'!$F38,Assumptions!BP$105:BP$128)</f>
        <v>0.5455776039077348</v>
      </c>
      <c r="AJ38" s="33" t="e">
        <f>SUMIFS(Assumptions!BQ$105:BQ$128,Assumptions!$AL$105:$AL$128,'non-road'!$F38,Assumptions!$AM$105:$AM$128,'non-road'!$D38)/SUMIF(Assumptions!$AL$105:$AL$128,'non-road'!$F38,Assumptions!BQ$105:BQ$128)</f>
        <v>#DIV/0!</v>
      </c>
      <c r="AN38" s="27" t="str">
        <f t="shared" si="40"/>
        <v>\I:</v>
      </c>
      <c r="AO38" s="33">
        <f>VLOOKUP($F38,Assumptions!$E$152:$AM$157,COLUMN()-COLUMN($AM$4),FALSE)</f>
        <v>1</v>
      </c>
      <c r="AP38" s="33">
        <f>VLOOKUP($F38,Assumptions!$E$152:$AM$157,COLUMN()-COLUMN($AM$4),FALSE)</f>
        <v>1</v>
      </c>
      <c r="AQ38" s="33">
        <f>VLOOKUP($F38,Assumptions!$E$152:$AM$157,COLUMN()-COLUMN($AM$4),FALSE)</f>
        <v>1</v>
      </c>
      <c r="AR38" s="33">
        <f>VLOOKUP($F38,Assumptions!$E$152:$AM$157,COLUMN()-COLUMN($AM$4),FALSE)</f>
        <v>1</v>
      </c>
      <c r="AS38" s="33">
        <f>VLOOKUP($F38,Assumptions!$E$152:$AM$157,COLUMN()-COLUMN($AM$4),FALSE)</f>
        <v>1</v>
      </c>
      <c r="AT38" s="33">
        <f>VLOOKUP($F38,Assumptions!$E$152:$AM$157,COLUMN()-COLUMN($AM$4),FALSE)</f>
        <v>1</v>
      </c>
      <c r="AU38" s="33">
        <f>VLOOKUP($F38,Assumptions!$E$152:$AM$157,COLUMN()-COLUMN($AM$4),FALSE)</f>
        <v>1</v>
      </c>
      <c r="AV38" s="33">
        <f>VLOOKUP($F38,Assumptions!$E$152:$AM$157,COLUMN()-COLUMN($AM$4),FALSE)</f>
        <v>1</v>
      </c>
      <c r="AW38" s="33">
        <f>VLOOKUP($F38,Assumptions!$E$152:$AM$157,COLUMN()-COLUMN($AM$4),FALSE)</f>
        <v>1</v>
      </c>
      <c r="AX38" s="33">
        <f>VLOOKUP($F38,Assumptions!$E$152:$AM$157,COLUMN()-COLUMN($AM$4),FALSE)</f>
        <v>1</v>
      </c>
      <c r="AY38" s="33">
        <f>VLOOKUP($F38,Assumptions!$E$152:$AM$157,COLUMN()-COLUMN($AM$4),FALSE)</f>
        <v>1</v>
      </c>
      <c r="AZ38" s="33">
        <f>VLOOKUP($F38,Assumptions!$E$152:$AM$157,COLUMN()-COLUMN($AM$4),FALSE)</f>
        <v>1</v>
      </c>
      <c r="BA38" s="33">
        <f>VLOOKUP($F38,Assumptions!$E$152:$AM$157,COLUMN()-COLUMN($AM$4),FALSE)</f>
        <v>1</v>
      </c>
      <c r="BB38" s="33">
        <f>VLOOKUP($F38,Assumptions!$E$152:$AM$157,COLUMN()-COLUMN($AM$4),FALSE)</f>
        <v>1</v>
      </c>
      <c r="BC38" s="33">
        <f>VLOOKUP($F38,Assumptions!$E$152:$AM$157,COLUMN()-COLUMN($AM$4),FALSE)</f>
        <v>1</v>
      </c>
      <c r="BD38" s="33">
        <f>VLOOKUP($F38,Assumptions!$E$152:$AM$157,COLUMN()-COLUMN($AM$4),FALSE)</f>
        <v>1</v>
      </c>
      <c r="BE38" s="33">
        <f>VLOOKUP($F38,Assumptions!$E$152:$AM$157,COLUMN()-COLUMN($AM$4),FALSE)</f>
        <v>1</v>
      </c>
      <c r="BF38" s="33">
        <f>VLOOKUP($F38,Assumptions!$E$152:$AM$157,COLUMN()-COLUMN($AM$4),FALSE)</f>
        <v>1</v>
      </c>
      <c r="BG38" s="33">
        <f>VLOOKUP($F38,Assumptions!$E$152:$AM$157,COLUMN()-COLUMN($AM$4),FALSE)</f>
        <v>1</v>
      </c>
      <c r="BH38" s="33">
        <f>VLOOKUP($F38,Assumptions!$E$152:$AM$157,COLUMN()-COLUMN($AM$4),FALSE)</f>
        <v>1</v>
      </c>
      <c r="BI38" s="33">
        <f>VLOOKUP($F38,Assumptions!$E$152:$AM$157,COLUMN()-COLUMN($AM$4),FALSE)</f>
        <v>1</v>
      </c>
      <c r="BJ38" s="33">
        <f>VLOOKUP($F38,Assumptions!$E$152:$AM$157,COLUMN()-COLUMN($AM$4),FALSE)</f>
        <v>1</v>
      </c>
      <c r="BK38" s="33">
        <f>VLOOKUP($F38,Assumptions!$E$152:$AM$157,COLUMN()-COLUMN($AM$4),FALSE)</f>
        <v>1</v>
      </c>
      <c r="BL38" s="33">
        <f>VLOOKUP($F38,Assumptions!$E$152:$AM$157,COLUMN()-COLUMN($AM$4),FALSE)</f>
        <v>1</v>
      </c>
      <c r="BM38" s="33">
        <f>VLOOKUP($F38,Assumptions!$E$152:$AM$157,COLUMN()-COLUMN($AM$4),FALSE)</f>
        <v>1</v>
      </c>
      <c r="BN38" s="33">
        <f>VLOOKUP($F38,Assumptions!$E$152:$AM$157,COLUMN()-COLUMN($AM$4),FALSE)</f>
        <v>1</v>
      </c>
      <c r="BO38" s="33">
        <f>VLOOKUP($F38,Assumptions!$E$152:$AM$157,COLUMN()-COLUMN($AM$4),FALSE)</f>
        <v>1</v>
      </c>
      <c r="BP38" s="33">
        <f>VLOOKUP($F38,Assumptions!$E$152:$AM$157,COLUMN()-COLUMN($AM$4),FALSE)</f>
        <v>1</v>
      </c>
      <c r="BQ38" s="33">
        <f>VLOOKUP($F38,Assumptions!$E$152:$AM$157,COLUMN()-COLUMN($AM$4),FALSE)</f>
        <v>1</v>
      </c>
      <c r="BR38" s="33">
        <f>VLOOKUP($F38,Assumptions!$E$152:$AM$157,COLUMN()-COLUMN($AM$4),FALSE)</f>
        <v>1</v>
      </c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 t="str">
        <f t="shared" si="33"/>
        <v>\I:</v>
      </c>
      <c r="DB38" s="27" t="str">
        <f t="shared" si="48"/>
        <v/>
      </c>
      <c r="DC38" s="27" t="s">
        <v>169</v>
      </c>
      <c r="DD38" s="27" t="s">
        <v>160</v>
      </c>
      <c r="DE38" s="27" t="s">
        <v>161</v>
      </c>
    </row>
    <row r="39" spans="3:109" x14ac:dyDescent="0.45">
      <c r="C39" s="27" t="str">
        <f t="shared" si="39"/>
        <v/>
      </c>
      <c r="D39" s="27" t="s">
        <v>43</v>
      </c>
      <c r="E39" s="27"/>
      <c r="F39" s="27" t="s">
        <v>22</v>
      </c>
      <c r="G39" s="33">
        <f>SUMIFS(Assumptions!AN$105:AN$128,Assumptions!$AL$105:$AL$128,'non-road'!$F39,Assumptions!$AM$105:$AM$128,'non-road'!$D39)/SUMIF(Assumptions!$AL$105:$AL$128,'non-road'!$F39,Assumptions!AN$105:AN$128)</f>
        <v>0</v>
      </c>
      <c r="H39" s="33">
        <f>SUMIFS(Assumptions!AO$105:AO$128,Assumptions!$AL$105:$AL$128,'non-road'!$F39,Assumptions!$AM$105:$AM$128,'non-road'!$D39)/SUMIF(Assumptions!$AL$105:$AL$128,'non-road'!$F39,Assumptions!AO$105:AO$128)</f>
        <v>0</v>
      </c>
      <c r="I39" s="33">
        <f>SUMIFS(Assumptions!AP$105:AP$128,Assumptions!$AL$105:$AL$128,'non-road'!$F39,Assumptions!$AM$105:$AM$128,'non-road'!$D39)/SUMIF(Assumptions!$AL$105:$AL$128,'non-road'!$F39,Assumptions!AP$105:AP$128)</f>
        <v>0</v>
      </c>
      <c r="J39" s="33">
        <f>SUMIFS(Assumptions!AQ$105:AQ$128,Assumptions!$AL$105:$AL$128,'non-road'!$F39,Assumptions!$AM$105:$AM$128,'non-road'!$D39)/SUMIF(Assumptions!$AL$105:$AL$128,'non-road'!$F39,Assumptions!AQ$105:AQ$128)</f>
        <v>0</v>
      </c>
      <c r="K39" s="33">
        <f>SUMIFS(Assumptions!AR$105:AR$128,Assumptions!$AL$105:$AL$128,'non-road'!$F39,Assumptions!$AM$105:$AM$128,'non-road'!$D39)/SUMIF(Assumptions!$AL$105:$AL$128,'non-road'!$F39,Assumptions!AR$105:AR$128)</f>
        <v>0</v>
      </c>
      <c r="L39" s="33">
        <f>SUMIFS(Assumptions!AS$105:AS$128,Assumptions!$AL$105:$AL$128,'non-road'!$F39,Assumptions!$AM$105:$AM$128,'non-road'!$D39)/SUMIF(Assumptions!$AL$105:$AL$128,'non-road'!$F39,Assumptions!AS$105:AS$128)</f>
        <v>0</v>
      </c>
      <c r="M39" s="33">
        <f>SUMIFS(Assumptions!AT$105:AT$128,Assumptions!$AL$105:$AL$128,'non-road'!$F39,Assumptions!$AM$105:$AM$128,'non-road'!$D39)/SUMIF(Assumptions!$AL$105:$AL$128,'non-road'!$F39,Assumptions!AT$105:AT$128)</f>
        <v>0</v>
      </c>
      <c r="N39" s="33">
        <f>SUMIFS(Assumptions!AU$105:AU$128,Assumptions!$AL$105:$AL$128,'non-road'!$F39,Assumptions!$AM$105:$AM$128,'non-road'!$D39)/SUMIF(Assumptions!$AL$105:$AL$128,'non-road'!$F39,Assumptions!AU$105:AU$128)</f>
        <v>0</v>
      </c>
      <c r="O39" s="33">
        <f>SUMIFS(Assumptions!AV$105:AV$128,Assumptions!$AL$105:$AL$128,'non-road'!$F39,Assumptions!$AM$105:$AM$128,'non-road'!$D39)/SUMIF(Assumptions!$AL$105:$AL$128,'non-road'!$F39,Assumptions!AV$105:AV$128)</f>
        <v>0</v>
      </c>
      <c r="P39" s="33">
        <f>SUMIFS(Assumptions!AW$105:AW$128,Assumptions!$AL$105:$AL$128,'non-road'!$F39,Assumptions!$AM$105:$AM$128,'non-road'!$D39)/SUMIF(Assumptions!$AL$105:$AL$128,'non-road'!$F39,Assumptions!AW$105:AW$128)</f>
        <v>0</v>
      </c>
      <c r="Q39" s="33">
        <f>SUMIFS(Assumptions!AX$105:AX$128,Assumptions!$AL$105:$AL$128,'non-road'!$F39,Assumptions!$AM$105:$AM$128,'non-road'!$D39)/SUMIF(Assumptions!$AL$105:$AL$128,'non-road'!$F39,Assumptions!AX$105:AX$128)</f>
        <v>0</v>
      </c>
      <c r="R39" s="33">
        <f>SUMIFS(Assumptions!AY$105:AY$128,Assumptions!$AL$105:$AL$128,'non-road'!$F39,Assumptions!$AM$105:$AM$128,'non-road'!$D39)/SUMIF(Assumptions!$AL$105:$AL$128,'non-road'!$F39,Assumptions!AY$105:AY$128)</f>
        <v>0</v>
      </c>
      <c r="S39" s="33">
        <f>SUMIFS(Assumptions!AZ$105:AZ$128,Assumptions!$AL$105:$AL$128,'non-road'!$F39,Assumptions!$AM$105:$AM$128,'non-road'!$D39)/SUMIF(Assumptions!$AL$105:$AL$128,'non-road'!$F39,Assumptions!AZ$105:AZ$128)</f>
        <v>0</v>
      </c>
      <c r="T39" s="33">
        <f>SUMIFS(Assumptions!BA$105:BA$128,Assumptions!$AL$105:$AL$128,'non-road'!$F39,Assumptions!$AM$105:$AM$128,'non-road'!$D39)/SUMIF(Assumptions!$AL$105:$AL$128,'non-road'!$F39,Assumptions!BA$105:BA$128)</f>
        <v>0</v>
      </c>
      <c r="U39" s="33">
        <f>SUMIFS(Assumptions!BB$105:BB$128,Assumptions!$AL$105:$AL$128,'non-road'!$F39,Assumptions!$AM$105:$AM$128,'non-road'!$D39)/SUMIF(Assumptions!$AL$105:$AL$128,'non-road'!$F39,Assumptions!BB$105:BB$128)</f>
        <v>0</v>
      </c>
      <c r="V39" s="33">
        <f>SUMIFS(Assumptions!BC$105:BC$128,Assumptions!$AL$105:$AL$128,'non-road'!$F39,Assumptions!$AM$105:$AM$128,'non-road'!$D39)/SUMIF(Assumptions!$AL$105:$AL$128,'non-road'!$F39,Assumptions!BC$105:BC$128)</f>
        <v>0</v>
      </c>
      <c r="W39" s="33">
        <f>SUMIFS(Assumptions!BD$105:BD$128,Assumptions!$AL$105:$AL$128,'non-road'!$F39,Assumptions!$AM$105:$AM$128,'non-road'!$D39)/SUMIF(Assumptions!$AL$105:$AL$128,'non-road'!$F39,Assumptions!BD$105:BD$128)</f>
        <v>0</v>
      </c>
      <c r="X39" s="33">
        <f>SUMIFS(Assumptions!BE$105:BE$128,Assumptions!$AL$105:$AL$128,'non-road'!$F39,Assumptions!$AM$105:$AM$128,'non-road'!$D39)/SUMIF(Assumptions!$AL$105:$AL$128,'non-road'!$F39,Assumptions!BE$105:BE$128)</f>
        <v>0</v>
      </c>
      <c r="Y39" s="33">
        <f>SUMIFS(Assumptions!BF$105:BF$128,Assumptions!$AL$105:$AL$128,'non-road'!$F39,Assumptions!$AM$105:$AM$128,'non-road'!$D39)/SUMIF(Assumptions!$AL$105:$AL$128,'non-road'!$F39,Assumptions!BF$105:BF$128)</f>
        <v>0</v>
      </c>
      <c r="Z39" s="33">
        <f>SUMIFS(Assumptions!BG$105:BG$128,Assumptions!$AL$105:$AL$128,'non-road'!$F39,Assumptions!$AM$105:$AM$128,'non-road'!$D39)/SUMIF(Assumptions!$AL$105:$AL$128,'non-road'!$F39,Assumptions!BG$105:BG$128)</f>
        <v>0</v>
      </c>
      <c r="AA39" s="33">
        <f>SUMIFS(Assumptions!BH$105:BH$128,Assumptions!$AL$105:$AL$128,'non-road'!$F39,Assumptions!$AM$105:$AM$128,'non-road'!$D39)/SUMIF(Assumptions!$AL$105:$AL$128,'non-road'!$F39,Assumptions!BH$105:BH$128)</f>
        <v>0</v>
      </c>
      <c r="AB39" s="33">
        <f>SUMIFS(Assumptions!BI$105:BI$128,Assumptions!$AL$105:$AL$128,'non-road'!$F39,Assumptions!$AM$105:$AM$128,'non-road'!$D39)/SUMIF(Assumptions!$AL$105:$AL$128,'non-road'!$F39,Assumptions!BI$105:BI$128)</f>
        <v>0</v>
      </c>
      <c r="AC39" s="33">
        <f>SUMIFS(Assumptions!BJ$105:BJ$128,Assumptions!$AL$105:$AL$128,'non-road'!$F39,Assumptions!$AM$105:$AM$128,'non-road'!$D39)/SUMIF(Assumptions!$AL$105:$AL$128,'non-road'!$F39,Assumptions!BJ$105:BJ$128)</f>
        <v>0</v>
      </c>
      <c r="AD39" s="33">
        <f>SUMIFS(Assumptions!BK$105:BK$128,Assumptions!$AL$105:$AL$128,'non-road'!$F39,Assumptions!$AM$105:$AM$128,'non-road'!$D39)/SUMIF(Assumptions!$AL$105:$AL$128,'non-road'!$F39,Assumptions!BK$105:BK$128)</f>
        <v>0</v>
      </c>
      <c r="AE39" s="33">
        <f>SUMIFS(Assumptions!BL$105:BL$128,Assumptions!$AL$105:$AL$128,'non-road'!$F39,Assumptions!$AM$105:$AM$128,'non-road'!$D39)/SUMIF(Assumptions!$AL$105:$AL$128,'non-road'!$F39,Assumptions!BL$105:BL$128)</f>
        <v>0</v>
      </c>
      <c r="AF39" s="33">
        <f>SUMIFS(Assumptions!BM$105:BM$128,Assumptions!$AL$105:$AL$128,'non-road'!$F39,Assumptions!$AM$105:$AM$128,'non-road'!$D39)/SUMIF(Assumptions!$AL$105:$AL$128,'non-road'!$F39,Assumptions!BM$105:BM$128)</f>
        <v>0</v>
      </c>
      <c r="AG39" s="33">
        <f>SUMIFS(Assumptions!BN$105:BN$128,Assumptions!$AL$105:$AL$128,'non-road'!$F39,Assumptions!$AM$105:$AM$128,'non-road'!$D39)/SUMIF(Assumptions!$AL$105:$AL$128,'non-road'!$F39,Assumptions!BN$105:BN$128)</f>
        <v>0</v>
      </c>
      <c r="AH39" s="33">
        <f>SUMIFS(Assumptions!BO$105:BO$128,Assumptions!$AL$105:$AL$128,'non-road'!$F39,Assumptions!$AM$105:$AM$128,'non-road'!$D39)/SUMIF(Assumptions!$AL$105:$AL$128,'non-road'!$F39,Assumptions!BO$105:BO$128)</f>
        <v>0</v>
      </c>
      <c r="AI39" s="33">
        <f>SUMIFS(Assumptions!BP$105:BP$128,Assumptions!$AL$105:$AL$128,'non-road'!$F39,Assumptions!$AM$105:$AM$128,'non-road'!$D39)/SUMIF(Assumptions!$AL$105:$AL$128,'non-road'!$F39,Assumptions!BP$105:BP$128)</f>
        <v>0</v>
      </c>
      <c r="AJ39" s="33" t="e">
        <f>SUMIFS(Assumptions!BQ$105:BQ$128,Assumptions!$AL$105:$AL$128,'non-road'!$F39,Assumptions!$AM$105:$AM$128,'non-road'!$D39)/SUMIF(Assumptions!$AL$105:$AL$128,'non-road'!$F39,Assumptions!BQ$105:BQ$128)</f>
        <v>#DIV/0!</v>
      </c>
      <c r="AN39" s="27" t="str">
        <f t="shared" si="40"/>
        <v>\I:</v>
      </c>
      <c r="AO39" s="33">
        <f>VLOOKUP($F39,Assumptions!$E$152:$AM$157,COLUMN()-COLUMN($AM$4),FALSE)</f>
        <v>1</v>
      </c>
      <c r="AP39" s="33">
        <f>VLOOKUP($F39,Assumptions!$E$152:$AM$157,COLUMN()-COLUMN($AM$4),FALSE)</f>
        <v>1</v>
      </c>
      <c r="AQ39" s="33">
        <f>VLOOKUP($F39,Assumptions!$E$152:$AM$157,COLUMN()-COLUMN($AM$4),FALSE)</f>
        <v>1</v>
      </c>
      <c r="AR39" s="33">
        <f>VLOOKUP($F39,Assumptions!$E$152:$AM$157,COLUMN()-COLUMN($AM$4),FALSE)</f>
        <v>1</v>
      </c>
      <c r="AS39" s="33">
        <f>VLOOKUP($F39,Assumptions!$E$152:$AM$157,COLUMN()-COLUMN($AM$4),FALSE)</f>
        <v>1</v>
      </c>
      <c r="AT39" s="33">
        <f>VLOOKUP($F39,Assumptions!$E$152:$AM$157,COLUMN()-COLUMN($AM$4),FALSE)</f>
        <v>1</v>
      </c>
      <c r="AU39" s="33">
        <f>VLOOKUP($F39,Assumptions!$E$152:$AM$157,COLUMN()-COLUMN($AM$4),FALSE)</f>
        <v>1</v>
      </c>
      <c r="AV39" s="33">
        <f>VLOOKUP($F39,Assumptions!$E$152:$AM$157,COLUMN()-COLUMN($AM$4),FALSE)</f>
        <v>1</v>
      </c>
      <c r="AW39" s="33">
        <f>VLOOKUP($F39,Assumptions!$E$152:$AM$157,COLUMN()-COLUMN($AM$4),FALSE)</f>
        <v>1</v>
      </c>
      <c r="AX39" s="33">
        <f>VLOOKUP($F39,Assumptions!$E$152:$AM$157,COLUMN()-COLUMN($AM$4),FALSE)</f>
        <v>1</v>
      </c>
      <c r="AY39" s="33">
        <f>VLOOKUP($F39,Assumptions!$E$152:$AM$157,COLUMN()-COLUMN($AM$4),FALSE)</f>
        <v>1</v>
      </c>
      <c r="AZ39" s="33">
        <f>VLOOKUP($F39,Assumptions!$E$152:$AM$157,COLUMN()-COLUMN($AM$4),FALSE)</f>
        <v>1</v>
      </c>
      <c r="BA39" s="33">
        <f>VLOOKUP($F39,Assumptions!$E$152:$AM$157,COLUMN()-COLUMN($AM$4),FALSE)</f>
        <v>1</v>
      </c>
      <c r="BB39" s="33">
        <f>VLOOKUP($F39,Assumptions!$E$152:$AM$157,COLUMN()-COLUMN($AM$4),FALSE)</f>
        <v>1</v>
      </c>
      <c r="BC39" s="33">
        <f>VLOOKUP($F39,Assumptions!$E$152:$AM$157,COLUMN()-COLUMN($AM$4),FALSE)</f>
        <v>1</v>
      </c>
      <c r="BD39" s="33">
        <f>VLOOKUP($F39,Assumptions!$E$152:$AM$157,COLUMN()-COLUMN($AM$4),FALSE)</f>
        <v>1</v>
      </c>
      <c r="BE39" s="33">
        <f>VLOOKUP($F39,Assumptions!$E$152:$AM$157,COLUMN()-COLUMN($AM$4),FALSE)</f>
        <v>1</v>
      </c>
      <c r="BF39" s="33">
        <f>VLOOKUP($F39,Assumptions!$E$152:$AM$157,COLUMN()-COLUMN($AM$4),FALSE)</f>
        <v>1</v>
      </c>
      <c r="BG39" s="33">
        <f>VLOOKUP($F39,Assumptions!$E$152:$AM$157,COLUMN()-COLUMN($AM$4),FALSE)</f>
        <v>1</v>
      </c>
      <c r="BH39" s="33">
        <f>VLOOKUP($F39,Assumptions!$E$152:$AM$157,COLUMN()-COLUMN($AM$4),FALSE)</f>
        <v>1</v>
      </c>
      <c r="BI39" s="33">
        <f>VLOOKUP($F39,Assumptions!$E$152:$AM$157,COLUMN()-COLUMN($AM$4),FALSE)</f>
        <v>1</v>
      </c>
      <c r="BJ39" s="33">
        <f>VLOOKUP($F39,Assumptions!$E$152:$AM$157,COLUMN()-COLUMN($AM$4),FALSE)</f>
        <v>1</v>
      </c>
      <c r="BK39" s="33">
        <f>VLOOKUP($F39,Assumptions!$E$152:$AM$157,COLUMN()-COLUMN($AM$4),FALSE)</f>
        <v>1</v>
      </c>
      <c r="BL39" s="33">
        <f>VLOOKUP($F39,Assumptions!$E$152:$AM$157,COLUMN()-COLUMN($AM$4),FALSE)</f>
        <v>1</v>
      </c>
      <c r="BM39" s="33">
        <f>VLOOKUP($F39,Assumptions!$E$152:$AM$157,COLUMN()-COLUMN($AM$4),FALSE)</f>
        <v>1</v>
      </c>
      <c r="BN39" s="33">
        <f>VLOOKUP($F39,Assumptions!$E$152:$AM$157,COLUMN()-COLUMN($AM$4),FALSE)</f>
        <v>1</v>
      </c>
      <c r="BO39" s="33">
        <f>VLOOKUP($F39,Assumptions!$E$152:$AM$157,COLUMN()-COLUMN($AM$4),FALSE)</f>
        <v>1</v>
      </c>
      <c r="BP39" s="33">
        <f>VLOOKUP($F39,Assumptions!$E$152:$AM$157,COLUMN()-COLUMN($AM$4),FALSE)</f>
        <v>1</v>
      </c>
      <c r="BQ39" s="33">
        <f>VLOOKUP($F39,Assumptions!$E$152:$AM$157,COLUMN()-COLUMN($AM$4),FALSE)</f>
        <v>1</v>
      </c>
      <c r="BR39" s="33">
        <f>VLOOKUP($F39,Assumptions!$E$152:$AM$157,COLUMN()-COLUMN($AM$4),FALSE)</f>
        <v>1</v>
      </c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 t="str">
        <f t="shared" si="33"/>
        <v>\I:</v>
      </c>
      <c r="DB39" s="27" t="str">
        <f t="shared" si="48"/>
        <v/>
      </c>
      <c r="DC39" s="27" t="s">
        <v>169</v>
      </c>
      <c r="DD39" s="27" t="s">
        <v>160</v>
      </c>
      <c r="DE39" s="27" t="s">
        <v>161</v>
      </c>
    </row>
    <row r="40" spans="3:109" x14ac:dyDescent="0.45">
      <c r="C40" s="27" t="str">
        <f t="shared" si="39"/>
        <v/>
      </c>
      <c r="D40" s="27" t="s">
        <v>38</v>
      </c>
      <c r="E40" s="27"/>
      <c r="F40" s="27" t="s">
        <v>22</v>
      </c>
      <c r="G40" s="33">
        <f>SUMIFS(Assumptions!AN$105:AN$135,Assumptions!$AL$105:$AL$135,'non-road'!$F40,Assumptions!$AM$105:$AM$135,'non-road'!$D40)/SUMIF(Assumptions!$AL$105:$AL$135,'non-road'!$F40,Assumptions!AN$105:AN$135)</f>
        <v>0</v>
      </c>
      <c r="H40" s="33">
        <f>SUMIFS(Assumptions!AO$105:AO$135,Assumptions!$AL$105:$AL$135,'non-road'!$F40,Assumptions!$AM$105:$AM$135,'non-road'!$D40)/SUMIF(Assumptions!$AL$105:$AL$135,'non-road'!$F40,Assumptions!AO$105:AO$135)</f>
        <v>0</v>
      </c>
      <c r="I40" s="33">
        <f>SUMIFS(Assumptions!AP$105:AP$135,Assumptions!$AL$105:$AL$135,'non-road'!$F40,Assumptions!$AM$105:$AM$135,'non-road'!$D40)/SUMIF(Assumptions!$AL$105:$AL$135,'non-road'!$F40,Assumptions!AP$105:AP$135)</f>
        <v>0</v>
      </c>
      <c r="J40" s="33">
        <f>SUMIFS(Assumptions!AQ$105:AQ$135,Assumptions!$AL$105:$AL$135,'non-road'!$F40,Assumptions!$AM$105:$AM$135,'non-road'!$D40)/SUMIF(Assumptions!$AL$105:$AL$135,'non-road'!$F40,Assumptions!AQ$105:AQ$135)</f>
        <v>0</v>
      </c>
      <c r="K40" s="33">
        <f>SUMIFS(Assumptions!AR$105:AR$135,Assumptions!$AL$105:$AL$135,'non-road'!$F40,Assumptions!$AM$105:$AM$135,'non-road'!$D40)/SUMIF(Assumptions!$AL$105:$AL$135,'non-road'!$F40,Assumptions!AR$105:AR$135)</f>
        <v>0</v>
      </c>
      <c r="L40" s="33">
        <f>SUMIFS(Assumptions!AS$105:AS$135,Assumptions!$AL$105:$AL$135,'non-road'!$F40,Assumptions!$AM$105:$AM$135,'non-road'!$D40)/SUMIF(Assumptions!$AL$105:$AL$135,'non-road'!$F40,Assumptions!AS$105:AS$135)</f>
        <v>0</v>
      </c>
      <c r="M40" s="33">
        <f>SUMIFS(Assumptions!AT$105:AT$135,Assumptions!$AL$105:$AL$135,'non-road'!$F40,Assumptions!$AM$105:$AM$135,'non-road'!$D40)/SUMIF(Assumptions!$AL$105:$AL$135,'non-road'!$F40,Assumptions!AT$105:AT$135)</f>
        <v>0</v>
      </c>
      <c r="N40" s="33">
        <f>SUMIFS(Assumptions!AU$105:AU$135,Assumptions!$AL$105:$AL$135,'non-road'!$F40,Assumptions!$AM$105:$AM$135,'non-road'!$D40)/SUMIF(Assumptions!$AL$105:$AL$135,'non-road'!$F40,Assumptions!AU$105:AU$135)</f>
        <v>0</v>
      </c>
      <c r="O40" s="33">
        <f>SUMIFS(Assumptions!AV$105:AV$135,Assumptions!$AL$105:$AL$135,'non-road'!$F40,Assumptions!$AM$105:$AM$135,'non-road'!$D40)/SUMIF(Assumptions!$AL$105:$AL$135,'non-road'!$F40,Assumptions!AV$105:AV$135)</f>
        <v>0</v>
      </c>
      <c r="P40" s="33">
        <f>SUMIFS(Assumptions!AW$105:AW$135,Assumptions!$AL$105:$AL$135,'non-road'!$F40,Assumptions!$AM$105:$AM$135,'non-road'!$D40)/SUMIF(Assumptions!$AL$105:$AL$135,'non-road'!$F40,Assumptions!AW$105:AW$135)</f>
        <v>0</v>
      </c>
      <c r="Q40" s="33">
        <f>SUMIFS(Assumptions!AX$105:AX$135,Assumptions!$AL$105:$AL$135,'non-road'!$F40,Assumptions!$AM$105:$AM$135,'non-road'!$D40)/SUMIF(Assumptions!$AL$105:$AL$135,'non-road'!$F40,Assumptions!AX$105:AX$135)</f>
        <v>5.7708820441480287E-3</v>
      </c>
      <c r="R40" s="33">
        <f>SUMIFS(Assumptions!AY$105:AY$135,Assumptions!$AL$105:$AL$135,'non-road'!$F40,Assumptions!$AM$105:$AM$135,'non-road'!$D40)/SUMIF(Assumptions!$AL$105:$AL$135,'non-road'!$F40,Assumptions!AY$105:AY$135)</f>
        <v>2.1201468630381252E-2</v>
      </c>
      <c r="S40" s="33">
        <f>SUMIFS(Assumptions!AZ$105:AZ$135,Assumptions!$AL$105:$AL$135,'non-road'!$F40,Assumptions!$AM$105:$AM$135,'non-road'!$D40)/SUMIF(Assumptions!$AL$105:$AL$135,'non-road'!$F40,Assumptions!AZ$105:AZ$135)</f>
        <v>3.512851069838971E-3</v>
      </c>
      <c r="T40" s="33">
        <f>SUMIFS(Assumptions!BA$105:BA$135,Assumptions!$AL$105:$AL$135,'non-road'!$F40,Assumptions!$AM$105:$AM$135,'non-road'!$D40)/SUMIF(Assumptions!$AL$105:$AL$135,'non-road'!$F40,Assumptions!BA$105:BA$135)</f>
        <v>0</v>
      </c>
      <c r="U40" s="33">
        <f>SUMIFS(Assumptions!BB$105:BB$135,Assumptions!$AL$105:$AL$135,'non-road'!$F40,Assumptions!$AM$105:$AM$135,'non-road'!$D40)/SUMIF(Assumptions!$AL$105:$AL$135,'non-road'!$F40,Assumptions!BB$105:BB$135)</f>
        <v>0</v>
      </c>
      <c r="V40" s="33">
        <f>SUMIFS(Assumptions!BC$105:BC$135,Assumptions!$AL$105:$AL$135,'non-road'!$F40,Assumptions!$AM$105:$AM$135,'non-road'!$D40)/SUMIF(Assumptions!$AL$105:$AL$135,'non-road'!$F40,Assumptions!BC$105:BC$135)</f>
        <v>4.4157200232846482E-3</v>
      </c>
      <c r="W40" s="33">
        <f>SUMIFS(Assumptions!BD$105:BD$135,Assumptions!$AL$105:$AL$135,'non-road'!$F40,Assumptions!$AM$105:$AM$135,'non-road'!$D40)/SUMIF(Assumptions!$AL$105:$AL$135,'non-road'!$F40,Assumptions!BD$105:BD$135)</f>
        <v>0</v>
      </c>
      <c r="X40" s="33">
        <f>SUMIFS(Assumptions!BE$105:BE$135,Assumptions!$AL$105:$AL$135,'non-road'!$F40,Assumptions!$AM$105:$AM$135,'non-road'!$D40)/SUMIF(Assumptions!$AL$105:$AL$135,'non-road'!$F40,Assumptions!BE$105:BE$135)</f>
        <v>0</v>
      </c>
      <c r="Y40" s="33">
        <f>SUMIFS(Assumptions!BF$105:BF$135,Assumptions!$AL$105:$AL$135,'non-road'!$F40,Assumptions!$AM$105:$AM$135,'non-road'!$D40)/SUMIF(Assumptions!$AL$105:$AL$135,'non-road'!$F40,Assumptions!BF$105:BF$135)</f>
        <v>0</v>
      </c>
      <c r="Z40" s="33">
        <f>SUMIFS(Assumptions!BG$105:BG$135,Assumptions!$AL$105:$AL$135,'non-road'!$F40,Assumptions!$AM$105:$AM$135,'non-road'!$D40)/SUMIF(Assumptions!$AL$105:$AL$135,'non-road'!$F40,Assumptions!BG$105:BG$135)</f>
        <v>0</v>
      </c>
      <c r="AA40" s="33">
        <f>SUMIFS(Assumptions!BH$105:BH$135,Assumptions!$AL$105:$AL$135,'non-road'!$F40,Assumptions!$AM$105:$AM$135,'non-road'!$D40)/SUMIF(Assumptions!$AL$105:$AL$135,'non-road'!$F40,Assumptions!BH$105:BH$135)</f>
        <v>0</v>
      </c>
      <c r="AB40" s="33">
        <f>SUMIFS(Assumptions!BI$105:BI$135,Assumptions!$AL$105:$AL$135,'non-road'!$F40,Assumptions!$AM$105:$AM$135,'non-road'!$D40)/SUMIF(Assumptions!$AL$105:$AL$135,'non-road'!$F40,Assumptions!BI$105:BI$135)</f>
        <v>0</v>
      </c>
      <c r="AC40" s="33">
        <f>SUMIFS(Assumptions!BJ$105:BJ$135,Assumptions!$AL$105:$AL$135,'non-road'!$F40,Assumptions!$AM$105:$AM$135,'non-road'!$D40)/SUMIF(Assumptions!$AL$105:$AL$135,'non-road'!$F40,Assumptions!BJ$105:BJ$135)</f>
        <v>0</v>
      </c>
      <c r="AD40" s="33">
        <f>SUMIFS(Assumptions!BK$105:BK$135,Assumptions!$AL$105:$AL$135,'non-road'!$F40,Assumptions!$AM$105:$AM$135,'non-road'!$D40)/SUMIF(Assumptions!$AL$105:$AL$135,'non-road'!$F40,Assumptions!BK$105:BK$135)</f>
        <v>0.13361899081862416</v>
      </c>
      <c r="AE40" s="33">
        <f>SUMIFS(Assumptions!BL$105:BL$135,Assumptions!$AL$105:$AL$135,'non-road'!$F40,Assumptions!$AM$105:$AM$135,'non-road'!$D40)/SUMIF(Assumptions!$AL$105:$AL$135,'non-road'!$F40,Assumptions!BL$105:BL$135)</f>
        <v>0</v>
      </c>
      <c r="AF40" s="33">
        <f>SUMIFS(Assumptions!BM$105:BM$135,Assumptions!$AL$105:$AL$135,'non-road'!$F40,Assumptions!$AM$105:$AM$135,'non-road'!$D40)/SUMIF(Assumptions!$AL$105:$AL$135,'non-road'!$F40,Assumptions!BM$105:BM$135)</f>
        <v>0</v>
      </c>
      <c r="AG40" s="33">
        <f>SUMIFS(Assumptions!BN$105:BN$135,Assumptions!$AL$105:$AL$135,'non-road'!$F40,Assumptions!$AM$105:$AM$135,'non-road'!$D40)/SUMIF(Assumptions!$AL$105:$AL$135,'non-road'!$F40,Assumptions!BN$105:BN$135)</f>
        <v>0</v>
      </c>
      <c r="AH40" s="33">
        <f>SUMIFS(Assumptions!BO$105:BO$135,Assumptions!$AL$105:$AL$135,'non-road'!$F40,Assumptions!$AM$105:$AM$135,'non-road'!$D40)/SUMIF(Assumptions!$AL$105:$AL$135,'non-road'!$F40,Assumptions!BO$105:BO$135)</f>
        <v>0</v>
      </c>
      <c r="AI40" s="33">
        <f>SUMIFS(Assumptions!BP$105:BP$135,Assumptions!$AL$105:$AL$135,'non-road'!$F40,Assumptions!$AM$105:$AM$135,'non-road'!$D40)/SUMIF(Assumptions!$AL$105:$AL$135,'non-road'!$F40,Assumptions!BP$105:BP$135)</f>
        <v>0</v>
      </c>
      <c r="AJ40" s="33" t="e">
        <f>SUMIFS(Assumptions!BQ$105:BQ$135,Assumptions!$AL$105:$AL$135,'non-road'!$F40,Assumptions!$AM$105:$AM$135,'non-road'!$D40)/SUMIF(Assumptions!$AL$105:$AL$135,'non-road'!$F40,Assumptions!BQ$105:BQ$135)</f>
        <v>#DIV/0!</v>
      </c>
      <c r="AN40" s="27" t="str">
        <f t="shared" si="40"/>
        <v>\I:</v>
      </c>
      <c r="AO40" s="33">
        <f>VLOOKUP($F40,Assumptions!$E$152:$AM$157,COLUMN()-COLUMN($AM$4),FALSE)</f>
        <v>1</v>
      </c>
      <c r="AP40" s="33">
        <f>VLOOKUP($F40,Assumptions!$E$152:$AM$157,COLUMN()-COLUMN($AM$4),FALSE)</f>
        <v>1</v>
      </c>
      <c r="AQ40" s="33">
        <f>VLOOKUP($F40,Assumptions!$E$152:$AM$157,COLUMN()-COLUMN($AM$4),FALSE)</f>
        <v>1</v>
      </c>
      <c r="AR40" s="33">
        <f>VLOOKUP($F40,Assumptions!$E$152:$AM$157,COLUMN()-COLUMN($AM$4),FALSE)</f>
        <v>1</v>
      </c>
      <c r="AS40" s="33">
        <f>VLOOKUP($F40,Assumptions!$E$152:$AM$157,COLUMN()-COLUMN($AM$4),FALSE)</f>
        <v>1</v>
      </c>
      <c r="AT40" s="33">
        <f>VLOOKUP($F40,Assumptions!$E$152:$AM$157,COLUMN()-COLUMN($AM$4),FALSE)</f>
        <v>1</v>
      </c>
      <c r="AU40" s="33">
        <f>VLOOKUP($F40,Assumptions!$E$152:$AM$157,COLUMN()-COLUMN($AM$4),FALSE)</f>
        <v>1</v>
      </c>
      <c r="AV40" s="33">
        <f>VLOOKUP($F40,Assumptions!$E$152:$AM$157,COLUMN()-COLUMN($AM$4),FALSE)</f>
        <v>1</v>
      </c>
      <c r="AW40" s="33">
        <f>VLOOKUP($F40,Assumptions!$E$152:$AM$157,COLUMN()-COLUMN($AM$4),FALSE)</f>
        <v>1</v>
      </c>
      <c r="AX40" s="33">
        <f>VLOOKUP($F40,Assumptions!$E$152:$AM$157,COLUMN()-COLUMN($AM$4),FALSE)</f>
        <v>1</v>
      </c>
      <c r="AY40" s="33">
        <f>VLOOKUP($F40,Assumptions!$E$152:$AM$157,COLUMN()-COLUMN($AM$4),FALSE)</f>
        <v>1</v>
      </c>
      <c r="AZ40" s="33">
        <f>VLOOKUP($F40,Assumptions!$E$152:$AM$157,COLUMN()-COLUMN($AM$4),FALSE)</f>
        <v>1</v>
      </c>
      <c r="BA40" s="33">
        <f>VLOOKUP($F40,Assumptions!$E$152:$AM$157,COLUMN()-COLUMN($AM$4),FALSE)</f>
        <v>1</v>
      </c>
      <c r="BB40" s="33">
        <f>VLOOKUP($F40,Assumptions!$E$152:$AM$157,COLUMN()-COLUMN($AM$4),FALSE)</f>
        <v>1</v>
      </c>
      <c r="BC40" s="33">
        <f>VLOOKUP($F40,Assumptions!$E$152:$AM$157,COLUMN()-COLUMN($AM$4),FALSE)</f>
        <v>1</v>
      </c>
      <c r="BD40" s="33">
        <f>VLOOKUP($F40,Assumptions!$E$152:$AM$157,COLUMN()-COLUMN($AM$4),FALSE)</f>
        <v>1</v>
      </c>
      <c r="BE40" s="33">
        <f>VLOOKUP($F40,Assumptions!$E$152:$AM$157,COLUMN()-COLUMN($AM$4),FALSE)</f>
        <v>1</v>
      </c>
      <c r="BF40" s="33">
        <f>VLOOKUP($F40,Assumptions!$E$152:$AM$157,COLUMN()-COLUMN($AM$4),FALSE)</f>
        <v>1</v>
      </c>
      <c r="BG40" s="33">
        <f>VLOOKUP($F40,Assumptions!$E$152:$AM$157,COLUMN()-COLUMN($AM$4),FALSE)</f>
        <v>1</v>
      </c>
      <c r="BH40" s="33">
        <f>VLOOKUP($F40,Assumptions!$E$152:$AM$157,COLUMN()-COLUMN($AM$4),FALSE)</f>
        <v>1</v>
      </c>
      <c r="BI40" s="33">
        <f>VLOOKUP($F40,Assumptions!$E$152:$AM$157,COLUMN()-COLUMN($AM$4),FALSE)</f>
        <v>1</v>
      </c>
      <c r="BJ40" s="33">
        <f>VLOOKUP($F40,Assumptions!$E$152:$AM$157,COLUMN()-COLUMN($AM$4),FALSE)</f>
        <v>1</v>
      </c>
      <c r="BK40" s="33">
        <f>VLOOKUP($F40,Assumptions!$E$152:$AM$157,COLUMN()-COLUMN($AM$4),FALSE)</f>
        <v>1</v>
      </c>
      <c r="BL40" s="33">
        <f>VLOOKUP($F40,Assumptions!$E$152:$AM$157,COLUMN()-COLUMN($AM$4),FALSE)</f>
        <v>1</v>
      </c>
      <c r="BM40" s="33">
        <f>VLOOKUP($F40,Assumptions!$E$152:$AM$157,COLUMN()-COLUMN($AM$4),FALSE)</f>
        <v>1</v>
      </c>
      <c r="BN40" s="33">
        <f>VLOOKUP($F40,Assumptions!$E$152:$AM$157,COLUMN()-COLUMN($AM$4),FALSE)</f>
        <v>1</v>
      </c>
      <c r="BO40" s="33">
        <f>VLOOKUP($F40,Assumptions!$E$152:$AM$157,COLUMN()-COLUMN($AM$4),FALSE)</f>
        <v>1</v>
      </c>
      <c r="BP40" s="33">
        <f>VLOOKUP($F40,Assumptions!$E$152:$AM$157,COLUMN()-COLUMN($AM$4),FALSE)</f>
        <v>1</v>
      </c>
      <c r="BQ40" s="33">
        <f>VLOOKUP($F40,Assumptions!$E$152:$AM$157,COLUMN()-COLUMN($AM$4),FALSE)</f>
        <v>1</v>
      </c>
      <c r="BR40" s="33">
        <f>VLOOKUP($F40,Assumptions!$E$152:$AM$157,COLUMN()-COLUMN($AM$4),FALSE)</f>
        <v>1</v>
      </c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 t="str">
        <f t="shared" si="33"/>
        <v>DMD</v>
      </c>
      <c r="DB40" s="27" t="str">
        <f t="shared" si="48"/>
        <v>NEU_Generic</v>
      </c>
      <c r="DC40" s="27" t="s">
        <v>162</v>
      </c>
      <c r="DD40" s="27" t="s">
        <v>160</v>
      </c>
      <c r="DE40" s="27" t="s">
        <v>161</v>
      </c>
    </row>
    <row r="41" spans="3:109" x14ac:dyDescent="0.45">
      <c r="C41" s="27" t="str">
        <f t="shared" si="39"/>
        <v>NEU_Generic</v>
      </c>
      <c r="D41" s="27" t="s">
        <v>171</v>
      </c>
      <c r="E41" s="27"/>
      <c r="F41" s="27" t="s">
        <v>23</v>
      </c>
      <c r="G41" s="33">
        <f>IFERROR(SUMIFS(Assumptions!AN$105:AN$135,Assumptions!$AL$105:$AL$135,'non-road'!$F41,Assumptions!$AM$105:$AM$135,'non-road'!$D41)/SUMIF(Assumptions!$AL$105:$AL$135,'non-road'!$F41,Assumptions!AN$105:AN$135),"")</f>
        <v>0</v>
      </c>
      <c r="H41" s="33">
        <f>IFERROR(SUMIFS(Assumptions!AO$105:AO$135,Assumptions!$AL$105:$AL$135,'non-road'!$F41,Assumptions!$AM$105:$AM$135,'non-road'!$D41)/SUMIF(Assumptions!$AL$105:$AL$135,'non-road'!$F41,Assumptions!AO$105:AO$135),"")</f>
        <v>0</v>
      </c>
      <c r="I41" s="33" t="str">
        <f>IFERROR(SUMIFS(Assumptions!AP$105:AP$135,Assumptions!$AL$105:$AL$135,'non-road'!$F41,Assumptions!$AM$105:$AM$135,'non-road'!$D41)/SUMIF(Assumptions!$AL$105:$AL$135,'non-road'!$F41,Assumptions!AP$105:AP$135),"")</f>
        <v/>
      </c>
      <c r="J41" s="33">
        <f>IFERROR(SUMIFS(Assumptions!AQ$105:AQ$135,Assumptions!$AL$105:$AL$135,'non-road'!$F41,Assumptions!$AM$105:$AM$135,'non-road'!$D41)/SUMIF(Assumptions!$AL$105:$AL$135,'non-road'!$F41,Assumptions!AQ$105:AQ$135),"")</f>
        <v>0</v>
      </c>
      <c r="K41" s="33">
        <f>IFERROR(SUMIFS(Assumptions!AR$105:AR$135,Assumptions!$AL$105:$AL$135,'non-road'!$F41,Assumptions!$AM$105:$AM$135,'non-road'!$D41)/SUMIF(Assumptions!$AL$105:$AL$135,'non-road'!$F41,Assumptions!AR$105:AR$135),"")</f>
        <v>0</v>
      </c>
      <c r="L41" s="33">
        <f>IFERROR(SUMIFS(Assumptions!AS$105:AS$135,Assumptions!$AL$105:$AL$135,'non-road'!$F41,Assumptions!$AM$105:$AM$135,'non-road'!$D41)/SUMIF(Assumptions!$AL$105:$AL$135,'non-road'!$F41,Assumptions!AS$105:AS$135),"")</f>
        <v>0</v>
      </c>
      <c r="M41" s="33" t="str">
        <f>IFERROR(SUMIFS(Assumptions!AT$105:AT$135,Assumptions!$AL$105:$AL$135,'non-road'!$F41,Assumptions!$AM$105:$AM$135,'non-road'!$D41)/SUMIF(Assumptions!$AL$105:$AL$135,'non-road'!$F41,Assumptions!AT$105:AT$135),"")</f>
        <v/>
      </c>
      <c r="N41" s="33">
        <f>IFERROR(SUMIFS(Assumptions!AU$105:AU$135,Assumptions!$AL$105:$AL$135,'non-road'!$F41,Assumptions!$AM$105:$AM$135,'non-road'!$D41)/SUMIF(Assumptions!$AL$105:$AL$135,'non-road'!$F41,Assumptions!AU$105:AU$135),"")</f>
        <v>0</v>
      </c>
      <c r="O41" s="33">
        <f>IFERROR(SUMIFS(Assumptions!AV$105:AV$135,Assumptions!$AL$105:$AL$135,'non-road'!$F41,Assumptions!$AM$105:$AM$135,'non-road'!$D41)/SUMIF(Assumptions!$AL$105:$AL$135,'non-road'!$F41,Assumptions!AV$105:AV$135),"")</f>
        <v>0</v>
      </c>
      <c r="P41" s="33">
        <f>IFERROR(SUMIFS(Assumptions!AW$105:AW$135,Assumptions!$AL$105:$AL$135,'non-road'!$F41,Assumptions!$AM$105:$AM$135,'non-road'!$D41)/SUMIF(Assumptions!$AL$105:$AL$135,'non-road'!$F41,Assumptions!AW$105:AW$135),"")</f>
        <v>0</v>
      </c>
      <c r="Q41" s="33">
        <f>IFERROR(SUMIFS(Assumptions!AX$105:AX$135,Assumptions!$AL$105:$AL$135,'non-road'!$F41,Assumptions!$AM$105:$AM$135,'non-road'!$D41)/SUMIF(Assumptions!$AL$105:$AL$135,'non-road'!$F41,Assumptions!AX$105:AX$135),"")</f>
        <v>0</v>
      </c>
      <c r="R41" s="33">
        <f>IFERROR(SUMIFS(Assumptions!AY$105:AY$135,Assumptions!$AL$105:$AL$135,'non-road'!$F41,Assumptions!$AM$105:$AM$135,'non-road'!$D41)/SUMIF(Assumptions!$AL$105:$AL$135,'non-road'!$F41,Assumptions!AY$105:AY$135),"")</f>
        <v>0</v>
      </c>
      <c r="S41" s="33">
        <f>IFERROR(SUMIFS(Assumptions!AZ$105:AZ$135,Assumptions!$AL$105:$AL$135,'non-road'!$F41,Assumptions!$AM$105:$AM$135,'non-road'!$D41)/SUMIF(Assumptions!$AL$105:$AL$135,'non-road'!$F41,Assumptions!AZ$105:AZ$135),"")</f>
        <v>0</v>
      </c>
      <c r="T41" s="33">
        <f>IFERROR(SUMIFS(Assumptions!BA$105:BA$135,Assumptions!$AL$105:$AL$135,'non-road'!$F41,Assumptions!$AM$105:$AM$135,'non-road'!$D41)/SUMIF(Assumptions!$AL$105:$AL$135,'non-road'!$F41,Assumptions!BA$105:BA$135),"")</f>
        <v>0</v>
      </c>
      <c r="U41" s="33">
        <f>IFERROR(SUMIFS(Assumptions!BB$105:BB$135,Assumptions!$AL$105:$AL$135,'non-road'!$F41,Assumptions!$AM$105:$AM$135,'non-road'!$D41)/SUMIF(Assumptions!$AL$105:$AL$135,'non-road'!$F41,Assumptions!BB$105:BB$135),"")</f>
        <v>0</v>
      </c>
      <c r="V41" s="33">
        <f>IFERROR(SUMIFS(Assumptions!BC$105:BC$135,Assumptions!$AL$105:$AL$135,'non-road'!$F41,Assumptions!$AM$105:$AM$135,'non-road'!$D41)/SUMIF(Assumptions!$AL$105:$AL$135,'non-road'!$F41,Assumptions!BC$105:BC$135),"")</f>
        <v>0</v>
      </c>
      <c r="W41" s="33">
        <f>IFERROR(SUMIFS(Assumptions!BD$105:BD$135,Assumptions!$AL$105:$AL$135,'non-road'!$F41,Assumptions!$AM$105:$AM$135,'non-road'!$D41)/SUMIF(Assumptions!$AL$105:$AL$135,'non-road'!$F41,Assumptions!BD$105:BD$135),"")</f>
        <v>0</v>
      </c>
      <c r="X41" s="33">
        <f>IFERROR(SUMIFS(Assumptions!BE$105:BE$135,Assumptions!$AL$105:$AL$135,'non-road'!$F41,Assumptions!$AM$105:$AM$135,'non-road'!$D41)/SUMIF(Assumptions!$AL$105:$AL$135,'non-road'!$F41,Assumptions!BE$105:BE$135),"")</f>
        <v>0</v>
      </c>
      <c r="Y41" s="33">
        <f>IFERROR(SUMIFS(Assumptions!BF$105:BF$135,Assumptions!$AL$105:$AL$135,'non-road'!$F41,Assumptions!$AM$105:$AM$135,'non-road'!$D41)/SUMIF(Assumptions!$AL$105:$AL$135,'non-road'!$F41,Assumptions!BF$105:BF$135),"")</f>
        <v>0</v>
      </c>
      <c r="Z41" s="33" t="str">
        <f>IFERROR(SUMIFS(Assumptions!BG$105:BG$135,Assumptions!$AL$105:$AL$135,'non-road'!$F41,Assumptions!$AM$105:$AM$135,'non-road'!$D41)/SUMIF(Assumptions!$AL$105:$AL$135,'non-road'!$F41,Assumptions!BG$105:BG$135),"")</f>
        <v/>
      </c>
      <c r="AA41" s="33">
        <f>IFERROR(SUMIFS(Assumptions!BH$105:BH$135,Assumptions!$AL$105:$AL$135,'non-road'!$F41,Assumptions!$AM$105:$AM$135,'non-road'!$D41)/SUMIF(Assumptions!$AL$105:$AL$135,'non-road'!$F41,Assumptions!BH$105:BH$135),"")</f>
        <v>0</v>
      </c>
      <c r="AB41" s="33">
        <f>IFERROR(SUMIFS(Assumptions!BI$105:BI$135,Assumptions!$AL$105:$AL$135,'non-road'!$F41,Assumptions!$AM$105:$AM$135,'non-road'!$D41)/SUMIF(Assumptions!$AL$105:$AL$135,'non-road'!$F41,Assumptions!BI$105:BI$135),"")</f>
        <v>0</v>
      </c>
      <c r="AC41" s="33">
        <f>IFERROR(SUMIFS(Assumptions!BJ$105:BJ$135,Assumptions!$AL$105:$AL$135,'non-road'!$F41,Assumptions!$AM$105:$AM$135,'non-road'!$D41)/SUMIF(Assumptions!$AL$105:$AL$135,'non-road'!$F41,Assumptions!BJ$105:BJ$135),"")</f>
        <v>0</v>
      </c>
      <c r="AD41" s="33">
        <f>IFERROR(SUMIFS(Assumptions!BK$105:BK$135,Assumptions!$AL$105:$AL$135,'non-road'!$F41,Assumptions!$AM$105:$AM$135,'non-road'!$D41)/SUMIF(Assumptions!$AL$105:$AL$135,'non-road'!$F41,Assumptions!BK$105:BK$135),"")</f>
        <v>0</v>
      </c>
      <c r="AE41" s="33" t="str">
        <f>IFERROR(SUMIFS(Assumptions!BL$105:BL$135,Assumptions!$AL$105:$AL$135,'non-road'!$F41,Assumptions!$AM$105:$AM$135,'non-road'!$D41)/SUMIF(Assumptions!$AL$105:$AL$135,'non-road'!$F41,Assumptions!BL$105:BL$135),"")</f>
        <v/>
      </c>
      <c r="AF41" s="33" t="str">
        <f>IFERROR(SUMIFS(Assumptions!BM$105:BM$135,Assumptions!$AL$105:$AL$135,'non-road'!$F41,Assumptions!$AM$105:$AM$135,'non-road'!$D41)/SUMIF(Assumptions!$AL$105:$AL$135,'non-road'!$F41,Assumptions!BM$105:BM$135),"")</f>
        <v/>
      </c>
      <c r="AG41" s="33">
        <f>IFERROR(SUMIFS(Assumptions!BN$105:BN$135,Assumptions!$AL$105:$AL$135,'non-road'!$F41,Assumptions!$AM$105:$AM$135,'non-road'!$D41)/SUMIF(Assumptions!$AL$105:$AL$135,'non-road'!$F41,Assumptions!BN$105:BN$135),"")</f>
        <v>0</v>
      </c>
      <c r="AH41" s="33">
        <f>IFERROR(SUMIFS(Assumptions!BO$105:BO$135,Assumptions!$AL$105:$AL$135,'non-road'!$F41,Assumptions!$AM$105:$AM$135,'non-road'!$D41)/SUMIF(Assumptions!$AL$105:$AL$135,'non-road'!$F41,Assumptions!BO$105:BO$135),"")</f>
        <v>0</v>
      </c>
      <c r="AI41" s="33">
        <f>IFERROR(SUMIFS(Assumptions!BP$105:BP$135,Assumptions!$AL$105:$AL$135,'non-road'!$F41,Assumptions!$AM$105:$AM$135,'non-road'!$D41)/SUMIF(Assumptions!$AL$105:$AL$135,'non-road'!$F41,Assumptions!BP$105:BP$135),"")</f>
        <v>0</v>
      </c>
      <c r="AJ41" s="33" t="str">
        <f>IFERROR(SUMIFS(Assumptions!BQ$105:BQ$135,Assumptions!$AL$105:$AL$135,'non-road'!$F41,Assumptions!$AM$105:$AM$135,'non-road'!$D41)/SUMIF(Assumptions!$AL$105:$AL$135,'non-road'!$F41,Assumptions!BQ$105:BQ$135),"")</f>
        <v/>
      </c>
      <c r="AN41" s="27" t="str">
        <f t="shared" si="40"/>
        <v>NEU_Generic</v>
      </c>
      <c r="AO41" s="33">
        <v>1</v>
      </c>
      <c r="AP41" s="33">
        <v>1</v>
      </c>
      <c r="AQ41" s="33">
        <v>1</v>
      </c>
      <c r="AR41" s="33">
        <v>1</v>
      </c>
      <c r="AS41" s="33">
        <v>1</v>
      </c>
      <c r="AT41" s="33">
        <v>1</v>
      </c>
      <c r="AU41" s="33">
        <v>1</v>
      </c>
      <c r="AV41" s="33">
        <v>1</v>
      </c>
      <c r="AW41" s="33">
        <v>1</v>
      </c>
      <c r="AX41" s="33">
        <v>1</v>
      </c>
      <c r="AY41" s="33">
        <v>1</v>
      </c>
      <c r="AZ41" s="33">
        <v>1</v>
      </c>
      <c r="BA41" s="33">
        <v>1</v>
      </c>
      <c r="BB41" s="33">
        <v>1</v>
      </c>
      <c r="BC41" s="33">
        <v>1</v>
      </c>
      <c r="BD41" s="33">
        <v>1</v>
      </c>
      <c r="BE41" s="33">
        <v>1</v>
      </c>
      <c r="BF41" s="33">
        <v>1</v>
      </c>
      <c r="BG41" s="33">
        <v>1</v>
      </c>
      <c r="BH41" s="33">
        <v>1</v>
      </c>
      <c r="BI41" s="33">
        <v>1</v>
      </c>
      <c r="BJ41" s="33">
        <v>1</v>
      </c>
      <c r="BK41" s="33">
        <v>1</v>
      </c>
      <c r="BL41" s="33">
        <v>1</v>
      </c>
      <c r="BM41" s="33">
        <v>1</v>
      </c>
      <c r="BN41" s="33">
        <v>1</v>
      </c>
      <c r="BO41" s="33">
        <v>1</v>
      </c>
      <c r="BP41" s="33">
        <v>1</v>
      </c>
      <c r="BQ41" s="33">
        <v>1</v>
      </c>
      <c r="BR41" s="33">
        <v>1</v>
      </c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</row>
    <row r="42" spans="3:109" x14ac:dyDescent="0.45">
      <c r="D42" t="s">
        <v>170</v>
      </c>
      <c r="F42" s="27" t="s">
        <v>23</v>
      </c>
      <c r="G42" s="33">
        <f>IFERROR(SUMIFS(Assumptions!AN$105:AN$135,Assumptions!$AL$105:$AL$135,'non-road'!$F42,Assumptions!$AM$105:$AM$135,'non-road'!$D42)/SUMIF(Assumptions!$AL$105:$AL$135,'non-road'!$F42,Assumptions!AN$105:AN$135),"")</f>
        <v>0</v>
      </c>
      <c r="H42" s="33">
        <f>IFERROR(SUMIFS(Assumptions!AO$105:AO$135,Assumptions!$AL$105:$AL$135,'non-road'!$F42,Assumptions!$AM$105:$AM$135,'non-road'!$D42)/SUMIF(Assumptions!$AL$105:$AL$135,'non-road'!$F42,Assumptions!AO$105:AO$135),"")</f>
        <v>0</v>
      </c>
      <c r="I42" s="33" t="str">
        <f>IFERROR(SUMIFS(Assumptions!AP$105:AP$135,Assumptions!$AL$105:$AL$135,'non-road'!$F42,Assumptions!$AM$105:$AM$135,'non-road'!$D42)/SUMIF(Assumptions!$AL$105:$AL$135,'non-road'!$F42,Assumptions!AP$105:AP$135),"")</f>
        <v/>
      </c>
      <c r="J42" s="33">
        <f>IFERROR(SUMIFS(Assumptions!AQ$105:AQ$135,Assumptions!$AL$105:$AL$135,'non-road'!$F42,Assumptions!$AM$105:$AM$135,'non-road'!$D42)/SUMIF(Assumptions!$AL$105:$AL$135,'non-road'!$F42,Assumptions!AQ$105:AQ$135),"")</f>
        <v>0</v>
      </c>
      <c r="K42" s="33">
        <f>IFERROR(SUMIFS(Assumptions!AR$105:AR$135,Assumptions!$AL$105:$AL$135,'non-road'!$F42,Assumptions!$AM$105:$AM$135,'non-road'!$D42)/SUMIF(Assumptions!$AL$105:$AL$135,'non-road'!$F42,Assumptions!AR$105:AR$135),"")</f>
        <v>0</v>
      </c>
      <c r="L42" s="33">
        <f>IFERROR(SUMIFS(Assumptions!AS$105:AS$135,Assumptions!$AL$105:$AL$135,'non-road'!$F42,Assumptions!$AM$105:$AM$135,'non-road'!$D42)/SUMIF(Assumptions!$AL$105:$AL$135,'non-road'!$F42,Assumptions!AS$105:AS$135),"")</f>
        <v>0</v>
      </c>
      <c r="M42" s="33" t="str">
        <f>IFERROR(SUMIFS(Assumptions!AT$105:AT$135,Assumptions!$AL$105:$AL$135,'non-road'!$F42,Assumptions!$AM$105:$AM$135,'non-road'!$D42)/SUMIF(Assumptions!$AL$105:$AL$135,'non-road'!$F42,Assumptions!AT$105:AT$135),"")</f>
        <v/>
      </c>
      <c r="N42" s="33">
        <f>IFERROR(SUMIFS(Assumptions!AU$105:AU$135,Assumptions!$AL$105:$AL$135,'non-road'!$F42,Assumptions!$AM$105:$AM$135,'non-road'!$D42)/SUMIF(Assumptions!$AL$105:$AL$135,'non-road'!$F42,Assumptions!AU$105:AU$135),"")</f>
        <v>1</v>
      </c>
      <c r="O42" s="33">
        <f>IFERROR(SUMIFS(Assumptions!AV$105:AV$135,Assumptions!$AL$105:$AL$135,'non-road'!$F42,Assumptions!$AM$105:$AM$135,'non-road'!$D42)/SUMIF(Assumptions!$AL$105:$AL$135,'non-road'!$F42,Assumptions!AV$105:AV$135),"")</f>
        <v>0</v>
      </c>
      <c r="P42" s="33">
        <f>IFERROR(SUMIFS(Assumptions!AW$105:AW$135,Assumptions!$AL$105:$AL$135,'non-road'!$F42,Assumptions!$AM$105:$AM$135,'non-road'!$D42)/SUMIF(Assumptions!$AL$105:$AL$135,'non-road'!$F42,Assumptions!AW$105:AW$135),"")</f>
        <v>0</v>
      </c>
      <c r="Q42" s="33">
        <f>IFERROR(SUMIFS(Assumptions!AX$105:AX$135,Assumptions!$AL$105:$AL$135,'non-road'!$F42,Assumptions!$AM$105:$AM$135,'non-road'!$D42)/SUMIF(Assumptions!$AL$105:$AL$135,'non-road'!$F42,Assumptions!AX$105:AX$135),"")</f>
        <v>0</v>
      </c>
      <c r="R42" s="33">
        <f>IFERROR(SUMIFS(Assumptions!AY$105:AY$135,Assumptions!$AL$105:$AL$135,'non-road'!$F42,Assumptions!$AM$105:$AM$135,'non-road'!$D42)/SUMIF(Assumptions!$AL$105:$AL$135,'non-road'!$F42,Assumptions!AY$105:AY$135),"")</f>
        <v>8.5168152105266051E-4</v>
      </c>
      <c r="S42" s="33">
        <f>IFERROR(SUMIFS(Assumptions!AZ$105:AZ$135,Assumptions!$AL$105:$AL$135,'non-road'!$F42,Assumptions!$AM$105:$AM$135,'non-road'!$D42)/SUMIF(Assumptions!$AL$105:$AL$135,'non-road'!$F42,Assumptions!AZ$105:AZ$135),"")</f>
        <v>0</v>
      </c>
      <c r="T42" s="33">
        <f>IFERROR(SUMIFS(Assumptions!BA$105:BA$135,Assumptions!$AL$105:$AL$135,'non-road'!$F42,Assumptions!$AM$105:$AM$135,'non-road'!$D42)/SUMIF(Assumptions!$AL$105:$AL$135,'non-road'!$F42,Assumptions!BA$105:BA$135),"")</f>
        <v>0</v>
      </c>
      <c r="U42" s="33">
        <f>IFERROR(SUMIFS(Assumptions!BB$105:BB$135,Assumptions!$AL$105:$AL$135,'non-road'!$F42,Assumptions!$AM$105:$AM$135,'non-road'!$D42)/SUMIF(Assumptions!$AL$105:$AL$135,'non-road'!$F42,Assumptions!BB$105:BB$135),"")</f>
        <v>0</v>
      </c>
      <c r="V42" s="33">
        <f>IFERROR(SUMIFS(Assumptions!BC$105:BC$135,Assumptions!$AL$105:$AL$135,'non-road'!$F42,Assumptions!$AM$105:$AM$135,'non-road'!$D42)/SUMIF(Assumptions!$AL$105:$AL$135,'non-road'!$F42,Assumptions!BC$105:BC$135),"")</f>
        <v>0</v>
      </c>
      <c r="W42" s="33">
        <f>IFERROR(SUMIFS(Assumptions!BD$105:BD$135,Assumptions!$AL$105:$AL$135,'non-road'!$F42,Assumptions!$AM$105:$AM$135,'non-road'!$D42)/SUMIF(Assumptions!$AL$105:$AL$135,'non-road'!$F42,Assumptions!BD$105:BD$135),"")</f>
        <v>0</v>
      </c>
      <c r="X42" s="33">
        <f>IFERROR(SUMIFS(Assumptions!BE$105:BE$135,Assumptions!$AL$105:$AL$135,'non-road'!$F42,Assumptions!$AM$105:$AM$135,'non-road'!$D42)/SUMIF(Assumptions!$AL$105:$AL$135,'non-road'!$F42,Assumptions!BE$105:BE$135),"")</f>
        <v>0</v>
      </c>
      <c r="Y42" s="33">
        <f>IFERROR(SUMIFS(Assumptions!BF$105:BF$135,Assumptions!$AL$105:$AL$135,'non-road'!$F42,Assumptions!$AM$105:$AM$135,'non-road'!$D42)/SUMIF(Assumptions!$AL$105:$AL$135,'non-road'!$F42,Assumptions!BF$105:BF$135),"")</f>
        <v>0</v>
      </c>
      <c r="Z42" s="33" t="str">
        <f>IFERROR(SUMIFS(Assumptions!BG$105:BG$135,Assumptions!$AL$105:$AL$135,'non-road'!$F42,Assumptions!$AM$105:$AM$135,'non-road'!$D42)/SUMIF(Assumptions!$AL$105:$AL$135,'non-road'!$F42,Assumptions!BG$105:BG$135),"")</f>
        <v/>
      </c>
      <c r="AA42" s="33">
        <f>IFERROR(SUMIFS(Assumptions!BH$105:BH$135,Assumptions!$AL$105:$AL$135,'non-road'!$F42,Assumptions!$AM$105:$AM$135,'non-road'!$D42)/SUMIF(Assumptions!$AL$105:$AL$135,'non-road'!$F42,Assumptions!BH$105:BH$135),"")</f>
        <v>0</v>
      </c>
      <c r="AB42" s="33">
        <f>IFERROR(SUMIFS(Assumptions!BI$105:BI$135,Assumptions!$AL$105:$AL$135,'non-road'!$F42,Assumptions!$AM$105:$AM$135,'non-road'!$D42)/SUMIF(Assumptions!$AL$105:$AL$135,'non-road'!$F42,Assumptions!BI$105:BI$135),"")</f>
        <v>1</v>
      </c>
      <c r="AC42" s="33">
        <f>IFERROR(SUMIFS(Assumptions!BJ$105:BJ$135,Assumptions!$AL$105:$AL$135,'non-road'!$F42,Assumptions!$AM$105:$AM$135,'non-road'!$D42)/SUMIF(Assumptions!$AL$105:$AL$135,'non-road'!$F42,Assumptions!BJ$105:BJ$135),"")</f>
        <v>0</v>
      </c>
      <c r="AD42" s="33">
        <f>IFERROR(SUMIFS(Assumptions!BK$105:BK$135,Assumptions!$AL$105:$AL$135,'non-road'!$F42,Assumptions!$AM$105:$AM$135,'non-road'!$D42)/SUMIF(Assumptions!$AL$105:$AL$135,'non-road'!$F42,Assumptions!BK$105:BK$135),"")</f>
        <v>0</v>
      </c>
      <c r="AE42" s="33" t="str">
        <f>IFERROR(SUMIFS(Assumptions!BL$105:BL$135,Assumptions!$AL$105:$AL$135,'non-road'!$F42,Assumptions!$AM$105:$AM$135,'non-road'!$D42)/SUMIF(Assumptions!$AL$105:$AL$135,'non-road'!$F42,Assumptions!BL$105:BL$135),"")</f>
        <v/>
      </c>
      <c r="AF42" s="33" t="str">
        <f>IFERROR(SUMIFS(Assumptions!BM$105:BM$135,Assumptions!$AL$105:$AL$135,'non-road'!$F42,Assumptions!$AM$105:$AM$135,'non-road'!$D42)/SUMIF(Assumptions!$AL$105:$AL$135,'non-road'!$F42,Assumptions!BM$105:BM$135),"")</f>
        <v/>
      </c>
      <c r="AG42" s="33">
        <f>IFERROR(SUMIFS(Assumptions!BN$105:BN$135,Assumptions!$AL$105:$AL$135,'non-road'!$F42,Assumptions!$AM$105:$AM$135,'non-road'!$D42)/SUMIF(Assumptions!$AL$105:$AL$135,'non-road'!$F42,Assumptions!BN$105:BN$135),"")</f>
        <v>0</v>
      </c>
      <c r="AH42" s="33">
        <f>IFERROR(SUMIFS(Assumptions!BO$105:BO$135,Assumptions!$AL$105:$AL$135,'non-road'!$F42,Assumptions!$AM$105:$AM$135,'non-road'!$D42)/SUMIF(Assumptions!$AL$105:$AL$135,'non-road'!$F42,Assumptions!BO$105:BO$135),"")</f>
        <v>0</v>
      </c>
      <c r="AI42" s="33">
        <f>IFERROR(SUMIFS(Assumptions!BP$105:BP$135,Assumptions!$AL$105:$AL$135,'non-road'!$F42,Assumptions!$AM$105:$AM$135,'non-road'!$D42)/SUMIF(Assumptions!$AL$105:$AL$135,'non-road'!$F42,Assumptions!BP$105:BP$135),"")</f>
        <v>0</v>
      </c>
      <c r="AJ42" s="33" t="str">
        <f>IFERROR(SUMIFS(Assumptions!BQ$105:BQ$135,Assumptions!$AL$105:$AL$135,'non-road'!$F42,Assumptions!$AM$105:$AM$135,'non-road'!$D42)/SUMIF(Assumptions!$AL$105:$AL$135,'non-road'!$F42,Assumptions!BQ$105:BQ$135),"")</f>
        <v/>
      </c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</row>
    <row r="43" spans="3:109" x14ac:dyDescent="0.45">
      <c r="D43" t="s">
        <v>34</v>
      </c>
      <c r="F43" s="27" t="s">
        <v>23</v>
      </c>
      <c r="G43" s="33">
        <f>IFERROR(SUMIFS(Assumptions!AN$105:AN$135,Assumptions!$AL$105:$AL$135,'non-road'!$F43,Assumptions!$AM$105:$AM$135,'non-road'!$D43)/SUMIF(Assumptions!$AL$105:$AL$135,'non-road'!$F43,Assumptions!AN$105:AN$135),"")</f>
        <v>0</v>
      </c>
      <c r="H43" s="33">
        <f>IFERROR(SUMIFS(Assumptions!AO$105:AO$135,Assumptions!$AL$105:$AL$135,'non-road'!$F43,Assumptions!$AM$105:$AM$135,'non-road'!$D43)/SUMIF(Assumptions!$AL$105:$AL$135,'non-road'!$F43,Assumptions!AO$105:AO$135),"")</f>
        <v>0.51170824919507485</v>
      </c>
      <c r="I43" s="33" t="str">
        <f>IFERROR(SUMIFS(Assumptions!AP$105:AP$135,Assumptions!$AL$105:$AL$135,'non-road'!$F43,Assumptions!$AM$105:$AM$135,'non-road'!$D43)/SUMIF(Assumptions!$AL$105:$AL$135,'non-road'!$F43,Assumptions!AP$105:AP$135),"")</f>
        <v/>
      </c>
      <c r="J43" s="33">
        <f>IFERROR(SUMIFS(Assumptions!AQ$105:AQ$135,Assumptions!$AL$105:$AL$135,'non-road'!$F43,Assumptions!$AM$105:$AM$135,'non-road'!$D43)/SUMIF(Assumptions!$AL$105:$AL$135,'non-road'!$F43,Assumptions!AQ$105:AQ$135),"")</f>
        <v>5.5463180583688168E-2</v>
      </c>
      <c r="K43" s="33">
        <f>IFERROR(SUMIFS(Assumptions!AR$105:AR$135,Assumptions!$AL$105:$AL$135,'non-road'!$F43,Assumptions!$AM$105:$AM$135,'non-road'!$D43)/SUMIF(Assumptions!$AL$105:$AL$135,'non-road'!$F43,Assumptions!AR$105:AR$135),"")</f>
        <v>0</v>
      </c>
      <c r="L43" s="33">
        <f>IFERROR(SUMIFS(Assumptions!AS$105:AS$135,Assumptions!$AL$105:$AL$135,'non-road'!$F43,Assumptions!$AM$105:$AM$135,'non-road'!$D43)/SUMIF(Assumptions!$AL$105:$AL$135,'non-road'!$F43,Assumptions!AS$105:AS$135),"")</f>
        <v>0</v>
      </c>
      <c r="M43" s="33" t="str">
        <f>IFERROR(SUMIFS(Assumptions!AT$105:AT$135,Assumptions!$AL$105:$AL$135,'non-road'!$F43,Assumptions!$AM$105:$AM$135,'non-road'!$D43)/SUMIF(Assumptions!$AL$105:$AL$135,'non-road'!$F43,Assumptions!AT$105:AT$135),"")</f>
        <v/>
      </c>
      <c r="N43" s="33">
        <f>IFERROR(SUMIFS(Assumptions!AU$105:AU$135,Assumptions!$AL$105:$AL$135,'non-road'!$F43,Assumptions!$AM$105:$AM$135,'non-road'!$D43)/SUMIF(Assumptions!$AL$105:$AL$135,'non-road'!$F43,Assumptions!AU$105:AU$135),"")</f>
        <v>0</v>
      </c>
      <c r="O43" s="33">
        <f>IFERROR(SUMIFS(Assumptions!AV$105:AV$135,Assumptions!$AL$105:$AL$135,'non-road'!$F43,Assumptions!$AM$105:$AM$135,'non-road'!$D43)/SUMIF(Assumptions!$AL$105:$AL$135,'non-road'!$F43,Assumptions!AV$105:AV$135),"")</f>
        <v>0.17347955281177915</v>
      </c>
      <c r="P43" s="33">
        <f>IFERROR(SUMIFS(Assumptions!AW$105:AW$135,Assumptions!$AL$105:$AL$135,'non-road'!$F43,Assumptions!$AM$105:$AM$135,'non-road'!$D43)/SUMIF(Assumptions!$AL$105:$AL$135,'non-road'!$F43,Assumptions!AW$105:AW$135),"")</f>
        <v>0.92991233513566063</v>
      </c>
      <c r="Q43" s="33">
        <f>IFERROR(SUMIFS(Assumptions!AX$105:AX$135,Assumptions!$AL$105:$AL$135,'non-road'!$F43,Assumptions!$AM$105:$AM$135,'non-road'!$D43)/SUMIF(Assumptions!$AL$105:$AL$135,'non-road'!$F43,Assumptions!AX$105:AX$135),"")</f>
        <v>0</v>
      </c>
      <c r="R43" s="33">
        <f>IFERROR(SUMIFS(Assumptions!AY$105:AY$135,Assumptions!$AL$105:$AL$135,'non-road'!$F43,Assumptions!$AM$105:$AM$135,'non-road'!$D43)/SUMIF(Assumptions!$AL$105:$AL$135,'non-road'!$F43,Assumptions!AY$105:AY$135),"")</f>
        <v>3.9180322678792549E-4</v>
      </c>
      <c r="S43" s="33">
        <f>IFERROR(SUMIFS(Assumptions!AZ$105:AZ$135,Assumptions!$AL$105:$AL$135,'non-road'!$F43,Assumptions!$AM$105:$AM$135,'non-road'!$D43)/SUMIF(Assumptions!$AL$105:$AL$135,'non-road'!$F43,Assumptions!AZ$105:AZ$135),"")</f>
        <v>0</v>
      </c>
      <c r="T43" s="33">
        <f>IFERROR(SUMIFS(Assumptions!BA$105:BA$135,Assumptions!$AL$105:$AL$135,'non-road'!$F43,Assumptions!$AM$105:$AM$135,'non-road'!$D43)/SUMIF(Assumptions!$AL$105:$AL$135,'non-road'!$F43,Assumptions!BA$105:BA$135),"")</f>
        <v>1.1288485122648148E-3</v>
      </c>
      <c r="U43" s="33">
        <f>IFERROR(SUMIFS(Assumptions!BB$105:BB$135,Assumptions!$AL$105:$AL$135,'non-road'!$F43,Assumptions!$AM$105:$AM$135,'non-road'!$D43)/SUMIF(Assumptions!$AL$105:$AL$135,'non-road'!$F43,Assumptions!BB$105:BB$135),"")</f>
        <v>6.923431876211277E-3</v>
      </c>
      <c r="V43" s="33">
        <f>IFERROR(SUMIFS(Assumptions!BC$105:BC$135,Assumptions!$AL$105:$AL$135,'non-road'!$F43,Assumptions!$AM$105:$AM$135,'non-road'!$D43)/SUMIF(Assumptions!$AL$105:$AL$135,'non-road'!$F43,Assumptions!BC$105:BC$135),"")</f>
        <v>0</v>
      </c>
      <c r="W43" s="33">
        <f>IFERROR(SUMIFS(Assumptions!BD$105:BD$135,Assumptions!$AL$105:$AL$135,'non-road'!$F43,Assumptions!$AM$105:$AM$135,'non-road'!$D43)/SUMIF(Assumptions!$AL$105:$AL$135,'non-road'!$F43,Assumptions!BD$105:BD$135),"")</f>
        <v>0.55710485724847991</v>
      </c>
      <c r="X43" s="33">
        <f>IFERROR(SUMIFS(Assumptions!BE$105:BE$135,Assumptions!$AL$105:$AL$135,'non-road'!$F43,Assumptions!$AM$105:$AM$135,'non-road'!$D43)/SUMIF(Assumptions!$AL$105:$AL$135,'non-road'!$F43,Assumptions!BE$105:BE$135),"")</f>
        <v>0</v>
      </c>
      <c r="Y43" s="33">
        <f>IFERROR(SUMIFS(Assumptions!BF$105:BF$135,Assumptions!$AL$105:$AL$135,'non-road'!$F43,Assumptions!$AM$105:$AM$135,'non-road'!$D43)/SUMIF(Assumptions!$AL$105:$AL$135,'non-road'!$F43,Assumptions!BF$105:BF$135),"")</f>
        <v>0</v>
      </c>
      <c r="Z43" s="33" t="str">
        <f>IFERROR(SUMIFS(Assumptions!BG$105:BG$135,Assumptions!$AL$105:$AL$135,'non-road'!$F43,Assumptions!$AM$105:$AM$135,'non-road'!$D43)/SUMIF(Assumptions!$AL$105:$AL$135,'non-road'!$F43,Assumptions!BG$105:BG$135),"")</f>
        <v/>
      </c>
      <c r="AA43" s="33">
        <f>IFERROR(SUMIFS(Assumptions!BH$105:BH$135,Assumptions!$AL$105:$AL$135,'non-road'!$F43,Assumptions!$AM$105:$AM$135,'non-road'!$D43)/SUMIF(Assumptions!$AL$105:$AL$135,'non-road'!$F43,Assumptions!BH$105:BH$135),"")</f>
        <v>0.12893626535307565</v>
      </c>
      <c r="AB43" s="33">
        <f>IFERROR(SUMIFS(Assumptions!BI$105:BI$135,Assumptions!$AL$105:$AL$135,'non-road'!$F43,Assumptions!$AM$105:$AM$135,'non-road'!$D43)/SUMIF(Assumptions!$AL$105:$AL$135,'non-road'!$F43,Assumptions!BI$105:BI$135),"")</f>
        <v>0</v>
      </c>
      <c r="AC43" s="33">
        <f>IFERROR(SUMIFS(Assumptions!BJ$105:BJ$135,Assumptions!$AL$105:$AL$135,'non-road'!$F43,Assumptions!$AM$105:$AM$135,'non-road'!$D43)/SUMIF(Assumptions!$AL$105:$AL$135,'non-road'!$F43,Assumptions!BJ$105:BJ$135),"")</f>
        <v>0.17395477443367099</v>
      </c>
      <c r="AD43" s="33">
        <f>IFERROR(SUMIFS(Assumptions!BK$105:BK$135,Assumptions!$AL$105:$AL$135,'non-road'!$F43,Assumptions!$AM$105:$AM$135,'non-road'!$D43)/SUMIF(Assumptions!$AL$105:$AL$135,'non-road'!$F43,Assumptions!BK$105:BK$135),"")</f>
        <v>3.742849252377007E-2</v>
      </c>
      <c r="AE43" s="33" t="str">
        <f>IFERROR(SUMIFS(Assumptions!BL$105:BL$135,Assumptions!$AL$105:$AL$135,'non-road'!$F43,Assumptions!$AM$105:$AM$135,'non-road'!$D43)/SUMIF(Assumptions!$AL$105:$AL$135,'non-road'!$F43,Assumptions!BL$105:BL$135),"")</f>
        <v/>
      </c>
      <c r="AF43" s="33" t="str">
        <f>IFERROR(SUMIFS(Assumptions!BM$105:BM$135,Assumptions!$AL$105:$AL$135,'non-road'!$F43,Assumptions!$AM$105:$AM$135,'non-road'!$D43)/SUMIF(Assumptions!$AL$105:$AL$135,'non-road'!$F43,Assumptions!BM$105:BM$135),"")</f>
        <v/>
      </c>
      <c r="AG43" s="33">
        <f>IFERROR(SUMIFS(Assumptions!BN$105:BN$135,Assumptions!$AL$105:$AL$135,'non-road'!$F43,Assumptions!$AM$105:$AM$135,'non-road'!$D43)/SUMIF(Assumptions!$AL$105:$AL$135,'non-road'!$F43,Assumptions!BN$105:BN$135),"")</f>
        <v>0.37179050031742245</v>
      </c>
      <c r="AH43" s="33">
        <f>IFERROR(SUMIFS(Assumptions!BO$105:BO$135,Assumptions!$AL$105:$AL$135,'non-road'!$F43,Assumptions!$AM$105:$AM$135,'non-road'!$D43)/SUMIF(Assumptions!$AL$105:$AL$135,'non-road'!$F43,Assumptions!BO$105:BO$135),"")</f>
        <v>0</v>
      </c>
      <c r="AI43" s="33">
        <f>IFERROR(SUMIFS(Assumptions!BP$105:BP$135,Assumptions!$AL$105:$AL$135,'non-road'!$F43,Assumptions!$AM$105:$AM$135,'non-road'!$D43)/SUMIF(Assumptions!$AL$105:$AL$135,'non-road'!$F43,Assumptions!BP$105:BP$135),"")</f>
        <v>0</v>
      </c>
      <c r="AJ43" s="33" t="str">
        <f>IFERROR(SUMIFS(Assumptions!BQ$105:BQ$135,Assumptions!$AL$105:$AL$135,'non-road'!$F43,Assumptions!$AM$105:$AM$135,'non-road'!$D43)/SUMIF(Assumptions!$AL$105:$AL$135,'non-road'!$F43,Assumptions!BQ$105:BQ$135),"")</f>
        <v/>
      </c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</row>
    <row r="44" spans="3:109" x14ac:dyDescent="0.45">
      <c r="D44" t="s">
        <v>35</v>
      </c>
      <c r="F44" s="27" t="s">
        <v>23</v>
      </c>
      <c r="G44" s="33">
        <f>IFERROR(SUMIFS(Assumptions!AN$105:AN$135,Assumptions!$AL$105:$AL$135,'non-road'!$F44,Assumptions!$AM$105:$AM$135,'non-road'!$D44)/SUMIF(Assumptions!$AL$105:$AL$135,'non-road'!$F44,Assumptions!AN$105:AN$135),"")</f>
        <v>0</v>
      </c>
      <c r="H44" s="33">
        <f>IFERROR(SUMIFS(Assumptions!AO$105:AO$135,Assumptions!$AL$105:$AL$135,'non-road'!$F44,Assumptions!$AM$105:$AM$135,'non-road'!$D44)/SUMIF(Assumptions!$AL$105:$AL$135,'non-road'!$F44,Assumptions!AO$105:AO$135),"")</f>
        <v>0</v>
      </c>
      <c r="I44" s="33" t="str">
        <f>IFERROR(SUMIFS(Assumptions!AP$105:AP$135,Assumptions!$AL$105:$AL$135,'non-road'!$F44,Assumptions!$AM$105:$AM$135,'non-road'!$D44)/SUMIF(Assumptions!$AL$105:$AL$135,'non-road'!$F44,Assumptions!AP$105:AP$135),"")</f>
        <v/>
      </c>
      <c r="J44" s="33">
        <f>IFERROR(SUMIFS(Assumptions!AQ$105:AQ$135,Assumptions!$AL$105:$AL$135,'non-road'!$F44,Assumptions!$AM$105:$AM$135,'non-road'!$D44)/SUMIF(Assumptions!$AL$105:$AL$135,'non-road'!$F44,Assumptions!AQ$105:AQ$135),"")</f>
        <v>0</v>
      </c>
      <c r="K44" s="33">
        <f>IFERROR(SUMIFS(Assumptions!AR$105:AR$135,Assumptions!$AL$105:$AL$135,'non-road'!$F44,Assumptions!$AM$105:$AM$135,'non-road'!$D44)/SUMIF(Assumptions!$AL$105:$AL$135,'non-road'!$F44,Assumptions!AR$105:AR$135),"")</f>
        <v>0</v>
      </c>
      <c r="L44" s="33">
        <f>IFERROR(SUMIFS(Assumptions!AS$105:AS$135,Assumptions!$AL$105:$AL$135,'non-road'!$F44,Assumptions!$AM$105:$AM$135,'non-road'!$D44)/SUMIF(Assumptions!$AL$105:$AL$135,'non-road'!$F44,Assumptions!AS$105:AS$135),"")</f>
        <v>0</v>
      </c>
      <c r="M44" s="33" t="str">
        <f>IFERROR(SUMIFS(Assumptions!AT$105:AT$135,Assumptions!$AL$105:$AL$135,'non-road'!$F44,Assumptions!$AM$105:$AM$135,'non-road'!$D44)/SUMIF(Assumptions!$AL$105:$AL$135,'non-road'!$F44,Assumptions!AT$105:AT$135),"")</f>
        <v/>
      </c>
      <c r="N44" s="33">
        <f>IFERROR(SUMIFS(Assumptions!AU$105:AU$135,Assumptions!$AL$105:$AL$135,'non-road'!$F44,Assumptions!$AM$105:$AM$135,'non-road'!$D44)/SUMIF(Assumptions!$AL$105:$AL$135,'non-road'!$F44,Assumptions!AU$105:AU$135),"")</f>
        <v>0</v>
      </c>
      <c r="O44" s="33">
        <f>IFERROR(SUMIFS(Assumptions!AV$105:AV$135,Assumptions!$AL$105:$AL$135,'non-road'!$F44,Assumptions!$AM$105:$AM$135,'non-road'!$D44)/SUMIF(Assumptions!$AL$105:$AL$135,'non-road'!$F44,Assumptions!AV$105:AV$135),"")</f>
        <v>0</v>
      </c>
      <c r="P44" s="33">
        <f>IFERROR(SUMIFS(Assumptions!AW$105:AW$135,Assumptions!$AL$105:$AL$135,'non-road'!$F44,Assumptions!$AM$105:$AM$135,'non-road'!$D44)/SUMIF(Assumptions!$AL$105:$AL$135,'non-road'!$F44,Assumptions!AW$105:AW$135),"")</f>
        <v>0</v>
      </c>
      <c r="Q44" s="33">
        <f>IFERROR(SUMIFS(Assumptions!AX$105:AX$135,Assumptions!$AL$105:$AL$135,'non-road'!$F44,Assumptions!$AM$105:$AM$135,'non-road'!$D44)/SUMIF(Assumptions!$AL$105:$AL$135,'non-road'!$F44,Assumptions!AX$105:AX$135),"")</f>
        <v>0</v>
      </c>
      <c r="R44" s="33">
        <f>IFERROR(SUMIFS(Assumptions!AY$105:AY$135,Assumptions!$AL$105:$AL$135,'non-road'!$F44,Assumptions!$AM$105:$AM$135,'non-road'!$D44)/SUMIF(Assumptions!$AL$105:$AL$135,'non-road'!$F44,Assumptions!AY$105:AY$135),"")</f>
        <v>0</v>
      </c>
      <c r="S44" s="33">
        <f>IFERROR(SUMIFS(Assumptions!AZ$105:AZ$135,Assumptions!$AL$105:$AL$135,'non-road'!$F44,Assumptions!$AM$105:$AM$135,'non-road'!$D44)/SUMIF(Assumptions!$AL$105:$AL$135,'non-road'!$F44,Assumptions!AZ$105:AZ$135),"")</f>
        <v>0</v>
      </c>
      <c r="T44" s="33">
        <f>IFERROR(SUMIFS(Assumptions!BA$105:BA$135,Assumptions!$AL$105:$AL$135,'non-road'!$F44,Assumptions!$AM$105:$AM$135,'non-road'!$D44)/SUMIF(Assumptions!$AL$105:$AL$135,'non-road'!$F44,Assumptions!BA$105:BA$135),"")</f>
        <v>0</v>
      </c>
      <c r="U44" s="33">
        <f>IFERROR(SUMIFS(Assumptions!BB$105:BB$135,Assumptions!$AL$105:$AL$135,'non-road'!$F44,Assumptions!$AM$105:$AM$135,'non-road'!$D44)/SUMIF(Assumptions!$AL$105:$AL$135,'non-road'!$F44,Assumptions!BB$105:BB$135),"")</f>
        <v>0</v>
      </c>
      <c r="V44" s="33">
        <f>IFERROR(SUMIFS(Assumptions!BC$105:BC$135,Assumptions!$AL$105:$AL$135,'non-road'!$F44,Assumptions!$AM$105:$AM$135,'non-road'!$D44)/SUMIF(Assumptions!$AL$105:$AL$135,'non-road'!$F44,Assumptions!BC$105:BC$135),"")</f>
        <v>0</v>
      </c>
      <c r="W44" s="33">
        <f>IFERROR(SUMIFS(Assumptions!BD$105:BD$135,Assumptions!$AL$105:$AL$135,'non-road'!$F44,Assumptions!$AM$105:$AM$135,'non-road'!$D44)/SUMIF(Assumptions!$AL$105:$AL$135,'non-road'!$F44,Assumptions!BD$105:BD$135),"")</f>
        <v>0</v>
      </c>
      <c r="X44" s="33">
        <f>IFERROR(SUMIFS(Assumptions!BE$105:BE$135,Assumptions!$AL$105:$AL$135,'non-road'!$F44,Assumptions!$AM$105:$AM$135,'non-road'!$D44)/SUMIF(Assumptions!$AL$105:$AL$135,'non-road'!$F44,Assumptions!BE$105:BE$135),"")</f>
        <v>0</v>
      </c>
      <c r="Y44" s="33">
        <f>IFERROR(SUMIFS(Assumptions!BF$105:BF$135,Assumptions!$AL$105:$AL$135,'non-road'!$F44,Assumptions!$AM$105:$AM$135,'non-road'!$D44)/SUMIF(Assumptions!$AL$105:$AL$135,'non-road'!$F44,Assumptions!BF$105:BF$135),"")</f>
        <v>0</v>
      </c>
      <c r="Z44" s="33" t="str">
        <f>IFERROR(SUMIFS(Assumptions!BG$105:BG$135,Assumptions!$AL$105:$AL$135,'non-road'!$F44,Assumptions!$AM$105:$AM$135,'non-road'!$D44)/SUMIF(Assumptions!$AL$105:$AL$135,'non-road'!$F44,Assumptions!BG$105:BG$135),"")</f>
        <v/>
      </c>
      <c r="AA44" s="33">
        <f>IFERROR(SUMIFS(Assumptions!BH$105:BH$135,Assumptions!$AL$105:$AL$135,'non-road'!$F44,Assumptions!$AM$105:$AM$135,'non-road'!$D44)/SUMIF(Assumptions!$AL$105:$AL$135,'non-road'!$F44,Assumptions!BH$105:BH$135),"")</f>
        <v>0</v>
      </c>
      <c r="AB44" s="33">
        <f>IFERROR(SUMIFS(Assumptions!BI$105:BI$135,Assumptions!$AL$105:$AL$135,'non-road'!$F44,Assumptions!$AM$105:$AM$135,'non-road'!$D44)/SUMIF(Assumptions!$AL$105:$AL$135,'non-road'!$F44,Assumptions!BI$105:BI$135),"")</f>
        <v>0</v>
      </c>
      <c r="AC44" s="33">
        <f>IFERROR(SUMIFS(Assumptions!BJ$105:BJ$135,Assumptions!$AL$105:$AL$135,'non-road'!$F44,Assumptions!$AM$105:$AM$135,'non-road'!$D44)/SUMIF(Assumptions!$AL$105:$AL$135,'non-road'!$F44,Assumptions!BJ$105:BJ$135),"")</f>
        <v>0</v>
      </c>
      <c r="AD44" s="33">
        <f>IFERROR(SUMIFS(Assumptions!BK$105:BK$135,Assumptions!$AL$105:$AL$135,'non-road'!$F44,Assumptions!$AM$105:$AM$135,'non-road'!$D44)/SUMIF(Assumptions!$AL$105:$AL$135,'non-road'!$F44,Assumptions!BK$105:BK$135),"")</f>
        <v>0</v>
      </c>
      <c r="AE44" s="33" t="str">
        <f>IFERROR(SUMIFS(Assumptions!BL$105:BL$135,Assumptions!$AL$105:$AL$135,'non-road'!$F44,Assumptions!$AM$105:$AM$135,'non-road'!$D44)/SUMIF(Assumptions!$AL$105:$AL$135,'non-road'!$F44,Assumptions!BL$105:BL$135),"")</f>
        <v/>
      </c>
      <c r="AF44" s="33" t="str">
        <f>IFERROR(SUMIFS(Assumptions!BM$105:BM$135,Assumptions!$AL$105:$AL$135,'non-road'!$F44,Assumptions!$AM$105:$AM$135,'non-road'!$D44)/SUMIF(Assumptions!$AL$105:$AL$135,'non-road'!$F44,Assumptions!BM$105:BM$135),"")</f>
        <v/>
      </c>
      <c r="AG44" s="33">
        <f>IFERROR(SUMIFS(Assumptions!BN$105:BN$135,Assumptions!$AL$105:$AL$135,'non-road'!$F44,Assumptions!$AM$105:$AM$135,'non-road'!$D44)/SUMIF(Assumptions!$AL$105:$AL$135,'non-road'!$F44,Assumptions!BN$105:BN$135),"")</f>
        <v>0</v>
      </c>
      <c r="AH44" s="33">
        <f>IFERROR(SUMIFS(Assumptions!BO$105:BO$135,Assumptions!$AL$105:$AL$135,'non-road'!$F44,Assumptions!$AM$105:$AM$135,'non-road'!$D44)/SUMIF(Assumptions!$AL$105:$AL$135,'non-road'!$F44,Assumptions!BO$105:BO$135),"")</f>
        <v>0</v>
      </c>
      <c r="AI44" s="33">
        <f>IFERROR(SUMIFS(Assumptions!BP$105:BP$135,Assumptions!$AL$105:$AL$135,'non-road'!$F44,Assumptions!$AM$105:$AM$135,'non-road'!$D44)/SUMIF(Assumptions!$AL$105:$AL$135,'non-road'!$F44,Assumptions!BP$105:BP$135),"")</f>
        <v>0</v>
      </c>
      <c r="AJ44" s="33" t="str">
        <f>IFERROR(SUMIFS(Assumptions!BQ$105:BQ$135,Assumptions!$AL$105:$AL$135,'non-road'!$F44,Assumptions!$AM$105:$AM$135,'non-road'!$D44)/SUMIF(Assumptions!$AL$105:$AL$135,'non-road'!$F44,Assumptions!BQ$105:BQ$135),"")</f>
        <v/>
      </c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</row>
    <row r="45" spans="3:109" x14ac:dyDescent="0.45">
      <c r="D45" t="s">
        <v>46</v>
      </c>
      <c r="F45" s="27" t="s">
        <v>23</v>
      </c>
      <c r="G45" s="33">
        <f>IFERROR(SUMIFS(Assumptions!AN$105:AN$135,Assumptions!$AL$105:$AL$135,'non-road'!$F45,Assumptions!$AM$105:$AM$135,'non-road'!$D45)/SUMIF(Assumptions!$AL$105:$AL$135,'non-road'!$F45,Assumptions!AN$105:AN$135),"")</f>
        <v>9.7440267010436732E-2</v>
      </c>
      <c r="H45" s="33">
        <f>IFERROR(SUMIFS(Assumptions!AO$105:AO$135,Assumptions!$AL$105:$AL$135,'non-road'!$F45,Assumptions!$AM$105:$AM$135,'non-road'!$D45)/SUMIF(Assumptions!$AL$105:$AL$135,'non-road'!$F45,Assumptions!AO$105:AO$135),"")</f>
        <v>0</v>
      </c>
      <c r="I45" s="33" t="str">
        <f>IFERROR(SUMIFS(Assumptions!AP$105:AP$135,Assumptions!$AL$105:$AL$135,'non-road'!$F45,Assumptions!$AM$105:$AM$135,'non-road'!$D45)/SUMIF(Assumptions!$AL$105:$AL$135,'non-road'!$F45,Assumptions!AP$105:AP$135),"")</f>
        <v/>
      </c>
      <c r="J45" s="33">
        <f>IFERROR(SUMIFS(Assumptions!AQ$105:AQ$135,Assumptions!$AL$105:$AL$135,'non-road'!$F45,Assumptions!$AM$105:$AM$135,'non-road'!$D45)/SUMIF(Assumptions!$AL$105:$AL$135,'non-road'!$F45,Assumptions!AQ$105:AQ$135),"")</f>
        <v>7.6591326423149336E-2</v>
      </c>
      <c r="K45" s="33">
        <f>IFERROR(SUMIFS(Assumptions!AR$105:AR$135,Assumptions!$AL$105:$AL$135,'non-road'!$F45,Assumptions!$AM$105:$AM$135,'non-road'!$D45)/SUMIF(Assumptions!$AL$105:$AL$135,'non-road'!$F45,Assumptions!AR$105:AR$135),"")</f>
        <v>0</v>
      </c>
      <c r="L45" s="33">
        <f>IFERROR(SUMIFS(Assumptions!AS$105:AS$135,Assumptions!$AL$105:$AL$135,'non-road'!$F45,Assumptions!$AM$105:$AM$135,'non-road'!$D45)/SUMIF(Assumptions!$AL$105:$AL$135,'non-road'!$F45,Assumptions!AS$105:AS$135),"")</f>
        <v>0</v>
      </c>
      <c r="M45" s="33" t="str">
        <f>IFERROR(SUMIFS(Assumptions!AT$105:AT$135,Assumptions!$AL$105:$AL$135,'non-road'!$F45,Assumptions!$AM$105:$AM$135,'non-road'!$D45)/SUMIF(Assumptions!$AL$105:$AL$135,'non-road'!$F45,Assumptions!AT$105:AT$135),"")</f>
        <v/>
      </c>
      <c r="N45" s="33">
        <f>IFERROR(SUMIFS(Assumptions!AU$105:AU$135,Assumptions!$AL$105:$AL$135,'non-road'!$F45,Assumptions!$AM$105:$AM$135,'non-road'!$D45)/SUMIF(Assumptions!$AL$105:$AL$135,'non-road'!$F45,Assumptions!AU$105:AU$135),"")</f>
        <v>0</v>
      </c>
      <c r="O45" s="33">
        <f>IFERROR(SUMIFS(Assumptions!AV$105:AV$135,Assumptions!$AL$105:$AL$135,'non-road'!$F45,Assumptions!$AM$105:$AM$135,'non-road'!$D45)/SUMIF(Assumptions!$AL$105:$AL$135,'non-road'!$F45,Assumptions!AV$105:AV$135),"")</f>
        <v>0</v>
      </c>
      <c r="P45" s="33">
        <f>IFERROR(SUMIFS(Assumptions!AW$105:AW$135,Assumptions!$AL$105:$AL$135,'non-road'!$F45,Assumptions!$AM$105:$AM$135,'non-road'!$D45)/SUMIF(Assumptions!$AL$105:$AL$135,'non-road'!$F45,Assumptions!AW$105:AW$135),"")</f>
        <v>0</v>
      </c>
      <c r="Q45" s="33">
        <f>IFERROR(SUMIFS(Assumptions!AX$105:AX$135,Assumptions!$AL$105:$AL$135,'non-road'!$F45,Assumptions!$AM$105:$AM$135,'non-road'!$D45)/SUMIF(Assumptions!$AL$105:$AL$135,'non-road'!$F45,Assumptions!AX$105:AX$135),"")</f>
        <v>0</v>
      </c>
      <c r="R45" s="33">
        <f>IFERROR(SUMIFS(Assumptions!AY$105:AY$135,Assumptions!$AL$105:$AL$135,'non-road'!$F45,Assumptions!$AM$105:$AM$135,'non-road'!$D45)/SUMIF(Assumptions!$AL$105:$AL$135,'non-road'!$F45,Assumptions!AY$105:AY$135),"")</f>
        <v>0</v>
      </c>
      <c r="S45" s="33">
        <f>IFERROR(SUMIFS(Assumptions!AZ$105:AZ$135,Assumptions!$AL$105:$AL$135,'non-road'!$F45,Assumptions!$AM$105:$AM$135,'non-road'!$D45)/SUMIF(Assumptions!$AL$105:$AL$135,'non-road'!$F45,Assumptions!AZ$105:AZ$135),"")</f>
        <v>1.0601720041337522E-2</v>
      </c>
      <c r="T45" s="33">
        <f>IFERROR(SUMIFS(Assumptions!BA$105:BA$135,Assumptions!$AL$105:$AL$135,'non-road'!$F45,Assumptions!$AM$105:$AM$135,'non-road'!$D45)/SUMIF(Assumptions!$AL$105:$AL$135,'non-road'!$F45,Assumptions!BA$105:BA$135),"")</f>
        <v>0</v>
      </c>
      <c r="U45" s="33">
        <f>IFERROR(SUMIFS(Assumptions!BB$105:BB$135,Assumptions!$AL$105:$AL$135,'non-road'!$F45,Assumptions!$AM$105:$AM$135,'non-road'!$D45)/SUMIF(Assumptions!$AL$105:$AL$135,'non-road'!$F45,Assumptions!BB$105:BB$135),"")</f>
        <v>4.8727966284184941E-4</v>
      </c>
      <c r="V45" s="33">
        <f>IFERROR(SUMIFS(Assumptions!BC$105:BC$135,Assumptions!$AL$105:$AL$135,'non-road'!$F45,Assumptions!$AM$105:$AM$135,'non-road'!$D45)/SUMIF(Assumptions!$AL$105:$AL$135,'non-road'!$F45,Assumptions!BC$105:BC$135),"")</f>
        <v>0</v>
      </c>
      <c r="W45" s="33">
        <f>IFERROR(SUMIFS(Assumptions!BD$105:BD$135,Assumptions!$AL$105:$AL$135,'non-road'!$F45,Assumptions!$AM$105:$AM$135,'non-road'!$D45)/SUMIF(Assumptions!$AL$105:$AL$135,'non-road'!$F45,Assumptions!BD$105:BD$135),"")</f>
        <v>0</v>
      </c>
      <c r="X45" s="33">
        <f>IFERROR(SUMIFS(Assumptions!BE$105:BE$135,Assumptions!$AL$105:$AL$135,'non-road'!$F45,Assumptions!$AM$105:$AM$135,'non-road'!$D45)/SUMIF(Assumptions!$AL$105:$AL$135,'non-road'!$F45,Assumptions!BE$105:BE$135),"")</f>
        <v>0</v>
      </c>
      <c r="Y45" s="33">
        <f>IFERROR(SUMIFS(Assumptions!BF$105:BF$135,Assumptions!$AL$105:$AL$135,'non-road'!$F45,Assumptions!$AM$105:$AM$135,'non-road'!$D45)/SUMIF(Assumptions!$AL$105:$AL$135,'non-road'!$F45,Assumptions!BF$105:BF$135),"")</f>
        <v>0</v>
      </c>
      <c r="Z45" s="33" t="str">
        <f>IFERROR(SUMIFS(Assumptions!BG$105:BG$135,Assumptions!$AL$105:$AL$135,'non-road'!$F45,Assumptions!$AM$105:$AM$135,'non-road'!$D45)/SUMIF(Assumptions!$AL$105:$AL$135,'non-road'!$F45,Assumptions!BG$105:BG$135),"")</f>
        <v/>
      </c>
      <c r="AA45" s="33">
        <f>IFERROR(SUMIFS(Assumptions!BH$105:BH$135,Assumptions!$AL$105:$AL$135,'non-road'!$F45,Assumptions!$AM$105:$AM$135,'non-road'!$D45)/SUMIF(Assumptions!$AL$105:$AL$135,'non-road'!$F45,Assumptions!BH$105:BH$135),"")</f>
        <v>8.2668243745176812E-2</v>
      </c>
      <c r="AB45" s="33">
        <f>IFERROR(SUMIFS(Assumptions!BI$105:BI$135,Assumptions!$AL$105:$AL$135,'non-road'!$F45,Assumptions!$AM$105:$AM$135,'non-road'!$D45)/SUMIF(Assumptions!$AL$105:$AL$135,'non-road'!$F45,Assumptions!BI$105:BI$135),"")</f>
        <v>0</v>
      </c>
      <c r="AC45" s="33">
        <f>IFERROR(SUMIFS(Assumptions!BJ$105:BJ$135,Assumptions!$AL$105:$AL$135,'non-road'!$F45,Assumptions!$AM$105:$AM$135,'non-road'!$D45)/SUMIF(Assumptions!$AL$105:$AL$135,'non-road'!$F45,Assumptions!BJ$105:BJ$135),"")</f>
        <v>0</v>
      </c>
      <c r="AD45" s="33">
        <f>IFERROR(SUMIFS(Assumptions!BK$105:BK$135,Assumptions!$AL$105:$AL$135,'non-road'!$F45,Assumptions!$AM$105:$AM$135,'non-road'!$D45)/SUMIF(Assumptions!$AL$105:$AL$135,'non-road'!$F45,Assumptions!BK$105:BK$135),"")</f>
        <v>0</v>
      </c>
      <c r="AE45" s="33" t="str">
        <f>IFERROR(SUMIFS(Assumptions!BL$105:BL$135,Assumptions!$AL$105:$AL$135,'non-road'!$F45,Assumptions!$AM$105:$AM$135,'non-road'!$D45)/SUMIF(Assumptions!$AL$105:$AL$135,'non-road'!$F45,Assumptions!BL$105:BL$135),"")</f>
        <v/>
      </c>
      <c r="AF45" s="33" t="str">
        <f>IFERROR(SUMIFS(Assumptions!BM$105:BM$135,Assumptions!$AL$105:$AL$135,'non-road'!$F45,Assumptions!$AM$105:$AM$135,'non-road'!$D45)/SUMIF(Assumptions!$AL$105:$AL$135,'non-road'!$F45,Assumptions!BM$105:BM$135),"")</f>
        <v/>
      </c>
      <c r="AG45" s="33">
        <f>IFERROR(SUMIFS(Assumptions!BN$105:BN$135,Assumptions!$AL$105:$AL$135,'non-road'!$F45,Assumptions!$AM$105:$AM$135,'non-road'!$D45)/SUMIF(Assumptions!$AL$105:$AL$135,'non-road'!$F45,Assumptions!BN$105:BN$135),"")</f>
        <v>0</v>
      </c>
      <c r="AH45" s="33">
        <f>IFERROR(SUMIFS(Assumptions!BO$105:BO$135,Assumptions!$AL$105:$AL$135,'non-road'!$F45,Assumptions!$AM$105:$AM$135,'non-road'!$D45)/SUMIF(Assumptions!$AL$105:$AL$135,'non-road'!$F45,Assumptions!BO$105:BO$135),"")</f>
        <v>0</v>
      </c>
      <c r="AI45" s="33">
        <f>IFERROR(SUMIFS(Assumptions!BP$105:BP$135,Assumptions!$AL$105:$AL$135,'non-road'!$F45,Assumptions!$AM$105:$AM$135,'non-road'!$D45)/SUMIF(Assumptions!$AL$105:$AL$135,'non-road'!$F45,Assumptions!BP$105:BP$135),"")</f>
        <v>0</v>
      </c>
      <c r="AJ45" s="33" t="str">
        <f>IFERROR(SUMIFS(Assumptions!BQ$105:BQ$135,Assumptions!$AL$105:$AL$135,'non-road'!$F45,Assumptions!$AM$105:$AM$135,'non-road'!$D45)/SUMIF(Assumptions!$AL$105:$AL$135,'non-road'!$F45,Assumptions!BQ$105:BQ$135),"")</f>
        <v/>
      </c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</row>
    <row r="46" spans="3:109" x14ac:dyDescent="0.45">
      <c r="D46" t="s">
        <v>40</v>
      </c>
      <c r="F46" s="27" t="s">
        <v>23</v>
      </c>
      <c r="G46" s="33">
        <f>IFERROR(SUMIFS(Assumptions!AN$105:AN$135,Assumptions!$AL$105:$AL$135,'non-road'!$F46,Assumptions!$AM$105:$AM$135,'non-road'!$D46)/SUMIF(Assumptions!$AL$105:$AL$135,'non-road'!$F46,Assumptions!AN$105:AN$135),"")</f>
        <v>0.90255973298956327</v>
      </c>
      <c r="H46" s="33">
        <f>IFERROR(SUMIFS(Assumptions!AO$105:AO$135,Assumptions!$AL$105:$AL$135,'non-road'!$F46,Assumptions!$AM$105:$AM$135,'non-road'!$D46)/SUMIF(Assumptions!$AL$105:$AL$135,'non-road'!$F46,Assumptions!AO$105:AO$135),"")</f>
        <v>0.45736563037257055</v>
      </c>
      <c r="I46" s="33" t="str">
        <f>IFERROR(SUMIFS(Assumptions!AP$105:AP$135,Assumptions!$AL$105:$AL$135,'non-road'!$F46,Assumptions!$AM$105:$AM$135,'non-road'!$D46)/SUMIF(Assumptions!$AL$105:$AL$135,'non-road'!$F46,Assumptions!AP$105:AP$135),"")</f>
        <v/>
      </c>
      <c r="J46" s="33">
        <f>IFERROR(SUMIFS(Assumptions!AQ$105:AQ$135,Assumptions!$AL$105:$AL$135,'non-road'!$F46,Assumptions!$AM$105:$AM$135,'non-road'!$D46)/SUMIF(Assumptions!$AL$105:$AL$135,'non-road'!$F46,Assumptions!AQ$105:AQ$135),"")</f>
        <v>0.8538636192823269</v>
      </c>
      <c r="K46" s="33">
        <f>IFERROR(SUMIFS(Assumptions!AR$105:AR$135,Assumptions!$AL$105:$AL$135,'non-road'!$F46,Assumptions!$AM$105:$AM$135,'non-road'!$D46)/SUMIF(Assumptions!$AL$105:$AL$135,'non-road'!$F46,Assumptions!AR$105:AR$135),"")</f>
        <v>0.99995397087257532</v>
      </c>
      <c r="L46" s="33">
        <f>IFERROR(SUMIFS(Assumptions!AS$105:AS$135,Assumptions!$AL$105:$AL$135,'non-road'!$F46,Assumptions!$AM$105:$AM$135,'non-road'!$D46)/SUMIF(Assumptions!$AL$105:$AL$135,'non-road'!$F46,Assumptions!AS$105:AS$135),"")</f>
        <v>0.57738997410432613</v>
      </c>
      <c r="M46" s="33" t="str">
        <f>IFERROR(SUMIFS(Assumptions!AT$105:AT$135,Assumptions!$AL$105:$AL$135,'non-road'!$F46,Assumptions!$AM$105:$AM$135,'non-road'!$D46)/SUMIF(Assumptions!$AL$105:$AL$135,'non-road'!$F46,Assumptions!AT$105:AT$135),"")</f>
        <v/>
      </c>
      <c r="N46" s="33">
        <f>IFERROR(SUMIFS(Assumptions!AU$105:AU$135,Assumptions!$AL$105:$AL$135,'non-road'!$F46,Assumptions!$AM$105:$AM$135,'non-road'!$D46)/SUMIF(Assumptions!$AL$105:$AL$135,'non-road'!$F46,Assumptions!AU$105:AU$135),"")</f>
        <v>0</v>
      </c>
      <c r="O46" s="33">
        <f>IFERROR(SUMIFS(Assumptions!AV$105:AV$135,Assumptions!$AL$105:$AL$135,'non-road'!$F46,Assumptions!$AM$105:$AM$135,'non-road'!$D46)/SUMIF(Assumptions!$AL$105:$AL$135,'non-road'!$F46,Assumptions!AV$105:AV$135),"")</f>
        <v>0.16748337208785369</v>
      </c>
      <c r="P46" s="33">
        <f>IFERROR(SUMIFS(Assumptions!AW$105:AW$135,Assumptions!$AL$105:$AL$135,'non-road'!$F46,Assumptions!$AM$105:$AM$135,'non-road'!$D46)/SUMIF(Assumptions!$AL$105:$AL$135,'non-road'!$F46,Assumptions!AW$105:AW$135),"")</f>
        <v>7.00876648643394E-2</v>
      </c>
      <c r="Q46" s="33">
        <f>IFERROR(SUMIFS(Assumptions!AX$105:AX$135,Assumptions!$AL$105:$AL$135,'non-road'!$F46,Assumptions!$AM$105:$AM$135,'non-road'!$D46)/SUMIF(Assumptions!$AL$105:$AL$135,'non-road'!$F46,Assumptions!AX$105:AX$135),"")</f>
        <v>1</v>
      </c>
      <c r="R46" s="33">
        <f>IFERROR(SUMIFS(Assumptions!AY$105:AY$135,Assumptions!$AL$105:$AL$135,'non-road'!$F46,Assumptions!$AM$105:$AM$135,'non-road'!$D46)/SUMIF(Assumptions!$AL$105:$AL$135,'non-road'!$F46,Assumptions!AY$105:AY$135),"")</f>
        <v>0.99875651525215936</v>
      </c>
      <c r="S46" s="33">
        <f>IFERROR(SUMIFS(Assumptions!AZ$105:AZ$135,Assumptions!$AL$105:$AL$135,'non-road'!$F46,Assumptions!$AM$105:$AM$135,'non-road'!$D46)/SUMIF(Assumptions!$AL$105:$AL$135,'non-road'!$F46,Assumptions!AZ$105:AZ$135),"")</f>
        <v>0.98939827995866259</v>
      </c>
      <c r="T46" s="33">
        <f>IFERROR(SUMIFS(Assumptions!BA$105:BA$135,Assumptions!$AL$105:$AL$135,'non-road'!$F46,Assumptions!$AM$105:$AM$135,'non-road'!$D46)/SUMIF(Assumptions!$AL$105:$AL$135,'non-road'!$F46,Assumptions!BA$105:BA$135),"")</f>
        <v>0.99887115148773531</v>
      </c>
      <c r="U46" s="33">
        <f>IFERROR(SUMIFS(Assumptions!BB$105:BB$135,Assumptions!$AL$105:$AL$135,'non-road'!$F46,Assumptions!$AM$105:$AM$135,'non-road'!$D46)/SUMIF(Assumptions!$AL$105:$AL$135,'non-road'!$F46,Assumptions!BB$105:BB$135),"")</f>
        <v>0.99258928846094685</v>
      </c>
      <c r="V46" s="33">
        <f>IFERROR(SUMIFS(Assumptions!BC$105:BC$135,Assumptions!$AL$105:$AL$135,'non-road'!$F46,Assumptions!$AM$105:$AM$135,'non-road'!$D46)/SUMIF(Assumptions!$AL$105:$AL$135,'non-road'!$F46,Assumptions!BC$105:BC$135),"")</f>
        <v>1</v>
      </c>
      <c r="W46" s="33">
        <f>IFERROR(SUMIFS(Assumptions!BD$105:BD$135,Assumptions!$AL$105:$AL$135,'non-road'!$F46,Assumptions!$AM$105:$AM$135,'non-road'!$D46)/SUMIF(Assumptions!$AL$105:$AL$135,'non-road'!$F46,Assumptions!BD$105:BD$135),"")</f>
        <v>0.44159033807158427</v>
      </c>
      <c r="X46" s="33">
        <f>IFERROR(SUMIFS(Assumptions!BE$105:BE$135,Assumptions!$AL$105:$AL$135,'non-road'!$F46,Assumptions!$AM$105:$AM$135,'non-road'!$D46)/SUMIF(Assumptions!$AL$105:$AL$135,'non-road'!$F46,Assumptions!BE$105:BE$135),"")</f>
        <v>1</v>
      </c>
      <c r="Y46" s="33">
        <f>IFERROR(SUMIFS(Assumptions!BF$105:BF$135,Assumptions!$AL$105:$AL$135,'non-road'!$F46,Assumptions!$AM$105:$AM$135,'non-road'!$D46)/SUMIF(Assumptions!$AL$105:$AL$135,'non-road'!$F46,Assumptions!BF$105:BF$135),"")</f>
        <v>1</v>
      </c>
      <c r="Z46" s="33" t="str">
        <f>IFERROR(SUMIFS(Assumptions!BG$105:BG$135,Assumptions!$AL$105:$AL$135,'non-road'!$F46,Assumptions!$AM$105:$AM$135,'non-road'!$D46)/SUMIF(Assumptions!$AL$105:$AL$135,'non-road'!$F46,Assumptions!BG$105:BG$135),"")</f>
        <v/>
      </c>
      <c r="AA46" s="33">
        <f>IFERROR(SUMIFS(Assumptions!BH$105:BH$135,Assumptions!$AL$105:$AL$135,'non-road'!$F46,Assumptions!$AM$105:$AM$135,'non-road'!$D46)/SUMIF(Assumptions!$AL$105:$AL$135,'non-road'!$F46,Assumptions!BH$105:BH$135),"")</f>
        <v>0.78839549090174754</v>
      </c>
      <c r="AB46" s="33">
        <f>IFERROR(SUMIFS(Assumptions!BI$105:BI$135,Assumptions!$AL$105:$AL$135,'non-road'!$F46,Assumptions!$AM$105:$AM$135,'non-road'!$D46)/SUMIF(Assumptions!$AL$105:$AL$135,'non-road'!$F46,Assumptions!BI$105:BI$135),"")</f>
        <v>0</v>
      </c>
      <c r="AC46" s="33">
        <f>IFERROR(SUMIFS(Assumptions!BJ$105:BJ$135,Assumptions!$AL$105:$AL$135,'non-road'!$F46,Assumptions!$AM$105:$AM$135,'non-road'!$D46)/SUMIF(Assumptions!$AL$105:$AL$135,'non-road'!$F46,Assumptions!BJ$105:BJ$135),"")</f>
        <v>0.82604522556632898</v>
      </c>
      <c r="AD46" s="33">
        <f>IFERROR(SUMIFS(Assumptions!BK$105:BK$135,Assumptions!$AL$105:$AL$135,'non-road'!$F46,Assumptions!$AM$105:$AM$135,'non-road'!$D46)/SUMIF(Assumptions!$AL$105:$AL$135,'non-road'!$F46,Assumptions!BK$105:BK$135),"")</f>
        <v>0.96257150747622999</v>
      </c>
      <c r="AE46" s="33" t="str">
        <f>IFERROR(SUMIFS(Assumptions!BL$105:BL$135,Assumptions!$AL$105:$AL$135,'non-road'!$F46,Assumptions!$AM$105:$AM$135,'non-road'!$D46)/SUMIF(Assumptions!$AL$105:$AL$135,'non-road'!$F46,Assumptions!BL$105:BL$135),"")</f>
        <v/>
      </c>
      <c r="AF46" s="33" t="str">
        <f>IFERROR(SUMIFS(Assumptions!BM$105:BM$135,Assumptions!$AL$105:$AL$135,'non-road'!$F46,Assumptions!$AM$105:$AM$135,'non-road'!$D46)/SUMIF(Assumptions!$AL$105:$AL$135,'non-road'!$F46,Assumptions!BM$105:BM$135),"")</f>
        <v/>
      </c>
      <c r="AG46" s="33">
        <f>IFERROR(SUMIFS(Assumptions!BN$105:BN$135,Assumptions!$AL$105:$AL$135,'non-road'!$F46,Assumptions!$AM$105:$AM$135,'non-road'!$D46)/SUMIF(Assumptions!$AL$105:$AL$135,'non-road'!$F46,Assumptions!BN$105:BN$135),"")</f>
        <v>0.62820949968257744</v>
      </c>
      <c r="AH46" s="33">
        <f>IFERROR(SUMIFS(Assumptions!BO$105:BO$135,Assumptions!$AL$105:$AL$135,'non-road'!$F46,Assumptions!$AM$105:$AM$135,'non-road'!$D46)/SUMIF(Assumptions!$AL$105:$AL$135,'non-road'!$F46,Assumptions!BO$105:BO$135),"")</f>
        <v>1</v>
      </c>
      <c r="AI46" s="33">
        <f>IFERROR(SUMIFS(Assumptions!BP$105:BP$135,Assumptions!$AL$105:$AL$135,'non-road'!$F46,Assumptions!$AM$105:$AM$135,'non-road'!$D46)/SUMIF(Assumptions!$AL$105:$AL$135,'non-road'!$F46,Assumptions!BP$105:BP$135),"")</f>
        <v>0.37361897520224924</v>
      </c>
      <c r="AJ46" s="33" t="str">
        <f>IFERROR(SUMIFS(Assumptions!BQ$105:BQ$135,Assumptions!$AL$105:$AL$135,'non-road'!$F46,Assumptions!$AM$105:$AM$135,'non-road'!$D46)/SUMIF(Assumptions!$AL$105:$AL$135,'non-road'!$F46,Assumptions!BQ$105:BQ$135),"")</f>
        <v/>
      </c>
      <c r="BS46" s="27"/>
      <c r="BT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</row>
    <row r="47" spans="3:109" x14ac:dyDescent="0.45">
      <c r="D47" t="s">
        <v>44</v>
      </c>
      <c r="F47" s="27" t="s">
        <v>23</v>
      </c>
      <c r="G47" s="33">
        <f>IFERROR(SUMIFS(Assumptions!AN$105:AN$135,Assumptions!$AL$105:$AL$135,'non-road'!$F47,Assumptions!$AM$105:$AM$135,'non-road'!$D47)/SUMIF(Assumptions!$AL$105:$AL$135,'non-road'!$F47,Assumptions!AN$105:AN$135),"")</f>
        <v>0</v>
      </c>
      <c r="H47" s="33">
        <f>IFERROR(SUMIFS(Assumptions!AO$105:AO$135,Assumptions!$AL$105:$AL$135,'non-road'!$F47,Assumptions!$AM$105:$AM$135,'non-road'!$D47)/SUMIF(Assumptions!$AL$105:$AL$135,'non-road'!$F47,Assumptions!AO$105:AO$135),"")</f>
        <v>3.092612043235465E-2</v>
      </c>
      <c r="I47" s="33" t="str">
        <f>IFERROR(SUMIFS(Assumptions!AP$105:AP$135,Assumptions!$AL$105:$AL$135,'non-road'!$F47,Assumptions!$AM$105:$AM$135,'non-road'!$D47)/SUMIF(Assumptions!$AL$105:$AL$135,'non-road'!$F47,Assumptions!AP$105:AP$135),"")</f>
        <v/>
      </c>
      <c r="J47" s="33">
        <f>IFERROR(SUMIFS(Assumptions!AQ$105:AQ$135,Assumptions!$AL$105:$AL$135,'non-road'!$F47,Assumptions!$AM$105:$AM$135,'non-road'!$D47)/SUMIF(Assumptions!$AL$105:$AL$135,'non-road'!$F47,Assumptions!AQ$105:AQ$135),"")</f>
        <v>1.4081873710835616E-2</v>
      </c>
      <c r="K47" s="33">
        <f>IFERROR(SUMIFS(Assumptions!AR$105:AR$135,Assumptions!$AL$105:$AL$135,'non-road'!$F47,Assumptions!$AM$105:$AM$135,'non-road'!$D47)/SUMIF(Assumptions!$AL$105:$AL$135,'non-road'!$F47,Assumptions!AR$105:AR$135),"")</f>
        <v>4.6029127424626449E-5</v>
      </c>
      <c r="L47" s="33">
        <f>IFERROR(SUMIFS(Assumptions!AS$105:AS$135,Assumptions!$AL$105:$AL$135,'non-road'!$F47,Assumptions!$AM$105:$AM$135,'non-road'!$D47)/SUMIF(Assumptions!$AL$105:$AL$135,'non-road'!$F47,Assumptions!AS$105:AS$135),"")</f>
        <v>0.42261002589567392</v>
      </c>
      <c r="M47" s="33" t="str">
        <f>IFERROR(SUMIFS(Assumptions!AT$105:AT$135,Assumptions!$AL$105:$AL$135,'non-road'!$F47,Assumptions!$AM$105:$AM$135,'non-road'!$D47)/SUMIF(Assumptions!$AL$105:$AL$135,'non-road'!$F47,Assumptions!AT$105:AT$135),"")</f>
        <v/>
      </c>
      <c r="N47" s="33">
        <f>IFERROR(SUMIFS(Assumptions!AU$105:AU$135,Assumptions!$AL$105:$AL$135,'non-road'!$F47,Assumptions!$AM$105:$AM$135,'non-road'!$D47)/SUMIF(Assumptions!$AL$105:$AL$135,'non-road'!$F47,Assumptions!AU$105:AU$135),"")</f>
        <v>0</v>
      </c>
      <c r="O47" s="33">
        <f>IFERROR(SUMIFS(Assumptions!AV$105:AV$135,Assumptions!$AL$105:$AL$135,'non-road'!$F47,Assumptions!$AM$105:$AM$135,'non-road'!$D47)/SUMIF(Assumptions!$AL$105:$AL$135,'non-road'!$F47,Assumptions!AV$105:AV$135),"")</f>
        <v>0.65903707510036713</v>
      </c>
      <c r="P47" s="33">
        <f>IFERROR(SUMIFS(Assumptions!AW$105:AW$135,Assumptions!$AL$105:$AL$135,'non-road'!$F47,Assumptions!$AM$105:$AM$135,'non-road'!$D47)/SUMIF(Assumptions!$AL$105:$AL$135,'non-road'!$F47,Assumptions!AW$105:AW$135),"")</f>
        <v>0</v>
      </c>
      <c r="Q47" s="33">
        <f>IFERROR(SUMIFS(Assumptions!AX$105:AX$135,Assumptions!$AL$105:$AL$135,'non-road'!$F47,Assumptions!$AM$105:$AM$135,'non-road'!$D47)/SUMIF(Assumptions!$AL$105:$AL$135,'non-road'!$F47,Assumptions!AX$105:AX$135),"")</f>
        <v>0</v>
      </c>
      <c r="R47" s="33">
        <f>IFERROR(SUMIFS(Assumptions!AY$105:AY$135,Assumptions!$AL$105:$AL$135,'non-road'!$F47,Assumptions!$AM$105:$AM$135,'non-road'!$D47)/SUMIF(Assumptions!$AL$105:$AL$135,'non-road'!$F47,Assumptions!AY$105:AY$135),"")</f>
        <v>0</v>
      </c>
      <c r="S47" s="33">
        <f>IFERROR(SUMIFS(Assumptions!AZ$105:AZ$135,Assumptions!$AL$105:$AL$135,'non-road'!$F47,Assumptions!$AM$105:$AM$135,'non-road'!$D47)/SUMIF(Assumptions!$AL$105:$AL$135,'non-road'!$F47,Assumptions!AZ$105:AZ$135),"")</f>
        <v>0</v>
      </c>
      <c r="T47" s="33">
        <f>IFERROR(SUMIFS(Assumptions!BA$105:BA$135,Assumptions!$AL$105:$AL$135,'non-road'!$F47,Assumptions!$AM$105:$AM$135,'non-road'!$D47)/SUMIF(Assumptions!$AL$105:$AL$135,'non-road'!$F47,Assumptions!BA$105:BA$135),"")</f>
        <v>0</v>
      </c>
      <c r="U47" s="33">
        <f>IFERROR(SUMIFS(Assumptions!BB$105:BB$135,Assumptions!$AL$105:$AL$135,'non-road'!$F47,Assumptions!$AM$105:$AM$135,'non-road'!$D47)/SUMIF(Assumptions!$AL$105:$AL$135,'non-road'!$F47,Assumptions!BB$105:BB$135),"")</f>
        <v>0</v>
      </c>
      <c r="V47" s="33">
        <f>IFERROR(SUMIFS(Assumptions!BC$105:BC$135,Assumptions!$AL$105:$AL$135,'non-road'!$F47,Assumptions!$AM$105:$AM$135,'non-road'!$D47)/SUMIF(Assumptions!$AL$105:$AL$135,'non-road'!$F47,Assumptions!BC$105:BC$135),"")</f>
        <v>0</v>
      </c>
      <c r="W47" s="33">
        <f>IFERROR(SUMIFS(Assumptions!BD$105:BD$135,Assumptions!$AL$105:$AL$135,'non-road'!$F47,Assumptions!$AM$105:$AM$135,'non-road'!$D47)/SUMIF(Assumptions!$AL$105:$AL$135,'non-road'!$F47,Assumptions!BD$105:BD$135),"")</f>
        <v>1.3048046799358738E-3</v>
      </c>
      <c r="X47" s="33">
        <f>IFERROR(SUMIFS(Assumptions!BE$105:BE$135,Assumptions!$AL$105:$AL$135,'non-road'!$F47,Assumptions!$AM$105:$AM$135,'non-road'!$D47)/SUMIF(Assumptions!$AL$105:$AL$135,'non-road'!$F47,Assumptions!BE$105:BE$135),"")</f>
        <v>0</v>
      </c>
      <c r="Y47" s="33">
        <f>IFERROR(SUMIFS(Assumptions!BF$105:BF$135,Assumptions!$AL$105:$AL$135,'non-road'!$F47,Assumptions!$AM$105:$AM$135,'non-road'!$D47)/SUMIF(Assumptions!$AL$105:$AL$135,'non-road'!$F47,Assumptions!BF$105:BF$135),"")</f>
        <v>0</v>
      </c>
      <c r="Z47" s="33" t="str">
        <f>IFERROR(SUMIFS(Assumptions!BG$105:BG$135,Assumptions!$AL$105:$AL$135,'non-road'!$F47,Assumptions!$AM$105:$AM$135,'non-road'!$D47)/SUMIF(Assumptions!$AL$105:$AL$135,'non-road'!$F47,Assumptions!BG$105:BG$135),"")</f>
        <v/>
      </c>
      <c r="AA47" s="33">
        <f>IFERROR(SUMIFS(Assumptions!BH$105:BH$135,Assumptions!$AL$105:$AL$135,'non-road'!$F47,Assumptions!$AM$105:$AM$135,'non-road'!$D47)/SUMIF(Assumptions!$AL$105:$AL$135,'non-road'!$F47,Assumptions!BH$105:BH$135),"")</f>
        <v>0</v>
      </c>
      <c r="AB47" s="33">
        <f>IFERROR(SUMIFS(Assumptions!BI$105:BI$135,Assumptions!$AL$105:$AL$135,'non-road'!$F47,Assumptions!$AM$105:$AM$135,'non-road'!$D47)/SUMIF(Assumptions!$AL$105:$AL$135,'non-road'!$F47,Assumptions!BI$105:BI$135),"")</f>
        <v>0</v>
      </c>
      <c r="AC47" s="33">
        <f>IFERROR(SUMIFS(Assumptions!BJ$105:BJ$135,Assumptions!$AL$105:$AL$135,'non-road'!$F47,Assumptions!$AM$105:$AM$135,'non-road'!$D47)/SUMIF(Assumptions!$AL$105:$AL$135,'non-road'!$F47,Assumptions!BJ$105:BJ$135),"")</f>
        <v>0</v>
      </c>
      <c r="AD47" s="33">
        <f>IFERROR(SUMIFS(Assumptions!BK$105:BK$135,Assumptions!$AL$105:$AL$135,'non-road'!$F47,Assumptions!$AM$105:$AM$135,'non-road'!$D47)/SUMIF(Assumptions!$AL$105:$AL$135,'non-road'!$F47,Assumptions!BK$105:BK$135),"")</f>
        <v>0</v>
      </c>
      <c r="AE47" s="33" t="str">
        <f>IFERROR(SUMIFS(Assumptions!BL$105:BL$135,Assumptions!$AL$105:$AL$135,'non-road'!$F47,Assumptions!$AM$105:$AM$135,'non-road'!$D47)/SUMIF(Assumptions!$AL$105:$AL$135,'non-road'!$F47,Assumptions!BL$105:BL$135),"")</f>
        <v/>
      </c>
      <c r="AF47" s="33" t="str">
        <f>IFERROR(SUMIFS(Assumptions!BM$105:BM$135,Assumptions!$AL$105:$AL$135,'non-road'!$F47,Assumptions!$AM$105:$AM$135,'non-road'!$D47)/SUMIF(Assumptions!$AL$105:$AL$135,'non-road'!$F47,Assumptions!BM$105:BM$135),"")</f>
        <v/>
      </c>
      <c r="AG47" s="33">
        <f>IFERROR(SUMIFS(Assumptions!BN$105:BN$135,Assumptions!$AL$105:$AL$135,'non-road'!$F47,Assumptions!$AM$105:$AM$135,'non-road'!$D47)/SUMIF(Assumptions!$AL$105:$AL$135,'non-road'!$F47,Assumptions!BN$105:BN$135),"")</f>
        <v>0</v>
      </c>
      <c r="AH47" s="33">
        <f>IFERROR(SUMIFS(Assumptions!BO$105:BO$135,Assumptions!$AL$105:$AL$135,'non-road'!$F47,Assumptions!$AM$105:$AM$135,'non-road'!$D47)/SUMIF(Assumptions!$AL$105:$AL$135,'non-road'!$F47,Assumptions!BO$105:BO$135),"")</f>
        <v>0</v>
      </c>
      <c r="AI47" s="33">
        <f>IFERROR(SUMIFS(Assumptions!BP$105:BP$135,Assumptions!$AL$105:$AL$135,'non-road'!$F47,Assumptions!$AM$105:$AM$135,'non-road'!$D47)/SUMIF(Assumptions!$AL$105:$AL$135,'non-road'!$F47,Assumptions!BP$105:BP$135),"")</f>
        <v>0.62638102479775082</v>
      </c>
      <c r="AJ47" s="33" t="str">
        <f>IFERROR(SUMIFS(Assumptions!BQ$105:BQ$135,Assumptions!$AL$105:$AL$135,'non-road'!$F47,Assumptions!$AM$105:$AM$135,'non-road'!$D47)/SUMIF(Assumptions!$AL$105:$AL$135,'non-road'!$F47,Assumptions!BQ$105:BQ$135),"")</f>
        <v/>
      </c>
      <c r="BS47" s="27"/>
      <c r="BT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</row>
    <row r="48" spans="3:109" x14ac:dyDescent="0.45">
      <c r="D48" t="s">
        <v>47</v>
      </c>
      <c r="F48" s="27" t="s">
        <v>23</v>
      </c>
      <c r="G48" s="33">
        <f>IFERROR(SUMIFS(Assumptions!AN$105:AN$135,Assumptions!$AL$105:$AL$135,'non-road'!$F48,Assumptions!$AM$105:$AM$135,'non-road'!$D48)/SUMIF(Assumptions!$AL$105:$AL$135,'non-road'!$F48,Assumptions!AN$105:AN$135),"")</f>
        <v>0</v>
      </c>
      <c r="H48" s="33">
        <f>IFERROR(SUMIFS(Assumptions!AO$105:AO$135,Assumptions!$AL$105:$AL$135,'non-road'!$F48,Assumptions!$AM$105:$AM$135,'non-road'!$D48)/SUMIF(Assumptions!$AL$105:$AL$135,'non-road'!$F48,Assumptions!AO$105:AO$135),"")</f>
        <v>0</v>
      </c>
      <c r="I48" s="33" t="str">
        <f>IFERROR(SUMIFS(Assumptions!AP$105:AP$135,Assumptions!$AL$105:$AL$135,'non-road'!$F48,Assumptions!$AM$105:$AM$135,'non-road'!$D48)/SUMIF(Assumptions!$AL$105:$AL$135,'non-road'!$F48,Assumptions!AP$105:AP$135),"")</f>
        <v/>
      </c>
      <c r="J48" s="33">
        <f>IFERROR(SUMIFS(Assumptions!AQ$105:AQ$135,Assumptions!$AL$105:$AL$135,'non-road'!$F48,Assumptions!$AM$105:$AM$135,'non-road'!$D48)/SUMIF(Assumptions!$AL$105:$AL$135,'non-road'!$F48,Assumptions!AQ$105:AQ$135),"")</f>
        <v>0</v>
      </c>
      <c r="K48" s="33">
        <f>IFERROR(SUMIFS(Assumptions!AR$105:AR$135,Assumptions!$AL$105:$AL$135,'non-road'!$F48,Assumptions!$AM$105:$AM$135,'non-road'!$D48)/SUMIF(Assumptions!$AL$105:$AL$135,'non-road'!$F48,Assumptions!AR$105:AR$135),"")</f>
        <v>0</v>
      </c>
      <c r="L48" s="33">
        <f>IFERROR(SUMIFS(Assumptions!AS$105:AS$135,Assumptions!$AL$105:$AL$135,'non-road'!$F48,Assumptions!$AM$105:$AM$135,'non-road'!$D48)/SUMIF(Assumptions!$AL$105:$AL$135,'non-road'!$F48,Assumptions!AS$105:AS$135),"")</f>
        <v>0</v>
      </c>
      <c r="M48" s="33" t="str">
        <f>IFERROR(SUMIFS(Assumptions!AT$105:AT$135,Assumptions!$AL$105:$AL$135,'non-road'!$F48,Assumptions!$AM$105:$AM$135,'non-road'!$D48)/SUMIF(Assumptions!$AL$105:$AL$135,'non-road'!$F48,Assumptions!AT$105:AT$135),"")</f>
        <v/>
      </c>
      <c r="N48" s="33">
        <f>IFERROR(SUMIFS(Assumptions!AU$105:AU$135,Assumptions!$AL$105:$AL$135,'non-road'!$F48,Assumptions!$AM$105:$AM$135,'non-road'!$D48)/SUMIF(Assumptions!$AL$105:$AL$135,'non-road'!$F48,Assumptions!AU$105:AU$135),"")</f>
        <v>0</v>
      </c>
      <c r="O48" s="33">
        <f>IFERROR(SUMIFS(Assumptions!AV$105:AV$135,Assumptions!$AL$105:$AL$135,'non-road'!$F48,Assumptions!$AM$105:$AM$135,'non-road'!$D48)/SUMIF(Assumptions!$AL$105:$AL$135,'non-road'!$F48,Assumptions!AV$105:AV$135),"")</f>
        <v>0</v>
      </c>
      <c r="P48" s="33">
        <f>IFERROR(SUMIFS(Assumptions!AW$105:AW$135,Assumptions!$AL$105:$AL$135,'non-road'!$F48,Assumptions!$AM$105:$AM$135,'non-road'!$D48)/SUMIF(Assumptions!$AL$105:$AL$135,'non-road'!$F48,Assumptions!AW$105:AW$135),"")</f>
        <v>0</v>
      </c>
      <c r="Q48" s="33">
        <f>IFERROR(SUMIFS(Assumptions!AX$105:AX$135,Assumptions!$AL$105:$AL$135,'non-road'!$F48,Assumptions!$AM$105:$AM$135,'non-road'!$D48)/SUMIF(Assumptions!$AL$105:$AL$135,'non-road'!$F48,Assumptions!AX$105:AX$135),"")</f>
        <v>0</v>
      </c>
      <c r="R48" s="33">
        <f>IFERROR(SUMIFS(Assumptions!AY$105:AY$135,Assumptions!$AL$105:$AL$135,'non-road'!$F48,Assumptions!$AM$105:$AM$135,'non-road'!$D48)/SUMIF(Assumptions!$AL$105:$AL$135,'non-road'!$F48,Assumptions!AY$105:AY$135),"")</f>
        <v>0</v>
      </c>
      <c r="S48" s="33">
        <f>IFERROR(SUMIFS(Assumptions!AZ$105:AZ$135,Assumptions!$AL$105:$AL$135,'non-road'!$F48,Assumptions!$AM$105:$AM$135,'non-road'!$D48)/SUMIF(Assumptions!$AL$105:$AL$135,'non-road'!$F48,Assumptions!AZ$105:AZ$135),"")</f>
        <v>0</v>
      </c>
      <c r="T48" s="33">
        <f>IFERROR(SUMIFS(Assumptions!BA$105:BA$135,Assumptions!$AL$105:$AL$135,'non-road'!$F48,Assumptions!$AM$105:$AM$135,'non-road'!$D48)/SUMIF(Assumptions!$AL$105:$AL$135,'non-road'!$F48,Assumptions!BA$105:BA$135),"")</f>
        <v>0</v>
      </c>
      <c r="U48" s="33">
        <f>IFERROR(SUMIFS(Assumptions!BB$105:BB$135,Assumptions!$AL$105:$AL$135,'non-road'!$F48,Assumptions!$AM$105:$AM$135,'non-road'!$D48)/SUMIF(Assumptions!$AL$105:$AL$135,'non-road'!$F48,Assumptions!BB$105:BB$135),"")</f>
        <v>0</v>
      </c>
      <c r="V48" s="33">
        <f>IFERROR(SUMIFS(Assumptions!BC$105:BC$135,Assumptions!$AL$105:$AL$135,'non-road'!$F48,Assumptions!$AM$105:$AM$135,'non-road'!$D48)/SUMIF(Assumptions!$AL$105:$AL$135,'non-road'!$F48,Assumptions!BC$105:BC$135),"")</f>
        <v>0</v>
      </c>
      <c r="W48" s="33">
        <f>IFERROR(SUMIFS(Assumptions!BD$105:BD$135,Assumptions!$AL$105:$AL$135,'non-road'!$F48,Assumptions!$AM$105:$AM$135,'non-road'!$D48)/SUMIF(Assumptions!$AL$105:$AL$135,'non-road'!$F48,Assumptions!BD$105:BD$135),"")</f>
        <v>0</v>
      </c>
      <c r="X48" s="33">
        <f>IFERROR(SUMIFS(Assumptions!BE$105:BE$135,Assumptions!$AL$105:$AL$135,'non-road'!$F48,Assumptions!$AM$105:$AM$135,'non-road'!$D48)/SUMIF(Assumptions!$AL$105:$AL$135,'non-road'!$F48,Assumptions!BE$105:BE$135),"")</f>
        <v>0</v>
      </c>
      <c r="Y48" s="33">
        <f>IFERROR(SUMIFS(Assumptions!BF$105:BF$135,Assumptions!$AL$105:$AL$135,'non-road'!$F48,Assumptions!$AM$105:$AM$135,'non-road'!$D48)/SUMIF(Assumptions!$AL$105:$AL$135,'non-road'!$F48,Assumptions!BF$105:BF$135),"")</f>
        <v>0</v>
      </c>
      <c r="Z48" s="33" t="str">
        <f>IFERROR(SUMIFS(Assumptions!BG$105:BG$135,Assumptions!$AL$105:$AL$135,'non-road'!$F48,Assumptions!$AM$105:$AM$135,'non-road'!$D48)/SUMIF(Assumptions!$AL$105:$AL$135,'non-road'!$F48,Assumptions!BG$105:BG$135),"")</f>
        <v/>
      </c>
      <c r="AA48" s="33">
        <f>IFERROR(SUMIFS(Assumptions!BH$105:BH$135,Assumptions!$AL$105:$AL$135,'non-road'!$F48,Assumptions!$AM$105:$AM$135,'non-road'!$D48)/SUMIF(Assumptions!$AL$105:$AL$135,'non-road'!$F48,Assumptions!BH$105:BH$135),"")</f>
        <v>0</v>
      </c>
      <c r="AB48" s="33">
        <f>IFERROR(SUMIFS(Assumptions!BI$105:BI$135,Assumptions!$AL$105:$AL$135,'non-road'!$F48,Assumptions!$AM$105:$AM$135,'non-road'!$D48)/SUMIF(Assumptions!$AL$105:$AL$135,'non-road'!$F48,Assumptions!BI$105:BI$135),"")</f>
        <v>0</v>
      </c>
      <c r="AC48" s="33">
        <f>IFERROR(SUMIFS(Assumptions!BJ$105:BJ$135,Assumptions!$AL$105:$AL$135,'non-road'!$F48,Assumptions!$AM$105:$AM$135,'non-road'!$D48)/SUMIF(Assumptions!$AL$105:$AL$135,'non-road'!$F48,Assumptions!BJ$105:BJ$135),"")</f>
        <v>0</v>
      </c>
      <c r="AD48" s="33">
        <f>IFERROR(SUMIFS(Assumptions!BK$105:BK$135,Assumptions!$AL$105:$AL$135,'non-road'!$F48,Assumptions!$AM$105:$AM$135,'non-road'!$D48)/SUMIF(Assumptions!$AL$105:$AL$135,'non-road'!$F48,Assumptions!BK$105:BK$135),"")</f>
        <v>0</v>
      </c>
      <c r="AE48" s="33" t="str">
        <f>IFERROR(SUMIFS(Assumptions!BL$105:BL$135,Assumptions!$AL$105:$AL$135,'non-road'!$F48,Assumptions!$AM$105:$AM$135,'non-road'!$D48)/SUMIF(Assumptions!$AL$105:$AL$135,'non-road'!$F48,Assumptions!BL$105:BL$135),"")</f>
        <v/>
      </c>
      <c r="AF48" s="33" t="str">
        <f>IFERROR(SUMIFS(Assumptions!BM$105:BM$135,Assumptions!$AL$105:$AL$135,'non-road'!$F48,Assumptions!$AM$105:$AM$135,'non-road'!$D48)/SUMIF(Assumptions!$AL$105:$AL$135,'non-road'!$F48,Assumptions!BM$105:BM$135),"")</f>
        <v/>
      </c>
      <c r="AG48" s="33">
        <f>IFERROR(SUMIFS(Assumptions!BN$105:BN$135,Assumptions!$AL$105:$AL$135,'non-road'!$F48,Assumptions!$AM$105:$AM$135,'non-road'!$D48)/SUMIF(Assumptions!$AL$105:$AL$135,'non-road'!$F48,Assumptions!BN$105:BN$135),"")</f>
        <v>0</v>
      </c>
      <c r="AH48" s="33">
        <f>IFERROR(SUMIFS(Assumptions!BO$105:BO$135,Assumptions!$AL$105:$AL$135,'non-road'!$F48,Assumptions!$AM$105:$AM$135,'non-road'!$D48)/SUMIF(Assumptions!$AL$105:$AL$135,'non-road'!$F48,Assumptions!BO$105:BO$135),"")</f>
        <v>0</v>
      </c>
      <c r="AI48" s="33">
        <f>IFERROR(SUMIFS(Assumptions!BP$105:BP$135,Assumptions!$AL$105:$AL$135,'non-road'!$F48,Assumptions!$AM$105:$AM$135,'non-road'!$D48)/SUMIF(Assumptions!$AL$105:$AL$135,'non-road'!$F48,Assumptions!BP$105:BP$135),"")</f>
        <v>0</v>
      </c>
      <c r="AJ48" s="33" t="str">
        <f>IFERROR(SUMIFS(Assumptions!BQ$105:BQ$135,Assumptions!$AL$105:$AL$135,'non-road'!$F48,Assumptions!$AM$105:$AM$135,'non-road'!$D48)/SUMIF(Assumptions!$AL$105:$AL$135,'non-road'!$F48,Assumptions!BQ$105:BQ$135),"")</f>
        <v/>
      </c>
      <c r="BS48" s="27"/>
      <c r="BT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</row>
    <row r="49" spans="71:104" x14ac:dyDescent="0.45">
      <c r="BS49" s="27"/>
      <c r="BT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</row>
    <row r="50" spans="71:104" x14ac:dyDescent="0.45">
      <c r="BS50" s="27"/>
      <c r="BT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</row>
    <row r="51" spans="71:104" x14ac:dyDescent="0.45">
      <c r="BS51" s="27"/>
      <c r="BT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</row>
    <row r="52" spans="71:104" x14ac:dyDescent="0.45"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</row>
    <row r="53" spans="71:104" x14ac:dyDescent="0.45"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</row>
    <row r="54" spans="71:104" x14ac:dyDescent="0.45"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</row>
    <row r="55" spans="71:104" x14ac:dyDescent="0.45"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</row>
    <row r="56" spans="71:104" x14ac:dyDescent="0.45"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</row>
    <row r="57" spans="71:104" x14ac:dyDescent="0.45"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</row>
    <row r="58" spans="71:104" x14ac:dyDescent="0.45"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</row>
    <row r="59" spans="71:104" x14ac:dyDescent="0.45"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</row>
    <row r="60" spans="71:104" x14ac:dyDescent="0.45"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</row>
    <row r="61" spans="71:104" x14ac:dyDescent="0.45"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</row>
    <row r="62" spans="71:104" x14ac:dyDescent="0.45">
      <c r="BS62" s="27"/>
      <c r="CZ62" s="27"/>
    </row>
    <row r="63" spans="71:104" x14ac:dyDescent="0.45">
      <c r="BS63" s="27"/>
      <c r="CZ63" s="27"/>
    </row>
    <row r="64" spans="71:104" x14ac:dyDescent="0.45">
      <c r="BS64" s="27"/>
      <c r="CZ64" s="27"/>
    </row>
    <row r="65" spans="71:104" x14ac:dyDescent="0.45">
      <c r="BS65" s="27"/>
      <c r="CZ65" s="27"/>
    </row>
    <row r="66" spans="71:104" x14ac:dyDescent="0.45">
      <c r="BS66" s="27"/>
      <c r="CZ66" s="27"/>
    </row>
    <row r="67" spans="71:104" x14ac:dyDescent="0.45">
      <c r="BS67" s="27"/>
      <c r="CZ67" s="27"/>
    </row>
    <row r="68" spans="71:104" x14ac:dyDescent="0.45">
      <c r="BS68" s="27"/>
      <c r="CZ68" s="27"/>
    </row>
    <row r="69" spans="71:104" x14ac:dyDescent="0.45">
      <c r="BS69" s="27"/>
      <c r="CZ69" s="27"/>
    </row>
    <row r="70" spans="71:104" x14ac:dyDescent="0.45">
      <c r="BS70" s="27"/>
      <c r="CZ70" s="27"/>
    </row>
    <row r="71" spans="71:104" x14ac:dyDescent="0.45">
      <c r="BS71" s="27"/>
      <c r="CZ71" s="27"/>
    </row>
    <row r="72" spans="71:104" x14ac:dyDescent="0.45">
      <c r="BS72" s="27"/>
      <c r="CZ72" s="27"/>
    </row>
    <row r="73" spans="71:104" x14ac:dyDescent="0.45">
      <c r="BS73" s="27"/>
      <c r="CZ73" s="27"/>
    </row>
    <row r="74" spans="71:104" x14ac:dyDescent="0.45">
      <c r="BS74" s="27"/>
      <c r="CZ74" s="27"/>
    </row>
    <row r="75" spans="71:104" x14ac:dyDescent="0.45">
      <c r="BS75" s="27"/>
      <c r="CZ75" s="27"/>
    </row>
    <row r="76" spans="71:104" x14ac:dyDescent="0.45">
      <c r="BS76" s="27"/>
      <c r="CZ76" s="27"/>
    </row>
    <row r="77" spans="71:104" x14ac:dyDescent="0.45">
      <c r="BS77" s="27"/>
      <c r="CZ77" s="27"/>
    </row>
  </sheetData>
  <sortState xmlns:xlrd2="http://schemas.microsoft.com/office/spreadsheetml/2017/richdata2" ref="BU3:BU61">
    <sortCondition ref="BU3:BU61"/>
  </sortState>
  <conditionalFormatting sqref="BV13:CL1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4:CL1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5:CL1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6:CL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7:CL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12:CY1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K12:CL1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2:CY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2:CY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3:CY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4:CY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5:CY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6:CY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M17:CY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7DF8-85A2-478E-9388-4407DA3981F5}">
  <dimension ref="B1:K65"/>
  <sheetViews>
    <sheetView zoomScale="90" zoomScaleNormal="90" workbookViewId="0">
      <selection activeCell="F10" sqref="F10"/>
    </sheetView>
  </sheetViews>
  <sheetFormatPr defaultColWidth="8.6640625" defaultRowHeight="12.75" x14ac:dyDescent="0.35"/>
  <cols>
    <col min="1" max="1" width="4.53125" style="67" customWidth="1"/>
    <col min="2" max="2" width="5.6640625" style="67" customWidth="1"/>
    <col min="3" max="3" width="18.46484375" style="67" customWidth="1"/>
    <col min="4" max="4" width="15.6640625" style="67" customWidth="1"/>
    <col min="5" max="5" width="17" style="67" customWidth="1"/>
    <col min="6" max="6" width="12.46484375" style="67" bestFit="1" customWidth="1"/>
    <col min="7" max="7" width="16.33203125" style="67" bestFit="1" customWidth="1"/>
    <col min="8" max="16384" width="8.6640625" style="67"/>
  </cols>
  <sheetData>
    <row r="1" spans="2:8" ht="13.15" thickBot="1" x14ac:dyDescent="0.4"/>
    <row r="2" spans="2:8" ht="39" customHeight="1" thickBot="1" x14ac:dyDescent="0.4">
      <c r="C2" s="104" t="s">
        <v>367</v>
      </c>
      <c r="D2" s="105"/>
      <c r="E2" s="106"/>
    </row>
    <row r="3" spans="2:8" x14ac:dyDescent="0.35">
      <c r="C3" s="68" t="s">
        <v>368</v>
      </c>
      <c r="D3" s="69" t="s">
        <v>369</v>
      </c>
      <c r="E3" s="70" t="s">
        <v>370</v>
      </c>
    </row>
    <row r="4" spans="2:8" x14ac:dyDescent="0.35">
      <c r="C4" s="71" t="s">
        <v>371</v>
      </c>
      <c r="D4" s="72">
        <v>62751</v>
      </c>
      <c r="E4" s="73" t="s">
        <v>372</v>
      </c>
      <c r="F4" s="90">
        <f>D4*1.6/1000</f>
        <v>100.4016</v>
      </c>
    </row>
    <row r="5" spans="2:8" x14ac:dyDescent="0.35">
      <c r="C5" s="71" t="s">
        <v>373</v>
      </c>
      <c r="D5" s="74">
        <v>43647</v>
      </c>
      <c r="E5" s="73" t="s">
        <v>374</v>
      </c>
      <c r="F5" s="90">
        <f t="shared" ref="F5:F12" si="0">D5*1.6/1000</f>
        <v>69.8352</v>
      </c>
    </row>
    <row r="6" spans="2:8" x14ac:dyDescent="0.35">
      <c r="C6" s="71" t="s">
        <v>375</v>
      </c>
      <c r="D6" s="75">
        <v>29429</v>
      </c>
      <c r="E6" s="73" t="s">
        <v>374</v>
      </c>
      <c r="F6" s="90">
        <f t="shared" si="0"/>
        <v>47.086400000000005</v>
      </c>
    </row>
    <row r="7" spans="2:8" x14ac:dyDescent="0.35">
      <c r="C7" s="71" t="s">
        <v>376</v>
      </c>
      <c r="D7" s="75">
        <v>25000</v>
      </c>
      <c r="E7" s="73" t="s">
        <v>377</v>
      </c>
      <c r="F7" s="90">
        <f t="shared" si="0"/>
        <v>40</v>
      </c>
      <c r="H7" s="76"/>
    </row>
    <row r="8" spans="2:8" x14ac:dyDescent="0.35">
      <c r="C8" s="71" t="s">
        <v>378</v>
      </c>
      <c r="D8" s="72">
        <v>12435</v>
      </c>
      <c r="E8" s="73" t="s">
        <v>372</v>
      </c>
      <c r="F8" s="90">
        <f t="shared" si="0"/>
        <v>19.896000000000001</v>
      </c>
    </row>
    <row r="9" spans="2:8" x14ac:dyDescent="0.35">
      <c r="C9" s="71" t="s">
        <v>379</v>
      </c>
      <c r="D9" s="75">
        <v>12000</v>
      </c>
      <c r="E9" s="73" t="s">
        <v>380</v>
      </c>
      <c r="F9" s="90">
        <f t="shared" si="0"/>
        <v>19.2</v>
      </c>
    </row>
    <row r="10" spans="2:8" x14ac:dyDescent="0.35">
      <c r="C10" s="71" t="s">
        <v>381</v>
      </c>
      <c r="D10" s="72">
        <v>11543</v>
      </c>
      <c r="E10" s="73" t="s">
        <v>372</v>
      </c>
      <c r="F10" s="90">
        <f t="shared" si="0"/>
        <v>18.468799999999998</v>
      </c>
    </row>
    <row r="11" spans="2:8" x14ac:dyDescent="0.35">
      <c r="C11" s="71" t="s">
        <v>382</v>
      </c>
      <c r="D11" s="72">
        <v>11467</v>
      </c>
      <c r="E11" s="73" t="s">
        <v>372</v>
      </c>
      <c r="F11" s="90">
        <f t="shared" si="0"/>
        <v>18.347200000000001</v>
      </c>
    </row>
    <row r="12" spans="2:8" ht="13.15" thickBot="1" x14ac:dyDescent="0.4">
      <c r="C12" s="77" t="s">
        <v>383</v>
      </c>
      <c r="D12" s="78">
        <v>2312</v>
      </c>
      <c r="E12" s="79" t="s">
        <v>372</v>
      </c>
      <c r="F12" s="90">
        <f t="shared" si="0"/>
        <v>3.6992000000000003</v>
      </c>
    </row>
    <row r="13" spans="2:8" x14ac:dyDescent="0.35">
      <c r="D13" s="80"/>
    </row>
    <row r="14" spans="2:8" x14ac:dyDescent="0.35">
      <c r="C14" s="76"/>
    </row>
    <row r="15" spans="2:8" ht="13.15" x14ac:dyDescent="0.4">
      <c r="B15" s="107" t="s">
        <v>384</v>
      </c>
      <c r="C15" s="107"/>
    </row>
    <row r="16" spans="2:8" ht="30" customHeight="1" x14ac:dyDescent="0.35">
      <c r="B16" s="81" t="s">
        <v>372</v>
      </c>
      <c r="C16" s="108" t="s">
        <v>385</v>
      </c>
      <c r="D16" s="108"/>
      <c r="E16" s="108"/>
      <c r="F16" s="108"/>
      <c r="G16" s="108"/>
    </row>
    <row r="17" spans="2:11" ht="42" customHeight="1" x14ac:dyDescent="0.35">
      <c r="B17" s="81" t="s">
        <v>374</v>
      </c>
      <c r="C17" s="108" t="s">
        <v>386</v>
      </c>
      <c r="D17" s="108"/>
      <c r="E17" s="108"/>
      <c r="F17" s="108"/>
      <c r="G17" s="108"/>
    </row>
    <row r="18" spans="2:11" ht="30.5" customHeight="1" x14ac:dyDescent="0.35">
      <c r="B18" s="81" t="s">
        <v>377</v>
      </c>
      <c r="C18" s="108" t="s">
        <v>387</v>
      </c>
      <c r="D18" s="108"/>
      <c r="E18" s="108"/>
      <c r="F18" s="108"/>
      <c r="G18" s="108"/>
    </row>
    <row r="19" spans="2:11" ht="27.6" customHeight="1" x14ac:dyDescent="0.35">
      <c r="B19" s="81" t="s">
        <v>380</v>
      </c>
      <c r="C19" s="108" t="s">
        <v>388</v>
      </c>
      <c r="D19" s="108"/>
      <c r="E19" s="108"/>
      <c r="F19" s="108"/>
      <c r="G19" s="108"/>
    </row>
    <row r="21" spans="2:11" ht="13.15" x14ac:dyDescent="0.4">
      <c r="B21" s="82" t="s">
        <v>389</v>
      </c>
    </row>
    <row r="22" spans="2:11" ht="43.5" customHeight="1" x14ac:dyDescent="0.35">
      <c r="B22" s="109" t="s">
        <v>390</v>
      </c>
      <c r="C22" s="109"/>
      <c r="D22" s="109"/>
      <c r="E22" s="109"/>
      <c r="F22" s="109"/>
      <c r="G22" s="109"/>
      <c r="H22" s="76"/>
    </row>
    <row r="23" spans="2:11" ht="16.5" customHeight="1" x14ac:dyDescent="0.35">
      <c r="B23" s="109" t="s">
        <v>391</v>
      </c>
      <c r="C23" s="109"/>
      <c r="D23" s="109"/>
      <c r="E23" s="109"/>
      <c r="F23" s="109"/>
      <c r="G23" s="109"/>
      <c r="H23" s="76"/>
    </row>
    <row r="24" spans="2:11" ht="16.5" customHeight="1" x14ac:dyDescent="0.35">
      <c r="B24" s="109" t="s">
        <v>392</v>
      </c>
      <c r="C24" s="109"/>
      <c r="D24" s="109"/>
      <c r="E24" s="109"/>
      <c r="F24" s="109"/>
      <c r="G24" s="109"/>
      <c r="H24" s="76"/>
      <c r="J24" s="83"/>
      <c r="K24" s="84"/>
    </row>
    <row r="25" spans="2:11" ht="16.5" customHeight="1" x14ac:dyDescent="0.35">
      <c r="B25" s="76"/>
      <c r="C25" s="76"/>
      <c r="D25" s="76"/>
      <c r="E25" s="76"/>
      <c r="F25" s="76"/>
      <c r="G25" s="76"/>
      <c r="H25" s="76"/>
      <c r="J25" s="83"/>
      <c r="K25" s="84"/>
    </row>
    <row r="26" spans="2:11" ht="16.5" customHeight="1" x14ac:dyDescent="0.35">
      <c r="B26" s="110" t="s">
        <v>393</v>
      </c>
      <c r="C26" s="110"/>
      <c r="D26" s="76"/>
      <c r="E26" s="76"/>
      <c r="F26" s="76"/>
      <c r="G26" s="76"/>
      <c r="H26" s="76"/>
      <c r="J26" s="83"/>
      <c r="K26" s="84"/>
    </row>
    <row r="27" spans="2:11" ht="16.5" customHeight="1" x14ac:dyDescent="0.35">
      <c r="B27" s="111" t="s">
        <v>394</v>
      </c>
      <c r="C27" s="111"/>
      <c r="D27" s="76"/>
      <c r="E27" s="76"/>
      <c r="F27" s="76"/>
      <c r="G27" s="76"/>
      <c r="H27" s="76"/>
      <c r="J27" s="83"/>
      <c r="K27" s="84"/>
    </row>
    <row r="28" spans="2:11" ht="16.5" customHeight="1" x14ac:dyDescent="0.35"/>
    <row r="29" spans="2:11" ht="15.75" customHeight="1" x14ac:dyDescent="0.35">
      <c r="B29" s="85" t="s">
        <v>395</v>
      </c>
      <c r="C29" s="85"/>
      <c r="D29" s="85"/>
      <c r="E29" s="85"/>
      <c r="F29" s="85"/>
      <c r="G29" s="85"/>
      <c r="H29" s="86"/>
    </row>
    <row r="30" spans="2:11" x14ac:dyDescent="0.35">
      <c r="B30" s="103" t="s">
        <v>396</v>
      </c>
      <c r="C30" s="103"/>
      <c r="D30" s="103"/>
      <c r="E30" s="103"/>
      <c r="F30" s="103"/>
      <c r="G30" s="103"/>
      <c r="H30" s="86"/>
    </row>
    <row r="36" spans="10:10" x14ac:dyDescent="0.35">
      <c r="J36" s="87"/>
    </row>
    <row r="58" spans="3:3" ht="15" x14ac:dyDescent="0.4">
      <c r="C58" s="88"/>
    </row>
    <row r="61" spans="3:3" ht="15.4" x14ac:dyDescent="0.45">
      <c r="C61" s="89"/>
    </row>
    <row r="62" spans="3:3" ht="15" x14ac:dyDescent="0.4">
      <c r="C62" s="88"/>
    </row>
    <row r="63" spans="3:3" ht="15.4" x14ac:dyDescent="0.45">
      <c r="C63" s="89"/>
    </row>
    <row r="64" spans="3:3" ht="15" x14ac:dyDescent="0.4">
      <c r="C64" s="88"/>
    </row>
    <row r="65" spans="3:3" ht="15.4" x14ac:dyDescent="0.45">
      <c r="C65" s="89"/>
    </row>
  </sheetData>
  <mergeCells count="12">
    <mergeCell ref="B30:G30"/>
    <mergeCell ref="C2:E2"/>
    <mergeCell ref="B15:C15"/>
    <mergeCell ref="C16:G16"/>
    <mergeCell ref="C17:G17"/>
    <mergeCell ref="C18:G18"/>
    <mergeCell ref="C19:G19"/>
    <mergeCell ref="B22:G22"/>
    <mergeCell ref="B23:G23"/>
    <mergeCell ref="B24:G24"/>
    <mergeCell ref="B26:C26"/>
    <mergeCell ref="B27:C2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TRA balance</vt:lpstr>
      <vt:lpstr>2-w</vt:lpstr>
      <vt:lpstr>3-w</vt:lpstr>
      <vt:lpstr>Cars</vt:lpstr>
      <vt:lpstr>Bus</vt:lpstr>
      <vt:lpstr>Trucks-lcv</vt:lpstr>
      <vt:lpstr>Trucks-hdt</vt:lpstr>
      <vt:lpstr>Trucks</vt:lpstr>
      <vt:lpstr>Assumptions</vt:lpstr>
      <vt:lpstr>TIAM15_assumptions</vt:lpstr>
      <vt:lpstr>vehicle population data</vt:lpstr>
      <vt:lpstr>non-road</vt:lpstr>
      <vt:lpstr>Average VMT by Vehicle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2021-06-29T05:47:23Z</dcterms:created>
  <dcterms:modified xsi:type="dcterms:W3CDTF">2025-04-28T13:40:51Z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{049A75C4-3F07-49E6-9BEF-9F46E0A663F1}</vt:lpwstr>
  </property>
  <property fmtid="{D5CDD505-2E9C-101B-9397-08002B2CF9AE}" pid="3" name="SaveCode">
    <vt:r8>465130031108856</vt:r8>
  </property>
</Properties>
</file>