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KiNESYS_29R_Jan2025\"/>
    </mc:Choice>
  </mc:AlternateContent>
  <xr:revisionPtr revIDLastSave="0" documentId="13_ncr:1_{08239849-7B4E-4B82-AC9A-046EA0A8DA76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Elec" sheetId="22" r:id="rId1"/>
    <sheet name="Transport" sheetId="23" r:id="rId2"/>
    <sheet name="IND2" sheetId="29" r:id="rId3"/>
    <sheet name="SHAPES" sheetId="24" r:id="rId4"/>
    <sheet name="Elec-CHP EFF calibration" sheetId="25" r:id="rId5"/>
    <sheet name="Misc" sheetId="26" r:id="rId6"/>
    <sheet name="pumped hydro" sheetId="27" r:id="rId7"/>
  </sheets>
  <definedNames>
    <definedName name="_xlnm._FilterDatabase" localSheetId="4" hidden="1">'Elec-CHP EFF calibration'!$J$1:$M$281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7" l="1"/>
  <c r="G12" i="27"/>
  <c r="G11" i="27"/>
  <c r="G10" i="27"/>
  <c r="G9" i="27"/>
  <c r="G8" i="27"/>
  <c r="I10" i="22"/>
  <c r="I6" i="22"/>
  <c r="I5" i="22"/>
  <c r="K9" i="22"/>
  <c r="V20" i="23"/>
  <c r="U20" i="23"/>
  <c r="V19" i="23"/>
  <c r="U19" i="23"/>
  <c r="V18" i="23"/>
  <c r="U18" i="23"/>
  <c r="V17" i="23"/>
  <c r="U17" i="23"/>
  <c r="V16" i="23"/>
  <c r="U16" i="23"/>
  <c r="V15" i="23"/>
  <c r="U15" i="23"/>
  <c r="T20" i="23"/>
  <c r="T19" i="23"/>
  <c r="T18" i="23"/>
  <c r="T17" i="23"/>
  <c r="T21" i="23"/>
  <c r="T16" i="23"/>
  <c r="T15" i="23"/>
  <c r="F41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9" i="29"/>
  <c r="F28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AH26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7" i="29"/>
  <c r="F26" i="29"/>
  <c r="F6" i="27"/>
  <c r="R281" i="25"/>
  <c r="Q281" i="25"/>
  <c r="R280" i="25"/>
  <c r="Q280" i="25"/>
  <c r="R279" i="25"/>
  <c r="Q279" i="25"/>
  <c r="R278" i="25"/>
  <c r="Q278" i="25"/>
  <c r="R277" i="25"/>
  <c r="Q277" i="25"/>
  <c r="R276" i="25"/>
  <c r="Q276" i="25"/>
  <c r="R275" i="25"/>
  <c r="Q275" i="25"/>
  <c r="R274" i="25"/>
  <c r="Q274" i="25"/>
  <c r="R273" i="25"/>
  <c r="Q273" i="25"/>
  <c r="R272" i="25"/>
  <c r="Q272" i="25"/>
  <c r="R271" i="25"/>
  <c r="Q271" i="25"/>
  <c r="R270" i="25"/>
  <c r="Q270" i="25"/>
  <c r="R269" i="25"/>
  <c r="Q269" i="25"/>
  <c r="R268" i="25"/>
  <c r="Q268" i="25"/>
  <c r="R267" i="25"/>
  <c r="Q267" i="25"/>
  <c r="R266" i="25"/>
  <c r="Q266" i="25"/>
  <c r="R265" i="25"/>
  <c r="Q265" i="25"/>
  <c r="R264" i="25"/>
  <c r="Q264" i="25"/>
  <c r="R263" i="25"/>
  <c r="Q263" i="25"/>
  <c r="R262" i="25"/>
  <c r="Q262" i="25"/>
  <c r="R261" i="25"/>
  <c r="Q261" i="25"/>
  <c r="R260" i="25"/>
  <c r="Q260" i="25"/>
  <c r="R259" i="25"/>
  <c r="Q259" i="25"/>
  <c r="R258" i="25"/>
  <c r="Q258" i="25"/>
  <c r="R257" i="25"/>
  <c r="Q257" i="25"/>
  <c r="R256" i="25"/>
  <c r="Q256" i="25"/>
  <c r="R255" i="25"/>
  <c r="Q255" i="25"/>
  <c r="R254" i="25"/>
  <c r="Q254" i="25"/>
  <c r="R253" i="25"/>
  <c r="Q253" i="25"/>
  <c r="R252" i="25"/>
  <c r="Q252" i="25"/>
  <c r="R251" i="25"/>
  <c r="Q251" i="25"/>
  <c r="R250" i="25"/>
  <c r="Q250" i="25"/>
  <c r="R249" i="25"/>
  <c r="Q249" i="25"/>
  <c r="R248" i="25"/>
  <c r="Q248" i="25"/>
  <c r="R247" i="25"/>
  <c r="Q247" i="25"/>
  <c r="R246" i="25"/>
  <c r="Q246" i="25"/>
  <c r="R245" i="25"/>
  <c r="Q245" i="25"/>
  <c r="Q244" i="25"/>
  <c r="R243" i="25"/>
  <c r="Q243" i="25"/>
  <c r="R242" i="25"/>
  <c r="Q242" i="25"/>
  <c r="R241" i="25"/>
  <c r="Q241" i="25"/>
  <c r="R240" i="25"/>
  <c r="Q240" i="25"/>
  <c r="R239" i="25"/>
  <c r="Q239" i="25"/>
  <c r="R238" i="25"/>
  <c r="Q238" i="25"/>
  <c r="R237" i="25"/>
  <c r="Q237" i="25"/>
  <c r="R236" i="25"/>
  <c r="Q236" i="25"/>
  <c r="R235" i="25"/>
  <c r="Q235" i="25"/>
  <c r="R234" i="25"/>
  <c r="Q234" i="25"/>
  <c r="R233" i="25"/>
  <c r="Q233" i="25"/>
  <c r="R232" i="25"/>
  <c r="Q232" i="25"/>
  <c r="R231" i="25"/>
  <c r="Q231" i="25"/>
  <c r="R230" i="25"/>
  <c r="Q230" i="25"/>
  <c r="R229" i="25"/>
  <c r="Q229" i="25"/>
  <c r="R228" i="25"/>
  <c r="Q228" i="25"/>
  <c r="R227" i="25"/>
  <c r="Q227" i="25"/>
  <c r="R226" i="25"/>
  <c r="Q226" i="25"/>
  <c r="R225" i="25"/>
  <c r="Q225" i="25"/>
  <c r="Q224" i="25"/>
  <c r="Q223" i="25"/>
  <c r="R222" i="25"/>
  <c r="Q222" i="25"/>
  <c r="R221" i="25"/>
  <c r="Q221" i="25"/>
  <c r="Q220" i="25"/>
  <c r="Q219" i="25"/>
  <c r="Q218" i="25"/>
  <c r="Q217" i="25"/>
  <c r="Q216" i="25"/>
  <c r="Q215" i="25"/>
  <c r="Q214" i="25"/>
  <c r="Q213" i="25"/>
  <c r="Q212" i="25"/>
  <c r="Q211" i="25"/>
  <c r="Q210" i="25"/>
  <c r="Q209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I53" i="23"/>
  <c r="J53" i="23"/>
  <c r="I54" i="23"/>
  <c r="J54" i="23"/>
  <c r="I46" i="23"/>
  <c r="J46" i="23"/>
  <c r="I47" i="23"/>
  <c r="J47" i="23"/>
  <c r="I48" i="23"/>
  <c r="J48" i="23"/>
  <c r="I49" i="23"/>
  <c r="J49" i="23"/>
  <c r="I50" i="23"/>
  <c r="J50" i="23"/>
  <c r="I51" i="23"/>
  <c r="J51" i="23"/>
  <c r="I52" i="23"/>
  <c r="J52" i="23"/>
  <c r="I41" i="23"/>
  <c r="J41" i="23"/>
  <c r="I42" i="23"/>
  <c r="J42" i="23"/>
  <c r="I43" i="23"/>
  <c r="J43" i="23"/>
  <c r="I44" i="23"/>
  <c r="J44" i="23"/>
  <c r="I45" i="23"/>
  <c r="J45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5" i="23"/>
  <c r="C25" i="26"/>
  <c r="Q208" i="25" l="1"/>
  <c r="Q207" i="25"/>
  <c r="Q206" i="25"/>
  <c r="R205" i="25"/>
  <c r="Q205" i="25"/>
  <c r="Q204" i="25"/>
  <c r="R203" i="25"/>
  <c r="Q203" i="25"/>
  <c r="Q202" i="25"/>
  <c r="Q201" i="25"/>
  <c r="Q200" i="25"/>
  <c r="Q199" i="25"/>
  <c r="Q198" i="25"/>
  <c r="Q197" i="25"/>
  <c r="R196" i="25"/>
  <c r="Q196" i="25"/>
  <c r="R195" i="25"/>
  <c r="Q195" i="25"/>
  <c r="R194" i="25"/>
  <c r="Q194" i="25"/>
  <c r="Q193" i="25"/>
  <c r="R192" i="25"/>
  <c r="Q192" i="25"/>
  <c r="R191" i="25"/>
  <c r="Q191" i="25"/>
  <c r="R190" i="25"/>
  <c r="Q190" i="25"/>
  <c r="R189" i="25"/>
  <c r="Q189" i="25"/>
  <c r="R188" i="25"/>
  <c r="Q188" i="25"/>
  <c r="Q187" i="25"/>
  <c r="R186" i="25"/>
  <c r="Q186" i="25"/>
  <c r="R185" i="25"/>
  <c r="Q185" i="25"/>
  <c r="Q184" i="25"/>
  <c r="Q183" i="25"/>
  <c r="Q182" i="25"/>
  <c r="Q181" i="25"/>
  <c r="R180" i="25"/>
  <c r="Q180" i="25"/>
  <c r="R179" i="25"/>
  <c r="Q179" i="25"/>
  <c r="R178" i="25"/>
  <c r="Q178" i="25"/>
  <c r="R177" i="25"/>
  <c r="Q177" i="25"/>
  <c r="R176" i="25"/>
  <c r="Q176" i="25"/>
  <c r="R175" i="25"/>
  <c r="Q175" i="25"/>
  <c r="Q174" i="25"/>
  <c r="Q173" i="25"/>
  <c r="Q172" i="25"/>
  <c r="Q171" i="25"/>
  <c r="Q170" i="25"/>
  <c r="Q169" i="25"/>
  <c r="Q168" i="25"/>
  <c r="Q167" i="25"/>
  <c r="Q166" i="25"/>
  <c r="Q165" i="25"/>
  <c r="Q164" i="25"/>
  <c r="Q163" i="25"/>
  <c r="Q162" i="25"/>
  <c r="Q161" i="25"/>
  <c r="Q160" i="25"/>
  <c r="Q159" i="25"/>
  <c r="Q158" i="25"/>
  <c r="Q157" i="25"/>
  <c r="Q156" i="25"/>
  <c r="Q155" i="25"/>
  <c r="Q154" i="25"/>
  <c r="R153" i="25"/>
  <c r="Q153" i="25"/>
  <c r="Q152" i="25"/>
  <c r="Q151" i="25"/>
  <c r="Q150" i="25"/>
  <c r="Q149" i="25"/>
  <c r="R148" i="25"/>
  <c r="Q148" i="25"/>
  <c r="Q147" i="25"/>
  <c r="R146" i="25"/>
  <c r="Q146" i="25"/>
  <c r="R145" i="25"/>
  <c r="Q145" i="25"/>
  <c r="R144" i="25"/>
  <c r="Q144" i="25"/>
  <c r="Q143" i="25"/>
  <c r="R142" i="25"/>
  <c r="Q142" i="25"/>
  <c r="R141" i="25"/>
  <c r="Q141" i="25"/>
  <c r="Q140" i="25"/>
  <c r="Q139" i="25"/>
  <c r="R138" i="25"/>
  <c r="Q138" i="25"/>
  <c r="R137" i="25"/>
  <c r="Q137" i="25"/>
  <c r="R136" i="25"/>
  <c r="Q136" i="25"/>
  <c r="R135" i="25"/>
  <c r="Q135" i="25"/>
  <c r="Q134" i="25"/>
  <c r="Q133" i="25"/>
  <c r="Q132" i="25"/>
  <c r="Q131" i="25"/>
  <c r="Q130" i="25"/>
  <c r="Q129" i="25"/>
  <c r="Q128" i="25"/>
  <c r="Q127" i="25"/>
  <c r="Q126" i="25"/>
  <c r="Q125" i="25"/>
  <c r="Q124" i="25"/>
  <c r="Q123" i="25"/>
  <c r="Q122" i="25"/>
  <c r="R121" i="25"/>
  <c r="Q121" i="25"/>
  <c r="Q120" i="25"/>
  <c r="Q119" i="25"/>
  <c r="Q118" i="25"/>
  <c r="Q117" i="25"/>
  <c r="R116" i="25"/>
  <c r="Q116" i="25"/>
  <c r="R115" i="25"/>
  <c r="Q115" i="25"/>
  <c r="Q114" i="25"/>
  <c r="Q113" i="25"/>
  <c r="Q112" i="25"/>
  <c r="Q111" i="25"/>
  <c r="Q110" i="25"/>
  <c r="Q109" i="25"/>
  <c r="Q108" i="25"/>
  <c r="Q107" i="25"/>
  <c r="Q106" i="25"/>
  <c r="Q105" i="25"/>
  <c r="Q104" i="25"/>
  <c r="Q103" i="25"/>
  <c r="Q102" i="25"/>
  <c r="Q101" i="25"/>
  <c r="Q100" i="25"/>
  <c r="Q99" i="25"/>
  <c r="Q98" i="25"/>
  <c r="Q97" i="25"/>
  <c r="Q96" i="25"/>
  <c r="Q95" i="25"/>
  <c r="Q94" i="25"/>
  <c r="Q93" i="25"/>
  <c r="Q92" i="25"/>
  <c r="Q91" i="25"/>
  <c r="Q90" i="25"/>
  <c r="Q89" i="25"/>
  <c r="Q88" i="25"/>
  <c r="Q87" i="25"/>
  <c r="Q86" i="25"/>
  <c r="Q85" i="25"/>
  <c r="Q4" i="25"/>
  <c r="Q5" i="25"/>
  <c r="Q6" i="25"/>
  <c r="Q7" i="25"/>
  <c r="Q8" i="25"/>
  <c r="Q9" i="25"/>
  <c r="Q10" i="25"/>
  <c r="Q11" i="25"/>
  <c r="Q12" i="25"/>
  <c r="Q13" i="25"/>
  <c r="Q14" i="25"/>
  <c r="Q15" i="25"/>
  <c r="Q16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Q33" i="25"/>
  <c r="Q34" i="25"/>
  <c r="Q35" i="25"/>
  <c r="Q36" i="25"/>
  <c r="Q37" i="25"/>
  <c r="Q38" i="25"/>
  <c r="Q39" i="25"/>
  <c r="Q40" i="25"/>
  <c r="Q41" i="25"/>
  <c r="Q42" i="25"/>
  <c r="Q43" i="25"/>
  <c r="Q44" i="25"/>
  <c r="Q45" i="25"/>
  <c r="Q46" i="25"/>
  <c r="Q47" i="25"/>
  <c r="Q48" i="25"/>
  <c r="Q49" i="25"/>
  <c r="Q50" i="25"/>
  <c r="Q51" i="25"/>
  <c r="Q52" i="25"/>
  <c r="Q53" i="25"/>
  <c r="Q54" i="25"/>
  <c r="Q55" i="25"/>
  <c r="Q56" i="25"/>
  <c r="Q57" i="25"/>
  <c r="Q58" i="25"/>
  <c r="Q59" i="25"/>
  <c r="Q60" i="25"/>
  <c r="Q61" i="25"/>
  <c r="Q62" i="25"/>
  <c r="Q63" i="25"/>
  <c r="Q64" i="25"/>
  <c r="Q65" i="25"/>
  <c r="Q66" i="25"/>
  <c r="Q67" i="25"/>
  <c r="Q68" i="25"/>
  <c r="Q69" i="25"/>
  <c r="Q70" i="25"/>
  <c r="Q71" i="25"/>
  <c r="Q72" i="25"/>
  <c r="Q73" i="25"/>
  <c r="Q74" i="25"/>
  <c r="Q75" i="25"/>
  <c r="Q76" i="25"/>
  <c r="Q77" i="25"/>
  <c r="Q78" i="25"/>
  <c r="Q79" i="25"/>
  <c r="Q80" i="25"/>
  <c r="Q81" i="25"/>
  <c r="Q82" i="25"/>
  <c r="Q83" i="25"/>
  <c r="Q84" i="25"/>
  <c r="Q3" i="25"/>
  <c r="Y12" i="25"/>
  <c r="Y10" i="25"/>
  <c r="Y9" i="25"/>
  <c r="U13" i="25"/>
  <c r="U12" i="25"/>
  <c r="U6" i="25"/>
  <c r="U7" i="25"/>
  <c r="A4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3" i="25"/>
  <c r="D18" i="27"/>
  <c r="C18" i="27"/>
  <c r="F12" i="27"/>
  <c r="F13" i="27" s="1"/>
  <c r="F10" i="27"/>
  <c r="F7" i="27"/>
  <c r="F5" i="27"/>
  <c r="Y4" i="25"/>
  <c r="Y3" i="25"/>
  <c r="S2" i="25"/>
  <c r="R2" i="25"/>
  <c r="R107" i="25" l="1"/>
  <c r="S212" i="25"/>
  <c r="S260" i="25"/>
  <c r="S278" i="25"/>
  <c r="R173" i="25"/>
  <c r="R214" i="25"/>
  <c r="AQ13" i="25" s="1"/>
  <c r="S259" i="25"/>
  <c r="S223" i="25"/>
  <c r="S276" i="25"/>
  <c r="S230" i="25"/>
  <c r="S273" i="25"/>
  <c r="S211" i="25"/>
  <c r="AN12" i="25" s="1"/>
  <c r="S214" i="25"/>
  <c r="AQ12" i="25" s="1"/>
  <c r="R200" i="25"/>
  <c r="R111" i="25"/>
  <c r="AY7" i="25" s="1"/>
  <c r="S265" i="25"/>
  <c r="R202" i="25"/>
  <c r="R113" i="25"/>
  <c r="BA7" i="25" s="1"/>
  <c r="S254" i="25"/>
  <c r="S269" i="25"/>
  <c r="R204" i="25"/>
  <c r="S248" i="25"/>
  <c r="S227" i="25"/>
  <c r="S219" i="25"/>
  <c r="R117" i="25"/>
  <c r="R207" i="25"/>
  <c r="S234" i="25"/>
  <c r="S272" i="25"/>
  <c r="S262" i="25"/>
  <c r="S255" i="25"/>
  <c r="R187" i="25"/>
  <c r="R193" i="25"/>
  <c r="R208" i="25"/>
  <c r="S280" i="25"/>
  <c r="S225" i="25"/>
  <c r="S242" i="25"/>
  <c r="S221" i="25"/>
  <c r="AY12" i="25" s="1"/>
  <c r="R174" i="25"/>
  <c r="R206" i="25"/>
  <c r="R101" i="25"/>
  <c r="AO7" i="25" s="1"/>
  <c r="R181" i="25"/>
  <c r="R223" i="25"/>
  <c r="S209" i="25"/>
  <c r="R224" i="25"/>
  <c r="BB13" i="25" s="1"/>
  <c r="S220" i="25"/>
  <c r="AX12" i="25" s="1"/>
  <c r="S281" i="25"/>
  <c r="R220" i="25"/>
  <c r="AX13" i="25" s="1"/>
  <c r="S231" i="25"/>
  <c r="S233" i="25"/>
  <c r="S264" i="25"/>
  <c r="S261" i="25"/>
  <c r="R87" i="25"/>
  <c r="S226" i="25"/>
  <c r="R198" i="25"/>
  <c r="R109" i="25"/>
  <c r="AW7" i="25" s="1"/>
  <c r="S250" i="25"/>
  <c r="R217" i="25"/>
  <c r="AT13" i="25" s="1"/>
  <c r="R201" i="25"/>
  <c r="AD13" i="25" s="1"/>
  <c r="R112" i="25"/>
  <c r="AZ7" i="25" s="1"/>
  <c r="S271" i="25"/>
  <c r="R209" i="25"/>
  <c r="R114" i="25"/>
  <c r="S279" i="25"/>
  <c r="S266" i="25"/>
  <c r="S240" i="25"/>
  <c r="S274" i="25"/>
  <c r="S245" i="25"/>
  <c r="AY9" i="25"/>
  <c r="AU9" i="25"/>
  <c r="AY4" i="25"/>
  <c r="BA13" i="25"/>
  <c r="AW12" i="25"/>
  <c r="AS10" i="25"/>
  <c r="AO9" i="25"/>
  <c r="BA6" i="25"/>
  <c r="AW4" i="25"/>
  <c r="AZ10" i="25"/>
  <c r="AZ13" i="25"/>
  <c r="AV12" i="25"/>
  <c r="AR10" i="25"/>
  <c r="AN9" i="25"/>
  <c r="AR9" i="25"/>
  <c r="AU10" i="25"/>
  <c r="AY13" i="25"/>
  <c r="AQ10" i="25"/>
  <c r="AY6" i="25"/>
  <c r="AQ3" i="25"/>
  <c r="AO12" i="25"/>
  <c r="AU7" i="25"/>
  <c r="AY10" i="25"/>
  <c r="AT12" i="25"/>
  <c r="BB7" i="25"/>
  <c r="AP3" i="25"/>
  <c r="BA12" i="25"/>
  <c r="AW13" i="25"/>
  <c r="AY3" i="25"/>
  <c r="AX3" i="25"/>
  <c r="AV6" i="25"/>
  <c r="AR4" i="25"/>
  <c r="AQ4" i="25"/>
  <c r="AZ9" i="25"/>
  <c r="AV9" i="25"/>
  <c r="AV10" i="25"/>
  <c r="R103" i="25"/>
  <c r="AQ7" i="25" s="1"/>
  <c r="R183" i="25"/>
  <c r="R213" i="25"/>
  <c r="AP13" i="25" s="1"/>
  <c r="S257" i="25"/>
  <c r="S251" i="25"/>
  <c r="S246" i="25"/>
  <c r="S215" i="25"/>
  <c r="AR12" i="25" s="1"/>
  <c r="R211" i="25"/>
  <c r="AN13" i="25" s="1"/>
  <c r="S243" i="25"/>
  <c r="R89" i="25"/>
  <c r="S252" i="25"/>
  <c r="S249" i="25"/>
  <c r="S253" i="25"/>
  <c r="R216" i="25"/>
  <c r="AS13" i="25" s="1"/>
  <c r="S277" i="25"/>
  <c r="S258" i="25"/>
  <c r="S267" i="25"/>
  <c r="S238" i="25"/>
  <c r="S217" i="25"/>
  <c r="R215" i="25"/>
  <c r="AR13" i="25" s="1"/>
  <c r="R119" i="25"/>
  <c r="R102" i="25"/>
  <c r="AP7" i="25" s="1"/>
  <c r="R104" i="25"/>
  <c r="AR7" i="25" s="1"/>
  <c r="R170" i="25"/>
  <c r="R218" i="25"/>
  <c r="AU13" i="25" s="1"/>
  <c r="S229" i="25"/>
  <c r="S256" i="25"/>
  <c r="S236" i="25"/>
  <c r="S235" i="25"/>
  <c r="R108" i="25"/>
  <c r="AV7" i="25" s="1"/>
  <c r="S270" i="25"/>
  <c r="R199" i="25"/>
  <c r="R244" i="25"/>
  <c r="R219" i="25"/>
  <c r="AV13" i="25" s="1"/>
  <c r="S237" i="25"/>
  <c r="R35" i="25"/>
  <c r="R94" i="25"/>
  <c r="S232" i="25"/>
  <c r="S241" i="25"/>
  <c r="R98" i="25"/>
  <c r="S247" i="25"/>
  <c r="R100" i="25"/>
  <c r="AN7" i="25" s="1"/>
  <c r="R85" i="25"/>
  <c r="R105" i="25"/>
  <c r="AS7" i="25" s="1"/>
  <c r="R171" i="25"/>
  <c r="S244" i="25"/>
  <c r="S218" i="25"/>
  <c r="AU12" i="25" s="1"/>
  <c r="S216" i="25"/>
  <c r="AS12" i="25" s="1"/>
  <c r="S210" i="25"/>
  <c r="AM12" i="25" s="1"/>
  <c r="S228" i="25"/>
  <c r="R197" i="25"/>
  <c r="R88" i="25"/>
  <c r="S224" i="25"/>
  <c r="BB12" i="25" s="1"/>
  <c r="R110" i="25"/>
  <c r="AX7" i="25" s="1"/>
  <c r="R93" i="25"/>
  <c r="R95" i="25"/>
  <c r="S239" i="25"/>
  <c r="S268" i="25"/>
  <c r="S213" i="25"/>
  <c r="AP12" i="25" s="1"/>
  <c r="R99" i="25"/>
  <c r="AM7" i="25" s="1"/>
  <c r="R106" i="25"/>
  <c r="AT7" i="25" s="1"/>
  <c r="R172" i="25"/>
  <c r="R210" i="25"/>
  <c r="AM13" i="25" s="1"/>
  <c r="S263" i="25"/>
  <c r="R212" i="25"/>
  <c r="AO13" i="25" s="1"/>
  <c r="S222" i="25"/>
  <c r="AZ12" i="25" s="1"/>
  <c r="S275" i="25"/>
  <c r="R123" i="25"/>
  <c r="R169" i="25"/>
  <c r="R130" i="25"/>
  <c r="R133" i="25"/>
  <c r="R118" i="25"/>
  <c r="R90" i="25"/>
  <c r="R184" i="25"/>
  <c r="R96" i="25"/>
  <c r="R18" i="25"/>
  <c r="R17" i="25"/>
  <c r="R15" i="25"/>
  <c r="AO10" i="25" s="1"/>
  <c r="Z10" i="25"/>
  <c r="Z9" i="25"/>
  <c r="AA10" i="25"/>
  <c r="AA9" i="25"/>
  <c r="S191" i="25"/>
  <c r="S102" i="25"/>
  <c r="AP6" i="25" s="1"/>
  <c r="S120" i="25"/>
  <c r="S145" i="25"/>
  <c r="S173" i="25"/>
  <c r="S121" i="25"/>
  <c r="S192" i="25"/>
  <c r="R39" i="25"/>
  <c r="AN4" i="25" s="1"/>
  <c r="S103" i="25"/>
  <c r="AQ6" i="25" s="1"/>
  <c r="S146" i="25"/>
  <c r="S174" i="25"/>
  <c r="S122" i="25"/>
  <c r="S193" i="25"/>
  <c r="R73" i="25"/>
  <c r="R37" i="25"/>
  <c r="S104" i="25"/>
  <c r="AR6" i="25" s="1"/>
  <c r="S123" i="25"/>
  <c r="S147" i="25"/>
  <c r="S175" i="25"/>
  <c r="S148" i="25"/>
  <c r="S194" i="25"/>
  <c r="R71" i="25"/>
  <c r="AG7" i="25" s="1"/>
  <c r="S85" i="25"/>
  <c r="S105" i="25"/>
  <c r="AS6" i="25" s="1"/>
  <c r="S124" i="25"/>
  <c r="S176" i="25"/>
  <c r="S125" i="25"/>
  <c r="S149" i="25"/>
  <c r="S195" i="25"/>
  <c r="R33" i="25"/>
  <c r="S106" i="25"/>
  <c r="AT6" i="25" s="1"/>
  <c r="S126" i="25"/>
  <c r="S150" i="25"/>
  <c r="S177" i="25"/>
  <c r="S86" i="25"/>
  <c r="R32" i="25"/>
  <c r="AL4" i="25" s="1"/>
  <c r="S87" i="25"/>
  <c r="S127" i="25"/>
  <c r="S151" i="25"/>
  <c r="S196" i="25"/>
  <c r="R67" i="25"/>
  <c r="AC7" i="25" s="1"/>
  <c r="R31" i="25"/>
  <c r="S107" i="25"/>
  <c r="AU6" i="25" s="1"/>
  <c r="S128" i="25"/>
  <c r="S152" i="25"/>
  <c r="S178" i="25"/>
  <c r="S88" i="25"/>
  <c r="S129" i="25"/>
  <c r="S153" i="25"/>
  <c r="S197" i="25"/>
  <c r="R65" i="25"/>
  <c r="S108" i="25"/>
  <c r="S130" i="25"/>
  <c r="S179" i="25"/>
  <c r="S89" i="25"/>
  <c r="S154" i="25"/>
  <c r="S198" i="25"/>
  <c r="R63" i="25"/>
  <c r="S109" i="25"/>
  <c r="AW6" i="25" s="1"/>
  <c r="S131" i="25"/>
  <c r="S155" i="25"/>
  <c r="AF12" i="25" s="1"/>
  <c r="S180" i="25"/>
  <c r="S90" i="25"/>
  <c r="S132" i="25"/>
  <c r="S156" i="25"/>
  <c r="S199" i="25"/>
  <c r="S110" i="25"/>
  <c r="AX6" i="25" s="1"/>
  <c r="S133" i="25"/>
  <c r="S157" i="25"/>
  <c r="AH12" i="25" s="1"/>
  <c r="S181" i="25"/>
  <c r="R24" i="25"/>
  <c r="AC4" i="25" s="1"/>
  <c r="R91" i="25"/>
  <c r="S158" i="25"/>
  <c r="S200" i="25"/>
  <c r="S92" i="25"/>
  <c r="S111" i="25"/>
  <c r="S134" i="25"/>
  <c r="S159" i="25"/>
  <c r="S182" i="25"/>
  <c r="S93" i="25"/>
  <c r="S135" i="25"/>
  <c r="S160" i="25"/>
  <c r="S183" i="25"/>
  <c r="S201" i="25"/>
  <c r="S112" i="25"/>
  <c r="AZ6" i="25" s="1"/>
  <c r="S161" i="25"/>
  <c r="S94" i="25"/>
  <c r="S136" i="25"/>
  <c r="S162" i="25"/>
  <c r="S184" i="25"/>
  <c r="S202" i="25"/>
  <c r="R23" i="25"/>
  <c r="BA10" i="25" s="1"/>
  <c r="S113" i="25"/>
  <c r="S163" i="25"/>
  <c r="S95" i="25"/>
  <c r="S137" i="25"/>
  <c r="S164" i="25"/>
  <c r="S185" i="25"/>
  <c r="S203" i="25"/>
  <c r="S114" i="25"/>
  <c r="BB6" i="25" s="1"/>
  <c r="S165" i="25"/>
  <c r="S96" i="25"/>
  <c r="S138" i="25"/>
  <c r="S166" i="25"/>
  <c r="S186" i="25"/>
  <c r="S204" i="25"/>
  <c r="S115" i="25"/>
  <c r="S167" i="25"/>
  <c r="S97" i="25"/>
  <c r="S139" i="25"/>
  <c r="S168" i="25"/>
  <c r="S187" i="25"/>
  <c r="S205" i="25"/>
  <c r="S98" i="25"/>
  <c r="S116" i="25"/>
  <c r="S140" i="25"/>
  <c r="S169" i="25"/>
  <c r="S141" i="25"/>
  <c r="S188" i="25"/>
  <c r="S206" i="25"/>
  <c r="S99" i="25"/>
  <c r="AM6" i="25" s="1"/>
  <c r="S117" i="25"/>
  <c r="S170" i="25"/>
  <c r="S142" i="25"/>
  <c r="S189" i="25"/>
  <c r="S207" i="25"/>
  <c r="S100" i="25"/>
  <c r="AN6" i="25" s="1"/>
  <c r="S118" i="25"/>
  <c r="S171" i="25"/>
  <c r="S143" i="25"/>
  <c r="S190" i="25"/>
  <c r="S208" i="25"/>
  <c r="R79" i="25"/>
  <c r="S101" i="25"/>
  <c r="AO6" i="25" s="1"/>
  <c r="S119" i="25"/>
  <c r="S144" i="25"/>
  <c r="S172" i="25"/>
  <c r="R125" i="25"/>
  <c r="R149" i="25"/>
  <c r="R161" i="25"/>
  <c r="AL13" i="25" s="1"/>
  <c r="R126" i="25"/>
  <c r="R150" i="25"/>
  <c r="AA13" i="25" s="1"/>
  <c r="R162" i="25"/>
  <c r="R127" i="25"/>
  <c r="R139" i="25"/>
  <c r="R151" i="25"/>
  <c r="R163" i="25"/>
  <c r="S91" i="25"/>
  <c r="R92" i="25"/>
  <c r="R140" i="25"/>
  <c r="R152" i="25"/>
  <c r="R164" i="25"/>
  <c r="R128" i="25"/>
  <c r="R165" i="25"/>
  <c r="R129" i="25"/>
  <c r="R154" i="25"/>
  <c r="R166" i="25"/>
  <c r="R131" i="25"/>
  <c r="R143" i="25"/>
  <c r="R155" i="25"/>
  <c r="AF13" i="25" s="1"/>
  <c r="R167" i="25"/>
  <c r="R132" i="25"/>
  <c r="R156" i="25"/>
  <c r="AG13" i="25" s="1"/>
  <c r="R168" i="25"/>
  <c r="R120" i="25"/>
  <c r="R97" i="25"/>
  <c r="R157" i="25"/>
  <c r="AH13" i="25" s="1"/>
  <c r="R86" i="25"/>
  <c r="R122" i="25"/>
  <c r="R134" i="25"/>
  <c r="R158" i="25"/>
  <c r="R182" i="25"/>
  <c r="R147" i="25"/>
  <c r="R159" i="25"/>
  <c r="R124" i="25"/>
  <c r="R160" i="25"/>
  <c r="S4" i="25"/>
  <c r="AC9" i="25" s="1"/>
  <c r="R70" i="25"/>
  <c r="S80" i="25"/>
  <c r="S64" i="25"/>
  <c r="Z6" i="25" s="1"/>
  <c r="R48" i="25"/>
  <c r="S16" i="25"/>
  <c r="AP9" i="25" s="1"/>
  <c r="R57" i="25"/>
  <c r="S79" i="25"/>
  <c r="S63" i="25"/>
  <c r="S47" i="25"/>
  <c r="AV3" i="25" s="1"/>
  <c r="S31" i="25"/>
  <c r="S15" i="25"/>
  <c r="S21" i="25"/>
  <c r="AW9" i="25" s="1"/>
  <c r="R46" i="25"/>
  <c r="AU4" i="25" s="1"/>
  <c r="S29" i="25"/>
  <c r="S76" i="25"/>
  <c r="R76" i="25"/>
  <c r="S44" i="25"/>
  <c r="AS3" i="25" s="1"/>
  <c r="S28" i="25"/>
  <c r="R12" i="25"/>
  <c r="S53" i="25"/>
  <c r="S30" i="25"/>
  <c r="AE3" i="25" s="1"/>
  <c r="R45" i="25"/>
  <c r="AT4" i="25" s="1"/>
  <c r="S13" i="25"/>
  <c r="AL9" i="25" s="1"/>
  <c r="S32" i="25"/>
  <c r="AL3" i="25" s="1"/>
  <c r="R77" i="25"/>
  <c r="R75" i="25"/>
  <c r="R43" i="25"/>
  <c r="R27" i="25"/>
  <c r="S11" i="25"/>
  <c r="AJ9" i="25" s="1"/>
  <c r="S38" i="25"/>
  <c r="AM3" i="25" s="1"/>
  <c r="S78" i="25"/>
  <c r="R14" i="25"/>
  <c r="AN10" i="25" s="1"/>
  <c r="S23" i="25"/>
  <c r="BA9" i="25" s="1"/>
  <c r="S74" i="25"/>
  <c r="S42" i="25"/>
  <c r="S10" i="25"/>
  <c r="R60" i="25"/>
  <c r="S73" i="25"/>
  <c r="AI6" i="25" s="1"/>
  <c r="S9" i="25"/>
  <c r="AH9" i="25" s="1"/>
  <c r="S34" i="25"/>
  <c r="S60" i="25"/>
  <c r="S72" i="25"/>
  <c r="S8" i="25"/>
  <c r="AG9" i="25" s="1"/>
  <c r="S35" i="25"/>
  <c r="S26" i="25"/>
  <c r="S39" i="25"/>
  <c r="AN3" i="25" s="1"/>
  <c r="R7" i="25"/>
  <c r="AF10" i="25" s="1"/>
  <c r="S84" i="25"/>
  <c r="S52" i="25"/>
  <c r="BB3" i="25" s="1"/>
  <c r="S83" i="25"/>
  <c r="R51" i="25"/>
  <c r="BA4" i="25" s="1"/>
  <c r="S82" i="25"/>
  <c r="S66" i="25"/>
  <c r="AB6" i="25" s="1"/>
  <c r="R50" i="25"/>
  <c r="AZ4" i="25" s="1"/>
  <c r="R34" i="25"/>
  <c r="S3" i="25"/>
  <c r="AB9" i="25" s="1"/>
  <c r="S6" i="25"/>
  <c r="AE9" i="25" s="1"/>
  <c r="R68" i="25"/>
  <c r="S67" i="25"/>
  <c r="AC6" i="25" s="1"/>
  <c r="R3" i="25"/>
  <c r="AB10" i="25" s="1"/>
  <c r="R81" i="25"/>
  <c r="S65" i="25"/>
  <c r="S49" i="25"/>
  <c r="S33" i="25"/>
  <c r="S51" i="25"/>
  <c r="BA3" i="25" s="1"/>
  <c r="S69" i="25"/>
  <c r="R16" i="25"/>
  <c r="AP10" i="25" s="1"/>
  <c r="R52" i="25"/>
  <c r="BB4" i="25" s="1"/>
  <c r="R69" i="25"/>
  <c r="S71" i="25"/>
  <c r="S50" i="25"/>
  <c r="AZ3" i="25" s="1"/>
  <c r="R36" i="25"/>
  <c r="R54" i="25"/>
  <c r="R72" i="25"/>
  <c r="AH7" i="25" s="1"/>
  <c r="S36" i="25"/>
  <c r="R19" i="25"/>
  <c r="R55" i="25"/>
  <c r="S18" i="25"/>
  <c r="S54" i="25"/>
  <c r="S19" i="25"/>
  <c r="AS9" i="25" s="1"/>
  <c r="S37" i="25"/>
  <c r="S55" i="25"/>
  <c r="R20" i="25"/>
  <c r="AT10" i="25" s="1"/>
  <c r="R38" i="25"/>
  <c r="AM4" i="25" s="1"/>
  <c r="R56" i="25"/>
  <c r="R74" i="25"/>
  <c r="S20" i="25"/>
  <c r="AT9" i="25" s="1"/>
  <c r="S56" i="25"/>
  <c r="S14" i="25"/>
  <c r="S17" i="25"/>
  <c r="AQ9" i="25" s="1"/>
  <c r="S75" i="25"/>
  <c r="R4" i="25"/>
  <c r="AC10" i="25" s="1"/>
  <c r="R22" i="25"/>
  <c r="AA4" i="25" s="1"/>
  <c r="R40" i="25"/>
  <c r="AO4" i="25" s="1"/>
  <c r="R58" i="25"/>
  <c r="S70" i="25"/>
  <c r="S22" i="25"/>
  <c r="AX9" i="25" s="1"/>
  <c r="R42" i="25"/>
  <c r="R25" i="25"/>
  <c r="S59" i="25"/>
  <c r="S7" i="25"/>
  <c r="AF9" i="25" s="1"/>
  <c r="S25" i="25"/>
  <c r="Z3" i="25" s="1"/>
  <c r="S43" i="25"/>
  <c r="AR3" i="25" s="1"/>
  <c r="S61" i="25"/>
  <c r="S68" i="25"/>
  <c r="R21" i="25"/>
  <c r="AW10" i="25" s="1"/>
  <c r="S40" i="25"/>
  <c r="AO3" i="25" s="1"/>
  <c r="R59" i="25"/>
  <c r="S41" i="25"/>
  <c r="S24" i="25"/>
  <c r="BB9" i="25" s="1"/>
  <c r="R26" i="25"/>
  <c r="R44" i="25"/>
  <c r="AS4" i="25" s="1"/>
  <c r="R80" i="25"/>
  <c r="R9" i="25"/>
  <c r="AH10" i="25" s="1"/>
  <c r="S27" i="25"/>
  <c r="S45" i="25"/>
  <c r="AT3" i="25" s="1"/>
  <c r="S81" i="25"/>
  <c r="R53" i="25"/>
  <c r="S57" i="25"/>
  <c r="S58" i="25"/>
  <c r="R41" i="25"/>
  <c r="AP4" i="25" s="1"/>
  <c r="S77" i="25"/>
  <c r="R6" i="25"/>
  <c r="AE10" i="25" s="1"/>
  <c r="R78" i="25"/>
  <c r="S62" i="25"/>
  <c r="R10" i="25"/>
  <c r="R82" i="25"/>
  <c r="S46" i="25"/>
  <c r="AU3" i="25" s="1"/>
  <c r="R8" i="25"/>
  <c r="AG10" i="25" s="1"/>
  <c r="R62" i="25"/>
  <c r="R28" i="25"/>
  <c r="R64" i="25"/>
  <c r="Z7" i="25" s="1"/>
  <c r="R47" i="25"/>
  <c r="AV4" i="25" s="1"/>
  <c r="R30" i="25"/>
  <c r="AJ4" i="25" s="1"/>
  <c r="R66" i="25"/>
  <c r="R84" i="25"/>
  <c r="S12" i="25"/>
  <c r="S48" i="25"/>
  <c r="AW3" i="25" s="1"/>
  <c r="R5" i="25"/>
  <c r="AD10" i="25" s="1"/>
  <c r="S5" i="25"/>
  <c r="AD9" i="25" s="1"/>
  <c r="R61" i="25"/>
  <c r="R11" i="25"/>
  <c r="R29" i="25"/>
  <c r="R83" i="25"/>
  <c r="R13" i="25"/>
  <c r="AM10" i="25" s="1"/>
  <c r="R49" i="25"/>
  <c r="AX4" i="25" s="1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D6" i="23"/>
  <c r="D7" i="23" s="1"/>
  <c r="D8" i="23" s="1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AM9" i="25" l="1"/>
  <c r="AK13" i="25"/>
  <c r="AE13" i="25"/>
  <c r="AC13" i="25"/>
  <c r="AD12" i="25"/>
  <c r="AF4" i="25"/>
  <c r="AJ6" i="25"/>
  <c r="AA7" i="25"/>
  <c r="AX10" i="25"/>
  <c r="BB10" i="25"/>
  <c r="AA6" i="25"/>
  <c r="Z13" i="25"/>
  <c r="AL12" i="25"/>
  <c r="AB13" i="25"/>
  <c r="AJ13" i="25"/>
  <c r="AL7" i="25"/>
  <c r="AB7" i="25"/>
  <c r="AG3" i="25"/>
  <c r="AL6" i="25"/>
  <c r="AB4" i="25"/>
  <c r="AC12" i="25"/>
  <c r="AG6" i="25"/>
  <c r="AG4" i="25"/>
  <c r="Z4" i="25"/>
  <c r="AJ7" i="25"/>
  <c r="AI3" i="25"/>
  <c r="AC3" i="25"/>
  <c r="AL10" i="25"/>
  <c r="AI13" i="25"/>
  <c r="AI10" i="25"/>
  <c r="AI7" i="25"/>
  <c r="AI9" i="25"/>
  <c r="AK6" i="25"/>
  <c r="Z12" i="25"/>
  <c r="AE7" i="25"/>
  <c r="AK12" i="25"/>
  <c r="AK4" i="25"/>
  <c r="AD3" i="25"/>
  <c r="AH6" i="25"/>
  <c r="AB12" i="25"/>
  <c r="AD4" i="25"/>
  <c r="AH3" i="25"/>
  <c r="AJ10" i="25"/>
  <c r="AK10" i="25"/>
  <c r="AE12" i="25"/>
  <c r="AD7" i="25"/>
  <c r="AK9" i="25"/>
  <c r="AA3" i="25"/>
  <c r="AB3" i="25"/>
  <c r="AE4" i="25"/>
  <c r="AH4" i="25"/>
  <c r="AK3" i="25"/>
  <c r="AG12" i="25"/>
  <c r="AE6" i="25"/>
  <c r="AK7" i="25"/>
  <c r="AD6" i="25"/>
  <c r="AF3" i="25"/>
  <c r="AI4" i="25"/>
  <c r="AJ3" i="25"/>
  <c r="AF7" i="25"/>
  <c r="AJ12" i="25"/>
  <c r="AF6" i="25"/>
  <c r="AI12" i="25"/>
  <c r="AA12" i="25"/>
  <c r="F57" i="24"/>
  <c r="E57" i="24"/>
  <c r="D57" i="24"/>
  <c r="C57" i="24"/>
  <c r="F56" i="24"/>
  <c r="E56" i="24"/>
  <c r="D56" i="24"/>
  <c r="C56" i="24"/>
  <c r="F55" i="24"/>
  <c r="E55" i="24"/>
  <c r="D55" i="24"/>
  <c r="C55" i="24"/>
  <c r="F54" i="24"/>
  <c r="E54" i="24"/>
  <c r="D54" i="24"/>
  <c r="C54" i="24"/>
  <c r="F53" i="24"/>
  <c r="E53" i="24"/>
  <c r="D53" i="24"/>
  <c r="C53" i="24"/>
  <c r="F52" i="24"/>
  <c r="E52" i="24"/>
  <c r="D52" i="24"/>
  <c r="C52" i="24"/>
  <c r="F51" i="24"/>
  <c r="E51" i="24"/>
  <c r="D51" i="24"/>
  <c r="C51" i="24"/>
  <c r="F50" i="24"/>
  <c r="E50" i="24"/>
  <c r="D50" i="24"/>
  <c r="C50" i="24"/>
  <c r="F49" i="24"/>
  <c r="E49" i="24"/>
  <c r="D49" i="24"/>
  <c r="C49" i="24"/>
  <c r="F48" i="24"/>
  <c r="E48" i="24"/>
  <c r="D48" i="24"/>
  <c r="C48" i="24"/>
  <c r="F47" i="24"/>
  <c r="E47" i="24"/>
  <c r="D47" i="24"/>
  <c r="C47" i="24"/>
  <c r="F46" i="24"/>
  <c r="E46" i="24"/>
  <c r="D46" i="24"/>
  <c r="C46" i="24"/>
  <c r="F45" i="24"/>
  <c r="E45" i="24"/>
  <c r="D45" i="24"/>
  <c r="C45" i="24"/>
  <c r="F44" i="24"/>
  <c r="E44" i="24"/>
  <c r="D44" i="24"/>
  <c r="C44" i="24"/>
  <c r="F43" i="24"/>
  <c r="E43" i="24"/>
  <c r="D43" i="24"/>
  <c r="C43" i="24"/>
  <c r="F42" i="24"/>
  <c r="E42" i="24"/>
  <c r="D42" i="24"/>
  <c r="C42" i="24"/>
  <c r="F41" i="24"/>
  <c r="E41" i="24"/>
  <c r="D41" i="24"/>
  <c r="C41" i="24"/>
  <c r="F40" i="24"/>
  <c r="E40" i="24"/>
  <c r="D40" i="24"/>
  <c r="C40" i="24"/>
  <c r="F39" i="24"/>
  <c r="E39" i="24"/>
  <c r="D39" i="24"/>
  <c r="C39" i="24"/>
  <c r="F38" i="24"/>
  <c r="E38" i="24"/>
  <c r="D38" i="24"/>
  <c r="C38" i="24"/>
  <c r="F37" i="24"/>
  <c r="E37" i="24"/>
  <c r="D37" i="24"/>
  <c r="C37" i="24"/>
  <c r="F36" i="24"/>
  <c r="E36" i="24"/>
  <c r="D36" i="24"/>
  <c r="C36" i="24"/>
  <c r="F35" i="24"/>
  <c r="E35" i="24"/>
  <c r="D35" i="24"/>
  <c r="C35" i="24"/>
  <c r="F34" i="24"/>
  <c r="E34" i="24"/>
  <c r="D34" i="24"/>
  <c r="C34" i="24"/>
  <c r="F33" i="24"/>
  <c r="E33" i="24"/>
  <c r="D33" i="24"/>
  <c r="C33" i="24"/>
  <c r="F32" i="24"/>
  <c r="E32" i="24"/>
  <c r="D32" i="24"/>
  <c r="C32" i="24"/>
  <c r="F31" i="24"/>
  <c r="E31" i="24"/>
  <c r="D31" i="24"/>
  <c r="C31" i="24"/>
  <c r="F30" i="24"/>
  <c r="E30" i="24"/>
  <c r="D30" i="24"/>
  <c r="C30" i="24"/>
  <c r="F29" i="24"/>
  <c r="E29" i="24"/>
  <c r="D29" i="24"/>
  <c r="C29" i="24"/>
  <c r="F28" i="24"/>
  <c r="E28" i="24"/>
  <c r="D28" i="24"/>
  <c r="C28" i="24"/>
  <c r="F27" i="24"/>
  <c r="E27" i="24"/>
  <c r="D27" i="24"/>
  <c r="C27" i="24"/>
  <c r="F26" i="24"/>
  <c r="E26" i="24"/>
  <c r="D26" i="24"/>
  <c r="C26" i="24"/>
  <c r="F25" i="24"/>
  <c r="E25" i="24"/>
  <c r="D25" i="24"/>
  <c r="C25" i="24"/>
  <c r="F24" i="24"/>
  <c r="E24" i="24"/>
  <c r="D24" i="24"/>
  <c r="C24" i="24"/>
  <c r="F23" i="24"/>
  <c r="E23" i="24"/>
  <c r="D23" i="24"/>
  <c r="C23" i="24"/>
  <c r="F22" i="24"/>
  <c r="E22" i="24"/>
  <c r="D22" i="24"/>
  <c r="C22" i="24"/>
  <c r="F21" i="24"/>
  <c r="E21" i="24"/>
  <c r="D21" i="24"/>
  <c r="C21" i="24"/>
  <c r="F20" i="24"/>
  <c r="E20" i="24"/>
  <c r="D20" i="24"/>
  <c r="C20" i="24"/>
  <c r="F19" i="24"/>
  <c r="E19" i="24"/>
  <c r="D19" i="24"/>
  <c r="C19" i="24"/>
  <c r="F18" i="24"/>
  <c r="E18" i="24"/>
  <c r="D18" i="24"/>
  <c r="C18" i="24"/>
  <c r="F17" i="24"/>
  <c r="E17" i="24"/>
  <c r="D17" i="24"/>
  <c r="C17" i="24"/>
  <c r="F16" i="24"/>
  <c r="E16" i="24"/>
  <c r="D16" i="24"/>
  <c r="C16" i="24"/>
  <c r="F15" i="24"/>
  <c r="E15" i="24"/>
  <c r="D15" i="24"/>
  <c r="C15" i="24"/>
  <c r="F14" i="24"/>
  <c r="E14" i="24"/>
  <c r="D14" i="24"/>
  <c r="C14" i="24"/>
  <c r="F13" i="24"/>
  <c r="E13" i="24"/>
  <c r="D13" i="24"/>
  <c r="C13" i="24"/>
  <c r="F12" i="24"/>
  <c r="E12" i="24"/>
  <c r="D12" i="24"/>
  <c r="C12" i="24"/>
  <c r="F11" i="24"/>
  <c r="E11" i="24"/>
  <c r="D11" i="24"/>
  <c r="C11" i="24"/>
  <c r="F10" i="24"/>
  <c r="E10" i="24"/>
  <c r="D10" i="24"/>
  <c r="C10" i="24"/>
  <c r="F9" i="24"/>
  <c r="E9" i="24"/>
  <c r="D9" i="24"/>
  <c r="C9" i="24"/>
  <c r="F8" i="24"/>
  <c r="E8" i="24"/>
  <c r="D8" i="24"/>
  <c r="C8" i="24"/>
  <c r="J1" i="23" l="1"/>
  <c r="C7" i="24"/>
  <c r="D7" i="24"/>
  <c r="E7" i="24"/>
  <c r="F7" i="24"/>
  <c r="E6" i="23" l="1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5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Y13" authorId="0" shapeId="0" xr:uid="{B164065A-D1A5-4BA5-A02F-E154DE6C416B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08-04-2022
no techs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D117858D-18EF-4984-8171-A26A25119CDE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22-02-2022
relaxing base-year bound. IEA balances report 47EJ pri bio, but 3.5EJ biofuels are also reported as primary production.</t>
        </r>
      </text>
    </comment>
  </commentList>
</comments>
</file>

<file path=xl/sharedStrings.xml><?xml version="1.0" encoding="utf-8"?>
<sst xmlns="http://schemas.openxmlformats.org/spreadsheetml/2006/main" count="1399" uniqueCount="229">
  <si>
    <t>~TFM_INS</t>
  </si>
  <si>
    <t>Attribute</t>
  </si>
  <si>
    <t>PSET_PN</t>
  </si>
  <si>
    <t>CSET_CN</t>
  </si>
  <si>
    <t>AllRegions</t>
  </si>
  <si>
    <t>PASTI</t>
  </si>
  <si>
    <t>Curr</t>
  </si>
  <si>
    <t>Attrib_Cond</t>
  </si>
  <si>
    <t>LimType</t>
  </si>
  <si>
    <t>Other_Indexes</t>
  </si>
  <si>
    <t>Year</t>
  </si>
  <si>
    <t>PSET_SET</t>
  </si>
  <si>
    <t>PSET_CI</t>
  </si>
  <si>
    <t>Top_Check</t>
  </si>
  <si>
    <t>ELE</t>
  </si>
  <si>
    <t>EP*</t>
  </si>
  <si>
    <t>PRC_CAPACT</t>
  </si>
  <si>
    <t>ELE,CHP</t>
  </si>
  <si>
    <t>RCAP_BND</t>
  </si>
  <si>
    <t>UP</t>
  </si>
  <si>
    <t>PEAK</t>
  </si>
  <si>
    <t>INVCOST</t>
  </si>
  <si>
    <t>~TFM_UPD</t>
  </si>
  <si>
    <t>EFF</t>
  </si>
  <si>
    <t>ELCNUC</t>
  </si>
  <si>
    <t>~TFM_MIG</t>
  </si>
  <si>
    <t>USD11</t>
  </si>
  <si>
    <t>EP*Coa*</t>
  </si>
  <si>
    <t>EP*Hyd*</t>
  </si>
  <si>
    <t>ELIFE</t>
  </si>
  <si>
    <t>LIFE</t>
  </si>
  <si>
    <t>ELCNGA</t>
  </si>
  <si>
    <t>EP*NGA*,EP*Oil*</t>
  </si>
  <si>
    <t>k</t>
  </si>
  <si>
    <t>a</t>
  </si>
  <si>
    <t>Data (18.5)</t>
  </si>
  <si>
    <t>trucks and buses</t>
  </si>
  <si>
    <t>lcv, pas and mot</t>
  </si>
  <si>
    <t>attribute</t>
  </si>
  <si>
    <t>pset_pn</t>
  </si>
  <si>
    <t>Trd[_]*</t>
  </si>
  <si>
    <t>year2</t>
  </si>
  <si>
    <t>allregions</t>
  </si>
  <si>
    <t>other_indexes</t>
  </si>
  <si>
    <t>value</t>
  </si>
  <si>
    <t>SHAPE</t>
  </si>
  <si>
    <t>year</t>
  </si>
  <si>
    <t>NCAP_BND</t>
  </si>
  <si>
    <t>~TFM_INS: Limtype=FX</t>
  </si>
  <si>
    <t>Mean AGE (TLIFE = 25)</t>
  </si>
  <si>
    <t>FX</t>
  </si>
  <si>
    <t>Model</t>
  </si>
  <si>
    <t>ActiveReg</t>
  </si>
  <si>
    <t>Fuel</t>
  </si>
  <si>
    <t>AutoCHP</t>
  </si>
  <si>
    <t>AutoElec</t>
  </si>
  <si>
    <t>MainCHP</t>
  </si>
  <si>
    <t>MainELEC</t>
  </si>
  <si>
    <t>region</t>
  </si>
  <si>
    <t>CHP</t>
  </si>
  <si>
    <t>process</t>
  </si>
  <si>
    <t>pset_ci</t>
  </si>
  <si>
    <t>China</t>
  </si>
  <si>
    <t>India</t>
  </si>
  <si>
    <t>Russia</t>
  </si>
  <si>
    <t>IEA</t>
  </si>
  <si>
    <t>BIO</t>
  </si>
  <si>
    <t>COA</t>
  </si>
  <si>
    <t>GAS</t>
  </si>
  <si>
    <t>*NGA*</t>
  </si>
  <si>
    <t>OIL</t>
  </si>
  <si>
    <t>\I:</t>
  </si>
  <si>
    <t>ACT_BND</t>
  </si>
  <si>
    <t>MinBIOBSL-07</t>
  </si>
  <si>
    <t>timeslice</t>
  </si>
  <si>
    <t>commodity</t>
  </si>
  <si>
    <t>assuming 6h storage capacity for day-night operation of pumped hydro</t>
  </si>
  <si>
    <t>NCAP_AFAC</t>
  </si>
  <si>
    <t>ELC</t>
  </si>
  <si>
    <t>NCAP_AFC</t>
  </si>
  <si>
    <t>ACT</t>
  </si>
  <si>
    <t>DAYNITE</t>
  </si>
  <si>
    <t>NRG</t>
  </si>
  <si>
    <t>takes 9h to full charge (pump has a smaller capacity than the hydro turbine)</t>
  </si>
  <si>
    <t>STG_EFF</t>
  </si>
  <si>
    <t>FLO_FUNC</t>
  </si>
  <si>
    <t>AuxStoOUT</t>
  </si>
  <si>
    <t>~TFM_TOPINS-A</t>
  </si>
  <si>
    <t>OUT</t>
  </si>
  <si>
    <t>EP*,EA*,-*CHP</t>
  </si>
  <si>
    <t>EP*CHP, EA*CHP</t>
  </si>
  <si>
    <t>Bio</t>
  </si>
  <si>
    <t>Coal</t>
  </si>
  <si>
    <t>Gas</t>
  </si>
  <si>
    <t>Oil</t>
  </si>
  <si>
    <t>*1</t>
  </si>
  <si>
    <t>Crude</t>
  </si>
  <si>
    <t>Diesel</t>
  </si>
  <si>
    <t>Geothermal</t>
  </si>
  <si>
    <t>Hydro</t>
  </si>
  <si>
    <t>Lignite</t>
  </si>
  <si>
    <t>Nuclear</t>
  </si>
  <si>
    <t>Solar</t>
  </si>
  <si>
    <t>~TFM_TOPINS</t>
  </si>
  <si>
    <t>io</t>
  </si>
  <si>
    <t>SUP_GasSupply</t>
  </si>
  <si>
    <t>IN</t>
  </si>
  <si>
    <t>GAS[_]*</t>
  </si>
  <si>
    <t>SUP_OilSupply</t>
  </si>
  <si>
    <t>OIL[_]*</t>
  </si>
  <si>
    <t>START</t>
  </si>
  <si>
    <t>-Gas[_]*</t>
  </si>
  <si>
    <t>-Oil[_]*</t>
  </si>
  <si>
    <t>ELE,CHP,STS</t>
  </si>
  <si>
    <t>FIXOM</t>
  </si>
  <si>
    <t>will come from WEO pg techs</t>
  </si>
  <si>
    <t>*HYD,*SPV,*STH,*WIN</t>
  </si>
  <si>
    <t>???GEO,???STH,???HET</t>
  </si>
  <si>
    <t>FT_INDNGA</t>
  </si>
  <si>
    <t>GASRFG</t>
  </si>
  <si>
    <t>ELE,STS</t>
  </si>
  <si>
    <t>scaling</t>
  </si>
  <si>
    <t>DeACT TFM_UPD: attribute=EFF</t>
  </si>
  <si>
    <t>*HYD,*SPV,*WIN</t>
  </si>
  <si>
    <t>Africa_other</t>
  </si>
  <si>
    <t>Arg-Chi</t>
  </si>
  <si>
    <t>Asia_central</t>
  </si>
  <si>
    <t>Asia_east</t>
  </si>
  <si>
    <t>Asia_other</t>
  </si>
  <si>
    <t>Australia_NZ</t>
  </si>
  <si>
    <t>Brazil</t>
  </si>
  <si>
    <t>Canada</t>
  </si>
  <si>
    <t>EU_north</t>
  </si>
  <si>
    <t>EU_northeast</t>
  </si>
  <si>
    <t>EU_northwest</t>
  </si>
  <si>
    <t>EU_south</t>
  </si>
  <si>
    <t>EU_southeast</t>
  </si>
  <si>
    <t>EU_southwest</t>
  </si>
  <si>
    <t>Europe_other</t>
  </si>
  <si>
    <t>France</t>
  </si>
  <si>
    <t>Germany</t>
  </si>
  <si>
    <t>LatAm_other</t>
  </si>
  <si>
    <t>Mexico</t>
  </si>
  <si>
    <t>MidEast_other</t>
  </si>
  <si>
    <t>Nor-Ice</t>
  </si>
  <si>
    <t>SouthAfrica</t>
  </si>
  <si>
    <t>UK</t>
  </si>
  <si>
    <t>USA</t>
  </si>
  <si>
    <t>Africa_north</t>
  </si>
  <si>
    <t>SaudiArabia</t>
  </si>
  <si>
    <t>tech</t>
  </si>
  <si>
    <t>Elec</t>
  </si>
  <si>
    <t>Wind-Onshore</t>
  </si>
  <si>
    <t>TimeSlice</t>
  </si>
  <si>
    <t>Val_Cond</t>
  </si>
  <si>
    <t>Pset_Set</t>
  </si>
  <si>
    <t>Pset_PN</t>
  </si>
  <si>
    <t>Pset_CI</t>
  </si>
  <si>
    <t>avc_limtype</t>
  </si>
  <si>
    <t>RESID</t>
  </si>
  <si>
    <t>&lt;.001</t>
  </si>
  <si>
    <t>PRE</t>
  </si>
  <si>
    <t>IND*</t>
  </si>
  <si>
    <t>FLO_SHAR</t>
  </si>
  <si>
    <t>DMD</t>
  </si>
  <si>
    <t>T*generic*</t>
  </si>
  <si>
    <t>FLO_MARK</t>
  </si>
  <si>
    <t>I*</t>
  </si>
  <si>
    <t>LO</t>
  </si>
  <si>
    <t>limtype</t>
  </si>
  <si>
    <t>~TFM_MIG: attribute=stock</t>
  </si>
  <si>
    <t>pset_co</t>
  </si>
  <si>
    <t>INDELC</t>
  </si>
  <si>
    <t>&gt;1</t>
  </si>
  <si>
    <t>PRC_AOFF</t>
  </si>
  <si>
    <t>BOH-2030</t>
  </si>
  <si>
    <t>~md-v_r: placeholder assumption on standby power generation capacity; date: 01-02-2025; author: Amit Kanudia</t>
  </si>
  <si>
    <t>DMD_IIS</t>
  </si>
  <si>
    <t>pset_set</t>
  </si>
  <si>
    <t>attrib_cond</t>
  </si>
  <si>
    <t>im_fesponge,im_stlmolten</t>
  </si>
  <si>
    <t>INDNGA</t>
  </si>
  <si>
    <t>EA*</t>
  </si>
  <si>
    <t>INDBFG</t>
  </si>
  <si>
    <t>-IMstlbof_Conventional BOF,-IMstl_Electric Arc Furnace (EAF)</t>
  </si>
  <si>
    <t>CALIBRATION</t>
  </si>
  <si>
    <t>cok coal/coke</t>
  </si>
  <si>
    <t/>
  </si>
  <si>
    <t>BF cok input</t>
  </si>
  <si>
    <t>Electricity</t>
  </si>
  <si>
    <t>IMstlbof_Coke Ovens</t>
  </si>
  <si>
    <t>IMstlbof_Modern BF*</t>
  </si>
  <si>
    <t>Imstl*,Imfe*</t>
  </si>
  <si>
    <t>~TFM_UPD: attribute=INPUT</t>
  </si>
  <si>
    <t>im_cokcoal</t>
  </si>
  <si>
    <t>top_check</t>
  </si>
  <si>
    <t>*MIN</t>
  </si>
  <si>
    <t>*MAX</t>
  </si>
  <si>
    <t>im_coke,GASBFG</t>
  </si>
  <si>
    <t>FLO_EMIS</t>
  </si>
  <si>
    <t>* with CCS</t>
  </si>
  <si>
    <t>CO2Captured_ind</t>
  </si>
  <si>
    <t>INDCO2Nc,INDCO2Ng</t>
  </si>
  <si>
    <t>im_fesponge</t>
  </si>
  <si>
    <t>ind_coal</t>
  </si>
  <si>
    <t>FLO_COST</t>
  </si>
  <si>
    <t>im_feore</t>
  </si>
  <si>
    <t>cset_cn</t>
  </si>
  <si>
    <t>curr</t>
  </si>
  <si>
    <t>USD20</t>
  </si>
  <si>
    <t>*START</t>
  </si>
  <si>
    <t>Sum of val_field</t>
  </si>
  <si>
    <t>NCAP_COST</t>
  </si>
  <si>
    <t>NCAP_FOM</t>
  </si>
  <si>
    <t>Trd_2w_gsl150_02</t>
  </si>
  <si>
    <t>Trd_3w_gsl_02</t>
  </si>
  <si>
    <t>Trd_bus_dsl_04</t>
  </si>
  <si>
    <t>Trd_car_gsl_00</t>
  </si>
  <si>
    <t>Trd_hdt_dsl_04</t>
  </si>
  <si>
    <t>Trd_lcv_gsl_00</t>
  </si>
  <si>
    <t>~TFM_INS-AT: curr=USD20</t>
  </si>
  <si>
    <t>-LIFE</t>
  </si>
  <si>
    <t>PSET_PD</t>
  </si>
  <si>
    <t>*-- mothballed</t>
  </si>
  <si>
    <t>-ELCHYD,-ELCBIO,-ELCWAS,-ELCGEO</t>
  </si>
  <si>
    <t>ELE,CHP,STS,STG</t>
  </si>
  <si>
    <t>EP_HPS*</t>
  </si>
  <si>
    <t>EA_HPS*</t>
  </si>
  <si>
    <t>E?_HPS*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</si>
</sst>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 tint="-0.499984740745262"/>
      <name val="Calibri"/>
      <family val="2"/>
      <scheme val="minor"/>
    </font>
    <font>
      <b/>
      <i/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13">
    <xf numFmtId="0" fontId="0" fillId="0" borderId="0"/>
    <xf numFmtId="0" fontId="8" fillId="0" borderId="0"/>
    <xf numFmtId="0" fontId="10" fillId="0" borderId="0"/>
    <xf numFmtId="0" fontId="9" fillId="0" borderId="0"/>
    <xf numFmtId="0" fontId="7" fillId="0" borderId="0"/>
    <xf numFmtId="0" fontId="11" fillId="2" borderId="0" applyNumberFormat="0" applyBorder="0" applyAlignment="0" applyProtection="0"/>
    <xf numFmtId="0" fontId="12" fillId="3" borderId="1" applyNumberFormat="0" applyAlignment="0" applyProtection="0"/>
    <xf numFmtId="0" fontId="6" fillId="0" borderId="0"/>
    <xf numFmtId="0" fontId="17" fillId="5" borderId="0" applyNumberFormat="0" applyBorder="0" applyAlignment="0" applyProtection="0"/>
    <xf numFmtId="0" fontId="5" fillId="0" borderId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4" fillId="0" borderId="10" applyNumberFormat="0" applyFill="0" applyAlignment="0" applyProtection="0"/>
  </cellStyleXfs>
  <cellXfs count="42">
    <xf numFmtId="0" fontId="0" fillId="0" borderId="0" xfId="0"/>
    <xf numFmtId="2" fontId="0" fillId="0" borderId="0" xfId="0" applyNumberFormat="1"/>
    <xf numFmtId="1" fontId="0" fillId="0" borderId="0" xfId="0" applyNumberFormat="1"/>
    <xf numFmtId="0" fontId="6" fillId="0" borderId="0" xfId="7"/>
    <xf numFmtId="0" fontId="13" fillId="0" borderId="0" xfId="7" applyFont="1" applyAlignment="1">
      <alignment horizontal="center"/>
    </xf>
    <xf numFmtId="0" fontId="12" fillId="3" borderId="1" xfId="6"/>
    <xf numFmtId="164" fontId="14" fillId="2" borderId="0" xfId="5" applyNumberFormat="1" applyFont="1"/>
    <xf numFmtId="0" fontId="15" fillId="0" borderId="0" xfId="7" applyFont="1"/>
    <xf numFmtId="165" fontId="6" fillId="4" borderId="0" xfId="7" applyNumberFormat="1" applyFill="1"/>
    <xf numFmtId="165" fontId="6" fillId="0" borderId="0" xfId="7" applyNumberFormat="1"/>
    <xf numFmtId="2" fontId="6" fillId="0" borderId="0" xfId="7" applyNumberFormat="1"/>
    <xf numFmtId="0" fontId="16" fillId="0" borderId="2" xfId="7" applyFont="1" applyBorder="1"/>
    <xf numFmtId="0" fontId="16" fillId="0" borderId="3" xfId="7" applyFont="1" applyBorder="1"/>
    <xf numFmtId="0" fontId="16" fillId="0" borderId="4" xfId="7" applyFont="1" applyBorder="1"/>
    <xf numFmtId="0" fontId="16" fillId="0" borderId="5" xfId="7" applyFont="1" applyBorder="1"/>
    <xf numFmtId="0" fontId="16" fillId="0" borderId="6" xfId="7" applyFont="1" applyBorder="1"/>
    <xf numFmtId="0" fontId="16" fillId="0" borderId="7" xfId="7" applyFont="1" applyBorder="1"/>
    <xf numFmtId="0" fontId="17" fillId="5" borderId="0" xfId="8"/>
    <xf numFmtId="0" fontId="8" fillId="0" borderId="0" xfId="0" applyFont="1"/>
    <xf numFmtId="0" fontId="5" fillId="0" borderId="0" xfId="9"/>
    <xf numFmtId="2" fontId="5" fillId="0" borderId="0" xfId="9" applyNumberFormat="1"/>
    <xf numFmtId="0" fontId="20" fillId="5" borderId="0" xfId="8" applyFont="1"/>
    <xf numFmtId="0" fontId="4" fillId="0" borderId="0" xfId="9" applyFont="1"/>
    <xf numFmtId="0" fontId="21" fillId="0" borderId="0" xfId="0" applyFont="1"/>
    <xf numFmtId="165" fontId="0" fillId="0" borderId="0" xfId="0" applyNumberFormat="1"/>
    <xf numFmtId="0" fontId="3" fillId="0" borderId="0" xfId="9" applyFont="1"/>
    <xf numFmtId="0" fontId="0" fillId="0" borderId="0" xfId="0" quotePrefix="1"/>
    <xf numFmtId="0" fontId="22" fillId="0" borderId="8" xfId="10"/>
    <xf numFmtId="0" fontId="25" fillId="0" borderId="0" xfId="0" applyFont="1"/>
    <xf numFmtId="164" fontId="0" fillId="6" borderId="0" xfId="0" applyNumberFormat="1" applyFill="1"/>
    <xf numFmtId="164" fontId="0" fillId="0" borderId="0" xfId="0" applyNumberFormat="1"/>
    <xf numFmtId="2" fontId="0" fillId="6" borderId="0" xfId="0" applyNumberFormat="1" applyFill="1"/>
    <xf numFmtId="0" fontId="0" fillId="6" borderId="0" xfId="0" applyFill="1"/>
    <xf numFmtId="165" fontId="0" fillId="6" borderId="0" xfId="0" applyNumberFormat="1" applyFill="1"/>
    <xf numFmtId="0" fontId="23" fillId="0" borderId="9" xfId="11"/>
    <xf numFmtId="0" fontId="24" fillId="0" borderId="10" xfId="12"/>
    <xf numFmtId="0" fontId="24" fillId="0" borderId="10" xfId="12" applyAlignment="1">
      <alignment horizontal="right"/>
    </xf>
    <xf numFmtId="0" fontId="24" fillId="0" borderId="10" xfId="12" applyAlignment="1">
      <alignment horizontal="center"/>
    </xf>
    <xf numFmtId="0" fontId="8" fillId="0" borderId="0" xfId="0" applyFont="1" applyAlignment="1">
      <alignment horizontal="center"/>
    </xf>
    <xf numFmtId="166" fontId="0" fillId="0" borderId="0" xfId="0" applyNumberFormat="1"/>
    <xf numFmtId="0" fontId="2" fillId="0" borderId="0" xfId="9" applyFont="1"/>
    <xf numFmtId="0" fontId="1" fillId="0" borderId="0" xfId="9" applyFont="1"/>
  </cellXfs>
  <cellStyles count="13">
    <cellStyle name="Good" xfId="5" builtinId="26"/>
    <cellStyle name="Heading 1" xfId="10" builtinId="16"/>
    <cellStyle name="Heading 2" xfId="11" builtinId="17"/>
    <cellStyle name="Heading 3" xfId="12" builtinId="18"/>
    <cellStyle name="Input" xfId="6" builtinId="20"/>
    <cellStyle name="Neutral" xfId="8" builtinId="28"/>
    <cellStyle name="Normal" xfId="0" builtinId="0"/>
    <cellStyle name="Normal 10" xfId="1" xr:uid="{00000000-0005-0000-0000-000001000000}"/>
    <cellStyle name="Normal 2" xfId="2" xr:uid="{00000000-0005-0000-0000-000002000000}"/>
    <cellStyle name="Normal 2 2" xfId="4" xr:uid="{1226D20D-DD5A-46E6-8986-2C43794EB266}"/>
    <cellStyle name="Normal 3" xfId="7" xr:uid="{C22DBE0E-8657-4544-A2EA-84EFA64BE6D1}"/>
    <cellStyle name="Normal 4" xfId="9" xr:uid="{00A33187-A04D-4CA0-A8DA-8D764933E1A6}"/>
    <cellStyle name="Normale_Scen_UC_IND-StrucConst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SHAPES!$B$7</c:f>
              <c:strCache>
                <c:ptCount val="1"/>
                <c:pt idx="0">
                  <c:v>Data (18.5)</c:v>
                </c:pt>
              </c:strCache>
            </c:strRef>
          </c:tx>
          <c:spPr>
            <a:ln w="25400" cap="rnd" cmpd="dbl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SHAPES!$A$8:$A$57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SHAPES!$B$8:$B$57</c:f>
              <c:numCache>
                <c:formatCode>0.000</c:formatCode>
                <c:ptCount val="50"/>
                <c:pt idx="0">
                  <c:v>0.98</c:v>
                </c:pt>
                <c:pt idx="1">
                  <c:v>0.97062258013515912</c:v>
                </c:pt>
                <c:pt idx="2">
                  <c:v>0.96239643571651068</c:v>
                </c:pt>
                <c:pt idx="3">
                  <c:v>0.96239643571651068</c:v>
                </c:pt>
                <c:pt idx="4">
                  <c:v>0.95334894686552296</c:v>
                </c:pt>
                <c:pt idx="5">
                  <c:v>0.94694722093384487</c:v>
                </c:pt>
                <c:pt idx="6">
                  <c:v>0.94694722093384487</c:v>
                </c:pt>
                <c:pt idx="7">
                  <c:v>0.92626111478806361</c:v>
                </c:pt>
                <c:pt idx="8">
                  <c:v>0.89816275804529644</c:v>
                </c:pt>
                <c:pt idx="9">
                  <c:v>0.89816275804529644</c:v>
                </c:pt>
                <c:pt idx="10">
                  <c:v>0.84618938087841178</c:v>
                </c:pt>
                <c:pt idx="11">
                  <c:v>0.83608996556885473</c:v>
                </c:pt>
                <c:pt idx="12">
                  <c:v>0.78534774881855129</c:v>
                </c:pt>
                <c:pt idx="13">
                  <c:v>0.76515842462494787</c:v>
                </c:pt>
                <c:pt idx="14">
                  <c:v>0.72288820149169919</c:v>
                </c:pt>
                <c:pt idx="15">
                  <c:v>0.66220665411121304</c:v>
                </c:pt>
                <c:pt idx="16">
                  <c:v>0.62309314791753456</c:v>
                </c:pt>
                <c:pt idx="17">
                  <c:v>0.53759209228578131</c:v>
                </c:pt>
                <c:pt idx="18">
                  <c:v>0.47418921909559059</c:v>
                </c:pt>
                <c:pt idx="19">
                  <c:v>0.42209122093761908</c:v>
                </c:pt>
                <c:pt idx="20">
                  <c:v>0.34697101605841268</c:v>
                </c:pt>
                <c:pt idx="21">
                  <c:v>0.29306436176205847</c:v>
                </c:pt>
                <c:pt idx="22">
                  <c:v>0.23285804035746605</c:v>
                </c:pt>
                <c:pt idx="23">
                  <c:v>0.19094252894781777</c:v>
                </c:pt>
                <c:pt idx="24">
                  <c:v>0.16465309692369703</c:v>
                </c:pt>
                <c:pt idx="25">
                  <c:v>0.1488683274483332</c:v>
                </c:pt>
                <c:pt idx="26">
                  <c:v>0.11454490726821995</c:v>
                </c:pt>
                <c:pt idx="27">
                  <c:v>0.10305457793904532</c:v>
                </c:pt>
                <c:pt idx="28">
                  <c:v>9.509790003536947E-2</c:v>
                </c:pt>
                <c:pt idx="29">
                  <c:v>9.509790003536947E-2</c:v>
                </c:pt>
                <c:pt idx="30">
                  <c:v>7.9496509194296461E-2</c:v>
                </c:pt>
                <c:pt idx="31">
                  <c:v>5.6842043359806547E-2</c:v>
                </c:pt>
                <c:pt idx="32">
                  <c:v>5.4254088886505715E-2</c:v>
                </c:pt>
                <c:pt idx="33">
                  <c:v>5.4254088886505715E-2</c:v>
                </c:pt>
                <c:pt idx="34">
                  <c:v>5.4254088886505715E-2</c:v>
                </c:pt>
                <c:pt idx="35">
                  <c:v>4.5375222897155502E-2</c:v>
                </c:pt>
                <c:pt idx="36">
                  <c:v>3.3017316344289761E-2</c:v>
                </c:pt>
                <c:pt idx="37">
                  <c:v>3.3017316344289761E-2</c:v>
                </c:pt>
                <c:pt idx="38">
                  <c:v>3.1841483991343025E-2</c:v>
                </c:pt>
                <c:pt idx="39">
                  <c:v>2.8946803628493653E-2</c:v>
                </c:pt>
                <c:pt idx="40">
                  <c:v>2.6052123265644281E-2</c:v>
                </c:pt>
                <c:pt idx="41">
                  <c:v>2.3157442902794922E-2</c:v>
                </c:pt>
                <c:pt idx="42">
                  <c:v>2.026276253994555E-2</c:v>
                </c:pt>
                <c:pt idx="43">
                  <c:v>1.7368082177096178E-2</c:v>
                </c:pt>
                <c:pt idx="44">
                  <c:v>1.4473401814246806E-2</c:v>
                </c:pt>
                <c:pt idx="45">
                  <c:v>1.1578721451397461E-2</c:v>
                </c:pt>
                <c:pt idx="46">
                  <c:v>8.684041088548089E-3</c:v>
                </c:pt>
                <c:pt idx="47">
                  <c:v>5.7893607256987167E-3</c:v>
                </c:pt>
                <c:pt idx="48">
                  <c:v>2.8946803628493445E-3</c:v>
                </c:pt>
                <c:pt idx="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C0-450A-8128-0F3E5F7808BE}"/>
            </c:ext>
          </c:extLst>
        </c:ser>
        <c:ser>
          <c:idx val="3"/>
          <c:order val="1"/>
          <c:tx>
            <c:strRef>
              <c:f>SHAPES!$C$7</c:f>
              <c:strCache>
                <c:ptCount val="1"/>
                <c:pt idx="0">
                  <c:v>10.0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SHAPES!$A$8:$A$57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SHAPES!$C$8:$C$57</c:f>
              <c:numCache>
                <c:formatCode>0.000</c:formatCode>
                <c:ptCount val="50"/>
                <c:pt idx="0">
                  <c:v>0.90621938521129997</c:v>
                </c:pt>
                <c:pt idx="1">
                  <c:v>0.8875265604383793</c:v>
                </c:pt>
                <c:pt idx="2">
                  <c:v>0.86539332468343366</c:v>
                </c:pt>
                <c:pt idx="3">
                  <c:v>0.83931400245377985</c:v>
                </c:pt>
                <c:pt idx="4">
                  <c:v>0.80876611179341928</c:v>
                </c:pt>
                <c:pt idx="5">
                  <c:v>0.77323921509228544</c:v>
                </c:pt>
                <c:pt idx="6">
                  <c:v>0.73227849409977908</c:v>
                </c:pt>
                <c:pt idx="7">
                  <c:v>0.68554622457561987</c:v>
                </c:pt>
                <c:pt idx="8">
                  <c:v>0.63290302347589622</c:v>
                </c:pt>
                <c:pt idx="9">
                  <c:v>0.57450765021648109</c:v>
                </c:pt>
                <c:pt idx="10">
                  <c:v>0.51092845530222564</c:v>
                </c:pt>
                <c:pt idx="11">
                  <c:v>0.44325071361876711</c:v>
                </c:pt>
                <c:pt idx="12">
                  <c:v>0.37315241909147212</c:v>
                </c:pt>
                <c:pt idx="13">
                  <c:v>0.30290907626404634</c:v>
                </c:pt>
                <c:pt idx="14">
                  <c:v>0.23528138033044843</c:v>
                </c:pt>
                <c:pt idx="15">
                  <c:v>0.17324802369769995</c:v>
                </c:pt>
                <c:pt idx="16">
                  <c:v>0.1195802175145928</c:v>
                </c:pt>
                <c:pt idx="17">
                  <c:v>7.6319614705625927E-2</c:v>
                </c:pt>
                <c:pt idx="18">
                  <c:v>4.4302689262094221E-2</c:v>
                </c:pt>
                <c:pt idx="19">
                  <c:v>2.2928176689814807E-2</c:v>
                </c:pt>
                <c:pt idx="20">
                  <c:v>1.032686785915894E-2</c:v>
                </c:pt>
                <c:pt idx="21">
                  <c:v>3.931453445410067E-3</c:v>
                </c:pt>
                <c:pt idx="22">
                  <c:v>1.2212698013821749E-3</c:v>
                </c:pt>
                <c:pt idx="23">
                  <c:v>2.9665950811438033E-4</c:v>
                </c:pt>
                <c:pt idx="24">
                  <c:v>5.3529331288021628E-5</c:v>
                </c:pt>
                <c:pt idx="25">
                  <c:v>6.7442347575472243E-6</c:v>
                </c:pt>
                <c:pt idx="26">
                  <c:v>5.5070510535237054E-7</c:v>
                </c:pt>
                <c:pt idx="27">
                  <c:v>2.6646577225687996E-8</c:v>
                </c:pt>
                <c:pt idx="28">
                  <c:v>6.8610925393580868E-10</c:v>
                </c:pt>
                <c:pt idx="29">
                  <c:v>8.2645524853026971E-12</c:v>
                </c:pt>
                <c:pt idx="30">
                  <c:v>3.9924822780189681E-14</c:v>
                </c:pt>
                <c:pt idx="31">
                  <c:v>6.438187497959136E-17</c:v>
                </c:pt>
                <c:pt idx="32">
                  <c:v>2.7869280886881844E-20</c:v>
                </c:pt>
                <c:pt idx="33">
                  <c:v>2.5025418548211453E-24</c:v>
                </c:pt>
                <c:pt idx="34">
                  <c:v>3.4418721136100911E-29</c:v>
                </c:pt>
                <c:pt idx="35">
                  <c:v>5.0848811935204155E-35</c:v>
                </c:pt>
                <c:pt idx="36">
                  <c:v>5.344669628941995E-42</c:v>
                </c:pt>
                <c:pt idx="37">
                  <c:v>2.4875371970706651E-50</c:v>
                </c:pt>
                <c:pt idx="38">
                  <c:v>2.9870927377763022E-60</c:v>
                </c:pt>
                <c:pt idx="39">
                  <c:v>5.0409298198119639E-72</c:v>
                </c:pt>
                <c:pt idx="40">
                  <c:v>6.0986905693768619E-86</c:v>
                </c:pt>
                <c:pt idx="41">
                  <c:v>2.5432297755778838E-102</c:v>
                </c:pt>
                <c:pt idx="42">
                  <c:v>1.6765002702622089E-121</c:v>
                </c:pt>
                <c:pt idx="43">
                  <c:v>7.7857033551047022E-144</c:v>
                </c:pt>
                <c:pt idx="44">
                  <c:v>1.1317461231213568E-169</c:v>
                </c:pt>
                <c:pt idx="45">
                  <c:v>2.3553725390051792E-199</c:v>
                </c:pt>
                <c:pt idx="46">
                  <c:v>3.4295773308878646E-233</c:v>
                </c:pt>
                <c:pt idx="47">
                  <c:v>1.8967043849680431E-271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C0-450A-8128-0F3E5F7808BE}"/>
            </c:ext>
          </c:extLst>
        </c:ser>
        <c:ser>
          <c:idx val="1"/>
          <c:order val="2"/>
          <c:tx>
            <c:strRef>
              <c:f>SHAPES!$D$7</c:f>
              <c:strCache>
                <c:ptCount val="1"/>
                <c:pt idx="0">
                  <c:v>12.0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SHAPES!$A$8:$A$57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SHAPES!$D$8:$D$57</c:f>
              <c:numCache>
                <c:formatCode>0.000</c:formatCode>
                <c:ptCount val="50"/>
                <c:pt idx="0">
                  <c:v>0.93823083055896217</c:v>
                </c:pt>
                <c:pt idx="1">
                  <c:v>0.92543928353195037</c:v>
                </c:pt>
                <c:pt idx="2">
                  <c:v>0.91012836450520007</c:v>
                </c:pt>
                <c:pt idx="3">
                  <c:v>0.89186179542568333</c:v>
                </c:pt>
                <c:pt idx="4">
                  <c:v>0.87015557311559599</c:v>
                </c:pt>
                <c:pt idx="5">
                  <c:v>0.84448643429821824</c:v>
                </c:pt>
                <c:pt idx="6">
                  <c:v>0.81430870620488494</c:v>
                </c:pt>
                <c:pt idx="7">
                  <c:v>0.77908286056025622</c:v>
                </c:pt>
                <c:pt idx="8">
                  <c:v>0.73831952387107802</c:v>
                </c:pt>
                <c:pt idx="9">
                  <c:v>0.69164258360715825</c:v>
                </c:pt>
                <c:pt idx="10">
                  <c:v>0.63887380360138246</c:v>
                </c:pt>
                <c:pt idx="11">
                  <c:v>0.58013822356972422</c:v>
                </c:pt>
                <c:pt idx="12">
                  <c:v>0.51598362885532811</c:v>
                </c:pt>
                <c:pt idx="13">
                  <c:v>0.44749780699687264</c:v>
                </c:pt>
                <c:pt idx="14">
                  <c:v>0.37639440585896222</c:v>
                </c:pt>
                <c:pt idx="15">
                  <c:v>0.30502449527464032</c:v>
                </c:pt>
                <c:pt idx="16">
                  <c:v>0.23626275789890977</c:v>
                </c:pt>
                <c:pt idx="17">
                  <c:v>0.17322545586628948</c:v>
                </c:pt>
                <c:pt idx="18">
                  <c:v>0.11881473880556002</c:v>
                </c:pt>
                <c:pt idx="19">
                  <c:v>7.515638719166616E-2</c:v>
                </c:pt>
                <c:pt idx="20">
                  <c:v>4.3089488779698863E-2</c:v>
                </c:pt>
                <c:pt idx="21">
                  <c:v>2.192601488061072E-2</c:v>
                </c:pt>
                <c:pt idx="22">
                  <c:v>9.6531612512389987E-3</c:v>
                </c:pt>
                <c:pt idx="23">
                  <c:v>3.5653565910413274E-3</c:v>
                </c:pt>
                <c:pt idx="24">
                  <c:v>1.0642499886715339E-3</c:v>
                </c:pt>
                <c:pt idx="25">
                  <c:v>2.4540381605793016E-4</c:v>
                </c:pt>
                <c:pt idx="26">
                  <c:v>4.1392961879602978E-5</c:v>
                </c:pt>
                <c:pt idx="27">
                  <c:v>4.7818841550731846E-6</c:v>
                </c:pt>
                <c:pt idx="28">
                  <c:v>3.4952020030990141E-7</c:v>
                </c:pt>
                <c:pt idx="29">
                  <c:v>1.4694529807459592E-8</c:v>
                </c:pt>
                <c:pt idx="30">
                  <c:v>3.1695725147098755E-10</c:v>
                </c:pt>
                <c:pt idx="31">
                  <c:v>3.0592762554711989E-12</c:v>
                </c:pt>
                <c:pt idx="32">
                  <c:v>1.1225602155736921E-14</c:v>
                </c:pt>
                <c:pt idx="33">
                  <c:v>1.2903664491374824E-17</c:v>
                </c:pt>
                <c:pt idx="34">
                  <c:v>3.6967113555702034E-21</c:v>
                </c:pt>
                <c:pt idx="35">
                  <c:v>2.0178083420592372E-25</c:v>
                </c:pt>
                <c:pt idx="36">
                  <c:v>1.5342782793287366E-30</c:v>
                </c:pt>
                <c:pt idx="37">
                  <c:v>1.1315494505161492E-36</c:v>
                </c:pt>
                <c:pt idx="38">
                  <c:v>5.3497948814828024E-44</c:v>
                </c:pt>
                <c:pt idx="39">
                  <c:v>1.0155773516224814E-52</c:v>
                </c:pt>
                <c:pt idx="40">
                  <c:v>4.599375648370823E-63</c:v>
                </c:pt>
                <c:pt idx="41">
                  <c:v>2.8132883574224033E-75</c:v>
                </c:pt>
                <c:pt idx="42">
                  <c:v>1.2650411023693033E-89</c:v>
                </c:pt>
                <c:pt idx="43">
                  <c:v>2.2200608681182757E-106</c:v>
                </c:pt>
                <c:pt idx="44">
                  <c:v>8.0326255527463641E-126</c:v>
                </c:pt>
                <c:pt idx="45">
                  <c:v>3.2314603706218274E-148</c:v>
                </c:pt>
                <c:pt idx="46">
                  <c:v>8.1973661011261091E-174</c:v>
                </c:pt>
                <c:pt idx="47">
                  <c:v>8.0721256727829729E-203</c:v>
                </c:pt>
                <c:pt idx="48">
                  <c:v>2.1254475179657738E-235</c:v>
                </c:pt>
                <c:pt idx="49">
                  <c:v>1.1830521861667747E-271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C0-450A-8128-0F3E5F7808BE}"/>
            </c:ext>
          </c:extLst>
        </c:ser>
        <c:ser>
          <c:idx val="2"/>
          <c:order val="3"/>
          <c:tx>
            <c:strRef>
              <c:f>SHAPES!$E$7</c:f>
              <c:strCache>
                <c:ptCount val="1"/>
                <c:pt idx="0">
                  <c:v>20.0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SHAPES!$A$8:$A$57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SHAPES!$E$8:$E$57</c:f>
              <c:numCache>
                <c:formatCode>0.000</c:formatCode>
                <c:ptCount val="50"/>
                <c:pt idx="0">
                  <c:v>0.96637035992277476</c:v>
                </c:pt>
                <c:pt idx="1">
                  <c:v>0.96175867686333427</c:v>
                </c:pt>
                <c:pt idx="2">
                  <c:v>0.9565296156543347</c:v>
                </c:pt>
                <c:pt idx="3">
                  <c:v>0.95060496393511895</c:v>
                </c:pt>
                <c:pt idx="4">
                  <c:v>0.94389791535614542</c:v>
                </c:pt>
                <c:pt idx="5">
                  <c:v>0.93631252338161186</c:v>
                </c:pt>
                <c:pt idx="6">
                  <c:v>0.92774325313295103</c:v>
                </c:pt>
                <c:pt idx="7">
                  <c:v>0.91807468722754815</c:v>
                </c:pt>
                <c:pt idx="8">
                  <c:v>0.90718145765014457</c:v>
                </c:pt>
                <c:pt idx="9">
                  <c:v>0.89492849466195157</c:v>
                </c:pt>
                <c:pt idx="10">
                  <c:v>0.88117170548978441</c:v>
                </c:pt>
                <c:pt idx="11">
                  <c:v>0.8657592195247148</c:v>
                </c:pt>
                <c:pt idx="12">
                  <c:v>0.84853336185007378</c:v>
                </c:pt>
                <c:pt idx="13">
                  <c:v>0.82933354104355339</c:v>
                </c:pt>
                <c:pt idx="14">
                  <c:v>0.80800025700015121</c:v>
                </c:pt>
                <c:pt idx="15">
                  <c:v>0.78438044492894099</c:v>
                </c:pt>
                <c:pt idx="16">
                  <c:v>0.75833436545842037</c:v>
                </c:pt>
                <c:pt idx="17">
                  <c:v>0.7297442182003625</c:v>
                </c:pt>
                <c:pt idx="18">
                  <c:v>0.69852458480867941</c:v>
                </c:pt>
                <c:pt idx="19">
                  <c:v>0.66463468296812744</c:v>
                </c:pt>
                <c:pt idx="20">
                  <c:v>0.62809221944812499</c:v>
                </c:pt>
                <c:pt idx="21">
                  <c:v>0.58898835488559886</c:v>
                </c:pt>
                <c:pt idx="22">
                  <c:v>0.54750292857249572</c:v>
                </c:pt>
                <c:pt idx="23">
                  <c:v>0.50391864543338283</c:v>
                </c:pt>
                <c:pt idx="24">
                  <c:v>0.45863243040075968</c:v>
                </c:pt>
                <c:pt idx="25">
                  <c:v>0.41216167292492134</c:v>
                </c:pt>
                <c:pt idx="26">
                  <c:v>0.3651427258741064</c:v>
                </c:pt>
                <c:pt idx="27">
                  <c:v>0.31831894491516949</c:v>
                </c:pt>
                <c:pt idx="28">
                  <c:v>0.27251594788567834</c:v>
                </c:pt>
                <c:pt idx="29">
                  <c:v>0.22860282901503878</c:v>
                </c:pt>
                <c:pt idx="30">
                  <c:v>0.18743990266820038</c:v>
                </c:pt>
                <c:pt idx="31">
                  <c:v>0.14981613466224608</c:v>
                </c:pt>
                <c:pt idx="32">
                  <c:v>0.11638243798286813</c:v>
                </c:pt>
                <c:pt idx="33">
                  <c:v>8.7589822832866177E-2</c:v>
                </c:pt>
                <c:pt idx="34">
                  <c:v>6.3643065341544569E-2</c:v>
                </c:pt>
                <c:pt idx="35">
                  <c:v>4.4480083343421462E-2</c:v>
                </c:pt>
                <c:pt idx="36">
                  <c:v>2.9783889897233667E-2</c:v>
                </c:pt>
                <c:pt idx="37">
                  <c:v>1.902794813147337E-2</c:v>
                </c:pt>
                <c:pt idx="38">
                  <c:v>1.1548223188478004E-2</c:v>
                </c:pt>
                <c:pt idx="39">
                  <c:v>6.6284833708684212E-3</c:v>
                </c:pt>
                <c:pt idx="40">
                  <c:v>3.5819812158708873E-3</c:v>
                </c:pt>
                <c:pt idx="41">
                  <c:v>1.8141765712767492E-3</c:v>
                </c:pt>
                <c:pt idx="42">
                  <c:v>8.5735161453715349E-4</c:v>
                </c:pt>
                <c:pt idx="43">
                  <c:v>3.7645859428151265E-4</c:v>
                </c:pt>
                <c:pt idx="44">
                  <c:v>1.5297940230222861E-4</c:v>
                </c:pt>
                <c:pt idx="45">
                  <c:v>5.7326093124505313E-5</c:v>
                </c:pt>
                <c:pt idx="46">
                  <c:v>1.9748423645454795E-5</c:v>
                </c:pt>
                <c:pt idx="47">
                  <c:v>6.2385157579983215E-6</c:v>
                </c:pt>
                <c:pt idx="48">
                  <c:v>1.8038158096210059E-6</c:v>
                </c:pt>
                <c:pt idx="49">
                  <c:v>4.76837158203125E-7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C0-450A-8128-0F3E5F7808BE}"/>
            </c:ext>
          </c:extLst>
        </c:ser>
        <c:ser>
          <c:idx val="4"/>
          <c:order val="4"/>
          <c:tx>
            <c:strRef>
              <c:f>SHAPES!$F$7</c:f>
              <c:strCache>
                <c:ptCount val="1"/>
                <c:pt idx="0">
                  <c:v>15.0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SHAPES!$A$8:$A$57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SHAPES!$F$8:$F$57</c:f>
              <c:numCache>
                <c:formatCode>0.000</c:formatCode>
                <c:ptCount val="50"/>
                <c:pt idx="0">
                  <c:v>0.91488569235609774</c:v>
                </c:pt>
                <c:pt idx="1">
                  <c:v>0.90366752786671811</c:v>
                </c:pt>
                <c:pt idx="2">
                  <c:v>0.89106256979304788</c:v>
                </c:pt>
                <c:pt idx="3">
                  <c:v>0.8769257288373955</c:v>
                </c:pt>
                <c:pt idx="4">
                  <c:v>0.8611043978528643</c:v>
                </c:pt>
                <c:pt idx="5">
                  <c:v>0.84344050935042314</c:v>
                </c:pt>
                <c:pt idx="6">
                  <c:v>0.82377352237557611</c:v>
                </c:pt>
                <c:pt idx="7">
                  <c:v>0.80194454668723303</c:v>
                </c:pt>
                <c:pt idx="8">
                  <c:v>0.77780182309652368</c:v>
                </c:pt>
                <c:pt idx="9">
                  <c:v>0.75120777329698307</c:v>
                </c:pt>
                <c:pt idx="10">
                  <c:v>0.72204780074368047</c:v>
                </c:pt>
                <c:pt idx="11">
                  <c:v>0.69024095356792647</c:v>
                </c:pt>
                <c:pt idx="12">
                  <c:v>0.65575243614486411</c:v>
                </c:pt>
                <c:pt idx="13">
                  <c:v>0.61860776150923924</c:v>
                </c:pt>
                <c:pt idx="14">
                  <c:v>0.57890805744417395</c:v>
                </c:pt>
                <c:pt idx="15">
                  <c:v>0.53684566586911131</c:v>
                </c:pt>
                <c:pt idx="16">
                  <c:v>0.49271871252041888</c:v>
                </c:pt>
                <c:pt idx="17">
                  <c:v>0.44694279957882194</c:v>
                </c:pt>
                <c:pt idx="18">
                  <c:v>0.40005745100055973</c:v>
                </c:pt>
                <c:pt idx="19">
                  <c:v>0.35272452909206703</c:v>
                </c:pt>
                <c:pt idx="20">
                  <c:v>0.30571570476552695</c:v>
                </c:pt>
                <c:pt idx="21">
                  <c:v>0.25988641177864036</c:v>
                </c:pt>
                <c:pt idx="22">
                  <c:v>0.21613476875890947</c:v>
                </c:pt>
                <c:pt idx="23">
                  <c:v>0.17534587855983078</c:v>
                </c:pt>
                <c:pt idx="24">
                  <c:v>0.13832471815386618</c:v>
                </c:pt>
                <c:pt idx="25">
                  <c:v>0.10572423040766306</c:v>
                </c:pt>
                <c:pt idx="26">
                  <c:v>7.7978545305830788E-2</c:v>
                </c:pt>
                <c:pt idx="27">
                  <c:v>5.5253424212542646E-2</c:v>
                </c:pt>
                <c:pt idx="28">
                  <c:v>3.7425778197089629E-2</c:v>
                </c:pt>
                <c:pt idx="29">
                  <c:v>2.4100468898179003E-2</c:v>
                </c:pt>
                <c:pt idx="30">
                  <c:v>1.4665472494652736E-2</c:v>
                </c:pt>
                <c:pt idx="31">
                  <c:v>8.3772434722373338E-3</c:v>
                </c:pt>
                <c:pt idx="32">
                  <c:v>4.4596043288993173E-3</c:v>
                </c:pt>
                <c:pt idx="33">
                  <c:v>2.1951782975320197E-3</c:v>
                </c:pt>
                <c:pt idx="34">
                  <c:v>9.9070286332150564E-4</c:v>
                </c:pt>
                <c:pt idx="35">
                  <c:v>4.0623831372539772E-4</c:v>
                </c:pt>
                <c:pt idx="36">
                  <c:v>1.4990094874129534E-4</c:v>
                </c:pt>
                <c:pt idx="37">
                  <c:v>4.9274391264684961E-5</c:v>
                </c:pt>
                <c:pt idx="38">
                  <c:v>1.4277824177117831E-5</c:v>
                </c:pt>
                <c:pt idx="39">
                  <c:v>3.607701834386371E-6</c:v>
                </c:pt>
                <c:pt idx="40">
                  <c:v>7.8626283638868803E-7</c:v>
                </c:pt>
                <c:pt idx="41">
                  <c:v>1.4619301545428716E-7</c:v>
                </c:pt>
                <c:pt idx="42">
                  <c:v>2.2943554815731808E-8</c:v>
                </c:pt>
                <c:pt idx="43">
                  <c:v>3.0082977683830433E-9</c:v>
                </c:pt>
                <c:pt idx="44">
                  <c:v>3.2640653991299126E-10</c:v>
                </c:pt>
                <c:pt idx="45">
                  <c:v>2.9055861024017896E-11</c:v>
                </c:pt>
                <c:pt idx="46">
                  <c:v>2.1062739537756836E-12</c:v>
                </c:pt>
                <c:pt idx="47">
                  <c:v>1.2358820355067601E-13</c:v>
                </c:pt>
                <c:pt idx="48">
                  <c:v>5.8436188525741118E-15</c:v>
                </c:pt>
                <c:pt idx="49">
                  <c:v>2.2204460492503131E-16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C0-450A-8128-0F3E5F780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948880"/>
        <c:axId val="647947632"/>
      </c:scatterChart>
      <c:valAx>
        <c:axId val="6479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7947632"/>
        <c:crosses val="autoZero"/>
        <c:crossBetween val="midCat"/>
      </c:valAx>
      <c:valAx>
        <c:axId val="64794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794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8</xdr:row>
      <xdr:rowOff>133350</xdr:rowOff>
    </xdr:from>
    <xdr:to>
      <xdr:col>19</xdr:col>
      <xdr:colOff>161925</xdr:colOff>
      <xdr:row>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DDD352-9E69-4CD5-85C0-354775124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307942</xdr:colOff>
      <xdr:row>2</xdr:row>
      <xdr:rowOff>137001</xdr:rowOff>
    </xdr:from>
    <xdr:ext cx="2930557" cy="79355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C0D57B3-3977-4592-8399-94E45C8D01D1}"/>
                </a:ext>
              </a:extLst>
            </xdr:cNvPr>
            <xdr:cNvSpPr txBox="1"/>
          </xdr:nvSpPr>
          <xdr:spPr>
            <a:xfrm>
              <a:off x="7013542" y="518001"/>
              <a:ext cx="2930557" cy="793551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400" b="0" i="1">
                        <a:latin typeface="Cambria Math" panose="02040503050406030204" pitchFamily="18" charset="0"/>
                      </a:rPr>
                      <m:t>𝑆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2400" b="0" i="1">
                        <a:latin typeface="Cambria Math" panose="02040503050406030204" pitchFamily="18" charset="0"/>
                      </a:rPr>
                      <m:t>)=</m:t>
                    </m:r>
                    <m:sSup>
                      <m:sSupPr>
                        <m:ctrlPr>
                          <a:rPr lang="en-IN" sz="24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begChr m:val="{"/>
                            <m:endChr m:val="}"/>
                            <m:ctrlPr>
                              <a:rPr lang="en-IN" sz="24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f>
                              <m:fPr>
                                <m:ctrlPr>
                                  <a:rPr lang="en-IN" sz="24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24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num>
                              <m:den>
                                <m:d>
                                  <m:dPr>
                                    <m:ctrlPr>
                                      <a:rPr lang="en-IN" sz="240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n-US" sz="2400" b="0" i="1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1+</m:t>
                                    </m:r>
                                    <m:sSup>
                                      <m:sSupPr>
                                        <m:ctrlPr>
                                          <a:rPr lang="en-US" sz="2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US" sz="2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r>
                                          <a:rPr lang="en-US" sz="2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  <m:r>
                                          <a:rPr lang="en-US" sz="2400" b="0" i="1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𝑘𝑥</m:t>
                                        </m:r>
                                      </m:sup>
                                    </m:sSup>
                                  </m:e>
                                </m:d>
                              </m:den>
                            </m:f>
                          </m:e>
                        </m:d>
                      </m:e>
                      <m:sup>
                        <m:r>
                          <a:rPr lang="en-US" sz="2400" b="0" i="1">
                            <a:latin typeface="Cambria Math" panose="02040503050406030204" pitchFamily="18" charset="0"/>
                          </a:rPr>
                          <m:t>𝑎</m:t>
                        </m:r>
                      </m:sup>
                    </m:sSup>
                  </m:oMath>
                </m:oMathPara>
              </a14:m>
              <a:endParaRPr lang="en-IN" sz="24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C0D57B3-3977-4592-8399-94E45C8D01D1}"/>
                </a:ext>
              </a:extLst>
            </xdr:cNvPr>
            <xdr:cNvSpPr txBox="1"/>
          </xdr:nvSpPr>
          <xdr:spPr>
            <a:xfrm>
              <a:off x="7013542" y="518001"/>
              <a:ext cx="2930557" cy="793551"/>
            </a:xfrm>
            <a:prstGeom prst="rect">
              <a:avLst/>
            </a:prstGeom>
          </xdr:spPr>
          <xdr:style>
            <a:lnRef idx="2">
              <a:schemeClr val="accent2"/>
            </a:lnRef>
            <a:fillRef idx="1">
              <a:schemeClr val="lt1"/>
            </a:fillRef>
            <a:effectRef idx="0">
              <a:schemeClr val="accent2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2400" b="0" i="0">
                  <a:latin typeface="Cambria Math" panose="02040503050406030204" pitchFamily="18" charset="0"/>
                </a:rPr>
                <a:t>𝑆(𝑥)=</a:t>
              </a:r>
              <a:r>
                <a:rPr lang="en-IN" sz="24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{</a:t>
              </a:r>
              <a:r>
                <a:rPr lang="en-US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IN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/((</a:t>
              </a:r>
              <a:r>
                <a:rPr lang="en-US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1+𝑒^(−𝑘𝑥) ) </a:t>
              </a:r>
              <a:r>
                <a:rPr lang="en-IN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n-US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}</a:t>
              </a:r>
              <a:r>
                <a:rPr lang="en-IN" sz="2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2400" b="0" i="0">
                  <a:latin typeface="Cambria Math" panose="02040503050406030204" pitchFamily="18" charset="0"/>
                </a:rPr>
                <a:t>𝑎</a:t>
              </a:r>
              <a:endParaRPr lang="en-IN" sz="2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4010-C144-4149-95F4-80A0F3B7A676}">
  <dimension ref="B2:M32"/>
  <sheetViews>
    <sheetView tabSelected="1" workbookViewId="0">
      <selection activeCell="D5" sqref="D5"/>
    </sheetView>
  </sheetViews>
  <sheetFormatPr defaultColWidth="8.86328125" defaultRowHeight="12.75" x14ac:dyDescent="0.35"/>
  <cols>
    <col min="2" max="2" width="13.3984375" bestFit="1" customWidth="1"/>
    <col min="3" max="3" width="14.1328125" bestFit="1" customWidth="1"/>
    <col min="4" max="4" width="10.73046875" bestFit="1" customWidth="1"/>
    <col min="5" max="5" width="9.86328125" bestFit="1" customWidth="1"/>
    <col min="6" max="6" width="13.1328125" bestFit="1" customWidth="1"/>
    <col min="7" max="7" width="9.59765625" bestFit="1" customWidth="1"/>
    <col min="8" max="8" width="12" bestFit="1" customWidth="1"/>
    <col min="9" max="10" width="10.3984375" bestFit="1" customWidth="1"/>
    <col min="11" max="11" width="26.59765625" bestFit="1" customWidth="1"/>
    <col min="12" max="12" width="9.3984375" bestFit="1" customWidth="1"/>
    <col min="13" max="13" width="10.265625" bestFit="1" customWidth="1"/>
    <col min="14" max="14" width="9.3984375" bestFit="1" customWidth="1"/>
  </cols>
  <sheetData>
    <row r="2" spans="2:13" x14ac:dyDescent="0.35">
      <c r="B2" t="s">
        <v>0</v>
      </c>
    </row>
    <row r="3" spans="2:13" x14ac:dyDescent="0.35"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4</v>
      </c>
      <c r="I3" t="s">
        <v>11</v>
      </c>
      <c r="J3" t="s">
        <v>2</v>
      </c>
      <c r="K3" t="s">
        <v>12</v>
      </c>
      <c r="L3" t="s">
        <v>3</v>
      </c>
      <c r="M3" t="s">
        <v>13</v>
      </c>
    </row>
    <row r="4" spans="2:13" x14ac:dyDescent="0.35">
      <c r="B4" t="s">
        <v>47</v>
      </c>
      <c r="D4" t="s">
        <v>5</v>
      </c>
      <c r="E4" t="s">
        <v>50</v>
      </c>
      <c r="G4">
        <v>0</v>
      </c>
      <c r="H4">
        <v>2</v>
      </c>
      <c r="I4" t="s">
        <v>225</v>
      </c>
    </row>
    <row r="5" spans="2:13" x14ac:dyDescent="0.35">
      <c r="B5" t="s">
        <v>16</v>
      </c>
      <c r="H5" s="1">
        <v>31.536000000000001</v>
      </c>
      <c r="I5" t="str">
        <f>I4</f>
        <v>ELE,CHP,STS,STG</v>
      </c>
    </row>
    <row r="6" spans="2:13" x14ac:dyDescent="0.35">
      <c r="B6" t="s">
        <v>5</v>
      </c>
      <c r="D6" t="s">
        <v>5</v>
      </c>
      <c r="G6">
        <v>0</v>
      </c>
      <c r="H6">
        <v>1</v>
      </c>
      <c r="I6" t="str">
        <f>I5</f>
        <v>ELE,CHP,STS,STG</v>
      </c>
    </row>
    <row r="7" spans="2:13" x14ac:dyDescent="0.35">
      <c r="B7" t="s">
        <v>18</v>
      </c>
      <c r="D7" t="s">
        <v>5</v>
      </c>
      <c r="E7" t="s">
        <v>19</v>
      </c>
      <c r="G7">
        <v>2025</v>
      </c>
      <c r="H7">
        <v>0</v>
      </c>
      <c r="I7" t="s">
        <v>17</v>
      </c>
      <c r="K7" s="26" t="s">
        <v>224</v>
      </c>
    </row>
    <row r="8" spans="2:13" x14ac:dyDescent="0.35">
      <c r="B8" t="s">
        <v>18</v>
      </c>
      <c r="D8" t="s">
        <v>5</v>
      </c>
      <c r="E8" t="s">
        <v>19</v>
      </c>
      <c r="G8">
        <v>2030</v>
      </c>
      <c r="H8">
        <v>0</v>
      </c>
      <c r="I8" t="s">
        <v>17</v>
      </c>
      <c r="K8" t="s">
        <v>31</v>
      </c>
    </row>
    <row r="9" spans="2:13" x14ac:dyDescent="0.35">
      <c r="B9" t="s">
        <v>18</v>
      </c>
      <c r="D9" t="s">
        <v>5</v>
      </c>
      <c r="E9" t="s">
        <v>19</v>
      </c>
      <c r="G9">
        <v>0</v>
      </c>
      <c r="H9">
        <v>4</v>
      </c>
      <c r="I9" t="s">
        <v>17</v>
      </c>
      <c r="K9" t="str">
        <f>K7</f>
        <v>-ELCHYD,-ELCBIO,-ELCWAS,-ELCGEO</v>
      </c>
    </row>
    <row r="10" spans="2:13" x14ac:dyDescent="0.35">
      <c r="B10" t="s">
        <v>20</v>
      </c>
      <c r="H10">
        <v>1</v>
      </c>
      <c r="I10" t="str">
        <f>I6</f>
        <v>ELE,CHP,STS,STG</v>
      </c>
    </row>
    <row r="14" spans="2:13" x14ac:dyDescent="0.35">
      <c r="B14" t="s">
        <v>22</v>
      </c>
    </row>
    <row r="15" spans="2:13" x14ac:dyDescent="0.35">
      <c r="B15" t="s">
        <v>1</v>
      </c>
      <c r="C15" t="s">
        <v>6</v>
      </c>
      <c r="D15" t="s">
        <v>7</v>
      </c>
      <c r="E15" t="s">
        <v>8</v>
      </c>
      <c r="F15" t="s">
        <v>9</v>
      </c>
      <c r="G15" t="s">
        <v>10</v>
      </c>
      <c r="H15" t="s">
        <v>4</v>
      </c>
      <c r="I15" t="s">
        <v>11</v>
      </c>
      <c r="J15" t="s">
        <v>12</v>
      </c>
    </row>
    <row r="16" spans="2:13" x14ac:dyDescent="0.35">
      <c r="B16" t="s">
        <v>23</v>
      </c>
      <c r="H16">
        <v>0.32</v>
      </c>
      <c r="J16" t="s">
        <v>24</v>
      </c>
    </row>
    <row r="17" spans="2:13" x14ac:dyDescent="0.35">
      <c r="B17" t="s">
        <v>23</v>
      </c>
      <c r="H17">
        <v>1</v>
      </c>
      <c r="J17" t="s">
        <v>123</v>
      </c>
    </row>
    <row r="18" spans="2:13" x14ac:dyDescent="0.35">
      <c r="B18" t="s">
        <v>114</v>
      </c>
      <c r="H18">
        <v>0</v>
      </c>
      <c r="J18" t="s">
        <v>116</v>
      </c>
      <c r="L18" t="s">
        <v>115</v>
      </c>
    </row>
    <row r="25" spans="2:13" x14ac:dyDescent="0.35">
      <c r="B25" t="s">
        <v>0</v>
      </c>
    </row>
    <row r="26" spans="2:13" x14ac:dyDescent="0.35">
      <c r="B26" t="s">
        <v>1</v>
      </c>
      <c r="C26" t="s">
        <v>6</v>
      </c>
      <c r="D26" t="s">
        <v>7</v>
      </c>
      <c r="E26" t="s">
        <v>8</v>
      </c>
      <c r="F26" t="s">
        <v>9</v>
      </c>
      <c r="G26" t="s">
        <v>10</v>
      </c>
      <c r="H26" t="s">
        <v>4</v>
      </c>
      <c r="I26" t="s">
        <v>11</v>
      </c>
      <c r="J26" t="s">
        <v>222</v>
      </c>
      <c r="K26" t="s">
        <v>2</v>
      </c>
    </row>
    <row r="27" spans="2:13" x14ac:dyDescent="0.35">
      <c r="B27" t="s">
        <v>21</v>
      </c>
      <c r="C27" t="s">
        <v>26</v>
      </c>
      <c r="H27" s="2">
        <v>2882.65777101602</v>
      </c>
      <c r="I27" t="s">
        <v>14</v>
      </c>
      <c r="K27" t="s">
        <v>27</v>
      </c>
    </row>
    <row r="28" spans="2:13" x14ac:dyDescent="0.35">
      <c r="B28" t="s">
        <v>21</v>
      </c>
      <c r="C28" t="s">
        <v>26</v>
      </c>
      <c r="H28" s="2">
        <v>893.70913654846424</v>
      </c>
      <c r="I28" t="s">
        <v>14</v>
      </c>
      <c r="K28" t="s">
        <v>32</v>
      </c>
    </row>
    <row r="29" spans="2:13" x14ac:dyDescent="0.35">
      <c r="B29" t="s">
        <v>21</v>
      </c>
      <c r="C29" t="s">
        <v>26</v>
      </c>
      <c r="H29" s="2">
        <v>3000</v>
      </c>
      <c r="I29" t="s">
        <v>120</v>
      </c>
      <c r="K29" t="s">
        <v>28</v>
      </c>
    </row>
    <row r="30" spans="2:13" x14ac:dyDescent="0.35">
      <c r="B30" t="s">
        <v>29</v>
      </c>
      <c r="H30">
        <v>30</v>
      </c>
      <c r="K30" t="s">
        <v>15</v>
      </c>
    </row>
    <row r="31" spans="2:13" x14ac:dyDescent="0.35">
      <c r="B31" t="s">
        <v>30</v>
      </c>
      <c r="D31" s="26" t="s">
        <v>221</v>
      </c>
      <c r="H31" s="2">
        <v>200</v>
      </c>
      <c r="I31" t="s">
        <v>113</v>
      </c>
    </row>
    <row r="32" spans="2:13" x14ac:dyDescent="0.35">
      <c r="B32" t="s">
        <v>174</v>
      </c>
      <c r="G32" t="s">
        <v>175</v>
      </c>
      <c r="H32" s="2">
        <v>1</v>
      </c>
      <c r="I32" t="s">
        <v>17</v>
      </c>
      <c r="J32" t="s">
        <v>223</v>
      </c>
      <c r="M32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AD98-417C-4AC9-A358-3DC2CA78B755}">
  <dimension ref="B1:AA59"/>
  <sheetViews>
    <sheetView workbookViewId="0">
      <selection activeCell="U17" sqref="U17"/>
    </sheetView>
  </sheetViews>
  <sheetFormatPr defaultColWidth="8.86328125" defaultRowHeight="12.75" x14ac:dyDescent="0.35"/>
  <cols>
    <col min="4" max="4" width="5" bestFit="1" customWidth="1"/>
    <col min="7" max="7" width="9.86328125" bestFit="1" customWidth="1"/>
    <col min="8" max="8" width="12.59765625" bestFit="1" customWidth="1"/>
    <col min="9" max="9" width="4.59765625" bestFit="1" customWidth="1"/>
    <col min="10" max="10" width="5.59765625" bestFit="1" customWidth="1"/>
    <col min="12" max="12" width="11.86328125" customWidth="1"/>
    <col min="13" max="13" width="7.59765625" bestFit="1" customWidth="1"/>
    <col min="14" max="14" width="4.59765625" bestFit="1" customWidth="1"/>
    <col min="15" max="15" width="5.1328125" bestFit="1" customWidth="1"/>
    <col min="19" max="19" width="16.06640625" bestFit="1" customWidth="1"/>
  </cols>
  <sheetData>
    <row r="1" spans="2:27" x14ac:dyDescent="0.35">
      <c r="J1" s="1">
        <f>AVERAGE(J5:J24)</f>
        <v>0.8060045763455127</v>
      </c>
    </row>
    <row r="3" spans="2:27" x14ac:dyDescent="0.35">
      <c r="B3" t="s">
        <v>25</v>
      </c>
      <c r="G3" t="s">
        <v>0</v>
      </c>
      <c r="L3" t="s">
        <v>48</v>
      </c>
      <c r="S3" t="s">
        <v>211</v>
      </c>
      <c r="T3">
        <v>2020</v>
      </c>
      <c r="V3">
        <v>2030</v>
      </c>
      <c r="X3">
        <v>2040</v>
      </c>
      <c r="Z3">
        <v>2050</v>
      </c>
    </row>
    <row r="4" spans="2:27" x14ac:dyDescent="0.35">
      <c r="B4" t="s">
        <v>38</v>
      </c>
      <c r="C4" t="s">
        <v>39</v>
      </c>
      <c r="D4" t="s">
        <v>41</v>
      </c>
      <c r="E4" t="s">
        <v>42</v>
      </c>
      <c r="G4" t="s">
        <v>38</v>
      </c>
      <c r="H4" t="s">
        <v>43</v>
      </c>
      <c r="I4" t="s">
        <v>46</v>
      </c>
      <c r="J4" t="s">
        <v>44</v>
      </c>
      <c r="L4" t="s">
        <v>38</v>
      </c>
      <c r="M4" t="s">
        <v>39</v>
      </c>
      <c r="N4" t="s">
        <v>46</v>
      </c>
      <c r="O4" t="s">
        <v>44</v>
      </c>
      <c r="S4" t="s">
        <v>60</v>
      </c>
      <c r="T4" t="s">
        <v>212</v>
      </c>
      <c r="U4" t="s">
        <v>213</v>
      </c>
      <c r="V4" t="s">
        <v>212</v>
      </c>
      <c r="W4" t="s">
        <v>213</v>
      </c>
      <c r="X4" t="s">
        <v>212</v>
      </c>
      <c r="Y4" t="s">
        <v>213</v>
      </c>
      <c r="Z4" t="s">
        <v>212</v>
      </c>
      <c r="AA4" t="s">
        <v>213</v>
      </c>
    </row>
    <row r="5" spans="2:27" x14ac:dyDescent="0.35">
      <c r="B5" t="s">
        <v>5</v>
      </c>
      <c r="C5" t="s">
        <v>40</v>
      </c>
      <c r="D5">
        <v>2019</v>
      </c>
      <c r="E5" t="str">
        <f>"*"&amp;1/20/$J$1</f>
        <v>*0.0620343872322709</v>
      </c>
      <c r="G5" t="s">
        <v>45</v>
      </c>
      <c r="H5">
        <v>15</v>
      </c>
      <c r="I5">
        <f>SHAPES!A8</f>
        <v>1</v>
      </c>
      <c r="J5" s="24">
        <f>SHAPES!B8</f>
        <v>0.98</v>
      </c>
      <c r="L5" t="s">
        <v>47</v>
      </c>
      <c r="M5" t="s">
        <v>40</v>
      </c>
      <c r="N5">
        <v>0</v>
      </c>
      <c r="O5">
        <v>2</v>
      </c>
      <c r="S5" t="s">
        <v>214</v>
      </c>
      <c r="T5">
        <v>2548.3999587303601</v>
      </c>
      <c r="U5">
        <v>76.451998761910801</v>
      </c>
      <c r="V5">
        <v>2548.3999587303601</v>
      </c>
      <c r="W5">
        <v>76.451998761910801</v>
      </c>
      <c r="X5">
        <v>2548.3999587303601</v>
      </c>
      <c r="Y5">
        <v>76.451998761910801</v>
      </c>
      <c r="Z5">
        <v>2548.3999587303601</v>
      </c>
      <c r="AA5">
        <v>76.451998761910801</v>
      </c>
    </row>
    <row r="6" spans="2:27" x14ac:dyDescent="0.35">
      <c r="B6" t="s">
        <v>5</v>
      </c>
      <c r="C6" t="s">
        <v>40</v>
      </c>
      <c r="D6">
        <f>D5-1</f>
        <v>2018</v>
      </c>
      <c r="E6" t="str">
        <f t="shared" ref="E6:E24" si="0">"*"&amp;1/20/$J$1</f>
        <v>*0.0620343872322709</v>
      </c>
      <c r="G6" t="s">
        <v>45</v>
      </c>
      <c r="H6">
        <v>15</v>
      </c>
      <c r="I6">
        <f>SHAPES!A9</f>
        <v>2</v>
      </c>
      <c r="J6" s="24">
        <f>SHAPES!B9</f>
        <v>0.97062258013515912</v>
      </c>
      <c r="S6" t="s">
        <v>215</v>
      </c>
      <c r="T6">
        <v>11100.695296146299</v>
      </c>
      <c r="U6">
        <v>333.02085888438899</v>
      </c>
      <c r="V6">
        <v>11100.695296146299</v>
      </c>
      <c r="W6">
        <v>333.02085888438899</v>
      </c>
      <c r="X6">
        <v>11100.695296146299</v>
      </c>
      <c r="Y6">
        <v>333.02085888438899</v>
      </c>
      <c r="Z6">
        <v>11100.695296146299</v>
      </c>
      <c r="AA6">
        <v>333.02085888438899</v>
      </c>
    </row>
    <row r="7" spans="2:27" x14ac:dyDescent="0.35">
      <c r="B7" t="s">
        <v>5</v>
      </c>
      <c r="C7" t="s">
        <v>40</v>
      </c>
      <c r="D7">
        <f t="shared" ref="D7:D24" si="1">D6-1</f>
        <v>2017</v>
      </c>
      <c r="E7" t="str">
        <f t="shared" si="0"/>
        <v>*0.0620343872322709</v>
      </c>
      <c r="G7" t="s">
        <v>45</v>
      </c>
      <c r="H7">
        <v>15</v>
      </c>
      <c r="I7">
        <f>SHAPES!A10</f>
        <v>3</v>
      </c>
      <c r="J7" s="24">
        <f>SHAPES!B10</f>
        <v>0.96239643571651068</v>
      </c>
      <c r="S7" t="s">
        <v>216</v>
      </c>
      <c r="T7">
        <v>277035.54522528203</v>
      </c>
      <c r="U7">
        <v>8311.0663567584597</v>
      </c>
      <c r="V7">
        <v>277035.54522528203</v>
      </c>
      <c r="W7">
        <v>8311.0663567584597</v>
      </c>
      <c r="X7">
        <v>277035.54522528203</v>
      </c>
      <c r="Y7">
        <v>8311.0663567584597</v>
      </c>
      <c r="Z7">
        <v>277035.54522528203</v>
      </c>
      <c r="AA7">
        <v>8311.0663567584597</v>
      </c>
    </row>
    <row r="8" spans="2:27" x14ac:dyDescent="0.35">
      <c r="B8" t="s">
        <v>5</v>
      </c>
      <c r="C8" t="s">
        <v>40</v>
      </c>
      <c r="D8">
        <f t="shared" si="1"/>
        <v>2016</v>
      </c>
      <c r="E8" t="str">
        <f t="shared" si="0"/>
        <v>*0.0620343872322709</v>
      </c>
      <c r="G8" t="s">
        <v>45</v>
      </c>
      <c r="H8">
        <v>15</v>
      </c>
      <c r="I8">
        <f>SHAPES!A11</f>
        <v>4</v>
      </c>
      <c r="J8" s="24">
        <f>SHAPES!B11</f>
        <v>0.96239643571651068</v>
      </c>
      <c r="S8" t="s">
        <v>217</v>
      </c>
      <c r="T8">
        <v>19114.1080717123</v>
      </c>
      <c r="U8">
        <v>573.42324215136898</v>
      </c>
    </row>
    <row r="9" spans="2:27" x14ac:dyDescent="0.35">
      <c r="B9" t="s">
        <v>5</v>
      </c>
      <c r="C9" t="s">
        <v>40</v>
      </c>
      <c r="D9">
        <f t="shared" si="1"/>
        <v>2015</v>
      </c>
      <c r="E9" t="str">
        <f t="shared" si="0"/>
        <v>*0.0620343872322709</v>
      </c>
      <c r="G9" t="s">
        <v>45</v>
      </c>
      <c r="H9">
        <v>15</v>
      </c>
      <c r="I9">
        <f>SHAPES!A12</f>
        <v>5</v>
      </c>
      <c r="J9" s="24">
        <f>SHAPES!B12</f>
        <v>0.95334894686552296</v>
      </c>
      <c r="S9" t="s">
        <v>218</v>
      </c>
      <c r="T9">
        <v>79927.7536460642</v>
      </c>
      <c r="U9">
        <v>2397.8326093819301</v>
      </c>
      <c r="V9">
        <v>79927.7536460642</v>
      </c>
      <c r="W9">
        <v>2397.8326093819301</v>
      </c>
      <c r="X9">
        <v>79927.7536460642</v>
      </c>
      <c r="Y9">
        <v>2397.8326093819301</v>
      </c>
      <c r="Z9">
        <v>79927.7536460642</v>
      </c>
      <c r="AA9">
        <v>2397.8326093819301</v>
      </c>
    </row>
    <row r="10" spans="2:27" x14ac:dyDescent="0.35">
      <c r="B10" t="s">
        <v>5</v>
      </c>
      <c r="C10" t="s">
        <v>40</v>
      </c>
      <c r="D10">
        <f t="shared" si="1"/>
        <v>2014</v>
      </c>
      <c r="E10" t="str">
        <f t="shared" si="0"/>
        <v>*0.0620343872322709</v>
      </c>
      <c r="G10" t="s">
        <v>45</v>
      </c>
      <c r="H10">
        <v>15</v>
      </c>
      <c r="I10">
        <f>SHAPES!A13</f>
        <v>6</v>
      </c>
      <c r="J10" s="24">
        <f>SHAPES!B13</f>
        <v>0.94694722093384487</v>
      </c>
      <c r="S10" t="s">
        <v>219</v>
      </c>
      <c r="T10">
        <v>17407.9785320185</v>
      </c>
      <c r="U10">
        <v>522.23935596055503</v>
      </c>
    </row>
    <row r="11" spans="2:27" x14ac:dyDescent="0.35">
      <c r="B11" t="s">
        <v>5</v>
      </c>
      <c r="C11" t="s">
        <v>40</v>
      </c>
      <c r="D11">
        <f t="shared" si="1"/>
        <v>2013</v>
      </c>
      <c r="E11" t="str">
        <f t="shared" si="0"/>
        <v>*0.0620343872322709</v>
      </c>
      <c r="G11" t="s">
        <v>45</v>
      </c>
      <c r="H11">
        <v>15</v>
      </c>
      <c r="I11">
        <f>SHAPES!A14</f>
        <v>7</v>
      </c>
      <c r="J11" s="24">
        <f>SHAPES!B14</f>
        <v>0.94694722093384487</v>
      </c>
    </row>
    <row r="12" spans="2:27" x14ac:dyDescent="0.35">
      <c r="B12" t="s">
        <v>5</v>
      </c>
      <c r="C12" t="s">
        <v>40</v>
      </c>
      <c r="D12">
        <f t="shared" si="1"/>
        <v>2012</v>
      </c>
      <c r="E12" t="str">
        <f t="shared" si="0"/>
        <v>*0.0620343872322709</v>
      </c>
      <c r="G12" t="s">
        <v>45</v>
      </c>
      <c r="H12">
        <v>15</v>
      </c>
      <c r="I12">
        <f>SHAPES!A15</f>
        <v>8</v>
      </c>
      <c r="J12" s="24">
        <f>SHAPES!B15</f>
        <v>0.92626111478806361</v>
      </c>
    </row>
    <row r="13" spans="2:27" x14ac:dyDescent="0.35">
      <c r="B13" t="s">
        <v>5</v>
      </c>
      <c r="C13" t="s">
        <v>40</v>
      </c>
      <c r="D13">
        <f t="shared" si="1"/>
        <v>2011</v>
      </c>
      <c r="E13" t="str">
        <f t="shared" si="0"/>
        <v>*0.0620343872322709</v>
      </c>
      <c r="G13" t="s">
        <v>45</v>
      </c>
      <c r="H13">
        <v>15</v>
      </c>
      <c r="I13">
        <f>SHAPES!A16</f>
        <v>9</v>
      </c>
      <c r="J13" s="24">
        <f>SHAPES!B16</f>
        <v>0.89816275804529644</v>
      </c>
      <c r="S13" t="s">
        <v>220</v>
      </c>
    </row>
    <row r="14" spans="2:27" x14ac:dyDescent="0.35">
      <c r="B14" t="s">
        <v>5</v>
      </c>
      <c r="C14" t="s">
        <v>40</v>
      </c>
      <c r="D14">
        <f t="shared" si="1"/>
        <v>2010</v>
      </c>
      <c r="E14" t="str">
        <f t="shared" si="0"/>
        <v>*0.0620343872322709</v>
      </c>
      <c r="G14" t="s">
        <v>45</v>
      </c>
      <c r="H14">
        <v>15</v>
      </c>
      <c r="I14">
        <f>SHAPES!A17</f>
        <v>10</v>
      </c>
      <c r="J14" s="24">
        <f>SHAPES!B17</f>
        <v>0.89816275804529644</v>
      </c>
      <c r="S14" t="s">
        <v>178</v>
      </c>
      <c r="T14" t="s">
        <v>171</v>
      </c>
      <c r="U14" t="s">
        <v>21</v>
      </c>
      <c r="V14" t="s">
        <v>114</v>
      </c>
    </row>
    <row r="15" spans="2:27" x14ac:dyDescent="0.35">
      <c r="B15" t="s">
        <v>5</v>
      </c>
      <c r="C15" t="s">
        <v>40</v>
      </c>
      <c r="D15">
        <f t="shared" si="1"/>
        <v>2009</v>
      </c>
      <c r="E15" t="str">
        <f t="shared" si="0"/>
        <v>*0.0620343872322709</v>
      </c>
      <c r="G15" t="s">
        <v>45</v>
      </c>
      <c r="H15">
        <v>15</v>
      </c>
      <c r="I15">
        <f>SHAPES!A18</f>
        <v>11</v>
      </c>
      <c r="J15" s="24">
        <f>SHAPES!B18</f>
        <v>0.84618938087841178</v>
      </c>
      <c r="S15" t="s">
        <v>164</v>
      </c>
      <c r="T15" t="str">
        <f>LEFT(S5,6)</f>
        <v>Trd_2w</v>
      </c>
      <c r="U15" s="2">
        <f>T5</f>
        <v>2548.3999587303601</v>
      </c>
      <c r="V15" s="2">
        <f t="shared" ref="V15:V20" si="2">U5</f>
        <v>76.451998761910801</v>
      </c>
    </row>
    <row r="16" spans="2:27" x14ac:dyDescent="0.35">
      <c r="B16" t="s">
        <v>5</v>
      </c>
      <c r="C16" t="s">
        <v>40</v>
      </c>
      <c r="D16">
        <f t="shared" si="1"/>
        <v>2008</v>
      </c>
      <c r="E16" t="str">
        <f t="shared" si="0"/>
        <v>*0.0620343872322709</v>
      </c>
      <c r="G16" t="s">
        <v>45</v>
      </c>
      <c r="H16">
        <v>15</v>
      </c>
      <c r="I16">
        <f>SHAPES!A19</f>
        <v>12</v>
      </c>
      <c r="J16" s="24">
        <f>SHAPES!B19</f>
        <v>0.83608996556885473</v>
      </c>
      <c r="S16" t="s">
        <v>164</v>
      </c>
      <c r="T16" t="str">
        <f t="shared" ref="T16:T21" si="3">LEFT(S6,6)</f>
        <v>Trd_3w</v>
      </c>
      <c r="U16" s="2">
        <f t="shared" ref="U16" si="4">T6</f>
        <v>11100.695296146299</v>
      </c>
      <c r="V16" s="2">
        <f t="shared" si="2"/>
        <v>333.02085888438899</v>
      </c>
    </row>
    <row r="17" spans="2:22" x14ac:dyDescent="0.35">
      <c r="B17" t="s">
        <v>5</v>
      </c>
      <c r="C17" t="s">
        <v>40</v>
      </c>
      <c r="D17">
        <f t="shared" si="1"/>
        <v>2007</v>
      </c>
      <c r="E17" t="str">
        <f t="shared" si="0"/>
        <v>*0.0620343872322709</v>
      </c>
      <c r="G17" t="s">
        <v>45</v>
      </c>
      <c r="H17">
        <v>15</v>
      </c>
      <c r="I17">
        <f>SHAPES!A20</f>
        <v>13</v>
      </c>
      <c r="J17" s="24">
        <f>SHAPES!B20</f>
        <v>0.78534774881855129</v>
      </c>
      <c r="S17" t="s">
        <v>164</v>
      </c>
      <c r="T17" t="str">
        <f>LEFT(S7,7)</f>
        <v>Trd_bus</v>
      </c>
      <c r="U17" s="2">
        <f t="shared" ref="U17" si="5">T7</f>
        <v>277035.54522528203</v>
      </c>
      <c r="V17" s="2">
        <f t="shared" si="2"/>
        <v>8311.0663567584597</v>
      </c>
    </row>
    <row r="18" spans="2:22" x14ac:dyDescent="0.35">
      <c r="B18" t="s">
        <v>5</v>
      </c>
      <c r="C18" t="s">
        <v>40</v>
      </c>
      <c r="D18">
        <f t="shared" si="1"/>
        <v>2006</v>
      </c>
      <c r="E18" t="str">
        <f t="shared" si="0"/>
        <v>*0.0620343872322709</v>
      </c>
      <c r="G18" t="s">
        <v>45</v>
      </c>
      <c r="H18">
        <v>15</v>
      </c>
      <c r="I18">
        <f>SHAPES!A21</f>
        <v>14</v>
      </c>
      <c r="J18" s="24">
        <f>SHAPES!B21</f>
        <v>0.76515842462494787</v>
      </c>
      <c r="S18" t="s">
        <v>164</v>
      </c>
      <c r="T18" t="str">
        <f t="shared" ref="T18:T20" si="6">LEFT(S8,7)</f>
        <v>Trd_car</v>
      </c>
      <c r="U18" s="2">
        <f t="shared" ref="U18" si="7">T8</f>
        <v>19114.1080717123</v>
      </c>
      <c r="V18" s="2">
        <f t="shared" si="2"/>
        <v>573.42324215136898</v>
      </c>
    </row>
    <row r="19" spans="2:22" x14ac:dyDescent="0.35">
      <c r="B19" t="s">
        <v>5</v>
      </c>
      <c r="C19" t="s">
        <v>40</v>
      </c>
      <c r="D19">
        <f t="shared" si="1"/>
        <v>2005</v>
      </c>
      <c r="E19" t="str">
        <f t="shared" si="0"/>
        <v>*0.0620343872322709</v>
      </c>
      <c r="G19" t="s">
        <v>45</v>
      </c>
      <c r="H19">
        <v>15</v>
      </c>
      <c r="I19">
        <f>SHAPES!A22</f>
        <v>15</v>
      </c>
      <c r="J19" s="24">
        <f>SHAPES!B22</f>
        <v>0.72288820149169919</v>
      </c>
      <c r="S19" t="s">
        <v>164</v>
      </c>
      <c r="T19" t="str">
        <f t="shared" si="6"/>
        <v>Trd_hdt</v>
      </c>
      <c r="U19" s="2">
        <f t="shared" ref="U19" si="8">T9</f>
        <v>79927.7536460642</v>
      </c>
      <c r="V19" s="2">
        <f t="shared" si="2"/>
        <v>2397.8326093819301</v>
      </c>
    </row>
    <row r="20" spans="2:22" x14ac:dyDescent="0.35">
      <c r="B20" t="s">
        <v>5</v>
      </c>
      <c r="C20" t="s">
        <v>40</v>
      </c>
      <c r="D20">
        <f t="shared" si="1"/>
        <v>2004</v>
      </c>
      <c r="E20" t="str">
        <f t="shared" si="0"/>
        <v>*0.0620343872322709</v>
      </c>
      <c r="G20" t="s">
        <v>45</v>
      </c>
      <c r="H20">
        <v>15</v>
      </c>
      <c r="I20">
        <f>SHAPES!A23</f>
        <v>16</v>
      </c>
      <c r="J20" s="24">
        <f>SHAPES!B23</f>
        <v>0.66220665411121304</v>
      </c>
      <c r="S20" t="s">
        <v>164</v>
      </c>
      <c r="T20" t="str">
        <f t="shared" si="6"/>
        <v>Trd_lcv</v>
      </c>
      <c r="U20" s="2">
        <f t="shared" ref="U20" si="9">T10</f>
        <v>17407.9785320185</v>
      </c>
      <c r="V20" s="2">
        <f t="shared" si="2"/>
        <v>522.23935596055503</v>
      </c>
    </row>
    <row r="21" spans="2:22" x14ac:dyDescent="0.35">
      <c r="B21" t="s">
        <v>5</v>
      </c>
      <c r="C21" t="s">
        <v>40</v>
      </c>
      <c r="D21">
        <f t="shared" si="1"/>
        <v>2003</v>
      </c>
      <c r="E21" t="str">
        <f t="shared" si="0"/>
        <v>*0.0620343872322709</v>
      </c>
      <c r="G21" t="s">
        <v>45</v>
      </c>
      <c r="H21">
        <v>15</v>
      </c>
      <c r="I21">
        <f>SHAPES!A24</f>
        <v>17</v>
      </c>
      <c r="J21" s="24">
        <f>SHAPES!B24</f>
        <v>0.62309314791753456</v>
      </c>
      <c r="T21" t="str">
        <f t="shared" si="3"/>
        <v/>
      </c>
    </row>
    <row r="22" spans="2:22" x14ac:dyDescent="0.35">
      <c r="B22" t="s">
        <v>5</v>
      </c>
      <c r="C22" t="s">
        <v>40</v>
      </c>
      <c r="D22">
        <f t="shared" si="1"/>
        <v>2002</v>
      </c>
      <c r="E22" t="str">
        <f t="shared" si="0"/>
        <v>*0.0620343872322709</v>
      </c>
      <c r="G22" t="s">
        <v>45</v>
      </c>
      <c r="H22">
        <v>15</v>
      </c>
      <c r="I22">
        <f>SHAPES!A25</f>
        <v>18</v>
      </c>
      <c r="J22" s="24">
        <f>SHAPES!B25</f>
        <v>0.53759209228578131</v>
      </c>
    </row>
    <row r="23" spans="2:22" x14ac:dyDescent="0.35">
      <c r="B23" t="s">
        <v>5</v>
      </c>
      <c r="C23" t="s">
        <v>40</v>
      </c>
      <c r="D23">
        <f t="shared" si="1"/>
        <v>2001</v>
      </c>
      <c r="E23" t="str">
        <f t="shared" si="0"/>
        <v>*0.0620343872322709</v>
      </c>
      <c r="G23" t="s">
        <v>45</v>
      </c>
      <c r="H23">
        <v>15</v>
      </c>
      <c r="I23">
        <f>SHAPES!A26</f>
        <v>19</v>
      </c>
      <c r="J23" s="24">
        <f>SHAPES!B26</f>
        <v>0.47418921909559059</v>
      </c>
    </row>
    <row r="24" spans="2:22" x14ac:dyDescent="0.35">
      <c r="B24" t="s">
        <v>5</v>
      </c>
      <c r="C24" t="s">
        <v>40</v>
      </c>
      <c r="D24">
        <f t="shared" si="1"/>
        <v>2000</v>
      </c>
      <c r="E24" t="str">
        <f t="shared" si="0"/>
        <v>*0.0620343872322709</v>
      </c>
      <c r="G24" t="s">
        <v>45</v>
      </c>
      <c r="H24">
        <v>15</v>
      </c>
      <c r="I24">
        <f>SHAPES!A27</f>
        <v>20</v>
      </c>
      <c r="J24" s="24">
        <f>SHAPES!B27</f>
        <v>0.42209122093761908</v>
      </c>
    </row>
    <row r="25" spans="2:22" x14ac:dyDescent="0.35">
      <c r="G25" t="s">
        <v>45</v>
      </c>
      <c r="H25">
        <v>15</v>
      </c>
      <c r="I25">
        <f>SHAPES!A28</f>
        <v>21</v>
      </c>
      <c r="J25" s="24">
        <f>SHAPES!B28</f>
        <v>0.34697101605841268</v>
      </c>
    </row>
    <row r="26" spans="2:22" x14ac:dyDescent="0.35">
      <c r="G26" t="s">
        <v>45</v>
      </c>
      <c r="H26">
        <v>15</v>
      </c>
      <c r="I26">
        <f>SHAPES!A29</f>
        <v>22</v>
      </c>
      <c r="J26" s="24">
        <f>SHAPES!B29</f>
        <v>0.29306436176205847</v>
      </c>
    </row>
    <row r="27" spans="2:22" x14ac:dyDescent="0.35">
      <c r="G27" t="s">
        <v>45</v>
      </c>
      <c r="H27">
        <v>15</v>
      </c>
      <c r="I27">
        <f>SHAPES!A30</f>
        <v>23</v>
      </c>
      <c r="J27" s="24">
        <f>SHAPES!B30</f>
        <v>0.23285804035746605</v>
      </c>
    </row>
    <row r="28" spans="2:22" x14ac:dyDescent="0.35">
      <c r="G28" t="s">
        <v>45</v>
      </c>
      <c r="H28">
        <v>15</v>
      </c>
      <c r="I28">
        <f>SHAPES!A31</f>
        <v>24</v>
      </c>
      <c r="J28" s="24">
        <f>SHAPES!B31</f>
        <v>0.19094252894781777</v>
      </c>
    </row>
    <row r="29" spans="2:22" x14ac:dyDescent="0.35">
      <c r="G29" t="s">
        <v>45</v>
      </c>
      <c r="H29">
        <v>15</v>
      </c>
      <c r="I29">
        <f>SHAPES!A32</f>
        <v>25</v>
      </c>
      <c r="J29" s="24">
        <f>SHAPES!B32</f>
        <v>0.16465309692369703</v>
      </c>
    </row>
    <row r="30" spans="2:22" x14ac:dyDescent="0.35">
      <c r="G30" t="s">
        <v>45</v>
      </c>
      <c r="H30">
        <v>15</v>
      </c>
      <c r="I30">
        <f>SHAPES!A33</f>
        <v>26</v>
      </c>
      <c r="J30" s="24">
        <f>SHAPES!B33</f>
        <v>0.1488683274483332</v>
      </c>
    </row>
    <row r="31" spans="2:22" x14ac:dyDescent="0.35">
      <c r="G31" t="s">
        <v>45</v>
      </c>
      <c r="H31">
        <v>15</v>
      </c>
      <c r="I31">
        <f>SHAPES!A34</f>
        <v>27</v>
      </c>
      <c r="J31" s="24">
        <f>SHAPES!B34</f>
        <v>0.11454490726821995</v>
      </c>
    </row>
    <row r="32" spans="2:22" x14ac:dyDescent="0.35">
      <c r="G32" t="s">
        <v>45</v>
      </c>
      <c r="H32">
        <v>15</v>
      </c>
      <c r="I32">
        <f>SHAPES!A35</f>
        <v>28</v>
      </c>
      <c r="J32" s="24">
        <f>SHAPES!B35</f>
        <v>0.10305457793904532</v>
      </c>
    </row>
    <row r="33" spans="7:10" x14ac:dyDescent="0.35">
      <c r="G33" t="s">
        <v>45</v>
      </c>
      <c r="H33">
        <v>15</v>
      </c>
      <c r="I33">
        <f>SHAPES!A36</f>
        <v>29</v>
      </c>
      <c r="J33" s="24">
        <f>SHAPES!B36</f>
        <v>9.509790003536947E-2</v>
      </c>
    </row>
    <row r="34" spans="7:10" x14ac:dyDescent="0.35">
      <c r="G34" t="s">
        <v>45</v>
      </c>
      <c r="H34">
        <v>15</v>
      </c>
      <c r="I34">
        <f>SHAPES!A37</f>
        <v>30</v>
      </c>
      <c r="J34" s="24">
        <f>SHAPES!B37</f>
        <v>9.509790003536947E-2</v>
      </c>
    </row>
    <row r="35" spans="7:10" x14ac:dyDescent="0.35">
      <c r="G35" t="s">
        <v>45</v>
      </c>
      <c r="H35">
        <v>15</v>
      </c>
      <c r="I35">
        <f>SHAPES!A38</f>
        <v>31</v>
      </c>
      <c r="J35" s="24">
        <f>SHAPES!B38</f>
        <v>7.9496509194296461E-2</v>
      </c>
    </row>
    <row r="36" spans="7:10" x14ac:dyDescent="0.35">
      <c r="G36" t="s">
        <v>45</v>
      </c>
      <c r="H36">
        <v>15</v>
      </c>
      <c r="I36">
        <f>SHAPES!A39</f>
        <v>32</v>
      </c>
      <c r="J36" s="24">
        <f>SHAPES!B39</f>
        <v>5.6842043359806547E-2</v>
      </c>
    </row>
    <row r="37" spans="7:10" x14ac:dyDescent="0.35">
      <c r="G37" t="s">
        <v>45</v>
      </c>
      <c r="H37">
        <v>15</v>
      </c>
      <c r="I37">
        <f>SHAPES!A40</f>
        <v>33</v>
      </c>
      <c r="J37" s="24">
        <f>SHAPES!B40</f>
        <v>5.4254088886505715E-2</v>
      </c>
    </row>
    <row r="38" spans="7:10" x14ac:dyDescent="0.35">
      <c r="G38" t="s">
        <v>45</v>
      </c>
      <c r="H38">
        <v>15</v>
      </c>
      <c r="I38">
        <f>SHAPES!A41</f>
        <v>34</v>
      </c>
      <c r="J38" s="24">
        <f>SHAPES!B41</f>
        <v>5.4254088886505715E-2</v>
      </c>
    </row>
    <row r="39" spans="7:10" x14ac:dyDescent="0.35">
      <c r="G39" t="s">
        <v>45</v>
      </c>
      <c r="H39">
        <v>15</v>
      </c>
      <c r="I39">
        <f>SHAPES!A42</f>
        <v>35</v>
      </c>
      <c r="J39" s="24">
        <f>SHAPES!B42</f>
        <v>5.4254088886505715E-2</v>
      </c>
    </row>
    <row r="40" spans="7:10" x14ac:dyDescent="0.35">
      <c r="G40" t="s">
        <v>45</v>
      </c>
      <c r="H40">
        <v>15</v>
      </c>
      <c r="I40">
        <f>SHAPES!A43</f>
        <v>36</v>
      </c>
      <c r="J40" s="24">
        <f>SHAPES!B43</f>
        <v>4.5375222897155502E-2</v>
      </c>
    </row>
    <row r="41" spans="7:10" x14ac:dyDescent="0.35">
      <c r="G41" t="s">
        <v>45</v>
      </c>
      <c r="H41">
        <v>16</v>
      </c>
      <c r="I41">
        <f>SHAPES!A44</f>
        <v>37</v>
      </c>
      <c r="J41" s="24">
        <f>SHAPES!B44</f>
        <v>3.3017316344289761E-2</v>
      </c>
    </row>
    <row r="42" spans="7:10" x14ac:dyDescent="0.35">
      <c r="G42" t="s">
        <v>45</v>
      </c>
      <c r="H42">
        <v>17</v>
      </c>
      <c r="I42">
        <f>SHAPES!A45</f>
        <v>38</v>
      </c>
      <c r="J42" s="24">
        <f>SHAPES!B45</f>
        <v>3.3017316344289761E-2</v>
      </c>
    </row>
    <row r="43" spans="7:10" x14ac:dyDescent="0.35">
      <c r="G43" t="s">
        <v>45</v>
      </c>
      <c r="H43">
        <v>18</v>
      </c>
      <c r="I43">
        <f>SHAPES!A46</f>
        <v>39</v>
      </c>
      <c r="J43" s="24">
        <f>SHAPES!B46</f>
        <v>3.1841483991343025E-2</v>
      </c>
    </row>
    <row r="44" spans="7:10" x14ac:dyDescent="0.35">
      <c r="G44" t="s">
        <v>45</v>
      </c>
      <c r="H44">
        <v>19</v>
      </c>
      <c r="I44">
        <f>SHAPES!A47</f>
        <v>40</v>
      </c>
      <c r="J44" s="24">
        <f>SHAPES!B47</f>
        <v>2.8946803628493653E-2</v>
      </c>
    </row>
    <row r="45" spans="7:10" x14ac:dyDescent="0.35">
      <c r="G45" t="s">
        <v>45</v>
      </c>
      <c r="H45">
        <v>20</v>
      </c>
      <c r="I45">
        <f>SHAPES!A48</f>
        <v>41</v>
      </c>
      <c r="J45" s="24">
        <f>SHAPES!B48</f>
        <v>2.6052123265644281E-2</v>
      </c>
    </row>
    <row r="46" spans="7:10" x14ac:dyDescent="0.35">
      <c r="G46" t="s">
        <v>45</v>
      </c>
      <c r="H46">
        <v>21</v>
      </c>
      <c r="I46">
        <f>SHAPES!A49</f>
        <v>42</v>
      </c>
      <c r="J46" s="24">
        <f>SHAPES!B49</f>
        <v>2.3157442902794922E-2</v>
      </c>
    </row>
    <row r="47" spans="7:10" x14ac:dyDescent="0.35">
      <c r="G47" t="s">
        <v>45</v>
      </c>
      <c r="H47">
        <v>22</v>
      </c>
      <c r="I47">
        <f>SHAPES!A50</f>
        <v>43</v>
      </c>
      <c r="J47" s="24">
        <f>SHAPES!B50</f>
        <v>2.026276253994555E-2</v>
      </c>
    </row>
    <row r="48" spans="7:10" x14ac:dyDescent="0.35">
      <c r="G48" t="s">
        <v>45</v>
      </c>
      <c r="H48">
        <v>23</v>
      </c>
      <c r="I48">
        <f>SHAPES!A51</f>
        <v>44</v>
      </c>
      <c r="J48" s="24">
        <f>SHAPES!B51</f>
        <v>1.7368082177096178E-2</v>
      </c>
    </row>
    <row r="49" spans="7:10" x14ac:dyDescent="0.35">
      <c r="G49" t="s">
        <v>45</v>
      </c>
      <c r="H49">
        <v>24</v>
      </c>
      <c r="I49">
        <f>SHAPES!A52</f>
        <v>45</v>
      </c>
      <c r="J49" s="24">
        <f>SHAPES!B52</f>
        <v>1.4473401814246806E-2</v>
      </c>
    </row>
    <row r="50" spans="7:10" x14ac:dyDescent="0.35">
      <c r="G50" t="s">
        <v>45</v>
      </c>
      <c r="H50">
        <v>25</v>
      </c>
      <c r="I50">
        <f>SHAPES!A53</f>
        <v>46</v>
      </c>
      <c r="J50" s="24">
        <f>SHAPES!B53</f>
        <v>1.1578721451397461E-2</v>
      </c>
    </row>
    <row r="51" spans="7:10" x14ac:dyDescent="0.35">
      <c r="G51" t="s">
        <v>45</v>
      </c>
      <c r="H51">
        <v>26</v>
      </c>
      <c r="I51">
        <f>SHAPES!A54</f>
        <v>47</v>
      </c>
      <c r="J51" s="24">
        <f>SHAPES!B54</f>
        <v>8.684041088548089E-3</v>
      </c>
    </row>
    <row r="52" spans="7:10" x14ac:dyDescent="0.35">
      <c r="G52" t="s">
        <v>45</v>
      </c>
      <c r="H52">
        <v>27</v>
      </c>
      <c r="I52">
        <f>SHAPES!A55</f>
        <v>48</v>
      </c>
      <c r="J52" s="24">
        <f>SHAPES!B55</f>
        <v>5.7893607256987167E-3</v>
      </c>
    </row>
    <row r="53" spans="7:10" x14ac:dyDescent="0.35">
      <c r="G53" t="s">
        <v>45</v>
      </c>
      <c r="H53">
        <v>28</v>
      </c>
      <c r="I53">
        <f>SHAPES!A56</f>
        <v>49</v>
      </c>
      <c r="J53" s="24">
        <f>SHAPES!B56</f>
        <v>2.8946803628493445E-3</v>
      </c>
    </row>
    <row r="54" spans="7:10" x14ac:dyDescent="0.35">
      <c r="G54" t="s">
        <v>45</v>
      </c>
      <c r="H54">
        <v>29</v>
      </c>
      <c r="I54">
        <f>SHAPES!A57</f>
        <v>50</v>
      </c>
      <c r="J54" s="24">
        <f>SHAPES!B57</f>
        <v>0</v>
      </c>
    </row>
    <row r="55" spans="7:10" x14ac:dyDescent="0.35">
      <c r="J55" s="24"/>
    </row>
    <row r="56" spans="7:10" x14ac:dyDescent="0.35">
      <c r="J56" s="24"/>
    </row>
    <row r="57" spans="7:10" x14ac:dyDescent="0.35">
      <c r="J57" s="24"/>
    </row>
    <row r="58" spans="7:10" x14ac:dyDescent="0.35">
      <c r="J58" s="24"/>
    </row>
    <row r="59" spans="7:10" x14ac:dyDescent="0.35">
      <c r="J59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4A9B-2AFE-4AE8-9FB3-54F85366AE90}">
  <dimension ref="A1:AH41"/>
  <sheetViews>
    <sheetView workbookViewId="0"/>
  </sheetViews>
  <sheetFormatPr defaultRowHeight="12.75" x14ac:dyDescent="0.35"/>
  <cols>
    <col min="1" max="1" width="17.59765625" bestFit="1" customWidth="1"/>
    <col min="5" max="5" width="10.1328125" bestFit="1" customWidth="1"/>
  </cols>
  <sheetData>
    <row r="1" spans="2:18" x14ac:dyDescent="0.35">
      <c r="O1" s="23"/>
    </row>
    <row r="3" spans="2:18" x14ac:dyDescent="0.35">
      <c r="B3" t="s">
        <v>0</v>
      </c>
      <c r="R3" s="39"/>
    </row>
    <row r="4" spans="2:18" x14ac:dyDescent="0.35">
      <c r="B4" t="s">
        <v>38</v>
      </c>
      <c r="C4" t="s">
        <v>178</v>
      </c>
      <c r="D4" t="s">
        <v>179</v>
      </c>
      <c r="E4" t="s">
        <v>44</v>
      </c>
      <c r="F4" t="s">
        <v>171</v>
      </c>
      <c r="G4" t="s">
        <v>169</v>
      </c>
      <c r="H4" t="s">
        <v>39</v>
      </c>
      <c r="Q4" s="18"/>
      <c r="R4" s="18"/>
    </row>
    <row r="5" spans="2:18" x14ac:dyDescent="0.35">
      <c r="B5" t="s">
        <v>210</v>
      </c>
      <c r="C5" t="s">
        <v>177</v>
      </c>
      <c r="D5" t="s">
        <v>5</v>
      </c>
      <c r="E5">
        <v>2020</v>
      </c>
      <c r="H5" s="26" t="s">
        <v>184</v>
      </c>
    </row>
    <row r="6" spans="2:18" x14ac:dyDescent="0.35">
      <c r="B6" t="s">
        <v>210</v>
      </c>
      <c r="C6" t="s">
        <v>177</v>
      </c>
      <c r="E6">
        <v>2020</v>
      </c>
      <c r="F6" t="s">
        <v>180</v>
      </c>
      <c r="H6" s="26" t="s">
        <v>184</v>
      </c>
    </row>
    <row r="7" spans="2:18" x14ac:dyDescent="0.35">
      <c r="B7" t="s">
        <v>30</v>
      </c>
      <c r="C7" t="s">
        <v>177</v>
      </c>
      <c r="E7">
        <v>25</v>
      </c>
    </row>
    <row r="11" spans="2:18" x14ac:dyDescent="0.35">
      <c r="B11" s="18" t="s">
        <v>103</v>
      </c>
    </row>
    <row r="12" spans="2:18" x14ac:dyDescent="0.35">
      <c r="B12" s="18" t="s">
        <v>61</v>
      </c>
      <c r="C12" s="18" t="s">
        <v>171</v>
      </c>
      <c r="D12" s="18" t="s">
        <v>39</v>
      </c>
      <c r="E12" s="18" t="s">
        <v>75</v>
      </c>
      <c r="F12" s="18" t="s">
        <v>104</v>
      </c>
    </row>
    <row r="13" spans="2:18" x14ac:dyDescent="0.35">
      <c r="B13" s="18" t="s">
        <v>181</v>
      </c>
      <c r="C13" s="18" t="s">
        <v>172</v>
      </c>
      <c r="D13" s="18" t="s">
        <v>182</v>
      </c>
      <c r="E13" s="18" t="s">
        <v>183</v>
      </c>
      <c r="F13" s="18" t="s">
        <v>106</v>
      </c>
    </row>
    <row r="17" spans="1:34" ht="19.899999999999999" thickBot="1" x14ac:dyDescent="0.65">
      <c r="A17" s="27" t="s">
        <v>185</v>
      </c>
      <c r="F17" t="s">
        <v>148</v>
      </c>
      <c r="G17" t="s">
        <v>124</v>
      </c>
      <c r="H17" t="s">
        <v>125</v>
      </c>
      <c r="I17" s="30" t="s">
        <v>126</v>
      </c>
      <c r="J17" s="30" t="s">
        <v>127</v>
      </c>
      <c r="K17" s="30" t="s">
        <v>128</v>
      </c>
      <c r="L17" s="30" t="s">
        <v>129</v>
      </c>
      <c r="M17" s="30" t="s">
        <v>130</v>
      </c>
      <c r="N17" s="30" t="s">
        <v>131</v>
      </c>
      <c r="O17" s="30" t="s">
        <v>62</v>
      </c>
      <c r="P17" s="30" t="s">
        <v>132</v>
      </c>
      <c r="Q17" s="30" t="s">
        <v>133</v>
      </c>
      <c r="R17" s="30" t="s">
        <v>134</v>
      </c>
      <c r="S17" s="30" t="s">
        <v>135</v>
      </c>
      <c r="T17" s="30" t="s">
        <v>136</v>
      </c>
      <c r="U17" s="30" t="s">
        <v>137</v>
      </c>
      <c r="V17" s="30" t="s">
        <v>138</v>
      </c>
      <c r="W17" s="30" t="s">
        <v>139</v>
      </c>
      <c r="X17" s="30" t="s">
        <v>140</v>
      </c>
      <c r="Y17" s="30" t="s">
        <v>63</v>
      </c>
      <c r="Z17" s="30" t="s">
        <v>141</v>
      </c>
      <c r="AA17" s="30" t="s">
        <v>142</v>
      </c>
      <c r="AB17" s="30" t="s">
        <v>143</v>
      </c>
      <c r="AC17" s="30" t="s">
        <v>144</v>
      </c>
      <c r="AD17" s="30" t="s">
        <v>64</v>
      </c>
      <c r="AE17" s="30" t="s">
        <v>149</v>
      </c>
      <c r="AF17" s="30" t="s">
        <v>145</v>
      </c>
      <c r="AG17" s="30" t="s">
        <v>146</v>
      </c>
      <c r="AH17" s="30" t="s">
        <v>147</v>
      </c>
    </row>
    <row r="18" spans="1:34" ht="14.65" thickTop="1" x14ac:dyDescent="0.45">
      <c r="C18" s="28" t="s">
        <v>186</v>
      </c>
      <c r="F18" s="29">
        <v>1.0967323027161875</v>
      </c>
      <c r="G18" s="29">
        <v>1.4767169466780707</v>
      </c>
      <c r="H18" s="29">
        <v>1.0236471755395404</v>
      </c>
      <c r="I18" s="29">
        <v>1.1332996659510788</v>
      </c>
      <c r="J18" s="29">
        <v>1.412048453099318</v>
      </c>
      <c r="K18" s="29">
        <v>1.2509555218697437</v>
      </c>
      <c r="L18" s="29">
        <v>1.6376253152754527</v>
      </c>
      <c r="M18" s="29">
        <v>1.1311406986341586</v>
      </c>
      <c r="N18" s="29">
        <v>1.3258610732129843</v>
      </c>
      <c r="O18" s="29">
        <v>1.3396947316584418</v>
      </c>
      <c r="P18" s="29">
        <v>1.4046525548264268</v>
      </c>
      <c r="Q18" s="29">
        <v>1.3355551192492456</v>
      </c>
      <c r="R18" s="29">
        <v>1.3170889940240973</v>
      </c>
      <c r="S18" s="29">
        <v>1.3803046893555193</v>
      </c>
      <c r="T18" s="29">
        <v>1.3915961203802996</v>
      </c>
      <c r="U18" s="29">
        <v>1.2773772151343605</v>
      </c>
      <c r="V18" s="29">
        <v>1.5310172858836082</v>
      </c>
      <c r="W18" s="29">
        <v>1.403662657208655</v>
      </c>
      <c r="X18" s="29">
        <v>1.3358333320632809</v>
      </c>
      <c r="Y18" s="29">
        <v>1.3639817568219776</v>
      </c>
      <c r="Z18" s="29">
        <v>1.3333636114955423</v>
      </c>
      <c r="AA18" s="29">
        <v>1.3303397303397895</v>
      </c>
      <c r="AB18" s="29">
        <v>1.2692212676511874</v>
      </c>
      <c r="AC18" s="29" t="s">
        <v>187</v>
      </c>
      <c r="AD18" s="29">
        <v>1.5622758042187941</v>
      </c>
      <c r="AE18" s="29" t="s">
        <v>187</v>
      </c>
      <c r="AF18" s="29">
        <v>1.9495182516823242</v>
      </c>
      <c r="AG18" s="29">
        <v>1.3463368281782793</v>
      </c>
      <c r="AH18" s="29">
        <v>1.5632099087898224</v>
      </c>
    </row>
    <row r="19" spans="1:34" x14ac:dyDescent="0.35"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</row>
    <row r="20" spans="1:34" ht="14.25" x14ac:dyDescent="0.45">
      <c r="C20" s="28" t="s">
        <v>188</v>
      </c>
      <c r="F20" s="31">
        <v>0.44133642580392157</v>
      </c>
      <c r="G20" s="31">
        <v>0</v>
      </c>
      <c r="H20" s="31">
        <v>0.53868622476437422</v>
      </c>
      <c r="I20" s="31">
        <v>0.71643090633918127</v>
      </c>
      <c r="J20" s="31">
        <v>1.1482410783524475</v>
      </c>
      <c r="K20" s="31">
        <v>0.36026726531989545</v>
      </c>
      <c r="L20" s="31">
        <v>0.80470668160000003</v>
      </c>
      <c r="M20" s="31">
        <v>0.68320858114920635</v>
      </c>
      <c r="N20" s="31">
        <v>0.47499945884763123</v>
      </c>
      <c r="O20" s="31">
        <v>0.84056472195773135</v>
      </c>
      <c r="P20" s="31">
        <v>0.83111118877504386</v>
      </c>
      <c r="Q20" s="31">
        <v>1.0061243806188036</v>
      </c>
      <c r="R20" s="31">
        <v>1.026427101349985</v>
      </c>
      <c r="S20" s="31">
        <v>0.49952905614541432</v>
      </c>
      <c r="T20" s="31">
        <v>0.75767813933356931</v>
      </c>
      <c r="U20" s="31">
        <v>0.71347724000000001</v>
      </c>
      <c r="V20" s="31">
        <v>1.0352143423197937</v>
      </c>
      <c r="W20" s="31">
        <v>1.1056144833337676</v>
      </c>
      <c r="X20" s="31">
        <v>1.1313941695380314</v>
      </c>
      <c r="Y20" s="31">
        <v>1.676710466146045</v>
      </c>
      <c r="Z20" s="31">
        <v>0.21629250014814813</v>
      </c>
      <c r="AA20" s="31">
        <v>0.72665174474951721</v>
      </c>
      <c r="AB20" s="31">
        <v>1.146700824028513</v>
      </c>
      <c r="AC20" s="31">
        <v>6.1994260241102097</v>
      </c>
      <c r="AD20" s="31">
        <v>0.90332842601253449</v>
      </c>
      <c r="AE20" s="32"/>
      <c r="AF20" s="31">
        <v>0</v>
      </c>
      <c r="AG20" s="31">
        <v>0.62120978755400125</v>
      </c>
      <c r="AH20" s="31">
        <v>0.24151609934741677</v>
      </c>
    </row>
    <row r="21" spans="1:34" x14ac:dyDescent="0.35"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</row>
    <row r="22" spans="1:34" ht="14.25" x14ac:dyDescent="0.45">
      <c r="C22" s="28" t="s">
        <v>189</v>
      </c>
      <c r="F22" s="33">
        <v>4.5098091460467254E-2</v>
      </c>
      <c r="G22" s="33">
        <v>0.11014977188196902</v>
      </c>
      <c r="H22" s="33">
        <v>1.500539040469135</v>
      </c>
      <c r="I22" s="33">
        <v>8.9244124967113798</v>
      </c>
      <c r="J22" s="33">
        <v>1.4689585023390825</v>
      </c>
      <c r="K22" s="33">
        <v>0.96540687776468948</v>
      </c>
      <c r="L22" s="33">
        <v>1.5985905316964619</v>
      </c>
      <c r="M22" s="33">
        <v>1.6680030928054359</v>
      </c>
      <c r="N22" s="33">
        <v>1.0434674077779564</v>
      </c>
      <c r="O22" s="33">
        <v>1.6785731744501511</v>
      </c>
      <c r="P22" s="33">
        <v>2.2360232267501967</v>
      </c>
      <c r="Q22" s="33">
        <v>1.2427716315560013</v>
      </c>
      <c r="R22" s="33">
        <v>1.1007991940056121</v>
      </c>
      <c r="S22" s="33">
        <v>0.97142057435375617</v>
      </c>
      <c r="T22" s="33">
        <v>1.3123714228847931</v>
      </c>
      <c r="U22" s="33">
        <v>1.2620447309061442</v>
      </c>
      <c r="V22" s="33">
        <v>1.3677899213652742</v>
      </c>
      <c r="W22" s="33">
        <v>1.6988728661446</v>
      </c>
      <c r="X22" s="33">
        <v>1.2590045084013328</v>
      </c>
      <c r="Y22" s="33">
        <v>1.1423043283044341</v>
      </c>
      <c r="Z22" s="33">
        <v>2.1026555891509857</v>
      </c>
      <c r="AA22" s="33">
        <v>0.3511279403133748</v>
      </c>
      <c r="AB22" s="33">
        <v>9.7495255476948341E-3</v>
      </c>
      <c r="AC22" s="33">
        <v>9.9836658184593077</v>
      </c>
      <c r="AD22" s="33">
        <v>1.6698327797731873</v>
      </c>
      <c r="AE22" s="33">
        <v>0.53133438837911262</v>
      </c>
      <c r="AF22" s="33">
        <v>4.3099811099060013</v>
      </c>
      <c r="AG22" s="33">
        <v>0.78359341443625441</v>
      </c>
      <c r="AH22" s="33">
        <v>0.87122619535706525</v>
      </c>
    </row>
    <row r="25" spans="1:34" ht="17.25" thickBot="1" x14ac:dyDescent="0.55000000000000004">
      <c r="A25" s="34" t="s">
        <v>193</v>
      </c>
      <c r="B25" s="34"/>
    </row>
    <row r="26" spans="1:34" ht="15" thickTop="1" thickBot="1" x14ac:dyDescent="0.5">
      <c r="A26" s="35" t="s">
        <v>60</v>
      </c>
      <c r="B26" s="35" t="s">
        <v>75</v>
      </c>
      <c r="C26" s="36" t="s">
        <v>196</v>
      </c>
      <c r="D26" s="36" t="s">
        <v>197</v>
      </c>
      <c r="E26" s="37" t="s">
        <v>195</v>
      </c>
      <c r="F26" s="35" t="str">
        <f>F17</f>
        <v>Africa_north</v>
      </c>
      <c r="G26" s="35" t="str">
        <f t="shared" ref="G26:AH26" si="0">G17</f>
        <v>Africa_other</v>
      </c>
      <c r="H26" s="35" t="str">
        <f t="shared" si="0"/>
        <v>Arg-Chi</v>
      </c>
      <c r="I26" s="35" t="str">
        <f t="shared" si="0"/>
        <v>Asia_central</v>
      </c>
      <c r="J26" s="35" t="str">
        <f t="shared" si="0"/>
        <v>Asia_east</v>
      </c>
      <c r="K26" s="35" t="str">
        <f t="shared" si="0"/>
        <v>Asia_other</v>
      </c>
      <c r="L26" s="35" t="str">
        <f t="shared" si="0"/>
        <v>Australia_NZ</v>
      </c>
      <c r="M26" s="35" t="str">
        <f t="shared" si="0"/>
        <v>Brazil</v>
      </c>
      <c r="N26" s="35" t="str">
        <f t="shared" si="0"/>
        <v>Canada</v>
      </c>
      <c r="O26" s="35" t="str">
        <f t="shared" si="0"/>
        <v>China</v>
      </c>
      <c r="P26" s="35" t="str">
        <f t="shared" si="0"/>
        <v>EU_north</v>
      </c>
      <c r="Q26" s="35" t="str">
        <f t="shared" si="0"/>
        <v>EU_northeast</v>
      </c>
      <c r="R26" s="35" t="str">
        <f t="shared" si="0"/>
        <v>EU_northwest</v>
      </c>
      <c r="S26" s="35" t="str">
        <f t="shared" si="0"/>
        <v>EU_south</v>
      </c>
      <c r="T26" s="35" t="str">
        <f t="shared" si="0"/>
        <v>EU_southeast</v>
      </c>
      <c r="U26" s="35" t="str">
        <f t="shared" si="0"/>
        <v>EU_southwest</v>
      </c>
      <c r="V26" s="35" t="str">
        <f t="shared" si="0"/>
        <v>Europe_other</v>
      </c>
      <c r="W26" s="35" t="str">
        <f t="shared" si="0"/>
        <v>France</v>
      </c>
      <c r="X26" s="35" t="str">
        <f t="shared" si="0"/>
        <v>Germany</v>
      </c>
      <c r="Y26" s="35" t="str">
        <f t="shared" si="0"/>
        <v>India</v>
      </c>
      <c r="Z26" s="35" t="str">
        <f t="shared" si="0"/>
        <v>LatAm_other</v>
      </c>
      <c r="AA26" s="35" t="str">
        <f t="shared" si="0"/>
        <v>Mexico</v>
      </c>
      <c r="AB26" s="35" t="str">
        <f t="shared" si="0"/>
        <v>MidEast_other</v>
      </c>
      <c r="AC26" s="35" t="str">
        <f t="shared" si="0"/>
        <v>Nor-Ice</v>
      </c>
      <c r="AD26" s="35" t="str">
        <f t="shared" si="0"/>
        <v>Russia</v>
      </c>
      <c r="AE26" s="35" t="str">
        <f t="shared" si="0"/>
        <v>SaudiArabia</v>
      </c>
      <c r="AF26" s="35" t="str">
        <f t="shared" si="0"/>
        <v>SouthAfrica</v>
      </c>
      <c r="AG26" s="35" t="str">
        <f t="shared" si="0"/>
        <v>UK</v>
      </c>
      <c r="AH26" s="35" t="str">
        <f t="shared" si="0"/>
        <v>USA</v>
      </c>
    </row>
    <row r="27" spans="1:34" x14ac:dyDescent="0.35">
      <c r="A27" t="s">
        <v>190</v>
      </c>
      <c r="B27" t="s">
        <v>194</v>
      </c>
      <c r="E27" s="38" t="s">
        <v>106</v>
      </c>
      <c r="F27" s="30">
        <f>IF(F18="","",F18)</f>
        <v>1.0967323027161875</v>
      </c>
      <c r="G27" s="30">
        <f t="shared" ref="G27:AH27" si="1">IF(G18="","",G18)</f>
        <v>1.4767169466780707</v>
      </c>
      <c r="H27" s="30">
        <f t="shared" si="1"/>
        <v>1.0236471755395404</v>
      </c>
      <c r="I27" s="30">
        <f t="shared" si="1"/>
        <v>1.1332996659510788</v>
      </c>
      <c r="J27" s="30">
        <f t="shared" si="1"/>
        <v>1.412048453099318</v>
      </c>
      <c r="K27" s="30">
        <f t="shared" si="1"/>
        <v>1.2509555218697437</v>
      </c>
      <c r="L27" s="30">
        <f t="shared" si="1"/>
        <v>1.6376253152754527</v>
      </c>
      <c r="M27" s="30">
        <f t="shared" si="1"/>
        <v>1.1311406986341586</v>
      </c>
      <c r="N27" s="30">
        <f t="shared" si="1"/>
        <v>1.3258610732129843</v>
      </c>
      <c r="O27" s="30">
        <f t="shared" si="1"/>
        <v>1.3396947316584418</v>
      </c>
      <c r="P27" s="30">
        <f t="shared" si="1"/>
        <v>1.4046525548264268</v>
      </c>
      <c r="Q27" s="30">
        <f t="shared" si="1"/>
        <v>1.3355551192492456</v>
      </c>
      <c r="R27" s="30">
        <f t="shared" si="1"/>
        <v>1.3170889940240973</v>
      </c>
      <c r="S27" s="30">
        <f t="shared" si="1"/>
        <v>1.3803046893555193</v>
      </c>
      <c r="T27" s="30">
        <f t="shared" si="1"/>
        <v>1.3915961203802996</v>
      </c>
      <c r="U27" s="30">
        <f t="shared" si="1"/>
        <v>1.2773772151343605</v>
      </c>
      <c r="V27" s="30">
        <f t="shared" si="1"/>
        <v>1.5310172858836082</v>
      </c>
      <c r="W27" s="30">
        <f t="shared" si="1"/>
        <v>1.403662657208655</v>
      </c>
      <c r="X27" s="30">
        <f t="shared" si="1"/>
        <v>1.3358333320632809</v>
      </c>
      <c r="Y27" s="30">
        <f t="shared" si="1"/>
        <v>1.3639817568219776</v>
      </c>
      <c r="Z27" s="30">
        <f t="shared" si="1"/>
        <v>1.3333636114955423</v>
      </c>
      <c r="AA27" s="30">
        <f t="shared" si="1"/>
        <v>1.3303397303397895</v>
      </c>
      <c r="AB27" s="30">
        <f t="shared" si="1"/>
        <v>1.2692212676511874</v>
      </c>
      <c r="AC27" s="30" t="str">
        <f t="shared" si="1"/>
        <v/>
      </c>
      <c r="AD27" s="30">
        <f t="shared" si="1"/>
        <v>1.5622758042187941</v>
      </c>
      <c r="AE27" s="30" t="str">
        <f t="shared" si="1"/>
        <v/>
      </c>
      <c r="AF27" s="30">
        <f t="shared" si="1"/>
        <v>1.9495182516823242</v>
      </c>
      <c r="AG27" s="30">
        <f t="shared" si="1"/>
        <v>1.3463368281782793</v>
      </c>
      <c r="AH27" s="30">
        <f t="shared" si="1"/>
        <v>1.5632099087898224</v>
      </c>
    </row>
    <row r="28" spans="1:34" x14ac:dyDescent="0.35">
      <c r="A28" s="18" t="s">
        <v>191</v>
      </c>
      <c r="B28" s="18" t="s">
        <v>198</v>
      </c>
      <c r="C28">
        <v>0.8</v>
      </c>
      <c r="D28">
        <v>1.5</v>
      </c>
      <c r="E28" s="38" t="s">
        <v>106</v>
      </c>
      <c r="F28" s="1" t="str">
        <f>"*"&amp;MAX(MIN($D$28,F20),$C$28)</f>
        <v>*0.8</v>
      </c>
      <c r="G28" s="1" t="str">
        <f t="shared" ref="G28:AH28" si="2">"*"&amp;MAX(MIN($D$28,G20),$C$28)</f>
        <v>*0.8</v>
      </c>
      <c r="H28" s="1" t="str">
        <f t="shared" si="2"/>
        <v>*0.8</v>
      </c>
      <c r="I28" s="1" t="str">
        <f t="shared" si="2"/>
        <v>*0.8</v>
      </c>
      <c r="J28" s="1" t="str">
        <f t="shared" si="2"/>
        <v>*1.14824107835245</v>
      </c>
      <c r="K28" s="1" t="str">
        <f t="shared" si="2"/>
        <v>*0.8</v>
      </c>
      <c r="L28" s="1" t="str">
        <f t="shared" si="2"/>
        <v>*0.8047066816</v>
      </c>
      <c r="M28" s="1" t="str">
        <f t="shared" si="2"/>
        <v>*0.8</v>
      </c>
      <c r="N28" s="1" t="str">
        <f t="shared" si="2"/>
        <v>*0.8</v>
      </c>
      <c r="O28" s="1" t="str">
        <f t="shared" si="2"/>
        <v>*0.840564721957731</v>
      </c>
      <c r="P28" s="1" t="str">
        <f t="shared" si="2"/>
        <v>*0.831111188775044</v>
      </c>
      <c r="Q28" s="1" t="str">
        <f t="shared" si="2"/>
        <v>*1.0061243806188</v>
      </c>
      <c r="R28" s="1" t="str">
        <f t="shared" si="2"/>
        <v>*1.02642710134999</v>
      </c>
      <c r="S28" s="1" t="str">
        <f t="shared" si="2"/>
        <v>*0.8</v>
      </c>
      <c r="T28" s="1" t="str">
        <f t="shared" si="2"/>
        <v>*0.8</v>
      </c>
      <c r="U28" s="1" t="str">
        <f t="shared" si="2"/>
        <v>*0.8</v>
      </c>
      <c r="V28" s="1" t="str">
        <f t="shared" si="2"/>
        <v>*1.03521434231979</v>
      </c>
      <c r="W28" s="1" t="str">
        <f t="shared" si="2"/>
        <v>*1.10561448333377</v>
      </c>
      <c r="X28" s="1" t="str">
        <f t="shared" si="2"/>
        <v>*1.13139416953803</v>
      </c>
      <c r="Y28" s="1" t="str">
        <f t="shared" si="2"/>
        <v>*1.5</v>
      </c>
      <c r="Z28" s="1" t="str">
        <f t="shared" si="2"/>
        <v>*0.8</v>
      </c>
      <c r="AA28" s="1" t="str">
        <f t="shared" si="2"/>
        <v>*0.8</v>
      </c>
      <c r="AB28" s="1" t="str">
        <f t="shared" si="2"/>
        <v>*1.14670082402851</v>
      </c>
      <c r="AC28" s="1" t="str">
        <f t="shared" si="2"/>
        <v>*1.5</v>
      </c>
      <c r="AD28" s="1" t="str">
        <f t="shared" si="2"/>
        <v>*0.903328426012534</v>
      </c>
      <c r="AE28" s="1" t="str">
        <f t="shared" si="2"/>
        <v>*1.5</v>
      </c>
      <c r="AF28" s="1" t="str">
        <f t="shared" si="2"/>
        <v>*0.8</v>
      </c>
      <c r="AG28" s="1" t="str">
        <f t="shared" si="2"/>
        <v>*0.8</v>
      </c>
      <c r="AH28" s="1" t="str">
        <f t="shared" si="2"/>
        <v>*0.8</v>
      </c>
    </row>
    <row r="29" spans="1:34" x14ac:dyDescent="0.35">
      <c r="A29" s="18" t="s">
        <v>192</v>
      </c>
      <c r="B29" s="18" t="s">
        <v>172</v>
      </c>
      <c r="C29">
        <v>0.8</v>
      </c>
      <c r="D29">
        <v>1.5</v>
      </c>
      <c r="E29" s="38" t="s">
        <v>106</v>
      </c>
      <c r="F29" s="1" t="str">
        <f>"*"&amp;MAX(MIN($D$29,F22),$C$29)</f>
        <v>*0.8</v>
      </c>
      <c r="G29" s="1" t="str">
        <f t="shared" ref="G29:AH29" si="3">"*"&amp;MAX(MIN($D$29,G22),$C$29)</f>
        <v>*0.8</v>
      </c>
      <c r="H29" s="1" t="str">
        <f t="shared" si="3"/>
        <v>*1.5</v>
      </c>
      <c r="I29" s="1" t="str">
        <f t="shared" si="3"/>
        <v>*1.5</v>
      </c>
      <c r="J29" s="1" t="str">
        <f t="shared" si="3"/>
        <v>*1.46895850233908</v>
      </c>
      <c r="K29" s="1" t="str">
        <f t="shared" si="3"/>
        <v>*0.965406877764689</v>
      </c>
      <c r="L29" s="1" t="str">
        <f t="shared" si="3"/>
        <v>*1.5</v>
      </c>
      <c r="M29" s="1" t="str">
        <f t="shared" si="3"/>
        <v>*1.5</v>
      </c>
      <c r="N29" s="1" t="str">
        <f t="shared" si="3"/>
        <v>*1.04346740777796</v>
      </c>
      <c r="O29" s="1" t="str">
        <f t="shared" si="3"/>
        <v>*1.5</v>
      </c>
      <c r="P29" s="1" t="str">
        <f t="shared" si="3"/>
        <v>*1.5</v>
      </c>
      <c r="Q29" s="1" t="str">
        <f t="shared" si="3"/>
        <v>*1.242771631556</v>
      </c>
      <c r="R29" s="1" t="str">
        <f t="shared" si="3"/>
        <v>*1.10079919400561</v>
      </c>
      <c r="S29" s="1" t="str">
        <f t="shared" si="3"/>
        <v>*0.971420574353756</v>
      </c>
      <c r="T29" s="1" t="str">
        <f t="shared" si="3"/>
        <v>*1.31237142288479</v>
      </c>
      <c r="U29" s="1" t="str">
        <f t="shared" si="3"/>
        <v>*1.26204473090614</v>
      </c>
      <c r="V29" s="1" t="str">
        <f t="shared" si="3"/>
        <v>*1.36778992136527</v>
      </c>
      <c r="W29" s="1" t="str">
        <f t="shared" si="3"/>
        <v>*1.5</v>
      </c>
      <c r="X29" s="1" t="str">
        <f t="shared" si="3"/>
        <v>*1.25900450840133</v>
      </c>
      <c r="Y29" s="1" t="str">
        <f t="shared" si="3"/>
        <v>*1.14230432830443</v>
      </c>
      <c r="Z29" s="1" t="str">
        <f t="shared" si="3"/>
        <v>*1.5</v>
      </c>
      <c r="AA29" s="1" t="str">
        <f t="shared" si="3"/>
        <v>*0.8</v>
      </c>
      <c r="AB29" s="1" t="str">
        <f t="shared" si="3"/>
        <v>*0.8</v>
      </c>
      <c r="AC29" s="1" t="str">
        <f t="shared" si="3"/>
        <v>*1.5</v>
      </c>
      <c r="AD29" s="1" t="str">
        <f t="shared" si="3"/>
        <v>*1.5</v>
      </c>
      <c r="AE29" s="1" t="str">
        <f t="shared" si="3"/>
        <v>*0.8</v>
      </c>
      <c r="AF29" s="1" t="str">
        <f t="shared" si="3"/>
        <v>*1.5</v>
      </c>
      <c r="AG29" s="1" t="str">
        <f t="shared" si="3"/>
        <v>*0.8</v>
      </c>
      <c r="AH29" s="1" t="str">
        <f t="shared" si="3"/>
        <v>*0.871226195357065</v>
      </c>
    </row>
    <row r="32" spans="1:34" x14ac:dyDescent="0.35">
      <c r="B32" t="s">
        <v>0</v>
      </c>
    </row>
    <row r="33" spans="2:7" x14ac:dyDescent="0.35">
      <c r="B33" t="s">
        <v>38</v>
      </c>
      <c r="C33" t="s">
        <v>39</v>
      </c>
      <c r="D33" t="s">
        <v>43</v>
      </c>
      <c r="E33" t="s">
        <v>75</v>
      </c>
      <c r="F33" t="s">
        <v>44</v>
      </c>
    </row>
    <row r="34" spans="2:7" x14ac:dyDescent="0.35">
      <c r="B34" t="s">
        <v>199</v>
      </c>
      <c r="C34" t="s">
        <v>200</v>
      </c>
      <c r="D34" t="s">
        <v>202</v>
      </c>
      <c r="E34" t="s">
        <v>201</v>
      </c>
      <c r="F34">
        <v>0.9</v>
      </c>
    </row>
    <row r="38" spans="2:7" x14ac:dyDescent="0.35">
      <c r="B38" t="s">
        <v>0</v>
      </c>
    </row>
    <row r="39" spans="2:7" x14ac:dyDescent="0.35">
      <c r="B39" t="s">
        <v>38</v>
      </c>
      <c r="C39" t="s">
        <v>44</v>
      </c>
      <c r="D39" t="s">
        <v>61</v>
      </c>
      <c r="E39" t="s">
        <v>171</v>
      </c>
      <c r="F39" t="s">
        <v>207</v>
      </c>
      <c r="G39" t="s">
        <v>208</v>
      </c>
    </row>
    <row r="40" spans="2:7" x14ac:dyDescent="0.35">
      <c r="B40" t="s">
        <v>110</v>
      </c>
      <c r="C40">
        <v>2110</v>
      </c>
      <c r="D40" t="s">
        <v>204</v>
      </c>
      <c r="E40" t="s">
        <v>203</v>
      </c>
    </row>
    <row r="41" spans="2:7" x14ac:dyDescent="0.35">
      <c r="B41" t="s">
        <v>205</v>
      </c>
      <c r="C41">
        <v>100</v>
      </c>
      <c r="D41" t="s">
        <v>206</v>
      </c>
      <c r="F41" t="str">
        <f>D41</f>
        <v>im_feore</v>
      </c>
      <c r="G41" t="s">
        <v>209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CDDB-DFE3-45FD-BAA0-32A9B03D9D40}">
  <dimension ref="A4:K57"/>
  <sheetViews>
    <sheetView workbookViewId="0"/>
  </sheetViews>
  <sheetFormatPr defaultColWidth="9.1328125" defaultRowHeight="14.25" x14ac:dyDescent="0.45"/>
  <cols>
    <col min="1" max="16384" width="9.1328125" style="3"/>
  </cols>
  <sheetData>
    <row r="4" spans="1:7" x14ac:dyDescent="0.45">
      <c r="B4" s="4" t="s">
        <v>33</v>
      </c>
      <c r="C4" s="5">
        <v>0.192</v>
      </c>
      <c r="D4" s="5">
        <v>0.19500000000000001</v>
      </c>
      <c r="E4" s="5">
        <v>0.13100000000000001</v>
      </c>
      <c r="F4" s="5">
        <v>0.13</v>
      </c>
      <c r="G4" s="5"/>
    </row>
    <row r="5" spans="1:7" x14ac:dyDescent="0.45">
      <c r="B5" s="4" t="s">
        <v>34</v>
      </c>
      <c r="C5" s="5">
        <v>1200</v>
      </c>
      <c r="D5" s="5">
        <v>900</v>
      </c>
      <c r="E5" s="5">
        <v>21</v>
      </c>
      <c r="F5" s="5">
        <v>52</v>
      </c>
      <c r="G5" s="5"/>
    </row>
    <row r="7" spans="1:7" x14ac:dyDescent="0.45">
      <c r="B7" s="6" t="s">
        <v>35</v>
      </c>
      <c r="C7" s="6">
        <f t="shared" ref="C7:E7" si="0">SUM(C8:C32)</f>
        <v>10.023424538462518</v>
      </c>
      <c r="D7" s="6">
        <f t="shared" si="0"/>
        <v>11.950325931089585</v>
      </c>
      <c r="E7" s="6">
        <f t="shared" si="0"/>
        <v>19.958952907799087</v>
      </c>
      <c r="F7" s="6">
        <f>SUM(F8:F32)</f>
        <v>15.036067741000499</v>
      </c>
      <c r="G7" s="7" t="s">
        <v>49</v>
      </c>
    </row>
    <row r="8" spans="1:7" x14ac:dyDescent="0.45">
      <c r="A8" s="3">
        <v>1</v>
      </c>
      <c r="B8" s="8">
        <v>0.98</v>
      </c>
      <c r="C8" s="9">
        <f>(1/(1+EXP(-(50-$A8)*C$4)))^C$5</f>
        <v>0.90621938521129997</v>
      </c>
      <c r="D8" s="9">
        <f>(1/(1+EXP(-(50-$A8)*D$4)))^D$5</f>
        <v>0.93823083055896217</v>
      </c>
      <c r="E8" s="9">
        <f>(1/(1+EXP(-(50-$A8)*E$4)))^E$5</f>
        <v>0.96637035992277476</v>
      </c>
      <c r="F8" s="9">
        <f>(1/(1+EXP(-(50-$A8)*F$4)))^F$5</f>
        <v>0.91488569235609774</v>
      </c>
      <c r="G8" s="10"/>
    </row>
    <row r="9" spans="1:7" x14ac:dyDescent="0.45">
      <c r="A9" s="3">
        <v>2</v>
      </c>
      <c r="B9" s="8">
        <v>0.97062258013515912</v>
      </c>
      <c r="C9" s="9">
        <f t="shared" ref="C9:F57" si="1">(1/(1+EXP(-(50-$A9)*C$4)))^C$5</f>
        <v>0.8875265604383793</v>
      </c>
      <c r="D9" s="9">
        <f t="shared" si="1"/>
        <v>0.92543928353195037</v>
      </c>
      <c r="E9" s="9">
        <f t="shared" si="1"/>
        <v>0.96175867686333427</v>
      </c>
      <c r="F9" s="9">
        <f t="shared" si="1"/>
        <v>0.90366752786671811</v>
      </c>
      <c r="G9" s="10"/>
    </row>
    <row r="10" spans="1:7" x14ac:dyDescent="0.45">
      <c r="A10" s="3">
        <v>3</v>
      </c>
      <c r="B10" s="8">
        <v>0.96239643571651068</v>
      </c>
      <c r="C10" s="9">
        <f t="shared" si="1"/>
        <v>0.86539332468343366</v>
      </c>
      <c r="D10" s="9">
        <f t="shared" si="1"/>
        <v>0.91012836450520007</v>
      </c>
      <c r="E10" s="9">
        <f t="shared" si="1"/>
        <v>0.9565296156543347</v>
      </c>
      <c r="F10" s="9">
        <f t="shared" si="1"/>
        <v>0.89106256979304788</v>
      </c>
      <c r="G10" s="10"/>
    </row>
    <row r="11" spans="1:7" x14ac:dyDescent="0.45">
      <c r="A11" s="3">
        <v>4</v>
      </c>
      <c r="B11" s="8">
        <v>0.96239643571651068</v>
      </c>
      <c r="C11" s="9">
        <f t="shared" si="1"/>
        <v>0.83931400245377985</v>
      </c>
      <c r="D11" s="9">
        <f t="shared" si="1"/>
        <v>0.89186179542568333</v>
      </c>
      <c r="E11" s="9">
        <f t="shared" si="1"/>
        <v>0.95060496393511895</v>
      </c>
      <c r="F11" s="9">
        <f t="shared" si="1"/>
        <v>0.8769257288373955</v>
      </c>
      <c r="G11" s="10"/>
    </row>
    <row r="12" spans="1:7" x14ac:dyDescent="0.45">
      <c r="A12" s="3">
        <v>5</v>
      </c>
      <c r="B12" s="8">
        <v>0.95334894686552296</v>
      </c>
      <c r="C12" s="9">
        <f t="shared" si="1"/>
        <v>0.80876611179341928</v>
      </c>
      <c r="D12" s="9">
        <f t="shared" si="1"/>
        <v>0.87015557311559599</v>
      </c>
      <c r="E12" s="9">
        <f t="shared" si="1"/>
        <v>0.94389791535614542</v>
      </c>
      <c r="F12" s="9">
        <f t="shared" si="1"/>
        <v>0.8611043978528643</v>
      </c>
      <c r="G12" s="10"/>
    </row>
    <row r="13" spans="1:7" x14ac:dyDescent="0.45">
      <c r="A13" s="3">
        <v>6</v>
      </c>
      <c r="B13" s="8">
        <v>0.94694722093384487</v>
      </c>
      <c r="C13" s="9">
        <f t="shared" si="1"/>
        <v>0.77323921509228544</v>
      </c>
      <c r="D13" s="9">
        <f t="shared" si="1"/>
        <v>0.84448643429821824</v>
      </c>
      <c r="E13" s="9">
        <f t="shared" si="1"/>
        <v>0.93631252338161186</v>
      </c>
      <c r="F13" s="9">
        <f t="shared" si="1"/>
        <v>0.84344050935042314</v>
      </c>
      <c r="G13" s="10"/>
    </row>
    <row r="14" spans="1:7" x14ac:dyDescent="0.45">
      <c r="A14" s="3">
        <v>7</v>
      </c>
      <c r="B14" s="8">
        <v>0.94694722093384487</v>
      </c>
      <c r="C14" s="9">
        <f t="shared" si="1"/>
        <v>0.73227849409977908</v>
      </c>
      <c r="D14" s="9">
        <f t="shared" si="1"/>
        <v>0.81430870620488494</v>
      </c>
      <c r="E14" s="9">
        <f t="shared" si="1"/>
        <v>0.92774325313295103</v>
      </c>
      <c r="F14" s="9">
        <f t="shared" si="1"/>
        <v>0.82377352237557611</v>
      </c>
      <c r="G14" s="10"/>
    </row>
    <row r="15" spans="1:7" x14ac:dyDescent="0.45">
      <c r="A15" s="3">
        <v>8</v>
      </c>
      <c r="B15" s="8">
        <v>0.92626111478806361</v>
      </c>
      <c r="C15" s="9">
        <f t="shared" si="1"/>
        <v>0.68554622457561987</v>
      </c>
      <c r="D15" s="9">
        <f t="shared" si="1"/>
        <v>0.77908286056025622</v>
      </c>
      <c r="E15" s="9">
        <f t="shared" si="1"/>
        <v>0.91807468722754815</v>
      </c>
      <c r="F15" s="9">
        <f t="shared" si="1"/>
        <v>0.80194454668723303</v>
      </c>
      <c r="G15" s="10"/>
    </row>
    <row r="16" spans="1:7" x14ac:dyDescent="0.45">
      <c r="A16" s="3">
        <v>9</v>
      </c>
      <c r="B16" s="8">
        <v>0.89816275804529644</v>
      </c>
      <c r="C16" s="9">
        <f t="shared" si="1"/>
        <v>0.63290302347589622</v>
      </c>
      <c r="D16" s="9">
        <f t="shared" si="1"/>
        <v>0.73831952387107802</v>
      </c>
      <c r="E16" s="9">
        <f t="shared" si="1"/>
        <v>0.90718145765014457</v>
      </c>
      <c r="F16" s="9">
        <f t="shared" si="1"/>
        <v>0.77780182309652368</v>
      </c>
      <c r="G16" s="10"/>
    </row>
    <row r="17" spans="1:7" x14ac:dyDescent="0.45">
      <c r="A17" s="3">
        <v>10</v>
      </c>
      <c r="B17" s="8">
        <v>0.89816275804529644</v>
      </c>
      <c r="C17" s="9">
        <f t="shared" si="1"/>
        <v>0.57450765021648109</v>
      </c>
      <c r="D17" s="9">
        <f t="shared" si="1"/>
        <v>0.69164258360715825</v>
      </c>
      <c r="E17" s="9">
        <f t="shared" si="1"/>
        <v>0.89492849466195157</v>
      </c>
      <c r="F17" s="9">
        <f t="shared" si="1"/>
        <v>0.75120777329698307</v>
      </c>
      <c r="G17" s="10"/>
    </row>
    <row r="18" spans="1:7" x14ac:dyDescent="0.45">
      <c r="A18" s="3">
        <v>11</v>
      </c>
      <c r="B18" s="8">
        <v>0.84618938087841178</v>
      </c>
      <c r="C18" s="9">
        <f t="shared" si="1"/>
        <v>0.51092845530222564</v>
      </c>
      <c r="D18" s="9">
        <f t="shared" si="1"/>
        <v>0.63887380360138246</v>
      </c>
      <c r="E18" s="9">
        <f t="shared" si="1"/>
        <v>0.88117170548978441</v>
      </c>
      <c r="F18" s="9">
        <f t="shared" si="1"/>
        <v>0.72204780074368047</v>
      </c>
      <c r="G18" s="10"/>
    </row>
    <row r="19" spans="1:7" x14ac:dyDescent="0.45">
      <c r="A19" s="3">
        <v>12</v>
      </c>
      <c r="B19" s="8">
        <v>0.83608996556885473</v>
      </c>
      <c r="C19" s="9">
        <f t="shared" si="1"/>
        <v>0.44325071361876711</v>
      </c>
      <c r="D19" s="9">
        <f t="shared" si="1"/>
        <v>0.58013822356972422</v>
      </c>
      <c r="E19" s="9">
        <f t="shared" si="1"/>
        <v>0.8657592195247148</v>
      </c>
      <c r="F19" s="9">
        <f t="shared" si="1"/>
        <v>0.69024095356792647</v>
      </c>
      <c r="G19" s="10"/>
    </row>
    <row r="20" spans="1:7" x14ac:dyDescent="0.45">
      <c r="A20" s="3">
        <v>13</v>
      </c>
      <c r="B20" s="8">
        <v>0.78534774881855129</v>
      </c>
      <c r="C20" s="9">
        <f t="shared" si="1"/>
        <v>0.37315241909147212</v>
      </c>
      <c r="D20" s="9">
        <f t="shared" si="1"/>
        <v>0.51598362885532811</v>
      </c>
      <c r="E20" s="9">
        <f t="shared" si="1"/>
        <v>0.84853336185007378</v>
      </c>
      <c r="F20" s="9">
        <f t="shared" si="1"/>
        <v>0.65575243614486411</v>
      </c>
      <c r="G20" s="10"/>
    </row>
    <row r="21" spans="1:7" x14ac:dyDescent="0.45">
      <c r="A21" s="3">
        <v>14</v>
      </c>
      <c r="B21" s="8">
        <v>0.76515842462494787</v>
      </c>
      <c r="C21" s="9">
        <f t="shared" si="1"/>
        <v>0.30290907626404634</v>
      </c>
      <c r="D21" s="9">
        <f t="shared" si="1"/>
        <v>0.44749780699687264</v>
      </c>
      <c r="E21" s="9">
        <f t="shared" si="1"/>
        <v>0.82933354104355339</v>
      </c>
      <c r="F21" s="9">
        <f t="shared" si="1"/>
        <v>0.61860776150923924</v>
      </c>
      <c r="G21" s="10"/>
    </row>
    <row r="22" spans="1:7" x14ac:dyDescent="0.45">
      <c r="A22" s="3">
        <v>15</v>
      </c>
      <c r="B22" s="8">
        <v>0.72288820149169919</v>
      </c>
      <c r="C22" s="9">
        <f t="shared" si="1"/>
        <v>0.23528138033044843</v>
      </c>
      <c r="D22" s="9">
        <f t="shared" si="1"/>
        <v>0.37639440585896222</v>
      </c>
      <c r="E22" s="9">
        <f t="shared" si="1"/>
        <v>0.80800025700015121</v>
      </c>
      <c r="F22" s="9">
        <f t="shared" si="1"/>
        <v>0.57890805744417395</v>
      </c>
      <c r="G22" s="10"/>
    </row>
    <row r="23" spans="1:7" x14ac:dyDescent="0.45">
      <c r="A23" s="3">
        <v>16</v>
      </c>
      <c r="B23" s="8">
        <v>0.66220665411121304</v>
      </c>
      <c r="C23" s="9">
        <f t="shared" si="1"/>
        <v>0.17324802369769995</v>
      </c>
      <c r="D23" s="9">
        <f t="shared" si="1"/>
        <v>0.30502449527464032</v>
      </c>
      <c r="E23" s="9">
        <f t="shared" si="1"/>
        <v>0.78438044492894099</v>
      </c>
      <c r="F23" s="9">
        <f t="shared" si="1"/>
        <v>0.53684566586911131</v>
      </c>
      <c r="G23" s="10"/>
    </row>
    <row r="24" spans="1:7" x14ac:dyDescent="0.45">
      <c r="A24" s="3">
        <v>17</v>
      </c>
      <c r="B24" s="8">
        <v>0.62309314791753456</v>
      </c>
      <c r="C24" s="9">
        <f t="shared" si="1"/>
        <v>0.1195802175145928</v>
      </c>
      <c r="D24" s="9">
        <f t="shared" si="1"/>
        <v>0.23626275789890977</v>
      </c>
      <c r="E24" s="9">
        <f t="shared" si="1"/>
        <v>0.75833436545842037</v>
      </c>
      <c r="F24" s="9">
        <f t="shared" si="1"/>
        <v>0.49271871252041888</v>
      </c>
      <c r="G24" s="10"/>
    </row>
    <row r="25" spans="1:7" x14ac:dyDescent="0.45">
      <c r="A25" s="3">
        <v>18</v>
      </c>
      <c r="B25" s="8">
        <v>0.53759209228578131</v>
      </c>
      <c r="C25" s="9">
        <f t="shared" si="1"/>
        <v>7.6319614705625927E-2</v>
      </c>
      <c r="D25" s="9">
        <f t="shared" si="1"/>
        <v>0.17322545586628948</v>
      </c>
      <c r="E25" s="9">
        <f t="shared" si="1"/>
        <v>0.7297442182003625</v>
      </c>
      <c r="F25" s="9">
        <f t="shared" si="1"/>
        <v>0.44694279957882194</v>
      </c>
      <c r="G25" s="10"/>
    </row>
    <row r="26" spans="1:7" x14ac:dyDescent="0.45">
      <c r="A26" s="3">
        <v>19</v>
      </c>
      <c r="B26" s="8">
        <v>0.47418921909559059</v>
      </c>
      <c r="C26" s="9">
        <f t="shared" si="1"/>
        <v>4.4302689262094221E-2</v>
      </c>
      <c r="D26" s="9">
        <f t="shared" si="1"/>
        <v>0.11881473880556002</v>
      </c>
      <c r="E26" s="9">
        <f t="shared" si="1"/>
        <v>0.69852458480867941</v>
      </c>
      <c r="F26" s="9">
        <f t="shared" si="1"/>
        <v>0.40005745100055973</v>
      </c>
      <c r="G26" s="10"/>
    </row>
    <row r="27" spans="1:7" x14ac:dyDescent="0.45">
      <c r="A27" s="3">
        <v>20</v>
      </c>
      <c r="B27" s="8">
        <v>0.42209122093761908</v>
      </c>
      <c r="C27" s="9">
        <f t="shared" si="1"/>
        <v>2.2928176689814807E-2</v>
      </c>
      <c r="D27" s="9">
        <f t="shared" si="1"/>
        <v>7.515638719166616E-2</v>
      </c>
      <c r="E27" s="9">
        <f t="shared" si="1"/>
        <v>0.66463468296812744</v>
      </c>
      <c r="F27" s="9">
        <f t="shared" si="1"/>
        <v>0.35272452909206703</v>
      </c>
      <c r="G27" s="10"/>
    </row>
    <row r="28" spans="1:7" x14ac:dyDescent="0.45">
      <c r="A28" s="3">
        <v>21</v>
      </c>
      <c r="B28" s="8">
        <v>0.34697101605841268</v>
      </c>
      <c r="C28" s="9">
        <f t="shared" si="1"/>
        <v>1.032686785915894E-2</v>
      </c>
      <c r="D28" s="9">
        <f t="shared" si="1"/>
        <v>4.3089488779698863E-2</v>
      </c>
      <c r="E28" s="9">
        <f t="shared" si="1"/>
        <v>0.62809221944812499</v>
      </c>
      <c r="F28" s="9">
        <f t="shared" si="1"/>
        <v>0.30571570476552695</v>
      </c>
      <c r="G28" s="10"/>
    </row>
    <row r="29" spans="1:7" x14ac:dyDescent="0.45">
      <c r="A29" s="3">
        <v>22</v>
      </c>
      <c r="B29" s="8">
        <v>0.29306436176205847</v>
      </c>
      <c r="C29" s="9">
        <f t="shared" si="1"/>
        <v>3.931453445410067E-3</v>
      </c>
      <c r="D29" s="9">
        <f t="shared" si="1"/>
        <v>2.192601488061072E-2</v>
      </c>
      <c r="E29" s="9">
        <f t="shared" si="1"/>
        <v>0.58898835488559886</v>
      </c>
      <c r="F29" s="9">
        <f t="shared" si="1"/>
        <v>0.25988641177864036</v>
      </c>
      <c r="G29" s="10"/>
    </row>
    <row r="30" spans="1:7" x14ac:dyDescent="0.45">
      <c r="A30" s="3">
        <v>23</v>
      </c>
      <c r="B30" s="8">
        <v>0.23285804035746605</v>
      </c>
      <c r="C30" s="9">
        <f t="shared" si="1"/>
        <v>1.2212698013821749E-3</v>
      </c>
      <c r="D30" s="9">
        <f t="shared" si="1"/>
        <v>9.6531612512389987E-3</v>
      </c>
      <c r="E30" s="9">
        <f t="shared" si="1"/>
        <v>0.54750292857249572</v>
      </c>
      <c r="F30" s="9">
        <f t="shared" si="1"/>
        <v>0.21613476875890947</v>
      </c>
      <c r="G30" s="10"/>
    </row>
    <row r="31" spans="1:7" x14ac:dyDescent="0.45">
      <c r="A31" s="3">
        <v>24</v>
      </c>
      <c r="B31" s="8">
        <v>0.19094252894781777</v>
      </c>
      <c r="C31" s="9">
        <f t="shared" si="1"/>
        <v>2.9665950811438033E-4</v>
      </c>
      <c r="D31" s="9">
        <f t="shared" si="1"/>
        <v>3.5653565910413274E-3</v>
      </c>
      <c r="E31" s="9">
        <f t="shared" si="1"/>
        <v>0.50391864543338283</v>
      </c>
      <c r="F31" s="9">
        <f t="shared" si="1"/>
        <v>0.17534587855983078</v>
      </c>
      <c r="G31" s="10"/>
    </row>
    <row r="32" spans="1:7" x14ac:dyDescent="0.45">
      <c r="A32" s="3">
        <v>25</v>
      </c>
      <c r="B32" s="8">
        <v>0.16465309692369703</v>
      </c>
      <c r="C32" s="9">
        <f t="shared" si="1"/>
        <v>5.3529331288021628E-5</v>
      </c>
      <c r="D32" s="9">
        <f t="shared" si="1"/>
        <v>1.0642499886715339E-3</v>
      </c>
      <c r="E32" s="9">
        <f t="shared" si="1"/>
        <v>0.45863243040075968</v>
      </c>
      <c r="F32" s="9">
        <f t="shared" si="1"/>
        <v>0.13832471815386618</v>
      </c>
      <c r="G32" s="10"/>
    </row>
    <row r="33" spans="1:11" x14ac:dyDescent="0.45">
      <c r="A33" s="3">
        <v>26</v>
      </c>
      <c r="B33" s="8">
        <v>0.1488683274483332</v>
      </c>
      <c r="C33" s="9">
        <f t="shared" si="1"/>
        <v>6.7442347575472243E-6</v>
      </c>
      <c r="D33" s="9">
        <f t="shared" si="1"/>
        <v>2.4540381605793016E-4</v>
      </c>
      <c r="E33" s="9">
        <f t="shared" si="1"/>
        <v>0.41216167292492134</v>
      </c>
      <c r="F33" s="9">
        <f t="shared" si="1"/>
        <v>0.10572423040766306</v>
      </c>
      <c r="G33" s="10"/>
    </row>
    <row r="34" spans="1:11" x14ac:dyDescent="0.45">
      <c r="A34" s="3">
        <v>27</v>
      </c>
      <c r="B34" s="8">
        <v>0.11454490726821995</v>
      </c>
      <c r="C34" s="9">
        <f t="shared" si="1"/>
        <v>5.5070510535237054E-7</v>
      </c>
      <c r="D34" s="9">
        <f t="shared" si="1"/>
        <v>4.1392961879602978E-5</v>
      </c>
      <c r="E34" s="9">
        <f t="shared" si="1"/>
        <v>0.3651427258741064</v>
      </c>
      <c r="F34" s="9">
        <f t="shared" si="1"/>
        <v>7.7978545305830788E-2</v>
      </c>
      <c r="G34" s="10"/>
    </row>
    <row r="35" spans="1:11" x14ac:dyDescent="0.45">
      <c r="A35" s="3">
        <v>28</v>
      </c>
      <c r="B35" s="8">
        <v>0.10305457793904532</v>
      </c>
      <c r="C35" s="9">
        <f t="shared" si="1"/>
        <v>2.6646577225687996E-8</v>
      </c>
      <c r="D35" s="9">
        <f t="shared" si="1"/>
        <v>4.7818841550731846E-6</v>
      </c>
      <c r="E35" s="9">
        <f t="shared" si="1"/>
        <v>0.31831894491516949</v>
      </c>
      <c r="F35" s="9">
        <f t="shared" si="1"/>
        <v>5.5253424212542646E-2</v>
      </c>
      <c r="G35" s="10"/>
    </row>
    <row r="36" spans="1:11" ht="14.65" thickBot="1" x14ac:dyDescent="0.5">
      <c r="A36" s="3">
        <v>29</v>
      </c>
      <c r="B36" s="8">
        <v>9.509790003536947E-2</v>
      </c>
      <c r="C36" s="9">
        <f t="shared" si="1"/>
        <v>6.8610925393580868E-10</v>
      </c>
      <c r="D36" s="9">
        <f t="shared" si="1"/>
        <v>3.4952020030990141E-7</v>
      </c>
      <c r="E36" s="9">
        <f t="shared" si="1"/>
        <v>0.27251594788567834</v>
      </c>
      <c r="F36" s="9">
        <f t="shared" si="1"/>
        <v>3.7425778197089629E-2</v>
      </c>
      <c r="G36" s="10"/>
    </row>
    <row r="37" spans="1:11" ht="15.75" x14ac:dyDescent="0.5">
      <c r="A37" s="3">
        <v>30</v>
      </c>
      <c r="B37" s="8">
        <v>9.509790003536947E-2</v>
      </c>
      <c r="C37" s="9">
        <f t="shared" si="1"/>
        <v>8.2645524853026971E-12</v>
      </c>
      <c r="D37" s="9">
        <f t="shared" si="1"/>
        <v>1.4694529807459592E-8</v>
      </c>
      <c r="E37" s="9">
        <f t="shared" si="1"/>
        <v>0.22860282901503878</v>
      </c>
      <c r="F37" s="9">
        <f t="shared" si="1"/>
        <v>2.4100468898179003E-2</v>
      </c>
      <c r="G37" s="10"/>
      <c r="I37" s="11">
        <v>20</v>
      </c>
      <c r="J37" s="12" t="s">
        <v>36</v>
      </c>
      <c r="K37" s="13"/>
    </row>
    <row r="38" spans="1:11" ht="16.149999999999999" thickBot="1" x14ac:dyDescent="0.55000000000000004">
      <c r="A38" s="3">
        <v>31</v>
      </c>
      <c r="B38" s="8">
        <v>7.9496509194296461E-2</v>
      </c>
      <c r="C38" s="9">
        <f t="shared" si="1"/>
        <v>3.9924822780189681E-14</v>
      </c>
      <c r="D38" s="9">
        <f t="shared" si="1"/>
        <v>3.1695725147098755E-10</v>
      </c>
      <c r="E38" s="9">
        <f t="shared" si="1"/>
        <v>0.18743990266820038</v>
      </c>
      <c r="F38" s="9">
        <f t="shared" si="1"/>
        <v>1.4665472494652736E-2</v>
      </c>
      <c r="G38" s="10"/>
      <c r="I38" s="14">
        <v>15</v>
      </c>
      <c r="J38" s="15" t="s">
        <v>37</v>
      </c>
      <c r="K38" s="16"/>
    </row>
    <row r="39" spans="1:11" x14ac:dyDescent="0.45">
      <c r="A39" s="3">
        <v>32</v>
      </c>
      <c r="B39" s="8">
        <v>5.6842043359806547E-2</v>
      </c>
      <c r="C39" s="9">
        <f t="shared" si="1"/>
        <v>6.438187497959136E-17</v>
      </c>
      <c r="D39" s="9">
        <f t="shared" si="1"/>
        <v>3.0592762554711989E-12</v>
      </c>
      <c r="E39" s="9">
        <f t="shared" si="1"/>
        <v>0.14981613466224608</v>
      </c>
      <c r="F39" s="9">
        <f t="shared" si="1"/>
        <v>8.3772434722373338E-3</v>
      </c>
      <c r="G39" s="10"/>
    </row>
    <row r="40" spans="1:11" x14ac:dyDescent="0.45">
      <c r="A40" s="3">
        <v>33</v>
      </c>
      <c r="B40" s="8">
        <v>5.4254088886505715E-2</v>
      </c>
      <c r="C40" s="9">
        <f t="shared" si="1"/>
        <v>2.7869280886881844E-20</v>
      </c>
      <c r="D40" s="9">
        <f t="shared" si="1"/>
        <v>1.1225602155736921E-14</v>
      </c>
      <c r="E40" s="9">
        <f t="shared" si="1"/>
        <v>0.11638243798286813</v>
      </c>
      <c r="F40" s="9">
        <f t="shared" si="1"/>
        <v>4.4596043288993173E-3</v>
      </c>
      <c r="G40" s="10"/>
    </row>
    <row r="41" spans="1:11" x14ac:dyDescent="0.45">
      <c r="A41" s="3">
        <v>34</v>
      </c>
      <c r="B41" s="8">
        <v>5.4254088886505715E-2</v>
      </c>
      <c r="C41" s="9">
        <f t="shared" si="1"/>
        <v>2.5025418548211453E-24</v>
      </c>
      <c r="D41" s="9">
        <f t="shared" si="1"/>
        <v>1.2903664491374824E-17</v>
      </c>
      <c r="E41" s="9">
        <f t="shared" si="1"/>
        <v>8.7589822832866177E-2</v>
      </c>
      <c r="F41" s="9">
        <f t="shared" si="1"/>
        <v>2.1951782975320197E-3</v>
      </c>
      <c r="G41" s="10"/>
    </row>
    <row r="42" spans="1:11" x14ac:dyDescent="0.45">
      <c r="A42" s="3">
        <v>35</v>
      </c>
      <c r="B42" s="8">
        <v>5.4254088886505715E-2</v>
      </c>
      <c r="C42" s="9">
        <f t="shared" si="1"/>
        <v>3.4418721136100911E-29</v>
      </c>
      <c r="D42" s="9">
        <f t="shared" si="1"/>
        <v>3.6967113555702034E-21</v>
      </c>
      <c r="E42" s="9">
        <f t="shared" si="1"/>
        <v>6.3643065341544569E-2</v>
      </c>
      <c r="F42" s="9">
        <f t="shared" si="1"/>
        <v>9.9070286332150564E-4</v>
      </c>
      <c r="G42" s="10"/>
    </row>
    <row r="43" spans="1:11" x14ac:dyDescent="0.45">
      <c r="A43" s="3">
        <v>36</v>
      </c>
      <c r="B43" s="8">
        <v>4.5375222897155502E-2</v>
      </c>
      <c r="C43" s="9">
        <f t="shared" si="1"/>
        <v>5.0848811935204155E-35</v>
      </c>
      <c r="D43" s="9">
        <f t="shared" si="1"/>
        <v>2.0178083420592372E-25</v>
      </c>
      <c r="E43" s="9">
        <f t="shared" si="1"/>
        <v>4.4480083343421462E-2</v>
      </c>
      <c r="F43" s="9">
        <f t="shared" si="1"/>
        <v>4.0623831372539772E-4</v>
      </c>
      <c r="G43" s="10"/>
    </row>
    <row r="44" spans="1:11" x14ac:dyDescent="0.45">
      <c r="A44" s="3">
        <v>37</v>
      </c>
      <c r="B44" s="8">
        <v>3.3017316344289761E-2</v>
      </c>
      <c r="C44" s="9">
        <f t="shared" si="1"/>
        <v>5.344669628941995E-42</v>
      </c>
      <c r="D44" s="9">
        <f t="shared" si="1"/>
        <v>1.5342782793287366E-30</v>
      </c>
      <c r="E44" s="9">
        <f t="shared" si="1"/>
        <v>2.9783889897233667E-2</v>
      </c>
      <c r="F44" s="9">
        <f t="shared" si="1"/>
        <v>1.4990094874129534E-4</v>
      </c>
      <c r="G44" s="10"/>
    </row>
    <row r="45" spans="1:11" x14ac:dyDescent="0.45">
      <c r="A45" s="3">
        <v>38</v>
      </c>
      <c r="B45" s="8">
        <v>3.3017316344289761E-2</v>
      </c>
      <c r="C45" s="9">
        <f t="shared" si="1"/>
        <v>2.4875371970706651E-50</v>
      </c>
      <c r="D45" s="9">
        <f t="shared" si="1"/>
        <v>1.1315494505161492E-36</v>
      </c>
      <c r="E45" s="9">
        <f t="shared" si="1"/>
        <v>1.902794813147337E-2</v>
      </c>
      <c r="F45" s="9">
        <f t="shared" si="1"/>
        <v>4.9274391264684961E-5</v>
      </c>
      <c r="G45" s="10"/>
    </row>
    <row r="46" spans="1:11" x14ac:dyDescent="0.45">
      <c r="A46" s="3">
        <v>39</v>
      </c>
      <c r="B46" s="8">
        <v>3.1841483991343025E-2</v>
      </c>
      <c r="C46" s="9">
        <f t="shared" si="1"/>
        <v>2.9870927377763022E-60</v>
      </c>
      <c r="D46" s="9">
        <f t="shared" si="1"/>
        <v>5.3497948814828024E-44</v>
      </c>
      <c r="E46" s="9">
        <f t="shared" si="1"/>
        <v>1.1548223188478004E-2</v>
      </c>
      <c r="F46" s="9">
        <f t="shared" si="1"/>
        <v>1.4277824177117831E-5</v>
      </c>
      <c r="G46" s="10"/>
    </row>
    <row r="47" spans="1:11" x14ac:dyDescent="0.45">
      <c r="A47" s="3">
        <v>40</v>
      </c>
      <c r="B47" s="8">
        <v>2.8946803628493653E-2</v>
      </c>
      <c r="C47" s="9">
        <f t="shared" si="1"/>
        <v>5.0409298198119639E-72</v>
      </c>
      <c r="D47" s="9">
        <f t="shared" si="1"/>
        <v>1.0155773516224814E-52</v>
      </c>
      <c r="E47" s="9">
        <f t="shared" si="1"/>
        <v>6.6284833708684212E-3</v>
      </c>
      <c r="F47" s="9">
        <f t="shared" si="1"/>
        <v>3.607701834386371E-6</v>
      </c>
      <c r="G47" s="10"/>
    </row>
    <row r="48" spans="1:11" x14ac:dyDescent="0.45">
      <c r="A48" s="3">
        <v>41</v>
      </c>
      <c r="B48" s="8">
        <v>2.6052123265644281E-2</v>
      </c>
      <c r="C48" s="9">
        <f t="shared" si="1"/>
        <v>6.0986905693768619E-86</v>
      </c>
      <c r="D48" s="9">
        <f t="shared" si="1"/>
        <v>4.599375648370823E-63</v>
      </c>
      <c r="E48" s="9">
        <f t="shared" si="1"/>
        <v>3.5819812158708873E-3</v>
      </c>
      <c r="F48" s="9">
        <f t="shared" si="1"/>
        <v>7.8626283638868803E-7</v>
      </c>
      <c r="G48" s="10"/>
    </row>
    <row r="49" spans="1:7" x14ac:dyDescent="0.45">
      <c r="A49" s="3">
        <v>42</v>
      </c>
      <c r="B49" s="8">
        <v>2.3157442902794922E-2</v>
      </c>
      <c r="C49" s="9">
        <f t="shared" si="1"/>
        <v>2.5432297755778838E-102</v>
      </c>
      <c r="D49" s="9">
        <f t="shared" si="1"/>
        <v>2.8132883574224033E-75</v>
      </c>
      <c r="E49" s="9">
        <f t="shared" si="1"/>
        <v>1.8141765712767492E-3</v>
      </c>
      <c r="F49" s="9">
        <f t="shared" si="1"/>
        <v>1.4619301545428716E-7</v>
      </c>
      <c r="G49" s="10"/>
    </row>
    <row r="50" spans="1:7" x14ac:dyDescent="0.45">
      <c r="A50" s="3">
        <v>43</v>
      </c>
      <c r="B50" s="8">
        <v>2.026276253994555E-2</v>
      </c>
      <c r="C50" s="9">
        <f t="shared" si="1"/>
        <v>1.6765002702622089E-121</v>
      </c>
      <c r="D50" s="9">
        <f t="shared" si="1"/>
        <v>1.2650411023693033E-89</v>
      </c>
      <c r="E50" s="9">
        <f t="shared" si="1"/>
        <v>8.5735161453715349E-4</v>
      </c>
      <c r="F50" s="9">
        <f t="shared" si="1"/>
        <v>2.2943554815731808E-8</v>
      </c>
      <c r="G50" s="10"/>
    </row>
    <row r="51" spans="1:7" x14ac:dyDescent="0.45">
      <c r="A51" s="3">
        <v>44</v>
      </c>
      <c r="B51" s="8">
        <v>1.7368082177096178E-2</v>
      </c>
      <c r="C51" s="9">
        <f t="shared" si="1"/>
        <v>7.7857033551047022E-144</v>
      </c>
      <c r="D51" s="9">
        <f t="shared" si="1"/>
        <v>2.2200608681182757E-106</v>
      </c>
      <c r="E51" s="9">
        <f t="shared" si="1"/>
        <v>3.7645859428151265E-4</v>
      </c>
      <c r="F51" s="9">
        <f t="shared" si="1"/>
        <v>3.0082977683830433E-9</v>
      </c>
      <c r="G51" s="10"/>
    </row>
    <row r="52" spans="1:7" x14ac:dyDescent="0.45">
      <c r="A52" s="3">
        <v>45</v>
      </c>
      <c r="B52" s="8">
        <v>1.4473401814246806E-2</v>
      </c>
      <c r="C52" s="9">
        <f t="shared" si="1"/>
        <v>1.1317461231213568E-169</v>
      </c>
      <c r="D52" s="9">
        <f t="shared" si="1"/>
        <v>8.0326255527463641E-126</v>
      </c>
      <c r="E52" s="9">
        <f t="shared" si="1"/>
        <v>1.5297940230222861E-4</v>
      </c>
      <c r="F52" s="9">
        <f t="shared" si="1"/>
        <v>3.2640653991299126E-10</v>
      </c>
      <c r="G52" s="10"/>
    </row>
    <row r="53" spans="1:7" x14ac:dyDescent="0.45">
      <c r="A53" s="3">
        <v>46</v>
      </c>
      <c r="B53" s="8">
        <v>1.1578721451397461E-2</v>
      </c>
      <c r="C53" s="9">
        <f t="shared" si="1"/>
        <v>2.3553725390051792E-199</v>
      </c>
      <c r="D53" s="9">
        <f t="shared" si="1"/>
        <v>3.2314603706218274E-148</v>
      </c>
      <c r="E53" s="9">
        <f t="shared" si="1"/>
        <v>5.7326093124505313E-5</v>
      </c>
      <c r="F53" s="9">
        <f t="shared" si="1"/>
        <v>2.9055861024017896E-11</v>
      </c>
      <c r="G53" s="10"/>
    </row>
    <row r="54" spans="1:7" x14ac:dyDescent="0.45">
      <c r="A54" s="3">
        <v>47</v>
      </c>
      <c r="B54" s="8">
        <v>8.684041088548089E-3</v>
      </c>
      <c r="C54" s="9">
        <f t="shared" si="1"/>
        <v>3.4295773308878646E-233</v>
      </c>
      <c r="D54" s="9">
        <f t="shared" si="1"/>
        <v>8.1973661011261091E-174</v>
      </c>
      <c r="E54" s="9">
        <f t="shared" si="1"/>
        <v>1.9748423645454795E-5</v>
      </c>
      <c r="F54" s="9">
        <f t="shared" si="1"/>
        <v>2.1062739537756836E-12</v>
      </c>
      <c r="G54" s="10"/>
    </row>
    <row r="55" spans="1:7" x14ac:dyDescent="0.45">
      <c r="A55" s="3">
        <v>48</v>
      </c>
      <c r="B55" s="8">
        <v>5.7893607256987167E-3</v>
      </c>
      <c r="C55" s="9">
        <f t="shared" si="1"/>
        <v>1.8967043849680431E-271</v>
      </c>
      <c r="D55" s="9">
        <f t="shared" si="1"/>
        <v>8.0721256727829729E-203</v>
      </c>
      <c r="E55" s="9">
        <f t="shared" si="1"/>
        <v>6.2385157579983215E-6</v>
      </c>
      <c r="F55" s="9">
        <f t="shared" si="1"/>
        <v>1.2358820355067601E-13</v>
      </c>
      <c r="G55" s="10"/>
    </row>
    <row r="56" spans="1:7" x14ac:dyDescent="0.45">
      <c r="A56" s="3">
        <v>49</v>
      </c>
      <c r="B56" s="8">
        <v>2.8946803628493445E-3</v>
      </c>
      <c r="C56" s="9">
        <f t="shared" si="1"/>
        <v>0</v>
      </c>
      <c r="D56" s="9">
        <f t="shared" si="1"/>
        <v>2.1254475179657738E-235</v>
      </c>
      <c r="E56" s="9">
        <f t="shared" si="1"/>
        <v>1.8038158096210059E-6</v>
      </c>
      <c r="F56" s="9">
        <f t="shared" si="1"/>
        <v>5.8436188525741118E-15</v>
      </c>
      <c r="G56" s="10"/>
    </row>
    <row r="57" spans="1:7" x14ac:dyDescent="0.45">
      <c r="A57" s="3">
        <v>50</v>
      </c>
      <c r="B57" s="8">
        <v>0</v>
      </c>
      <c r="C57" s="9">
        <f t="shared" si="1"/>
        <v>0</v>
      </c>
      <c r="D57" s="9">
        <f t="shared" si="1"/>
        <v>1.1830521861667747E-271</v>
      </c>
      <c r="E57" s="9">
        <f t="shared" si="1"/>
        <v>4.76837158203125E-7</v>
      </c>
      <c r="F57" s="9">
        <f t="shared" si="1"/>
        <v>2.2204460492503131E-16</v>
      </c>
      <c r="G57" s="1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87939-CBF8-4F8E-B94B-89A79F43FAA3}">
  <dimension ref="A1:BB281"/>
  <sheetViews>
    <sheetView zoomScale="90" zoomScaleNormal="90" workbookViewId="0"/>
  </sheetViews>
  <sheetFormatPr defaultColWidth="8.86328125" defaultRowHeight="12.75" x14ac:dyDescent="0.35"/>
  <cols>
    <col min="1" max="1" width="9.59765625" customWidth="1"/>
    <col min="2" max="2" width="6.265625" bestFit="1" customWidth="1"/>
    <col min="3" max="3" width="12" bestFit="1" customWidth="1"/>
    <col min="4" max="4" width="5" bestFit="1" customWidth="1"/>
    <col min="5" max="5" width="9" bestFit="1" customWidth="1"/>
    <col min="6" max="6" width="8.73046875" bestFit="1" customWidth="1"/>
    <col min="7" max="7" width="9.265625" bestFit="1" customWidth="1"/>
    <col min="8" max="8" width="10.265625" bestFit="1" customWidth="1"/>
    <col min="9" max="9" width="2" bestFit="1" customWidth="1"/>
    <col min="10" max="10" width="12.86328125" bestFit="1" customWidth="1"/>
    <col min="11" max="11" width="12" style="1" bestFit="1" customWidth="1"/>
    <col min="12" max="12" width="5.73046875" style="1" bestFit="1" customWidth="1"/>
    <col min="13" max="13" width="9.265625" style="1" customWidth="1"/>
    <col min="14" max="14" width="5.73046875" bestFit="1" customWidth="1"/>
    <col min="15" max="15" width="9.265625" bestFit="1" customWidth="1"/>
    <col min="16" max="16" width="2" bestFit="1" customWidth="1"/>
    <col min="17" max="17" width="16.265625" bestFit="1" customWidth="1"/>
    <col min="20" max="20" width="2" bestFit="1" customWidth="1"/>
    <col min="21" max="21" width="4.86328125" bestFit="1" customWidth="1"/>
    <col min="22" max="22" width="5" bestFit="1" customWidth="1"/>
    <col min="24" max="24" width="24.1328125" bestFit="1" customWidth="1"/>
    <col min="25" max="25" width="7.3984375" bestFit="1" customWidth="1"/>
    <col min="26" max="47" width="7.3984375" customWidth="1"/>
  </cols>
  <sheetData>
    <row r="1" spans="1:54" ht="14.25" x14ac:dyDescent="0.45">
      <c r="J1" t="s">
        <v>150</v>
      </c>
      <c r="K1" s="1" t="s">
        <v>58</v>
      </c>
      <c r="L1" s="1" t="s">
        <v>59</v>
      </c>
      <c r="M1" s="1" t="s">
        <v>151</v>
      </c>
      <c r="R1" s="17">
        <v>7</v>
      </c>
      <c r="S1" s="17">
        <v>8</v>
      </c>
      <c r="X1" s="18" t="s">
        <v>122</v>
      </c>
    </row>
    <row r="2" spans="1:54" x14ac:dyDescent="0.35"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J2" t="s">
        <v>91</v>
      </c>
      <c r="K2" s="1" t="s">
        <v>124</v>
      </c>
      <c r="L2" s="1">
        <v>0.27</v>
      </c>
      <c r="M2" s="1">
        <v>0.26983270175818702</v>
      </c>
      <c r="R2" t="str">
        <f>G2</f>
        <v>MainCHP</v>
      </c>
      <c r="S2" t="str">
        <f>H2</f>
        <v>MainELEC</v>
      </c>
      <c r="X2" t="s">
        <v>60</v>
      </c>
      <c r="Y2" s="18" t="s">
        <v>61</v>
      </c>
      <c r="Z2" t="s">
        <v>148</v>
      </c>
      <c r="AA2" t="s">
        <v>124</v>
      </c>
      <c r="AB2" t="s">
        <v>125</v>
      </c>
      <c r="AC2" t="s">
        <v>126</v>
      </c>
      <c r="AD2" t="s">
        <v>127</v>
      </c>
      <c r="AE2" t="s">
        <v>128</v>
      </c>
      <c r="AF2" t="s">
        <v>129</v>
      </c>
      <c r="AG2" t="s">
        <v>130</v>
      </c>
      <c r="AH2" t="s">
        <v>131</v>
      </c>
      <c r="AI2" t="s">
        <v>62</v>
      </c>
      <c r="AJ2" t="s">
        <v>132</v>
      </c>
      <c r="AK2" t="s">
        <v>133</v>
      </c>
      <c r="AL2" t="s">
        <v>134</v>
      </c>
      <c r="AM2" t="s">
        <v>135</v>
      </c>
      <c r="AN2" t="s">
        <v>136</v>
      </c>
      <c r="AO2" t="s">
        <v>137</v>
      </c>
      <c r="AP2" t="s">
        <v>138</v>
      </c>
      <c r="AQ2" t="s">
        <v>139</v>
      </c>
      <c r="AR2" t="s">
        <v>140</v>
      </c>
      <c r="AS2" t="s">
        <v>63</v>
      </c>
      <c r="AT2" t="s">
        <v>141</v>
      </c>
      <c r="AU2" t="s">
        <v>142</v>
      </c>
      <c r="AV2" t="s">
        <v>143</v>
      </c>
      <c r="AW2" t="s">
        <v>144</v>
      </c>
      <c r="AX2" t="s">
        <v>64</v>
      </c>
      <c r="AY2" t="s">
        <v>149</v>
      </c>
      <c r="AZ2" t="s">
        <v>145</v>
      </c>
      <c r="BA2" t="s">
        <v>146</v>
      </c>
      <c r="BB2" t="s">
        <v>147</v>
      </c>
    </row>
    <row r="3" spans="1:54" ht="14.25" x14ac:dyDescent="0.45">
      <c r="A3" s="21" t="str">
        <f>C3&amp;D3</f>
        <v>Africa_otherBIO</v>
      </c>
      <c r="B3" t="s">
        <v>65</v>
      </c>
      <c r="C3" t="s">
        <v>124</v>
      </c>
      <c r="D3" t="s">
        <v>66</v>
      </c>
      <c r="E3" s="1">
        <v>0.133774994733761</v>
      </c>
      <c r="F3" s="1">
        <v>0.17378008847725401</v>
      </c>
      <c r="G3" s="1">
        <v>0</v>
      </c>
      <c r="H3" s="1">
        <v>0.205102961189637</v>
      </c>
      <c r="J3" t="s">
        <v>91</v>
      </c>
      <c r="K3" s="1" t="s">
        <v>125</v>
      </c>
      <c r="L3" s="1">
        <v>0.315</v>
      </c>
      <c r="M3" s="1">
        <v>0.322861958329693</v>
      </c>
      <c r="N3" s="1"/>
      <c r="O3" s="1"/>
      <c r="Q3" s="17" t="str">
        <f>K3&amp;LEFT(J3,3)</f>
        <v>Arg-ChiBio</v>
      </c>
      <c r="R3" s="1">
        <f t="shared" ref="R3:R34" si="0">IFERROR(IF(L3&gt;0,VLOOKUP($Q3,$A$3:$H$102,R$1,FALSE)/L3,""),"")</f>
        <v>5.2302910113874598E-2</v>
      </c>
      <c r="S3" s="1">
        <f t="shared" ref="S3:S34" si="1">IFERROR(IF(M3&gt;0,VLOOKUP($Q3,$A$3:$H$102,S$1,FALSE)/M3,""),"")</f>
        <v>1.1150276169494803E-2</v>
      </c>
      <c r="U3">
        <v>3</v>
      </c>
      <c r="V3" t="s">
        <v>67</v>
      </c>
      <c r="X3" s="18" t="s">
        <v>89</v>
      </c>
      <c r="Y3" t="str">
        <f>"*"&amp;V3&amp;"*"</f>
        <v>*COA*</v>
      </c>
      <c r="Z3" t="str">
        <f>IFERROR(IF(VLOOKUP(Z$2&amp;$V3,$Q$3:$S$999,$U3,FALSE)&gt;1,"*"&amp;ROUND(VLOOKUP(Z$2&amp;$V3,$Q$3:$S$999,$U3,FALSE),4),""),"")</f>
        <v>*1.0676</v>
      </c>
      <c r="AA3" t="str">
        <f t="shared" ref="Z3:AI4" si="2">IFERROR(IF(VLOOKUP(AA$2&amp;$V3,$Q$3:$S$999,$U3,FALSE)&gt;1,"*"&amp;ROUND(VLOOKUP(AA$2&amp;$V3,$Q$3:$S$999,$U3,FALSE),4),""),"")</f>
        <v/>
      </c>
      <c r="AB3" t="str">
        <f t="shared" si="2"/>
        <v>*1.1733</v>
      </c>
      <c r="AC3" t="str">
        <f t="shared" si="2"/>
        <v/>
      </c>
      <c r="AD3" t="str">
        <f t="shared" si="2"/>
        <v>*1.1732</v>
      </c>
      <c r="AE3" t="str">
        <f t="shared" si="2"/>
        <v>*1.1294</v>
      </c>
      <c r="AF3" t="str">
        <f t="shared" si="2"/>
        <v>*1.0352</v>
      </c>
      <c r="AG3" t="str">
        <f t="shared" si="2"/>
        <v>*1.1646</v>
      </c>
      <c r="AH3" t="str">
        <f t="shared" si="2"/>
        <v>*1.2154</v>
      </c>
      <c r="AI3" t="str">
        <f t="shared" si="2"/>
        <v>*1.1728</v>
      </c>
      <c r="AJ3" t="str">
        <f t="shared" ref="AJ3:AY4" si="3">IFERROR(IF(VLOOKUP(AJ$2&amp;$V3,$Q$3:$S$999,$U3,FALSE)&gt;1,"*"&amp;ROUND(VLOOKUP(AJ$2&amp;$V3,$Q$3:$S$999,$U3,FALSE),4),""),"")</f>
        <v>*1.2758</v>
      </c>
      <c r="AK3" t="str">
        <f t="shared" si="3"/>
        <v>*1.1053</v>
      </c>
      <c r="AL3" t="str">
        <f t="shared" si="3"/>
        <v>*1.2117</v>
      </c>
      <c r="AM3" t="str">
        <f t="shared" si="3"/>
        <v>*1.1128</v>
      </c>
      <c r="AN3" t="str">
        <f t="shared" si="3"/>
        <v>*1.0625</v>
      </c>
      <c r="AO3" t="str">
        <f t="shared" si="3"/>
        <v>*1.1932</v>
      </c>
      <c r="AP3" t="str">
        <f t="shared" si="3"/>
        <v>*1.0486</v>
      </c>
      <c r="AQ3" t="str">
        <f t="shared" si="3"/>
        <v>*1.1499</v>
      </c>
      <c r="AR3" t="str">
        <f t="shared" si="3"/>
        <v>*1.2457</v>
      </c>
      <c r="AS3" t="str">
        <f t="shared" si="3"/>
        <v>*1.178</v>
      </c>
      <c r="AT3" t="str">
        <f t="shared" si="3"/>
        <v>*1.0694</v>
      </c>
      <c r="AU3" t="str">
        <f t="shared" si="3"/>
        <v>*1.12</v>
      </c>
      <c r="AV3" t="str">
        <f t="shared" si="3"/>
        <v>*1.1885</v>
      </c>
      <c r="AW3" t="str">
        <f t="shared" si="3"/>
        <v/>
      </c>
      <c r="AX3" t="str">
        <f t="shared" si="3"/>
        <v/>
      </c>
      <c r="AY3" t="str">
        <f t="shared" si="3"/>
        <v/>
      </c>
      <c r="AZ3" t="str">
        <f t="shared" ref="AM3:BB4" si="4">IFERROR(IF(VLOOKUP(AZ$2&amp;$V3,$Q$3:$S$999,$U3,FALSE)&gt;1,"*"&amp;ROUND(VLOOKUP(AZ$2&amp;$V3,$Q$3:$S$999,$U3,FALSE),4),""),"")</f>
        <v/>
      </c>
      <c r="BA3" t="str">
        <f t="shared" si="4"/>
        <v>*1.1845</v>
      </c>
      <c r="BB3" t="str">
        <f t="shared" si="4"/>
        <v>*1.0743</v>
      </c>
    </row>
    <row r="4" spans="1:54" ht="14.25" x14ac:dyDescent="0.45">
      <c r="A4" s="21" t="str">
        <f t="shared" ref="A4:A67" si="5">C4&amp;D4</f>
        <v>Arg-ChiBIO</v>
      </c>
      <c r="B4" t="s">
        <v>65</v>
      </c>
      <c r="C4" t="s">
        <v>125</v>
      </c>
      <c r="D4" t="s">
        <v>66</v>
      </c>
      <c r="E4" s="1">
        <v>0.13989045517321599</v>
      </c>
      <c r="F4" s="1">
        <v>0.16810223881261099</v>
      </c>
      <c r="G4" s="1">
        <v>1.6475416685870499E-2</v>
      </c>
      <c r="H4" s="1">
        <v>3.5999999999999999E-3</v>
      </c>
      <c r="J4" t="s">
        <v>91</v>
      </c>
      <c r="K4" s="1" t="s">
        <v>126</v>
      </c>
      <c r="L4" s="1">
        <v>0.27</v>
      </c>
      <c r="M4" s="1">
        <v>0.32800000000000001</v>
      </c>
      <c r="N4" s="1"/>
      <c r="O4" s="1"/>
      <c r="Q4" s="17" t="str">
        <f t="shared" ref="Q4:Q67" si="6">K4&amp;LEFT(J4,3)</f>
        <v>Asia_centralBio</v>
      </c>
      <c r="R4" s="1">
        <f t="shared" si="0"/>
        <v>0</v>
      </c>
      <c r="S4" s="1">
        <f t="shared" si="1"/>
        <v>0</v>
      </c>
      <c r="U4">
        <v>2</v>
      </c>
      <c r="V4" t="s">
        <v>67</v>
      </c>
      <c r="X4" s="18" t="s">
        <v>90</v>
      </c>
      <c r="Y4" t="str">
        <f t="shared" ref="Y4" si="7">"*"&amp;V4&amp;"*"</f>
        <v>*COA*</v>
      </c>
      <c r="Z4" t="str">
        <f t="shared" si="2"/>
        <v/>
      </c>
      <c r="AA4" t="str">
        <f t="shared" si="2"/>
        <v/>
      </c>
      <c r="AB4" t="str">
        <f t="shared" si="2"/>
        <v/>
      </c>
      <c r="AC4" t="str">
        <f t="shared" si="2"/>
        <v/>
      </c>
      <c r="AD4" t="str">
        <f t="shared" si="2"/>
        <v/>
      </c>
      <c r="AE4" t="str">
        <f t="shared" si="2"/>
        <v/>
      </c>
      <c r="AF4" t="str">
        <f t="shared" si="2"/>
        <v>*1.0976</v>
      </c>
      <c r="AG4" t="str">
        <f t="shared" si="2"/>
        <v/>
      </c>
      <c r="AH4" t="str">
        <f t="shared" si="2"/>
        <v/>
      </c>
      <c r="AI4" t="str">
        <f t="shared" si="2"/>
        <v>*1.0171</v>
      </c>
      <c r="AJ4" t="str">
        <f t="shared" si="3"/>
        <v/>
      </c>
      <c r="AK4" t="str">
        <f t="shared" si="3"/>
        <v>*1.0595</v>
      </c>
      <c r="AL4" t="str">
        <f t="shared" si="3"/>
        <v>*1.2787</v>
      </c>
      <c r="AM4" t="str">
        <f t="shared" si="4"/>
        <v>*1.021</v>
      </c>
      <c r="AN4" t="str">
        <f t="shared" si="4"/>
        <v/>
      </c>
      <c r="AO4" t="str">
        <f t="shared" si="4"/>
        <v/>
      </c>
      <c r="AP4" t="str">
        <f t="shared" si="4"/>
        <v/>
      </c>
      <c r="AQ4" t="str">
        <f t="shared" si="4"/>
        <v>*1.0907</v>
      </c>
      <c r="AR4" t="str">
        <f t="shared" si="4"/>
        <v/>
      </c>
      <c r="AS4" t="str">
        <f t="shared" si="4"/>
        <v/>
      </c>
      <c r="AT4" t="str">
        <f t="shared" si="4"/>
        <v/>
      </c>
      <c r="AU4" t="str">
        <f t="shared" si="4"/>
        <v/>
      </c>
      <c r="AV4" t="str">
        <f t="shared" si="4"/>
        <v/>
      </c>
      <c r="AW4" t="str">
        <f t="shared" si="4"/>
        <v/>
      </c>
      <c r="AX4" t="str">
        <f t="shared" si="4"/>
        <v/>
      </c>
      <c r="AY4" t="str">
        <f t="shared" si="4"/>
        <v/>
      </c>
      <c r="AZ4" t="str">
        <f t="shared" si="4"/>
        <v/>
      </c>
      <c r="BA4" t="str">
        <f t="shared" si="4"/>
        <v/>
      </c>
      <c r="BB4" t="str">
        <f t="shared" si="4"/>
        <v/>
      </c>
    </row>
    <row r="5" spans="1:54" ht="14.25" x14ac:dyDescent="0.45">
      <c r="A5" s="21" t="str">
        <f t="shared" si="5"/>
        <v>Asia_centralBIO</v>
      </c>
      <c r="B5" t="s">
        <v>65</v>
      </c>
      <c r="C5" t="s">
        <v>126</v>
      </c>
      <c r="D5" t="s">
        <v>66</v>
      </c>
      <c r="E5" s="1">
        <v>0</v>
      </c>
      <c r="F5" s="1">
        <v>0.21800269915179801</v>
      </c>
      <c r="G5" s="1">
        <v>0</v>
      </c>
      <c r="H5" s="1">
        <v>0</v>
      </c>
      <c r="J5" t="s">
        <v>91</v>
      </c>
      <c r="K5" s="1" t="s">
        <v>127</v>
      </c>
      <c r="L5" s="1">
        <v>0.33477045415350098</v>
      </c>
      <c r="M5" s="1">
        <v>0.32924771321592999</v>
      </c>
      <c r="N5" s="1"/>
      <c r="O5" s="1"/>
      <c r="Q5" s="17" t="str">
        <f t="shared" si="6"/>
        <v>Asia_eastBio</v>
      </c>
      <c r="R5" s="1">
        <f t="shared" si="0"/>
        <v>0.92443410477281074</v>
      </c>
      <c r="S5" s="1">
        <f t="shared" si="1"/>
        <v>1.112292738961961</v>
      </c>
      <c r="X5" t="s">
        <v>71</v>
      </c>
    </row>
    <row r="6" spans="1:54" ht="14.25" x14ac:dyDescent="0.45">
      <c r="A6" s="21" t="str">
        <f t="shared" si="5"/>
        <v>Asia_eastBIO</v>
      </c>
      <c r="B6" t="s">
        <v>65</v>
      </c>
      <c r="C6" t="s">
        <v>127</v>
      </c>
      <c r="D6" t="s">
        <v>66</v>
      </c>
      <c r="E6" s="1">
        <v>0.134601338144859</v>
      </c>
      <c r="F6" s="1">
        <v>0.418072990148182</v>
      </c>
      <c r="G6" s="1">
        <v>0.30947322508977898</v>
      </c>
      <c r="H6" s="1">
        <v>0.36621984072990899</v>
      </c>
      <c r="J6" t="s">
        <v>91</v>
      </c>
      <c r="K6" s="1" t="s">
        <v>128</v>
      </c>
      <c r="L6" s="1">
        <v>0.33594976055616599</v>
      </c>
      <c r="M6" s="1">
        <v>0.32652924921182003</v>
      </c>
      <c r="N6" s="1"/>
      <c r="O6" s="1"/>
      <c r="Q6" s="17" t="str">
        <f t="shared" si="6"/>
        <v>Asia_otherBio</v>
      </c>
      <c r="R6" s="1">
        <f t="shared" si="0"/>
        <v>0.76573452062318048</v>
      </c>
      <c r="S6" s="1">
        <f t="shared" si="1"/>
        <v>0.65968059323675299</v>
      </c>
      <c r="U6" s="2">
        <f>U3</f>
        <v>3</v>
      </c>
      <c r="V6" s="18" t="s">
        <v>68</v>
      </c>
      <c r="X6" s="18" t="s">
        <v>89</v>
      </c>
      <c r="Y6" t="s">
        <v>69</v>
      </c>
      <c r="Z6" t="str">
        <f t="shared" ref="Z6:AI7" si="8">IFERROR(IF(VLOOKUP(Z$2&amp;$V6,$Q$3:$S$999,$U6,FALSE)&gt;1,"*"&amp;ROUND(VLOOKUP(Z$2&amp;$V6,$Q$3:$S$999,$U6,FALSE),4),""),"")</f>
        <v>*1.141</v>
      </c>
      <c r="AA6" t="str">
        <f t="shared" si="8"/>
        <v>*1.129</v>
      </c>
      <c r="AB6" t="str">
        <f t="shared" si="8"/>
        <v>*1.1492</v>
      </c>
      <c r="AC6" t="str">
        <f t="shared" si="8"/>
        <v>*1.1616</v>
      </c>
      <c r="AD6" t="str">
        <f t="shared" si="8"/>
        <v>*1.0797</v>
      </c>
      <c r="AE6" t="str">
        <f t="shared" si="8"/>
        <v/>
      </c>
      <c r="AF6" t="str">
        <f t="shared" si="8"/>
        <v>*1.0683</v>
      </c>
      <c r="AG6" t="str">
        <f t="shared" si="8"/>
        <v>*1.0389</v>
      </c>
      <c r="AH6" t="str">
        <f t="shared" si="8"/>
        <v>*1.1962</v>
      </c>
      <c r="AI6" t="str">
        <f t="shared" si="8"/>
        <v>*1.1127</v>
      </c>
      <c r="AJ6" t="str">
        <f t="shared" ref="AJ6:AY7" si="9">IFERROR(IF(VLOOKUP(AJ$2&amp;$V6,$Q$3:$S$999,$U6,FALSE)&gt;1,"*"&amp;ROUND(VLOOKUP(AJ$2&amp;$V6,$Q$3:$S$999,$U6,FALSE),4),""),"")</f>
        <v>*1.319</v>
      </c>
      <c r="AK6" t="str">
        <f t="shared" si="9"/>
        <v>*1.522</v>
      </c>
      <c r="AL6" t="str">
        <f t="shared" si="9"/>
        <v>*1.1632</v>
      </c>
      <c r="AM6" t="str">
        <f t="shared" si="9"/>
        <v>*1.2034</v>
      </c>
      <c r="AN6" t="str">
        <f t="shared" si="9"/>
        <v>*1.4508</v>
      </c>
      <c r="AO6" t="str">
        <f t="shared" si="9"/>
        <v/>
      </c>
      <c r="AP6" t="str">
        <f t="shared" si="9"/>
        <v>*1.2473</v>
      </c>
      <c r="AQ6" t="str">
        <f t="shared" si="9"/>
        <v>*1.1026</v>
      </c>
      <c r="AR6" t="str">
        <f t="shared" si="9"/>
        <v>*1.2163</v>
      </c>
      <c r="AS6" t="str">
        <f t="shared" si="9"/>
        <v/>
      </c>
      <c r="AT6" t="str">
        <f t="shared" si="9"/>
        <v/>
      </c>
      <c r="AU6" t="str">
        <f t="shared" si="9"/>
        <v>*1.0949</v>
      </c>
      <c r="AV6" t="str">
        <f t="shared" si="9"/>
        <v>*1.0308</v>
      </c>
      <c r="AW6" t="str">
        <f t="shared" si="9"/>
        <v>*1.3267</v>
      </c>
      <c r="AX6" t="str">
        <f t="shared" si="9"/>
        <v/>
      </c>
      <c r="AY6" t="str">
        <f t="shared" si="9"/>
        <v>*1.1177</v>
      </c>
      <c r="AZ6" t="str">
        <f t="shared" ref="AM6:BB7" si="10">IFERROR(IF(VLOOKUP(AZ$2&amp;$V6,$Q$3:$S$999,$U6,FALSE)&gt;1,"*"&amp;ROUND(VLOOKUP(AZ$2&amp;$V6,$Q$3:$S$999,$U6,FALSE),4),""),"")</f>
        <v/>
      </c>
      <c r="BA6" t="str">
        <f t="shared" si="10"/>
        <v>*1.1276</v>
      </c>
      <c r="BB6" t="str">
        <f t="shared" si="10"/>
        <v>*1.1939</v>
      </c>
    </row>
    <row r="7" spans="1:54" ht="14.25" x14ac:dyDescent="0.45">
      <c r="A7" s="21" t="str">
        <f t="shared" si="5"/>
        <v>Asia_otherBIO</v>
      </c>
      <c r="B7" t="s">
        <v>65</v>
      </c>
      <c r="C7" t="s">
        <v>128</v>
      </c>
      <c r="D7" t="s">
        <v>66</v>
      </c>
      <c r="E7" s="1">
        <v>0.28475524557876097</v>
      </c>
      <c r="F7" s="1">
        <v>0.169832622175799</v>
      </c>
      <c r="G7" s="1">
        <v>0.25724832885294802</v>
      </c>
      <c r="H7" s="1">
        <v>0.21540500882920499</v>
      </c>
      <c r="J7" t="s">
        <v>91</v>
      </c>
      <c r="K7" s="1" t="s">
        <v>129</v>
      </c>
      <c r="L7" s="1">
        <v>0.32506351241002501</v>
      </c>
      <c r="M7" s="1">
        <v>0.268116295560067</v>
      </c>
      <c r="N7" s="1"/>
      <c r="O7" s="1"/>
      <c r="Q7" s="17" t="str">
        <f t="shared" si="6"/>
        <v>Australia_NZBio</v>
      </c>
      <c r="R7" s="1">
        <f t="shared" si="0"/>
        <v>0</v>
      </c>
      <c r="S7" s="1">
        <f t="shared" si="1"/>
        <v>1.1591607389458307</v>
      </c>
      <c r="U7" s="2">
        <f>U4</f>
        <v>2</v>
      </c>
      <c r="V7" s="18" t="s">
        <v>68</v>
      </c>
      <c r="X7" s="18" t="s">
        <v>90</v>
      </c>
      <c r="Y7" t="s">
        <v>69</v>
      </c>
      <c r="Z7" t="str">
        <f t="shared" si="8"/>
        <v/>
      </c>
      <c r="AA7" t="str">
        <f t="shared" si="8"/>
        <v/>
      </c>
      <c r="AB7" t="str">
        <f t="shared" si="8"/>
        <v/>
      </c>
      <c r="AC7" t="str">
        <f t="shared" si="8"/>
        <v/>
      </c>
      <c r="AD7" t="str">
        <f t="shared" si="8"/>
        <v/>
      </c>
      <c r="AE7" t="str">
        <f t="shared" si="8"/>
        <v>*17.3399</v>
      </c>
      <c r="AF7" t="str">
        <f t="shared" si="8"/>
        <v>*1.1579</v>
      </c>
      <c r="AG7" t="str">
        <f t="shared" si="8"/>
        <v/>
      </c>
      <c r="AH7" t="str">
        <f t="shared" si="8"/>
        <v>*1.0389</v>
      </c>
      <c r="AI7" t="str">
        <f t="shared" si="8"/>
        <v/>
      </c>
      <c r="AJ7" t="str">
        <f t="shared" si="9"/>
        <v/>
      </c>
      <c r="AK7" t="str">
        <f t="shared" si="9"/>
        <v/>
      </c>
      <c r="AL7" t="str">
        <f t="shared" si="9"/>
        <v/>
      </c>
      <c r="AM7" t="str">
        <f t="shared" si="10"/>
        <v>*1.0387</v>
      </c>
      <c r="AN7" t="str">
        <f t="shared" si="10"/>
        <v/>
      </c>
      <c r="AO7" t="str">
        <f t="shared" si="10"/>
        <v/>
      </c>
      <c r="AP7" t="str">
        <f t="shared" si="10"/>
        <v/>
      </c>
      <c r="AQ7" t="str">
        <f t="shared" si="10"/>
        <v>*1.242</v>
      </c>
      <c r="AR7" t="str">
        <f t="shared" si="10"/>
        <v/>
      </c>
      <c r="AS7" t="str">
        <f t="shared" si="10"/>
        <v/>
      </c>
      <c r="AT7" t="str">
        <f t="shared" si="10"/>
        <v/>
      </c>
      <c r="AU7" t="str">
        <f t="shared" si="10"/>
        <v/>
      </c>
      <c r="AV7" t="str">
        <f t="shared" si="10"/>
        <v>*1.5239</v>
      </c>
      <c r="AW7" t="str">
        <f t="shared" si="10"/>
        <v/>
      </c>
      <c r="AX7" t="str">
        <f t="shared" si="10"/>
        <v/>
      </c>
      <c r="AY7" t="str">
        <f t="shared" si="10"/>
        <v/>
      </c>
      <c r="AZ7" t="str">
        <f t="shared" si="10"/>
        <v/>
      </c>
      <c r="BA7" t="str">
        <f t="shared" si="10"/>
        <v/>
      </c>
      <c r="BB7" t="str">
        <f t="shared" si="10"/>
        <v>*1.0491</v>
      </c>
    </row>
    <row r="8" spans="1:54" ht="14.25" x14ac:dyDescent="0.45">
      <c r="A8" s="21" t="str">
        <f t="shared" si="5"/>
        <v>Australia_NZBIO</v>
      </c>
      <c r="B8" t="s">
        <v>65</v>
      </c>
      <c r="C8" t="s">
        <v>129</v>
      </c>
      <c r="D8" t="s">
        <v>66</v>
      </c>
      <c r="E8" s="1">
        <v>0.21853878511383401</v>
      </c>
      <c r="F8" s="1">
        <v>0.33193280383784002</v>
      </c>
      <c r="G8" s="1">
        <v>0</v>
      </c>
      <c r="H8" s="1">
        <v>0.31078988328482599</v>
      </c>
      <c r="J8" t="s">
        <v>91</v>
      </c>
      <c r="K8" s="1" t="s">
        <v>130</v>
      </c>
      <c r="L8" s="1">
        <v>0.33299999999999902</v>
      </c>
      <c r="M8" s="1">
        <v>0.32901715225495598</v>
      </c>
      <c r="N8" s="1"/>
      <c r="O8" s="1"/>
      <c r="Q8" s="17" t="str">
        <f t="shared" si="6"/>
        <v>BrazilBio</v>
      </c>
      <c r="R8" s="1">
        <f t="shared" si="0"/>
        <v>0</v>
      </c>
      <c r="S8" s="1">
        <f t="shared" si="1"/>
        <v>1.1837652998897696</v>
      </c>
      <c r="X8" s="18" t="s">
        <v>71</v>
      </c>
    </row>
    <row r="9" spans="1:54" ht="14.25" x14ac:dyDescent="0.45">
      <c r="A9" s="21" t="str">
        <f t="shared" si="5"/>
        <v>BrazilBIO</v>
      </c>
      <c r="B9" t="s">
        <v>65</v>
      </c>
      <c r="C9" t="s">
        <v>130</v>
      </c>
      <c r="D9" t="s">
        <v>66</v>
      </c>
      <c r="E9" s="1">
        <v>0.487704247618517</v>
      </c>
      <c r="F9" s="1">
        <v>0.37430670253605902</v>
      </c>
      <c r="G9" s="1">
        <v>0</v>
      </c>
      <c r="H9" s="1">
        <v>0.38947908790796598</v>
      </c>
      <c r="J9" t="s">
        <v>91</v>
      </c>
      <c r="K9" s="1" t="s">
        <v>131</v>
      </c>
      <c r="L9" s="1">
        <v>0.32341071180153003</v>
      </c>
      <c r="M9" s="1">
        <v>0.333851844398804</v>
      </c>
      <c r="N9" s="1"/>
      <c r="O9" s="1"/>
      <c r="Q9" s="17" t="str">
        <f t="shared" si="6"/>
        <v>CanadaBio</v>
      </c>
      <c r="R9" s="1">
        <f t="shared" si="0"/>
        <v>0.98833241643922209</v>
      </c>
      <c r="S9" s="1">
        <f t="shared" si="1"/>
        <v>1.0677110454378187</v>
      </c>
      <c r="U9">
        <v>3</v>
      </c>
      <c r="V9" s="18" t="s">
        <v>66</v>
      </c>
      <c r="X9" s="18" t="s">
        <v>89</v>
      </c>
      <c r="Y9" t="str">
        <f>"*"&amp;V9&amp;"*"</f>
        <v>*BIO*</v>
      </c>
      <c r="Z9" t="str">
        <f t="shared" ref="Z9:AI10" si="11">IFERROR(IF(VLOOKUP(Z$2&amp;$V9,$Q$3:$S$999,$U9,FALSE)&gt;1,"*"&amp;ROUND(VLOOKUP(Z$2&amp;$V9,$Q$3:$S$999,$U9,FALSE),4),""),"")</f>
        <v/>
      </c>
      <c r="AA9" t="str">
        <f t="shared" si="11"/>
        <v/>
      </c>
      <c r="AB9" t="str">
        <f t="shared" si="11"/>
        <v/>
      </c>
      <c r="AC9" t="str">
        <f t="shared" si="11"/>
        <v/>
      </c>
      <c r="AD9" t="str">
        <f t="shared" si="11"/>
        <v>*1.1123</v>
      </c>
      <c r="AE9" t="str">
        <f t="shared" si="11"/>
        <v/>
      </c>
      <c r="AF9" t="str">
        <f t="shared" si="11"/>
        <v>*1.1592</v>
      </c>
      <c r="AG9" t="str">
        <f t="shared" si="11"/>
        <v>*1.1838</v>
      </c>
      <c r="AH9" t="str">
        <f t="shared" si="11"/>
        <v>*1.0677</v>
      </c>
      <c r="AI9" t="str">
        <f t="shared" si="11"/>
        <v/>
      </c>
      <c r="AJ9" t="str">
        <f t="shared" ref="AJ9:AY10" si="12">IFERROR(IF(VLOOKUP(AJ$2&amp;$V9,$Q$3:$S$999,$U9,FALSE)&gt;1,"*"&amp;ROUND(VLOOKUP(AJ$2&amp;$V9,$Q$3:$S$999,$U9,FALSE),4),""),"")</f>
        <v>*1.1816</v>
      </c>
      <c r="AK9" t="str">
        <f t="shared" si="12"/>
        <v>*1.038</v>
      </c>
      <c r="AL9" t="str">
        <f t="shared" si="12"/>
        <v>*1.0936</v>
      </c>
      <c r="AM9" t="str">
        <f t="shared" si="12"/>
        <v>*1.0667</v>
      </c>
      <c r="AN9" t="str">
        <f t="shared" si="12"/>
        <v/>
      </c>
      <c r="AO9" t="str">
        <f t="shared" si="12"/>
        <v/>
      </c>
      <c r="AP9" t="str">
        <f t="shared" si="12"/>
        <v>*1.2639</v>
      </c>
      <c r="AQ9" t="str">
        <f t="shared" si="12"/>
        <v/>
      </c>
      <c r="AR9" t="str">
        <f t="shared" si="12"/>
        <v>*1.1179</v>
      </c>
      <c r="AS9" t="str">
        <f t="shared" si="12"/>
        <v/>
      </c>
      <c r="AT9" t="str">
        <f t="shared" si="12"/>
        <v/>
      </c>
      <c r="AU9" t="str">
        <f t="shared" si="12"/>
        <v/>
      </c>
      <c r="AV9" t="str">
        <f t="shared" si="12"/>
        <v/>
      </c>
      <c r="AW9" t="str">
        <f t="shared" si="12"/>
        <v/>
      </c>
      <c r="AX9" t="str">
        <f t="shared" si="12"/>
        <v/>
      </c>
      <c r="AY9" t="str">
        <f t="shared" si="12"/>
        <v/>
      </c>
      <c r="AZ9" t="str">
        <f t="shared" ref="AM9:BB10" si="13">IFERROR(IF(VLOOKUP(AZ$2&amp;$V9,$Q$3:$S$999,$U9,FALSE)&gt;1,"*"&amp;ROUND(VLOOKUP(AZ$2&amp;$V9,$Q$3:$S$999,$U9,FALSE),4),""),"")</f>
        <v/>
      </c>
      <c r="BA9" t="str">
        <f t="shared" si="13"/>
        <v>*1.2008</v>
      </c>
      <c r="BB9" t="str">
        <f t="shared" si="13"/>
        <v/>
      </c>
    </row>
    <row r="10" spans="1:54" ht="14.25" x14ac:dyDescent="0.45">
      <c r="A10" s="21" t="str">
        <f t="shared" si="5"/>
        <v>CanadaBIO</v>
      </c>
      <c r="B10" t="s">
        <v>65</v>
      </c>
      <c r="C10" t="s">
        <v>131</v>
      </c>
      <c r="D10" t="s">
        <v>66</v>
      </c>
      <c r="E10" s="1">
        <v>0.313636280950435</v>
      </c>
      <c r="F10" s="1">
        <v>0.37455951178130897</v>
      </c>
      <c r="G10" s="1">
        <v>0.319637290297135</v>
      </c>
      <c r="H10" s="1">
        <v>0.356457301804391</v>
      </c>
      <c r="J10" t="s">
        <v>91</v>
      </c>
      <c r="K10" s="1" t="s">
        <v>132</v>
      </c>
      <c r="L10" s="1">
        <v>0.34209439416779602</v>
      </c>
      <c r="M10" s="1">
        <v>0.32732751819596401</v>
      </c>
      <c r="N10" s="1"/>
      <c r="O10" s="1"/>
      <c r="Q10" s="17" t="str">
        <f t="shared" si="6"/>
        <v>EU_northBio</v>
      </c>
      <c r="R10" s="1">
        <f t="shared" si="0"/>
        <v>0.61692158005188769</v>
      </c>
      <c r="S10" s="1">
        <f t="shared" si="1"/>
        <v>1.1815960804043604</v>
      </c>
      <c r="U10">
        <v>2</v>
      </c>
      <c r="V10" s="18" t="s">
        <v>66</v>
      </c>
      <c r="X10" s="18" t="s">
        <v>90</v>
      </c>
      <c r="Y10" t="str">
        <f t="shared" ref="Y10" si="14">"*"&amp;V10&amp;"*"</f>
        <v>*BIO*</v>
      </c>
      <c r="Z10" t="str">
        <f t="shared" si="11"/>
        <v/>
      </c>
      <c r="AA10" t="str">
        <f t="shared" si="11"/>
        <v/>
      </c>
      <c r="AB10" t="str">
        <f t="shared" si="11"/>
        <v/>
      </c>
      <c r="AC10" t="str">
        <f t="shared" si="11"/>
        <v/>
      </c>
      <c r="AD10" t="str">
        <f t="shared" si="11"/>
        <v/>
      </c>
      <c r="AE10" t="str">
        <f t="shared" si="11"/>
        <v/>
      </c>
      <c r="AF10" t="str">
        <f t="shared" si="11"/>
        <v/>
      </c>
      <c r="AG10" t="str">
        <f t="shared" si="11"/>
        <v/>
      </c>
      <c r="AH10" t="str">
        <f t="shared" si="11"/>
        <v/>
      </c>
      <c r="AI10" t="str">
        <f t="shared" si="11"/>
        <v/>
      </c>
      <c r="AJ10" t="str">
        <f t="shared" si="12"/>
        <v/>
      </c>
      <c r="AK10" t="str">
        <f t="shared" si="12"/>
        <v/>
      </c>
      <c r="AL10" t="str">
        <f t="shared" si="12"/>
        <v/>
      </c>
      <c r="AM10" t="str">
        <f t="shared" si="13"/>
        <v/>
      </c>
      <c r="AN10" t="str">
        <f t="shared" si="13"/>
        <v/>
      </c>
      <c r="AO10" t="str">
        <f t="shared" si="13"/>
        <v/>
      </c>
      <c r="AP10" t="str">
        <f t="shared" si="13"/>
        <v/>
      </c>
      <c r="AQ10" t="str">
        <f t="shared" si="13"/>
        <v/>
      </c>
      <c r="AR10" t="str">
        <f t="shared" si="13"/>
        <v>*1.127</v>
      </c>
      <c r="AS10" t="str">
        <f t="shared" si="13"/>
        <v/>
      </c>
      <c r="AT10" t="str">
        <f t="shared" si="13"/>
        <v/>
      </c>
      <c r="AU10" t="str">
        <f t="shared" si="13"/>
        <v/>
      </c>
      <c r="AV10" t="str">
        <f t="shared" si="13"/>
        <v/>
      </c>
      <c r="AW10" t="str">
        <f t="shared" si="13"/>
        <v/>
      </c>
      <c r="AX10" t="str">
        <f t="shared" si="13"/>
        <v/>
      </c>
      <c r="AY10" t="str">
        <f t="shared" si="13"/>
        <v/>
      </c>
      <c r="AZ10" t="str">
        <f t="shared" si="13"/>
        <v/>
      </c>
      <c r="BA10" t="str">
        <f t="shared" si="13"/>
        <v/>
      </c>
      <c r="BB10" t="str">
        <f t="shared" si="13"/>
        <v/>
      </c>
    </row>
    <row r="11" spans="1:54" ht="14.25" x14ac:dyDescent="0.45">
      <c r="A11" s="21" t="str">
        <f t="shared" si="5"/>
        <v>ChinaBIO</v>
      </c>
      <c r="B11" t="s">
        <v>65</v>
      </c>
      <c r="C11" t="s">
        <v>62</v>
      </c>
      <c r="D11" t="s">
        <v>66</v>
      </c>
      <c r="E11" s="1">
        <v>8.0519263899622301E-2</v>
      </c>
      <c r="F11" s="1">
        <v>0.25002637009821199</v>
      </c>
      <c r="G11" s="1">
        <v>0</v>
      </c>
      <c r="H11" s="1">
        <v>0</v>
      </c>
      <c r="J11" t="s">
        <v>91</v>
      </c>
      <c r="K11" s="1" t="s">
        <v>133</v>
      </c>
      <c r="L11" s="1">
        <v>0.33376717183291199</v>
      </c>
      <c r="M11" s="1">
        <v>0.31039723473604602</v>
      </c>
      <c r="N11" s="1"/>
      <c r="O11" s="1"/>
      <c r="Q11" s="17" t="str">
        <f t="shared" si="6"/>
        <v>EU_northeastBio</v>
      </c>
      <c r="R11" s="1">
        <f t="shared" si="0"/>
        <v>0.69457979765541156</v>
      </c>
      <c r="S11" s="1">
        <f t="shared" si="1"/>
        <v>1.0380454340308096</v>
      </c>
      <c r="X11" t="s">
        <v>71</v>
      </c>
    </row>
    <row r="12" spans="1:54" ht="14.25" x14ac:dyDescent="0.45">
      <c r="A12" s="21" t="str">
        <f t="shared" si="5"/>
        <v>EU_northBIO</v>
      </c>
      <c r="B12" t="s">
        <v>65</v>
      </c>
      <c r="C12" t="s">
        <v>132</v>
      </c>
      <c r="D12" t="s">
        <v>66</v>
      </c>
      <c r="E12" s="1">
        <v>0.40245658658595901</v>
      </c>
      <c r="F12" s="1">
        <v>0.33304306136526501</v>
      </c>
      <c r="G12" s="1">
        <v>0.21104541417688999</v>
      </c>
      <c r="H12" s="1">
        <v>0.38676891250883799</v>
      </c>
      <c r="J12" t="s">
        <v>91</v>
      </c>
      <c r="K12" s="1" t="s">
        <v>134</v>
      </c>
      <c r="L12" s="1">
        <v>0.33337510718772301</v>
      </c>
      <c r="M12" s="1">
        <v>0.29239287650391999</v>
      </c>
      <c r="N12" s="1"/>
      <c r="O12" s="1"/>
      <c r="Q12" s="17" t="str">
        <f t="shared" si="6"/>
        <v>EU_northwestBio</v>
      </c>
      <c r="R12" s="1">
        <f t="shared" si="0"/>
        <v>0.70185405360536968</v>
      </c>
      <c r="S12" s="1">
        <f t="shared" si="1"/>
        <v>1.0935611619591705</v>
      </c>
      <c r="U12" s="2">
        <f>U9</f>
        <v>3</v>
      </c>
      <c r="V12" s="18" t="s">
        <v>70</v>
      </c>
      <c r="X12" s="18" t="s">
        <v>89</v>
      </c>
      <c r="Y12" t="str">
        <f>"*"&amp;V12&amp;"*"</f>
        <v>*OIL*</v>
      </c>
      <c r="Z12" t="str">
        <f t="shared" ref="Z12:AI13" si="15">IFERROR(IF(VLOOKUP(Z$2&amp;$V12,$Q$3:$S$999,$U12,FALSE)&gt;1,"*"&amp;ROUND(VLOOKUP(Z$2&amp;$V12,$Q$3:$S$999,$U12,FALSE),4),""),"")</f>
        <v/>
      </c>
      <c r="AA12" t="str">
        <f t="shared" si="15"/>
        <v>*1.0762</v>
      </c>
      <c r="AB12" t="str">
        <f t="shared" si="15"/>
        <v>*1.3163</v>
      </c>
      <c r="AC12" t="str">
        <f t="shared" si="15"/>
        <v>*1.2093</v>
      </c>
      <c r="AD12" t="str">
        <f t="shared" si="15"/>
        <v>*1.1184</v>
      </c>
      <c r="AE12" t="str">
        <f t="shared" si="15"/>
        <v>*1.2009</v>
      </c>
      <c r="AF12" t="str">
        <f t="shared" si="15"/>
        <v>*1.2955</v>
      </c>
      <c r="AG12" t="str">
        <f t="shared" si="15"/>
        <v/>
      </c>
      <c r="AH12" t="str">
        <f t="shared" si="15"/>
        <v>*1.1735</v>
      </c>
      <c r="AI12" t="str">
        <f t="shared" si="15"/>
        <v>*1.3282</v>
      </c>
      <c r="AJ12" t="str">
        <f t="shared" ref="AJ12:AY13" si="16">IFERROR(IF(VLOOKUP(AJ$2&amp;$V12,$Q$3:$S$999,$U12,FALSE)&gt;1,"*"&amp;ROUND(VLOOKUP(AJ$2&amp;$V12,$Q$3:$S$999,$U12,FALSE),4),""),"")</f>
        <v>*1.3128</v>
      </c>
      <c r="AK12" t="str">
        <f t="shared" si="16"/>
        <v>*1.212</v>
      </c>
      <c r="AL12" t="str">
        <f t="shared" si="16"/>
        <v>*1.3446</v>
      </c>
      <c r="AM12" t="str">
        <f t="shared" si="16"/>
        <v>*1.0809</v>
      </c>
      <c r="AN12" t="str">
        <f t="shared" si="16"/>
        <v>*1.091</v>
      </c>
      <c r="AO12" t="str">
        <f t="shared" si="16"/>
        <v>*1.4929</v>
      </c>
      <c r="AP12" t="str">
        <f t="shared" si="16"/>
        <v>*1.2641</v>
      </c>
      <c r="AQ12" t="str">
        <f t="shared" si="16"/>
        <v/>
      </c>
      <c r="AR12" t="str">
        <f t="shared" si="16"/>
        <v/>
      </c>
      <c r="AS12" t="str">
        <f t="shared" si="16"/>
        <v/>
      </c>
      <c r="AT12" t="str">
        <f t="shared" si="16"/>
        <v/>
      </c>
      <c r="AU12" t="str">
        <f t="shared" si="16"/>
        <v/>
      </c>
      <c r="AV12" t="str">
        <f t="shared" si="16"/>
        <v/>
      </c>
      <c r="AW12" t="str">
        <f t="shared" si="16"/>
        <v/>
      </c>
      <c r="AX12" t="str">
        <f t="shared" si="16"/>
        <v/>
      </c>
      <c r="AY12" t="str">
        <f t="shared" si="16"/>
        <v/>
      </c>
      <c r="AZ12" t="str">
        <f t="shared" ref="AM12:BB13" si="17">IFERROR(IF(VLOOKUP(AZ$2&amp;$V12,$Q$3:$S$999,$U12,FALSE)&gt;1,"*"&amp;ROUND(VLOOKUP(AZ$2&amp;$V12,$Q$3:$S$999,$U12,FALSE),4),""),"")</f>
        <v/>
      </c>
      <c r="BA12" t="str">
        <f t="shared" si="17"/>
        <v/>
      </c>
      <c r="BB12" t="str">
        <f t="shared" si="17"/>
        <v/>
      </c>
    </row>
    <row r="13" spans="1:54" ht="14.25" x14ac:dyDescent="0.45">
      <c r="A13" s="21" t="str">
        <f t="shared" si="5"/>
        <v>EU_northeastBIO</v>
      </c>
      <c r="B13" t="s">
        <v>65</v>
      </c>
      <c r="C13" t="s">
        <v>133</v>
      </c>
      <c r="D13" t="s">
        <v>66</v>
      </c>
      <c r="E13" s="1">
        <v>0.42296845191847998</v>
      </c>
      <c r="F13" s="1">
        <v>0.29476826561226599</v>
      </c>
      <c r="G13" s="1">
        <v>0.23182793467572299</v>
      </c>
      <c r="H13" s="1">
        <v>0.32220643225354201</v>
      </c>
      <c r="J13" t="s">
        <v>91</v>
      </c>
      <c r="K13" s="1" t="s">
        <v>135</v>
      </c>
      <c r="L13" s="1">
        <v>0.30660731429961902</v>
      </c>
      <c r="M13" s="1">
        <v>0.309778756424678</v>
      </c>
      <c r="N13" s="1"/>
      <c r="O13" s="1"/>
      <c r="Q13" s="17" t="str">
        <f t="shared" si="6"/>
        <v>EU_southBio</v>
      </c>
      <c r="R13" s="1">
        <f t="shared" si="0"/>
        <v>0.91003601508951582</v>
      </c>
      <c r="S13" s="1">
        <f t="shared" si="1"/>
        <v>1.0667069008636119</v>
      </c>
      <c r="U13" s="2">
        <f>U10</f>
        <v>2</v>
      </c>
      <c r="V13" s="18" t="s">
        <v>70</v>
      </c>
      <c r="X13" s="18" t="s">
        <v>90</v>
      </c>
      <c r="Y13" t="s">
        <v>71</v>
      </c>
      <c r="Z13" t="str">
        <f t="shared" si="15"/>
        <v/>
      </c>
      <c r="AA13" t="str">
        <f t="shared" si="15"/>
        <v/>
      </c>
      <c r="AB13" t="str">
        <f t="shared" si="15"/>
        <v/>
      </c>
      <c r="AC13" t="str">
        <f t="shared" si="15"/>
        <v>*1.1164</v>
      </c>
      <c r="AD13" t="str">
        <f t="shared" si="15"/>
        <v/>
      </c>
      <c r="AE13" t="str">
        <f t="shared" si="15"/>
        <v/>
      </c>
      <c r="AF13" t="str">
        <f t="shared" si="15"/>
        <v/>
      </c>
      <c r="AG13" t="str">
        <f t="shared" si="15"/>
        <v/>
      </c>
      <c r="AH13" t="str">
        <f t="shared" si="15"/>
        <v/>
      </c>
      <c r="AI13" t="str">
        <f t="shared" si="15"/>
        <v/>
      </c>
      <c r="AJ13" t="str">
        <f t="shared" si="16"/>
        <v/>
      </c>
      <c r="AK13" t="str">
        <f t="shared" si="16"/>
        <v/>
      </c>
      <c r="AL13" t="str">
        <f t="shared" si="16"/>
        <v>*1.5669</v>
      </c>
      <c r="AM13" t="str">
        <f t="shared" si="17"/>
        <v>*1.0405</v>
      </c>
      <c r="AN13" t="str">
        <f t="shared" si="17"/>
        <v/>
      </c>
      <c r="AO13" t="str">
        <f t="shared" si="17"/>
        <v>*1.5194</v>
      </c>
      <c r="AP13" t="str">
        <f t="shared" si="17"/>
        <v>*1.0303</v>
      </c>
      <c r="AQ13" t="str">
        <f t="shared" si="17"/>
        <v/>
      </c>
      <c r="AR13" t="str">
        <f t="shared" si="17"/>
        <v/>
      </c>
      <c r="AS13" t="str">
        <f t="shared" si="17"/>
        <v/>
      </c>
      <c r="AT13" t="str">
        <f t="shared" si="17"/>
        <v/>
      </c>
      <c r="AU13" t="str">
        <f t="shared" si="17"/>
        <v/>
      </c>
      <c r="AV13" t="str">
        <f t="shared" si="17"/>
        <v/>
      </c>
      <c r="AW13" t="str">
        <f t="shared" si="17"/>
        <v/>
      </c>
      <c r="AX13" t="str">
        <f t="shared" si="17"/>
        <v/>
      </c>
      <c r="AY13" t="str">
        <f t="shared" si="17"/>
        <v/>
      </c>
      <c r="AZ13" t="str">
        <f t="shared" si="17"/>
        <v/>
      </c>
      <c r="BA13" t="str">
        <f t="shared" si="17"/>
        <v/>
      </c>
      <c r="BB13" t="str">
        <f t="shared" si="17"/>
        <v/>
      </c>
    </row>
    <row r="14" spans="1:54" ht="14.25" x14ac:dyDescent="0.45">
      <c r="A14" s="21" t="str">
        <f t="shared" si="5"/>
        <v>EU_northwestBIO</v>
      </c>
      <c r="B14" t="s">
        <v>65</v>
      </c>
      <c r="C14" t="s">
        <v>134</v>
      </c>
      <c r="D14" t="s">
        <v>66</v>
      </c>
      <c r="E14" s="1">
        <v>0.27204957680328001</v>
      </c>
      <c r="F14" s="1">
        <v>0.29023950069896798</v>
      </c>
      <c r="G14" s="1">
        <v>0.23398067035082801</v>
      </c>
      <c r="H14" s="1">
        <v>0.31974949377821099</v>
      </c>
      <c r="J14" t="s">
        <v>91</v>
      </c>
      <c r="K14" s="1" t="s">
        <v>136</v>
      </c>
      <c r="L14" s="1">
        <v>0.32720547754068802</v>
      </c>
      <c r="M14" s="1">
        <v>0.325988275329262</v>
      </c>
      <c r="N14" s="1"/>
      <c r="O14" s="1"/>
      <c r="Q14" s="17" t="str">
        <f t="shared" si="6"/>
        <v>EU_southeastBio</v>
      </c>
      <c r="R14" s="1">
        <f t="shared" si="0"/>
        <v>0.7751442937273656</v>
      </c>
      <c r="S14" s="1">
        <f t="shared" si="1"/>
        <v>0.94338870722897605</v>
      </c>
    </row>
    <row r="15" spans="1:54" ht="14.25" x14ac:dyDescent="0.45">
      <c r="A15" s="21" t="str">
        <f t="shared" si="5"/>
        <v>EU_southBIO</v>
      </c>
      <c r="B15" t="s">
        <v>65</v>
      </c>
      <c r="C15" t="s">
        <v>135</v>
      </c>
      <c r="D15" t="s">
        <v>66</v>
      </c>
      <c r="E15" s="1">
        <v>0.37717152777322399</v>
      </c>
      <c r="F15" s="1">
        <v>0.33664683559957598</v>
      </c>
      <c r="G15" s="1">
        <v>0.27902369850252401</v>
      </c>
      <c r="H15" s="1">
        <v>0.33044313721915197</v>
      </c>
      <c r="J15" t="s">
        <v>91</v>
      </c>
      <c r="K15" s="1" t="s">
        <v>137</v>
      </c>
      <c r="L15" s="1">
        <v>0.28564325668116702</v>
      </c>
      <c r="M15" s="1">
        <v>0.319661373912004</v>
      </c>
      <c r="N15" s="1"/>
      <c r="O15" s="1"/>
      <c r="Q15" s="17" t="str">
        <f t="shared" si="6"/>
        <v>EU_southwestBio</v>
      </c>
      <c r="R15" s="1">
        <f t="shared" si="0"/>
        <v>0</v>
      </c>
      <c r="S15" s="1">
        <f t="shared" si="1"/>
        <v>0.84151036134556734</v>
      </c>
      <c r="Y15" s="18"/>
    </row>
    <row r="16" spans="1:54" ht="14.25" x14ac:dyDescent="0.45">
      <c r="A16" s="21" t="str">
        <f t="shared" si="5"/>
        <v>EU_southeastBIO</v>
      </c>
      <c r="B16" t="s">
        <v>65</v>
      </c>
      <c r="C16" t="s">
        <v>136</v>
      </c>
      <c r="D16" t="s">
        <v>66</v>
      </c>
      <c r="E16" s="1">
        <v>0.48024203656992198</v>
      </c>
      <c r="F16" s="1">
        <v>0.33635085079809501</v>
      </c>
      <c r="G16" s="1">
        <v>0.253631458792002</v>
      </c>
      <c r="H16" s="1">
        <v>0.30753365763467599</v>
      </c>
      <c r="J16" t="s">
        <v>91</v>
      </c>
      <c r="K16" s="1" t="s">
        <v>138</v>
      </c>
      <c r="L16" s="1">
        <v>0.33433851078735899</v>
      </c>
      <c r="M16" s="1">
        <v>0.27902570556856598</v>
      </c>
      <c r="N16" s="1"/>
      <c r="O16" s="1"/>
      <c r="Q16" s="17" t="str">
        <f t="shared" si="6"/>
        <v>Europe_otherBio</v>
      </c>
      <c r="R16" s="1">
        <f t="shared" si="0"/>
        <v>0.63813963241451011</v>
      </c>
      <c r="S16" s="1">
        <f t="shared" si="1"/>
        <v>1.2639003962390283</v>
      </c>
    </row>
    <row r="17" spans="1:19" ht="14.25" x14ac:dyDescent="0.45">
      <c r="A17" s="21" t="str">
        <f t="shared" si="5"/>
        <v>EU_southwestBIO</v>
      </c>
      <c r="B17" t="s">
        <v>65</v>
      </c>
      <c r="C17" t="s">
        <v>137</v>
      </c>
      <c r="D17" t="s">
        <v>66</v>
      </c>
      <c r="E17" s="1">
        <v>0.41829906442387399</v>
      </c>
      <c r="F17" s="1">
        <v>0.27879046958510001</v>
      </c>
      <c r="G17" s="1">
        <v>0</v>
      </c>
      <c r="H17" s="1">
        <v>0.268998358268911</v>
      </c>
      <c r="J17" t="s">
        <v>91</v>
      </c>
      <c r="K17" s="1" t="s">
        <v>139</v>
      </c>
      <c r="L17" s="1">
        <v>0.32905717949630803</v>
      </c>
      <c r="M17" s="1">
        <v>0.31205707703564101</v>
      </c>
      <c r="N17" s="1"/>
      <c r="O17" s="1"/>
      <c r="Q17" s="17" t="str">
        <f t="shared" si="6"/>
        <v>FranceBio</v>
      </c>
      <c r="R17" s="1">
        <f t="shared" si="0"/>
        <v>0.51784872185555486</v>
      </c>
      <c r="S17" s="1">
        <f t="shared" si="1"/>
        <v>0.9430013518895598</v>
      </c>
    </row>
    <row r="18" spans="1:19" ht="14.25" x14ac:dyDescent="0.45">
      <c r="A18" s="21" t="str">
        <f t="shared" si="5"/>
        <v>Europe_otherBIO</v>
      </c>
      <c r="B18" t="s">
        <v>65</v>
      </c>
      <c r="C18" t="s">
        <v>138</v>
      </c>
      <c r="D18" t="s">
        <v>66</v>
      </c>
      <c r="E18" s="1">
        <v>0.17901314133718499</v>
      </c>
      <c r="F18" s="1">
        <v>0.289522536711317</v>
      </c>
      <c r="G18" s="1">
        <v>0.21335465437585999</v>
      </c>
      <c r="H18" s="1">
        <v>0.35266069982898501</v>
      </c>
      <c r="J18" t="s">
        <v>91</v>
      </c>
      <c r="K18" s="1" t="s">
        <v>140</v>
      </c>
      <c r="L18" s="1">
        <v>0.32634396359862899</v>
      </c>
      <c r="M18" s="1">
        <v>0.30531707170097599</v>
      </c>
      <c r="N18" s="1"/>
      <c r="O18" s="1"/>
      <c r="Q18" s="17" t="str">
        <f t="shared" si="6"/>
        <v>GermanyBio</v>
      </c>
      <c r="R18" s="1">
        <f t="shared" si="0"/>
        <v>1.1269673467649519</v>
      </c>
      <c r="S18" s="1">
        <f t="shared" si="1"/>
        <v>1.1179220254194122</v>
      </c>
    </row>
    <row r="19" spans="1:19" ht="14.25" x14ac:dyDescent="0.45">
      <c r="A19" s="21" t="str">
        <f t="shared" si="5"/>
        <v>FranceBIO</v>
      </c>
      <c r="B19" t="s">
        <v>65</v>
      </c>
      <c r="C19" t="s">
        <v>139</v>
      </c>
      <c r="D19" t="s">
        <v>66</v>
      </c>
      <c r="E19" s="1">
        <v>0.211336163771154</v>
      </c>
      <c r="F19" s="1">
        <v>0.22760610466945699</v>
      </c>
      <c r="G19" s="1">
        <v>0.170401839819557</v>
      </c>
      <c r="H19" s="1">
        <v>0.29427024551131398</v>
      </c>
      <c r="J19" t="s">
        <v>91</v>
      </c>
      <c r="K19" s="1" t="s">
        <v>63</v>
      </c>
      <c r="L19" s="1">
        <v>0.32800000000000001</v>
      </c>
      <c r="M19" s="1">
        <v>0.33073882523921999</v>
      </c>
      <c r="N19" s="1"/>
      <c r="O19" s="1"/>
      <c r="Q19" s="17" t="str">
        <f t="shared" si="6"/>
        <v>IndiaBio</v>
      </c>
      <c r="R19" s="1">
        <f t="shared" si="0"/>
        <v>0</v>
      </c>
      <c r="S19" s="1">
        <f t="shared" si="1"/>
        <v>0.66517721808156116</v>
      </c>
    </row>
    <row r="20" spans="1:19" ht="14.25" x14ac:dyDescent="0.45">
      <c r="A20" s="21" t="str">
        <f t="shared" si="5"/>
        <v>GermanyBIO</v>
      </c>
      <c r="B20" t="s">
        <v>65</v>
      </c>
      <c r="C20" t="s">
        <v>140</v>
      </c>
      <c r="D20" t="s">
        <v>66</v>
      </c>
      <c r="E20" s="1">
        <v>0.51594503615027099</v>
      </c>
      <c r="F20" s="1">
        <v>0.28942636058426102</v>
      </c>
      <c r="G20" s="1">
        <v>0.36777899078950499</v>
      </c>
      <c r="H20" s="1">
        <v>0.341320679191079</v>
      </c>
      <c r="J20" t="s">
        <v>91</v>
      </c>
      <c r="K20" s="1" t="s">
        <v>141</v>
      </c>
      <c r="L20" s="1">
        <v>0.33200000000000002</v>
      </c>
      <c r="M20" s="1">
        <v>0.29952361015797302</v>
      </c>
      <c r="N20" s="1"/>
      <c r="O20" s="1"/>
      <c r="Q20" s="17" t="str">
        <f t="shared" si="6"/>
        <v>LatAm_otherBio</v>
      </c>
      <c r="R20" s="1">
        <f t="shared" si="0"/>
        <v>0</v>
      </c>
      <c r="S20" s="1">
        <f t="shared" si="1"/>
        <v>0.74032786359718072</v>
      </c>
    </row>
    <row r="21" spans="1:19" ht="14.25" x14ac:dyDescent="0.45">
      <c r="A21" s="21" t="str">
        <f t="shared" si="5"/>
        <v>IndiaBIO</v>
      </c>
      <c r="B21" t="s">
        <v>65</v>
      </c>
      <c r="C21" t="s">
        <v>63</v>
      </c>
      <c r="D21" t="s">
        <v>66</v>
      </c>
      <c r="E21" s="1">
        <v>0.16254073451348</v>
      </c>
      <c r="F21" s="1">
        <v>0.20000000226043901</v>
      </c>
      <c r="G21" s="1">
        <v>0</v>
      </c>
      <c r="H21" s="1">
        <v>0.21999993168418799</v>
      </c>
      <c r="J21" t="s">
        <v>91</v>
      </c>
      <c r="K21" s="1" t="s">
        <v>144</v>
      </c>
      <c r="L21" s="1">
        <v>0.32900000000000001</v>
      </c>
      <c r="N21" s="1"/>
      <c r="O21" s="1"/>
      <c r="Q21" s="17" t="str">
        <f t="shared" si="6"/>
        <v>Nor-IceBio</v>
      </c>
      <c r="R21" s="1">
        <f t="shared" si="0"/>
        <v>0.45637902550379023</v>
      </c>
      <c r="S21" s="1" t="str">
        <f t="shared" si="1"/>
        <v/>
      </c>
    </row>
    <row r="22" spans="1:19" ht="14.25" x14ac:dyDescent="0.45">
      <c r="A22" s="21" t="str">
        <f t="shared" si="5"/>
        <v>LatAm_otherBIO</v>
      </c>
      <c r="B22" t="s">
        <v>65</v>
      </c>
      <c r="C22" t="s">
        <v>141</v>
      </c>
      <c r="D22" t="s">
        <v>66</v>
      </c>
      <c r="E22" s="1">
        <v>0.62636687298435301</v>
      </c>
      <c r="F22" s="1">
        <v>0.18783341492528799</v>
      </c>
      <c r="G22" s="1">
        <v>0</v>
      </c>
      <c r="H22" s="1">
        <v>0.22174567440516699</v>
      </c>
      <c r="J22" t="s">
        <v>91</v>
      </c>
      <c r="K22" s="1" t="s">
        <v>64</v>
      </c>
      <c r="L22" s="1">
        <v>0.28515509601181699</v>
      </c>
      <c r="N22" s="1"/>
      <c r="O22" s="1"/>
      <c r="Q22" s="17" t="str">
        <f t="shared" si="6"/>
        <v>RussiaBio</v>
      </c>
      <c r="R22" s="1">
        <f t="shared" si="0"/>
        <v>0</v>
      </c>
      <c r="S22" s="1" t="str">
        <f t="shared" si="1"/>
        <v/>
      </c>
    </row>
    <row r="23" spans="1:19" ht="14.25" x14ac:dyDescent="0.45">
      <c r="A23" s="21" t="str">
        <f t="shared" si="5"/>
        <v>MexicoBIO</v>
      </c>
      <c r="B23" t="s">
        <v>65</v>
      </c>
      <c r="C23" t="s">
        <v>142</v>
      </c>
      <c r="D23" t="s">
        <v>66</v>
      </c>
      <c r="E23" s="1">
        <v>0.101491429027727</v>
      </c>
      <c r="F23" s="1">
        <v>8.2916494761451298E-2</v>
      </c>
      <c r="G23" s="1">
        <v>0</v>
      </c>
      <c r="H23" s="1">
        <v>0</v>
      </c>
      <c r="J23" t="s">
        <v>91</v>
      </c>
      <c r="K23" s="1" t="s">
        <v>146</v>
      </c>
      <c r="L23" s="1">
        <v>0.33049988561906601</v>
      </c>
      <c r="M23" s="1">
        <v>0.379397658822756</v>
      </c>
      <c r="N23" s="1"/>
      <c r="O23" s="1"/>
      <c r="Q23" s="17" t="str">
        <f t="shared" si="6"/>
        <v>UKBio</v>
      </c>
      <c r="R23" s="1">
        <f t="shared" si="0"/>
        <v>0</v>
      </c>
      <c r="S23" s="1">
        <f t="shared" si="1"/>
        <v>1.2008358320919132</v>
      </c>
    </row>
    <row r="24" spans="1:19" ht="14.25" x14ac:dyDescent="0.45">
      <c r="A24" s="21" t="str">
        <f t="shared" si="5"/>
        <v>MidEast_otherBIO</v>
      </c>
      <c r="B24" t="s">
        <v>65</v>
      </c>
      <c r="C24" t="s">
        <v>143</v>
      </c>
      <c r="D24" t="s">
        <v>66</v>
      </c>
      <c r="E24" s="1">
        <v>0</v>
      </c>
      <c r="F24" s="1">
        <v>0.180578809514435</v>
      </c>
      <c r="G24" s="1">
        <v>0</v>
      </c>
      <c r="H24" s="1">
        <v>0.30396197208797998</v>
      </c>
      <c r="J24" t="s">
        <v>91</v>
      </c>
      <c r="K24" s="1" t="s">
        <v>147</v>
      </c>
      <c r="L24" s="1">
        <v>0.31017240360668102</v>
      </c>
      <c r="M24" s="1">
        <v>0.31323223762510199</v>
      </c>
      <c r="N24" s="1"/>
      <c r="O24" s="1"/>
      <c r="Q24" s="17" t="str">
        <f t="shared" si="6"/>
        <v>USABio</v>
      </c>
      <c r="R24" s="1">
        <f t="shared" si="0"/>
        <v>0.59608746767818677</v>
      </c>
      <c r="S24" s="1">
        <f t="shared" si="1"/>
        <v>0.79978774322267188</v>
      </c>
    </row>
    <row r="25" spans="1:19" ht="14.25" x14ac:dyDescent="0.45">
      <c r="A25" s="21" t="str">
        <f t="shared" si="5"/>
        <v>Nor-IceBIO</v>
      </c>
      <c r="B25" t="s">
        <v>65</v>
      </c>
      <c r="C25" t="s">
        <v>144</v>
      </c>
      <c r="D25" t="s">
        <v>66</v>
      </c>
      <c r="E25" s="1">
        <v>0</v>
      </c>
      <c r="F25" s="1">
        <v>0</v>
      </c>
      <c r="G25" s="1">
        <v>0.15014869939074699</v>
      </c>
      <c r="H25" s="1">
        <v>0.53273919341336196</v>
      </c>
      <c r="J25" t="s">
        <v>92</v>
      </c>
      <c r="K25" s="1" t="s">
        <v>148</v>
      </c>
      <c r="M25" s="1">
        <v>0.32281708402623599</v>
      </c>
      <c r="N25" s="1"/>
      <c r="O25" s="1"/>
      <c r="Q25" s="17" t="str">
        <f t="shared" si="6"/>
        <v>Africa_northCoa</v>
      </c>
      <c r="R25" s="1" t="str">
        <f t="shared" si="0"/>
        <v/>
      </c>
      <c r="S25" s="1">
        <f t="shared" si="1"/>
        <v>1.067618333845135</v>
      </c>
    </row>
    <row r="26" spans="1:19" ht="14.25" x14ac:dyDescent="0.45">
      <c r="A26" s="21" t="str">
        <f t="shared" si="5"/>
        <v>RussiaBIO</v>
      </c>
      <c r="B26" t="s">
        <v>65</v>
      </c>
      <c r="C26" t="s">
        <v>64</v>
      </c>
      <c r="D26" t="s">
        <v>66</v>
      </c>
      <c r="E26" s="1">
        <v>0.103052662321428</v>
      </c>
      <c r="F26" s="1">
        <v>0</v>
      </c>
      <c r="G26" s="1">
        <v>0</v>
      </c>
      <c r="H26" s="1">
        <v>0</v>
      </c>
      <c r="J26" t="s">
        <v>92</v>
      </c>
      <c r="K26" s="1" t="s">
        <v>124</v>
      </c>
      <c r="L26" s="1">
        <v>0.27300000000000102</v>
      </c>
      <c r="M26" s="1">
        <v>0.30965531353158998</v>
      </c>
      <c r="N26" s="1"/>
      <c r="O26" s="1"/>
      <c r="Q26" s="17" t="str">
        <f t="shared" si="6"/>
        <v>Africa_otherCoa</v>
      </c>
      <c r="R26" s="1">
        <f t="shared" si="0"/>
        <v>0</v>
      </c>
      <c r="S26" s="1">
        <f t="shared" si="1"/>
        <v>0.82993531870295634</v>
      </c>
    </row>
    <row r="27" spans="1:19" ht="14.25" x14ac:dyDescent="0.45">
      <c r="A27" s="21" t="str">
        <f t="shared" si="5"/>
        <v>SouthAfricaBIO</v>
      </c>
      <c r="B27" t="s">
        <v>65</v>
      </c>
      <c r="C27" t="s">
        <v>145</v>
      </c>
      <c r="D27" t="s">
        <v>66</v>
      </c>
      <c r="E27" s="1">
        <v>0.50000097324747905</v>
      </c>
      <c r="F27" s="1">
        <v>0.25411261576563898</v>
      </c>
      <c r="G27" s="1">
        <v>0</v>
      </c>
      <c r="H27" s="1">
        <v>0</v>
      </c>
      <c r="J27" t="s">
        <v>92</v>
      </c>
      <c r="K27" s="1" t="s">
        <v>125</v>
      </c>
      <c r="M27" s="1">
        <v>0.307629305681902</v>
      </c>
      <c r="N27" s="1"/>
      <c r="O27" s="1"/>
      <c r="Q27" s="17" t="str">
        <f t="shared" si="6"/>
        <v>Arg-ChiCoa</v>
      </c>
      <c r="R27" s="1" t="str">
        <f t="shared" si="0"/>
        <v/>
      </c>
      <c r="S27" s="1">
        <f t="shared" si="1"/>
        <v>1.1732765550363948</v>
      </c>
    </row>
    <row r="28" spans="1:19" ht="14.25" x14ac:dyDescent="0.45">
      <c r="A28" s="21" t="str">
        <f t="shared" si="5"/>
        <v>UKBIO</v>
      </c>
      <c r="B28" t="s">
        <v>65</v>
      </c>
      <c r="C28" t="s">
        <v>146</v>
      </c>
      <c r="D28" t="s">
        <v>66</v>
      </c>
      <c r="E28" s="1">
        <v>0.36237241383443802</v>
      </c>
      <c r="F28" s="1">
        <v>0.33179883450136</v>
      </c>
      <c r="G28" s="1">
        <v>0</v>
      </c>
      <c r="H28" s="1">
        <v>0.45559430332614798</v>
      </c>
      <c r="J28" t="s">
        <v>92</v>
      </c>
      <c r="K28" s="1" t="s">
        <v>126</v>
      </c>
      <c r="L28" s="1">
        <v>0.32982987419260901</v>
      </c>
      <c r="M28" s="1">
        <v>0.34767641411260197</v>
      </c>
      <c r="N28" s="1"/>
      <c r="O28" s="1"/>
      <c r="Q28" s="17" t="str">
        <f t="shared" si="6"/>
        <v>Asia_centralCoa</v>
      </c>
      <c r="R28" s="1">
        <f t="shared" si="0"/>
        <v>0.85719757939371499</v>
      </c>
      <c r="S28" s="1">
        <f t="shared" si="1"/>
        <v>0.57479265625528508</v>
      </c>
    </row>
    <row r="29" spans="1:19" ht="14.25" x14ac:dyDescent="0.45">
      <c r="A29" s="21" t="str">
        <f t="shared" si="5"/>
        <v>USABIO</v>
      </c>
      <c r="B29" t="s">
        <v>65</v>
      </c>
      <c r="C29" t="s">
        <v>147</v>
      </c>
      <c r="D29" t="s">
        <v>66</v>
      </c>
      <c r="E29" s="1">
        <v>0.59548027170193196</v>
      </c>
      <c r="F29" s="1">
        <v>0.21384718374897599</v>
      </c>
      <c r="G29" s="1">
        <v>0.18488988260956299</v>
      </c>
      <c r="H29" s="1">
        <v>0.250519304434768</v>
      </c>
      <c r="J29" t="s">
        <v>92</v>
      </c>
      <c r="K29" s="1" t="s">
        <v>127</v>
      </c>
      <c r="L29" s="1">
        <v>0.29843540934656498</v>
      </c>
      <c r="M29" s="1">
        <v>0.343999098031325</v>
      </c>
      <c r="N29" s="1"/>
      <c r="O29" s="1"/>
      <c r="Q29" s="17" t="str">
        <f t="shared" si="6"/>
        <v>Asia_eastCoa</v>
      </c>
      <c r="R29" s="1">
        <f t="shared" si="0"/>
        <v>0</v>
      </c>
      <c r="S29" s="1">
        <f t="shared" si="1"/>
        <v>1.1732117586452193</v>
      </c>
    </row>
    <row r="30" spans="1:19" ht="14.25" x14ac:dyDescent="0.45">
      <c r="A30" s="21" t="str">
        <f t="shared" si="5"/>
        <v>Africa_northCOA</v>
      </c>
      <c r="B30" t="s">
        <v>65</v>
      </c>
      <c r="C30" t="s">
        <v>148</v>
      </c>
      <c r="D30" t="s">
        <v>67</v>
      </c>
      <c r="E30" s="1">
        <v>0</v>
      </c>
      <c r="F30" s="1">
        <v>0</v>
      </c>
      <c r="G30" s="1">
        <v>0</v>
      </c>
      <c r="H30" s="1">
        <v>0.344645437384835</v>
      </c>
      <c r="J30" t="s">
        <v>92</v>
      </c>
      <c r="K30" s="1" t="s">
        <v>128</v>
      </c>
      <c r="L30" s="1">
        <v>0.32134594962037299</v>
      </c>
      <c r="M30" s="1">
        <v>0.30755439499954901</v>
      </c>
      <c r="N30" s="1"/>
      <c r="O30" s="1"/>
      <c r="Q30" s="17" t="str">
        <f t="shared" si="6"/>
        <v>Asia_otherCoa</v>
      </c>
      <c r="R30" s="1">
        <f t="shared" si="0"/>
        <v>0.57158842287549105</v>
      </c>
      <c r="S30" s="1">
        <f t="shared" si="1"/>
        <v>1.1294404482140414</v>
      </c>
    </row>
    <row r="31" spans="1:19" ht="14.25" x14ac:dyDescent="0.45">
      <c r="A31" s="21" t="str">
        <f t="shared" si="5"/>
        <v>Africa_otherCOA</v>
      </c>
      <c r="B31" t="s">
        <v>65</v>
      </c>
      <c r="C31" t="s">
        <v>124</v>
      </c>
      <c r="D31" t="s">
        <v>67</v>
      </c>
      <c r="E31" s="1">
        <v>0</v>
      </c>
      <c r="F31" s="1">
        <v>0.25245254607526002</v>
      </c>
      <c r="G31" s="1">
        <v>0</v>
      </c>
      <c r="H31" s="1">
        <v>0.25699388132390399</v>
      </c>
      <c r="J31" t="s">
        <v>92</v>
      </c>
      <c r="K31" s="1" t="s">
        <v>129</v>
      </c>
      <c r="L31" s="1">
        <v>0.313</v>
      </c>
      <c r="M31" s="1">
        <v>0.32802090244186999</v>
      </c>
      <c r="N31" s="1"/>
      <c r="O31" s="1"/>
      <c r="Q31" s="17" t="str">
        <f t="shared" si="6"/>
        <v>Australia_NZCoa</v>
      </c>
      <c r="R31" s="1">
        <f t="shared" si="0"/>
        <v>1.0975788592891853</v>
      </c>
      <c r="S31" s="1">
        <f t="shared" si="1"/>
        <v>1.035191972449566</v>
      </c>
    </row>
    <row r="32" spans="1:19" ht="14.25" x14ac:dyDescent="0.45">
      <c r="A32" s="21" t="str">
        <f t="shared" si="5"/>
        <v>Arg-ChiCOA</v>
      </c>
      <c r="B32" t="s">
        <v>65</v>
      </c>
      <c r="C32" t="s">
        <v>125</v>
      </c>
      <c r="D32" t="s">
        <v>67</v>
      </c>
      <c r="E32" s="1">
        <v>0</v>
      </c>
      <c r="F32" s="1">
        <v>0.34667330545517699</v>
      </c>
      <c r="G32" s="1">
        <v>0</v>
      </c>
      <c r="H32" s="1">
        <v>0.3609342519987</v>
      </c>
      <c r="J32" t="s">
        <v>92</v>
      </c>
      <c r="K32" s="1" t="s">
        <v>130</v>
      </c>
      <c r="M32" s="1">
        <v>0.30434030918136501</v>
      </c>
      <c r="N32" s="1"/>
      <c r="O32" s="1"/>
      <c r="Q32" s="17" t="str">
        <f t="shared" si="6"/>
        <v>BrazilCoa</v>
      </c>
      <c r="R32" s="1" t="str">
        <f t="shared" si="0"/>
        <v/>
      </c>
      <c r="S32" s="1">
        <f t="shared" si="1"/>
        <v>1.1646373120030167</v>
      </c>
    </row>
    <row r="33" spans="1:19" ht="14.25" x14ac:dyDescent="0.45">
      <c r="A33" s="21" t="str">
        <f t="shared" si="5"/>
        <v>Asia_centralCOA</v>
      </c>
      <c r="B33" t="s">
        <v>65</v>
      </c>
      <c r="C33" t="s">
        <v>126</v>
      </c>
      <c r="D33" t="s">
        <v>67</v>
      </c>
      <c r="E33" s="1">
        <v>0</v>
      </c>
      <c r="F33" s="1">
        <v>0.24847149277119701</v>
      </c>
      <c r="G33" s="1">
        <v>0.28272936976963797</v>
      </c>
      <c r="H33" s="1">
        <v>0.19984184958509499</v>
      </c>
      <c r="J33" t="s">
        <v>92</v>
      </c>
      <c r="K33" s="1" t="s">
        <v>131</v>
      </c>
      <c r="M33" s="1">
        <v>0.31867135677367397</v>
      </c>
      <c r="N33" s="1"/>
      <c r="O33" s="1"/>
      <c r="Q33" s="17" t="str">
        <f t="shared" si="6"/>
        <v>CanadaCoa</v>
      </c>
      <c r="R33" s="1" t="str">
        <f t="shared" si="0"/>
        <v/>
      </c>
      <c r="S33" s="1">
        <f t="shared" si="1"/>
        <v>1.215409881067359</v>
      </c>
    </row>
    <row r="34" spans="1:19" ht="14.25" x14ac:dyDescent="0.45">
      <c r="A34" s="21" t="str">
        <f t="shared" si="5"/>
        <v>Asia_eastCOA</v>
      </c>
      <c r="B34" t="s">
        <v>65</v>
      </c>
      <c r="C34" t="s">
        <v>127</v>
      </c>
      <c r="D34" t="s">
        <v>67</v>
      </c>
      <c r="E34" s="1">
        <v>0.14059050227783501</v>
      </c>
      <c r="F34" s="1">
        <v>0.71573502771158004</v>
      </c>
      <c r="G34" s="1">
        <v>0</v>
      </c>
      <c r="H34" s="1">
        <v>0.40358378677369999</v>
      </c>
      <c r="J34" t="s">
        <v>92</v>
      </c>
      <c r="K34" s="1" t="s">
        <v>62</v>
      </c>
      <c r="L34" s="1">
        <v>0.30761475569483498</v>
      </c>
      <c r="M34" s="1">
        <v>0.32764684718546799</v>
      </c>
      <c r="N34" s="1"/>
      <c r="O34" s="1"/>
      <c r="Q34" s="17" t="str">
        <f t="shared" si="6"/>
        <v>ChinaCoa</v>
      </c>
      <c r="R34" s="1">
        <f t="shared" si="0"/>
        <v>1.0170902000024482</v>
      </c>
      <c r="S34" s="1">
        <f t="shared" si="1"/>
        <v>1.1727523267870268</v>
      </c>
    </row>
    <row r="35" spans="1:19" ht="14.25" x14ac:dyDescent="0.45">
      <c r="A35" s="21" t="str">
        <f t="shared" si="5"/>
        <v>Asia_otherCOA</v>
      </c>
      <c r="B35" t="s">
        <v>65</v>
      </c>
      <c r="C35" t="s">
        <v>128</v>
      </c>
      <c r="D35" t="s">
        <v>67</v>
      </c>
      <c r="E35" s="1">
        <v>0.31239856383139403</v>
      </c>
      <c r="F35" s="1">
        <v>0.32001898038874299</v>
      </c>
      <c r="G35" s="1">
        <v>0.183677624540936</v>
      </c>
      <c r="H35" s="1">
        <v>0.347364373738489</v>
      </c>
      <c r="J35" t="s">
        <v>92</v>
      </c>
      <c r="K35" s="1" t="s">
        <v>132</v>
      </c>
      <c r="L35" s="1">
        <v>0.322958612348831</v>
      </c>
      <c r="M35" s="1">
        <v>0.31520690969771598</v>
      </c>
      <c r="N35" s="1"/>
      <c r="O35" s="1"/>
      <c r="Q35" s="17" t="str">
        <f t="shared" si="6"/>
        <v>EU_northCoa</v>
      </c>
      <c r="R35" s="1">
        <f t="shared" ref="R35:R66" si="18">IFERROR(IF(L35&gt;0,VLOOKUP($Q35,$A$3:$H$102,R$1,FALSE)/L35,""),"")</f>
        <v>0.86645211756766738</v>
      </c>
      <c r="S35" s="1">
        <f t="shared" ref="S35:S66" si="19">IFERROR(IF(M35&gt;0,VLOOKUP($Q35,$A$3:$H$102,S$1,FALSE)/M35,""),"")</f>
        <v>1.2757768305167008</v>
      </c>
    </row>
    <row r="36" spans="1:19" ht="14.25" x14ac:dyDescent="0.45">
      <c r="A36" s="21" t="str">
        <f t="shared" si="5"/>
        <v>Australia_NZCOA</v>
      </c>
      <c r="B36" t="s">
        <v>65</v>
      </c>
      <c r="C36" t="s">
        <v>129</v>
      </c>
      <c r="D36" t="s">
        <v>67</v>
      </c>
      <c r="E36" s="1">
        <v>0.159382440073115</v>
      </c>
      <c r="F36" s="1">
        <v>0</v>
      </c>
      <c r="G36" s="1">
        <v>0.34354218295751499</v>
      </c>
      <c r="H36" s="1">
        <v>0.33956460500348601</v>
      </c>
      <c r="J36" t="s">
        <v>92</v>
      </c>
      <c r="K36" s="1" t="s">
        <v>133</v>
      </c>
      <c r="L36" s="1">
        <v>0.31797626806523099</v>
      </c>
      <c r="M36" s="1">
        <v>0.33064773940525799</v>
      </c>
      <c r="N36" s="1"/>
      <c r="O36" s="1"/>
      <c r="Q36" s="17" t="str">
        <f t="shared" si="6"/>
        <v>EU_northeastCoa</v>
      </c>
      <c r="R36" s="1">
        <f t="shared" si="18"/>
        <v>1.0594710741522371</v>
      </c>
      <c r="S36" s="1">
        <f t="shared" si="19"/>
        <v>1.1053042136236402</v>
      </c>
    </row>
    <row r="37" spans="1:19" ht="14.25" x14ac:dyDescent="0.45">
      <c r="A37" s="21" t="str">
        <f t="shared" si="5"/>
        <v>BrazilCOA</v>
      </c>
      <c r="B37" t="s">
        <v>65</v>
      </c>
      <c r="C37" t="s">
        <v>130</v>
      </c>
      <c r="D37" t="s">
        <v>67</v>
      </c>
      <c r="E37" s="1">
        <v>0.46826463590855</v>
      </c>
      <c r="F37" s="1">
        <v>0</v>
      </c>
      <c r="G37" s="1">
        <v>0</v>
      </c>
      <c r="H37" s="1">
        <v>0.35444607961915198</v>
      </c>
      <c r="J37" t="s">
        <v>92</v>
      </c>
      <c r="K37" s="1" t="s">
        <v>134</v>
      </c>
      <c r="L37" s="1">
        <v>0.34320126115912802</v>
      </c>
      <c r="M37" s="1">
        <v>0.350713852575188</v>
      </c>
      <c r="N37" s="1"/>
      <c r="O37" s="1"/>
      <c r="Q37" s="17" t="str">
        <f t="shared" si="6"/>
        <v>EU_northwestCoa</v>
      </c>
      <c r="R37" s="1">
        <f t="shared" si="18"/>
        <v>1.2786506989475188</v>
      </c>
      <c r="S37" s="1">
        <f t="shared" si="19"/>
        <v>1.2116574089776562</v>
      </c>
    </row>
    <row r="38" spans="1:19" ht="14.25" x14ac:dyDescent="0.45">
      <c r="A38" s="21" t="str">
        <f t="shared" si="5"/>
        <v>CanadaCOA</v>
      </c>
      <c r="B38" t="s">
        <v>65</v>
      </c>
      <c r="C38" t="s">
        <v>131</v>
      </c>
      <c r="D38" t="s">
        <v>67</v>
      </c>
      <c r="E38" s="1">
        <v>0</v>
      </c>
      <c r="F38" s="1">
        <v>0</v>
      </c>
      <c r="G38" s="1">
        <v>0</v>
      </c>
      <c r="H38" s="1">
        <v>0.38731631583586501</v>
      </c>
      <c r="J38" t="s">
        <v>92</v>
      </c>
      <c r="K38" s="1" t="s">
        <v>135</v>
      </c>
      <c r="L38" s="1">
        <v>0.326098955892417</v>
      </c>
      <c r="M38" s="1">
        <v>0.34049552853683801</v>
      </c>
      <c r="N38" s="1"/>
      <c r="O38" s="1"/>
      <c r="Q38" s="17" t="str">
        <f t="shared" si="6"/>
        <v>EU_southCoa</v>
      </c>
      <c r="R38" s="1">
        <f t="shared" si="18"/>
        <v>1.021035610963011</v>
      </c>
      <c r="S38" s="1">
        <f t="shared" si="19"/>
        <v>1.1128129278508636</v>
      </c>
    </row>
    <row r="39" spans="1:19" ht="14.25" x14ac:dyDescent="0.45">
      <c r="A39" s="21" t="str">
        <f t="shared" si="5"/>
        <v>ChinaCOA</v>
      </c>
      <c r="B39" t="s">
        <v>65</v>
      </c>
      <c r="C39" t="s">
        <v>62</v>
      </c>
      <c r="D39" t="s">
        <v>67</v>
      </c>
      <c r="E39" s="1">
        <v>0</v>
      </c>
      <c r="F39" s="1">
        <v>0</v>
      </c>
      <c r="G39" s="1">
        <v>0.31287195339336399</v>
      </c>
      <c r="H39" s="1">
        <v>0.38424860240119102</v>
      </c>
      <c r="J39" t="s">
        <v>92</v>
      </c>
      <c r="K39" s="1" t="s">
        <v>136</v>
      </c>
      <c r="L39" s="1">
        <v>0.29081244773320403</v>
      </c>
      <c r="M39" s="1">
        <v>0.32032442386614601</v>
      </c>
      <c r="N39" s="1"/>
      <c r="O39" s="1"/>
      <c r="Q39" s="17" t="str">
        <f t="shared" si="6"/>
        <v>EU_southeastCoa</v>
      </c>
      <c r="R39" s="1">
        <f t="shared" si="18"/>
        <v>0.89206599545776877</v>
      </c>
      <c r="S39" s="1">
        <f t="shared" si="19"/>
        <v>1.062453105612192</v>
      </c>
    </row>
    <row r="40" spans="1:19" ht="14.25" x14ac:dyDescent="0.45">
      <c r="A40" s="21" t="str">
        <f t="shared" si="5"/>
        <v>EU_northCOA</v>
      </c>
      <c r="B40" t="s">
        <v>65</v>
      </c>
      <c r="C40" t="s">
        <v>132</v>
      </c>
      <c r="D40" t="s">
        <v>67</v>
      </c>
      <c r="E40" s="1">
        <v>0.61092812007312902</v>
      </c>
      <c r="F40" s="1">
        <v>0.35757566330580998</v>
      </c>
      <c r="G40" s="1">
        <v>0.27982817355636003</v>
      </c>
      <c r="H40" s="1">
        <v>0.40213367221111601</v>
      </c>
      <c r="J40" t="s">
        <v>92</v>
      </c>
      <c r="K40" s="1" t="s">
        <v>137</v>
      </c>
      <c r="L40" s="1">
        <v>0.27334337349397603</v>
      </c>
      <c r="M40" s="1">
        <v>0.31716379471019701</v>
      </c>
      <c r="N40" s="1"/>
      <c r="O40" s="1"/>
      <c r="Q40" s="17" t="str">
        <f t="shared" si="6"/>
        <v>EU_southwestCoa</v>
      </c>
      <c r="R40" s="1">
        <f t="shared" si="18"/>
        <v>0</v>
      </c>
      <c r="S40" s="1">
        <f t="shared" si="19"/>
        <v>1.1932260976829512</v>
      </c>
    </row>
    <row r="41" spans="1:19" ht="14.25" x14ac:dyDescent="0.45">
      <c r="A41" s="21" t="str">
        <f t="shared" si="5"/>
        <v>EU_northeastCOA</v>
      </c>
      <c r="B41" t="s">
        <v>65</v>
      </c>
      <c r="C41" t="s">
        <v>133</v>
      </c>
      <c r="D41" t="s">
        <v>67</v>
      </c>
      <c r="E41" s="1">
        <v>0.38204440797421801</v>
      </c>
      <c r="F41" s="1">
        <v>1.7921729624196701</v>
      </c>
      <c r="G41" s="1">
        <v>0.33688665828198999</v>
      </c>
      <c r="H41" s="1">
        <v>0.36546633958976299</v>
      </c>
      <c r="J41" t="s">
        <v>92</v>
      </c>
      <c r="K41" s="1" t="s">
        <v>138</v>
      </c>
      <c r="L41" s="1">
        <v>0.32961337197379997</v>
      </c>
      <c r="M41" s="1">
        <v>0.33446342865628997</v>
      </c>
      <c r="N41" s="1"/>
      <c r="O41" s="1"/>
      <c r="Q41" s="17" t="str">
        <f t="shared" si="6"/>
        <v>Europe_otherCoa</v>
      </c>
      <c r="R41" s="1">
        <f t="shared" si="18"/>
        <v>0.76857360435592592</v>
      </c>
      <c r="S41" s="1">
        <f t="shared" si="19"/>
        <v>1.0486486487700215</v>
      </c>
    </row>
    <row r="42" spans="1:19" ht="14.25" x14ac:dyDescent="0.45">
      <c r="A42" s="21" t="str">
        <f t="shared" si="5"/>
        <v>EU_northwestCOA</v>
      </c>
      <c r="B42" t="s">
        <v>65</v>
      </c>
      <c r="C42" t="s">
        <v>134</v>
      </c>
      <c r="D42" t="s">
        <v>67</v>
      </c>
      <c r="E42" s="1">
        <v>0.623443565941463</v>
      </c>
      <c r="F42" s="1">
        <v>1.01590811688743</v>
      </c>
      <c r="G42" s="1">
        <v>0.43883453246078902</v>
      </c>
      <c r="H42" s="1">
        <v>0.42494503790382399</v>
      </c>
      <c r="J42" t="s">
        <v>92</v>
      </c>
      <c r="K42" s="1" t="s">
        <v>139</v>
      </c>
      <c r="L42" s="1">
        <v>0.35100463566030399</v>
      </c>
      <c r="M42" s="1">
        <v>0.32100000000000001</v>
      </c>
      <c r="N42" s="1"/>
      <c r="O42" s="1"/>
      <c r="Q42" s="17" t="str">
        <f t="shared" si="6"/>
        <v>FranceCoa</v>
      </c>
      <c r="R42" s="1">
        <f t="shared" si="18"/>
        <v>1.0906925653946515</v>
      </c>
      <c r="S42" s="1">
        <f t="shared" si="19"/>
        <v>1.1498751947941683</v>
      </c>
    </row>
    <row r="43" spans="1:19" ht="14.25" x14ac:dyDescent="0.45">
      <c r="A43" s="21" t="str">
        <f t="shared" si="5"/>
        <v>EU_southCOA</v>
      </c>
      <c r="B43" t="s">
        <v>65</v>
      </c>
      <c r="C43" t="s">
        <v>135</v>
      </c>
      <c r="D43" t="s">
        <v>67</v>
      </c>
      <c r="E43" s="1">
        <v>8.7284155998066507E-2</v>
      </c>
      <c r="F43" s="1">
        <v>3.5356356</v>
      </c>
      <c r="G43" s="1">
        <v>0.33295864666401398</v>
      </c>
      <c r="H43" s="1">
        <v>0.37890782603120599</v>
      </c>
      <c r="J43" t="s">
        <v>92</v>
      </c>
      <c r="K43" s="1" t="s">
        <v>140</v>
      </c>
      <c r="L43" s="1">
        <v>0.33338597295483502</v>
      </c>
      <c r="M43" s="1">
        <v>0.32207264195191698</v>
      </c>
      <c r="N43" s="1"/>
      <c r="O43" s="1"/>
      <c r="Q43" s="17" t="str">
        <f t="shared" si="6"/>
        <v>GermanyCoa</v>
      </c>
      <c r="R43" s="1">
        <f t="shared" si="18"/>
        <v>0.77759275627422086</v>
      </c>
      <c r="S43" s="1">
        <f t="shared" si="19"/>
        <v>1.2457159271112066</v>
      </c>
    </row>
    <row r="44" spans="1:19" ht="14.25" x14ac:dyDescent="0.45">
      <c r="A44" s="21" t="str">
        <f t="shared" si="5"/>
        <v>EU_southeastCOA</v>
      </c>
      <c r="B44" t="s">
        <v>65</v>
      </c>
      <c r="C44" t="s">
        <v>136</v>
      </c>
      <c r="D44" t="s">
        <v>67</v>
      </c>
      <c r="E44" s="1">
        <v>0.34505958689368499</v>
      </c>
      <c r="F44" s="1">
        <v>1.0000019853340101</v>
      </c>
      <c r="G44" s="1">
        <v>0.259423895678631</v>
      </c>
      <c r="H44" s="1">
        <v>0.34032967894002297</v>
      </c>
      <c r="J44" t="s">
        <v>92</v>
      </c>
      <c r="K44" s="1" t="s">
        <v>63</v>
      </c>
      <c r="L44" s="1">
        <v>0.27335118431723399</v>
      </c>
      <c r="M44" s="1">
        <v>0.31001893962500798</v>
      </c>
      <c r="N44" s="1"/>
      <c r="O44" s="1"/>
      <c r="Q44" s="17" t="str">
        <f t="shared" si="6"/>
        <v>IndiaCoa</v>
      </c>
      <c r="R44" s="1">
        <f t="shared" si="18"/>
        <v>0</v>
      </c>
      <c r="S44" s="1">
        <f t="shared" si="19"/>
        <v>1.1779678775661144</v>
      </c>
    </row>
    <row r="45" spans="1:19" ht="14.25" x14ac:dyDescent="0.45">
      <c r="A45" s="21" t="str">
        <f t="shared" si="5"/>
        <v>EU_southwestCOA</v>
      </c>
      <c r="B45" t="s">
        <v>65</v>
      </c>
      <c r="C45" t="s">
        <v>137</v>
      </c>
      <c r="D45" t="s">
        <v>67</v>
      </c>
      <c r="E45" s="1">
        <v>0.90654760825538605</v>
      </c>
      <c r="F45" s="1">
        <v>0.48348310007593998</v>
      </c>
      <c r="G45" s="1">
        <v>0</v>
      </c>
      <c r="H45" s="1">
        <v>0.37844811708836501</v>
      </c>
      <c r="J45" t="s">
        <v>92</v>
      </c>
      <c r="K45" s="1" t="s">
        <v>141</v>
      </c>
      <c r="M45" s="1">
        <v>0.30755289548001502</v>
      </c>
      <c r="N45" s="1"/>
      <c r="O45" s="1"/>
      <c r="Q45" s="17" t="str">
        <f t="shared" si="6"/>
        <v>LatAm_otherCoa</v>
      </c>
      <c r="R45" s="1" t="str">
        <f t="shared" si="18"/>
        <v/>
      </c>
      <c r="S45" s="1">
        <f t="shared" si="19"/>
        <v>1.0693721529070741</v>
      </c>
    </row>
    <row r="46" spans="1:19" ht="14.25" x14ac:dyDescent="0.45">
      <c r="A46" s="21" t="str">
        <f t="shared" si="5"/>
        <v>Europe_otherCOA</v>
      </c>
      <c r="B46" t="s">
        <v>65</v>
      </c>
      <c r="C46" t="s">
        <v>138</v>
      </c>
      <c r="D46" t="s">
        <v>67</v>
      </c>
      <c r="E46" s="1">
        <v>0.26305366152326798</v>
      </c>
      <c r="F46" s="1">
        <v>0.360705153926696</v>
      </c>
      <c r="G46" s="1">
        <v>0.25333213734181398</v>
      </c>
      <c r="H46" s="1">
        <v>0.35073462252340698</v>
      </c>
      <c r="J46" t="s">
        <v>92</v>
      </c>
      <c r="K46" s="1" t="s">
        <v>142</v>
      </c>
      <c r="M46" s="1">
        <v>0.331924217565288</v>
      </c>
      <c r="N46" s="1"/>
      <c r="O46" s="1"/>
      <c r="Q46" s="17" t="str">
        <f t="shared" si="6"/>
        <v>MexicoCoa</v>
      </c>
      <c r="R46" s="1" t="str">
        <f t="shared" si="18"/>
        <v/>
      </c>
      <c r="S46" s="1">
        <f t="shared" si="19"/>
        <v>1.1200224256740199</v>
      </c>
    </row>
    <row r="47" spans="1:19" ht="14.25" x14ac:dyDescent="0.45">
      <c r="A47" s="21" t="str">
        <f t="shared" si="5"/>
        <v>FranceCOA</v>
      </c>
      <c r="B47" t="s">
        <v>65</v>
      </c>
      <c r="C47" t="s">
        <v>139</v>
      </c>
      <c r="D47" t="s">
        <v>67</v>
      </c>
      <c r="E47" s="1">
        <v>0.71998278825518702</v>
      </c>
      <c r="F47" s="1">
        <v>0.69054150609086995</v>
      </c>
      <c r="G47" s="1">
        <v>0.38283814653375198</v>
      </c>
      <c r="H47" s="1">
        <v>0.36910993752892801</v>
      </c>
      <c r="J47" t="s">
        <v>92</v>
      </c>
      <c r="K47" s="1" t="s">
        <v>143</v>
      </c>
      <c r="M47" s="1">
        <v>0.32401699786220001</v>
      </c>
      <c r="N47" s="1"/>
      <c r="O47" s="1"/>
      <c r="Q47" s="17" t="str">
        <f t="shared" si="6"/>
        <v>MidEast_otherCoa</v>
      </c>
      <c r="R47" s="1" t="str">
        <f t="shared" si="18"/>
        <v/>
      </c>
      <c r="S47" s="1">
        <f t="shared" si="19"/>
        <v>1.188469366853899</v>
      </c>
    </row>
    <row r="48" spans="1:19" ht="14.25" x14ac:dyDescent="0.45">
      <c r="A48" s="21" t="str">
        <f t="shared" si="5"/>
        <v>GermanyCOA</v>
      </c>
      <c r="B48" t="s">
        <v>65</v>
      </c>
      <c r="C48" t="s">
        <v>140</v>
      </c>
      <c r="D48" t="s">
        <v>67</v>
      </c>
      <c r="E48" s="1">
        <v>0.606553731657267</v>
      </c>
      <c r="F48" s="1">
        <v>0.43246238488589001</v>
      </c>
      <c r="G48" s="1">
        <v>0.25923851761311301</v>
      </c>
      <c r="H48" s="1">
        <v>0.40121101976628798</v>
      </c>
      <c r="J48" t="s">
        <v>92</v>
      </c>
      <c r="K48" s="1" t="s">
        <v>144</v>
      </c>
      <c r="L48" s="1">
        <v>0.29399999999999998</v>
      </c>
      <c r="M48" s="1">
        <v>0.29399999999999998</v>
      </c>
      <c r="N48" s="1"/>
      <c r="O48" s="1"/>
      <c r="Q48" s="17" t="str">
        <f t="shared" si="6"/>
        <v>Nor-IceCoa</v>
      </c>
      <c r="R48" s="1">
        <f t="shared" si="18"/>
        <v>0.65563095593488441</v>
      </c>
      <c r="S48" s="1">
        <f t="shared" si="19"/>
        <v>0</v>
      </c>
    </row>
    <row r="49" spans="1:19" ht="14.25" x14ac:dyDescent="0.45">
      <c r="A49" s="21" t="str">
        <f t="shared" si="5"/>
        <v>IndiaCOA</v>
      </c>
      <c r="B49" t="s">
        <v>65</v>
      </c>
      <c r="C49" t="s">
        <v>63</v>
      </c>
      <c r="D49" t="s">
        <v>67</v>
      </c>
      <c r="E49" s="1">
        <v>0</v>
      </c>
      <c r="F49" s="1">
        <v>0.351889089293832</v>
      </c>
      <c r="G49" s="1">
        <v>0</v>
      </c>
      <c r="H49" s="1">
        <v>0.36519235231536801</v>
      </c>
      <c r="J49" t="s">
        <v>92</v>
      </c>
      <c r="K49" s="1" t="s">
        <v>64</v>
      </c>
      <c r="L49" s="1">
        <v>0.32005784306406798</v>
      </c>
      <c r="M49" s="1">
        <v>0.32790630457057501</v>
      </c>
      <c r="N49" s="1"/>
      <c r="O49" s="1"/>
      <c r="Q49" s="17" t="str">
        <f t="shared" si="6"/>
        <v>RussiaCoa</v>
      </c>
      <c r="R49" s="1">
        <f t="shared" si="18"/>
        <v>0.91102506662049976</v>
      </c>
      <c r="S49" s="1">
        <f t="shared" si="19"/>
        <v>0</v>
      </c>
    </row>
    <row r="50" spans="1:19" ht="14.25" x14ac:dyDescent="0.45">
      <c r="A50" s="21" t="str">
        <f t="shared" si="5"/>
        <v>LatAm_otherCOA</v>
      </c>
      <c r="B50" t="s">
        <v>65</v>
      </c>
      <c r="C50" t="s">
        <v>141</v>
      </c>
      <c r="D50" t="s">
        <v>67</v>
      </c>
      <c r="E50" s="1">
        <v>0</v>
      </c>
      <c r="F50" s="1">
        <v>0.227143931453577</v>
      </c>
      <c r="G50" s="1">
        <v>0</v>
      </c>
      <c r="H50" s="1">
        <v>0.32888850197226799</v>
      </c>
      <c r="J50" t="s">
        <v>92</v>
      </c>
      <c r="K50" s="1" t="s">
        <v>145</v>
      </c>
      <c r="M50" s="1">
        <v>0.32750067514720899</v>
      </c>
      <c r="N50" s="1"/>
      <c r="O50" s="1"/>
      <c r="Q50" s="17" t="str">
        <f t="shared" si="6"/>
        <v>SouthAfricaCoa</v>
      </c>
      <c r="R50" s="1" t="str">
        <f t="shared" si="18"/>
        <v/>
      </c>
      <c r="S50" s="1">
        <f t="shared" si="19"/>
        <v>0.99525733606975975</v>
      </c>
    </row>
    <row r="51" spans="1:19" ht="14.25" x14ac:dyDescent="0.45">
      <c r="A51" s="21" t="str">
        <f t="shared" si="5"/>
        <v>MexicoCOA</v>
      </c>
      <c r="B51" t="s">
        <v>65</v>
      </c>
      <c r="C51" t="s">
        <v>142</v>
      </c>
      <c r="D51" t="s">
        <v>67</v>
      </c>
      <c r="E51" s="1">
        <v>0</v>
      </c>
      <c r="F51" s="1">
        <v>6.2297442558830403</v>
      </c>
      <c r="G51" s="1">
        <v>0</v>
      </c>
      <c r="H51" s="1">
        <v>0.37176256729742502</v>
      </c>
      <c r="J51" t="s">
        <v>92</v>
      </c>
      <c r="K51" s="1" t="s">
        <v>146</v>
      </c>
      <c r="L51" s="1">
        <v>0.284683098591549</v>
      </c>
      <c r="M51" s="1">
        <v>0.319854304175888</v>
      </c>
      <c r="N51" s="1"/>
      <c r="O51" s="1"/>
      <c r="Q51" s="17" t="str">
        <f t="shared" si="6"/>
        <v>UKCoa</v>
      </c>
      <c r="R51" s="1">
        <f t="shared" si="18"/>
        <v>0</v>
      </c>
      <c r="S51" s="1">
        <f t="shared" si="19"/>
        <v>1.1845186751433721</v>
      </c>
    </row>
    <row r="52" spans="1:19" ht="14.25" x14ac:dyDescent="0.45">
      <c r="A52" s="21" t="str">
        <f t="shared" si="5"/>
        <v>MidEast_otherCOA</v>
      </c>
      <c r="B52" t="s">
        <v>65</v>
      </c>
      <c r="C52" t="s">
        <v>143</v>
      </c>
      <c r="D52" t="s">
        <v>67</v>
      </c>
      <c r="E52" s="1">
        <v>0.24033924299116299</v>
      </c>
      <c r="F52" s="1">
        <v>0.262476409431666</v>
      </c>
      <c r="G52" s="1">
        <v>0</v>
      </c>
      <c r="H52" s="1">
        <v>0.38508427629919001</v>
      </c>
      <c r="J52" t="s">
        <v>92</v>
      </c>
      <c r="K52" s="1" t="s">
        <v>147</v>
      </c>
      <c r="L52" s="1">
        <v>0.33440525176727498</v>
      </c>
      <c r="M52" s="1">
        <v>0.34449791415158199</v>
      </c>
      <c r="N52" s="1"/>
      <c r="O52" s="1"/>
      <c r="Q52" s="17" t="str">
        <f t="shared" si="6"/>
        <v>USACoa</v>
      </c>
      <c r="R52" s="1">
        <f t="shared" si="18"/>
        <v>0.91764723952876925</v>
      </c>
      <c r="S52" s="1">
        <f t="shared" si="19"/>
        <v>1.0742773982828673</v>
      </c>
    </row>
    <row r="53" spans="1:19" ht="14.25" x14ac:dyDescent="0.45">
      <c r="A53" s="21" t="str">
        <f t="shared" si="5"/>
        <v>Nor-IceCOA</v>
      </c>
      <c r="B53" t="s">
        <v>65</v>
      </c>
      <c r="C53" t="s">
        <v>144</v>
      </c>
      <c r="D53" t="s">
        <v>67</v>
      </c>
      <c r="E53" s="1">
        <v>0</v>
      </c>
      <c r="F53" s="1">
        <v>0</v>
      </c>
      <c r="G53" s="1">
        <v>0.192755501044856</v>
      </c>
      <c r="H53" s="1">
        <v>0</v>
      </c>
      <c r="J53" t="s">
        <v>96</v>
      </c>
      <c r="K53" s="1" t="s">
        <v>124</v>
      </c>
      <c r="M53" s="1">
        <v>0.38833951856480298</v>
      </c>
      <c r="N53" s="1"/>
      <c r="O53" s="1"/>
      <c r="Q53" s="17" t="str">
        <f t="shared" si="6"/>
        <v>Africa_otherCru</v>
      </c>
      <c r="R53" s="1" t="str">
        <f t="shared" si="18"/>
        <v/>
      </c>
      <c r="S53" s="1" t="str">
        <f t="shared" si="19"/>
        <v/>
      </c>
    </row>
    <row r="54" spans="1:19" ht="14.25" x14ac:dyDescent="0.45">
      <c r="A54" s="21" t="str">
        <f t="shared" si="5"/>
        <v>RussiaCOA</v>
      </c>
      <c r="B54" t="s">
        <v>65</v>
      </c>
      <c r="C54" t="s">
        <v>64</v>
      </c>
      <c r="D54" t="s">
        <v>67</v>
      </c>
      <c r="E54" s="1">
        <v>0.202491569120339</v>
      </c>
      <c r="F54" s="1">
        <v>0</v>
      </c>
      <c r="G54" s="1">
        <v>0.291580717799856</v>
      </c>
      <c r="H54" s="1">
        <v>0</v>
      </c>
      <c r="J54" t="s">
        <v>96</v>
      </c>
      <c r="K54" s="1" t="s">
        <v>127</v>
      </c>
      <c r="M54" s="1">
        <v>0.339506154465613</v>
      </c>
      <c r="N54" s="1"/>
      <c r="O54" s="1"/>
      <c r="Q54" s="17" t="str">
        <f t="shared" si="6"/>
        <v>Asia_eastCru</v>
      </c>
      <c r="R54" s="1" t="str">
        <f t="shared" si="18"/>
        <v/>
      </c>
      <c r="S54" s="1" t="str">
        <f t="shared" si="19"/>
        <v/>
      </c>
    </row>
    <row r="55" spans="1:19" ht="14.25" x14ac:dyDescent="0.45">
      <c r="A55" s="21" t="str">
        <f t="shared" si="5"/>
        <v>SouthAfricaCOA</v>
      </c>
      <c r="B55" t="s">
        <v>65</v>
      </c>
      <c r="C55" t="s">
        <v>145</v>
      </c>
      <c r="D55" t="s">
        <v>67</v>
      </c>
      <c r="E55" s="1">
        <v>0</v>
      </c>
      <c r="F55" s="1">
        <v>0.35000369563685002</v>
      </c>
      <c r="G55" s="1">
        <v>0</v>
      </c>
      <c r="H55" s="1">
        <v>0.32594744950805898</v>
      </c>
      <c r="J55" t="s">
        <v>96</v>
      </c>
      <c r="K55" s="1" t="s">
        <v>141</v>
      </c>
      <c r="M55" s="1">
        <v>0.35542925210584497</v>
      </c>
      <c r="N55" s="1"/>
      <c r="O55" s="1"/>
      <c r="Q55" s="17" t="str">
        <f t="shared" si="6"/>
        <v>LatAm_otherCru</v>
      </c>
      <c r="R55" s="1" t="str">
        <f t="shared" si="18"/>
        <v/>
      </c>
      <c r="S55" s="1" t="str">
        <f t="shared" si="19"/>
        <v/>
      </c>
    </row>
    <row r="56" spans="1:19" ht="14.25" x14ac:dyDescent="0.45">
      <c r="A56" s="21" t="str">
        <f t="shared" si="5"/>
        <v>UKCOA</v>
      </c>
      <c r="B56" t="s">
        <v>65</v>
      </c>
      <c r="C56" t="s">
        <v>146</v>
      </c>
      <c r="D56" t="s">
        <v>67</v>
      </c>
      <c r="E56" s="1">
        <v>0.49669214084607899</v>
      </c>
      <c r="F56" s="1">
        <v>0</v>
      </c>
      <c r="G56" s="1">
        <v>0</v>
      </c>
      <c r="H56" s="1">
        <v>0.37887339662132802</v>
      </c>
      <c r="J56" t="s">
        <v>96</v>
      </c>
      <c r="K56" s="1" t="s">
        <v>143</v>
      </c>
      <c r="M56" s="1">
        <v>0.408407624339577</v>
      </c>
      <c r="N56" s="1"/>
      <c r="O56" s="1"/>
      <c r="Q56" s="17" t="str">
        <f t="shared" si="6"/>
        <v>MidEast_otherCru</v>
      </c>
      <c r="R56" s="1" t="str">
        <f t="shared" si="18"/>
        <v/>
      </c>
      <c r="S56" s="1" t="str">
        <f t="shared" si="19"/>
        <v/>
      </c>
    </row>
    <row r="57" spans="1:19" ht="14.25" x14ac:dyDescent="0.45">
      <c r="A57" s="21" t="str">
        <f t="shared" si="5"/>
        <v>USACOA</v>
      </c>
      <c r="B57" t="s">
        <v>65</v>
      </c>
      <c r="C57" t="s">
        <v>147</v>
      </c>
      <c r="D57" t="s">
        <v>67</v>
      </c>
      <c r="E57" s="1">
        <v>0.84047732879774895</v>
      </c>
      <c r="F57" s="1">
        <v>1.7230632754187001</v>
      </c>
      <c r="G57" s="1">
        <v>0.30686605616816298</v>
      </c>
      <c r="H57" s="1">
        <v>0.37008632292863602</v>
      </c>
      <c r="J57" t="s">
        <v>96</v>
      </c>
      <c r="K57" s="1" t="s">
        <v>149</v>
      </c>
      <c r="M57" s="1">
        <v>0.41846498439459801</v>
      </c>
      <c r="N57" s="1"/>
      <c r="O57" s="1"/>
      <c r="Q57" s="17" t="str">
        <f t="shared" si="6"/>
        <v>SaudiArabiaCru</v>
      </c>
      <c r="R57" s="1" t="str">
        <f t="shared" si="18"/>
        <v/>
      </c>
      <c r="S57" s="1" t="str">
        <f t="shared" si="19"/>
        <v/>
      </c>
    </row>
    <row r="58" spans="1:19" ht="14.25" x14ac:dyDescent="0.45">
      <c r="A58" s="21" t="str">
        <f t="shared" si="5"/>
        <v>Africa_northGAS</v>
      </c>
      <c r="B58" t="s">
        <v>65</v>
      </c>
      <c r="C58" t="s">
        <v>148</v>
      </c>
      <c r="D58" t="s">
        <v>68</v>
      </c>
      <c r="E58" s="1">
        <v>1.0007573463628501</v>
      </c>
      <c r="F58" s="1">
        <v>0.38391408764042201</v>
      </c>
      <c r="G58" s="1">
        <v>0</v>
      </c>
      <c r="H58" s="1">
        <v>0.43956903473261699</v>
      </c>
      <c r="J58" t="s">
        <v>97</v>
      </c>
      <c r="K58" s="1" t="s">
        <v>148</v>
      </c>
      <c r="M58" s="1">
        <v>0.39308443677740401</v>
      </c>
      <c r="N58" s="1"/>
      <c r="O58" s="1"/>
      <c r="Q58" s="17" t="str">
        <f t="shared" si="6"/>
        <v>Africa_northDie</v>
      </c>
      <c r="R58" s="1" t="str">
        <f t="shared" si="18"/>
        <v/>
      </c>
      <c r="S58" s="1" t="str">
        <f t="shared" si="19"/>
        <v/>
      </c>
    </row>
    <row r="59" spans="1:19" ht="14.25" x14ac:dyDescent="0.45">
      <c r="A59" s="21" t="str">
        <f t="shared" si="5"/>
        <v>Africa_otherGAS</v>
      </c>
      <c r="B59" t="s">
        <v>65</v>
      </c>
      <c r="C59" t="s">
        <v>124</v>
      </c>
      <c r="D59" t="s">
        <v>68</v>
      </c>
      <c r="E59" s="1">
        <v>0</v>
      </c>
      <c r="F59" s="1">
        <v>0.34633603577657301</v>
      </c>
      <c r="G59" s="1">
        <v>0</v>
      </c>
      <c r="H59" s="1">
        <v>0.40214481277713499</v>
      </c>
      <c r="J59" t="s">
        <v>97</v>
      </c>
      <c r="K59" s="1" t="s">
        <v>124</v>
      </c>
      <c r="L59" s="1">
        <v>0.25899999999999901</v>
      </c>
      <c r="M59" s="1">
        <v>0.33893932224894302</v>
      </c>
      <c r="N59" s="1"/>
      <c r="O59" s="1"/>
      <c r="Q59" s="17" t="str">
        <f t="shared" si="6"/>
        <v>Africa_otherDie</v>
      </c>
      <c r="R59" s="1" t="str">
        <f t="shared" si="18"/>
        <v/>
      </c>
      <c r="S59" s="1" t="str">
        <f t="shared" si="19"/>
        <v/>
      </c>
    </row>
    <row r="60" spans="1:19" ht="14.25" x14ac:dyDescent="0.45">
      <c r="A60" s="21" t="str">
        <f t="shared" si="5"/>
        <v>Arg-ChiGAS</v>
      </c>
      <c r="B60" t="s">
        <v>65</v>
      </c>
      <c r="C60" t="s">
        <v>125</v>
      </c>
      <c r="D60" t="s">
        <v>68</v>
      </c>
      <c r="E60" s="1">
        <v>0</v>
      </c>
      <c r="F60" s="1">
        <v>0.485278218347724</v>
      </c>
      <c r="G60" s="1">
        <v>0</v>
      </c>
      <c r="H60" s="1">
        <v>0.49335411782739402</v>
      </c>
      <c r="J60" t="s">
        <v>97</v>
      </c>
      <c r="K60" s="1" t="s">
        <v>125</v>
      </c>
      <c r="M60" s="1">
        <v>0.36685955480575699</v>
      </c>
      <c r="N60" s="1"/>
      <c r="O60" s="1"/>
      <c r="Q60" s="17" t="str">
        <f t="shared" si="6"/>
        <v>Arg-ChiDie</v>
      </c>
      <c r="R60" s="1" t="str">
        <f t="shared" si="18"/>
        <v/>
      </c>
      <c r="S60" s="1" t="str">
        <f t="shared" si="19"/>
        <v/>
      </c>
    </row>
    <row r="61" spans="1:19" ht="14.25" x14ac:dyDescent="0.45">
      <c r="A61" s="21" t="str">
        <f t="shared" si="5"/>
        <v>Asia_centralGAS</v>
      </c>
      <c r="B61" t="s">
        <v>65</v>
      </c>
      <c r="C61" t="s">
        <v>126</v>
      </c>
      <c r="D61" t="s">
        <v>68</v>
      </c>
      <c r="E61" s="1">
        <v>0.18838572941194801</v>
      </c>
      <c r="F61" s="1">
        <v>0.28144708632287202</v>
      </c>
      <c r="G61" s="1">
        <v>0.29227835485256998</v>
      </c>
      <c r="H61" s="1">
        <v>0.38391640934104698</v>
      </c>
      <c r="J61" t="s">
        <v>97</v>
      </c>
      <c r="K61" s="1" t="s">
        <v>126</v>
      </c>
      <c r="M61" s="1">
        <v>0.23499999999999999</v>
      </c>
      <c r="N61" s="1"/>
      <c r="O61" s="1"/>
      <c r="Q61" s="17" t="str">
        <f t="shared" si="6"/>
        <v>Asia_centralDie</v>
      </c>
      <c r="R61" s="1" t="str">
        <f t="shared" si="18"/>
        <v/>
      </c>
      <c r="S61" s="1" t="str">
        <f t="shared" si="19"/>
        <v/>
      </c>
    </row>
    <row r="62" spans="1:19" ht="14.25" x14ac:dyDescent="0.45">
      <c r="A62" s="21" t="str">
        <f t="shared" si="5"/>
        <v>Asia_eastGAS</v>
      </c>
      <c r="B62" t="s">
        <v>65</v>
      </c>
      <c r="C62" t="s">
        <v>127</v>
      </c>
      <c r="D62" t="s">
        <v>68</v>
      </c>
      <c r="E62" s="1">
        <v>0.42721917694392397</v>
      </c>
      <c r="F62" s="1">
        <v>0.46310872755000199</v>
      </c>
      <c r="G62" s="1">
        <v>0.448567582439517</v>
      </c>
      <c r="H62" s="1">
        <v>0.51358802849512297</v>
      </c>
      <c r="J62" t="s">
        <v>97</v>
      </c>
      <c r="K62" s="1" t="s">
        <v>127</v>
      </c>
      <c r="L62" s="1">
        <v>0.27</v>
      </c>
      <c r="M62" s="1">
        <v>0.339056425350511</v>
      </c>
      <c r="N62" s="1"/>
      <c r="O62" s="1"/>
      <c r="Q62" s="17" t="str">
        <f t="shared" si="6"/>
        <v>Asia_eastDie</v>
      </c>
      <c r="R62" s="1" t="str">
        <f t="shared" si="18"/>
        <v/>
      </c>
      <c r="S62" s="1" t="str">
        <f t="shared" si="19"/>
        <v/>
      </c>
    </row>
    <row r="63" spans="1:19" ht="14.25" x14ac:dyDescent="0.45">
      <c r="A63" s="21" t="str">
        <f t="shared" si="5"/>
        <v>Asia_otherGAS</v>
      </c>
      <c r="B63" t="s">
        <v>65</v>
      </c>
      <c r="C63" t="s">
        <v>128</v>
      </c>
      <c r="D63" t="s">
        <v>68</v>
      </c>
      <c r="E63" s="1">
        <v>0.268520567631925</v>
      </c>
      <c r="F63" s="1">
        <v>0.37696550511922</v>
      </c>
      <c r="G63" s="1">
        <v>7.8841691999999997</v>
      </c>
      <c r="H63" s="1">
        <v>0.45811311625277901</v>
      </c>
      <c r="J63" t="s">
        <v>97</v>
      </c>
      <c r="K63" s="1" t="s">
        <v>128</v>
      </c>
      <c r="L63" s="1">
        <v>0.247</v>
      </c>
      <c r="M63" s="1">
        <v>0.37028103304912702</v>
      </c>
      <c r="N63" s="1"/>
      <c r="O63" s="1"/>
      <c r="Q63" s="17" t="str">
        <f t="shared" si="6"/>
        <v>Asia_otherDie</v>
      </c>
      <c r="R63" s="1" t="str">
        <f t="shared" si="18"/>
        <v/>
      </c>
      <c r="S63" s="1" t="str">
        <f t="shared" si="19"/>
        <v/>
      </c>
    </row>
    <row r="64" spans="1:19" ht="14.25" x14ac:dyDescent="0.45">
      <c r="A64" s="21" t="str">
        <f t="shared" si="5"/>
        <v>Australia_NZGAS</v>
      </c>
      <c r="B64" t="s">
        <v>65</v>
      </c>
      <c r="C64" t="s">
        <v>129</v>
      </c>
      <c r="D64" t="s">
        <v>68</v>
      </c>
      <c r="E64" s="1">
        <v>0.353738335451867</v>
      </c>
      <c r="F64" s="1">
        <v>0.36255361583747803</v>
      </c>
      <c r="G64" s="1">
        <v>0.35702162620312999</v>
      </c>
      <c r="H64" s="1">
        <v>0.3880543327521</v>
      </c>
      <c r="J64" t="s">
        <v>97</v>
      </c>
      <c r="K64" s="1" t="s">
        <v>129</v>
      </c>
      <c r="L64" s="1">
        <v>0.27</v>
      </c>
      <c r="M64" s="1">
        <v>0.30598885874063603</v>
      </c>
      <c r="N64" s="1"/>
      <c r="O64" s="1"/>
      <c r="Q64" s="17" t="str">
        <f t="shared" si="6"/>
        <v>Australia_NZDie</v>
      </c>
      <c r="R64" s="1" t="str">
        <f t="shared" si="18"/>
        <v/>
      </c>
      <c r="S64" s="1" t="str">
        <f t="shared" si="19"/>
        <v/>
      </c>
    </row>
    <row r="65" spans="1:19" ht="14.25" x14ac:dyDescent="0.45">
      <c r="A65" s="21" t="str">
        <f t="shared" si="5"/>
        <v>BrazilGAS</v>
      </c>
      <c r="B65" t="s">
        <v>65</v>
      </c>
      <c r="C65" t="s">
        <v>130</v>
      </c>
      <c r="D65" t="s">
        <v>68</v>
      </c>
      <c r="E65" s="1">
        <v>0.37672653993719901</v>
      </c>
      <c r="F65" s="1">
        <v>0</v>
      </c>
      <c r="G65" s="1">
        <v>0</v>
      </c>
      <c r="H65" s="1">
        <v>0.43835226799701299</v>
      </c>
      <c r="J65" t="s">
        <v>97</v>
      </c>
      <c r="K65" s="1" t="s">
        <v>130</v>
      </c>
      <c r="M65" s="1">
        <v>0.33085272216738398</v>
      </c>
      <c r="N65" s="1"/>
      <c r="O65" s="1"/>
      <c r="Q65" s="17" t="str">
        <f t="shared" si="6"/>
        <v>BrazilDie</v>
      </c>
      <c r="R65" s="1" t="str">
        <f t="shared" si="18"/>
        <v/>
      </c>
      <c r="S65" s="1" t="str">
        <f t="shared" si="19"/>
        <v/>
      </c>
    </row>
    <row r="66" spans="1:19" ht="14.25" x14ac:dyDescent="0.45">
      <c r="A66" s="21" t="str">
        <f t="shared" si="5"/>
        <v>CanadaGAS</v>
      </c>
      <c r="B66" t="s">
        <v>65</v>
      </c>
      <c r="C66" t="s">
        <v>131</v>
      </c>
      <c r="D66" t="s">
        <v>68</v>
      </c>
      <c r="E66" s="1">
        <v>0</v>
      </c>
      <c r="F66" s="1">
        <v>0.291098505747176</v>
      </c>
      <c r="G66" s="1">
        <v>0.38889301245631402</v>
      </c>
      <c r="H66" s="1">
        <v>0.43069333051936898</v>
      </c>
      <c r="J66" t="s">
        <v>97</v>
      </c>
      <c r="K66" s="1" t="s">
        <v>131</v>
      </c>
      <c r="M66" s="1">
        <v>0.337902959818208</v>
      </c>
      <c r="N66" s="1"/>
      <c r="O66" s="1"/>
      <c r="Q66" s="17" t="str">
        <f t="shared" si="6"/>
        <v>CanadaDie</v>
      </c>
      <c r="R66" s="1" t="str">
        <f t="shared" si="18"/>
        <v/>
      </c>
      <c r="S66" s="1" t="str">
        <f t="shared" si="19"/>
        <v/>
      </c>
    </row>
    <row r="67" spans="1:19" ht="14.25" x14ac:dyDescent="0.45">
      <c r="A67" s="21" t="str">
        <f t="shared" si="5"/>
        <v>ChinaGAS</v>
      </c>
      <c r="B67" t="s">
        <v>65</v>
      </c>
      <c r="C67" t="s">
        <v>62</v>
      </c>
      <c r="D67" t="s">
        <v>68</v>
      </c>
      <c r="E67" s="1">
        <v>0</v>
      </c>
      <c r="F67" s="1">
        <v>0.29365409628293998</v>
      </c>
      <c r="G67" s="1">
        <v>0.25401949091384701</v>
      </c>
      <c r="H67" s="1">
        <v>0.55399458729701301</v>
      </c>
      <c r="J67" t="s">
        <v>97</v>
      </c>
      <c r="K67" s="1" t="s">
        <v>62</v>
      </c>
      <c r="L67" s="1">
        <v>0.23400000000000001</v>
      </c>
      <c r="N67" s="1"/>
      <c r="O67" s="1"/>
      <c r="Q67" s="17" t="str">
        <f t="shared" si="6"/>
        <v>ChinaDie</v>
      </c>
      <c r="R67" s="1" t="str">
        <f t="shared" ref="R67:R84" si="20">IFERROR(IF(L67&gt;0,VLOOKUP($Q67,$A$3:$H$102,R$1,FALSE)/L67,""),"")</f>
        <v/>
      </c>
      <c r="S67" s="1" t="str">
        <f t="shared" ref="S67:S84" si="21">IFERROR(IF(M67&gt;0,VLOOKUP($Q67,$A$3:$H$102,S$1,FALSE)/M67,""),"")</f>
        <v/>
      </c>
    </row>
    <row r="68" spans="1:19" ht="14.25" x14ac:dyDescent="0.45">
      <c r="A68" s="21" t="str">
        <f t="shared" ref="A68:A114" si="22">C68&amp;D68</f>
        <v>EU_northGAS</v>
      </c>
      <c r="B68" t="s">
        <v>65</v>
      </c>
      <c r="C68" t="s">
        <v>132</v>
      </c>
      <c r="D68" t="s">
        <v>68</v>
      </c>
      <c r="E68" s="1">
        <v>0.55299700502911098</v>
      </c>
      <c r="F68" s="1">
        <v>0.38801937456058599</v>
      </c>
      <c r="G68" s="1">
        <v>0.35271872941832499</v>
      </c>
      <c r="H68" s="1">
        <v>0.411710509095292</v>
      </c>
      <c r="J68" t="s">
        <v>97</v>
      </c>
      <c r="K68" s="1" t="s">
        <v>132</v>
      </c>
      <c r="L68" s="1">
        <v>0.20300000000000001</v>
      </c>
      <c r="M68" s="1">
        <v>0.33359576638384503</v>
      </c>
      <c r="N68" s="1"/>
      <c r="O68" s="1"/>
      <c r="Q68" s="17" t="str">
        <f t="shared" ref="Q68:Q84" si="23">K68&amp;LEFT(J68,3)</f>
        <v>EU_northDie</v>
      </c>
      <c r="R68" s="1" t="str">
        <f t="shared" si="20"/>
        <v/>
      </c>
      <c r="S68" s="1" t="str">
        <f t="shared" si="21"/>
        <v/>
      </c>
    </row>
    <row r="69" spans="1:19" ht="14.25" x14ac:dyDescent="0.45">
      <c r="A69" s="21" t="str">
        <f t="shared" si="22"/>
        <v>EU_northeastGAS</v>
      </c>
      <c r="B69" t="s">
        <v>65</v>
      </c>
      <c r="C69" t="s">
        <v>133</v>
      </c>
      <c r="D69" t="s">
        <v>68</v>
      </c>
      <c r="E69" s="1">
        <v>0.495932729097466</v>
      </c>
      <c r="F69" s="1">
        <v>0.40042881583505902</v>
      </c>
      <c r="G69" s="1">
        <v>0.31924226312496401</v>
      </c>
      <c r="H69" s="1">
        <v>0.51144516700308396</v>
      </c>
      <c r="J69" t="s">
        <v>97</v>
      </c>
      <c r="K69" s="1" t="s">
        <v>133</v>
      </c>
      <c r="M69" s="1">
        <v>0.232408829886525</v>
      </c>
      <c r="N69" s="1"/>
      <c r="O69" s="1"/>
      <c r="Q69" s="17" t="str">
        <f t="shared" si="23"/>
        <v>EU_northeastDie</v>
      </c>
      <c r="R69" s="1" t="str">
        <f t="shared" si="20"/>
        <v/>
      </c>
      <c r="S69" s="1" t="str">
        <f t="shared" si="21"/>
        <v/>
      </c>
    </row>
    <row r="70" spans="1:19" ht="14.25" x14ac:dyDescent="0.45">
      <c r="A70" s="21" t="str">
        <f t="shared" si="22"/>
        <v>EU_northwestGAS</v>
      </c>
      <c r="B70" t="s">
        <v>65</v>
      </c>
      <c r="C70" t="s">
        <v>134</v>
      </c>
      <c r="D70" t="s">
        <v>68</v>
      </c>
      <c r="E70" s="1">
        <v>0.69666635939179</v>
      </c>
      <c r="F70" s="1">
        <v>0.205567387901162</v>
      </c>
      <c r="G70" s="1">
        <v>0.38618977617028699</v>
      </c>
      <c r="H70" s="1">
        <v>0.53770623305671505</v>
      </c>
      <c r="J70" t="s">
        <v>97</v>
      </c>
      <c r="K70" s="1" t="s">
        <v>134</v>
      </c>
      <c r="M70" s="1">
        <v>0.29878832607695199</v>
      </c>
      <c r="N70" s="1"/>
      <c r="O70" s="1"/>
      <c r="Q70" s="17" t="str">
        <f t="shared" si="23"/>
        <v>EU_northwestDie</v>
      </c>
      <c r="R70" s="1" t="str">
        <f t="shared" si="20"/>
        <v/>
      </c>
      <c r="S70" s="1" t="str">
        <f t="shared" si="21"/>
        <v/>
      </c>
    </row>
    <row r="71" spans="1:19" ht="14.25" x14ac:dyDescent="0.45">
      <c r="A71" s="21" t="str">
        <f t="shared" si="22"/>
        <v>EU_southGAS</v>
      </c>
      <c r="B71" t="s">
        <v>65</v>
      </c>
      <c r="C71" t="s">
        <v>135</v>
      </c>
      <c r="D71" t="s">
        <v>68</v>
      </c>
      <c r="E71" s="1">
        <v>0.34044390727978302</v>
      </c>
      <c r="F71" s="1">
        <v>0.40879052323258203</v>
      </c>
      <c r="G71" s="1">
        <v>0.473174975839743</v>
      </c>
      <c r="H71" s="1">
        <v>0.52447549024243101</v>
      </c>
      <c r="J71" t="s">
        <v>97</v>
      </c>
      <c r="K71" s="1" t="s">
        <v>135</v>
      </c>
      <c r="L71" s="1">
        <v>0.27</v>
      </c>
      <c r="M71" s="1">
        <v>0.36913416989202003</v>
      </c>
      <c r="N71" s="1"/>
      <c r="O71" s="1"/>
      <c r="Q71" s="17" t="str">
        <f t="shared" si="23"/>
        <v>EU_southDie</v>
      </c>
      <c r="R71" s="1" t="str">
        <f t="shared" si="20"/>
        <v/>
      </c>
      <c r="S71" s="1" t="str">
        <f t="shared" si="21"/>
        <v/>
      </c>
    </row>
    <row r="72" spans="1:19" ht="14.25" x14ac:dyDescent="0.45">
      <c r="A72" s="21" t="str">
        <f t="shared" si="22"/>
        <v>EU_southeastGAS</v>
      </c>
      <c r="B72" t="s">
        <v>65</v>
      </c>
      <c r="C72" t="s">
        <v>136</v>
      </c>
      <c r="D72" t="s">
        <v>68</v>
      </c>
      <c r="E72" s="1">
        <v>0.484766272746046</v>
      </c>
      <c r="F72" s="1">
        <v>0.45711887504103399</v>
      </c>
      <c r="G72" s="1">
        <v>0.29562853433029501</v>
      </c>
      <c r="H72" s="1">
        <v>0.52123379406550796</v>
      </c>
      <c r="J72" t="s">
        <v>97</v>
      </c>
      <c r="K72" s="1" t="s">
        <v>136</v>
      </c>
      <c r="L72" s="1">
        <v>0.247</v>
      </c>
      <c r="M72" s="1">
        <v>0.263222737819026</v>
      </c>
      <c r="N72" s="1"/>
      <c r="O72" s="1"/>
      <c r="Q72" s="17" t="str">
        <f t="shared" si="23"/>
        <v>EU_southeastDie</v>
      </c>
      <c r="R72" s="1" t="str">
        <f t="shared" si="20"/>
        <v/>
      </c>
      <c r="S72" s="1" t="str">
        <f t="shared" si="21"/>
        <v/>
      </c>
    </row>
    <row r="73" spans="1:19" ht="14.25" x14ac:dyDescent="0.45">
      <c r="A73" s="21" t="str">
        <f t="shared" si="22"/>
        <v>EU_southwestGAS</v>
      </c>
      <c r="B73" t="s">
        <v>65</v>
      </c>
      <c r="C73" t="s">
        <v>137</v>
      </c>
      <c r="D73" t="s">
        <v>68</v>
      </c>
      <c r="E73" s="1">
        <v>0.59735603397239201</v>
      </c>
      <c r="F73" s="1">
        <v>0.32830833264419401</v>
      </c>
      <c r="G73" s="1">
        <v>0</v>
      </c>
      <c r="H73" s="1">
        <v>0.498280439022462</v>
      </c>
      <c r="J73" t="s">
        <v>97</v>
      </c>
      <c r="K73" s="1" t="s">
        <v>137</v>
      </c>
      <c r="L73" s="1">
        <v>0.27000000000000102</v>
      </c>
      <c r="M73" s="1">
        <v>0.35040135617906798</v>
      </c>
      <c r="N73" s="1"/>
      <c r="O73" s="1"/>
      <c r="Q73" s="17" t="str">
        <f t="shared" si="23"/>
        <v>EU_southwestDie</v>
      </c>
      <c r="R73" s="1" t="str">
        <f t="shared" si="20"/>
        <v/>
      </c>
      <c r="S73" s="1" t="str">
        <f t="shared" si="21"/>
        <v/>
      </c>
    </row>
    <row r="74" spans="1:19" ht="14.25" x14ac:dyDescent="0.45">
      <c r="A74" s="21" t="str">
        <f t="shared" si="22"/>
        <v>Europe_otherGAS</v>
      </c>
      <c r="B74" t="s">
        <v>65</v>
      </c>
      <c r="C74" t="s">
        <v>138</v>
      </c>
      <c r="D74" t="s">
        <v>68</v>
      </c>
      <c r="E74" s="1">
        <v>0.209230238626922</v>
      </c>
      <c r="F74" s="1">
        <v>0.344916140377235</v>
      </c>
      <c r="G74" s="1">
        <v>0.29149047720981203</v>
      </c>
      <c r="H74" s="1">
        <v>0.53477987083374401</v>
      </c>
      <c r="J74" t="s">
        <v>97</v>
      </c>
      <c r="K74" s="1" t="s">
        <v>138</v>
      </c>
      <c r="L74" s="1">
        <v>0.26099999999999901</v>
      </c>
      <c r="M74" s="1">
        <v>0.27299176949262099</v>
      </c>
      <c r="N74" s="1"/>
      <c r="O74" s="1"/>
      <c r="Q74" s="17" t="str">
        <f t="shared" si="23"/>
        <v>Europe_otherDie</v>
      </c>
      <c r="R74" s="1" t="str">
        <f t="shared" si="20"/>
        <v/>
      </c>
      <c r="S74" s="1" t="str">
        <f t="shared" si="21"/>
        <v/>
      </c>
    </row>
    <row r="75" spans="1:19" ht="14.25" x14ac:dyDescent="0.45">
      <c r="A75" s="21" t="str">
        <f t="shared" si="22"/>
        <v>FranceGAS</v>
      </c>
      <c r="B75" t="s">
        <v>65</v>
      </c>
      <c r="C75" t="s">
        <v>139</v>
      </c>
      <c r="D75" t="s">
        <v>68</v>
      </c>
      <c r="E75" s="1">
        <v>0.70684528622630105</v>
      </c>
      <c r="F75" s="1">
        <v>0.27174610110115899</v>
      </c>
      <c r="G75" s="1">
        <v>0.35422250088212298</v>
      </c>
      <c r="H75" s="1">
        <v>0.56091705110294598</v>
      </c>
      <c r="J75" t="s">
        <v>97</v>
      </c>
      <c r="K75" s="1" t="s">
        <v>139</v>
      </c>
      <c r="L75" s="1">
        <v>0.27</v>
      </c>
      <c r="M75" s="1">
        <v>0.28171693072682802</v>
      </c>
      <c r="N75" s="1"/>
      <c r="O75" s="1"/>
      <c r="Q75" s="17" t="str">
        <f t="shared" si="23"/>
        <v>FranceDie</v>
      </c>
      <c r="R75" s="1" t="str">
        <f t="shared" si="20"/>
        <v/>
      </c>
      <c r="S75" s="1" t="str">
        <f t="shared" si="21"/>
        <v/>
      </c>
    </row>
    <row r="76" spans="1:19" ht="14.25" x14ac:dyDescent="0.45">
      <c r="A76" s="21" t="str">
        <f t="shared" si="22"/>
        <v>GermanyGAS</v>
      </c>
      <c r="B76" t="s">
        <v>65</v>
      </c>
      <c r="C76" t="s">
        <v>140</v>
      </c>
      <c r="D76" t="s">
        <v>68</v>
      </c>
      <c r="E76" s="1">
        <v>0.56433728195676802</v>
      </c>
      <c r="F76" s="1">
        <v>0.37821911097398497</v>
      </c>
      <c r="G76" s="1">
        <v>0.39643623660848198</v>
      </c>
      <c r="H76" s="1">
        <v>0.51662815129223105</v>
      </c>
      <c r="J76" t="s">
        <v>97</v>
      </c>
      <c r="K76" s="1" t="s">
        <v>140</v>
      </c>
      <c r="L76" s="1">
        <v>0.247</v>
      </c>
      <c r="M76" s="1">
        <v>0.39094025808699601</v>
      </c>
      <c r="N76" s="1"/>
      <c r="O76" s="1"/>
      <c r="Q76" s="17" t="str">
        <f t="shared" si="23"/>
        <v>GermanyDie</v>
      </c>
      <c r="R76" s="1" t="str">
        <f t="shared" si="20"/>
        <v/>
      </c>
      <c r="S76" s="1" t="str">
        <f t="shared" si="21"/>
        <v/>
      </c>
    </row>
    <row r="77" spans="1:19" ht="14.25" x14ac:dyDescent="0.45">
      <c r="A77" s="21" t="str">
        <f t="shared" si="22"/>
        <v>IndiaGAS</v>
      </c>
      <c r="B77" t="s">
        <v>65</v>
      </c>
      <c r="C77" t="s">
        <v>63</v>
      </c>
      <c r="D77" t="s">
        <v>68</v>
      </c>
      <c r="E77" s="1">
        <v>0</v>
      </c>
      <c r="F77" s="1">
        <v>0.37959304605058602</v>
      </c>
      <c r="G77" s="1">
        <v>0</v>
      </c>
      <c r="H77" s="1">
        <v>0.40893628883063698</v>
      </c>
      <c r="J77" t="s">
        <v>97</v>
      </c>
      <c r="K77" s="1" t="s">
        <v>63</v>
      </c>
      <c r="L77" s="1">
        <v>0.27</v>
      </c>
      <c r="M77" s="1">
        <v>0.26200000000000001</v>
      </c>
      <c r="N77" s="1"/>
      <c r="O77" s="1"/>
      <c r="Q77" s="17" t="str">
        <f t="shared" si="23"/>
        <v>IndiaDie</v>
      </c>
      <c r="R77" s="1" t="str">
        <f t="shared" si="20"/>
        <v/>
      </c>
      <c r="S77" s="1" t="str">
        <f t="shared" si="21"/>
        <v/>
      </c>
    </row>
    <row r="78" spans="1:19" ht="14.25" x14ac:dyDescent="0.45">
      <c r="A78" s="21" t="str">
        <f t="shared" si="22"/>
        <v>LatAm_otherGAS</v>
      </c>
      <c r="B78" t="s">
        <v>65</v>
      </c>
      <c r="C78" t="s">
        <v>141</v>
      </c>
      <c r="D78" t="s">
        <v>68</v>
      </c>
      <c r="E78" s="1">
        <v>0</v>
      </c>
      <c r="F78" s="1">
        <v>0.38731451354246599</v>
      </c>
      <c r="G78" s="1">
        <v>0</v>
      </c>
      <c r="H78" s="1">
        <v>0.38089062924421402</v>
      </c>
      <c r="J78" t="s">
        <v>97</v>
      </c>
      <c r="K78" s="1" t="s">
        <v>141</v>
      </c>
      <c r="L78" s="1">
        <v>0.27</v>
      </c>
      <c r="M78" s="1">
        <v>0.37222564535360497</v>
      </c>
      <c r="N78" s="1"/>
      <c r="O78" s="1"/>
      <c r="Q78" s="17" t="str">
        <f t="shared" si="23"/>
        <v>LatAm_otherDie</v>
      </c>
      <c r="R78" s="1" t="str">
        <f t="shared" si="20"/>
        <v/>
      </c>
      <c r="S78" s="1" t="str">
        <f t="shared" si="21"/>
        <v/>
      </c>
    </row>
    <row r="79" spans="1:19" ht="14.25" x14ac:dyDescent="0.45">
      <c r="A79" s="21" t="str">
        <f t="shared" si="22"/>
        <v>MexicoGAS</v>
      </c>
      <c r="B79" t="s">
        <v>65</v>
      </c>
      <c r="C79" t="s">
        <v>142</v>
      </c>
      <c r="D79" t="s">
        <v>68</v>
      </c>
      <c r="E79" s="1">
        <v>0.33218180854516099</v>
      </c>
      <c r="F79" s="1">
        <v>0.403807597483749</v>
      </c>
      <c r="G79" s="1">
        <v>0</v>
      </c>
      <c r="H79" s="1">
        <v>0.49882272650429799</v>
      </c>
      <c r="J79" t="s">
        <v>97</v>
      </c>
      <c r="K79" s="1" t="s">
        <v>142</v>
      </c>
      <c r="L79" s="1">
        <v>0.27</v>
      </c>
      <c r="M79" s="1">
        <v>0.31284442593376899</v>
      </c>
      <c r="N79" s="1"/>
      <c r="O79" s="1"/>
      <c r="Q79" s="17" t="str">
        <f t="shared" si="23"/>
        <v>MexicoDie</v>
      </c>
      <c r="R79" s="1" t="str">
        <f t="shared" si="20"/>
        <v/>
      </c>
      <c r="S79" s="1" t="str">
        <f t="shared" si="21"/>
        <v/>
      </c>
    </row>
    <row r="80" spans="1:19" ht="14.25" x14ac:dyDescent="0.45">
      <c r="A80" s="21" t="str">
        <f t="shared" si="22"/>
        <v>MidEast_otherGAS</v>
      </c>
      <c r="B80" t="s">
        <v>65</v>
      </c>
      <c r="C80" t="s">
        <v>143</v>
      </c>
      <c r="D80" t="s">
        <v>68</v>
      </c>
      <c r="E80" s="1">
        <v>0.78712822195890597</v>
      </c>
      <c r="F80" s="1">
        <v>0.38118101724953202</v>
      </c>
      <c r="G80" s="1">
        <v>0.63100531079386502</v>
      </c>
      <c r="H80" s="1">
        <v>0.39256949713464301</v>
      </c>
      <c r="J80" t="s">
        <v>97</v>
      </c>
      <c r="K80" s="1" t="s">
        <v>143</v>
      </c>
      <c r="M80" s="1">
        <v>0.383560570663599</v>
      </c>
      <c r="N80" s="1"/>
      <c r="O80" s="1"/>
      <c r="Q80" s="17" t="str">
        <f t="shared" si="23"/>
        <v>MidEast_otherDie</v>
      </c>
      <c r="R80" s="1" t="str">
        <f t="shared" si="20"/>
        <v/>
      </c>
      <c r="S80" s="1" t="str">
        <f t="shared" si="21"/>
        <v/>
      </c>
    </row>
    <row r="81" spans="1:19" ht="14.25" x14ac:dyDescent="0.45">
      <c r="A81" s="21" t="str">
        <f t="shared" si="22"/>
        <v>Nor-IceGAS</v>
      </c>
      <c r="B81" t="s">
        <v>65</v>
      </c>
      <c r="C81" t="s">
        <v>144</v>
      </c>
      <c r="D81" t="s">
        <v>68</v>
      </c>
      <c r="E81" s="1">
        <v>0.50512977755242505</v>
      </c>
      <c r="F81" s="1">
        <v>0</v>
      </c>
      <c r="G81" s="1">
        <v>0</v>
      </c>
      <c r="H81" s="1">
        <v>0.37545619147631698</v>
      </c>
      <c r="J81" t="s">
        <v>97</v>
      </c>
      <c r="K81" s="1" t="s">
        <v>144</v>
      </c>
      <c r="M81" s="1">
        <v>0.23542668136714501</v>
      </c>
      <c r="N81" s="1"/>
      <c r="O81" s="1"/>
      <c r="Q81" s="17" t="str">
        <f t="shared" si="23"/>
        <v>Nor-IceDie</v>
      </c>
      <c r="R81" s="1" t="str">
        <f t="shared" si="20"/>
        <v/>
      </c>
      <c r="S81" s="1" t="str">
        <f t="shared" si="21"/>
        <v/>
      </c>
    </row>
    <row r="82" spans="1:19" ht="14.25" x14ac:dyDescent="0.45">
      <c r="A82" s="21" t="str">
        <f t="shared" si="22"/>
        <v>RussiaGAS</v>
      </c>
      <c r="B82" t="s">
        <v>65</v>
      </c>
      <c r="C82" t="s">
        <v>64</v>
      </c>
      <c r="D82" t="s">
        <v>68</v>
      </c>
      <c r="E82" s="1">
        <v>0.17970680717211801</v>
      </c>
      <c r="F82" s="1">
        <v>0.19244936792731099</v>
      </c>
      <c r="G82" s="1">
        <v>0.301207588034555</v>
      </c>
      <c r="H82" s="1">
        <v>0</v>
      </c>
      <c r="J82" t="s">
        <v>97</v>
      </c>
      <c r="K82" s="1" t="s">
        <v>64</v>
      </c>
      <c r="L82" s="1">
        <v>0.29199999999999998</v>
      </c>
      <c r="N82" s="1"/>
      <c r="O82" s="1"/>
      <c r="Q82" s="17" t="str">
        <f t="shared" si="23"/>
        <v>RussiaDie</v>
      </c>
      <c r="R82" s="1" t="str">
        <f t="shared" si="20"/>
        <v/>
      </c>
      <c r="S82" s="1" t="str">
        <f t="shared" si="21"/>
        <v/>
      </c>
    </row>
    <row r="83" spans="1:19" ht="14.25" x14ac:dyDescent="0.45">
      <c r="A83" s="21" t="str">
        <f t="shared" si="22"/>
        <v>SaudiArabiaGAS</v>
      </c>
      <c r="B83" t="s">
        <v>65</v>
      </c>
      <c r="C83" t="s">
        <v>149</v>
      </c>
      <c r="D83" t="s">
        <v>68</v>
      </c>
      <c r="E83" s="1">
        <v>0</v>
      </c>
      <c r="F83" s="1">
        <v>0.29804920799604001</v>
      </c>
      <c r="G83" s="1">
        <v>0</v>
      </c>
      <c r="H83" s="1">
        <v>0.41769143026369698</v>
      </c>
      <c r="J83" t="s">
        <v>97</v>
      </c>
      <c r="K83" s="1" t="s">
        <v>145</v>
      </c>
      <c r="M83" s="1">
        <v>0.35857142857142799</v>
      </c>
      <c r="N83" s="1"/>
      <c r="O83" s="1"/>
      <c r="Q83" s="17" t="str">
        <f t="shared" si="23"/>
        <v>SouthAfricaDie</v>
      </c>
      <c r="R83" s="1" t="str">
        <f t="shared" si="20"/>
        <v/>
      </c>
      <c r="S83" s="1" t="str">
        <f t="shared" si="21"/>
        <v/>
      </c>
    </row>
    <row r="84" spans="1:19" ht="14.25" x14ac:dyDescent="0.45">
      <c r="A84" s="21" t="str">
        <f t="shared" si="22"/>
        <v>UKGAS</v>
      </c>
      <c r="B84" t="s">
        <v>65</v>
      </c>
      <c r="C84" t="s">
        <v>146</v>
      </c>
      <c r="D84" t="s">
        <v>68</v>
      </c>
      <c r="E84" s="1">
        <v>0.50788348478696499</v>
      </c>
      <c r="F84" s="1">
        <v>0.18428585468703601</v>
      </c>
      <c r="G84" s="1">
        <v>0</v>
      </c>
      <c r="H84" s="1">
        <v>0.53958651635424604</v>
      </c>
      <c r="J84" t="s">
        <v>97</v>
      </c>
      <c r="K84" s="1" t="s">
        <v>146</v>
      </c>
      <c r="M84" s="1">
        <v>0.256810580723625</v>
      </c>
      <c r="N84" s="1"/>
      <c r="O84" s="1"/>
      <c r="Q84" s="17" t="str">
        <f t="shared" si="23"/>
        <v>UKDie</v>
      </c>
      <c r="R84" s="1" t="str">
        <f t="shared" si="20"/>
        <v/>
      </c>
      <c r="S84" s="1" t="str">
        <f t="shared" si="21"/>
        <v/>
      </c>
    </row>
    <row r="85" spans="1:19" ht="14.25" x14ac:dyDescent="0.45">
      <c r="A85" s="21" t="str">
        <f t="shared" si="22"/>
        <v>USAGAS</v>
      </c>
      <c r="B85" t="s">
        <v>65</v>
      </c>
      <c r="C85" t="s">
        <v>147</v>
      </c>
      <c r="D85" t="s">
        <v>68</v>
      </c>
      <c r="E85" s="1">
        <v>0.60733762515959</v>
      </c>
      <c r="F85" s="1">
        <v>0.32497733766660503</v>
      </c>
      <c r="G85" s="1">
        <v>0.41977658583663102</v>
      </c>
      <c r="H85" s="1">
        <v>0.49675682134688198</v>
      </c>
      <c r="J85" t="s">
        <v>97</v>
      </c>
      <c r="K85" s="1" t="s">
        <v>147</v>
      </c>
      <c r="L85" s="1">
        <v>0.27</v>
      </c>
      <c r="M85" s="1">
        <v>0.31227004253983398</v>
      </c>
      <c r="N85" s="1"/>
      <c r="O85" s="1"/>
      <c r="Q85" s="17" t="str">
        <f t="shared" ref="Q85:Q148" si="24">K85&amp;LEFT(J85,3)</f>
        <v>USADie</v>
      </c>
      <c r="R85" s="1" t="str">
        <f t="shared" ref="R85:R148" si="25">IFERROR(IF(L85&gt;0,VLOOKUP($Q85,$A$3:$H$102,R$1,FALSE)/L85,""),"")</f>
        <v/>
      </c>
      <c r="S85" s="1" t="str">
        <f t="shared" ref="S85:S148" si="26">IFERROR(IF(M85&gt;0,VLOOKUP($Q85,$A$3:$H$102,S$1,FALSE)/M85,""),"")</f>
        <v/>
      </c>
    </row>
    <row r="86" spans="1:19" ht="14.25" x14ac:dyDescent="0.45">
      <c r="A86" s="21" t="str">
        <f t="shared" si="22"/>
        <v>Africa_northOIL</v>
      </c>
      <c r="B86" t="s">
        <v>65</v>
      </c>
      <c r="C86" t="s">
        <v>148</v>
      </c>
      <c r="D86" t="s">
        <v>70</v>
      </c>
      <c r="E86" s="1">
        <v>0</v>
      </c>
      <c r="F86" s="1">
        <v>0.28556655397423297</v>
      </c>
      <c r="G86" s="1">
        <v>0</v>
      </c>
      <c r="H86" s="1">
        <v>0.33509489802193498</v>
      </c>
      <c r="J86" t="s">
        <v>93</v>
      </c>
      <c r="K86" s="1" t="s">
        <v>148</v>
      </c>
      <c r="L86" s="1">
        <v>0.27</v>
      </c>
      <c r="M86" s="1">
        <v>0.38525774369562599</v>
      </c>
      <c r="N86" s="1"/>
      <c r="O86" s="1"/>
      <c r="Q86" s="17" t="str">
        <f t="shared" si="24"/>
        <v>Africa_northGas</v>
      </c>
      <c r="R86" s="1">
        <f t="shared" si="25"/>
        <v>0</v>
      </c>
      <c r="S86" s="1">
        <f t="shared" si="26"/>
        <v>1.1409739114287598</v>
      </c>
    </row>
    <row r="87" spans="1:19" ht="14.25" x14ac:dyDescent="0.45">
      <c r="A87" s="21" t="str">
        <f t="shared" si="22"/>
        <v>Africa_otherOIL</v>
      </c>
      <c r="B87" t="s">
        <v>65</v>
      </c>
      <c r="C87" t="s">
        <v>124</v>
      </c>
      <c r="D87" t="s">
        <v>70</v>
      </c>
      <c r="E87" s="1">
        <v>0</v>
      </c>
      <c r="F87" s="1">
        <v>0.32704703875594598</v>
      </c>
      <c r="G87" s="1">
        <v>0</v>
      </c>
      <c r="H87" s="1">
        <v>0.32832936811749103</v>
      </c>
      <c r="J87" t="s">
        <v>93</v>
      </c>
      <c r="K87" s="1" t="s">
        <v>124</v>
      </c>
      <c r="L87" s="1">
        <v>0.244999999999999</v>
      </c>
      <c r="M87" s="1">
        <v>0.35619756410936898</v>
      </c>
      <c r="Q87" s="17" t="str">
        <f t="shared" si="24"/>
        <v>Africa_otherGas</v>
      </c>
      <c r="R87" s="1">
        <f t="shared" si="25"/>
        <v>0</v>
      </c>
      <c r="S87" s="1">
        <f t="shared" si="26"/>
        <v>1.1289937194900583</v>
      </c>
    </row>
    <row r="88" spans="1:19" ht="14.25" x14ac:dyDescent="0.45">
      <c r="A88" s="21" t="str">
        <f t="shared" si="22"/>
        <v>Arg-ChiOIL</v>
      </c>
      <c r="B88" t="s">
        <v>65</v>
      </c>
      <c r="C88" t="s">
        <v>125</v>
      </c>
      <c r="D88" t="s">
        <v>70</v>
      </c>
      <c r="E88" s="1">
        <v>0</v>
      </c>
      <c r="F88" s="1">
        <v>0.32911285258830603</v>
      </c>
      <c r="G88" s="1">
        <v>0</v>
      </c>
      <c r="H88" s="1">
        <v>0.36515380500864197</v>
      </c>
      <c r="J88" t="s">
        <v>93</v>
      </c>
      <c r="K88" s="1" t="s">
        <v>125</v>
      </c>
      <c r="L88" s="1">
        <v>0.32127411944869799</v>
      </c>
      <c r="M88" s="1">
        <v>0.42930498036722098</v>
      </c>
      <c r="Q88" s="17" t="str">
        <f t="shared" si="24"/>
        <v>Arg-ChiGas</v>
      </c>
      <c r="R88" s="1">
        <f t="shared" si="25"/>
        <v>0</v>
      </c>
      <c r="S88" s="1">
        <f t="shared" si="26"/>
        <v>1.1491926261963847</v>
      </c>
    </row>
    <row r="89" spans="1:19" ht="14.25" x14ac:dyDescent="0.45">
      <c r="A89" s="21" t="str">
        <f t="shared" si="22"/>
        <v>Asia_centralOIL</v>
      </c>
      <c r="B89" t="s">
        <v>65</v>
      </c>
      <c r="C89" t="s">
        <v>126</v>
      </c>
      <c r="D89" t="s">
        <v>70</v>
      </c>
      <c r="E89" s="1">
        <v>0.23629076828002299</v>
      </c>
      <c r="F89" s="1">
        <v>0.26672140380653803</v>
      </c>
      <c r="G89" s="1">
        <v>0.28804122368177798</v>
      </c>
      <c r="H89" s="1">
        <v>0.31200471865634699</v>
      </c>
      <c r="J89" t="s">
        <v>93</v>
      </c>
      <c r="K89" s="1" t="s">
        <v>126</v>
      </c>
      <c r="L89" s="1">
        <v>0.32446651845997299</v>
      </c>
      <c r="M89" s="1">
        <v>0.33051832178721202</v>
      </c>
      <c r="Q89" s="17" t="str">
        <f t="shared" si="24"/>
        <v>Asia_centralGas</v>
      </c>
      <c r="R89" s="1">
        <f t="shared" si="25"/>
        <v>0.90079665612286031</v>
      </c>
      <c r="S89" s="1">
        <f t="shared" si="26"/>
        <v>1.1615586308955443</v>
      </c>
    </row>
    <row r="90" spans="1:19" ht="14.25" x14ac:dyDescent="0.45">
      <c r="A90" s="21" t="str">
        <f t="shared" si="22"/>
        <v>Asia_eastOIL</v>
      </c>
      <c r="B90" t="s">
        <v>65</v>
      </c>
      <c r="C90" t="s">
        <v>127</v>
      </c>
      <c r="D90" t="s">
        <v>70</v>
      </c>
      <c r="E90" s="1">
        <v>0.23757058643983001</v>
      </c>
      <c r="F90" s="1">
        <v>0.385960281944149</v>
      </c>
      <c r="G90" s="1">
        <v>0.172437309061726</v>
      </c>
      <c r="H90" s="1">
        <v>0.36466710746070202</v>
      </c>
      <c r="J90" t="s">
        <v>93</v>
      </c>
      <c r="K90" s="1" t="s">
        <v>127</v>
      </c>
      <c r="L90" s="1">
        <v>0.492800387065781</v>
      </c>
      <c r="M90" s="1">
        <v>0.475694623134224</v>
      </c>
      <c r="Q90" s="17" t="str">
        <f t="shared" si="24"/>
        <v>Asia_eastGas</v>
      </c>
      <c r="R90" s="1">
        <f t="shared" si="25"/>
        <v>0.91024194422891225</v>
      </c>
      <c r="S90" s="1">
        <f t="shared" si="26"/>
        <v>1.0796590995946718</v>
      </c>
    </row>
    <row r="91" spans="1:19" ht="14.25" x14ac:dyDescent="0.45">
      <c r="A91" s="21" t="str">
        <f t="shared" si="22"/>
        <v>Asia_otherOIL</v>
      </c>
      <c r="B91" t="s">
        <v>65</v>
      </c>
      <c r="C91" t="s">
        <v>128</v>
      </c>
      <c r="D91" t="s">
        <v>70</v>
      </c>
      <c r="E91" s="1">
        <v>0.34423755479992102</v>
      </c>
      <c r="F91" s="1">
        <v>0.25389213430250901</v>
      </c>
      <c r="G91" s="1">
        <v>0.252433082356042</v>
      </c>
      <c r="H91" s="1">
        <v>0.35351692664191497</v>
      </c>
      <c r="J91" t="s">
        <v>93</v>
      </c>
      <c r="K91" s="1" t="s">
        <v>128</v>
      </c>
      <c r="L91" s="1">
        <v>0.45468437557519298</v>
      </c>
      <c r="M91" s="1">
        <v>0.458888919039042</v>
      </c>
      <c r="Q91" s="17" t="str">
        <f t="shared" si="24"/>
        <v>Asia_otherGas</v>
      </c>
      <c r="R91" s="1">
        <f t="shared" si="25"/>
        <v>17.339872719457816</v>
      </c>
      <c r="S91" s="1">
        <f t="shared" si="26"/>
        <v>0.99830938871244135</v>
      </c>
    </row>
    <row r="92" spans="1:19" ht="14.25" x14ac:dyDescent="0.45">
      <c r="A92" s="21" t="str">
        <f t="shared" si="22"/>
        <v>Australia_NZOIL</v>
      </c>
      <c r="B92" t="s">
        <v>65</v>
      </c>
      <c r="C92" t="s">
        <v>129</v>
      </c>
      <c r="D92" t="s">
        <v>70</v>
      </c>
      <c r="E92" s="1">
        <v>0.38174484413088</v>
      </c>
      <c r="F92" s="1">
        <v>0.38795338369825499</v>
      </c>
      <c r="G92" s="1">
        <v>0.41339355032599001</v>
      </c>
      <c r="H92" s="1">
        <v>0.383546498018353</v>
      </c>
      <c r="J92" t="s">
        <v>93</v>
      </c>
      <c r="K92" s="1" t="s">
        <v>129</v>
      </c>
      <c r="L92" s="1">
        <v>0.308341382384693</v>
      </c>
      <c r="M92" s="1">
        <v>0.36324212725712501</v>
      </c>
      <c r="Q92" s="17" t="str">
        <f t="shared" si="24"/>
        <v>Australia_NZGas</v>
      </c>
      <c r="R92" s="1">
        <f t="shared" si="25"/>
        <v>1.1578777504399411</v>
      </c>
      <c r="S92" s="1">
        <f t="shared" si="26"/>
        <v>1.0683076208212254</v>
      </c>
    </row>
    <row r="93" spans="1:19" ht="14.25" x14ac:dyDescent="0.45">
      <c r="A93" s="21" t="str">
        <f t="shared" si="22"/>
        <v>BrazilOIL</v>
      </c>
      <c r="B93" t="s">
        <v>65</v>
      </c>
      <c r="C93" t="s">
        <v>130</v>
      </c>
      <c r="D93" t="s">
        <v>70</v>
      </c>
      <c r="E93" s="1">
        <v>0.430228518760567</v>
      </c>
      <c r="F93" s="1">
        <v>0.371954482731568</v>
      </c>
      <c r="G93" s="1">
        <v>0</v>
      </c>
      <c r="H93" s="1">
        <v>0.38888898145265</v>
      </c>
      <c r="J93" t="s">
        <v>93</v>
      </c>
      <c r="K93" s="1" t="s">
        <v>130</v>
      </c>
      <c r="L93" s="1">
        <v>0.277707619610159</v>
      </c>
      <c r="M93" s="1">
        <v>0.42194795985140199</v>
      </c>
      <c r="Q93" s="17" t="str">
        <f t="shared" si="24"/>
        <v>BrazilGas</v>
      </c>
      <c r="R93" s="1">
        <f t="shared" si="25"/>
        <v>0</v>
      </c>
      <c r="S93" s="1">
        <f t="shared" si="26"/>
        <v>1.0388775624164366</v>
      </c>
    </row>
    <row r="94" spans="1:19" ht="14.25" x14ac:dyDescent="0.45">
      <c r="A94" s="21" t="str">
        <f t="shared" si="22"/>
        <v>CanadaOIL</v>
      </c>
      <c r="B94" t="s">
        <v>65</v>
      </c>
      <c r="C94" t="s">
        <v>131</v>
      </c>
      <c r="D94" t="s">
        <v>70</v>
      </c>
      <c r="E94" s="1">
        <v>0</v>
      </c>
      <c r="F94" s="1">
        <v>0.37508741470386497</v>
      </c>
      <c r="G94" s="1">
        <v>8.2918847168388807E-2</v>
      </c>
      <c r="H94" s="1">
        <v>0.30206738511935999</v>
      </c>
      <c r="J94" t="s">
        <v>93</v>
      </c>
      <c r="K94" s="1" t="s">
        <v>131</v>
      </c>
      <c r="L94" s="1">
        <v>0.37432441563688301</v>
      </c>
      <c r="M94" s="1">
        <v>0.36005320913422201</v>
      </c>
      <c r="Q94" s="17" t="str">
        <f t="shared" si="24"/>
        <v>CanadaGas</v>
      </c>
      <c r="R94" s="1">
        <f t="shared" si="25"/>
        <v>1.0389197076408807</v>
      </c>
      <c r="S94" s="1">
        <f t="shared" si="26"/>
        <v>1.1961935613766839</v>
      </c>
    </row>
    <row r="95" spans="1:19" ht="14.25" x14ac:dyDescent="0.45">
      <c r="A95" s="21" t="str">
        <f t="shared" si="22"/>
        <v>ChinaOIL</v>
      </c>
      <c r="B95" t="s">
        <v>65</v>
      </c>
      <c r="C95" t="s">
        <v>62</v>
      </c>
      <c r="D95" t="s">
        <v>70</v>
      </c>
      <c r="E95" s="1">
        <v>0</v>
      </c>
      <c r="F95" s="1">
        <v>0.48203544355803202</v>
      </c>
      <c r="G95" s="1">
        <v>0</v>
      </c>
      <c r="H95" s="1">
        <v>0.33730815174513401</v>
      </c>
      <c r="J95" t="s">
        <v>93</v>
      </c>
      <c r="K95" s="1" t="s">
        <v>62</v>
      </c>
      <c r="L95" s="1">
        <v>0.51426426520483304</v>
      </c>
      <c r="M95" s="1">
        <v>0.497871815829451</v>
      </c>
      <c r="Q95" s="17" t="str">
        <f t="shared" si="24"/>
        <v>ChinaGas</v>
      </c>
      <c r="R95" s="1">
        <f t="shared" si="25"/>
        <v>0.49394738872760346</v>
      </c>
      <c r="S95" s="1">
        <f t="shared" si="26"/>
        <v>1.1127253435185156</v>
      </c>
    </row>
    <row r="96" spans="1:19" ht="14.25" x14ac:dyDescent="0.45">
      <c r="A96" s="21" t="str">
        <f t="shared" si="22"/>
        <v>EU_northOIL</v>
      </c>
      <c r="B96" t="s">
        <v>65</v>
      </c>
      <c r="C96" t="s">
        <v>132</v>
      </c>
      <c r="D96" t="s">
        <v>70</v>
      </c>
      <c r="E96" s="1">
        <v>0.460880105633242</v>
      </c>
      <c r="F96" s="1">
        <v>0.395357647900063</v>
      </c>
      <c r="G96" s="1">
        <v>0.20141555104221301</v>
      </c>
      <c r="H96" s="1">
        <v>0.33076869973255402</v>
      </c>
      <c r="J96" t="s">
        <v>93</v>
      </c>
      <c r="K96" s="1" t="s">
        <v>132</v>
      </c>
      <c r="L96" s="1">
        <v>0.393599031245631</v>
      </c>
      <c r="M96" s="1">
        <v>0.31213123122757103</v>
      </c>
      <c r="Q96" s="17" t="str">
        <f t="shared" si="24"/>
        <v>EU_northGas</v>
      </c>
      <c r="R96" s="1">
        <f t="shared" si="25"/>
        <v>0.89613718891042171</v>
      </c>
      <c r="S96" s="1">
        <f t="shared" si="26"/>
        <v>1.3190301639348578</v>
      </c>
    </row>
    <row r="97" spans="1:19" ht="14.25" x14ac:dyDescent="0.45">
      <c r="A97" s="21" t="str">
        <f t="shared" si="22"/>
        <v>EU_northeastOIL</v>
      </c>
      <c r="B97" t="s">
        <v>65</v>
      </c>
      <c r="C97" t="s">
        <v>133</v>
      </c>
      <c r="D97" t="s">
        <v>70</v>
      </c>
      <c r="E97" s="1">
        <v>0.43579942228254398</v>
      </c>
      <c r="F97" s="1">
        <v>0.40200073734043201</v>
      </c>
      <c r="G97" s="1">
        <v>0.25836979098970903</v>
      </c>
      <c r="H97" s="1">
        <v>0.42980840134675502</v>
      </c>
      <c r="J97" t="s">
        <v>93</v>
      </c>
      <c r="K97" s="1" t="s">
        <v>133</v>
      </c>
      <c r="L97" s="1">
        <v>0.447674511180221</v>
      </c>
      <c r="M97" s="1">
        <v>0.33603335094504599</v>
      </c>
      <c r="Q97" s="17" t="str">
        <f t="shared" si="24"/>
        <v>EU_northeastGas</v>
      </c>
      <c r="R97" s="1">
        <f t="shared" si="25"/>
        <v>0.71311244029358234</v>
      </c>
      <c r="S97" s="1">
        <f t="shared" si="26"/>
        <v>1.5220071625769203</v>
      </c>
    </row>
    <row r="98" spans="1:19" ht="14.25" x14ac:dyDescent="0.45">
      <c r="A98" s="21" t="str">
        <f t="shared" si="22"/>
        <v>EU_northwestOIL</v>
      </c>
      <c r="B98" t="s">
        <v>65</v>
      </c>
      <c r="C98" t="s">
        <v>134</v>
      </c>
      <c r="D98" t="s">
        <v>70</v>
      </c>
      <c r="E98" s="1">
        <v>0.407667983369218</v>
      </c>
      <c r="F98" s="1">
        <v>0.60210292368503904</v>
      </c>
      <c r="G98" s="1">
        <v>0.38703268431209598</v>
      </c>
      <c r="H98" s="1">
        <v>0.35081679299773399</v>
      </c>
      <c r="J98" t="s">
        <v>93</v>
      </c>
      <c r="K98" s="1" t="s">
        <v>134</v>
      </c>
      <c r="L98" s="1">
        <v>0.467538589652995</v>
      </c>
      <c r="M98" s="1">
        <v>0.46227144251073599</v>
      </c>
      <c r="Q98" s="17" t="str">
        <f t="shared" si="24"/>
        <v>EU_northwestGas</v>
      </c>
      <c r="R98" s="1">
        <f t="shared" si="25"/>
        <v>0.82600620508547817</v>
      </c>
      <c r="S98" s="1">
        <f t="shared" si="26"/>
        <v>1.1631828912819488</v>
      </c>
    </row>
    <row r="99" spans="1:19" ht="14.25" x14ac:dyDescent="0.45">
      <c r="A99" s="21" t="str">
        <f t="shared" si="22"/>
        <v>EU_southOIL</v>
      </c>
      <c r="B99" t="s">
        <v>65</v>
      </c>
      <c r="C99" t="s">
        <v>135</v>
      </c>
      <c r="D99" t="s">
        <v>70</v>
      </c>
      <c r="E99" s="1">
        <v>4.9702660189711E-2</v>
      </c>
      <c r="F99" s="1">
        <v>0.33689978401243498</v>
      </c>
      <c r="G99" s="1">
        <v>0.25179926855629398</v>
      </c>
      <c r="H99" s="1">
        <v>0.38176574282862102</v>
      </c>
      <c r="J99" t="s">
        <v>93</v>
      </c>
      <c r="K99" s="1" t="s">
        <v>135</v>
      </c>
      <c r="L99" s="1">
        <v>0.45554371306408198</v>
      </c>
      <c r="M99" s="1">
        <v>0.43583827613017401</v>
      </c>
      <c r="Q99" s="17" t="str">
        <f t="shared" si="24"/>
        <v>EU_southGas</v>
      </c>
      <c r="R99" s="1">
        <f t="shared" si="25"/>
        <v>1.0387037780788795</v>
      </c>
      <c r="S99" s="1">
        <f t="shared" si="26"/>
        <v>1.2033717985929793</v>
      </c>
    </row>
    <row r="100" spans="1:19" ht="14.25" x14ac:dyDescent="0.45">
      <c r="A100" s="21" t="str">
        <f t="shared" si="22"/>
        <v>EU_southeastOIL</v>
      </c>
      <c r="B100" t="s">
        <v>65</v>
      </c>
      <c r="C100" t="s">
        <v>136</v>
      </c>
      <c r="D100" t="s">
        <v>70</v>
      </c>
      <c r="E100" s="1">
        <v>0.419990651634574</v>
      </c>
      <c r="F100" s="1">
        <v>0.35489774670055502</v>
      </c>
      <c r="G100" s="1">
        <v>0.151237541611703</v>
      </c>
      <c r="H100" s="1">
        <v>0.29223672546540103</v>
      </c>
      <c r="J100" t="s">
        <v>93</v>
      </c>
      <c r="K100" s="1" t="s">
        <v>136</v>
      </c>
      <c r="L100" s="1">
        <v>0.32400629831267003</v>
      </c>
      <c r="M100" s="1">
        <v>0.359261686346321</v>
      </c>
      <c r="Q100" s="17" t="str">
        <f t="shared" si="24"/>
        <v>EU_southeastGas</v>
      </c>
      <c r="R100" s="1">
        <f t="shared" si="25"/>
        <v>0.91241601126225602</v>
      </c>
      <c r="S100" s="1">
        <f t="shared" si="26"/>
        <v>1.4508471509067324</v>
      </c>
    </row>
    <row r="101" spans="1:19" ht="14.25" x14ac:dyDescent="0.45">
      <c r="A101" s="21" t="str">
        <f t="shared" si="22"/>
        <v>EU_southwestOIL</v>
      </c>
      <c r="B101" t="s">
        <v>65</v>
      </c>
      <c r="C101" t="s">
        <v>137</v>
      </c>
      <c r="D101" t="s">
        <v>70</v>
      </c>
      <c r="E101" s="1">
        <v>0.60106923923057398</v>
      </c>
      <c r="F101" s="1">
        <v>0.29164556966529798</v>
      </c>
      <c r="G101" s="1">
        <v>0.39655945404480403</v>
      </c>
      <c r="H101" s="1">
        <v>0.39946824519792301</v>
      </c>
      <c r="J101" t="s">
        <v>93</v>
      </c>
      <c r="K101" s="1" t="s">
        <v>137</v>
      </c>
      <c r="L101" s="1">
        <v>0.434955896869199</v>
      </c>
      <c r="M101" s="1">
        <v>0.51497164226182901</v>
      </c>
      <c r="Q101" s="17" t="str">
        <f t="shared" si="24"/>
        <v>EU_southwestGas</v>
      </c>
      <c r="R101" s="1">
        <f t="shared" si="25"/>
        <v>0</v>
      </c>
      <c r="S101" s="1">
        <f t="shared" si="26"/>
        <v>0.96758811190834337</v>
      </c>
    </row>
    <row r="102" spans="1:19" ht="14.25" x14ac:dyDescent="0.45">
      <c r="A102" s="21" t="str">
        <f t="shared" si="22"/>
        <v>Europe_otherOIL</v>
      </c>
      <c r="B102" t="s">
        <v>65</v>
      </c>
      <c r="C102" t="s">
        <v>138</v>
      </c>
      <c r="D102" t="s">
        <v>70</v>
      </c>
      <c r="E102" s="1">
        <v>0.17118514680315899</v>
      </c>
      <c r="F102" s="1">
        <v>0.33023333641974401</v>
      </c>
      <c r="G102" s="1">
        <v>0.26992968200761103</v>
      </c>
      <c r="H102" s="1">
        <v>0.39530787625460501</v>
      </c>
      <c r="J102" t="s">
        <v>93</v>
      </c>
      <c r="K102" s="1" t="s">
        <v>138</v>
      </c>
      <c r="L102" s="1">
        <v>0.34941769104639098</v>
      </c>
      <c r="M102" s="1">
        <v>0.42873690026167599</v>
      </c>
      <c r="Q102" s="17" t="str">
        <f t="shared" si="24"/>
        <v>Europe_otherGas</v>
      </c>
      <c r="R102" s="1">
        <f t="shared" si="25"/>
        <v>0.83421785639099721</v>
      </c>
      <c r="S102" s="1">
        <f t="shared" si="26"/>
        <v>1.2473381006098276</v>
      </c>
    </row>
    <row r="103" spans="1:19" ht="14.25" x14ac:dyDescent="0.45">
      <c r="A103" s="21" t="str">
        <f t="shared" si="22"/>
        <v>FranceOIL</v>
      </c>
      <c r="B103" t="s">
        <v>65</v>
      </c>
      <c r="C103" t="s">
        <v>139</v>
      </c>
      <c r="D103" t="s">
        <v>70</v>
      </c>
      <c r="E103">
        <v>0.52293762673389999</v>
      </c>
      <c r="F103">
        <v>0.17572873849427001</v>
      </c>
      <c r="G103">
        <v>5.8716921842010598E-2</v>
      </c>
      <c r="H103">
        <v>0.42084493801356399</v>
      </c>
      <c r="J103" t="s">
        <v>93</v>
      </c>
      <c r="K103" s="1" t="s">
        <v>139</v>
      </c>
      <c r="L103" s="1">
        <v>0.28519340196446402</v>
      </c>
      <c r="M103" s="1">
        <v>0.50872301445103096</v>
      </c>
      <c r="Q103" s="17" t="str">
        <f t="shared" si="24"/>
        <v>FranceGas</v>
      </c>
      <c r="R103" s="1">
        <f t="shared" si="25"/>
        <v>1.2420431133475529</v>
      </c>
      <c r="S103" s="1">
        <f t="shared" si="26"/>
        <v>1.1025981431334264</v>
      </c>
    </row>
    <row r="104" spans="1:19" ht="14.25" x14ac:dyDescent="0.45">
      <c r="A104" s="21" t="str">
        <f t="shared" si="22"/>
        <v>GermanyOIL</v>
      </c>
      <c r="B104" t="s">
        <v>65</v>
      </c>
      <c r="C104" t="s">
        <v>140</v>
      </c>
      <c r="D104" t="s">
        <v>70</v>
      </c>
      <c r="E104">
        <v>0.56056879439017704</v>
      </c>
      <c r="F104">
        <v>0.35588330260722001</v>
      </c>
      <c r="G104">
        <v>0.33974097185580698</v>
      </c>
      <c r="H104">
        <v>0.37200043101817198</v>
      </c>
      <c r="J104" t="s">
        <v>93</v>
      </c>
      <c r="K104" s="1" t="s">
        <v>140</v>
      </c>
      <c r="L104" s="1">
        <v>0.39763392606745701</v>
      </c>
      <c r="M104" s="1">
        <v>0.42475915268214098</v>
      </c>
      <c r="Q104" s="17" t="str">
        <f t="shared" si="24"/>
        <v>GermanyGas</v>
      </c>
      <c r="R104" s="1">
        <f t="shared" si="25"/>
        <v>0.99698795957673936</v>
      </c>
      <c r="S104" s="1">
        <f t="shared" si="26"/>
        <v>1.2162849182412749</v>
      </c>
    </row>
    <row r="105" spans="1:19" ht="14.25" x14ac:dyDescent="0.45">
      <c r="A105" s="21" t="str">
        <f t="shared" si="22"/>
        <v>IndiaOIL</v>
      </c>
      <c r="B105" t="s">
        <v>65</v>
      </c>
      <c r="C105" t="s">
        <v>63</v>
      </c>
      <c r="D105" t="s">
        <v>70</v>
      </c>
      <c r="E105">
        <v>0</v>
      </c>
      <c r="F105">
        <v>0.19999999399323101</v>
      </c>
      <c r="G105">
        <v>0</v>
      </c>
      <c r="H105">
        <v>0.16305252764200701</v>
      </c>
      <c r="J105" t="s">
        <v>93</v>
      </c>
      <c r="K105" s="1" t="s">
        <v>63</v>
      </c>
      <c r="L105" s="1">
        <v>0.30380283135879499</v>
      </c>
      <c r="M105" s="1">
        <v>0.48957228510105699</v>
      </c>
      <c r="Q105" s="17" t="str">
        <f t="shared" si="24"/>
        <v>IndiaGas</v>
      </c>
      <c r="R105" s="1">
        <f t="shared" si="25"/>
        <v>0</v>
      </c>
      <c r="S105" s="1">
        <f t="shared" si="26"/>
        <v>0.83529297159095672</v>
      </c>
    </row>
    <row r="106" spans="1:19" ht="14.25" x14ac:dyDescent="0.45">
      <c r="A106" s="21" t="str">
        <f t="shared" si="22"/>
        <v>LatAm_otherOIL</v>
      </c>
      <c r="B106" t="s">
        <v>65</v>
      </c>
      <c r="C106" t="s">
        <v>141</v>
      </c>
      <c r="D106" t="s">
        <v>70</v>
      </c>
      <c r="E106">
        <v>0</v>
      </c>
      <c r="F106">
        <v>0.33699552641999397</v>
      </c>
      <c r="G106">
        <v>0</v>
      </c>
      <c r="H106">
        <v>0.36728405168783801</v>
      </c>
      <c r="J106" t="s">
        <v>93</v>
      </c>
      <c r="K106" s="1" t="s">
        <v>141</v>
      </c>
      <c r="L106" s="1">
        <v>0.25622463781092802</v>
      </c>
      <c r="M106" s="1">
        <v>0.39963058638132198</v>
      </c>
      <c r="Q106" s="17" t="str">
        <f t="shared" si="24"/>
        <v>LatAm_otherGas</v>
      </c>
      <c r="R106" s="1">
        <f t="shared" si="25"/>
        <v>0</v>
      </c>
      <c r="S106" s="1">
        <f t="shared" si="26"/>
        <v>0.95310679969018552</v>
      </c>
    </row>
    <row r="107" spans="1:19" ht="14.25" x14ac:dyDescent="0.45">
      <c r="A107" s="21" t="str">
        <f t="shared" si="22"/>
        <v>MexicoOIL</v>
      </c>
      <c r="B107" t="s">
        <v>65</v>
      </c>
      <c r="C107" t="s">
        <v>142</v>
      </c>
      <c r="D107" t="s">
        <v>70</v>
      </c>
      <c r="E107">
        <v>0.198590327335747</v>
      </c>
      <c r="F107">
        <v>0.413262001257445</v>
      </c>
      <c r="G107">
        <v>0</v>
      </c>
      <c r="H107">
        <v>0.40010318258552402</v>
      </c>
      <c r="J107" t="s">
        <v>93</v>
      </c>
      <c r="K107" s="1" t="s">
        <v>142</v>
      </c>
      <c r="L107" s="1">
        <v>0.42895397093783599</v>
      </c>
      <c r="M107" s="1">
        <v>0.45557154070085198</v>
      </c>
      <c r="Q107" s="17" t="str">
        <f t="shared" si="24"/>
        <v>MexicoGas</v>
      </c>
      <c r="R107" s="1">
        <f t="shared" si="25"/>
        <v>0</v>
      </c>
      <c r="S107" s="1">
        <f t="shared" si="26"/>
        <v>1.0949382960509524</v>
      </c>
    </row>
    <row r="108" spans="1:19" ht="14.25" x14ac:dyDescent="0.45">
      <c r="A108" s="21" t="str">
        <f t="shared" si="22"/>
        <v>MidEast_otherOIL</v>
      </c>
      <c r="B108" t="s">
        <v>65</v>
      </c>
      <c r="C108" t="s">
        <v>143</v>
      </c>
      <c r="D108" t="s">
        <v>70</v>
      </c>
      <c r="E108">
        <v>0.49825946577861702</v>
      </c>
      <c r="F108">
        <v>0.29560174015275198</v>
      </c>
      <c r="G108">
        <v>0</v>
      </c>
      <c r="H108">
        <v>0.32505462901767201</v>
      </c>
      <c r="J108" t="s">
        <v>93</v>
      </c>
      <c r="K108" s="1" t="s">
        <v>143</v>
      </c>
      <c r="L108" s="1">
        <v>0.41406559075328397</v>
      </c>
      <c r="M108" s="1">
        <v>0.38083415250493602</v>
      </c>
      <c r="Q108" s="17" t="str">
        <f t="shared" si="24"/>
        <v>MidEast_otherGas</v>
      </c>
      <c r="R108" s="1">
        <f t="shared" si="25"/>
        <v>1.5239259790844151</v>
      </c>
      <c r="S108" s="1">
        <f t="shared" si="26"/>
        <v>1.0308148430294861</v>
      </c>
    </row>
    <row r="109" spans="1:19" ht="14.25" x14ac:dyDescent="0.45">
      <c r="A109" s="21" t="str">
        <f t="shared" si="22"/>
        <v>Nor-IceOIL</v>
      </c>
      <c r="B109" t="s">
        <v>65</v>
      </c>
      <c r="C109" t="s">
        <v>144</v>
      </c>
      <c r="D109" t="s">
        <v>70</v>
      </c>
      <c r="E109">
        <v>0</v>
      </c>
      <c r="F109">
        <v>0</v>
      </c>
      <c r="G109">
        <v>3.02005543781243E-2</v>
      </c>
      <c r="H109">
        <v>0.38432195027620603</v>
      </c>
      <c r="J109" t="s">
        <v>93</v>
      </c>
      <c r="K109" s="1" t="s">
        <v>144</v>
      </c>
      <c r="L109" s="1">
        <v>0.44799999999999901</v>
      </c>
      <c r="M109" s="1">
        <v>0.28300000000000097</v>
      </c>
      <c r="Q109" s="17" t="str">
        <f t="shared" si="24"/>
        <v>Nor-IceGas</v>
      </c>
      <c r="R109" s="1">
        <f t="shared" si="25"/>
        <v>0</v>
      </c>
      <c r="S109" s="1">
        <f t="shared" si="26"/>
        <v>1.3267003232378647</v>
      </c>
    </row>
    <row r="110" spans="1:19" ht="14.25" x14ac:dyDescent="0.45">
      <c r="A110" s="21" t="str">
        <f t="shared" si="22"/>
        <v>RussiaOIL</v>
      </c>
      <c r="B110" t="s">
        <v>65</v>
      </c>
      <c r="C110" t="s">
        <v>64</v>
      </c>
      <c r="D110" t="s">
        <v>70</v>
      </c>
      <c r="E110">
        <v>0.21854463812619099</v>
      </c>
      <c r="F110">
        <v>0.28612445097258798</v>
      </c>
      <c r="G110">
        <v>0.24788166014108901</v>
      </c>
      <c r="H110">
        <v>0</v>
      </c>
      <c r="J110" t="s">
        <v>93</v>
      </c>
      <c r="K110" s="1" t="s">
        <v>64</v>
      </c>
      <c r="L110" s="1">
        <v>0.32749910010697297</v>
      </c>
      <c r="M110" s="1">
        <v>0.30262077588566599</v>
      </c>
      <c r="Q110" s="17" t="str">
        <f t="shared" si="24"/>
        <v>RussiaGas</v>
      </c>
      <c r="R110" s="1">
        <f t="shared" si="25"/>
        <v>0.91972035323507695</v>
      </c>
      <c r="S110" s="1">
        <f t="shared" si="26"/>
        <v>0</v>
      </c>
    </row>
    <row r="111" spans="1:19" ht="14.25" x14ac:dyDescent="0.45">
      <c r="A111" s="21" t="str">
        <f t="shared" si="22"/>
        <v>SaudiArabiaOIL</v>
      </c>
      <c r="B111" t="s">
        <v>65</v>
      </c>
      <c r="C111" t="s">
        <v>149</v>
      </c>
      <c r="D111" t="s">
        <v>70</v>
      </c>
      <c r="E111">
        <v>0</v>
      </c>
      <c r="F111">
        <v>0.28643317700786403</v>
      </c>
      <c r="G111">
        <v>0</v>
      </c>
      <c r="H111">
        <v>0.42562068743903603</v>
      </c>
      <c r="J111" t="s">
        <v>93</v>
      </c>
      <c r="K111" s="1" t="s">
        <v>149</v>
      </c>
      <c r="L111" s="1">
        <v>0.40103982979994701</v>
      </c>
      <c r="M111" s="1">
        <v>0.37370436666079898</v>
      </c>
      <c r="Q111" s="17" t="str">
        <f t="shared" si="24"/>
        <v>SaudiArabiaGas</v>
      </c>
      <c r="R111" s="1">
        <f t="shared" si="25"/>
        <v>0</v>
      </c>
      <c r="S111" s="1">
        <f t="shared" si="26"/>
        <v>1.1177055114339187</v>
      </c>
    </row>
    <row r="112" spans="1:19" ht="14.25" x14ac:dyDescent="0.45">
      <c r="A112" s="21" t="str">
        <f t="shared" si="22"/>
        <v>SouthAfricaOIL</v>
      </c>
      <c r="B112" t="s">
        <v>65</v>
      </c>
      <c r="C112" t="s">
        <v>145</v>
      </c>
      <c r="D112" t="s">
        <v>70</v>
      </c>
      <c r="E112">
        <v>0</v>
      </c>
      <c r="F112">
        <v>0</v>
      </c>
      <c r="G112">
        <v>0</v>
      </c>
      <c r="H112">
        <v>0.335585558887324</v>
      </c>
      <c r="J112" t="s">
        <v>93</v>
      </c>
      <c r="K112" s="1" t="s">
        <v>145</v>
      </c>
      <c r="L112" s="1">
        <v>0.40800000000000097</v>
      </c>
      <c r="Q112" s="17" t="str">
        <f t="shared" si="24"/>
        <v>SouthAfricaGas</v>
      </c>
      <c r="R112" s="1" t="str">
        <f t="shared" si="25"/>
        <v/>
      </c>
      <c r="S112" s="1" t="str">
        <f t="shared" si="26"/>
        <v/>
      </c>
    </row>
    <row r="113" spans="1:19" ht="14.25" x14ac:dyDescent="0.45">
      <c r="A113" s="21" t="str">
        <f t="shared" si="22"/>
        <v>UKOIL</v>
      </c>
      <c r="B113" t="s">
        <v>65</v>
      </c>
      <c r="C113" t="s">
        <v>146</v>
      </c>
      <c r="D113" t="s">
        <v>70</v>
      </c>
      <c r="E113">
        <v>0.40484148599759201</v>
      </c>
      <c r="F113">
        <v>0.17552740826635699</v>
      </c>
      <c r="G113">
        <v>0</v>
      </c>
      <c r="H113">
        <v>0.33529418631987201</v>
      </c>
      <c r="J113" t="s">
        <v>93</v>
      </c>
      <c r="K113" s="1" t="s">
        <v>146</v>
      </c>
      <c r="L113" s="1">
        <v>0.46554996994168402</v>
      </c>
      <c r="M113" s="1">
        <v>0.47854303086364902</v>
      </c>
      <c r="Q113" s="17" t="str">
        <f t="shared" si="24"/>
        <v>UKGas</v>
      </c>
      <c r="R113" s="1">
        <f t="shared" si="25"/>
        <v>0</v>
      </c>
      <c r="S113" s="1">
        <f t="shared" si="26"/>
        <v>1.1275611210561962</v>
      </c>
    </row>
    <row r="114" spans="1:19" ht="14.25" x14ac:dyDescent="0.45">
      <c r="A114" s="21" t="str">
        <f t="shared" si="22"/>
        <v>USAOIL</v>
      </c>
      <c r="B114" t="s">
        <v>65</v>
      </c>
      <c r="C114" t="s">
        <v>147</v>
      </c>
      <c r="D114" t="s">
        <v>70</v>
      </c>
      <c r="E114">
        <v>0.58890430727793097</v>
      </c>
      <c r="F114">
        <v>0.28621237453250398</v>
      </c>
      <c r="G114">
        <v>0.33719027043291599</v>
      </c>
      <c r="H114">
        <v>0.358668438903464</v>
      </c>
      <c r="J114" t="s">
        <v>93</v>
      </c>
      <c r="K114" s="1" t="s">
        <v>147</v>
      </c>
      <c r="L114" s="1">
        <v>0.40012345371709002</v>
      </c>
      <c r="M114" s="1">
        <v>0.41609491738453502</v>
      </c>
      <c r="Q114" s="17" t="str">
        <f t="shared" si="24"/>
        <v>USAGas</v>
      </c>
      <c r="R114" s="1">
        <f t="shared" si="25"/>
        <v>1.0491176709012335</v>
      </c>
      <c r="S114" s="1">
        <f t="shared" si="26"/>
        <v>1.1938545764254147</v>
      </c>
    </row>
    <row r="115" spans="1:19" ht="14.25" x14ac:dyDescent="0.45">
      <c r="J115" t="s">
        <v>98</v>
      </c>
      <c r="K115" s="1" t="s">
        <v>124</v>
      </c>
      <c r="M115" s="1">
        <v>0.34011682475733002</v>
      </c>
      <c r="Q115" s="17" t="str">
        <f t="shared" si="24"/>
        <v>Africa_otherGeo</v>
      </c>
      <c r="R115" s="1" t="str">
        <f t="shared" si="25"/>
        <v/>
      </c>
      <c r="S115" s="1" t="str">
        <f t="shared" si="26"/>
        <v/>
      </c>
    </row>
    <row r="116" spans="1:19" ht="14.25" x14ac:dyDescent="0.45">
      <c r="J116" t="s">
        <v>98</v>
      </c>
      <c r="K116" s="1" t="s">
        <v>125</v>
      </c>
      <c r="M116" s="1">
        <v>0.33479999999999999</v>
      </c>
      <c r="Q116" s="17" t="str">
        <f t="shared" si="24"/>
        <v>Arg-ChiGeo</v>
      </c>
      <c r="R116" s="1" t="str">
        <f t="shared" si="25"/>
        <v/>
      </c>
      <c r="S116" s="1" t="str">
        <f t="shared" si="26"/>
        <v/>
      </c>
    </row>
    <row r="117" spans="1:19" ht="14.25" x14ac:dyDescent="0.45">
      <c r="J117" t="s">
        <v>98</v>
      </c>
      <c r="K117" s="1" t="s">
        <v>127</v>
      </c>
      <c r="L117" s="1">
        <v>0.26</v>
      </c>
      <c r="M117" s="1">
        <v>0.332433626618589</v>
      </c>
      <c r="Q117" s="17" t="str">
        <f t="shared" si="24"/>
        <v>Asia_eastGeo</v>
      </c>
      <c r="R117" s="1" t="str">
        <f t="shared" si="25"/>
        <v/>
      </c>
      <c r="S117" s="1" t="str">
        <f t="shared" si="26"/>
        <v/>
      </c>
    </row>
    <row r="118" spans="1:19" ht="14.25" x14ac:dyDescent="0.45">
      <c r="J118" t="s">
        <v>98</v>
      </c>
      <c r="K118" s="1" t="s">
        <v>128</v>
      </c>
      <c r="M118" s="1">
        <v>0.33747660966932502</v>
      </c>
      <c r="Q118" s="17" t="str">
        <f t="shared" si="24"/>
        <v>Asia_otherGeo</v>
      </c>
      <c r="R118" s="1" t="str">
        <f t="shared" si="25"/>
        <v/>
      </c>
      <c r="S118" s="1" t="str">
        <f t="shared" si="26"/>
        <v/>
      </c>
    </row>
    <row r="119" spans="1:19" ht="14.25" x14ac:dyDescent="0.45">
      <c r="J119" t="s">
        <v>98</v>
      </c>
      <c r="K119" s="1" t="s">
        <v>129</v>
      </c>
      <c r="L119" s="1">
        <v>0.25700000000000001</v>
      </c>
      <c r="M119" s="1">
        <v>0.34169588210137097</v>
      </c>
      <c r="Q119" s="17" t="str">
        <f t="shared" si="24"/>
        <v>Australia_NZGeo</v>
      </c>
      <c r="R119" s="1" t="str">
        <f t="shared" si="25"/>
        <v/>
      </c>
      <c r="S119" s="1" t="str">
        <f t="shared" si="26"/>
        <v/>
      </c>
    </row>
    <row r="120" spans="1:19" ht="14.25" x14ac:dyDescent="0.45">
      <c r="J120" t="s">
        <v>98</v>
      </c>
      <c r="K120" s="1" t="s">
        <v>62</v>
      </c>
      <c r="M120" s="1">
        <v>0.25700000000000001</v>
      </c>
      <c r="Q120" s="17" t="str">
        <f t="shared" si="24"/>
        <v>ChinaGeo</v>
      </c>
      <c r="R120" s="1" t="str">
        <f t="shared" si="25"/>
        <v/>
      </c>
      <c r="S120" s="1" t="str">
        <f t="shared" si="26"/>
        <v/>
      </c>
    </row>
    <row r="121" spans="1:19" ht="14.25" x14ac:dyDescent="0.45">
      <c r="J121" t="s">
        <v>98</v>
      </c>
      <c r="K121" s="1" t="s">
        <v>133</v>
      </c>
      <c r="M121" s="1">
        <v>0.33100000000000002</v>
      </c>
      <c r="Q121" s="17" t="str">
        <f t="shared" si="24"/>
        <v>EU_northeastGeo</v>
      </c>
      <c r="R121" s="1" t="str">
        <f t="shared" si="25"/>
        <v/>
      </c>
      <c r="S121" s="1" t="str">
        <f t="shared" si="26"/>
        <v/>
      </c>
    </row>
    <row r="122" spans="1:19" ht="14.25" x14ac:dyDescent="0.45">
      <c r="J122" t="s">
        <v>98</v>
      </c>
      <c r="K122" s="1" t="s">
        <v>135</v>
      </c>
      <c r="L122" s="1">
        <v>0.33299999999999902</v>
      </c>
      <c r="M122" s="1">
        <v>0.33299782948060702</v>
      </c>
      <c r="Q122" s="17" t="str">
        <f t="shared" si="24"/>
        <v>EU_southGeo</v>
      </c>
      <c r="R122" s="1" t="str">
        <f t="shared" si="25"/>
        <v/>
      </c>
      <c r="S122" s="1" t="str">
        <f t="shared" si="26"/>
        <v/>
      </c>
    </row>
    <row r="123" spans="1:19" ht="14.25" x14ac:dyDescent="0.45">
      <c r="J123" t="s">
        <v>98</v>
      </c>
      <c r="K123" s="1" t="s">
        <v>136</v>
      </c>
      <c r="M123" s="1">
        <v>0.33299999999999902</v>
      </c>
      <c r="Q123" s="17" t="str">
        <f t="shared" si="24"/>
        <v>EU_southeastGeo</v>
      </c>
      <c r="R123" s="1" t="str">
        <f t="shared" si="25"/>
        <v/>
      </c>
      <c r="S123" s="1" t="str">
        <f t="shared" si="26"/>
        <v/>
      </c>
    </row>
    <row r="124" spans="1:19" ht="14.25" x14ac:dyDescent="0.45">
      <c r="J124" t="s">
        <v>98</v>
      </c>
      <c r="K124" s="1" t="s">
        <v>137</v>
      </c>
      <c r="M124" s="1">
        <v>0.317</v>
      </c>
      <c r="Q124" s="17" t="str">
        <f t="shared" si="24"/>
        <v>EU_southwestGeo</v>
      </c>
      <c r="R124" s="1" t="str">
        <f t="shared" si="25"/>
        <v/>
      </c>
      <c r="S124" s="1" t="str">
        <f t="shared" si="26"/>
        <v/>
      </c>
    </row>
    <row r="125" spans="1:19" ht="14.25" x14ac:dyDescent="0.45">
      <c r="J125" t="s">
        <v>98</v>
      </c>
      <c r="K125" s="1" t="s">
        <v>138</v>
      </c>
      <c r="L125" s="1">
        <v>0.25700000000000001</v>
      </c>
      <c r="M125" s="1">
        <v>0.33470773794808401</v>
      </c>
      <c r="Q125" s="17" t="str">
        <f t="shared" si="24"/>
        <v>Europe_otherGeo</v>
      </c>
      <c r="R125" s="1" t="str">
        <f t="shared" si="25"/>
        <v/>
      </c>
      <c r="S125" s="1" t="str">
        <f t="shared" si="26"/>
        <v/>
      </c>
    </row>
    <row r="126" spans="1:19" ht="14.25" x14ac:dyDescent="0.45">
      <c r="J126" t="s">
        <v>98</v>
      </c>
      <c r="K126" s="1" t="s">
        <v>139</v>
      </c>
      <c r="M126" s="1">
        <v>0.33100000000000002</v>
      </c>
      <c r="Q126" s="17" t="str">
        <f t="shared" si="24"/>
        <v>FranceGeo</v>
      </c>
      <c r="R126" s="1" t="str">
        <f t="shared" si="25"/>
        <v/>
      </c>
      <c r="S126" s="1" t="str">
        <f t="shared" si="26"/>
        <v/>
      </c>
    </row>
    <row r="127" spans="1:19" ht="14.25" x14ac:dyDescent="0.45">
      <c r="J127" t="s">
        <v>98</v>
      </c>
      <c r="K127" s="1" t="s">
        <v>140</v>
      </c>
      <c r="M127" s="1">
        <v>0.33200000000000002</v>
      </c>
      <c r="Q127" s="17" t="str">
        <f t="shared" si="24"/>
        <v>GermanyGeo</v>
      </c>
      <c r="R127" s="1" t="str">
        <f t="shared" si="25"/>
        <v/>
      </c>
      <c r="S127" s="1" t="str">
        <f t="shared" si="26"/>
        <v/>
      </c>
    </row>
    <row r="128" spans="1:19" ht="14.25" x14ac:dyDescent="0.45">
      <c r="J128" t="s">
        <v>98</v>
      </c>
      <c r="K128" s="1" t="s">
        <v>141</v>
      </c>
      <c r="M128" s="1">
        <v>0.33560232037012799</v>
      </c>
      <c r="Q128" s="17" t="str">
        <f t="shared" si="24"/>
        <v>LatAm_otherGeo</v>
      </c>
      <c r="R128" s="1" t="str">
        <f t="shared" si="25"/>
        <v/>
      </c>
      <c r="S128" s="1" t="str">
        <f t="shared" si="26"/>
        <v/>
      </c>
    </row>
    <row r="129" spans="10:19" ht="14.25" x14ac:dyDescent="0.45">
      <c r="J129" t="s">
        <v>98</v>
      </c>
      <c r="K129" s="1" t="s">
        <v>142</v>
      </c>
      <c r="M129" s="1">
        <v>0.33387612674624201</v>
      </c>
      <c r="Q129" s="17" t="str">
        <f t="shared" si="24"/>
        <v>MexicoGeo</v>
      </c>
      <c r="R129" s="1" t="str">
        <f t="shared" si="25"/>
        <v/>
      </c>
      <c r="S129" s="1" t="str">
        <f t="shared" si="26"/>
        <v/>
      </c>
    </row>
    <row r="130" spans="10:19" ht="14.25" x14ac:dyDescent="0.45">
      <c r="J130" t="s">
        <v>98</v>
      </c>
      <c r="K130" s="1" t="s">
        <v>144</v>
      </c>
      <c r="L130" s="1">
        <v>0.33400000000000002</v>
      </c>
      <c r="M130" s="1">
        <v>0.33364720009001098</v>
      </c>
      <c r="Q130" s="17" t="str">
        <f t="shared" si="24"/>
        <v>Nor-IceGeo</v>
      </c>
      <c r="R130" s="1" t="str">
        <f t="shared" si="25"/>
        <v/>
      </c>
      <c r="S130" s="1" t="str">
        <f t="shared" si="26"/>
        <v/>
      </c>
    </row>
    <row r="131" spans="10:19" ht="14.25" x14ac:dyDescent="0.45">
      <c r="J131" t="s">
        <v>98</v>
      </c>
      <c r="K131" s="1" t="s">
        <v>147</v>
      </c>
      <c r="M131" s="1">
        <v>0.33262833814501302</v>
      </c>
      <c r="Q131" s="17" t="str">
        <f t="shared" si="24"/>
        <v>USAGeo</v>
      </c>
      <c r="R131" s="1" t="str">
        <f t="shared" si="25"/>
        <v/>
      </c>
      <c r="S131" s="1" t="str">
        <f t="shared" si="26"/>
        <v/>
      </c>
    </row>
    <row r="132" spans="10:19" ht="14.25" x14ac:dyDescent="0.45">
      <c r="J132" t="s">
        <v>99</v>
      </c>
      <c r="K132" s="1" t="s">
        <v>148</v>
      </c>
      <c r="M132" s="1">
        <v>1</v>
      </c>
      <c r="Q132" s="17" t="str">
        <f t="shared" si="24"/>
        <v>Africa_northHyd</v>
      </c>
      <c r="R132" s="1" t="str">
        <f t="shared" si="25"/>
        <v/>
      </c>
      <c r="S132" s="1" t="str">
        <f t="shared" si="26"/>
        <v/>
      </c>
    </row>
    <row r="133" spans="10:19" ht="14.25" x14ac:dyDescent="0.45">
      <c r="J133" t="s">
        <v>99</v>
      </c>
      <c r="K133" s="1" t="s">
        <v>124</v>
      </c>
      <c r="M133" s="1">
        <v>1</v>
      </c>
      <c r="Q133" s="17" t="str">
        <f t="shared" si="24"/>
        <v>Africa_otherHyd</v>
      </c>
      <c r="R133" s="1" t="str">
        <f t="shared" si="25"/>
        <v/>
      </c>
      <c r="S133" s="1" t="str">
        <f t="shared" si="26"/>
        <v/>
      </c>
    </row>
    <row r="134" spans="10:19" ht="14.25" x14ac:dyDescent="0.45">
      <c r="J134" t="s">
        <v>99</v>
      </c>
      <c r="K134" s="1" t="s">
        <v>125</v>
      </c>
      <c r="M134" s="1">
        <v>1</v>
      </c>
      <c r="Q134" s="17" t="str">
        <f t="shared" si="24"/>
        <v>Arg-ChiHyd</v>
      </c>
      <c r="R134" s="1" t="str">
        <f t="shared" si="25"/>
        <v/>
      </c>
      <c r="S134" s="1" t="str">
        <f t="shared" si="26"/>
        <v/>
      </c>
    </row>
    <row r="135" spans="10:19" ht="14.25" x14ac:dyDescent="0.45">
      <c r="J135" t="s">
        <v>99</v>
      </c>
      <c r="K135" s="1" t="s">
        <v>126</v>
      </c>
      <c r="M135" s="1">
        <v>1</v>
      </c>
      <c r="Q135" s="17" t="str">
        <f t="shared" si="24"/>
        <v>Asia_centralHyd</v>
      </c>
      <c r="R135" s="1" t="str">
        <f t="shared" si="25"/>
        <v/>
      </c>
      <c r="S135" s="1" t="str">
        <f t="shared" si="26"/>
        <v/>
      </c>
    </row>
    <row r="136" spans="10:19" ht="14.25" x14ac:dyDescent="0.45">
      <c r="J136" t="s">
        <v>99</v>
      </c>
      <c r="K136" s="1" t="s">
        <v>127</v>
      </c>
      <c r="M136" s="1">
        <v>1</v>
      </c>
      <c r="Q136" s="17" t="str">
        <f t="shared" si="24"/>
        <v>Asia_eastHyd</v>
      </c>
      <c r="R136" s="1" t="str">
        <f t="shared" si="25"/>
        <v/>
      </c>
      <c r="S136" s="1" t="str">
        <f t="shared" si="26"/>
        <v/>
      </c>
    </row>
    <row r="137" spans="10:19" ht="14.25" x14ac:dyDescent="0.45">
      <c r="J137" t="s">
        <v>99</v>
      </c>
      <c r="K137" s="1" t="s">
        <v>128</v>
      </c>
      <c r="M137" s="1">
        <v>1</v>
      </c>
      <c r="Q137" s="17" t="str">
        <f t="shared" si="24"/>
        <v>Asia_otherHyd</v>
      </c>
      <c r="R137" s="1" t="str">
        <f t="shared" si="25"/>
        <v/>
      </c>
      <c r="S137" s="1" t="str">
        <f t="shared" si="26"/>
        <v/>
      </c>
    </row>
    <row r="138" spans="10:19" ht="14.25" x14ac:dyDescent="0.45">
      <c r="J138" t="s">
        <v>99</v>
      </c>
      <c r="K138" s="1" t="s">
        <v>129</v>
      </c>
      <c r="M138" s="1">
        <v>1</v>
      </c>
      <c r="Q138" s="17" t="str">
        <f t="shared" si="24"/>
        <v>Australia_NZHyd</v>
      </c>
      <c r="R138" s="1" t="str">
        <f t="shared" si="25"/>
        <v/>
      </c>
      <c r="S138" s="1" t="str">
        <f t="shared" si="26"/>
        <v/>
      </c>
    </row>
    <row r="139" spans="10:19" ht="14.25" x14ac:dyDescent="0.45">
      <c r="J139" t="s">
        <v>99</v>
      </c>
      <c r="K139" s="1" t="s">
        <v>130</v>
      </c>
      <c r="M139" s="1">
        <v>1</v>
      </c>
      <c r="Q139" s="17" t="str">
        <f t="shared" si="24"/>
        <v>BrazilHyd</v>
      </c>
      <c r="R139" s="1" t="str">
        <f t="shared" si="25"/>
        <v/>
      </c>
      <c r="S139" s="1" t="str">
        <f t="shared" si="26"/>
        <v/>
      </c>
    </row>
    <row r="140" spans="10:19" ht="14.25" x14ac:dyDescent="0.45">
      <c r="J140" t="s">
        <v>99</v>
      </c>
      <c r="K140" s="1" t="s">
        <v>131</v>
      </c>
      <c r="M140" s="1">
        <v>1</v>
      </c>
      <c r="Q140" s="17" t="str">
        <f t="shared" si="24"/>
        <v>CanadaHyd</v>
      </c>
      <c r="R140" s="1" t="str">
        <f t="shared" si="25"/>
        <v/>
      </c>
      <c r="S140" s="1" t="str">
        <f t="shared" si="26"/>
        <v/>
      </c>
    </row>
    <row r="141" spans="10:19" ht="14.25" x14ac:dyDescent="0.45">
      <c r="J141" t="s">
        <v>99</v>
      </c>
      <c r="K141" s="1" t="s">
        <v>62</v>
      </c>
      <c r="M141" s="1">
        <v>1</v>
      </c>
      <c r="Q141" s="17" t="str">
        <f t="shared" si="24"/>
        <v>ChinaHyd</v>
      </c>
      <c r="R141" s="1" t="str">
        <f t="shared" si="25"/>
        <v/>
      </c>
      <c r="S141" s="1" t="str">
        <f t="shared" si="26"/>
        <v/>
      </c>
    </row>
    <row r="142" spans="10:19" ht="14.25" x14ac:dyDescent="0.45">
      <c r="J142" t="s">
        <v>99</v>
      </c>
      <c r="K142" s="1" t="s">
        <v>132</v>
      </c>
      <c r="M142" s="1">
        <v>1</v>
      </c>
      <c r="Q142" s="17" t="str">
        <f t="shared" si="24"/>
        <v>EU_northHyd</v>
      </c>
      <c r="R142" s="1" t="str">
        <f t="shared" si="25"/>
        <v/>
      </c>
      <c r="S142" s="1" t="str">
        <f t="shared" si="26"/>
        <v/>
      </c>
    </row>
    <row r="143" spans="10:19" ht="14.25" x14ac:dyDescent="0.45">
      <c r="J143" t="s">
        <v>99</v>
      </c>
      <c r="K143" s="1" t="s">
        <v>133</v>
      </c>
      <c r="M143" s="1">
        <v>1</v>
      </c>
      <c r="Q143" s="17" t="str">
        <f t="shared" si="24"/>
        <v>EU_northeastHyd</v>
      </c>
      <c r="R143" s="1" t="str">
        <f t="shared" si="25"/>
        <v/>
      </c>
      <c r="S143" s="1" t="str">
        <f t="shared" si="26"/>
        <v/>
      </c>
    </row>
    <row r="144" spans="10:19" ht="14.25" x14ac:dyDescent="0.45">
      <c r="J144" t="s">
        <v>99</v>
      </c>
      <c r="K144" s="1" t="s">
        <v>134</v>
      </c>
      <c r="M144" s="1">
        <v>1</v>
      </c>
      <c r="Q144" s="17" t="str">
        <f t="shared" si="24"/>
        <v>EU_northwestHyd</v>
      </c>
      <c r="R144" s="1" t="str">
        <f t="shared" si="25"/>
        <v/>
      </c>
      <c r="S144" s="1" t="str">
        <f t="shared" si="26"/>
        <v/>
      </c>
    </row>
    <row r="145" spans="10:19" ht="14.25" x14ac:dyDescent="0.45">
      <c r="J145" t="s">
        <v>99</v>
      </c>
      <c r="K145" s="1" t="s">
        <v>135</v>
      </c>
      <c r="M145" s="1">
        <v>1</v>
      </c>
      <c r="Q145" s="17" t="str">
        <f t="shared" si="24"/>
        <v>EU_southHyd</v>
      </c>
      <c r="R145" s="1" t="str">
        <f t="shared" si="25"/>
        <v/>
      </c>
      <c r="S145" s="1" t="str">
        <f t="shared" si="26"/>
        <v/>
      </c>
    </row>
    <row r="146" spans="10:19" ht="14.25" x14ac:dyDescent="0.45">
      <c r="J146" t="s">
        <v>99</v>
      </c>
      <c r="K146" s="1" t="s">
        <v>136</v>
      </c>
      <c r="M146" s="1">
        <v>1</v>
      </c>
      <c r="Q146" s="17" t="str">
        <f t="shared" si="24"/>
        <v>EU_southeastHyd</v>
      </c>
      <c r="R146" s="1" t="str">
        <f t="shared" si="25"/>
        <v/>
      </c>
      <c r="S146" s="1" t="str">
        <f t="shared" si="26"/>
        <v/>
      </c>
    </row>
    <row r="147" spans="10:19" ht="14.25" x14ac:dyDescent="0.45">
      <c r="J147" t="s">
        <v>99</v>
      </c>
      <c r="K147" s="1" t="s">
        <v>137</v>
      </c>
      <c r="M147" s="1">
        <v>1</v>
      </c>
      <c r="Q147" s="17" t="str">
        <f t="shared" si="24"/>
        <v>EU_southwestHyd</v>
      </c>
      <c r="R147" s="1" t="str">
        <f t="shared" si="25"/>
        <v/>
      </c>
      <c r="S147" s="1" t="str">
        <f t="shared" si="26"/>
        <v/>
      </c>
    </row>
    <row r="148" spans="10:19" ht="14.25" x14ac:dyDescent="0.45">
      <c r="J148" t="s">
        <v>99</v>
      </c>
      <c r="K148" s="1" t="s">
        <v>138</v>
      </c>
      <c r="M148" s="1">
        <v>1</v>
      </c>
      <c r="Q148" s="17" t="str">
        <f t="shared" si="24"/>
        <v>Europe_otherHyd</v>
      </c>
      <c r="R148" s="1" t="str">
        <f t="shared" si="25"/>
        <v/>
      </c>
      <c r="S148" s="1" t="str">
        <f t="shared" si="26"/>
        <v/>
      </c>
    </row>
    <row r="149" spans="10:19" ht="14.25" x14ac:dyDescent="0.45">
      <c r="J149" t="s">
        <v>99</v>
      </c>
      <c r="K149" s="1" t="s">
        <v>139</v>
      </c>
      <c r="M149" s="1">
        <v>0.999999999999995</v>
      </c>
      <c r="Q149" s="17" t="str">
        <f t="shared" ref="Q149:Q208" si="27">K149&amp;LEFT(J149,3)</f>
        <v>FranceHyd</v>
      </c>
      <c r="R149" s="1" t="str">
        <f t="shared" ref="R149:R208" si="28">IFERROR(IF(L149&gt;0,VLOOKUP($Q149,$A$3:$H$102,R$1,FALSE)/L149,""),"")</f>
        <v/>
      </c>
      <c r="S149" s="1" t="str">
        <f t="shared" ref="S149:S208" si="29">IFERROR(IF(M149&gt;0,VLOOKUP($Q149,$A$3:$H$102,S$1,FALSE)/M149,""),"")</f>
        <v/>
      </c>
    </row>
    <row r="150" spans="10:19" ht="14.25" x14ac:dyDescent="0.45">
      <c r="J150" t="s">
        <v>99</v>
      </c>
      <c r="K150" s="1" t="s">
        <v>140</v>
      </c>
      <c r="M150" s="1">
        <v>1</v>
      </c>
      <c r="Q150" s="17" t="str">
        <f t="shared" si="27"/>
        <v>GermanyHyd</v>
      </c>
      <c r="R150" s="1" t="str">
        <f t="shared" si="28"/>
        <v/>
      </c>
      <c r="S150" s="1" t="str">
        <f t="shared" si="29"/>
        <v/>
      </c>
    </row>
    <row r="151" spans="10:19" ht="14.25" x14ac:dyDescent="0.45">
      <c r="J151" t="s">
        <v>99</v>
      </c>
      <c r="K151" s="1" t="s">
        <v>63</v>
      </c>
      <c r="M151" s="1">
        <v>1</v>
      </c>
      <c r="Q151" s="17" t="str">
        <f t="shared" si="27"/>
        <v>IndiaHyd</v>
      </c>
      <c r="R151" s="1" t="str">
        <f t="shared" si="28"/>
        <v/>
      </c>
      <c r="S151" s="1" t="str">
        <f t="shared" si="29"/>
        <v/>
      </c>
    </row>
    <row r="152" spans="10:19" ht="14.25" x14ac:dyDescent="0.45">
      <c r="J152" t="s">
        <v>99</v>
      </c>
      <c r="K152" s="1" t="s">
        <v>141</v>
      </c>
      <c r="M152" s="1">
        <v>1</v>
      </c>
      <c r="Q152" s="17" t="str">
        <f t="shared" si="27"/>
        <v>LatAm_otherHyd</v>
      </c>
      <c r="R152" s="1" t="str">
        <f t="shared" si="28"/>
        <v/>
      </c>
      <c r="S152" s="1" t="str">
        <f t="shared" si="29"/>
        <v/>
      </c>
    </row>
    <row r="153" spans="10:19" ht="14.25" x14ac:dyDescent="0.45">
      <c r="J153" t="s">
        <v>99</v>
      </c>
      <c r="K153" s="1" t="s">
        <v>142</v>
      </c>
      <c r="M153" s="1">
        <v>1</v>
      </c>
      <c r="Q153" s="17" t="str">
        <f t="shared" si="27"/>
        <v>MexicoHyd</v>
      </c>
      <c r="R153" s="1" t="str">
        <f t="shared" si="28"/>
        <v/>
      </c>
      <c r="S153" s="1" t="str">
        <f t="shared" si="29"/>
        <v/>
      </c>
    </row>
    <row r="154" spans="10:19" ht="14.25" x14ac:dyDescent="0.45">
      <c r="J154" t="s">
        <v>99</v>
      </c>
      <c r="K154" s="1" t="s">
        <v>143</v>
      </c>
      <c r="M154" s="1">
        <v>1</v>
      </c>
      <c r="Q154" s="17" t="str">
        <f t="shared" si="27"/>
        <v>MidEast_otherHyd</v>
      </c>
      <c r="R154" s="1" t="str">
        <f t="shared" si="28"/>
        <v/>
      </c>
      <c r="S154" s="1" t="str">
        <f t="shared" si="29"/>
        <v/>
      </c>
    </row>
    <row r="155" spans="10:19" ht="14.25" x14ac:dyDescent="0.45">
      <c r="J155" t="s">
        <v>99</v>
      </c>
      <c r="K155" s="1" t="s">
        <v>144</v>
      </c>
      <c r="M155" s="1">
        <v>1</v>
      </c>
      <c r="Q155" s="17" t="str">
        <f t="shared" si="27"/>
        <v>Nor-IceHyd</v>
      </c>
      <c r="R155" s="1" t="str">
        <f t="shared" si="28"/>
        <v/>
      </c>
      <c r="S155" s="1" t="str">
        <f t="shared" si="29"/>
        <v/>
      </c>
    </row>
    <row r="156" spans="10:19" ht="14.25" x14ac:dyDescent="0.45">
      <c r="J156" t="s">
        <v>99</v>
      </c>
      <c r="K156" s="1" t="s">
        <v>64</v>
      </c>
      <c r="M156" s="1">
        <v>1</v>
      </c>
      <c r="Q156" s="17" t="str">
        <f t="shared" si="27"/>
        <v>RussiaHyd</v>
      </c>
      <c r="R156" s="1" t="str">
        <f t="shared" si="28"/>
        <v/>
      </c>
      <c r="S156" s="1" t="str">
        <f t="shared" si="29"/>
        <v/>
      </c>
    </row>
    <row r="157" spans="10:19" ht="14.25" x14ac:dyDescent="0.45">
      <c r="J157" t="s">
        <v>99</v>
      </c>
      <c r="K157" s="1" t="s">
        <v>145</v>
      </c>
      <c r="M157" s="1">
        <v>1</v>
      </c>
      <c r="Q157" s="17" t="str">
        <f t="shared" si="27"/>
        <v>SouthAfricaHyd</v>
      </c>
      <c r="R157" s="1" t="str">
        <f t="shared" si="28"/>
        <v/>
      </c>
      <c r="S157" s="1" t="str">
        <f t="shared" si="29"/>
        <v/>
      </c>
    </row>
    <row r="158" spans="10:19" ht="14.25" x14ac:dyDescent="0.45">
      <c r="J158" t="s">
        <v>99</v>
      </c>
      <c r="K158" s="1" t="s">
        <v>146</v>
      </c>
      <c r="M158" s="1">
        <v>1</v>
      </c>
      <c r="Q158" s="17" t="str">
        <f t="shared" si="27"/>
        <v>UKHyd</v>
      </c>
      <c r="R158" s="1" t="str">
        <f t="shared" si="28"/>
        <v/>
      </c>
      <c r="S158" s="1" t="str">
        <f t="shared" si="29"/>
        <v/>
      </c>
    </row>
    <row r="159" spans="10:19" ht="14.25" x14ac:dyDescent="0.45">
      <c r="J159" t="s">
        <v>99</v>
      </c>
      <c r="K159" s="1" t="s">
        <v>147</v>
      </c>
      <c r="M159" s="1">
        <v>1</v>
      </c>
      <c r="Q159" s="17" t="str">
        <f t="shared" si="27"/>
        <v>USAHyd</v>
      </c>
      <c r="R159" s="1" t="str">
        <f t="shared" si="28"/>
        <v/>
      </c>
      <c r="S159" s="1" t="str">
        <f t="shared" si="29"/>
        <v/>
      </c>
    </row>
    <row r="160" spans="10:19" ht="14.25" x14ac:dyDescent="0.45">
      <c r="J160" t="s">
        <v>100</v>
      </c>
      <c r="K160" s="1" t="s">
        <v>125</v>
      </c>
      <c r="M160" s="1">
        <v>0.28999999999999998</v>
      </c>
      <c r="Q160" s="17" t="str">
        <f t="shared" si="27"/>
        <v>Arg-ChiLig</v>
      </c>
      <c r="R160" s="1" t="str">
        <f t="shared" si="28"/>
        <v/>
      </c>
      <c r="S160" s="1" t="str">
        <f t="shared" si="29"/>
        <v/>
      </c>
    </row>
    <row r="161" spans="10:19" ht="14.25" x14ac:dyDescent="0.45">
      <c r="J161" t="s">
        <v>100</v>
      </c>
      <c r="K161" s="1" t="s">
        <v>126</v>
      </c>
      <c r="L161" s="1">
        <v>0.316000000000001</v>
      </c>
      <c r="M161" s="1">
        <v>0.27500000000000002</v>
      </c>
      <c r="Q161" s="17" t="str">
        <f t="shared" si="27"/>
        <v>Asia_centralLig</v>
      </c>
      <c r="R161" s="1" t="str">
        <f t="shared" si="28"/>
        <v/>
      </c>
      <c r="S161" s="1" t="str">
        <f t="shared" si="29"/>
        <v/>
      </c>
    </row>
    <row r="162" spans="10:19" ht="14.25" x14ac:dyDescent="0.45">
      <c r="J162" t="s">
        <v>100</v>
      </c>
      <c r="K162" s="1" t="s">
        <v>127</v>
      </c>
      <c r="M162" s="1">
        <v>0.34399999999999997</v>
      </c>
      <c r="Q162" s="17" t="str">
        <f t="shared" si="27"/>
        <v>Asia_eastLig</v>
      </c>
      <c r="R162" s="1" t="str">
        <f t="shared" si="28"/>
        <v/>
      </c>
      <c r="S162" s="1" t="str">
        <f t="shared" si="29"/>
        <v/>
      </c>
    </row>
    <row r="163" spans="10:19" ht="14.25" x14ac:dyDescent="0.45">
      <c r="J163" t="s">
        <v>100</v>
      </c>
      <c r="K163" s="1" t="s">
        <v>128</v>
      </c>
      <c r="L163" s="1">
        <v>0.27460000000000001</v>
      </c>
      <c r="M163" s="1">
        <v>0.312</v>
      </c>
      <c r="Q163" s="17" t="str">
        <f t="shared" si="27"/>
        <v>Asia_otherLig</v>
      </c>
      <c r="R163" s="1" t="str">
        <f t="shared" si="28"/>
        <v/>
      </c>
      <c r="S163" s="1" t="str">
        <f t="shared" si="29"/>
        <v/>
      </c>
    </row>
    <row r="164" spans="10:19" ht="14.25" x14ac:dyDescent="0.45">
      <c r="J164" t="s">
        <v>100</v>
      </c>
      <c r="K164" s="1" t="s">
        <v>129</v>
      </c>
      <c r="M164" s="1">
        <v>0.27300000000000002</v>
      </c>
      <c r="Q164" s="17" t="str">
        <f t="shared" si="27"/>
        <v>Australia_NZLig</v>
      </c>
      <c r="R164" s="1" t="str">
        <f t="shared" si="28"/>
        <v/>
      </c>
      <c r="S164" s="1" t="str">
        <f t="shared" si="29"/>
        <v/>
      </c>
    </row>
    <row r="165" spans="10:19" ht="14.25" x14ac:dyDescent="0.45">
      <c r="J165" t="s">
        <v>100</v>
      </c>
      <c r="K165" s="1" t="s">
        <v>131</v>
      </c>
      <c r="M165" s="1">
        <v>0.27500000000000002</v>
      </c>
      <c r="Q165" s="17" t="str">
        <f t="shared" si="27"/>
        <v>CanadaLig</v>
      </c>
      <c r="R165" s="1" t="str">
        <f t="shared" si="28"/>
        <v/>
      </c>
      <c r="S165" s="1" t="str">
        <f t="shared" si="29"/>
        <v/>
      </c>
    </row>
    <row r="166" spans="10:19" ht="14.25" x14ac:dyDescent="0.45">
      <c r="J166" t="s">
        <v>100</v>
      </c>
      <c r="K166" s="1" t="s">
        <v>62</v>
      </c>
      <c r="L166" s="1">
        <v>0.309</v>
      </c>
      <c r="Q166" s="17" t="str">
        <f t="shared" si="27"/>
        <v>ChinaLig</v>
      </c>
      <c r="R166" s="1" t="str">
        <f t="shared" si="28"/>
        <v/>
      </c>
      <c r="S166" s="1" t="str">
        <f t="shared" si="29"/>
        <v/>
      </c>
    </row>
    <row r="167" spans="10:19" ht="14.25" x14ac:dyDescent="0.45">
      <c r="J167" t="s">
        <v>100</v>
      </c>
      <c r="K167" s="1" t="s">
        <v>133</v>
      </c>
      <c r="L167" s="1">
        <v>0.313</v>
      </c>
      <c r="M167" s="1">
        <v>0.279663840594989</v>
      </c>
      <c r="Q167" s="17" t="str">
        <f t="shared" si="27"/>
        <v>EU_northeastLig</v>
      </c>
      <c r="R167" s="1" t="str">
        <f t="shared" si="28"/>
        <v/>
      </c>
      <c r="S167" s="1" t="str">
        <f t="shared" si="29"/>
        <v/>
      </c>
    </row>
    <row r="168" spans="10:19" ht="14.25" x14ac:dyDescent="0.45">
      <c r="J168" t="s">
        <v>100</v>
      </c>
      <c r="K168" s="1" t="s">
        <v>135</v>
      </c>
      <c r="L168" s="1">
        <v>0.311</v>
      </c>
      <c r="M168" s="1">
        <v>0.32600000000000001</v>
      </c>
      <c r="Q168" s="17" t="str">
        <f t="shared" si="27"/>
        <v>EU_southLig</v>
      </c>
      <c r="R168" s="1" t="str">
        <f t="shared" si="28"/>
        <v/>
      </c>
      <c r="S168" s="1" t="str">
        <f t="shared" si="29"/>
        <v/>
      </c>
    </row>
    <row r="169" spans="10:19" ht="14.25" x14ac:dyDescent="0.45">
      <c r="J169" t="s">
        <v>100</v>
      </c>
      <c r="K169" s="1" t="s">
        <v>136</v>
      </c>
      <c r="L169" s="1">
        <v>0.282717548171663</v>
      </c>
      <c r="M169" s="1">
        <v>0.26900000000000002</v>
      </c>
      <c r="Q169" s="17" t="str">
        <f t="shared" si="27"/>
        <v>EU_southeastLig</v>
      </c>
      <c r="R169" s="1" t="str">
        <f t="shared" si="28"/>
        <v/>
      </c>
      <c r="S169" s="1" t="str">
        <f t="shared" si="29"/>
        <v/>
      </c>
    </row>
    <row r="170" spans="10:19" ht="14.25" x14ac:dyDescent="0.45">
      <c r="J170" t="s">
        <v>100</v>
      </c>
      <c r="K170" s="1" t="s">
        <v>138</v>
      </c>
      <c r="L170" s="1">
        <v>0.27500000000000002</v>
      </c>
      <c r="M170" s="1">
        <v>0.28825537956068198</v>
      </c>
      <c r="Q170" s="17" t="str">
        <f t="shared" si="27"/>
        <v>Europe_otherLig</v>
      </c>
      <c r="R170" s="1" t="str">
        <f t="shared" si="28"/>
        <v/>
      </c>
      <c r="S170" s="1" t="str">
        <f t="shared" si="29"/>
        <v/>
      </c>
    </row>
    <row r="171" spans="10:19" ht="14.25" x14ac:dyDescent="0.45">
      <c r="J171" t="s">
        <v>100</v>
      </c>
      <c r="K171" s="1" t="s">
        <v>140</v>
      </c>
      <c r="L171" s="1">
        <v>0.30820489834717801</v>
      </c>
      <c r="M171" s="1">
        <v>0.30746760985709198</v>
      </c>
      <c r="Q171" s="17" t="str">
        <f t="shared" si="27"/>
        <v>GermanyLig</v>
      </c>
      <c r="R171" s="1" t="str">
        <f t="shared" si="28"/>
        <v/>
      </c>
      <c r="S171" s="1" t="str">
        <f t="shared" si="29"/>
        <v/>
      </c>
    </row>
    <row r="172" spans="10:19" ht="14.25" x14ac:dyDescent="0.45">
      <c r="J172" t="s">
        <v>100</v>
      </c>
      <c r="K172" s="1" t="s">
        <v>63</v>
      </c>
      <c r="L172" s="1">
        <v>0.27300000000000102</v>
      </c>
      <c r="M172" s="1">
        <v>0.32</v>
      </c>
      <c r="Q172" s="17" t="str">
        <f t="shared" si="27"/>
        <v>IndiaLig</v>
      </c>
      <c r="R172" s="1" t="str">
        <f t="shared" si="28"/>
        <v/>
      </c>
      <c r="S172" s="1" t="str">
        <f t="shared" si="29"/>
        <v/>
      </c>
    </row>
    <row r="173" spans="10:19" ht="14.25" x14ac:dyDescent="0.45">
      <c r="J173" t="s">
        <v>100</v>
      </c>
      <c r="K173" s="1" t="s">
        <v>64</v>
      </c>
      <c r="L173" s="1">
        <v>0.273199999999999</v>
      </c>
      <c r="M173" s="1">
        <v>0.35000000000000098</v>
      </c>
      <c r="Q173" s="17" t="str">
        <f t="shared" si="27"/>
        <v>RussiaLig</v>
      </c>
      <c r="R173" s="1" t="str">
        <f t="shared" si="28"/>
        <v/>
      </c>
      <c r="S173" s="1" t="str">
        <f t="shared" si="29"/>
        <v/>
      </c>
    </row>
    <row r="174" spans="10:19" ht="14.25" x14ac:dyDescent="0.45">
      <c r="J174" t="s">
        <v>100</v>
      </c>
      <c r="K174" s="1" t="s">
        <v>147</v>
      </c>
      <c r="L174" s="1">
        <v>0.29399999999999898</v>
      </c>
      <c r="M174" s="1">
        <v>0.308</v>
      </c>
      <c r="Q174" s="17" t="str">
        <f t="shared" si="27"/>
        <v>USALig</v>
      </c>
      <c r="R174" s="1" t="str">
        <f t="shared" si="28"/>
        <v/>
      </c>
      <c r="S174" s="1" t="str">
        <f t="shared" si="29"/>
        <v/>
      </c>
    </row>
    <row r="175" spans="10:19" ht="14.25" x14ac:dyDescent="0.45">
      <c r="J175" t="s">
        <v>101</v>
      </c>
      <c r="K175" s="1" t="s">
        <v>125</v>
      </c>
      <c r="M175" s="1">
        <v>0.32</v>
      </c>
      <c r="Q175" s="17" t="str">
        <f t="shared" si="27"/>
        <v>Arg-ChiNuc</v>
      </c>
      <c r="R175" s="1" t="str">
        <f t="shared" si="28"/>
        <v/>
      </c>
      <c r="S175" s="1" t="str">
        <f t="shared" si="29"/>
        <v/>
      </c>
    </row>
    <row r="176" spans="10:19" ht="14.25" x14ac:dyDescent="0.45">
      <c r="J176" t="s">
        <v>101</v>
      </c>
      <c r="K176" s="1" t="s">
        <v>126</v>
      </c>
      <c r="M176" s="1">
        <v>0.32</v>
      </c>
      <c r="Q176" s="17" t="str">
        <f t="shared" si="27"/>
        <v>Asia_centralNuc</v>
      </c>
      <c r="R176" s="1" t="str">
        <f t="shared" si="28"/>
        <v/>
      </c>
      <c r="S176" s="1" t="str">
        <f t="shared" si="29"/>
        <v/>
      </c>
    </row>
    <row r="177" spans="10:19" ht="14.25" x14ac:dyDescent="0.45">
      <c r="J177" t="s">
        <v>101</v>
      </c>
      <c r="K177" s="1" t="s">
        <v>127</v>
      </c>
      <c r="M177" s="1">
        <v>0.32</v>
      </c>
      <c r="Q177" s="17" t="str">
        <f t="shared" si="27"/>
        <v>Asia_eastNuc</v>
      </c>
      <c r="R177" s="1" t="str">
        <f t="shared" si="28"/>
        <v/>
      </c>
      <c r="S177" s="1" t="str">
        <f t="shared" si="29"/>
        <v/>
      </c>
    </row>
    <row r="178" spans="10:19" ht="14.25" x14ac:dyDescent="0.45">
      <c r="J178" t="s">
        <v>101</v>
      </c>
      <c r="K178" s="1" t="s">
        <v>128</v>
      </c>
      <c r="M178" s="1">
        <v>0.32</v>
      </c>
      <c r="Q178" s="17" t="str">
        <f t="shared" si="27"/>
        <v>Asia_otherNuc</v>
      </c>
      <c r="R178" s="1" t="str">
        <f t="shared" si="28"/>
        <v/>
      </c>
      <c r="S178" s="1" t="str">
        <f t="shared" si="29"/>
        <v/>
      </c>
    </row>
    <row r="179" spans="10:19" ht="14.25" x14ac:dyDescent="0.45">
      <c r="J179" t="s">
        <v>101</v>
      </c>
      <c r="K179" s="1" t="s">
        <v>130</v>
      </c>
      <c r="M179" s="1">
        <v>0.32</v>
      </c>
      <c r="Q179" s="17" t="str">
        <f t="shared" si="27"/>
        <v>BrazilNuc</v>
      </c>
      <c r="R179" s="1" t="str">
        <f t="shared" si="28"/>
        <v/>
      </c>
      <c r="S179" s="1" t="str">
        <f t="shared" si="29"/>
        <v/>
      </c>
    </row>
    <row r="180" spans="10:19" ht="14.25" x14ac:dyDescent="0.45">
      <c r="J180" t="s">
        <v>101</v>
      </c>
      <c r="K180" s="1" t="s">
        <v>131</v>
      </c>
      <c r="M180" s="1">
        <v>0.32</v>
      </c>
      <c r="Q180" s="17" t="str">
        <f t="shared" si="27"/>
        <v>CanadaNuc</v>
      </c>
      <c r="R180" s="1" t="str">
        <f t="shared" si="28"/>
        <v/>
      </c>
      <c r="S180" s="1" t="str">
        <f t="shared" si="29"/>
        <v/>
      </c>
    </row>
    <row r="181" spans="10:19" ht="14.25" x14ac:dyDescent="0.45">
      <c r="J181" t="s">
        <v>101</v>
      </c>
      <c r="K181" s="1" t="s">
        <v>62</v>
      </c>
      <c r="L181" s="1">
        <v>0.32</v>
      </c>
      <c r="M181" s="1">
        <v>0.31999999999999901</v>
      </c>
      <c r="Q181" s="17" t="str">
        <f t="shared" si="27"/>
        <v>ChinaNuc</v>
      </c>
      <c r="R181" s="1" t="str">
        <f t="shared" si="28"/>
        <v/>
      </c>
      <c r="S181" s="1" t="str">
        <f t="shared" si="29"/>
        <v/>
      </c>
    </row>
    <row r="182" spans="10:19" ht="14.25" x14ac:dyDescent="0.45">
      <c r="J182" t="s">
        <v>101</v>
      </c>
      <c r="K182" s="1" t="s">
        <v>132</v>
      </c>
      <c r="M182" s="1">
        <v>0.32</v>
      </c>
      <c r="Q182" s="17" t="str">
        <f t="shared" si="27"/>
        <v>EU_northNuc</v>
      </c>
      <c r="R182" s="1" t="str">
        <f t="shared" si="28"/>
        <v/>
      </c>
      <c r="S182" s="1" t="str">
        <f t="shared" si="29"/>
        <v/>
      </c>
    </row>
    <row r="183" spans="10:19" ht="14.25" x14ac:dyDescent="0.45">
      <c r="J183" t="s">
        <v>101</v>
      </c>
      <c r="K183" s="1" t="s">
        <v>133</v>
      </c>
      <c r="L183" s="1">
        <v>0.32</v>
      </c>
      <c r="M183" s="1">
        <v>0.32</v>
      </c>
      <c r="Q183" s="17" t="str">
        <f t="shared" si="27"/>
        <v>EU_northeastNuc</v>
      </c>
      <c r="R183" s="1" t="str">
        <f t="shared" si="28"/>
        <v/>
      </c>
      <c r="S183" s="1" t="str">
        <f t="shared" si="29"/>
        <v/>
      </c>
    </row>
    <row r="184" spans="10:19" ht="14.25" x14ac:dyDescent="0.45">
      <c r="J184" t="s">
        <v>101</v>
      </c>
      <c r="K184" s="1" t="s">
        <v>134</v>
      </c>
      <c r="M184" s="1">
        <v>0.32</v>
      </c>
      <c r="Q184" s="17" t="str">
        <f t="shared" si="27"/>
        <v>EU_northwestNuc</v>
      </c>
      <c r="R184" s="1" t="str">
        <f t="shared" si="28"/>
        <v/>
      </c>
      <c r="S184" s="1" t="str">
        <f t="shared" si="29"/>
        <v/>
      </c>
    </row>
    <row r="185" spans="10:19" ht="14.25" x14ac:dyDescent="0.45">
      <c r="J185" t="s">
        <v>101</v>
      </c>
      <c r="K185" s="1" t="s">
        <v>136</v>
      </c>
      <c r="M185" s="1">
        <v>0.32</v>
      </c>
      <c r="Q185" s="17" t="str">
        <f t="shared" si="27"/>
        <v>EU_southeastNuc</v>
      </c>
      <c r="R185" s="1" t="str">
        <f t="shared" si="28"/>
        <v/>
      </c>
      <c r="S185" s="1" t="str">
        <f t="shared" si="29"/>
        <v/>
      </c>
    </row>
    <row r="186" spans="10:19" ht="14.25" x14ac:dyDescent="0.45">
      <c r="J186" t="s">
        <v>101</v>
      </c>
      <c r="K186" s="1" t="s">
        <v>137</v>
      </c>
      <c r="M186" s="1">
        <v>0.32</v>
      </c>
      <c r="Q186" s="17" t="str">
        <f t="shared" si="27"/>
        <v>EU_southwestNuc</v>
      </c>
      <c r="R186" s="1" t="str">
        <f t="shared" si="28"/>
        <v/>
      </c>
      <c r="S186" s="1" t="str">
        <f t="shared" si="29"/>
        <v/>
      </c>
    </row>
    <row r="187" spans="10:19" ht="14.25" x14ac:dyDescent="0.45">
      <c r="J187" t="s">
        <v>101</v>
      </c>
      <c r="K187" s="1" t="s">
        <v>138</v>
      </c>
      <c r="L187" s="1">
        <v>0.32</v>
      </c>
      <c r="M187" s="1">
        <v>0.32</v>
      </c>
      <c r="Q187" s="17" t="str">
        <f t="shared" si="27"/>
        <v>Europe_otherNuc</v>
      </c>
      <c r="R187" s="1" t="str">
        <f t="shared" si="28"/>
        <v/>
      </c>
      <c r="S187" s="1" t="str">
        <f t="shared" si="29"/>
        <v/>
      </c>
    </row>
    <row r="188" spans="10:19" ht="14.25" x14ac:dyDescent="0.45">
      <c r="J188" t="s">
        <v>101</v>
      </c>
      <c r="K188" s="1" t="s">
        <v>139</v>
      </c>
      <c r="M188" s="1">
        <v>0.32</v>
      </c>
      <c r="Q188" s="17" t="str">
        <f t="shared" si="27"/>
        <v>FranceNuc</v>
      </c>
      <c r="R188" s="1" t="str">
        <f t="shared" si="28"/>
        <v/>
      </c>
      <c r="S188" s="1" t="str">
        <f t="shared" si="29"/>
        <v/>
      </c>
    </row>
    <row r="189" spans="10:19" ht="14.25" x14ac:dyDescent="0.45">
      <c r="J189" t="s">
        <v>101</v>
      </c>
      <c r="K189" s="1" t="s">
        <v>140</v>
      </c>
      <c r="M189" s="1">
        <v>0.32</v>
      </c>
      <c r="Q189" s="17" t="str">
        <f t="shared" si="27"/>
        <v>GermanyNuc</v>
      </c>
      <c r="R189" s="1" t="str">
        <f t="shared" si="28"/>
        <v/>
      </c>
      <c r="S189" s="1" t="str">
        <f t="shared" si="29"/>
        <v/>
      </c>
    </row>
    <row r="190" spans="10:19" ht="14.25" x14ac:dyDescent="0.45">
      <c r="J190" t="s">
        <v>101</v>
      </c>
      <c r="K190" s="1" t="s">
        <v>63</v>
      </c>
      <c r="M190" s="1">
        <v>0.32</v>
      </c>
      <c r="Q190" s="17" t="str">
        <f t="shared" si="27"/>
        <v>IndiaNuc</v>
      </c>
      <c r="R190" s="1" t="str">
        <f t="shared" si="28"/>
        <v/>
      </c>
      <c r="S190" s="1" t="str">
        <f t="shared" si="29"/>
        <v/>
      </c>
    </row>
    <row r="191" spans="10:19" ht="14.25" x14ac:dyDescent="0.45">
      <c r="J191" t="s">
        <v>101</v>
      </c>
      <c r="K191" s="1" t="s">
        <v>142</v>
      </c>
      <c r="M191" s="1">
        <v>0.32</v>
      </c>
      <c r="Q191" s="17" t="str">
        <f t="shared" si="27"/>
        <v>MexicoNuc</v>
      </c>
      <c r="R191" s="1" t="str">
        <f t="shared" si="28"/>
        <v/>
      </c>
      <c r="S191" s="1" t="str">
        <f t="shared" si="29"/>
        <v/>
      </c>
    </row>
    <row r="192" spans="10:19" ht="14.25" x14ac:dyDescent="0.45">
      <c r="J192" t="s">
        <v>101</v>
      </c>
      <c r="K192" s="1" t="s">
        <v>143</v>
      </c>
      <c r="M192" s="1">
        <v>0.32</v>
      </c>
      <c r="Q192" s="17" t="str">
        <f t="shared" si="27"/>
        <v>MidEast_otherNuc</v>
      </c>
      <c r="R192" s="1" t="str">
        <f t="shared" si="28"/>
        <v/>
      </c>
      <c r="S192" s="1" t="str">
        <f t="shared" si="29"/>
        <v/>
      </c>
    </row>
    <row r="193" spans="10:19" ht="14.25" x14ac:dyDescent="0.45">
      <c r="J193" t="s">
        <v>101</v>
      </c>
      <c r="K193" s="1" t="s">
        <v>64</v>
      </c>
      <c r="L193" s="1">
        <v>0.32</v>
      </c>
      <c r="Q193" s="17" t="str">
        <f t="shared" si="27"/>
        <v>RussiaNuc</v>
      </c>
      <c r="R193" s="1" t="str">
        <f t="shared" si="28"/>
        <v/>
      </c>
      <c r="S193" s="1" t="str">
        <f t="shared" si="29"/>
        <v/>
      </c>
    </row>
    <row r="194" spans="10:19" ht="14.25" x14ac:dyDescent="0.45">
      <c r="J194" t="s">
        <v>101</v>
      </c>
      <c r="K194" s="1" t="s">
        <v>145</v>
      </c>
      <c r="M194" s="1">
        <v>0.32</v>
      </c>
      <c r="Q194" s="17" t="str">
        <f t="shared" si="27"/>
        <v>SouthAfricaNuc</v>
      </c>
      <c r="R194" s="1" t="str">
        <f t="shared" si="28"/>
        <v/>
      </c>
      <c r="S194" s="1" t="str">
        <f t="shared" si="29"/>
        <v/>
      </c>
    </row>
    <row r="195" spans="10:19" ht="14.25" x14ac:dyDescent="0.45">
      <c r="J195" t="s">
        <v>101</v>
      </c>
      <c r="K195" s="1" t="s">
        <v>146</v>
      </c>
      <c r="M195" s="1">
        <v>0.32</v>
      </c>
      <c r="Q195" s="17" t="str">
        <f t="shared" si="27"/>
        <v>UKNuc</v>
      </c>
      <c r="R195" s="1" t="str">
        <f t="shared" si="28"/>
        <v/>
      </c>
      <c r="S195" s="1" t="str">
        <f t="shared" si="29"/>
        <v/>
      </c>
    </row>
    <row r="196" spans="10:19" ht="14.25" x14ac:dyDescent="0.45">
      <c r="J196" t="s">
        <v>101</v>
      </c>
      <c r="K196" s="1" t="s">
        <v>147</v>
      </c>
      <c r="M196" s="1">
        <v>0.32</v>
      </c>
      <c r="Q196" s="17" t="str">
        <f t="shared" si="27"/>
        <v>USANuc</v>
      </c>
      <c r="R196" s="1" t="str">
        <f t="shared" si="28"/>
        <v/>
      </c>
      <c r="S196" s="1" t="str">
        <f t="shared" si="29"/>
        <v/>
      </c>
    </row>
    <row r="197" spans="10:19" ht="14.25" x14ac:dyDescent="0.45">
      <c r="J197" t="s">
        <v>94</v>
      </c>
      <c r="K197" s="1" t="s">
        <v>148</v>
      </c>
      <c r="L197" s="1">
        <v>0.29699999999999899</v>
      </c>
      <c r="M197" s="1">
        <v>0.33788800438766498</v>
      </c>
      <c r="Q197" s="17" t="str">
        <f t="shared" si="27"/>
        <v>Africa_northOil</v>
      </c>
      <c r="R197" s="1">
        <f t="shared" si="28"/>
        <v>0</v>
      </c>
      <c r="S197" s="1">
        <f t="shared" si="29"/>
        <v>0.9917336326550219</v>
      </c>
    </row>
    <row r="198" spans="10:19" ht="14.25" x14ac:dyDescent="0.45">
      <c r="J198" t="s">
        <v>94</v>
      </c>
      <c r="K198" s="1" t="s">
        <v>124</v>
      </c>
      <c r="L198" s="1">
        <v>0.27</v>
      </c>
      <c r="M198" s="1">
        <v>0.30509289309109</v>
      </c>
      <c r="Q198" s="17" t="str">
        <f t="shared" si="27"/>
        <v>Africa_otherOil</v>
      </c>
      <c r="R198" s="1">
        <f t="shared" si="28"/>
        <v>0</v>
      </c>
      <c r="S198" s="1">
        <f t="shared" si="29"/>
        <v>1.0761619675600356</v>
      </c>
    </row>
    <row r="199" spans="10:19" ht="14.25" x14ac:dyDescent="0.45">
      <c r="J199" t="s">
        <v>94</v>
      </c>
      <c r="K199" s="1" t="s">
        <v>125</v>
      </c>
      <c r="L199" s="1">
        <v>0.33700000000000002</v>
      </c>
      <c r="M199" s="1">
        <v>0.27740176375841002</v>
      </c>
      <c r="Q199" s="17" t="str">
        <f t="shared" si="27"/>
        <v>Arg-ChiOil</v>
      </c>
      <c r="R199" s="1">
        <f t="shared" si="28"/>
        <v>0</v>
      </c>
      <c r="S199" s="1">
        <f t="shared" si="29"/>
        <v>1.3163355562751773</v>
      </c>
    </row>
    <row r="200" spans="10:19" ht="14.25" x14ac:dyDescent="0.45">
      <c r="J200" t="s">
        <v>94</v>
      </c>
      <c r="K200" s="1" t="s">
        <v>126</v>
      </c>
      <c r="L200" s="1">
        <v>0.25800000000000101</v>
      </c>
      <c r="M200" s="1">
        <v>0.25799835026386297</v>
      </c>
      <c r="Q200" s="17" t="str">
        <f t="shared" si="27"/>
        <v>Asia_centralOil</v>
      </c>
      <c r="R200" s="1">
        <f t="shared" si="28"/>
        <v>1.1164388514797552</v>
      </c>
      <c r="S200" s="1">
        <f t="shared" si="29"/>
        <v>1.2093283477869141</v>
      </c>
    </row>
    <row r="201" spans="10:19" ht="14.25" x14ac:dyDescent="0.45">
      <c r="J201" t="s">
        <v>94</v>
      </c>
      <c r="K201" s="1" t="s">
        <v>127</v>
      </c>
      <c r="L201" s="1">
        <v>0.26400000000000001</v>
      </c>
      <c r="M201" s="1">
        <v>0.326047640217556</v>
      </c>
      <c r="Q201" s="17" t="str">
        <f t="shared" si="27"/>
        <v>Asia_eastOil</v>
      </c>
      <c r="R201" s="1">
        <f t="shared" si="28"/>
        <v>0.65317162523381056</v>
      </c>
      <c r="S201" s="1">
        <f t="shared" si="29"/>
        <v>1.1184473140715789</v>
      </c>
    </row>
    <row r="202" spans="10:19" ht="14.25" x14ac:dyDescent="0.45">
      <c r="J202" t="s">
        <v>94</v>
      </c>
      <c r="K202" s="1" t="s">
        <v>128</v>
      </c>
      <c r="L202" s="1">
        <v>0.27</v>
      </c>
      <c r="M202" s="1">
        <v>0.29436537739789098</v>
      </c>
      <c r="Q202" s="17" t="str">
        <f t="shared" si="27"/>
        <v>Asia_otherOil</v>
      </c>
      <c r="R202" s="1">
        <f t="shared" si="28"/>
        <v>0.93493734205941481</v>
      </c>
      <c r="S202" s="1">
        <f t="shared" si="29"/>
        <v>1.2009460139874717</v>
      </c>
    </row>
    <row r="203" spans="10:19" ht="14.25" x14ac:dyDescent="0.45">
      <c r="J203" t="s">
        <v>94</v>
      </c>
      <c r="K203" s="1" t="s">
        <v>129</v>
      </c>
      <c r="M203" s="1">
        <v>0.29605569244225899</v>
      </c>
      <c r="Q203" s="17" t="str">
        <f t="shared" si="27"/>
        <v>Australia_NZOil</v>
      </c>
      <c r="R203" s="1" t="str">
        <f t="shared" si="28"/>
        <v/>
      </c>
      <c r="S203" s="1">
        <f t="shared" si="29"/>
        <v>1.2955214434634041</v>
      </c>
    </row>
    <row r="204" spans="10:19" ht="14.25" x14ac:dyDescent="0.45">
      <c r="J204" t="s">
        <v>94</v>
      </c>
      <c r="K204" s="1" t="s">
        <v>130</v>
      </c>
      <c r="L204" s="1">
        <v>0.31188888888888899</v>
      </c>
      <c r="M204" s="1">
        <v>0.40876317333391798</v>
      </c>
      <c r="Q204" s="17" t="str">
        <f t="shared" si="27"/>
        <v>BrazilOil</v>
      </c>
      <c r="R204" s="1">
        <f t="shared" si="28"/>
        <v>0</v>
      </c>
      <c r="S204" s="1">
        <f t="shared" si="29"/>
        <v>0.95137969078972584</v>
      </c>
    </row>
    <row r="205" spans="10:19" ht="14.25" x14ac:dyDescent="0.45">
      <c r="J205" t="s">
        <v>94</v>
      </c>
      <c r="K205" s="1" t="s">
        <v>131</v>
      </c>
      <c r="M205" s="1">
        <v>0.25740926415430698</v>
      </c>
      <c r="Q205" s="17" t="str">
        <f t="shared" si="27"/>
        <v>CanadaOil</v>
      </c>
      <c r="R205" s="1" t="str">
        <f t="shared" si="28"/>
        <v/>
      </c>
      <c r="S205" s="1">
        <f t="shared" si="29"/>
        <v>1.1734907292935741</v>
      </c>
    </row>
    <row r="206" spans="10:19" ht="14.25" x14ac:dyDescent="0.45">
      <c r="J206" t="s">
        <v>94</v>
      </c>
      <c r="K206" s="1" t="s">
        <v>62</v>
      </c>
      <c r="L206" s="1">
        <v>0.27</v>
      </c>
      <c r="M206" s="1">
        <v>0.253965301886103</v>
      </c>
      <c r="Q206" s="17" t="str">
        <f t="shared" si="27"/>
        <v>ChinaOil</v>
      </c>
      <c r="R206" s="1">
        <f t="shared" si="28"/>
        <v>0</v>
      </c>
      <c r="S206" s="1">
        <f t="shared" si="29"/>
        <v>1.3281662858669101</v>
      </c>
    </row>
    <row r="207" spans="10:19" ht="14.25" x14ac:dyDescent="0.45">
      <c r="J207" t="s">
        <v>94</v>
      </c>
      <c r="K207" s="1" t="s">
        <v>132</v>
      </c>
      <c r="L207" s="1">
        <v>0.28700000000000098</v>
      </c>
      <c r="M207" s="1">
        <v>0.25195666728296001</v>
      </c>
      <c r="Q207" s="17" t="str">
        <f t="shared" si="27"/>
        <v>EU_northOil</v>
      </c>
      <c r="R207" s="1">
        <f t="shared" si="28"/>
        <v>0.70179634509481648</v>
      </c>
      <c r="S207" s="1">
        <f t="shared" si="29"/>
        <v>1.3127999481001396</v>
      </c>
    </row>
    <row r="208" spans="10:19" ht="14.25" x14ac:dyDescent="0.45">
      <c r="J208" t="s">
        <v>94</v>
      </c>
      <c r="K208" s="1" t="s">
        <v>133</v>
      </c>
      <c r="L208" s="1">
        <v>0.33200000000000002</v>
      </c>
      <c r="M208" s="1">
        <v>0.35462477006869098</v>
      </c>
      <c r="Q208" s="17" t="str">
        <f t="shared" si="27"/>
        <v>EU_northeastOil</v>
      </c>
      <c r="R208" s="1">
        <f t="shared" si="28"/>
        <v>0.7782222620171958</v>
      </c>
      <c r="S208" s="1">
        <f t="shared" si="29"/>
        <v>1.2120089672909791</v>
      </c>
    </row>
    <row r="209" spans="10:19" ht="14.25" x14ac:dyDescent="0.45">
      <c r="J209" t="s">
        <v>94</v>
      </c>
      <c r="K209" s="1" t="s">
        <v>134</v>
      </c>
      <c r="L209" s="1">
        <v>0.247</v>
      </c>
      <c r="M209" s="1">
        <v>0.26091357046661001</v>
      </c>
      <c r="Q209" s="17" t="str">
        <f t="shared" ref="Q209:Q272" si="30">K209&amp;LEFT(J209,3)</f>
        <v>EU_northwestOil</v>
      </c>
      <c r="R209" s="1">
        <f t="shared" ref="R209:R272" si="31">IFERROR(IF(L209&gt;0,VLOOKUP($Q209,$A$3:$H$102,R$1,FALSE)/L209,""),"")</f>
        <v>1.5669339445833845</v>
      </c>
      <c r="S209" s="1">
        <f t="shared" ref="S209:S272" si="32">IFERROR(IF(M209&gt;0,VLOOKUP($Q209,$A$3:$H$102,S$1,FALSE)/M209,""),"")</f>
        <v>1.3445708951448703</v>
      </c>
    </row>
    <row r="210" spans="10:19" ht="14.25" x14ac:dyDescent="0.45">
      <c r="J210" t="s">
        <v>94</v>
      </c>
      <c r="K210" s="1" t="s">
        <v>135</v>
      </c>
      <c r="L210" s="1">
        <v>0.24199999999999999</v>
      </c>
      <c r="M210" s="1">
        <v>0.35319890010013899</v>
      </c>
      <c r="Q210" s="17" t="str">
        <f t="shared" si="30"/>
        <v>EU_southOil</v>
      </c>
      <c r="R210" s="1">
        <f t="shared" si="31"/>
        <v>1.0404928452739421</v>
      </c>
      <c r="S210" s="1">
        <f t="shared" si="32"/>
        <v>1.0808803275445726</v>
      </c>
    </row>
    <row r="211" spans="10:19" ht="14.25" x14ac:dyDescent="0.45">
      <c r="J211" t="s">
        <v>94</v>
      </c>
      <c r="K211" s="1" t="s">
        <v>136</v>
      </c>
      <c r="L211" s="1">
        <v>0.25700000000000101</v>
      </c>
      <c r="M211" s="1">
        <v>0.26785357056225501</v>
      </c>
      <c r="Q211" s="17" t="str">
        <f t="shared" si="30"/>
        <v>EU_southeastOil</v>
      </c>
      <c r="R211" s="1">
        <f t="shared" si="31"/>
        <v>0.58847292455915334</v>
      </c>
      <c r="S211" s="1">
        <f t="shared" si="32"/>
        <v>1.0910316590216178</v>
      </c>
    </row>
    <row r="212" spans="10:19" ht="14.25" x14ac:dyDescent="0.45">
      <c r="J212" t="s">
        <v>94</v>
      </c>
      <c r="K212" s="1" t="s">
        <v>137</v>
      </c>
      <c r="L212" s="1">
        <v>0.26100000000000001</v>
      </c>
      <c r="M212" s="1">
        <v>0.26758008162859798</v>
      </c>
      <c r="Q212" s="17" t="str">
        <f t="shared" si="30"/>
        <v>EU_southwestOil</v>
      </c>
      <c r="R212" s="1">
        <f t="shared" si="31"/>
        <v>1.5193848813977164</v>
      </c>
      <c r="S212" s="1">
        <f t="shared" si="32"/>
        <v>1.4928923063577888</v>
      </c>
    </row>
    <row r="213" spans="10:19" ht="14.25" x14ac:dyDescent="0.45">
      <c r="J213" t="s">
        <v>94</v>
      </c>
      <c r="K213" s="1" t="s">
        <v>138</v>
      </c>
      <c r="L213" s="1">
        <v>0.26200000000000001</v>
      </c>
      <c r="M213" s="1">
        <v>0.31272453288832802</v>
      </c>
      <c r="Q213" s="17" t="str">
        <f t="shared" si="30"/>
        <v>Europe_otherOil</v>
      </c>
      <c r="R213" s="1">
        <f t="shared" si="31"/>
        <v>1.0302659618611107</v>
      </c>
      <c r="S213" s="1">
        <f t="shared" si="32"/>
        <v>1.2640769580932334</v>
      </c>
    </row>
    <row r="214" spans="10:19" ht="14.25" x14ac:dyDescent="0.45">
      <c r="J214" t="s">
        <v>94</v>
      </c>
      <c r="K214" s="1" t="s">
        <v>139</v>
      </c>
      <c r="L214" s="1">
        <v>0.26100000000000001</v>
      </c>
      <c r="M214" s="1">
        <v>0.29912838871838898</v>
      </c>
      <c r="Q214" s="17" t="str">
        <f t="shared" si="30"/>
        <v>FranceOil</v>
      </c>
      <c r="R214" s="1" t="str">
        <f t="shared" si="31"/>
        <v/>
      </c>
      <c r="S214" s="1" t="str">
        <f t="shared" si="32"/>
        <v/>
      </c>
    </row>
    <row r="215" spans="10:19" ht="14.25" x14ac:dyDescent="0.45">
      <c r="J215" t="s">
        <v>94</v>
      </c>
      <c r="K215" s="1" t="s">
        <v>140</v>
      </c>
      <c r="L215" s="1">
        <v>0.250000000000001</v>
      </c>
      <c r="M215" s="1">
        <v>0.23223446352037799</v>
      </c>
      <c r="Q215" s="17" t="str">
        <f t="shared" si="30"/>
        <v>GermanyOil</v>
      </c>
      <c r="R215" s="1" t="str">
        <f t="shared" si="31"/>
        <v/>
      </c>
      <c r="S215" s="1" t="str">
        <f t="shared" si="32"/>
        <v/>
      </c>
    </row>
    <row r="216" spans="10:19" ht="14.25" x14ac:dyDescent="0.45">
      <c r="J216" t="s">
        <v>94</v>
      </c>
      <c r="K216" s="1" t="s">
        <v>63</v>
      </c>
      <c r="L216" s="1">
        <v>0.33299999999999902</v>
      </c>
      <c r="M216" s="1">
        <v>0.33516895068500602</v>
      </c>
      <c r="Q216" s="17" t="str">
        <f t="shared" si="30"/>
        <v>IndiaOil</v>
      </c>
      <c r="R216" s="1" t="str">
        <f t="shared" si="31"/>
        <v/>
      </c>
      <c r="S216" s="1" t="str">
        <f t="shared" si="32"/>
        <v/>
      </c>
    </row>
    <row r="217" spans="10:19" ht="14.25" x14ac:dyDescent="0.45">
      <c r="J217" t="s">
        <v>94</v>
      </c>
      <c r="K217" s="1" t="s">
        <v>141</v>
      </c>
      <c r="L217" s="1">
        <v>0.27</v>
      </c>
      <c r="M217" s="1">
        <v>0.35701583256432401</v>
      </c>
      <c r="Q217" s="17" t="str">
        <f t="shared" si="30"/>
        <v>LatAm_otherOil</v>
      </c>
      <c r="R217" s="1" t="str">
        <f t="shared" si="31"/>
        <v/>
      </c>
      <c r="S217" s="1" t="str">
        <f t="shared" si="32"/>
        <v/>
      </c>
    </row>
    <row r="218" spans="10:19" ht="14.25" x14ac:dyDescent="0.45">
      <c r="J218" t="s">
        <v>94</v>
      </c>
      <c r="K218" s="1" t="s">
        <v>142</v>
      </c>
      <c r="L218" s="1">
        <v>0.26600000000000001</v>
      </c>
      <c r="M218" s="1">
        <v>0.25833346562593801</v>
      </c>
      <c r="Q218" s="17" t="str">
        <f t="shared" si="30"/>
        <v>MexicoOil</v>
      </c>
      <c r="R218" s="1" t="str">
        <f t="shared" si="31"/>
        <v/>
      </c>
      <c r="S218" s="1" t="str">
        <f t="shared" si="32"/>
        <v/>
      </c>
    </row>
    <row r="219" spans="10:19" ht="14.25" x14ac:dyDescent="0.45">
      <c r="J219" t="s">
        <v>94</v>
      </c>
      <c r="K219" s="1" t="s">
        <v>143</v>
      </c>
      <c r="L219" s="1">
        <v>0.27</v>
      </c>
      <c r="M219" s="1">
        <v>0.30996332306890101</v>
      </c>
      <c r="Q219" s="17" t="str">
        <f t="shared" si="30"/>
        <v>MidEast_otherOil</v>
      </c>
      <c r="R219" s="1" t="str">
        <f t="shared" si="31"/>
        <v/>
      </c>
      <c r="S219" s="1" t="str">
        <f t="shared" si="32"/>
        <v/>
      </c>
    </row>
    <row r="220" spans="10:19" ht="14.25" x14ac:dyDescent="0.45">
      <c r="J220" t="s">
        <v>94</v>
      </c>
      <c r="K220" s="1" t="s">
        <v>64</v>
      </c>
      <c r="L220" s="1">
        <v>0.25700000000000001</v>
      </c>
      <c r="M220" s="1">
        <v>0.21885646044485901</v>
      </c>
      <c r="Q220" s="17" t="str">
        <f t="shared" si="30"/>
        <v>RussiaOil</v>
      </c>
      <c r="R220" s="1" t="str">
        <f t="shared" si="31"/>
        <v/>
      </c>
      <c r="S220" s="1" t="str">
        <f t="shared" si="32"/>
        <v/>
      </c>
    </row>
    <row r="221" spans="10:19" ht="14.25" x14ac:dyDescent="0.45">
      <c r="J221" t="s">
        <v>94</v>
      </c>
      <c r="K221" s="1" t="s">
        <v>149</v>
      </c>
      <c r="M221" s="1">
        <v>0.406564324203329</v>
      </c>
      <c r="Q221" s="17" t="str">
        <f t="shared" si="30"/>
        <v>SaudiArabiaOil</v>
      </c>
      <c r="R221" s="1" t="str">
        <f t="shared" si="31"/>
        <v/>
      </c>
      <c r="S221" s="1" t="str">
        <f t="shared" si="32"/>
        <v/>
      </c>
    </row>
    <row r="222" spans="10:19" ht="14.25" x14ac:dyDescent="0.45">
      <c r="J222" t="s">
        <v>94</v>
      </c>
      <c r="K222" s="1" t="s">
        <v>145</v>
      </c>
      <c r="M222" s="1">
        <v>0.33300000000000102</v>
      </c>
      <c r="Q222" s="17" t="str">
        <f t="shared" si="30"/>
        <v>SouthAfricaOil</v>
      </c>
      <c r="R222" s="1" t="str">
        <f t="shared" si="31"/>
        <v/>
      </c>
      <c r="S222" s="1" t="str">
        <f t="shared" si="32"/>
        <v/>
      </c>
    </row>
    <row r="223" spans="10:19" ht="14.25" x14ac:dyDescent="0.45">
      <c r="J223" t="s">
        <v>94</v>
      </c>
      <c r="K223" s="1" t="s">
        <v>146</v>
      </c>
      <c r="L223" s="1">
        <v>0.25800000000000001</v>
      </c>
      <c r="M223" s="1">
        <v>0.26763409432422502</v>
      </c>
      <c r="Q223" s="17" t="str">
        <f t="shared" si="30"/>
        <v>UKOil</v>
      </c>
      <c r="R223" s="1" t="str">
        <f t="shared" si="31"/>
        <v/>
      </c>
      <c r="S223" s="1" t="str">
        <f t="shared" si="32"/>
        <v/>
      </c>
    </row>
    <row r="224" spans="10:19" ht="14.25" x14ac:dyDescent="0.45">
      <c r="J224" t="s">
        <v>94</v>
      </c>
      <c r="K224" s="1" t="s">
        <v>147</v>
      </c>
      <c r="L224" s="1">
        <v>0.26724999999999999</v>
      </c>
      <c r="M224" s="1">
        <v>0.38010957295785203</v>
      </c>
      <c r="Q224" s="17" t="str">
        <f t="shared" si="30"/>
        <v>USAOil</v>
      </c>
      <c r="R224" s="1" t="str">
        <f t="shared" si="31"/>
        <v/>
      </c>
      <c r="S224" s="1" t="str">
        <f t="shared" si="32"/>
        <v/>
      </c>
    </row>
    <row r="225" spans="10:19" ht="14.25" x14ac:dyDescent="0.45">
      <c r="J225" t="s">
        <v>102</v>
      </c>
      <c r="K225" s="1" t="s">
        <v>148</v>
      </c>
      <c r="M225" s="1">
        <v>1</v>
      </c>
      <c r="Q225" s="17" t="str">
        <f t="shared" si="30"/>
        <v>Africa_northSol</v>
      </c>
      <c r="R225" s="1" t="str">
        <f t="shared" si="31"/>
        <v/>
      </c>
      <c r="S225" s="1" t="str">
        <f t="shared" si="32"/>
        <v/>
      </c>
    </row>
    <row r="226" spans="10:19" ht="14.25" x14ac:dyDescent="0.45">
      <c r="J226" t="s">
        <v>102</v>
      </c>
      <c r="K226" s="1" t="s">
        <v>124</v>
      </c>
      <c r="M226" s="1">
        <v>1</v>
      </c>
      <c r="Q226" s="17" t="str">
        <f t="shared" si="30"/>
        <v>Africa_otherSol</v>
      </c>
      <c r="R226" s="1" t="str">
        <f t="shared" si="31"/>
        <v/>
      </c>
      <c r="S226" s="1" t="str">
        <f t="shared" si="32"/>
        <v/>
      </c>
    </row>
    <row r="227" spans="10:19" ht="14.25" x14ac:dyDescent="0.45">
      <c r="J227" t="s">
        <v>102</v>
      </c>
      <c r="K227" s="1" t="s">
        <v>125</v>
      </c>
      <c r="M227" s="1">
        <v>1</v>
      </c>
      <c r="Q227" s="17" t="str">
        <f t="shared" si="30"/>
        <v>Arg-ChiSol</v>
      </c>
      <c r="R227" s="1" t="str">
        <f t="shared" si="31"/>
        <v/>
      </c>
      <c r="S227" s="1" t="str">
        <f t="shared" si="32"/>
        <v/>
      </c>
    </row>
    <row r="228" spans="10:19" ht="14.25" x14ac:dyDescent="0.45">
      <c r="J228" t="s">
        <v>102</v>
      </c>
      <c r="K228" s="1" t="s">
        <v>126</v>
      </c>
      <c r="M228" s="1">
        <v>0.999999999999999</v>
      </c>
      <c r="Q228" s="17" t="str">
        <f t="shared" si="30"/>
        <v>Asia_centralSol</v>
      </c>
      <c r="R228" s="1" t="str">
        <f t="shared" si="31"/>
        <v/>
      </c>
      <c r="S228" s="1" t="str">
        <f t="shared" si="32"/>
        <v/>
      </c>
    </row>
    <row r="229" spans="10:19" ht="14.25" x14ac:dyDescent="0.45">
      <c r="J229" t="s">
        <v>102</v>
      </c>
      <c r="K229" s="1" t="s">
        <v>127</v>
      </c>
      <c r="M229" s="1">
        <v>1</v>
      </c>
      <c r="Q229" s="17" t="str">
        <f t="shared" si="30"/>
        <v>Asia_eastSol</v>
      </c>
      <c r="R229" s="1" t="str">
        <f t="shared" si="31"/>
        <v/>
      </c>
      <c r="S229" s="1" t="str">
        <f t="shared" si="32"/>
        <v/>
      </c>
    </row>
    <row r="230" spans="10:19" ht="14.25" x14ac:dyDescent="0.45">
      <c r="J230" t="s">
        <v>102</v>
      </c>
      <c r="K230" s="1" t="s">
        <v>128</v>
      </c>
      <c r="M230" s="1">
        <v>1</v>
      </c>
      <c r="Q230" s="17" t="str">
        <f t="shared" si="30"/>
        <v>Asia_otherSol</v>
      </c>
      <c r="R230" s="1" t="str">
        <f t="shared" si="31"/>
        <v/>
      </c>
      <c r="S230" s="1" t="str">
        <f t="shared" si="32"/>
        <v/>
      </c>
    </row>
    <row r="231" spans="10:19" ht="14.25" x14ac:dyDescent="0.45">
      <c r="J231" t="s">
        <v>102</v>
      </c>
      <c r="K231" s="1" t="s">
        <v>129</v>
      </c>
      <c r="M231" s="1">
        <v>1</v>
      </c>
      <c r="Q231" s="17" t="str">
        <f t="shared" si="30"/>
        <v>Australia_NZSol</v>
      </c>
      <c r="R231" s="1" t="str">
        <f t="shared" si="31"/>
        <v/>
      </c>
      <c r="S231" s="1" t="str">
        <f t="shared" si="32"/>
        <v/>
      </c>
    </row>
    <row r="232" spans="10:19" ht="14.25" x14ac:dyDescent="0.45">
      <c r="J232" t="s">
        <v>102</v>
      </c>
      <c r="K232" s="1" t="s">
        <v>130</v>
      </c>
      <c r="M232" s="1">
        <v>1</v>
      </c>
      <c r="Q232" s="17" t="str">
        <f t="shared" si="30"/>
        <v>BrazilSol</v>
      </c>
      <c r="R232" s="1" t="str">
        <f t="shared" si="31"/>
        <v/>
      </c>
      <c r="S232" s="1" t="str">
        <f t="shared" si="32"/>
        <v/>
      </c>
    </row>
    <row r="233" spans="10:19" ht="14.25" x14ac:dyDescent="0.45">
      <c r="J233" t="s">
        <v>102</v>
      </c>
      <c r="K233" s="1" t="s">
        <v>131</v>
      </c>
      <c r="M233" s="1">
        <v>1</v>
      </c>
      <c r="Q233" s="17" t="str">
        <f t="shared" si="30"/>
        <v>CanadaSol</v>
      </c>
      <c r="R233" s="1" t="str">
        <f t="shared" si="31"/>
        <v/>
      </c>
      <c r="S233" s="1" t="str">
        <f t="shared" si="32"/>
        <v/>
      </c>
    </row>
    <row r="234" spans="10:19" ht="14.25" x14ac:dyDescent="0.45">
      <c r="J234" t="s">
        <v>102</v>
      </c>
      <c r="K234" s="1" t="s">
        <v>62</v>
      </c>
      <c r="M234" s="1">
        <v>1</v>
      </c>
      <c r="Q234" s="17" t="str">
        <f t="shared" si="30"/>
        <v>ChinaSol</v>
      </c>
      <c r="R234" s="1" t="str">
        <f t="shared" si="31"/>
        <v/>
      </c>
      <c r="S234" s="1" t="str">
        <f t="shared" si="32"/>
        <v/>
      </c>
    </row>
    <row r="235" spans="10:19" ht="14.25" x14ac:dyDescent="0.45">
      <c r="J235" t="s">
        <v>102</v>
      </c>
      <c r="K235" s="1" t="s">
        <v>132</v>
      </c>
      <c r="M235" s="1">
        <v>1</v>
      </c>
      <c r="Q235" s="17" t="str">
        <f t="shared" si="30"/>
        <v>EU_northSol</v>
      </c>
      <c r="R235" s="1" t="str">
        <f t="shared" si="31"/>
        <v/>
      </c>
      <c r="S235" s="1" t="str">
        <f t="shared" si="32"/>
        <v/>
      </c>
    </row>
    <row r="236" spans="10:19" ht="14.25" x14ac:dyDescent="0.45">
      <c r="J236" t="s">
        <v>102</v>
      </c>
      <c r="K236" s="1" t="s">
        <v>133</v>
      </c>
      <c r="M236" s="1">
        <v>0.999999999999999</v>
      </c>
      <c r="Q236" s="17" t="str">
        <f t="shared" si="30"/>
        <v>EU_northeastSol</v>
      </c>
      <c r="R236" s="1" t="str">
        <f t="shared" si="31"/>
        <v/>
      </c>
      <c r="S236" s="1" t="str">
        <f t="shared" si="32"/>
        <v/>
      </c>
    </row>
    <row r="237" spans="10:19" ht="14.25" x14ac:dyDescent="0.45">
      <c r="J237" t="s">
        <v>102</v>
      </c>
      <c r="K237" s="1" t="s">
        <v>134</v>
      </c>
      <c r="M237" s="1">
        <v>1</v>
      </c>
      <c r="Q237" s="17" t="str">
        <f t="shared" si="30"/>
        <v>EU_northwestSol</v>
      </c>
      <c r="R237" s="1" t="str">
        <f t="shared" si="31"/>
        <v/>
      </c>
      <c r="S237" s="1" t="str">
        <f t="shared" si="32"/>
        <v/>
      </c>
    </row>
    <row r="238" spans="10:19" ht="14.25" x14ac:dyDescent="0.45">
      <c r="J238" t="s">
        <v>102</v>
      </c>
      <c r="K238" s="1" t="s">
        <v>135</v>
      </c>
      <c r="M238" s="1">
        <v>1</v>
      </c>
      <c r="Q238" s="17" t="str">
        <f t="shared" si="30"/>
        <v>EU_southSol</v>
      </c>
      <c r="R238" s="1" t="str">
        <f t="shared" si="31"/>
        <v/>
      </c>
      <c r="S238" s="1" t="str">
        <f t="shared" si="32"/>
        <v/>
      </c>
    </row>
    <row r="239" spans="10:19" ht="14.25" x14ac:dyDescent="0.45">
      <c r="J239" t="s">
        <v>102</v>
      </c>
      <c r="K239" s="1" t="s">
        <v>136</v>
      </c>
      <c r="M239" s="1">
        <v>1</v>
      </c>
      <c r="Q239" s="17" t="str">
        <f t="shared" si="30"/>
        <v>EU_southeastSol</v>
      </c>
      <c r="R239" s="1" t="str">
        <f t="shared" si="31"/>
        <v/>
      </c>
      <c r="S239" s="1" t="str">
        <f t="shared" si="32"/>
        <v/>
      </c>
    </row>
    <row r="240" spans="10:19" ht="14.25" x14ac:dyDescent="0.45">
      <c r="J240" t="s">
        <v>102</v>
      </c>
      <c r="K240" s="1" t="s">
        <v>137</v>
      </c>
      <c r="M240" s="1">
        <v>0.999999999999999</v>
      </c>
      <c r="Q240" s="17" t="str">
        <f t="shared" si="30"/>
        <v>EU_southwestSol</v>
      </c>
      <c r="R240" s="1" t="str">
        <f t="shared" si="31"/>
        <v/>
      </c>
      <c r="S240" s="1" t="str">
        <f t="shared" si="32"/>
        <v/>
      </c>
    </row>
    <row r="241" spans="10:19" ht="14.25" x14ac:dyDescent="0.45">
      <c r="J241" t="s">
        <v>102</v>
      </c>
      <c r="K241" s="1" t="s">
        <v>138</v>
      </c>
      <c r="M241" s="1">
        <v>1</v>
      </c>
      <c r="Q241" s="17" t="str">
        <f t="shared" si="30"/>
        <v>Europe_otherSol</v>
      </c>
      <c r="R241" s="1" t="str">
        <f t="shared" si="31"/>
        <v/>
      </c>
      <c r="S241" s="1" t="str">
        <f t="shared" si="32"/>
        <v/>
      </c>
    </row>
    <row r="242" spans="10:19" ht="14.25" x14ac:dyDescent="0.45">
      <c r="J242" t="s">
        <v>102</v>
      </c>
      <c r="K242" s="1" t="s">
        <v>139</v>
      </c>
      <c r="M242" s="1">
        <v>1</v>
      </c>
      <c r="Q242" s="17" t="str">
        <f t="shared" si="30"/>
        <v>FranceSol</v>
      </c>
      <c r="R242" s="1" t="str">
        <f t="shared" si="31"/>
        <v/>
      </c>
      <c r="S242" s="1" t="str">
        <f t="shared" si="32"/>
        <v/>
      </c>
    </row>
    <row r="243" spans="10:19" ht="14.25" x14ac:dyDescent="0.45">
      <c r="J243" t="s">
        <v>102</v>
      </c>
      <c r="K243" s="1" t="s">
        <v>140</v>
      </c>
      <c r="M243" s="1">
        <v>1</v>
      </c>
      <c r="Q243" s="17" t="str">
        <f t="shared" si="30"/>
        <v>GermanySol</v>
      </c>
      <c r="R243" s="1" t="str">
        <f t="shared" si="31"/>
        <v/>
      </c>
      <c r="S243" s="1" t="str">
        <f t="shared" si="32"/>
        <v/>
      </c>
    </row>
    <row r="244" spans="10:19" ht="14.25" x14ac:dyDescent="0.45">
      <c r="J244" t="s">
        <v>102</v>
      </c>
      <c r="K244" s="1" t="s">
        <v>63</v>
      </c>
      <c r="L244" s="1">
        <v>1</v>
      </c>
      <c r="M244" s="1">
        <v>1</v>
      </c>
      <c r="Q244" s="17" t="str">
        <f t="shared" si="30"/>
        <v>IndiaSol</v>
      </c>
      <c r="R244" s="1" t="str">
        <f t="shared" si="31"/>
        <v/>
      </c>
      <c r="S244" s="1" t="str">
        <f t="shared" si="32"/>
        <v/>
      </c>
    </row>
    <row r="245" spans="10:19" ht="14.25" x14ac:dyDescent="0.45">
      <c r="J245" t="s">
        <v>102</v>
      </c>
      <c r="K245" s="1" t="s">
        <v>141</v>
      </c>
      <c r="M245" s="1">
        <v>0.999999999999999</v>
      </c>
      <c r="Q245" s="17" t="str">
        <f t="shared" si="30"/>
        <v>LatAm_otherSol</v>
      </c>
      <c r="R245" s="1" t="str">
        <f t="shared" si="31"/>
        <v/>
      </c>
      <c r="S245" s="1" t="str">
        <f t="shared" si="32"/>
        <v/>
      </c>
    </row>
    <row r="246" spans="10:19" ht="14.25" x14ac:dyDescent="0.45">
      <c r="J246" t="s">
        <v>102</v>
      </c>
      <c r="K246" s="1" t="s">
        <v>142</v>
      </c>
      <c r="M246" s="1">
        <v>1</v>
      </c>
      <c r="Q246" s="17" t="str">
        <f t="shared" si="30"/>
        <v>MexicoSol</v>
      </c>
      <c r="R246" s="1" t="str">
        <f t="shared" si="31"/>
        <v/>
      </c>
      <c r="S246" s="1" t="str">
        <f t="shared" si="32"/>
        <v/>
      </c>
    </row>
    <row r="247" spans="10:19" ht="14.25" x14ac:dyDescent="0.45">
      <c r="J247" t="s">
        <v>102</v>
      </c>
      <c r="K247" s="1" t="s">
        <v>143</v>
      </c>
      <c r="M247" s="1">
        <v>1</v>
      </c>
      <c r="Q247" s="17" t="str">
        <f t="shared" si="30"/>
        <v>MidEast_otherSol</v>
      </c>
      <c r="R247" s="1" t="str">
        <f t="shared" si="31"/>
        <v/>
      </c>
      <c r="S247" s="1" t="str">
        <f t="shared" si="32"/>
        <v/>
      </c>
    </row>
    <row r="248" spans="10:19" ht="14.25" x14ac:dyDescent="0.45">
      <c r="J248" t="s">
        <v>102</v>
      </c>
      <c r="K248" s="1" t="s">
        <v>144</v>
      </c>
      <c r="M248" s="1">
        <v>0.999999999999998</v>
      </c>
      <c r="Q248" s="17" t="str">
        <f t="shared" si="30"/>
        <v>Nor-IceSol</v>
      </c>
      <c r="R248" s="1" t="str">
        <f t="shared" si="31"/>
        <v/>
      </c>
      <c r="S248" s="1" t="str">
        <f t="shared" si="32"/>
        <v/>
      </c>
    </row>
    <row r="249" spans="10:19" ht="14.25" x14ac:dyDescent="0.45">
      <c r="J249" t="s">
        <v>102</v>
      </c>
      <c r="K249" s="1" t="s">
        <v>64</v>
      </c>
      <c r="M249" s="1">
        <v>1</v>
      </c>
      <c r="Q249" s="17" t="str">
        <f t="shared" si="30"/>
        <v>RussiaSol</v>
      </c>
      <c r="R249" s="1" t="str">
        <f t="shared" si="31"/>
        <v/>
      </c>
      <c r="S249" s="1" t="str">
        <f t="shared" si="32"/>
        <v/>
      </c>
    </row>
    <row r="250" spans="10:19" ht="14.25" x14ac:dyDescent="0.45">
      <c r="J250" t="s">
        <v>102</v>
      </c>
      <c r="K250" s="1" t="s">
        <v>149</v>
      </c>
      <c r="M250" s="1">
        <v>1</v>
      </c>
      <c r="Q250" s="17" t="str">
        <f t="shared" si="30"/>
        <v>SaudiArabiaSol</v>
      </c>
      <c r="R250" s="1" t="str">
        <f t="shared" si="31"/>
        <v/>
      </c>
      <c r="S250" s="1" t="str">
        <f t="shared" si="32"/>
        <v/>
      </c>
    </row>
    <row r="251" spans="10:19" ht="14.25" x14ac:dyDescent="0.45">
      <c r="J251" t="s">
        <v>102</v>
      </c>
      <c r="K251" s="1" t="s">
        <v>145</v>
      </c>
      <c r="M251" s="1">
        <v>1</v>
      </c>
      <c r="Q251" s="17" t="str">
        <f t="shared" si="30"/>
        <v>SouthAfricaSol</v>
      </c>
      <c r="R251" s="1" t="str">
        <f t="shared" si="31"/>
        <v/>
      </c>
      <c r="S251" s="1" t="str">
        <f t="shared" si="32"/>
        <v/>
      </c>
    </row>
    <row r="252" spans="10:19" ht="14.25" x14ac:dyDescent="0.45">
      <c r="J252" t="s">
        <v>102</v>
      </c>
      <c r="K252" s="1" t="s">
        <v>146</v>
      </c>
      <c r="M252" s="1">
        <v>0.999999999999998</v>
      </c>
      <c r="Q252" s="17" t="str">
        <f t="shared" si="30"/>
        <v>UKSol</v>
      </c>
      <c r="R252" s="1" t="str">
        <f t="shared" si="31"/>
        <v/>
      </c>
      <c r="S252" s="1" t="str">
        <f t="shared" si="32"/>
        <v/>
      </c>
    </row>
    <row r="253" spans="10:19" ht="14.25" x14ac:dyDescent="0.45">
      <c r="J253" t="s">
        <v>102</v>
      </c>
      <c r="K253" s="1" t="s">
        <v>147</v>
      </c>
      <c r="M253" s="1">
        <v>1</v>
      </c>
      <c r="Q253" s="17" t="str">
        <f t="shared" si="30"/>
        <v>USASol</v>
      </c>
      <c r="R253" s="1" t="str">
        <f t="shared" si="31"/>
        <v/>
      </c>
      <c r="S253" s="1" t="str">
        <f t="shared" si="32"/>
        <v/>
      </c>
    </row>
    <row r="254" spans="10:19" ht="14.25" x14ac:dyDescent="0.45">
      <c r="J254" t="s">
        <v>152</v>
      </c>
      <c r="K254" s="1" t="s">
        <v>148</v>
      </c>
      <c r="M254" s="1">
        <v>1</v>
      </c>
      <c r="Q254" s="17" t="str">
        <f t="shared" si="30"/>
        <v>Africa_northWin</v>
      </c>
      <c r="R254" s="1" t="str">
        <f t="shared" si="31"/>
        <v/>
      </c>
      <c r="S254" s="1" t="str">
        <f t="shared" si="32"/>
        <v/>
      </c>
    </row>
    <row r="255" spans="10:19" ht="14.25" x14ac:dyDescent="0.45">
      <c r="J255" t="s">
        <v>152</v>
      </c>
      <c r="K255" s="1" t="s">
        <v>124</v>
      </c>
      <c r="M255" s="1">
        <v>1</v>
      </c>
      <c r="Q255" s="17" t="str">
        <f t="shared" si="30"/>
        <v>Africa_otherWin</v>
      </c>
      <c r="R255" s="1" t="str">
        <f t="shared" si="31"/>
        <v/>
      </c>
      <c r="S255" s="1" t="str">
        <f t="shared" si="32"/>
        <v/>
      </c>
    </row>
    <row r="256" spans="10:19" ht="14.25" x14ac:dyDescent="0.45">
      <c r="J256" t="s">
        <v>152</v>
      </c>
      <c r="K256" s="1" t="s">
        <v>125</v>
      </c>
      <c r="M256" s="1">
        <v>1</v>
      </c>
      <c r="Q256" s="17" t="str">
        <f t="shared" si="30"/>
        <v>Arg-ChiWin</v>
      </c>
      <c r="R256" s="1" t="str">
        <f t="shared" si="31"/>
        <v/>
      </c>
      <c r="S256" s="1" t="str">
        <f t="shared" si="32"/>
        <v/>
      </c>
    </row>
    <row r="257" spans="10:19" ht="14.25" x14ac:dyDescent="0.45">
      <c r="J257" t="s">
        <v>152</v>
      </c>
      <c r="K257" s="1" t="s">
        <v>126</v>
      </c>
      <c r="M257" s="1">
        <v>1</v>
      </c>
      <c r="Q257" s="17" t="str">
        <f t="shared" si="30"/>
        <v>Asia_centralWin</v>
      </c>
      <c r="R257" s="1" t="str">
        <f t="shared" si="31"/>
        <v/>
      </c>
      <c r="S257" s="1" t="str">
        <f t="shared" si="32"/>
        <v/>
      </c>
    </row>
    <row r="258" spans="10:19" ht="14.25" x14ac:dyDescent="0.45">
      <c r="J258" t="s">
        <v>152</v>
      </c>
      <c r="K258" s="1" t="s">
        <v>127</v>
      </c>
      <c r="M258" s="1">
        <v>1</v>
      </c>
      <c r="Q258" s="17" t="str">
        <f t="shared" si="30"/>
        <v>Asia_eastWin</v>
      </c>
      <c r="R258" s="1" t="str">
        <f t="shared" si="31"/>
        <v/>
      </c>
      <c r="S258" s="1" t="str">
        <f t="shared" si="32"/>
        <v/>
      </c>
    </row>
    <row r="259" spans="10:19" ht="14.25" x14ac:dyDescent="0.45">
      <c r="J259" t="s">
        <v>152</v>
      </c>
      <c r="K259" s="1" t="s">
        <v>128</v>
      </c>
      <c r="M259" s="1">
        <v>1</v>
      </c>
      <c r="Q259" s="17" t="str">
        <f t="shared" si="30"/>
        <v>Asia_otherWin</v>
      </c>
      <c r="R259" s="1" t="str">
        <f t="shared" si="31"/>
        <v/>
      </c>
      <c r="S259" s="1" t="str">
        <f t="shared" si="32"/>
        <v/>
      </c>
    </row>
    <row r="260" spans="10:19" ht="14.25" x14ac:dyDescent="0.45">
      <c r="J260" t="s">
        <v>152</v>
      </c>
      <c r="K260" s="1" t="s">
        <v>129</v>
      </c>
      <c r="M260" s="1">
        <v>1</v>
      </c>
      <c r="Q260" s="17" t="str">
        <f t="shared" si="30"/>
        <v>Australia_NZWin</v>
      </c>
      <c r="R260" s="1" t="str">
        <f t="shared" si="31"/>
        <v/>
      </c>
      <c r="S260" s="1" t="str">
        <f t="shared" si="32"/>
        <v/>
      </c>
    </row>
    <row r="261" spans="10:19" ht="14.25" x14ac:dyDescent="0.45">
      <c r="J261" t="s">
        <v>152</v>
      </c>
      <c r="K261" s="1" t="s">
        <v>130</v>
      </c>
      <c r="M261" s="1">
        <v>1</v>
      </c>
      <c r="Q261" s="17" t="str">
        <f t="shared" si="30"/>
        <v>BrazilWin</v>
      </c>
      <c r="R261" s="1" t="str">
        <f t="shared" si="31"/>
        <v/>
      </c>
      <c r="S261" s="1" t="str">
        <f t="shared" si="32"/>
        <v/>
      </c>
    </row>
    <row r="262" spans="10:19" ht="14.25" x14ac:dyDescent="0.45">
      <c r="J262" t="s">
        <v>152</v>
      </c>
      <c r="K262" s="1" t="s">
        <v>131</v>
      </c>
      <c r="M262" s="1">
        <v>1</v>
      </c>
      <c r="Q262" s="17" t="str">
        <f t="shared" si="30"/>
        <v>CanadaWin</v>
      </c>
      <c r="R262" s="1" t="str">
        <f t="shared" si="31"/>
        <v/>
      </c>
      <c r="S262" s="1" t="str">
        <f t="shared" si="32"/>
        <v/>
      </c>
    </row>
    <row r="263" spans="10:19" ht="14.25" x14ac:dyDescent="0.45">
      <c r="J263" t="s">
        <v>152</v>
      </c>
      <c r="K263" s="1" t="s">
        <v>62</v>
      </c>
      <c r="M263" s="1">
        <v>1.00000000000001</v>
      </c>
      <c r="Q263" s="17" t="str">
        <f t="shared" si="30"/>
        <v>ChinaWin</v>
      </c>
      <c r="R263" s="1" t="str">
        <f t="shared" si="31"/>
        <v/>
      </c>
      <c r="S263" s="1" t="str">
        <f t="shared" si="32"/>
        <v/>
      </c>
    </row>
    <row r="264" spans="10:19" ht="14.25" x14ac:dyDescent="0.45">
      <c r="J264" t="s">
        <v>152</v>
      </c>
      <c r="K264" s="1" t="s">
        <v>132</v>
      </c>
      <c r="M264" s="1">
        <v>0.999999999999999</v>
      </c>
      <c r="Q264" s="17" t="str">
        <f t="shared" si="30"/>
        <v>EU_northWin</v>
      </c>
      <c r="R264" s="1" t="str">
        <f t="shared" si="31"/>
        <v/>
      </c>
      <c r="S264" s="1" t="str">
        <f t="shared" si="32"/>
        <v/>
      </c>
    </row>
    <row r="265" spans="10:19" ht="14.25" x14ac:dyDescent="0.45">
      <c r="J265" t="s">
        <v>152</v>
      </c>
      <c r="K265" s="1" t="s">
        <v>133</v>
      </c>
      <c r="M265" s="1">
        <v>0.999999999999999</v>
      </c>
      <c r="Q265" s="17" t="str">
        <f t="shared" si="30"/>
        <v>EU_northeastWin</v>
      </c>
      <c r="R265" s="1" t="str">
        <f t="shared" si="31"/>
        <v/>
      </c>
      <c r="S265" s="1" t="str">
        <f t="shared" si="32"/>
        <v/>
      </c>
    </row>
    <row r="266" spans="10:19" ht="14.25" x14ac:dyDescent="0.45">
      <c r="J266" t="s">
        <v>152</v>
      </c>
      <c r="K266" s="1" t="s">
        <v>134</v>
      </c>
      <c r="M266" s="1">
        <v>0.999999999999999</v>
      </c>
      <c r="Q266" s="17" t="str">
        <f t="shared" si="30"/>
        <v>EU_northwestWin</v>
      </c>
      <c r="R266" s="1" t="str">
        <f t="shared" si="31"/>
        <v/>
      </c>
      <c r="S266" s="1" t="str">
        <f t="shared" si="32"/>
        <v/>
      </c>
    </row>
    <row r="267" spans="10:19" ht="14.25" x14ac:dyDescent="0.45">
      <c r="J267" t="s">
        <v>152</v>
      </c>
      <c r="K267" s="1" t="s">
        <v>135</v>
      </c>
      <c r="M267" s="1">
        <v>1</v>
      </c>
      <c r="Q267" s="17" t="str">
        <f t="shared" si="30"/>
        <v>EU_southWin</v>
      </c>
      <c r="R267" s="1" t="str">
        <f t="shared" si="31"/>
        <v/>
      </c>
      <c r="S267" s="1" t="str">
        <f t="shared" si="32"/>
        <v/>
      </c>
    </row>
    <row r="268" spans="10:19" ht="14.25" x14ac:dyDescent="0.45">
      <c r="J268" t="s">
        <v>152</v>
      </c>
      <c r="K268" s="1" t="s">
        <v>136</v>
      </c>
      <c r="M268" s="1">
        <v>1</v>
      </c>
      <c r="Q268" s="17" t="str">
        <f t="shared" si="30"/>
        <v>EU_southeastWin</v>
      </c>
      <c r="R268" s="1" t="str">
        <f t="shared" si="31"/>
        <v/>
      </c>
      <c r="S268" s="1" t="str">
        <f t="shared" si="32"/>
        <v/>
      </c>
    </row>
    <row r="269" spans="10:19" ht="14.25" x14ac:dyDescent="0.45">
      <c r="J269" t="s">
        <v>152</v>
      </c>
      <c r="K269" s="1" t="s">
        <v>137</v>
      </c>
      <c r="M269" s="1">
        <v>1</v>
      </c>
      <c r="Q269" s="17" t="str">
        <f t="shared" si="30"/>
        <v>EU_southwestWin</v>
      </c>
      <c r="R269" s="1" t="str">
        <f t="shared" si="31"/>
        <v/>
      </c>
      <c r="S269" s="1" t="str">
        <f t="shared" si="32"/>
        <v/>
      </c>
    </row>
    <row r="270" spans="10:19" ht="14.25" x14ac:dyDescent="0.45">
      <c r="J270" t="s">
        <v>152</v>
      </c>
      <c r="K270" s="1" t="s">
        <v>138</v>
      </c>
      <c r="M270" s="1">
        <v>0.999999999999999</v>
      </c>
      <c r="Q270" s="17" t="str">
        <f t="shared" si="30"/>
        <v>Europe_otherWin</v>
      </c>
      <c r="R270" s="1" t="str">
        <f t="shared" si="31"/>
        <v/>
      </c>
      <c r="S270" s="1" t="str">
        <f t="shared" si="32"/>
        <v/>
      </c>
    </row>
    <row r="271" spans="10:19" ht="14.25" x14ac:dyDescent="0.45">
      <c r="J271" t="s">
        <v>152</v>
      </c>
      <c r="K271" s="1" t="s">
        <v>139</v>
      </c>
      <c r="M271" s="1">
        <v>1</v>
      </c>
      <c r="Q271" s="17" t="str">
        <f t="shared" si="30"/>
        <v>FranceWin</v>
      </c>
      <c r="R271" s="1" t="str">
        <f t="shared" si="31"/>
        <v/>
      </c>
      <c r="S271" s="1" t="str">
        <f t="shared" si="32"/>
        <v/>
      </c>
    </row>
    <row r="272" spans="10:19" ht="14.25" x14ac:dyDescent="0.45">
      <c r="J272" t="s">
        <v>152</v>
      </c>
      <c r="K272" s="1" t="s">
        <v>140</v>
      </c>
      <c r="M272" s="1">
        <v>1</v>
      </c>
      <c r="Q272" s="17" t="str">
        <f t="shared" si="30"/>
        <v>GermanyWin</v>
      </c>
      <c r="R272" s="1" t="str">
        <f t="shared" si="31"/>
        <v/>
      </c>
      <c r="S272" s="1" t="str">
        <f t="shared" si="32"/>
        <v/>
      </c>
    </row>
    <row r="273" spans="10:19" ht="14.25" x14ac:dyDescent="0.45">
      <c r="J273" t="s">
        <v>152</v>
      </c>
      <c r="K273" s="1" t="s">
        <v>63</v>
      </c>
      <c r="M273" s="1">
        <v>0.999999999999996</v>
      </c>
      <c r="Q273" s="17" t="str">
        <f t="shared" ref="Q273:Q281" si="33">K273&amp;LEFT(J273,3)</f>
        <v>IndiaWin</v>
      </c>
      <c r="R273" s="1" t="str">
        <f t="shared" ref="R273:R281" si="34">IFERROR(IF(L273&gt;0,VLOOKUP($Q273,$A$3:$H$102,R$1,FALSE)/L273,""),"")</f>
        <v/>
      </c>
      <c r="S273" s="1" t="str">
        <f t="shared" ref="S273:S281" si="35">IFERROR(IF(M273&gt;0,VLOOKUP($Q273,$A$3:$H$102,S$1,FALSE)/M273,""),"")</f>
        <v/>
      </c>
    </row>
    <row r="274" spans="10:19" ht="14.25" x14ac:dyDescent="0.45">
      <c r="J274" t="s">
        <v>152</v>
      </c>
      <c r="K274" s="1" t="s">
        <v>141</v>
      </c>
      <c r="M274" s="1">
        <v>1</v>
      </c>
      <c r="Q274" s="17" t="str">
        <f t="shared" si="33"/>
        <v>LatAm_otherWin</v>
      </c>
      <c r="R274" s="1" t="str">
        <f t="shared" si="34"/>
        <v/>
      </c>
      <c r="S274" s="1" t="str">
        <f t="shared" si="35"/>
        <v/>
      </c>
    </row>
    <row r="275" spans="10:19" ht="14.25" x14ac:dyDescent="0.45">
      <c r="J275" t="s">
        <v>152</v>
      </c>
      <c r="K275" s="1" t="s">
        <v>142</v>
      </c>
      <c r="M275" s="1">
        <v>1</v>
      </c>
      <c r="Q275" s="17" t="str">
        <f t="shared" si="33"/>
        <v>MexicoWin</v>
      </c>
      <c r="R275" s="1" t="str">
        <f t="shared" si="34"/>
        <v/>
      </c>
      <c r="S275" s="1" t="str">
        <f t="shared" si="35"/>
        <v/>
      </c>
    </row>
    <row r="276" spans="10:19" ht="14.25" x14ac:dyDescent="0.45">
      <c r="J276" t="s">
        <v>152</v>
      </c>
      <c r="K276" s="1" t="s">
        <v>143</v>
      </c>
      <c r="M276" s="1">
        <v>1</v>
      </c>
      <c r="Q276" s="17" t="str">
        <f t="shared" si="33"/>
        <v>MidEast_otherWin</v>
      </c>
      <c r="R276" s="1" t="str">
        <f t="shared" si="34"/>
        <v/>
      </c>
      <c r="S276" s="1" t="str">
        <f t="shared" si="35"/>
        <v/>
      </c>
    </row>
    <row r="277" spans="10:19" ht="14.25" x14ac:dyDescent="0.45">
      <c r="J277" t="s">
        <v>152</v>
      </c>
      <c r="K277" s="1" t="s">
        <v>144</v>
      </c>
      <c r="M277" s="1">
        <v>1</v>
      </c>
      <c r="Q277" s="17" t="str">
        <f t="shared" si="33"/>
        <v>Nor-IceWin</v>
      </c>
      <c r="R277" s="1" t="str">
        <f t="shared" si="34"/>
        <v/>
      </c>
      <c r="S277" s="1" t="str">
        <f t="shared" si="35"/>
        <v/>
      </c>
    </row>
    <row r="278" spans="10:19" ht="14.25" x14ac:dyDescent="0.45">
      <c r="J278" t="s">
        <v>152</v>
      </c>
      <c r="K278" s="1" t="s">
        <v>64</v>
      </c>
      <c r="M278" s="1">
        <v>1</v>
      </c>
      <c r="Q278" s="17" t="str">
        <f t="shared" si="33"/>
        <v>RussiaWin</v>
      </c>
      <c r="R278" s="1" t="str">
        <f t="shared" si="34"/>
        <v/>
      </c>
      <c r="S278" s="1" t="str">
        <f t="shared" si="35"/>
        <v/>
      </c>
    </row>
    <row r="279" spans="10:19" ht="14.25" x14ac:dyDescent="0.45">
      <c r="J279" t="s">
        <v>152</v>
      </c>
      <c r="K279" s="1" t="s">
        <v>145</v>
      </c>
      <c r="M279" s="1">
        <v>1</v>
      </c>
      <c r="Q279" s="17" t="str">
        <f t="shared" si="33"/>
        <v>SouthAfricaWin</v>
      </c>
      <c r="R279" s="1" t="str">
        <f t="shared" si="34"/>
        <v/>
      </c>
      <c r="S279" s="1" t="str">
        <f t="shared" si="35"/>
        <v/>
      </c>
    </row>
    <row r="280" spans="10:19" ht="14.25" x14ac:dyDescent="0.45">
      <c r="J280" t="s">
        <v>152</v>
      </c>
      <c r="K280" s="1" t="s">
        <v>146</v>
      </c>
      <c r="M280" s="1">
        <v>1</v>
      </c>
      <c r="Q280" s="17" t="str">
        <f t="shared" si="33"/>
        <v>UKWin</v>
      </c>
      <c r="R280" s="1" t="str">
        <f t="shared" si="34"/>
        <v/>
      </c>
      <c r="S280" s="1" t="str">
        <f t="shared" si="35"/>
        <v/>
      </c>
    </row>
    <row r="281" spans="10:19" ht="14.25" x14ac:dyDescent="0.45">
      <c r="J281" t="s">
        <v>152</v>
      </c>
      <c r="K281" s="1" t="s">
        <v>147</v>
      </c>
      <c r="M281" s="1">
        <v>1</v>
      </c>
      <c r="Q281" s="17" t="str">
        <f t="shared" si="33"/>
        <v>USAWin</v>
      </c>
      <c r="R281" s="1" t="str">
        <f t="shared" si="34"/>
        <v/>
      </c>
      <c r="S281" s="1" t="str">
        <f t="shared" si="35"/>
        <v/>
      </c>
    </row>
  </sheetData>
  <sortState xmlns:xlrd2="http://schemas.microsoft.com/office/spreadsheetml/2017/richdata2" ref="X19:X105">
    <sortCondition ref="X19:X105"/>
  </sortState>
  <conditionalFormatting sqref="E3:H102">
    <cfRule type="colorScale" priority="3">
      <colorScale>
        <cfvo type="min"/>
        <cfvo type="max"/>
        <color rgb="FFFCFCFF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S208">
    <cfRule type="colorScale" priority="2">
      <colorScale>
        <cfvo type="min"/>
        <cfvo type="max"/>
        <color rgb="FFFCFCFF"/>
        <color rgb="FF63BE7B"/>
      </colorScale>
    </cfRule>
  </conditionalFormatting>
  <conditionalFormatting sqref="R209:S28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5BF2-23B8-46EE-9250-1196FF234EA1}">
  <dimension ref="B3:T30"/>
  <sheetViews>
    <sheetView workbookViewId="0"/>
  </sheetViews>
  <sheetFormatPr defaultColWidth="8.86328125" defaultRowHeight="12.75" x14ac:dyDescent="0.35"/>
  <cols>
    <col min="2" max="2" width="12.3984375" customWidth="1"/>
    <col min="3" max="3" width="15.1328125" bestFit="1" customWidth="1"/>
    <col min="4" max="4" width="15.3984375" bestFit="1" customWidth="1"/>
    <col min="5" max="5" width="6" bestFit="1" customWidth="1"/>
    <col min="6" max="6" width="5" bestFit="1" customWidth="1"/>
    <col min="7" max="7" width="2" bestFit="1" customWidth="1"/>
    <col min="10" max="11" width="10.59765625" bestFit="1" customWidth="1"/>
    <col min="12" max="13" width="9.3984375" bestFit="1" customWidth="1"/>
    <col min="14" max="14" width="8.1328125" bestFit="1" customWidth="1"/>
    <col min="15" max="15" width="9.265625" bestFit="1" customWidth="1"/>
    <col min="16" max="16" width="7.265625" bestFit="1" customWidth="1"/>
  </cols>
  <sheetData>
    <row r="3" spans="2:20" x14ac:dyDescent="0.35">
      <c r="B3" t="s">
        <v>22</v>
      </c>
    </row>
    <row r="4" spans="2:20" x14ac:dyDescent="0.35">
      <c r="B4" t="s">
        <v>38</v>
      </c>
      <c r="C4" t="s">
        <v>46</v>
      </c>
      <c r="D4" t="s">
        <v>60</v>
      </c>
      <c r="E4" t="s">
        <v>44</v>
      </c>
    </row>
    <row r="5" spans="2:20" x14ac:dyDescent="0.35">
      <c r="B5" t="s">
        <v>72</v>
      </c>
      <c r="C5">
        <v>2018</v>
      </c>
      <c r="D5" t="s">
        <v>73</v>
      </c>
      <c r="E5">
        <v>99999</v>
      </c>
    </row>
    <row r="8" spans="2:20" x14ac:dyDescent="0.35">
      <c r="B8" s="18" t="s">
        <v>170</v>
      </c>
      <c r="C8" s="18"/>
      <c r="D8" s="18"/>
      <c r="E8" s="18"/>
    </row>
    <row r="9" spans="2:20" x14ac:dyDescent="0.35">
      <c r="B9" s="18" t="s">
        <v>41</v>
      </c>
      <c r="C9" s="18" t="s">
        <v>154</v>
      </c>
      <c r="D9" s="18" t="s">
        <v>44</v>
      </c>
      <c r="E9" s="18" t="s">
        <v>61</v>
      </c>
      <c r="J9" t="s">
        <v>22</v>
      </c>
    </row>
    <row r="10" spans="2:20" x14ac:dyDescent="0.35">
      <c r="B10" s="18">
        <v>2100</v>
      </c>
      <c r="C10" s="18" t="s">
        <v>173</v>
      </c>
      <c r="D10" s="18" t="s">
        <v>95</v>
      </c>
      <c r="E10" s="18" t="s">
        <v>117</v>
      </c>
      <c r="J10" t="s">
        <v>153</v>
      </c>
      <c r="K10" t="s">
        <v>1</v>
      </c>
      <c r="L10" t="s">
        <v>154</v>
      </c>
      <c r="M10" t="s">
        <v>4</v>
      </c>
      <c r="N10" t="s">
        <v>155</v>
      </c>
      <c r="O10" t="s">
        <v>156</v>
      </c>
      <c r="P10" t="s">
        <v>157</v>
      </c>
      <c r="Q10" t="s">
        <v>158</v>
      </c>
      <c r="R10" t="s">
        <v>169</v>
      </c>
    </row>
    <row r="11" spans="2:20" x14ac:dyDescent="0.35">
      <c r="K11" t="s">
        <v>159</v>
      </c>
      <c r="L11" t="s">
        <v>160</v>
      </c>
      <c r="M11">
        <v>0</v>
      </c>
      <c r="N11" t="s">
        <v>161</v>
      </c>
      <c r="P11" t="s">
        <v>162</v>
      </c>
      <c r="T11" s="23" t="s">
        <v>121</v>
      </c>
    </row>
    <row r="12" spans="2:20" x14ac:dyDescent="0.35">
      <c r="K12" t="s">
        <v>163</v>
      </c>
      <c r="L12" t="s">
        <v>160</v>
      </c>
      <c r="M12">
        <v>0</v>
      </c>
      <c r="N12" t="s">
        <v>164</v>
      </c>
      <c r="O12" t="s">
        <v>165</v>
      </c>
    </row>
    <row r="13" spans="2:20" x14ac:dyDescent="0.35">
      <c r="K13" t="s">
        <v>166</v>
      </c>
      <c r="L13" t="s">
        <v>160</v>
      </c>
      <c r="M13">
        <v>0</v>
      </c>
      <c r="O13" t="s">
        <v>167</v>
      </c>
      <c r="Q13" t="s">
        <v>168</v>
      </c>
      <c r="R13" t="s">
        <v>168</v>
      </c>
    </row>
    <row r="16" spans="2:20" x14ac:dyDescent="0.35">
      <c r="B16" t="s">
        <v>103</v>
      </c>
    </row>
    <row r="17" spans="2:5" x14ac:dyDescent="0.35">
      <c r="B17" t="s">
        <v>60</v>
      </c>
      <c r="C17" t="s">
        <v>104</v>
      </c>
      <c r="D17" t="s">
        <v>75</v>
      </c>
    </row>
    <row r="18" spans="2:5" x14ac:dyDescent="0.35">
      <c r="B18" t="s">
        <v>105</v>
      </c>
      <c r="C18" t="s">
        <v>106</v>
      </c>
      <c r="D18" t="s">
        <v>107</v>
      </c>
    </row>
    <row r="19" spans="2:5" x14ac:dyDescent="0.35">
      <c r="B19" t="s">
        <v>108</v>
      </c>
      <c r="C19" t="s">
        <v>106</v>
      </c>
      <c r="D19" t="s">
        <v>109</v>
      </c>
    </row>
    <row r="22" spans="2:5" x14ac:dyDescent="0.35">
      <c r="B22" t="s">
        <v>0</v>
      </c>
    </row>
    <row r="23" spans="2:5" x14ac:dyDescent="0.35">
      <c r="B23" t="s">
        <v>38</v>
      </c>
      <c r="C23" t="s">
        <v>60</v>
      </c>
      <c r="D23" t="s">
        <v>61</v>
      </c>
      <c r="E23" t="s">
        <v>44</v>
      </c>
    </row>
    <row r="24" spans="2:5" x14ac:dyDescent="0.35">
      <c r="B24" t="s">
        <v>110</v>
      </c>
      <c r="C24" t="s">
        <v>105</v>
      </c>
      <c r="D24" t="s">
        <v>111</v>
      </c>
      <c r="E24">
        <v>2150</v>
      </c>
    </row>
    <row r="25" spans="2:5" x14ac:dyDescent="0.35">
      <c r="B25" t="s">
        <v>110</v>
      </c>
      <c r="C25" t="str">
        <f>B19</f>
        <v>SUP_OilSupply</v>
      </c>
      <c r="D25" t="s">
        <v>112</v>
      </c>
      <c r="E25">
        <v>2150</v>
      </c>
    </row>
    <row r="28" spans="2:5" x14ac:dyDescent="0.35">
      <c r="B28" t="s">
        <v>103</v>
      </c>
    </row>
    <row r="29" spans="2:5" x14ac:dyDescent="0.35">
      <c r="B29" t="s">
        <v>60</v>
      </c>
      <c r="C29" t="s">
        <v>104</v>
      </c>
      <c r="D29" t="s">
        <v>75</v>
      </c>
    </row>
    <row r="30" spans="2:5" x14ac:dyDescent="0.35">
      <c r="B30" t="s">
        <v>118</v>
      </c>
      <c r="C30" t="s">
        <v>106</v>
      </c>
      <c r="D30" t="s">
        <v>119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A000-B663-4CCB-B7CD-D7C7D23A015C}">
  <dimension ref="C3:L18"/>
  <sheetViews>
    <sheetView workbookViewId="0">
      <selection activeCell="G16" sqref="G16"/>
    </sheetView>
  </sheetViews>
  <sheetFormatPr defaultColWidth="9.1328125" defaultRowHeight="14.25" x14ac:dyDescent="0.45"/>
  <cols>
    <col min="1" max="2" width="9.1328125" style="19"/>
    <col min="3" max="3" width="15.3984375" style="19" bestFit="1" customWidth="1"/>
    <col min="4" max="4" width="14" style="19" bestFit="1" customWidth="1"/>
    <col min="5" max="5" width="9.1328125" style="19" bestFit="1" customWidth="1"/>
    <col min="6" max="6" width="8.265625" style="19" bestFit="1" customWidth="1"/>
    <col min="7" max="7" width="7.73046875" style="19" bestFit="1" customWidth="1"/>
    <col min="8" max="16384" width="9.1328125" style="19"/>
  </cols>
  <sheetData>
    <row r="3" spans="3:12" x14ac:dyDescent="0.45">
      <c r="C3" s="19" t="s">
        <v>0</v>
      </c>
    </row>
    <row r="4" spans="3:12" x14ac:dyDescent="0.45">
      <c r="C4" s="19" t="s">
        <v>38</v>
      </c>
      <c r="D4" s="19" t="s">
        <v>43</v>
      </c>
      <c r="E4" s="19" t="s">
        <v>74</v>
      </c>
      <c r="F4" s="19" t="s">
        <v>42</v>
      </c>
      <c r="G4" s="19" t="s">
        <v>60</v>
      </c>
      <c r="H4" s="19" t="s">
        <v>75</v>
      </c>
      <c r="I4" s="25" t="s">
        <v>171</v>
      </c>
      <c r="L4" s="19" t="s">
        <v>76</v>
      </c>
    </row>
    <row r="5" spans="3:12" x14ac:dyDescent="0.45">
      <c r="C5" s="19" t="s">
        <v>77</v>
      </c>
      <c r="D5" s="19" t="s">
        <v>78</v>
      </c>
      <c r="F5" s="20">
        <f>6/24</f>
        <v>0.25</v>
      </c>
      <c r="G5" s="41" t="s">
        <v>226</v>
      </c>
      <c r="I5" s="25" t="s">
        <v>78</v>
      </c>
    </row>
    <row r="6" spans="3:12" x14ac:dyDescent="0.45">
      <c r="C6" s="19" t="s">
        <v>77</v>
      </c>
      <c r="D6" s="25" t="s">
        <v>172</v>
      </c>
      <c r="F6" s="20">
        <f>6/24</f>
        <v>0.25</v>
      </c>
      <c r="G6" s="41" t="s">
        <v>227</v>
      </c>
      <c r="I6" s="25" t="s">
        <v>172</v>
      </c>
    </row>
    <row r="7" spans="3:12" x14ac:dyDescent="0.45">
      <c r="C7" s="19" t="s">
        <v>79</v>
      </c>
      <c r="D7" s="19" t="s">
        <v>80</v>
      </c>
      <c r="E7" s="19" t="s">
        <v>81</v>
      </c>
      <c r="F7" s="20">
        <f>6/24/F11</f>
        <v>0.3125</v>
      </c>
      <c r="G7" s="41" t="s">
        <v>228</v>
      </c>
    </row>
    <row r="8" spans="3:12" x14ac:dyDescent="0.45">
      <c r="C8" s="19" t="s">
        <v>79</v>
      </c>
      <c r="D8" s="19" t="s">
        <v>78</v>
      </c>
      <c r="E8" s="19" t="s">
        <v>81</v>
      </c>
      <c r="F8" s="20">
        <v>1</v>
      </c>
      <c r="G8" s="22" t="str">
        <f>G5</f>
        <v>EP_HPS*</v>
      </c>
      <c r="I8" s="25" t="s">
        <v>78</v>
      </c>
    </row>
    <row r="9" spans="3:12" x14ac:dyDescent="0.45">
      <c r="C9" s="19" t="s">
        <v>79</v>
      </c>
      <c r="D9" s="25" t="s">
        <v>172</v>
      </c>
      <c r="E9" s="19" t="s">
        <v>81</v>
      </c>
      <c r="F9" s="20">
        <v>1</v>
      </c>
      <c r="G9" s="22" t="str">
        <f>G6</f>
        <v>EA_HPS*</v>
      </c>
      <c r="I9" s="25" t="s">
        <v>172</v>
      </c>
    </row>
    <row r="10" spans="3:12" x14ac:dyDescent="0.45">
      <c r="C10" s="19" t="s">
        <v>79</v>
      </c>
      <c r="D10" s="19" t="s">
        <v>82</v>
      </c>
      <c r="E10" s="19" t="s">
        <v>81</v>
      </c>
      <c r="F10" s="20">
        <f>6/9</f>
        <v>0.66666666666666663</v>
      </c>
      <c r="G10" s="22" t="str">
        <f>$G$7</f>
        <v>E?_HPS*</v>
      </c>
      <c r="L10" s="19" t="s">
        <v>83</v>
      </c>
    </row>
    <row r="11" spans="3:12" x14ac:dyDescent="0.45">
      <c r="C11" s="19" t="s">
        <v>84</v>
      </c>
      <c r="F11" s="20">
        <v>0.8</v>
      </c>
      <c r="G11" s="22" t="str">
        <f t="shared" ref="G11" si="0">$G$7</f>
        <v>E?_HPS*</v>
      </c>
    </row>
    <row r="12" spans="3:12" x14ac:dyDescent="0.45">
      <c r="C12" s="19" t="s">
        <v>85</v>
      </c>
      <c r="D12" s="19" t="s">
        <v>86</v>
      </c>
      <c r="F12" s="19">
        <f>1/F11</f>
        <v>1.25</v>
      </c>
      <c r="G12" s="22" t="str">
        <f>G5</f>
        <v>EP_HPS*</v>
      </c>
      <c r="H12" s="19" t="s">
        <v>78</v>
      </c>
    </row>
    <row r="13" spans="3:12" x14ac:dyDescent="0.45">
      <c r="C13" s="19" t="s">
        <v>85</v>
      </c>
      <c r="D13" s="19" t="s">
        <v>86</v>
      </c>
      <c r="F13" s="19">
        <f>1/F12</f>
        <v>0.8</v>
      </c>
      <c r="G13" s="22" t="str">
        <f>G6</f>
        <v>EA_HPS*</v>
      </c>
      <c r="H13" s="40" t="s">
        <v>172</v>
      </c>
    </row>
    <row r="14" spans="3:12" x14ac:dyDescent="0.45">
      <c r="G14" s="22"/>
    </row>
    <row r="16" spans="3:12" x14ac:dyDescent="0.45">
      <c r="C16" s="19" t="s">
        <v>87</v>
      </c>
    </row>
    <row r="17" spans="3:5" x14ac:dyDescent="0.45">
      <c r="C17" s="19" t="s">
        <v>60</v>
      </c>
      <c r="D17" s="19" t="s">
        <v>75</v>
      </c>
      <c r="E17" s="19" t="s">
        <v>44</v>
      </c>
    </row>
    <row r="18" spans="3:5" x14ac:dyDescent="0.45">
      <c r="C18" s="19" t="str">
        <f>G12</f>
        <v>EP_HPS*</v>
      </c>
      <c r="D18" s="19" t="str">
        <f>D12</f>
        <v>AuxStoOUT</v>
      </c>
      <c r="E18" s="1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Elec</vt:lpstr>
      <vt:lpstr>Transport</vt:lpstr>
      <vt:lpstr>IND2</vt:lpstr>
      <vt:lpstr>SHAPES</vt:lpstr>
      <vt:lpstr>Elec-CHP EFF calibration</vt:lpstr>
      <vt:lpstr>Misc</vt:lpstr>
      <vt:lpstr>pumped hydro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2001-09-28T20:39:50Z</cp:lastPrinted>
  <dcterms:created xsi:type="dcterms:W3CDTF">2001-09-28T18:48:17Z</dcterms:created>
  <dcterms:modified xsi:type="dcterms:W3CDTF">2026-06-07T12:42:14Z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184978663921356</vt:r8>
  </property>
  <property fmtid="{D5CDD505-2E9C-101B-9397-08002B2CF9AE}" pid="3" name="{A44787D4-0540-4523-9961-78E4036D8C6D}">
    <vt:lpwstr>{E5E86C4F-4557-4DD9-B272-72199BE960CF}</vt:lpwstr>
  </property>
</Properties>
</file>